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75" documentId="11_BD20C49B99CAED7BCFE311F06C7C97EF21DB5851" xr6:coauthVersionLast="47" xr6:coauthVersionMax="47" xr10:uidLastSave="{1F8A8F46-5635-BD4D-8928-3EFB486035B5}"/>
  <bookViews>
    <workbookView xWindow="53680" yWindow="3040" windowWidth="32080" windowHeight="19300" xr2:uid="{00000000-000D-0000-FFFF-FFFF00000000}"/>
  </bookViews>
  <sheets>
    <sheet name="Sheet1" sheetId="1" r:id="rId1"/>
    <sheet name="SOURCE_DISPOSITION" sheetId="2" r:id="rId2"/>
    <sheet name="AUTO_Public_TSV_FileList" sheetId="4" r:id="rId3"/>
  </sheets>
  <definedNames>
    <definedName name="_xlnm._FilterDatabase" localSheetId="0" hidden="1">Sheet1!$A$1:$AH$922</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G4" i="1"/>
  <c r="F4" i="1" s="1" a="1"/>
  <c r="F4" i="1" s="1"/>
  <c r="H4" i="1" s="1"/>
  <c r="J4" i="1" s="1"/>
  <c r="I4" i="1"/>
  <c r="K4" i="1"/>
  <c r="L4" i="1" a="1"/>
  <c r="L4" i="1"/>
  <c r="E77" i="1"/>
  <c r="G77" i="1"/>
  <c r="F77" i="1" s="1" a="1"/>
  <c r="F77" i="1" s="1"/>
  <c r="H77" i="1" s="1"/>
  <c r="J77" i="1" s="1"/>
  <c r="I77" i="1"/>
  <c r="K77" i="1"/>
  <c r="L77" i="1" a="1"/>
  <c r="L77" i="1"/>
  <c r="E78" i="1"/>
  <c r="G78" i="1"/>
  <c r="F78" i="1" s="1" a="1"/>
  <c r="F78" i="1" s="1"/>
  <c r="H78" i="1" s="1"/>
  <c r="J78" i="1" s="1"/>
  <c r="I78" i="1"/>
  <c r="K78" i="1"/>
  <c r="L78" i="1" a="1"/>
  <c r="L78" i="1"/>
  <c r="E102" i="1"/>
  <c r="G102" i="1"/>
  <c r="F102" i="1" s="1" a="1"/>
  <c r="F102" i="1" s="1"/>
  <c r="H102" i="1" s="1"/>
  <c r="J102" i="1" s="1"/>
  <c r="I102" i="1"/>
  <c r="K102" i="1"/>
  <c r="L102" i="1" a="1"/>
  <c r="L102" i="1"/>
  <c r="E167" i="1"/>
  <c r="G167" i="1"/>
  <c r="F167" i="1" s="1" a="1"/>
  <c r="F167" i="1" s="1"/>
  <c r="H167" i="1" s="1"/>
  <c r="J167" i="1" s="1"/>
  <c r="I167" i="1"/>
  <c r="K167" i="1"/>
  <c r="L167" i="1" a="1"/>
  <c r="L167" i="1"/>
  <c r="E181" i="1"/>
  <c r="G181" i="1"/>
  <c r="F181" i="1" s="1" a="1"/>
  <c r="F181" i="1" s="1"/>
  <c r="H181" i="1" s="1"/>
  <c r="J181" i="1" s="1"/>
  <c r="I181" i="1"/>
  <c r="K181" i="1"/>
  <c r="L181" i="1" a="1"/>
  <c r="L181" i="1"/>
  <c r="E203" i="1"/>
  <c r="G203" i="1"/>
  <c r="F203" i="1" s="1" a="1"/>
  <c r="F203" i="1" s="1"/>
  <c r="H203" i="1" s="1"/>
  <c r="J203" i="1" s="1"/>
  <c r="I203" i="1"/>
  <c r="K203" i="1"/>
  <c r="L203" i="1" a="1"/>
  <c r="L203" i="1"/>
  <c r="E236" i="1"/>
  <c r="G236" i="1"/>
  <c r="F236" i="1" s="1" a="1"/>
  <c r="F236" i="1" s="1"/>
  <c r="H236" i="1" s="1"/>
  <c r="J236" i="1" s="1"/>
  <c r="I236" i="1"/>
  <c r="K236" i="1"/>
  <c r="L236" i="1" a="1"/>
  <c r="L236" i="1"/>
  <c r="E228" i="1"/>
  <c r="G228" i="1"/>
  <c r="F228" i="1" s="1" a="1"/>
  <c r="F228" i="1" s="1"/>
  <c r="H228" i="1" s="1"/>
  <c r="J228" i="1" s="1"/>
  <c r="I228" i="1"/>
  <c r="K228" i="1"/>
  <c r="L228" i="1" a="1"/>
  <c r="L228" i="1"/>
  <c r="E229" i="1"/>
  <c r="G229" i="1"/>
  <c r="F229" i="1" s="1" a="1"/>
  <c r="F229" i="1" s="1"/>
  <c r="H229" i="1" s="1"/>
  <c r="J229" i="1" s="1"/>
  <c r="I229" i="1"/>
  <c r="K229" i="1"/>
  <c r="L229" i="1" a="1"/>
  <c r="L229" i="1"/>
  <c r="E230" i="1"/>
  <c r="G230" i="1"/>
  <c r="F230" i="1" s="1" a="1"/>
  <c r="F230" i="1" s="1"/>
  <c r="H230" i="1" s="1"/>
  <c r="J230" i="1" s="1"/>
  <c r="I230" i="1"/>
  <c r="K230" i="1"/>
  <c r="L230" i="1" a="1"/>
  <c r="L230" i="1"/>
  <c r="E231" i="1"/>
  <c r="G231" i="1"/>
  <c r="F231" i="1" s="1" a="1"/>
  <c r="F231" i="1" s="1"/>
  <c r="H231" i="1" s="1"/>
  <c r="J231" i="1" s="1"/>
  <c r="I231" i="1"/>
  <c r="K231" i="1"/>
  <c r="L231" i="1" a="1"/>
  <c r="L231" i="1"/>
  <c r="E232" i="1"/>
  <c r="G232" i="1"/>
  <c r="F232" i="1" s="1" a="1"/>
  <c r="F232" i="1" s="1"/>
  <c r="H232" i="1" s="1"/>
  <c r="J232" i="1" s="1"/>
  <c r="I232" i="1"/>
  <c r="K232" i="1"/>
  <c r="L232" i="1" a="1"/>
  <c r="L232" i="1"/>
  <c r="E233" i="1"/>
  <c r="G233" i="1"/>
  <c r="F233" i="1" s="1" a="1"/>
  <c r="F233" i="1" s="1"/>
  <c r="H233" i="1" s="1"/>
  <c r="J233" i="1" s="1"/>
  <c r="I233" i="1"/>
  <c r="K233" i="1"/>
  <c r="L233" i="1" a="1"/>
  <c r="L233" i="1"/>
  <c r="E234" i="1"/>
  <c r="G234" i="1"/>
  <c r="F234" i="1" s="1" a="1"/>
  <c r="F234" i="1" s="1"/>
  <c r="H234" i="1" s="1"/>
  <c r="J234" i="1" s="1"/>
  <c r="I234" i="1"/>
  <c r="K234" i="1"/>
  <c r="L234" i="1" a="1"/>
  <c r="L234" i="1"/>
  <c r="E237" i="1"/>
  <c r="G237" i="1"/>
  <c r="F237" i="1" s="1" a="1"/>
  <c r="F237" i="1" s="1"/>
  <c r="H237" i="1" s="1"/>
  <c r="J237" i="1" s="1"/>
  <c r="I237" i="1"/>
  <c r="K237" i="1"/>
  <c r="L237" i="1" a="1"/>
  <c r="L237" i="1"/>
  <c r="E238" i="1"/>
  <c r="G238" i="1"/>
  <c r="F238" i="1" s="1" a="1"/>
  <c r="F238" i="1" s="1"/>
  <c r="H238" i="1" s="1"/>
  <c r="J238" i="1" s="1"/>
  <c r="I238" i="1"/>
  <c r="K238" i="1"/>
  <c r="L238" i="1" a="1"/>
  <c r="L238" i="1"/>
  <c r="E239" i="1"/>
  <c r="G239" i="1"/>
  <c r="F239" i="1" s="1" a="1"/>
  <c r="F239" i="1" s="1"/>
  <c r="H239" i="1" s="1"/>
  <c r="J239" i="1" s="1"/>
  <c r="I239" i="1"/>
  <c r="K239" i="1"/>
  <c r="L239" i="1" a="1"/>
  <c r="L239" i="1"/>
  <c r="E240" i="1"/>
  <c r="G240" i="1"/>
  <c r="F240" i="1" s="1" a="1"/>
  <c r="F240" i="1" s="1"/>
  <c r="H240" i="1" s="1"/>
  <c r="J240" i="1" s="1"/>
  <c r="I240" i="1"/>
  <c r="K240" i="1"/>
  <c r="L240" i="1" a="1"/>
  <c r="L240" i="1"/>
  <c r="E241" i="1"/>
  <c r="G241" i="1"/>
  <c r="F241" i="1" s="1" a="1"/>
  <c r="F241" i="1" s="1"/>
  <c r="H241" i="1" s="1"/>
  <c r="J241" i="1" s="1"/>
  <c r="I241" i="1"/>
  <c r="K241" i="1"/>
  <c r="L241" i="1" a="1"/>
  <c r="L241" i="1"/>
  <c r="E242" i="1"/>
  <c r="G242" i="1"/>
  <c r="F242" i="1" s="1" a="1"/>
  <c r="F242" i="1" s="1"/>
  <c r="H242" i="1" s="1"/>
  <c r="J242" i="1" s="1"/>
  <c r="I242" i="1"/>
  <c r="K242" i="1"/>
  <c r="L242" i="1" a="1"/>
  <c r="L242" i="1"/>
  <c r="E243" i="1"/>
  <c r="G243" i="1"/>
  <c r="F243" i="1" s="1" a="1"/>
  <c r="F243" i="1" s="1"/>
  <c r="H243" i="1" s="1"/>
  <c r="J243" i="1" s="1"/>
  <c r="I243" i="1"/>
  <c r="K243" i="1"/>
  <c r="L243" i="1" a="1"/>
  <c r="L243" i="1"/>
  <c r="E244" i="1"/>
  <c r="G244" i="1"/>
  <c r="F244" i="1" s="1" a="1"/>
  <c r="F244" i="1" s="1"/>
  <c r="H244" i="1" s="1"/>
  <c r="J244" i="1" s="1"/>
  <c r="I244" i="1"/>
  <c r="K244" i="1"/>
  <c r="L244" i="1" a="1"/>
  <c r="L244" i="1"/>
  <c r="E257" i="1"/>
  <c r="G257" i="1"/>
  <c r="F257" i="1" s="1" a="1"/>
  <c r="F257" i="1" s="1"/>
  <c r="H257" i="1" s="1"/>
  <c r="J257" i="1" s="1"/>
  <c r="I257" i="1"/>
  <c r="K257" i="1"/>
  <c r="L257" i="1" a="1"/>
  <c r="L257" i="1"/>
  <c r="E258" i="1"/>
  <c r="G258" i="1"/>
  <c r="F258" i="1" s="1" a="1"/>
  <c r="F258" i="1" s="1"/>
  <c r="H258" i="1" s="1"/>
  <c r="J258" i="1" s="1"/>
  <c r="I258" i="1"/>
  <c r="K258" i="1"/>
  <c r="L258" i="1" a="1"/>
  <c r="L258" i="1"/>
  <c r="E259" i="1"/>
  <c r="G259" i="1"/>
  <c r="F259" i="1" s="1" a="1"/>
  <c r="F259" i="1" s="1"/>
  <c r="H259" i="1" s="1"/>
  <c r="J259" i="1" s="1"/>
  <c r="I259" i="1"/>
  <c r="K259" i="1"/>
  <c r="L259" i="1" a="1"/>
  <c r="L259" i="1"/>
  <c r="E260" i="1"/>
  <c r="G260" i="1"/>
  <c r="F260" i="1" s="1" a="1"/>
  <c r="F260" i="1" s="1"/>
  <c r="H260" i="1" s="1"/>
  <c r="J260" i="1" s="1"/>
  <c r="I260" i="1"/>
  <c r="K260" i="1"/>
  <c r="L260" i="1" a="1"/>
  <c r="L260" i="1"/>
  <c r="E261" i="1"/>
  <c r="G261" i="1"/>
  <c r="F261" i="1" s="1" a="1"/>
  <c r="F261" i="1" s="1"/>
  <c r="H261" i="1" s="1"/>
  <c r="J261" i="1" s="1"/>
  <c r="I261" i="1"/>
  <c r="K261" i="1"/>
  <c r="L261" i="1" a="1"/>
  <c r="L261" i="1"/>
  <c r="E262" i="1"/>
  <c r="G262" i="1"/>
  <c r="F262" i="1" s="1" a="1"/>
  <c r="F262" i="1" s="1"/>
  <c r="H262" i="1" s="1"/>
  <c r="J262" i="1" s="1"/>
  <c r="I262" i="1"/>
  <c r="K262" i="1"/>
  <c r="L262" i="1" a="1"/>
  <c r="L262" i="1"/>
  <c r="E263" i="1"/>
  <c r="G263" i="1"/>
  <c r="F263" i="1" s="1" a="1"/>
  <c r="F263" i="1" s="1"/>
  <c r="H263" i="1" s="1"/>
  <c r="J263" i="1" s="1"/>
  <c r="I263" i="1"/>
  <c r="K263" i="1"/>
  <c r="L263" i="1" a="1"/>
  <c r="L263" i="1"/>
  <c r="E267" i="1"/>
  <c r="G267" i="1"/>
  <c r="F267" i="1" s="1" a="1"/>
  <c r="F267" i="1" s="1"/>
  <c r="H267" i="1" s="1"/>
  <c r="J267" i="1" s="1"/>
  <c r="I267" i="1"/>
  <c r="K267" i="1"/>
  <c r="L267" i="1" a="1"/>
  <c r="L267" i="1"/>
  <c r="E268" i="1"/>
  <c r="G268" i="1"/>
  <c r="F268" i="1" s="1" a="1"/>
  <c r="F268" i="1" s="1"/>
  <c r="H268" i="1" s="1"/>
  <c r="J268" i="1" s="1"/>
  <c r="I268" i="1"/>
  <c r="K268" i="1"/>
  <c r="L268" i="1" a="1"/>
  <c r="L268" i="1"/>
  <c r="E275" i="1"/>
  <c r="G275" i="1"/>
  <c r="F275" i="1" s="1" a="1"/>
  <c r="F275" i="1" s="1"/>
  <c r="H275" i="1" s="1"/>
  <c r="J275" i="1" s="1"/>
  <c r="I275" i="1"/>
  <c r="K275" i="1"/>
  <c r="L275" i="1" a="1"/>
  <c r="L275" i="1"/>
  <c r="E276" i="1"/>
  <c r="G276" i="1"/>
  <c r="F276" i="1" s="1" a="1"/>
  <c r="F276" i="1" s="1"/>
  <c r="H276" i="1" s="1"/>
  <c r="J276" i="1" s="1"/>
  <c r="I276" i="1"/>
  <c r="K276" i="1"/>
  <c r="L276" i="1" a="1"/>
  <c r="L276" i="1"/>
  <c r="E277" i="1"/>
  <c r="G277" i="1"/>
  <c r="F277" i="1" s="1" a="1"/>
  <c r="F277" i="1" s="1"/>
  <c r="H277" i="1" s="1"/>
  <c r="J277" i="1" s="1"/>
  <c r="I277" i="1"/>
  <c r="K277" i="1"/>
  <c r="L277" i="1" a="1"/>
  <c r="L277" i="1"/>
  <c r="E278" i="1"/>
  <c r="G278" i="1"/>
  <c r="F278" i="1" s="1" a="1"/>
  <c r="F278" i="1" s="1"/>
  <c r="H278" i="1" s="1"/>
  <c r="J278" i="1" s="1"/>
  <c r="I278" i="1"/>
  <c r="K278" i="1"/>
  <c r="L278" i="1" a="1"/>
  <c r="L278" i="1"/>
  <c r="E372" i="1"/>
  <c r="G372" i="1"/>
  <c r="F372" i="1" s="1" a="1"/>
  <c r="F372" i="1" s="1"/>
  <c r="H372" i="1" s="1"/>
  <c r="J372" i="1" s="1"/>
  <c r="I372" i="1"/>
  <c r="K372" i="1"/>
  <c r="L372" i="1" a="1"/>
  <c r="L372" i="1"/>
  <c r="E374" i="1"/>
  <c r="G374" i="1"/>
  <c r="F374" i="1" s="1" a="1"/>
  <c r="F374" i="1" s="1"/>
  <c r="H374" i="1" s="1"/>
  <c r="J374" i="1" s="1"/>
  <c r="I374" i="1"/>
  <c r="K374" i="1"/>
  <c r="L374" i="1" a="1"/>
  <c r="L374" i="1"/>
  <c r="E375" i="1"/>
  <c r="G375" i="1"/>
  <c r="F375" i="1" s="1" a="1"/>
  <c r="F375" i="1" s="1"/>
  <c r="H375" i="1" s="1"/>
  <c r="J375" i="1" s="1"/>
  <c r="I375" i="1"/>
  <c r="K375" i="1"/>
  <c r="L375" i="1" a="1"/>
  <c r="L375" i="1"/>
  <c r="E376" i="1"/>
  <c r="G376" i="1"/>
  <c r="F376" i="1" s="1" a="1"/>
  <c r="F376" i="1" s="1"/>
  <c r="H376" i="1" s="1"/>
  <c r="J376" i="1" s="1"/>
  <c r="I376" i="1"/>
  <c r="K376" i="1"/>
  <c r="L376" i="1" a="1"/>
  <c r="L376" i="1"/>
  <c r="E377" i="1"/>
  <c r="G377" i="1"/>
  <c r="F377" i="1" s="1" a="1"/>
  <c r="F377" i="1" s="1"/>
  <c r="H377" i="1" s="1"/>
  <c r="J377" i="1" s="1"/>
  <c r="I377" i="1"/>
  <c r="K377" i="1"/>
  <c r="L377" i="1" a="1"/>
  <c r="L377" i="1"/>
  <c r="E378" i="1"/>
  <c r="G378" i="1"/>
  <c r="F378" i="1" s="1" a="1"/>
  <c r="F378" i="1" s="1"/>
  <c r="H378" i="1" s="1"/>
  <c r="J378" i="1" s="1"/>
  <c r="I378" i="1"/>
  <c r="K378" i="1"/>
  <c r="L378" i="1" a="1"/>
  <c r="L378" i="1"/>
  <c r="E379" i="1"/>
  <c r="G379" i="1"/>
  <c r="F379" i="1" s="1" a="1"/>
  <c r="F379" i="1" s="1"/>
  <c r="H379" i="1" s="1"/>
  <c r="J379" i="1" s="1"/>
  <c r="I379" i="1"/>
  <c r="K379" i="1"/>
  <c r="L379" i="1" a="1"/>
  <c r="L379" i="1"/>
  <c r="E380" i="1"/>
  <c r="G380" i="1"/>
  <c r="F380" i="1" s="1" a="1"/>
  <c r="F380" i="1" s="1"/>
  <c r="H380" i="1" s="1"/>
  <c r="J380" i="1" s="1"/>
  <c r="I380" i="1"/>
  <c r="K380" i="1"/>
  <c r="L380" i="1" a="1"/>
  <c r="L380" i="1"/>
  <c r="E381" i="1"/>
  <c r="G381" i="1"/>
  <c r="F381" i="1" s="1" a="1"/>
  <c r="F381" i="1" s="1"/>
  <c r="H381" i="1" s="1"/>
  <c r="J381" i="1" s="1"/>
  <c r="I381" i="1"/>
  <c r="K381" i="1"/>
  <c r="L381" i="1" a="1"/>
  <c r="L381" i="1"/>
  <c r="E382" i="1"/>
  <c r="G382" i="1"/>
  <c r="F382" i="1" s="1" a="1"/>
  <c r="F382" i="1" s="1"/>
  <c r="H382" i="1" s="1"/>
  <c r="J382" i="1" s="1"/>
  <c r="I382" i="1"/>
  <c r="K382" i="1"/>
  <c r="L382" i="1" a="1"/>
  <c r="L382" i="1"/>
  <c r="E383" i="1"/>
  <c r="G383" i="1"/>
  <c r="F383" i="1" s="1" a="1"/>
  <c r="F383" i="1" s="1"/>
  <c r="H383" i="1" s="1"/>
  <c r="J383" i="1" s="1"/>
  <c r="I383" i="1"/>
  <c r="K383" i="1"/>
  <c r="L383" i="1" a="1"/>
  <c r="L383" i="1" s="1"/>
  <c r="E423" i="1"/>
  <c r="G423" i="1"/>
  <c r="F423" i="1" s="1" a="1"/>
  <c r="F423" i="1" s="1"/>
  <c r="H423" i="1" s="1"/>
  <c r="J423" i="1" s="1"/>
  <c r="I423" i="1"/>
  <c r="K423" i="1"/>
  <c r="L423" i="1" a="1"/>
  <c r="L423" i="1" s="1"/>
  <c r="E424" i="1"/>
  <c r="G424" i="1"/>
  <c r="F424" i="1" s="1" a="1"/>
  <c r="F424" i="1" s="1"/>
  <c r="H424" i="1" s="1"/>
  <c r="J424" i="1" s="1"/>
  <c r="I424" i="1"/>
  <c r="K424" i="1"/>
  <c r="L424" i="1" a="1"/>
  <c r="L424" i="1" s="1"/>
  <c r="E425" i="1"/>
  <c r="G425" i="1"/>
  <c r="F425" i="1" s="1" a="1"/>
  <c r="F425" i="1" s="1"/>
  <c r="H425" i="1" s="1"/>
  <c r="J425" i="1" s="1"/>
  <c r="I425" i="1"/>
  <c r="K425" i="1"/>
  <c r="L425" i="1" a="1"/>
  <c r="L425" i="1" s="1"/>
  <c r="E430" i="1"/>
  <c r="G430" i="1"/>
  <c r="F430" i="1" s="1" a="1"/>
  <c r="F430" i="1" s="1"/>
  <c r="H430" i="1" s="1"/>
  <c r="J430" i="1" s="1"/>
  <c r="I430" i="1"/>
  <c r="K430" i="1"/>
  <c r="L430" i="1" s="1" a="1"/>
  <c r="L430" i="1" s="1"/>
  <c r="E426" i="1"/>
  <c r="G426" i="1"/>
  <c r="F426" i="1" s="1" a="1"/>
  <c r="F426" i="1" s="1"/>
  <c r="H426" i="1" s="1"/>
  <c r="J426" i="1" s="1"/>
  <c r="I426" i="1"/>
  <c r="K426" i="1"/>
  <c r="L426" i="1" a="1"/>
  <c r="L426" i="1" s="1"/>
  <c r="E427" i="1"/>
  <c r="G427" i="1"/>
  <c r="F427" i="1" s="1" a="1"/>
  <c r="F427" i="1" s="1"/>
  <c r="H427" i="1" s="1"/>
  <c r="J427" i="1" s="1"/>
  <c r="I427" i="1"/>
  <c r="K427" i="1"/>
  <c r="L427" i="1" a="1"/>
  <c r="L427" i="1" s="1"/>
  <c r="E428" i="1"/>
  <c r="G428" i="1"/>
  <c r="F428" i="1" s="1" a="1"/>
  <c r="F428" i="1" s="1"/>
  <c r="H428" i="1" s="1"/>
  <c r="J428" i="1" s="1"/>
  <c r="I428" i="1"/>
  <c r="K428" i="1"/>
  <c r="L428" i="1" s="1" a="1"/>
  <c r="L428" i="1" s="1"/>
  <c r="E429" i="1"/>
  <c r="G429" i="1"/>
  <c r="F429" i="1" s="1" a="1"/>
  <c r="F429" i="1" s="1"/>
  <c r="H429" i="1" s="1"/>
  <c r="J429" i="1" s="1"/>
  <c r="I429" i="1"/>
  <c r="K429" i="1" s="1"/>
  <c r="L429" i="1" s="1" a="1"/>
  <c r="L429" i="1" s="1"/>
  <c r="E433" i="1"/>
  <c r="G433" i="1"/>
  <c r="F433" i="1" s="1" a="1"/>
  <c r="F433" i="1" s="1"/>
  <c r="H433" i="1" s="1"/>
  <c r="J433" i="1" s="1"/>
  <c r="I433" i="1"/>
  <c r="K433" i="1"/>
  <c r="L433" i="1" s="1" a="1"/>
  <c r="L433" i="1" s="1"/>
  <c r="E434" i="1"/>
  <c r="G434" i="1"/>
  <c r="F434" i="1" s="1" a="1"/>
  <c r="F434" i="1" s="1"/>
  <c r="H434" i="1" s="1"/>
  <c r="J434" i="1" s="1"/>
  <c r="I434" i="1"/>
  <c r="K434" i="1"/>
  <c r="L434" i="1" a="1"/>
  <c r="L434" i="1" s="1"/>
  <c r="E452" i="1"/>
  <c r="G452" i="1"/>
  <c r="F452" i="1" s="1" a="1"/>
  <c r="F452" i="1" s="1"/>
  <c r="H452" i="1" s="1"/>
  <c r="J452" i="1" s="1"/>
  <c r="I452" i="1"/>
  <c r="K452" i="1" s="1"/>
  <c r="L452" i="1" s="1" a="1"/>
  <c r="L452" i="1" s="1"/>
  <c r="E592" i="1"/>
  <c r="G592" i="1"/>
  <c r="F592" i="1" s="1" a="1"/>
  <c r="F592" i="1" s="1"/>
  <c r="H592" i="1" s="1"/>
  <c r="J592" i="1" s="1"/>
  <c r="I592" i="1"/>
  <c r="K592" i="1"/>
  <c r="L592" i="1" a="1"/>
  <c r="L592" i="1" s="1"/>
  <c r="E606" i="1"/>
  <c r="G606" i="1"/>
  <c r="F606" i="1" s="1" a="1"/>
  <c r="F606" i="1" s="1"/>
  <c r="H606" i="1" s="1"/>
  <c r="J606" i="1" s="1"/>
  <c r="I606" i="1"/>
  <c r="K606" i="1"/>
  <c r="L606" i="1" s="1" a="1"/>
  <c r="L606" i="1" s="1"/>
  <c r="E607" i="1"/>
  <c r="G607" i="1"/>
  <c r="F607" i="1" s="1" a="1"/>
  <c r="F607" i="1" s="1"/>
  <c r="H607" i="1" s="1"/>
  <c r="J607" i="1" s="1"/>
  <c r="I607" i="1"/>
  <c r="K607" i="1"/>
  <c r="L607" i="1" a="1"/>
  <c r="L607" i="1" s="1"/>
  <c r="E608" i="1"/>
  <c r="G608" i="1"/>
  <c r="F608" i="1" s="1" a="1"/>
  <c r="F608" i="1" s="1"/>
  <c r="H608" i="1" s="1"/>
  <c r="J608" i="1" s="1"/>
  <c r="I608" i="1"/>
  <c r="K608" i="1"/>
  <c r="L608" i="1" a="1"/>
  <c r="L608" i="1" s="1"/>
  <c r="E609" i="1"/>
  <c r="G609" i="1"/>
  <c r="F609" i="1" s="1" a="1"/>
  <c r="F609" i="1" s="1"/>
  <c r="H609" i="1" s="1"/>
  <c r="J609" i="1" s="1"/>
  <c r="I609" i="1"/>
  <c r="K609" i="1"/>
  <c r="L609" i="1" a="1"/>
  <c r="L609" i="1" s="1"/>
  <c r="E610" i="1"/>
  <c r="G610" i="1"/>
  <c r="F610" i="1" s="1" a="1"/>
  <c r="F610" i="1" s="1"/>
  <c r="H610" i="1" s="1"/>
  <c r="J610" i="1" s="1"/>
  <c r="I610" i="1"/>
  <c r="K610" i="1" s="1"/>
  <c r="L610" i="1" s="1" a="1"/>
  <c r="L610" i="1" s="1"/>
  <c r="E611" i="1"/>
  <c r="G611" i="1"/>
  <c r="F611" i="1" s="1" a="1"/>
  <c r="F611" i="1" s="1"/>
  <c r="H611" i="1" s="1"/>
  <c r="J611" i="1" s="1"/>
  <c r="I611" i="1"/>
  <c r="K611" i="1"/>
  <c r="L611" i="1" a="1"/>
  <c r="L611" i="1" s="1"/>
  <c r="E622" i="1"/>
  <c r="G622" i="1"/>
  <c r="F622" i="1" s="1" a="1"/>
  <c r="F622" i="1" s="1"/>
  <c r="H622" i="1" s="1"/>
  <c r="J622" i="1" s="1"/>
  <c r="I622" i="1"/>
  <c r="K622" i="1"/>
  <c r="L622" i="1" a="1"/>
  <c r="L622" i="1" s="1"/>
  <c r="E635" i="1"/>
  <c r="G635" i="1"/>
  <c r="F635" i="1" s="1" a="1"/>
  <c r="F635" i="1" s="1"/>
  <c r="H635" i="1" s="1"/>
  <c r="J635" i="1" s="1"/>
  <c r="I635" i="1"/>
  <c r="K635" i="1"/>
  <c r="L635" i="1" s="1" a="1"/>
  <c r="L635" i="1" s="1"/>
  <c r="E636" i="1"/>
  <c r="G636" i="1"/>
  <c r="F636" i="1" s="1" a="1"/>
  <c r="F636" i="1" s="1"/>
  <c r="H636" i="1" s="1"/>
  <c r="J636" i="1" s="1"/>
  <c r="I636" i="1"/>
  <c r="K636" i="1"/>
  <c r="L636" i="1" a="1"/>
  <c r="L636" i="1" s="1"/>
  <c r="E637" i="1"/>
  <c r="G637" i="1"/>
  <c r="F637" i="1" s="1" a="1"/>
  <c r="F637" i="1" s="1"/>
  <c r="H637" i="1" s="1"/>
  <c r="J637" i="1" s="1"/>
  <c r="I637" i="1"/>
  <c r="K637" i="1"/>
  <c r="L637" i="1" a="1"/>
  <c r="L637" i="1" s="1"/>
  <c r="E642" i="1"/>
  <c r="G642" i="1"/>
  <c r="F642" i="1" s="1" a="1"/>
  <c r="F642" i="1" s="1"/>
  <c r="H642" i="1" s="1"/>
  <c r="J642" i="1" s="1"/>
  <c r="I642" i="1"/>
  <c r="K642" i="1"/>
  <c r="L642" i="1" a="1"/>
  <c r="L642" i="1" s="1"/>
  <c r="E643" i="1"/>
  <c r="G643" i="1"/>
  <c r="F643" i="1" s="1" a="1"/>
  <c r="F643" i="1" s="1"/>
  <c r="H643" i="1" s="1"/>
  <c r="J643" i="1" s="1"/>
  <c r="I643" i="1"/>
  <c r="K643" i="1"/>
  <c r="L643" i="1" a="1"/>
  <c r="L643" i="1" s="1"/>
  <c r="E644" i="1"/>
  <c r="G644" i="1"/>
  <c r="F644" i="1" s="1" a="1"/>
  <c r="F644" i="1" s="1"/>
  <c r="H644" i="1" s="1"/>
  <c r="J644" i="1" s="1"/>
  <c r="I644" i="1"/>
  <c r="K644" i="1"/>
  <c r="L644" i="1" s="1" a="1"/>
  <c r="L644" i="1" s="1"/>
  <c r="E749" i="1"/>
  <c r="G749" i="1"/>
  <c r="F749" i="1" s="1" a="1"/>
  <c r="F749" i="1" s="1"/>
  <c r="H749" i="1" s="1"/>
  <c r="J749" i="1" s="1"/>
  <c r="I749" i="1"/>
  <c r="K749" i="1" s="1"/>
  <c r="L749" i="1" s="1" a="1"/>
  <c r="L749" i="1" s="1"/>
  <c r="E814" i="1"/>
  <c r="G814" i="1"/>
  <c r="F814" i="1" s="1" a="1"/>
  <c r="F814" i="1" s="1"/>
  <c r="H814" i="1" s="1"/>
  <c r="J814" i="1" s="1"/>
  <c r="I814" i="1"/>
  <c r="K814" i="1" s="1"/>
  <c r="L814" i="1" s="1" a="1"/>
  <c r="L814" i="1" s="1"/>
  <c r="E844" i="1"/>
  <c r="G844" i="1"/>
  <c r="F844" i="1" s="1" a="1"/>
  <c r="F844" i="1" s="1"/>
  <c r="I844" i="1"/>
  <c r="K844" i="1"/>
  <c r="L844" i="1" a="1"/>
  <c r="L844" i="1"/>
  <c r="E845" i="1"/>
  <c r="G845" i="1"/>
  <c r="F845" i="1" s="1" a="1"/>
  <c r="F845" i="1" s="1"/>
  <c r="H845" i="1" s="1"/>
  <c r="J845" i="1" s="1"/>
  <c r="I845" i="1"/>
  <c r="K845" i="1"/>
  <c r="L845" i="1" a="1"/>
  <c r="L845" i="1"/>
  <c r="E873" i="1"/>
  <c r="G873" i="1"/>
  <c r="F873" i="1" s="1" a="1"/>
  <c r="F873" i="1" s="1"/>
  <c r="H873" i="1" s="1"/>
  <c r="J873" i="1" s="1"/>
  <c r="I873" i="1"/>
  <c r="K873" i="1"/>
  <c r="L873" i="1" a="1"/>
  <c r="L873" i="1"/>
  <c r="I581" i="1"/>
  <c r="K581" i="1" s="1"/>
  <c r="L581" i="1" s="1" a="1"/>
  <c r="L581" i="1" s="1"/>
  <c r="G581" i="1"/>
  <c r="F581" i="1" a="1"/>
  <c r="F581" i="1" s="1"/>
  <c r="E581" i="1"/>
  <c r="H581" i="1" s="1"/>
  <c r="J581" i="1" s="1"/>
  <c r="E582" i="1"/>
  <c r="G582" i="1"/>
  <c r="F582" i="1" s="1" a="1"/>
  <c r="F582" i="1" s="1"/>
  <c r="H582" i="1" s="1"/>
  <c r="J582" i="1" s="1"/>
  <c r="I582" i="1"/>
  <c r="K582" i="1"/>
  <c r="L582" i="1" a="1"/>
  <c r="L582" i="1"/>
  <c r="E331" i="1"/>
  <c r="G331" i="1"/>
  <c r="F331" i="1" s="1" a="1"/>
  <c r="F331" i="1" s="1"/>
  <c r="H331" i="1" s="1"/>
  <c r="J331" i="1" s="1"/>
  <c r="I331" i="1"/>
  <c r="K331" i="1"/>
  <c r="L331" i="1" a="1"/>
  <c r="L331" i="1"/>
  <c r="E330" i="1"/>
  <c r="G330" i="1"/>
  <c r="F330" i="1" s="1" a="1"/>
  <c r="F330" i="1" s="1"/>
  <c r="H330" i="1" s="1"/>
  <c r="J330" i="1" s="1"/>
  <c r="I330" i="1"/>
  <c r="K330" i="1"/>
  <c r="L330" i="1" a="1"/>
  <c r="L330" i="1"/>
  <c r="E245" i="1"/>
  <c r="G245" i="1"/>
  <c r="F245" i="1" s="1"/>
  <c r="H245" i="1" s="1"/>
  <c r="J245" i="1" s="1"/>
  <c r="I245" i="1"/>
  <c r="K245" i="1"/>
  <c r="L245" i="1"/>
  <c r="E441" i="1"/>
  <c r="G441" i="1"/>
  <c r="F441" i="1" s="1" a="1"/>
  <c r="F441" i="1" s="1"/>
  <c r="H441" i="1" s="1"/>
  <c r="J441" i="1" s="1"/>
  <c r="I441" i="1"/>
  <c r="K441" i="1"/>
  <c r="L441" i="1" a="1"/>
  <c r="L441" i="1"/>
  <c r="E442" i="1"/>
  <c r="G442" i="1"/>
  <c r="F442" i="1" s="1" a="1"/>
  <c r="F442" i="1" s="1"/>
  <c r="H442" i="1" s="1"/>
  <c r="J442" i="1" s="1"/>
  <c r="I442" i="1"/>
  <c r="K442" i="1"/>
  <c r="L442" i="1" a="1"/>
  <c r="L442" i="1"/>
  <c r="E391" i="1"/>
  <c r="G391" i="1"/>
  <c r="F391" i="1" s="1" a="1"/>
  <c r="F391" i="1" s="1"/>
  <c r="H391" i="1" s="1"/>
  <c r="J391" i="1" s="1"/>
  <c r="I391" i="1"/>
  <c r="K391" i="1"/>
  <c r="L391" i="1" a="1"/>
  <c r="L391" i="1"/>
  <c r="E392" i="1"/>
  <c r="G392" i="1"/>
  <c r="F392" i="1" s="1" a="1"/>
  <c r="F392" i="1" s="1"/>
  <c r="H392" i="1" s="1"/>
  <c r="J392" i="1" s="1"/>
  <c r="I392" i="1"/>
  <c r="K392" i="1"/>
  <c r="L392" i="1" a="1"/>
  <c r="L392" i="1"/>
  <c r="E393" i="1"/>
  <c r="G393" i="1"/>
  <c r="F393" i="1" s="1" a="1"/>
  <c r="F393" i="1" s="1"/>
  <c r="H393" i="1" s="1"/>
  <c r="J393" i="1" s="1"/>
  <c r="I393" i="1"/>
  <c r="K393" i="1"/>
  <c r="L393" i="1" a="1"/>
  <c r="L393" i="1"/>
  <c r="I567" i="1"/>
  <c r="K567" i="1" s="1"/>
  <c r="L567" i="1" s="1" a="1"/>
  <c r="L567" i="1" s="1"/>
  <c r="G567" i="1"/>
  <c r="F567" i="1" a="1"/>
  <c r="F567" i="1" s="1"/>
  <c r="E567" i="1"/>
  <c r="H567" i="1" s="1"/>
  <c r="J567" i="1" s="1"/>
  <c r="E307" i="1"/>
  <c r="G307" i="1"/>
  <c r="F307" i="1" s="1" a="1"/>
  <c r="F307" i="1" s="1"/>
  <c r="H307" i="1" s="1"/>
  <c r="J307" i="1" s="1"/>
  <c r="I307" i="1"/>
  <c r="K307" i="1"/>
  <c r="L307" i="1" a="1"/>
  <c r="L307" i="1"/>
  <c r="E691" i="1"/>
  <c r="G691" i="1"/>
  <c r="F691" i="1" s="1" a="1"/>
  <c r="F691" i="1" s="1"/>
  <c r="H691" i="1" s="1"/>
  <c r="J691" i="1" s="1"/>
  <c r="I691" i="1"/>
  <c r="K691" i="1"/>
  <c r="L691" i="1" a="1"/>
  <c r="L691" i="1"/>
  <c r="E647" i="1"/>
  <c r="G647" i="1"/>
  <c r="F647" i="1" s="1" a="1"/>
  <c r="F647" i="1" s="1"/>
  <c r="H647" i="1" s="1"/>
  <c r="J647" i="1" s="1"/>
  <c r="I647" i="1"/>
  <c r="K647" i="1"/>
  <c r="L647" i="1" a="1"/>
  <c r="L647" i="1"/>
  <c r="E265" i="1"/>
  <c r="G265" i="1"/>
  <c r="F265" i="1" s="1" a="1"/>
  <c r="F265" i="1" s="1"/>
  <c r="H265" i="1" s="1"/>
  <c r="J265" i="1" s="1"/>
  <c r="I265" i="1"/>
  <c r="K265" i="1"/>
  <c r="L265" i="1" a="1"/>
  <c r="L265" i="1"/>
  <c r="E170" i="1"/>
  <c r="G170" i="1"/>
  <c r="F170" i="1" s="1" a="1"/>
  <c r="F170" i="1" s="1"/>
  <c r="H170" i="1" s="1"/>
  <c r="J170" i="1" s="1"/>
  <c r="I170" i="1"/>
  <c r="K170" i="1"/>
  <c r="L170" i="1" a="1"/>
  <c r="L170" i="1"/>
  <c r="E221" i="1"/>
  <c r="G221" i="1"/>
  <c r="F221" i="1" s="1" a="1"/>
  <c r="F221" i="1" s="1"/>
  <c r="H221" i="1" s="1"/>
  <c r="J221" i="1" s="1"/>
  <c r="I221" i="1"/>
  <c r="K221" i="1"/>
  <c r="L221" i="1" a="1"/>
  <c r="L221" i="1"/>
  <c r="E222" i="1"/>
  <c r="G222" i="1"/>
  <c r="F222" i="1" s="1" a="1"/>
  <c r="F222" i="1" s="1"/>
  <c r="H222" i="1" s="1"/>
  <c r="J222" i="1" s="1"/>
  <c r="I222" i="1"/>
  <c r="K222" i="1"/>
  <c r="L222" i="1" a="1"/>
  <c r="L222" i="1"/>
  <c r="E736" i="1"/>
  <c r="G736" i="1"/>
  <c r="F736" i="1" s="1" a="1"/>
  <c r="F736" i="1" s="1"/>
  <c r="H736" i="1" s="1"/>
  <c r="J736" i="1" s="1"/>
  <c r="I736" i="1"/>
  <c r="K736" i="1"/>
  <c r="L736" i="1" a="1"/>
  <c r="L736" i="1"/>
  <c r="E598" i="1"/>
  <c r="G598" i="1"/>
  <c r="F598" i="1" s="1" a="1"/>
  <c r="F598" i="1" s="1"/>
  <c r="H598" i="1" s="1"/>
  <c r="J598" i="1" s="1"/>
  <c r="I598" i="1"/>
  <c r="K598" i="1"/>
  <c r="L598" i="1" a="1"/>
  <c r="L598" i="1"/>
  <c r="E599" i="1"/>
  <c r="G599" i="1"/>
  <c r="F599" i="1" s="1" a="1"/>
  <c r="F599" i="1" s="1"/>
  <c r="H599" i="1" s="1"/>
  <c r="J599" i="1" s="1"/>
  <c r="I599" i="1"/>
  <c r="K599" i="1"/>
  <c r="L599" i="1" a="1"/>
  <c r="L599" i="1"/>
  <c r="E738" i="1"/>
  <c r="G738" i="1"/>
  <c r="F738" i="1" s="1" a="1"/>
  <c r="F738" i="1" s="1"/>
  <c r="H738" i="1" s="1"/>
  <c r="J738" i="1" s="1"/>
  <c r="I738" i="1"/>
  <c r="K738" i="1"/>
  <c r="L738" i="1" a="1"/>
  <c r="L738" i="1"/>
  <c r="E739" i="1"/>
  <c r="G739" i="1"/>
  <c r="F739" i="1" s="1" a="1"/>
  <c r="F739" i="1" s="1"/>
  <c r="H739" i="1" s="1"/>
  <c r="J739" i="1" s="1"/>
  <c r="I739" i="1"/>
  <c r="K739" i="1"/>
  <c r="L739" i="1" a="1"/>
  <c r="L739" i="1"/>
  <c r="E737" i="1"/>
  <c r="G737" i="1"/>
  <c r="F737" i="1" s="1" a="1"/>
  <c r="F737" i="1" s="1"/>
  <c r="H737" i="1" s="1"/>
  <c r="J737" i="1" s="1"/>
  <c r="I737" i="1"/>
  <c r="K737" i="1"/>
  <c r="L737" i="1" a="1"/>
  <c r="L737" i="1"/>
  <c r="E839" i="1"/>
  <c r="G839" i="1"/>
  <c r="F839" i="1" s="1" a="1"/>
  <c r="F839" i="1" s="1"/>
  <c r="H839" i="1" s="1"/>
  <c r="J839" i="1" s="1"/>
  <c r="I839" i="1"/>
  <c r="K839" i="1"/>
  <c r="L839" i="1" a="1"/>
  <c r="L839" i="1"/>
  <c r="E840" i="1"/>
  <c r="G840" i="1"/>
  <c r="F840" i="1" s="1" a="1"/>
  <c r="F840" i="1" s="1"/>
  <c r="H840" i="1" s="1"/>
  <c r="J840" i="1" s="1"/>
  <c r="I840" i="1"/>
  <c r="K840" i="1"/>
  <c r="L840" i="1" a="1"/>
  <c r="L840" i="1"/>
  <c r="E634" i="1"/>
  <c r="G634" i="1"/>
  <c r="F634" i="1" s="1" a="1"/>
  <c r="F634" i="1" s="1"/>
  <c r="H634" i="1" s="1"/>
  <c r="J634" i="1" s="1"/>
  <c r="I634" i="1"/>
  <c r="K634" i="1"/>
  <c r="L634" i="1" a="1"/>
  <c r="L634" i="1"/>
  <c r="E803" i="1"/>
  <c r="G803" i="1"/>
  <c r="F803" i="1" s="1" a="1"/>
  <c r="F803" i="1" s="1"/>
  <c r="H803" i="1" s="1"/>
  <c r="J803" i="1" s="1"/>
  <c r="I803" i="1"/>
  <c r="K803" i="1"/>
  <c r="L803" i="1" a="1"/>
  <c r="L803" i="1"/>
  <c r="E841" i="1"/>
  <c r="G841" i="1"/>
  <c r="F841" i="1" s="1" a="1"/>
  <c r="F841" i="1" s="1"/>
  <c r="H841" i="1" s="1"/>
  <c r="J841" i="1" s="1"/>
  <c r="I841" i="1"/>
  <c r="K841" i="1"/>
  <c r="L841" i="1" a="1"/>
  <c r="L841" i="1"/>
  <c r="E842" i="1"/>
  <c r="G842" i="1"/>
  <c r="F842" i="1" s="1" a="1"/>
  <c r="F842" i="1" s="1"/>
  <c r="H842" i="1" s="1"/>
  <c r="J842" i="1" s="1"/>
  <c r="I842" i="1"/>
  <c r="K842" i="1"/>
  <c r="L842" i="1" a="1"/>
  <c r="L842" i="1"/>
  <c r="E843" i="1"/>
  <c r="G843" i="1"/>
  <c r="F843" i="1" s="1" a="1"/>
  <c r="F843" i="1" s="1"/>
  <c r="H843" i="1" s="1"/>
  <c r="J843" i="1" s="1"/>
  <c r="I843" i="1"/>
  <c r="K843" i="1"/>
  <c r="L843" i="1" a="1"/>
  <c r="L843" i="1"/>
  <c r="E431" i="1"/>
  <c r="G431" i="1"/>
  <c r="F431" i="1" s="1" a="1"/>
  <c r="F431" i="1" s="1"/>
  <c r="H431" i="1" s="1"/>
  <c r="J431" i="1" s="1"/>
  <c r="I431" i="1"/>
  <c r="K431" i="1"/>
  <c r="L431" i="1" a="1"/>
  <c r="L431" i="1"/>
  <c r="E645" i="1"/>
  <c r="G645" i="1"/>
  <c r="F645" i="1" s="1" a="1"/>
  <c r="F645" i="1" s="1"/>
  <c r="H645" i="1" s="1"/>
  <c r="J645" i="1" s="1"/>
  <c r="I645" i="1"/>
  <c r="K645" i="1"/>
  <c r="L645" i="1" a="1"/>
  <c r="L645" i="1" s="1"/>
  <c r="E646" i="1"/>
  <c r="G646" i="1"/>
  <c r="F646" i="1" s="1" a="1"/>
  <c r="F646" i="1" s="1"/>
  <c r="H646" i="1" s="1"/>
  <c r="J646" i="1" s="1"/>
  <c r="I646" i="1"/>
  <c r="K646" i="1"/>
  <c r="L646" i="1" a="1"/>
  <c r="L646" i="1" s="1"/>
  <c r="E836" i="1"/>
  <c r="G836" i="1"/>
  <c r="F836" i="1" s="1" a="1"/>
  <c r="F836" i="1" s="1"/>
  <c r="H836" i="1" s="1"/>
  <c r="J836" i="1" s="1"/>
  <c r="I836" i="1"/>
  <c r="K836" i="1"/>
  <c r="L836" i="1" a="1"/>
  <c r="L836" i="1" s="1"/>
  <c r="E264" i="1"/>
  <c r="G264" i="1"/>
  <c r="F264" i="1" s="1" a="1"/>
  <c r="F264" i="1" s="1"/>
  <c r="H264" i="1" s="1"/>
  <c r="J264" i="1" s="1"/>
  <c r="I264" i="1"/>
  <c r="K264" i="1"/>
  <c r="L264" i="1" a="1"/>
  <c r="L264" i="1" s="1"/>
  <c r="E639" i="1"/>
  <c r="G639" i="1"/>
  <c r="F639" i="1" s="1" a="1"/>
  <c r="F639" i="1" s="1"/>
  <c r="H639" i="1" s="1"/>
  <c r="J639" i="1" s="1"/>
  <c r="I639" i="1"/>
  <c r="K639" i="1"/>
  <c r="L639" i="1" s="1" a="1"/>
  <c r="L639" i="1" s="1"/>
  <c r="E92" i="1"/>
  <c r="G92" i="1"/>
  <c r="F92" i="1" s="1" a="1"/>
  <c r="F92" i="1" s="1"/>
  <c r="H92" i="1" s="1"/>
  <c r="J92" i="1" s="1"/>
  <c r="I92" i="1"/>
  <c r="K92" i="1" s="1"/>
  <c r="L92" i="1" s="1" a="1"/>
  <c r="L92" i="1" s="1"/>
  <c r="E93" i="1"/>
  <c r="G93" i="1"/>
  <c r="F93" i="1" s="1" a="1"/>
  <c r="F93" i="1" s="1"/>
  <c r="H93" i="1" s="1"/>
  <c r="J93" i="1" s="1"/>
  <c r="I93" i="1"/>
  <c r="K93" i="1"/>
  <c r="L93" i="1" a="1"/>
  <c r="L93" i="1" s="1"/>
  <c r="E91" i="1"/>
  <c r="G91" i="1"/>
  <c r="F91" i="1" s="1" a="1"/>
  <c r="F91" i="1" s="1"/>
  <c r="H91" i="1" s="1"/>
  <c r="J91" i="1" s="1"/>
  <c r="I91" i="1"/>
  <c r="K91" i="1"/>
  <c r="L91" i="1" a="1"/>
  <c r="L91" i="1" s="1"/>
  <c r="E806" i="1"/>
  <c r="G806" i="1"/>
  <c r="F806" i="1" s="1" a="1"/>
  <c r="F806" i="1" s="1"/>
  <c r="H806" i="1" s="1"/>
  <c r="J806" i="1" s="1"/>
  <c r="I806" i="1"/>
  <c r="K806" i="1"/>
  <c r="L806" i="1" a="1"/>
  <c r="L806" i="1" s="1"/>
  <c r="E807" i="1"/>
  <c r="G807" i="1"/>
  <c r="F807" i="1" s="1" a="1"/>
  <c r="F807" i="1" s="1"/>
  <c r="H807" i="1" s="1"/>
  <c r="J807" i="1" s="1"/>
  <c r="I807" i="1"/>
  <c r="K807" i="1"/>
  <c r="L807" i="1" a="1"/>
  <c r="L807" i="1" s="1"/>
  <c r="E808" i="1"/>
  <c r="G808" i="1"/>
  <c r="F808" i="1" s="1" a="1"/>
  <c r="F808" i="1" s="1"/>
  <c r="H808" i="1" s="1"/>
  <c r="J808" i="1" s="1"/>
  <c r="I808" i="1"/>
  <c r="K808" i="1"/>
  <c r="L808" i="1" a="1"/>
  <c r="L808" i="1" s="1"/>
  <c r="E432" i="1"/>
  <c r="G432" i="1"/>
  <c r="F432" i="1" s="1" a="1"/>
  <c r="F432" i="1" s="1"/>
  <c r="H432" i="1" s="1"/>
  <c r="J432" i="1" s="1"/>
  <c r="I432" i="1"/>
  <c r="K432" i="1" s="1"/>
  <c r="L432" i="1" s="1" a="1"/>
  <c r="L432" i="1" s="1"/>
  <c r="E662" i="1"/>
  <c r="G662" i="1"/>
  <c r="F662" i="1" s="1" a="1"/>
  <c r="F662" i="1" s="1"/>
  <c r="H662" i="1" s="1"/>
  <c r="J662" i="1" s="1"/>
  <c r="I662" i="1"/>
  <c r="K662" i="1"/>
  <c r="L662" i="1" a="1"/>
  <c r="L662" i="1" s="1"/>
  <c r="E849" i="1"/>
  <c r="G849" i="1"/>
  <c r="F849" i="1" s="1" a="1"/>
  <c r="F849" i="1" s="1"/>
  <c r="H849" i="1" s="1"/>
  <c r="J849" i="1" s="1"/>
  <c r="I849" i="1"/>
  <c r="K849" i="1"/>
  <c r="L849" i="1" s="1" a="1"/>
  <c r="L849" i="1" s="1"/>
  <c r="E577" i="1"/>
  <c r="G577" i="1"/>
  <c r="F577" i="1" s="1" a="1"/>
  <c r="F577" i="1" s="1"/>
  <c r="H577" i="1" s="1"/>
  <c r="J577" i="1" s="1"/>
  <c r="I577" i="1"/>
  <c r="K577" i="1" s="1"/>
  <c r="L577" i="1" s="1" a="1"/>
  <c r="L577" i="1" s="1"/>
  <c r="E578" i="1"/>
  <c r="G578" i="1"/>
  <c r="F578" i="1" s="1" a="1"/>
  <c r="F578" i="1" s="1"/>
  <c r="H578" i="1" s="1"/>
  <c r="J578" i="1" s="1"/>
  <c r="I578" i="1"/>
  <c r="K578" i="1"/>
  <c r="L578" i="1" s="1" a="1"/>
  <c r="L578" i="1" s="1"/>
  <c r="E87" i="1"/>
  <c r="G87" i="1"/>
  <c r="F87" i="1" s="1" a="1"/>
  <c r="F87" i="1" s="1"/>
  <c r="H87" i="1" s="1"/>
  <c r="J87" i="1" s="1"/>
  <c r="I87" i="1"/>
  <c r="K87" i="1" s="1"/>
  <c r="L87" i="1" s="1" a="1"/>
  <c r="L87" i="1" s="1"/>
  <c r="I11" i="1" a="1"/>
  <c r="K11" i="1" s="1"/>
  <c r="G11" i="1"/>
  <c r="F11" i="1" a="1"/>
  <c r="E11" i="1"/>
  <c r="I9" i="1" a="1"/>
  <c r="K9" i="1" s="1"/>
  <c r="G9" i="1"/>
  <c r="F9" i="1" a="1"/>
  <c r="E9" i="1"/>
  <c r="I10" i="1" a="1"/>
  <c r="K10" i="1" s="1"/>
  <c r="G10" i="1"/>
  <c r="F10" i="1" s="1" a="1"/>
  <c r="E10" i="1"/>
  <c r="I8" i="2"/>
  <c r="K8" i="2" s="1"/>
  <c r="L8" i="2" s="1" a="1"/>
  <c r="L8" i="2" s="1"/>
  <c r="G8" i="2"/>
  <c r="F8" i="2" s="1"/>
  <c r="E8" i="2"/>
  <c r="I9" i="2"/>
  <c r="K9" i="2" s="1"/>
  <c r="L9" i="2" s="1" a="1"/>
  <c r="L9" i="2" s="1"/>
  <c r="G9" i="2"/>
  <c r="F9" i="2"/>
  <c r="E9" i="2"/>
  <c r="I11" i="2"/>
  <c r="K11" i="2" s="1"/>
  <c r="L11" i="2" s="1" a="1"/>
  <c r="L11" i="2" s="1"/>
  <c r="G11" i="2"/>
  <c r="F11" i="2" a="1"/>
  <c r="F11" i="2"/>
  <c r="E11" i="2"/>
  <c r="H11" i="2" s="1"/>
  <c r="J11" i="2" s="1"/>
  <c r="I10" i="2"/>
  <c r="K10" i="2" s="1"/>
  <c r="L10" i="2" s="1" a="1"/>
  <c r="L10" i="2" s="1"/>
  <c r="G10" i="2"/>
  <c r="F10" i="2" a="1"/>
  <c r="F10" i="2" s="1"/>
  <c r="E10" i="2"/>
  <c r="I12" i="2"/>
  <c r="K12" i="2" s="1"/>
  <c r="L12" i="2" s="1" a="1"/>
  <c r="L12" i="2" s="1"/>
  <c r="G12" i="2"/>
  <c r="F12" i="2"/>
  <c r="E12" i="2"/>
  <c r="I2" i="2"/>
  <c r="K2" i="2" s="1"/>
  <c r="L2" i="2" s="1" a="1"/>
  <c r="L2" i="2" s="1"/>
  <c r="G2" i="2"/>
  <c r="F2" i="2"/>
  <c r="E2" i="2"/>
  <c r="H2" i="2" s="1"/>
  <c r="J2" i="2" s="1"/>
  <c r="I23" i="2"/>
  <c r="K23" i="2" s="1"/>
  <c r="L23" i="2" s="1" a="1"/>
  <c r="L23" i="2" s="1"/>
  <c r="G23" i="2"/>
  <c r="F23" i="2" s="1"/>
  <c r="E23" i="2"/>
  <c r="I24" i="2"/>
  <c r="K24" i="2" s="1"/>
  <c r="L24" i="2" s="1" a="1"/>
  <c r="L24" i="2" s="1"/>
  <c r="G24" i="2"/>
  <c r="F24" i="2"/>
  <c r="E24" i="2"/>
  <c r="H24" i="2" s="1"/>
  <c r="J24" i="2" s="1"/>
  <c r="I22" i="2"/>
  <c r="K22" i="2" s="1"/>
  <c r="L22" i="2" s="1" a="1"/>
  <c r="L22" i="2" s="1"/>
  <c r="G22" i="2"/>
  <c r="F22" i="2"/>
  <c r="E22" i="2"/>
  <c r="I21" i="2"/>
  <c r="K21" i="2" s="1"/>
  <c r="L21" i="2" s="1" a="1"/>
  <c r="L21" i="2" s="1"/>
  <c r="G21" i="2"/>
  <c r="F21" i="2" s="1"/>
  <c r="E21" i="2"/>
  <c r="I20" i="2"/>
  <c r="K20" i="2" s="1"/>
  <c r="L20" i="2" s="1" a="1"/>
  <c r="L20" i="2" s="1"/>
  <c r="G20" i="2"/>
  <c r="F20" i="2"/>
  <c r="E20" i="2"/>
  <c r="I19" i="2"/>
  <c r="K19" i="2" s="1"/>
  <c r="L19" i="2" s="1" a="1"/>
  <c r="L19" i="2" s="1"/>
  <c r="G19" i="2"/>
  <c r="F19" i="2" s="1"/>
  <c r="E19" i="2"/>
  <c r="I18" i="2"/>
  <c r="K18" i="2" s="1"/>
  <c r="L18" i="2" s="1" a="1"/>
  <c r="L18" i="2" s="1"/>
  <c r="G18" i="2"/>
  <c r="F18" i="2" s="1"/>
  <c r="E18" i="2"/>
  <c r="I17" i="2"/>
  <c r="K17" i="2" s="1"/>
  <c r="L17" i="2" s="1" a="1"/>
  <c r="L17" i="2" s="1"/>
  <c r="G17" i="2"/>
  <c r="F17" i="2"/>
  <c r="E17" i="2"/>
  <c r="I16" i="2"/>
  <c r="K16" i="2" s="1"/>
  <c r="L16" i="2" s="1" a="1"/>
  <c r="L16" i="2" s="1"/>
  <c r="G16" i="2"/>
  <c r="F16" i="2"/>
  <c r="E16" i="2"/>
  <c r="H16" i="2" s="1"/>
  <c r="J16" i="2" s="1"/>
  <c r="I15" i="2"/>
  <c r="K15" i="2" s="1"/>
  <c r="L15" i="2" s="1" a="1"/>
  <c r="L15" i="2" s="1"/>
  <c r="G15" i="2"/>
  <c r="F15" i="2" s="1"/>
  <c r="E15" i="2"/>
  <c r="I14" i="2"/>
  <c r="K14" i="2" s="1"/>
  <c r="L14" i="2" s="1" a="1"/>
  <c r="L14" i="2" s="1"/>
  <c r="G14" i="2"/>
  <c r="F14" i="2" s="1"/>
  <c r="E14" i="2"/>
  <c r="I13" i="2"/>
  <c r="K13" i="2" s="1"/>
  <c r="L13" i="2" s="1" a="1"/>
  <c r="L13" i="2" s="1"/>
  <c r="G13" i="2"/>
  <c r="F13" i="2" s="1"/>
  <c r="E13" i="2"/>
  <c r="I7" i="2"/>
  <c r="K7" i="2" s="1"/>
  <c r="L7" i="2" s="1" a="1"/>
  <c r="L7" i="2" s="1"/>
  <c r="G7" i="2"/>
  <c r="F7" i="2"/>
  <c r="E7" i="2"/>
  <c r="I6" i="2"/>
  <c r="K6" i="2" s="1"/>
  <c r="L6" i="2" s="1" a="1"/>
  <c r="L6" i="2" s="1"/>
  <c r="G6" i="2"/>
  <c r="F6" i="2" s="1"/>
  <c r="E6" i="2"/>
  <c r="I5" i="2"/>
  <c r="K5" i="2" s="1"/>
  <c r="L5" i="2" s="1" a="1"/>
  <c r="L5" i="2" s="1"/>
  <c r="G5" i="2"/>
  <c r="F5" i="2" s="1"/>
  <c r="E5" i="2"/>
  <c r="I4" i="2"/>
  <c r="K4" i="2" s="1"/>
  <c r="L4" i="2" s="1" a="1"/>
  <c r="L4" i="2" s="1"/>
  <c r="G4" i="2"/>
  <c r="F4" i="2" s="1"/>
  <c r="E4" i="2"/>
  <c r="I3" i="2"/>
  <c r="K3" i="2" s="1"/>
  <c r="L3" i="2" s="1" a="1"/>
  <c r="L3" i="2" s="1"/>
  <c r="G3" i="2"/>
  <c r="F3" i="2" s="1"/>
  <c r="E3" i="2"/>
  <c r="I942" i="1"/>
  <c r="K942" i="1" s="1"/>
  <c r="L942" i="1" s="1" a="1"/>
  <c r="L942" i="1" s="1"/>
  <c r="G942" i="1"/>
  <c r="F942" i="1" s="1" a="1"/>
  <c r="F942" i="1" s="1"/>
  <c r="E942" i="1"/>
  <c r="I941" i="1"/>
  <c r="K941" i="1" s="1"/>
  <c r="L941" i="1" s="1" a="1"/>
  <c r="L941" i="1" s="1"/>
  <c r="G941" i="1"/>
  <c r="F941" i="1" a="1"/>
  <c r="F941" i="1" s="1"/>
  <c r="E941" i="1"/>
  <c r="I940" i="1"/>
  <c r="K940" i="1" s="1"/>
  <c r="L940" i="1" s="1" a="1"/>
  <c r="L940" i="1" s="1"/>
  <c r="G940" i="1"/>
  <c r="F940" i="1" s="1" a="1"/>
  <c r="F940" i="1" s="1"/>
  <c r="E940" i="1"/>
  <c r="I939" i="1"/>
  <c r="K939" i="1" s="1"/>
  <c r="L939" i="1" s="1" a="1"/>
  <c r="L939" i="1" s="1"/>
  <c r="G939" i="1"/>
  <c r="F939" i="1" s="1" a="1"/>
  <c r="F939" i="1" s="1"/>
  <c r="E939" i="1"/>
  <c r="I938" i="1"/>
  <c r="K938" i="1" s="1"/>
  <c r="L938" i="1" s="1" a="1"/>
  <c r="L938" i="1" s="1"/>
  <c r="G938" i="1"/>
  <c r="F938" i="1" a="1"/>
  <c r="F938" i="1" s="1"/>
  <c r="E938" i="1"/>
  <c r="I937" i="1"/>
  <c r="K937" i="1" s="1"/>
  <c r="L937" i="1" s="1" a="1"/>
  <c r="L937" i="1" s="1"/>
  <c r="G937" i="1"/>
  <c r="F937" i="1" a="1"/>
  <c r="F937" i="1" s="1"/>
  <c r="E937" i="1"/>
  <c r="I936" i="1"/>
  <c r="K936" i="1" s="1"/>
  <c r="L936" i="1" s="1" a="1"/>
  <c r="L936" i="1" s="1"/>
  <c r="G936" i="1"/>
  <c r="F936" i="1" s="1" a="1"/>
  <c r="F936" i="1" s="1"/>
  <c r="E936" i="1"/>
  <c r="I935" i="1"/>
  <c r="K935" i="1" s="1"/>
  <c r="L935" i="1" s="1" a="1"/>
  <c r="L935" i="1" s="1"/>
  <c r="G935" i="1"/>
  <c r="F935" i="1" s="1" a="1"/>
  <c r="F935" i="1" s="1"/>
  <c r="E935" i="1"/>
  <c r="I872" i="1"/>
  <c r="K872" i="1" s="1"/>
  <c r="L872" i="1" s="1" a="1"/>
  <c r="L872" i="1" s="1"/>
  <c r="G872" i="1"/>
  <c r="F872" i="1" a="1"/>
  <c r="F872" i="1" s="1"/>
  <c r="E872" i="1"/>
  <c r="I871" i="1"/>
  <c r="K871" i="1" s="1"/>
  <c r="L871" i="1" s="1" a="1"/>
  <c r="L871" i="1" s="1"/>
  <c r="G871" i="1"/>
  <c r="F871" i="1" a="1"/>
  <c r="F871" i="1" s="1"/>
  <c r="E871" i="1"/>
  <c r="I870" i="1"/>
  <c r="K870" i="1" s="1"/>
  <c r="L870" i="1" s="1" a="1"/>
  <c r="L870" i="1" s="1"/>
  <c r="G870" i="1"/>
  <c r="F870" i="1" a="1"/>
  <c r="F870" i="1" s="1"/>
  <c r="E870" i="1"/>
  <c r="I869" i="1"/>
  <c r="K869" i="1" s="1"/>
  <c r="L869" i="1" s="1" a="1"/>
  <c r="L869" i="1" s="1"/>
  <c r="G869" i="1"/>
  <c r="F869" i="1" s="1" a="1"/>
  <c r="F869" i="1" s="1"/>
  <c r="E869" i="1"/>
  <c r="I868" i="1"/>
  <c r="K868" i="1" s="1"/>
  <c r="L868" i="1" s="1" a="1"/>
  <c r="L868" i="1" s="1"/>
  <c r="G868" i="1"/>
  <c r="F868" i="1" s="1" a="1"/>
  <c r="F868" i="1" s="1"/>
  <c r="E868" i="1"/>
  <c r="I867" i="1"/>
  <c r="K867" i="1" s="1"/>
  <c r="L867" i="1" s="1" a="1"/>
  <c r="L867" i="1" s="1"/>
  <c r="G867" i="1"/>
  <c r="F867" i="1" s="1" a="1"/>
  <c r="F867" i="1" s="1"/>
  <c r="E867" i="1"/>
  <c r="I866" i="1"/>
  <c r="K866" i="1" s="1"/>
  <c r="L866" i="1" s="1" a="1"/>
  <c r="L866" i="1" s="1"/>
  <c r="G866" i="1"/>
  <c r="F866" i="1" a="1"/>
  <c r="F866" i="1" s="1"/>
  <c r="E866" i="1"/>
  <c r="I865" i="1"/>
  <c r="K865" i="1" s="1"/>
  <c r="L865" i="1" s="1" a="1"/>
  <c r="L865" i="1" s="1"/>
  <c r="G865" i="1"/>
  <c r="F865" i="1" a="1"/>
  <c r="F865" i="1" s="1"/>
  <c r="E865" i="1"/>
  <c r="I864" i="1"/>
  <c r="K864" i="1" s="1"/>
  <c r="L864" i="1" s="1" a="1"/>
  <c r="L864" i="1" s="1"/>
  <c r="G864" i="1"/>
  <c r="F864" i="1" a="1"/>
  <c r="F864" i="1" s="1"/>
  <c r="E864" i="1"/>
  <c r="I863" i="1"/>
  <c r="K863" i="1" s="1"/>
  <c r="L863" i="1" s="1" a="1"/>
  <c r="L863" i="1" s="1"/>
  <c r="G863" i="1"/>
  <c r="F863" i="1" a="1"/>
  <c r="F863" i="1" s="1"/>
  <c r="E863" i="1"/>
  <c r="I862" i="1"/>
  <c r="K862" i="1" s="1"/>
  <c r="L862" i="1" s="1" a="1"/>
  <c r="L862" i="1" s="1"/>
  <c r="G862" i="1"/>
  <c r="F862" i="1" a="1"/>
  <c r="F862" i="1" s="1"/>
  <c r="E862" i="1"/>
  <c r="I861" i="1"/>
  <c r="K861" i="1" s="1"/>
  <c r="L861" i="1" s="1" a="1"/>
  <c r="L861" i="1" s="1"/>
  <c r="G861" i="1"/>
  <c r="F861" i="1" s="1" a="1"/>
  <c r="F861" i="1" s="1"/>
  <c r="E861" i="1"/>
  <c r="I860" i="1"/>
  <c r="K860" i="1" s="1"/>
  <c r="L860" i="1" s="1" a="1"/>
  <c r="L860" i="1" s="1"/>
  <c r="G860" i="1"/>
  <c r="F860" i="1" a="1"/>
  <c r="F860" i="1" s="1"/>
  <c r="E860" i="1"/>
  <c r="I859" i="1"/>
  <c r="K859" i="1" s="1"/>
  <c r="L859" i="1" s="1" a="1"/>
  <c r="L859" i="1" s="1"/>
  <c r="G859" i="1"/>
  <c r="F859" i="1" a="1"/>
  <c r="F859" i="1" s="1"/>
  <c r="E859" i="1"/>
  <c r="I858" i="1"/>
  <c r="K858" i="1" s="1"/>
  <c r="L858" i="1" s="1" a="1"/>
  <c r="L858" i="1" s="1"/>
  <c r="G858" i="1"/>
  <c r="F858" i="1" s="1" a="1"/>
  <c r="F858" i="1" s="1"/>
  <c r="E858" i="1"/>
  <c r="I857" i="1"/>
  <c r="K857" i="1" s="1"/>
  <c r="L857" i="1" s="1" a="1"/>
  <c r="L857" i="1" s="1"/>
  <c r="G857" i="1"/>
  <c r="F857" i="1" a="1"/>
  <c r="F857" i="1" s="1"/>
  <c r="E857" i="1"/>
  <c r="I856" i="1"/>
  <c r="K856" i="1" s="1"/>
  <c r="L856" i="1" s="1" a="1"/>
  <c r="L856" i="1" s="1"/>
  <c r="G856" i="1"/>
  <c r="F856" i="1" a="1"/>
  <c r="F856" i="1" s="1"/>
  <c r="E856" i="1"/>
  <c r="I855" i="1"/>
  <c r="K855" i="1" s="1"/>
  <c r="L855" i="1" s="1" a="1"/>
  <c r="L855" i="1" s="1"/>
  <c r="G855" i="1"/>
  <c r="F855" i="1" s="1" a="1"/>
  <c r="F855" i="1" s="1"/>
  <c r="E855" i="1"/>
  <c r="I854" i="1"/>
  <c r="K854" i="1" s="1"/>
  <c r="L854" i="1" s="1" a="1"/>
  <c r="L854" i="1" s="1"/>
  <c r="G854" i="1"/>
  <c r="F854" i="1" a="1"/>
  <c r="F854" i="1" s="1"/>
  <c r="E854" i="1"/>
  <c r="I853" i="1"/>
  <c r="K853" i="1" s="1"/>
  <c r="L853" i="1" s="1" a="1"/>
  <c r="L853" i="1" s="1"/>
  <c r="G853" i="1"/>
  <c r="F853" i="1" a="1"/>
  <c r="F853" i="1" s="1"/>
  <c r="E853" i="1"/>
  <c r="I852" i="1"/>
  <c r="K852" i="1" s="1"/>
  <c r="L852" i="1" s="1" a="1"/>
  <c r="L852" i="1" s="1"/>
  <c r="G852" i="1"/>
  <c r="F852" i="1" a="1"/>
  <c r="F852" i="1" s="1"/>
  <c r="E852" i="1"/>
  <c r="I851" i="1"/>
  <c r="K851" i="1" s="1"/>
  <c r="L851" i="1" s="1" a="1"/>
  <c r="L851" i="1" s="1"/>
  <c r="G851" i="1"/>
  <c r="F851" i="1" a="1"/>
  <c r="F851" i="1"/>
  <c r="E851" i="1"/>
  <c r="H851" i="1" s="1"/>
  <c r="J851" i="1" s="1"/>
  <c r="I850" i="1"/>
  <c r="K850" i="1" s="1"/>
  <c r="L850" i="1" s="1" a="1"/>
  <c r="L850" i="1" s="1"/>
  <c r="G850" i="1"/>
  <c r="F850" i="1" s="1" a="1"/>
  <c r="F850" i="1" s="1"/>
  <c r="E850" i="1"/>
  <c r="I848" i="1"/>
  <c r="K848" i="1" s="1"/>
  <c r="L848" i="1" s="1" a="1"/>
  <c r="L848" i="1" s="1"/>
  <c r="G848" i="1"/>
  <c r="F848" i="1" a="1"/>
  <c r="F848" i="1"/>
  <c r="E848" i="1"/>
  <c r="H848" i="1" s="1"/>
  <c r="J848" i="1" s="1"/>
  <c r="I847" i="1"/>
  <c r="K847" i="1" s="1"/>
  <c r="L847" i="1" s="1" a="1"/>
  <c r="L847" i="1" s="1"/>
  <c r="G847" i="1"/>
  <c r="F847" i="1" a="1"/>
  <c r="F847" i="1"/>
  <c r="E847" i="1"/>
  <c r="H847" i="1" s="1"/>
  <c r="J847" i="1" s="1"/>
  <c r="I846" i="1"/>
  <c r="K846" i="1" s="1"/>
  <c r="L846" i="1" s="1" a="1"/>
  <c r="L846" i="1" s="1"/>
  <c r="G846" i="1"/>
  <c r="F846" i="1" a="1"/>
  <c r="F846" i="1" s="1"/>
  <c r="E846" i="1"/>
  <c r="I838" i="1"/>
  <c r="K838" i="1" s="1"/>
  <c r="L838" i="1" s="1" a="1"/>
  <c r="L838" i="1" s="1"/>
  <c r="G838" i="1"/>
  <c r="F838" i="1" a="1"/>
  <c r="F838" i="1"/>
  <c r="E838" i="1"/>
  <c r="H838" i="1" s="1"/>
  <c r="J838" i="1" s="1"/>
  <c r="I837" i="1"/>
  <c r="K837" i="1" s="1"/>
  <c r="L837" i="1" s="1" a="1"/>
  <c r="L837" i="1" s="1"/>
  <c r="G837" i="1"/>
  <c r="F837" i="1" a="1"/>
  <c r="F837" i="1"/>
  <c r="E837" i="1"/>
  <c r="H837" i="1" s="1"/>
  <c r="J837" i="1" s="1"/>
  <c r="I835" i="1"/>
  <c r="K835" i="1" s="1"/>
  <c r="L835" i="1" s="1" a="1"/>
  <c r="L835" i="1" s="1"/>
  <c r="G835" i="1"/>
  <c r="F835" i="1" a="1"/>
  <c r="F835" i="1" s="1"/>
  <c r="E835" i="1"/>
  <c r="I834" i="1"/>
  <c r="K834" i="1" s="1"/>
  <c r="L834" i="1" s="1" a="1"/>
  <c r="L834" i="1" s="1"/>
  <c r="G834" i="1"/>
  <c r="F834" i="1" a="1"/>
  <c r="F834" i="1"/>
  <c r="E834" i="1"/>
  <c r="H834" i="1" s="1"/>
  <c r="J834" i="1" s="1"/>
  <c r="I833" i="1"/>
  <c r="K833" i="1" s="1"/>
  <c r="L833" i="1" s="1" a="1"/>
  <c r="L833" i="1" s="1"/>
  <c r="G833" i="1"/>
  <c r="F833" i="1" a="1"/>
  <c r="F833" i="1" s="1"/>
  <c r="E833" i="1"/>
  <c r="I832" i="1"/>
  <c r="K832" i="1" s="1"/>
  <c r="L832" i="1" s="1" a="1"/>
  <c r="L832" i="1" s="1"/>
  <c r="G832" i="1"/>
  <c r="F832" i="1" a="1"/>
  <c r="F832" i="1" s="1"/>
  <c r="E832" i="1"/>
  <c r="I831" i="1"/>
  <c r="K831" i="1" s="1"/>
  <c r="L831" i="1" s="1" a="1"/>
  <c r="L831" i="1" s="1"/>
  <c r="G831" i="1"/>
  <c r="F831" i="1" a="1"/>
  <c r="F831" i="1"/>
  <c r="E831" i="1"/>
  <c r="H831" i="1" s="1"/>
  <c r="J831" i="1" s="1"/>
  <c r="I830" i="1"/>
  <c r="K830" i="1" s="1"/>
  <c r="L830" i="1" s="1" a="1"/>
  <c r="L830" i="1" s="1"/>
  <c r="G830" i="1"/>
  <c r="F830" i="1" a="1"/>
  <c r="F830" i="1" s="1"/>
  <c r="E830" i="1"/>
  <c r="I829" i="1"/>
  <c r="K829" i="1" s="1"/>
  <c r="L829" i="1" s="1" a="1"/>
  <c r="L829" i="1" s="1"/>
  <c r="G829" i="1"/>
  <c r="F829" i="1" a="1"/>
  <c r="F829" i="1"/>
  <c r="E829" i="1"/>
  <c r="H829" i="1" s="1"/>
  <c r="J829" i="1" s="1"/>
  <c r="I828" i="1"/>
  <c r="K828" i="1" s="1"/>
  <c r="L828" i="1" s="1" a="1"/>
  <c r="L828" i="1" s="1"/>
  <c r="G828" i="1"/>
  <c r="F828" i="1" a="1"/>
  <c r="F828" i="1" s="1"/>
  <c r="E828" i="1"/>
  <c r="I827" i="1"/>
  <c r="K827" i="1" s="1"/>
  <c r="L827" i="1" s="1" a="1"/>
  <c r="L827" i="1" s="1"/>
  <c r="G827" i="1"/>
  <c r="F827" i="1" a="1"/>
  <c r="F827" i="1" s="1"/>
  <c r="E827" i="1"/>
  <c r="I826" i="1"/>
  <c r="K826" i="1" s="1"/>
  <c r="L826" i="1" s="1" a="1"/>
  <c r="L826" i="1" s="1"/>
  <c r="G826" i="1"/>
  <c r="F826" i="1" a="1"/>
  <c r="F826" i="1" s="1"/>
  <c r="E826" i="1"/>
  <c r="I825" i="1"/>
  <c r="K825" i="1" s="1"/>
  <c r="L825" i="1" s="1" a="1"/>
  <c r="L825" i="1" s="1"/>
  <c r="G825" i="1"/>
  <c r="F825" i="1" a="1"/>
  <c r="F825" i="1" s="1"/>
  <c r="E825" i="1"/>
  <c r="I824" i="1"/>
  <c r="K824" i="1" s="1"/>
  <c r="L824" i="1" s="1" a="1"/>
  <c r="L824" i="1" s="1"/>
  <c r="G824" i="1"/>
  <c r="F824" i="1" a="1"/>
  <c r="F824" i="1" s="1"/>
  <c r="E824" i="1"/>
  <c r="I823" i="1"/>
  <c r="K823" i="1" s="1"/>
  <c r="L823" i="1" s="1" a="1"/>
  <c r="L823" i="1" s="1"/>
  <c r="G823" i="1"/>
  <c r="F823" i="1" a="1"/>
  <c r="F823" i="1" s="1"/>
  <c r="E823" i="1"/>
  <c r="I822" i="1"/>
  <c r="K822" i="1" s="1"/>
  <c r="L822" i="1" s="1" a="1"/>
  <c r="L822" i="1" s="1"/>
  <c r="G822" i="1"/>
  <c r="F822" i="1" s="1" a="1"/>
  <c r="F822" i="1" s="1"/>
  <c r="E822" i="1"/>
  <c r="I821" i="1"/>
  <c r="K821" i="1" s="1"/>
  <c r="L821" i="1" s="1" a="1"/>
  <c r="L821" i="1" s="1"/>
  <c r="G821" i="1"/>
  <c r="F821" i="1" s="1" a="1"/>
  <c r="F821" i="1" s="1"/>
  <c r="E821" i="1"/>
  <c r="I820" i="1"/>
  <c r="K820" i="1" s="1"/>
  <c r="L820" i="1" s="1" a="1"/>
  <c r="L820" i="1" s="1"/>
  <c r="G820" i="1"/>
  <c r="F820" i="1" a="1"/>
  <c r="F820" i="1" s="1"/>
  <c r="E820" i="1"/>
  <c r="I819" i="1"/>
  <c r="K819" i="1" s="1"/>
  <c r="L819" i="1" s="1" a="1"/>
  <c r="L819" i="1" s="1"/>
  <c r="G819" i="1"/>
  <c r="F819" i="1" a="1"/>
  <c r="F819" i="1" s="1"/>
  <c r="E819" i="1"/>
  <c r="I818" i="1"/>
  <c r="K818" i="1" s="1"/>
  <c r="L818" i="1" s="1" a="1"/>
  <c r="L818" i="1" s="1"/>
  <c r="G818" i="1"/>
  <c r="F818" i="1" a="1"/>
  <c r="F818" i="1" s="1"/>
  <c r="E818" i="1"/>
  <c r="I817" i="1"/>
  <c r="K817" i="1" s="1"/>
  <c r="L817" i="1" s="1" a="1"/>
  <c r="L817" i="1" s="1"/>
  <c r="G817" i="1"/>
  <c r="F817" i="1" a="1"/>
  <c r="F817" i="1" s="1"/>
  <c r="E817" i="1"/>
  <c r="I816" i="1"/>
  <c r="K816" i="1" s="1"/>
  <c r="L816" i="1" s="1" a="1"/>
  <c r="L816" i="1" s="1"/>
  <c r="G816" i="1"/>
  <c r="F816" i="1" a="1"/>
  <c r="F816" i="1" s="1"/>
  <c r="E816" i="1"/>
  <c r="I815" i="1"/>
  <c r="K815" i="1" s="1"/>
  <c r="L815" i="1" s="1" a="1"/>
  <c r="L815" i="1" s="1"/>
  <c r="G815" i="1"/>
  <c r="F815" i="1" a="1"/>
  <c r="F815" i="1" s="1"/>
  <c r="E815" i="1"/>
  <c r="I813" i="1"/>
  <c r="K813" i="1" s="1"/>
  <c r="L813" i="1" s="1"/>
  <c r="G813" i="1"/>
  <c r="F813" i="1" s="1"/>
  <c r="E813" i="1"/>
  <c r="I812" i="1"/>
  <c r="K812" i="1" s="1"/>
  <c r="L812" i="1" s="1"/>
  <c r="G812" i="1"/>
  <c r="F812" i="1"/>
  <c r="E812" i="1"/>
  <c r="I811" i="1"/>
  <c r="K811" i="1" s="1"/>
  <c r="L811" i="1" s="1"/>
  <c r="G811" i="1"/>
  <c r="F811" i="1" s="1"/>
  <c r="E811" i="1"/>
  <c r="I810" i="1"/>
  <c r="K810" i="1" s="1"/>
  <c r="L810" i="1" s="1"/>
  <c r="G810" i="1"/>
  <c r="F810" i="1" s="1"/>
  <c r="E810" i="1"/>
  <c r="I809" i="1"/>
  <c r="K809" i="1" s="1"/>
  <c r="L809" i="1" s="1"/>
  <c r="G809" i="1"/>
  <c r="F809" i="1" s="1"/>
  <c r="E809" i="1"/>
  <c r="I805" i="1"/>
  <c r="K805" i="1" s="1"/>
  <c r="L805" i="1" s="1" a="1"/>
  <c r="L805" i="1" s="1"/>
  <c r="G805" i="1"/>
  <c r="F805" i="1" s="1" a="1"/>
  <c r="F805" i="1" s="1"/>
  <c r="E805" i="1"/>
  <c r="I804" i="1"/>
  <c r="K804" i="1" s="1"/>
  <c r="L804" i="1" s="1" a="1"/>
  <c r="L804" i="1" s="1"/>
  <c r="G804" i="1"/>
  <c r="F804" i="1" s="1" a="1"/>
  <c r="F804" i="1" s="1"/>
  <c r="E804" i="1"/>
  <c r="I802" i="1"/>
  <c r="K802" i="1" s="1"/>
  <c r="L802" i="1" s="1" a="1"/>
  <c r="L802" i="1" s="1"/>
  <c r="G802" i="1"/>
  <c r="F802" i="1" a="1"/>
  <c r="F802" i="1" s="1"/>
  <c r="E802" i="1"/>
  <c r="I801" i="1"/>
  <c r="K801" i="1" s="1"/>
  <c r="L801" i="1" s="1" a="1"/>
  <c r="L801" i="1" s="1"/>
  <c r="G801" i="1"/>
  <c r="F801" i="1" s="1" a="1"/>
  <c r="F801" i="1" s="1"/>
  <c r="E801" i="1"/>
  <c r="I800" i="1"/>
  <c r="K800" i="1" s="1"/>
  <c r="L800" i="1" s="1" a="1"/>
  <c r="L800" i="1" s="1"/>
  <c r="G800" i="1"/>
  <c r="F800" i="1" a="1"/>
  <c r="F800" i="1" s="1"/>
  <c r="E800" i="1"/>
  <c r="I799" i="1"/>
  <c r="K799" i="1" s="1"/>
  <c r="L799" i="1" s="1" a="1"/>
  <c r="L799" i="1" s="1"/>
  <c r="G799" i="1"/>
  <c r="F799" i="1" a="1"/>
  <c r="F799" i="1" s="1"/>
  <c r="E799" i="1"/>
  <c r="I798" i="1"/>
  <c r="K798" i="1" s="1"/>
  <c r="L798" i="1" s="1" a="1"/>
  <c r="L798" i="1" s="1"/>
  <c r="G798" i="1"/>
  <c r="F798" i="1" a="1"/>
  <c r="F798" i="1" s="1"/>
  <c r="E798" i="1"/>
  <c r="I797" i="1"/>
  <c r="K797" i="1" s="1"/>
  <c r="L797" i="1" s="1" a="1"/>
  <c r="L797" i="1" s="1"/>
  <c r="G797" i="1"/>
  <c r="F797" i="1" s="1" a="1"/>
  <c r="F797" i="1" s="1"/>
  <c r="E797" i="1"/>
  <c r="I796" i="1"/>
  <c r="K796" i="1" s="1"/>
  <c r="L796" i="1" s="1" a="1"/>
  <c r="L796" i="1" s="1"/>
  <c r="G796" i="1"/>
  <c r="F796" i="1" a="1"/>
  <c r="F796" i="1" s="1"/>
  <c r="E796" i="1"/>
  <c r="I795" i="1"/>
  <c r="K795" i="1" s="1"/>
  <c r="L795" i="1" s="1" a="1"/>
  <c r="L795" i="1" s="1"/>
  <c r="G795" i="1"/>
  <c r="F795" i="1" a="1"/>
  <c r="F795" i="1" s="1"/>
  <c r="E795" i="1"/>
  <c r="I794" i="1"/>
  <c r="K794" i="1" s="1"/>
  <c r="L794" i="1" s="1" a="1"/>
  <c r="L794" i="1" s="1"/>
  <c r="G794" i="1"/>
  <c r="F794" i="1" s="1" a="1"/>
  <c r="F794" i="1" s="1"/>
  <c r="E794" i="1"/>
  <c r="I793" i="1"/>
  <c r="K793" i="1" s="1"/>
  <c r="L793" i="1" s="1" a="1"/>
  <c r="L793" i="1" s="1"/>
  <c r="G793" i="1"/>
  <c r="F793" i="1" s="1" a="1"/>
  <c r="F793" i="1" s="1"/>
  <c r="E793" i="1"/>
  <c r="I792" i="1"/>
  <c r="K792" i="1" s="1"/>
  <c r="L792" i="1" s="1" a="1"/>
  <c r="L792" i="1" s="1"/>
  <c r="G792" i="1"/>
  <c r="F792" i="1" s="1" a="1"/>
  <c r="F792" i="1" s="1"/>
  <c r="E792" i="1"/>
  <c r="I791" i="1"/>
  <c r="K791" i="1" s="1"/>
  <c r="L791" i="1" s="1" a="1"/>
  <c r="L791" i="1" s="1"/>
  <c r="G791" i="1"/>
  <c r="F791" i="1" s="1" a="1"/>
  <c r="F791" i="1" s="1"/>
  <c r="E791" i="1"/>
  <c r="I790" i="1"/>
  <c r="K790" i="1" s="1"/>
  <c r="L790" i="1" s="1" a="1"/>
  <c r="L790" i="1" s="1"/>
  <c r="G790" i="1"/>
  <c r="F790" i="1" s="1" a="1"/>
  <c r="F790" i="1" s="1"/>
  <c r="E790" i="1"/>
  <c r="I789" i="1"/>
  <c r="K789" i="1" s="1"/>
  <c r="L789" i="1" s="1" a="1"/>
  <c r="L789" i="1" s="1"/>
  <c r="G789" i="1"/>
  <c r="F789" i="1" s="1" a="1"/>
  <c r="F789" i="1" s="1"/>
  <c r="E789" i="1"/>
  <c r="I788" i="1"/>
  <c r="K788" i="1" s="1"/>
  <c r="L788" i="1" s="1" a="1"/>
  <c r="L788" i="1" s="1"/>
  <c r="G788" i="1"/>
  <c r="F788" i="1" s="1" a="1"/>
  <c r="F788" i="1" s="1"/>
  <c r="E788" i="1"/>
  <c r="I787" i="1"/>
  <c r="K787" i="1" s="1"/>
  <c r="L787" i="1" s="1" a="1"/>
  <c r="L787" i="1" s="1"/>
  <c r="G787" i="1"/>
  <c r="F787" i="1" s="1" a="1"/>
  <c r="F787" i="1" s="1"/>
  <c r="E787" i="1"/>
  <c r="I786" i="1"/>
  <c r="K786" i="1" s="1"/>
  <c r="L786" i="1" s="1" a="1"/>
  <c r="L786" i="1" s="1"/>
  <c r="G786" i="1"/>
  <c r="F786" i="1" s="1" a="1"/>
  <c r="F786" i="1" s="1"/>
  <c r="E786" i="1"/>
  <c r="I785" i="1"/>
  <c r="K785" i="1" s="1"/>
  <c r="L785" i="1" s="1" a="1"/>
  <c r="L785" i="1" s="1"/>
  <c r="G785" i="1"/>
  <c r="F785" i="1" s="1" a="1"/>
  <c r="F785" i="1" s="1"/>
  <c r="E785" i="1"/>
  <c r="I784" i="1"/>
  <c r="K784" i="1" s="1"/>
  <c r="L784" i="1" s="1" a="1"/>
  <c r="L784" i="1" s="1"/>
  <c r="G784" i="1"/>
  <c r="F784" i="1" s="1" a="1"/>
  <c r="F784" i="1" s="1"/>
  <c r="E784" i="1"/>
  <c r="I783" i="1"/>
  <c r="K783" i="1" s="1"/>
  <c r="L783" i="1" s="1" a="1"/>
  <c r="L783" i="1" s="1"/>
  <c r="G783" i="1"/>
  <c r="F783" i="1" s="1" a="1"/>
  <c r="F783" i="1" s="1"/>
  <c r="E783" i="1"/>
  <c r="I782" i="1"/>
  <c r="K782" i="1" s="1"/>
  <c r="L782" i="1" s="1" a="1"/>
  <c r="L782" i="1" s="1"/>
  <c r="G782" i="1"/>
  <c r="F782" i="1" s="1" a="1"/>
  <c r="F782" i="1" s="1"/>
  <c r="E782" i="1"/>
  <c r="I781" i="1"/>
  <c r="K781" i="1" s="1"/>
  <c r="L781" i="1" s="1" a="1"/>
  <c r="L781" i="1" s="1"/>
  <c r="G781" i="1"/>
  <c r="F781" i="1" s="1" a="1"/>
  <c r="F781" i="1" s="1"/>
  <c r="E781" i="1"/>
  <c r="I780" i="1"/>
  <c r="K780" i="1" s="1"/>
  <c r="L780" i="1" s="1" a="1"/>
  <c r="L780" i="1" s="1"/>
  <c r="G780" i="1"/>
  <c r="F780" i="1" s="1" a="1"/>
  <c r="F780" i="1" s="1"/>
  <c r="E780" i="1"/>
  <c r="I779" i="1"/>
  <c r="K779" i="1" s="1"/>
  <c r="L779" i="1" s="1" a="1"/>
  <c r="L779" i="1" s="1"/>
  <c r="G779" i="1"/>
  <c r="F779" i="1" a="1"/>
  <c r="F779" i="1" s="1"/>
  <c r="E779" i="1"/>
  <c r="I778" i="1"/>
  <c r="K778" i="1" s="1"/>
  <c r="L778" i="1" s="1" a="1"/>
  <c r="L778" i="1" s="1"/>
  <c r="G778" i="1"/>
  <c r="F778" i="1" s="1" a="1"/>
  <c r="F778" i="1" s="1"/>
  <c r="E778" i="1"/>
  <c r="I777" i="1"/>
  <c r="K777" i="1" s="1"/>
  <c r="L777" i="1" s="1" a="1"/>
  <c r="L777" i="1" s="1"/>
  <c r="G777" i="1"/>
  <c r="F777" i="1" s="1" a="1"/>
  <c r="F777" i="1" s="1"/>
  <c r="E777" i="1"/>
  <c r="I776" i="1"/>
  <c r="K776" i="1" s="1"/>
  <c r="L776" i="1" s="1" a="1"/>
  <c r="L776" i="1" s="1"/>
  <c r="G776" i="1"/>
  <c r="F776" i="1" s="1" a="1"/>
  <c r="F776" i="1" s="1"/>
  <c r="E776" i="1"/>
  <c r="I775" i="1"/>
  <c r="K775" i="1" s="1"/>
  <c r="L775" i="1" s="1" a="1"/>
  <c r="L775" i="1" s="1"/>
  <c r="G775" i="1"/>
  <c r="F775" i="1" a="1"/>
  <c r="F775" i="1" s="1"/>
  <c r="E775" i="1"/>
  <c r="I774" i="1"/>
  <c r="K774" i="1" s="1"/>
  <c r="L774" i="1" s="1" a="1"/>
  <c r="L774" i="1" s="1"/>
  <c r="G774" i="1"/>
  <c r="F774" i="1" s="1" a="1"/>
  <c r="F774" i="1" s="1"/>
  <c r="E774" i="1"/>
  <c r="I773" i="1"/>
  <c r="K773" i="1" s="1"/>
  <c r="L773" i="1" s="1" a="1"/>
  <c r="L773" i="1" s="1"/>
  <c r="G773" i="1"/>
  <c r="F773" i="1" s="1" a="1"/>
  <c r="F773" i="1" s="1"/>
  <c r="E773" i="1"/>
  <c r="I772" i="1"/>
  <c r="K772" i="1" s="1"/>
  <c r="L772" i="1" s="1" a="1"/>
  <c r="L772" i="1" s="1"/>
  <c r="G772" i="1"/>
  <c r="F772" i="1" s="1" a="1"/>
  <c r="F772" i="1" s="1"/>
  <c r="E772" i="1"/>
  <c r="I771" i="1"/>
  <c r="K771" i="1" s="1"/>
  <c r="L771" i="1" s="1" a="1"/>
  <c r="L771" i="1" s="1"/>
  <c r="G771" i="1"/>
  <c r="F771" i="1" s="1" a="1"/>
  <c r="F771" i="1" s="1"/>
  <c r="E771" i="1"/>
  <c r="I770" i="1"/>
  <c r="K770" i="1" s="1"/>
  <c r="L770" i="1" s="1" a="1"/>
  <c r="L770" i="1" s="1"/>
  <c r="G770" i="1"/>
  <c r="F770" i="1" s="1" a="1"/>
  <c r="F770" i="1" s="1"/>
  <c r="E770" i="1"/>
  <c r="I769" i="1"/>
  <c r="K769" i="1" s="1"/>
  <c r="L769" i="1" s="1" a="1"/>
  <c r="L769" i="1" s="1"/>
  <c r="G769" i="1"/>
  <c r="F769" i="1" s="1" a="1"/>
  <c r="F769" i="1" s="1"/>
  <c r="E769" i="1"/>
  <c r="I768" i="1"/>
  <c r="K768" i="1" s="1"/>
  <c r="L768" i="1" s="1" a="1"/>
  <c r="L768" i="1" s="1"/>
  <c r="G768" i="1"/>
  <c r="F768" i="1" s="1" a="1"/>
  <c r="F768" i="1" s="1"/>
  <c r="E768" i="1"/>
  <c r="I767" i="1"/>
  <c r="K767" i="1" s="1"/>
  <c r="L767" i="1" s="1" a="1"/>
  <c r="L767" i="1" s="1"/>
  <c r="G767" i="1"/>
  <c r="F767" i="1" s="1" a="1"/>
  <c r="F767" i="1" s="1"/>
  <c r="E767" i="1"/>
  <c r="I766" i="1"/>
  <c r="K766" i="1" s="1"/>
  <c r="L766" i="1" s="1" a="1"/>
  <c r="L766" i="1" s="1"/>
  <c r="G766" i="1"/>
  <c r="F766" i="1" s="1" a="1"/>
  <c r="F766" i="1" s="1"/>
  <c r="E766" i="1"/>
  <c r="I765" i="1"/>
  <c r="K765" i="1" s="1"/>
  <c r="L765" i="1" s="1" a="1"/>
  <c r="L765" i="1" s="1"/>
  <c r="G765" i="1"/>
  <c r="F765" i="1" s="1" a="1"/>
  <c r="F765" i="1" s="1"/>
  <c r="E765" i="1"/>
  <c r="I764" i="1"/>
  <c r="K764" i="1" s="1"/>
  <c r="L764" i="1" s="1" a="1"/>
  <c r="L764" i="1" s="1"/>
  <c r="G764" i="1"/>
  <c r="F764" i="1" s="1" a="1"/>
  <c r="F764" i="1" s="1"/>
  <c r="E764" i="1"/>
  <c r="I763" i="1"/>
  <c r="K763" i="1" s="1"/>
  <c r="L763" i="1" s="1" a="1"/>
  <c r="L763" i="1" s="1"/>
  <c r="G763" i="1"/>
  <c r="F763" i="1" s="1" a="1"/>
  <c r="F763" i="1" s="1"/>
  <c r="E763" i="1"/>
  <c r="I762" i="1"/>
  <c r="K762" i="1" s="1"/>
  <c r="L762" i="1" s="1" a="1"/>
  <c r="L762" i="1" s="1"/>
  <c r="G762" i="1"/>
  <c r="F762" i="1" s="1" a="1"/>
  <c r="F762" i="1" s="1"/>
  <c r="E762" i="1"/>
  <c r="I761" i="1"/>
  <c r="K761" i="1" s="1"/>
  <c r="L761" i="1" s="1" a="1"/>
  <c r="L761" i="1" s="1"/>
  <c r="G761" i="1"/>
  <c r="F761" i="1" s="1" a="1"/>
  <c r="F761" i="1" s="1"/>
  <c r="E761" i="1"/>
  <c r="I760" i="1"/>
  <c r="K760" i="1" s="1"/>
  <c r="L760" i="1" s="1" a="1"/>
  <c r="L760" i="1" s="1"/>
  <c r="G760" i="1"/>
  <c r="F760" i="1" s="1" a="1"/>
  <c r="F760" i="1" s="1"/>
  <c r="E760" i="1"/>
  <c r="I759" i="1"/>
  <c r="K759" i="1" s="1"/>
  <c r="L759" i="1" s="1" a="1"/>
  <c r="L759" i="1" s="1"/>
  <c r="G759" i="1"/>
  <c r="F759" i="1" s="1" a="1"/>
  <c r="F759" i="1" s="1"/>
  <c r="E759" i="1"/>
  <c r="I758" i="1"/>
  <c r="K758" i="1" s="1"/>
  <c r="L758" i="1" s="1" a="1"/>
  <c r="L758" i="1" s="1"/>
  <c r="G758" i="1"/>
  <c r="F758" i="1" s="1" a="1"/>
  <c r="F758" i="1" s="1"/>
  <c r="E758" i="1"/>
  <c r="I757" i="1"/>
  <c r="K757" i="1" s="1"/>
  <c r="L757" i="1" s="1" a="1"/>
  <c r="L757" i="1" s="1"/>
  <c r="G757" i="1"/>
  <c r="F757" i="1" s="1" a="1"/>
  <c r="F757" i="1" s="1"/>
  <c r="E757" i="1"/>
  <c r="I756" i="1"/>
  <c r="K756" i="1" s="1"/>
  <c r="L756" i="1" s="1" a="1"/>
  <c r="L756" i="1" s="1"/>
  <c r="G756" i="1"/>
  <c r="F756" i="1" a="1"/>
  <c r="F756" i="1" s="1"/>
  <c r="E756" i="1"/>
  <c r="I755" i="1"/>
  <c r="K755" i="1" s="1"/>
  <c r="L755" i="1" s="1" a="1"/>
  <c r="L755" i="1" s="1"/>
  <c r="G755" i="1"/>
  <c r="F755" i="1" s="1" a="1"/>
  <c r="F755" i="1" s="1"/>
  <c r="E755" i="1"/>
  <c r="I754" i="1"/>
  <c r="K754" i="1" s="1"/>
  <c r="L754" i="1" s="1" a="1"/>
  <c r="L754" i="1" s="1"/>
  <c r="G754" i="1"/>
  <c r="F754" i="1" s="1" a="1"/>
  <c r="F754" i="1" s="1"/>
  <c r="E754" i="1"/>
  <c r="I753" i="1"/>
  <c r="K753" i="1" s="1"/>
  <c r="L753" i="1" s="1" a="1"/>
  <c r="L753" i="1" s="1"/>
  <c r="G753" i="1"/>
  <c r="F753" i="1" s="1" a="1"/>
  <c r="F753" i="1" s="1"/>
  <c r="E753" i="1"/>
  <c r="I752" i="1"/>
  <c r="K752" i="1" s="1"/>
  <c r="L752" i="1" s="1" a="1"/>
  <c r="L752" i="1" s="1"/>
  <c r="G752" i="1"/>
  <c r="F752" i="1" s="1" a="1"/>
  <c r="F752" i="1" s="1"/>
  <c r="E752" i="1"/>
  <c r="I751" i="1"/>
  <c r="K751" i="1" s="1"/>
  <c r="L751" i="1" s="1" a="1"/>
  <c r="L751" i="1" s="1"/>
  <c r="G751" i="1"/>
  <c r="F751" i="1" s="1" a="1"/>
  <c r="F751" i="1" s="1"/>
  <c r="E751" i="1"/>
  <c r="I750" i="1"/>
  <c r="K750" i="1" s="1"/>
  <c r="L750" i="1" s="1" a="1"/>
  <c r="L750" i="1" s="1"/>
  <c r="G750" i="1"/>
  <c r="F750" i="1" a="1"/>
  <c r="F750" i="1" s="1"/>
  <c r="E750" i="1"/>
  <c r="I748" i="1"/>
  <c r="K748" i="1" s="1"/>
  <c r="L748" i="1" s="1" a="1"/>
  <c r="L748" i="1" s="1"/>
  <c r="G748" i="1"/>
  <c r="F748" i="1" s="1" a="1"/>
  <c r="F748" i="1" s="1"/>
  <c r="E748" i="1"/>
  <c r="I747" i="1"/>
  <c r="K747" i="1" s="1"/>
  <c r="L747" i="1" s="1" a="1"/>
  <c r="L747" i="1" s="1"/>
  <c r="G747" i="1"/>
  <c r="F747" i="1" s="1" a="1"/>
  <c r="F747" i="1" s="1"/>
  <c r="E747" i="1"/>
  <c r="I746" i="1"/>
  <c r="K746" i="1" s="1"/>
  <c r="L746" i="1" s="1" a="1"/>
  <c r="L746" i="1" s="1"/>
  <c r="G746" i="1"/>
  <c r="F746" i="1" s="1" a="1"/>
  <c r="F746" i="1" s="1"/>
  <c r="E746" i="1"/>
  <c r="I745" i="1"/>
  <c r="K745" i="1" s="1"/>
  <c r="L745" i="1" s="1"/>
  <c r="G745" i="1"/>
  <c r="F745" i="1" s="1"/>
  <c r="E745" i="1"/>
  <c r="I744" i="1"/>
  <c r="K744" i="1" s="1"/>
  <c r="L744" i="1" s="1"/>
  <c r="G744" i="1"/>
  <c r="F744" i="1" s="1"/>
  <c r="E744" i="1"/>
  <c r="I743" i="1"/>
  <c r="K743" i="1" s="1"/>
  <c r="L743" i="1" s="1" a="1"/>
  <c r="L743" i="1" s="1"/>
  <c r="G743" i="1"/>
  <c r="F743" i="1" s="1" a="1"/>
  <c r="F743" i="1" s="1"/>
  <c r="E743" i="1"/>
  <c r="I742" i="1"/>
  <c r="K742" i="1" s="1"/>
  <c r="L742" i="1" s="1" a="1"/>
  <c r="L742" i="1" s="1"/>
  <c r="G742" i="1"/>
  <c r="F742" i="1" s="1" a="1"/>
  <c r="F742" i="1" s="1"/>
  <c r="E742" i="1"/>
  <c r="I741" i="1"/>
  <c r="K741" i="1" s="1"/>
  <c r="L741" i="1" s="1" a="1"/>
  <c r="L741" i="1" s="1"/>
  <c r="G741" i="1"/>
  <c r="F741" i="1" s="1" a="1"/>
  <c r="F741" i="1" s="1"/>
  <c r="E741" i="1"/>
  <c r="I740" i="1"/>
  <c r="K740" i="1" s="1"/>
  <c r="L740" i="1" s="1" a="1"/>
  <c r="L740" i="1" s="1"/>
  <c r="G740" i="1"/>
  <c r="F740" i="1" s="1" a="1"/>
  <c r="F740" i="1" s="1"/>
  <c r="E740" i="1"/>
  <c r="I735" i="1"/>
  <c r="K735" i="1" s="1"/>
  <c r="L735" i="1" s="1"/>
  <c r="G735" i="1"/>
  <c r="F735" i="1" s="1"/>
  <c r="E735" i="1"/>
  <c r="I734" i="1"/>
  <c r="K734" i="1" s="1"/>
  <c r="L734" i="1" s="1"/>
  <c r="G734" i="1"/>
  <c r="F734" i="1" s="1"/>
  <c r="E734" i="1"/>
  <c r="I733" i="1"/>
  <c r="K733" i="1" s="1"/>
  <c r="L733" i="1" s="1"/>
  <c r="G733" i="1"/>
  <c r="F733" i="1" s="1"/>
  <c r="E733" i="1"/>
  <c r="I732" i="1"/>
  <c r="K732" i="1" s="1"/>
  <c r="L732" i="1" s="1" a="1"/>
  <c r="L732" i="1" s="1"/>
  <c r="G732" i="1"/>
  <c r="F732" i="1" s="1" a="1"/>
  <c r="F732" i="1" s="1"/>
  <c r="E732" i="1"/>
  <c r="I731" i="1"/>
  <c r="K731" i="1" s="1"/>
  <c r="L731" i="1" s="1" a="1"/>
  <c r="L731" i="1" s="1"/>
  <c r="G731" i="1"/>
  <c r="F731" i="1" s="1" a="1"/>
  <c r="F731" i="1" s="1"/>
  <c r="E731" i="1"/>
  <c r="I730" i="1"/>
  <c r="K730" i="1" s="1"/>
  <c r="L730" i="1" s="1" a="1"/>
  <c r="L730" i="1" s="1"/>
  <c r="G730" i="1"/>
  <c r="F730" i="1" s="1" a="1"/>
  <c r="F730" i="1" s="1"/>
  <c r="E730" i="1"/>
  <c r="I729" i="1"/>
  <c r="K729" i="1" s="1"/>
  <c r="L729" i="1" s="1" a="1"/>
  <c r="L729" i="1" s="1"/>
  <c r="G729" i="1"/>
  <c r="F729" i="1" s="1" a="1"/>
  <c r="F729" i="1" s="1"/>
  <c r="E729" i="1"/>
  <c r="I728" i="1"/>
  <c r="K728" i="1" s="1"/>
  <c r="L728" i="1" s="1" a="1"/>
  <c r="L728" i="1" s="1"/>
  <c r="G728" i="1"/>
  <c r="F728" i="1" s="1" a="1"/>
  <c r="F728" i="1" s="1"/>
  <c r="E728" i="1"/>
  <c r="I727" i="1"/>
  <c r="K727" i="1" s="1"/>
  <c r="L727" i="1" s="1" a="1"/>
  <c r="L727" i="1" s="1"/>
  <c r="G727" i="1"/>
  <c r="F727" i="1" s="1" a="1"/>
  <c r="F727" i="1" s="1"/>
  <c r="E727" i="1"/>
  <c r="I726" i="1"/>
  <c r="K726" i="1" s="1"/>
  <c r="L726" i="1" s="1" a="1"/>
  <c r="L726" i="1" s="1"/>
  <c r="G726" i="1"/>
  <c r="F726" i="1" s="1" a="1"/>
  <c r="F726" i="1" s="1"/>
  <c r="E726" i="1"/>
  <c r="I725" i="1"/>
  <c r="K725" i="1" s="1"/>
  <c r="L725" i="1" s="1" a="1"/>
  <c r="L725" i="1" s="1"/>
  <c r="G725" i="1"/>
  <c r="F725" i="1" s="1" a="1"/>
  <c r="F725" i="1" s="1"/>
  <c r="E725" i="1"/>
  <c r="I724" i="1"/>
  <c r="K724" i="1" s="1"/>
  <c r="L724" i="1" s="1" a="1"/>
  <c r="L724" i="1" s="1"/>
  <c r="G724" i="1"/>
  <c r="F724" i="1" a="1"/>
  <c r="F724" i="1" s="1"/>
  <c r="E724" i="1"/>
  <c r="I723" i="1"/>
  <c r="K723" i="1" s="1"/>
  <c r="L723" i="1" s="1" a="1"/>
  <c r="L723" i="1" s="1"/>
  <c r="G723" i="1"/>
  <c r="F723" i="1" s="1" a="1"/>
  <c r="F723" i="1" s="1"/>
  <c r="E723" i="1"/>
  <c r="I722" i="1"/>
  <c r="K722" i="1" s="1"/>
  <c r="L722" i="1" s="1" a="1"/>
  <c r="L722" i="1" s="1"/>
  <c r="G722" i="1"/>
  <c r="F722" i="1" s="1" a="1"/>
  <c r="F722" i="1" s="1"/>
  <c r="E722" i="1"/>
  <c r="I721" i="1"/>
  <c r="K721" i="1" s="1"/>
  <c r="L721" i="1" s="1" a="1"/>
  <c r="L721" i="1" s="1"/>
  <c r="G721" i="1"/>
  <c r="F721" i="1" s="1" a="1"/>
  <c r="F721" i="1" s="1"/>
  <c r="E721" i="1"/>
  <c r="I720" i="1"/>
  <c r="K720" i="1" s="1"/>
  <c r="L720" i="1" s="1" a="1"/>
  <c r="L720" i="1" s="1"/>
  <c r="G720" i="1"/>
  <c r="F720" i="1" s="1" a="1"/>
  <c r="F720" i="1" s="1"/>
  <c r="E720" i="1"/>
  <c r="I719" i="1"/>
  <c r="K719" i="1" s="1"/>
  <c r="L719" i="1" s="1" a="1"/>
  <c r="L719" i="1" s="1"/>
  <c r="G719" i="1"/>
  <c r="F719" i="1" s="1" a="1"/>
  <c r="F719" i="1" s="1"/>
  <c r="E719" i="1"/>
  <c r="I718" i="1"/>
  <c r="K718" i="1" s="1"/>
  <c r="L718" i="1" s="1" a="1"/>
  <c r="L718" i="1" s="1"/>
  <c r="G718" i="1"/>
  <c r="F718" i="1" s="1" a="1"/>
  <c r="F718" i="1" s="1"/>
  <c r="E718" i="1"/>
  <c r="I717" i="1"/>
  <c r="K717" i="1" s="1"/>
  <c r="L717" i="1" s="1" a="1"/>
  <c r="L717" i="1" s="1"/>
  <c r="G717" i="1"/>
  <c r="F717" i="1" s="1" a="1"/>
  <c r="F717" i="1" s="1"/>
  <c r="E717" i="1"/>
  <c r="I716" i="1"/>
  <c r="K716" i="1" s="1"/>
  <c r="L716" i="1" s="1" a="1"/>
  <c r="L716" i="1" s="1"/>
  <c r="G716" i="1"/>
  <c r="F716" i="1" s="1" a="1"/>
  <c r="F716" i="1" s="1"/>
  <c r="E716" i="1"/>
  <c r="I715" i="1"/>
  <c r="K715" i="1" s="1"/>
  <c r="L715" i="1" s="1" a="1"/>
  <c r="L715" i="1" s="1"/>
  <c r="G715" i="1"/>
  <c r="F715" i="1" s="1" a="1"/>
  <c r="F715" i="1" s="1"/>
  <c r="E715" i="1"/>
  <c r="I714" i="1"/>
  <c r="K714" i="1" s="1"/>
  <c r="L714" i="1" s="1" a="1"/>
  <c r="L714" i="1" s="1"/>
  <c r="G714" i="1"/>
  <c r="F714" i="1" s="1" a="1"/>
  <c r="F714" i="1" s="1"/>
  <c r="E714" i="1"/>
  <c r="I713" i="1"/>
  <c r="K713" i="1" s="1"/>
  <c r="L713" i="1" s="1" a="1"/>
  <c r="L713" i="1" s="1"/>
  <c r="G713" i="1"/>
  <c r="F713" i="1" s="1" a="1"/>
  <c r="F713" i="1" s="1"/>
  <c r="E713" i="1"/>
  <c r="I712" i="1"/>
  <c r="K712" i="1" s="1"/>
  <c r="L712" i="1" s="1" a="1"/>
  <c r="L712" i="1" s="1"/>
  <c r="G712" i="1"/>
  <c r="F712" i="1" s="1" a="1"/>
  <c r="F712" i="1" s="1"/>
  <c r="E712" i="1"/>
  <c r="I711" i="1"/>
  <c r="K711" i="1" s="1"/>
  <c r="L711" i="1" s="1" a="1"/>
  <c r="L711" i="1" s="1"/>
  <c r="G711" i="1"/>
  <c r="F711" i="1" s="1" a="1"/>
  <c r="F711" i="1" s="1"/>
  <c r="E711" i="1"/>
  <c r="I710" i="1"/>
  <c r="K710" i="1" s="1"/>
  <c r="L710" i="1" s="1" a="1"/>
  <c r="L710" i="1" s="1"/>
  <c r="G710" i="1"/>
  <c r="F710" i="1" a="1"/>
  <c r="F710" i="1" s="1"/>
  <c r="E710" i="1"/>
  <c r="I709" i="1"/>
  <c r="K709" i="1" s="1"/>
  <c r="L709" i="1" s="1" a="1"/>
  <c r="L709" i="1" s="1"/>
  <c r="G709" i="1"/>
  <c r="F709" i="1" s="1" a="1"/>
  <c r="F709" i="1" s="1"/>
  <c r="E709" i="1"/>
  <c r="I708" i="1"/>
  <c r="K708" i="1" s="1"/>
  <c r="L708" i="1" s="1" a="1"/>
  <c r="L708" i="1" s="1"/>
  <c r="G708" i="1"/>
  <c r="F708" i="1" s="1" a="1"/>
  <c r="F708" i="1" s="1"/>
  <c r="E708" i="1"/>
  <c r="I707" i="1"/>
  <c r="K707" i="1" s="1"/>
  <c r="L707" i="1" s="1" a="1"/>
  <c r="L707" i="1" s="1"/>
  <c r="G707" i="1"/>
  <c r="F707" i="1" s="1" a="1"/>
  <c r="F707" i="1" s="1"/>
  <c r="E707" i="1"/>
  <c r="I706" i="1"/>
  <c r="K706" i="1" s="1"/>
  <c r="L706" i="1" s="1" a="1"/>
  <c r="L706" i="1" s="1"/>
  <c r="G706" i="1"/>
  <c r="F706" i="1" s="1" a="1"/>
  <c r="F706" i="1" s="1"/>
  <c r="E706" i="1"/>
  <c r="I705" i="1"/>
  <c r="K705" i="1" s="1"/>
  <c r="L705" i="1" s="1" a="1"/>
  <c r="L705" i="1" s="1"/>
  <c r="G705" i="1"/>
  <c r="F705" i="1" s="1" a="1"/>
  <c r="F705" i="1" s="1"/>
  <c r="E705" i="1"/>
  <c r="I704" i="1"/>
  <c r="K704" i="1" s="1"/>
  <c r="L704" i="1" s="1" a="1"/>
  <c r="L704" i="1" s="1"/>
  <c r="G704" i="1"/>
  <c r="F704" i="1" s="1" a="1"/>
  <c r="F704" i="1" s="1"/>
  <c r="E704" i="1"/>
  <c r="I703" i="1"/>
  <c r="K703" i="1" s="1"/>
  <c r="L703" i="1" s="1" a="1"/>
  <c r="L703" i="1" s="1"/>
  <c r="G703" i="1"/>
  <c r="F703" i="1" s="1" a="1"/>
  <c r="F703" i="1" s="1"/>
  <c r="E703" i="1"/>
  <c r="I702" i="1"/>
  <c r="K702" i="1" s="1"/>
  <c r="L702" i="1" s="1" a="1"/>
  <c r="L702" i="1" s="1"/>
  <c r="G702" i="1"/>
  <c r="F702" i="1" s="1" a="1"/>
  <c r="F702" i="1" s="1"/>
  <c r="E702" i="1"/>
  <c r="I701" i="1"/>
  <c r="K701" i="1" s="1"/>
  <c r="L701" i="1" s="1" a="1"/>
  <c r="L701" i="1" s="1"/>
  <c r="G701" i="1"/>
  <c r="F701" i="1" s="1" a="1"/>
  <c r="F701" i="1" s="1"/>
  <c r="E701" i="1"/>
  <c r="I700" i="1"/>
  <c r="K700" i="1" s="1"/>
  <c r="L700" i="1" s="1" a="1"/>
  <c r="L700" i="1" s="1"/>
  <c r="G700" i="1"/>
  <c r="F700" i="1" s="1" a="1"/>
  <c r="F700" i="1" s="1"/>
  <c r="E700" i="1"/>
  <c r="I699" i="1"/>
  <c r="K699" i="1" s="1"/>
  <c r="L699" i="1" s="1" a="1"/>
  <c r="L699" i="1" s="1"/>
  <c r="G699" i="1"/>
  <c r="F699" i="1" s="1" a="1"/>
  <c r="F699" i="1" s="1"/>
  <c r="E699" i="1"/>
  <c r="I698" i="1"/>
  <c r="K698" i="1" s="1"/>
  <c r="L698" i="1" s="1" a="1"/>
  <c r="L698" i="1" s="1"/>
  <c r="G698" i="1"/>
  <c r="F698" i="1" s="1" a="1"/>
  <c r="F698" i="1" s="1"/>
  <c r="E698" i="1"/>
  <c r="I697" i="1"/>
  <c r="K697" i="1" s="1"/>
  <c r="L697" i="1" s="1" a="1"/>
  <c r="L697" i="1" s="1"/>
  <c r="G697" i="1"/>
  <c r="F697" i="1" s="1" a="1"/>
  <c r="F697" i="1" s="1"/>
  <c r="E697" i="1"/>
  <c r="I696" i="1"/>
  <c r="K696" i="1" s="1"/>
  <c r="L696" i="1" s="1" a="1"/>
  <c r="L696" i="1" s="1"/>
  <c r="G696" i="1"/>
  <c r="F696" i="1" s="1" a="1"/>
  <c r="F696" i="1" s="1"/>
  <c r="E696" i="1"/>
  <c r="I695" i="1"/>
  <c r="K695" i="1" s="1"/>
  <c r="L695" i="1" s="1" a="1"/>
  <c r="L695" i="1" s="1"/>
  <c r="G695" i="1"/>
  <c r="F695" i="1" s="1" a="1"/>
  <c r="F695" i="1" s="1"/>
  <c r="E695" i="1"/>
  <c r="I694" i="1"/>
  <c r="K694" i="1" s="1"/>
  <c r="L694" i="1" s="1" a="1"/>
  <c r="L694" i="1" s="1"/>
  <c r="G694" i="1"/>
  <c r="F694" i="1" s="1" a="1"/>
  <c r="F694" i="1" s="1"/>
  <c r="E694" i="1"/>
  <c r="I693" i="1"/>
  <c r="K693" i="1" s="1"/>
  <c r="L693" i="1" s="1" a="1"/>
  <c r="L693" i="1" s="1"/>
  <c r="G693" i="1"/>
  <c r="F693" i="1" s="1" a="1"/>
  <c r="F693" i="1" s="1"/>
  <c r="E693" i="1"/>
  <c r="I692" i="1"/>
  <c r="K692" i="1" s="1"/>
  <c r="L692" i="1" s="1" a="1"/>
  <c r="L692" i="1" s="1"/>
  <c r="G692" i="1"/>
  <c r="F692" i="1" a="1"/>
  <c r="F692" i="1" s="1"/>
  <c r="E692" i="1"/>
  <c r="I690" i="1"/>
  <c r="K690" i="1" s="1"/>
  <c r="L690" i="1" s="1" a="1"/>
  <c r="L690" i="1" s="1"/>
  <c r="G690" i="1"/>
  <c r="F690" i="1" s="1" a="1"/>
  <c r="F690" i="1" s="1"/>
  <c r="E690" i="1"/>
  <c r="I689" i="1"/>
  <c r="K689" i="1" s="1"/>
  <c r="L689" i="1" s="1" a="1"/>
  <c r="L689" i="1" s="1"/>
  <c r="G689" i="1"/>
  <c r="F689" i="1" s="1" a="1"/>
  <c r="F689" i="1" s="1"/>
  <c r="E689" i="1"/>
  <c r="I688" i="1"/>
  <c r="K688" i="1" s="1"/>
  <c r="L688" i="1" s="1" a="1"/>
  <c r="L688" i="1" s="1"/>
  <c r="G688" i="1"/>
  <c r="F688" i="1" s="1" a="1"/>
  <c r="F688" i="1" s="1"/>
  <c r="E688" i="1"/>
  <c r="I687" i="1"/>
  <c r="K687" i="1" s="1"/>
  <c r="L687" i="1" s="1" a="1"/>
  <c r="L687" i="1" s="1"/>
  <c r="G687" i="1"/>
  <c r="F687" i="1" s="1" a="1"/>
  <c r="F687" i="1" s="1"/>
  <c r="E687" i="1"/>
  <c r="I686" i="1"/>
  <c r="K686" i="1" s="1"/>
  <c r="L686" i="1" s="1" a="1"/>
  <c r="L686" i="1" s="1"/>
  <c r="G686" i="1"/>
  <c r="F686" i="1" s="1" a="1"/>
  <c r="F686" i="1" s="1"/>
  <c r="E686" i="1"/>
  <c r="I685" i="1"/>
  <c r="K685" i="1" s="1"/>
  <c r="L685" i="1" s="1" a="1"/>
  <c r="L685" i="1" s="1"/>
  <c r="G685" i="1"/>
  <c r="F685" i="1" s="1" a="1"/>
  <c r="F685" i="1" s="1"/>
  <c r="E685" i="1"/>
  <c r="I684" i="1"/>
  <c r="K684" i="1" s="1"/>
  <c r="L684" i="1" s="1" a="1"/>
  <c r="L684" i="1" s="1"/>
  <c r="G684" i="1"/>
  <c r="F684" i="1" s="1" a="1"/>
  <c r="F684" i="1"/>
  <c r="E684" i="1"/>
  <c r="I683" i="1"/>
  <c r="K683" i="1" s="1"/>
  <c r="L683" i="1" s="1" a="1"/>
  <c r="L683" i="1" s="1"/>
  <c r="G683" i="1"/>
  <c r="F683" i="1" s="1" a="1"/>
  <c r="F683" i="1" s="1"/>
  <c r="E683" i="1"/>
  <c r="I682" i="1"/>
  <c r="K682" i="1" s="1"/>
  <c r="L682" i="1" s="1" a="1"/>
  <c r="L682" i="1" s="1"/>
  <c r="G682" i="1"/>
  <c r="F682" i="1" s="1" a="1"/>
  <c r="F682" i="1" s="1"/>
  <c r="E682" i="1"/>
  <c r="I681" i="1"/>
  <c r="K681" i="1" s="1"/>
  <c r="L681" i="1" s="1" a="1"/>
  <c r="L681" i="1" s="1"/>
  <c r="G681" i="1"/>
  <c r="F681" i="1" s="1" a="1"/>
  <c r="F681" i="1" s="1"/>
  <c r="E681" i="1"/>
  <c r="I680" i="1"/>
  <c r="K680" i="1" s="1"/>
  <c r="L680" i="1" s="1" a="1"/>
  <c r="L680" i="1" s="1"/>
  <c r="G680" i="1"/>
  <c r="F680" i="1" s="1" a="1"/>
  <c r="F680" i="1" s="1"/>
  <c r="E680" i="1"/>
  <c r="I679" i="1"/>
  <c r="K679" i="1" s="1"/>
  <c r="L679" i="1" s="1"/>
  <c r="G679" i="1"/>
  <c r="F679" i="1" s="1"/>
  <c r="E679" i="1"/>
  <c r="I678" i="1"/>
  <c r="K678" i="1" s="1"/>
  <c r="L678" i="1" s="1" a="1"/>
  <c r="L678" i="1" s="1"/>
  <c r="G678" i="1"/>
  <c r="F678" i="1" a="1"/>
  <c r="F678" i="1" s="1"/>
  <c r="E678" i="1"/>
  <c r="I677" i="1"/>
  <c r="K677" i="1" s="1"/>
  <c r="L677" i="1" s="1" a="1"/>
  <c r="L677" i="1" s="1"/>
  <c r="G677" i="1"/>
  <c r="F677" i="1" s="1" a="1"/>
  <c r="F677" i="1" s="1"/>
  <c r="E677" i="1"/>
  <c r="I676" i="1"/>
  <c r="K676" i="1" s="1"/>
  <c r="L676" i="1" s="1" a="1"/>
  <c r="L676" i="1" s="1"/>
  <c r="G676" i="1"/>
  <c r="F676" i="1" s="1" a="1"/>
  <c r="F676" i="1" s="1"/>
  <c r="E676" i="1"/>
  <c r="I675" i="1"/>
  <c r="K675" i="1" s="1"/>
  <c r="L675" i="1" s="1" a="1"/>
  <c r="L675" i="1" s="1"/>
  <c r="G675" i="1"/>
  <c r="F675" i="1" s="1" a="1"/>
  <c r="F675" i="1" s="1"/>
  <c r="E675" i="1"/>
  <c r="I674" i="1"/>
  <c r="K674" i="1" s="1"/>
  <c r="L674" i="1" s="1"/>
  <c r="G674" i="1"/>
  <c r="F674" i="1" s="1"/>
  <c r="E674" i="1"/>
  <c r="I673" i="1"/>
  <c r="K673" i="1" s="1"/>
  <c r="L673" i="1" s="1" a="1"/>
  <c r="L673" i="1" s="1"/>
  <c r="G673" i="1"/>
  <c r="F673" i="1" a="1"/>
  <c r="F673" i="1" s="1"/>
  <c r="E673" i="1"/>
  <c r="I672" i="1"/>
  <c r="K672" i="1" s="1"/>
  <c r="L672" i="1" s="1" a="1"/>
  <c r="L672" i="1" s="1"/>
  <c r="G672" i="1"/>
  <c r="F672" i="1" s="1" a="1"/>
  <c r="F672" i="1" s="1"/>
  <c r="E672" i="1"/>
  <c r="I671" i="1"/>
  <c r="K671" i="1" s="1"/>
  <c r="L671" i="1" s="1" a="1"/>
  <c r="L671" i="1" s="1"/>
  <c r="G671" i="1"/>
  <c r="F671" i="1" s="1" a="1"/>
  <c r="F671" i="1" s="1"/>
  <c r="E671" i="1"/>
  <c r="I670" i="1"/>
  <c r="K670" i="1" s="1"/>
  <c r="L670" i="1" s="1" a="1"/>
  <c r="L670" i="1" s="1"/>
  <c r="G670" i="1"/>
  <c r="F670" i="1" s="1" a="1"/>
  <c r="F670" i="1" s="1"/>
  <c r="E670" i="1"/>
  <c r="I669" i="1"/>
  <c r="K669" i="1" s="1"/>
  <c r="L669" i="1" s="1" a="1"/>
  <c r="L669" i="1" s="1"/>
  <c r="G669" i="1"/>
  <c r="F669" i="1" s="1" a="1"/>
  <c r="F669" i="1" s="1"/>
  <c r="E669" i="1"/>
  <c r="I668" i="1"/>
  <c r="K668" i="1" s="1"/>
  <c r="L668" i="1" s="1" a="1"/>
  <c r="L668" i="1" s="1"/>
  <c r="G668" i="1"/>
  <c r="F668" i="1" s="1" a="1"/>
  <c r="F668" i="1" s="1"/>
  <c r="E668" i="1"/>
  <c r="I667" i="1"/>
  <c r="K667" i="1" s="1"/>
  <c r="L667" i="1" s="1" a="1"/>
  <c r="L667" i="1" s="1"/>
  <c r="G667" i="1"/>
  <c r="F667" i="1" a="1"/>
  <c r="F667" i="1" s="1"/>
  <c r="E667" i="1"/>
  <c r="I666" i="1"/>
  <c r="K666" i="1" s="1"/>
  <c r="L666" i="1" s="1" a="1"/>
  <c r="L666" i="1" s="1"/>
  <c r="G666" i="1"/>
  <c r="F666" i="1" s="1" a="1"/>
  <c r="F666" i="1" s="1"/>
  <c r="E666" i="1"/>
  <c r="I665" i="1"/>
  <c r="K665" i="1" s="1"/>
  <c r="L665" i="1" s="1" a="1"/>
  <c r="L665" i="1" s="1"/>
  <c r="G665" i="1"/>
  <c r="F665" i="1" s="1" a="1"/>
  <c r="F665" i="1" s="1"/>
  <c r="E665" i="1"/>
  <c r="I664" i="1"/>
  <c r="K664" i="1" s="1"/>
  <c r="L664" i="1" s="1"/>
  <c r="G664" i="1"/>
  <c r="F664" i="1" s="1"/>
  <c r="E664" i="1"/>
  <c r="I663" i="1"/>
  <c r="K663" i="1" s="1"/>
  <c r="L663" i="1" s="1"/>
  <c r="G663" i="1"/>
  <c r="F663" i="1" s="1"/>
  <c r="E663" i="1"/>
  <c r="I661" i="1"/>
  <c r="K661" i="1" s="1"/>
  <c r="L661" i="1" s="1"/>
  <c r="G661" i="1"/>
  <c r="F661" i="1"/>
  <c r="E661" i="1"/>
  <c r="I660" i="1"/>
  <c r="K660" i="1" s="1"/>
  <c r="L660" i="1" s="1" a="1"/>
  <c r="L660" i="1" s="1"/>
  <c r="G660" i="1"/>
  <c r="F660" i="1" s="1" a="1"/>
  <c r="F660" i="1" s="1"/>
  <c r="E660" i="1"/>
  <c r="I659" i="1"/>
  <c r="K659" i="1" s="1"/>
  <c r="L659" i="1" s="1" a="1"/>
  <c r="L659" i="1" s="1"/>
  <c r="G659" i="1"/>
  <c r="F659" i="1" s="1" a="1"/>
  <c r="F659" i="1" s="1"/>
  <c r="E659" i="1"/>
  <c r="I658" i="1"/>
  <c r="K658" i="1" s="1"/>
  <c r="L658" i="1" s="1" a="1"/>
  <c r="L658" i="1" s="1"/>
  <c r="G658" i="1"/>
  <c r="F658" i="1" s="1" a="1"/>
  <c r="F658" i="1" s="1"/>
  <c r="E658" i="1"/>
  <c r="I657" i="1"/>
  <c r="K657" i="1" s="1"/>
  <c r="L657" i="1" s="1" a="1"/>
  <c r="L657" i="1" s="1"/>
  <c r="G657" i="1"/>
  <c r="F657" i="1" s="1" a="1"/>
  <c r="F657" i="1" s="1"/>
  <c r="E657" i="1"/>
  <c r="I656" i="1"/>
  <c r="K656" i="1" s="1"/>
  <c r="L656" i="1" s="1" a="1"/>
  <c r="L656" i="1" s="1"/>
  <c r="G656" i="1"/>
  <c r="F656" i="1" s="1" a="1"/>
  <c r="F656" i="1" s="1"/>
  <c r="E656" i="1"/>
  <c r="I655" i="1"/>
  <c r="K655" i="1" s="1"/>
  <c r="L655" i="1" s="1" a="1"/>
  <c r="L655" i="1" s="1"/>
  <c r="G655" i="1"/>
  <c r="F655" i="1" s="1" a="1"/>
  <c r="F655" i="1"/>
  <c r="E655" i="1"/>
  <c r="I654" i="1"/>
  <c r="K654" i="1" s="1"/>
  <c r="L654" i="1" s="1" a="1"/>
  <c r="L654" i="1" s="1"/>
  <c r="G654" i="1"/>
  <c r="F654" i="1" s="1" a="1"/>
  <c r="F654" i="1" s="1"/>
  <c r="E654" i="1"/>
  <c r="I653" i="1"/>
  <c r="K653" i="1" s="1"/>
  <c r="L653" i="1" s="1" a="1"/>
  <c r="L653" i="1" s="1"/>
  <c r="G653" i="1"/>
  <c r="F653" i="1" s="1" a="1"/>
  <c r="F653" i="1" s="1"/>
  <c r="E653" i="1"/>
  <c r="I652" i="1"/>
  <c r="K652" i="1" s="1"/>
  <c r="L652" i="1" s="1" a="1"/>
  <c r="L652" i="1" s="1"/>
  <c r="G652" i="1"/>
  <c r="F652" i="1" s="1" a="1"/>
  <c r="F652" i="1" s="1"/>
  <c r="E652" i="1"/>
  <c r="I651" i="1"/>
  <c r="K651" i="1" s="1"/>
  <c r="L651" i="1" s="1" a="1"/>
  <c r="L651" i="1" s="1"/>
  <c r="G651" i="1"/>
  <c r="F651" i="1" s="1" a="1"/>
  <c r="F651" i="1" s="1"/>
  <c r="E651" i="1"/>
  <c r="I650" i="1"/>
  <c r="K650" i="1" s="1"/>
  <c r="L650" i="1" s="1" a="1"/>
  <c r="L650" i="1" s="1"/>
  <c r="G650" i="1"/>
  <c r="F650" i="1" s="1" a="1"/>
  <c r="F650" i="1" s="1"/>
  <c r="E650" i="1"/>
  <c r="I649" i="1"/>
  <c r="K649" i="1" s="1"/>
  <c r="L649" i="1" s="1" a="1"/>
  <c r="L649" i="1" s="1"/>
  <c r="G649" i="1"/>
  <c r="F649" i="1" s="1" a="1"/>
  <c r="F649" i="1" s="1"/>
  <c r="E649" i="1"/>
  <c r="I648" i="1"/>
  <c r="K648" i="1" s="1"/>
  <c r="L648" i="1" s="1" a="1"/>
  <c r="L648" i="1" s="1"/>
  <c r="G648" i="1"/>
  <c r="F648" i="1" s="1" a="1"/>
  <c r="F648" i="1" s="1"/>
  <c r="E648" i="1"/>
  <c r="I641" i="1"/>
  <c r="K641" i="1" s="1"/>
  <c r="L641" i="1" s="1" a="1"/>
  <c r="L641" i="1" s="1"/>
  <c r="G641" i="1"/>
  <c r="F641" i="1" s="1" a="1"/>
  <c r="F641" i="1" s="1"/>
  <c r="E641" i="1"/>
  <c r="I640" i="1"/>
  <c r="K640" i="1" s="1"/>
  <c r="L640" i="1" s="1" a="1"/>
  <c r="L640" i="1" s="1"/>
  <c r="G640" i="1"/>
  <c r="F640" i="1" s="1" a="1"/>
  <c r="F640" i="1" s="1"/>
  <c r="E640" i="1"/>
  <c r="I638" i="1"/>
  <c r="K638" i="1" s="1"/>
  <c r="L638" i="1" s="1" a="1"/>
  <c r="L638" i="1" s="1"/>
  <c r="G638" i="1"/>
  <c r="F638" i="1" s="1" a="1"/>
  <c r="F638" i="1" s="1"/>
  <c r="E638" i="1"/>
  <c r="I633" i="1"/>
  <c r="K633" i="1" s="1"/>
  <c r="L633" i="1" s="1" a="1"/>
  <c r="L633" i="1" s="1"/>
  <c r="G633" i="1"/>
  <c r="F633" i="1" s="1" a="1"/>
  <c r="F633" i="1" s="1"/>
  <c r="E633" i="1"/>
  <c r="I632" i="1"/>
  <c r="K632" i="1" s="1"/>
  <c r="L632" i="1" s="1" a="1"/>
  <c r="L632" i="1" s="1"/>
  <c r="G632" i="1"/>
  <c r="F632" i="1" s="1" a="1"/>
  <c r="F632" i="1" s="1"/>
  <c r="E632" i="1"/>
  <c r="I631" i="1"/>
  <c r="K631" i="1" s="1"/>
  <c r="L631" i="1" s="1" a="1"/>
  <c r="L631" i="1" s="1"/>
  <c r="G631" i="1"/>
  <c r="F631" i="1" s="1" a="1"/>
  <c r="F631" i="1" s="1"/>
  <c r="E631" i="1"/>
  <c r="I630" i="1"/>
  <c r="K630" i="1" s="1"/>
  <c r="L630" i="1" s="1" a="1"/>
  <c r="L630" i="1" s="1"/>
  <c r="G630" i="1"/>
  <c r="F630" i="1" s="1" a="1"/>
  <c r="F630" i="1" s="1"/>
  <c r="E630" i="1"/>
  <c r="I629" i="1"/>
  <c r="K629" i="1" s="1"/>
  <c r="L629" i="1" s="1" a="1"/>
  <c r="L629" i="1" s="1"/>
  <c r="G629" i="1"/>
  <c r="F629" i="1" s="1" a="1"/>
  <c r="F629" i="1" s="1"/>
  <c r="E629" i="1"/>
  <c r="I628" i="1"/>
  <c r="K628" i="1" s="1"/>
  <c r="L628" i="1" s="1" a="1"/>
  <c r="L628" i="1" s="1"/>
  <c r="G628" i="1"/>
  <c r="F628" i="1" s="1" a="1"/>
  <c r="F628" i="1" s="1"/>
  <c r="E628" i="1"/>
  <c r="I627" i="1"/>
  <c r="K627" i="1" s="1"/>
  <c r="L627" i="1" s="1" a="1"/>
  <c r="L627" i="1" s="1"/>
  <c r="G627" i="1"/>
  <c r="F627" i="1" s="1" a="1"/>
  <c r="F627" i="1" s="1"/>
  <c r="E627" i="1"/>
  <c r="I626" i="1"/>
  <c r="K626" i="1" s="1"/>
  <c r="L626" i="1" s="1" a="1"/>
  <c r="L626" i="1" s="1"/>
  <c r="G626" i="1"/>
  <c r="F626" i="1" s="1" a="1"/>
  <c r="F626" i="1" s="1"/>
  <c r="E626" i="1"/>
  <c r="I625" i="1"/>
  <c r="K625" i="1" s="1"/>
  <c r="L625" i="1" s="1"/>
  <c r="G625" i="1"/>
  <c r="F625" i="1" s="1"/>
  <c r="E625" i="1"/>
  <c r="I624" i="1"/>
  <c r="K624" i="1" s="1"/>
  <c r="L624" i="1" s="1"/>
  <c r="G624" i="1"/>
  <c r="F624" i="1" s="1"/>
  <c r="E624" i="1"/>
  <c r="I623" i="1"/>
  <c r="K623" i="1" s="1"/>
  <c r="L623" i="1" s="1"/>
  <c r="G623" i="1"/>
  <c r="F623" i="1" s="1"/>
  <c r="E623" i="1"/>
  <c r="I621" i="1"/>
  <c r="K621" i="1" s="1"/>
  <c r="L621" i="1" s="1" a="1"/>
  <c r="L621" i="1" s="1"/>
  <c r="G621" i="1"/>
  <c r="F621" i="1" s="1" a="1"/>
  <c r="F621" i="1" s="1"/>
  <c r="E621" i="1"/>
  <c r="I620" i="1"/>
  <c r="K620" i="1" s="1"/>
  <c r="L620" i="1" s="1" a="1"/>
  <c r="L620" i="1" s="1"/>
  <c r="G620" i="1"/>
  <c r="F620" i="1" s="1" a="1"/>
  <c r="F620" i="1" s="1"/>
  <c r="E620" i="1"/>
  <c r="I619" i="1"/>
  <c r="K619" i="1" s="1"/>
  <c r="L619" i="1" s="1" a="1"/>
  <c r="L619" i="1" s="1"/>
  <c r="G619" i="1"/>
  <c r="F619" i="1" s="1" a="1"/>
  <c r="F619" i="1" s="1"/>
  <c r="E619" i="1"/>
  <c r="I618" i="1"/>
  <c r="K618" i="1" s="1"/>
  <c r="L618" i="1" s="1" a="1"/>
  <c r="L618" i="1" s="1"/>
  <c r="G618" i="1"/>
  <c r="F618" i="1" s="1" a="1"/>
  <c r="F618" i="1" s="1"/>
  <c r="E618" i="1"/>
  <c r="I617" i="1"/>
  <c r="K617" i="1" s="1"/>
  <c r="L617" i="1" s="1" a="1"/>
  <c r="L617" i="1" s="1"/>
  <c r="G617" i="1"/>
  <c r="F617" i="1" s="1" a="1"/>
  <c r="F617" i="1" s="1"/>
  <c r="E617" i="1"/>
  <c r="I616" i="1"/>
  <c r="K616" i="1" s="1"/>
  <c r="L616" i="1" s="1" a="1"/>
  <c r="L616" i="1" s="1"/>
  <c r="G616" i="1"/>
  <c r="F616" i="1" s="1" a="1"/>
  <c r="F616" i="1" s="1"/>
  <c r="E616" i="1"/>
  <c r="I615" i="1"/>
  <c r="K615" i="1" s="1"/>
  <c r="L615" i="1" s="1" a="1"/>
  <c r="L615" i="1" s="1"/>
  <c r="G615" i="1"/>
  <c r="F615" i="1" s="1" a="1"/>
  <c r="F615" i="1" s="1"/>
  <c r="E615" i="1"/>
  <c r="I614" i="1"/>
  <c r="K614" i="1" s="1"/>
  <c r="L614" i="1" s="1" a="1"/>
  <c r="L614" i="1" s="1"/>
  <c r="G614" i="1"/>
  <c r="F614" i="1" a="1"/>
  <c r="F614" i="1" s="1"/>
  <c r="E614" i="1"/>
  <c r="I613" i="1"/>
  <c r="K613" i="1" s="1"/>
  <c r="L613" i="1" s="1" a="1"/>
  <c r="L613" i="1" s="1"/>
  <c r="G613" i="1"/>
  <c r="F613" i="1" s="1" a="1"/>
  <c r="F613" i="1" s="1"/>
  <c r="E613" i="1"/>
  <c r="I612" i="1"/>
  <c r="K612" i="1" s="1"/>
  <c r="L612" i="1" s="1" a="1"/>
  <c r="L612" i="1" s="1"/>
  <c r="G612" i="1"/>
  <c r="F612" i="1" s="1" a="1"/>
  <c r="F612" i="1" s="1"/>
  <c r="E612" i="1"/>
  <c r="I605" i="1"/>
  <c r="K605" i="1" s="1"/>
  <c r="L605" i="1" s="1" a="1"/>
  <c r="L605" i="1" s="1"/>
  <c r="G605" i="1"/>
  <c r="F605" i="1" a="1"/>
  <c r="F605" i="1" s="1"/>
  <c r="E605" i="1"/>
  <c r="I604" i="1"/>
  <c r="K604" i="1" s="1"/>
  <c r="L604" i="1" s="1" a="1"/>
  <c r="L604" i="1" s="1"/>
  <c r="G604" i="1"/>
  <c r="F604" i="1" s="1" a="1"/>
  <c r="F604" i="1" s="1"/>
  <c r="E604" i="1"/>
  <c r="I603" i="1"/>
  <c r="K603" i="1" s="1"/>
  <c r="L603" i="1" s="1" a="1"/>
  <c r="L603" i="1" s="1"/>
  <c r="G603" i="1"/>
  <c r="F603" i="1" s="1" a="1"/>
  <c r="F603" i="1" s="1"/>
  <c r="E603" i="1"/>
  <c r="I602" i="1"/>
  <c r="K602" i="1" s="1"/>
  <c r="L602" i="1" s="1" a="1"/>
  <c r="L602" i="1" s="1"/>
  <c r="G602" i="1"/>
  <c r="F602" i="1" s="1" a="1"/>
  <c r="F602" i="1" s="1"/>
  <c r="E602" i="1"/>
  <c r="I601" i="1"/>
  <c r="K601" i="1" s="1"/>
  <c r="L601" i="1" s="1" a="1"/>
  <c r="L601" i="1" s="1"/>
  <c r="G601" i="1"/>
  <c r="F601" i="1" s="1" a="1"/>
  <c r="F601" i="1" s="1"/>
  <c r="E601" i="1"/>
  <c r="I600" i="1"/>
  <c r="K600" i="1" s="1"/>
  <c r="L600" i="1" s="1" a="1"/>
  <c r="L600" i="1" s="1"/>
  <c r="G600" i="1"/>
  <c r="F600" i="1" s="1" a="1"/>
  <c r="F600" i="1" s="1"/>
  <c r="E600" i="1"/>
  <c r="I597" i="1"/>
  <c r="K597" i="1" s="1"/>
  <c r="L597" i="1" s="1" a="1"/>
  <c r="L597" i="1" s="1"/>
  <c r="G597" i="1"/>
  <c r="F597" i="1" s="1" a="1"/>
  <c r="F597" i="1" s="1"/>
  <c r="E597" i="1"/>
  <c r="I596" i="1"/>
  <c r="K596" i="1" s="1"/>
  <c r="L596" i="1" s="1" a="1"/>
  <c r="L596" i="1" s="1"/>
  <c r="G596" i="1"/>
  <c r="F596" i="1" s="1" a="1"/>
  <c r="F596" i="1" s="1"/>
  <c r="E596" i="1"/>
  <c r="I595" i="1"/>
  <c r="K595" i="1" s="1"/>
  <c r="L595" i="1" s="1" a="1"/>
  <c r="L595" i="1" s="1"/>
  <c r="G595" i="1"/>
  <c r="F595" i="1" s="1" a="1"/>
  <c r="F595" i="1" s="1"/>
  <c r="E595" i="1"/>
  <c r="I594" i="1"/>
  <c r="K594" i="1" s="1"/>
  <c r="L594" i="1" s="1" a="1"/>
  <c r="L594" i="1" s="1"/>
  <c r="G594" i="1"/>
  <c r="F594" i="1" s="1" a="1"/>
  <c r="F594" i="1" s="1"/>
  <c r="E594" i="1"/>
  <c r="I593" i="1"/>
  <c r="K593" i="1" s="1"/>
  <c r="L593" i="1" s="1" a="1"/>
  <c r="L593" i="1" s="1"/>
  <c r="G593" i="1"/>
  <c r="F593" i="1" s="1" a="1"/>
  <c r="F593" i="1" s="1"/>
  <c r="E593" i="1"/>
  <c r="I591" i="1"/>
  <c r="K591" i="1" s="1"/>
  <c r="L591" i="1" s="1" a="1"/>
  <c r="L591" i="1" s="1"/>
  <c r="G591" i="1"/>
  <c r="F591" i="1" s="1" a="1"/>
  <c r="F591" i="1" s="1"/>
  <c r="E591" i="1"/>
  <c r="I590" i="1"/>
  <c r="K590" i="1" s="1"/>
  <c r="L590" i="1" s="1" a="1"/>
  <c r="L590" i="1" s="1"/>
  <c r="G590" i="1"/>
  <c r="F590" i="1" s="1" a="1"/>
  <c r="F590" i="1" s="1"/>
  <c r="E590" i="1"/>
  <c r="I589" i="1"/>
  <c r="K589" i="1" s="1"/>
  <c r="L589" i="1" s="1" a="1"/>
  <c r="L589" i="1" s="1"/>
  <c r="G589" i="1"/>
  <c r="F589" i="1" s="1" a="1"/>
  <c r="F589" i="1" s="1"/>
  <c r="E589" i="1"/>
  <c r="I588" i="1"/>
  <c r="K588" i="1" s="1"/>
  <c r="L588" i="1" s="1" a="1"/>
  <c r="L588" i="1" s="1"/>
  <c r="G588" i="1"/>
  <c r="F588" i="1" s="1" a="1"/>
  <c r="F588" i="1" s="1"/>
  <c r="E588" i="1"/>
  <c r="I587" i="1"/>
  <c r="K587" i="1" s="1"/>
  <c r="L587" i="1" s="1" a="1"/>
  <c r="L587" i="1" s="1"/>
  <c r="G587" i="1"/>
  <c r="F587" i="1" s="1" a="1"/>
  <c r="F587" i="1" s="1"/>
  <c r="E587" i="1"/>
  <c r="I586" i="1"/>
  <c r="K586" i="1" s="1"/>
  <c r="L586" i="1" s="1" a="1"/>
  <c r="L586" i="1" s="1"/>
  <c r="G586" i="1"/>
  <c r="F586" i="1" s="1" a="1"/>
  <c r="F586" i="1" s="1"/>
  <c r="E586" i="1"/>
  <c r="I585" i="1"/>
  <c r="K585" i="1" s="1"/>
  <c r="L585" i="1" s="1" a="1"/>
  <c r="L585" i="1" s="1"/>
  <c r="G585" i="1"/>
  <c r="F585" i="1" s="1" a="1"/>
  <c r="F585" i="1" s="1"/>
  <c r="E585" i="1"/>
  <c r="I584" i="1"/>
  <c r="K584" i="1" s="1"/>
  <c r="L584" i="1" s="1" a="1"/>
  <c r="L584" i="1" s="1"/>
  <c r="G584" i="1"/>
  <c r="F584" i="1" s="1" a="1"/>
  <c r="F584" i="1" s="1"/>
  <c r="E584" i="1"/>
  <c r="I583" i="1"/>
  <c r="K583" i="1" s="1"/>
  <c r="L583" i="1" s="1" a="1"/>
  <c r="L583" i="1" s="1"/>
  <c r="G583" i="1"/>
  <c r="F583" i="1" s="1" a="1"/>
  <c r="F583" i="1" s="1"/>
  <c r="E583" i="1"/>
  <c r="I580" i="1"/>
  <c r="K580" i="1" s="1"/>
  <c r="L580" i="1" s="1" a="1"/>
  <c r="L580" i="1" s="1"/>
  <c r="G580" i="1"/>
  <c r="F580" i="1" s="1" a="1"/>
  <c r="F580" i="1" s="1"/>
  <c r="E580" i="1"/>
  <c r="I579" i="1"/>
  <c r="K579" i="1" s="1"/>
  <c r="L579" i="1" s="1" a="1"/>
  <c r="L579" i="1" s="1"/>
  <c r="G579" i="1"/>
  <c r="F579" i="1" s="1" a="1"/>
  <c r="F579" i="1" s="1"/>
  <c r="E579" i="1"/>
  <c r="I575" i="1"/>
  <c r="K575" i="1" s="1"/>
  <c r="L575" i="1" s="1" a="1"/>
  <c r="L575" i="1" s="1"/>
  <c r="G575" i="1"/>
  <c r="F575" i="1" s="1" a="1"/>
  <c r="F575" i="1" s="1"/>
  <c r="E575" i="1"/>
  <c r="I576" i="1"/>
  <c r="K576" i="1" s="1"/>
  <c r="L576" i="1" s="1" a="1"/>
  <c r="L576" i="1" s="1"/>
  <c r="G576" i="1"/>
  <c r="F576" i="1" s="1" a="1"/>
  <c r="F576" i="1" s="1"/>
  <c r="E576" i="1"/>
  <c r="I574" i="1"/>
  <c r="K574" i="1" s="1"/>
  <c r="L574" i="1" s="1"/>
  <c r="G574" i="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a="1"/>
  <c r="L571" i="1" s="1"/>
  <c r="G571" i="1"/>
  <c r="F571" i="1" s="1" a="1"/>
  <c r="F571" i="1" s="1"/>
  <c r="E571" i="1"/>
  <c r="I570" i="1"/>
  <c r="K570" i="1" s="1"/>
  <c r="L570" i="1" s="1" a="1"/>
  <c r="L570" i="1" s="1"/>
  <c r="G570" i="1"/>
  <c r="F570" i="1" s="1" a="1"/>
  <c r="F570" i="1" s="1"/>
  <c r="E570" i="1"/>
  <c r="I569" i="1"/>
  <c r="K569" i="1" s="1"/>
  <c r="L569" i="1" s="1" a="1"/>
  <c r="L569" i="1" s="1"/>
  <c r="G569" i="1"/>
  <c r="F569" i="1" s="1" a="1"/>
  <c r="F569" i="1" s="1"/>
  <c r="E569" i="1"/>
  <c r="I568" i="1"/>
  <c r="K568" i="1" s="1"/>
  <c r="L568" i="1" s="1" a="1"/>
  <c r="L568" i="1" s="1"/>
  <c r="G568" i="1"/>
  <c r="F568" i="1" s="1" a="1"/>
  <c r="F568" i="1" s="1"/>
  <c r="E568" i="1"/>
  <c r="I566" i="1"/>
  <c r="K566" i="1" s="1"/>
  <c r="L566" i="1" s="1" a="1"/>
  <c r="L566" i="1" s="1"/>
  <c r="G566" i="1"/>
  <c r="F566" i="1" s="1" a="1"/>
  <c r="F566" i="1" s="1"/>
  <c r="E566" i="1"/>
  <c r="I565" i="1"/>
  <c r="K565" i="1" s="1"/>
  <c r="L565" i="1" s="1" a="1"/>
  <c r="L565" i="1" s="1"/>
  <c r="G565" i="1"/>
  <c r="F565" i="1" s="1" a="1"/>
  <c r="F565" i="1" s="1"/>
  <c r="E565" i="1"/>
  <c r="I564" i="1"/>
  <c r="K564" i="1" s="1"/>
  <c r="L564" i="1" s="1" a="1"/>
  <c r="L564" i="1" s="1"/>
  <c r="G564" i="1"/>
  <c r="F564" i="1" s="1" a="1"/>
  <c r="F564" i="1" s="1"/>
  <c r="E564" i="1"/>
  <c r="I563" i="1"/>
  <c r="K563" i="1" s="1"/>
  <c r="L563" i="1" s="1" a="1"/>
  <c r="L563" i="1" s="1"/>
  <c r="G563" i="1"/>
  <c r="F563" i="1" s="1" a="1"/>
  <c r="F563" i="1" s="1"/>
  <c r="E563" i="1"/>
  <c r="I562" i="1"/>
  <c r="K562" i="1" s="1"/>
  <c r="L562" i="1" s="1" a="1"/>
  <c r="L562" i="1" s="1"/>
  <c r="G562" i="1"/>
  <c r="F562" i="1" s="1" a="1"/>
  <c r="F562" i="1" s="1"/>
  <c r="E562" i="1"/>
  <c r="I561" i="1"/>
  <c r="K561" i="1" s="1"/>
  <c r="L561" i="1" s="1"/>
  <c r="G561" i="1"/>
  <c r="F561" i="1" s="1"/>
  <c r="E561" i="1"/>
  <c r="I560" i="1"/>
  <c r="K560" i="1" s="1"/>
  <c r="L560" i="1" s="1" a="1"/>
  <c r="L560" i="1" s="1"/>
  <c r="G560" i="1"/>
  <c r="F560" i="1" s="1" a="1"/>
  <c r="F560" i="1" s="1"/>
  <c r="E560" i="1"/>
  <c r="I559" i="1"/>
  <c r="K559" i="1" s="1"/>
  <c r="L559" i="1" s="1" a="1"/>
  <c r="L559" i="1" s="1"/>
  <c r="G559" i="1"/>
  <c r="F559" i="1" s="1" a="1"/>
  <c r="F559" i="1" s="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s="1"/>
  <c r="E553" i="1"/>
  <c r="I552" i="1"/>
  <c r="K552" i="1" s="1"/>
  <c r="L552" i="1" s="1" a="1"/>
  <c r="L552" i="1" s="1"/>
  <c r="G552" i="1"/>
  <c r="F552" i="1" s="1" a="1"/>
  <c r="F552" i="1" s="1"/>
  <c r="E552" i="1"/>
  <c r="I551" i="1"/>
  <c r="K551" i="1" s="1"/>
  <c r="L551" i="1" s="1"/>
  <c r="G551" i="1"/>
  <c r="F551" i="1" s="1"/>
  <c r="E551" i="1"/>
  <c r="I550" i="1"/>
  <c r="K550" i="1" s="1"/>
  <c r="L550" i="1" s="1"/>
  <c r="G550" i="1"/>
  <c r="F550" i="1" s="1"/>
  <c r="E550" i="1"/>
  <c r="I549" i="1"/>
  <c r="K549" i="1" s="1"/>
  <c r="L549" i="1" s="1"/>
  <c r="G549" i="1"/>
  <c r="F549" i="1" s="1"/>
  <c r="E549" i="1"/>
  <c r="I548" i="1"/>
  <c r="K548" i="1" s="1"/>
  <c r="L548" i="1" s="1"/>
  <c r="G548" i="1"/>
  <c r="F548" i="1" s="1"/>
  <c r="E548" i="1"/>
  <c r="I547" i="1"/>
  <c r="K547" i="1" s="1"/>
  <c r="L547" i="1" s="1" a="1"/>
  <c r="L547" i="1" s="1"/>
  <c r="G547" i="1"/>
  <c r="F547" i="1" s="1" a="1"/>
  <c r="F547" i="1" s="1"/>
  <c r="E547" i="1"/>
  <c r="I546" i="1"/>
  <c r="K546" i="1" s="1"/>
  <c r="L546" i="1" s="1" a="1"/>
  <c r="L546" i="1" s="1"/>
  <c r="G546" i="1"/>
  <c r="F546" i="1" s="1" a="1"/>
  <c r="F546" i="1"/>
  <c r="E546" i="1"/>
  <c r="I545" i="1"/>
  <c r="K545" i="1" s="1"/>
  <c r="L545" i="1" s="1" a="1"/>
  <c r="L545" i="1" s="1"/>
  <c r="G545" i="1"/>
  <c r="F545" i="1" s="1" a="1"/>
  <c r="F545" i="1" s="1"/>
  <c r="E545" i="1"/>
  <c r="I544" i="1"/>
  <c r="K544" i="1" s="1"/>
  <c r="L544" i="1" s="1"/>
  <c r="G544" i="1"/>
  <c r="F544" i="1" s="1"/>
  <c r="E544" i="1"/>
  <c r="I543" i="1"/>
  <c r="K543" i="1" s="1"/>
  <c r="L543" i="1" s="1"/>
  <c r="G543" i="1"/>
  <c r="F543" i="1" s="1"/>
  <c r="E543" i="1"/>
  <c r="I542" i="1"/>
  <c r="K542" i="1" s="1"/>
  <c r="L542" i="1" s="1"/>
  <c r="G542" i="1"/>
  <c r="F542" i="1" s="1"/>
  <c r="E542"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7" i="1"/>
  <c r="K537" i="1" s="1"/>
  <c r="L537" i="1" s="1" a="1"/>
  <c r="L537" i="1" s="1"/>
  <c r="G537" i="1"/>
  <c r="F537" i="1" s="1" a="1"/>
  <c r="F537" i="1" s="1"/>
  <c r="E537" i="1"/>
  <c r="I536" i="1"/>
  <c r="K536" i="1" s="1"/>
  <c r="L536" i="1" s="1" a="1"/>
  <c r="L536" i="1" s="1"/>
  <c r="G536" i="1"/>
  <c r="F536" i="1" s="1" a="1"/>
  <c r="F536" i="1" s="1"/>
  <c r="E536" i="1"/>
  <c r="I535" i="1"/>
  <c r="K535" i="1" s="1"/>
  <c r="L535" i="1" s="1" a="1"/>
  <c r="L535" i="1" s="1"/>
  <c r="G535" i="1"/>
  <c r="F535" i="1" s="1" a="1"/>
  <c r="F535" i="1" s="1"/>
  <c r="E535" i="1"/>
  <c r="I534" i="1"/>
  <c r="K534" i="1" s="1"/>
  <c r="L534" i="1" s="1" a="1"/>
  <c r="L534" i="1" s="1"/>
  <c r="G534" i="1"/>
  <c r="F534" i="1" s="1" a="1"/>
  <c r="F534" i="1" s="1"/>
  <c r="E534" i="1"/>
  <c r="I533" i="1"/>
  <c r="K533" i="1" s="1"/>
  <c r="L533" i="1" s="1" a="1"/>
  <c r="L533" i="1" s="1"/>
  <c r="G533" i="1"/>
  <c r="F533" i="1" s="1" a="1"/>
  <c r="F533" i="1" s="1"/>
  <c r="E533" i="1"/>
  <c r="I532" i="1"/>
  <c r="K532" i="1" s="1"/>
  <c r="L532" i="1" s="1" a="1"/>
  <c r="L532" i="1" s="1"/>
  <c r="G532" i="1"/>
  <c r="F532" i="1" s="1" a="1"/>
  <c r="F532" i="1" s="1"/>
  <c r="E532" i="1"/>
  <c r="I531" i="1"/>
  <c r="K531" i="1" s="1"/>
  <c r="L531" i="1" s="1"/>
  <c r="G531" i="1"/>
  <c r="F531" i="1" s="1"/>
  <c r="E531" i="1"/>
  <c r="I530" i="1"/>
  <c r="K530" i="1" s="1"/>
  <c r="L530" i="1" s="1"/>
  <c r="G530" i="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s="1" a="1"/>
  <c r="F524" i="1" s="1"/>
  <c r="E524" i="1"/>
  <c r="I523" i="1"/>
  <c r="K523" i="1" s="1"/>
  <c r="L523" i="1" s="1" a="1"/>
  <c r="L523" i="1" s="1"/>
  <c r="G523" i="1"/>
  <c r="F523" i="1" s="1" a="1"/>
  <c r="F523" i="1" s="1"/>
  <c r="E523" i="1"/>
  <c r="I522" i="1"/>
  <c r="K522" i="1" s="1"/>
  <c r="L522" i="1" s="1" a="1"/>
  <c r="L522" i="1" s="1"/>
  <c r="G522" i="1"/>
  <c r="F522" i="1" s="1" a="1"/>
  <c r="F522" i="1" s="1"/>
  <c r="E522" i="1"/>
  <c r="I521" i="1"/>
  <c r="K521" i="1" s="1"/>
  <c r="L521" i="1" s="1" a="1"/>
  <c r="L521" i="1" s="1"/>
  <c r="G521" i="1"/>
  <c r="F521" i="1" s="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I513" i="1"/>
  <c r="K513" i="1" s="1"/>
  <c r="L513" i="1" s="1" a="1"/>
  <c r="L513" i="1" s="1"/>
  <c r="G513" i="1"/>
  <c r="F513" i="1" s="1" a="1"/>
  <c r="F513" i="1" s="1"/>
  <c r="E513" i="1"/>
  <c r="I512" i="1"/>
  <c r="K512" i="1" s="1"/>
  <c r="L512" i="1" s="1" a="1"/>
  <c r="L512" i="1" s="1"/>
  <c r="G512" i="1"/>
  <c r="F512" i="1" s="1" a="1"/>
  <c r="F512" i="1" s="1"/>
  <c r="E512" i="1"/>
  <c r="I511" i="1"/>
  <c r="K511" i="1" s="1"/>
  <c r="L511" i="1" s="1"/>
  <c r="G511" i="1"/>
  <c r="F511" i="1"/>
  <c r="E511" i="1"/>
  <c r="I510" i="1"/>
  <c r="K510" i="1" s="1"/>
  <c r="L510" i="1" s="1"/>
  <c r="G510" i="1"/>
  <c r="F510" i="1" s="1"/>
  <c r="E510" i="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s="1" a="1"/>
  <c r="F507" i="1" s="1"/>
  <c r="E507" i="1"/>
  <c r="I506" i="1"/>
  <c r="K506" i="1" s="1"/>
  <c r="L506" i="1" s="1" a="1"/>
  <c r="L506" i="1" s="1"/>
  <c r="G506" i="1"/>
  <c r="F506" i="1" s="1" a="1"/>
  <c r="F506" i="1" s="1"/>
  <c r="E506" i="1"/>
  <c r="I505" i="1"/>
  <c r="K505" i="1" s="1"/>
  <c r="L505" i="1" s="1" a="1"/>
  <c r="L505" i="1" s="1"/>
  <c r="G505" i="1"/>
  <c r="F505" i="1" s="1" a="1"/>
  <c r="F505" i="1" s="1"/>
  <c r="E505" i="1"/>
  <c r="I504" i="1"/>
  <c r="K504" i="1" s="1"/>
  <c r="L504" i="1" s="1" a="1"/>
  <c r="L504" i="1" s="1"/>
  <c r="G504" i="1"/>
  <c r="F504" i="1" s="1" a="1"/>
  <c r="F504" i="1" s="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a="1"/>
  <c r="L497" i="1" s="1"/>
  <c r="G497" i="1"/>
  <c r="F497" i="1" s="1" a="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s="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a="1"/>
  <c r="F477" i="1" s="1"/>
  <c r="E477" i="1"/>
  <c r="I476" i="1"/>
  <c r="K476" i="1" s="1"/>
  <c r="L476" i="1" s="1" a="1"/>
  <c r="L476" i="1" s="1"/>
  <c r="G476" i="1"/>
  <c r="F476" i="1" a="1"/>
  <c r="F476" i="1" s="1"/>
  <c r="E476" i="1"/>
  <c r="I475" i="1"/>
  <c r="K475" i="1" s="1"/>
  <c r="L475" i="1" s="1" a="1"/>
  <c r="L475" i="1" s="1"/>
  <c r="G475" i="1"/>
  <c r="F475" i="1" s="1" a="1"/>
  <c r="F475" i="1" s="1"/>
  <c r="E475" i="1"/>
  <c r="I474" i="1"/>
  <c r="K474" i="1" s="1"/>
  <c r="L474" i="1" s="1" a="1"/>
  <c r="L474" i="1" s="1"/>
  <c r="G474" i="1"/>
  <c r="F474" i="1" s="1" a="1"/>
  <c r="F474" i="1" s="1"/>
  <c r="E474" i="1"/>
  <c r="I473" i="1"/>
  <c r="K473" i="1" s="1"/>
  <c r="L473" i="1" s="1" a="1"/>
  <c r="L473" i="1" s="1"/>
  <c r="G473" i="1"/>
  <c r="F473" i="1" s="1" a="1"/>
  <c r="F473" i="1" s="1"/>
  <c r="E473"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8" i="1"/>
  <c r="K468" i="1" s="1"/>
  <c r="L468" i="1" s="1" a="1"/>
  <c r="L468" i="1" s="1"/>
  <c r="G468" i="1"/>
  <c r="F468" i="1" s="1" a="1"/>
  <c r="F468" i="1" s="1"/>
  <c r="E468" i="1"/>
  <c r="I467" i="1"/>
  <c r="K467" i="1" s="1"/>
  <c r="L467" i="1" s="1" a="1"/>
  <c r="L467" i="1" s="1"/>
  <c r="G467" i="1"/>
  <c r="F467" i="1" s="1" a="1"/>
  <c r="F467" i="1" s="1"/>
  <c r="E467" i="1"/>
  <c r="I466" i="1"/>
  <c r="K466" i="1" s="1"/>
  <c r="L466" i="1" s="1" a="1"/>
  <c r="L466" i="1" s="1"/>
  <c r="G466" i="1"/>
  <c r="F466" i="1" s="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a="1"/>
  <c r="F437" i="1" s="1"/>
  <c r="E437" i="1"/>
  <c r="I436" i="1"/>
  <c r="K436" i="1" s="1"/>
  <c r="L436" i="1" s="1" a="1"/>
  <c r="L436" i="1" s="1"/>
  <c r="G436" i="1"/>
  <c r="F436" i="1" s="1" a="1"/>
  <c r="F436" i="1" s="1"/>
  <c r="E436" i="1"/>
  <c r="I435" i="1"/>
  <c r="K435" i="1" s="1"/>
  <c r="L435" i="1" s="1" a="1"/>
  <c r="L435" i="1" s="1"/>
  <c r="G435" i="1"/>
  <c r="F435" i="1" s="1" a="1"/>
  <c r="F435" i="1" s="1"/>
  <c r="E435"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0" i="1"/>
  <c r="K390" i="1" s="1"/>
  <c r="L390" i="1" s="1"/>
  <c r="G390" i="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73" i="1"/>
  <c r="K373" i="1" s="1"/>
  <c r="L373" i="1" s="1" a="1"/>
  <c r="L373" i="1" s="1"/>
  <c r="G373" i="1"/>
  <c r="F373" i="1" s="1" a="1"/>
  <c r="F373" i="1" s="1"/>
  <c r="E373" i="1"/>
  <c r="I371" i="1"/>
  <c r="K371" i="1" s="1"/>
  <c r="L371" i="1" s="1" a="1"/>
  <c r="L371" i="1" s="1"/>
  <c r="G371" i="1"/>
  <c r="F371" i="1" s="1" a="1"/>
  <c r="F371" i="1" s="1"/>
  <c r="E371" i="1"/>
  <c r="I370" i="1"/>
  <c r="K370" i="1" s="1"/>
  <c r="L370" i="1" s="1" a="1"/>
  <c r="L370" i="1" s="1"/>
  <c r="G370" i="1"/>
  <c r="F370" i="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a="1"/>
  <c r="F357" i="1" s="1"/>
  <c r="E357" i="1"/>
  <c r="I356" i="1"/>
  <c r="K356" i="1" s="1"/>
  <c r="L356" i="1" s="1" a="1"/>
  <c r="L356" i="1" s="1"/>
  <c r="G356" i="1"/>
  <c r="F356" i="1" s="1" a="1"/>
  <c r="F356" i="1" s="1"/>
  <c r="E356" i="1"/>
  <c r="I355" i="1"/>
  <c r="K355" i="1" s="1"/>
  <c r="L355" i="1" s="1" a="1"/>
  <c r="L355" i="1" s="1"/>
  <c r="G355" i="1"/>
  <c r="F355" i="1" s="1" a="1"/>
  <c r="F355" i="1" s="1"/>
  <c r="E355" i="1"/>
  <c r="I362" i="1"/>
  <c r="K362" i="1" s="1"/>
  <c r="L362" i="1" s="1" a="1"/>
  <c r="L362" i="1" s="1"/>
  <c r="G362" i="1"/>
  <c r="F362" i="1" s="1" a="1"/>
  <c r="F362" i="1" s="1"/>
  <c r="E362"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c r="G302" i="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c r="G279" i="1"/>
  <c r="F279" i="1" s="1"/>
  <c r="E279" i="1"/>
  <c r="I274" i="1"/>
  <c r="K274" i="1" s="1"/>
  <c r="L274" i="1" s="1" a="1"/>
  <c r="L274" i="1" s="1"/>
  <c r="G274" i="1"/>
  <c r="F274" i="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6" i="1"/>
  <c r="K266" i="1" s="1"/>
  <c r="L266" i="1" s="1" a="1"/>
  <c r="L266" i="1" s="1"/>
  <c r="G266" i="1"/>
  <c r="F266" i="1" a="1"/>
  <c r="F266" i="1" s="1"/>
  <c r="E266"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35" i="1"/>
  <c r="K235" i="1" s="1"/>
  <c r="L235" i="1" s="1"/>
  <c r="G235" i="1"/>
  <c r="F235" i="1" s="1"/>
  <c r="E235"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77" i="1"/>
  <c r="K177" i="1" s="1"/>
  <c r="L177" i="1" s="1" a="1"/>
  <c r="L177" i="1" s="1"/>
  <c r="G177" i="1"/>
  <c r="F177" i="1" s="1" a="1"/>
  <c r="F177" i="1" s="1"/>
  <c r="E177"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69" i="1"/>
  <c r="K169" i="1" s="1"/>
  <c r="L169" i="1" s="1" a="1"/>
  <c r="L169" i="1" s="1"/>
  <c r="G169" i="1"/>
  <c r="F169" i="1" s="1" a="1"/>
  <c r="F169" i="1" s="1"/>
  <c r="E169" i="1"/>
  <c r="I168" i="1"/>
  <c r="K168" i="1" s="1"/>
  <c r="L168" i="1" s="1" a="1"/>
  <c r="L168" i="1" s="1"/>
  <c r="G168" i="1"/>
  <c r="F168" i="1" s="1" a="1"/>
  <c r="F168" i="1" s="1"/>
  <c r="E168"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c r="G140" i="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a="1"/>
  <c r="F137" i="1" s="1"/>
  <c r="E137" i="1"/>
  <c r="I136" i="1"/>
  <c r="K136" i="1" s="1"/>
  <c r="L136" i="1" s="1" a="1"/>
  <c r="L136" i="1" s="1"/>
  <c r="G136" i="1"/>
  <c r="F136" i="1" s="1" a="1"/>
  <c r="F136" i="1" s="1"/>
  <c r="E136" i="1"/>
  <c r="I135" i="1"/>
  <c r="K135" i="1" s="1"/>
  <c r="L135" i="1" s="1" a="1"/>
  <c r="L135" i="1" s="1"/>
  <c r="G135" i="1"/>
  <c r="F135" i="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c r="G119" i="1"/>
  <c r="F119" i="1" s="1"/>
  <c r="E119" i="1"/>
  <c r="I118" i="1"/>
  <c r="K118" i="1" s="1"/>
  <c r="L118" i="1" s="1"/>
  <c r="G118" i="1"/>
  <c r="F118" i="1" s="1"/>
  <c r="E118" i="1"/>
  <c r="I117" i="1"/>
  <c r="K117" i="1" s="1"/>
  <c r="L117" i="1" s="1"/>
  <c r="G117" i="1"/>
  <c r="F117" i="1" s="1"/>
  <c r="E117" i="1"/>
  <c r="I116" i="1"/>
  <c r="K116" i="1" s="1"/>
  <c r="L116" i="1" s="1"/>
  <c r="G116" i="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c r="G110" i="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a="1"/>
  <c r="F107" i="1" s="1"/>
  <c r="E107" i="1"/>
  <c r="I106" i="1"/>
  <c r="K106" i="1" s="1"/>
  <c r="L106" i="1" s="1" a="1"/>
  <c r="L106" i="1" s="1"/>
  <c r="G106" i="1"/>
  <c r="F106" i="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a="1"/>
  <c r="F103" i="1" s="1"/>
  <c r="E103"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a="1"/>
  <c r="F83" i="1" s="1"/>
  <c r="E83" i="1"/>
  <c r="I82" i="1"/>
  <c r="K82" i="1" s="1"/>
  <c r="L82" i="1" s="1" a="1"/>
  <c r="L82" i="1" s="1"/>
  <c r="G82" i="1"/>
  <c r="F82" i="1" s="1"/>
  <c r="E82" i="1"/>
  <c r="I81" i="1"/>
  <c r="K81" i="1" s="1"/>
  <c r="L81" i="1" s="1" a="1"/>
  <c r="L81" i="1" s="1"/>
  <c r="G81" i="1"/>
  <c r="F81" i="1" s="1"/>
  <c r="E81" i="1"/>
  <c r="I80" i="1"/>
  <c r="K80" i="1" s="1"/>
  <c r="L80" i="1" s="1" a="1"/>
  <c r="L80" i="1" s="1"/>
  <c r="G80" i="1"/>
  <c r="F80" i="1" s="1" a="1"/>
  <c r="F80" i="1" s="1"/>
  <c r="E80" i="1"/>
  <c r="I79" i="1"/>
  <c r="K79" i="1" s="1"/>
  <c r="L79" i="1" s="1" a="1"/>
  <c r="L79" i="1" s="1"/>
  <c r="G79" i="1"/>
  <c r="F79" i="1" s="1" a="1"/>
  <c r="F79" i="1" s="1"/>
  <c r="E79"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c r="G66" i="1"/>
  <c r="F66" i="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c r="G62" i="1"/>
  <c r="F62" i="1" s="1"/>
  <c r="E62" i="1"/>
  <c r="I61" i="1"/>
  <c r="K61" i="1" s="1"/>
  <c r="L61" i="1" s="1"/>
  <c r="G61" i="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c r="E12"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3" i="1"/>
  <c r="K3" i="1" s="1"/>
  <c r="L3" i="1" s="1" a="1"/>
  <c r="L3" i="1" s="1"/>
  <c r="G3" i="1"/>
  <c r="F3" i="1" s="1" a="1"/>
  <c r="F3" i="1" s="1"/>
  <c r="E3" i="1"/>
  <c r="I2" i="1"/>
  <c r="K2" i="1" s="1"/>
  <c r="L2" i="1" s="1"/>
  <c r="G2" i="1"/>
  <c r="F2" i="1" s="1"/>
  <c r="E2" i="1"/>
  <c r="H844" i="1" l="1"/>
  <c r="J844" i="1" s="1"/>
  <c r="H17" i="2"/>
  <c r="J17" i="2" s="1"/>
  <c r="H22" i="2"/>
  <c r="J22" i="2" s="1"/>
  <c r="H835" i="1"/>
  <c r="J835" i="1" s="1"/>
  <c r="H833" i="1"/>
  <c r="J833" i="1" s="1"/>
  <c r="H830" i="1"/>
  <c r="J830" i="1" s="1"/>
  <c r="H820" i="1"/>
  <c r="J820" i="1" s="1"/>
  <c r="H9" i="2"/>
  <c r="J9" i="2" s="1"/>
  <c r="H8" i="2"/>
  <c r="J8" i="2" s="1"/>
  <c r="H20" i="2"/>
  <c r="J20" i="2" s="1"/>
  <c r="H21" i="2"/>
  <c r="J21" i="2" s="1"/>
  <c r="H7" i="2"/>
  <c r="J7" i="2" s="1"/>
  <c r="H828" i="1"/>
  <c r="J828" i="1" s="1"/>
  <c r="H826" i="1"/>
  <c r="J826" i="1" s="1"/>
  <c r="H824" i="1"/>
  <c r="J824" i="1" s="1"/>
  <c r="H818" i="1"/>
  <c r="J818" i="1" s="1"/>
  <c r="H12" i="2"/>
  <c r="J12" i="2" s="1"/>
  <c r="H846" i="1"/>
  <c r="J846" i="1" s="1"/>
  <c r="H819" i="1"/>
  <c r="J819" i="1" s="1"/>
  <c r="H825" i="1"/>
  <c r="J825" i="1" s="1"/>
  <c r="H10" i="2"/>
  <c r="J10" i="2" s="1"/>
  <c r="H10" i="1"/>
  <c r="J10" i="1" s="1"/>
  <c r="H11" i="1"/>
  <c r="J11" i="1" s="1"/>
  <c r="H9" i="1"/>
  <c r="J9" i="1" s="1"/>
  <c r="H23" i="2"/>
  <c r="J23" i="2" s="1"/>
  <c r="H832" i="1"/>
  <c r="J832" i="1" s="1"/>
  <c r="H827" i="1"/>
  <c r="J827" i="1" s="1"/>
  <c r="H14" i="2"/>
  <c r="J14" i="2" s="1"/>
  <c r="H19" i="2"/>
  <c r="J19" i="2" s="1"/>
  <c r="H18" i="2"/>
  <c r="J18" i="2" s="1"/>
  <c r="H823" i="1"/>
  <c r="J823" i="1" s="1"/>
  <c r="H15" i="2"/>
  <c r="J15" i="2" s="1"/>
  <c r="H816" i="1"/>
  <c r="J816" i="1" s="1"/>
  <c r="H648" i="1"/>
  <c r="J648" i="1" s="1"/>
  <c r="H628" i="1"/>
  <c r="J628" i="1" s="1"/>
  <c r="H596" i="1"/>
  <c r="J596" i="1" s="1"/>
  <c r="H793" i="1"/>
  <c r="J793" i="1" s="1"/>
  <c r="H625" i="1"/>
  <c r="J625" i="1" s="1"/>
  <c r="H815" i="1"/>
  <c r="J815" i="1" s="1"/>
  <c r="H822" i="1"/>
  <c r="J822" i="1" s="1"/>
  <c r="H817" i="1"/>
  <c r="J817" i="1" s="1"/>
  <c r="H805" i="1"/>
  <c r="J805" i="1" s="1"/>
  <c r="H804" i="1"/>
  <c r="J804" i="1" s="1"/>
  <c r="H802" i="1"/>
  <c r="J802" i="1" s="1"/>
  <c r="H800" i="1"/>
  <c r="J800" i="1" s="1"/>
  <c r="H799" i="1"/>
  <c r="J799" i="1" s="1"/>
  <c r="H797" i="1"/>
  <c r="J797" i="1" s="1"/>
  <c r="H796" i="1"/>
  <c r="J796" i="1" s="1"/>
  <c r="H795" i="1"/>
  <c r="J795" i="1" s="1"/>
  <c r="H13" i="2"/>
  <c r="J13" i="2" s="1"/>
  <c r="H787" i="1"/>
  <c r="J787" i="1" s="1"/>
  <c r="H867" i="1"/>
  <c r="J867" i="1" s="1"/>
  <c r="H801" i="1"/>
  <c r="J801" i="1" s="1"/>
  <c r="H798" i="1"/>
  <c r="J798" i="1" s="1"/>
  <c r="H813" i="1"/>
  <c r="J813" i="1" s="1"/>
  <c r="H812" i="1"/>
  <c r="J812" i="1" s="1"/>
  <c r="H811" i="1"/>
  <c r="J811" i="1" s="1"/>
  <c r="H210" i="1"/>
  <c r="J210" i="1" s="1"/>
  <c r="H60" i="1"/>
  <c r="J60" i="1" s="1"/>
  <c r="H6" i="2"/>
  <c r="J6" i="2" s="1"/>
  <c r="H5" i="2"/>
  <c r="J5" i="2" s="1"/>
  <c r="H709" i="1"/>
  <c r="J709" i="1" s="1"/>
  <c r="H4" i="2"/>
  <c r="J4" i="2" s="1"/>
  <c r="H780" i="1"/>
  <c r="J780" i="1" s="1"/>
  <c r="H3" i="2"/>
  <c r="J3" i="2" s="1"/>
  <c r="H786" i="1"/>
  <c r="J786" i="1" s="1"/>
  <c r="H942" i="1"/>
  <c r="J942" i="1" s="1"/>
  <c r="H777" i="1"/>
  <c r="J777" i="1" s="1"/>
  <c r="H866" i="1"/>
  <c r="J866" i="1" s="1"/>
  <c r="H865" i="1"/>
  <c r="J865" i="1" s="1"/>
  <c r="H857" i="1"/>
  <c r="J857" i="1" s="1"/>
  <c r="H850" i="1"/>
  <c r="J850" i="1" s="1"/>
  <c r="H821" i="1"/>
  <c r="J821" i="1" s="1"/>
  <c r="H5" i="1"/>
  <c r="J5" i="1" s="1"/>
  <c r="H810" i="1"/>
  <c r="J810" i="1" s="1"/>
  <c r="H809" i="1"/>
  <c r="J809" i="1" s="1"/>
  <c r="H588" i="1"/>
  <c r="J588" i="1" s="1"/>
  <c r="H612" i="1"/>
  <c r="J612" i="1" s="1"/>
  <c r="H783" i="1"/>
  <c r="J783" i="1" s="1"/>
  <c r="H854" i="1"/>
  <c r="J854" i="1" s="1"/>
  <c r="H853" i="1"/>
  <c r="J853" i="1" s="1"/>
  <c r="H939" i="1"/>
  <c r="J939" i="1" s="1"/>
  <c r="H870" i="1"/>
  <c r="J870" i="1" s="1"/>
  <c r="H869" i="1"/>
  <c r="J869" i="1" s="1"/>
  <c r="H868" i="1"/>
  <c r="J868" i="1" s="1"/>
  <c r="H862" i="1"/>
  <c r="J862" i="1" s="1"/>
  <c r="H861" i="1"/>
  <c r="J861" i="1" s="1"/>
  <c r="H437" i="1"/>
  <c r="J437" i="1" s="1"/>
  <c r="H183" i="1"/>
  <c r="J183" i="1" s="1"/>
  <c r="H856" i="1"/>
  <c r="J856" i="1" s="1"/>
  <c r="H855" i="1"/>
  <c r="J855" i="1" s="1"/>
  <c r="H852" i="1"/>
  <c r="J852" i="1" s="1"/>
  <c r="H941" i="1"/>
  <c r="J941" i="1" s="1"/>
  <c r="H940" i="1"/>
  <c r="J940" i="1" s="1"/>
  <c r="H938" i="1"/>
  <c r="J938" i="1" s="1"/>
  <c r="H937" i="1"/>
  <c r="J937" i="1" s="1"/>
  <c r="H936" i="1"/>
  <c r="J936" i="1" s="1"/>
  <c r="H935" i="1"/>
  <c r="J935" i="1" s="1"/>
  <c r="H872" i="1"/>
  <c r="J872" i="1" s="1"/>
  <c r="H871" i="1"/>
  <c r="J871" i="1" s="1"/>
  <c r="H864" i="1"/>
  <c r="J864" i="1" s="1"/>
  <c r="H863" i="1"/>
  <c r="J863" i="1" s="1"/>
  <c r="H860" i="1"/>
  <c r="J860" i="1" s="1"/>
  <c r="H859" i="1"/>
  <c r="J859" i="1" s="1"/>
  <c r="H858" i="1"/>
  <c r="J858" i="1" s="1"/>
  <c r="H579" i="1"/>
  <c r="J579" i="1" s="1"/>
  <c r="H572" i="1"/>
  <c r="J572" i="1" s="1"/>
  <c r="H186" i="1"/>
  <c r="J186" i="1" s="1"/>
  <c r="H417" i="1"/>
  <c r="J417" i="1" s="1"/>
  <c r="H773" i="1"/>
  <c r="J773" i="1" s="1"/>
  <c r="H94" i="1"/>
  <c r="J94" i="1" s="1"/>
  <c r="H767" i="1"/>
  <c r="J767" i="1" s="1"/>
  <c r="H756" i="1"/>
  <c r="J756" i="1" s="1"/>
  <c r="H753" i="1"/>
  <c r="J753" i="1" s="1"/>
  <c r="H750" i="1"/>
  <c r="J750" i="1" s="1"/>
  <c r="H746" i="1"/>
  <c r="J746" i="1" s="1"/>
  <c r="H729" i="1"/>
  <c r="J729" i="1" s="1"/>
  <c r="H721" i="1"/>
  <c r="J721" i="1" s="1"/>
  <c r="H708" i="1"/>
  <c r="J708" i="1" s="1"/>
  <c r="H699" i="1"/>
  <c r="J699" i="1" s="1"/>
  <c r="H584" i="1"/>
  <c r="J584" i="1" s="1"/>
  <c r="H496" i="1"/>
  <c r="J496" i="1" s="1"/>
  <c r="H411" i="1"/>
  <c r="J411" i="1" s="1"/>
  <c r="H675" i="1"/>
  <c r="J675" i="1" s="1"/>
  <c r="H667" i="1"/>
  <c r="J667" i="1" s="1"/>
  <c r="H652" i="1"/>
  <c r="J652" i="1" s="1"/>
  <c r="H620" i="1"/>
  <c r="J620" i="1" s="1"/>
  <c r="H617" i="1"/>
  <c r="J617" i="1" s="1"/>
  <c r="H605" i="1"/>
  <c r="J605" i="1" s="1"/>
  <c r="H602" i="1"/>
  <c r="J602" i="1" s="1"/>
  <c r="H594" i="1"/>
  <c r="J594" i="1" s="1"/>
  <c r="H574" i="1"/>
  <c r="J574" i="1" s="1"/>
  <c r="H402" i="1"/>
  <c r="J402" i="1" s="1"/>
  <c r="H14" i="1"/>
  <c r="J14" i="1" s="1"/>
  <c r="H569" i="1"/>
  <c r="J569" i="1" s="1"/>
  <c r="H554" i="1"/>
  <c r="J554" i="1" s="1"/>
  <c r="H527" i="1"/>
  <c r="J527" i="1" s="1"/>
  <c r="H512" i="1"/>
  <c r="J512" i="1" s="1"/>
  <c r="H510" i="1"/>
  <c r="J510" i="1" s="1"/>
  <c r="H508" i="1"/>
  <c r="J508" i="1" s="1"/>
  <c r="H505" i="1"/>
  <c r="J505" i="1" s="1"/>
  <c r="H499" i="1"/>
  <c r="J499" i="1" s="1"/>
  <c r="H301" i="1"/>
  <c r="J301" i="1" s="1"/>
  <c r="H483" i="1"/>
  <c r="J483" i="1" s="1"/>
  <c r="H480" i="1"/>
  <c r="J480" i="1" s="1"/>
  <c r="H474" i="1"/>
  <c r="J474" i="1" s="1"/>
  <c r="H471" i="1"/>
  <c r="J471" i="1" s="1"/>
  <c r="H446" i="1"/>
  <c r="J446" i="1" s="1"/>
  <c r="H420" i="1"/>
  <c r="J420" i="1" s="1"/>
  <c r="H405" i="1"/>
  <c r="J405" i="1" s="1"/>
  <c r="H399" i="1"/>
  <c r="J399" i="1" s="1"/>
  <c r="H303" i="1"/>
  <c r="J303" i="1" s="1"/>
  <c r="H97" i="1"/>
  <c r="J97" i="1" s="1"/>
  <c r="H17" i="1"/>
  <c r="J17" i="1" s="1"/>
  <c r="H385" i="1"/>
  <c r="J385" i="1" s="1"/>
  <c r="H365" i="1"/>
  <c r="J365" i="1" s="1"/>
  <c r="H361" i="1"/>
  <c r="J361" i="1" s="1"/>
  <c r="H355" i="1"/>
  <c r="J355" i="1" s="1"/>
  <c r="H353" i="1"/>
  <c r="J353" i="1" s="1"/>
  <c r="H347" i="1"/>
  <c r="J347" i="1" s="1"/>
  <c r="H344" i="1"/>
  <c r="J344" i="1" s="1"/>
  <c r="H341" i="1"/>
  <c r="J341" i="1" s="1"/>
  <c r="H338" i="1"/>
  <c r="J338" i="1" s="1"/>
  <c r="H335" i="1"/>
  <c r="J335" i="1" s="1"/>
  <c r="H327" i="1"/>
  <c r="J327" i="1" s="1"/>
  <c r="H318" i="1"/>
  <c r="J318" i="1" s="1"/>
  <c r="H315" i="1"/>
  <c r="J315" i="1" s="1"/>
  <c r="H310" i="1"/>
  <c r="J310" i="1" s="1"/>
  <c r="H306" i="1"/>
  <c r="J306" i="1" s="1"/>
  <c r="H286" i="1"/>
  <c r="J286" i="1" s="1"/>
  <c r="H271" i="1"/>
  <c r="J271" i="1" s="1"/>
  <c r="H266" i="1"/>
  <c r="J266" i="1" s="1"/>
  <c r="H226" i="1"/>
  <c r="J226" i="1" s="1"/>
  <c r="H223" i="1"/>
  <c r="J223" i="1" s="1"/>
  <c r="H197" i="1"/>
  <c r="J197" i="1" s="1"/>
  <c r="H182" i="1"/>
  <c r="J182" i="1" s="1"/>
  <c r="H149" i="1"/>
  <c r="J149" i="1" s="1"/>
  <c r="H143" i="1"/>
  <c r="J143" i="1" s="1"/>
  <c r="H120" i="1"/>
  <c r="J120" i="1" s="1"/>
  <c r="H74" i="1"/>
  <c r="J74" i="1" s="1"/>
  <c r="H71" i="1"/>
  <c r="J71" i="1" s="1"/>
  <c r="H63" i="1"/>
  <c r="J63" i="1" s="1"/>
  <c r="H12" i="1"/>
  <c r="J12" i="1" s="1"/>
  <c r="H33" i="1"/>
  <c r="J33" i="1" s="1"/>
  <c r="H42" i="1"/>
  <c r="J42" i="1" s="1"/>
  <c r="H51" i="1"/>
  <c r="J51" i="1" s="1"/>
  <c r="H68" i="1"/>
  <c r="J68" i="1" s="1"/>
  <c r="H107" i="1"/>
  <c r="J107" i="1" s="1"/>
  <c r="H110" i="1"/>
  <c r="J110" i="1" s="1"/>
  <c r="H27" i="1"/>
  <c r="J27" i="1" s="1"/>
  <c r="H36" i="1"/>
  <c r="J36" i="1" s="1"/>
  <c r="H45" i="1"/>
  <c r="J45" i="1" s="1"/>
  <c r="H54" i="1"/>
  <c r="J54" i="1" s="1"/>
  <c r="H168" i="1"/>
  <c r="J168" i="1" s="1"/>
  <c r="H172" i="1"/>
  <c r="J172" i="1" s="1"/>
  <c r="H191" i="1"/>
  <c r="J191" i="1" s="1"/>
  <c r="H6" i="1"/>
  <c r="J6" i="1" s="1"/>
  <c r="H152" i="1"/>
  <c r="J152" i="1" s="1"/>
  <c r="H129" i="1"/>
  <c r="J129" i="1" s="1"/>
  <c r="H132" i="1"/>
  <c r="J132" i="1" s="1"/>
  <c r="H138" i="1"/>
  <c r="J138" i="1" s="1"/>
  <c r="H155" i="1"/>
  <c r="J155" i="1" s="1"/>
  <c r="H158" i="1"/>
  <c r="J158" i="1" s="1"/>
  <c r="H161" i="1"/>
  <c r="J161" i="1" s="1"/>
  <c r="H188" i="1"/>
  <c r="J188" i="1" s="1"/>
  <c r="H212" i="1"/>
  <c r="J212" i="1" s="1"/>
  <c r="H251" i="1"/>
  <c r="J251" i="1" s="1"/>
  <c r="H280" i="1"/>
  <c r="J280" i="1" s="1"/>
  <c r="H289" i="1"/>
  <c r="J289" i="1" s="1"/>
  <c r="H311" i="1"/>
  <c r="J311" i="1" s="1"/>
  <c r="H348" i="1"/>
  <c r="J348" i="1" s="1"/>
  <c r="H511" i="1"/>
  <c r="J511" i="1" s="1"/>
  <c r="H543" i="1"/>
  <c r="J543" i="1" s="1"/>
  <c r="H604" i="1"/>
  <c r="J604" i="1" s="1"/>
  <c r="H623" i="1"/>
  <c r="J623" i="1" s="1"/>
  <c r="H640" i="1"/>
  <c r="J640" i="1" s="1"/>
  <c r="H418" i="1"/>
  <c r="J418" i="1" s="1"/>
  <c r="H670" i="1"/>
  <c r="J670" i="1" s="1"/>
  <c r="H671" i="1"/>
  <c r="J671" i="1" s="1"/>
  <c r="H687" i="1"/>
  <c r="J687" i="1" s="1"/>
  <c r="H778" i="1"/>
  <c r="J778" i="1" s="1"/>
  <c r="H781" i="1"/>
  <c r="J781" i="1" s="1"/>
  <c r="H209" i="1"/>
  <c r="J209" i="1" s="1"/>
  <c r="H215" i="1"/>
  <c r="J215" i="1" s="1"/>
  <c r="H248" i="1"/>
  <c r="J248" i="1" s="1"/>
  <c r="H295" i="1"/>
  <c r="J295" i="1" s="1"/>
  <c r="H324" i="1"/>
  <c r="J324" i="1" s="1"/>
  <c r="H332" i="1"/>
  <c r="J332" i="1" s="1"/>
  <c r="H339" i="1"/>
  <c r="J339" i="1" s="1"/>
  <c r="H388" i="1"/>
  <c r="J388" i="1" s="1"/>
  <c r="H394" i="1"/>
  <c r="J394" i="1" s="1"/>
  <c r="H443" i="1"/>
  <c r="J443" i="1" s="1"/>
  <c r="H456" i="1"/>
  <c r="J456" i="1" s="1"/>
  <c r="H465" i="1"/>
  <c r="J465" i="1" s="1"/>
  <c r="H493" i="1"/>
  <c r="J493" i="1" s="1"/>
  <c r="H513" i="1"/>
  <c r="J513" i="1" s="1"/>
  <c r="H520" i="1"/>
  <c r="J520" i="1" s="1"/>
  <c r="H523" i="1"/>
  <c r="J523" i="1" s="1"/>
  <c r="H549" i="1"/>
  <c r="J549" i="1" s="1"/>
  <c r="H618" i="1"/>
  <c r="J618" i="1" s="1"/>
  <c r="H627" i="1"/>
  <c r="J627" i="1" s="1"/>
  <c r="H681" i="1"/>
  <c r="J681" i="1" s="1"/>
  <c r="H688" i="1"/>
  <c r="J688" i="1" s="1"/>
  <c r="H758" i="1"/>
  <c r="J758" i="1" s="1"/>
  <c r="H774" i="1"/>
  <c r="J774" i="1" s="1"/>
  <c r="H775" i="1"/>
  <c r="J775" i="1" s="1"/>
  <c r="H794" i="1"/>
  <c r="J794" i="1" s="1"/>
  <c r="H7" i="1"/>
  <c r="J7" i="1" s="1"/>
  <c r="H8" i="1"/>
  <c r="J8" i="1" s="1"/>
  <c r="H18" i="1"/>
  <c r="J18" i="1" s="1"/>
  <c r="H21" i="1"/>
  <c r="J21" i="1" s="1"/>
  <c r="H23" i="1"/>
  <c r="J23" i="1" s="1"/>
  <c r="H30" i="1"/>
  <c r="J30" i="1" s="1"/>
  <c r="H32" i="1"/>
  <c r="J32" i="1" s="1"/>
  <c r="H39" i="1"/>
  <c r="J39" i="1" s="1"/>
  <c r="H41" i="1"/>
  <c r="J41" i="1" s="1"/>
  <c r="H48" i="1"/>
  <c r="J48" i="1" s="1"/>
  <c r="H50" i="1"/>
  <c r="J50" i="1" s="1"/>
  <c r="H57" i="1"/>
  <c r="J57" i="1" s="1"/>
  <c r="H59" i="1"/>
  <c r="J59" i="1" s="1"/>
  <c r="H62" i="1"/>
  <c r="J62" i="1" s="1"/>
  <c r="H104" i="1"/>
  <c r="J104" i="1" s="1"/>
  <c r="H115" i="1"/>
  <c r="J115" i="1" s="1"/>
  <c r="H119" i="1"/>
  <c r="J119" i="1" s="1"/>
  <c r="H126" i="1"/>
  <c r="J126" i="1" s="1"/>
  <c r="H135" i="1"/>
  <c r="J135" i="1" s="1"/>
  <c r="H200" i="1"/>
  <c r="J200" i="1" s="1"/>
  <c r="H84" i="1"/>
  <c r="J84" i="1" s="1"/>
  <c r="H146" i="1"/>
  <c r="J146" i="1" s="1"/>
  <c r="H123" i="1"/>
  <c r="J123" i="1" s="1"/>
  <c r="H173" i="1"/>
  <c r="J173" i="1" s="1"/>
  <c r="H176" i="1"/>
  <c r="J176" i="1" s="1"/>
  <c r="H179" i="1"/>
  <c r="J179" i="1" s="1"/>
  <c r="H201" i="1"/>
  <c r="J201" i="1" s="1"/>
  <c r="H208" i="1"/>
  <c r="J208" i="1" s="1"/>
  <c r="H218" i="1"/>
  <c r="J218" i="1" s="1"/>
  <c r="H272" i="1"/>
  <c r="J272" i="1" s="1"/>
  <c r="H281" i="1"/>
  <c r="J281" i="1" s="1"/>
  <c r="H283" i="1"/>
  <c r="J283" i="1" s="1"/>
  <c r="H293" i="1"/>
  <c r="J293" i="1" s="1"/>
  <c r="H300" i="1"/>
  <c r="J300" i="1" s="1"/>
  <c r="H319" i="1"/>
  <c r="J319" i="1" s="1"/>
  <c r="H321" i="1"/>
  <c r="J321" i="1" s="1"/>
  <c r="H350" i="1"/>
  <c r="J350" i="1" s="1"/>
  <c r="H371" i="1"/>
  <c r="J371" i="1" s="1"/>
  <c r="H390" i="1"/>
  <c r="J390" i="1" s="1"/>
  <c r="H398" i="1"/>
  <c r="J398" i="1" s="1"/>
  <c r="H414" i="1"/>
  <c r="J414" i="1" s="1"/>
  <c r="H435" i="1"/>
  <c r="J435" i="1" s="1"/>
  <c r="H453" i="1"/>
  <c r="J453" i="1" s="1"/>
  <c r="H459" i="1"/>
  <c r="J459" i="1" s="1"/>
  <c r="H460" i="1"/>
  <c r="J460" i="1" s="1"/>
  <c r="H462" i="1"/>
  <c r="J462" i="1" s="1"/>
  <c r="H486" i="1"/>
  <c r="J486" i="1" s="1"/>
  <c r="H487" i="1"/>
  <c r="J487" i="1" s="1"/>
  <c r="H162" i="1"/>
  <c r="J162" i="1" s="1"/>
  <c r="H165" i="1"/>
  <c r="J165" i="1" s="1"/>
  <c r="H192" i="1"/>
  <c r="J192" i="1" s="1"/>
  <c r="H195" i="1"/>
  <c r="J195" i="1" s="1"/>
  <c r="H204" i="1"/>
  <c r="J204" i="1" s="1"/>
  <c r="H235" i="1"/>
  <c r="J235" i="1" s="1"/>
  <c r="H252" i="1"/>
  <c r="J252" i="1" s="1"/>
  <c r="H290" i="1"/>
  <c r="J290" i="1" s="1"/>
  <c r="H328" i="1"/>
  <c r="J328" i="1" s="1"/>
  <c r="H356" i="1"/>
  <c r="J356" i="1" s="1"/>
  <c r="H358" i="1"/>
  <c r="J358" i="1" s="1"/>
  <c r="H389" i="1"/>
  <c r="J389" i="1" s="1"/>
  <c r="H396" i="1"/>
  <c r="J396" i="1" s="1"/>
  <c r="H421" i="1"/>
  <c r="J421" i="1" s="1"/>
  <c r="H438" i="1"/>
  <c r="J438" i="1" s="1"/>
  <c r="H484" i="1"/>
  <c r="J484" i="1" s="1"/>
  <c r="H490" i="1"/>
  <c r="J490" i="1" s="1"/>
  <c r="H224" i="1"/>
  <c r="J224" i="1" s="1"/>
  <c r="H284" i="1"/>
  <c r="J284" i="1" s="1"/>
  <c r="H494" i="1"/>
  <c r="J494" i="1" s="1"/>
  <c r="H506" i="1"/>
  <c r="J506" i="1" s="1"/>
  <c r="H524" i="1"/>
  <c r="J524" i="1" s="1"/>
  <c r="H537" i="1"/>
  <c r="J537" i="1" s="1"/>
  <c r="H555" i="1"/>
  <c r="J555" i="1" s="1"/>
  <c r="H557" i="1"/>
  <c r="J557" i="1" s="1"/>
  <c r="H562" i="1"/>
  <c r="J562" i="1" s="1"/>
  <c r="H565" i="1"/>
  <c r="J565" i="1" s="1"/>
  <c r="H566" i="1"/>
  <c r="J566" i="1" s="1"/>
  <c r="H585" i="1"/>
  <c r="J585" i="1" s="1"/>
  <c r="H621" i="1"/>
  <c r="J621" i="1" s="1"/>
  <c r="H626" i="1"/>
  <c r="J626" i="1" s="1"/>
  <c r="H638" i="1"/>
  <c r="J638" i="1" s="1"/>
  <c r="H657" i="1"/>
  <c r="J657" i="1" s="1"/>
  <c r="H666" i="1"/>
  <c r="J666" i="1" s="1"/>
  <c r="H690" i="1"/>
  <c r="J690" i="1" s="1"/>
  <c r="H698" i="1"/>
  <c r="J698" i="1" s="1"/>
  <c r="H702" i="1"/>
  <c r="J702" i="1" s="1"/>
  <c r="H713" i="1"/>
  <c r="J713" i="1" s="1"/>
  <c r="H719" i="1"/>
  <c r="J719" i="1" s="1"/>
  <c r="H744" i="1"/>
  <c r="J744" i="1" s="1"/>
  <c r="H759" i="1"/>
  <c r="J759" i="1" s="1"/>
  <c r="H764" i="1"/>
  <c r="J764" i="1" s="1"/>
  <c r="H766" i="1"/>
  <c r="J766" i="1" s="1"/>
  <c r="H518" i="1"/>
  <c r="J518" i="1" s="1"/>
  <c r="H540" i="1"/>
  <c r="J540" i="1" s="1"/>
  <c r="H546" i="1"/>
  <c r="J546" i="1" s="1"/>
  <c r="H551" i="1"/>
  <c r="J551" i="1" s="1"/>
  <c r="H560" i="1"/>
  <c r="J560" i="1" s="1"/>
  <c r="H587" i="1"/>
  <c r="J587" i="1" s="1"/>
  <c r="H614" i="1"/>
  <c r="J614" i="1" s="1"/>
  <c r="H615" i="1"/>
  <c r="J615" i="1" s="1"/>
  <c r="H669" i="1"/>
  <c r="J669" i="1" s="1"/>
  <c r="H680" i="1"/>
  <c r="J680" i="1" s="1"/>
  <c r="H696" i="1"/>
  <c r="J696" i="1" s="1"/>
  <c r="H705" i="1"/>
  <c r="J705" i="1" s="1"/>
  <c r="H724" i="1"/>
  <c r="J724" i="1" s="1"/>
  <c r="H761" i="1"/>
  <c r="J761" i="1" s="1"/>
  <c r="H776" i="1"/>
  <c r="J776" i="1" s="1"/>
  <c r="H3" i="1"/>
  <c r="J3" i="1" s="1"/>
  <c r="H56" i="1"/>
  <c r="J56" i="1" s="1"/>
  <c r="H79" i="1"/>
  <c r="J79" i="1" s="1"/>
  <c r="H88" i="1"/>
  <c r="J88" i="1" s="1"/>
  <c r="H100" i="1"/>
  <c r="J100" i="1" s="1"/>
  <c r="H20" i="1"/>
  <c r="J20" i="1" s="1"/>
  <c r="H29" i="1"/>
  <c r="J29" i="1" s="1"/>
  <c r="H38" i="1"/>
  <c r="J38" i="1" s="1"/>
  <c r="H47" i="1"/>
  <c r="J47" i="1" s="1"/>
  <c r="H15" i="1"/>
  <c r="J15" i="1" s="1"/>
  <c r="H24" i="1"/>
  <c r="J24" i="1" s="1"/>
  <c r="H26" i="1"/>
  <c r="J26" i="1" s="1"/>
  <c r="H35" i="1"/>
  <c r="J35" i="1" s="1"/>
  <c r="H44" i="1"/>
  <c r="J44" i="1" s="1"/>
  <c r="H53" i="1"/>
  <c r="J53" i="1" s="1"/>
  <c r="H112" i="1"/>
  <c r="J112" i="1" s="1"/>
  <c r="H65" i="1"/>
  <c r="J65" i="1" s="1"/>
  <c r="H116" i="1"/>
  <c r="J116" i="1" s="1"/>
  <c r="H142" i="1"/>
  <c r="J142" i="1" s="1"/>
  <c r="H145" i="1"/>
  <c r="J145" i="1" s="1"/>
  <c r="H148" i="1"/>
  <c r="J148" i="1" s="1"/>
  <c r="H151" i="1"/>
  <c r="J151" i="1" s="1"/>
  <c r="H154" i="1"/>
  <c r="J154" i="1" s="1"/>
  <c r="H157" i="1"/>
  <c r="J157" i="1" s="1"/>
  <c r="H164" i="1"/>
  <c r="J164" i="1" s="1"/>
  <c r="H175" i="1"/>
  <c r="J175" i="1" s="1"/>
  <c r="H185" i="1"/>
  <c r="J185" i="1" s="1"/>
  <c r="H194" i="1"/>
  <c r="J194" i="1" s="1"/>
  <c r="H202" i="1"/>
  <c r="J202" i="1" s="1"/>
  <c r="H206" i="1"/>
  <c r="J206" i="1" s="1"/>
  <c r="H292" i="1"/>
  <c r="J292" i="1" s="1"/>
  <c r="H298" i="1"/>
  <c r="J298" i="1" s="1"/>
  <c r="H2" i="1"/>
  <c r="J2" i="1" s="1"/>
  <c r="H13" i="1"/>
  <c r="J13" i="1" s="1"/>
  <c r="H16" i="1"/>
  <c r="J16" i="1" s="1"/>
  <c r="H19" i="1"/>
  <c r="J19" i="1" s="1"/>
  <c r="H22" i="1"/>
  <c r="J22" i="1" s="1"/>
  <c r="H25" i="1"/>
  <c r="J25" i="1" s="1"/>
  <c r="H28" i="1"/>
  <c r="J28" i="1" s="1"/>
  <c r="H31" i="1"/>
  <c r="J31" i="1" s="1"/>
  <c r="H34" i="1"/>
  <c r="J34" i="1" s="1"/>
  <c r="H37" i="1"/>
  <c r="J37" i="1" s="1"/>
  <c r="H40" i="1"/>
  <c r="J40" i="1" s="1"/>
  <c r="H43" i="1"/>
  <c r="J43" i="1" s="1"/>
  <c r="H46" i="1"/>
  <c r="J46" i="1" s="1"/>
  <c r="H49" i="1"/>
  <c r="J49" i="1" s="1"/>
  <c r="H52" i="1"/>
  <c r="J52" i="1" s="1"/>
  <c r="H55" i="1"/>
  <c r="J55" i="1" s="1"/>
  <c r="H58" i="1"/>
  <c r="J58" i="1" s="1"/>
  <c r="H61" i="1"/>
  <c r="J61" i="1" s="1"/>
  <c r="H64" i="1"/>
  <c r="J64" i="1" s="1"/>
  <c r="H141" i="1"/>
  <c r="J141" i="1" s="1"/>
  <c r="H144" i="1"/>
  <c r="J144" i="1" s="1"/>
  <c r="H147" i="1"/>
  <c r="J147" i="1" s="1"/>
  <c r="H150" i="1"/>
  <c r="J150" i="1" s="1"/>
  <c r="H153" i="1"/>
  <c r="J153" i="1" s="1"/>
  <c r="H156" i="1"/>
  <c r="J156" i="1" s="1"/>
  <c r="H159" i="1"/>
  <c r="J159" i="1" s="1"/>
  <c r="H169" i="1"/>
  <c r="J169" i="1" s="1"/>
  <c r="H180" i="1"/>
  <c r="J180" i="1" s="1"/>
  <c r="H189" i="1"/>
  <c r="J189" i="1" s="1"/>
  <c r="H198" i="1"/>
  <c r="J198" i="1" s="1"/>
  <c r="H213" i="1"/>
  <c r="J213" i="1" s="1"/>
  <c r="H217" i="1"/>
  <c r="J217" i="1" s="1"/>
  <c r="H219" i="1"/>
  <c r="J219" i="1" s="1"/>
  <c r="H246" i="1"/>
  <c r="J246" i="1" s="1"/>
  <c r="H254" i="1"/>
  <c r="J254" i="1" s="1"/>
  <c r="H255" i="1"/>
  <c r="J255" i="1" s="1"/>
  <c r="H274" i="1"/>
  <c r="J274" i="1" s="1"/>
  <c r="H279" i="1"/>
  <c r="J279" i="1" s="1"/>
  <c r="H288" i="1"/>
  <c r="J288" i="1" s="1"/>
  <c r="H368" i="1"/>
  <c r="J368" i="1" s="1"/>
  <c r="H369" i="1"/>
  <c r="J369" i="1" s="1"/>
  <c r="H373" i="1"/>
  <c r="J373" i="1" s="1"/>
  <c r="H387" i="1"/>
  <c r="J387" i="1" s="1"/>
  <c r="H408" i="1"/>
  <c r="J408" i="1" s="1"/>
  <c r="H409" i="1"/>
  <c r="J409" i="1" s="1"/>
  <c r="H412" i="1"/>
  <c r="J412" i="1" s="1"/>
  <c r="H416" i="1"/>
  <c r="J416" i="1" s="1"/>
  <c r="H449" i="1"/>
  <c r="J449" i="1" s="1"/>
  <c r="H450" i="1"/>
  <c r="J450" i="1" s="1"/>
  <c r="H454" i="1"/>
  <c r="J454" i="1" s="1"/>
  <c r="H468" i="1"/>
  <c r="J468" i="1" s="1"/>
  <c r="H521" i="1"/>
  <c r="J521" i="1" s="1"/>
  <c r="H534" i="1"/>
  <c r="J534" i="1" s="1"/>
  <c r="H536" i="1"/>
  <c r="J536" i="1" s="1"/>
  <c r="H160" i="1"/>
  <c r="J160" i="1" s="1"/>
  <c r="H163" i="1"/>
  <c r="J163" i="1" s="1"/>
  <c r="H166" i="1"/>
  <c r="J166" i="1" s="1"/>
  <c r="H171" i="1"/>
  <c r="J171" i="1" s="1"/>
  <c r="H174" i="1"/>
  <c r="J174" i="1" s="1"/>
  <c r="H178" i="1"/>
  <c r="J178" i="1" s="1"/>
  <c r="H177" i="1"/>
  <c r="J177" i="1" s="1"/>
  <c r="H184" i="1"/>
  <c r="J184" i="1" s="1"/>
  <c r="H187" i="1"/>
  <c r="J187" i="1" s="1"/>
  <c r="H190" i="1"/>
  <c r="J190" i="1" s="1"/>
  <c r="H193" i="1"/>
  <c r="J193" i="1" s="1"/>
  <c r="H196" i="1"/>
  <c r="J196" i="1" s="1"/>
  <c r="H199" i="1"/>
  <c r="J199" i="1" s="1"/>
  <c r="H207" i="1"/>
  <c r="J207" i="1" s="1"/>
  <c r="H216" i="1"/>
  <c r="J216" i="1" s="1"/>
  <c r="H227" i="1"/>
  <c r="J227" i="1" s="1"/>
  <c r="H253" i="1"/>
  <c r="J253" i="1" s="1"/>
  <c r="H273" i="1"/>
  <c r="J273" i="1" s="1"/>
  <c r="H296" i="1"/>
  <c r="J296" i="1" s="1"/>
  <c r="H302" i="1"/>
  <c r="J302" i="1" s="1"/>
  <c r="H304" i="1"/>
  <c r="J304" i="1" s="1"/>
  <c r="H308" i="1"/>
  <c r="J308" i="1" s="1"/>
  <c r="H312" i="1"/>
  <c r="J312" i="1" s="1"/>
  <c r="H313" i="1"/>
  <c r="J313" i="1" s="1"/>
  <c r="H316" i="1"/>
  <c r="J316" i="1" s="1"/>
  <c r="H320" i="1"/>
  <c r="J320" i="1" s="1"/>
  <c r="H322" i="1"/>
  <c r="J322" i="1" s="1"/>
  <c r="H325" i="1"/>
  <c r="J325" i="1" s="1"/>
  <c r="H329" i="1"/>
  <c r="J329" i="1" s="1"/>
  <c r="H333" i="1"/>
  <c r="J333" i="1" s="1"/>
  <c r="H336" i="1"/>
  <c r="J336" i="1" s="1"/>
  <c r="H340" i="1"/>
  <c r="J340" i="1" s="1"/>
  <c r="H342" i="1"/>
  <c r="J342" i="1" s="1"/>
  <c r="H345" i="1"/>
  <c r="J345" i="1" s="1"/>
  <c r="H349" i="1"/>
  <c r="J349" i="1" s="1"/>
  <c r="H351" i="1"/>
  <c r="J351" i="1" s="1"/>
  <c r="H354" i="1"/>
  <c r="J354" i="1" s="1"/>
  <c r="H357" i="1"/>
  <c r="J357" i="1" s="1"/>
  <c r="H359" i="1"/>
  <c r="J359" i="1" s="1"/>
  <c r="H363" i="1"/>
  <c r="J363" i="1" s="1"/>
  <c r="H367" i="1"/>
  <c r="J367" i="1" s="1"/>
  <c r="H397" i="1"/>
  <c r="J397" i="1" s="1"/>
  <c r="H400" i="1"/>
  <c r="J400" i="1" s="1"/>
  <c r="H403" i="1"/>
  <c r="J403" i="1" s="1"/>
  <c r="H407" i="1"/>
  <c r="J407" i="1" s="1"/>
  <c r="H436" i="1"/>
  <c r="J436" i="1" s="1"/>
  <c r="H439" i="1"/>
  <c r="J439" i="1" s="1"/>
  <c r="H444" i="1"/>
  <c r="J444" i="1" s="1"/>
  <c r="H448" i="1"/>
  <c r="J448" i="1" s="1"/>
  <c r="H457" i="1"/>
  <c r="J457" i="1" s="1"/>
  <c r="H463" i="1"/>
  <c r="J463" i="1" s="1"/>
  <c r="H467" i="1"/>
  <c r="J467" i="1" s="1"/>
  <c r="H458" i="1"/>
  <c r="J458" i="1" s="1"/>
  <c r="H466" i="1"/>
  <c r="J466" i="1" s="1"/>
  <c r="H469" i="1"/>
  <c r="J469" i="1" s="1"/>
  <c r="H472" i="1"/>
  <c r="J472" i="1" s="1"/>
  <c r="H476" i="1"/>
  <c r="J476" i="1" s="1"/>
  <c r="H488" i="1"/>
  <c r="J488" i="1" s="1"/>
  <c r="H503" i="1"/>
  <c r="J503" i="1" s="1"/>
  <c r="H514" i="1"/>
  <c r="J514" i="1" s="1"/>
  <c r="H522" i="1"/>
  <c r="J522" i="1" s="1"/>
  <c r="H525" i="1"/>
  <c r="J525" i="1" s="1"/>
  <c r="H529" i="1"/>
  <c r="J529" i="1" s="1"/>
  <c r="H535" i="1"/>
  <c r="J535" i="1" s="1"/>
  <c r="H538" i="1"/>
  <c r="J538" i="1" s="1"/>
  <c r="H542" i="1"/>
  <c r="J542" i="1" s="1"/>
  <c r="H548" i="1"/>
  <c r="J548" i="1" s="1"/>
  <c r="H552" i="1"/>
  <c r="J552" i="1" s="1"/>
  <c r="H553" i="1"/>
  <c r="J553" i="1" s="1"/>
  <c r="H561" i="1"/>
  <c r="J561" i="1" s="1"/>
  <c r="H570" i="1"/>
  <c r="J570" i="1" s="1"/>
  <c r="H576" i="1"/>
  <c r="J576" i="1" s="1"/>
  <c r="H586" i="1"/>
  <c r="J586" i="1" s="1"/>
  <c r="H613" i="1"/>
  <c r="J613" i="1" s="1"/>
  <c r="H619" i="1"/>
  <c r="J619" i="1" s="1"/>
  <c r="H650" i="1"/>
  <c r="J650" i="1" s="1"/>
  <c r="H477" i="1"/>
  <c r="J477" i="1" s="1"/>
  <c r="H478" i="1"/>
  <c r="J478" i="1" s="1"/>
  <c r="H481" i="1"/>
  <c r="J481" i="1" s="1"/>
  <c r="H485" i="1"/>
  <c r="J485" i="1" s="1"/>
  <c r="H497" i="1"/>
  <c r="J497" i="1" s="1"/>
  <c r="H502" i="1"/>
  <c r="J502" i="1" s="1"/>
  <c r="H515" i="1"/>
  <c r="J515" i="1" s="1"/>
  <c r="H516" i="1"/>
  <c r="J516" i="1" s="1"/>
  <c r="H531" i="1"/>
  <c r="J531" i="1" s="1"/>
  <c r="H533" i="1"/>
  <c r="J533" i="1" s="1"/>
  <c r="H556" i="1"/>
  <c r="J556" i="1" s="1"/>
  <c r="H558" i="1"/>
  <c r="J558" i="1" s="1"/>
  <c r="H590" i="1"/>
  <c r="J590" i="1" s="1"/>
  <c r="H595" i="1"/>
  <c r="J595" i="1" s="1"/>
  <c r="H597" i="1"/>
  <c r="J597" i="1" s="1"/>
  <c r="H600" i="1"/>
  <c r="J600" i="1" s="1"/>
  <c r="H630" i="1"/>
  <c r="J630" i="1" s="1"/>
  <c r="H633" i="1"/>
  <c r="J633" i="1" s="1"/>
  <c r="H641" i="1"/>
  <c r="J641" i="1" s="1"/>
  <c r="H654" i="1"/>
  <c r="J654" i="1" s="1"/>
  <c r="H660" i="1"/>
  <c r="J660" i="1" s="1"/>
  <c r="H664" i="1"/>
  <c r="J664" i="1" s="1"/>
  <c r="H673" i="1"/>
  <c r="J673" i="1" s="1"/>
  <c r="H683" i="1"/>
  <c r="J683" i="1" s="1"/>
  <c r="H686" i="1"/>
  <c r="J686" i="1" s="1"/>
  <c r="H689" i="1"/>
  <c r="J689" i="1" s="1"/>
  <c r="H712" i="1"/>
  <c r="J712" i="1" s="1"/>
  <c r="H715" i="1"/>
  <c r="J715" i="1" s="1"/>
  <c r="H727" i="1"/>
  <c r="J727" i="1" s="1"/>
  <c r="H575" i="1"/>
  <c r="J575" i="1" s="1"/>
  <c r="H580" i="1"/>
  <c r="J580" i="1" s="1"/>
  <c r="H589" i="1"/>
  <c r="J589" i="1" s="1"/>
  <c r="H591" i="1"/>
  <c r="J591" i="1" s="1"/>
  <c r="H624" i="1"/>
  <c r="J624" i="1" s="1"/>
  <c r="H629" i="1"/>
  <c r="J629" i="1" s="1"/>
  <c r="H631" i="1"/>
  <c r="J631" i="1" s="1"/>
  <c r="H649" i="1"/>
  <c r="J649" i="1" s="1"/>
  <c r="H651" i="1"/>
  <c r="J651" i="1" s="1"/>
  <c r="H655" i="1"/>
  <c r="J655" i="1" s="1"/>
  <c r="H661" i="1"/>
  <c r="J661" i="1" s="1"/>
  <c r="H674" i="1"/>
  <c r="J674" i="1" s="1"/>
  <c r="H678" i="1"/>
  <c r="J678" i="1" s="1"/>
  <c r="H679" i="1"/>
  <c r="J679" i="1" s="1"/>
  <c r="H693" i="1"/>
  <c r="J693" i="1" s="1"/>
  <c r="H697" i="1"/>
  <c r="J697" i="1" s="1"/>
  <c r="H700" i="1"/>
  <c r="J700" i="1" s="1"/>
  <c r="H710" i="1"/>
  <c r="J710" i="1" s="1"/>
  <c r="H718" i="1"/>
  <c r="J718" i="1" s="1"/>
  <c r="H722" i="1"/>
  <c r="J722" i="1" s="1"/>
  <c r="H732" i="1"/>
  <c r="J732" i="1" s="1"/>
  <c r="H742" i="1"/>
  <c r="J742" i="1" s="1"/>
  <c r="H762" i="1"/>
  <c r="J762" i="1" s="1"/>
  <c r="H668" i="1"/>
  <c r="J668" i="1" s="1"/>
  <c r="H682" i="1"/>
  <c r="J682" i="1" s="1"/>
  <c r="H684" i="1"/>
  <c r="J684" i="1" s="1"/>
  <c r="H692" i="1"/>
  <c r="J692" i="1" s="1"/>
  <c r="H694" i="1"/>
  <c r="J694" i="1" s="1"/>
  <c r="H701" i="1"/>
  <c r="J701" i="1" s="1"/>
  <c r="H703" i="1"/>
  <c r="J703" i="1" s="1"/>
  <c r="H716" i="1"/>
  <c r="J716" i="1" s="1"/>
  <c r="H730" i="1"/>
  <c r="J730" i="1" s="1"/>
  <c r="H735" i="1"/>
  <c r="J735" i="1" s="1"/>
  <c r="H741" i="1"/>
  <c r="J741" i="1" s="1"/>
  <c r="H745" i="1"/>
  <c r="J745" i="1" s="1"/>
  <c r="H747" i="1"/>
  <c r="J747" i="1" s="1"/>
  <c r="H754" i="1"/>
  <c r="J754" i="1" s="1"/>
  <c r="H757" i="1"/>
  <c r="J757" i="1" s="1"/>
  <c r="H760" i="1"/>
  <c r="J760" i="1" s="1"/>
  <c r="H768" i="1"/>
  <c r="J768" i="1" s="1"/>
  <c r="H770" i="1"/>
  <c r="J770" i="1" s="1"/>
  <c r="H771" i="1"/>
  <c r="J771" i="1" s="1"/>
  <c r="H733" i="1"/>
  <c r="J733" i="1" s="1"/>
  <c r="H743" i="1"/>
  <c r="J743" i="1" s="1"/>
  <c r="H769" i="1"/>
  <c r="J769" i="1" s="1"/>
  <c r="H779" i="1"/>
  <c r="J779" i="1" s="1"/>
  <c r="H782" i="1"/>
  <c r="J782" i="1" s="1"/>
  <c r="H785" i="1"/>
  <c r="J785" i="1" s="1"/>
  <c r="H788" i="1"/>
  <c r="J788" i="1" s="1"/>
  <c r="H791" i="1"/>
  <c r="J791" i="1" s="1"/>
  <c r="H67" i="1"/>
  <c r="J67" i="1" s="1"/>
  <c r="H69" i="1"/>
  <c r="J69" i="1" s="1"/>
  <c r="H70" i="1"/>
  <c r="J70" i="1" s="1"/>
  <c r="H72" i="1"/>
  <c r="J72" i="1" s="1"/>
  <c r="H73" i="1"/>
  <c r="J73" i="1" s="1"/>
  <c r="H75" i="1"/>
  <c r="J75" i="1" s="1"/>
  <c r="H76" i="1"/>
  <c r="J76" i="1" s="1"/>
  <c r="H80" i="1"/>
  <c r="J80" i="1" s="1"/>
  <c r="H81" i="1"/>
  <c r="J81" i="1" s="1"/>
  <c r="H82" i="1"/>
  <c r="J82" i="1" s="1"/>
  <c r="H83" i="1"/>
  <c r="J83" i="1" s="1"/>
  <c r="H85" i="1"/>
  <c r="J85" i="1" s="1"/>
  <c r="H86" i="1"/>
  <c r="J86" i="1" s="1"/>
  <c r="H89" i="1"/>
  <c r="J89" i="1" s="1"/>
  <c r="H90" i="1"/>
  <c r="J90" i="1" s="1"/>
  <c r="H95" i="1"/>
  <c r="J95" i="1" s="1"/>
  <c r="H96" i="1"/>
  <c r="J96" i="1" s="1"/>
  <c r="H98" i="1"/>
  <c r="J98" i="1" s="1"/>
  <c r="H99" i="1"/>
  <c r="J99" i="1" s="1"/>
  <c r="H101" i="1"/>
  <c r="J101" i="1" s="1"/>
  <c r="H103" i="1"/>
  <c r="J103" i="1" s="1"/>
  <c r="H105" i="1"/>
  <c r="J105" i="1" s="1"/>
  <c r="H106" i="1"/>
  <c r="J106" i="1" s="1"/>
  <c r="H108" i="1"/>
  <c r="J108" i="1" s="1"/>
  <c r="H109" i="1"/>
  <c r="J109" i="1" s="1"/>
  <c r="H118" i="1"/>
  <c r="J118" i="1" s="1"/>
  <c r="H121" i="1"/>
  <c r="J121" i="1" s="1"/>
  <c r="H122" i="1"/>
  <c r="J122" i="1" s="1"/>
  <c r="H124" i="1"/>
  <c r="J124" i="1" s="1"/>
  <c r="H125" i="1"/>
  <c r="J125" i="1" s="1"/>
  <c r="H127" i="1"/>
  <c r="J127" i="1" s="1"/>
  <c r="H128" i="1"/>
  <c r="J128" i="1" s="1"/>
  <c r="H130" i="1"/>
  <c r="J130" i="1" s="1"/>
  <c r="H131" i="1"/>
  <c r="J131" i="1" s="1"/>
  <c r="H133" i="1"/>
  <c r="J133" i="1" s="1"/>
  <c r="H134" i="1"/>
  <c r="J134" i="1" s="1"/>
  <c r="H136" i="1"/>
  <c r="J136" i="1" s="1"/>
  <c r="H137" i="1"/>
  <c r="J137" i="1" s="1"/>
  <c r="H139" i="1"/>
  <c r="J139" i="1" s="1"/>
  <c r="H140" i="1"/>
  <c r="J140" i="1" s="1"/>
  <c r="H386" i="1"/>
  <c r="J386" i="1" s="1"/>
  <c r="H415" i="1"/>
  <c r="J415" i="1" s="1"/>
  <c r="H66" i="1"/>
  <c r="J66" i="1" s="1"/>
  <c r="H111" i="1"/>
  <c r="J111" i="1" s="1"/>
  <c r="H113" i="1"/>
  <c r="J113" i="1" s="1"/>
  <c r="H114" i="1"/>
  <c r="J114" i="1" s="1"/>
  <c r="H117" i="1"/>
  <c r="J117" i="1" s="1"/>
  <c r="H249" i="1"/>
  <c r="J249" i="1" s="1"/>
  <c r="H269" i="1"/>
  <c r="J269" i="1" s="1"/>
  <c r="H287" i="1"/>
  <c r="J287" i="1" s="1"/>
  <c r="H299" i="1"/>
  <c r="J299" i="1" s="1"/>
  <c r="H366" i="1"/>
  <c r="J366" i="1" s="1"/>
  <c r="H406" i="1"/>
  <c r="J406" i="1" s="1"/>
  <c r="H447" i="1"/>
  <c r="J447" i="1" s="1"/>
  <c r="H475" i="1"/>
  <c r="J475" i="1" s="1"/>
  <c r="H250" i="1"/>
  <c r="J250" i="1" s="1"/>
  <c r="H270" i="1"/>
  <c r="J270" i="1" s="1"/>
  <c r="H285" i="1"/>
  <c r="J285" i="1" s="1"/>
  <c r="H297" i="1"/>
  <c r="J297" i="1" s="1"/>
  <c r="H317" i="1"/>
  <c r="J317" i="1" s="1"/>
  <c r="H384" i="1"/>
  <c r="J384" i="1" s="1"/>
  <c r="H404" i="1"/>
  <c r="J404" i="1" s="1"/>
  <c r="H413" i="1"/>
  <c r="J413" i="1" s="1"/>
  <c r="H422" i="1"/>
  <c r="J422" i="1" s="1"/>
  <c r="H500" i="1"/>
  <c r="J500" i="1" s="1"/>
  <c r="H509" i="1"/>
  <c r="J509" i="1" s="1"/>
  <c r="H563" i="1"/>
  <c r="J563" i="1" s="1"/>
  <c r="H573" i="1"/>
  <c r="J573" i="1" s="1"/>
  <c r="H205" i="1"/>
  <c r="J205" i="1" s="1"/>
  <c r="H214" i="1"/>
  <c r="J214" i="1" s="1"/>
  <c r="H225" i="1"/>
  <c r="J225" i="1" s="1"/>
  <c r="H294" i="1"/>
  <c r="J294" i="1" s="1"/>
  <c r="H309" i="1"/>
  <c r="J309" i="1" s="1"/>
  <c r="H326" i="1"/>
  <c r="J326" i="1" s="1"/>
  <c r="H337" i="1"/>
  <c r="J337" i="1" s="1"/>
  <c r="H346" i="1"/>
  <c r="J346" i="1" s="1"/>
  <c r="H362" i="1"/>
  <c r="J362" i="1" s="1"/>
  <c r="H364" i="1"/>
  <c r="J364" i="1" s="1"/>
  <c r="H395" i="1"/>
  <c r="J395" i="1" s="1"/>
  <c r="H445" i="1"/>
  <c r="J445" i="1" s="1"/>
  <c r="H455" i="1"/>
  <c r="J455" i="1" s="1"/>
  <c r="H464" i="1"/>
  <c r="J464" i="1" s="1"/>
  <c r="H473" i="1"/>
  <c r="J473" i="1" s="1"/>
  <c r="H482" i="1"/>
  <c r="J482" i="1" s="1"/>
  <c r="H491" i="1"/>
  <c r="J491" i="1" s="1"/>
  <c r="H211" i="1"/>
  <c r="J211" i="1" s="1"/>
  <c r="H220" i="1"/>
  <c r="J220" i="1" s="1"/>
  <c r="H247" i="1"/>
  <c r="J247" i="1" s="1"/>
  <c r="H256" i="1"/>
  <c r="J256" i="1" s="1"/>
  <c r="H282" i="1"/>
  <c r="J282" i="1" s="1"/>
  <c r="H291" i="1"/>
  <c r="J291" i="1" s="1"/>
  <c r="H305" i="1"/>
  <c r="J305" i="1" s="1"/>
  <c r="H314" i="1"/>
  <c r="J314" i="1" s="1"/>
  <c r="H323" i="1"/>
  <c r="J323" i="1" s="1"/>
  <c r="H334" i="1"/>
  <c r="J334" i="1" s="1"/>
  <c r="H343" i="1"/>
  <c r="J343" i="1" s="1"/>
  <c r="H352" i="1"/>
  <c r="J352" i="1" s="1"/>
  <c r="H360" i="1"/>
  <c r="J360" i="1" s="1"/>
  <c r="H370" i="1"/>
  <c r="J370" i="1" s="1"/>
  <c r="H401" i="1"/>
  <c r="J401" i="1" s="1"/>
  <c r="H410" i="1"/>
  <c r="J410" i="1" s="1"/>
  <c r="H419" i="1"/>
  <c r="J419" i="1" s="1"/>
  <c r="H440" i="1"/>
  <c r="J440" i="1" s="1"/>
  <c r="H451" i="1"/>
  <c r="J451" i="1" s="1"/>
  <c r="H461" i="1"/>
  <c r="J461" i="1" s="1"/>
  <c r="H470" i="1"/>
  <c r="J470" i="1" s="1"/>
  <c r="H479" i="1"/>
  <c r="J479" i="1" s="1"/>
  <c r="H492" i="1"/>
  <c r="J492" i="1" s="1"/>
  <c r="H495" i="1"/>
  <c r="J495" i="1" s="1"/>
  <c r="H501" i="1"/>
  <c r="J501" i="1" s="1"/>
  <c r="H504" i="1"/>
  <c r="J504" i="1" s="1"/>
  <c r="H519" i="1"/>
  <c r="J519" i="1" s="1"/>
  <c r="H528" i="1"/>
  <c r="J528" i="1" s="1"/>
  <c r="H532" i="1"/>
  <c r="J532" i="1" s="1"/>
  <c r="H541" i="1"/>
  <c r="J541" i="1" s="1"/>
  <c r="H547" i="1"/>
  <c r="J547" i="1" s="1"/>
  <c r="H564" i="1"/>
  <c r="J564" i="1" s="1"/>
  <c r="H568" i="1"/>
  <c r="J568" i="1" s="1"/>
  <c r="H603" i="1"/>
  <c r="J603" i="1" s="1"/>
  <c r="H658" i="1"/>
  <c r="J658" i="1" s="1"/>
  <c r="H665" i="1"/>
  <c r="J665" i="1" s="1"/>
  <c r="H489" i="1"/>
  <c r="J489" i="1" s="1"/>
  <c r="H498" i="1"/>
  <c r="J498" i="1" s="1"/>
  <c r="H507" i="1"/>
  <c r="J507" i="1" s="1"/>
  <c r="H517" i="1"/>
  <c r="J517" i="1" s="1"/>
  <c r="H526" i="1"/>
  <c r="J526" i="1" s="1"/>
  <c r="H530" i="1"/>
  <c r="J530" i="1" s="1"/>
  <c r="H539" i="1"/>
  <c r="J539" i="1" s="1"/>
  <c r="H544" i="1"/>
  <c r="J544" i="1" s="1"/>
  <c r="H545" i="1"/>
  <c r="J545" i="1" s="1"/>
  <c r="H550" i="1"/>
  <c r="J550" i="1" s="1"/>
  <c r="H559" i="1"/>
  <c r="J559" i="1" s="1"/>
  <c r="H571" i="1"/>
  <c r="J571" i="1" s="1"/>
  <c r="H583" i="1"/>
  <c r="J583" i="1" s="1"/>
  <c r="H593" i="1"/>
  <c r="J593" i="1" s="1"/>
  <c r="H706" i="1"/>
  <c r="J706" i="1" s="1"/>
  <c r="H676" i="1"/>
  <c r="J676" i="1" s="1"/>
  <c r="H707" i="1"/>
  <c r="J707" i="1" s="1"/>
  <c r="H601" i="1"/>
  <c r="J601" i="1" s="1"/>
  <c r="H616" i="1"/>
  <c r="J616" i="1" s="1"/>
  <c r="H632" i="1"/>
  <c r="J632" i="1" s="1"/>
  <c r="H653" i="1"/>
  <c r="J653" i="1" s="1"/>
  <c r="H659" i="1"/>
  <c r="J659" i="1" s="1"/>
  <c r="H677" i="1"/>
  <c r="J677" i="1" s="1"/>
  <c r="H725" i="1"/>
  <c r="J725" i="1" s="1"/>
  <c r="H656" i="1"/>
  <c r="J656" i="1" s="1"/>
  <c r="H663" i="1"/>
  <c r="J663" i="1" s="1"/>
  <c r="H672" i="1"/>
  <c r="J672" i="1" s="1"/>
  <c r="H685" i="1"/>
  <c r="J685" i="1" s="1"/>
  <c r="H695" i="1"/>
  <c r="J695" i="1" s="1"/>
  <c r="H704" i="1"/>
  <c r="J704" i="1" s="1"/>
  <c r="H717" i="1"/>
  <c r="J717" i="1" s="1"/>
  <c r="H720" i="1"/>
  <c r="J720" i="1" s="1"/>
  <c r="H726" i="1"/>
  <c r="J726" i="1" s="1"/>
  <c r="H731" i="1"/>
  <c r="J731" i="1" s="1"/>
  <c r="H751" i="1"/>
  <c r="J751" i="1" s="1"/>
  <c r="H711" i="1"/>
  <c r="J711" i="1" s="1"/>
  <c r="H714" i="1"/>
  <c r="J714" i="1" s="1"/>
  <c r="H723" i="1"/>
  <c r="J723" i="1" s="1"/>
  <c r="H740" i="1"/>
  <c r="J740" i="1" s="1"/>
  <c r="H752" i="1"/>
  <c r="J752" i="1" s="1"/>
  <c r="H755" i="1"/>
  <c r="J755" i="1" s="1"/>
  <c r="H728" i="1"/>
  <c r="J728" i="1" s="1"/>
  <c r="H734" i="1"/>
  <c r="J734" i="1" s="1"/>
  <c r="H748" i="1"/>
  <c r="J748" i="1" s="1"/>
  <c r="H765" i="1"/>
  <c r="J765" i="1" s="1"/>
  <c r="H763" i="1"/>
  <c r="J763" i="1" s="1"/>
  <c r="H772" i="1"/>
  <c r="J772" i="1" s="1"/>
  <c r="H792" i="1"/>
  <c r="J792" i="1" s="1"/>
  <c r="H784" i="1"/>
  <c r="J784" i="1" s="1"/>
  <c r="H789" i="1"/>
  <c r="J789" i="1" s="1"/>
  <c r="H790" i="1"/>
  <c r="J790"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<sst xmlns="http://schemas.openxmlformats.org/spreadsheetml/2006/main" count="11868" uniqueCount="5394">
  <si>
    <t>Citation (APA 7th-Annotated)</t>
  </si>
  <si>
    <t>sequence</t>
  </si>
  <si>
    <t>DOI if different from article or doi Alt</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</si>
  <si>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</si>
  <si>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</si>
  <si>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</si>
  <si>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</si>
  <si>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</si>
  <si>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</si>
  <si>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</si>
  <si>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</si>
  <si>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</si>
  <si>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</si>
  <si>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</si>
  <si>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</si>
  <si>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</si>
  <si>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</si>
  <si>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</si>
  <si>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</si>
  <si>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</si>
  <si>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</si>
  <si>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</si>
  <si>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</si>
  <si>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</si>
  <si>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</si>
  <si>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</si>
  <si>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</si>
  <si>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</si>
  <si>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</si>
  <si>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</si>
  <si>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</si>
  <si>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</si>
  <si>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</si>
  <si>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</si>
  <si>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Amunts, K., Kedo, O., Kindler, M., Pieperhoff, P., Mohlberg, H., Shah, N. J., Habel, U., Schneider, F., &amp; Zilles, K. (2005). Cytoarchitectonic mapping of the human amygdala, hippocampal region and entorhinal cortex: intersubject variability and probability maps. Anatomy and Embryology, 210(5–6), 343–352. https://doi.org/10.1007/s00429-005-0025-5</t>
  </si>
  <si>
    <t>Table1</t>
  </si>
  <si>
    <t>Table 1. Volumes (in mm3, means with standard deviation, N=10)</t>
  </si>
  <si>
    <t>PDF Table 1; faithful CSV transcription</t>
  </si>
  <si>
    <t>10 adults (5 female, 5 male); retain Table 1 over inconsistent prose. Bilateral SD cannot be recovered without covariance.</t>
  </si>
  <si>
    <t>Built: snapshot, R, CSV, TSV, definitions; 2026-10-25</t>
  </si>
  <si>
    <t>Amunts_etal_2005_Table1_snapshot.csv</t>
  </si>
  <si>
    <t>https://doi.org/10.1007/s00429-005-0025-5</t>
  </si>
  <si>
    <t>Regional brain volumes</t>
  </si>
  <si>
    <t>Homo sapiens</t>
  </si>
  <si>
    <t>Amygdala, hippocampus and subregions, entorhinal cortex</t>
  </si>
  <si>
    <t>Human postmortem histology</t>
  </si>
  <si>
    <t>Cytoarchitectonic planimetry with individual shrinkage correction</t>
  </si>
  <si>
    <t>Volume mm3; mean and SD; left/right and derived bilateral means</t>
  </si>
  <si>
    <t>Zilles</t>
  </si>
  <si>
    <t>Zilles/Amunts</t>
  </si>
  <si>
    <t>primary</t>
  </si>
  <si>
    <t>Pending human RA; AI checked against PDF page 346 on 2026-10-25</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</si>
  <si>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</si>
  <si>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</si>
  <si>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</si>
  <si>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</si>
  <si>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</si>
  <si>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</si>
  <si>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</si>
  <si>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</si>
  <si>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</si>
  <si>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</si>
  <si>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</si>
  <si>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</si>
  <si>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</si>
  <si>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</si>
  <si>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</si>
  <si>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</si>
  <si>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</si>
  <si>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</si>
  <si>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</si>
  <si>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</si>
  <si>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</si>
  <si>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</si>
  <si>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</si>
  <si>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</si>
  <si>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</si>
  <si>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</si>
  <si>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</si>
  <si>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</si>
  <si>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</si>
  <si>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</si>
  <si>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</si>
  <si>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</si>
  <si>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</si>
  <si>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</si>
  <si>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</si>
  <si>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</si>
  <si>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</si>
  <si>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</si>
  <si>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</si>
  <si>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</si>
  <si>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</si>
  <si>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Text</t>
  </si>
  <si>
    <t>Figure 1</t>
  </si>
  <si>
    <t>Fig. 1. Underwater audiograms of: 1, the northern fur seal; 2, the common seal [5]; 3, the Californian sea lion [10].</t>
  </si>
  <si>
    <t>figure; library scan (300 ppi), legible; the fur seal's 30-kHz point (seen in Fig. 3) is not visible, probably under a sea lion marker</t>
  </si>
  <si>
    <t>Registry row added 2026-10-26 (Copilot). Curve 1 (northern fur seal, water; 12 points) digitised from the 300-ppi scan of p. 911; curves 2-3 (common seal [5], Californian sea lion [10]) not digitised. Cross-checked against Fig. 3 (water curve): 11 of 12 pairs within 2 dB (median +0.3 dB); Fig. 3's 30-kHz point has no circle here. See item README and Babushina_etal_1991_Figures1-3_crosscheck.csv.</t>
  </si>
  <si>
    <t>Snapshot only (digitised 2026-10-26); R, CSV, TSV and definitions not built</t>
  </si>
  <si>
    <t>Babushina_etal_1991_Figure1_snapshot.csv</t>
  </si>
  <si>
    <t>Values read from a figure (about ±1 dB, ±0.01 decade); the 14-kHz point (P08, -35 dB) is 6 dB above the text's -41 . . -45 dB best range</t>
  </si>
  <si>
    <t>sensory hearing</t>
  </si>
  <si>
    <t>Callorhinus ursinus (1 individual)</t>
  </si>
  <si>
    <t>audiogram thresholds (water)</t>
  </si>
  <si>
    <t>behavioral (instrumental conditioned reflexes)</t>
  </si>
  <si>
    <t>instrumental conditioned reflexes; threshold at 75% positive reactions; figure digitised</t>
  </si>
  <si>
    <t>threshold (dB re 1 µbar) by frequency (lg f, kHz)</t>
  </si>
  <si>
    <t>Babushina</t>
  </si>
  <si>
    <t>Human-check the digitised points, then build R/CSV/TSV (convert to dB re 1 µPa in R)</t>
  </si>
  <si>
    <t>Pending human RA; AI digitised and checked against the 300-ppi scan on 2026-10-26</t>
  </si>
  <si>
    <t>Figure 2</t>
  </si>
  <si>
    <t>Fig. 2. Air audiograms of: 1, the northern fur seal; 2, the common seal [5]; 3, the Californian sea lion [8]; 4, humans [17].</t>
  </si>
  <si>
    <t>figure; library scan (300 ppi), legible; markers overlap at about 2 and 10 kHz</t>
  </si>
  <si>
    <t>Registry row added 2026-10-26 (Copilot). Curve 1 (northern fur seal, air; 11 points) digitised from the 300-ppi scan of p. 911; curves 2-4 (common seal [5], Californian sea lion [8], humans [17]) not digitised. Derived 60-dB SPL low-frequency limit about 190 Hz (Heffner et al. 2006, Fig. 6 bin F: 161-250 Hz); 60 dB not reached at the high end (tested to 25 kHz). See item README. Cross-checked against Fig. 3 (air curve): 11 of 11 points within 1 dB after conversion (median -0.5 dB); see Babushina_etal_1991_Figures1-3_crosscheck.csv.</t>
  </si>
  <si>
    <t>Babushina_etal_1991_Figure2_snapshot.csv</t>
  </si>
  <si>
    <t>Values read from a figure (about ±1 dB, ±0.01 decade); two markers overlap other curves' markers (P06, P08)</t>
  </si>
  <si>
    <t>audiogram thresholds (air)</t>
  </si>
  <si>
    <t>60-dB hearing range (low-frequency limit)</t>
  </si>
  <si>
    <t>threshold (dB re 0.0002 dyne/cm², i.e. dB SPL) by frequency (lg f, kHz)</t>
  </si>
  <si>
    <t>Human-check the digitised points, then build R/CSV/TSV and compute the 60-dB limits in R</t>
  </si>
  <si>
    <t>Figure 3</t>
  </si>
  <si>
    <t>Fig. 3. Sensitivity of hearing of the northern fur seal in water (1) and air (2).</t>
  </si>
  <si>
    <t>figure; library scan (300 ppi), legible; filled (water) and open (air) circles distinct</t>
  </si>
  <si>
    <t>Registry row added 2026-10-26 (Copilot). Both fur seal curves digitised from the 300-ppi scan of p. 912: water (13 points) and air (11 points), intensity in dB re 1 µW/cm². Replots Figs 1-2: converted with I = p²/ρc, air agrees 11 of 11 within 1 dB and water 11 of 12 within 2 dB; one water point (about 30 kHz) has no Fig. 1 counterpart. Water 17-18 dB more sensitive than air at 5-10 kHz (text: 15-20 dB). See item README and Babushina_etal_1991_Figures1-3_crosscheck.csv.</t>
  </si>
  <si>
    <t>Babushina_etal_1991_Figure3_snapshot.csv</t>
  </si>
  <si>
    <t>Values read from a figure (about ±1 dB, ±0.01 decade); intensity scale, not pressure; ρc not stated in the paper</t>
  </si>
  <si>
    <t>audiogram thresholds (water and air, intensity)</t>
  </si>
  <si>
    <t>water vs air sensitivity difference</t>
  </si>
  <si>
    <t>threshold (dB re 1 µW/cm²) by frequency (lg f, kHz)</t>
  </si>
  <si>
    <t>Human-check the digitised points; mainly a check on Figs 1-2 (adds the 30-kHz water point)</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</si>
  <si>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</si>
  <si>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</si>
  <si>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</si>
  <si>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</si>
  <si>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</si>
  <si>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</si>
  <si>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</si>
  <si>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</si>
  <si>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</si>
  <si>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</si>
  <si>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</si>
  <si>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</si>
  <si>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</si>
  <si>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</si>
  <si>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</si>
  <si>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TABLE 2</t>
  </si>
  <si>
    <t>TABLE 2. Estimates of cell numbers and ratios in the human spinal cord</t>
  </si>
  <si>
    <t>TABLE 3</t>
  </si>
  <si>
    <t>TABLE 3. Glia–neuron ratios (GNRs) for cerebral cortex, cerebellum, and spinal cord in different vertebrate species</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</si>
  <si>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</si>
  <si>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</si>
  <si>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</si>
  <si>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</si>
  <si>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</si>
  <si>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</si>
  <si>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</si>
  <si>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</si>
  <si>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</si>
  <si>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</si>
  <si>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</si>
  <si>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</si>
  <si>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</si>
  <si>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</si>
  <si>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</si>
  <si>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</si>
  <si>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</si>
  <si>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</si>
  <si>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</si>
  <si>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</si>
  <si>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</si>
  <si>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</si>
  <si>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</si>
  <si>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</si>
  <si>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</si>
  <si>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</si>
  <si>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</si>
  <si>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</si>
  <si>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</si>
  <si>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</si>
  <si>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</si>
  <si>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</si>
  <si>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</si>
  <si>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</si>
  <si>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</si>
  <si>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</si>
  <si>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</si>
  <si>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</si>
  <si>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</si>
  <si>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</si>
  <si>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</si>
  <si>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</si>
  <si>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</si>
  <si>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</si>
  <si>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</si>
  <si>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</si>
  <si>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</si>
  <si>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</si>
  <si>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</si>
  <si>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</si>
  <si>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</si>
  <si>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</si>
  <si>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</si>
  <si>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</si>
  <si>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</si>
  <si>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</si>
  <si>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</si>
  <si>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</si>
  <si>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</si>
  <si>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</si>
  <si>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</si>
  <si>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</si>
  <si>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</si>
  <si>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</si>
  <si>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</si>
  <si>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</si>
  <si>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</si>
  <si>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</si>
  <si>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</si>
  <si>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</si>
  <si>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</si>
  <si>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</si>
  <si>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</si>
  <si>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</si>
  <si>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</si>
  <si>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</si>
  <si>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</si>
  <si>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</si>
  <si>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</si>
  <si>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</si>
  <si>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</si>
  <si>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</si>
  <si>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</si>
  <si>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</si>
  <si>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</si>
  <si>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</si>
  <si>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</si>
  <si>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</si>
  <si>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</si>
  <si>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</si>
  <si>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</si>
  <si>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</si>
  <si>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</si>
  <si>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</si>
  <si>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</si>
  <si>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</si>
  <si>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</si>
  <si>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</si>
  <si>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</si>
  <si>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</si>
  <si>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</si>
  <si>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</si>
  <si>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</si>
  <si>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</si>
  <si>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</si>
  <si>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</si>
  <si>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</si>
  <si>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</si>
  <si>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</si>
  <si>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</si>
  <si>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</si>
  <si>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</si>
  <si>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</si>
  <si>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</si>
  <si>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</si>
  <si>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</si>
  <si>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</si>
  <si>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</si>
  <si>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</si>
  <si>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</si>
  <si>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</si>
  <si>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</si>
  <si>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</si>
  <si>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</si>
  <si>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</si>
  <si>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</si>
  <si>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</si>
  <si>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</si>
  <si>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</si>
  <si>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</si>
  <si>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</si>
  <si>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</si>
  <si>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</si>
  <si>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</si>
  <si>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</si>
  <si>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</si>
  <si>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</si>
  <si>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</si>
  <si>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</si>
  <si>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</si>
  <si>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</si>
  <si>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</si>
  <si>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</si>
  <si>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</si>
  <si>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</si>
  <si>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</si>
  <si>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</si>
  <si>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</si>
  <si>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</si>
  <si>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</si>
  <si>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</si>
  <si>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</si>
  <si>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</si>
  <si>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</si>
  <si>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</si>
  <si>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</si>
  <si>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</si>
  <si>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</si>
  <si>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</si>
  <si>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</si>
  <si>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Bartlett, T. Q. (2003). Intragroup and intergroup social interactions in white-handed gibbons. International Journal of Primatology, 24(2), 239–259. https://doi.org/10.1023/A:1023088814263</t>
  </si>
  <si>
    <t>Figure4</t>
  </si>
  <si>
    <t>Constructed exact endpoint snapshot</t>
  </si>
  <si>
    <t>Constructed exact endpoints from adjacent prose. Juveniles are included in immatures; rows overlap and must not be averaged. Percentage of social activity, not total activity.
Exact reported endpoints; full response curves not digitized.</t>
  </si>
  <si>
    <t>BUILT; WIRED LOCALLY; validation passed; hosted app not published in this batch</t>
  </si>
  <si>
    <t>Bartlett__2003_Figure4_snapshot.csv</t>
  </si>
  <si>
    <t>https://doi.org/10.1023/A:1023088814263</t>
  </si>
  <si>
    <t>Missingness, intervals, repeated subjects and secondary provenance retained</t>
  </si>
  <si>
    <t>See item README and value/source provenance</t>
  </si>
  <si>
    <t>evidence</t>
  </si>
  <si>
    <t>Mammalia</t>
  </si>
  <si>
    <t>Play_share_of_social_activity.pct</t>
  </si>
  <si>
    <t>Field behavioural observations</t>
  </si>
  <si>
    <t>Behaviour / morphology (verify item)</t>
  </si>
  <si>
    <t>Bartlett__2003</t>
  </si>
  <si>
    <t>Use source-aware domain merges. Reused compilation values and secondary covariates are not counted as independent primary datasets. Full batch coverage and intentional exclusions: ____TODO/Nick_Fran_sources_2026-10-24/build_status.csv. Human snapshot review status is recorded separately.</t>
  </si>
  <si>
    <t>Pending human sign-off; assistant source inspection 2026-10-25</t>
  </si>
  <si>
    <t>Figure5</t>
  </si>
  <si>
    <t>Constructed endpoints from Figure5</t>
  </si>
  <si>
    <t>Digitized stacked bars: play is the upper segment height, not the total bar height. Monthly activity-budget percentages; approximate to 0.1 percentage point, conservative reading tolerance ±0.2. These are seasonal measurements, not 12 independent species or a new annual mean. Axis calibration and pixel positions in reference_tables/Figure5_digitization.json.
Digitized monthly stacked bars, approximate ±0.2 percentage points; not an annual average.</t>
  </si>
  <si>
    <t>Bartlett__2003_Figure5_snapshot.csv</t>
  </si>
  <si>
    <t>Play_time.pct; Groom_time.pct</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</si>
  <si>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</si>
  <si>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</si>
  <si>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</si>
  <si>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</si>
  <si>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Benson-Amram, S., Dantzer, B., Stricker, G., Swanson, E. M., &amp; Holekamp, K. E. (2016). Brain size predicts problem-solving ability in mammalian carnivores. Proceedings of the National Academy of Sciences, 113(9), 2532–2537. https://doi.org/10.1073/pnas.1505913113</t>
  </si>
  <si>
    <t>DatasetS1</t>
  </si>
  <si>
    <t>Dataset S1. Data used in the analyses (sheet table s1 revised)</t>
  </si>
  <si>
    <t>Journal XLSX</t>
  </si>
  <si>
    <t>495 trials; 140 individuals; 39 species. Repeated species anatomy is secondary, never 495 independent brain measurements.</t>
  </si>
  <si>
    <t>BensonAmram_etal_2016_DatasetS1_snapshot.xlsx</t>
  </si>
  <si>
    <t>https://doi.org/10.1073/pnas.1505913113</t>
  </si>
  <si>
    <t>Anatomy covariates excluded from primary volume merge; first-trial-only scores retain missingness</t>
  </si>
  <si>
    <t>Cognition</t>
  </si>
  <si>
    <t>Carnivora</t>
  </si>
  <si>
    <t>Puzzle-box success, approach latency, working time, behavioral diversity, dexterity</t>
  </si>
  <si>
    <t>Secondary body mass, brain/endocast volumes and group size</t>
  </si>
  <si>
    <t>Captive behavioral trials</t>
  </si>
  <si>
    <t>Experimental puzzle-box task</t>
  </si>
  <si>
    <t>Trial-level binary response; seconds; scores</t>
  </si>
  <si>
    <t>Holekamp</t>
  </si>
  <si>
    <t>Finarelli and Flynn 2009; Swanson et al. 2012; group size sources in article</t>
  </si>
  <si>
    <t>Not applicable: tabulated and digital already</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</si>
  <si>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</si>
  <si>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</si>
  <si>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</si>
  <si>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</si>
  <si>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</si>
  <si>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</si>
  <si>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</si>
  <si>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</si>
  <si>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</si>
  <si>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</si>
  <si>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</si>
  <si>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</si>
  <si>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</si>
  <si>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</si>
  <si>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</si>
  <si>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</si>
  <si>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</si>
  <si>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</si>
  <si>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</si>
  <si>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</si>
  <si>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</si>
  <si>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</si>
  <si>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</si>
  <si>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</si>
  <si>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</si>
  <si>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</si>
  <si>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</si>
  <si>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</si>
  <si>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</si>
  <si>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</si>
  <si>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</si>
  <si>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</si>
  <si>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</si>
  <si>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</si>
  <si>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</si>
  <si>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</si>
  <si>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</si>
  <si>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</si>
  <si>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</si>
  <si>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</si>
  <si>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</si>
  <si>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</si>
  <si>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</si>
  <si>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</si>
  <si>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</si>
  <si>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</si>
  <si>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</si>
  <si>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</si>
  <si>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</si>
  <si>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</si>
  <si>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</si>
  <si>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</si>
  <si>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</si>
  <si>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</si>
  <si>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</si>
  <si>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</si>
  <si>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</si>
  <si>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</si>
  <si>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</si>
  <si>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</si>
  <si>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</si>
  <si>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</si>
  <si>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</si>
  <si>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</si>
  <si>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</si>
  <si>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</si>
  <si>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</si>
  <si>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</si>
  <si>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</si>
  <si>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</si>
  <si>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</si>
  <si>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</si>
  <si>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</si>
  <si>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</si>
  <si>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</si>
  <si>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</si>
  <si>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</si>
  <si>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</si>
  <si>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</si>
  <si>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</si>
  <si>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</si>
  <si>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</si>
  <si>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</si>
  <si>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</si>
  <si>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</si>
  <si>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</si>
  <si>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</si>
  <si>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</si>
  <si>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</si>
  <si>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</si>
  <si>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</si>
  <si>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</si>
  <si>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</si>
  <si>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</si>
  <si>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</si>
  <si>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</si>
  <si>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</si>
  <si>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</si>
  <si>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</si>
  <si>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</si>
  <si>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</si>
  <si>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</si>
  <si>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</si>
  <si>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</si>
  <si>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</si>
  <si>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</si>
  <si>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</si>
  <si>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</si>
  <si>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</si>
  <si>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</si>
  <si>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</si>
  <si>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</si>
  <si>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</si>
  <si>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</si>
  <si>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</si>
  <si>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</si>
  <si>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</si>
  <si>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</si>
  <si>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</si>
  <si>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</si>
  <si>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</si>
  <si>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</si>
  <si>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</si>
  <si>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</si>
  <si>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</si>
  <si>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</si>
  <si>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</si>
  <si>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</si>
  <si>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</si>
  <si>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</si>
  <si>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</si>
  <si>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</si>
  <si>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</si>
  <si>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</si>
  <si>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</si>
  <si>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</si>
  <si>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</si>
  <si>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</si>
  <si>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</si>
  <si>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</si>
  <si>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</si>
  <si>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</si>
  <si>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</si>
  <si>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</si>
  <si>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</si>
  <si>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</si>
  <si>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</si>
  <si>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</si>
  <si>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</si>
  <si>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</si>
  <si>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</si>
  <si>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</si>
  <si>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https://doi.org/10.1159/000123814</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</si>
  <si>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</si>
  <si>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</si>
  <si>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</si>
  <si>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</si>
  <si>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</si>
  <si>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</si>
  <si>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</si>
  <si>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</si>
  <si>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</si>
  <si>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Welker/Wisconsin</t>
  </si>
  <si>
    <t>Table 1. Quantitative comparisons of brains of capybara and guinea pig</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</si>
  <si>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</si>
  <si>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</si>
  <si>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</si>
  <si>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</si>
  <si>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</si>
  <si>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</si>
  <si>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</si>
  <si>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</si>
  <si>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</si>
  <si>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</si>
  <si>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</si>
  <si>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</si>
  <si>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</si>
  <si>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</si>
  <si>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</si>
  <si>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</si>
  <si>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</si>
  <si>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</si>
  <si>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</si>
  <si>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</si>
  <si>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</si>
  <si>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</si>
  <si>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</si>
  <si>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</si>
  <si>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</si>
  <si>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</si>
  <si>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</si>
  <si>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</si>
  <si>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</si>
  <si>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</si>
  <si>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</si>
  <si>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</si>
  <si>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</si>
  <si>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</si>
  <si>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</si>
  <si>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</si>
  <si>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Carnes, L. M., Nunn, C. L., &amp; Lewis, R. J. (2011). Effects of the Distribution of Female Primates on the Number of Males. PLoS ONE, 6(5), e19853. https://doi.org/10.1371/journal.pone.0019853</t>
  </si>
  <si>
    <t>TableS1</t>
  </si>
  <si>
    <t>Genus and species</t>
  </si>
  <si>
    <t>Transcribed published table</t>
  </si>
  <si>
    <t>Unless otherwise noted, data were drawn from the following sources: (Mitani et al. 1996; Nunn &amp; Barton 2000; Janson and Verdolin 2005; Treatman-Clark 2006; Campbell et al. 2010).  Expected overlap values were calculated following the procedure outlined in the methods section.  Dashed lines indicate data were not available.
Later comparative source; not a recovery of Nunn (2001)’s underlying group-composition database, which remains unavailable. Shared group-composition values are reconciled in social_mirror_play, not averaged as independent samples.</t>
  </si>
  <si>
    <t>Carnes_etal_2011_TableS1_snapshot.csv</t>
  </si>
  <si>
    <t>https://doi.org/10.1371/journal.pone.0019853</t>
  </si>
  <si>
    <t>social</t>
  </si>
  <si>
    <t>Breeding_season.d; Estrus_duration.d; Adult_females.N; Adult_males.N; Expected_overlap; Seasonality_r</t>
  </si>
  <si>
    <t>Carnes_etal_2011</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</si>
  <si>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</si>
  <si>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</si>
  <si>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</si>
  <si>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</si>
  <si>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</si>
  <si>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</si>
  <si>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</si>
  <si>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</si>
  <si>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</si>
  <si>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</si>
  <si>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</si>
  <si>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</si>
  <si>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</si>
  <si>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</si>
  <si>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</si>
  <si>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</si>
  <si>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</si>
  <si>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</si>
  <si>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</si>
  <si>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</si>
  <si>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</si>
  <si>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</si>
  <si>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</si>
  <si>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</si>
  <si>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</si>
  <si>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</si>
  <si>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</si>
  <si>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</si>
  <si>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</si>
  <si>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</si>
  <si>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</si>
  <si>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</si>
  <si>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</si>
  <si>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</si>
  <si>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</si>
  <si>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</si>
  <si>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</si>
  <si>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</si>
  <si>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</si>
  <si>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</si>
  <si>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 L., Fang, Q., Zhang, S., Poo, M.-M., &amp; Gong, N. (2015). Mirror-induced self-directed behaviors in rhesus monkeys after visual-somatosensory training. Current Biology, 25(2), 212–217. https://doi.org/10.1016/j.cub.2014.11.016</t>
  </si>
  <si>
    <t>Figure2</t>
  </si>
  <si>
    <t>Constructed exact individual outcomes stated in prose. Five of seven trained monkeys passed in the home cage; all seven passed chair tests. These contexts must not be collapsed. Not spontaneous untrained MSR; bar heights not digitized.
Exact reported endpoints; full response curves not digitized.</t>
  </si>
  <si>
    <t>Chang_etal_2015_Figure2_snapshot.csv</t>
  </si>
  <si>
    <t>https://doi.org/10.1016/j.cub.2014.11.016</t>
  </si>
  <si>
    <t>Visual-somatosensory training followed by mirror tests</t>
  </si>
  <si>
    <t>Behavioural observation (retain endpoint, individual and condition)</t>
  </si>
  <si>
    <t>Chang_etal_2015</t>
  </si>
  <si>
    <t>Constructed endpoints from Figure4</t>
  </si>
  <si>
    <t>Exact group summaries in Results; ± retained without assigning SD/SEM. One hour/day for five days. M1–M3 tested about one year after training; M4–M7 within days. Genital-related behaviour alone is explicitly not a reliable mark-test indicator. Same trained subjects as Figure2.
Exact reported endpoints; full response curves not digitized.</t>
  </si>
  <si>
    <t>Chang_etal_2015_Figure4_snapshot.csv</t>
  </si>
  <si>
    <t>subjects.N; events_in_5_days_mean</t>
  </si>
  <si>
    <t>Chang, L., Zhang, S., Poo, M.-M., &amp; Gong, N. (2017). Spontaneous expression of mirror self-recognition in monkeys after learning precise visual-proprioceptive association for mirror images. Proceedings of the National Academy of Sciences, 114(12), 3258–3263. https://doi.org/10.1073/pnas.1620764114</t>
  </si>
  <si>
    <t>Constructed exact outcomes stated in prose; same M1–M3 as Table1. All three passed following enhanced visual-proprioceptive training. Trained and untrained conditions remain distinct. Graph touching counts not digitized.
Exact reported endpoints; full response curves not digitized.</t>
  </si>
  <si>
    <t>Chang_etal_2017_Figure2_snapshot.csv</t>
  </si>
  <si>
    <t>https://doi.org/10.1073/pnas.1620764114</t>
  </si>
  <si>
    <t>Visual-proprioceptive association training followed by mirror tests</t>
  </si>
  <si>
    <t>Chang_etal_2017</t>
  </si>
  <si>
    <t>Spontaneous mirror-induced self-directed behaviors</t>
  </si>
  <si>
    <t/>
  </si>
  <si>
    <t>Chang_etal_2017_Table1_snapshot.csv</t>
  </si>
  <si>
    <t>mirror</t>
  </si>
  <si>
    <t>C1_count; C2_count; C3_count; M1_count; M2_count; M3_count</t>
  </si>
  <si>
    <t>Changizi, M. A. (2001). Principles underlying mammalian neocortical scaling. Biol Cybern, 84(3), 207-215. https://doi.org/10.1007/s004220000205</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</si>
  <si>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</si>
  <si>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</si>
  <si>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</si>
  <si>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</si>
  <si>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</si>
  <si>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</si>
  <si>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</si>
  <si>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</si>
  <si>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</si>
  <si>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</si>
  <si>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</si>
  <si>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</si>
  <si>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</si>
  <si>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</si>
  <si>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</si>
  <si>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</si>
  <si>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</si>
  <si>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</si>
  <si>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</si>
  <si>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</si>
  <si>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</si>
  <si>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</si>
  <si>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</si>
  <si>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</si>
  <si>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</si>
  <si>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</si>
  <si>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</si>
  <si>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</si>
  <si>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</si>
  <si>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</si>
  <si>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</si>
  <si>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</si>
  <si>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</si>
  <si>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</si>
  <si>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</si>
  <si>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</si>
  <si>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</si>
  <si>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</si>
  <si>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</si>
  <si>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</si>
  <si>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</si>
  <si>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</si>
  <si>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</si>
  <si>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</si>
  <si>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</si>
  <si>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</si>
  <si>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</si>
  <si>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</si>
  <si>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</si>
  <si>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</si>
  <si>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</si>
  <si>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</si>
  <si>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</si>
  <si>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</si>
  <si>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</si>
  <si>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</si>
  <si>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</si>
  <si>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</si>
  <si>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</si>
  <si>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</si>
  <si>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</si>
  <si>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</si>
  <si>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General</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</si>
  <si>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</si>
  <si>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</si>
  <si>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</si>
  <si>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</si>
  <si>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</si>
  <si>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</si>
  <si>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</si>
  <si>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</si>
  <si>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</si>
  <si>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</si>
  <si>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</si>
  <si>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</si>
  <si>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</si>
  <si>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</si>
  <si>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</si>
  <si>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</si>
  <si>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</si>
  <si>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</si>
  <si>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</si>
  <si>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</si>
  <si>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</si>
  <si>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</si>
  <si>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</si>
  <si>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</si>
  <si>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</si>
  <si>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</si>
  <si>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</si>
  <si>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</si>
  <si>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</si>
  <si>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</si>
  <si>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</si>
  <si>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</si>
  <si>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</si>
  <si>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</si>
  <si>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</si>
  <si>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</si>
  <si>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</si>
  <si>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</si>
  <si>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</si>
  <si>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</si>
  <si>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</si>
  <si>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</si>
  <si>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</si>
  <si>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</si>
  <si>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</si>
  <si>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</si>
  <si>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</si>
  <si>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</si>
  <si>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</si>
  <si>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</si>
  <si>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</si>
  <si>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</si>
  <si>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</si>
  <si>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</si>
  <si>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</si>
  <si>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</si>
  <si>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</si>
  <si>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</si>
  <si>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</si>
  <si>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</si>
  <si>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&amp;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</si>
  <si>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</si>
  <si>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</si>
  <si>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</si>
  <si>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</si>
  <si>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</si>
  <si>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</si>
  <si>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</si>
  <si>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</si>
  <si>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</si>
  <si>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</si>
  <si>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</si>
  <si>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</si>
  <si>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</si>
  <si>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</si>
  <si>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</si>
  <si>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</si>
  <si>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</si>
  <si>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</si>
  <si>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</si>
  <si>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</si>
  <si>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</si>
  <si>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</si>
  <si>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</si>
  <si>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</si>
  <si>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</si>
  <si>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</si>
  <si>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</si>
  <si>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</si>
  <si>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</si>
  <si>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</si>
  <si>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</si>
  <si>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</si>
  <si>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</si>
  <si>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</si>
  <si>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</si>
  <si>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</si>
  <si>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</si>
  <si>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</si>
  <si>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</si>
  <si>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</si>
  <si>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</si>
  <si>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</si>
  <si>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</si>
  <si>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</si>
  <si>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</si>
  <si>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</si>
  <si>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</si>
  <si>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</si>
  <si>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</si>
  <si>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</si>
  <si>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</si>
  <si>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</si>
  <si>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</si>
  <si>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</si>
  <si>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</si>
  <si>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</si>
  <si>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</si>
  <si>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</si>
  <si>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</si>
  <si>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</si>
  <si>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</si>
  <si>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</si>
  <si>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</si>
  <si>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</si>
  <si>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</si>
  <si>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</si>
  <si>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</si>
  <si>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</si>
  <si>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</si>
  <si>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</si>
  <si>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</si>
  <si>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</si>
  <si>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</si>
  <si>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</si>
  <si>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</si>
  <si>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</si>
  <si>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</si>
  <si>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</si>
  <si>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</si>
  <si>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</si>
  <si>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</si>
  <si>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</si>
  <si>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</si>
  <si>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</si>
  <si>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</si>
  <si>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</si>
  <si>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</si>
  <si>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</si>
  <si>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</si>
  <si>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</si>
  <si>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</si>
  <si>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</si>
  <si>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</si>
  <si>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</si>
  <si>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</si>
  <si>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</si>
  <si>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</si>
  <si>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</si>
  <si>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</si>
  <si>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</si>
  <si>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</si>
  <si>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</si>
  <si>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</si>
  <si>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</si>
  <si>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</si>
  <si>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</si>
  <si>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</si>
  <si>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</si>
  <si>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</si>
  <si>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</si>
  <si>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</si>
  <si>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</si>
  <si>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</si>
  <si>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</si>
  <si>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</si>
  <si>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</si>
  <si>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</si>
  <si>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</si>
  <si>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</si>
  <si>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</si>
  <si>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</si>
  <si>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</si>
  <si>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</si>
  <si>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</si>
  <si>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</si>
  <si>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</si>
  <si>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</si>
  <si>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</si>
  <si>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</si>
  <si>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</si>
  <si>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</si>
  <si>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</si>
  <si>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</si>
  <si>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</si>
  <si>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</si>
  <si>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</si>
  <si>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</si>
  <si>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</si>
  <si>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</si>
  <si>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</si>
  <si>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</si>
  <si>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</si>
  <si>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</si>
  <si>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</si>
  <si>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</si>
  <si>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</si>
  <si>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</si>
  <si>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</si>
  <si>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</si>
  <si>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</si>
  <si>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</si>
  <si>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</si>
  <si>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</si>
  <si>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</si>
  <si>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</si>
  <si>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</si>
  <si>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</si>
  <si>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</si>
  <si>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</si>
  <si>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</si>
  <si>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</si>
  <si>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</si>
  <si>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</si>
  <si>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</si>
  <si>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</si>
  <si>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</si>
  <si>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</si>
  <si>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</si>
  <si>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</si>
  <si>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</si>
  <si>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</si>
  <si>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</si>
  <si>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</si>
  <si>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</si>
  <si>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</si>
  <si>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</si>
  <si>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&amp;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</si>
  <si>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</si>
  <si>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</si>
  <si>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</si>
  <si>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</si>
  <si>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</si>
  <si>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</si>
  <si>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</si>
  <si>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</si>
  <si>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</si>
  <si>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</si>
  <si>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</si>
  <si>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</si>
  <si>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</si>
  <si>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</si>
  <si>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</si>
  <si>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</si>
  <si>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</si>
  <si>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</si>
  <si>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</si>
  <si>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</si>
  <si>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</si>
  <si>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</si>
  <si>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</si>
  <si>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</si>
  <si>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</si>
  <si>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</si>
  <si>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</si>
  <si>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</si>
  <si>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</si>
  <si>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</si>
  <si>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</si>
  <si>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</si>
  <si>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</si>
  <si>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</si>
  <si>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</si>
  <si>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</si>
  <si>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</si>
  <si>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</si>
  <si>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</si>
  <si>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</si>
  <si>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</si>
  <si>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</si>
  <si>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</si>
  <si>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</si>
  <si>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</si>
  <si>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</si>
  <si>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</si>
  <si>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</si>
  <si>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</si>
  <si>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</si>
  <si>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</si>
  <si>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</si>
  <si>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</si>
  <si>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</si>
  <si>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</si>
  <si>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</si>
  <si>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</si>
  <si>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</si>
  <si>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</si>
  <si>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</si>
  <si>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</si>
  <si>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</si>
  <si>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</si>
  <si>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</si>
  <si>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</si>
  <si>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</si>
  <si>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</si>
  <si>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</si>
  <si>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</si>
  <si>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</si>
  <si>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</si>
  <si>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</si>
  <si>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</si>
  <si>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</si>
  <si>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</si>
  <si>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</si>
  <si>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</si>
  <si>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</si>
  <si>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</si>
  <si>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</si>
  <si>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</si>
  <si>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</si>
  <si>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</si>
  <si>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</si>
  <si>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</si>
  <si>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</si>
  <si>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</si>
  <si>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</si>
  <si>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</si>
  <si>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</si>
  <si>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</si>
  <si>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</si>
  <si>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</si>
  <si>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</si>
  <si>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</si>
  <si>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</si>
  <si>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</si>
  <si>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</si>
  <si>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</si>
  <si>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</si>
  <si>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</si>
  <si>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</si>
  <si>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</si>
  <si>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</si>
  <si>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</si>
  <si>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</si>
  <si>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</si>
  <si>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</si>
  <si>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</si>
  <si>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</si>
  <si>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</si>
  <si>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</si>
  <si>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</si>
  <si>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</si>
  <si>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</si>
  <si>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</si>
  <si>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</si>
  <si>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</si>
  <si>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</si>
  <si>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</si>
  <si>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</si>
  <si>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</si>
  <si>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</si>
  <si>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</si>
  <si>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</si>
  <si>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</si>
  <si>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</si>
  <si>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</si>
  <si>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</si>
  <si>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</si>
  <si>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</si>
  <si>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</si>
  <si>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</si>
  <si>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</si>
  <si>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</si>
  <si>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</si>
  <si>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</si>
  <si>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</si>
  <si>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</si>
  <si>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</si>
  <si>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</si>
  <si>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</si>
  <si>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</si>
  <si>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</si>
  <si>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</si>
  <si>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</si>
  <si>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</si>
  <si>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</si>
  <si>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</si>
  <si>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</si>
  <si>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</si>
  <si>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</si>
  <si>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</si>
  <si>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</si>
  <si>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</si>
  <si>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</si>
  <si>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</si>
  <si>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</si>
  <si>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</si>
  <si>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</si>
  <si>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</si>
  <si>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</si>
  <si>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</si>
  <si>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</si>
  <si>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</si>
  <si>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</si>
  <si>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</si>
  <si>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</si>
  <si>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</si>
  <si>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</si>
  <si>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</si>
  <si>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</si>
  <si>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</si>
  <si>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</si>
  <si>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</si>
  <si>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</si>
  <si>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</si>
  <si>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</si>
  <si>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</si>
  <si>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</si>
  <si>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</si>
  <si>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</si>
  <si>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</si>
  <si>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</si>
  <si>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Gallup, G. G., Jr. (1970). Chimpanzees: Self-Recognition. Science, 167(3914), 86–87. https://doi.org/10.1126/science.167.3914.86</t>
  </si>
  <si>
    <t>Constructed cohort endpoint record; graph heights not digitized. The experimental response is reported at cohort level, so 4 is sample size, not a newly inferred count of passing subjects. Mirror-exposure controls kept separate.
Exact reported endpoints; full response curves not digitized.</t>
  </si>
  <si>
    <t>Gallup__1970_Figure4_snapshot.csv</t>
  </si>
  <si>
    <t>https://doi.org/10.1126/science.167.3914.86</t>
  </si>
  <si>
    <t>subjects.N</t>
  </si>
  <si>
    <t>Mirror exposure followed by concealed dye marking</t>
  </si>
  <si>
    <t>Gallup__1970</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</si>
  <si>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</si>
  <si>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</si>
  <si>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</si>
  <si>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</si>
  <si>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</si>
  <si>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</si>
  <si>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</si>
  <si>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</si>
  <si>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cortical thickness</t>
  </si>
  <si>
    <t>Brodmann areas 4, 6, 7, 17, 28, 29</t>
  </si>
  <si>
    <t>histological</t>
  </si>
  <si>
    <t>Source transcription from digital PDF; see item README</t>
  </si>
  <si>
    <t>thickness (mm), area x species; 6 areas x 10 species (60 rows)</t>
  </si>
  <si>
    <t>Garey__2006</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</si>
  <si>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</si>
  <si>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</si>
  <si>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</si>
  <si>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</si>
  <si>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</si>
  <si>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</si>
  <si>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</si>
  <si>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</si>
  <si>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</si>
  <si>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</si>
  <si>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</si>
  <si>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</si>
  <si>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</si>
  <si>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</si>
  <si>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</si>
  <si>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</si>
  <si>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</si>
  <si>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</si>
  <si>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</si>
  <si>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</si>
  <si>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</si>
  <si>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</si>
  <si>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</si>
  <si>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</si>
  <si>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</si>
  <si>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</si>
  <si>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</si>
  <si>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</si>
  <si>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</si>
  <si>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</si>
  <si>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</si>
  <si>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</si>
  <si>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</si>
  <si>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</si>
  <si>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</si>
  <si>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</si>
  <si>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</si>
  <si>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</si>
  <si>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</si>
  <si>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</si>
  <si>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</si>
  <si>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</si>
  <si>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</si>
  <si>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</si>
  <si>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</si>
  <si>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</si>
  <si>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</si>
  <si>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</si>
  <si>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</si>
  <si>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</si>
  <si>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</si>
  <si>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</si>
  <si>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</si>
  <si>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</si>
  <si>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</si>
  <si>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</si>
  <si>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</si>
  <si>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</si>
  <si>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</si>
  <si>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</si>
  <si>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</si>
  <si>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</si>
  <si>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</si>
  <si>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</si>
  <si>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</si>
  <si>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</si>
  <si>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</si>
  <si>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</si>
  <si>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</si>
  <si>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</si>
  <si>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</si>
  <si>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</si>
  <si>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</si>
  <si>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</si>
  <si>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</si>
  <si>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</si>
  <si>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</si>
  <si>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</si>
  <si>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</si>
  <si>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</si>
  <si>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</si>
  <si>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</si>
  <si>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</si>
  <si>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Haug, H. (1987). Brain sizes, surfaces, and neuronal sizes of the cortex cerebri: A stereological investigation of man and his variability and a comparison with some mammals (primates, whale, marsupials, insectivores, and one elephant). American Journal of Anatomy, 180(2), 126–142. https://doi.org/10.1002/aja.1001800203</t>
  </si>
  <si>
    <t>TABLE 2. The various species of this investigation including the brain volume (Br-vo) in cm3 and our register number</t>
  </si>
  <si>
    <t>42 rows (15 species means, 27 single brains); brain volume in cm3, no brain mass printed. Printed spellings kept (macrorryncha, aetiops, duguera, sciurius). The vervet row is the Haug value that Boddy 2012 / DeCasien 2017 carry as a 0 g mass.</t>
  </si>
  <si>
    <t>Haug__1987_TABLE2_snapshot.xlsx</t>
  </si>
  <si>
    <t>https://doi.org/10.1002/aja.1001800203</t>
  </si>
  <si>
    <t>OCR text layer repaired in 9 cells; all 42 rows compared with the page render, 0 mismatches</t>
  </si>
  <si>
    <t>Vervet row is C. aethiops sensu lato; fixation/shrinkage state of Br-vo unstated for single specimens; 5 species names unresolved in the key</t>
  </si>
  <si>
    <t>brain volume</t>
  </si>
  <si>
    <t>brain volume of fixed specimens; histology elsewhere in paper</t>
  </si>
  <si>
    <t>volume per species (means or single brains); basis not stated per row</t>
  </si>
  <si>
    <t>Haug</t>
  </si>
  <si>
    <t>Haug / Elias</t>
  </si>
  <si>
    <t>Do not convert to mass inside the item; treat ", mean" rows as means; resolve the 5 pending species before merging</t>
  </si>
  <si>
    <t>Pending owner/RA visual check; machine comparison of snapshot with page render 0 mismatches (2026-10-26)</t>
  </si>
  <si>
    <t>Hayssen, V., van Tienhoven, A., &amp; van Tienhoven, A. (1993). Asdell's patterns of mammalian reproduction: A compendium of species-specific data. Cornell University Press. ISBN 0-8014-1753-8.</t>
  </si>
  <si>
    <t>ISBN:9780801417535</t>
  </si>
  <si>
    <t>Artiodactyla</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</si>
  <si>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</si>
  <si>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</si>
  <si>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</si>
  <si>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</si>
  <si>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pdf_by_order/Hayssen_etal_1993_16_Artiodactyla.pdf (frozen order slice; the per-family tables reference_tables/Hayssen_etal_1993_accounts_&lt;Family&gt;.csv are the transcription)</t>
  </si>
  <si>
    <t>https://www.cornellpress.cornell.edu/</t>
  </si>
  <si>
    <t>OCR transcription of a scanned book: reference numbers mis-read by one confusable digit can pass the bibliography guard (see _accounts_ref_suspects.csv); population_status is a keyword heuristic; species_msw05 blank where the species key has no entry</t>
  </si>
  <si>
    <t>reproduction / life history</t>
  </si>
  <si>
    <t>Mammalia: Artiodactyla (8 families, 173 printed species)</t>
  </si>
  <si>
    <t>neonatal mass; neonatal size; weaning mass; weaning size; litter size; sexual maturity; cycle length; gestation; lactation; interlitter interval; litters/year; seasonality</t>
  </si>
  <si>
    <t>species accounts (printed per-value with numbered references)</t>
  </si>
  <si>
    <t>literature compendium; per-value reference numbers</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</si>
  <si>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</si>
  <si>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</si>
  <si>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</si>
  <si>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</si>
  <si>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</si>
  <si>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</si>
  <si>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</si>
  <si>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</si>
  <si>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</si>
  <si>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</si>
  <si>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Cetacea</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</si>
  <si>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</si>
  <si>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</si>
  <si>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</si>
  <si>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</si>
  <si>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</si>
  <si>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</si>
  <si>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Chiroptera</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</si>
  <si>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</si>
  <si>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</si>
  <si>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</si>
  <si>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</si>
  <si>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</si>
  <si>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</si>
  <si>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</si>
  <si>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</si>
  <si>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</si>
  <si>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</si>
  <si>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</si>
  <si>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</si>
  <si>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</si>
  <si>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</si>
  <si>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</si>
  <si>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</si>
  <si>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</si>
  <si>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</si>
  <si>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</si>
  <si>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</si>
  <si>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</si>
  <si>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</si>
  <si>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</si>
  <si>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</si>
  <si>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</si>
  <si>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</si>
  <si>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neonatal mass; neonatal size; weaning mass; litter size; sexual maturity; cycle length; gestation; lactation; interlitter interval; seasonality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</si>
  <si>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</si>
  <si>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</si>
  <si>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</si>
  <si>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</si>
  <si>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</si>
  <si>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</si>
  <si>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</si>
  <si>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</si>
  <si>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</si>
  <si>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</si>
  <si>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</si>
  <si>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</si>
  <si>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</si>
  <si>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</si>
  <si>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</si>
  <si>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</si>
  <si>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</si>
  <si>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</si>
  <si>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</si>
  <si>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</si>
  <si>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</si>
  <si>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</si>
  <si>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</si>
  <si>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</si>
  <si>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</si>
  <si>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</si>
  <si>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</si>
  <si>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</si>
  <si>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</si>
  <si>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</si>
  <si>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</si>
  <si>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</si>
  <si>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</si>
  <si>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</si>
  <si>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</si>
  <si>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</si>
  <si>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</si>
  <si>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</si>
  <si>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</si>
  <si>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</si>
  <si>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</si>
  <si>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pdf_by_order/Hayssen_etal_1993_01_Monotremata.pdf (frozen order slice; the per-family tables reference_tables/Hayssen_etal_1993_accounts_&lt;Family&gt;.csv are the transcription)</t>
  </si>
  <si>
    <t>Mammalia: Monotremata (2 families, 3 printed species)</t>
  </si>
  <si>
    <t>hatchling mass; hatchling size; weaning mass; weaning size; litter size; sexual maturity; cycle length; gestation; incubation; lactation; interlitter interval; seasonality</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</si>
  <si>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</si>
  <si>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</si>
  <si>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</si>
  <si>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</si>
  <si>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</si>
  <si>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</si>
  <si>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</si>
  <si>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</si>
  <si>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</si>
  <si>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</si>
  <si>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</si>
  <si>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</si>
  <si>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</si>
  <si>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neonatal mass; litter size; sexual maturity; cycle length; gestation; lactation; interlitter interval; seasonality</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</si>
  <si>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</si>
  <si>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</si>
  <si>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</si>
  <si>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</si>
  <si>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</si>
  <si>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</si>
  <si>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</si>
  <si>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</si>
  <si>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</si>
  <si>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</si>
  <si>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</si>
  <si>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Rodentia</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</si>
  <si>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</si>
  <si>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</si>
  <si>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</si>
  <si>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</si>
  <si>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</si>
  <si>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</si>
  <si>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</si>
  <si>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</si>
  <si>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</si>
  <si>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</si>
  <si>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</si>
  <si>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</si>
  <si>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Sirenia</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</si>
  <si>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</si>
  <si>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</si>
  <si>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</si>
  <si>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</si>
  <si>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</si>
  <si>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</si>
  <si>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</si>
  <si>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</si>
  <si>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</si>
  <si>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</si>
  <si>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</si>
  <si>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</si>
  <si>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</si>
  <si>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</si>
  <si>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</si>
  <si>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</si>
  <si>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</si>
  <si>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</si>
  <si>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</si>
  <si>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</si>
  <si>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</si>
  <si>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</si>
  <si>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</si>
  <si>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</si>
  <si>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</si>
  <si>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</si>
  <si>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</si>
  <si>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</si>
  <si>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</si>
  <si>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</si>
  <si>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</si>
  <si>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</si>
  <si>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</si>
  <si>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</si>
  <si>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</si>
  <si>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</si>
  <si>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</si>
  <si>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</si>
  <si>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</si>
  <si>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</si>
  <si>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</si>
  <si>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</si>
  <si>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</si>
  <si>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</si>
  <si>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</si>
  <si>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</si>
  <si>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</si>
  <si>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</si>
  <si>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</si>
  <si>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</si>
  <si>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</si>
  <si>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</si>
  <si>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</si>
  <si>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</si>
  <si>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</si>
  <si>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</si>
  <si>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</si>
  <si>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</si>
  <si>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</si>
  <si>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</si>
  <si>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</si>
  <si>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</si>
  <si>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</si>
  <si>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</si>
  <si>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</si>
  <si>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</si>
  <si>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</si>
  <si>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</si>
  <si>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</si>
  <si>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</si>
  <si>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</si>
  <si>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</si>
  <si>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</si>
  <si>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</si>
  <si>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</si>
  <si>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</si>
  <si>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</si>
  <si>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</si>
  <si>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</si>
  <si>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</si>
  <si>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</si>
  <si>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</si>
  <si>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</si>
  <si>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</si>
  <si>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</si>
  <si>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</si>
  <si>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</si>
  <si>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</si>
  <si>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</si>
  <si>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</si>
  <si>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</si>
  <si>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</si>
  <si>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</si>
  <si>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</si>
  <si>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</si>
  <si>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</si>
  <si>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</si>
  <si>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</si>
  <si>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</si>
  <si>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</si>
  <si>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</si>
  <si>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</si>
  <si>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</si>
  <si>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</si>
  <si>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compiled from cited audiogram studies (see item README/definitions)</t>
  </si>
  <si>
    <t>TABLE 1. Hearing limits for 19 species of primates</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</si>
  <si>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</si>
  <si>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</si>
  <si>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</si>
  <si>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</si>
  <si>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</si>
  <si>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</si>
  <si>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</si>
  <si>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</si>
  <si>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</si>
  <si>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</si>
  <si>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</si>
  <si>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</si>
  <si>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</si>
  <si>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</si>
  <si>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</si>
  <si>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</si>
  <si>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</si>
  <si>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</si>
  <si>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</si>
  <si>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</si>
  <si>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</si>
  <si>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</si>
  <si>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</si>
  <si>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</si>
  <si>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</si>
  <si>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</si>
  <si>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</si>
  <si>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</si>
  <si>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</si>
  <si>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https://doi.org/10.1007/978-1-4612-2784-7_43</t>
  </si>
  <si>
    <t>Mammals (4 spp)</t>
  </si>
  <si>
    <t>head radius; interaural time difference; frequency of phase ambiguity</t>
  </si>
  <si>
    <t>physical calculation</t>
  </si>
  <si>
    <t>mm; µs; kHz</t>
  </si>
  <si>
    <t>TABLE 34.2</t>
  </si>
  <si>
    <t>TABLE 34.2. Species of mammals grouped by ability to use the main binaural locus cues</t>
  </si>
  <si>
    <t>Mammals (~20 spp)</t>
  </si>
  <si>
    <t>binaural cue use (categorical)</t>
  </si>
  <si>
    <t>tone-localization tests (compilation)</t>
  </si>
  <si>
    <t>categorical</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</si>
  <si>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</si>
  <si>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</si>
  <si>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</si>
  <si>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</si>
  <si>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</si>
  <si>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</si>
  <si>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</si>
  <si>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</si>
  <si>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</si>
  <si>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</si>
  <si>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</si>
  <si>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</si>
  <si>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</si>
  <si>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</si>
  <si>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</si>
  <si>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</si>
  <si>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</si>
  <si>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</si>
  <si>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</si>
  <si>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</si>
  <si>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</si>
  <si>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</si>
  <si>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</si>
  <si>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</si>
  <si>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</si>
  <si>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</si>
  <si>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</si>
  <si>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</si>
  <si>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</si>
  <si>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</si>
  <si>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</si>
  <si>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</si>
  <si>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</si>
  <si>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</si>
  <si>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</si>
  <si>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</si>
  <si>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</si>
  <si>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</si>
  <si>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</si>
  <si>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</si>
  <si>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</si>
  <si>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</si>
  <si>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</si>
  <si>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</si>
  <si>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</si>
  <si>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</si>
  <si>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</si>
  <si>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</si>
  <si>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</si>
  <si>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</si>
  <si>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</si>
  <si>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</si>
  <si>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</si>
  <si>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</si>
  <si>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</si>
  <si>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</si>
  <si>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</si>
  <si>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</si>
  <si>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</si>
  <si>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</si>
  <si>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</si>
  <si>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</si>
  <si>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</si>
  <si>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</si>
  <si>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</si>
  <si>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</si>
  <si>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</si>
  <si>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</si>
  <si>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</si>
  <si>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</si>
  <si>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</si>
  <si>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</si>
  <si>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</si>
  <si>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</si>
  <si>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</si>
  <si>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</si>
  <si>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</si>
  <si>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</si>
  <si>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</si>
  <si>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</si>
  <si>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</si>
  <si>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</si>
  <si>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</si>
  <si>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</si>
  <si>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</si>
  <si>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</si>
  <si>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</si>
  <si>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</si>
  <si>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</si>
  <si>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</si>
  <si>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</si>
  <si>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</si>
  <si>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</si>
  <si>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</si>
  <si>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</si>
  <si>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</si>
  <si>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</si>
  <si>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</si>
  <si>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</si>
  <si>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</si>
  <si>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</si>
  <si>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</si>
  <si>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</si>
  <si>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</si>
  <si>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</si>
  <si>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</si>
  <si>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</si>
  <si>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</si>
  <si>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</si>
  <si>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</si>
  <si>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</si>
  <si>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</si>
  <si>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</si>
  <si>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</si>
  <si>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</si>
  <si>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</si>
  <si>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</si>
  <si>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</si>
  <si>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</si>
  <si>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</si>
  <si>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</si>
  <si>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</si>
  <si>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</si>
  <si>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</si>
  <si>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</si>
  <si>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</si>
  <si>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</si>
  <si>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</si>
  <si>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</si>
  <si>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</si>
  <si>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</si>
  <si>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</si>
  <si>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</si>
  <si>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</si>
  <si>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</si>
  <si>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</si>
  <si>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</si>
  <si>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</si>
  <si>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</si>
  <si>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</si>
  <si>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</si>
  <si>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</si>
  <si>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</si>
  <si>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</si>
  <si>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</si>
  <si>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</si>
  <si>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</si>
  <si>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</si>
  <si>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</si>
  <si>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</si>
  <si>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</si>
  <si>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</si>
  <si>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</si>
  <si>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</si>
  <si>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</si>
  <si>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</si>
  <si>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</si>
  <si>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</si>
  <si>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</si>
  <si>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</si>
  <si>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</si>
  <si>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</si>
  <si>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</si>
  <si>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</si>
  <si>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</si>
  <si>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</si>
  <si>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</si>
  <si>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</si>
  <si>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</si>
  <si>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</si>
  <si>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</si>
  <si>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</si>
  <si>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</si>
  <si>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</si>
  <si>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</si>
  <si>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</si>
  <si>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</si>
  <si>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</si>
  <si>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</si>
  <si>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</si>
  <si>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</si>
  <si>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</si>
  <si>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</si>
  <si>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</si>
  <si>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</si>
  <si>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</si>
  <si>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</si>
  <si>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</si>
  <si>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</si>
  <si>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</si>
  <si>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&amp;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</si>
  <si>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</si>
  <si>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</si>
  <si>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</si>
  <si>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</si>
  <si>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</si>
  <si>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</si>
  <si>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</si>
  <si>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</si>
  <si>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</si>
  <si>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</si>
  <si>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</si>
  <si>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</si>
  <si>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</si>
  <si>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</si>
  <si>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</si>
  <si>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</si>
  <si>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</si>
  <si>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</si>
  <si>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</si>
  <si>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</si>
  <si>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</si>
  <si>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</si>
  <si>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</si>
  <si>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</si>
  <si>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</si>
  <si>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</si>
  <si>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</si>
  <si>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</si>
  <si>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</si>
  <si>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</si>
  <si>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</si>
  <si>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</si>
  <si>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</si>
  <si>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</si>
  <si>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</si>
  <si>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</si>
  <si>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</si>
  <si>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</si>
  <si>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</si>
  <si>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</si>
  <si>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</si>
  <si>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</si>
  <si>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</si>
  <si>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</si>
  <si>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</si>
  <si>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</si>
  <si>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</si>
  <si>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</si>
  <si>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</si>
  <si>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</si>
  <si>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</si>
  <si>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</si>
  <si>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</si>
  <si>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</si>
  <si>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</si>
  <si>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</si>
  <si>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</si>
  <si>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</si>
  <si>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</si>
  <si>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</si>
  <si>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</si>
  <si>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</si>
  <si>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</si>
  <si>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</si>
  <si>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</si>
  <si>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</si>
  <si>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</si>
  <si>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</si>
  <si>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</si>
  <si>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</si>
  <si>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</si>
  <si>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</si>
  <si>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</si>
  <si>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</si>
  <si>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</si>
  <si>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</si>
  <si>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</si>
  <si>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</si>
  <si>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</si>
  <si>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</si>
  <si>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</si>
  <si>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</si>
  <si>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</si>
  <si>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</si>
  <si>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</si>
  <si>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</si>
  <si>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</si>
  <si>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</si>
  <si>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</si>
  <si>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</si>
  <si>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</si>
  <si>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</si>
  <si>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</si>
  <si>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</si>
  <si>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</si>
  <si>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</si>
  <si>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</si>
  <si>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</si>
  <si>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</si>
  <si>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</si>
  <si>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</si>
  <si>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</si>
  <si>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</si>
  <si>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</si>
  <si>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</si>
  <si>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</si>
  <si>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</si>
  <si>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</si>
  <si>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</si>
  <si>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</si>
  <si>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</si>
  <si>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</si>
  <si>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</si>
  <si>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</si>
  <si>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</si>
  <si>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</si>
  <si>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</si>
  <si>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</si>
  <si>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</si>
  <si>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</si>
  <si>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</si>
  <si>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</si>
  <si>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</si>
  <si>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Inoue-Nakamura, N. (1997). Mirror self-recognition in nonhuman primates: A phylogenetic approach. Japanese Psychological Research, 39(3), 266–275. https://doi.org/10.1111/1468-5884.00059</t>
  </si>
  <si>
    <t>Table3</t>
  </si>
  <si>
    <t>Circle=positive, X=negative, dash=no available data. a=infants; b=behaviour reported in a few individuals. *=present study. Self-directed behaviour is not itself a standardized mark-test result. Common names omitted from this constructed symbol transcription; taxon spelling and footnotes retained. Literature rows excluded from independent pooling.</t>
  </si>
  <si>
    <t>InoueNakamura__1997_Table3_snapshot.csv</t>
  </si>
  <si>
    <t>https://doi.org/10.1111/1468-5884.00059</t>
  </si>
  <si>
    <t>Thirty-minute mirror observation sessions</t>
  </si>
  <si>
    <t>InoueNakamura__1997</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</si>
  <si>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</si>
  <si>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</si>
  <si>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</si>
  <si>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</si>
  <si>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</si>
  <si>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</si>
  <si>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</si>
  <si>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</si>
  <si>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</si>
  <si>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</si>
  <si>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</si>
  <si>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</si>
  <si>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</si>
  <si>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</si>
  <si>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</si>
  <si>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</si>
  <si>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</si>
  <si>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</si>
  <si>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</si>
  <si>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</si>
  <si>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</si>
  <si>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</si>
  <si>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</si>
  <si>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</si>
  <si>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</si>
  <si>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</si>
  <si>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</si>
  <si>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</si>
  <si>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</si>
  <si>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</si>
  <si>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</si>
  <si>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</si>
  <si>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</si>
  <si>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</si>
  <si>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</si>
  <si>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</si>
  <si>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</si>
  <si>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</si>
  <si>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</si>
  <si>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</si>
  <si>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</si>
  <si>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</si>
  <si>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</si>
  <si>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</si>
  <si>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</si>
  <si>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</si>
  <si>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</si>
  <si>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</si>
  <si>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</si>
  <si>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</si>
  <si>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</si>
  <si>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</si>
  <si>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</si>
  <si>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</si>
  <si>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</si>
  <si>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</si>
  <si>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</si>
  <si>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</si>
  <si>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</si>
  <si>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</si>
  <si>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</si>
  <si>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</si>
  <si>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</si>
  <si>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</si>
  <si>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</si>
  <si>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</si>
  <si>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</si>
  <si>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</si>
  <si>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</si>
  <si>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</si>
  <si>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</si>
  <si>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</si>
  <si>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</si>
  <si>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</si>
  <si>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</si>
  <si>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</si>
  <si>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</si>
  <si>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</si>
  <si>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</si>
  <si>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</si>
  <si>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</si>
  <si>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</si>
  <si>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</si>
  <si>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</si>
  <si>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</si>
  <si>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</si>
  <si>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</si>
  <si>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</si>
  <si>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</si>
  <si>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</si>
  <si>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</si>
  <si>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</si>
  <si>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</si>
  <si>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</si>
  <si>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</si>
  <si>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</si>
  <si>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</si>
  <si>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</si>
  <si>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</si>
  <si>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</si>
  <si>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</si>
  <si>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</si>
  <si>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</si>
  <si>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</si>
  <si>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</si>
  <si>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</si>
  <si>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</si>
  <si>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</si>
  <si>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</si>
  <si>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</si>
  <si>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</si>
  <si>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</si>
  <si>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</si>
  <si>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</si>
  <si>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</si>
  <si>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</si>
  <si>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</si>
  <si>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</si>
  <si>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</si>
  <si>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</si>
  <si>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</si>
  <si>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</si>
  <si>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</si>
  <si>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</si>
  <si>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</si>
  <si>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</si>
  <si>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</si>
  <si>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</si>
  <si>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</si>
  <si>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</si>
  <si>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</si>
  <si>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</si>
  <si>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</si>
  <si>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</si>
  <si>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</si>
  <si>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</si>
  <si>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</si>
  <si>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</si>
  <si>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</si>
  <si>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</si>
  <si>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</si>
  <si>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</si>
  <si>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</si>
  <si>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</si>
  <si>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</si>
  <si>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</si>
  <si>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</si>
  <si>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</si>
  <si>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</si>
  <si>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</si>
  <si>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</si>
  <si>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</si>
  <si>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</si>
  <si>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</si>
  <si>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</si>
  <si>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</si>
  <si>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</si>
  <si>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</si>
  <si>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</si>
  <si>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</si>
  <si>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</si>
  <si>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</si>
  <si>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</si>
  <si>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</si>
  <si>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</si>
  <si>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</si>
  <si>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</si>
  <si>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</si>
  <si>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</si>
  <si>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</si>
  <si>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</si>
  <si>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</si>
  <si>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</si>
  <si>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</si>
  <si>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</si>
  <si>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</si>
  <si>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</si>
  <si>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</si>
  <si>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</si>
  <si>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</si>
  <si>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</si>
  <si>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</si>
  <si>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</si>
  <si>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</si>
  <si>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</si>
  <si>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</si>
  <si>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</si>
  <si>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</si>
  <si>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</si>
  <si>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</si>
  <si>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</si>
  <si>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</si>
  <si>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</si>
  <si>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</si>
  <si>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</si>
  <si>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</si>
  <si>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</si>
  <si>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</si>
  <si>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</si>
  <si>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</si>
  <si>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</si>
  <si>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</si>
  <si>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</si>
  <si>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</si>
  <si>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</si>
  <si>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</si>
  <si>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</si>
  <si>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</si>
  <si>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</si>
  <si>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</si>
  <si>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</si>
  <si>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</si>
  <si>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</si>
  <si>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</si>
  <si>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</si>
  <si>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</si>
  <si>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</si>
  <si>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</si>
  <si>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</si>
  <si>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</si>
  <si>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</si>
  <si>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</si>
  <si>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</si>
  <si>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</si>
  <si>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</si>
  <si>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</si>
  <si>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</si>
  <si>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</si>
  <si>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</si>
  <si>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</si>
  <si>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</si>
  <si>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</si>
  <si>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</si>
  <si>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</si>
  <si>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</si>
  <si>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</si>
  <si>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</si>
  <si>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</si>
  <si>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</si>
  <si>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</si>
  <si>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</si>
  <si>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</si>
  <si>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</si>
  <si>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</si>
  <si>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</si>
  <si>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</si>
  <si>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Kerney, M., Smaers, J. B., Schoenemann, P. T., &amp; Dunn, J. C. (2017). The coevolution of play and the cortico-cerebellar system in primates. Primates, 58(4), 485–491. https://doi.org/10.1007/s10329-017-0615-x</t>
  </si>
  <si>
    <t>OnlineResource1</t>
  </si>
  <si>
    <t>Published play and brain data; original workbook preserved</t>
  </si>
  <si>
    <t>Author Excel</t>
  </si>
  <si>
    <t>Play-time data compiled from heterogeneous primary studies; preserve primary lineage and age/captivity context. OnlineResource1 is the derivation source for the same values in OnlineResource2.</t>
  </si>
  <si>
    <t>Kerney_etal_2017_OnlineResource1_snapshot.xls</t>
  </si>
  <si>
    <t>https://doi.org/10.1007/s10329-017-0615-x</t>
  </si>
  <si>
    <t>Play_time.pct</t>
  </si>
  <si>
    <t>Literature compilation and comparative analysis</t>
  </si>
  <si>
    <t>Kerney_etal_2017</t>
  </si>
  <si>
    <t>Resolve per-row cited primary studies; see source article</t>
  </si>
  <si>
    <t>OnlineResource2</t>
  </si>
  <si>
    <t>Play time is the behavioural measure. Anatomy values retain author workbook units (no conversion asserted here) and repeat Smaers/de Sousa/Frahm sources. Adult-social-play categories repeat Iwaniuk2001; neither anatomy nor ordinal categories enter a second merge.</t>
  </si>
  <si>
    <t>Kerney_etal_2017_OnlineResource2_snapshot.xlsx</t>
  </si>
  <si>
    <t>Play_time.pct; PFG_volume_as_reported; CortAssG_volume_as_reported; pCereb_volume_as_reported; PFG_plus_pCereb_volume_as_reported; CortAssG_plus_pCereb_volume_as_reported; StriateG_volume_as_reported; mCereb_volume_as_reported; StriateG_plus_mCereb_volume_as_reported; nonStriateG_volume_as_reported; nonCereb_volume_as_reported</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</si>
  <si>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</si>
  <si>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</si>
  <si>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</si>
  <si>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</si>
  <si>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</si>
  <si>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</si>
  <si>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</si>
  <si>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</si>
  <si>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</si>
  <si>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</si>
  <si>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</si>
  <si>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</si>
  <si>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</si>
  <si>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</si>
  <si>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</si>
  <si>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</si>
  <si>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</si>
  <si>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</si>
  <si>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</si>
  <si>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</si>
  <si>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</si>
  <si>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</si>
  <si>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</si>
  <si>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</si>
  <si>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</si>
  <si>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</si>
  <si>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</si>
  <si>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</si>
  <si>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</si>
  <si>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</si>
  <si>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</si>
  <si>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</si>
  <si>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</si>
  <si>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</si>
  <si>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</si>
  <si>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</si>
  <si>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</si>
  <si>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</si>
  <si>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</si>
  <si>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</si>
  <si>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</si>
  <si>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</si>
  <si>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</si>
  <si>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</si>
  <si>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</si>
  <si>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</si>
  <si>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</si>
  <si>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</si>
  <si>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</si>
  <si>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Extended Data Figure 4  Comparisons of the relative volumes of the parcellated brain regions among NT, EH and MH, assuming that the variation within NT and EH was equivalent to that of MH.</t>
  </si>
  <si>
    <t>Extended Data Table 1</t>
  </si>
  <si>
    <t>Extended Data Table 1 Correspondence between the AAL atlas and the parcellated brain regions</t>
  </si>
  <si>
    <t>Extended Data Table 3</t>
  </si>
  <si>
    <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</si>
  <si>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</si>
  <si>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</si>
  <si>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</si>
  <si>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</si>
  <si>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</si>
  <si>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Kowiański, P., Dziewiątkowski, J., Kowiańska, J., &amp; Moryś, J. (1999). Comparative anatomy of the claustrum in selected species: A morphometric analysis. Brain, Behavior and Evolution, 53(1), 44–54. https://doi.org/10.1159/000006581</t>
  </si>
  <si>
    <t>Volumes of the cerebral hemisphere, cortices and claustrum in selected species of mammals</t>
  </si>
  <si>
    <t>Published mean ± SEM. Optical disector density; total neuron number calculated as volume × numerical density. Methods p.46 explicitly says values are from FIXED brains and were NOT transformed to fresh-brain values. Hemisphere basis retained, without doubling.</t>
  </si>
  <si>
    <t>Kowiański_etal_1999_Table1_snapshot.csv</t>
  </si>
  <si>
    <t>https://doi.org/10.1159/000006581</t>
  </si>
  <si>
    <t>anatomy</t>
  </si>
  <si>
    <t>Hemisphere_Vol.mm3; Cortex_Vol.mm3; Isocortex_Vol.mm3; Allocortex_Vol.mm3; Claustrum_Vol.mm3; Claustrum_dorsal_Vol.mm3; Claustrum_ventral_Vol.mm3; Claustrum_hemisphere.pct</t>
  </si>
  <si>
    <t>Comparative histology and stereology</t>
  </si>
  <si>
    <t>Volume / morphology (verify table units)</t>
  </si>
  <si>
    <t>Kowianski_etal_1999</t>
  </si>
  <si>
    <t>Table2</t>
  </si>
  <si>
    <t>Cellular structure of the claustrum in selected species of mammals</t>
  </si>
  <si>
    <t>Kowiański_etal_1999_Table2_snapshot.csv</t>
  </si>
  <si>
    <t>Claustrum_dorsal_neuron_area.um2; Claustrum_ventral_neuron_area.um2; Claustrum_dorsal_neuron_density.N_mm3; Claustrum_ventral_neuron_density.N_mm3; Claustrum_dorsal_neurons.N; Claustrum_ventral_neurons.N; Claustrum_dorsal_neurons.pct; Claustrum_ventral_neurons.pct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</si>
  <si>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</si>
  <si>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</si>
  <si>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</si>
  <si>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</si>
  <si>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</si>
  <si>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</si>
  <si>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</si>
  <si>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</si>
  <si>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</si>
  <si>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</si>
  <si>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</si>
  <si>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</si>
  <si>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</si>
  <si>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</si>
  <si>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</si>
  <si>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</si>
  <si>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</si>
  <si>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</si>
  <si>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</si>
  <si>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</si>
  <si>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</si>
  <si>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</si>
  <si>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</si>
  <si>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</si>
  <si>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</si>
  <si>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</si>
  <si>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</si>
  <si>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</si>
  <si>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</si>
  <si>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</si>
  <si>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</si>
  <si>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</si>
  <si>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</si>
  <si>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</si>
  <si>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</si>
  <si>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</si>
  <si>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</si>
  <si>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</si>
  <si>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</si>
  <si>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</si>
  <si>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</si>
  <si>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</si>
  <si>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</si>
  <si>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</si>
  <si>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Laska, M., Persson Suorra, J., Rivas Bautista, R. M., &amp; Hernandez Salazar, L. T. (2008). Taste difference thresholds for monosodium glutamate and sodium chloride in pigtail macaques (Macaca nemestrina) and spider monkeys (Ateles geoffroyi). American Journal of Primatology, 70(9), 839–847. https://doi.org/10.1002/ajp.20558</t>
  </si>
  <si>
    <t>Constructed summary of the exact published ranges across individuals and reference concentrations. Not a species mean; condition-specific curves remain in the paper. NaCl at 200/400 mM was not tested successfully in spider monkeys.
Exact reported endpoints; full response curves not digitized.</t>
  </si>
  <si>
    <t>Laska_etal_2008_Figure5_snapshot.csv</t>
  </si>
  <si>
    <t>https://doi.org/10.1002/ajp.20558</t>
  </si>
  <si>
    <t>Weber_ratio_range</t>
  </si>
  <si>
    <t>Brief two-bottle concentration discrimination tests</t>
  </si>
  <si>
    <t>Behavioural gustatory response (retain endpoint and compound)</t>
  </si>
  <si>
    <t>Laska_etal_2008</t>
  </si>
  <si>
    <t>Laska, M., Rivas Bautista, R. M., &amp; Hernandez Salazar, L. T. (2009). Gustatory responsiveness to six bitter tastants in three species of nonhuman primates. Journal of Chemical Ecology, 35, 560–571. https://doi.org/10.1007/s10886-009-9630-8</t>
  </si>
  <si>
    <t>Primary rows only; the cited comparative rows are retained in Table1_comparative_source.txt and excluded to avoid replication. All six compounds dissolved in 30 mM sucrose, compared with 30 mM sucrose. Two-minute two-bottle tests. These are avoidance, not detection thresholds.</t>
  </si>
  <si>
    <t>Laska_etal_2009_Table1_snapshot.csv</t>
  </si>
  <si>
    <t>https://doi.org/10.1007/s10886-009-9630-8</t>
  </si>
  <si>
    <t>Quinine_HCl_avoidance.mM; Caffeine_avoidance.mM; Naringin_avoidance.mM; Salicin_avoidance.mM; Sucrose_octaacetate_avoidance.mM; Denatonium_benzoate_avoidance.mM</t>
  </si>
  <si>
    <t>Two-bottle tests; bitter compounds in sucrose solution</t>
  </si>
  <si>
    <t>Laska_etal_2009</t>
  </si>
  <si>
    <t>Laska, M., Scheuber, H.-P., Hernandez Salazar, L. T., &amp; Rodriguez Luna, E. (2003). Sour-taste tolerance in four species of nonhuman primates. Journal of Chemical Ecology, 29, 2637–2649. https://doi.org/10.1023/B:JOEC.0000008009.85523.7a</t>
  </si>
  <si>
    <t>Sucrose concentration needed for preference for a citric-acid/sucrose mixture over a 50 mM sucrose reference. The &gt;1000 bound is censored, not an exact observation.</t>
  </si>
  <si>
    <t>Laska_etal_2003_Table1_snapshot.csv</t>
  </si>
  <si>
    <t>https://doi.org/10.1023/B:JOEC.0000008009.85523.7a</t>
  </si>
  <si>
    <t>Sucrose_at_citric_acid_10mM.mM; Sucrose_at_citric_acid_30mM.mM; Sucrose_at_citric_acid_50mM.mM</t>
  </si>
  <si>
    <t>Brief two-bottle preference tests</t>
  </si>
  <si>
    <t>Laska_etal_2003</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</si>
  <si>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</si>
  <si>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</si>
  <si>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</si>
  <si>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</si>
  <si>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</si>
  <si>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</si>
  <si>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</si>
  <si>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</si>
  <si>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</si>
  <si>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</si>
  <si>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</si>
  <si>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</si>
  <si>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</si>
  <si>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</si>
  <si>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</si>
  <si>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</si>
  <si>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</si>
  <si>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</si>
  <si>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</si>
  <si>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</si>
  <si>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</si>
  <si>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Lethmate, J., &amp; Dücker, G. (1973). Untersuchungen zum Selbsterkennen im Spiegel bei Orang-Utans und einigen anderen Affenarten. Zeitschrift für Tierpsychologie, 33, 248–269. https://doi.org/10.1111/j.1439-0310.1973.tb02094.x</t>
  </si>
  <si>
    <t>Table4</t>
  </si>
  <si>
    <t>Plus/minus are reported reactions. Nicht getestet means not tested. Current observations and literature are separated by Autor; compiled Gallup rows are not new independent experiments. Ateles is genus-level.</t>
  </si>
  <si>
    <t>Lethmate_Dücker_1973_Table4_snapshot.csv</t>
  </si>
  <si>
    <t>https://doi.org/10.1111/j.1439-0310.1973.tb02094.x</t>
  </si>
  <si>
    <t>Comparative mirror and mark procedures; verify species-specific protocols</t>
  </si>
  <si>
    <t>Lethmate_Ducker_1973</t>
  </si>
  <si>
    <t>Lewitus, E., Hof, P. R., &amp; Sherwood, C. C. (2012). Phylogenetic comparison of neuron and glia densities in the primary visual cortex and hippocampus of carnivores and primates. Evolution, 66(8), 2551–2563. https://doi.org/10.1111/j.1558-5646.2012.01601.x</t>
  </si>
  <si>
    <t>Table 2a–b: Stereologic estimates of cellular densities in carnivores and primates (workbook sheet 2ab)</t>
  </si>
  <si>
    <t>Journal XLS</t>
  </si>
  <si>
    <t>Separate Evolution paper from existing Lewitus_etal_2012. V1 overlaps earlier paper; CA1–3 is not whole hippocampus.</t>
  </si>
  <si>
    <t>Lewitus_etal_2012_b_Table2_snapshot.xls</t>
  </si>
  <si>
    <t>https://doi.org/10.1111/j.1558-5646.2012.01601.x</t>
  </si>
  <si>
    <t>Keep stereological density separate from isotropic-fractionator counts; exclude repeated V1 from duplicate pooling</t>
  </si>
  <si>
    <t>Comparative neuroanatomy</t>
  </si>
  <si>
    <t>V1 and CA1–3 neuron/glia density and ratios</t>
  </si>
  <si>
    <t>Nissl-stained histological sections; left hemisphere</t>
  </si>
  <si>
    <t>Design-based stereology</t>
  </si>
  <si>
    <t>cells/mm3; ratio</t>
  </si>
  <si>
    <t>Hof/Sherwood</t>
  </si>
  <si>
    <t>Hof</t>
  </si>
  <si>
    <t>Lewitus_etal_2012 (V1)</t>
  </si>
  <si>
    <t>TableS2</t>
  </si>
  <si>
    <t>Supplemental Table 2: Layer volumes, brain mass, body mass and gestation (sheet S2)</t>
  </si>
  <si>
    <t>Printed caption mm3 conflicts with Figure 4 um3. Preserve raw, convert /1e9. Laterality not sufficient for bilateral merge.</t>
  </si>
  <si>
    <t>Lewitus_etal_2012_b_TableS2_snapshot.xls</t>
  </si>
  <si>
    <t>Do not pool layer volumes into bilateral volume merge until laterality is resolved</t>
  </si>
  <si>
    <t>Dentate gyrus and cerebellar layer volumes</t>
  </si>
  <si>
    <t>mm3 from um3; brain mg; body g; gestation days</t>
  </si>
  <si>
    <t>Jones et al. 2009 (body mass and gestation)</t>
  </si>
  <si>
    <t>TableS3</t>
  </si>
  <si>
    <t>Supplemental Table 3: Cellular densities in other non-primate mammals (sheet S3)</t>
  </si>
  <si>
    <t>Lewitus_etal_2012_b_TableS3_snapshot.xls</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</si>
  <si>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</si>
  <si>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</si>
  <si>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</si>
  <si>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</si>
  <si>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</si>
  <si>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</si>
  <si>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</si>
  <si>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</si>
  <si>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</si>
  <si>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</si>
  <si>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</si>
  <si>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</si>
  <si>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</si>
  <si>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</si>
  <si>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</si>
  <si>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</si>
  <si>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</si>
  <si>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</si>
  <si>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</si>
  <si>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</si>
  <si>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</si>
  <si>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</si>
  <si>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</si>
  <si>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</si>
  <si>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</si>
  <si>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</si>
  <si>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</si>
  <si>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</si>
  <si>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</si>
  <si>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</si>
  <si>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</si>
  <si>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</si>
  <si>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</si>
  <si>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</si>
  <si>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</si>
  <si>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</si>
  <si>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</si>
  <si>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</si>
  <si>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</si>
  <si>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</si>
  <si>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</si>
  <si>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</si>
  <si>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</si>
  <si>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</si>
  <si>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</si>
  <si>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</si>
  <si>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</si>
  <si>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</si>
  <si>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Lindenfors, P., Nunn, C. L., &amp; Barton, R. A. (2007). Primate brain architecture and selection in relation to sex. BMC Biology, 5, 20. https://doi.org/10.1186/1741-7007-5-20</t>
  </si>
  <si>
    <t>AdditionalFile1</t>
  </si>
  <si>
    <t>Species</t>
  </si>
  <si>
    <t>Later comparative source; not a recovery of Nunn (2001)’s underlying group-composition database, which remains unavailable. Shared group-composition values are reconciled in social_mirror_play, not averaged as independent samples.</t>
  </si>
  <si>
    <t>Lindenfors_etal_2007_AdditionalFile1_snapshot.csv</t>
  </si>
  <si>
    <t>https://doi.org/10.1186/1741-7007-5-20</t>
  </si>
  <si>
    <t>Body_mass_male.g; Body_mass_female.g; Adult_males.N; Adult_females.N; Brain_Vol.mm3; Pons_Vol.mm3; Medulla_oblongata_Vol.mm3; Cerebellum_Vol.mm3; Mesencephalon_Vol.mm3; Diencephalon_Vol.mm3; Telencephalon_Vol.mm3</t>
  </si>
  <si>
    <t>Lindenfors_etal_2007</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</si>
  <si>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</si>
  <si>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</si>
  <si>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</si>
  <si>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</si>
  <si>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</si>
  <si>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</si>
  <si>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</si>
  <si>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</si>
  <si>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</si>
  <si>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</si>
  <si>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</si>
  <si>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</si>
  <si>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</si>
  <si>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</si>
  <si>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</si>
  <si>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</si>
  <si>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</si>
  <si>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</si>
  <si>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</si>
  <si>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</si>
  <si>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</si>
  <si>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</si>
  <si>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</si>
  <si>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</si>
  <si>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</si>
  <si>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</si>
  <si>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</si>
  <si>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</si>
  <si>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</si>
  <si>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</si>
  <si>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</si>
  <si>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</si>
  <si>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</si>
  <si>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</si>
  <si>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</si>
  <si>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</si>
  <si>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Mallavarapu, S. (2001). Play behavior in infant western lowland gorillas (Gorilla gorilla gorilla) at the Lincoln Park Zoo. Honors thesis, Southern Illinois University Carbondale. https://opensiuc.lib.siu.edu/uhp_theses/147/</t>
  </si>
  <si>
    <t>https://opensiuc.lib.siu.edu/uhp_theses/147/</t>
  </si>
  <si>
    <t>ResultsText</t>
  </si>
  <si>
    <t>Five captive infants; these percentages sum to 100% of play time, not all observed activity. Do not merge with Kerney time-budget percentages.</t>
  </si>
  <si>
    <t>Mallavarapu__2001_ResultsText_snapshot.csv</t>
  </si>
  <si>
    <t>Play_composition.pct</t>
  </si>
  <si>
    <t>Focal animal and all-occurrences sampling</t>
  </si>
  <si>
    <t>Mallavarapu__2001</t>
  </si>
  <si>
    <t>Manger, P.R., Prowse, M., Haagensen, M., &amp;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</si>
  <si>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</si>
  <si>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</si>
  <si>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</si>
  <si>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</si>
  <si>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</si>
  <si>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</si>
  <si>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</si>
  <si>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</si>
  <si>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</si>
  <si>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</si>
  <si>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</si>
  <si>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</si>
  <si>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</si>
  <si>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</si>
  <si>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</si>
  <si>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</si>
  <si>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</si>
  <si>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</si>
  <si>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</si>
  <si>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</si>
  <si>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</si>
  <si>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</si>
  <si>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</si>
  <si>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</si>
  <si>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</si>
  <si>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</si>
  <si>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</si>
  <si>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</si>
  <si>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</si>
  <si>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</si>
  <si>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</si>
  <si>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</si>
  <si>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</si>
  <si>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</si>
  <si>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</si>
  <si>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</si>
  <si>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</si>
  <si>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</si>
  <si>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</si>
  <si>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</si>
  <si>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</si>
  <si>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</si>
  <si>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</si>
  <si>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</si>
  <si>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</si>
  <si>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</si>
  <si>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</si>
  <si>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</si>
  <si>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</si>
  <si>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</si>
  <si>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</si>
  <si>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</si>
  <si>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</si>
  <si>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</si>
  <si>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</si>
  <si>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</si>
  <si>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</si>
  <si>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</si>
  <si>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</si>
  <si>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</si>
  <si>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</si>
  <si>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</si>
  <si>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</si>
  <si>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</si>
  <si>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</si>
  <si>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</si>
  <si>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</si>
  <si>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</si>
  <si>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</si>
  <si>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</si>
  <si>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</si>
  <si>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</si>
  <si>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</si>
  <si>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</si>
  <si>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</si>
  <si>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</si>
  <si>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</si>
  <si>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</si>
  <si>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</si>
  <si>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</si>
  <si>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</si>
  <si>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</si>
  <si>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</si>
  <si>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</si>
  <si>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</si>
  <si>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</si>
  <si>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</si>
  <si>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</si>
  <si>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</si>
  <si>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</si>
  <si>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</si>
  <si>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</si>
  <si>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</si>
  <si>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</si>
  <si>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</si>
  <si>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</si>
  <si>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</si>
  <si>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</si>
  <si>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</si>
  <si>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</si>
  <si>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</si>
  <si>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</si>
  <si>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</si>
  <si>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</si>
  <si>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</si>
  <si>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</si>
  <si>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</si>
  <si>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</si>
  <si>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</si>
  <si>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Amniote_Database_References_Aug_2015.csv</t>
  </si>
  <si>
    <t>Amniote_Range_Count_Aug_2015.csv</t>
  </si>
  <si>
    <t>Amniote_Sparse_Table_Aug_2015.csv</t>
  </si>
  <si>
    <t>AmnioteDatabaseAug2015</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</si>
  <si>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</si>
  <si>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</si>
  <si>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</si>
  <si>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</si>
  <si>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</si>
  <si>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</si>
  <si>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Norlén, E., Sjöström, D., Hjelm, M., Hård, T., &amp; Laska, M. (2019). Taste responsiveness of Western chimpanzees (Pan troglodytes verus) to five food-associated saccharides. Primates, 60, 29–39. https://doi.org/10.1007/s10329-018-0697-0</t>
  </si>
  <si>
    <t>Constructed endpoints from Figure2</t>
  </si>
  <si>
    <t>Eleven significant contrasts explicitly stated in Results. Three chimpanzees; same subjects as Table1. Non-significant comparisons and percentage-consumption curves are not fabricated.
Exact reported endpoints; full response curves not digitized.</t>
  </si>
  <si>
    <t>Norlén_etal_2019_Figure2_snapshot.csv</t>
  </si>
  <si>
    <t>https://doi.org/10.1007/s10329-018-0697-0</t>
  </si>
  <si>
    <t>equimolar_concentration.mM</t>
  </si>
  <si>
    <t>Norlen_etal_2019</t>
  </si>
  <si>
    <t>Figure3</t>
  </si>
  <si>
    <t>Constructed endpoint snapshot from the exact Weber ratios in Results; not digitized curve values. Same three chimpanzees as Table1 and Figures1–2.
Exact reported endpoints; full response curves not digitized.</t>
  </si>
  <si>
    <t>Norlén_etal_2019_Figure3_snapshot.csv</t>
  </si>
  <si>
    <t>reference_sucrose.mM; Sucrose_Weber_ratio</t>
  </si>
  <si>
    <t>Taste preference thresholds (in mM) for food-associated saccharides in primates</t>
  </si>
  <si>
    <t>Norlén_etal_2019_Table1_snapshot.csv</t>
  </si>
  <si>
    <t>taste</t>
  </si>
  <si>
    <t>Sucrose_threshold.mM; Fructose_threshold.mM; Glucose_threshold.mM; Maltose_threshold.mM; Lactose_threshold.mM</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</si>
  <si>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</si>
  <si>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</si>
  <si>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</si>
  <si>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</si>
  <si>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</si>
  <si>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</si>
  <si>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</si>
  <si>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</si>
  <si>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</si>
  <si>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</si>
  <si>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</si>
  <si>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</si>
  <si>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</si>
  <si>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</si>
  <si>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</si>
  <si>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</si>
  <si>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</si>
  <si>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</si>
  <si>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</si>
  <si>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</si>
  <si>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</si>
  <si>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</si>
  <si>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</si>
  <si>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</si>
  <si>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</si>
  <si>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</si>
  <si>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</si>
  <si>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</si>
  <si>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</si>
  <si>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</si>
  <si>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</si>
  <si>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</si>
  <si>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</si>
  <si>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</si>
  <si>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</si>
  <si>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</si>
  <si>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</si>
  <si>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</si>
  <si>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</si>
  <si>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</si>
  <si>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</si>
  <si>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</si>
  <si>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</si>
  <si>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</si>
  <si>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</si>
  <si>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</si>
  <si>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</si>
  <si>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</si>
  <si>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</si>
  <si>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</si>
  <si>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</si>
  <si>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</si>
  <si>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</si>
  <si>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</si>
  <si>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</si>
  <si>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</si>
  <si>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</si>
  <si>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</si>
  <si>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</si>
  <si>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</si>
  <si>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</si>
  <si>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</si>
  <si>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</si>
  <si>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</si>
  <si>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</si>
  <si>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</si>
  <si>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</si>
  <si>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</si>
  <si>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</si>
  <si>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</si>
  <si>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</si>
  <si>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</si>
  <si>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</si>
  <si>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</si>
  <si>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</si>
  <si>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</si>
  <si>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</si>
  <si>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</si>
  <si>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</si>
  <si>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</si>
  <si>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</si>
  <si>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</si>
  <si>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</si>
  <si>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</si>
  <si>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</si>
  <si>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</si>
  <si>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</si>
  <si>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</si>
  <si>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</si>
  <si>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</si>
  <si>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</si>
  <si>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</si>
  <si>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</si>
  <si>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</si>
  <si>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</si>
  <si>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</si>
  <si>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</si>
  <si>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</si>
  <si>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</si>
  <si>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</si>
  <si>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</si>
  <si>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</si>
  <si>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</si>
  <si>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</si>
  <si>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</si>
  <si>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</si>
  <si>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</si>
  <si>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</si>
  <si>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</si>
  <si>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</si>
  <si>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</si>
  <si>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</si>
  <si>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</si>
  <si>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</si>
  <si>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</si>
  <si>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</si>
  <si>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</si>
  <si>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</si>
  <si>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</si>
  <si>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</si>
  <si>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</si>
  <si>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</si>
  <si>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</si>
  <si>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</si>
  <si>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</si>
  <si>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</si>
  <si>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Plotnik, J. M., de Waal, F. B. M., &amp; Reiss, D. (2006). Self-recognition in an Asian elephant. Proceedings of the National Academy of Sciences, 103(45), 17053–17057. https://doi.org/10.1073/pnas.0608062103</t>
  </si>
  <si>
    <t>Constructed exact counts; 12 touches during or within 90 seconds after mirror proximity, within 20 cm of visible mark. Study tested three elephants; Happy passed initially, Maxine and Patty did not show increased mark touching. Later repeat tests are not independent subjects. Figure rates not digitized.
Exact reported endpoints; full response curves not digitized.</t>
  </si>
  <si>
    <t>Plotnik_etal_2006_Figure3_snapshot.csv</t>
  </si>
  <si>
    <t>https://doi.org/10.1073/pnas.0608062103</t>
  </si>
  <si>
    <t>head_touches.N; mirror_associated_mark_touches.N; mirror_associated_sham_touches.N</t>
  </si>
  <si>
    <t>Large-mirror exposure and visible versus sham marks</t>
  </si>
  <si>
    <t>Plotnik_etal_2006</t>
  </si>
  <si>
    <t>Posada, S., &amp; Colell, M. (2007). Another gorilla (Gorilla gorilla gorilla) recognizes himself in a mirror. American Journal of Primatology, 69(5), 576–583. https://doi.org/10.1002/ajp.20355</t>
  </si>
  <si>
    <t>TableI</t>
  </si>
  <si>
    <t>One male Xebo; differing session durations. Printed Agonistic percentage 2 and Uncovered total 3751 do not match displayed counts; preserve and flag, not correct. Total row repeats components.</t>
  </si>
  <si>
    <t>Posada_Colell_2007_TableI_snapshot.csv</t>
  </si>
  <si>
    <t>https://doi.org/10.1002/ajp.20355</t>
  </si>
  <si>
    <t>Covered_count; Covered_percent; Uncovered_count; Uncovered_percent; Marked_count; Marked_percent</t>
  </si>
  <si>
    <t>Mirror habituation followed by mark-test observation</t>
  </si>
  <si>
    <t>Posada_Colell_2007</t>
  </si>
  <si>
    <t>Povinelli, D. J., Rulf, A. B., Landau, K. R., &amp; Bierschwale, D. T. (1993). Self-recognition in chimpanzees (Pan troglodytes): Distribution, ontogeny, and patterns of emergence. Journal of Comparative Psychology, 107(4), 347–372. https://doi.org/10.1037/0735-7036.107.4.347</t>
  </si>
  <si>
    <t>Table5</t>
  </si>
  <si>
    <t>30 subject rows. Section headings transcribed into columns; displayed group means are summaries of these subjects, not extra subjects. T=touch, R=rub. Prior SR group is not the outcome of this mark test. Image checked to correct the text-layer artifacts in Kirk, Baccus and Wendy.</t>
  </si>
  <si>
    <t>Povinelli_etal_1993_Table5_snapshot.csv</t>
  </si>
  <si>
    <t>https://doi.org/10.1037/0735-7036.107.4.347</t>
  </si>
  <si>
    <t>Control_T_plus_R; Control_T; Mirror_T_plus_R; Mirror_T; Nonmirror_T_plus_R; Nonmirror_T</t>
  </si>
  <si>
    <t>Five experiments including mirror exposure, longitudinal observation and mark tests</t>
  </si>
  <si>
    <t>Povinelli_etal_1993</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</si>
  <si>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</si>
  <si>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</si>
  <si>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</si>
  <si>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</si>
  <si>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</si>
  <si>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</si>
  <si>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</si>
  <si>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</si>
  <si>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</si>
  <si>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</si>
  <si>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</si>
  <si>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</si>
  <si>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</si>
  <si>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</si>
  <si>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</si>
  <si>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</si>
  <si>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</si>
  <si>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</si>
  <si>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</si>
  <si>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</si>
  <si>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</si>
  <si>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</si>
  <si>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</si>
  <si>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</si>
  <si>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</si>
  <si>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</si>
  <si>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</si>
  <si>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</si>
  <si>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</si>
  <si>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</si>
  <si>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</si>
  <si>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</si>
  <si>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</si>
  <si>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</si>
  <si>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</si>
  <si>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</si>
  <si>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</si>
  <si>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</si>
  <si>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</si>
  <si>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</si>
  <si>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</si>
  <si>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</si>
  <si>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</si>
  <si>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</si>
  <si>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</si>
  <si>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</si>
  <si>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</si>
  <si>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</si>
  <si>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</si>
  <si>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</si>
  <si>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</si>
  <si>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</si>
  <si>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</si>
  <si>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</si>
  <si>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</si>
  <si>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</si>
  <si>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</si>
  <si>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</si>
  <si>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</si>
  <si>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</si>
  <si>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</si>
  <si>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Redin Hurtado, M., Fischer, I., &amp; Laska, M. (2023). Is sugar as sweet to the palate as seeds are appetizing to the belly? Taste responsiveness to five food-associated carbohydrates in zoo-housed white-faced sakis, Pithecia pithecia. PLOS ONE, 18(10), e0292175. https://doi.org/10.1371/journal.pone.0292175</t>
  </si>
  <si>
    <t>Taste preference thresholds for food-associated carbohydrates in primates (mM)</t>
  </si>
  <si>
    <t>RedinHurtado_etal_2023_Table1_snapshot.csv</t>
  </si>
  <si>
    <t>https://doi.org/10.1371/journal.pone.0292175</t>
  </si>
  <si>
    <t>RedinHurtado_etal_2023</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</si>
  <si>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</si>
  <si>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</si>
  <si>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</si>
  <si>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</si>
  <si>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</si>
  <si>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</si>
  <si>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</si>
  <si>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</si>
  <si>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</si>
  <si>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</si>
  <si>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</si>
  <si>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</si>
  <si>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</si>
  <si>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</si>
  <si>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</si>
  <si>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</si>
  <si>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</si>
  <si>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</si>
  <si>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</si>
  <si>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</si>
  <si>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</si>
  <si>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</si>
  <si>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</si>
  <si>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</si>
  <si>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</si>
  <si>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</si>
  <si>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</si>
  <si>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</si>
  <si>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</si>
  <si>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</si>
  <si>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</si>
  <si>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</si>
  <si>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</si>
  <si>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</si>
  <si>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</si>
  <si>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</si>
  <si>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</si>
  <si>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Reiss, D., &amp; Marino, L. (2001). Mirror self-recognition in the bottlenose dolphin: A case of cognitive convergence. Proceedings of the National Academy of Sciences, 98(10), 5937–5942. https://doi.org/10.1073/pnas.101086398</t>
  </si>
  <si>
    <t>Constructed exact session counts reported in prose. Two ambiguous sessions are not failures. This is subject 1; sessions are not independent animals. Dolphins inspect the mark by positioning, not hand-touching; figure durations and latencies not digitized.
Exact reported endpoints; full response curves not digitized.</t>
  </si>
  <si>
    <t>Reiss_Marino_2001_Figure3_snapshot.csv</t>
  </si>
  <si>
    <t>https://doi.org/10.1073/pnas.101086398</t>
  </si>
  <si>
    <t>mark_sessions.N; first_behaviour_mark_oriented.N; ambiguous_sessions.N</t>
  </si>
  <si>
    <t>Adapted mirror/mark test in bottlenose dolphins</t>
  </si>
  <si>
    <t>Reiss_Marino_2001</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</si>
  <si>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</si>
  <si>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</si>
  <si>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</si>
  <si>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</si>
  <si>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</si>
  <si>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</si>
  <si>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</si>
  <si>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</si>
  <si>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</si>
  <si>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</si>
  <si>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</si>
  <si>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</si>
  <si>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</si>
  <si>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</si>
  <si>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</si>
  <si>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</si>
  <si>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</si>
  <si>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</si>
  <si>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</si>
  <si>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</si>
  <si>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</si>
  <si>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</si>
  <si>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</si>
  <si>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</si>
  <si>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</si>
  <si>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</si>
  <si>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</si>
  <si>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</si>
  <si>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</si>
  <si>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</si>
  <si>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</si>
  <si>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</si>
  <si>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</si>
  <si>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</si>
  <si>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</si>
  <si>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</si>
  <si>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</si>
  <si>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</si>
  <si>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</si>
  <si>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</si>
  <si>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</si>
  <si>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</si>
  <si>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</si>
  <si>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</si>
  <si>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</si>
  <si>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</si>
  <si>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</si>
  <si>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</si>
  <si>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</si>
  <si>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</si>
  <si>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</si>
  <si>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</si>
  <si>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</si>
  <si>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</si>
  <si>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</si>
  <si>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</si>
  <si>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</si>
  <si>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</si>
  <si>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</si>
  <si>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</si>
  <si>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</si>
  <si>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</si>
  <si>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</si>
  <si>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</si>
  <si>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</si>
  <si>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</si>
  <si>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</si>
  <si>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</si>
  <si>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</si>
  <si>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</si>
  <si>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</si>
  <si>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</si>
  <si>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</si>
  <si>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</si>
  <si>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</si>
  <si>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</si>
  <si>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</si>
  <si>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</si>
  <si>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</si>
  <si>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</si>
  <si>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</si>
  <si>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</si>
  <si>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</si>
  <si>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</si>
  <si>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</si>
  <si>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</si>
  <si>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</si>
  <si>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</si>
  <si>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</si>
  <si>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</si>
  <si>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</si>
  <si>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</si>
  <si>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</si>
  <si>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</si>
  <si>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</si>
  <si>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</si>
  <si>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</si>
  <si>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</si>
  <si>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</si>
  <si>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</si>
  <si>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</si>
  <si>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</si>
  <si>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</si>
  <si>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</si>
  <si>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</si>
  <si>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</si>
  <si>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</si>
  <si>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</si>
  <si>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</si>
  <si>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</si>
  <si>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</si>
  <si>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</si>
  <si>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</si>
  <si>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</si>
  <si>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</si>
  <si>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</si>
  <si>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</si>
  <si>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</si>
  <si>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</si>
  <si>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</si>
  <si>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</si>
  <si>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</si>
  <si>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</si>
  <si>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</si>
  <si>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</si>
  <si>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</si>
  <si>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</si>
  <si>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</si>
  <si>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</si>
  <si>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</si>
  <si>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</si>
  <si>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</si>
  <si>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</si>
  <si>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</si>
  <si>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</si>
  <si>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</si>
  <si>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</si>
  <si>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</si>
  <si>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</si>
  <si>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</si>
  <si>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</si>
  <si>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</si>
  <si>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</si>
  <si>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</si>
  <si>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</si>
  <si>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</si>
  <si>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</si>
  <si>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</si>
  <si>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</si>
  <si>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</si>
  <si>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</si>
  <si>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</si>
  <si>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</si>
  <si>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</si>
  <si>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</si>
  <si>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</si>
  <si>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</si>
  <si>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</si>
  <si>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</si>
  <si>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</si>
  <si>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</si>
  <si>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</si>
  <si>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</si>
  <si>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</si>
  <si>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</si>
  <si>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</si>
  <si>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</si>
  <si>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</si>
  <si>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</si>
  <si>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</si>
  <si>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</si>
  <si>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</si>
  <si>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</si>
  <si>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</si>
  <si>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</si>
  <si>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</si>
  <si>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</si>
  <si>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</si>
  <si>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</si>
  <si>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</si>
  <si>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</si>
  <si>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</si>
  <si>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</si>
  <si>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</si>
  <si>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</si>
  <si>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</si>
  <si>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</si>
  <si>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</si>
  <si>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</si>
  <si>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</si>
  <si>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</si>
  <si>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</si>
  <si>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</si>
  <si>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</si>
  <si>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</si>
  <si>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</si>
  <si>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</si>
  <si>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</si>
  <si>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</si>
  <si>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</si>
  <si>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</si>
  <si>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</si>
  <si>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</si>
  <si>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</si>
  <si>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</si>
  <si>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</si>
  <si>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</si>
  <si>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</si>
  <si>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</si>
  <si>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</si>
  <si>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</si>
  <si>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</si>
  <si>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</si>
  <si>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</si>
  <si>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</si>
  <si>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</si>
  <si>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</si>
  <si>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</si>
  <si>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</si>
  <si>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</si>
  <si>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</si>
  <si>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</si>
  <si>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</si>
  <si>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</si>
  <si>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</si>
  <si>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</si>
  <si>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</si>
  <si>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</si>
  <si>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</si>
  <si>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</si>
  <si>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</si>
  <si>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</si>
  <si>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</si>
  <si>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</si>
  <si>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</si>
  <si>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</si>
  <si>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</si>
  <si>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</si>
  <si>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</si>
  <si>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</si>
  <si>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</si>
  <si>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</si>
  <si>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</si>
  <si>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</si>
  <si>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</si>
  <si>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</si>
  <si>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</si>
  <si>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</si>
  <si>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</si>
  <si>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</si>
  <si>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</si>
  <si>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</si>
  <si>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</si>
  <si>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</si>
  <si>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</si>
  <si>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</si>
  <si>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</si>
  <si>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</si>
  <si>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</si>
  <si>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</si>
  <si>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</si>
  <si>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</si>
  <si>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</si>
  <si>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</si>
  <si>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</si>
  <si>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</si>
  <si>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</si>
  <si>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</si>
  <si>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</si>
  <si>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</si>
  <si>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</si>
  <si>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</si>
  <si>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</si>
  <si>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</si>
  <si>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</si>
  <si>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</si>
  <si>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</si>
  <si>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</si>
  <si>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</si>
  <si>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</si>
  <si>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</si>
  <si>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</si>
  <si>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</si>
  <si>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</si>
  <si>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</si>
  <si>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</si>
  <si>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</si>
  <si>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</si>
  <si>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</si>
  <si>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</si>
  <si>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</si>
  <si>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</si>
  <si>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</si>
  <si>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</si>
  <si>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</si>
  <si>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</si>
  <si>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</si>
  <si>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</si>
  <si>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</si>
  <si>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</si>
  <si>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</si>
  <si>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</si>
  <si>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</si>
  <si>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</si>
  <si>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</si>
  <si>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</si>
  <si>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</si>
  <si>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</si>
  <si>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</si>
  <si>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Simmen, B., &amp; Charlot, S. (2003). A comparison of taste thresholds for sweet and astringent-tasting compounds in great apes. Comptes Rendus Biologies, 326(4), 449–455. https://doi.org/10.1016/S1631-0691(03)00122-7</t>
  </si>
  <si>
    <t>Figure1</t>
  </si>
  <si>
    <t>Constructed endpoint snapshot from exact reported intervals; response curves not digitized. No midpoint imputation. Gorilla tannin avoidance did not yield a statistically established threshold; do not code a failure or zero. Fructose results overlap later compilations.
Exact reported endpoints; full response curves not digitized.</t>
  </si>
  <si>
    <t>Simmen_Charlot_2003_Figure1_snapshot.csv</t>
  </si>
  <si>
    <t>https://doi.org/10.1016/S1631-0691(03)00122-7</t>
  </si>
  <si>
    <t>Fructose_preference.mM</t>
  </si>
  <si>
    <t>Brief two-bottle tests</t>
  </si>
  <si>
    <t>Simmen_Charlot_2003</t>
  </si>
  <si>
    <t>Simmen_Charlot_2003_Figure2_snapshot.csv</t>
  </si>
  <si>
    <t>Tannic_acid_inhibition.mM</t>
  </si>
  <si>
    <t>Simmen, B., &amp; Hladik, C. M. (1998). Sweet and bitter taste discrimination in primates: Scaling effects across species. Folia Primatologica, 69(3), 129–138. https://doi.org/10.1159/000021575</t>
  </si>
  <si>
    <t>Quinine source values are in 0.1 mM. ± describes the published threshold interval; it is not assumed to be SD or SEM. Repeated blank species rows inherit the preceding species only in the reader. Body masses are ancillary secondary data.</t>
  </si>
  <si>
    <t>Simmen_Hladik_1998_Table1_snapshot.csv</t>
  </si>
  <si>
    <t>https://doi.org/10.1159/000021575</t>
  </si>
  <si>
    <t>Body_mass.g; Sucrose_threshold.mM; Fructose_threshold.mM; Quinine_HCl_threshold.mM</t>
  </si>
  <si>
    <t>Behavioural taste thresholds; verify protocols in full text</t>
  </si>
  <si>
    <t>Simmen_Hladik_1998</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</si>
  <si>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</si>
  <si>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</si>
  <si>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</si>
  <si>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</si>
  <si>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</si>
  <si>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</si>
  <si>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</si>
  <si>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</si>
  <si>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</si>
  <si>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</si>
  <si>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</si>
  <si>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</si>
  <si>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</si>
  <si>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</si>
  <si>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</si>
  <si>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&amp; Zilles, K. (2011). Modeling the evolution of cortico-cerebellar systems in primates. Annals of the New York Academy of Sciences, 1225, 176–190. https://doi.org/10.1111/j.1749-6632.2011.06003.x</t>
  </si>
  <si>
    <t>N/FR/NF/Cereb repeat Smaers2010; CC/SC/FL are current study. Brain/Str/Hipp/Piri/Medulla are Stephan records; starred brain values from MacLeod. Keep specimen rows and blanks. Registry routes only current-study structures into the additional anatomy merge.</t>
  </si>
  <si>
    <t>Smaers_etal_2011_b_Table2_snapshot.csv</t>
  </si>
  <si>
    <t>https://doi.org/10.1111/j.1749-6632.2011.06003.x</t>
  </si>
  <si>
    <t>N; FR; NF; Cereb; CC; SC; FL; Brain; Str; Hipp; Piri; Medulla</t>
  </si>
  <si>
    <t>Comparative volumetry and evolutionary analysis</t>
  </si>
  <si>
    <t>Smaers_etal_2011_b</t>
  </si>
  <si>
    <t>Smaers, J. B., Steele, J., Case, C. R., &amp; Amunts, K. (2013). Laterality and the evolution of the prefronto-cerebellar system in anthropoids. Annals of the New York Academy of Sciences, 1288(1), 59–69. https://doi.org/10.1111/nyas.12047</t>
  </si>
  <si>
    <t>Volumes mL → mm3. PCH measured for this study; FM/PF from previous work. Left/right kept separate. Table contains 25 rows although Methods states 29 individuals; no missing individuals invented.</t>
  </si>
  <si>
    <t>Smaers_etal_2013_Table1_snapshot.csv</t>
  </si>
  <si>
    <t>https://doi.org/10.1111/nyas.12047</t>
  </si>
  <si>
    <t>Brain; Left_PCH; Left_FM; Left_PF; Right_PCH; Right_FM; Right_PF</t>
  </si>
  <si>
    <t>Serial-section volumetry</t>
  </si>
  <si>
    <t>Smaers_etal_2013</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</si>
  <si>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</si>
  <si>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</si>
  <si>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</si>
  <si>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</si>
  <si>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</si>
  <si>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</si>
  <si>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</si>
  <si>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</si>
  <si>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</si>
  <si>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</si>
  <si>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</si>
  <si>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</si>
  <si>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</si>
  <si>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</si>
  <si>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</si>
  <si>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</si>
  <si>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</si>
  <si>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</si>
  <si>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</si>
  <si>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</si>
  <si>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</si>
  <si>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</si>
  <si>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</si>
  <si>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</si>
  <si>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</si>
  <si>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</si>
  <si>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</si>
  <si>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</si>
  <si>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</si>
  <si>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</si>
  <si>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</si>
  <si>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</si>
  <si>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</si>
  <si>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</si>
  <si>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</si>
  <si>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</si>
  <si>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</si>
  <si>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</si>
  <si>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</si>
  <si>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</si>
  <si>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</si>
  <si>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</si>
  <si>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</si>
  <si>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</si>
  <si>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</si>
  <si>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</si>
  <si>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</si>
  <si>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</si>
  <si>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</si>
  <si>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</si>
  <si>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</si>
  <si>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</si>
  <si>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</si>
  <si>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</si>
  <si>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</si>
  <si>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</si>
  <si>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</si>
  <si>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</si>
  <si>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</si>
  <si>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</si>
  <si>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</si>
  <si>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</si>
  <si>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</si>
  <si>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</si>
  <si>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</si>
  <si>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</si>
  <si>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</si>
  <si>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</si>
  <si>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</si>
  <si>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</si>
  <si>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</si>
  <si>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</si>
  <si>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</si>
  <si>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</si>
  <si>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</si>
  <si>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</si>
  <si>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</si>
  <si>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</si>
  <si>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</si>
  <si>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</si>
  <si>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</si>
  <si>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</si>
  <si>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</si>
  <si>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</si>
  <si>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</si>
  <si>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</si>
  <si>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</si>
  <si>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</si>
  <si>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</si>
  <si>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</si>
  <si>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</si>
  <si>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</si>
  <si>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</si>
  <si>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</si>
  <si>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</si>
  <si>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</si>
  <si>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</si>
  <si>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</si>
  <si>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</si>
  <si>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</si>
  <si>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</si>
  <si>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</si>
  <si>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</si>
  <si>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</si>
  <si>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</si>
  <si>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</si>
  <si>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</si>
  <si>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</si>
  <si>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</si>
  <si>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</si>
  <si>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</si>
  <si>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</si>
  <si>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</si>
  <si>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</si>
  <si>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</si>
  <si>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</si>
  <si>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</si>
  <si>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</si>
  <si>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Suarez, S. D., &amp; Gallup, G. G., Jr. (1981). Self-recognition in chimpanzees and orangutans, but not gorillas. Journal of Human Evolution, 10(2), 175–188. https://doi.org/10.1016/S0047-2484(81)80016-4</t>
  </si>
  <si>
    <t>Figure11</t>
  </si>
  <si>
    <t>Constructed endpoints from Figure11</t>
  </si>
  <si>
    <t>Experiment with Homer and Tai after eight days of mirror exposure. Different individuals from Hoboh and William in Table2; preserve experiment identity. Exact stated outcomes, not digitized bar counts.
Exact reported endpoints; full response curves not digitized.</t>
  </si>
  <si>
    <t>Suarez_Gallup_1981_Figure11_snapshot.csv</t>
  </si>
  <si>
    <t>https://doi.org/10.1016/S0047-2484(81)80016-4</t>
  </si>
  <si>
    <t>Comparative mirror and mark tests</t>
  </si>
  <si>
    <t>Suarez_Gallup_1981</t>
  </si>
  <si>
    <t>Constructed endpoints from Figure3</t>
  </si>
  <si>
    <t>Four gorillas; no mark-directed response while watching the reflection. Wrist marks elicited interest and are visible without the mirror. Exact stated outcome, not digitized bar counts.
Exact reported endpoints; full response curves not digitized.</t>
  </si>
  <si>
    <t>Suarez_Gallup_1981_Figure3_snapshot.csv</t>
  </si>
  <si>
    <t>Figure7</t>
  </si>
  <si>
    <t>Constructed endpoints from Figure7</t>
  </si>
  <si>
    <t>Dyak did not inspect his visible wrist mark either, so the authors explicitly call the result inconclusive. Do not count Dyak as a failed test.
Exact reported endpoints; full response curves not digitized.</t>
  </si>
  <si>
    <t>Suarez_Gallup_1981_Figure7_snapshot.csv</t>
  </si>
  <si>
    <t>William lost the brow dye accidentally; zero brow contacts cannot establish failure. Pretest and mark test are separate conditions. Hoboh and William are chimpanzees (Methods p.183).</t>
  </si>
  <si>
    <t>Suarez_Gallup_1981_Table2_snapshot.csv</t>
  </si>
  <si>
    <t>Pretest_wrist; Pretest_brow; Test_wrist; Test_brow</t>
  </si>
  <si>
    <t>Suddendorf, T., &amp; Collier-Baker, E. (2009). The evolution of primate visual self-recognition: Evidence of absence in lesser apes. Proceedings of the Royal Society B, 276(1662), 1671–1677. https://doi.org/10.1098/rspb.2008.1754</t>
  </si>
  <si>
    <t>18 tests on 17 individuals. Arjuna (2) repeats the same individual 10 days later. Dashes mean intervention not administered, not failure. Asterisks identify inadvertent self-marks in the published footnote. No untested condition is zero-coded.</t>
  </si>
  <si>
    <t>Suddendorf_CollierBaker_2009_Table1_snapshot.csv</t>
  </si>
  <si>
    <t>https://doi.org/10.1098/rspb.2008.1754</t>
  </si>
  <si>
    <t>Head-mark test with visible-mark and motivational controls</t>
  </si>
  <si>
    <t>Suddendorf_CollierBaker_2009</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</si>
  <si>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</si>
  <si>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</si>
  <si>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</si>
  <si>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</si>
  <si>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</si>
  <si>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</si>
  <si>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</si>
  <si>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</si>
  <si>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</si>
  <si>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</si>
  <si>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</si>
  <si>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</si>
  <si>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</si>
  <si>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</si>
  <si>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</si>
  <si>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</si>
  <si>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</si>
  <si>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</si>
  <si>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</si>
  <si>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</si>
  <si>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</si>
  <si>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</si>
  <si>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</si>
  <si>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</si>
  <si>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</si>
  <si>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</si>
  <si>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</si>
  <si>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</si>
  <si>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</si>
  <si>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</si>
  <si>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</si>
  <si>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</si>
  <si>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</si>
  <si>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</si>
  <si>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</si>
  <si>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</si>
  <si>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</si>
  <si>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</si>
  <si>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</si>
  <si>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</si>
  <si>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</si>
  <si>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V1 area range (mm2), secondary cited endpoints</t>
  </si>
  <si>
    <t>literature citation</t>
  </si>
  <si>
    <t>range conversion cm2 to mm2 (x100)</t>
  </si>
  <si>
    <t>surface area range</t>
  </si>
  <si>
    <t>Filiminoff 1932; Stensaas et al. 1974</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</si>
  <si>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</si>
  <si>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</si>
  <si>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</si>
  <si>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</si>
  <si>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</si>
  <si>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</si>
  <si>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</si>
  <si>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</si>
  <si>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</si>
  <si>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</si>
  <si>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</si>
  <si>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</si>
  <si>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</si>
  <si>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</si>
  <si>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</si>
  <si>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</si>
  <si>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</si>
  <si>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</si>
  <si>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</si>
  <si>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</si>
  <si>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</si>
  <si>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</si>
  <si>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</si>
  <si>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</si>
  <si>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</si>
  <si>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</si>
  <si>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</si>
  <si>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</si>
  <si>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</si>
  <si>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</si>
  <si>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</si>
  <si>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</si>
  <si>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</si>
  <si>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</si>
  <si>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</si>
  <si>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</si>
  <si>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</si>
  <si>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</si>
  <si>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</si>
  <si>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</si>
  <si>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</si>
  <si>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</si>
  <si>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</si>
  <si>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</si>
  <si>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</si>
  <si>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</si>
  <si>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</si>
  <si>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</si>
  <si>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</si>
  <si>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</si>
  <si>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</si>
  <si>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</si>
  <si>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</si>
  <si>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</si>
  <si>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</si>
  <si>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</si>
  <si>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</si>
  <si>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</si>
  <si>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</si>
  <si>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</si>
  <si>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</si>
  <si>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</si>
  <si>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</si>
  <si>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</si>
  <si>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</si>
  <si>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</si>
  <si>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</si>
  <si>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</si>
  <si>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</si>
  <si>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</si>
  <si>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</si>
  <si>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</si>
  <si>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</si>
  <si>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</si>
  <si>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</si>
  <si>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</si>
  <si>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</si>
  <si>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</si>
  <si>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</si>
  <si>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</si>
  <si>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</si>
  <si>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</si>
  <si>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Westergaard, G. C., &amp; Hyatt, C. W. (1994). The responses of bonobos (Pan paniscus) to their mirror images: Evidence of selfrecognition. Human Evolution, 9(4), 273–279. https://doi.org/10.1007/BF02435514</t>
  </si>
  <si>
    <t>https://doi.org/10.1007/BF02435514</t>
  </si>
  <si>
    <t>Alternating reflective and non-reflective mirror surfaces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</si>
  <si>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</si>
  <si>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</si>
  <si>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</si>
  <si>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</si>
  <si>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</si>
  <si>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</si>
  <si>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</si>
  <si>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</si>
  <si>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</si>
  <si>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</si>
  <si>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</si>
  <si>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</si>
  <si>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</si>
  <si>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</si>
  <si>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</si>
  <si>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</si>
  <si>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</si>
  <si>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</si>
  <si>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</si>
  <si>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</si>
  <si>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</si>
  <si>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</si>
  <si>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</si>
  <si>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</si>
  <si>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</si>
  <si>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</si>
  <si>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</si>
  <si>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</si>
  <si>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</si>
  <si>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</si>
  <si>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</si>
  <si>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</si>
  <si>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</si>
  <si>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</si>
  <si>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</si>
  <si>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</si>
  <si>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</si>
  <si>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</si>
  <si>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</si>
  <si>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</si>
  <si>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</si>
  <si>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</si>
  <si>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</si>
  <si>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</si>
  <si>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</si>
  <si>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</si>
  <si>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</si>
  <si>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</si>
  <si>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</si>
  <si>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</si>
  <si>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</si>
  <si>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</si>
  <si>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</si>
  <si>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</si>
  <si>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</si>
  <si>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</si>
  <si>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</si>
  <si>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</si>
  <si>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</si>
  <si>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</si>
  <si>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</si>
  <si>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</si>
  <si>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</si>
  <si>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</si>
  <si>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Meyer, J. (1981). A quantitative comparison of the parts of the brains of two Australian marsupials and some eutherian mammals. Brain, Behavior and Evolution, 18, 60–71. https://doi.org/10.1159/000121776</t>
  </si>
  <si>
    <t>Table I. Brain and body weights (mean ± SE)</t>
  </si>
  <si>
    <t>PDF table; faithful CSV transcription</t>
  </si>
  <si>
    <t>See item README for unit, sample, hemisphere and provenance constraints.</t>
  </si>
  <si>
    <t>Built: snapshot, R, CSV, TSV, definitions; 2026-10-26</t>
  </si>
  <si>
    <t>Meyer__1981_TableI_snapshot.csv</t>
  </si>
  <si>
    <t>https://doi.org/10.1159/000121776</t>
  </si>
  <si>
    <t>Brain and body mass</t>
  </si>
  <si>
    <t>Fixed brain weighing; body weighing/estimation</t>
  </si>
  <si>
    <t>Meyer</t>
  </si>
  <si>
    <t>Pending human RA; AI compared PDF table on 2026-10-26</t>
  </si>
  <si>
    <t>TableII</t>
  </si>
  <si>
    <t>Table II. Weights (g) of component parts of the brain (mean ± SE)</t>
  </si>
  <si>
    <t>Meyer__1981_TableII_snapshot.csv</t>
  </si>
  <si>
    <t>Mass, not volume; no conversion using assumed tissue density</t>
  </si>
  <si>
    <t>Regional brain mass</t>
  </si>
  <si>
    <t>Standardized dissection and fixed-tissue weighing</t>
  </si>
  <si>
    <t>Slomianka, L., Drenth, T., Cavegn, N., Menges, D., Lazic, S. E., Phalanndwa, M., Chimimba, C. T., &amp; Amrein, I. (2013). The hippocampus of the eastern rock sengi: cytoarchitecture, markers of neuronal function, principal cell numbers, and adult neurogenesis. Frontiers in Neuroanatomy, 7, 34. https://doi.org/10.3389/fnana.2013.00034</t>
  </si>
  <si>
    <t>Table 2. Unilateral hippocampal principal cell numbers</t>
  </si>
  <si>
    <t>Slomianka_etal_2013_Table2_snapshot.csv</t>
  </si>
  <si>
    <t>https://doi.org/10.3389/fnana.2013.00034</t>
  </si>
  <si>
    <t>Overlapping all/female/male summaries; retain hemisphere and cell phenotype</t>
  </si>
  <si>
    <t>Hippocampal cellular anatomy</t>
  </si>
  <si>
    <t>Elephantulus myurus</t>
  </si>
  <si>
    <t>Optical fractionator; histology and immunohistochemistry</t>
  </si>
  <si>
    <t>Slomianka/Amrein</t>
  </si>
  <si>
    <t>Slomianka</t>
  </si>
  <si>
    <t>Table 4. Unilateral hippocampal neurogenesis related cell numbers</t>
  </si>
  <si>
    <t>Slomianka_etal_2013_Table4_snapshot.csv</t>
  </si>
  <si>
    <t>Slomianka, L., &amp; West, M. J. (1989). Comparative quantitative study of the hippocampal region of two closely related species of wild mice: Interspecific and intraspecific variations in volumes of hippocampal components. Journal of Comparative Neurology, 280, 544–552. https://doi.org/10.1002/cne.902800405</t>
  </si>
  <si>
    <t>Table 1. Volumes (mm³) of structures and ratios of volumes of the two group comparisons</t>
  </si>
  <si>
    <t>Slomianka_West_1989_Table1_snapshot.csv</t>
  </si>
  <si>
    <t>https://doi.org/10.1002/cne.902800405</t>
  </si>
  <si>
    <t>Left hemisphere; preserve geographic groups and overlapping components</t>
  </si>
  <si>
    <t>Hippocampal component volumes</t>
  </si>
  <si>
    <t>Apodemus</t>
  </si>
  <si>
    <t>Timm-stained serial sections; volumetry</t>
  </si>
  <si>
    <t>West/Slomianka</t>
  </si>
  <si>
    <t>West</t>
  </si>
  <si>
    <t>West, M. J., &amp; Gundersen, H. J. G. (1990). Unbiased stereological estimation of the number of neurons in the human hippocampus. Journal of Comparative Neurology, 296, 1–22. https://doi.org/10.1002/cne.902960102</t>
  </si>
  <si>
    <t>Table 1. Information about patients from whom the hippocampi used in this study were obtained</t>
  </si>
  <si>
    <t>West_Gundersen_1990_Table1_snapshot.csv</t>
  </si>
  <si>
    <t>https://doi.org/10.1002/cne.902960102</t>
  </si>
  <si>
    <t>Human hippocampal cohort</t>
  </si>
  <si>
    <t>Postmortem donor measurements</t>
  </si>
  <si>
    <t>Table 2. Data from the five subdivisions of the five hippocampi</t>
  </si>
  <si>
    <t>West_Gundersen_1990_Table2_snapshot.csv</t>
  </si>
  <si>
    <t>Five donors; neuron-containing layer volumes only; no bilateral or fresh-volume inference</t>
  </si>
  <si>
    <t>Hippocampal neurons and reference layers</t>
  </si>
  <si>
    <t>Optical disector and Cavalieri stereology</t>
  </si>
  <si>
    <t>Nummela, S., Pihlström, H., Puolamäki, K., Fortelius, M., Hemilä, S., &amp; Reuter, T. (2013). Exploring the mammalian sensory space: co-operations and trade-offs among senses. Journal of Comparative Physiology A, 199, 1077–1092. https://doi.org/10.1007/s00359-013-0846-2</t>
  </si>
  <si>
    <t>Table S2. Body mass, sensory organ dimensions, habitats and diets of 119 mammals</t>
  </si>
  <si>
    <t>Nummela_etal_2013_TableS2_snapshot.csv</t>
  </si>
  <si>
    <t>https://doi.org/10.1007/s00359-013-0846-2</t>
  </si>
  <si>
    <t>Per-cell primary/secondary provenance; organ anatomy distinct from perception thresholds</t>
  </si>
  <si>
    <t>Sensory anatomy</t>
  </si>
  <si>
    <t>Comparative anatomical measurements and literature compilation</t>
  </si>
  <si>
    <t>Nummela</t>
  </si>
  <si>
    <t>Numbered source keys 1–18; Nowak 1999</t>
  </si>
  <si>
    <t>Stevens, J. R. (2014). Evolutionary pressures on primate intertemporal choice. Proceedings of the Royal Society B: Biological Sciences, 281, 20140499. https://doi.org/10.1098/rspb.2014.0499</t>
  </si>
  <si>
    <t>DataS1</t>
  </si>
  <si>
    <t>Data S1. All data used in the analysis</t>
  </si>
  <si>
    <t>Author CSV</t>
  </si>
  <si>
    <t>Stevens__2014_DataS1_snapshot.csv</t>
  </si>
  <si>
    <t>https://doi.org/10.1098/rspb.2014.0499</t>
  </si>
  <si>
    <t>All secondary; mixed observation types; preserve unresolved bibliography keys; no duplicate ECV pooling</t>
  </si>
  <si>
    <t>Intertemporal choice and comparative covariates</t>
  </si>
  <si>
    <t>Literature compilation; delay-choice experiments from cited studies</t>
  </si>
  <si>
    <t>Stevens</t>
  </si>
  <si>
    <t>148 exact author CSV reference keys; item reference lookup</t>
  </si>
  <si>
    <t>West, M. J., &amp; Schwerdtfeger, W. K. (1985). An allometric study of hippocampal components: A comparative study of the brains of the European hedgehog (Erinaceus europaeus), the tree shrew (Tupaia glis), and the marmoset monkey (Callithrix jacchus). Brain, Behavior and Evolution, 27, 93–105. https://doi.org/10.1159/000118723</t>
  </si>
  <si>
    <t>Table I. Weight and volume data of animals studied</t>
  </si>
  <si>
    <t>See item README for sample overlap, provenance, units and interpretation.</t>
  </si>
  <si>
    <t>West_Schwerdtfeger_1985_TableI_snapshot.csv</t>
  </si>
  <si>
    <t>https://doi.org/10.1159/000118723</t>
  </si>
  <si>
    <t>Reference means and reused hedgehogs explicitly separated</t>
  </si>
  <si>
    <t>Brain, telencephalon and body size</t>
  </si>
  <si>
    <t>Histological specimens and reference species means</t>
  </si>
  <si>
    <t>Stephan1981; West1984</t>
  </si>
  <si>
    <t>Table II. Standardized hippocampal component volumes of four hedgehogs</t>
  </si>
  <si>
    <t>West_Schwerdtfeger_1985_TableII_snapshot.csv</t>
  </si>
  <si>
    <t>Normalized, not raw volumes; reused West1984 hedgehogs</t>
  </si>
  <si>
    <t>Standardized hippocampal regional volume</t>
  </si>
  <si>
    <t>Timm histology; reference-size normalization</t>
  </si>
  <si>
    <t>West1984; Stephan1981</t>
  </si>
  <si>
    <t>TableIII</t>
  </si>
  <si>
    <t>Table III. Volumes (mm³) and SI of hippocampal components</t>
  </si>
  <si>
    <t>West_Schwerdtfeger_1985_TableIII_snapshot.csv</t>
  </si>
  <si>
    <t>Standardized volumes and derived size indices; reference columns are not new observations</t>
  </si>
  <si>
    <t>Timm histology; allometric normalization</t>
  </si>
  <si>
    <t>Jacobs, L. F., &amp; Spencer, W. D. (1994). Natural space-use patterns and hippocampal size in kangaroo rats. Brain, Behavior and Evolution, 44, 125–132. https://doi.org/10.1159/000113584</t>
  </si>
  <si>
    <t>Table 1. Summary statistics for study specimens (mean ± SE)</t>
  </si>
  <si>
    <t>Jacobs_Spencer_1994_Table1_snapshot.csv</t>
  </si>
  <si>
    <t>https://doi.org/10.1159/000113584</t>
  </si>
  <si>
    <t>All-animal/sex summaries overlap; fixed tissue; preserve SE</t>
  </si>
  <si>
    <t>Hippocampus, brain and body size</t>
  </si>
  <si>
    <t>Dipodomys</t>
  </si>
  <si>
    <t>Fixed-brain weighing and serial-section planimetry</t>
  </si>
  <si>
    <t>Jacobs</t>
  </si>
  <si>
    <t>Patzke, N., Spocter, M. A., Karlsson, K. Æ., Bertelsen, M. F., Haagensen, M., Chawana, R., Streicher, S., Kaswera, C., Gilissen, E., Alagaili, A. N., Mohammed, O. B., Reep, R. L., Bennett, N. C., Siegel, J. M., Ihunwo, A. O., &amp; Manger, P. R. (2015). In contrast to many other mammals, cetaceans have relatively small hippocampi that appear to lack adult neurogenesis. Brain Structure and Function, 220, 361–383. https://doi.org/10.1007/s00429-013-0660-1</t>
  </si>
  <si>
    <t>Table 1. Species and data used for volumetric analysis of the hippocampus</t>
  </si>
  <si>
    <t>Patzke_etal_2015_Table1_snapshot.csv</t>
  </si>
  <si>
    <t>https://doi.org/10.1007/s00429-013-0660-1</t>
  </si>
  <si>
    <t>381 rows include repeated taxa; 11 current-study rows; Vb derived from mass</t>
  </si>
  <si>
    <t>Hippocampal and brain size</t>
  </si>
  <si>
    <t>MRI and literature compilation</t>
  </si>
  <si>
    <t>Manger</t>
  </si>
  <si>
    <t>Numbered sources 1–4 and 6</t>
  </si>
  <si>
    <t>Table 2. Adult hippocampal neurogenesis evidence and techniques</t>
  </si>
  <si>
    <t>Patzke_etal_2015_Table2_snapshot.csv</t>
  </si>
  <si>
    <t>Assay-specific qualitative outcomes; not neuron counts</t>
  </si>
  <si>
    <t>Adult hippocampal neurogenesis</t>
  </si>
  <si>
    <t>Immunohistochemistry and literature evidence</t>
  </si>
  <si>
    <t>24 numbered source keys, excluding current-study key 2</t>
  </si>
  <si>
    <t>Weisbecker, V., Ashwell, K., &amp; Fisher, D. (2013). An improved body mass dataset for the study of marsupial brain size evolution. Brain, Behavior and Evolution, 82, 81–82. https://doi.org/10.1159/000348647</t>
  </si>
  <si>
    <t>Supplementary Table 1. Marsupial brain volumes and alternative body mass estimates</t>
  </si>
  <si>
    <t>Supplied digital XLSX</t>
  </si>
  <si>
    <t>Weisbecker_etal_2013_TableS1_snapshot.xlsx</t>
  </si>
  <si>
    <t>https://doi.org/10.1159/000348647</t>
  </si>
  <si>
    <t>Missing TableS2 bibliography; secondary Ashwell collection</t>
  </si>
  <si>
    <t>Marsupial body mass and endocranial volume</t>
  </si>
  <si>
    <t>Literature body masses; Ashwell endocranial volumes and mandible estimates</t>
  </si>
  <si>
    <t>Ashwell/Weisbecker</t>
  </si>
  <si>
    <t>Ashwell2008; Weisbecker2013 TableS2 (not supplied)</t>
  </si>
  <si>
    <t>Gómez, J. M., Verdú, M., González-Megías, A., &amp; Méndez, M. (2016). The phylogenetic roots of human lethal violence. Nature, 538, 233–237. https://doi.org/10.1038/nature19758</t>
  </si>
  <si>
    <t>TableIXA</t>
  </si>
  <si>
    <t>IX.A. Data on lethal aggression in mammals</t>
  </si>
  <si>
    <t>Gómez_etal_2016_TableIXA_snapshot.csv</t>
  </si>
  <si>
    <t>https://doi.org/10.1038/nature19758</t>
  </si>
  <si>
    <t>Taxonomic footnotes and unresolved concatenated references retained; denominator-dependent measure</t>
  </si>
  <si>
    <t>Conspecific lethal violence</t>
  </si>
  <si>
    <t>Literature compilation of causes of death</t>
  </si>
  <si>
    <t>Gómez</t>
  </si>
  <si>
    <t>Item reference lookup: 1,042 printed tokens</t>
  </si>
  <si>
    <t>Opie, C., Atkinson, Q. D., Dunbar, R. I. M., &amp; Shultz, S. (2013). Male infanticide leads to social monogamy in primates. Proceedings of the National Academy of Sciences, 110, 13328–13332. https://doi.org/10.1073/pnas.1307903110</t>
  </si>
  <si>
    <t>Supplementary Data Table. Primate reproductive and social traits</t>
  </si>
  <si>
    <t>Opie_etal_2013_DataS1_snapshot.xlsx</t>
  </si>
  <si>
    <t>https://doi.org/10.1073/pnas.1307903110</t>
  </si>
  <si>
    <t>DD and categorical coding preserved; column-level versus row-level references separated</t>
  </si>
  <si>
    <t>Primate social behavior and life history</t>
  </si>
  <si>
    <t>Comparative literature compilation and author coding</t>
  </si>
  <si>
    <t>Opie/Shultz</t>
  </si>
  <si>
    <t>Opie</t>
  </si>
  <si>
    <t>Original workbook bibliography</t>
  </si>
  <si>
    <t>Burkart, J. M., Allon, O., Amici, F., Fichtel, C., Finkenwirth, C., Heschl, A., Huber, J., Isler, K., Kosonen, Z. K., Martins, E., Meulman, E. J., Richiger, R., Rueth, K., Spillmann, B., Wiesendanger, S., &amp; van Schaik, C. P. (2014). The evolutionary origin of human hyper-cooperation. Nature Communications, 5, 4747. https://doi.org/10.1038/ncomms5747</t>
  </si>
  <si>
    <t>Origin and composition of the social groups tested with group service</t>
  </si>
  <si>
    <t>Preserve repeated studies/groups, figure uncertainty and source discrepancies; see README.</t>
  </si>
  <si>
    <t>Burkart_etal_2014_Table2_snapshot.csv</t>
  </si>
  <si>
    <t>https://doi.org/10.1038/ncomms5747</t>
  </si>
  <si>
    <t>Source/sample overlap documented</t>
  </si>
  <si>
    <t>Standardized group-service behavioral experiment</t>
  </si>
  <si>
    <t>Burkart</t>
  </si>
  <si>
    <t>Pending human RA; AI compared source on 2026-10-26</t>
  </si>
  <si>
    <t>TableS7</t>
  </si>
  <si>
    <t>Overview of performance per group regarding criteria 1–4</t>
  </si>
  <si>
    <t>Burkart_etal_2014_TableS7_snapshot.csv</t>
  </si>
  <si>
    <t>Proactive prosociality and allomaternal care in 15 primate species</t>
  </si>
  <si>
    <t>PDF figure; constructed coordinate snapshot</t>
  </si>
  <si>
    <t>Burkart_etal_2014_Figure1_snapshot.csv</t>
  </si>
  <si>
    <t>Figure-derived estimates</t>
  </si>
  <si>
    <t>See item-level source lookup and provenance</t>
  </si>
  <si>
    <t>Strier, K. B., Lee, P. C., &amp; Ives, A. R. (2014). Behavioral flexibility and the evolution of primate social states. PLoS ONE, 9(12), e114099. https://doi.org/10.1371/journal.pone.0114099</t>
  </si>
  <si>
    <t>Summary data on demographic and behavioral variation</t>
  </si>
  <si>
    <t>Strier_etal_2014_TableS1_snapshot.csv</t>
  </si>
  <si>
    <t>https://doi.org/10.1371/journal.pone.0114099</t>
  </si>
  <si>
    <t>Source [22] absent in published bibliography</t>
  </si>
  <si>
    <t>Compilation of longitudinal group/population and cross-sectional studies</t>
  </si>
  <si>
    <t>Strier</t>
  </si>
  <si>
    <t>Annual data on demographic and behavioral variation</t>
  </si>
  <si>
    <t>Strier_etal_2014_TableS2_snapshot.csv</t>
  </si>
  <si>
    <t>References to Table S1 and Table S2</t>
  </si>
  <si>
    <t>Strier_etal_2014_TableS3_snapshot.csv</t>
  </si>
  <si>
    <t>Jacobs, L. F., Gaulin, S. J. C., Sherry, D. F., &amp; Hoffman, G. E. (1990). Evolution of spatial cognition: Sex-specific patterns of spatial behavior predict hippocampal size. Proceedings of the National Academy of Sciences, 87, 6349–6352. https://doi.org/10.1073/pnas.87.16.6349</t>
  </si>
  <si>
    <t>Absolute and relative hippocampal size by sex in meadow and pine voles</t>
  </si>
  <si>
    <t>Jacobs_etal_1990_Figure1_snapshot.csv</t>
  </si>
  <si>
    <t>https://doi.org/10.1073/pnas.87.16.6349</t>
  </si>
  <si>
    <t>Microtus</t>
  </si>
  <si>
    <t>Perfusion-fixed serial-section hippocampal planimetry; figure digitization</t>
  </si>
  <si>
    <t>Pontzer, H., &amp; Kamilar, J. M. (2009). Great ranging associated with greater reproductive investment in mammals. Proceedings of the National Academy of Sciences, 106(1), 192–196. https://doi.org/10.1073/pnas.0806105106</t>
  </si>
  <si>
    <t>Ranging and life history data</t>
  </si>
  <si>
    <t>Pontzer_Kamilar_2009_TableS1_snapshot.csv</t>
  </si>
  <si>
    <t>https://doi.org/10.1073/pnas.0806105106</t>
  </si>
  <si>
    <t>Literature compilation of daily ranging and life history</t>
  </si>
  <si>
    <t>Pontzer</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</si>
  <si>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</si>
  <si>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</si>
  <si>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</si>
  <si>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</si>
  <si>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</si>
  <si>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</si>
  <si>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</si>
  <si>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</si>
  <si>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</si>
  <si>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</si>
  <si>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</si>
  <si>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</si>
  <si>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</si>
  <si>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</si>
  <si>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</si>
  <si>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</si>
  <si>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</si>
  <si>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</si>
  <si>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</si>
  <si>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</si>
  <si>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</si>
  <si>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</si>
  <si>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</si>
  <si>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</si>
  <si>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</si>
  <si>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</si>
  <si>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</si>
  <si>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</si>
  <si>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</si>
  <si>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</si>
  <si>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</si>
  <si>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</si>
  <si>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</si>
  <si>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</si>
  <si>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</si>
  <si>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</si>
  <si>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</si>
  <si>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</si>
  <si>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</si>
  <si>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</si>
  <si>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</si>
  <si>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</si>
  <si>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</si>
  <si>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</si>
  <si>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</si>
  <si>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</si>
  <si>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</si>
  <si>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</si>
  <si>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</si>
  <si>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</si>
  <si>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</si>
  <si>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</si>
  <si>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</si>
  <si>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</si>
  <si>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</si>
  <si>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</si>
  <si>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</si>
  <si>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</si>
  <si>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</si>
  <si>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</si>
  <si>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</si>
  <si>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</si>
  <si>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</si>
  <si>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</si>
  <si>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</si>
  <si>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</si>
  <si>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</si>
  <si>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</si>
  <si>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</si>
  <si>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</si>
  <si>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</si>
  <si>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</si>
  <si>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</si>
  <si>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</si>
  <si>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</si>
  <si>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</si>
  <si>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</si>
  <si>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</si>
  <si>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</si>
  <si>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</si>
  <si>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</si>
  <si>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</si>
  <si>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</si>
  <si>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</si>
  <si>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</si>
  <si>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</si>
  <si>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</si>
  <si>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</si>
  <si>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</si>
  <si>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</si>
  <si>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</si>
  <si>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</si>
  <si>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</si>
  <si>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</si>
  <si>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</si>
  <si>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</si>
  <si>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</si>
  <si>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</si>
  <si>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</si>
  <si>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</si>
  <si>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</si>
  <si>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</si>
  <si>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</si>
  <si>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</si>
  <si>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</si>
  <si>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10.1002%2Fajp.20355_TableI.tsv</t>
  </si>
  <si>
    <t>10.1002%2Fajp.20558_Figure5.tsv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</si>
  <si>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</si>
  <si>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</si>
  <si>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</si>
  <si>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</si>
  <si>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</si>
  <si>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</si>
  <si>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</si>
  <si>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</si>
  <si>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</si>
  <si>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</si>
  <si>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</si>
  <si>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</si>
  <si>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</si>
  <si>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</si>
  <si>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</si>
  <si>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</si>
  <si>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</si>
  <si>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</si>
  <si>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</si>
  <si>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</si>
  <si>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</si>
  <si>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</si>
  <si>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</si>
  <si>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</si>
  <si>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</si>
  <si>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</si>
  <si>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</si>
  <si>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</si>
  <si>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</si>
  <si>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</si>
  <si>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</si>
  <si>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</si>
  <si>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</si>
  <si>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</si>
  <si>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</si>
  <si>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</si>
  <si>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</si>
  <si>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</si>
  <si>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</si>
  <si>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</si>
  <si>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</si>
  <si>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</si>
  <si>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</si>
  <si>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</si>
  <si>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</si>
  <si>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</si>
  <si>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</si>
  <si>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</si>
  <si>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</si>
  <si>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</si>
  <si>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</si>
  <si>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</si>
  <si>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</si>
  <si>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</si>
  <si>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</si>
  <si>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</si>
  <si>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</si>
  <si>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10.1002%2Fcne.902800405_Table1.tsv</t>
  </si>
  <si>
    <t>10.1002%2Fcne.902960102_Table1.tsv</t>
  </si>
  <si>
    <t>10.1002%2Fcne.902960102_Table2.tsv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</si>
  <si>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</si>
  <si>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</si>
  <si>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</si>
  <si>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</si>
  <si>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</si>
  <si>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</si>
  <si>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</si>
  <si>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</si>
  <si>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</si>
  <si>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</si>
  <si>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</si>
  <si>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</si>
  <si>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</si>
  <si>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</si>
  <si>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</si>
  <si>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</si>
  <si>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</si>
  <si>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</si>
  <si>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</si>
  <si>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</si>
  <si>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</si>
  <si>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</si>
  <si>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</si>
  <si>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</si>
  <si>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</si>
  <si>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</si>
  <si>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</si>
  <si>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</si>
  <si>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</si>
  <si>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</si>
  <si>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</si>
  <si>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</si>
  <si>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</si>
  <si>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</si>
  <si>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</si>
  <si>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</si>
  <si>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</si>
  <si>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</si>
  <si>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</si>
  <si>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</si>
  <si>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</si>
  <si>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</si>
  <si>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</si>
  <si>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</si>
  <si>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</si>
  <si>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10.1007%2Fbf00518633_Table2.tsv</t>
  </si>
  <si>
    <t>10.1007%2Fbf00518633_Table3.tsv</t>
  </si>
  <si>
    <t>10.1007%2FBF00519885_Tables1-2.tsv</t>
  </si>
  <si>
    <t>10.1007%2FBF00522811_Tables3-4.tsv</t>
  </si>
  <si>
    <t>10.1007%2FBf00610934_Figures3-5.tsv</t>
  </si>
  <si>
    <t>10.1007%2FBF02435514_Figures1and2.tsv</t>
  </si>
  <si>
    <t>10.1007%2FBF03394729_Table1.tsv</t>
  </si>
  <si>
    <t>10.1007%2Fs00265-018-2629-9_TableS1.tsv</t>
  </si>
  <si>
    <t>10.1007%2Fs00265-018-2629-9_TableS2.tsv</t>
  </si>
  <si>
    <t>10.1007%2Fs00359-013-0846-2_TableS2.tsv</t>
  </si>
  <si>
    <t>10.1007%2Fs00359-016-1125-9_Table1.tsv</t>
  </si>
  <si>
    <t>10.1007%2Fs00359-020-01424-8_Figure3.tsv</t>
  </si>
  <si>
    <t>10.1007%2Fs003590100198_Table2.tsv</t>
  </si>
  <si>
    <t>10.1007%2Fs004220000205_Figure3.tsv</t>
  </si>
  <si>
    <t>10.1007%2Fs00429-005-0025-5_Table1.tsv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</si>
  <si>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</si>
  <si>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</si>
  <si>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</si>
  <si>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</si>
  <si>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</si>
  <si>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</si>
  <si>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</si>
  <si>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10.1007%2Fs00429-013-0660-1_Table1.tsv</t>
  </si>
  <si>
    <t>10.1007%2Fs00429-013-0660-1_Table2.tsv</t>
  </si>
  <si>
    <t>10.1007%2Fs00429-014-0792-y _Table1.tsv</t>
  </si>
  <si>
    <t>10.1007%2Fs00429-014-0792-y_Table1.tsv</t>
  </si>
  <si>
    <t>10.1007%2Fs00429-014-0830-9_Table1.tsv</t>
  </si>
  <si>
    <t>10.1007%2Fs00429-014-0830-9_Table3.tsv</t>
  </si>
  <si>
    <t>10.1007%2Fs00429-014-0830-9_Table4.tsv</t>
  </si>
  <si>
    <t>10.1007%2Fs00429-019-01885-x_Table2.tsv</t>
  </si>
  <si>
    <t>10.1007%2Fs10329-017-0615-x_OnlineResource1.tsv</t>
  </si>
  <si>
    <t>10.1007%2Fs10329-017-0615-x_OnlineResource2.tsv</t>
  </si>
  <si>
    <t>10.1007%2Fs10329-018-0697-0_Figure2.tsv</t>
  </si>
  <si>
    <t>10.1007%2Fs10329-018-0697-0_Figure3.tsv</t>
  </si>
  <si>
    <t>10.1007%2Fs10329-018-0697-0_Table1.tsv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</si>
  <si>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</si>
  <si>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</si>
  <si>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</si>
  <si>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</si>
  <si>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</si>
  <si>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</si>
  <si>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</si>
  <si>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</si>
  <si>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</si>
  <si>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10.1007%2Fs10886-009-9630-8_Table1.tsv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</si>
  <si>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</si>
  <si>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</si>
  <si>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</si>
  <si>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</si>
  <si>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</si>
  <si>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</si>
  <si>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</si>
  <si>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</si>
  <si>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</si>
  <si>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</si>
  <si>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</si>
  <si>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</si>
  <si>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</si>
  <si>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</si>
  <si>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</si>
  <si>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</si>
  <si>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</si>
  <si>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</si>
  <si>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</si>
  <si>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</si>
  <si>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</si>
  <si>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</si>
  <si>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</si>
  <si>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</si>
  <si>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</si>
  <si>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</si>
  <si>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</si>
  <si>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</si>
  <si>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10.1016%2Fj.cub.2014.11.016_Figure2.tsv</t>
  </si>
  <si>
    <t>10.1016%2Fj.cub.2014.11.016_Figure4.tsv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</si>
  <si>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</si>
  <si>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</si>
  <si>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</si>
  <si>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</si>
  <si>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</si>
  <si>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</si>
  <si>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</si>
  <si>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</si>
  <si>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</si>
  <si>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</si>
  <si>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</si>
  <si>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</si>
  <si>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</si>
  <si>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</si>
  <si>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</si>
  <si>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</si>
  <si>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</si>
  <si>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</si>
  <si>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</si>
  <si>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</si>
  <si>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</si>
  <si>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</si>
  <si>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</si>
  <si>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</si>
  <si>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</si>
  <si>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</si>
  <si>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</si>
  <si>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</si>
  <si>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</si>
  <si>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</si>
  <si>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</si>
  <si>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</si>
  <si>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</si>
  <si>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</si>
  <si>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</si>
  <si>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</si>
  <si>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</si>
  <si>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</si>
  <si>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</si>
  <si>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</si>
  <si>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</si>
  <si>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</si>
  <si>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</si>
  <si>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</si>
  <si>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</si>
  <si>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</si>
  <si>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</si>
  <si>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</si>
  <si>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</si>
  <si>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</si>
  <si>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</si>
  <si>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</si>
  <si>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</si>
  <si>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10.1016%2FS0047-2484(81)80016-4_Figure11.tsv</t>
  </si>
  <si>
    <t>10.1016%2FS0047-2484(81)80016-4_Figure3.tsv</t>
  </si>
  <si>
    <t>10.1016%2FS0047-2484(81)80016-4_Figure7.tsv</t>
  </si>
  <si>
    <t>10.1016%2FS0047-2484(81)80016-4_Table2.tsv</t>
  </si>
  <si>
    <t>10.1016%2Fs0166-4328(98)00151-x_References.tsv</t>
  </si>
  <si>
    <t>10.1016%2Fs0166-4328(98)00151-x_Table1.tsv</t>
  </si>
  <si>
    <t>10.1016%2FS0168-1591(98)00101-4_Table1.tsv</t>
  </si>
  <si>
    <t>10.1016%2Fs0306-4522(01)00171-3_Table1.tsv</t>
  </si>
  <si>
    <t>10.1016%2Fs0306-4522(01)00171-3_Table2.tsv</t>
  </si>
  <si>
    <t>10.1016%2FS0378-5955(01)00298-2_ResultsText.tsv</t>
  </si>
  <si>
    <t>10.1016%2Fs0378-5955(02)00458-6_ResultsText.tsv</t>
  </si>
  <si>
    <t>10.1016%2FS0378-5955(03)00025-X_ResultsText.tsv</t>
  </si>
  <si>
    <t>10.1016%2Fs0378-5955(03)00233-8_ResultsText.tsv</t>
  </si>
  <si>
    <t>10.1016%2Fs0378-5955(98)00037-9_ResultsText.tsv</t>
  </si>
  <si>
    <t>10.1016%2FS1631-0691(03)00122-7_Figure1.tsv</t>
  </si>
  <si>
    <t>10.1016%2FS1631-0691(03)00122-7_Figure2.tsv</t>
  </si>
  <si>
    <t>10.1017%2Fs0952523800000213_Table1.tsv</t>
  </si>
  <si>
    <t>10.1017%2FS0952523808080760_Table1.tsv</t>
  </si>
  <si>
    <t>10.1017%2FS0952523808080760_Table2.tsv</t>
  </si>
  <si>
    <t>10.1017%2FS1464793106007019_Table1.tsv</t>
  </si>
  <si>
    <t>10.1023%2FA%3A1023088814263_Figure4.tsv</t>
  </si>
  <si>
    <t>10.1023%2FA%3A1023088814263_Figure5.tsv</t>
  </si>
  <si>
    <t>10.1023%2FB%3AJOEC.0000008009.85523.7a_Table1.tsv</t>
  </si>
  <si>
    <t>10.1037%2F0735-7036.102.2.99_Table1.tsv</t>
  </si>
  <si>
    <t>10.1037%2F0735-7036.102.2.99_Table1+Table3.tsv</t>
  </si>
  <si>
    <t>10.1037%2F0735-7036.107.4.347_Table5.tsv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</si>
  <si>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</si>
  <si>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</si>
  <si>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</si>
  <si>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</si>
  <si>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</si>
  <si>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</si>
  <si>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</si>
  <si>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</si>
  <si>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10.1038%2Fnature19758_TableIXA.tsv</t>
  </si>
  <si>
    <t>10.1038%2Fncomms5747_Figure1.tsv</t>
  </si>
  <si>
    <t>10.1038%2Fncomms5747_Table2.tsv</t>
  </si>
  <si>
    <t>10.1038%2Fncomms5747_TableS7.tsv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</si>
  <si>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</si>
  <si>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</si>
  <si>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</si>
  <si>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</si>
  <si>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</si>
  <si>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</si>
  <si>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</si>
  <si>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</si>
  <si>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</si>
  <si>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</si>
  <si>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</si>
  <si>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</si>
  <si>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</si>
  <si>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</si>
  <si>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</si>
  <si>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</si>
  <si>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</si>
  <si>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</si>
  <si>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</si>
  <si>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</si>
  <si>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</si>
  <si>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</si>
  <si>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</si>
  <si>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</si>
  <si>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</si>
  <si>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</si>
  <si>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</si>
  <si>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</si>
  <si>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</si>
  <si>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</si>
  <si>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</si>
  <si>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</si>
  <si>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</si>
  <si>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</si>
  <si>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</si>
  <si>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</si>
  <si>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</si>
  <si>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</si>
  <si>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</si>
  <si>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</si>
  <si>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</si>
  <si>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10.1073%2Fpnas.0608062103_Figure3.tsv</t>
  </si>
  <si>
    <t>10.1073%2Fpnas.072097999_Table1.tsv</t>
  </si>
  <si>
    <t>10.1073%2Fpnas.0806105106_TableS1.tsv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</si>
  <si>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</si>
  <si>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</si>
  <si>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</si>
  <si>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</si>
  <si>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</si>
  <si>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</si>
  <si>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</si>
  <si>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</si>
  <si>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10.1073%2Fpnas.101086398_Figure3.tsv</t>
  </si>
  <si>
    <t>10.1073%2Fpnas.1307903110_DataS1.tsv</t>
  </si>
  <si>
    <t>10.1073%2Fpnas.1318894110_Table1.tsv</t>
  </si>
  <si>
    <t>10.1073%2Fpnas.1505913113_DatasetS1.tsv</t>
  </si>
  <si>
    <t>10.1073%2Fpnas.1517131113_DatasetS1.tsv</t>
  </si>
  <si>
    <t>10.1073%2Fpnas.1524208113_Table1.tsv</t>
  </si>
  <si>
    <t>10.1073%2Fpnas.1610178113_TableS1.tsv</t>
  </si>
  <si>
    <t>10.1073%2Fpnas.1620764114_Figure2.tsv</t>
  </si>
  <si>
    <t>10.1073%2Fpnas.1620764114_Table1.tsv</t>
  </si>
  <si>
    <t>10.1073%2Fpnas.1716956116_SupplementaryTableS1.tsv</t>
  </si>
  <si>
    <t>10.1073%2Fpnas.1911264116_ERABIS(cortical).tsv</t>
  </si>
  <si>
    <t>10.1073%2Fpnas.1911264116_subcortical.tsv</t>
  </si>
  <si>
    <t>10.1073%2Fpnas.2609260123_SD.tsv</t>
  </si>
  <si>
    <t>10.1073%2Fpnas.87.16.6349_Figure1.tsv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</si>
  <si>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</si>
  <si>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</si>
  <si>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</si>
  <si>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</si>
  <si>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</si>
  <si>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</si>
  <si>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</si>
  <si>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</si>
  <si>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</si>
  <si>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</si>
  <si>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</si>
  <si>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</si>
  <si>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</si>
  <si>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</si>
  <si>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</si>
  <si>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</si>
  <si>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</si>
  <si>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</si>
  <si>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</si>
  <si>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</si>
  <si>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</si>
  <si>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</si>
  <si>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</si>
  <si>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</si>
  <si>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</si>
  <si>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</si>
  <si>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</si>
  <si>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</si>
  <si>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</si>
  <si>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</si>
  <si>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</si>
  <si>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</si>
  <si>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</si>
  <si>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</si>
  <si>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</si>
  <si>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</si>
  <si>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</si>
  <si>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</si>
  <si>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</si>
  <si>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10.1098%2Frspb.2008.1754_Table1.tsv</t>
  </si>
  <si>
    <t>10.1098%2Frspb.2014.0499_DataS1.tsv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</si>
  <si>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</si>
  <si>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</si>
  <si>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</si>
  <si>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</si>
  <si>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</si>
  <si>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</si>
  <si>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</si>
  <si>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</si>
  <si>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</si>
  <si>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</si>
  <si>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</si>
  <si>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</si>
  <si>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</si>
  <si>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10.1111%2F1468-5884.00059_Table3.tsv</t>
  </si>
  <si>
    <t>10.1111%2Fbrv.12137_Table1.tsv</t>
  </si>
  <si>
    <t>10.1111%2Fbrv.12350_TableS2.tsv</t>
  </si>
  <si>
    <t>10.1111%2Fj.0269-8463.2004.00856.x_Appendix1.tsv</t>
  </si>
  <si>
    <t>10.1111%2Fj.1420-9101.2012.02491.x_TableS1.tsv</t>
  </si>
  <si>
    <t>10.1111%2Fj.1439-0310.1973.tb02094.x_Table4.tsv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</si>
  <si>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</si>
  <si>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</si>
  <si>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</si>
  <si>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</si>
  <si>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</si>
  <si>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</si>
  <si>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10.1111%2Fj.1558-5646.2012.01601.x_Table2.tsv</t>
  </si>
  <si>
    <t>10.1111%2Fj.1558-5646.2012.01601.x_TableS2.tsv</t>
  </si>
  <si>
    <t>10.1111%2Fj.1558-5646.2012.01601.x_TableS3.tsv</t>
  </si>
  <si>
    <t>10.1111%2Fj.1749-6632.2011.05978.x_TableS1.tsv</t>
  </si>
  <si>
    <t>10.1111%2Fj.1749-6632.2011.05978.x_TableS2.tsv</t>
  </si>
  <si>
    <t>10.1111%2Fj.1749-6632.2011.05978.x_TableS3.tsv</t>
  </si>
  <si>
    <t>10.1111%2Fj.1749-6632.2011.06003.x_Table2.tsv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</si>
  <si>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</si>
  <si>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</si>
  <si>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</si>
  <si>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</si>
  <si>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</si>
  <si>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</si>
  <si>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</si>
  <si>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</si>
  <si>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</si>
  <si>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10.1111%2Fnyas.12047_Table1.tsv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</si>
  <si>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</si>
  <si>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</si>
  <si>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</si>
  <si>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</si>
  <si>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</si>
  <si>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</si>
  <si>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</si>
  <si>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</si>
  <si>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</si>
  <si>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</si>
  <si>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</si>
  <si>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</si>
  <si>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</si>
  <si>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</si>
  <si>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</si>
  <si>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</si>
  <si>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</si>
  <si>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10.1126%2Fscience.167.3914.86_Figure4.tsv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</si>
  <si>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</si>
  <si>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</si>
  <si>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</si>
  <si>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</si>
  <si>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</si>
  <si>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</si>
  <si>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</si>
  <si>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10.1159%2F000006581_Table1.tsv</t>
  </si>
  <si>
    <t>10.1159%2F000006581_Table2.tsv</t>
  </si>
  <si>
    <t>10.1159%2F000021575_Table1.tsv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</si>
  <si>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</si>
  <si>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</si>
  <si>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</si>
  <si>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</si>
  <si>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</si>
  <si>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</si>
  <si>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</si>
  <si>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</si>
  <si>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</si>
  <si>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</si>
  <si>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</si>
  <si>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</si>
  <si>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10.1159%2F000113584_Table1.tsv</t>
  </si>
  <si>
    <t>10.1159%2F000116500_Table1.tsv</t>
  </si>
  <si>
    <t>10.1159%2F000116540_Appendix.tsv</t>
  </si>
  <si>
    <t>10.1159%2F000118700_TableI.tsv</t>
  </si>
  <si>
    <t>10.1159%2F000118723_TableI.tsv</t>
  </si>
  <si>
    <t>10.1159%2F000118723_TableII.tsv</t>
  </si>
  <si>
    <t>10.1159%2F000118723_TableIII.tsv</t>
  </si>
  <si>
    <t>10.1159%2F000121494_TableI.tsv</t>
  </si>
  <si>
    <t>10.1159%2F000121776_TableI.tsv</t>
  </si>
  <si>
    <t>10.1159%2F000121776_TableII.tsv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</si>
  <si>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</si>
  <si>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</si>
  <si>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</si>
  <si>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</si>
  <si>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</si>
  <si>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</si>
  <si>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</si>
  <si>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</si>
  <si>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</si>
  <si>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</si>
  <si>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</si>
  <si>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</si>
  <si>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</si>
  <si>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</si>
  <si>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</si>
  <si>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</si>
  <si>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</si>
  <si>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</si>
  <si>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</si>
  <si>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</si>
  <si>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</si>
  <si>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</si>
  <si>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</si>
  <si>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</si>
  <si>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</si>
  <si>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</si>
  <si>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</si>
  <si>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</si>
  <si>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</si>
  <si>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</si>
  <si>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</si>
  <si>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</si>
  <si>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</si>
  <si>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</si>
  <si>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</si>
  <si>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</si>
  <si>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</si>
  <si>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</si>
  <si>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10.1159%2F000348647_TableS1.tsv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</si>
  <si>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</si>
  <si>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</si>
  <si>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</si>
  <si>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</si>
  <si>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</si>
  <si>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</si>
  <si>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</si>
  <si>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</si>
  <si>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</si>
  <si>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</si>
  <si>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</si>
  <si>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</si>
  <si>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</si>
  <si>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</si>
  <si>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</si>
  <si>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</si>
  <si>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</si>
  <si>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</si>
  <si>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</si>
  <si>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</si>
  <si>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</si>
  <si>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</si>
  <si>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</si>
  <si>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</si>
  <si>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</si>
  <si>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</si>
  <si>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</si>
  <si>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</si>
  <si>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</si>
  <si>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</si>
  <si>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</si>
  <si>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</si>
  <si>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</si>
  <si>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</si>
  <si>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</si>
  <si>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</si>
  <si>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10.1186%2F1741-7007-5-20_AdditionalFile1.tsv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</si>
  <si>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</si>
  <si>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</si>
  <si>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</si>
  <si>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</si>
  <si>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</si>
  <si>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</si>
  <si>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</si>
  <si>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</si>
  <si>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</si>
  <si>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</si>
  <si>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</si>
  <si>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</si>
  <si>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</si>
  <si>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10.1371%2Fjournal.pone.0019853_TableS1.tsv</t>
  </si>
  <si>
    <t>10.1371%2Fjournal.pone.0110356_DataS1.tsv</t>
  </si>
  <si>
    <t>10.1371%2Fjournal.pone.0114099_TableS1.tsv</t>
  </si>
  <si>
    <t>10.1371%2Fjournal.pone.0114099_TableS2.tsv</t>
  </si>
  <si>
    <t>10.1371%2Fjournal.pone.0114099_TableS3.tsv</t>
  </si>
  <si>
    <t>10.1371%2Fjournal.pone.0274170_Findings.tsv</t>
  </si>
  <si>
    <t>10.1371%2Fjournal.pone.0292175_Table1.tsv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</si>
  <si>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</si>
  <si>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</si>
  <si>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</si>
  <si>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</si>
  <si>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</si>
  <si>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</si>
  <si>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</si>
  <si>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</si>
  <si>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</si>
  <si>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</si>
  <si>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</si>
  <si>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</si>
  <si>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</si>
  <si>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</si>
  <si>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</si>
  <si>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</si>
  <si>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</si>
  <si>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10.26451%2Fabc.09.04.06.2022_speciespredictors.tsv</t>
  </si>
  <si>
    <t>10.26451%2Fabc.09.04.06.2022_STMperformance.tsv</t>
  </si>
  <si>
    <t>10.3389%2Ffnana.2013.00028_Table1.tsv</t>
  </si>
  <si>
    <t>10.3389%2Ffnana.2013.00034_Table2.tsv</t>
  </si>
  <si>
    <t>10.3389%2Ffnana.2013.00034_Table4.tsv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</si>
  <si>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</si>
  <si>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</si>
  <si>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</si>
  <si>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</si>
  <si>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</si>
  <si>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</si>
  <si>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</si>
  <si>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</si>
  <si>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</si>
  <si>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</si>
  <si>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</si>
  <si>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</si>
  <si>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</si>
  <si>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</si>
  <si>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</si>
  <si>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</si>
  <si>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</si>
  <si>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</si>
  <si>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</si>
  <si>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</si>
  <si>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</si>
  <si>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https%3A%2F%2Fopensiuc.lib.siu.edu%2Fuhp_theses%2F147%2F_ResultsText.tsv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</si>
  <si>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</si>
  <si>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</si>
  <si>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</si>
  <si>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</si>
  <si>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</si>
  <si>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</si>
  <si>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</si>
  <si>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</si>
  <si>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</si>
  <si>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</si>
  <si>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</si>
  <si>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</si>
  <si>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</si>
  <si>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</si>
  <si>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</si>
  <si>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</si>
  <si>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</si>
  <si>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</si>
  <si>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</si>
  <si>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</si>
  <si>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</si>
  <si>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</si>
  <si>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</si>
  <si>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</si>
  <si>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</si>
  <si>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</si>
  <si>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</si>
  <si>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</si>
  <si>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</si>
  <si>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</si>
  <si>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</si>
  <si>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</si>
  <si>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</si>
  <si>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</si>
  <si>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</si>
  <si>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</si>
  <si>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</si>
  <si>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</si>
  <si>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</si>
  <si>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</si>
  <si>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</si>
  <si>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</si>
  <si>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</si>
  <si>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</si>
  <si>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</si>
  <si>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</si>
  <si>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</si>
  <si>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</si>
  <si>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</si>
  <si>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</si>
  <si>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</si>
  <si>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</si>
  <si>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</si>
  <si>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</si>
  <si>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</si>
  <si>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</si>
  <si>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</si>
  <si>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</si>
  <si>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</si>
  <si>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</si>
  <si>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</si>
  <si>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</si>
  <si>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</si>
  <si>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</si>
  <si>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</si>
  <si>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</si>
  <si>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</si>
  <si>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</si>
  <si>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</si>
  <si>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</si>
  <si>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</si>
  <si>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</si>
  <si>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</si>
  <si>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</si>
  <si>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</si>
  <si>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</si>
  <si>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</si>
  <si>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</si>
  <si>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</si>
  <si>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</si>
  <si>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</si>
  <si>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</si>
  <si>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</si>
  <si>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</si>
  <si>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</si>
  <si>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</si>
  <si>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</si>
  <si>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</si>
  <si>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</si>
  <si>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</si>
  <si>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</si>
  <si>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</si>
  <si>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</si>
  <si>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</si>
  <si>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</si>
  <si>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</si>
  <si>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</si>
  <si>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</si>
  <si>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</si>
  <si>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</si>
  <si>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</si>
  <si>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</si>
  <si>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</si>
  <si>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</si>
  <si>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</si>
  <si>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</si>
  <si>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</si>
  <si>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</si>
  <si>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</si>
  <si>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</si>
  <si>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</si>
  <si>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</si>
  <si>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Wirz, K. (1950). Studien über die Cerebralisation: Zur quantitativen Bestimmung der Rangordnung bei Säugetieren. Acta Anatomica, 9(1–2), 134–196. https://doi.org/10.1159/000140431</t>
  </si>
  <si>
    <t>10.1159%2F000140431_TableI.tsv</t>
  </si>
  <si>
    <t>Studien über die Cerebralisation: Zur quantitativen Bestimmung der Rangordnung bei Säugetieren</t>
  </si>
  <si>
    <t>PDF scanned; transcribed TSV</t>
  </si>
  <si>
    <t>https://doi.org/10.1159/000140431</t>
  </si>
  <si>
    <t>Comparative cerebralisation / allometry</t>
  </si>
  <si>
    <t>Mammals (systematic groups)</t>
  </si>
  <si>
    <t>Group relation exponent r</t>
  </si>
  <si>
    <t>Comparative published measurements</t>
  </si>
  <si>
    <t>Group allometric analysis</t>
  </si>
  <si>
    <t>Dimensionless exponent</t>
  </si>
  <si>
    <t>Wirz / Mangold-Wirz</t>
  </si>
  <si>
    <t>info</t>
  </si>
  <si>
    <t>Keep separate from species-level merges</t>
  </si>
  <si>
    <t>Mangold-Wirz, K. (1966). Cerebralisation und Ontogenesemodus bei Eutherien. Acta Anatomica, 63(4), 449–508. https://doi.org/10.1159/000142809</t>
  </si>
  <si>
    <t>10.1159%2F000142809_TableI.tsv</t>
  </si>
  <si>
    <t>Cerebralisation und Ontogenesemodus bei Eutherien</t>
  </si>
  <si>
    <t>https://doi.org/10.1159/000142809</t>
  </si>
  <si>
    <t>Eutherian mammals</t>
  </si>
  <si>
    <t>Brain weight; body weight; total-brain cerebralisation index</t>
  </si>
  <si>
    <t>Comparative published measurements and own anatomical analyses</t>
  </si>
  <si>
    <t>Compiled comparative table with source footnotes</t>
  </si>
  <si>
    <t>Mass (g) and dimensionless index</t>
  </si>
  <si>
    <t>Stephan and other published sources; see source flags</t>
  </si>
  <si>
    <t>Source-only pending specimen and measurement comparability review</t>
  </si>
  <si>
    <t>10.1159%2F000142809_TableII.tsv</t>
  </si>
  <si>
    <t>Comparative cerebralisation / regional proportions</t>
  </si>
  <si>
    <t>Regional cerebralisation indices and percentages</t>
  </si>
  <si>
    <t>Derived comparative indices</t>
  </si>
  <si>
    <t>Indices and ratios derived from regional brain quantities</t>
  </si>
  <si>
    <t>Dimensionless index and percent</t>
  </si>
  <si>
    <t>Do not pool with regional volumes</t>
  </si>
  <si>
    <t>Buchanan, K. J., &amp; Johnson, J. I. (2011). Diversity of spatial relationships of the claustrum and insula in branches of the mammalian radiation. Annals of the New York Academy of Sciences, 1225(S1), E30–E63. https://doi.org/10.1111/j.1749-6632.2011.06022.x</t>
  </si>
  <si>
    <t>PDF; constructed qualitative snapshot from Results and Figures 2–8</t>
  </si>
  <si>
    <t>26 selected specimens; five nominal or presence characters; explicit states only; no quantitative measurements</t>
  </si>
  <si>
    <t>Built; registry paste pending</t>
  </si>
  <si>
    <t>Buchanan_Johnson_2011_ResultsText_snapshot.csv</t>
  </si>
  <si>
    <t>https://doi.org/10.1111/j.1749-6632.2011.06022.x</t>
  </si>
  <si>
    <t>Dolphin island observation overlaps Baizer et al. 2014; Kowiański morphotypes not assigned</t>
  </si>
  <si>
    <t>Manatee claustrum identity unresolved; many states intentionally blank</t>
  </si>
  <si>
    <t>Comparative claustrum and insula anatomy</t>
  </si>
  <si>
    <t>Mammalia; 26 species</t>
  </si>
  <si>
    <t>Insula operculation; anterior claustral bulb; superior triangular claustral expansion</t>
  </si>
  <si>
    <t>Opercular cover pattern; superior insula without claustrum</t>
  </si>
  <si>
    <t>Celloidin-embedded histological brain sections from archival collections</t>
  </si>
  <si>
    <t>Comparative survey of Nissl and myelin-stained sections; qualitative text/figure coding</t>
  </si>
  <si>
    <t>Nominal categories and presence states</t>
  </si>
  <si>
    <t>AI-assisted source extraction; human visual check pending</t>
  </si>
  <si>
    <t>Buchanan–Johnson</t>
  </si>
  <si>
    <t>Build as source-level qualitative traits; do not merge with Kowiański morphology types or Baizer island class without harmonization</t>
  </si>
  <si>
    <t>Sjölin, K., Kultima, K., Larsson, A., Freyhult, E., Zjukovskaja, C., Alkass, K., &amp; Burman, J. (2022). Distribution of five clinically important neuroglial proteins in the human brain. Mol Brain, 15(1), 52. https://doi.org/10.1186/s13041-022-00935-6</t>
  </si>
  <si>
    <t>Franco, E. C., Finlay, B. L., Silveira, L. C., Yamada, E. S., &amp; Crowley, J. C. (2000). Conservation of absolute foveal area in New World monkeys. A constraint on eye size and conformation. Brain Behav Evol, 56(5), 276-286. https://doi.org/10.1159/000047211</t>
  </si>
  <si>
    <t>Table 1. Information of individual animals</t>
  </si>
  <si>
    <t>Dlugosz, E. M., Chappell, M. A., Meek, T. H., Szafranska, P. A., Zub, K., Konarzewski, M., Jones, J. H., Bicudo, J. E., Nespolo, R. F., Careau, V., &amp; Garland, T., Jr. (2013). Phylogenetic analysis of mammalian maximal oxygen consumption during exercise. J Exp Biol, 216(Pt 24), 4712-4721. https://doi.org/10.1242/jeb.088914</t>
  </si>
  <si>
    <t>TABLE I. Percentages of Social and Nonsocial Play, Adult Body and Brain Weights and Striatum Volumes in Nonhuman Primates</t>
  </si>
  <si>
    <t>Pellis, S. M., &amp; Iwaniuk, A. N. (2000). Adult–Adult Play in Primates: Comparative Analyses of its Origin, Distribution and Evolution. Ethology, 106(12), 1083-1104. https://doi.org/10.1046/j.1439-0310.2000.00627.x</t>
  </si>
  <si>
    <t>Graham, K. L. (2011). Coevolutionary relationship between striatum size and social play in nonhuman primates. Am J Primatol, 73(4), 314-322. https://doi.org/10.1002/ajp.20898</t>
  </si>
  <si>
    <t>Table 1: Comparative Analysis of Adult Play Fighting</t>
  </si>
  <si>
    <t>Appendix 1. Data, activity patterns, and taxon and activity codes used for analyses</t>
  </si>
  <si>
    <t>Ross, C. F., &amp; Kirk, E. C. (2007). Evolution of eye size and shape in primates. J Hum Evol, 52(3), 294. https://doi.org/10.1016/j.jhevol.2006.09.006</t>
  </si>
  <si>
    <t>Heffner, H. E., &amp; Heffner, R. S. (2016). The evolution of mammalian sound localization. Acoustics Today, 12(1), 20-27. https://acousticstoday.org/wp-content/uploads/2016/01/The-Evolution-of-Mammalian-Sound-Localization.pdf</t>
  </si>
  <si>
    <t>AcousticsToday:12:1:20-27</t>
  </si>
  <si>
    <t>Mace, G. M., Harvey, P. H., &amp; Cluttonbrock, T. H. (1981). Brain size and ecology in small mammals. J Zool, 193(3), 333-354. https://doi.org/10.1111/j.1469-7998.1981.tb03449.x</t>
  </si>
  <si>
    <t>Table 1 Ecological classifications, body weight, body length and brain weight data for species used in the analysis</t>
  </si>
  <si>
    <t>Isler, K., &amp; van Schaik, C. P. (2012). Allomaternal care, life history and brain size evolution in mammals. J Hum Evol, 63(1), 52-63. https://doi.org/10.1016/j.jhevol.2012.03.009</t>
  </si>
  <si>
    <t>1-s2.0-S0047248412000577-mmc2.xls</t>
  </si>
  <si>
    <t>Supplementary Information 1.3</t>
  </si>
  <si>
    <t>Supplementary Information 4. References</t>
  </si>
  <si>
    <t>Supplementary Information 1.3. Sources of social behaviour, breeding system, ecology and life history</t>
  </si>
  <si>
    <t>datafile1</t>
  </si>
  <si>
    <t>datafile2</t>
  </si>
  <si>
    <t>Jones, K. E., &amp; MacLarnon, A. M. (2004). Affording larger brains: testing hypotheses of mammalian brain evolution on bats. Am Nat, 164(1), E20-31. https://doi.org/10.1086/421334</t>
  </si>
  <si>
    <t>Garcia, M., &amp; Ravignani, A. (2020). Acoustic allometry and vocal learning in mammals. Biol Lett, 16(7), 20200081. https://doi.org/10.1098/rsbl.2020.0081</t>
  </si>
  <si>
    <t>sp1</t>
  </si>
  <si>
    <t>PDF table; extracted from the PDF text layer into a frozen CSV snapshot</t>
  </si>
  <si>
    <t>Per-row literature citations are extracted as data to reference_tables/Graham__2011_TABLEI_references.csv (37 printed keys). 'Lewis, 1997' is cited in the table but absent from the paper's reference list - recorded, not corrected.</t>
  </si>
  <si>
    <t>BUILT; WIRED LOCALLY (extract script, snapshot, R, CSV, TSV, definitions, references, README; 2 labels in __merging_supplementary); validation 8/8 2026-10-28; hosted app not published in this batch</t>
  </si>
  <si>
    <t>Graham__2011_TABLEI_snapshot.csv (built by Graham__2011_extract_snapshot.R from the PDF text layer)</t>
  </si>
  <si>
    <t>https://doi.org/10.1002/ajp.20898</t>
  </si>
  <si>
    <t>Brain and body size are Barton [1999] and striatum volume is Stephan et al. [1981] - republished, so only the two play-percentage columns are wired into a merge; printed en dash kept as NA.</t>
  </si>
  <si>
    <t>Play percentages are means Graham derived across studies that differ in age classes, denominators and captive/wild setting; two rows are genus-level (Papio spp., Pithecia spp.).</t>
  </si>
  <si>
    <t>social play and striatum size</t>
  </si>
  <si>
    <t>percentage of activity budget in social play and in nonsocial play</t>
  </si>
  <si>
    <t>adult brain size (g), adult body size (g), striatum volume (mm3) - all republished</t>
  </si>
  <si>
    <t>published compilation of behavioural observations</t>
  </si>
  <si>
    <t>compilation of per-species play percentages from 37 captive and wild studies; independent contrasts analysis in the paper</t>
  </si>
  <si>
    <t>percentage of activity budget</t>
  </si>
  <si>
    <t>Graham (Lewis)</t>
  </si>
  <si>
    <t>play % derived from the studies listed per row; brain and body size Barton [1999]; striatum Stephan et al. [1981]</t>
  </si>
  <si>
    <t>Use the two play-percentage columns only; take brain, body and striatum from the volume/mass merges, which are authoritative for them.</t>
  </si>
  <si>
    <t>Pending human RA; AI compared the table against a 200-dpi render of p.317 on 2026-10-28</t>
  </si>
  <si>
    <t>figure (log-log scatter; constructed snapshot - figure text is outlined, no PDF text layer)</t>
  </si>
  <si>
    <t>Figure 5 p.24. Captioned 'Modified from Heffner et al. (2001)' = Heffner, Koay &amp; Heffner (2001) JASA 109:412-421, which is NOT in the registry. Heffner_Heffner_1992_a_TABLE1 tabulates both axis quantities for 10 of the 22 species.</t>
  </si>
  <si>
    <t>BUILT (constructed snapshot, R, CSV, TSV, definitions, README; validated 8/8 2026-10-29). Roster only: point coordinates deliberately not digitized (owner decision). Not merged.</t>
  </si>
  <si>
    <t>Heffner_Heffner_2016_Figure5_snapshot.csv (constructed: 22 species labels, axis titles, tick labels, printed statistics, caption)</t>
  </si>
  <si>
    <t>https://acousticstoday.org/wp-content/uploads/2016/01/The-Evolution-of-Mammalian-Sound-Localization.pdf</t>
  </si>
  <si>
    <t>Printed label 'Virginia opposum' kept verbatim; marmot = Marmota sp. (unspecified_in_source) and hamster = Mesocricetus auratus (hypothesis) following the sibling item Heffner_Heffner_2018. Panel n = 22, caption '22 species' and 22 plotted labels all agree (table checks pass).</t>
  </si>
  <si>
    <t>No measured values in this item: field-of-best-vision and sound-localization-threshold numbers must come from a tabulated primary. Recommend registering Heffner, Koay &amp; Heffner (2001) JASA 109:412-421, which would add field-of-best-vision for the 12 species the repo lacks.</t>
  </si>
  <si>
    <t>sound-localization acuity and vision</t>
  </si>
  <si>
    <t>figure membership for the relationship between width of field of best vision (deg) and sound-localization threshold (deg); printed r = .89, p &lt; .001, n = 22</t>
  </si>
  <si>
    <t>Published compilation / review figure</t>
  </si>
  <si>
    <t>behavioural sound-localization thresholds vs retinal ganglion-cell isodensity mapping (75% contour), as compiled by the authors</t>
  </si>
  <si>
    <t>species roster + printed regression statistics (no point coordinates)</t>
  </si>
  <si>
    <t>Heffner, R. S., Koay, G., &amp; Heffner, H. E. (2001). J. Acoust. Soc. Am. 109, 412-421; also Heffner &amp; Heffner (1992) J Comp Neurol 317:219-232 = Heffner_Heffner_1992_a_TABLE1</t>
  </si>
  <si>
    <t>Do not treat as a data source for either quantity. Use Heffner_Heffner_1992_a_TABLE1 (tabulated, 10 of these species) and ingest the 2001 JASA primary for the remaining 12.</t>
  </si>
  <si>
    <t>Pending human RA; AI transcribed and verified the figure labels, axis titles, tick labels and statistics against a 420-dpi render on 2026-10-29</t>
  </si>
  <si>
    <t>Primary publication of the primate adult-adult play scores. Iwaniuk, Nelson &amp; Pellis (2001) Table 4 (Iwaniuk_etal_2001_Table4, already registered) republishes the same scores for 64 of these 71 species - identical on every comparable shared cell (62/62 sexual, 63/63 non-sexual).</t>
  </si>
  <si>
    <t>BUILT; WIRED LOCALLY (extract script, snapshot, R, CSV, TSV, definitions, README; 5 labels in __merging_supplementary); validation 8/8 2026-10-28; hosted app not published in this batch</t>
  </si>
  <si>
    <t>Pellis_Iwaniuk_2000_Table1_snapshot.csv (built by Pellis_Iwaniuk_2000_extract_snapshot.R from the PDF text layer)</t>
  </si>
  <si>
    <t>https://doi.org/10.1046/j.1439-0310.2000.00627.x</t>
  </si>
  <si>
    <t>Printed en dash = not scored, kept as NA not 0; the six '2/3' dual cells are split into byproduct and social-assessment readings; Varecia variegata's blank presence cell kept blank; three printed misspellings corrected only in the species key.</t>
  </si>
  <si>
    <t>Ordinal literature ratings of play PREVALENCE only, not complexity or content (the authors say so, p.1088); ratings compiled from the sources in the table footnote, verified by the authors' own observations on ten species.</t>
  </si>
  <si>
    <t>adult-adult play fighting and social organization</t>
  </si>
  <si>
    <t>adult-adult play score in sexual and non-sexual contexts; play presence/absence; strepsirrhine social organization score</t>
  </si>
  <si>
    <t>published compilation / behavioural observation</t>
  </si>
  <si>
    <t>literature compilation of play ratings (0-2, ceiling 3 for six strepsirrhines), verified against the authors' 20-50 h observations on ten species</t>
  </si>
  <si>
    <t>ordinal score; binary presence</t>
  </si>
  <si>
    <t>Pellis/Iwaniuk</t>
  </si>
  <si>
    <t>Use as the primary source for the primate play scores; do not count Iwaniuk_etal_2001_Table4 as a second, independent source of the same values.</t>
  </si>
  <si>
    <t>Pending human RA; AI compared the two table pages against 200-dpi renders on 2026-10-28 (glyph map, row counts, irregular cells)</t>
  </si>
  <si>
    <t>PDF appendix (two printed columns per page); extracted from the PDF text layer into a frozen CSV snapshot</t>
  </si>
  <si>
    <t>260 species, the sample size stated in Materials and methods. Carries NO play data - the ACT column is an activity-pattern code. Not wired into any merge by this build; the sensory merge is the natural consumer (cf. Veilleux_Kirk_2014_SupplementalTable1, which also carries eye axial diameter).</t>
  </si>
  <si>
    <t>BUILT (extract script, snapshot, R, CSV, TSV, definitions, README); validation 8/8 2026-10-28; no merge wiring in this batch</t>
  </si>
  <si>
    <t>Ross_Kirk_2007_Appendix1_snapshot.csv (built by Ross_Kirk_2007_extract_snapshot.R from the PDF text layer)</t>
  </si>
  <si>
    <t>https://doi.org/10.1016/j.jhevol.2006.09.006</t>
  </si>
  <si>
    <t>51 printed names anchored in the species key against NCBI taxonomy (synonyms, four misspellings, 24 genus-level 'sp.' records); printed Order misprint 'Paramelemorphia' kept verbatim; two rows print CD equal to AD and are kept as printed.</t>
  </si>
  <si>
    <t>Four printed names have no NCBI anchor and remain unresolved (Lutra annectans, Hemiechinus megalotis, Neotetracus fulvescens, Graphiurus heuti); HBL is sometimes the specimen's own measurement and sometimes a median of published ranges, not distinguished per row.</t>
  </si>
  <si>
    <t>eye size and shape</t>
  </si>
  <si>
    <t>axial eye diameter (mm); corneal diameter (mm)</t>
  </si>
  <si>
    <t>head and body length (mm); activity pattern (cathemeral/diurnal/nocturnal); specimens per species</t>
  </si>
  <si>
    <t>dissected preserved eyeballs (museum, university and private collections)</t>
  </si>
  <si>
    <t>direct measurement of axial and corneal diameters on dissected eyes; body length from the same specimens or published ranges (Nowak 1991; Rowe 1996)</t>
  </si>
  <si>
    <t>linear dimension (mm)</t>
  </si>
  <si>
    <t>Ross/Kirk</t>
  </si>
  <si>
    <t>HBL partly from Nowak (1991) / Rowe (1996); some eye and body lengths culled from Ritland (1982)</t>
  </si>
  <si>
    <t>Primary source for comparative eye axial and corneal diameters across 260 mammals; treat HBL as a mixed-basis body-size estimate.</t>
  </si>
  <si>
    <t>Pending human RA; AI compared the appendix against 170-dpi renders of pp.308-310 on 2026-10-28</t>
  </si>
  <si>
    <t>table (journal-supplied supplementary .xlsx; born-digital, one row per sample)</t>
  </si>
  <si>
    <t>Additional file 2 of the paper. Additional file 1 (.docx) carries the extraction protocol (lysing buffer 1 mL per 100 mg tissue = 10 mL/g, the basis of the per-g-tissue conversion), the warm/cold-time regression tables S1-S6 and the assay validation figures.</t>
  </si>
  <si>
    <t>BUILT; WIRED LOCALLY (snapshot, R, CSV, TSV, definitions, README, __merging_supplementary 102 labels); validation passed 2026-10-28; hosted app not published in this batch</t>
  </si>
  <si>
    <t>Sjölin_etal_2022_SupplementaryData_snapshot.xlsx (byte-identical copy of the download 13041_2022_935_MOESM2_ESM.xlsx)</t>
  </si>
  <si>
    <t>https://doi.org/10.1186/s13041-022-00935-6</t>
  </si>
  <si>
    <t>Unit conversion documented and checked: published supernatant concentrations x 0.01 = per g wet CNS tissue; recomputed regional geometric means reproduce all 102 printed cells of the paper's Table 2 within 4.5% (two-significant-figure rounding).</t>
  </si>
  <si>
    <t>Single species (Homo sapiens): the 102 region x analyte labels populate the compiled-database and coverage views but cannot support a cross-species regression on their own. Values here are unadjusted; the paper's Table 2 additionally adjusts MBP and NFL for donor warm time (hippocampus excepted).</t>
  </si>
  <si>
    <t>regional protein composition of the human CNS</t>
  </si>
  <si>
    <t>tissue concentration of GFAP, MBP, NFL, tau (total), UCHL1 and total protein in 17 CNS regions</t>
  </si>
  <si>
    <t>donor age, sex, cause of death, warm/cold time and total post-mortem interval</t>
  </si>
  <si>
    <t>post-mortem tissue homogenate (fresh-frozen, 10 donors)</t>
  </si>
  <si>
    <t>ELISA (GFAP, MBP, NFL, tau, UCHL1); BCA assay (total protein); samples run in duplicate</t>
  </si>
  <si>
    <t>protein concentration (published ng/mL and µg/mL of supernatant; derived µg/g and mg/g of wet CNS tissue)</t>
  </si>
  <si>
    <t>Sjölin/Burman</t>
  </si>
  <si>
    <t>KI Donatum (Karolinska Institutet post-mortem donation programme)</t>
  </si>
  <si>
    <t>Use as the human regional protein map; one row per donor x region, so pool across donors as a geometric mean (log-normal) before any species-level use. Not a comparative dataset: do not treat the 102 region labels as independent cross-species traits.</t>
  </si>
  <si>
    <t>Heffner, R. S., Koay, G., &amp; Heffner, H. E. (2001). Sound localization in a new-world frugivorous bat, Artibeus jamaicensis: Acuity, use of binaural cues, and relationship to vision. J Acoust Soc Am, 109(1), 412-421. https://doi.org/10.1121/1.1329620</t>
  </si>
  <si>
    <t>text (values stated in prose; the article has no numbered tables) - constructed snapshot, one row per measurement with the quoted sentence verbatim</t>
  </si>
  <si>
    <t>This is the paper cited by Heffner &amp; Heffner (2016) Figure 5 ('Modified from Heffner et al., 2001'); its own FIG. 6 is the primary version of that relationship. PDF text layer mis-maps punctuation (~ for (, ! for ), 5 for =, , for &lt;), so every quote was checked against page renders.</t>
  </si>
  <si>
    <t>PREPARED (snapshot, R, CSV, definitions, README built and table check passed 2026-10-29; owner registry paste / public TSV pending - re-run the .R after pasting)</t>
  </si>
  <si>
    <t>Heffner_etal_2001_a_ResultsText_snapshot.csv (constructed: 14 measurements with verbatim quotes and printed locations)</t>
  </si>
  <si>
    <t>https://doi.org/10.1121/1.1329620</t>
  </si>
  <si>
    <t>primary and quoted-comparison rows separated by data_role (10 primary on Artibeus jamaicensis, 4 secondary quoted for Eptesicus fuscus and Rousettus aegyptiacus). Mean threshold checked against the three printed per-animal values: passes exactly.</t>
  </si>
  <si>
    <t>The 4 secondary rows are values quoted from R. Heffner, Koay &amp; Heffner (1999) and Koay et al. (1998b) - do not merge them as primary. Retinal measures come from one animal; behavioural thresholds from three.</t>
  </si>
  <si>
    <t>sound-localization threshold (minimum audible angle, deg); width of field of best vision (deg); peak retinal ganglion-cell density (cells/mm2); calculated visual acuity (cycles/deg); binaural phase-cue upper limit (kHz)</t>
  </si>
  <si>
    <t>flattened retina diameter (mm)</t>
  </si>
  <si>
    <t>behavioural testing (conditioned suppression/avoidance) + retinal wholemount ganglion-cell mapping</t>
  </si>
  <si>
    <t>two-choice left/right localization of 100-ms noise bursts at 50% corrected detection; retinal ganglion-cell isodensity mapping, field of best vision = width of the &gt;=75% of maximum density region</t>
  </si>
  <si>
    <t>angle (deg); density (cells/mm2); spatial frequency (cycles/deg); frequency (kHz)</t>
  </si>
  <si>
    <t>R. Heffner, Koay &amp; Heffner (1999) and Koay et al. (1998b) for the quoted big brown bat and Egyptian fruit bat values</t>
  </si>
  <si>
    <t>Use the 10 primary rows as the Artibeus jamaicensis source for sound-localization threshold and field of best vision - this closes one of the 12 species the repo lacked for Field_of_best_vision.deg, and the two quoted rows cover two more (as secondary).</t>
  </si>
  <si>
    <t>Pending human RA; AI verified every quoted value and the figure legend against 200-dpi renders of printed pp. 412, 416, 418 and 419 on 2026-10-29</t>
  </si>
  <si>
    <t>figure (log-log scatter) - constructed snapshot of caption, legend, axis titles, tick labels and printed statistics; no point coordinates</t>
  </si>
  <si>
    <t>Primary version of the relationship reproduced as Figure 5 of Heffner &amp; Heffner (2016) for 22 of these 24 species. Caption legend prints a letter code, common name AND binomial for every point.</t>
  </si>
  <si>
    <t>Heffner_etal_2001_a_FIGURE6_snapshot.csv (constructed: caption, 24 legend entries, axis titles, tick labels, caption and panel statistics)</t>
  </si>
  <si>
    <t>Roster only, matching Heffner_Heffner_2016_Figure5 - figure not digitized. 24 legend entries checked against the caption's '24 species of mammals': passes. Printed binomials resolve the two identities the 2016 item could only flag (marmot = Marmota monax; hamster printed as Mesocricetus auritus = M. auratus).</t>
  </si>
  <si>
    <t>No measured values: the caption itself points elsewhere for them ('for citations, see Heffner et al., 1994'). Printed quirks kept verbatim: Felis domesticus, Canis familiaris, Mesocricetus auritus, lowercase 'virginia opossum', and caption r = 0.916 vs panel r = .916.</t>
  </si>
  <si>
    <t>figure membership for the relationship between width of field of best vision (deg) and sound-localization threshold (deg); printed r = 0.916, P &lt; 0.0001, n = 24</t>
  </si>
  <si>
    <t>Published compilation figure</t>
  </si>
  <si>
    <t>behavioural sound-localization thresholds vs retinal ganglion-cell isodensity mapping (75% contour), compiled by the authors</t>
  </si>
  <si>
    <t>per-species values compiled from earlier studies; the caption cites Heffner et al. (1994). Only Artibeus jamaicensis is measured in this paper (see Heffner_etal_2001_a_ResultsText)</t>
  </si>
  <si>
    <t>Use as the authoritative species roster and identity source for this relationship; take values from Heffner_Heffner_1992_a_TABLE1 and Heffner_etal_2001_a_ResultsText, not from the figure.</t>
  </si>
  <si>
    <t xml:space="preserve">Martin, K., Tucker, M. A., &amp; Rogers, T. L. (2017). Does size matter? Examining the drivers of mammalian vocalizations. Evolution, 71(2), 249-260. https://doi.org/10.1111/evo.13128 </t>
  </si>
  <si>
    <t>Supporting Information S1. List of references for frequency data.</t>
  </si>
  <si>
    <t>Supporting Information S1</t>
  </si>
  <si>
    <t>Mammalian Vocalisation Data_Martin et al.xlsx</t>
  </si>
  <si>
    <t>CORRECTED col A: live row prints DOI …/ar.23729 (autofill increment); article DOI is 10.1002/ar.23728. 8 rows: method x segment; n = 3 humans. Table checks: IF segment sum 1663.7 vs printed Total 1,660; stereology % sums 100.8 (cervical) and 100.4 (total) - kept as printed. Results text GNRs 7.25/5.33/6.94 match the IF nNNR column, not the stereology GNR column.</t>
  </si>
  <si>
    <t>Built 2026-10-28 (snapshot, R build run clean in evom1-r, CSV, public TSV, definitions, README); owner registry update + visual check pending</t>
  </si>
  <si>
    <t>Bahney_vonBartheld_2018_TABLE2_snapshot.csv</t>
  </si>
  <si>
    <t>Citation and DOI confirmed via CrossRef (2026-09-30); built 2026-10-28; printed species names kept + harmonised via _keys/General/species_key.csv</t>
  </si>
  <si>
    <t>Human</t>
  </si>
  <si>
    <t>Pending owner/RA visual check; AI-assistant transcription verified against page renders 2026-10-28</t>
  </si>
  <si>
    <t>CORRECTED col A: live row prints DOI …/ar.23730 (autofill increment); article DOI is 10.1002/ar.23728. 43 rows (one per printed row). Secondary rows must not be merged as new data.</t>
  </si>
  <si>
    <t>Bahney_vonBartheld_2018_TABLE3_snapshot.csv</t>
  </si>
  <si>
    <t>glia–neuron ratio</t>
  </si>
  <si>
    <t>Vertebrates (mammals, frogs, chicken, turtle)</t>
  </si>
  <si>
    <t>GNR of cerebral cortex, cerebellum, spinal cord; brain weight</t>
  </si>
  <si>
    <t>ratio; brain mass</t>
  </si>
  <si>
    <t>von Bartheld (compiled)</t>
  </si>
  <si>
    <t>Compilation: per-row References column -&gt; reference_tables/Bahney_vonBartheld_2018_TABLE3_references.csv (22 keys); only the two "This Study" spinal-cord rows are primary</t>
  </si>
  <si>
    <t>CORRECTED col A: live row prints DOI …/ar.23731 (autofill increment); article DOI is 10.1002/ar.23728. 112 long rows (printed row x CNS part). Brain-mass unit not printed (g assumed).</t>
  </si>
  <si>
    <t>Bahney_vonBartheld_2018_TABLE4_snapshot.csv</t>
  </si>
  <si>
    <t>non-neuron to neuron ratio</t>
  </si>
  <si>
    <t>nNNR of cerebral cortex, cerebellum, rest of brain, spinal cord; brain mass</t>
  </si>
  <si>
    <t>von Bartheld (compiled; mostly Herculano-Houzel lab data)</t>
  </si>
  <si>
    <t>Compilation: per-row References column -&gt; reference_tables/Bahney_vonBartheld_2018_TABLE4_references.csv (16 keys); only the two own spinal-cord rows ("Current study", "This study") are primary</t>
  </si>
  <si>
    <t>PDF table (SI)</t>
  </si>
  <si>
    <t>7 specimen rows from pnas.201221398si.pdf p.1. Non-frontal entries (24) = the 24 Figure 2 points.</t>
  </si>
  <si>
    <t>Carlo_Stevens_2013_TableS1_snapshot.csv</t>
  </si>
  <si>
    <t>cortical cell counts (specimen metadata)</t>
  </si>
  <si>
    <t>Mouse, rat, cat, rhesus macaque</t>
  </si>
  <si>
    <t>specimen sex, age, section thickness, regions sampled</t>
  </si>
  <si>
    <t>XLS (untouched)</t>
  </si>
  <si>
    <t>445 species; brain size g or cc unresolved per row; 2009a source chain needed</t>
  </si>
  <si>
    <t>Built and validated 2026-10-29; registry metadata update</t>
  </si>
  <si>
    <t>Isler_vanSchaik_2012_1-s2.0-S0047248412000577-mmc2.xls_snapshot.xls</t>
  </si>
  <si>
    <t>https://doi.org/10.1016/j.jhevol.2012.03.009</t>
  </si>
  <si>
    <t>Secondary lineage explicit; numeric lexemes preserved; excluded from primary brain pooling</t>
  </si>
  <si>
    <t>Per-species brain type and original primary sources unresolved</t>
  </si>
  <si>
    <t>Comparative brain size, body size and ecology</t>
  </si>
  <si>
    <t>Brain size</t>
  </si>
  <si>
    <t>Allomaternal care; life history; body mass; ecology</t>
  </si>
  <si>
    <t>Published literature compilation</t>
  </si>
  <si>
    <t>Secondary species compilation; row-specific source links retained</t>
  </si>
  <si>
    <t>Brain size g OR cc (unresolved); original helping and life-history variables</t>
  </si>
  <si>
    <t>Isler_vanSchaik_2012</t>
  </si>
  <si>
    <t>Isler &amp; van Schaik 2009a for brain/body; section 1.3 scoped sources for other traits</t>
  </si>
  <si>
    <t>Retain source-provenance build; resolve original source/method before independent-source pooling</t>
  </si>
  <si>
    <t>PDF table / frozen CSV</t>
  </si>
  <si>
    <t>Published source/reference information; not independent measurement data</t>
  </si>
  <si>
    <t>Isler_vanSchaik_2012_SupplementaryInformation1.3_snapshot.csv</t>
  </si>
  <si>
    <t>Citation roles separated from original measurements</t>
  </si>
  <si>
    <t>Human PDF transcription review pending</t>
  </si>
  <si>
    <t>Source provenance</t>
  </si>
  <si>
    <t>Reference / source metadata</t>
  </si>
  <si>
    <t>Published supplementary references</t>
  </si>
  <si>
    <t>Published text/reference extraction</t>
  </si>
  <si>
    <t>Bibliographic/source-scope metadata</t>
  </si>
  <si>
    <t>Bind citations to the measurement item; not additional observations</t>
  </si>
  <si>
    <t>Isler_vanSchaik_2012_SupplementaryInformation4.References_snapshot.csv</t>
  </si>
  <si>
    <t>tab-delimited TXT</t>
  </si>
  <si>
    <t>313 brain masses in mg; 69 BMR; 90 gestation values versus Methods 96; missing gestation key 123</t>
  </si>
  <si>
    <t>Jones_MacLarnon_2004_datafile1_snapshot.txt</t>
  </si>
  <si>
    <t>https://www.journals.uchicago.edu/doi/suppl/10.1086/421334/suppl_file/datafile1.txt</t>
  </si>
  <si>
    <t>Missing reference key 123; gestation coverage discrepancy; brain preparation/primary method unverified</t>
  </si>
  <si>
    <t>Body mass; BMR; intestine length; gestation; diet</t>
  </si>
  <si>
    <t>Brain mass mg; body mass g; BMR mL O2/hr; length mm; time days</t>
  </si>
  <si>
    <t>Jones_MacLarnon_2004</t>
  </si>
  <si>
    <t>Variable-specific numbered source map in datafile2</t>
  </si>
  <si>
    <t>148 original references; 34 as-cited-in chains retained</t>
  </si>
  <si>
    <t>Jones_MacLarnon_2004_datafile2_snapshot.txt</t>
  </si>
  <si>
    <t>https://www.journals.uchicago.edu/doi/suppl/10.1086/421334/suppl_file/datafile2.txt</t>
  </si>
  <si>
    <t>Abbreviated as-cited-in entries not full primary identities</t>
  </si>
  <si>
    <t>Bibliographic metadata</t>
  </si>
  <si>
    <t>journal supplement xlsx (born-digital; copy-renamed untouched)</t>
  </si>
  <si>
    <t>104 genera (84 living, 20 fossil Euarchonta) x 13 natural-log measures: brain and neocortex volume (ref 8, Stephan et al. 1981), endocast volume, neocortical/frontal/OPT endocast surface areas, olfactory bulb volume, orbit diameter/area (refs 24, 25 updated), optic foramen area, prosthion-inion, frontal and non-frontal gray matter (ref 18, Bush &amp; Allman 2004). Units not printed: inferred mm3/mm2/mm; gray matter cm3 -&gt; mm3.</t>
  </si>
  <si>
    <t>Built; registry row exists - update descriptive columns</t>
  </si>
  <si>
    <t>Kay_etal_2026_DataS1_snapshot.xlsx (= science.aee3541_data-s1.xlsx, bytes untouched)</t>
  </si>
  <si>
    <t>https://doi.org/10.1126/science.aee3541</t>
  </si>
  <si>
    <t>Genus-level rows mapped to '&lt;Genus&gt; sp.' anchors; secondary columns value-matched to Stephan_etal_1981 and Bush_Allman_2004_a (reference_tables/Kay_etal_2026_DataS1_value_match.csv).</t>
  </si>
  <si>
    <t>Units inferred, not printed. Value differences: Nasalis brain 92000 vs Stephan 92797; Mandrillus gray matter ~half Bush &amp; Allman. Data S5 numbering ('(8)' = Seiffert 2020) differs from main-text list (8 = Stephan 1981).</t>
  </si>
  <si>
    <t>neocortex evolution; endocasts; visual system</t>
  </si>
  <si>
    <t>Primates (incl. fossils), Scandentia, Dermoptera, Plesiadapiformes</t>
  </si>
  <si>
    <t>Endocast volume; neocortical surface area (frontal vs OPT)</t>
  </si>
  <si>
    <t>optic foramen area; orbit size; olfactory bulb volume; brain and neocortex volume; frontal gray matter</t>
  </si>
  <si>
    <t>CT-derived virtual endocasts (primary); histological volumes (secondary)</t>
  </si>
  <si>
    <t>virtual endocast surface/volume measurement; compilation</t>
  </si>
  <si>
    <t>volume; surface area; length (natural log)</t>
  </si>
  <si>
    <t>Kay/Kirk</t>
  </si>
  <si>
    <t>Stephan et al. 1981 (ref 8: brain, neocortex volume); Bush &amp; Allman 2004 (ref 18: gray matter); Kirk &amp; Kay 2004, Kay &amp; Kirk 2000 (refs 24, 25: orbit, updated)</t>
  </si>
  <si>
    <t>Merge only the endocast columns (EndocastVol, NeocortexSurfaceArea, FrontalLobeSurfaceArea, OPTSurfaceArea) as primary; BrainVol/NeocortexVol/gray matter are secondary copies of Stephan 1981 and Bush &amp; Allman 2004.</t>
  </si>
  <si>
    <t>278 rows; brain weights estimated from measured skull capacity, not weighed brains</t>
  </si>
  <si>
    <t>Mace_etal_1981_TableI_snapshot.csv</t>
  </si>
  <si>
    <t>https://doi.org/10.1111/j.1469-7998.1981.tb03449.x</t>
  </si>
  <si>
    <t>Body mass; body length; ecology</t>
  </si>
  <si>
    <t>Skulls (braincase capacities)</t>
  </si>
  <si>
    <t>2 mm glass beads or skull X-ray integration; derived weight estimates</t>
  </si>
  <si>
    <t>ECV-derived brain-weight estimate (mg), body mass g, body length mm</t>
  </si>
  <si>
    <t>Mace_etal_1981</t>
  </si>
  <si>
    <t>Own skull measurements reported as weight estimates; literature body/ecology</t>
  </si>
  <si>
    <t>csv</t>
  </si>
  <si>
    <t>https://github.com/ManyPrimates/mp1_short_term_memory</t>
  </si>
  <si>
    <t>short-term memory performance (proportion correct, delayed three-cup choice task)</t>
  </si>
  <si>
    <t>trial-level covariates (age, site, test situation) not carried into the species table</t>
  </si>
  <si>
    <t>behavioural (cognition / short-term memory)</t>
  </si>
  <si>
    <t>figure annotations (born-digital PDF; constructed snapshot of printed labels)</t>
  </si>
  <si>
    <t>9 of 23 plotted mammals carry printed annotations 'WMV: ~n mm3 / ST: n%' (Bat, Mouse, Rat, Pig, Hedgehog, Human, Dolphin, Elephant, Horse); only these were transcribed. 14 unlabelled points not digitised (no species identity printed). Figure prints r = 0.5561, text r = 0.5562.</t>
  </si>
  <si>
    <t>Morelli_etal_2025_Figure5_snapshot.csv</t>
  </si>
  <si>
    <t>https://doi.org/10.1016/j.pbiomolbio.2025.03.001</t>
  </si>
  <si>
    <t>Common names only: Mouse/Rat -&gt; genus; Hedgehog/Dolphin/Elephant -&gt; species unspecified; Bat -&gt; Noctilio leporinus by WMV value match to Zhang &amp; Sejnowski 2000.</t>
  </si>
  <si>
    <t>Secondary compilation; sources listed for all points without per-animal attribution; Chudler table cited but not in bibliography; legend misspells Zhang as 'Thang'.</t>
  </si>
  <si>
    <t>sleep; white matter; allometry</t>
  </si>
  <si>
    <t>Total sleep time (% of 24 h)</t>
  </si>
  <si>
    <t>cerebral white matter volume</t>
  </si>
  <si>
    <t>compiled (literature)</t>
  </si>
  <si>
    <t>compilation from literature (Chudler sleep table; Zhang &amp; Sejnowski 2000; Mota et al. 2019)</t>
  </si>
  <si>
    <t>volume; percentage of day</t>
  </si>
  <si>
    <t>Morelli/Saada/Scholkmann</t>
  </si>
  <si>
    <t>Zhang &amp; Sejnowski 2000; Mota et al. 2019; Chudler (web table) after Aserinsky 1999, Campbell &amp; Tobler 1984, Gravett et al. 2017, Kryger et al. 1989, Siegel 2022, Tobler 1989</t>
  </si>
  <si>
    <t>Do not merge as primary; ingest the cited sources (Zhang_Sejnowski_2000, Siegel__2022 are in the repo).</t>
  </si>
  <si>
    <t>AI-assisted transcription verified against 400-dpi figure render (28102026); human visual check pending</t>
  </si>
  <si>
    <t>table (supplementary PDF, author-supplied appendix)</t>
  </si>
  <si>
    <t>52 printed mammal rows (47 placental incl. a duplicated Phalanger, 3 marsupial, 2 monotreme); total, REM, non-REM sleep h</t>
  </si>
  <si>
    <t>Built; registry update pending</t>
  </si>
  <si>
    <t>Siegel__2022_Appendix_snapshot.xlsx</t>
  </si>
  <si>
    <t>https://doi.org/10.1016/S1474-4422(22)00210-1</t>
  </si>
  <si>
    <t>Snapshot verified 52/52 vs PDF; total = REM + non-REM checked (56/56 pass); errata E001 duplicate Phalanger, E002 main-text opossum binomial</t>
  </si>
  <si>
    <t>Common names only - most binomials are curator judgments; per-species original sources not given</t>
  </si>
  <si>
    <t>Drop duplicate_printed_row == TRUE before species-level use</t>
  </si>
  <si>
    <t>sleep</t>
  </si>
  <si>
    <t>Mammalia (51 distinct taxa)</t>
  </si>
  <si>
    <t>Total sleep time; REM sleep time; non-REM sleep time</t>
  </si>
  <si>
    <t>Literature compilation of polygraphic sleep studies</t>
  </si>
  <si>
    <t>Compiled sleep amounts (h)</t>
  </si>
  <si>
    <t>duration (h)</t>
  </si>
  <si>
    <t>AI-assisted verification of existing transcription; human visual check pending</t>
  </si>
  <si>
    <t>Appendix refs 2-5 (section level only); per-species originals not stated</t>
  </si>
  <si>
    <t>Use as secondary sleep compilation; prefer original sleep studies / earlier compilations for primary values; legacy Siegel__2022_Homeotherms.csv superseded</t>
  </si>
  <si>
    <t>figure (raster bitmap); constructed snapshot by pixel digitisation</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</si>
  <si>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 | Built 2026-10-28: 22/22 markers digitised from the embedded 1144x812 bitmap (piecewise log calibration on 7+7 printed ticks; calibration spread within ±4%); all labels assigned (high). 5 points traced to original studies via Heffner_etal_1999 (value-confirmed). Chinchilla point 15.4° vs text 17° (erratum proposed). Figure is from Heffner &amp; Heffner (2016).</t>
  </si>
  <si>
    <t>Built: snapshot (digitised), R, CSV, TSV, definitions, references; 2026-10-28</t>
  </si>
  <si>
    <t>Heffner_Heffner_2018_Figure3_snapshot.csv</t>
  </si>
  <si>
    <t>digitisation method, calibration and uncertainty documented in README; overlay check PNG</t>
  </si>
  <si>
    <t>Pending human RA; AI digitised and checked overlay against the figure on 2026-10-28</t>
  </si>
  <si>
    <t>PDF table (scanned book chapter); transcribed from page image</t>
  </si>
  <si>
    <t>4 spp (house mouse, dog, human, elephant): head radius (mm); ITD (µs) and phase-ambiguity frequency (kHz) at 90° and 30°(10°) azimuth. | Built 2026-10-28: 4 spp; head radius (mm); Kuhn (1977)-calculated ITD (µs) at 90° and 10° azimuth and phase-ambiguity frequency (kHz) at 90° and 30°. Long CSV 16 rows. Table checks 8 pass / 4 mismatch; Dog 90° phase-ambiguity 1.210 kHz inconsistent with its ITD and its 30° value (erratum E001, proposed).</t>
  </si>
  <si>
    <t>Built: snapshot, R, CSV, TSV, definitions, references; 2026-10-28</t>
  </si>
  <si>
    <t>Heffner_Heffner_1992_b_TABLE34.1_snapshot.csv</t>
  </si>
  <si>
    <t>header garbled in OCR layer -&gt; transcribed from page image; azimuths 10° (ITD) vs 30° (phase ambiguity) kept as printed</t>
  </si>
  <si>
    <t>calculated values (Kuhn 1977 formula), not measured; head radii uncited</t>
  </si>
  <si>
    <t>Optional (derived physical quantities); not for merge with measured traits.</t>
  </si>
  <si>
    <t>Pending human RA; AI compared snapshot with 250-dpi page render on 2026-10-28</t>
  </si>
  <si>
    <t>~20 spp in 4 categorical groups: use both time (Δt/phase) and intensity (ΔI) cues; time cue reduced/absent (hedgehog, spiny mouse); intensity cue reduced/absent (elephant, horse, pig, cattle, goat); unable to use either (gopher). Source per species. | Built 2026-10-28: 20 spp in 4 printed cue-use groups (12 both; 2 time cue reduced/absent; 5 intensity cue reduced/absent; 1 neither). Source keys verbatim + references.csv (17 keys). "Mooney unpublished Master’s thesis" cited but absent from bibliography.</t>
  </si>
  <si>
    <t>Heffner_Heffner_1992_b_TABLE34.2_snapshot.csv</t>
  </si>
  <si>
    <t>Greek cue symbols garbled in text layer -&gt; group labels transcribed from page image</t>
  </si>
  <si>
    <t>hedgehog binomial is a hypothesis (Hemiechinus auritus via Masterton et al. 1975)</t>
  </si>
  <si>
    <t>see Source column; reference_tables/Heffner_Heffner_1992_b_TABLE34.2_references.csv</t>
  </si>
  <si>
    <t>text; constructed snapshot of printed statements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</si>
  <si>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 | Built 2026-10-28: 29 printed statements (15 primary Rousettus: MAA bats A-C 12/11/12°, mean 11.6°; phase cue to 5.6 kHz; calc. ambiguity 7.6 kHz; FBV 27°; retina 11.5 mm/180°; 9,704 cells/mm²; 3.15 c/deg) + 14 secondary with citations bound in references.csv. Pallid bat ±1° flagged (landing error, not MAA).</t>
  </si>
  <si>
    <t>Heffner_etal_1999_ResultsText_snapshot.csv</t>
  </si>
  <si>
    <t>pallid bat ±1° kept with exclude_flag; cow 500-Hz source recovered from Fig. 7 legend</t>
  </si>
  <si>
    <t>secondary rows: see reference_tables/Heffner_etal_1999_ResultsText_references.csv</t>
  </si>
  <si>
    <t>Pending human RA; AI compared statements with page renders on 2026-10-28</t>
  </si>
  <si>
    <t>table (PDF, printed rotated; text layer corrupts x.5 ranks)</t>
  </si>
  <si>
    <t>24 genera x 30 procedures, 113 ranks; same matrix as Deaner_etal_2006_Table1 (113/113 identical) - not independent</t>
  </si>
  <si>
    <t>Johnson_etal_2002_Table1_snapshot.xlsx</t>
  </si>
  <si>
    <t>Fractional ranks transcribed from page image (26 x.5 cells checked at 500 dpi); per-procedure original studies in reference_tables/Johnson_etal_2002_Table1_references.csv</t>
  </si>
  <si>
    <t>NOTE spells Reisen (bibliography Riesen); ranks are within-procedure only</t>
  </si>
  <si>
    <t>Primates (24 genera)</t>
  </si>
  <si>
    <t>Paradigm; procedure</t>
  </si>
  <si>
    <t>Literature compilation of laboratory cognition experiments</t>
  </si>
  <si>
    <t>Ordinal ranking of genus performance within each of 30 procedures (9 paradigms)</t>
  </si>
  <si>
    <t>AI-assisted image transcription; human visual check pending</t>
  </si>
  <si>
    <t>40 original studies listed by procedure in the Table 1 NOTE (see references.csv)</t>
  </si>
  <si>
    <t>Use either this item or Deaner_etal_2006_Table1, never both as independent; compare ranks within procedure only</t>
  </si>
  <si>
    <t>DOCUMENTED SKIP 2026-10-28 (review with only reproduced values; see Ketten__2012_NOTE.md)</t>
  </si>
  <si>
    <t>skip: all TTS values summarised from Southall et al. (2007) without per-value citations; ingest Southall 2007 instead</t>
  </si>
  <si>
    <t>Do not build; ingest Southall et al. (2007) if TTS onset is wanted.</t>
  </si>
  <si>
    <t>Not applicable: no snapshot (documented skip)</t>
  </si>
  <si>
    <t>Hutsler, J. J., Lee, D.-G., &amp; Porter, K. K. (2005). Comparative analysis of cortical layering and supragranular layer enlargement in rodent, carnivore and primate species. Brain Research, 1052(1-2), 71-81. https://doi.org/10.1016/j.brainres.2005.06.015</t>
  </si>
  <si>
    <t>Anderson, J. R., &amp; Gallup, G. G., Jr. (2015). Mirror self-recognition: A review and critique of attempts to promote and engineer self-recognition in primates. Primates, 56(4), 317–326. https://doi.org/10.1007/s10329-015-0488-9</t>
  </si>
  <si>
    <t>Existing EndNote full-text PDF verified; no dataset extraction</t>
  </si>
  <si>
    <t>Nick: cited in introduction/discussion; not named data source. Planned folder: Anderson_Gallup_2015. Target: Review evidence and cited primary studies; no dataset item assigned. SECONDARY context source, not new experimental observations. Use to trace primary studies and evaluate conditioning, controls and behavioural criteria. Do not double-count its summaries as extra data.
EndNote correction 2026-10-25: Reference only — Full text confirmed in EndNote, 10 pages. REFERENCE ONLY; no independent experimental dataset item assigned. Local PDF: /Users/crossmodal/Documents/References.Data/PDF/0076593089/Anderson-2015-Mirror self-recognition_ a revie.pdf</t>
  </si>
  <si>
    <t>REFERENCE ONLY — methodological review</t>
  </si>
  <si>
    <t>https://doi.org/10.1007/s10329-015-0488-9</t>
  </si>
  <si>
    <t>SECONDARY context source, not new experimental observations. Use to trace primary studies and evaluate conditioning, controls and behavioural criteria. Do not double-count its summaries as extra data.</t>
  </si>
  <si>
    <t>Mirror recognition</t>
  </si>
  <si>
    <t>Methodological assessment and provenance of spontaneous versus trained mirror responses</t>
  </si>
  <si>
    <t>Review and critique</t>
  </si>
  <si>
    <t>Secondary methodological evidence</t>
  </si>
  <si>
    <t>Trace each claim to its cited primary experiment</t>
  </si>
  <si>
    <t>This was added during the mirror extension but is also cited in Nick’s dissertation. Use to trace evidence and assess training/controls. It contributes no independent experimental observations. Use existing dataset values first, then a suitable compilation with original-source links. Extract a primary paper only for a documented missing observation/condition or ambiguity. A new folder or DOI is not evidence of new data. Shared observations count once; unresolved overlap stays on hold.</t>
  </si>
  <si>
    <t>Pending — no snapshot created</t>
  </si>
  <si>
    <t>Anderson_Gallup_2015_registry_rows.xlsx</t>
  </si>
  <si>
    <t>CSV</t>
  </si>
  <si>
    <t>48 analysis rows; individual × receptor class. Retain individual/sex identity. Non-primate tree-shrew data are in mammal scope. Cell sample sizes are not animal sample sizes.</t>
  </si>
  <si>
    <t>Built; source browser wired; owner registry insertion pending</t>
  </si>
  <si>
    <t>Bowmaker_etal_1991_Table1_snapshot.csv</t>
  </si>
  <si>
    <t>https://doi.org/10.1242/jeb.156.1.1</t>
  </si>
  <si>
    <t>Raw labels and qualifiers retained; CSV/TSV and definitions checked</t>
  </si>
  <si>
    <t>Historical taxonomy, source reuse and table-specific caveats: see item README</t>
  </si>
  <si>
    <t>ManyPrimates source expansion</t>
  </si>
  <si>
    <t>cone/rod spectral peaks; SD; cell counts</t>
  </si>
  <si>
    <t>Published dataset/table/figure/text</t>
  </si>
  <si>
    <t>Source transcription / structured extraction; see README</t>
  </si>
  <si>
    <t>individual × receptor class</t>
  </si>
  <si>
    <t>Bowmaker_etal_1991</t>
  </si>
  <si>
    <t>Item-scoped references and source notes</t>
  </si>
  <si>
    <t>Keep compilations and detailed populations distinct; no automatic independent pooling</t>
  </si>
  <si>
    <t>Pending owner/RA visual check; machine source inspection 2026-10-21</t>
  </si>
  <si>
    <t>Bowmaker_etal_1991_Table1_registry_row.xlsx; ManyPrimates_57_registry_rows.xlsx</t>
  </si>
  <si>
    <t>12 analysis rows; individual plus explicit total. Counts include more records than the peak-fit subset in Table 1. These are sampled cells; do not assume unbiased whole-retina proportions.</t>
  </si>
  <si>
    <t>Bowmaker_etal_1991_Table2_snapshot.csv</t>
  </si>
  <si>
    <t>M- and L-cone counts and ratios</t>
  </si>
  <si>
    <t>individual plus explicit total</t>
  </si>
  <si>
    <t>Bowmaker_etal_1991_Table2_registry_row.xlsx; ManyPrimates_57_registry_rows.xlsx</t>
  </si>
  <si>
    <t>Campbell, S. S., &amp; Tobler, I. (1984). Animal sleep: A review of sleep duration across phylogeny. Neuroscience &amp; Biobehavioral Reviews, 8(3), 269–300. https://doi.org/10.1016/0149-7634(84)90054-X</t>
  </si>
  <si>
    <t>171 analysis rows; species/strain/recording condition. One table across eight pages, not eight tables. Nonmammals excluded downstream. Read annotated species accounts and cited studies to interpret measurement methods.</t>
  </si>
  <si>
    <t>Campbell_Tobler_1984_Table1_snapshot.csv</t>
  </si>
  <si>
    <t>https://doi.org/10.1016/0149-7634(84)90054-X</t>
  </si>
  <si>
    <t>Multiple animal classes; mammal subset wired</t>
  </si>
  <si>
    <t>sleep durations; sleep-stage and observation annotations</t>
  </si>
  <si>
    <t>species/strain/recording condition</t>
  </si>
  <si>
    <t>Campbell_Tobler_1984</t>
  </si>
  <si>
    <t>Campbell_Tobler_1984_Table1_registry_row.xlsx; ManyPrimates_57_registry_rows.xlsx</t>
  </si>
  <si>
    <t>Deegan, J. F., &amp; Jacobs, G. H. (2001). Spectral Sensitivity of Gibbons: Implications for Photopigments and Color Vision. Folia Primatologica, 72(1), 26–29. https://doi.org/10.1159/000049915</t>
  </si>
  <si>
    <t>Text: Results and Discussion</t>
  </si>
  <si>
    <t>10 analysis rows; reported measurement or model parameter. Constructed text snapshot. One male and one female H. lar, not two gibbon species. Peaks 530/563 nm are assumed chimpanzee templates used in fitting; label accordingly.</t>
  </si>
  <si>
    <t>Deegan_Jacobs_2001_TextResults_snapshot.csv</t>
  </si>
  <si>
    <t>https://doi.org/10.1159/000049915</t>
  </si>
  <si>
    <t>spectral sensitivity; M/L evidence and fitted pigment peaks</t>
  </si>
  <si>
    <t>reported measurement or model parameter</t>
  </si>
  <si>
    <t>Deegan_Jacobs_2001</t>
  </si>
  <si>
    <t>Deegan_Jacobs_2001_TextResults_registry_row.xlsx; ManyPrimates_57_registry_rows.xlsx</t>
  </si>
  <si>
    <t>Dunn, J. C., &amp; Smaers, J. B. (2018). Neural correlates of vocal repertoire in primates. Frontiers in neuroscience, 12, 534. https://doi.org/10.3389/fnins.2018.00534</t>
  </si>
  <si>
    <t>47 analysis rows; species. All underlying traits are compiled. Retain brain-volume sources and overlapping vocal/group data; no independent replication implied. Volumes mm3 and body mass g.</t>
  </si>
  <si>
    <t>Dunn_Smaers_2018_TableS1_snapshot.csv</t>
  </si>
  <si>
    <t>https://doi.org/10.3389/fnins.2018.00534</t>
  </si>
  <si>
    <t>vocal repertoire; three group-size measures; body mass; brain-region volumes</t>
  </si>
  <si>
    <t>species</t>
  </si>
  <si>
    <t>Dunn_Smaers_2018</t>
  </si>
  <si>
    <t>Dunn_Smaers_2018_TableS1_registry_row.xlsx; ManyPrimates_57_registry_rows.xlsx</t>
  </si>
  <si>
    <t>Filiminoff, I. N. (1932). Über die Variabilität der Großhirnrindenstruktur. Mitteilung II. Regio occipitalis beim erwachsenen Menschen. Journal für Psychologie und Neurologie, 44, 1–96. [Byline prints I. N. FILIMONOFF; folder and Van Essen &amp; Drury (1997) spell Filiminoff]</t>
  </si>
  <si>
    <t>JPsycholNeurol:44:1-96</t>
  </si>
  <si>
    <t>Table p70</t>
  </si>
  <si>
    <t>table (scan; hand-transcribed)</t>
  </si>
  <si>
    <t>13 hemispheres from 9 adult brains (Moscow); surface area (mm², Schnittserienmethode, celloidin, NOT shrinkage-corrected) of Regio occipitalis and Areas 17/18/19 with % of occipital region. Ar 1 d./s.: only Area 17 printed. Author states shrinkage coefficient 1.2 (p. 71). Case age/sex/group in reference_tables/Filiminoff_1932_Tablep70_cases.csv. Author byline spelling Filimonoff.</t>
  </si>
  <si>
    <t>Filiminoff_1932_Tablep70_snapshot.xlsx</t>
  </si>
  <si>
    <t>Text layer is unusable OCR; transcribed from page images. Printed row sums 17+18+19 = R. occ. checked; printed percentages checked.; EXCEPTION: printed percentages for case 'A kit 1 s.' (Area striata, Area 18) deviate from recomputed values by up to 0.14 pp, beyond the 0.06 pp rounding tolerance; values kept as printed (see Filiminoff_1932_errata.csv)</t>
  </si>
  <si>
    <t>Item number is a locator (table unnumbered). Sex inferred from German noun gender. Area 17 printed range 2208–2877 mm² agrees with Van Essen &amp; Drury 1997 cited 22–29 cm².</t>
  </si>
  <si>
    <t>primary visual cortex; occipital cortex areal extent; individual variability</t>
  </si>
  <si>
    <t>Area striata (Area 17) surface area per hemisphere</t>
  </si>
  <si>
    <t>Regio occipitalis, Area 18, Area 19 surface area; % of occipital cortex</t>
  </si>
  <si>
    <t>histological (celloidin serial frontal sections, Nissl)</t>
  </si>
  <si>
    <t>Schnittserienmethode (serial-section reconstruction of areal boundaries; area from section maps)</t>
  </si>
  <si>
    <t>Filimonoff (Moscow Brain Institute)</t>
  </si>
  <si>
    <t>Merge-eligible as primary human V1 area; convert x1.2 only if shrinkage-corrected values wanted (author's coefficient). Supersedes the secondary range in VanEssen_Drury_1997_ResultsTextCitedV1Ranges.</t>
  </si>
  <si>
    <t>AI-assisted transcription verified cell-by-cell against 500-dpi page render; human visual check pending</t>
  </si>
  <si>
    <t>Filiminoff_1932_Tablep70_registry_row.xlsx</t>
  </si>
  <si>
    <t>Gallup, G. G., Jr. (1977). Self-recognition in primates: A comparative approach to the bidirectional properties of consciousness. American Psychologist, 32(5), 329–338. https://doi.org/10.1037/0003-066X.32.5.329</t>
  </si>
  <si>
    <t>Full-text PDF available; no dataset extraction</t>
  </si>
  <si>
    <t>Nick: explicitly named basis for mirror ratings. Planned folder: Gallup__1977. Target: Source tables / results to select. Evidence review, not a ready numerical scale. Identify original experiments and an explicit coding protocol before building species observations. A later student-created 0–4 scale is not a published Gallup measurement.
Item check 2026-10-25: Reference only — no independent dataset item selected. Availability: Full text saved (PDF).</t>
  </si>
  <si>
    <t>REFERENCE ONLY — review and coding provenance</t>
  </si>
  <si>
    <t>https://doi.org/10.1037/0003-066X.32.5.329</t>
  </si>
  <si>
    <t>Evidence review, not a ready numerical scale. Identify original experiments and an explicit coding protocol before building species observations. A later student-created 0–4 scale is not a published Gallup measurement.</t>
  </si>
  <si>
    <t>Mirror interaction and mark-test outcomes</t>
  </si>
  <si>
    <t>Review and discussion of mirror-test evidence</t>
  </si>
  <si>
    <t>Start here to trace Nick’s evidence. His ordinal awareness score is a student construction, not a published Gallup numerical dataset. Review summaries and their primary studies must not count as separate observations. Use existing dataset values first, then a suitable compilation with original-source links. Extract a primary paper only for a documented missing observation/condition or ambiguity. A new folder or DOI is not evidence of new data. Shared observations count once; unresolved overlap stays on hold.</t>
  </si>
  <si>
    <t>Gallup__1977_registry_rows.xlsx</t>
  </si>
  <si>
    <t>Galán-Acedo, C., Arroyo-Rodríguez, V., Andresen, E., &amp; Arasa-Gisbert, R. (2019). Ecological traits of the world’s primates. Scientific Data, 6(1), 55. https://doi.org/10.1038/s41597-019-0059-9</t>
  </si>
  <si>
    <t>BodyMass.csv</t>
  </si>
  <si>
    <t>629 analysis rows; published source grain. Versioned compilation; retain numbered references and missing-value codes. Article coverage counts are not counts of complete rows in the download. Files use legacy text encoding; preserve original bytes. Historical IUCN values are not current assessments.</t>
  </si>
  <si>
    <t>GalánAcedo_etal_2019_BodyMass_snapshot.csv</t>
  </si>
  <si>
    <t>https://zenodo.org/records/2600338</t>
  </si>
  <si>
    <t>body mass; male and female mass</t>
  </si>
  <si>
    <t>Reader of unchanged digital snapshot</t>
  </si>
  <si>
    <t>source records</t>
  </si>
  <si>
    <t>GalánAcedo_etal_2019</t>
  </si>
  <si>
    <t>GalánAcedo_etal_2019_BodyMass_registry_row.xlsx; ManyPrimates_57_registry_rows.xlsx</t>
  </si>
  <si>
    <t>DielActivity.csv</t>
  </si>
  <si>
    <t>527 analysis rows; published source grain. Versioned compilation; retain numbered references and missing-value codes. Article coverage counts are not counts of complete rows in the download. Files use legacy text encoding; preserve original bytes. Historical IUCN values are not current assessments.</t>
  </si>
  <si>
    <t>GalánAcedo_etal_2019_DielActivity_snapshot.csv</t>
  </si>
  <si>
    <t>diel activity</t>
  </si>
  <si>
    <t>GalánAcedo_etal_2019_DielActivity_registry_row.xlsx; ManyPrimates_57_registry_rows.xlsx</t>
  </si>
  <si>
    <t>Habitat.csv</t>
  </si>
  <si>
    <t>526 analysis rows; published source grain. Versioned compilation; retain numbered references and missing-value codes. Article coverage counts are not counts of complete rows in the download. Files use legacy text encoding; preserve original bytes. Historical IUCN values are not current assessments.</t>
  </si>
  <si>
    <t>GalánAcedo_etal_2019_Habitat_snapshot.csv</t>
  </si>
  <si>
    <t>habitat categories</t>
  </si>
  <si>
    <t>GalánAcedo_etal_2019_Habitat_registry_row.xlsx; ManyPrimates_57_registry_rows.xlsx</t>
  </si>
  <si>
    <t>HomeRange.csv</t>
  </si>
  <si>
    <t>748 analysis rows; published source grain. Versioned compilation; retain numbered references and missing-value codes. Article coverage counts are not counts of complete rows in the download. Files use legacy text encoding; preserve original bytes. Historical IUCN values are not current assessments.</t>
  </si>
  <si>
    <t>GalánAcedo_etal_2019_HomeRange_snapshot.csv</t>
  </si>
  <si>
    <t>home range; group size; study duration</t>
  </si>
  <si>
    <t>GalánAcedo_etal_2019_HomeRange_registry_row.xlsx; ManyPrimates_57_registry_rows.xlsx</t>
  </si>
  <si>
    <t>IUCN_Poptrend_Realm.csv</t>
  </si>
  <si>
    <t>GalánAcedo_etal_2019_IUCN_Poptrend_Realm_snapshot.csv</t>
  </si>
  <si>
    <t>2019 conservation category; population trend; realm</t>
  </si>
  <si>
    <t>GalánAcedo_etal_2019_IUCN_Poptrend_Realm_registry_row.xlsx; ManyPrimates_57_registry_rows.xlsx</t>
  </si>
  <si>
    <t>Locomotion.csv</t>
  </si>
  <si>
    <t>576 analysis rows; published source grain. Versioned compilation; retain numbered references and missing-value codes. Article coverage counts are not counts of complete rows in the download. Files use legacy text encoding; preserve original bytes. Historical IUCN values are not current assessments.</t>
  </si>
  <si>
    <t>GalánAcedo_etal_2019_Locomotion_snapshot.csv</t>
  </si>
  <si>
    <t>locomotion substrate</t>
  </si>
  <si>
    <t>GalánAcedo_etal_2019_Locomotion_registry_row.xlsx; ManyPrimates_57_registry_rows.xlsx</t>
  </si>
  <si>
    <t>TrophicGuild.csv</t>
  </si>
  <si>
    <t>570 analysis rows; published source grain. Versioned compilation; retain numbered references and missing-value codes. Article coverage counts are not counts of complete rows in the download. Files use legacy text encoding; preserve original bytes. Historical IUCN values are not current assessments.</t>
  </si>
  <si>
    <t>GalánAcedo_etal_2019_TrophicGuild_snapshot.csv</t>
  </si>
  <si>
    <t>diet composition; trophic guild</t>
  </si>
  <si>
    <t>GalánAcedo_etal_2019_TrophicGuild_registry_row.xlsx; ManyPrimates_57_registry_rows.xlsx</t>
  </si>
  <si>
    <t>Gamba, M., Friard, O., Riondato, I., Righini, R., Colombo, C., Miaretsoa, L., ... &amp; Giacoma, C. (2015). Comparative analysis of the vocal repertoire of Eulemur: a dynamic time warping approach. International Journal of Primatology, 36(5), 894-910. https://doi.org/10.1007/s10764-015-9861-1</t>
  </si>
  <si>
    <t>154 analysis rows; species × call type plus flagged summary statistics. Cluster counts differ from a priori named call types; preserve both, and grey unassessed cells. This is the summary of the detailed supplementary cluster tables.</t>
  </si>
  <si>
    <t>Gamba_etal_2015_TableI_snapshot.csv</t>
  </si>
  <si>
    <t>https://doi.org/10.1007/s10764-015-9861-1</t>
  </si>
  <si>
    <t>vocal categories; repertoire clusters; call counts</t>
  </si>
  <si>
    <t>species × call type plus flagged summary statistics</t>
  </si>
  <si>
    <t>Gamba_etal_2015</t>
  </si>
  <si>
    <t>Gamba_etal_2015_TableI_registry_row.xlsx; ManyPrimates_57_registry_rows.xlsx</t>
  </si>
  <si>
    <t>Table SII</t>
  </si>
  <si>
    <t>195 analysis rows; cluster × a priori call type, with flagged margin totals. Detailed counts underlying Table I; related views of the same recordings, not independent samples.</t>
  </si>
  <si>
    <t>Gamba_etal_2015_TableSII_snapshot.csv</t>
  </si>
  <si>
    <t>call-type by cluster counts</t>
  </si>
  <si>
    <t>cluster × a priori call type, with flagged margin totals</t>
  </si>
  <si>
    <t>Gamba_etal_2015_TableSII_registry_row.xlsx; ManyPrimates_57_registry_rows.xlsx</t>
  </si>
  <si>
    <t>Table SIII</t>
  </si>
  <si>
    <t>156 analysis rows; cluster × a priori call type, with flagged margin totals. Detailed counts underlying Table I; related views of the same recordings, not independent samples.</t>
  </si>
  <si>
    <t>Gamba_etal_2015_TableSIII_snapshot.csv</t>
  </si>
  <si>
    <t>Gamba_etal_2015_TableSIII_registry_row.xlsx; ManyPrimates_57_registry_rows.xlsx</t>
  </si>
  <si>
    <t>Table SIV</t>
  </si>
  <si>
    <t>240 analysis rows; cluster × a priori call type, with flagged margin totals. Detailed counts underlying Table I; related views of the same recordings, not independent samples.</t>
  </si>
  <si>
    <t>Gamba_etal_2015_TableSIV_snapshot.csv</t>
  </si>
  <si>
    <t>Gamba_etal_2015_TableSIV_registry_row.xlsx; ManyPrimates_57_registry_rows.xlsx</t>
  </si>
  <si>
    <t>Table SV</t>
  </si>
  <si>
    <t>165 analysis rows; cluster × a priori call type, with flagged margin totals. Detailed counts underlying Table I; related views of the same recordings, not independent samples.</t>
  </si>
  <si>
    <t>Gamba_etal_2015_TableSV_snapshot.csv</t>
  </si>
  <si>
    <t>Gamba_etal_2015_TableSV_registry_row.xlsx; ManyPrimates_57_registry_rows.xlsx</t>
  </si>
  <si>
    <t>Table SVI</t>
  </si>
  <si>
    <t>120 analysis rows; cluster × a priori call type, with flagged margin totals. Detailed counts underlying Table I; related views of the same recordings, not independent samples.</t>
  </si>
  <si>
    <t>Gamba_etal_2015_TableSVI_snapshot.csv</t>
  </si>
  <si>
    <t>Gamba_etal_2015_TableSVI_registry_row.xlsx; ManyPrimates_57_registry_rows.xlsx</t>
  </si>
  <si>
    <t>Table SVII</t>
  </si>
  <si>
    <t>Gamba_etal_2015_TableSVII_snapshot.csv</t>
  </si>
  <si>
    <t>Gamba_etal_2015_TableSVII_registry_row.xlsx; ManyPrimates_57_registry_rows.xlsx</t>
  </si>
  <si>
    <t>Table SVIII</t>
  </si>
  <si>
    <t>144 analysis rows; cluster × a priori call type, with flagged margin totals. Detailed counts underlying Table I; related views of the same recordings, not independent samples.</t>
  </si>
  <si>
    <t>Gamba_etal_2015_TableSVIII_snapshot.csv</t>
  </si>
  <si>
    <t>Gamba_etal_2015_TableSVIII_registry_row.xlsx; ManyPrimates_57_registry_rows.xlsx</t>
  </si>
  <si>
    <t>Glendenning, K. K., &amp; Masterton, R. B. (1998). Comparative morphometry of mammalian central auditory systems: Variation in nuclei and form of the ascending system. Brain, Behavior and Evolution, 51(2), 59–89. https://doi.org/10.1159/000006530</t>
  </si>
  <si>
    <t>PDF table (born-digital); text-layer extraction by coordinates (rotated table)</t>
  </si>
  <si>
    <t>53 spp, one specimen each; 10 nuclear volumes (mm3, mean of L and R sides), body g, brain g; Total. 4 rows fail sum-vs-Total check (Chinchilla row duplicates Guinea pig; errata proposed). 2 body weights are Nowak 1991 estimates. Registry row new 2026-10-28; Item encoded derived = 10.1159%2F000006530_Table1. Suggested col M title: "Table 1. In vitro volumes (in mm3) of 10 largest nuclei (between vertical lines) in ascending auditory system of 53 mammals, with body and brain weights (in gms.) and total of the 10 nuclear volumes (‘total’)".</t>
  </si>
  <si>
    <t>Built: snapshot, R, CSV, TSV, definitions; 2026-10-28; registry paste pending</t>
  </si>
  <si>
    <t>Glendenning_Masterton_1998_Table1_snapshot.csv</t>
  </si>
  <si>
    <t>https://doi.org/10.1159/000006530</t>
  </si>
  <si>
    <t>printed volumes unilateral (L/R mean); Rattus rattus printed for "Rat, albino"; Chinchilla/Mink brain blank</t>
  </si>
  <si>
    <t>neuroanatomy; auditory system</t>
  </si>
  <si>
    <t>Mammalia (53 spp; 20 marsupials)</t>
  </si>
  <si>
    <t>volume of 10 auditory nuclei (AVCN, PVCN, DCN, MTB, LSO, MSO, VLL, DLL, IC, MG)</t>
  </si>
  <si>
    <t>histological (Nissl; celloidin, paraffin, frozen)</t>
  </si>
  <si>
    <t>planimetry of serial sections (V = d·ΣA), L/R averaged</t>
  </si>
  <si>
    <t>mm3; g</t>
  </si>
  <si>
    <t>Glendenning/Masterton</t>
  </si>
  <si>
    <t>Body weights in parentheses: Nowak [1991]; bat body/brain: D. Wong</t>
  </si>
  <si>
    <t>Use volumes (exclude Chinchilla nuclei; check Mouse, spiny and Opossum, didelphis)</t>
  </si>
  <si>
    <t>Pending human RA; AI compared extracted snapshot with page renders on 2026-10-28</t>
  </si>
  <si>
    <t>Glendenning_Masterton_1998_Table1_registry_row.xlsx</t>
  </si>
  <si>
    <t>PDF table (born-digital); text-layer extraction by coordinates</t>
  </si>
  <si>
    <t>% of 10-nucleus total, 53 spp; derived from Table 1; 4 rows fail sum-to-100 (inherited from Table 1). Registry row new 2026-10-28; Item encoded derived = 10.1159%2F000006530_Table2. Suggested col M title: "Table 2. Percentage size of each nucleus relative to the size of the total subcortical auditory system for each animal".</t>
  </si>
  <si>
    <t>Glendenning_Masterton_1998_Table2_snapshot.csv</t>
  </si>
  <si>
    <t>derived values</t>
  </si>
  <si>
    <t>relative size of auditory nuclei (% of total)</t>
  </si>
  <si>
    <t>computed from Table 1 in the paper</t>
  </si>
  <si>
    <t>percent</t>
  </si>
  <si>
    <t>Derived; recompute from Table 1 for analysis</t>
  </si>
  <si>
    <t>Glendenning_Masterton_1998_Table2_registry_row.xlsx</t>
  </si>
  <si>
    <t>normalized log % (z), 10 nuclei + CN + SO; derived; column mean 0/SD 1 checks pass. Registry row new 2026-10-28; Item encoded derived = 10.1159%2F000006530_Table3. Suggested col M title: "Table 3. Normalized logarithmic values of entries in table 2".</t>
  </si>
  <si>
    <t>Glendenning_Masterton_1998_Table3_snapshot.csv</t>
  </si>
  <si>
    <t>normalized log relative size of auditory nuclei</t>
  </si>
  <si>
    <t>normalized log</t>
  </si>
  <si>
    <t>Glendenning_Masterton_1998_Table3_registry_row.xlsx</t>
  </si>
  <si>
    <t>rank order of 53 spp per nucleus/cluster with */** marks and Average position; derived from Table 3. Registry row new 2026-10-28; Item encoded derived = 10.1159%2F000006530_Table4. Suggested col M title: "Table 4. A, B Animal rankings of each nucleus and two nuclear clusters".</t>
  </si>
  <si>
    <t>Glendenning_Masterton_1998_Table4_snapshot.csv</t>
  </si>
  <si>
    <t>printed typo "Gropher, pocket"</t>
  </si>
  <si>
    <t>rank of relative nucleus size</t>
  </si>
  <si>
    <t>Glendenning_Masterton_1998_Table4_registry_row.xlsx</t>
  </si>
  <si>
    <t>similarity r of whole ascending-system form; derived. Registry row new 2026-10-28; Item encoded derived = 10.1159%2F000006530_Table5. Suggested col M title: "Table 5. Animal rankings based on similarity in form of each animal’s ascending auditory system with average form of system".</t>
  </si>
  <si>
    <t>Glendenning_Masterton_1998_Table5_snapshot.csv</t>
  </si>
  <si>
    <t>similarity of auditory-system form</t>
  </si>
  <si>
    <t>r</t>
  </si>
  <si>
    <t>Glendenning_Masterton_1998_Table5_registry_row.xlsx</t>
  </si>
  <si>
    <t>similarity r of cochlear-nucleus form; derived. Registry row new 2026-10-28; Item encoded derived = 10.1159%2F000006530_Table6. Suggested col M title: "Table 6. Animal rankings based on similarity in form of each animal’s cochlear nuclei with average form of cochlear nuclei".</t>
  </si>
  <si>
    <t>Glendenning_Masterton_1998_Table6_snapshot.csv</t>
  </si>
  <si>
    <t>similarity of cochlear-nucleus form</t>
  </si>
  <si>
    <t>Glendenning_Masterton_1998_Table6_registry_row.xlsx</t>
  </si>
  <si>
    <t>similarity r of superior-olive form; derived. Registry row new 2026-10-28; Item encoded derived = 10.1159%2F000006530_Table7. Suggested col M title: "Table 7. Animal rankings based on similarity in form of each animal’s superior olives with average form of superior olives".</t>
  </si>
  <si>
    <t>Glendenning_Masterton_1998_Table7_snapshot.csv</t>
  </si>
  <si>
    <t>similarity of superior-olive form</t>
  </si>
  <si>
    <t>Glendenning_Masterton_1998_Table7_registry_row.xlsx</t>
  </si>
  <si>
    <t>Grueter, C. C., Bissonnette, A., Isler, K., &amp; van Schaik, C. P. (2013). Grooming and group cohesion in primates: implications for the evolution of language. Evolution and Human Behavior, 34(1), 61-68. https://doi.org/10.1016/j.evolhumbehav.2012.09.004</t>
  </si>
  <si>
    <t>74 analysis rows; species. Separate unit/party size from bracketed band/community size. Most values compiled; mountain-gorilla observations have a distinct origin. Preserve per-variable sources.</t>
  </si>
  <si>
    <t>Grueter_etal_2013_Table1_snapshot.csv</t>
  </si>
  <si>
    <t>https://doi.org/10.1016/j.evolhumbehav.2012.09.004</t>
  </si>
  <si>
    <t>grooming percentage; group size; substrate; female body mass</t>
  </si>
  <si>
    <t>Grueter_etal_2013</t>
  </si>
  <si>
    <t>Grueter_etal_2013_Table1_registry_row.xlsx; ManyPrimates_57_registry_rows.xlsx</t>
  </si>
  <si>
    <t>Publisher DOCX table</t>
  </si>
  <si>
    <t>Built 2026-10-21. Live registry insertion pending. Secondary compilation kept separate from primary pooled measurements.</t>
  </si>
  <si>
    <t>Built; wired; registry insertion pending</t>
  </si>
  <si>
    <t>Grueter_etal_2013_TableS1_snapshot.docx</t>
  </si>
  <si>
    <t>Original file copied byte-for-byte; printed names and missing values retained.</t>
  </si>
  <si>
    <t>Historic taxonomy and reused observations; see item README.</t>
  </si>
  <si>
    <t>Grooming, group and community size</t>
  </si>
  <si>
    <t>Published supplementary table</t>
  </si>
  <si>
    <t>Scripted extraction from frozen digital source</t>
  </si>
  <si>
    <t>Mixed traits</t>
  </si>
  <si>
    <t>See item-scoped reference lookup and Methods</t>
  </si>
  <si>
    <t>Source-specific compilation view; avoid counting duplicate primaries</t>
  </si>
  <si>
    <t>Grueter_etal_2013_TableS1_registry_row.xlsx</t>
  </si>
  <si>
    <t>32 analysis rows; call category in pooled orangutans. Cross-study call names are not automatically independent call types. Separate vocalizations from other sounds.</t>
  </si>
  <si>
    <t>Hardus_etal_2009_Table4.1_snapshot.csv</t>
  </si>
  <si>
    <t>https://doi.org/10.1093/acprof:oso/9780199213276.003.0004</t>
  </si>
  <si>
    <t>named call repertoire and historical equivalents</t>
  </si>
  <si>
    <t>call category in pooled orangutans</t>
  </si>
  <si>
    <t>Hardus_etal_2009</t>
  </si>
  <si>
    <t>Hardus_etal_2009_Table4.1_registry_row.xlsx; ManyPrimates_57_registry_rows.xlsx</t>
  </si>
  <si>
    <t>Table 4.2</t>
  </si>
  <si>
    <t>46 analysis rows; pooled orangutan call type × acoustic parameter. Record sample sizes, range/mean/SD and call context. Nonvocal sounds must retain a separate classification.</t>
  </si>
  <si>
    <t>Hardus_etal_2009_Table4.2_snapshot.csv</t>
  </si>
  <si>
    <t>call frequency and duration statistics</t>
  </si>
  <si>
    <t>pooled orangutan call type × acoustic parameter</t>
  </si>
  <si>
    <t>Hardus_etal_2009_Table4.2_registry_row.xlsx; ManyPrimates_57_registry_rows.xlsx</t>
  </si>
  <si>
    <t>Table 4.3</t>
  </si>
  <si>
    <t>36 analysis rows; pooled orangutan call type × acoustic parameter. Additional six call types, using different acoustic parameters from Table 4.2.</t>
  </si>
  <si>
    <t>Hardus_etal_2009_Table4.3_snapshot.csv</t>
  </si>
  <si>
    <t>frequency and duration statistics</t>
  </si>
  <si>
    <t>Hardus_etal_2009_Table4.3_registry_row.xlsx; ManyPrimates_57_registry_rows.xlsx</t>
  </si>
  <si>
    <t>Table 4.4</t>
  </si>
  <si>
    <t>256 analysis rows; site × call type. Keep Present, Absent, Presumed Present, Presumed Absent, NA and blank distinct. Geographic presence is not a universal species repertoire.</t>
  </si>
  <si>
    <t>Hardus_etal_2009_Table4.4_snapshot.csv</t>
  </si>
  <si>
    <t>call-type occurrence across field sites</t>
  </si>
  <si>
    <t>site × call type</t>
  </si>
  <si>
    <t>Hardus_etal_2009_Table4.4_registry_row.xlsx; ManyPrimates_57_registry_rows.xlsx</t>
  </si>
  <si>
    <t>Text: Results, Genotyping of L and M opsin genes</t>
  </si>
  <si>
    <t>9 analysis rows; species genetic sample plus total. Constructed text snapshot joined to Table S1 denominators. This is genetic evidence, not a behavioural colour-vision test. The detailed sequencing sample is only 94 individuals.</t>
  </si>
  <si>
    <t>Hiwatashi_etal_2011_TextResults_snapshot.csv</t>
  </si>
  <si>
    <t>https://doi.org/10.1186/1471-2148-11-312</t>
  </si>
  <si>
    <t>L/M opsin presence and absence of detected hybrids</t>
  </si>
  <si>
    <t>species genetic sample plus total</t>
  </si>
  <si>
    <t>Hiwatashi_etal_2011</t>
  </si>
  <si>
    <t>Hiwatashi_etal_2011_TextResults_registry_row.xlsx; ManyPrimates_57_registry_rows.xlsx</t>
  </si>
  <si>
    <t>264 analysis rows; species × call category × age-sex × statistic. Scanned table visually inspected. Preserve original species labels and age-sex codes; normalized rates, percentages and diversity indices are distinct measures. Several tables describe the same observations.</t>
  </si>
  <si>
    <t>Hohmann__1991_Table10_snapshot.csv</t>
  </si>
  <si>
    <t>https://doi.org/10.1159/000156538</t>
  </si>
  <si>
    <t>age-sex-specific call frequencies</t>
  </si>
  <si>
    <t>species × call category × age-sex × statistic</t>
  </si>
  <si>
    <t>Hohmann__1991</t>
  </si>
  <si>
    <t>Hohmann__1991_Table10_registry_row.xlsx; ManyPrimates_57_registry_rows.xlsx</t>
  </si>
  <si>
    <t>Table 11</t>
  </si>
  <si>
    <t>52 analysis rows; species × call category. Scanned table visually inspected. Preserve original species labels and age-sex codes; normalized rates, percentages and diversity indices are distinct measures. Several tables describe the same observations.</t>
  </si>
  <si>
    <t>Hohmann__1991_Table11_snapshot.csv</t>
  </si>
  <si>
    <t>diversity of age-sex use by vocal category</t>
  </si>
  <si>
    <t>species × call category</t>
  </si>
  <si>
    <t>Hohmann__1991_Table11_registry_row.xlsx; ManyPrimates_57_registry_rows.xlsx</t>
  </si>
  <si>
    <t>Table 12</t>
  </si>
  <si>
    <t>32 analysis rows; species × age-sex. Scanned table visually inspected. Preserve original species labels and age-sex codes; normalized rates, percentages and diversity indices are distinct measures. Several tables describe the same observations.</t>
  </si>
  <si>
    <t>Hohmann__1991_Table12_snapshot.csv</t>
  </si>
  <si>
    <t>vocal diversity by age-sex class</t>
  </si>
  <si>
    <t>species × age-sex</t>
  </si>
  <si>
    <t>Hohmann__1991_Table12_registry_row.xlsx; ManyPrimates_57_registry_rows.xlsx</t>
  </si>
  <si>
    <t>232 analysis rows; species × call × age-sex. Scanned table visually inspected. Preserve original species labels and age-sex codes; normalized rates, percentages and diversity indices are distinct measures. Several tables describe the same observations.</t>
  </si>
  <si>
    <t>Hohmann__1991_Table3_snapshot.csv</t>
  </si>
  <si>
    <t>repertoire membership by age/sex</t>
  </si>
  <si>
    <t>species × call × age-sex</t>
  </si>
  <si>
    <t>Hohmann__1991_Table3_registry_row.xlsx; ManyPrimates_57_registry_rows.xlsx</t>
  </si>
  <si>
    <t>192 analysis rows; species × call × age-sex. Scanned table visually inspected. Preserve original species labels and age-sex codes; normalized rates, percentages and diversity indices are distinct measures. Several tables describe the same observations.</t>
  </si>
  <si>
    <t>Hohmann__1991_Table4_snapshot.csv</t>
  </si>
  <si>
    <t>Hohmann__1991_Table4_registry_row.xlsx; ManyPrimates_57_registry_rows.xlsx</t>
  </si>
  <si>
    <t>58 analysis rows; species × vocal pattern. Scanned table visually inspected. Preserve original species labels and age-sex codes; normalized rates, percentages and diversity indices are distinct measures. Several tables describe the same observations.</t>
  </si>
  <si>
    <t>Hohmann__1991_Table5_snapshot.csv</t>
  </si>
  <si>
    <t>relative call-emission frequencies</t>
  </si>
  <si>
    <t>species × vocal pattern</t>
  </si>
  <si>
    <t>Hohmann__1991_Table5_registry_row.xlsx; ManyPrimates_57_registry_rows.xlsx</t>
  </si>
  <si>
    <t>46 analysis rows; species × vocal pattern. Scanned table visually inspected. Preserve original species labels and age-sex codes; normalized rates, percentages and diversity indices are distinct measures. Several tables describe the same observations.</t>
  </si>
  <si>
    <t>Hohmann__1991_Table6_snapshot.csv</t>
  </si>
  <si>
    <t>Hohmann__1991_Table6_registry_row.xlsx; ManyPrimates_57_registry_rows.xlsx</t>
  </si>
  <si>
    <t>312 analysis rows; species × call category × age-sex × statistic. Scanned table visually inspected. Preserve original species labels and age-sex codes; normalized rates, percentages and diversity indices are distinct measures. Several tables describe the same observations.</t>
  </si>
  <si>
    <t>Hohmann__1991_Table7_snapshot.csv</t>
  </si>
  <si>
    <t>Hohmann__1991_Table7_registry_row.xlsx; ManyPrimates_57_registry_rows.xlsx</t>
  </si>
  <si>
    <t>336 analysis rows; species × call category × age-sex × statistic. Scanned table visually inspected. Preserve original species labels and age-sex codes; normalized rates, percentages and diversity indices are distinct measures. Several tables describe the same observations.</t>
  </si>
  <si>
    <t>Hohmann__1991_Table8_snapshot.csv</t>
  </si>
  <si>
    <t>Hohmann__1991_Table8_registry_row.xlsx; ManyPrimates_57_registry_rows.xlsx</t>
  </si>
  <si>
    <t>Table 9</t>
  </si>
  <si>
    <t>Hohmann__1991_Table9_snapshot.csv</t>
  </si>
  <si>
    <t>Hohmann__1991_Table9_registry_row.xlsx; ManyPrimates_57_registry_rows.xlsx</t>
  </si>
  <si>
    <t>Jacobs, G. H. (2008). Primate color vision: A comparative perspective. Visual Neuroscience, 25(5–6), 619–633. https://doi.org/10.1017/S0952523808080760</t>
  </si>
  <si>
    <t>2 analysis rows; pooled population; macaque species unspecified. Population incidence is not a universal species state. Keep cited primary sources and male-only scope.</t>
  </si>
  <si>
    <t>Jacobs__2008_Table1_snapshot.csv</t>
  </si>
  <si>
    <t>https://doi.org/10.1017/S0952523808080760</t>
  </si>
  <si>
    <t>dichromacy incidence; sample sizes</t>
  </si>
  <si>
    <t>pooled population; macaque species unspecified</t>
  </si>
  <si>
    <t>Jacobs__2008</t>
  </si>
  <si>
    <t>Jacobs__2008_Table1_registry_row.xlsx; ManyPrimates_57_registry_rows.xlsx</t>
  </si>
  <si>
    <t>5 analysis rows; pigment class with genus list. Genus-level pigment combinations, not one phenotype per species. Preserve taxonomic level; do not expand to all species.</t>
  </si>
  <si>
    <t>Jacobs__2008_Table2_snapshot.csv</t>
  </si>
  <si>
    <t>opsin tuning residues; peak absorption</t>
  </si>
  <si>
    <t>pigment class with genus list</t>
  </si>
  <si>
    <t>Jacobs__2008_Table2_registry_row.xlsx; ManyPrimates_57_registry_rows.xlsx</t>
  </si>
  <si>
    <t>Jacobs, G. H. (2009). Evolution of colour vision in mammals. Philosophical Transactions of the Royal Society B, 364(1531), 2957–2967. https://doi.org/10.1098/rstb.2009.0039</t>
  </si>
  <si>
    <t>34 analysis rows; genus exemplar. Mammal-wide lead. Preserve genus-level exemplars, immunolabelling uncertainty and per-row references. This is not a species-level list; primary sources can resolve species.</t>
  </si>
  <si>
    <t>Jacobs__2009_Table1_snapshot.csv</t>
  </si>
  <si>
    <t>https://doi.org/10.1098/rstb.2009.0039</t>
  </si>
  <si>
    <t>SWS1 and LWS pigment complements</t>
  </si>
  <si>
    <t>genus exemplar</t>
  </si>
  <si>
    <t>Jacobs__2009</t>
  </si>
  <si>
    <t>Jacobs__2009_Table1_registry_row.xlsx; ManyPrimates_57_registry_rows.xlsx</t>
  </si>
  <si>
    <t>Jacobs, G. H., Deegan II, J. F., Tan, Y., &amp; Li, W.-H. (2002). Opsin gene and photopigment polymorphism in a prosimian primate. Vision Research, 42(1), 11–18. https://doi.org/10.1016/S0042-6989(01)00264-4</t>
  </si>
  <si>
    <t>10 analysis rows; individual. Keep predicted and measured peak wavelengths separate; preserve subject and sex.</t>
  </si>
  <si>
    <t>Jacobs_etal_2002_Table1_snapshot.csv</t>
  </si>
  <si>
    <t>https://doi.org/10.1016/S0042-6989(01)00264-4</t>
  </si>
  <si>
    <t>opsin genotype; predicted and ERG-measured pigment peak</t>
  </si>
  <si>
    <t>individual</t>
  </si>
  <si>
    <t>Jacobs_etal_2002</t>
  </si>
  <si>
    <t>Jacobs_etal_2002_Table1_registry_row.xlsx; ManyPrimates_57_registry_rows.xlsx</t>
  </si>
  <si>
    <t>Jacobs, G. H., &amp; Deegan, J. F. (1993). Photopigments underlying color vision in ringtail lemurs (Lemur catta) and brown lemurs (Eulemur fulvus). American Journal of Primatology, 30(3), 243–256. https://doi.org/10.1002/ajp.1350300307</t>
  </si>
  <si>
    <t>Text: Discussion, Lemur Photopigments</t>
  </si>
  <si>
    <t>9 analysis rows; reported pigment estimate or model parameter. Constructed text snapshot: printed best-fit peaks and associated sample details. Model fits are estimates; avoid duplicating the same peaks from figure digitization.</t>
  </si>
  <si>
    <t>Jacobs_Deegan_1993_TextResults_snapshot.csv</t>
  </si>
  <si>
    <t>https://doi.org/10.1002/ajp.1350300307</t>
  </si>
  <si>
    <t>rod and cone pigment peak estimates</t>
  </si>
  <si>
    <t>reported pigment estimate or model parameter</t>
  </si>
  <si>
    <t>Jacobs_Deegan_1993</t>
  </si>
  <si>
    <t>Jacobs_Deegan_1993_TextResults_registry_row.xlsx; ManyPrimates_57_registry_rows.xlsx</t>
  </si>
  <si>
    <t>Jacobs, G. H., &amp; Deegan, J. F. (2001). Photopigments and colour vision in New World monkeys from the family Atelidae. Proceedings of the Royal Society B: Biological Sciences, 268(1468), 695–702. https://doi.org/10.1098/rspb.2000.1421</t>
  </si>
  <si>
    <t>Text: Results (a)–(c)</t>
  </si>
  <si>
    <t>25 analysis rows; reported cohort result or sample count. Constructed text snapshot required. Ateles includes identified taxa and an unassignable hybrid colony; do not force pooled values to species. Use printed peak estimates rather than digitizing them again.</t>
  </si>
  <si>
    <t>Jacobs_Deegan_2001_TextResults_snapshot.csv</t>
  </si>
  <si>
    <t>https://doi.org/10.1098/rspb.2000.1421</t>
  </si>
  <si>
    <t>cone pigment peaks; dichromacy/trichromacy observations</t>
  </si>
  <si>
    <t>reported cohort result or sample count</t>
  </si>
  <si>
    <t>Jacobs_Deegan_2001</t>
  </si>
  <si>
    <t>Jacobs_Deegan_2001_TextResults_registry_row.xlsx; ManyPrimates_57_registry_rows.xlsx</t>
  </si>
  <si>
    <t>Jacobs, G. H., &amp; Deegan, J. F. (2003). Cone pigment variations in four genera of new world monkeys. Vision Research, 43(3), 227–236. https://doi.org/10.1016/S0042-6989(02)00565-5</t>
  </si>
  <si>
    <t>17 analysis rows; common-name cohort × pigment position. Mixed newly measured and reused estimates; retain evidence from Methods/Results for each row. Some common-name groups require taxonomic resolution.</t>
  </si>
  <si>
    <t>Jacobs_Deegan_2003_Table1_snapshot.csv</t>
  </si>
  <si>
    <t>https://doi.org/10.1016/S0042-6989(02)00565-5</t>
  </si>
  <si>
    <t>M/L pigment spectral peaks, SD, sample sizes</t>
  </si>
  <si>
    <t>common-name cohort × pigment position</t>
  </si>
  <si>
    <t>Jacobs_Deegan_2003</t>
  </si>
  <si>
    <t>Jacobs_Deegan_2003_Table1_registry_row.xlsx; ManyPrimates_57_registry_rows.xlsx</t>
  </si>
  <si>
    <t>Jacobs, G. H., &amp; Neitz, J. (1987). Polymorphism of the middle wavelength cone in two species of south american monkey: Cebus apella and callicebus moloch. Vision Research, 27(8), 1263–1268. https://doi.org/10.1016/0042-6989(87)90202-1</t>
  </si>
  <si>
    <t>9 analysis rows; species × pigment class. Saimiri row is explicitly reused from another Jacobs &amp; Neitz 1987 paper; do not count as newly measured here. Empty pigment class is not an absence proof.</t>
  </si>
  <si>
    <t>Jacobs_Neitz_1987_Table1_snapshot.csv</t>
  </si>
  <si>
    <t>https://doi.org/10.1016/0042-6989(87)90202-1</t>
  </si>
  <si>
    <t>cone peak wavelengths; SD; sample counts</t>
  </si>
  <si>
    <t>species × pigment class</t>
  </si>
  <si>
    <t>Jacobs_Neitz_1987</t>
  </si>
  <si>
    <t>Jacobs_Neitz_1987_Table1_registry_row.xlsx; ManyPrimates_57_registry_rows.xlsx</t>
  </si>
  <si>
    <t>Jacobs, R. L., Veilleux, C. C., Louis, E. E., Herrera, J. P., Hiramatsu, C., Frankel, D. C., Irwin, M. T., Melin, A. D., &amp; Bradley, B. J. (2019). Less is more: Lemurs (Eulemur spp.) may benefit from loss of trichromatic vision. Behavioral Ecology and Sociobiology, 73(2), 22. https://doi.org/10.1007/s00265-018-2629-9</t>
  </si>
  <si>
    <t>DOCX</t>
  </si>
  <si>
    <t>52 analysis rows; species. Keep per-row references and “This study” flags. Some labels are genus sp.; presence of an allele is not proof of trichromacy in every individual.</t>
  </si>
  <si>
    <t>Jacobs_etal_2019_TableS1_snapshot.docx</t>
  </si>
  <si>
    <t>https://doi.org/10.1007/s00265-018-2629-9</t>
  </si>
  <si>
    <t>X-linked opsin state and allele presence</t>
  </si>
  <si>
    <t>Jacobs_etal_2019</t>
  </si>
  <si>
    <t>Jacobs_etal_2019_TableS1_registry_row.xlsx; ManyPrimates_57_registry_rows.xlsx</t>
  </si>
  <si>
    <t>115 analysis rows; plant taxon × plant part for one mammal at three sites. Useful additional diet data; plant taxa are diet items, not mammal records.</t>
  </si>
  <si>
    <t>Jacobs_etal_2019_TableS2_snapshot.docx</t>
  </si>
  <si>
    <t>diet items; plant parts; foraging proportions</t>
  </si>
  <si>
    <t>plant taxon × plant part for one mammal at three sites</t>
  </si>
  <si>
    <t>Jacobs_etal_2019_TableS2_registry_row.xlsx; ManyPrimates_57_registry_rows.xlsx</t>
  </si>
  <si>
    <t>Kamilar, J. M., &amp; Cooper, N. (2013). Phylogenetic signal in primate behaviour, ecology and life history. Philosophical Transactions of the Royal Society B: Biological Sciences, 368(1618), 20120341. https://doi.org/10.1098/rstb.2012.0341</t>
  </si>
  <si>
    <t>S2</t>
  </si>
  <si>
    <t>Publisher XLSX</t>
  </si>
  <si>
    <t>Kamilar_Cooper_2013_S2_snapshot.xlsx</t>
  </si>
  <si>
    <t>https://doi.org/10.1098/rstb.2012.0341</t>
  </si>
  <si>
    <t>Ecology, sociality, life history, activity budgets</t>
  </si>
  <si>
    <t>Kamilar_Cooper_2013</t>
  </si>
  <si>
    <t>Kamilar_Cooper_2013_S2_registry_row.xlsx</t>
  </si>
  <si>
    <t>McComb, K., &amp; Semple, S. (2005). Coevolution of vocal communication and sociality in primates. Biology Letters, 1(4), 381–385. https://doi.org/10.1098/rsbl.2005.0366</t>
  </si>
  <si>
    <t>42 analysis rows; species. Keep original repertoire references per species and group/grooming source notes. Repertoire definitions vary among studies.</t>
  </si>
  <si>
    <t>McComb_Semple_2005_Table1_snapshot.csv</t>
  </si>
  <si>
    <t>https://doi.org/10.1098/rsbl.2005.0366</t>
  </si>
  <si>
    <t>vocal repertoire size; group size; grooming percentage</t>
  </si>
  <si>
    <t>McComb_Semple_2005</t>
  </si>
  <si>
    <t>ManyPrimates_57_registry_rows.xlsx; McComb_Semple_2005_Table1_registry_row.xlsx</t>
  </si>
  <si>
    <t>Morrogh-Bernard, H. C., Husson, S. J., Knott, C. D., Wich, S. A., van Schaik, C. P., van Noordwijk, M. A., Lackman-Ancrenaz, I., Marshall, A. J., Kanamori, T., Kuze, N., &amp; bin Sakong, R. (2008). Orangutan activity budgets and diet: A comparison between species, populations and habitats. In S. A. Wich et al. (Eds.), Orangutans: Geographic Variation in Behavioral Ecology and Conservation (pp. 119–134). Oxford University Press. https://doi.org/10.1093/acprof:oso/9780199213276.003.0008</t>
  </si>
  <si>
    <t>Figure 8.1</t>
  </si>
  <si>
    <t>35 analysis rows; site × figure bar segment. Digitization needed; values are minutes of a standardized 12-hour day, distinct from measured active period. Overlaps age-sex budgets.</t>
  </si>
  <si>
    <t>MorroghBernard_etal_2008_Figure8.1_snapshot.csv</t>
  </si>
  <si>
    <t>https://doi.org/10.1093/acprof:oso/9780199213276.003.0008</t>
  </si>
  <si>
    <t>overall feeding, moving, resting and other activity</t>
  </si>
  <si>
    <t>PDF vector digitization; approximate values</t>
  </si>
  <si>
    <t>site × figure bar segment</t>
  </si>
  <si>
    <t>MorroghBernard_etal_2008</t>
  </si>
  <si>
    <t>ManyPrimates_57_registry_rows.xlsx; MorroghBernard_etal_2008_Figure8.1_registry_row.xlsx</t>
  </si>
  <si>
    <t>Figure 8.2</t>
  </si>
  <si>
    <t>139 analysis rows; site × figure bar segment. Digitization needed; preserve month/site and references. Related to diet summaries in Table 8.2.</t>
  </si>
  <si>
    <t>MorroghBernard_etal_2008_Figure8.2_snapshot.csv</t>
  </si>
  <si>
    <t>monthly diet composition</t>
  </si>
  <si>
    <t>ManyPrimates_57_registry_rows.xlsx; MorroghBernard_etal_2008_Figure8.2_registry_row.xlsx</t>
  </si>
  <si>
    <t>Table 8.2</t>
  </si>
  <si>
    <t>216 analysis rows; site × statistic × food category. Preserve site, year, sex/age, taxonomic labels and study sources. Do not turn active-period length into measured sleep duration.</t>
  </si>
  <si>
    <t>MorroghBernard_etal_2008_Table8.2_snapshot.csv</t>
  </si>
  <si>
    <t>diet fractions of feeding time</t>
  </si>
  <si>
    <t>site × statistic × food category</t>
  </si>
  <si>
    <t>ManyPrimates_57_registry_rows.xlsx; MorroghBernard_etal_2008_Table8.2_registry_row.xlsx</t>
  </si>
  <si>
    <t>Table 8.3</t>
  </si>
  <si>
    <t>108 analysis rows; site × age-sex × activity. Preserve site, year, sex/age, taxonomic labels and study sources. Do not turn active-period length into measured sleep duration.</t>
  </si>
  <si>
    <t>MorroghBernard_etal_2008_Table8.3_snapshot.csv</t>
  </si>
  <si>
    <t>activity budgets by age and sex</t>
  </si>
  <si>
    <t>site × age-sex × activity</t>
  </si>
  <si>
    <t>ManyPrimates_57_registry_rows.xlsx; MorroghBernard_etal_2008_Table8.3_registry_row.xlsx</t>
  </si>
  <si>
    <t>Table 8.5</t>
  </si>
  <si>
    <t>8 analysis rows; site. Preserve site, year, sex/age, taxonomic labels and study sources. Do not turn active-period length into measured sleep duration.</t>
  </si>
  <si>
    <t>MorroghBernard_etal_2008_Table8.5_snapshot.csv</t>
  </si>
  <si>
    <t>activity start/end relative to sunrise/sunset</t>
  </si>
  <si>
    <t>site</t>
  </si>
  <si>
    <t>ManyPrimates_57_registry_rows.xlsx; MorroghBernard_etal_2008_Table8.5_registry_row.xlsx</t>
  </si>
  <si>
    <t>Table 8.6</t>
  </si>
  <si>
    <t>50 analysis rows; site × age-sex. Preserve site, year, sex/age, taxonomic labels and study sources. Do not turn active-period length into measured sleep duration.</t>
  </si>
  <si>
    <t>MorroghBernard_etal_2008_Table8.6_snapshot.csv</t>
  </si>
  <si>
    <t>active-period duration in minutes</t>
  </si>
  <si>
    <t>site × age-sex</t>
  </si>
  <si>
    <t>ManyPrimates_57_registry_rows.xlsx; MorroghBernard_etal_2008_Table8.6_registry_row.xlsx</t>
  </si>
  <si>
    <t>Nick: explicitly named data source. Planned folder: Norlen_etal_2019. Target: Primary chimpanzee thresholds and preferences: select results/figure items. Separate new chimpanzee measurements from the comparative compilation. Preserve concentration, criterion, individual and study identity. Trace compiled rows to primary studies.
Item check 2026-10-25: Verified in full text — PDF p. 4 / printed p. 32; Fig. 1 caption and panels. Availability: Full text saved (PDF). Target: Chimpanzee concentration-response curves for five sugars.</t>
  </si>
  <si>
    <t>HOLD — primary detail only if compilation lacks it</t>
  </si>
  <si>
    <t>Separate new chimpanzee measurements from the comparative compilation. Preserve concentration, criterion, individual and study identity. Trace compiled rows to primary studies.</t>
  </si>
  <si>
    <t>Taste</t>
  </si>
  <si>
    <t>Chimpanzee concentration-response curves for five sugars</t>
  </si>
  <si>
    <t>Start with Table 1. Reconcile with Redin Hurtado 2023 by primary study, species, compound and endpoint; keep one copy of shared observations. Separate primary extraction only for required details absent from these tables. Use existing dataset values first, then a suitable compilation with original-source links. Extract a primary paper only for a documented missing observation/condition or ambiguity. A new folder or DOI is not evidence of new data. Shared observations count once; unresolved overlap stays on hold.</t>
  </si>
  <si>
    <t>Norlen_etal_2019_registry_rows.xlsx</t>
  </si>
  <si>
    <t>paper already in Sheet1 (row(s) 556, 557, 558, item(s) Figure2, Figure3, Table1) - this is a NEW ITEM of that paper; keep column A identical to those rows</t>
  </si>
  <si>
    <t>Nunn, C. L., &amp; Samson, D. R. (2018). Sleep in a comparative context: Investigating how human sleep differs from sleep in other primates. American Journal of Physical Anthropology, 166(3), 601–612. https://doi.org/10.1002/ajpa.23427</t>
  </si>
  <si>
    <t>SupplementaryTable1</t>
  </si>
  <si>
    <t>Nunn_Samson_2018_SupplementaryTable1_snapshot.xlsx</t>
  </si>
  <si>
    <t>https://doi.org/10.1002/ajpa.23427</t>
  </si>
  <si>
    <t>Sleep, ecology, sociality</t>
  </si>
  <si>
    <t>Nunn_Samson_2018</t>
  </si>
  <si>
    <t>Nunn_Samson_2018_SupplementaryTable1_registry_row.xlsx</t>
  </si>
  <si>
    <t>30 analysis rows; species. Keep EEG, actigraphy and videographic estimates distinguishable; blank REM/NREM is missing, not zero. Main-table data overlap the full supplement.</t>
  </si>
  <si>
    <t>Nunn_Samson_2018_Table1_snapshot.csv</t>
  </si>
  <si>
    <t>total sleep time; REM; NREM duration</t>
  </si>
  <si>
    <t>ManyPrimates_57_registry_rows.xlsx; Nunn_Samson_2018_Table1_registry_row.xlsx</t>
  </si>
  <si>
    <t>Nunn, C. L., van Schaik, C. P., &amp; Zinner, D. (2001). Do exaggerated sexual swellings function in female mating competition in primates? A comparative test of the reliable indicator hypothesis. Behavioral Ecology, 12(5), 646–654. https://doi.org/10.1093/beheco/12.5.646</t>
  </si>
  <si>
    <t>Nick: explicit group-size source, incomplete citation. Planned folder: Nunn_etal_2001. Target: Source tables / results to select. Correct citation includes Zinner. Confirm the actual group-size source and observation unit before ingestion; overlap with existing socioecological compilations is unresolved.
EndNote check 2026-10-25: Underlying dataset unresolved — Full text verified. Methods, PDF p. 2 / printed p. 647, attributes adult male/female counts to an unpublished database and gives the historical faculty.virginia.edu/charlienunn address. Tables 1–2 on p. 650 concern cycling/swelling evidence, not the requested group-size values. Leave Item number blank until the underlying dataset or correct source is located; dissertation-source identity remains unresolved. Local PDF: /Users/crossmodal/Documents/References.Data/PDF/3829176142/Nunn-2001-Do exaggerated sexual swellings func.pdf</t>
  </si>
  <si>
    <t>HOLD — resolve exact source and uncovered values</t>
  </si>
  <si>
    <t>https://doi.org/10.1093/beheco/12.5.646</t>
  </si>
  <si>
    <t>Correct citation includes Zinner. Confirm the actual group-size source and observation unit before ingestion; overlap with existing socioecological compilations is unresolved.</t>
  </si>
  <si>
    <t>Social organization</t>
  </si>
  <si>
    <t>Underlying group-composition database — not tabulated in this paper</t>
  </si>
  <si>
    <t>Comparative literature data</t>
  </si>
  <si>
    <t>Compare with existing socioecological compilations before extracting. Kamilar-Cooper cites Nunn/van Schaik 2000 and other works; these are not automatically the 2001 paper. Exact source identity and row-level overlap remain unresolved. Use existing dataset values first, then a suitable compilation with original-source links. Extract a primary paper only for a documented missing observation/condition or ambiguity. A new folder or DOI is not evidence of new data. Shared observations count once; unresolved overlap stays on hold.</t>
  </si>
  <si>
    <t>Nunn_etal_2001_registry_rows.xlsx</t>
  </si>
  <si>
    <t>Panepinto, L. M., Phillips, R. W., Wheeler, L. R., &amp; Will, D. H. (1978). The Yucatan miniature pig as a laboratory animal. Laboratory Animal Science, 28(3), 308-313. https://pubmed.ncbi.nlm.nih.gov/682579</t>
  </si>
  <si>
    <t>PMID:682579</t>
  </si>
  <si>
    <t>table (scanned PDF; transcribed from page image)</t>
  </si>
  <si>
    <t>11 neonatal age classes (0 to 57-66 days) x shoulder height, girth, length (cm) and weight (kg; CSV in g), mean ± SD; 33 piglets from six litters. Age class 57-66 d carries footnote b 'Winter weather period'. Group means by age, not species means.</t>
  </si>
  <si>
    <t>Panepinto_etal_1978_Table1_snapshot.xlsx</t>
  </si>
  <si>
    <t>https://pubmed.ncbi.nlm.nih.gov/682579</t>
  </si>
  <si>
    <t>Group-by-age means of one colony; per-age n not printed (caption n = 33).</t>
  </si>
  <si>
    <t>growth; body size; development</t>
  </si>
  <si>
    <t>Sus scrofa domesticus (Yucatan miniature pig)</t>
  </si>
  <si>
    <t>Body mass (neonatal growth curve)</t>
  </si>
  <si>
    <t>shoulder height; girth; body length</t>
  </si>
  <si>
    <t>live animals (colony, Colorado State University)</t>
  </si>
  <si>
    <t>weighed and measured at birth and every other week to weaning (same technician)</t>
  </si>
  <si>
    <t>body mass; linear body dimensions</t>
  </si>
  <si>
    <t>Panepinto/Phillips (Colorado State University)</t>
  </si>
  <si>
    <t>Use as neonatal growth trajectory for domestic (miniature) pig; text also prints adult masses (boars 83 ± 12 kg, sows 70 ± 12 kg) and birth weight 0.74 ± 0.17 kg (n = 580) not built here.</t>
  </si>
  <si>
    <t>AI-assisted transcription verified cell-by-cell against 300-dpi page render and OCR text layer (28102026); human visual check pending</t>
  </si>
  <si>
    <t>Panepinto_etal_1978_Table1_registry_row.xlsx</t>
  </si>
  <si>
    <t>11 neonatal age classes x plasma glucose, plasma protein, packed cell volume, serum cholesterol, cholesterol ester, phospholipids, triglycerides (mean ± SD). Lipid columns blank for 0-10 d. Text prints PCV 41.8 ± 3.7% at birth to 47.3 ± 2.1% at 66 days, which differs from the table (42 ± 4; 42 ± 2).</t>
  </si>
  <si>
    <t>Panepinto_etal_1978_Table3_snapshot.xlsx</t>
  </si>
  <si>
    <t>Text/table disagreement on packed cell volume at 57-66 d (text 47.3 ± 2.1% vs table 42 ± 2); serum phospholipids 12.8 ± 16.6 at 11-15 d printed as is.</t>
  </si>
  <si>
    <t>physiology; hematology; development</t>
  </si>
  <si>
    <t>Neonatal blood chemistry</t>
  </si>
  <si>
    <t>plasma glucose; packed cell volume; serum lipids</t>
  </si>
  <si>
    <t>anterior vena cava blood sampling every other week (alternating halves of growth group); nonfasting except birth samples</t>
  </si>
  <si>
    <t>concentration; percentage</t>
  </si>
  <si>
    <t>Panepinto_etal_1978_Table3_registry_row.xlsx</t>
  </si>
  <si>
    <t>Pasquaretta, C., et al. (2014). Social networks in primates: smart and tolerant species have more efficient networks. Scientific Reports, 4, 7600. https://doi.org/10.1038/srep07600</t>
  </si>
  <si>
    <t>Extended data table 5</t>
  </si>
  <si>
    <t>DOC</t>
  </si>
  <si>
    <t>78 analysis rows; social group/network. Keep wild/captive setting and interaction type, group identifiers and original sources. Table spans several column blocks; do not lose later blocks.</t>
  </si>
  <si>
    <t>Pasquaretta_etal_2014_Extendeddatatable5_snapshot.doc</t>
  </si>
  <si>
    <t>https://doi.org/10.1038/srep07600</t>
  </si>
  <si>
    <t>social-network metrics; group size; sex ratio; neocortex ratio</t>
  </si>
  <si>
    <t>social group/network</t>
  </si>
  <si>
    <t>Pasquaretta_etal_2014</t>
  </si>
  <si>
    <t>ManyPrimates_57_registry_rows.xlsx; Pasquaretta_etal_2014_Extendeddatatable5_registry_row.xlsx</t>
  </si>
  <si>
    <t>Smith, R. J., &amp; Jungers, W. L. (1997). Body mass in comparative primatology. Journal of Human Evolution, 32(6), 523–559. https://doi.org/10.1006/jhev.1996.0122</t>
  </si>
  <si>
    <t>Nick: explicit body-mass source. Planned folder: Smith_Jungers_1997. Target: Source tables / results to select. Overlap review before extraction. Values already occur indirectly in Powell 2017 and Kamilar–Cooper 2013. Resolve sample, sex, population and primary source before claiming new coverage.
EndNote correction 2026-10-25: Verified in EndNote full text — PDF pp. 16–26 / printed pp. 538–548, including continuations. Preserve male/female values, sample sizes, wild/captive status and references; consult explanatory notes and appendix. Reuse values already covered by existing compilations. Local PDF: /Users/crossmodal/Documents/References.Data/PDF/1038828825/Smith-1997-Body mass in compara.pdf</t>
  </si>
  <si>
    <t>HOLD — existing compilation coverage first</t>
  </si>
  <si>
    <t>https://doi.org/10.1006/jhev.1996.0122</t>
  </si>
  <si>
    <t>Overlap review before extraction. Values already occur indirectly in Powell 2017 and Kamilar–Cooper 2013. Resolve sample, sex, population and primary source before claiming new coverage.</t>
  </si>
  <si>
    <t>Body mass</t>
  </si>
  <si>
    <t>Adult body mass; sex-specific estimates and sample sizes</t>
  </si>
  <si>
    <t>Literature compilation plus previously unpublished measurements</t>
  </si>
  <si>
    <t>Smith &amp; Jungers 1997 is explicitly cited by Mass_ref in the built Kamilar_Cooper_2013 S2. Reuse covered values; return to the original only for a missing sex/species/population or ambiguity. This establishes some coverage, not complete equivalence. Use existing dataset values first, then a suitable compilation with original-source links. Extract a primary paper only for a documented missing observation/condition or ambiguity. A new folder or DOI is not evidence of new data. Shared observations count once; unresolved overlap stays on hold.</t>
  </si>
  <si>
    <t>Smith_Jungers_1997_registry_rows.xlsx</t>
  </si>
  <si>
    <t>Tan, Y., &amp; Li, W.-H. (1999). Trichromatic vision in prosimians. Nature, 402(6757), 36–36. https://doi.org/10.1038/46947</t>
  </si>
  <si>
    <t>20 analysis rows; species. Preserve sex/X-chromosome denominators; polymorphic pigment systems need individual-level interpretation.</t>
  </si>
  <si>
    <t>Tan_Li_1999_Table1_snapshot.csv</t>
  </si>
  <si>
    <t>https://doi.org/10.1038/46947</t>
  </si>
  <si>
    <t>M/L opsin distribution; sample sex and allele counts</t>
  </si>
  <si>
    <t>Tan_Li_1999</t>
  </si>
  <si>
    <t>ManyPrimates_57_registry_rows.xlsx; Tan_Li_1999_Table1_registry_row.xlsx</t>
  </si>
  <si>
    <t>Assistant mirror-literature addition; not found in dissertation references. Planned folder: Westergaard_Hyatt_1994. Target: Results / figures / tables: item selection pending. Nine bonobos; four inspected otherwise invisible body regions. This is mirror-guided self-inspection evidence, not a standard mark-test pass rate. Retain age class and behavioural categories.
EndNote check 2026-10-25: Verified in EndNote full text — PDF p. 2 / printed p. 274. Adjusted frequencies by age class and behavioural category; Table 1 provides subjects and Table 2 definitions. This is not a standard mark-test pass-rate dataset. Local PDF: /Users/crossmodal/Documents/References.Data/PDF/1734575182/Westergaard-1994-The responses of bonobos (Pan.pdf</t>
  </si>
  <si>
    <t>HOLD — primary evidence only for a demonstrated gap</t>
  </si>
  <si>
    <t>Nine bonobos; four inspected otherwise invisible body regions. This is mirror-guided self-inspection evidence, not a standard mark-test pass rate. Retain age class and behavioural categories.</t>
  </si>
  <si>
    <t>Bonobo mirror-on/off differences in behavioural frequencies</t>
  </si>
  <si>
    <t>Review/compilation coverage has not been checked at observation level. Keep as a reference pointer. Extract only a required species, individual, condition or endpoint absent from the chosen compilation, or to resolve a specific ambiguity. No primary extraction is queued. Use existing dataset values first, then a suitable compilation with original-source links. Extract a primary paper only for a documented missing observation/condition or ambiguity. A new folder or DOI is not evidence of new data. Shared observations count once; unresolved overlap stays on hold.</t>
  </si>
  <si>
    <t>Westergaard_Hyatt_1994_registry_rows.xlsx</t>
  </si>
  <si>
    <t>paper already in Sheet1 (row(s) 769, item(s) Figures1and2) - this is a NEW ITEM of that paper; keep column A identical to those rows | Sheet1 row 769 already covers 'Figures1and2' - decide whether to split into Figure 1 + Figure 2 (then retire row 769's item) or skip these two rows</t>
  </si>
  <si>
    <t>Assistant mirror-literature addition; not found in dissertation references. Planned folder: Westergaard_Hyatt_1994. Target: Results / figures / tables: item selection pending. Nine bonobos; four inspected otherwise invisible body regions. This is mirror-guided self-inspection evidence, not a standard mark-test pass rate. Retain age class and behavioural categories.
EndNote check 2026-10-25: Verified in EndNote full text — PDF p. 4 / printed p. 276. Relative durations by age class and behavioural category; same study as Figure 1, distinct measurement endpoint. Local PDF: /Users/crossmodal/Documents/References.Data/PDF/1734575182/Westergaard-1994-The responses of bonobos (Pan.pdf</t>
  </si>
  <si>
    <t>Bonobo mirror-on/off differences in behavioural durations</t>
  </si>
  <si>
    <t>22 analysis rows; species. Rotated three-page table visually inspected. Use numbered references and footnotes; some unpublished data are cited. Repertoire is number of call types, acoustic space in Hz.</t>
  </si>
  <si>
    <t>Zimmermann__2017_Table5.1_snapshot.csv</t>
  </si>
  <si>
    <t>https://doi.org/10.1007/978-3-319-59478-1_5</t>
  </si>
  <si>
    <t>vocal repertoire size; acoustic frequency range; body mass; foraging unit size; activity; sociality; habitat; locomotion</t>
  </si>
  <si>
    <t>Zimmermann__2017</t>
  </si>
  <si>
    <t>ManyPrimates_57_registry_rows.xlsx; Zimmermann__2017_Table5.1_registry_row.xlsx</t>
  </si>
  <si>
    <t>Bowmaker, J. K., Astell, S., Hunt, D. M., &amp; Mollon, J. D. (1991). Photosensitive and photostable pigments in the retinae of Old World monkeys. Journal of experimental Biology, 156(1), 1-19. https://doi.org/10.1242/jeb.156.1.1</t>
  </si>
  <si>
    <t>Hohmann, G. (1991). Comparative analyses of age-and sex-specific patterns of vocal behaviour in four species of old world monkeys. Folia Primatologica, 56(3), 133-156. https://doi.org/10.1159/000156538</t>
  </si>
  <si>
    <t>Hiwatashi, T., Mikami, A., Katsumura, T., Suryobroto, B., Perwitasari-Farajallah, D., Malaivijitnond, S., ... &amp; Kawamura, S. (2011). Gene conversion and purifying selection shape nucleotide variation in gibbon L/M opsin genes. BMC evolutionary biology, 11(1), 1-14. https://doi.org/10.1186/1471-2148-11-312</t>
  </si>
  <si>
    <t>Hardus ME, Lameira AR, Singleton I, Morrogh-Bernard HC, Knott CD, et al. (2009) A description of the orangutan’s vocal and sound repertoire, with a focus on geographic variation. Orangutans: Geographic variation in behavioral ecology and conservation. New York: Oxford Univ Press. pp. 49–64. https://doi.org/10.1093/acprof:oso/9780199213276.003.0004</t>
  </si>
  <si>
    <t>Zimmermann, E. (2017). Evolutionary origins of primate vocal communication: Diversity, flexibility, and complexity of vocalizations in basal primates. In Primate hearing and communication (pp. 109-140). Springer, Cham. https://doi.org/10.1007/978-3-319-59478-1_5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</si>
</sst>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2"/>
      <color rgb="FF3F3F3F"/>
      <name val="Calibri"/>
      <family val="2"/>
    </font>
    <font>
      <b/>
      <sz val="11"/>
      <color rgb="FF3F3F3F"/>
      <name val="Calibri"/>
      <family val="2"/>
    </font>
    <font>
      <sz val="12"/>
      <color rgb="FF3F3F76"/>
      <name val="Calibri"/>
      <family val="2"/>
    </font>
    <font>
      <sz val="12"/>
      <color rgb="FF000000"/>
      <name val="Aptos Narrow"/>
    </font>
    <font>
      <sz val="12"/>
      <color rgb="FF3F3F76"/>
      <name val="Calibri"/>
      <family val="2"/>
      <scheme val="minor"/>
    </font>
    <font>
      <b/>
      <sz val="12"/>
      <color rgb="FF3F3F3F"/>
      <name val="Calibri"/>
      <family val="2"/>
      <scheme val="minor"/>
    </font>
    <font>
      <sz val="8"/>
      <name val="Arial"/>
      <family val="2"/>
    </font>
  </fonts>
  <fills count="5">
    <fill>
      <patternFill patternType="none"/>
    </fill>
    <fill>
      <patternFill patternType="gray125"/>
    </fill>
    <fill>
      <patternFill patternType="solid">
        <fgColor rgb="FFFFCC99"/>
      </patternFill>
    </fill>
    <fill>
      <patternFill patternType="solid">
        <fgColor rgb="FFF2F2F2"/>
      </patternFill>
    </fill>
    <fill>
      <patternFill patternType="solid">
        <fgColor rgb="FFFFCC99"/>
        <bgColor indexed="64"/>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s>
  <cellStyleXfs count="3">
    <xf numFmtId="0" fontId="0" fillId="0" borderId="0"/>
    <xf numFmtId="0" fontId="6" fillId="2" borderId="1" applyNumberFormat="0" applyAlignment="0" applyProtection="0"/>
    <xf numFmtId="0" fontId="7" fillId="3" borderId="3" applyNumberFormat="0" applyAlignment="0" applyProtection="0"/>
  </cellStyleXfs>
  <cellXfs count="29">
    <xf numFmtId="0" fontId="0" fillId="0" borderId="0" xfId="0"/>
    <xf numFmtId="0" fontId="1" fillId="2" borderId="1" xfId="0" applyFont="1" applyFill="1" applyBorder="1" applyProtection="1">
      <protection locked="0"/>
    </xf>
    <xf numFmtId="0" fontId="3" fillId="3" borderId="3" xfId="0" applyFont="1" applyFill="1" applyBorder="1" applyProtection="1">
      <protection locked="0"/>
    </xf>
    <xf numFmtId="0" fontId="3" fillId="3" borderId="3" xfId="0" applyFont="1" applyFill="1" applyBorder="1"/>
    <xf numFmtId="0" fontId="1" fillId="4" borderId="1" xfId="0" applyFont="1" applyFill="1" applyBorder="1"/>
    <xf numFmtId="0" fontId="5" fillId="0" borderId="0" xfId="0" applyFont="1"/>
    <xf numFmtId="0" fontId="2" fillId="3" borderId="3" xfId="0" applyFont="1" applyFill="1" applyBorder="1" applyProtection="1">
      <protection locked="0"/>
    </xf>
    <xf numFmtId="0" fontId="4" fillId="2" borderId="1" xfId="0" applyFont="1" applyFill="1" applyBorder="1" applyAlignment="1">
      <alignment vertical="top"/>
    </xf>
    <xf numFmtId="0" fontId="1" fillId="2" borderId="1" xfId="0" applyFont="1" applyFill="1" applyBorder="1"/>
    <xf numFmtId="0" fontId="4" fillId="2" borderId="1" xfId="0" applyFont="1" applyFill="1" applyBorder="1"/>
    <xf numFmtId="0" fontId="4" fillId="2" borderId="1" xfId="0" applyFont="1" applyFill="1" applyBorder="1" applyAlignment="1" applyProtection="1">
      <alignment vertical="top"/>
      <protection locked="0"/>
    </xf>
    <xf numFmtId="0" fontId="4" fillId="2" borderId="2" xfId="0" applyFont="1" applyFill="1" applyBorder="1" applyProtection="1">
      <protection locked="0"/>
    </xf>
    <xf numFmtId="0" fontId="4" fillId="2" borderId="1" xfId="0" applyFont="1" applyFill="1" applyBorder="1" applyProtection="1">
      <protection locked="0"/>
    </xf>
    <xf numFmtId="0" fontId="0" fillId="0" borderId="1" xfId="0" applyBorder="1"/>
    <xf numFmtId="0" fontId="1" fillId="2" borderId="0" xfId="0" applyFont="1" applyFill="1"/>
    <xf numFmtId="0" fontId="2" fillId="3" borderId="0" xfId="0" applyFont="1" applyFill="1" applyProtection="1">
      <protection locked="0"/>
    </xf>
    <xf numFmtId="0" fontId="4" fillId="2" borderId="0" xfId="0" applyFont="1" applyFill="1" applyAlignment="1">
      <alignment vertical="top"/>
    </xf>
    <xf numFmtId="0" fontId="7" fillId="3" borderId="3" xfId="2" applyProtection="1">
      <protection locked="0"/>
    </xf>
    <xf numFmtId="0" fontId="7" fillId="3" borderId="3" xfId="2"/>
    <xf numFmtId="0" fontId="6" fillId="2" borderId="1" xfId="1" applyProtection="1">
      <protection locked="0"/>
    </xf>
    <xf numFmtId="0" fontId="6" fillId="2" borderId="1" xfId="1"/>
    <xf numFmtId="0" fontId="6" fillId="2" borderId="1" xfId="1" applyAlignment="1">
      <alignment vertical="top"/>
    </xf>
    <xf numFmtId="0" fontId="6" fillId="2" borderId="1" xfId="1" applyAlignment="1">
      <alignment wrapText="1"/>
    </xf>
    <xf numFmtId="0" fontId="6" fillId="2" borderId="1" xfId="1" applyAlignment="1" applyProtection="1">
      <alignment vertical="top"/>
      <protection locked="0"/>
    </xf>
    <xf numFmtId="0" fontId="4" fillId="2" borderId="0" xfId="0" applyFont="1" applyFill="1" applyAlignment="1" applyProtection="1">
      <alignment vertical="top"/>
      <protection locked="0"/>
    </xf>
    <xf numFmtId="0" fontId="4" fillId="2" borderId="0" xfId="0" applyFont="1" applyFill="1" applyProtection="1">
      <protection locked="0"/>
    </xf>
    <xf numFmtId="0" fontId="4" fillId="2" borderId="2" xfId="0" applyFont="1" applyFill="1" applyBorder="1" applyAlignment="1">
      <alignment vertical="top"/>
    </xf>
    <xf numFmtId="0" fontId="4" fillId="2" borderId="0" xfId="0" applyFont="1" applyFill="1"/>
    <xf numFmtId="0" fontId="6" fillId="2" borderId="1" xfId="1" applyAlignment="1">
      <alignment vertical="top" wrapText="1"/>
    </xf>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942"/>
  <sheetViews>
    <sheetView tabSelected="1" zoomScaleNormal="100" workbookViewId="0">
      <pane ySplit="1" topLeftCell="A817" activePane="bottomLeft" state="frozen"/>
      <selection pane="bottomLeft" activeCell="A846" sqref="A846:XFD846"/>
    </sheetView>
  </sheetViews>
  <sheetFormatPr baseColWidth="10" defaultColWidth="11.5" defaultRowHeight="13" x14ac:dyDescent="0.15"/>
  <cols>
    <col min="1" max="1" width="61.1640625" customWidth="1"/>
    <col min="2" max="2" width="5.83203125" customWidth="1"/>
    <col min="3" max="3" width="6.5" customWidth="1"/>
    <col min="4" max="4" width="10.1640625" customWidth="1"/>
    <col min="5" max="12" width="5.6640625" customWidth="1"/>
    <col min="13" max="34" width="4.83203125" customWidth="1"/>
  </cols>
  <sheetData>
    <row r="1" spans="1:36" ht="17" customHeight="1" x14ac:dyDescent="0.2">
      <c r="A1" s="19" t="s">
        <v>0</v>
      </c>
      <c r="B1" s="19" t="s">
        <v>1</v>
      </c>
      <c r="C1" s="19" t="s">
        <v>2</v>
      </c>
      <c r="D1" s="19" t="s">
        <v>3</v>
      </c>
      <c r="E1" s="17" t="s">
        <v>4</v>
      </c>
      <c r="F1" s="17" t="s">
        <v>5</v>
      </c>
      <c r="G1" s="17" t="s">
        <v>6</v>
      </c>
      <c r="H1" s="17" t="s">
        <v>7</v>
      </c>
      <c r="I1" s="17" t="s">
        <v>8</v>
      </c>
      <c r="J1" s="17" t="s">
        <v>9</v>
      </c>
      <c r="K1" s="17" t="s">
        <v>10</v>
      </c>
      <c r="L1" s="17" t="s">
        <v>11</v>
      </c>
      <c r="M1" s="19" t="s">
        <v>12</v>
      </c>
      <c r="N1" s="19" t="s">
        <v>13</v>
      </c>
      <c r="O1" s="19" t="s">
        <v>14</v>
      </c>
      <c r="P1" s="19" t="s">
        <v>15</v>
      </c>
      <c r="Q1" s="19" t="s">
        <v>16</v>
      </c>
      <c r="R1" s="19" t="s">
        <v>17</v>
      </c>
      <c r="S1" s="19" t="s">
        <v>18</v>
      </c>
      <c r="T1" s="19" t="s">
        <v>19</v>
      </c>
      <c r="U1" s="19" t="s">
        <v>20</v>
      </c>
      <c r="V1" s="19" t="s">
        <v>21</v>
      </c>
      <c r="W1" s="19" t="s">
        <v>22</v>
      </c>
      <c r="X1" s="19" t="s">
        <v>23</v>
      </c>
      <c r="Y1" s="19" t="s">
        <v>24</v>
      </c>
      <c r="Z1" s="19" t="s">
        <v>25</v>
      </c>
      <c r="AA1" s="19" t="s">
        <v>26</v>
      </c>
      <c r="AB1" s="19" t="s">
        <v>27</v>
      </c>
      <c r="AC1" s="19" t="s">
        <v>28</v>
      </c>
      <c r="AD1" s="19" t="s">
        <v>29</v>
      </c>
      <c r="AE1" s="19" t="s">
        <v>30</v>
      </c>
      <c r="AF1" s="19" t="s">
        <v>31</v>
      </c>
      <c r="AG1" s="20" t="s">
        <v>32</v>
      </c>
      <c r="AH1" s="20" t="s">
        <v>33</v>
      </c>
    </row>
    <row r="2" spans="1:36" ht="17" customHeight="1" x14ac:dyDescent="0.2">
      <c r="A2" s="20" t="s">
        <v>34</v>
      </c>
      <c r="B2" s="20"/>
      <c r="C2" s="20"/>
      <c r="D2" s="20" t="s">
        <v>35</v>
      </c>
      <c r="E2" s="17" t="str">
        <f t="shared" ref="E2:E65" si="0">SUBSTITUTE(SUBSTITUTE(_xlfn.TEXTBEFORE(A2,","), "-", ""), " ", "")</f>
        <v>Amunts</v>
      </c>
      <c r="F2" s="17" t="str">
        <f>_xlfn.LET(
_xlpm.authors,_xlfn.TEXTBEFORE(A2," ("&amp;G2&amp;")"),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2" s="17" t="str">
        <f t="shared" ref="G2:G65" si="1">_xlfn.TEXTBEFORE(_xlfn.TEXTAFTER(A2, "("), ")")</f>
        <v>2005</v>
      </c>
      <c r="H2" s="17" t="str">
        <f t="shared" ref="H2:H65" si="2">SUBSTITUTE(SUBSTITUTE(E2 &amp; IF(F2&lt;&gt;"", "_" &amp; SUBSTITUTE(F2," ",""), "_") &amp; IF(G2&lt;&gt;"", "_" &amp; G2, "_") &amp; IF(B2&lt;&gt;"", "_" &amp; B2, ""),"'",""),"’","")</f>
        <v>Amunts_etal_2005</v>
      </c>
      <c r="I2" s="17" t="str">
        <f>_xlfn.LET(
_xlpm.doi,IF(C2&lt;&gt;"",C2,_xlfn.TEXTAFTER(A2,"https://doi.org/")),
SUBSTITUTE(
SUBSTITUTE(
SUBSTITUTE(
SUBSTITUTE(
_xlpm.doi,
"/","%2F"),
":","%3A"),
"&lt;","%3C"),
"&gt;","%3E")
)</f>
        <v>10.1007%2Fs00429-005-0025-5</v>
      </c>
      <c r="J2" s="17" t="str">
        <f t="shared" ref="J2:J65" si="3">TRIM(_xlfn.TEXTJOIN("_",FALSE(),H2,(SUBSTITUTE(SUBSTITUTE(D2," ",""), "_", ""))))</f>
        <v>Amunts_etal_2005_Table1</v>
      </c>
      <c r="K2" s="17" t="str">
        <f t="shared" ref="K2:K8" si="4">I2 &amp; "_" &amp; SUBSTITUTE(SUBSTITUTE(SUBSTITUTE(D2,CHAR(160),"")," ",""),"_","")</f>
        <v>10.1007%2Fs00429-005-0025-5_Table1</v>
      </c>
      <c r="L2" s="17" t="str">
        <f>IFERROR(INDEX(AUTO_Public_TSV_FileList!$A$1:$A$1000,MATCH(TRUE(),EXACT(K2,IFERROR(_xlfn.TEXTBEFORE(AUTO_Public_TSV_FileList!$A$1:$A$1000,".tsv"),"")),0)),"notfound")</f>
        <v>notfound</v>
      </c>
      <c r="M2" s="20" t="s">
        <v>36</v>
      </c>
      <c r="N2" s="20" t="s">
        <v>37</v>
      </c>
      <c r="O2" s="20" t="s">
        <v>38</v>
      </c>
      <c r="P2" s="20" t="s">
        <v>39</v>
      </c>
      <c r="Q2" s="20" t="s">
        <v>40</v>
      </c>
      <c r="R2" s="20" t="s">
        <v>41</v>
      </c>
      <c r="S2" s="20"/>
      <c r="T2" s="20"/>
      <c r="U2" s="20"/>
      <c r="V2" s="20" t="s">
        <v>42</v>
      </c>
      <c r="W2" s="20" t="s">
        <v>43</v>
      </c>
      <c r="X2" s="20" t="s">
        <v>44</v>
      </c>
      <c r="Y2" s="20"/>
      <c r="Z2" s="20" t="s">
        <v>45</v>
      </c>
      <c r="AA2" s="20" t="s">
        <v>46</v>
      </c>
      <c r="AB2" s="20" t="s">
        <v>47</v>
      </c>
      <c r="AC2" s="20" t="s">
        <v>48</v>
      </c>
      <c r="AD2" s="20" t="s">
        <v>49</v>
      </c>
      <c r="AE2" s="20" t="s">
        <v>50</v>
      </c>
      <c r="AF2" s="20"/>
      <c r="AG2" s="20"/>
      <c r="AH2" s="20" t="s">
        <v>51</v>
      </c>
    </row>
    <row r="3" spans="1:36" ht="17" customHeight="1" x14ac:dyDescent="0.2">
      <c r="A3" s="19" t="s">
        <v>52</v>
      </c>
      <c r="B3" s="20"/>
      <c r="C3" s="20"/>
      <c r="D3" s="19" t="s">
        <v>53</v>
      </c>
      <c r="E3" s="17" t="str">
        <f t="shared" si="0"/>
        <v>Andelin</v>
      </c>
      <c r="F3" s="17"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 s="17" t="str">
        <f t="shared" si="1"/>
        <v>2019</v>
      </c>
      <c r="H3" s="17" t="str">
        <f t="shared" si="2"/>
        <v>Andelin_etal_2019</v>
      </c>
      <c r="I3" s="17" t="str">
        <f>_xlfn.LET(
_xlpm.doi,IF(C3&lt;&gt;"",C3,_xlfn.TEXTAFTER(A3,"https://doi.org/")),
SUBSTITUTE(
SUBSTITUTE(
SUBSTITUTE(
SUBSTITUTE(
_xlpm.doi,
"/","%2F"),
":","%3A"),
"&lt;","%3C"),
"&gt;","%3E")
)</f>
        <v>10.1093%2Fcercor%2Fbhy315</v>
      </c>
      <c r="J3" s="17" t="str">
        <f t="shared" si="3"/>
        <v>Andelin_etal_2019_Table4</v>
      </c>
      <c r="K3" s="17" t="str">
        <f t="shared" si="4"/>
        <v>10.1093%2Fcercor%2Fbhy315_Table4</v>
      </c>
      <c r="L3" s="17" t="str">
        <f t="array" ref="L3">IFERROR(INDEX(AUTO_Public_TSV_FileList!$A$1:$A$1000,MATCH(TRUE(),EXACT(K3,IFERROR(_xlfn.TEXTBEFORE(AUTO_Public_TSV_FileList!$A$1:$A$1000,".tsv"),"")),0)),"notfound")</f>
        <v>10.1093%2Fcercor%2Fbhy315_Table4.tsv</v>
      </c>
      <c r="M3" s="20"/>
      <c r="N3" s="19" t="s">
        <v>54</v>
      </c>
      <c r="O3" s="20"/>
      <c r="P3" s="19" t="s">
        <v>55</v>
      </c>
      <c r="Q3" s="20"/>
      <c r="R3" s="20"/>
      <c r="S3" s="20"/>
      <c r="T3" s="20"/>
      <c r="U3" s="20"/>
      <c r="V3" s="20"/>
      <c r="W3" s="19"/>
      <c r="X3" s="20"/>
      <c r="Y3" s="20"/>
      <c r="Z3" s="20"/>
      <c r="AA3" s="20"/>
      <c r="AB3" s="19"/>
      <c r="AC3" s="20"/>
      <c r="AD3" s="20"/>
      <c r="AE3" s="19"/>
      <c r="AF3" s="19"/>
      <c r="AG3" s="20"/>
      <c r="AH3" s="20"/>
    </row>
    <row r="4" spans="1:36" ht="17" customHeight="1" x14ac:dyDescent="0.2">
      <c r="A4" s="20" t="s">
        <v>4850</v>
      </c>
      <c r="B4" s="20"/>
      <c r="C4" s="20"/>
      <c r="D4" s="20"/>
      <c r="E4" s="18" t="str">
        <f t="shared" si="0"/>
        <v>Anderson</v>
      </c>
      <c r="F4" s="17"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Gallup</v>
      </c>
      <c r="G4" s="17" t="str">
        <f t="shared" si="1"/>
        <v>2015</v>
      </c>
      <c r="H4" s="18" t="str">
        <f t="shared" si="2"/>
        <v>Anderson_Gallup_2015</v>
      </c>
      <c r="I4" s="18" t="str">
        <f>_xlfn.LET(_xlpm.doi,IF(C4&lt;&gt;"",C4,_xlfn.TEXTAFTER(A4,"https://doi.org/")),SUBSTITUTE(SUBSTITUTE(SUBSTITUTE(SUBSTITUTE(_xlpm.doi,"/","%2F"),":","%3A"),"&lt;","%3C"),"&gt;","%3E"))</f>
        <v>10.1007%2Fs10329-015-0488-9</v>
      </c>
      <c r="J4" s="18" t="str">
        <f t="shared" si="3"/>
        <v>Anderson_Gallup_2015_</v>
      </c>
      <c r="K4" s="17" t="str">
        <f t="shared" si="4"/>
        <v>10.1007%2Fs10329-015-0488-9_</v>
      </c>
      <c r="L4" s="17" t="str">
        <f t="array" ref="L4">IFERROR(INDEX(AUTO_Public_TSV_FileList!$A$1:$A$1000,MATCH(TRUE(),EXACT(K4,IFERROR(_xlfn.TEXTBEFORE(AUTO_Public_TSV_FileList!$A$1:$A$1000,".tsv"),"")),0)),"notfound")</f>
        <v>notfound</v>
      </c>
      <c r="M4" s="20"/>
      <c r="N4" s="20" t="s">
        <v>4851</v>
      </c>
      <c r="O4" s="20" t="s">
        <v>4852</v>
      </c>
      <c r="P4" s="20" t="s">
        <v>4853</v>
      </c>
      <c r="Q4" s="20"/>
      <c r="R4" s="20" t="s">
        <v>4854</v>
      </c>
      <c r="S4" s="20"/>
      <c r="T4" s="20" t="s">
        <v>4855</v>
      </c>
      <c r="U4" s="20"/>
      <c r="V4" s="20" t="s">
        <v>4856</v>
      </c>
      <c r="W4" s="20" t="s">
        <v>187</v>
      </c>
      <c r="X4" s="20" t="s">
        <v>4857</v>
      </c>
      <c r="Y4" s="20"/>
      <c r="Z4" s="20"/>
      <c r="AA4" s="20" t="s">
        <v>4858</v>
      </c>
      <c r="AB4" s="20" t="s">
        <v>4859</v>
      </c>
      <c r="AC4" s="20"/>
      <c r="AD4" s="20"/>
      <c r="AE4" s="20" t="s">
        <v>265</v>
      </c>
      <c r="AF4" s="20" t="s">
        <v>4860</v>
      </c>
      <c r="AG4" s="20" t="s">
        <v>4861</v>
      </c>
      <c r="AH4" s="20" t="s">
        <v>4862</v>
      </c>
      <c r="AJ4" t="s">
        <v>4863</v>
      </c>
    </row>
    <row r="5" spans="1:36" ht="17" customHeight="1" x14ac:dyDescent="0.2">
      <c r="A5" s="20" t="s">
        <v>56</v>
      </c>
      <c r="B5" s="20"/>
      <c r="C5" s="20"/>
      <c r="D5" s="20" t="s">
        <v>57</v>
      </c>
      <c r="E5" s="18" t="str">
        <f t="shared" si="0"/>
        <v>Armstrong</v>
      </c>
      <c r="F5" s="17"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 s="17" t="str">
        <f t="shared" si="1"/>
        <v>1979</v>
      </c>
      <c r="H5" s="18" t="str">
        <f t="shared" si="2"/>
        <v>Armstrong__1979</v>
      </c>
      <c r="I5" s="18" t="str">
        <f>_xlfn.LET(_xlpm.doi,IF(C5&lt;&gt;"",C5,_xlfn.TEXTAFTER(A5,"https://doi.org/")),SUBSTITUTE(SUBSTITUTE(SUBSTITUTE(SUBSTITUTE(_xlpm.doi,"/","%2F"),":","%3A"),"&lt;","%3C"),"&gt;","%3E"))</f>
        <v>10.1002%2Fajpa.1330510308</v>
      </c>
      <c r="J5" s="18" t="str">
        <f t="shared" si="3"/>
        <v>Armstrong__1979_Tables1-9</v>
      </c>
      <c r="K5" s="17" t="str">
        <f t="shared" si="4"/>
        <v>10.1002%2Fajpa.1330510308_Tables1-9</v>
      </c>
      <c r="L5" s="17" t="str">
        <f t="array" ref="L5">IFERROR(INDEX(AUTO_Public_TSV_FileList!$A$1:$A$1000,MATCH(TRUE(),EXACT(K5,IFERROR(_xlfn.TEXTBEFORE(AUTO_Public_TSV_FileList!$A$1:$A$1000,".tsv"),"")),0)),"notfound")</f>
        <v>10.1002%2Fajpa.1330510308_Tables1-9.tsv</v>
      </c>
      <c r="M5" s="20" t="s">
        <v>58</v>
      </c>
      <c r="N5" s="20" t="s">
        <v>59</v>
      </c>
      <c r="O5" s="20" t="s">
        <v>60</v>
      </c>
      <c r="P5" s="19" t="s">
        <v>55</v>
      </c>
      <c r="Q5" s="20"/>
      <c r="R5" s="20" t="s">
        <v>61</v>
      </c>
      <c r="S5" s="20"/>
      <c r="T5" s="20" t="s">
        <v>62</v>
      </c>
      <c r="U5" s="20"/>
      <c r="V5" s="20" t="s">
        <v>63</v>
      </c>
      <c r="W5" s="20" t="s">
        <v>64</v>
      </c>
      <c r="X5" s="20" t="s">
        <v>65</v>
      </c>
      <c r="Y5" s="20" t="s">
        <v>66</v>
      </c>
      <c r="Z5" s="20"/>
      <c r="AA5" s="20" t="s">
        <v>67</v>
      </c>
      <c r="AB5" s="20" t="s">
        <v>68</v>
      </c>
      <c r="AC5" s="20" t="s">
        <v>69</v>
      </c>
      <c r="AD5" s="20"/>
      <c r="AE5" s="20" t="s">
        <v>70</v>
      </c>
      <c r="AF5" s="20"/>
      <c r="AG5" s="20" t="s">
        <v>71</v>
      </c>
      <c r="AH5" s="20"/>
    </row>
    <row r="6" spans="1:36" ht="17" customHeight="1" x14ac:dyDescent="0.2">
      <c r="A6" s="19" t="s">
        <v>72</v>
      </c>
      <c r="B6" s="20"/>
      <c r="C6" s="20"/>
      <c r="D6" s="19" t="s">
        <v>73</v>
      </c>
      <c r="E6" s="17" t="str">
        <f t="shared" si="0"/>
        <v>Ashwell</v>
      </c>
      <c r="F6" s="17"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 s="17" t="str">
        <f t="shared" si="1"/>
        <v>2020</v>
      </c>
      <c r="H6" s="17" t="str">
        <f t="shared" si="2"/>
        <v>Ashwell__2020</v>
      </c>
      <c r="I6" s="17" t="str">
        <f>_xlfn.LET(
_xlpm.doi,IF(C6&lt;&gt;"",C6,_xlfn.TEXTAFTER(A6,"https://doi.org/")),
SUBSTITUTE(
SUBSTITUTE(
SUBSTITUTE(
SUBSTITUTE(
_xlpm.doi,
"/","%2F"),
":","%3A"),
"&lt;","%3C"),
"&gt;","%3E")
)</f>
        <v>10.1016%2Fj.zool.2020.125753</v>
      </c>
      <c r="J6" s="17" t="str">
        <f t="shared" si="3"/>
        <v>Ashwell__2020_SupplementaryTable</v>
      </c>
      <c r="K6" s="17" t="str">
        <f t="shared" si="4"/>
        <v>10.1016%2Fj.zool.2020.125753_SupplementaryTable</v>
      </c>
      <c r="L6" s="17" t="str">
        <f t="array" ref="L6">IFERROR(INDEX(AUTO_Public_TSV_FileList!$A$1:$A$1000,MATCH(TRUE(),EXACT(K6,IFERROR(_xlfn.TEXTBEFORE(AUTO_Public_TSV_FileList!$A$1:$A$1000,".tsv"),"")),0)),"notfound")</f>
        <v>10.1016%2Fj.zool.2020.125753_SupplementaryTable.tsv</v>
      </c>
      <c r="M6" s="19" t="s">
        <v>74</v>
      </c>
      <c r="N6" s="20"/>
      <c r="O6" s="20"/>
      <c r="P6" s="19" t="s">
        <v>55</v>
      </c>
      <c r="Q6" s="20"/>
      <c r="R6" s="20"/>
      <c r="S6" s="20"/>
      <c r="T6" s="20"/>
      <c r="U6" s="20"/>
      <c r="V6" s="20"/>
      <c r="W6" s="20"/>
      <c r="X6" s="20"/>
      <c r="Y6" s="20"/>
      <c r="Z6" s="20"/>
      <c r="AA6" s="20"/>
      <c r="AB6" s="20"/>
      <c r="AC6" s="19" t="s">
        <v>75</v>
      </c>
      <c r="AD6" s="20"/>
      <c r="AE6" s="20"/>
      <c r="AF6" s="20"/>
      <c r="AG6" s="20"/>
      <c r="AH6" s="20"/>
    </row>
    <row r="7" spans="1:36" ht="17" customHeight="1" x14ac:dyDescent="0.2">
      <c r="A7" s="19" t="s">
        <v>76</v>
      </c>
      <c r="B7" s="20"/>
      <c r="C7" s="20"/>
      <c r="D7" s="19" t="s">
        <v>77</v>
      </c>
      <c r="E7" s="17" t="str">
        <f t="shared" si="0"/>
        <v>AvelinodeSouza</v>
      </c>
      <c r="F7" s="17"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17" t="str">
        <f t="shared" si="1"/>
        <v>2025</v>
      </c>
      <c r="H7" s="17" t="str">
        <f t="shared" si="2"/>
        <v>AvelinodeSouza_etal_2025</v>
      </c>
      <c r="I7" s="17" t="str">
        <f>_xlfn.LET(
_xlpm.doi,IF(C7&lt;&gt;"",C7,_xlfn.TEXTAFTER(A7,"https://doi.org/")),
SUBSTITUTE(
SUBSTITUTE(
SUBSTITUTE(
SUBSTITUTE(
_xlpm.doi,
"/","%2F"),
":","%3A"),
"&lt;","%3C"),
"&gt;","%3E")
)</f>
        <v>10.1002%2Fcne.70089</v>
      </c>
      <c r="J7" s="17" t="str">
        <f t="shared" si="3"/>
        <v>AvelinodeSouza_etal_2025_TABLE1</v>
      </c>
      <c r="K7" s="17" t="str">
        <f t="shared" si="4"/>
        <v>10.1002%2Fcne.70089_TABLE1</v>
      </c>
      <c r="L7" s="17" t="str">
        <f t="array" ref="L7">IFERROR(INDEX(AUTO_Public_TSV_FileList!$A$1:$A$1000,MATCH(TRUE(),EXACT(K7,IFERROR(_xlfn.TEXTBEFORE(AUTO_Public_TSV_FileList!$A$1:$A$1000,".tsv"),"")),0)),"notfound")</f>
        <v>10.1002%2Fcne.70089_TABLE1.tsv</v>
      </c>
      <c r="M7" s="19" t="s">
        <v>78</v>
      </c>
      <c r="N7" s="19" t="s">
        <v>54</v>
      </c>
      <c r="O7" s="20"/>
      <c r="P7" s="19" t="s">
        <v>55</v>
      </c>
      <c r="Q7" s="19"/>
      <c r="R7" s="19" t="s">
        <v>79</v>
      </c>
      <c r="S7" s="20"/>
      <c r="T7" s="20"/>
      <c r="U7" s="20"/>
      <c r="V7" s="19"/>
      <c r="W7" s="20" t="s">
        <v>80</v>
      </c>
      <c r="X7" s="19" t="s">
        <v>81</v>
      </c>
      <c r="Y7" s="20"/>
      <c r="Z7" s="20"/>
      <c r="AA7" s="19" t="s">
        <v>82</v>
      </c>
      <c r="AB7" s="19" t="s">
        <v>83</v>
      </c>
      <c r="AC7" s="19" t="s">
        <v>84</v>
      </c>
      <c r="AD7" s="20"/>
      <c r="AE7" s="19" t="s">
        <v>50</v>
      </c>
      <c r="AF7" s="19"/>
      <c r="AG7" s="20"/>
      <c r="AH7" s="20"/>
    </row>
    <row r="8" spans="1:36" ht="17" customHeight="1" x14ac:dyDescent="0.2">
      <c r="A8" s="20" t="s">
        <v>85</v>
      </c>
      <c r="B8" s="20"/>
      <c r="C8" s="20"/>
      <c r="D8" s="20" t="s">
        <v>86</v>
      </c>
      <c r="E8" s="18" t="str">
        <f t="shared" si="0"/>
        <v>Awbrey</v>
      </c>
      <c r="F8" s="17"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17" t="str">
        <f t="shared" si="1"/>
        <v>1988</v>
      </c>
      <c r="H8" s="18" t="str">
        <f t="shared" si="2"/>
        <v>Awbrey_etal_1988</v>
      </c>
      <c r="I8" s="18" t="str">
        <f>_xlfn.LET(_xlpm.doi,IF(C8&lt;&gt;"",C8,_xlfn.TEXTAFTER(A8,"https://doi.org/")),SUBSTITUTE(SUBSTITUTE(SUBSTITUTE(SUBSTITUTE(_xlpm.doi,"/","%2F"),":","%3A"),"&lt;","%3C"),"&gt;","%3E"))</f>
        <v>10.1121%2F1.397022</v>
      </c>
      <c r="J8" s="18" t="str">
        <f t="shared" si="3"/>
        <v>Awbrey_etal_1988_Table1</v>
      </c>
      <c r="K8" s="17" t="str">
        <f t="shared" si="4"/>
        <v>10.1121%2F1.397022_Table1</v>
      </c>
      <c r="L8" s="17" t="str">
        <f t="array" ref="L8">IFERROR(INDEX(AUTO_Public_TSV_FileList!$A$1:$A$1000,MATCH(TRUE(),EXACT(K8,IFERROR(_xlfn.TEXTBEFORE(AUTO_Public_TSV_FileList!$A$1:$A$1000,".tsv"),"")),0)),"notfound")</f>
        <v>10.1121%2F1.397022_Table1.tsv</v>
      </c>
      <c r="M8" s="20" t="s">
        <v>87</v>
      </c>
      <c r="N8" s="20" t="s">
        <v>88</v>
      </c>
      <c r="O8" s="20" t="s">
        <v>89</v>
      </c>
      <c r="P8" s="20" t="s">
        <v>90</v>
      </c>
      <c r="Q8" s="20"/>
      <c r="R8" s="20"/>
      <c r="S8" s="20"/>
      <c r="T8" s="20"/>
      <c r="U8" s="20"/>
      <c r="V8" s="20"/>
      <c r="W8" s="20"/>
      <c r="X8" s="20"/>
      <c r="Y8" s="20"/>
      <c r="Z8" s="20"/>
      <c r="AA8" s="20"/>
      <c r="AB8" s="20"/>
      <c r="AC8" s="20"/>
      <c r="AD8" s="20"/>
      <c r="AE8" s="20"/>
      <c r="AF8" s="20"/>
      <c r="AG8" s="20"/>
      <c r="AH8" s="20"/>
    </row>
    <row r="9" spans="1:36" ht="17" customHeight="1" x14ac:dyDescent="0.2">
      <c r="A9" s="20" t="s">
        <v>91</v>
      </c>
      <c r="B9" s="20"/>
      <c r="C9" s="20" t="s">
        <v>92</v>
      </c>
      <c r="D9" s="20" t="s">
        <v>94</v>
      </c>
      <c r="E9" s="18" t="str">
        <f t="shared" si="0"/>
        <v>Babushina</v>
      </c>
      <c r="F9" s="17" t="str" cm="1">
        <f t="array" ref="F9">_xlfn.LET(
_xlpm.authors,_xlfn.TEXTBEFORE(A9," ("&amp;G9&amp;")"),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9" s="17" t="str">
        <f t="shared" si="1"/>
        <v>1991</v>
      </c>
      <c r="H9" s="18" t="str">
        <f t="shared" si="2"/>
        <v>Babushina_etal_1991</v>
      </c>
      <c r="I9" s="18" t="str" cm="1">
        <f t="array" ref="I9">_xlfn.LET(
_xlpm.doi,IF(C9&lt;&gt;"",C9,_xlfn.TEXTAFTER(A9,"https://doi.org/")),
SUBSTITUTE(
SUBSTITUTE(
SUBSTITUTE(
SUBSTITUTE(
_xlpm.doi,
"/","%2F"),
":","%3A"),
"&lt;","%3C"),
"&gt;","%3E")
)</f>
        <v>Biophysics%3A36%3A909-913</v>
      </c>
      <c r="J9" s="18" t="str">
        <f t="shared" si="3"/>
        <v>Babushina_etal_1991_Figure1</v>
      </c>
      <c r="K9" s="17" t="str">
        <f>I9 &amp; "_" &amp; SUBSTITUTE(SUBSTITUTE(SUBSTITUTE(D9,CHAR(160),""), " ", ""), "_", "")</f>
        <v>Biophysics%3A36%3A909-913_Figure1</v>
      </c>
      <c r="L9" s="17"/>
      <c r="M9" s="20" t="s">
        <v>95</v>
      </c>
      <c r="N9" s="20" t="s">
        <v>96</v>
      </c>
      <c r="O9" s="20" t="s">
        <v>97</v>
      </c>
      <c r="P9" s="20" t="s">
        <v>98</v>
      </c>
      <c r="Q9" s="20" t="s">
        <v>99</v>
      </c>
      <c r="R9" s="20"/>
      <c r="S9" s="20"/>
      <c r="T9" s="20" t="s">
        <v>100</v>
      </c>
      <c r="U9" s="20"/>
      <c r="V9" s="20" t="s">
        <v>101</v>
      </c>
      <c r="W9" s="20" t="s">
        <v>102</v>
      </c>
      <c r="X9" s="20" t="s">
        <v>103</v>
      </c>
      <c r="Y9" s="20"/>
      <c r="Z9" s="20" t="s">
        <v>104</v>
      </c>
      <c r="AA9" s="20" t="s">
        <v>105</v>
      </c>
      <c r="AB9" s="20" t="s">
        <v>106</v>
      </c>
      <c r="AC9" s="20" t="s">
        <v>107</v>
      </c>
      <c r="AD9" s="20"/>
      <c r="AE9" s="20" t="s">
        <v>50</v>
      </c>
      <c r="AF9" s="20"/>
      <c r="AG9" s="20" t="s">
        <v>108</v>
      </c>
      <c r="AH9" s="20" t="s">
        <v>109</v>
      </c>
    </row>
    <row r="10" spans="1:36" ht="17" customHeight="1" x14ac:dyDescent="0.2">
      <c r="A10" s="20" t="s">
        <v>91</v>
      </c>
      <c r="B10" s="20"/>
      <c r="C10" s="20" t="s">
        <v>92</v>
      </c>
      <c r="D10" s="20" t="s">
        <v>110</v>
      </c>
      <c r="E10" s="18" t="str">
        <f t="shared" si="0"/>
        <v>Babushina</v>
      </c>
      <c r="F10" s="17" t="str" cm="1">
        <f t="array" ref="F10">_xlfn.LET(
_xlpm.authors,_xlfn.TEXTBEFORE(A10," ("&amp;G10&amp;")"),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0" s="17" t="str">
        <f t="shared" si="1"/>
        <v>1991</v>
      </c>
      <c r="H10" s="18" t="str">
        <f t="shared" si="2"/>
        <v>Babushina_etal_1991</v>
      </c>
      <c r="I10" s="18" t="str" cm="1">
        <f t="array" ref="I10">_xlfn.LET(
_xlpm.doi,IF(C10&lt;&gt;"",C10,_xlfn.TEXTAFTER(A10,"https://doi.org/")),
SUBSTITUTE(
SUBSTITUTE(
SUBSTITUTE(
SUBSTITUTE(
_xlpm.doi,
"/","%2F"),
":","%3A"),
"&lt;","%3C"),
"&gt;","%3E")
)</f>
        <v>Biophysics%3A36%3A909-913</v>
      </c>
      <c r="J10" s="18" t="str">
        <f t="shared" si="3"/>
        <v>Babushina_etal_1991_Figure2</v>
      </c>
      <c r="K10" s="17" t="str">
        <f>I10 &amp; "_" &amp; SUBSTITUTE(SUBSTITUTE(SUBSTITUTE(D10,CHAR(160),""), " ", ""), "_", "")</f>
        <v>Biophysics%3A36%3A909-913_Figure2</v>
      </c>
      <c r="L10" s="17"/>
      <c r="M10" s="20" t="s">
        <v>111</v>
      </c>
      <c r="N10" s="20" t="s">
        <v>112</v>
      </c>
      <c r="O10" s="20" t="s">
        <v>113</v>
      </c>
      <c r="P10" s="20" t="s">
        <v>98</v>
      </c>
      <c r="Q10" s="20" t="s">
        <v>114</v>
      </c>
      <c r="R10" s="20"/>
      <c r="S10" s="20"/>
      <c r="T10" s="20" t="s">
        <v>115</v>
      </c>
      <c r="U10" s="20"/>
      <c r="V10" s="20" t="s">
        <v>101</v>
      </c>
      <c r="W10" s="20" t="s">
        <v>102</v>
      </c>
      <c r="X10" s="20" t="s">
        <v>116</v>
      </c>
      <c r="Y10" s="20" t="s">
        <v>117</v>
      </c>
      <c r="Z10" s="20" t="s">
        <v>104</v>
      </c>
      <c r="AA10" s="20" t="s">
        <v>105</v>
      </c>
      <c r="AB10" s="20" t="s">
        <v>118</v>
      </c>
      <c r="AC10" s="20" t="s">
        <v>107</v>
      </c>
      <c r="AD10" s="20"/>
      <c r="AE10" s="20" t="s">
        <v>50</v>
      </c>
      <c r="AF10" s="20"/>
      <c r="AG10" s="20" t="s">
        <v>119</v>
      </c>
      <c r="AH10" s="20" t="s">
        <v>109</v>
      </c>
    </row>
    <row r="11" spans="1:36" ht="17" customHeight="1" x14ac:dyDescent="0.2">
      <c r="A11" s="20" t="s">
        <v>91</v>
      </c>
      <c r="B11" s="20"/>
      <c r="C11" s="20" t="s">
        <v>92</v>
      </c>
      <c r="D11" s="20" t="s">
        <v>120</v>
      </c>
      <c r="E11" s="18" t="str">
        <f t="shared" si="0"/>
        <v>Babushina</v>
      </c>
      <c r="F11" s="17" t="str" cm="1">
        <f t="array" ref="F11">_xlfn.LET(
_xlpm.authors,_xlfn.TEXTBEFORE(A11," ("&amp;G11&amp;")"),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1" s="17" t="str">
        <f t="shared" si="1"/>
        <v>1991</v>
      </c>
      <c r="H11" s="18" t="str">
        <f t="shared" si="2"/>
        <v>Babushina_etal_1991</v>
      </c>
      <c r="I11" s="18" t="str" cm="1">
        <f t="array" ref="I11">_xlfn.LET(
_xlpm.doi,IF(C11&lt;&gt;"",C11,_xlfn.TEXTAFTER(A11,"https://doi.org/")),
SUBSTITUTE(
SUBSTITUTE(
SUBSTITUTE(
SUBSTITUTE(
_xlpm.doi,
"/","%2F"),
":","%3A"),
"&lt;","%3C"),
"&gt;","%3E")
)</f>
        <v>Biophysics%3A36%3A909-913</v>
      </c>
      <c r="J11" s="18" t="str">
        <f t="shared" si="3"/>
        <v>Babushina_etal_1991_Figure3</v>
      </c>
      <c r="K11" s="17" t="str">
        <f>I11 &amp; "_" &amp; SUBSTITUTE(SUBSTITUTE(SUBSTITUTE(D11,CHAR(160),""), " ", ""), "_", "")</f>
        <v>Biophysics%3A36%3A909-913_Figure3</v>
      </c>
      <c r="L11" s="17"/>
      <c r="M11" s="20" t="s">
        <v>121</v>
      </c>
      <c r="N11" s="20" t="s">
        <v>122</v>
      </c>
      <c r="O11" s="20" t="s">
        <v>123</v>
      </c>
      <c r="P11" s="20" t="s">
        <v>98</v>
      </c>
      <c r="Q11" s="20" t="s">
        <v>124</v>
      </c>
      <c r="R11" s="20"/>
      <c r="S11" s="20"/>
      <c r="T11" s="20" t="s">
        <v>125</v>
      </c>
      <c r="U11" s="20"/>
      <c r="V11" s="20" t="s">
        <v>101</v>
      </c>
      <c r="W11" s="20" t="s">
        <v>102</v>
      </c>
      <c r="X11" s="20" t="s">
        <v>126</v>
      </c>
      <c r="Y11" s="20" t="s">
        <v>127</v>
      </c>
      <c r="Z11" s="20" t="s">
        <v>104</v>
      </c>
      <c r="AA11" s="20" t="s">
        <v>105</v>
      </c>
      <c r="AB11" s="20" t="s">
        <v>128</v>
      </c>
      <c r="AC11" s="20" t="s">
        <v>107</v>
      </c>
      <c r="AD11" s="20"/>
      <c r="AE11" s="20" t="s">
        <v>50</v>
      </c>
      <c r="AF11" s="20"/>
      <c r="AG11" s="20" t="s">
        <v>129</v>
      </c>
      <c r="AH11" s="20" t="s">
        <v>109</v>
      </c>
    </row>
    <row r="12" spans="1:36" ht="17" customHeight="1" x14ac:dyDescent="0.2">
      <c r="A12" s="20" t="s">
        <v>91</v>
      </c>
      <c r="B12" s="20"/>
      <c r="C12" s="20" t="s">
        <v>92</v>
      </c>
      <c r="D12" s="20" t="s">
        <v>93</v>
      </c>
      <c r="E12" s="18" t="str">
        <f t="shared" si="0"/>
        <v>Babushina</v>
      </c>
      <c r="F12" s="17" t="str">
        <f>_xlfn.LET(
_xlpm.authors,_xlfn.TEXTBEFORE(A12," ("&amp;G12&amp;")"),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2" s="17" t="str">
        <f t="shared" si="1"/>
        <v>1991</v>
      </c>
      <c r="H12" s="18" t="str">
        <f t="shared" si="2"/>
        <v>Babushina_etal_1991</v>
      </c>
      <c r="I12" s="18" t="str">
        <f>_xlfn.LET(
_xlpm.doi,IF(C12&lt;&gt;"",C12,_xlfn.TEXTAFTER(A12,"https://doi.org/")),
SUBSTITUTE(
SUBSTITUTE(
SUBSTITUTE(
SUBSTITUTE(
_xlpm.doi,
"/","%2F"),
":","%3A"),
"&lt;","%3C"),
"&gt;","%3E")
)</f>
        <v>Biophysics%3A36%3A909-913</v>
      </c>
      <c r="J12" s="18" t="str">
        <f t="shared" si="3"/>
        <v>Babushina_etal_1991_Text</v>
      </c>
      <c r="K12" s="17" t="str">
        <f>I12 &amp; "_" &amp; SUBSTITUTE(SUBSTITUTE(SUBSTITUTE(D12,CHAR(160),""), " ", ""), "_", "")</f>
        <v>Biophysics%3A36%3A909-913_Text</v>
      </c>
      <c r="L12" s="17" t="str">
        <f t="array" ref="L12">IFERROR(INDEX(AUTO_Public_TSV_FileList!$A$1:$A$1000,MATCH(TRUE(),EXACT(K12,IFERROR(_xlfn.TEXTBEFORE(AUTO_Public_TSV_FileList!$A$1:$A$1000,".tsv"),"")),0)),"notfound")</f>
        <v>notfound</v>
      </c>
      <c r="M12" s="20"/>
      <c r="N12" s="20"/>
      <c r="O12" s="20"/>
      <c r="P12" s="20"/>
      <c r="Q12" s="20"/>
      <c r="R12" s="20"/>
      <c r="S12" s="20"/>
      <c r="T12" s="20"/>
      <c r="U12" s="20"/>
      <c r="V12" s="20"/>
      <c r="W12" s="20"/>
      <c r="X12" s="20"/>
      <c r="Y12" s="20"/>
      <c r="Z12" s="20"/>
      <c r="AA12" s="20"/>
      <c r="AB12" s="20"/>
      <c r="AC12" s="20"/>
      <c r="AD12" s="20"/>
      <c r="AE12" s="20"/>
      <c r="AF12" s="20"/>
      <c r="AG12" s="20"/>
      <c r="AH12" s="20"/>
    </row>
    <row r="13" spans="1:36" ht="17" customHeight="1" x14ac:dyDescent="0.2">
      <c r="A13" s="20" t="s">
        <v>130</v>
      </c>
      <c r="B13" s="20"/>
      <c r="C13" s="20"/>
      <c r="D13" s="20" t="s">
        <v>77</v>
      </c>
      <c r="E13" s="18" t="str">
        <f t="shared" si="0"/>
        <v>Bahney</v>
      </c>
      <c r="F13" s="17"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3" s="17" t="str">
        <f t="shared" si="1"/>
        <v>2018</v>
      </c>
      <c r="H13" s="18" t="str">
        <f t="shared" si="2"/>
        <v>Bahney_vonBartheld_2018</v>
      </c>
      <c r="I13" s="18" t="str">
        <f>_xlfn.LET(_xlpm.doi,IF(C13&lt;&gt;"",C13,_xlfn.TEXTAFTER(A13,"https://doi.org/")),SUBSTITUTE(SUBSTITUTE(SUBSTITUTE(SUBSTITUTE(_xlpm.doi,"/","%2F"),":","%3A"),"&lt;","%3C"),"&gt;","%3E"))</f>
        <v>10.1002%2Far.23728</v>
      </c>
      <c r="J13" s="18" t="str">
        <f t="shared" si="3"/>
        <v>Bahney_vonBartheld_2018_TABLE1</v>
      </c>
      <c r="K13" s="17" t="str">
        <f t="shared" ref="K13:K44" si="5">I13 &amp; "_" &amp; SUBSTITUTE(SUBSTITUTE(SUBSTITUTE(D13,CHAR(160),"")," ",""),"_","")</f>
        <v>10.1002%2Far.23728_TABLE1</v>
      </c>
      <c r="L13" s="17" t="str">
        <f t="array" ref="L13">IFERROR(INDEX(AUTO_Public_TSV_FileList!$A$1:$A$1000,MATCH(TRUE(),EXACT(K13,IFERROR(_xlfn.TEXTBEFORE(AUTO_Public_TSV_FileList!$A$1:$A$1000,".tsv"),"")),0)),"notfound")</f>
        <v>notfound</v>
      </c>
      <c r="M13" s="20" t="s">
        <v>131</v>
      </c>
      <c r="N13" s="20" t="s">
        <v>88</v>
      </c>
      <c r="O13" s="20" t="s">
        <v>132</v>
      </c>
      <c r="P13" s="20" t="s">
        <v>133</v>
      </c>
      <c r="Q13" s="20"/>
      <c r="R13" s="20" t="s">
        <v>134</v>
      </c>
      <c r="S13" s="20" t="s">
        <v>135</v>
      </c>
      <c r="T13" s="20" t="s">
        <v>136</v>
      </c>
      <c r="U13" s="20"/>
      <c r="V13" s="20" t="s">
        <v>137</v>
      </c>
      <c r="W13" s="20" t="s">
        <v>138</v>
      </c>
      <c r="X13" s="20" t="s">
        <v>139</v>
      </c>
      <c r="Y13" s="20"/>
      <c r="Z13" s="20" t="s">
        <v>140</v>
      </c>
      <c r="AA13" s="20" t="s">
        <v>141</v>
      </c>
      <c r="AB13" s="20" t="s">
        <v>142</v>
      </c>
      <c r="AC13" s="20" t="s">
        <v>143</v>
      </c>
      <c r="AD13" s="20"/>
      <c r="AE13" s="20" t="s">
        <v>50</v>
      </c>
      <c r="AF13" s="20"/>
      <c r="AG13" s="20" t="s">
        <v>144</v>
      </c>
      <c r="AH13" s="20"/>
    </row>
    <row r="14" spans="1:36" ht="17" customHeight="1" x14ac:dyDescent="0.2">
      <c r="A14" s="20" t="s">
        <v>130</v>
      </c>
      <c r="B14" s="20"/>
      <c r="C14" s="20"/>
      <c r="D14" s="20" t="s">
        <v>145</v>
      </c>
      <c r="E14" s="18" t="str">
        <f t="shared" si="0"/>
        <v>Bahney</v>
      </c>
      <c r="F14" s="17"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4" s="17" t="str">
        <f t="shared" si="1"/>
        <v>2018</v>
      </c>
      <c r="H14" s="18" t="str">
        <f t="shared" si="2"/>
        <v>Bahney_vonBartheld_2018</v>
      </c>
      <c r="I14" s="18" t="str">
        <f>_xlfn.LET(_xlpm.doi,IF(C14&lt;&gt;"",C14,_xlfn.TEXTAFTER(A14,"https://doi.org/")),SUBSTITUTE(SUBSTITUTE(SUBSTITUTE(SUBSTITUTE(_xlpm.doi,"/","%2F"),":","%3A"),"&lt;","%3C"),"&gt;","%3E"))</f>
        <v>10.1002%2Far.23728</v>
      </c>
      <c r="J14" s="18" t="str">
        <f t="shared" si="3"/>
        <v>Bahney_vonBartheld_2018_TABLE2</v>
      </c>
      <c r="K14" s="17" t="str">
        <f t="shared" si="5"/>
        <v>10.1002%2Far.23728_TABLE2</v>
      </c>
      <c r="L14" s="17" t="str">
        <f t="array" ref="L14">IFERROR(INDEX(AUTO_Public_TSV_FileList!$A$1:$A$1000,MATCH(TRUE(),EXACT(K14,IFERROR(_xlfn.TEXTBEFORE(AUTO_Public_TSV_FileList!$A$1:$A$1000,".tsv"),"")),0)),"notfound")</f>
        <v>notfound</v>
      </c>
      <c r="M14" s="20" t="s">
        <v>146</v>
      </c>
      <c r="N14" s="20"/>
      <c r="O14" s="20" t="s">
        <v>4676</v>
      </c>
      <c r="P14" s="20" t="s">
        <v>4677</v>
      </c>
      <c r="Q14" s="20" t="s">
        <v>4678</v>
      </c>
      <c r="R14" s="20"/>
      <c r="S14" s="20" t="s">
        <v>4679</v>
      </c>
      <c r="T14" s="20"/>
      <c r="U14" s="20"/>
      <c r="V14" s="20" t="s">
        <v>137</v>
      </c>
      <c r="W14" s="20" t="s">
        <v>4680</v>
      </c>
      <c r="X14" s="20" t="s">
        <v>139</v>
      </c>
      <c r="Y14" s="20"/>
      <c r="Z14" s="20"/>
      <c r="AA14" s="20" t="s">
        <v>141</v>
      </c>
      <c r="AB14" s="20" t="s">
        <v>142</v>
      </c>
      <c r="AC14" s="20" t="s">
        <v>143</v>
      </c>
      <c r="AD14" s="20" t="s">
        <v>689</v>
      </c>
      <c r="AE14" s="20" t="s">
        <v>50</v>
      </c>
      <c r="AF14" s="20"/>
      <c r="AG14" s="20"/>
      <c r="AH14" s="20" t="s">
        <v>4681</v>
      </c>
    </row>
    <row r="15" spans="1:36" ht="17" customHeight="1" x14ac:dyDescent="0.2">
      <c r="A15" s="20" t="s">
        <v>130</v>
      </c>
      <c r="B15" s="20"/>
      <c r="C15" s="20"/>
      <c r="D15" s="20" t="s">
        <v>147</v>
      </c>
      <c r="E15" s="18" t="str">
        <f t="shared" si="0"/>
        <v>Bahney</v>
      </c>
      <c r="F15" s="17"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5" s="17" t="str">
        <f t="shared" si="1"/>
        <v>2018</v>
      </c>
      <c r="H15" s="18" t="str">
        <f t="shared" si="2"/>
        <v>Bahney_vonBartheld_2018</v>
      </c>
      <c r="I15" s="18" t="str">
        <f>_xlfn.LET(_xlpm.doi,IF(C15&lt;&gt;"",C15,_xlfn.TEXTAFTER(A15,"https://doi.org/")),SUBSTITUTE(SUBSTITUTE(SUBSTITUTE(SUBSTITUTE(_xlpm.doi,"/","%2F"),":","%3A"),"&lt;","%3C"),"&gt;","%3E"))</f>
        <v>10.1002%2Far.23728</v>
      </c>
      <c r="J15" s="18" t="str">
        <f t="shared" si="3"/>
        <v>Bahney_vonBartheld_2018_TABLE3</v>
      </c>
      <c r="K15" s="17" t="str">
        <f t="shared" si="5"/>
        <v>10.1002%2Far.23728_TABLE3</v>
      </c>
      <c r="L15" s="17" t="str">
        <f t="array" ref="L15">IFERROR(INDEX(AUTO_Public_TSV_FileList!$A$1:$A$1000,MATCH(TRUE(),EXACT(K15,IFERROR(_xlfn.TEXTBEFORE(AUTO_Public_TSV_FileList!$A$1:$A$1000,".tsv"),"")),0)),"notfound")</f>
        <v>notfound</v>
      </c>
      <c r="M15" s="20" t="s">
        <v>148</v>
      </c>
      <c r="N15" s="20"/>
      <c r="O15" s="20" t="s">
        <v>4682</v>
      </c>
      <c r="P15" s="20" t="s">
        <v>4677</v>
      </c>
      <c r="Q15" s="20" t="s">
        <v>4683</v>
      </c>
      <c r="R15" s="20"/>
      <c r="S15" s="20" t="s">
        <v>4679</v>
      </c>
      <c r="T15" s="20"/>
      <c r="U15" s="20"/>
      <c r="V15" s="20" t="s">
        <v>4684</v>
      </c>
      <c r="W15" s="20" t="s">
        <v>4685</v>
      </c>
      <c r="X15" s="20" t="s">
        <v>4686</v>
      </c>
      <c r="Y15" s="20"/>
      <c r="Z15" s="20"/>
      <c r="AA15" s="20"/>
      <c r="AB15" s="20" t="s">
        <v>4687</v>
      </c>
      <c r="AC15" s="20" t="s">
        <v>4688</v>
      </c>
      <c r="AD15" s="20" t="s">
        <v>689</v>
      </c>
      <c r="AE15" s="20" t="s">
        <v>70</v>
      </c>
      <c r="AF15" s="20" t="s">
        <v>4689</v>
      </c>
      <c r="AG15" s="20"/>
      <c r="AH15" s="20" t="s">
        <v>4681</v>
      </c>
    </row>
    <row r="16" spans="1:36" ht="17" customHeight="1" x14ac:dyDescent="0.2">
      <c r="A16" s="20" t="s">
        <v>130</v>
      </c>
      <c r="B16" s="20"/>
      <c r="C16" s="20"/>
      <c r="D16" s="20" t="s">
        <v>149</v>
      </c>
      <c r="E16" s="18" t="str">
        <f t="shared" si="0"/>
        <v>Bahney</v>
      </c>
      <c r="F16" s="17"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6" s="17" t="str">
        <f t="shared" si="1"/>
        <v>2018</v>
      </c>
      <c r="H16" s="18" t="str">
        <f t="shared" si="2"/>
        <v>Bahney_vonBartheld_2018</v>
      </c>
      <c r="I16" s="18" t="str">
        <f>_xlfn.LET(_xlpm.doi,IF(C16&lt;&gt;"",C16,_xlfn.TEXTAFTER(A16,"https://doi.org/")),SUBSTITUTE(SUBSTITUTE(SUBSTITUTE(SUBSTITUTE(_xlpm.doi,"/","%2F"),":","%3A"),"&lt;","%3C"),"&gt;","%3E"))</f>
        <v>10.1002%2Far.23728</v>
      </c>
      <c r="J16" s="18" t="str">
        <f t="shared" si="3"/>
        <v>Bahney_vonBartheld_2018_TABLE4</v>
      </c>
      <c r="K16" s="17" t="str">
        <f t="shared" si="5"/>
        <v>10.1002%2Far.23728_TABLE4</v>
      </c>
      <c r="L16" s="17" t="str">
        <f t="array" ref="L16">IFERROR(INDEX(AUTO_Public_TSV_FileList!$A$1:$A$1000,MATCH(TRUE(),EXACT(K16,IFERROR(_xlfn.TEXTBEFORE(AUTO_Public_TSV_FileList!$A$1:$A$1000,".tsv"),"")),0)),"notfound")</f>
        <v>notfound</v>
      </c>
      <c r="M16" s="20" t="s">
        <v>150</v>
      </c>
      <c r="N16" s="20"/>
      <c r="O16" s="20" t="s">
        <v>4690</v>
      </c>
      <c r="P16" s="20" t="s">
        <v>4677</v>
      </c>
      <c r="Q16" s="20" t="s">
        <v>4691</v>
      </c>
      <c r="R16" s="20"/>
      <c r="S16" s="20" t="s">
        <v>4679</v>
      </c>
      <c r="T16" s="20"/>
      <c r="U16" s="20"/>
      <c r="V16" s="20" t="s">
        <v>4692</v>
      </c>
      <c r="W16" s="20" t="s">
        <v>224</v>
      </c>
      <c r="X16" s="20" t="s">
        <v>4693</v>
      </c>
      <c r="Y16" s="20"/>
      <c r="Z16" s="20"/>
      <c r="AA16" s="20"/>
      <c r="AB16" s="20" t="s">
        <v>4687</v>
      </c>
      <c r="AC16" s="20" t="s">
        <v>4694</v>
      </c>
      <c r="AD16" s="20" t="s">
        <v>689</v>
      </c>
      <c r="AE16" s="20" t="s">
        <v>70</v>
      </c>
      <c r="AF16" s="20" t="s">
        <v>4695</v>
      </c>
      <c r="AG16" s="20"/>
      <c r="AH16" s="20" t="s">
        <v>4681</v>
      </c>
    </row>
    <row r="17" spans="1:34" ht="17" customHeight="1" x14ac:dyDescent="0.2">
      <c r="A17" s="19" t="s">
        <v>151</v>
      </c>
      <c r="B17" s="20"/>
      <c r="C17" s="20"/>
      <c r="D17" s="19" t="s">
        <v>152</v>
      </c>
      <c r="E17" s="17" t="str">
        <f t="shared" si="0"/>
        <v>Baker</v>
      </c>
      <c r="F17" s="17"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17" t="str">
        <f t="shared" si="1"/>
        <v>2025</v>
      </c>
      <c r="H17" s="17" t="str">
        <f t="shared" si="2"/>
        <v>Baker_etal_2025</v>
      </c>
      <c r="I17" s="17" t="str">
        <f t="shared" ref="I17:I48" si="6">_xlfn.LET(
_xlpm.doi,IF(C17&lt;&gt;"",C17,_xlfn.TEXTAFTER(A17,"https://doi.org/")),
SUBSTITUTE(
SUBSTITUTE(
SUBSTITUTE(
SUBSTITUTE(
_xlpm.doi,
"/","%2F"),
":","%3A"),
"&lt;","%3C"),
"&gt;","%3E")
)</f>
        <v>10.1038%2Fs42003-025-08686-5</v>
      </c>
      <c r="J17" s="17" t="str">
        <f t="shared" si="3"/>
        <v>Baker_etal_2025_SupplementaryData1</v>
      </c>
      <c r="K17" s="17" t="str">
        <f t="shared" si="5"/>
        <v>10.1038%2Fs42003-025-08686-5_SupplementaryData1</v>
      </c>
      <c r="L17" s="17" t="str">
        <f t="array" ref="L17">IFERROR(INDEX(AUTO_Public_TSV_FileList!$A$1:$A$1000,MATCH(TRUE(),EXACT(K17,IFERROR(_xlfn.TEXTBEFORE(AUTO_Public_TSV_FileList!$A$1:$A$1000,".tsv"),"")),0)),"notfound")</f>
        <v>10.1038%2Fs42003-025-08686-5_SupplementaryData1.tsv</v>
      </c>
      <c r="M17" s="19"/>
      <c r="N17" s="19"/>
      <c r="O17" s="20"/>
      <c r="P17" s="19" t="s">
        <v>55</v>
      </c>
      <c r="Q17" s="19"/>
      <c r="R17" s="19"/>
      <c r="S17" s="20"/>
      <c r="T17" s="20"/>
      <c r="U17" s="20"/>
      <c r="V17" s="19"/>
      <c r="W17" s="19"/>
      <c r="X17" s="19"/>
      <c r="Y17" s="20"/>
      <c r="Z17" s="20"/>
      <c r="AA17" s="19"/>
      <c r="AB17" s="19"/>
      <c r="AC17" s="19"/>
      <c r="AD17" s="20"/>
      <c r="AE17" s="19"/>
      <c r="AF17" s="19"/>
      <c r="AG17" s="20"/>
      <c r="AH17" s="20"/>
    </row>
    <row r="18" spans="1:34" ht="17" customHeight="1" x14ac:dyDescent="0.2">
      <c r="A18" s="19" t="s">
        <v>153</v>
      </c>
      <c r="B18" s="20"/>
      <c r="C18" s="20"/>
      <c r="D18" s="19" t="s">
        <v>154</v>
      </c>
      <c r="E18" s="17" t="str">
        <f t="shared" si="0"/>
        <v>BallesterosYáñez</v>
      </c>
      <c r="F18" s="17"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17" t="str">
        <f t="shared" si="1"/>
        <v>2006</v>
      </c>
      <c r="H18" s="17" t="str">
        <f t="shared" si="2"/>
        <v>BallesterosYáñez_etal_2006</v>
      </c>
      <c r="I18" s="17" t="str">
        <f t="shared" si="6"/>
        <v>10.1016%2Fj.neuroscience.2005.11.038</v>
      </c>
      <c r="J18" s="17" t="str">
        <f t="shared" si="3"/>
        <v>BallesterosYáñez_etal_2006_Figure3A</v>
      </c>
      <c r="K18" s="17" t="str">
        <f t="shared" si="5"/>
        <v>10.1016%2Fj.neuroscience.2005.11.038_Figure3A</v>
      </c>
      <c r="L18" s="17" t="str">
        <f t="array" ref="L18">IFERROR(INDEX(AUTO_Public_TSV_FileList!$A$1:$A$1000,MATCH(TRUE(),EXACT(K18,IFERROR(_xlfn.TEXTBEFORE(AUTO_Public_TSV_FileList!$A$1:$A$1000,".tsv"),"")),0)),"notfound")</f>
        <v>10.1016%2Fj.neuroscience.2005.11.038_Figure3A.tsv</v>
      </c>
      <c r="M18" s="19"/>
      <c r="N18" s="19"/>
      <c r="O18" s="20"/>
      <c r="P18" s="19"/>
      <c r="Q18" s="19"/>
      <c r="R18" s="19"/>
      <c r="S18" s="20"/>
      <c r="T18" s="20"/>
      <c r="U18" s="20"/>
      <c r="V18" s="19"/>
      <c r="W18" s="19"/>
      <c r="X18" s="19"/>
      <c r="Y18" s="20"/>
      <c r="Z18" s="20"/>
      <c r="AA18" s="19"/>
      <c r="AB18" s="19"/>
      <c r="AC18" s="19"/>
      <c r="AD18" s="20"/>
      <c r="AE18" s="19"/>
      <c r="AF18" s="19"/>
      <c r="AG18" s="20"/>
      <c r="AH18" s="20"/>
    </row>
    <row r="19" spans="1:34" ht="17" customHeight="1" x14ac:dyDescent="0.2">
      <c r="A19" s="19" t="s">
        <v>153</v>
      </c>
      <c r="B19" s="20"/>
      <c r="C19" s="20"/>
      <c r="D19" s="19" t="s">
        <v>155</v>
      </c>
      <c r="E19" s="17" t="str">
        <f t="shared" si="0"/>
        <v>BallesterosYáñez</v>
      </c>
      <c r="F19" s="17"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17" t="str">
        <f t="shared" si="1"/>
        <v>2006</v>
      </c>
      <c r="H19" s="17" t="str">
        <f t="shared" si="2"/>
        <v>BallesterosYáñez_etal_2006</v>
      </c>
      <c r="I19" s="17" t="str">
        <f t="shared" si="6"/>
        <v>10.1016%2Fj.neuroscience.2005.11.038</v>
      </c>
      <c r="J19" s="17" t="str">
        <f t="shared" si="3"/>
        <v>BallesterosYáñez_etal_2006_Figure3B</v>
      </c>
      <c r="K19" s="17" t="str">
        <f t="shared" si="5"/>
        <v>10.1016%2Fj.neuroscience.2005.11.038_Figure3B</v>
      </c>
      <c r="L19" s="17" t="str">
        <f t="array" ref="L19">IFERROR(INDEX(AUTO_Public_TSV_FileList!$A$1:$A$1000,MATCH(TRUE(),EXACT(K19,IFERROR(_xlfn.TEXTBEFORE(AUTO_Public_TSV_FileList!$A$1:$A$1000,".tsv"),"")),0)),"notfound")</f>
        <v>10.1016%2Fj.neuroscience.2005.11.038_Figure3B.tsv</v>
      </c>
      <c r="M19" s="19"/>
      <c r="N19" s="19"/>
      <c r="O19" s="20"/>
      <c r="P19" s="19"/>
      <c r="Q19" s="19"/>
      <c r="R19" s="19"/>
      <c r="S19" s="20"/>
      <c r="T19" s="20"/>
      <c r="U19" s="20"/>
      <c r="V19" s="19"/>
      <c r="W19" s="19"/>
      <c r="X19" s="19"/>
      <c r="Y19" s="20"/>
      <c r="Z19" s="20"/>
      <c r="AA19" s="19"/>
      <c r="AB19" s="19"/>
      <c r="AC19" s="19"/>
      <c r="AD19" s="20"/>
      <c r="AE19" s="19"/>
      <c r="AF19" s="19"/>
      <c r="AG19" s="20"/>
      <c r="AH19" s="20"/>
    </row>
    <row r="20" spans="1:34" ht="17" customHeight="1" x14ac:dyDescent="0.2">
      <c r="A20" s="19" t="s">
        <v>153</v>
      </c>
      <c r="B20" s="20"/>
      <c r="C20" s="20"/>
      <c r="D20" s="19" t="s">
        <v>156</v>
      </c>
      <c r="E20" s="17" t="str">
        <f t="shared" si="0"/>
        <v>BallesterosYáñez</v>
      </c>
      <c r="F20" s="17"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17" t="str">
        <f t="shared" si="1"/>
        <v>2006</v>
      </c>
      <c r="H20" s="17" t="str">
        <f t="shared" si="2"/>
        <v>BallesterosYáñez_etal_2006</v>
      </c>
      <c r="I20" s="17" t="str">
        <f t="shared" si="6"/>
        <v>10.1016%2Fj.neuroscience.2005.11.038</v>
      </c>
      <c r="J20" s="17" t="str">
        <f t="shared" si="3"/>
        <v>BallesterosYáñez_etal_2006_Figure3C</v>
      </c>
      <c r="K20" s="17" t="str">
        <f t="shared" si="5"/>
        <v>10.1016%2Fj.neuroscience.2005.11.038_Figure3C</v>
      </c>
      <c r="L20" s="17" t="str">
        <f t="array" ref="L20">IFERROR(INDEX(AUTO_Public_TSV_FileList!$A$1:$A$1000,MATCH(TRUE(),EXACT(K20,IFERROR(_xlfn.TEXTBEFORE(AUTO_Public_TSV_FileList!$A$1:$A$1000,".tsv"),"")),0)),"notfound")</f>
        <v>10.1016%2Fj.neuroscience.2005.11.038_Figure3C.tsv</v>
      </c>
      <c r="M20" s="19"/>
      <c r="N20" s="19" t="s">
        <v>157</v>
      </c>
      <c r="O20" s="20"/>
      <c r="P20" s="19"/>
      <c r="Q20" s="19"/>
      <c r="R20" s="19"/>
      <c r="S20" s="20"/>
      <c r="T20" s="20"/>
      <c r="U20" s="20"/>
      <c r="V20" s="19"/>
      <c r="W20" s="19"/>
      <c r="X20" s="19"/>
      <c r="Y20" s="20"/>
      <c r="Z20" s="20"/>
      <c r="AA20" s="19"/>
      <c r="AB20" s="19"/>
      <c r="AC20" s="19"/>
      <c r="AD20" s="20"/>
      <c r="AE20" s="19"/>
      <c r="AF20" s="19"/>
      <c r="AG20" s="20"/>
      <c r="AH20" s="20"/>
    </row>
    <row r="21" spans="1:34" ht="17" customHeight="1" x14ac:dyDescent="0.2">
      <c r="A21" s="19" t="s">
        <v>153</v>
      </c>
      <c r="B21" s="20"/>
      <c r="C21" s="20"/>
      <c r="D21" s="19" t="s">
        <v>86</v>
      </c>
      <c r="E21" s="17" t="str">
        <f t="shared" si="0"/>
        <v>BallesterosYáñez</v>
      </c>
      <c r="F21" s="17"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17" t="str">
        <f t="shared" si="1"/>
        <v>2006</v>
      </c>
      <c r="H21" s="17" t="str">
        <f t="shared" si="2"/>
        <v>BallesterosYáñez_etal_2006</v>
      </c>
      <c r="I21" s="17" t="str">
        <f t="shared" si="6"/>
        <v>10.1016%2Fj.neuroscience.2005.11.038</v>
      </c>
      <c r="J21" s="17" t="str">
        <f t="shared" si="3"/>
        <v>BallesterosYáñez_etal_2006_Table1</v>
      </c>
      <c r="K21" s="17" t="str">
        <f t="shared" si="5"/>
        <v>10.1016%2Fj.neuroscience.2005.11.038_Table1</v>
      </c>
      <c r="L21" s="17" t="str">
        <f t="array" ref="L21">IFERROR(INDEX(AUTO_Public_TSV_FileList!$A$1:$A$1000,MATCH(TRUE(),EXACT(K21,IFERROR(_xlfn.TEXTBEFORE(AUTO_Public_TSV_FileList!$A$1:$A$1000,".tsv"),"")),0)),"notfound")</f>
        <v>10.1016%2Fj.neuroscience.2005.11.038_Table1.tsv</v>
      </c>
      <c r="M21" s="19" t="s">
        <v>158</v>
      </c>
      <c r="N21" s="19"/>
      <c r="O21" s="20"/>
      <c r="P21" s="19"/>
      <c r="Q21" s="19"/>
      <c r="R21" s="19"/>
      <c r="S21" s="20"/>
      <c r="T21" s="20"/>
      <c r="U21" s="20"/>
      <c r="V21" s="19"/>
      <c r="W21" s="19"/>
      <c r="X21" s="19"/>
      <c r="Y21" s="20"/>
      <c r="Z21" s="20"/>
      <c r="AA21" s="19"/>
      <c r="AB21" s="19"/>
      <c r="AC21" s="19"/>
      <c r="AD21" s="20"/>
      <c r="AE21" s="19"/>
      <c r="AF21" s="19"/>
      <c r="AG21" s="20"/>
      <c r="AH21" s="20"/>
    </row>
    <row r="22" spans="1:34" ht="17" customHeight="1" x14ac:dyDescent="0.2">
      <c r="A22" s="20" t="s">
        <v>159</v>
      </c>
      <c r="B22" s="20"/>
      <c r="C22" s="20"/>
      <c r="D22" s="19" t="s">
        <v>160</v>
      </c>
      <c r="E22" s="17" t="str">
        <f t="shared" si="0"/>
        <v>Balzeau</v>
      </c>
      <c r="F22" s="17"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17" t="str">
        <f t="shared" si="1"/>
        <v>2012</v>
      </c>
      <c r="H22" s="17" t="str">
        <f t="shared" si="2"/>
        <v>Balzeau_etal_2012</v>
      </c>
      <c r="I22" s="17" t="str">
        <f t="shared" si="6"/>
        <v>10.1016%2Fj.jhevol.2012.03.007</v>
      </c>
      <c r="J22" s="17" t="str">
        <f t="shared" si="3"/>
        <v>Balzeau_etal_2012_Table2</v>
      </c>
      <c r="K22" s="17" t="str">
        <f t="shared" si="5"/>
        <v>10.1016%2Fj.jhevol.2012.03.007_Table2</v>
      </c>
      <c r="L22" s="17" t="str">
        <f t="array" ref="L22">IFERROR(INDEX(AUTO_Public_TSV_FileList!$A$1:$A$1000,MATCH(TRUE(),EXACT(K22,IFERROR(_xlfn.TEXTBEFORE(AUTO_Public_TSV_FileList!$A$1:$A$1000,".tsv"),"")),0)),"notfound")</f>
        <v>10.1016%2Fj.jhevol.2012.03.007_Table2.tsv</v>
      </c>
      <c r="M22" s="19" t="s">
        <v>161</v>
      </c>
      <c r="N22" s="20"/>
      <c r="O22" s="20"/>
      <c r="P22" s="19" t="s">
        <v>55</v>
      </c>
      <c r="Q22" s="20"/>
      <c r="R22" s="20"/>
      <c r="S22" s="20"/>
      <c r="T22" s="20"/>
      <c r="U22" s="20"/>
      <c r="V22" s="20"/>
      <c r="W22" s="20"/>
      <c r="X22" s="20"/>
      <c r="Y22" s="20"/>
      <c r="Z22" s="20"/>
      <c r="AA22" s="20"/>
      <c r="AB22" s="20"/>
      <c r="AC22" s="20"/>
      <c r="AD22" s="20"/>
      <c r="AE22" s="20"/>
      <c r="AF22" s="20"/>
      <c r="AG22" s="20"/>
      <c r="AH22" s="20"/>
    </row>
    <row r="23" spans="1:34" ht="17" customHeight="1" x14ac:dyDescent="0.2">
      <c r="A23" s="20" t="s">
        <v>159</v>
      </c>
      <c r="B23" s="20"/>
      <c r="C23" s="20"/>
      <c r="D23" s="19" t="s">
        <v>162</v>
      </c>
      <c r="E23" s="17" t="str">
        <f t="shared" si="0"/>
        <v>Balzeau</v>
      </c>
      <c r="F23" s="17"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17" t="str">
        <f t="shared" si="1"/>
        <v>2012</v>
      </c>
      <c r="H23" s="17" t="str">
        <f t="shared" si="2"/>
        <v>Balzeau_etal_2012</v>
      </c>
      <c r="I23" s="17" t="str">
        <f t="shared" si="6"/>
        <v>10.1016%2Fj.jhevol.2012.03.007</v>
      </c>
      <c r="J23" s="17" t="str">
        <f t="shared" si="3"/>
        <v>Balzeau_etal_2012_Table3</v>
      </c>
      <c r="K23" s="17" t="str">
        <f t="shared" si="5"/>
        <v>10.1016%2Fj.jhevol.2012.03.007_Table3</v>
      </c>
      <c r="L23" s="17" t="str">
        <f t="array" ref="L23">IFERROR(INDEX(AUTO_Public_TSV_FileList!$A$1:$A$1000,MATCH(TRUE(),EXACT(K23,IFERROR(_xlfn.TEXTBEFORE(AUTO_Public_TSV_FileList!$A$1:$A$1000,".tsv"),"")),0)),"notfound")</f>
        <v>10.1016%2Fj.jhevol.2012.03.007_Table3.tsv</v>
      </c>
      <c r="M23" s="19" t="s">
        <v>163</v>
      </c>
      <c r="N23" s="20"/>
      <c r="O23" s="20"/>
      <c r="P23" s="19" t="s">
        <v>55</v>
      </c>
      <c r="Q23" s="20"/>
      <c r="R23" s="20"/>
      <c r="S23" s="20"/>
      <c r="T23" s="20"/>
      <c r="U23" s="20"/>
      <c r="V23" s="20"/>
      <c r="W23" s="20"/>
      <c r="X23" s="20"/>
      <c r="Y23" s="20"/>
      <c r="Z23" s="20"/>
      <c r="AA23" s="20"/>
      <c r="AB23" s="20"/>
      <c r="AC23" s="20"/>
      <c r="AD23" s="20"/>
      <c r="AE23" s="20"/>
      <c r="AF23" s="20"/>
      <c r="AG23" s="20"/>
      <c r="AH23" s="20"/>
    </row>
    <row r="24" spans="1:34" ht="17" customHeight="1" x14ac:dyDescent="0.2">
      <c r="A24" s="20" t="s">
        <v>159</v>
      </c>
      <c r="B24" s="20"/>
      <c r="C24" s="20"/>
      <c r="D24" s="19" t="s">
        <v>164</v>
      </c>
      <c r="E24" s="17" t="str">
        <f t="shared" si="0"/>
        <v>Balzeau</v>
      </c>
      <c r="F24" s="17"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17" t="str">
        <f t="shared" si="1"/>
        <v>2012</v>
      </c>
      <c r="H24" s="17" t="str">
        <f t="shared" si="2"/>
        <v>Balzeau_etal_2012</v>
      </c>
      <c r="I24" s="17" t="str">
        <f t="shared" si="6"/>
        <v>10.1016%2Fj.jhevol.2012.03.007</v>
      </c>
      <c r="J24" s="17" t="str">
        <f t="shared" si="3"/>
        <v>Balzeau_etal_2012_Table5</v>
      </c>
      <c r="K24" s="17" t="str">
        <f t="shared" si="5"/>
        <v>10.1016%2Fj.jhevol.2012.03.007_Table5</v>
      </c>
      <c r="L24" s="17" t="str">
        <f t="array" ref="L24">IFERROR(INDEX(AUTO_Public_TSV_FileList!$A$1:$A$1000,MATCH(TRUE(),EXACT(K24,IFERROR(_xlfn.TEXTBEFORE(AUTO_Public_TSV_FileList!$A$1:$A$1000,".tsv"),"")),0)),"notfound")</f>
        <v>10.1016%2Fj.jhevol.2012.03.007_Table5.tsv</v>
      </c>
      <c r="M24" s="19" t="s">
        <v>165</v>
      </c>
      <c r="N24" s="20"/>
      <c r="O24" s="20"/>
      <c r="P24" s="19" t="s">
        <v>55</v>
      </c>
      <c r="Q24" s="20"/>
      <c r="R24" s="20"/>
      <c r="S24" s="20"/>
      <c r="T24" s="20"/>
      <c r="U24" s="20"/>
      <c r="V24" s="20"/>
      <c r="W24" s="20"/>
      <c r="X24" s="20"/>
      <c r="Y24" s="20"/>
      <c r="Z24" s="20"/>
      <c r="AA24" s="20"/>
      <c r="AB24" s="20"/>
      <c r="AC24" s="20"/>
      <c r="AD24" s="20"/>
      <c r="AE24" s="20"/>
      <c r="AF24" s="20"/>
      <c r="AG24" s="20"/>
      <c r="AH24" s="20"/>
    </row>
    <row r="25" spans="1:34" ht="17" customHeight="1" x14ac:dyDescent="0.2">
      <c r="A25" s="20" t="s">
        <v>166</v>
      </c>
      <c r="B25" s="20"/>
      <c r="C25" s="20"/>
      <c r="D25" s="19" t="s">
        <v>167</v>
      </c>
      <c r="E25" s="17" t="str">
        <f t="shared" si="0"/>
        <v>BarbeitoAndrés</v>
      </c>
      <c r="F25" s="17"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17" t="str">
        <f t="shared" si="1"/>
        <v>2019</v>
      </c>
      <c r="H25" s="17" t="str">
        <f t="shared" si="2"/>
        <v>BarbeitoAndrés_etal_2019</v>
      </c>
      <c r="I25" s="17" t="str">
        <f t="shared" si="6"/>
        <v>10.1242%2Fjeb.204651</v>
      </c>
      <c r="J25" s="17" t="str">
        <f t="shared" si="3"/>
        <v>BarbeitoAndrés_etal_2019_celldensity</v>
      </c>
      <c r="K25" s="17" t="str">
        <f t="shared" si="5"/>
        <v>10.1242%2Fjeb.204651_celldensity</v>
      </c>
      <c r="L25" s="17" t="str">
        <f t="array" ref="L25">IFERROR(INDEX(AUTO_Public_TSV_FileList!$A$1:$A$1000,MATCH(TRUE(),EXACT(K25,IFERROR(_xlfn.TEXTBEFORE(AUTO_Public_TSV_FileList!$A$1:$A$1000,".tsv"),"")),0)),"notfound")</f>
        <v>10.1242%2Fjeb.204651_celldensity.tsv</v>
      </c>
      <c r="M25" s="20"/>
      <c r="N25" s="20"/>
      <c r="O25" s="20"/>
      <c r="P25" s="19" t="s">
        <v>55</v>
      </c>
      <c r="Q25" s="20"/>
      <c r="R25" s="20"/>
      <c r="S25" s="20"/>
      <c r="T25" s="20"/>
      <c r="U25" s="20"/>
      <c r="V25" s="20"/>
      <c r="W25" s="19"/>
      <c r="X25" s="20"/>
      <c r="Y25" s="20"/>
      <c r="Z25" s="20"/>
      <c r="AA25" s="19" t="s">
        <v>82</v>
      </c>
      <c r="AB25" s="19" t="s">
        <v>83</v>
      </c>
      <c r="AC25" s="20"/>
      <c r="AD25" s="20"/>
      <c r="AE25" s="19"/>
      <c r="AF25" s="19"/>
      <c r="AG25" s="20"/>
      <c r="AH25" s="20"/>
    </row>
    <row r="26" spans="1:34" ht="17" customHeight="1" x14ac:dyDescent="0.2">
      <c r="A26" s="20" t="s">
        <v>166</v>
      </c>
      <c r="B26" s="20"/>
      <c r="C26" s="20"/>
      <c r="D26" s="19" t="s">
        <v>168</v>
      </c>
      <c r="E26" s="17" t="str">
        <f t="shared" si="0"/>
        <v>BarbeitoAndrés</v>
      </c>
      <c r="F26" s="17"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17" t="str">
        <f t="shared" si="1"/>
        <v>2019</v>
      </c>
      <c r="H26" s="17" t="str">
        <f t="shared" si="2"/>
        <v>BarbeitoAndrés_etal_2019</v>
      </c>
      <c r="I26" s="17" t="str">
        <f t="shared" si="6"/>
        <v>10.1242%2Fjeb.204651</v>
      </c>
      <c r="J26" s="17" t="str">
        <f t="shared" si="3"/>
        <v>BarbeitoAndrés_etal_2019_cellnumber</v>
      </c>
      <c r="K26" s="17" t="str">
        <f t="shared" si="5"/>
        <v>10.1242%2Fjeb.204651_cellnumber</v>
      </c>
      <c r="L26" s="17" t="str">
        <f t="array" ref="L26">IFERROR(INDEX(AUTO_Public_TSV_FileList!$A$1:$A$1000,MATCH(TRUE(),EXACT(K26,IFERROR(_xlfn.TEXTBEFORE(AUTO_Public_TSV_FileList!$A$1:$A$1000,".tsv"),"")),0)),"notfound")</f>
        <v>10.1242%2Fjeb.204651_cellnumber.tsv</v>
      </c>
      <c r="M26" s="20"/>
      <c r="N26" s="20"/>
      <c r="O26" s="20"/>
      <c r="P26" s="19" t="s">
        <v>55</v>
      </c>
      <c r="Q26" s="20"/>
      <c r="R26" s="20"/>
      <c r="S26" s="20"/>
      <c r="T26" s="20"/>
      <c r="U26" s="20"/>
      <c r="V26" s="20"/>
      <c r="W26" s="19"/>
      <c r="X26" s="20"/>
      <c r="Y26" s="20"/>
      <c r="Z26" s="20"/>
      <c r="AA26" s="19" t="s">
        <v>82</v>
      </c>
      <c r="AB26" s="19" t="s">
        <v>83</v>
      </c>
      <c r="AC26" s="20"/>
      <c r="AD26" s="20"/>
      <c r="AE26" s="19"/>
      <c r="AF26" s="19"/>
      <c r="AG26" s="20"/>
      <c r="AH26" s="20"/>
    </row>
    <row r="27" spans="1:34" ht="17" customHeight="1" x14ac:dyDescent="0.2">
      <c r="A27" s="20" t="s">
        <v>166</v>
      </c>
      <c r="B27" s="20"/>
      <c r="C27" s="20"/>
      <c r="D27" s="19" t="s">
        <v>169</v>
      </c>
      <c r="E27" s="17" t="str">
        <f t="shared" si="0"/>
        <v>BarbeitoAndrés</v>
      </c>
      <c r="F27" s="17"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17" t="str">
        <f t="shared" si="1"/>
        <v>2019</v>
      </c>
      <c r="H27" s="17" t="str">
        <f t="shared" si="2"/>
        <v>BarbeitoAndrés_etal_2019</v>
      </c>
      <c r="I27" s="17" t="str">
        <f t="shared" si="6"/>
        <v>10.1242%2Fjeb.204651</v>
      </c>
      <c r="J27" s="17" t="str">
        <f t="shared" si="3"/>
        <v>BarbeitoAndrés_etal_2019_volumes</v>
      </c>
      <c r="K27" s="17" t="str">
        <f t="shared" si="5"/>
        <v>10.1242%2Fjeb.204651_volumes</v>
      </c>
      <c r="L27" s="17" t="str">
        <f t="array" ref="L27">IFERROR(INDEX(AUTO_Public_TSV_FileList!$A$1:$A$1000,MATCH(TRUE(),EXACT(K27,IFERROR(_xlfn.TEXTBEFORE(AUTO_Public_TSV_FileList!$A$1:$A$1000,".tsv"),"")),0)),"notfound")</f>
        <v>10.1242%2Fjeb.204651_volumes.tsv</v>
      </c>
      <c r="M27" s="20"/>
      <c r="N27" s="20"/>
      <c r="O27" s="20"/>
      <c r="P27" s="19" t="s">
        <v>55</v>
      </c>
      <c r="Q27" s="20"/>
      <c r="R27" s="20"/>
      <c r="S27" s="20"/>
      <c r="T27" s="20"/>
      <c r="U27" s="20"/>
      <c r="V27" s="20"/>
      <c r="W27" s="19"/>
      <c r="X27" s="20"/>
      <c r="Y27" s="20"/>
      <c r="Z27" s="20"/>
      <c r="AA27" s="19" t="s">
        <v>82</v>
      </c>
      <c r="AB27" s="19" t="s">
        <v>83</v>
      </c>
      <c r="AC27" s="20"/>
      <c r="AD27" s="20"/>
      <c r="AE27" s="19"/>
      <c r="AF27" s="19"/>
      <c r="AG27" s="20"/>
      <c r="AH27" s="20"/>
    </row>
    <row r="28" spans="1:34" ht="17" customHeight="1" x14ac:dyDescent="0.2">
      <c r="A28" s="19" t="s">
        <v>170</v>
      </c>
      <c r="B28" s="20"/>
      <c r="C28" s="20"/>
      <c r="D28" s="19" t="s">
        <v>86</v>
      </c>
      <c r="E28" s="17" t="str">
        <f t="shared" si="0"/>
        <v>Barger</v>
      </c>
      <c r="F28" s="17"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17" t="str">
        <f t="shared" si="1"/>
        <v>2014</v>
      </c>
      <c r="H28" s="17" t="str">
        <f t="shared" si="2"/>
        <v>Barger_etal_2014</v>
      </c>
      <c r="I28" s="17" t="str">
        <f t="shared" si="6"/>
        <v>10.3389%2Ffnhum.2014.00277</v>
      </c>
      <c r="J28" s="17" t="str">
        <f t="shared" si="3"/>
        <v>Barger_etal_2014_Table1</v>
      </c>
      <c r="K28" s="17" t="str">
        <f t="shared" si="5"/>
        <v>10.3389%2Ffnhum.2014.00277_Table1</v>
      </c>
      <c r="L28" s="17" t="str">
        <f t="array" ref="L28">IFERROR(INDEX(AUTO_Public_TSV_FileList!$A$1:$A$1000,MATCH(TRUE(),EXACT(K28,IFERROR(_xlfn.TEXTBEFORE(AUTO_Public_TSV_FileList!$A$1:$A$1000,".tsv"),"")),0)),"notfound")</f>
        <v>10.3389%2Ffnhum.2014.00277_Table1.tsv</v>
      </c>
      <c r="M28" s="19" t="s">
        <v>171</v>
      </c>
      <c r="N28" s="20"/>
      <c r="O28" s="20"/>
      <c r="P28" s="19" t="s">
        <v>55</v>
      </c>
      <c r="Q28" s="20"/>
      <c r="R28" s="20"/>
      <c r="S28" s="20"/>
      <c r="T28" s="20"/>
      <c r="U28" s="20"/>
      <c r="V28" s="20"/>
      <c r="W28" s="20"/>
      <c r="X28" s="20"/>
      <c r="Y28" s="20"/>
      <c r="Z28" s="19" t="s">
        <v>172</v>
      </c>
      <c r="AA28" s="20"/>
      <c r="AB28" s="20"/>
      <c r="AC28" s="19" t="s">
        <v>48</v>
      </c>
      <c r="AD28" s="19" t="s">
        <v>48</v>
      </c>
      <c r="AE28" s="20"/>
      <c r="AF28" s="20"/>
      <c r="AG28" s="20"/>
      <c r="AH28" s="20"/>
    </row>
    <row r="29" spans="1:34" ht="17" customHeight="1" x14ac:dyDescent="0.2">
      <c r="A29" s="19" t="s">
        <v>173</v>
      </c>
      <c r="B29" s="20"/>
      <c r="C29" s="20"/>
      <c r="D29" s="19" t="s">
        <v>77</v>
      </c>
      <c r="E29" s="17" t="str">
        <f t="shared" si="0"/>
        <v>Barger</v>
      </c>
      <c r="F29" s="17"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17" t="str">
        <f t="shared" si="1"/>
        <v>2007</v>
      </c>
      <c r="H29" s="17" t="str">
        <f t="shared" si="2"/>
        <v>Barger_etal_2007</v>
      </c>
      <c r="I29" s="17" t="str">
        <f t="shared" si="6"/>
        <v>10.1002%2Fajpa.20684</v>
      </c>
      <c r="J29" s="17" t="str">
        <f t="shared" si="3"/>
        <v>Barger_etal_2007_TABLE1</v>
      </c>
      <c r="K29" s="17" t="str">
        <f t="shared" si="5"/>
        <v>10.1002%2Fajpa.20684_TABLE1</v>
      </c>
      <c r="L29" s="17" t="str">
        <f t="array" ref="L29">IFERROR(INDEX(AUTO_Public_TSV_FileList!$A$1:$A$1000,MATCH(TRUE(),EXACT(K29,IFERROR(_xlfn.TEXTBEFORE(AUTO_Public_TSV_FileList!$A$1:$A$1000,".tsv"),"")),0)),"notfound")</f>
        <v>10.1002%2Fajpa.20684_TABLE1.tsv</v>
      </c>
      <c r="M29" s="19" t="s">
        <v>174</v>
      </c>
      <c r="N29" s="20"/>
      <c r="O29" s="20"/>
      <c r="P29" s="19" t="s">
        <v>55</v>
      </c>
      <c r="Q29" s="20"/>
      <c r="R29" s="20"/>
      <c r="S29" s="20"/>
      <c r="T29" s="20"/>
      <c r="U29" s="20"/>
      <c r="V29" s="20"/>
      <c r="W29" s="19" t="s">
        <v>175</v>
      </c>
      <c r="X29" s="19" t="s">
        <v>176</v>
      </c>
      <c r="Y29" s="20"/>
      <c r="Z29" s="19"/>
      <c r="AA29" s="20"/>
      <c r="AB29" s="19" t="s">
        <v>177</v>
      </c>
      <c r="AC29" s="19" t="s">
        <v>48</v>
      </c>
      <c r="AD29" s="19" t="s">
        <v>48</v>
      </c>
      <c r="AE29" s="19" t="s">
        <v>50</v>
      </c>
      <c r="AF29" s="19"/>
      <c r="AG29" s="20"/>
      <c r="AH29" s="20"/>
    </row>
    <row r="30" spans="1:34" ht="17" customHeight="1" x14ac:dyDescent="0.2">
      <c r="A30" s="19" t="s">
        <v>178</v>
      </c>
      <c r="B30" s="20"/>
      <c r="C30" s="20"/>
      <c r="D30" s="19" t="s">
        <v>86</v>
      </c>
      <c r="E30" s="17" t="str">
        <f t="shared" si="0"/>
        <v>Barger</v>
      </c>
      <c r="F30" s="17"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17" t="str">
        <f t="shared" si="1"/>
        <v>2012</v>
      </c>
      <c r="H30" s="17" t="str">
        <f t="shared" si="2"/>
        <v>Barger_etal_2012</v>
      </c>
      <c r="I30" s="17" t="str">
        <f t="shared" si="6"/>
        <v>10.1002%2Fcne.23118</v>
      </c>
      <c r="J30" s="17" t="str">
        <f t="shared" si="3"/>
        <v>Barger_etal_2012_Table1</v>
      </c>
      <c r="K30" s="17" t="str">
        <f t="shared" si="5"/>
        <v>10.1002%2Fcne.23118_Table1</v>
      </c>
      <c r="L30" s="17" t="str">
        <f t="array" ref="L30">IFERROR(INDEX(AUTO_Public_TSV_FileList!$A$1:$A$1000,MATCH(TRUE(),EXACT(K30,IFERROR(_xlfn.TEXTBEFORE(AUTO_Public_TSV_FileList!$A$1:$A$1000,".tsv"),"")),0)),"notfound")</f>
        <v>10.1002%2Fcne.23118_Table1.tsv</v>
      </c>
      <c r="M30" s="19" t="s">
        <v>179</v>
      </c>
      <c r="N30" s="20" t="s">
        <v>180</v>
      </c>
      <c r="O30" s="20"/>
      <c r="P30" s="19" t="s">
        <v>55</v>
      </c>
      <c r="Q30" s="20"/>
      <c r="R30" s="20"/>
      <c r="S30" s="20"/>
      <c r="T30" s="20"/>
      <c r="U30" s="20"/>
      <c r="V30" s="20" t="s">
        <v>181</v>
      </c>
      <c r="W30" s="19" t="s">
        <v>182</v>
      </c>
      <c r="X30" s="19" t="s">
        <v>183</v>
      </c>
      <c r="Y30" s="20"/>
      <c r="Z30" s="19" t="s">
        <v>172</v>
      </c>
      <c r="AA30" s="20"/>
      <c r="AB30" s="19" t="s">
        <v>184</v>
      </c>
      <c r="AC30" s="19"/>
      <c r="AD30" s="19" t="s">
        <v>185</v>
      </c>
      <c r="AE30" s="19" t="s">
        <v>50</v>
      </c>
      <c r="AF30" s="19"/>
      <c r="AG30" s="20"/>
      <c r="AH30" s="20"/>
    </row>
    <row r="31" spans="1:34" ht="17" customHeight="1" x14ac:dyDescent="0.2">
      <c r="A31" s="19" t="s">
        <v>178</v>
      </c>
      <c r="B31" s="20"/>
      <c r="C31" s="20"/>
      <c r="D31" s="19" t="s">
        <v>162</v>
      </c>
      <c r="E31" s="17" t="str">
        <f t="shared" si="0"/>
        <v>Barger</v>
      </c>
      <c r="F31" s="17"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17" t="str">
        <f t="shared" si="1"/>
        <v>2012</v>
      </c>
      <c r="H31" s="17" t="str">
        <f t="shared" si="2"/>
        <v>Barger_etal_2012</v>
      </c>
      <c r="I31" s="17" t="str">
        <f t="shared" si="6"/>
        <v>10.1002%2Fcne.23118</v>
      </c>
      <c r="J31" s="17" t="str">
        <f t="shared" si="3"/>
        <v>Barger_etal_2012_Table3</v>
      </c>
      <c r="K31" s="17" t="str">
        <f t="shared" si="5"/>
        <v>10.1002%2Fcne.23118_Table3</v>
      </c>
      <c r="L31" s="17" t="str">
        <f t="array" ref="L31">IFERROR(INDEX(AUTO_Public_TSV_FileList!$A$1:$A$1000,MATCH(TRUE(),EXACT(K31,IFERROR(_xlfn.TEXTBEFORE(AUTO_Public_TSV_FileList!$A$1:$A$1000,".tsv"),"")),0)),"notfound")</f>
        <v>10.1002%2Fcne.23118_Table3.tsv</v>
      </c>
      <c r="M31" s="19" t="s">
        <v>186</v>
      </c>
      <c r="N31" s="20"/>
      <c r="O31" s="20"/>
      <c r="P31" s="19" t="s">
        <v>55</v>
      </c>
      <c r="Q31" s="20"/>
      <c r="R31" s="20"/>
      <c r="S31" s="20"/>
      <c r="T31" s="20"/>
      <c r="U31" s="20"/>
      <c r="V31" s="20"/>
      <c r="W31" s="19" t="s">
        <v>187</v>
      </c>
      <c r="X31" s="19" t="s">
        <v>188</v>
      </c>
      <c r="Y31" s="20"/>
      <c r="Z31" s="20"/>
      <c r="AA31" s="20"/>
      <c r="AB31" s="19" t="s">
        <v>189</v>
      </c>
      <c r="AC31" s="20"/>
      <c r="AD31" s="20"/>
      <c r="AE31" s="19" t="s">
        <v>50</v>
      </c>
      <c r="AF31" s="19"/>
      <c r="AG31" s="20"/>
      <c r="AH31" s="20"/>
    </row>
    <row r="32" spans="1:34" ht="17" customHeight="1" x14ac:dyDescent="0.2">
      <c r="A32" s="19" t="s">
        <v>190</v>
      </c>
      <c r="B32" s="20"/>
      <c r="C32" s="20"/>
      <c r="D32" s="19" t="s">
        <v>191</v>
      </c>
      <c r="E32" s="17" t="str">
        <f t="shared" si="0"/>
        <v>Barks</v>
      </c>
      <c r="F32" s="17"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17" t="str">
        <f t="shared" si="1"/>
        <v>2014</v>
      </c>
      <c r="H32" s="17" t="str">
        <f t="shared" si="2"/>
        <v>Barks_etal_2014</v>
      </c>
      <c r="I32" s="17" t="str">
        <f t="shared" si="6"/>
        <v>10.1002%2Fajpa.22646</v>
      </c>
      <c r="J32" s="17" t="str">
        <f t="shared" si="3"/>
        <v>Barks_etal_2014_Fig4A</v>
      </c>
      <c r="K32" s="17" t="str">
        <f t="shared" si="5"/>
        <v>10.1002%2Fajpa.22646_Fig4A</v>
      </c>
      <c r="L32" s="17" t="str">
        <f t="array" ref="L32">IFERROR(INDEX(AUTO_Public_TSV_FileList!$A$1:$A$1000,MATCH(TRUE(),EXACT(K32,IFERROR(_xlfn.TEXTBEFORE(AUTO_Public_TSV_FileList!$A$1:$A$1000,".tsv"),"")),0)),"notfound")</f>
        <v>10.1002%2Fajpa.22646_Fig4A.tsv</v>
      </c>
      <c r="M32" s="19" t="s">
        <v>192</v>
      </c>
      <c r="N32" s="20"/>
      <c r="O32" s="19"/>
      <c r="P32" s="19" t="s">
        <v>55</v>
      </c>
      <c r="Q32" s="20"/>
      <c r="R32" s="20"/>
      <c r="S32" s="20"/>
      <c r="T32" s="20"/>
      <c r="U32" s="20"/>
      <c r="V32" s="20"/>
      <c r="W32" s="20"/>
      <c r="X32" s="20"/>
      <c r="Y32" s="20"/>
      <c r="Z32" s="20"/>
      <c r="AA32" s="20"/>
      <c r="AB32" s="20"/>
      <c r="AC32" s="19" t="s">
        <v>193</v>
      </c>
      <c r="AD32" s="20"/>
      <c r="AE32" s="20"/>
      <c r="AF32" s="20"/>
      <c r="AG32" s="20"/>
      <c r="AH32" s="20"/>
    </row>
    <row r="33" spans="1:34" ht="17" customHeight="1" x14ac:dyDescent="0.2">
      <c r="A33" s="19" t="s">
        <v>190</v>
      </c>
      <c r="B33" s="20"/>
      <c r="C33" s="20"/>
      <c r="D33" s="19" t="s">
        <v>194</v>
      </c>
      <c r="E33" s="17" t="str">
        <f t="shared" si="0"/>
        <v>Barks</v>
      </c>
      <c r="F33" s="17"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17" t="str">
        <f t="shared" si="1"/>
        <v>2014</v>
      </c>
      <c r="H33" s="17" t="str">
        <f t="shared" si="2"/>
        <v>Barks_etal_2014</v>
      </c>
      <c r="I33" s="17" t="str">
        <f t="shared" si="6"/>
        <v>10.1002%2Fajpa.22646</v>
      </c>
      <c r="J33" s="17" t="str">
        <f t="shared" si="3"/>
        <v>Barks_etal_2014_Fig5A</v>
      </c>
      <c r="K33" s="17" t="str">
        <f t="shared" si="5"/>
        <v>10.1002%2Fajpa.22646_Fig5A</v>
      </c>
      <c r="L33" s="17" t="str">
        <f t="array" ref="L33">IFERROR(INDEX(AUTO_Public_TSV_FileList!$A$1:$A$1000,MATCH(TRUE(),EXACT(K33,IFERROR(_xlfn.TEXTBEFORE(AUTO_Public_TSV_FileList!$A$1:$A$1000,".tsv"),"")),0)),"notfound")</f>
        <v>10.1002%2Fajpa.22646_Fig5A.tsv</v>
      </c>
      <c r="M33" s="19" t="s">
        <v>195</v>
      </c>
      <c r="N33" s="20"/>
      <c r="O33" s="19"/>
      <c r="P33" s="19" t="s">
        <v>55</v>
      </c>
      <c r="Q33" s="20"/>
      <c r="R33" s="20"/>
      <c r="S33" s="20"/>
      <c r="T33" s="20"/>
      <c r="U33" s="20"/>
      <c r="V33" s="20"/>
      <c r="W33" s="20"/>
      <c r="X33" s="20"/>
      <c r="Y33" s="20"/>
      <c r="Z33" s="20"/>
      <c r="AA33" s="20"/>
      <c r="AB33" s="20"/>
      <c r="AC33" s="20"/>
      <c r="AD33" s="20"/>
      <c r="AE33" s="20"/>
      <c r="AF33" s="20"/>
      <c r="AG33" s="20"/>
      <c r="AH33" s="20"/>
    </row>
    <row r="34" spans="1:34" ht="17" customHeight="1" x14ac:dyDescent="0.2">
      <c r="A34" s="19" t="s">
        <v>190</v>
      </c>
      <c r="B34" s="20"/>
      <c r="C34" s="20"/>
      <c r="D34" s="19" t="s">
        <v>77</v>
      </c>
      <c r="E34" s="17" t="str">
        <f t="shared" si="0"/>
        <v>Barks</v>
      </c>
      <c r="F34" s="17"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17" t="str">
        <f t="shared" si="1"/>
        <v>2014</v>
      </c>
      <c r="H34" s="17" t="str">
        <f t="shared" si="2"/>
        <v>Barks_etal_2014</v>
      </c>
      <c r="I34" s="17" t="str">
        <f t="shared" si="6"/>
        <v>10.1002%2Fajpa.22646</v>
      </c>
      <c r="J34" s="17" t="str">
        <f t="shared" si="3"/>
        <v>Barks_etal_2014_TABLE1</v>
      </c>
      <c r="K34" s="17" t="str">
        <f t="shared" si="5"/>
        <v>10.1002%2Fajpa.22646_TABLE1</v>
      </c>
      <c r="L34" s="17" t="str">
        <f t="array" ref="L34">IFERROR(INDEX(AUTO_Public_TSV_FileList!$A$1:$A$1000,MATCH(TRUE(),EXACT(K34,IFERROR(_xlfn.TEXTBEFORE(AUTO_Public_TSV_FileList!$A$1:$A$1000,".tsv"),"")),0)),"notfound")</f>
        <v>10.1002%2Fajpa.22646_TABLE1.tsv</v>
      </c>
      <c r="M34" s="19" t="s">
        <v>196</v>
      </c>
      <c r="N34" s="20"/>
      <c r="O34" s="20"/>
      <c r="P34" s="19" t="s">
        <v>55</v>
      </c>
      <c r="Q34" s="20"/>
      <c r="R34" s="20"/>
      <c r="S34" s="20"/>
      <c r="T34" s="20"/>
      <c r="U34" s="20"/>
      <c r="V34" s="20"/>
      <c r="W34" s="20"/>
      <c r="X34" s="20"/>
      <c r="Y34" s="20"/>
      <c r="Z34" s="20"/>
      <c r="AA34" s="20"/>
      <c r="AB34" s="20"/>
      <c r="AC34" s="19" t="s">
        <v>193</v>
      </c>
      <c r="AD34" s="20"/>
      <c r="AE34" s="20"/>
      <c r="AF34" s="20"/>
      <c r="AG34" s="20"/>
      <c r="AH34" s="20"/>
    </row>
    <row r="35" spans="1:34" ht="17" customHeight="1" x14ac:dyDescent="0.2">
      <c r="A35" s="19" t="s">
        <v>190</v>
      </c>
      <c r="B35" s="20"/>
      <c r="C35" s="20"/>
      <c r="D35" s="19" t="s">
        <v>145</v>
      </c>
      <c r="E35" s="17" t="str">
        <f t="shared" si="0"/>
        <v>Barks</v>
      </c>
      <c r="F35" s="17"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17" t="str">
        <f t="shared" si="1"/>
        <v>2014</v>
      </c>
      <c r="H35" s="17" t="str">
        <f t="shared" si="2"/>
        <v>Barks_etal_2014</v>
      </c>
      <c r="I35" s="17" t="str">
        <f t="shared" si="6"/>
        <v>10.1002%2Fajpa.22646</v>
      </c>
      <c r="J35" s="17" t="str">
        <f t="shared" si="3"/>
        <v>Barks_etal_2014_TABLE2</v>
      </c>
      <c r="K35" s="17" t="str">
        <f t="shared" si="5"/>
        <v>10.1002%2Fajpa.22646_TABLE2</v>
      </c>
      <c r="L35" s="17" t="str">
        <f t="array" ref="L35">IFERROR(INDEX(AUTO_Public_TSV_FileList!$A$1:$A$1000,MATCH(TRUE(),EXACT(K35,IFERROR(_xlfn.TEXTBEFORE(AUTO_Public_TSV_FileList!$A$1:$A$1000,".tsv"),"")),0)),"notfound")</f>
        <v>10.1002%2Fajpa.22646_TABLE2.tsv</v>
      </c>
      <c r="M35" s="19" t="s">
        <v>197</v>
      </c>
      <c r="N35" s="20"/>
      <c r="O35" s="20"/>
      <c r="P35" s="19" t="s">
        <v>55</v>
      </c>
      <c r="Q35" s="20"/>
      <c r="R35" s="20"/>
      <c r="S35" s="20"/>
      <c r="T35" s="20"/>
      <c r="U35" s="20"/>
      <c r="V35" s="20"/>
      <c r="W35" s="20"/>
      <c r="X35" s="20"/>
      <c r="Y35" s="20"/>
      <c r="Z35" s="20"/>
      <c r="AA35" s="20"/>
      <c r="AB35" s="20"/>
      <c r="AC35" s="20"/>
      <c r="AD35" s="20"/>
      <c r="AE35" s="20"/>
      <c r="AF35" s="20"/>
      <c r="AG35" s="20"/>
      <c r="AH35" s="20"/>
    </row>
    <row r="36" spans="1:34" ht="17" customHeight="1" x14ac:dyDescent="0.2">
      <c r="A36" s="19" t="s">
        <v>190</v>
      </c>
      <c r="B36" s="20"/>
      <c r="C36" s="20"/>
      <c r="D36" s="19" t="s">
        <v>198</v>
      </c>
      <c r="E36" s="17" t="str">
        <f t="shared" si="0"/>
        <v>Barks</v>
      </c>
      <c r="F36" s="17"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17" t="str">
        <f t="shared" si="1"/>
        <v>2014</v>
      </c>
      <c r="H36" s="17" t="str">
        <f t="shared" si="2"/>
        <v>Barks_etal_2014</v>
      </c>
      <c r="I36" s="17" t="str">
        <f t="shared" si="6"/>
        <v>10.1002%2Fajpa.22646</v>
      </c>
      <c r="J36" s="17" t="str">
        <f t="shared" si="3"/>
        <v>Barks_etal_2014_unpublishedviaDeCasien</v>
      </c>
      <c r="K36" s="17" t="str">
        <f t="shared" si="5"/>
        <v>10.1002%2Fajpa.22646_unpublishedviaDeCasien</v>
      </c>
      <c r="L36" s="17" t="str">
        <f t="array" ref="L36">IFERROR(INDEX(AUTO_Public_TSV_FileList!$A$1:$A$1000,MATCH(TRUE(),EXACT(K36,IFERROR(_xlfn.TEXTBEFORE(AUTO_Public_TSV_FileList!$A$1:$A$1000,".tsv"),"")),0)),"notfound")</f>
        <v>10.1002%2Fajpa.22646_unpublishedviaDeCasien.tsv</v>
      </c>
      <c r="M36" s="20"/>
      <c r="N36" s="20"/>
      <c r="O36" s="19" t="s">
        <v>199</v>
      </c>
      <c r="P36" s="19" t="s">
        <v>55</v>
      </c>
      <c r="Q36" s="20"/>
      <c r="R36" s="20"/>
      <c r="S36" s="20"/>
      <c r="T36" s="20"/>
      <c r="U36" s="20"/>
      <c r="V36" s="20"/>
      <c r="W36" s="20"/>
      <c r="X36" s="20"/>
      <c r="Y36" s="20"/>
      <c r="Z36" s="20"/>
      <c r="AA36" s="20"/>
      <c r="AB36" s="20"/>
      <c r="AC36" s="20"/>
      <c r="AD36" s="20"/>
      <c r="AE36" s="20"/>
      <c r="AF36" s="20"/>
      <c r="AG36" s="20"/>
      <c r="AH36" s="20"/>
    </row>
    <row r="37" spans="1:34" ht="17" customHeight="1" x14ac:dyDescent="0.2">
      <c r="A37" s="19" t="s">
        <v>200</v>
      </c>
      <c r="B37" s="20"/>
      <c r="C37" s="19" t="s">
        <v>201</v>
      </c>
      <c r="D37" s="19" t="s">
        <v>86</v>
      </c>
      <c r="E37" s="17" t="str">
        <f t="shared" si="0"/>
        <v>Baron</v>
      </c>
      <c r="F37" s="17"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17" t="str">
        <f t="shared" si="1"/>
        <v>1988</v>
      </c>
      <c r="H37" s="17" t="str">
        <f t="shared" si="2"/>
        <v>Baron_etal_1988</v>
      </c>
      <c r="I37" s="17" t="str">
        <f t="shared" si="6"/>
        <v>PMID%3A3216099</v>
      </c>
      <c r="J37" s="17" t="str">
        <f t="shared" si="3"/>
        <v>Baron_etal_1988_Table1</v>
      </c>
      <c r="K37" s="17" t="str">
        <f t="shared" si="5"/>
        <v>PMID%3A3216099_Table1</v>
      </c>
      <c r="L37" s="17" t="str">
        <f t="array" ref="L37">IFERROR(INDEX(AUTO_Public_TSV_FileList!$A$1:$A$1000,MATCH(TRUE(),EXACT(K37,IFERROR(_xlfn.TEXTBEFORE(AUTO_Public_TSV_FileList!$A$1:$A$1000,".tsv"),"")),0)),"notfound")</f>
        <v>PMID%3A3216099_Table1.tsv</v>
      </c>
      <c r="M37" s="19" t="s">
        <v>202</v>
      </c>
      <c r="N37" s="20"/>
      <c r="O37" s="20"/>
      <c r="P37" s="19" t="s">
        <v>55</v>
      </c>
      <c r="Q37" s="20"/>
      <c r="R37" s="20"/>
      <c r="S37" s="20"/>
      <c r="T37" s="20"/>
      <c r="U37" s="20"/>
      <c r="V37" s="20"/>
      <c r="W37" s="19" t="s">
        <v>203</v>
      </c>
      <c r="X37" s="19" t="s">
        <v>204</v>
      </c>
      <c r="Y37" s="20"/>
      <c r="Z37" s="19" t="s">
        <v>172</v>
      </c>
      <c r="AA37" s="19"/>
      <c r="AB37" s="19" t="s">
        <v>177</v>
      </c>
      <c r="AC37" s="19" t="s">
        <v>205</v>
      </c>
      <c r="AD37" s="19" t="s">
        <v>205</v>
      </c>
      <c r="AE37" s="19" t="s">
        <v>50</v>
      </c>
      <c r="AF37" s="19"/>
      <c r="AG37" s="20"/>
      <c r="AH37" s="20"/>
    </row>
    <row r="38" spans="1:34" ht="17" customHeight="1" x14ac:dyDescent="0.2">
      <c r="A38" s="19" t="s">
        <v>206</v>
      </c>
      <c r="B38" s="20"/>
      <c r="C38" s="19" t="s">
        <v>207</v>
      </c>
      <c r="D38" s="19" t="s">
        <v>86</v>
      </c>
      <c r="E38" s="17" t="str">
        <f t="shared" si="0"/>
        <v>Baron</v>
      </c>
      <c r="F38" s="17"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17" t="str">
        <f t="shared" si="1"/>
        <v>1983</v>
      </c>
      <c r="H38" s="17" t="str">
        <f t="shared" si="2"/>
        <v>Baron_etal_1983</v>
      </c>
      <c r="I38" s="17" t="str">
        <f t="shared" si="6"/>
        <v>PMID%3A6663055</v>
      </c>
      <c r="J38" s="17" t="str">
        <f t="shared" si="3"/>
        <v>Baron_etal_1983_Table1</v>
      </c>
      <c r="K38" s="17" t="str">
        <f t="shared" si="5"/>
        <v>PMID%3A6663055_Table1</v>
      </c>
      <c r="L38" s="17" t="str">
        <f t="array" ref="L38">IFERROR(INDEX(AUTO_Public_TSV_FileList!$A$1:$A$1000,MATCH(TRUE(),EXACT(K38,IFERROR(_xlfn.TEXTBEFORE(AUTO_Public_TSV_FileList!$A$1:$A$1000,".tsv"),"")),0)),"notfound")</f>
        <v>PMID%3A6663055_Table1.tsv</v>
      </c>
      <c r="M38" s="20"/>
      <c r="N38" s="19" t="s">
        <v>54</v>
      </c>
      <c r="O38" s="20"/>
      <c r="P38" s="19" t="s">
        <v>55</v>
      </c>
      <c r="Q38" s="20"/>
      <c r="R38" s="20"/>
      <c r="S38" s="20"/>
      <c r="T38" s="20"/>
      <c r="U38" s="20"/>
      <c r="V38" s="20"/>
      <c r="W38" s="19" t="s">
        <v>203</v>
      </c>
      <c r="X38" s="19" t="s">
        <v>208</v>
      </c>
      <c r="Y38" s="20"/>
      <c r="Z38" s="19" t="s">
        <v>172</v>
      </c>
      <c r="AA38" s="19"/>
      <c r="AB38" s="19" t="s">
        <v>177</v>
      </c>
      <c r="AC38" s="19" t="s">
        <v>205</v>
      </c>
      <c r="AD38" s="19" t="s">
        <v>205</v>
      </c>
      <c r="AE38" s="19" t="s">
        <v>50</v>
      </c>
      <c r="AF38" s="19"/>
      <c r="AG38" s="20"/>
      <c r="AH38" s="20"/>
    </row>
    <row r="39" spans="1:34" ht="17" customHeight="1" x14ac:dyDescent="0.2">
      <c r="A39" s="19" t="s">
        <v>209</v>
      </c>
      <c r="B39" s="20"/>
      <c r="C39" s="19" t="s">
        <v>210</v>
      </c>
      <c r="D39" s="19" t="s">
        <v>86</v>
      </c>
      <c r="E39" s="17" t="str">
        <f t="shared" si="0"/>
        <v>Baron</v>
      </c>
      <c r="F39" s="17"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17" t="str">
        <f t="shared" si="1"/>
        <v>1987</v>
      </c>
      <c r="H39" s="17" t="str">
        <f t="shared" si="2"/>
        <v>Baron_etal_1987</v>
      </c>
      <c r="I39" s="17" t="str">
        <f t="shared" si="6"/>
        <v>PMID%3A3116076</v>
      </c>
      <c r="J39" s="17" t="str">
        <f t="shared" si="3"/>
        <v>Baron_etal_1987_Table1</v>
      </c>
      <c r="K39" s="17" t="str">
        <f t="shared" si="5"/>
        <v>PMID%3A3116076_Table1</v>
      </c>
      <c r="L39" s="17" t="str">
        <f t="array" ref="L39">IFERROR(INDEX(AUTO_Public_TSV_FileList!$A$1:$A$1000,MATCH(TRUE(),EXACT(K39,IFERROR(_xlfn.TEXTBEFORE(AUTO_Public_TSV_FileList!$A$1:$A$1000,".tsv"),"")),0)),"notfound")</f>
        <v>PMID%3A3116076_Table1.tsv</v>
      </c>
      <c r="M39" s="20"/>
      <c r="N39" s="19" t="s">
        <v>54</v>
      </c>
      <c r="O39" s="20"/>
      <c r="P39" s="19" t="s">
        <v>55</v>
      </c>
      <c r="Q39" s="20"/>
      <c r="R39" s="20"/>
      <c r="S39" s="20"/>
      <c r="T39" s="20"/>
      <c r="U39" s="20"/>
      <c r="V39" s="20"/>
      <c r="W39" s="19" t="s">
        <v>203</v>
      </c>
      <c r="X39" s="19" t="s">
        <v>211</v>
      </c>
      <c r="Y39" s="20"/>
      <c r="Z39" s="19" t="s">
        <v>172</v>
      </c>
      <c r="AA39" s="19"/>
      <c r="AB39" s="19" t="s">
        <v>177</v>
      </c>
      <c r="AC39" s="19" t="s">
        <v>205</v>
      </c>
      <c r="AD39" s="19" t="s">
        <v>205</v>
      </c>
      <c r="AE39" s="19" t="s">
        <v>50</v>
      </c>
      <c r="AF39" s="19"/>
      <c r="AG39" s="20"/>
      <c r="AH39" s="20"/>
    </row>
    <row r="40" spans="1:34" ht="17" customHeight="1" x14ac:dyDescent="0.2">
      <c r="A40" s="19" t="s">
        <v>212</v>
      </c>
      <c r="B40" s="20"/>
      <c r="C40" s="19" t="s">
        <v>213</v>
      </c>
      <c r="D40" s="19" t="s">
        <v>86</v>
      </c>
      <c r="E40" s="17" t="str">
        <f t="shared" si="0"/>
        <v>Baron</v>
      </c>
      <c r="F40" s="17"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17" t="str">
        <f t="shared" si="1"/>
        <v>1990</v>
      </c>
      <c r="H40" s="17" t="str">
        <f t="shared" si="2"/>
        <v>Baron_etal_1990</v>
      </c>
      <c r="I40" s="17" t="str">
        <f t="shared" si="6"/>
        <v>PMID%3A2358663</v>
      </c>
      <c r="J40" s="17" t="str">
        <f t="shared" si="3"/>
        <v>Baron_etal_1990_Table1</v>
      </c>
      <c r="K40" s="17" t="str">
        <f t="shared" si="5"/>
        <v>PMID%3A2358663_Table1</v>
      </c>
      <c r="L40" s="17" t="str">
        <f t="array" ref="L40">IFERROR(INDEX(AUTO_Public_TSV_FileList!$A$1:$A$1000,MATCH(TRUE(),EXACT(K40,IFERROR(_xlfn.TEXTBEFORE(AUTO_Public_TSV_FileList!$A$1:$A$1000,".tsv"),"")),0)),"notfound")</f>
        <v>PMID%3A2358663_Table1.tsv</v>
      </c>
      <c r="M40" s="19" t="s">
        <v>214</v>
      </c>
      <c r="N40" s="19" t="s">
        <v>54</v>
      </c>
      <c r="O40" s="20"/>
      <c r="P40" s="19" t="s">
        <v>55</v>
      </c>
      <c r="Q40" s="20"/>
      <c r="R40" s="20"/>
      <c r="S40" s="20"/>
      <c r="T40" s="20"/>
      <c r="U40" s="20"/>
      <c r="V40" s="20"/>
      <c r="W40" s="19" t="s">
        <v>203</v>
      </c>
      <c r="X40" s="19" t="s">
        <v>215</v>
      </c>
      <c r="Y40" s="20"/>
      <c r="Z40" s="19" t="s">
        <v>172</v>
      </c>
      <c r="AA40" s="19" t="s">
        <v>216</v>
      </c>
      <c r="AB40" s="19" t="s">
        <v>177</v>
      </c>
      <c r="AC40" s="19" t="s">
        <v>205</v>
      </c>
      <c r="AD40" s="19" t="s">
        <v>205</v>
      </c>
      <c r="AE40" s="19" t="s">
        <v>50</v>
      </c>
      <c r="AF40" s="19"/>
      <c r="AG40" s="20"/>
      <c r="AH40" s="20"/>
    </row>
    <row r="41" spans="1:34" ht="17" customHeight="1" x14ac:dyDescent="0.2">
      <c r="A41" s="20" t="s">
        <v>217</v>
      </c>
      <c r="B41" s="20"/>
      <c r="C41" s="19" t="s">
        <v>218</v>
      </c>
      <c r="D41" s="19" t="s">
        <v>219</v>
      </c>
      <c r="E41" s="17" t="str">
        <f t="shared" si="0"/>
        <v>Baron</v>
      </c>
      <c r="F41" s="17"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17" t="str">
        <f t="shared" si="1"/>
        <v>1996</v>
      </c>
      <c r="H41" s="17" t="str">
        <f t="shared" si="2"/>
        <v>Baron_etal_1996</v>
      </c>
      <c r="I41" s="17" t="str">
        <f t="shared" si="6"/>
        <v>ISBN%3A9783764353704</v>
      </c>
      <c r="J41" s="17" t="str">
        <f t="shared" si="3"/>
        <v>Baron_etal_1996_Table10</v>
      </c>
      <c r="K41" s="17" t="str">
        <f t="shared" si="5"/>
        <v>ISBN%3A9783764353704_Table10</v>
      </c>
      <c r="L41" s="17" t="str">
        <f t="array" ref="L41">IFERROR(INDEX(AUTO_Public_TSV_FileList!$A$1:$A$1000,MATCH(TRUE(),EXACT(K41,IFERROR(_xlfn.TEXTBEFORE(AUTO_Public_TSV_FileList!$A$1:$A$1000,".tsv"),"")),0)),"notfound")</f>
        <v>ISBN%3A9783764353704_Table10.tsv</v>
      </c>
      <c r="M41" s="20"/>
      <c r="N41" s="19"/>
      <c r="O41" s="20"/>
      <c r="P41" s="19" t="s">
        <v>55</v>
      </c>
      <c r="Q41" s="20"/>
      <c r="R41" s="20"/>
      <c r="S41" s="20"/>
      <c r="T41" s="20"/>
      <c r="U41" s="20"/>
      <c r="V41" s="20"/>
      <c r="W41" s="19"/>
      <c r="X41" s="20"/>
      <c r="Y41" s="20"/>
      <c r="Z41" s="19"/>
      <c r="AA41" s="19"/>
      <c r="AB41" s="19"/>
      <c r="AC41" s="19"/>
      <c r="AD41" s="19"/>
      <c r="AE41" s="19" t="s">
        <v>50</v>
      </c>
      <c r="AF41" s="19"/>
      <c r="AG41" s="20"/>
      <c r="AH41" s="20"/>
    </row>
    <row r="42" spans="1:34" ht="17" customHeight="1" x14ac:dyDescent="0.2">
      <c r="A42" s="20" t="s">
        <v>217</v>
      </c>
      <c r="B42" s="20"/>
      <c r="C42" s="19" t="s">
        <v>218</v>
      </c>
      <c r="D42" s="21" t="s">
        <v>220</v>
      </c>
      <c r="E42" s="17" t="str">
        <f t="shared" si="0"/>
        <v>Baron</v>
      </c>
      <c r="F42" s="17"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17" t="str">
        <f t="shared" si="1"/>
        <v>1996</v>
      </c>
      <c r="H42" s="17" t="str">
        <f t="shared" si="2"/>
        <v>Baron_etal_1996</v>
      </c>
      <c r="I42" s="17" t="str">
        <f t="shared" si="6"/>
        <v>ISBN%3A9783764353704</v>
      </c>
      <c r="J42" s="17" t="str">
        <f t="shared" si="3"/>
        <v>Baron_etal_1996_Table13</v>
      </c>
      <c r="K42" s="17" t="str">
        <f t="shared" si="5"/>
        <v>ISBN%3A9783764353704_Table13</v>
      </c>
      <c r="L42" s="17" t="str">
        <f t="array" ref="L42">IFERROR(INDEX(AUTO_Public_TSV_FileList!$A$1:$A$1000,MATCH(TRUE(),EXACT(K42,IFERROR(_xlfn.TEXTBEFORE(AUTO_Public_TSV_FileList!$A$1:$A$1000,".tsv"),"")),0)),"notfound")</f>
        <v>ISBN%3A9783764353704_Table13.tsv</v>
      </c>
      <c r="M42" s="21" t="s">
        <v>221</v>
      </c>
      <c r="N42" s="19" t="s">
        <v>54</v>
      </c>
      <c r="O42" s="20"/>
      <c r="P42" s="21" t="s">
        <v>55</v>
      </c>
      <c r="Q42" s="21"/>
      <c r="R42" s="21"/>
      <c r="S42" s="21" t="s">
        <v>222</v>
      </c>
      <c r="T42" s="21" t="s">
        <v>223</v>
      </c>
      <c r="U42" s="21"/>
      <c r="V42" s="20"/>
      <c r="W42" s="21" t="s">
        <v>224</v>
      </c>
      <c r="X42" s="21" t="s">
        <v>225</v>
      </c>
      <c r="Y42" s="21" t="s">
        <v>225</v>
      </c>
      <c r="Z42" s="21" t="s">
        <v>172</v>
      </c>
      <c r="AA42" s="21"/>
      <c r="AB42" s="21" t="s">
        <v>177</v>
      </c>
      <c r="AC42" s="21" t="s">
        <v>205</v>
      </c>
      <c r="AD42" s="21" t="s">
        <v>205</v>
      </c>
      <c r="AE42" s="21" t="s">
        <v>50</v>
      </c>
      <c r="AF42" s="21"/>
      <c r="AG42" s="21" t="s">
        <v>226</v>
      </c>
      <c r="AH42" s="20"/>
    </row>
    <row r="43" spans="1:34" ht="17" customHeight="1" x14ac:dyDescent="0.2">
      <c r="A43" s="20" t="s">
        <v>217</v>
      </c>
      <c r="B43" s="20"/>
      <c r="C43" s="19" t="s">
        <v>218</v>
      </c>
      <c r="D43" s="21" t="s">
        <v>227</v>
      </c>
      <c r="E43" s="17" t="str">
        <f t="shared" si="0"/>
        <v>Baron</v>
      </c>
      <c r="F43" s="17"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17" t="str">
        <f t="shared" si="1"/>
        <v>1996</v>
      </c>
      <c r="H43" s="17" t="str">
        <f t="shared" si="2"/>
        <v>Baron_etal_1996</v>
      </c>
      <c r="I43" s="17" t="str">
        <f t="shared" si="6"/>
        <v>ISBN%3A9783764353704</v>
      </c>
      <c r="J43" s="17" t="str">
        <f t="shared" si="3"/>
        <v>Baron_etal_1996_Table16</v>
      </c>
      <c r="K43" s="17" t="str">
        <f t="shared" si="5"/>
        <v>ISBN%3A9783764353704_Table16</v>
      </c>
      <c r="L43" s="17" t="str">
        <f t="array" ref="L43">IFERROR(INDEX(AUTO_Public_TSV_FileList!$A$1:$A$1000,MATCH(TRUE(),EXACT(K43,IFERROR(_xlfn.TEXTBEFORE(AUTO_Public_TSV_FileList!$A$1:$A$1000,".tsv"),"")),0)),"notfound")</f>
        <v>ISBN%3A9783764353704_Table16.tsv</v>
      </c>
      <c r="M43" s="21" t="s">
        <v>228</v>
      </c>
      <c r="N43" s="19" t="s">
        <v>54</v>
      </c>
      <c r="O43" s="20"/>
      <c r="P43" s="21" t="s">
        <v>55</v>
      </c>
      <c r="Q43" s="21"/>
      <c r="R43" s="21"/>
      <c r="S43" s="21" t="s">
        <v>222</v>
      </c>
      <c r="T43" s="21" t="s">
        <v>223</v>
      </c>
      <c r="U43" s="21"/>
      <c r="V43" s="20"/>
      <c r="W43" s="21" t="s">
        <v>224</v>
      </c>
      <c r="X43" s="21" t="s">
        <v>229</v>
      </c>
      <c r="Y43" s="21" t="s">
        <v>229</v>
      </c>
      <c r="Z43" s="21" t="s">
        <v>172</v>
      </c>
      <c r="AA43" s="21"/>
      <c r="AB43" s="21" t="s">
        <v>177</v>
      </c>
      <c r="AC43" s="21" t="s">
        <v>205</v>
      </c>
      <c r="AD43" s="21" t="s">
        <v>205</v>
      </c>
      <c r="AE43" s="21" t="s">
        <v>50</v>
      </c>
      <c r="AF43" s="21"/>
      <c r="AG43" s="21" t="s">
        <v>230</v>
      </c>
      <c r="AH43" s="20"/>
    </row>
    <row r="44" spans="1:34" ht="17" customHeight="1" x14ac:dyDescent="0.2">
      <c r="A44" s="20" t="s">
        <v>217</v>
      </c>
      <c r="B44" s="20"/>
      <c r="C44" s="19" t="s">
        <v>218</v>
      </c>
      <c r="D44" s="21" t="s">
        <v>231</v>
      </c>
      <c r="E44" s="17" t="str">
        <f t="shared" si="0"/>
        <v>Baron</v>
      </c>
      <c r="F44" s="17"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17" t="str">
        <f t="shared" si="1"/>
        <v>1996</v>
      </c>
      <c r="H44" s="17" t="str">
        <f t="shared" si="2"/>
        <v>Baron_etal_1996</v>
      </c>
      <c r="I44" s="17" t="str">
        <f t="shared" si="6"/>
        <v>ISBN%3A9783764353704</v>
      </c>
      <c r="J44" s="17" t="str">
        <f t="shared" si="3"/>
        <v>Baron_etal_1996_Table19</v>
      </c>
      <c r="K44" s="17" t="str">
        <f t="shared" si="5"/>
        <v>ISBN%3A9783764353704_Table19</v>
      </c>
      <c r="L44" s="17" t="str">
        <f t="array" ref="L44">IFERROR(INDEX(AUTO_Public_TSV_FileList!$A$1:$A$1000,MATCH(TRUE(),EXACT(K44,IFERROR(_xlfn.TEXTBEFORE(AUTO_Public_TSV_FileList!$A$1:$A$1000,".tsv"),"")),0)),"notfound")</f>
        <v>ISBN%3A9783764353704_Table19.tsv</v>
      </c>
      <c r="M44" s="21" t="s">
        <v>232</v>
      </c>
      <c r="N44" s="19" t="s">
        <v>54</v>
      </c>
      <c r="O44" s="20"/>
      <c r="P44" s="21" t="s">
        <v>55</v>
      </c>
      <c r="Q44" s="21"/>
      <c r="R44" s="21"/>
      <c r="S44" s="21" t="s">
        <v>222</v>
      </c>
      <c r="T44" s="21" t="s">
        <v>223</v>
      </c>
      <c r="U44" s="21"/>
      <c r="V44" s="20"/>
      <c r="W44" s="21" t="s">
        <v>224</v>
      </c>
      <c r="X44" s="21" t="s">
        <v>233</v>
      </c>
      <c r="Y44" s="21" t="s">
        <v>233</v>
      </c>
      <c r="Z44" s="21" t="s">
        <v>172</v>
      </c>
      <c r="AA44" s="21"/>
      <c r="AB44" s="21" t="s">
        <v>177</v>
      </c>
      <c r="AC44" s="21" t="s">
        <v>205</v>
      </c>
      <c r="AD44" s="21" t="s">
        <v>205</v>
      </c>
      <c r="AE44" s="21" t="s">
        <v>50</v>
      </c>
      <c r="AF44" s="21"/>
      <c r="AG44" s="21" t="s">
        <v>234</v>
      </c>
      <c r="AH44" s="20"/>
    </row>
    <row r="45" spans="1:34" ht="17" customHeight="1" x14ac:dyDescent="0.2">
      <c r="A45" s="20" t="s">
        <v>217</v>
      </c>
      <c r="B45" s="20"/>
      <c r="C45" s="19" t="s">
        <v>218</v>
      </c>
      <c r="D45" s="21" t="s">
        <v>160</v>
      </c>
      <c r="E45" s="17" t="str">
        <f t="shared" si="0"/>
        <v>Baron</v>
      </c>
      <c r="F45" s="17"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17" t="str">
        <f t="shared" si="1"/>
        <v>1996</v>
      </c>
      <c r="H45" s="17" t="str">
        <f t="shared" si="2"/>
        <v>Baron_etal_1996</v>
      </c>
      <c r="I45" s="17" t="str">
        <f t="shared" si="6"/>
        <v>ISBN%3A9783764353704</v>
      </c>
      <c r="J45" s="17" t="str">
        <f t="shared" si="3"/>
        <v>Baron_etal_1996_Table2</v>
      </c>
      <c r="K45" s="17" t="str">
        <f t="shared" ref="K45:K80" si="7">I45 &amp; "_" &amp; SUBSTITUTE(SUBSTITUTE(SUBSTITUTE(D45,CHAR(160),"")," ",""),"_","")</f>
        <v>ISBN%3A9783764353704_Table2</v>
      </c>
      <c r="L45" s="17" t="str">
        <f t="array" ref="L45">IFERROR(INDEX(AUTO_Public_TSV_FileList!$A$1:$A$1000,MATCH(TRUE(),EXACT(K45,IFERROR(_xlfn.TEXTBEFORE(AUTO_Public_TSV_FileList!$A$1:$A$1000,".tsv"),"")),0)),"notfound")</f>
        <v>ISBN%3A9783764353704_Table2.tsv</v>
      </c>
      <c r="M45" s="21" t="s">
        <v>235</v>
      </c>
      <c r="N45" s="19" t="s">
        <v>54</v>
      </c>
      <c r="O45" s="20"/>
      <c r="P45" s="21" t="s">
        <v>55</v>
      </c>
      <c r="Q45" s="21"/>
      <c r="R45" s="21"/>
      <c r="S45" s="21" t="s">
        <v>222</v>
      </c>
      <c r="T45" s="21" t="s">
        <v>223</v>
      </c>
      <c r="U45" s="21"/>
      <c r="V45" s="20"/>
      <c r="W45" s="21" t="s">
        <v>224</v>
      </c>
      <c r="X45" s="21" t="s">
        <v>236</v>
      </c>
      <c r="Y45" s="21" t="s">
        <v>236</v>
      </c>
      <c r="Z45" s="21" t="s">
        <v>172</v>
      </c>
      <c r="AA45" s="21"/>
      <c r="AB45" s="21" t="s">
        <v>237</v>
      </c>
      <c r="AC45" s="21" t="s">
        <v>205</v>
      </c>
      <c r="AD45" s="21" t="s">
        <v>205</v>
      </c>
      <c r="AE45" s="21" t="s">
        <v>50</v>
      </c>
      <c r="AF45" s="21"/>
      <c r="AG45" s="21" t="s">
        <v>238</v>
      </c>
      <c r="AH45" s="20"/>
    </row>
    <row r="46" spans="1:34" ht="17" customHeight="1" x14ac:dyDescent="0.2">
      <c r="A46" s="20" t="s">
        <v>217</v>
      </c>
      <c r="B46" s="20"/>
      <c r="C46" s="19" t="s">
        <v>218</v>
      </c>
      <c r="D46" s="21" t="s">
        <v>239</v>
      </c>
      <c r="E46" s="17" t="str">
        <f t="shared" si="0"/>
        <v>Baron</v>
      </c>
      <c r="F46" s="17"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17" t="str">
        <f t="shared" si="1"/>
        <v>1996</v>
      </c>
      <c r="H46" s="17" t="str">
        <f t="shared" si="2"/>
        <v>Baron_etal_1996</v>
      </c>
      <c r="I46" s="17" t="str">
        <f t="shared" si="6"/>
        <v>ISBN%3A9783764353704</v>
      </c>
      <c r="J46" s="17" t="str">
        <f t="shared" si="3"/>
        <v>Baron_etal_1996_Table22</v>
      </c>
      <c r="K46" s="17" t="str">
        <f t="shared" si="7"/>
        <v>ISBN%3A9783764353704_Table22</v>
      </c>
      <c r="L46" s="17" t="str">
        <f t="array" ref="L46">IFERROR(INDEX(AUTO_Public_TSV_FileList!$A$1:$A$1000,MATCH(TRUE(),EXACT(K46,IFERROR(_xlfn.TEXTBEFORE(AUTO_Public_TSV_FileList!$A$1:$A$1000,".tsv"),"")),0)),"notfound")</f>
        <v>ISBN%3A9783764353704_Table22.tsv</v>
      </c>
      <c r="M46" s="21" t="s">
        <v>240</v>
      </c>
      <c r="N46" s="19" t="s">
        <v>54</v>
      </c>
      <c r="O46" s="20"/>
      <c r="P46" s="21" t="s">
        <v>55</v>
      </c>
      <c r="Q46" s="21"/>
      <c r="R46" s="21"/>
      <c r="S46" s="21" t="s">
        <v>222</v>
      </c>
      <c r="T46" s="21" t="s">
        <v>223</v>
      </c>
      <c r="U46" s="21"/>
      <c r="V46" s="20"/>
      <c r="W46" s="21" t="s">
        <v>224</v>
      </c>
      <c r="X46" s="21" t="s">
        <v>241</v>
      </c>
      <c r="Y46" s="21" t="s">
        <v>241</v>
      </c>
      <c r="Z46" s="21" t="s">
        <v>172</v>
      </c>
      <c r="AA46" s="21"/>
      <c r="AB46" s="21" t="s">
        <v>177</v>
      </c>
      <c r="AC46" s="21" t="s">
        <v>205</v>
      </c>
      <c r="AD46" s="21" t="s">
        <v>205</v>
      </c>
      <c r="AE46" s="21" t="s">
        <v>50</v>
      </c>
      <c r="AF46" s="21"/>
      <c r="AG46" s="21" t="s">
        <v>242</v>
      </c>
      <c r="AH46" s="20"/>
    </row>
    <row r="47" spans="1:34" ht="17" customHeight="1" x14ac:dyDescent="0.2">
      <c r="A47" s="20" t="s">
        <v>217</v>
      </c>
      <c r="B47" s="20"/>
      <c r="C47" s="19" t="s">
        <v>218</v>
      </c>
      <c r="D47" s="21" t="s">
        <v>243</v>
      </c>
      <c r="E47" s="17" t="str">
        <f t="shared" si="0"/>
        <v>Baron</v>
      </c>
      <c r="F47" s="17"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17" t="str">
        <f t="shared" si="1"/>
        <v>1996</v>
      </c>
      <c r="H47" s="17" t="str">
        <f t="shared" si="2"/>
        <v>Baron_etal_1996</v>
      </c>
      <c r="I47" s="17" t="str">
        <f t="shared" si="6"/>
        <v>ISBN%3A9783764353704</v>
      </c>
      <c r="J47" s="17" t="str">
        <f t="shared" si="3"/>
        <v>Baron_etal_1996_Table25</v>
      </c>
      <c r="K47" s="17" t="str">
        <f t="shared" si="7"/>
        <v>ISBN%3A9783764353704_Table25</v>
      </c>
      <c r="L47" s="17" t="str">
        <f t="array" ref="L47">IFERROR(INDEX(AUTO_Public_TSV_FileList!$A$1:$A$1000,MATCH(TRUE(),EXACT(K47,IFERROR(_xlfn.TEXTBEFORE(AUTO_Public_TSV_FileList!$A$1:$A$1000,".tsv"),"")),0)),"notfound")</f>
        <v>ISBN%3A9783764353704_Table25.tsv</v>
      </c>
      <c r="M47" s="21" t="s">
        <v>244</v>
      </c>
      <c r="N47" s="19" t="s">
        <v>54</v>
      </c>
      <c r="O47" s="20"/>
      <c r="P47" s="21" t="s">
        <v>55</v>
      </c>
      <c r="Q47" s="21"/>
      <c r="R47" s="21"/>
      <c r="S47" s="21" t="s">
        <v>222</v>
      </c>
      <c r="T47" s="21" t="s">
        <v>223</v>
      </c>
      <c r="U47" s="21"/>
      <c r="V47" s="20"/>
      <c r="W47" s="21" t="s">
        <v>224</v>
      </c>
      <c r="X47" s="21" t="s">
        <v>245</v>
      </c>
      <c r="Y47" s="21" t="s">
        <v>245</v>
      </c>
      <c r="Z47" s="21" t="s">
        <v>172</v>
      </c>
      <c r="AA47" s="21"/>
      <c r="AB47" s="21" t="s">
        <v>177</v>
      </c>
      <c r="AC47" s="21" t="s">
        <v>205</v>
      </c>
      <c r="AD47" s="21" t="s">
        <v>205</v>
      </c>
      <c r="AE47" s="21" t="s">
        <v>50</v>
      </c>
      <c r="AF47" s="21"/>
      <c r="AG47" s="21" t="s">
        <v>246</v>
      </c>
      <c r="AH47" s="20"/>
    </row>
    <row r="48" spans="1:34" ht="17" customHeight="1" x14ac:dyDescent="0.2">
      <c r="A48" s="20" t="s">
        <v>217</v>
      </c>
      <c r="B48" s="20"/>
      <c r="C48" s="19" t="s">
        <v>218</v>
      </c>
      <c r="D48" s="21" t="s">
        <v>247</v>
      </c>
      <c r="E48" s="17" t="str">
        <f t="shared" si="0"/>
        <v>Baron</v>
      </c>
      <c r="F48" s="17"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17" t="str">
        <f t="shared" si="1"/>
        <v>1996</v>
      </c>
      <c r="H48" s="17" t="str">
        <f t="shared" si="2"/>
        <v>Baron_etal_1996</v>
      </c>
      <c r="I48" s="17" t="str">
        <f t="shared" si="6"/>
        <v>ISBN%3A9783764353704</v>
      </c>
      <c r="J48" s="17" t="str">
        <f t="shared" si="3"/>
        <v>Baron_etal_1996_Table28</v>
      </c>
      <c r="K48" s="17" t="str">
        <f t="shared" si="7"/>
        <v>ISBN%3A9783764353704_Table28</v>
      </c>
      <c r="L48" s="17" t="str">
        <f t="array" ref="L48">IFERROR(INDEX(AUTO_Public_TSV_FileList!$A$1:$A$1000,MATCH(TRUE(),EXACT(K48,IFERROR(_xlfn.TEXTBEFORE(AUTO_Public_TSV_FileList!$A$1:$A$1000,".tsv"),"")),0)),"notfound")</f>
        <v>ISBN%3A9783764353704_Table28.tsv</v>
      </c>
      <c r="M48" s="21" t="s">
        <v>248</v>
      </c>
      <c r="N48" s="19" t="s">
        <v>54</v>
      </c>
      <c r="O48" s="20"/>
      <c r="P48" s="21" t="s">
        <v>55</v>
      </c>
      <c r="Q48" s="21"/>
      <c r="R48" s="21"/>
      <c r="S48" s="21" t="s">
        <v>222</v>
      </c>
      <c r="T48" s="21" t="s">
        <v>223</v>
      </c>
      <c r="U48" s="21"/>
      <c r="V48" s="20"/>
      <c r="W48" s="21" t="s">
        <v>224</v>
      </c>
      <c r="X48" s="21" t="s">
        <v>249</v>
      </c>
      <c r="Y48" s="21" t="s">
        <v>249</v>
      </c>
      <c r="Z48" s="21" t="s">
        <v>172</v>
      </c>
      <c r="AA48" s="21"/>
      <c r="AB48" s="21" t="s">
        <v>177</v>
      </c>
      <c r="AC48" s="21" t="s">
        <v>205</v>
      </c>
      <c r="AD48" s="21" t="s">
        <v>205</v>
      </c>
      <c r="AE48" s="21" t="s">
        <v>50</v>
      </c>
      <c r="AF48" s="21"/>
      <c r="AG48" s="21" t="s">
        <v>250</v>
      </c>
      <c r="AH48" s="20"/>
    </row>
    <row r="49" spans="1:34" ht="17" customHeight="1" x14ac:dyDescent="0.2">
      <c r="A49" s="20" t="s">
        <v>217</v>
      </c>
      <c r="B49" s="20"/>
      <c r="C49" s="19" t="s">
        <v>218</v>
      </c>
      <c r="D49" s="21" t="s">
        <v>251</v>
      </c>
      <c r="E49" s="17" t="str">
        <f t="shared" si="0"/>
        <v>Baron</v>
      </c>
      <c r="F49" s="17"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17" t="str">
        <f t="shared" si="1"/>
        <v>1996</v>
      </c>
      <c r="H49" s="17" t="str">
        <f t="shared" si="2"/>
        <v>Baron_etal_1996</v>
      </c>
      <c r="I49" s="17" t="str">
        <f t="shared" ref="I49:I68" si="8">_xlfn.LET(
_xlpm.doi,IF(C49&lt;&gt;"",C49,_xlfn.TEXTAFTER(A49,"https://doi.org/")),
SUBSTITUTE(
SUBSTITUTE(
SUBSTITUTE(
SUBSTITUTE(
_xlpm.doi,
"/","%2F"),
":","%3A"),
"&lt;","%3C"),
"&gt;","%3E")
)</f>
        <v>ISBN%3A9783764353704</v>
      </c>
      <c r="J49" s="17" t="str">
        <f t="shared" si="3"/>
        <v>Baron_etal_1996_Table30</v>
      </c>
      <c r="K49" s="17" t="str">
        <f t="shared" si="7"/>
        <v>ISBN%3A9783764353704_Table30</v>
      </c>
      <c r="L49" s="17" t="str">
        <f t="array" ref="L49">IFERROR(INDEX(AUTO_Public_TSV_FileList!$A$1:$A$1000,MATCH(TRUE(),EXACT(K49,IFERROR(_xlfn.TEXTBEFORE(AUTO_Public_TSV_FileList!$A$1:$A$1000,".tsv"),"")),0)),"notfound")</f>
        <v>ISBN%3A9783764353704_Table30.tsv</v>
      </c>
      <c r="M49" s="21" t="s">
        <v>252</v>
      </c>
      <c r="N49" s="19" t="s">
        <v>54</v>
      </c>
      <c r="O49" s="20"/>
      <c r="P49" s="21" t="s">
        <v>55</v>
      </c>
      <c r="Q49" s="21"/>
      <c r="R49" s="21"/>
      <c r="S49" s="21" t="s">
        <v>222</v>
      </c>
      <c r="T49" s="21" t="s">
        <v>223</v>
      </c>
      <c r="U49" s="21"/>
      <c r="V49" s="20"/>
      <c r="W49" s="21" t="s">
        <v>224</v>
      </c>
      <c r="X49" s="21" t="s">
        <v>253</v>
      </c>
      <c r="Y49" s="21" t="s">
        <v>253</v>
      </c>
      <c r="Z49" s="21" t="s">
        <v>172</v>
      </c>
      <c r="AA49" s="21"/>
      <c r="AB49" s="21" t="s">
        <v>177</v>
      </c>
      <c r="AC49" s="21" t="s">
        <v>205</v>
      </c>
      <c r="AD49" s="21" t="s">
        <v>205</v>
      </c>
      <c r="AE49" s="21" t="s">
        <v>50</v>
      </c>
      <c r="AF49" s="21"/>
      <c r="AG49" s="21" t="s">
        <v>254</v>
      </c>
      <c r="AH49" s="20"/>
    </row>
    <row r="50" spans="1:34" ht="17" customHeight="1" x14ac:dyDescent="0.2">
      <c r="A50" s="20" t="s">
        <v>217</v>
      </c>
      <c r="B50" s="20"/>
      <c r="C50" s="19" t="s">
        <v>218</v>
      </c>
      <c r="D50" s="19" t="s">
        <v>255</v>
      </c>
      <c r="E50" s="17" t="str">
        <f t="shared" si="0"/>
        <v>Baron</v>
      </c>
      <c r="F50" s="17"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17" t="str">
        <f t="shared" si="1"/>
        <v>1996</v>
      </c>
      <c r="H50" s="17" t="str">
        <f t="shared" si="2"/>
        <v>Baron_etal_1996</v>
      </c>
      <c r="I50" s="17" t="str">
        <f t="shared" si="8"/>
        <v>ISBN%3A9783764353704</v>
      </c>
      <c r="J50" s="17" t="str">
        <f t="shared" si="3"/>
        <v>Baron_etal_1996_Table32</v>
      </c>
      <c r="K50" s="17" t="str">
        <f t="shared" si="7"/>
        <v>ISBN%3A9783764353704_Table32</v>
      </c>
      <c r="L50" s="17" t="str">
        <f t="array" ref="L50">IFERROR(INDEX(AUTO_Public_TSV_FileList!$A$1:$A$1000,MATCH(TRUE(),EXACT(K50,IFERROR(_xlfn.TEXTBEFORE(AUTO_Public_TSV_FileList!$A$1:$A$1000,".tsv"),"")),0)),"notfound")</f>
        <v>ISBN%3A9783764353704_Table32.tsv</v>
      </c>
      <c r="M50" s="20"/>
      <c r="N50" s="19"/>
      <c r="O50" s="20"/>
      <c r="P50" s="19" t="s">
        <v>55</v>
      </c>
      <c r="Q50" s="19"/>
      <c r="R50" s="19"/>
      <c r="S50" s="19"/>
      <c r="T50" s="19"/>
      <c r="U50" s="19"/>
      <c r="V50" s="20"/>
      <c r="W50" s="19"/>
      <c r="X50" s="20"/>
      <c r="Y50" s="19"/>
      <c r="Z50" s="19"/>
      <c r="AA50" s="19"/>
      <c r="AB50" s="19"/>
      <c r="AC50" s="19"/>
      <c r="AD50" s="19"/>
      <c r="AE50" s="19" t="s">
        <v>50</v>
      </c>
      <c r="AF50" s="19"/>
      <c r="AG50" s="20"/>
      <c r="AH50" s="20"/>
    </row>
    <row r="51" spans="1:34" ht="17" customHeight="1" x14ac:dyDescent="0.2">
      <c r="A51" s="20" t="s">
        <v>217</v>
      </c>
      <c r="B51" s="20"/>
      <c r="C51" s="19" t="s">
        <v>218</v>
      </c>
      <c r="D51" s="21" t="s">
        <v>256</v>
      </c>
      <c r="E51" s="17" t="str">
        <f t="shared" si="0"/>
        <v>Baron</v>
      </c>
      <c r="F51" s="17"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17" t="str">
        <f t="shared" si="1"/>
        <v>1996</v>
      </c>
      <c r="H51" s="17" t="str">
        <f t="shared" si="2"/>
        <v>Baron_etal_1996</v>
      </c>
      <c r="I51" s="17" t="str">
        <f t="shared" si="8"/>
        <v>ISBN%3A9783764353704</v>
      </c>
      <c r="J51" s="17" t="str">
        <f t="shared" si="3"/>
        <v>Baron_etal_1996_Table35</v>
      </c>
      <c r="K51" s="17" t="str">
        <f t="shared" si="7"/>
        <v>ISBN%3A9783764353704_Table35</v>
      </c>
      <c r="L51" s="17" t="str">
        <f t="array" ref="L51">IFERROR(INDEX(AUTO_Public_TSV_FileList!$A$1:$A$1000,MATCH(TRUE(),EXACT(K51,IFERROR(_xlfn.TEXTBEFORE(AUTO_Public_TSV_FileList!$A$1:$A$1000,".tsv"),"")),0)),"notfound")</f>
        <v>ISBN%3A9783764353704_Table35.tsv</v>
      </c>
      <c r="M51" s="21" t="s">
        <v>257</v>
      </c>
      <c r="N51" s="19" t="s">
        <v>54</v>
      </c>
      <c r="O51" s="20"/>
      <c r="P51" s="21" t="s">
        <v>55</v>
      </c>
      <c r="Q51" s="21"/>
      <c r="R51" s="21"/>
      <c r="S51" s="21" t="s">
        <v>222</v>
      </c>
      <c r="T51" s="21" t="s">
        <v>223</v>
      </c>
      <c r="U51" s="21"/>
      <c r="V51" s="20"/>
      <c r="W51" s="21" t="s">
        <v>224</v>
      </c>
      <c r="X51" s="21" t="s">
        <v>258</v>
      </c>
      <c r="Y51" s="21" t="s">
        <v>258</v>
      </c>
      <c r="Z51" s="21" t="s">
        <v>172</v>
      </c>
      <c r="AA51" s="21"/>
      <c r="AB51" s="21" t="s">
        <v>177</v>
      </c>
      <c r="AC51" s="21" t="s">
        <v>205</v>
      </c>
      <c r="AD51" s="21" t="s">
        <v>205</v>
      </c>
      <c r="AE51" s="21" t="s">
        <v>50</v>
      </c>
      <c r="AF51" s="21"/>
      <c r="AG51" s="21" t="s">
        <v>259</v>
      </c>
      <c r="AH51" s="20"/>
    </row>
    <row r="52" spans="1:34" ht="17" customHeight="1" x14ac:dyDescent="0.2">
      <c r="A52" s="20" t="s">
        <v>217</v>
      </c>
      <c r="B52" s="20"/>
      <c r="C52" s="19" t="s">
        <v>218</v>
      </c>
      <c r="D52" s="21" t="s">
        <v>260</v>
      </c>
      <c r="E52" s="17" t="str">
        <f t="shared" si="0"/>
        <v>Baron</v>
      </c>
      <c r="F52" s="17"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17" t="str">
        <f t="shared" si="1"/>
        <v>1996</v>
      </c>
      <c r="H52" s="17" t="str">
        <f t="shared" si="2"/>
        <v>Baron_etal_1996</v>
      </c>
      <c r="I52" s="17" t="str">
        <f t="shared" si="8"/>
        <v>ISBN%3A9783764353704</v>
      </c>
      <c r="J52" s="17" t="str">
        <f t="shared" si="3"/>
        <v>Baron_etal_1996_Table36</v>
      </c>
      <c r="K52" s="17" t="str">
        <f t="shared" si="7"/>
        <v>ISBN%3A9783764353704_Table36</v>
      </c>
      <c r="L52" s="17" t="str">
        <f t="array" ref="L52">IFERROR(INDEX(AUTO_Public_TSV_FileList!$A$1:$A$1000,MATCH(TRUE(),EXACT(K52,IFERROR(_xlfn.TEXTBEFORE(AUTO_Public_TSV_FileList!$A$1:$A$1000,".tsv"),"")),0)),"notfound")</f>
        <v>ISBN%3A9783764353704_Table36.tsv</v>
      </c>
      <c r="M52" s="21" t="s">
        <v>261</v>
      </c>
      <c r="N52" s="19" t="s">
        <v>54</v>
      </c>
      <c r="O52" s="20"/>
      <c r="P52" s="21" t="s">
        <v>55</v>
      </c>
      <c r="Q52" s="21"/>
      <c r="R52" s="21"/>
      <c r="S52" s="21" t="s">
        <v>222</v>
      </c>
      <c r="T52" s="21" t="s">
        <v>262</v>
      </c>
      <c r="U52" s="21"/>
      <c r="V52" s="20"/>
      <c r="W52" s="21" t="s">
        <v>224</v>
      </c>
      <c r="X52" s="21" t="s">
        <v>263</v>
      </c>
      <c r="Y52" s="21" t="s">
        <v>263</v>
      </c>
      <c r="Z52" s="21" t="s">
        <v>172</v>
      </c>
      <c r="AA52" s="20"/>
      <c r="AB52" s="21" t="s">
        <v>264</v>
      </c>
      <c r="AC52" s="20"/>
      <c r="AD52" s="21"/>
      <c r="AE52" s="21" t="s">
        <v>265</v>
      </c>
      <c r="AF52" s="21" t="s">
        <v>266</v>
      </c>
      <c r="AG52" s="21" t="s">
        <v>267</v>
      </c>
      <c r="AH52" s="20"/>
    </row>
    <row r="53" spans="1:34" ht="17" customHeight="1" x14ac:dyDescent="0.2">
      <c r="A53" s="20" t="s">
        <v>217</v>
      </c>
      <c r="B53" s="20"/>
      <c r="C53" s="19" t="s">
        <v>218</v>
      </c>
      <c r="D53" s="21" t="s">
        <v>268</v>
      </c>
      <c r="E53" s="17" t="str">
        <f t="shared" si="0"/>
        <v>Baron</v>
      </c>
      <c r="F53" s="17"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17" t="str">
        <f t="shared" si="1"/>
        <v>1996</v>
      </c>
      <c r="H53" s="17" t="str">
        <f t="shared" si="2"/>
        <v>Baron_etal_1996</v>
      </c>
      <c r="I53" s="17" t="str">
        <f t="shared" si="8"/>
        <v>ISBN%3A9783764353704</v>
      </c>
      <c r="J53" s="17" t="str">
        <f t="shared" si="3"/>
        <v>Baron_etal_1996_Table39</v>
      </c>
      <c r="K53" s="17" t="str">
        <f t="shared" si="7"/>
        <v>ISBN%3A9783764353704_Table39</v>
      </c>
      <c r="L53" s="17" t="str">
        <f t="array" ref="L53">IFERROR(INDEX(AUTO_Public_TSV_FileList!$A$1:$A$1000,MATCH(TRUE(),EXACT(K53,IFERROR(_xlfn.TEXTBEFORE(AUTO_Public_TSV_FileList!$A$1:$A$1000,".tsv"),"")),0)),"notfound")</f>
        <v>ISBN%3A9783764353704_Table39.tsv</v>
      </c>
      <c r="M53" s="21" t="s">
        <v>269</v>
      </c>
      <c r="N53" s="19" t="s">
        <v>54</v>
      </c>
      <c r="O53" s="20"/>
      <c r="P53" s="21" t="s">
        <v>55</v>
      </c>
      <c r="Q53" s="21"/>
      <c r="R53" s="21"/>
      <c r="S53" s="21" t="s">
        <v>222</v>
      </c>
      <c r="T53" s="21" t="s">
        <v>262</v>
      </c>
      <c r="U53" s="21"/>
      <c r="V53" s="20"/>
      <c r="W53" s="21" t="s">
        <v>224</v>
      </c>
      <c r="X53" s="21" t="s">
        <v>263</v>
      </c>
      <c r="Y53" s="21"/>
      <c r="Z53" s="21" t="s">
        <v>172</v>
      </c>
      <c r="AA53" s="21" t="s">
        <v>270</v>
      </c>
      <c r="AB53" s="21" t="s">
        <v>264</v>
      </c>
      <c r="AC53" s="21"/>
      <c r="AD53" s="21"/>
      <c r="AE53" s="21" t="s">
        <v>265</v>
      </c>
      <c r="AF53" s="21"/>
      <c r="AG53" s="20"/>
      <c r="AH53" s="20"/>
    </row>
    <row r="54" spans="1:34" ht="17" customHeight="1" x14ac:dyDescent="0.2">
      <c r="A54" s="20" t="s">
        <v>217</v>
      </c>
      <c r="B54" s="20"/>
      <c r="C54" s="19" t="s">
        <v>218</v>
      </c>
      <c r="D54" s="21" t="s">
        <v>271</v>
      </c>
      <c r="E54" s="17" t="str">
        <f t="shared" si="0"/>
        <v>Baron</v>
      </c>
      <c r="F54" s="17"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17" t="str">
        <f t="shared" si="1"/>
        <v>1996</v>
      </c>
      <c r="H54" s="17" t="str">
        <f t="shared" si="2"/>
        <v>Baron_etal_1996</v>
      </c>
      <c r="I54" s="17" t="str">
        <f t="shared" si="8"/>
        <v>ISBN%3A9783764353704</v>
      </c>
      <c r="J54" s="17" t="str">
        <f t="shared" si="3"/>
        <v>Baron_etal_1996_Table42</v>
      </c>
      <c r="K54" s="17" t="str">
        <f t="shared" si="7"/>
        <v>ISBN%3A9783764353704_Table42</v>
      </c>
      <c r="L54" s="17" t="str">
        <f t="array" ref="L54">IFERROR(INDEX(AUTO_Public_TSV_FileList!$A$1:$A$1000,MATCH(TRUE(),EXACT(K54,IFERROR(_xlfn.TEXTBEFORE(AUTO_Public_TSV_FileList!$A$1:$A$1000,".tsv"),"")),0)),"notfound")</f>
        <v>ISBN%3A9783764353704_Table42.tsv</v>
      </c>
      <c r="M54" s="21" t="s">
        <v>272</v>
      </c>
      <c r="N54" s="19" t="s">
        <v>54</v>
      </c>
      <c r="O54" s="21" t="s">
        <v>273</v>
      </c>
      <c r="P54" s="21" t="s">
        <v>55</v>
      </c>
      <c r="Q54" s="21"/>
      <c r="R54" s="21"/>
      <c r="S54" s="21" t="s">
        <v>222</v>
      </c>
      <c r="T54" s="21" t="s">
        <v>262</v>
      </c>
      <c r="U54" s="21"/>
      <c r="V54" s="20"/>
      <c r="W54" s="21" t="s">
        <v>224</v>
      </c>
      <c r="X54" s="21" t="s">
        <v>274</v>
      </c>
      <c r="Y54" s="21"/>
      <c r="Z54" s="21" t="s">
        <v>172</v>
      </c>
      <c r="AA54" s="21" t="s">
        <v>270</v>
      </c>
      <c r="AB54" s="21" t="s">
        <v>264</v>
      </c>
      <c r="AC54" s="21"/>
      <c r="AD54" s="21"/>
      <c r="AE54" s="21" t="s">
        <v>265</v>
      </c>
      <c r="AF54" s="21"/>
      <c r="AG54" s="20"/>
      <c r="AH54" s="20"/>
    </row>
    <row r="55" spans="1:34" ht="17" customHeight="1" x14ac:dyDescent="0.2">
      <c r="A55" s="20" t="s">
        <v>217</v>
      </c>
      <c r="B55" s="20"/>
      <c r="C55" s="19" t="s">
        <v>218</v>
      </c>
      <c r="D55" s="21" t="s">
        <v>275</v>
      </c>
      <c r="E55" s="17" t="str">
        <f t="shared" si="0"/>
        <v>Baron</v>
      </c>
      <c r="F55" s="17"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17" t="str">
        <f t="shared" si="1"/>
        <v>1996</v>
      </c>
      <c r="H55" s="17" t="str">
        <f t="shared" si="2"/>
        <v>Baron_etal_1996</v>
      </c>
      <c r="I55" s="17" t="str">
        <f t="shared" si="8"/>
        <v>ISBN%3A9783764353704</v>
      </c>
      <c r="J55" s="17" t="str">
        <f t="shared" si="3"/>
        <v>Baron_etal_1996_Table45</v>
      </c>
      <c r="K55" s="17" t="str">
        <f t="shared" si="7"/>
        <v>ISBN%3A9783764353704_Table45</v>
      </c>
      <c r="L55" s="17" t="str">
        <f t="array" ref="L55">IFERROR(INDEX(AUTO_Public_TSV_FileList!$A$1:$A$1000,MATCH(TRUE(),EXACT(K55,IFERROR(_xlfn.TEXTBEFORE(AUTO_Public_TSV_FileList!$A$1:$A$1000,".tsv"),"")),0)),"notfound")</f>
        <v>ISBN%3A9783764353704_Table45.tsv</v>
      </c>
      <c r="M55" s="21" t="s">
        <v>276</v>
      </c>
      <c r="N55" s="19" t="s">
        <v>54</v>
      </c>
      <c r="O55" s="21" t="s">
        <v>277</v>
      </c>
      <c r="P55" s="21" t="s">
        <v>55</v>
      </c>
      <c r="Q55" s="21"/>
      <c r="R55" s="21"/>
      <c r="S55" s="21" t="s">
        <v>222</v>
      </c>
      <c r="T55" s="21" t="s">
        <v>262</v>
      </c>
      <c r="U55" s="21"/>
      <c r="V55" s="20"/>
      <c r="W55" s="21" t="s">
        <v>224</v>
      </c>
      <c r="X55" s="21" t="s">
        <v>278</v>
      </c>
      <c r="Y55" s="21"/>
      <c r="Z55" s="21" t="s">
        <v>172</v>
      </c>
      <c r="AA55" s="21" t="s">
        <v>270</v>
      </c>
      <c r="AB55" s="21" t="s">
        <v>264</v>
      </c>
      <c r="AC55" s="21"/>
      <c r="AD55" s="21"/>
      <c r="AE55" s="21" t="s">
        <v>265</v>
      </c>
      <c r="AF55" s="21"/>
      <c r="AG55" s="20"/>
      <c r="AH55" s="20"/>
    </row>
    <row r="56" spans="1:34" ht="17" customHeight="1" x14ac:dyDescent="0.2">
      <c r="A56" s="20" t="s">
        <v>217</v>
      </c>
      <c r="B56" s="20"/>
      <c r="C56" s="19" t="s">
        <v>218</v>
      </c>
      <c r="D56" s="21" t="s">
        <v>279</v>
      </c>
      <c r="E56" s="17" t="str">
        <f t="shared" si="0"/>
        <v>Baron</v>
      </c>
      <c r="F56" s="17"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17" t="str">
        <f t="shared" si="1"/>
        <v>1996</v>
      </c>
      <c r="H56" s="17" t="str">
        <f t="shared" si="2"/>
        <v>Baron_etal_1996</v>
      </c>
      <c r="I56" s="17" t="str">
        <f t="shared" si="8"/>
        <v>ISBN%3A9783764353704</v>
      </c>
      <c r="J56" s="17" t="str">
        <f t="shared" si="3"/>
        <v>Baron_etal_1996_Table48</v>
      </c>
      <c r="K56" s="17" t="str">
        <f t="shared" si="7"/>
        <v>ISBN%3A9783764353704_Table48</v>
      </c>
      <c r="L56" s="17" t="str">
        <f t="array" ref="L56">IFERROR(INDEX(AUTO_Public_TSV_FileList!$A$1:$A$1000,MATCH(TRUE(),EXACT(K56,IFERROR(_xlfn.TEXTBEFORE(AUTO_Public_TSV_FileList!$A$1:$A$1000,".tsv"),"")),0)),"notfound")</f>
        <v>ISBN%3A9783764353704_Table48.tsv</v>
      </c>
      <c r="M56" s="21" t="s">
        <v>280</v>
      </c>
      <c r="N56" s="19" t="s">
        <v>54</v>
      </c>
      <c r="O56" s="20"/>
      <c r="P56" s="21" t="s">
        <v>55</v>
      </c>
      <c r="Q56" s="21"/>
      <c r="R56" s="21"/>
      <c r="S56" s="21" t="s">
        <v>222</v>
      </c>
      <c r="T56" s="21" t="s">
        <v>262</v>
      </c>
      <c r="U56" s="21"/>
      <c r="V56" s="20"/>
      <c r="W56" s="21" t="s">
        <v>224</v>
      </c>
      <c r="X56" s="21" t="s">
        <v>263</v>
      </c>
      <c r="Y56" s="21" t="s">
        <v>263</v>
      </c>
      <c r="Z56" s="21" t="s">
        <v>172</v>
      </c>
      <c r="AA56" s="20"/>
      <c r="AB56" s="21" t="s">
        <v>264</v>
      </c>
      <c r="AC56" s="20"/>
      <c r="AD56" s="21"/>
      <c r="AE56" s="21" t="s">
        <v>265</v>
      </c>
      <c r="AF56" s="21" t="s">
        <v>281</v>
      </c>
      <c r="AG56" s="20"/>
      <c r="AH56" s="20"/>
    </row>
    <row r="57" spans="1:34" ht="17" customHeight="1" x14ac:dyDescent="0.2">
      <c r="A57" s="20" t="s">
        <v>217</v>
      </c>
      <c r="B57" s="20"/>
      <c r="C57" s="19" t="s">
        <v>218</v>
      </c>
      <c r="D57" s="21" t="s">
        <v>164</v>
      </c>
      <c r="E57" s="17" t="str">
        <f t="shared" si="0"/>
        <v>Baron</v>
      </c>
      <c r="F57" s="17"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17" t="str">
        <f t="shared" si="1"/>
        <v>1996</v>
      </c>
      <c r="H57" s="17" t="str">
        <f t="shared" si="2"/>
        <v>Baron_etal_1996</v>
      </c>
      <c r="I57" s="17" t="str">
        <f t="shared" si="8"/>
        <v>ISBN%3A9783764353704</v>
      </c>
      <c r="J57" s="17" t="str">
        <f t="shared" si="3"/>
        <v>Baron_etal_1996_Table5</v>
      </c>
      <c r="K57" s="17" t="str">
        <f t="shared" si="7"/>
        <v>ISBN%3A9783764353704_Table5</v>
      </c>
      <c r="L57" s="17" t="str">
        <f t="array" ref="L57">IFERROR(INDEX(AUTO_Public_TSV_FileList!$A$1:$A$1000,MATCH(TRUE(),EXACT(K57,IFERROR(_xlfn.TEXTBEFORE(AUTO_Public_TSV_FileList!$A$1:$A$1000,".tsv"),"")),0)),"notfound")</f>
        <v>ISBN%3A9783764353704_Table5.tsv</v>
      </c>
      <c r="M57" s="21" t="s">
        <v>282</v>
      </c>
      <c r="N57" s="19" t="s">
        <v>54</v>
      </c>
      <c r="O57" s="20"/>
      <c r="P57" s="21" t="s">
        <v>55</v>
      </c>
      <c r="Q57" s="21"/>
      <c r="R57" s="21"/>
      <c r="S57" s="21" t="s">
        <v>222</v>
      </c>
      <c r="T57" s="21" t="s">
        <v>223</v>
      </c>
      <c r="U57" s="21"/>
      <c r="V57" s="20"/>
      <c r="W57" s="21" t="s">
        <v>224</v>
      </c>
      <c r="X57" s="21" t="s">
        <v>283</v>
      </c>
      <c r="Y57" s="21" t="s">
        <v>283</v>
      </c>
      <c r="Z57" s="21"/>
      <c r="AA57" s="21"/>
      <c r="AB57" s="21" t="s">
        <v>284</v>
      </c>
      <c r="AC57" s="21" t="s">
        <v>205</v>
      </c>
      <c r="AD57" s="21" t="s">
        <v>205</v>
      </c>
      <c r="AE57" s="21" t="s">
        <v>50</v>
      </c>
      <c r="AF57" s="21"/>
      <c r="AG57" s="21" t="s">
        <v>285</v>
      </c>
      <c r="AH57" s="20"/>
    </row>
    <row r="58" spans="1:34" ht="17" customHeight="1" x14ac:dyDescent="0.2">
      <c r="A58" s="20" t="s">
        <v>217</v>
      </c>
      <c r="B58" s="20"/>
      <c r="C58" s="19" t="s">
        <v>218</v>
      </c>
      <c r="D58" s="21" t="s">
        <v>286</v>
      </c>
      <c r="E58" s="17" t="str">
        <f t="shared" si="0"/>
        <v>Baron</v>
      </c>
      <c r="F58" s="17"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17" t="str">
        <f t="shared" si="1"/>
        <v>1996</v>
      </c>
      <c r="H58" s="17" t="str">
        <f t="shared" si="2"/>
        <v>Baron_etal_1996</v>
      </c>
      <c r="I58" s="17" t="str">
        <f t="shared" si="8"/>
        <v>ISBN%3A9783764353704</v>
      </c>
      <c r="J58" s="17" t="str">
        <f t="shared" si="3"/>
        <v>Baron_etal_1996_Table51</v>
      </c>
      <c r="K58" s="17" t="str">
        <f t="shared" si="7"/>
        <v>ISBN%3A9783764353704_Table51</v>
      </c>
      <c r="L58" s="17" t="str">
        <f t="array" ref="L58">IFERROR(INDEX(AUTO_Public_TSV_FileList!$A$1:$A$1000,MATCH(TRUE(),EXACT(K58,IFERROR(_xlfn.TEXTBEFORE(AUTO_Public_TSV_FileList!$A$1:$A$1000,".tsv"),"")),0)),"notfound")</f>
        <v>ISBN%3A9783764353704_Table51.tsv</v>
      </c>
      <c r="M58" s="21" t="s">
        <v>287</v>
      </c>
      <c r="N58" s="19" t="s">
        <v>54</v>
      </c>
      <c r="O58" s="20"/>
      <c r="P58" s="21" t="s">
        <v>55</v>
      </c>
      <c r="Q58" s="21"/>
      <c r="R58" s="21"/>
      <c r="S58" s="21" t="s">
        <v>222</v>
      </c>
      <c r="T58" s="21" t="s">
        <v>262</v>
      </c>
      <c r="U58" s="21"/>
      <c r="V58" s="20"/>
      <c r="W58" s="21" t="s">
        <v>224</v>
      </c>
      <c r="X58" s="21" t="s">
        <v>288</v>
      </c>
      <c r="Y58" s="21"/>
      <c r="Z58" s="21" t="s">
        <v>172</v>
      </c>
      <c r="AA58" s="21" t="s">
        <v>216</v>
      </c>
      <c r="AB58" s="21" t="s">
        <v>177</v>
      </c>
      <c r="AC58" s="20"/>
      <c r="AD58" s="21"/>
      <c r="AE58" s="21" t="s">
        <v>265</v>
      </c>
      <c r="AF58" s="21"/>
      <c r="AG58" s="21" t="s">
        <v>289</v>
      </c>
      <c r="AH58" s="20"/>
    </row>
    <row r="59" spans="1:34" ht="17" customHeight="1" x14ac:dyDescent="0.2">
      <c r="A59" s="20" t="s">
        <v>217</v>
      </c>
      <c r="B59" s="20"/>
      <c r="C59" s="19" t="s">
        <v>218</v>
      </c>
      <c r="D59" s="21" t="s">
        <v>290</v>
      </c>
      <c r="E59" s="17" t="str">
        <f t="shared" si="0"/>
        <v>Baron</v>
      </c>
      <c r="F59" s="17"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17" t="str">
        <f t="shared" si="1"/>
        <v>1996</v>
      </c>
      <c r="H59" s="17" t="str">
        <f t="shared" si="2"/>
        <v>Baron_etal_1996</v>
      </c>
      <c r="I59" s="17" t="str">
        <f t="shared" si="8"/>
        <v>ISBN%3A9783764353704</v>
      </c>
      <c r="J59" s="17" t="str">
        <f t="shared" si="3"/>
        <v>Baron_etal_1996_Table8</v>
      </c>
      <c r="K59" s="17" t="str">
        <f t="shared" si="7"/>
        <v>ISBN%3A9783764353704_Table8</v>
      </c>
      <c r="L59" s="17" t="str">
        <f t="array" ref="L59">IFERROR(INDEX(AUTO_Public_TSV_FileList!$A$1:$A$1000,MATCH(TRUE(),EXACT(K59,IFERROR(_xlfn.TEXTBEFORE(AUTO_Public_TSV_FileList!$A$1:$A$1000,".tsv"),"")),0)),"notfound")</f>
        <v>ISBN%3A9783764353704_Table8.tsv</v>
      </c>
      <c r="M59" s="21" t="s">
        <v>291</v>
      </c>
      <c r="N59" s="19" t="s">
        <v>54</v>
      </c>
      <c r="O59" s="21" t="s">
        <v>292</v>
      </c>
      <c r="P59" s="21" t="s">
        <v>55</v>
      </c>
      <c r="Q59" s="21"/>
      <c r="R59" s="21"/>
      <c r="S59" s="21" t="s">
        <v>222</v>
      </c>
      <c r="T59" s="21" t="s">
        <v>223</v>
      </c>
      <c r="U59" s="21"/>
      <c r="V59" s="20"/>
      <c r="W59" s="21" t="s">
        <v>224</v>
      </c>
      <c r="X59" s="21" t="s">
        <v>293</v>
      </c>
      <c r="Y59" s="21" t="s">
        <v>293</v>
      </c>
      <c r="Z59" s="21" t="s">
        <v>172</v>
      </c>
      <c r="AA59" s="21"/>
      <c r="AB59" s="21" t="s">
        <v>177</v>
      </c>
      <c r="AC59" s="21" t="s">
        <v>205</v>
      </c>
      <c r="AD59" s="21" t="s">
        <v>205</v>
      </c>
      <c r="AE59" s="21" t="s">
        <v>50</v>
      </c>
      <c r="AF59" s="21"/>
      <c r="AG59" s="21" t="s">
        <v>294</v>
      </c>
      <c r="AH59" s="20"/>
    </row>
    <row r="60" spans="1:34" ht="17" customHeight="1" x14ac:dyDescent="0.2">
      <c r="A60" s="20" t="s">
        <v>295</v>
      </c>
      <c r="B60" s="20"/>
      <c r="C60" s="20"/>
      <c r="D60" s="20" t="s">
        <v>86</v>
      </c>
      <c r="E60" s="17" t="str">
        <f t="shared" si="0"/>
        <v>Barrickman</v>
      </c>
      <c r="F60" s="17"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60" s="17" t="str">
        <f t="shared" si="1"/>
        <v>2010</v>
      </c>
      <c r="H60" s="17" t="str">
        <f t="shared" si="2"/>
        <v>Barrickman_Lin_2010</v>
      </c>
      <c r="I60" s="17" t="str">
        <f t="shared" si="8"/>
        <v>10.1002%2Fajpa.21354</v>
      </c>
      <c r="J60" s="17" t="str">
        <f t="shared" si="3"/>
        <v>Barrickman_Lin_2010_Table1</v>
      </c>
      <c r="K60" s="17" t="str">
        <f t="shared" si="7"/>
        <v>10.1002%2Fajpa.21354_Table1</v>
      </c>
      <c r="L60" s="17" t="str">
        <f t="array" ref="L60">IFERROR(INDEX(AUTO_Public_TSV_FileList!$A$1:$A$1000,MATCH(TRUE(),EXACT(K60,IFERROR(_xlfn.TEXTBEFORE(AUTO_Public_TSV_FileList!$A$1:$A$1000,".tsv"),"")),0)),"notfound")</f>
        <v>10.1002%2Fajpa.21354_Table1.tsv</v>
      </c>
      <c r="M60" s="20" t="s">
        <v>296</v>
      </c>
      <c r="N60" s="20" t="s">
        <v>297</v>
      </c>
      <c r="O60" s="20" t="s">
        <v>298</v>
      </c>
      <c r="P60" s="20" t="s">
        <v>299</v>
      </c>
      <c r="Q60" s="20" t="s">
        <v>300</v>
      </c>
      <c r="R60" s="20" t="s">
        <v>301</v>
      </c>
      <c r="S60" s="20"/>
      <c r="T60" s="20"/>
      <c r="U60" s="20"/>
      <c r="V60" s="20"/>
      <c r="W60" s="20" t="s">
        <v>302</v>
      </c>
      <c r="X60" s="20" t="s">
        <v>303</v>
      </c>
      <c r="Y60" s="20" t="s">
        <v>304</v>
      </c>
      <c r="Z60" s="20" t="s">
        <v>305</v>
      </c>
      <c r="AA60" s="20" t="s">
        <v>306</v>
      </c>
      <c r="AB60" s="20" t="s">
        <v>307</v>
      </c>
      <c r="AC60" s="20"/>
      <c r="AD60" s="20"/>
      <c r="AE60" s="20" t="s">
        <v>70</v>
      </c>
      <c r="AF60" s="20" t="s">
        <v>308</v>
      </c>
      <c r="AG60" s="20"/>
      <c r="AH60" s="20"/>
    </row>
    <row r="61" spans="1:34" ht="17" customHeight="1" x14ac:dyDescent="0.2">
      <c r="A61" s="20" t="s">
        <v>309</v>
      </c>
      <c r="B61" s="20"/>
      <c r="C61" s="20"/>
      <c r="D61" s="20" t="s">
        <v>310</v>
      </c>
      <c r="E61" s="17" t="str">
        <f t="shared" si="0"/>
        <v>Bartlett</v>
      </c>
      <c r="F61" s="17" t="str">
        <f>_xlfn.LET(
_xlpm.authors,_xlfn.TEXTBEFORE(A61," ("&amp;G61&amp;")"),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61" s="17" t="str">
        <f t="shared" si="1"/>
        <v>2003</v>
      </c>
      <c r="H61" s="17" t="str">
        <f t="shared" si="2"/>
        <v>Bartlett__2003</v>
      </c>
      <c r="I61" s="17" t="str">
        <f t="shared" si="8"/>
        <v>10.1023%2FA%3A1023088814263</v>
      </c>
      <c r="J61" s="17" t="str">
        <f t="shared" si="3"/>
        <v>Bartlett__2003_Figure4</v>
      </c>
      <c r="K61" s="17" t="str">
        <f t="shared" si="7"/>
        <v>10.1023%2FA%3A1023088814263_Figure4</v>
      </c>
      <c r="L61" s="17" t="str">
        <f>IFERROR(INDEX(AUTO_Public_TSV_FileList!$A$1:$A$1000,MATCH(TRUE(),EXACT(K61,IFERROR(_xlfn.TEXTBEFORE(AUTO_Public_TSV_FileList!$A$1:$A$1000,".tsv"),"")),0)),"notfound")</f>
        <v>notfound</v>
      </c>
      <c r="M61" s="20" t="s">
        <v>310</v>
      </c>
      <c r="N61" s="20" t="s">
        <v>311</v>
      </c>
      <c r="O61" s="20" t="s">
        <v>312</v>
      </c>
      <c r="P61" s="20" t="s">
        <v>313</v>
      </c>
      <c r="Q61" s="20" t="s">
        <v>314</v>
      </c>
      <c r="R61" s="20" t="s">
        <v>315</v>
      </c>
      <c r="S61" s="20" t="s">
        <v>316</v>
      </c>
      <c r="T61" s="20" t="s">
        <v>317</v>
      </c>
      <c r="U61" s="20"/>
      <c r="V61" s="20" t="s">
        <v>318</v>
      </c>
      <c r="W61" s="20" t="s">
        <v>319</v>
      </c>
      <c r="X61" s="20" t="s">
        <v>320</v>
      </c>
      <c r="Y61" s="20"/>
      <c r="Z61" s="20"/>
      <c r="AA61" s="20" t="s">
        <v>321</v>
      </c>
      <c r="AB61" s="20" t="s">
        <v>322</v>
      </c>
      <c r="AC61" s="20" t="s">
        <v>323</v>
      </c>
      <c r="AD61" s="20"/>
      <c r="AE61" s="20" t="s">
        <v>50</v>
      </c>
      <c r="AF61" s="20"/>
      <c r="AG61" s="20" t="s">
        <v>324</v>
      </c>
      <c r="AH61" s="20" t="s">
        <v>325</v>
      </c>
    </row>
    <row r="62" spans="1:34" ht="17" customHeight="1" x14ac:dyDescent="0.2">
      <c r="A62" s="20" t="s">
        <v>309</v>
      </c>
      <c r="B62" s="20"/>
      <c r="C62" s="20"/>
      <c r="D62" s="20" t="s">
        <v>326</v>
      </c>
      <c r="E62" s="17" t="str">
        <f t="shared" si="0"/>
        <v>Bartlett</v>
      </c>
      <c r="F62" s="17" t="str">
        <f>_xlfn.LET(
_xlpm.authors,_xlfn.TEXTBEFORE(A62," ("&amp;G62&amp;")"),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62" s="17" t="str">
        <f t="shared" si="1"/>
        <v>2003</v>
      </c>
      <c r="H62" s="17" t="str">
        <f t="shared" si="2"/>
        <v>Bartlett__2003</v>
      </c>
      <c r="I62" s="17" t="str">
        <f t="shared" si="8"/>
        <v>10.1023%2FA%3A1023088814263</v>
      </c>
      <c r="J62" s="17" t="str">
        <f t="shared" si="3"/>
        <v>Bartlett__2003_Figure5</v>
      </c>
      <c r="K62" s="17" t="str">
        <f t="shared" si="7"/>
        <v>10.1023%2FA%3A1023088814263_Figure5</v>
      </c>
      <c r="L62" s="17" t="str">
        <f>IFERROR(INDEX(AUTO_Public_TSV_FileList!$A$1:$A$1000,MATCH(TRUE(),EXACT(K62,IFERROR(_xlfn.TEXTBEFORE(AUTO_Public_TSV_FileList!$A$1:$A$1000,".tsv"),"")),0)),"notfound")</f>
        <v>notfound</v>
      </c>
      <c r="M62" s="20" t="s">
        <v>327</v>
      </c>
      <c r="N62" s="20" t="s">
        <v>311</v>
      </c>
      <c r="O62" s="20" t="s">
        <v>328</v>
      </c>
      <c r="P62" s="20" t="s">
        <v>313</v>
      </c>
      <c r="Q62" s="20" t="s">
        <v>329</v>
      </c>
      <c r="R62" s="20" t="s">
        <v>315</v>
      </c>
      <c r="S62" s="20" t="s">
        <v>316</v>
      </c>
      <c r="T62" s="20" t="s">
        <v>317</v>
      </c>
      <c r="U62" s="20"/>
      <c r="V62" s="20" t="s">
        <v>318</v>
      </c>
      <c r="W62" s="20" t="s">
        <v>319</v>
      </c>
      <c r="X62" s="20" t="s">
        <v>330</v>
      </c>
      <c r="Y62" s="20"/>
      <c r="Z62" s="20"/>
      <c r="AA62" s="20" t="s">
        <v>321</v>
      </c>
      <c r="AB62" s="20" t="s">
        <v>322</v>
      </c>
      <c r="AC62" s="20" t="s">
        <v>323</v>
      </c>
      <c r="AD62" s="20"/>
      <c r="AE62" s="20" t="s">
        <v>50</v>
      </c>
      <c r="AF62" s="20"/>
      <c r="AG62" s="20" t="s">
        <v>324</v>
      </c>
      <c r="AH62" s="20" t="s">
        <v>325</v>
      </c>
    </row>
    <row r="63" spans="1:34" ht="17" customHeight="1" x14ac:dyDescent="0.2">
      <c r="A63" s="19" t="s">
        <v>331</v>
      </c>
      <c r="B63" s="20"/>
      <c r="C63" s="20"/>
      <c r="D63" s="19" t="s">
        <v>86</v>
      </c>
      <c r="E63" s="17" t="str">
        <f t="shared" si="0"/>
        <v>Bauernfeind</v>
      </c>
      <c r="F63" s="17"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 s="17" t="str">
        <f t="shared" si="1"/>
        <v>2013</v>
      </c>
      <c r="H63" s="17" t="str">
        <f t="shared" si="2"/>
        <v>Bauernfeind_etal_2013</v>
      </c>
      <c r="I63" s="17" t="str">
        <f t="shared" si="8"/>
        <v>10.1016%2Fj.jhevol.2012.12.003</v>
      </c>
      <c r="J63" s="17" t="str">
        <f t="shared" si="3"/>
        <v>Bauernfeind_etal_2013_Table1</v>
      </c>
      <c r="K63" s="17" t="str">
        <f t="shared" si="7"/>
        <v>10.1016%2Fj.jhevol.2012.12.003_Table1</v>
      </c>
      <c r="L63" s="17" t="str">
        <f t="array" ref="L63">IFERROR(INDEX(AUTO_Public_TSV_FileList!$A$1:$A$1000,MATCH(TRUE(),EXACT(K63,IFERROR(_xlfn.TEXTBEFORE(AUTO_Public_TSV_FileList!$A$1:$A$1000,".tsv"),"")),0)),"notfound")</f>
        <v>10.1016%2Fj.jhevol.2012.12.003_Table1.tsv</v>
      </c>
      <c r="M63" s="19" t="s">
        <v>332</v>
      </c>
      <c r="N63" s="19" t="s">
        <v>54</v>
      </c>
      <c r="O63" s="20"/>
      <c r="P63" s="19" t="s">
        <v>55</v>
      </c>
      <c r="Q63" s="20"/>
      <c r="R63" s="20"/>
      <c r="S63" s="20"/>
      <c r="T63" s="20"/>
      <c r="U63" s="20"/>
      <c r="V63" s="20"/>
      <c r="W63" s="19" t="s">
        <v>187</v>
      </c>
      <c r="X63" s="19" t="s">
        <v>333</v>
      </c>
      <c r="Y63" s="20"/>
      <c r="Z63" s="19" t="s">
        <v>172</v>
      </c>
      <c r="AA63" s="19" t="s">
        <v>216</v>
      </c>
      <c r="AB63" s="19" t="s">
        <v>177</v>
      </c>
      <c r="AC63" s="19" t="s">
        <v>334</v>
      </c>
      <c r="AD63" s="20"/>
      <c r="AE63" s="19" t="s">
        <v>50</v>
      </c>
      <c r="AF63" s="19"/>
      <c r="AG63" s="20"/>
      <c r="AH63" s="20"/>
    </row>
    <row r="64" spans="1:34" ht="17" customHeight="1" x14ac:dyDescent="0.2">
      <c r="A64" s="19" t="s">
        <v>331</v>
      </c>
      <c r="B64" s="20"/>
      <c r="C64" s="20"/>
      <c r="D64" s="19" t="s">
        <v>160</v>
      </c>
      <c r="E64" s="17" t="str">
        <f t="shared" si="0"/>
        <v>Bauernfeind</v>
      </c>
      <c r="F64" s="17"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 s="17" t="str">
        <f t="shared" si="1"/>
        <v>2013</v>
      </c>
      <c r="H64" s="17" t="str">
        <f t="shared" si="2"/>
        <v>Bauernfeind_etal_2013</v>
      </c>
      <c r="I64" s="17" t="str">
        <f t="shared" si="8"/>
        <v>10.1016%2Fj.jhevol.2012.12.003</v>
      </c>
      <c r="J64" s="17" t="str">
        <f t="shared" si="3"/>
        <v>Bauernfeind_etal_2013_Table2</v>
      </c>
      <c r="K64" s="17" t="str">
        <f t="shared" si="7"/>
        <v>10.1016%2Fj.jhevol.2012.12.003_Table2</v>
      </c>
      <c r="L64" s="17" t="str">
        <f t="array" ref="L64">IFERROR(INDEX(AUTO_Public_TSV_FileList!$A$1:$A$1000,MATCH(TRUE(),EXACT(K64,IFERROR(_xlfn.TEXTBEFORE(AUTO_Public_TSV_FileList!$A$1:$A$1000,".tsv"),"")),0)),"notfound")</f>
        <v>10.1016%2Fj.jhevol.2012.12.003_Table2.tsv</v>
      </c>
      <c r="M64" s="20"/>
      <c r="N64" s="19" t="s">
        <v>54</v>
      </c>
      <c r="O64" s="20"/>
      <c r="P64" s="19" t="s">
        <v>55</v>
      </c>
      <c r="Q64" s="20"/>
      <c r="R64" s="20"/>
      <c r="S64" s="20"/>
      <c r="T64" s="20"/>
      <c r="U64" s="20"/>
      <c r="V64" s="20"/>
      <c r="W64" s="19" t="s">
        <v>187</v>
      </c>
      <c r="X64" s="19" t="s">
        <v>333</v>
      </c>
      <c r="Y64" s="20"/>
      <c r="Z64" s="19" t="s">
        <v>172</v>
      </c>
      <c r="AA64" s="19" t="s">
        <v>216</v>
      </c>
      <c r="AB64" s="19" t="s">
        <v>177</v>
      </c>
      <c r="AC64" s="19" t="s">
        <v>334</v>
      </c>
      <c r="AD64" s="20"/>
      <c r="AE64" s="19" t="s">
        <v>50</v>
      </c>
      <c r="AF64" s="19"/>
      <c r="AG64" s="20"/>
      <c r="AH64" s="20"/>
    </row>
    <row r="65" spans="1:36" ht="17" customHeight="1" x14ac:dyDescent="0.2">
      <c r="A65" s="19" t="s">
        <v>331</v>
      </c>
      <c r="B65" s="20"/>
      <c r="C65" s="20"/>
      <c r="D65" s="19" t="s">
        <v>162</v>
      </c>
      <c r="E65" s="17" t="str">
        <f t="shared" si="0"/>
        <v>Bauernfeind</v>
      </c>
      <c r="F65" s="17"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17" t="str">
        <f t="shared" si="1"/>
        <v>2013</v>
      </c>
      <c r="H65" s="17" t="str">
        <f t="shared" si="2"/>
        <v>Bauernfeind_etal_2013</v>
      </c>
      <c r="I65" s="17" t="str">
        <f t="shared" si="8"/>
        <v>10.1016%2Fj.jhevol.2012.12.003</v>
      </c>
      <c r="J65" s="17" t="str">
        <f t="shared" si="3"/>
        <v>Bauernfeind_etal_2013_Table3</v>
      </c>
      <c r="K65" s="17" t="str">
        <f t="shared" si="7"/>
        <v>10.1016%2Fj.jhevol.2012.12.003_Table3</v>
      </c>
      <c r="L65" s="17" t="str">
        <f t="array" ref="L65">IFERROR(INDEX(AUTO_Public_TSV_FileList!$A$1:$A$1000,MATCH(TRUE(),EXACT(K65,IFERROR(_xlfn.TEXTBEFORE(AUTO_Public_TSV_FileList!$A$1:$A$1000,".tsv"),"")),0)),"notfound")</f>
        <v>10.1016%2Fj.jhevol.2012.12.003_Table3.tsv</v>
      </c>
      <c r="M65" s="20"/>
      <c r="N65" s="19" t="s">
        <v>54</v>
      </c>
      <c r="O65" s="20"/>
      <c r="P65" s="19" t="s">
        <v>55</v>
      </c>
      <c r="Q65" s="20"/>
      <c r="R65" s="20"/>
      <c r="S65" s="20"/>
      <c r="T65" s="20"/>
      <c r="U65" s="20"/>
      <c r="V65" s="20"/>
      <c r="W65" s="19" t="s">
        <v>187</v>
      </c>
      <c r="X65" s="19" t="s">
        <v>333</v>
      </c>
      <c r="Y65" s="20"/>
      <c r="Z65" s="19" t="s">
        <v>172</v>
      </c>
      <c r="AA65" s="19" t="s">
        <v>216</v>
      </c>
      <c r="AB65" s="19" t="s">
        <v>177</v>
      </c>
      <c r="AC65" s="19" t="s">
        <v>334</v>
      </c>
      <c r="AD65" s="20"/>
      <c r="AE65" s="19" t="s">
        <v>50</v>
      </c>
      <c r="AF65" s="19"/>
      <c r="AG65" s="20"/>
      <c r="AH65" s="20"/>
    </row>
    <row r="66" spans="1:36" ht="17" customHeight="1" x14ac:dyDescent="0.2">
      <c r="A66" s="20" t="s">
        <v>335</v>
      </c>
      <c r="B66" s="20"/>
      <c r="C66" s="20"/>
      <c r="D66" s="20" t="s">
        <v>336</v>
      </c>
      <c r="E66" s="17" t="str">
        <f t="shared" ref="E66:E129" si="9">SUBSTITUTE(SUBSTITUTE(_xlfn.TEXTBEFORE(A66,","), "-", ""), " ", "")</f>
        <v>BensonAmram</v>
      </c>
      <c r="F66" s="17" t="str">
        <f>_xlfn.LET(
_xlpm.authors,_xlfn.TEXTBEFORE(A66," ("&amp;G66&amp;")"),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6" s="17" t="str">
        <f t="shared" ref="G66:G129" si="10">_xlfn.TEXTBEFORE(_xlfn.TEXTAFTER(A66, "("), ")")</f>
        <v>2016</v>
      </c>
      <c r="H66" s="17" t="str">
        <f t="shared" ref="H66:H129" si="11">SUBSTITUTE(SUBSTITUTE(E66 &amp; IF(F66&lt;&gt;"", "_" &amp; SUBSTITUTE(F66," ",""), "_") &amp; IF(G66&lt;&gt;"", "_" &amp; G66, "_") &amp; IF(B66&lt;&gt;"", "_" &amp; B66, ""),"'",""),"’","")</f>
        <v>BensonAmram_etal_2016</v>
      </c>
      <c r="I66" s="17" t="str">
        <f t="shared" si="8"/>
        <v>10.1073%2Fpnas.1505913113</v>
      </c>
      <c r="J66" s="17" t="str">
        <f t="shared" ref="J66:J129" si="12">TRIM(_xlfn.TEXTJOIN("_",FALSE(),H66,(SUBSTITUTE(SUBSTITUTE(D66," ",""), "_", ""))))</f>
        <v>BensonAmram_etal_2016_DatasetS1</v>
      </c>
      <c r="K66" s="17" t="str">
        <f t="shared" si="7"/>
        <v>10.1073%2Fpnas.1505913113_DatasetS1</v>
      </c>
      <c r="L66" s="17" t="str">
        <f>IFERROR(INDEX(AUTO_Public_TSV_FileList!$A$1:$A$1000,MATCH(TRUE(),EXACT(K66,IFERROR(_xlfn.TEXTBEFORE(AUTO_Public_TSV_FileList!$A$1:$A$1000,".tsv"),"")),0)),"notfound")</f>
        <v>notfound</v>
      </c>
      <c r="M66" s="20" t="s">
        <v>337</v>
      </c>
      <c r="N66" s="20" t="s">
        <v>338</v>
      </c>
      <c r="O66" s="20" t="s">
        <v>339</v>
      </c>
      <c r="P66" s="20" t="s">
        <v>39</v>
      </c>
      <c r="Q66" s="20" t="s">
        <v>340</v>
      </c>
      <c r="R66" s="20" t="s">
        <v>341</v>
      </c>
      <c r="S66" s="20"/>
      <c r="T66" s="20"/>
      <c r="U66" s="20" t="s">
        <v>342</v>
      </c>
      <c r="V66" s="20" t="s">
        <v>343</v>
      </c>
      <c r="W66" s="20" t="s">
        <v>344</v>
      </c>
      <c r="X66" s="20" t="s">
        <v>345</v>
      </c>
      <c r="Y66" s="20" t="s">
        <v>346</v>
      </c>
      <c r="Z66" s="20" t="s">
        <v>347</v>
      </c>
      <c r="AA66" s="20" t="s">
        <v>348</v>
      </c>
      <c r="AB66" s="20" t="s">
        <v>349</v>
      </c>
      <c r="AC66" s="20" t="s">
        <v>350</v>
      </c>
      <c r="AD66" s="20" t="s">
        <v>350</v>
      </c>
      <c r="AE66" s="20" t="s">
        <v>70</v>
      </c>
      <c r="AF66" s="20" t="s">
        <v>351</v>
      </c>
      <c r="AG66" s="20"/>
      <c r="AH66" s="20" t="s">
        <v>352</v>
      </c>
    </row>
    <row r="67" spans="1:36" ht="17" customHeight="1" x14ac:dyDescent="0.2">
      <c r="A67" s="21" t="s">
        <v>353</v>
      </c>
      <c r="B67" s="21"/>
      <c r="C67" s="21"/>
      <c r="D67" s="21" t="s">
        <v>86</v>
      </c>
      <c r="E67" s="17" t="str">
        <f t="shared" si="9"/>
        <v>Bianchi</v>
      </c>
      <c r="F67" s="17"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17" t="str">
        <f t="shared" si="10"/>
        <v>2012</v>
      </c>
      <c r="H67" s="17" t="str">
        <f t="shared" si="11"/>
        <v>Bianchi_etal_2012</v>
      </c>
      <c r="I67" s="17" t="str">
        <f t="shared" si="8"/>
        <v>10.1093%2Fcercor%2Fbhs239</v>
      </c>
      <c r="J67" s="17" t="str">
        <f t="shared" si="12"/>
        <v>Bianchi_etal_2012_Table1</v>
      </c>
      <c r="K67" s="17" t="str">
        <f t="shared" si="7"/>
        <v>10.1093%2Fcercor%2Fbhs239_Table1</v>
      </c>
      <c r="L67" s="17" t="str">
        <f t="array" ref="L67">IFERROR(INDEX(AUTO_Public_TSV_FileList!$A$1:$A$1000,MATCH(TRUE(),EXACT(K67,IFERROR(_xlfn.TEXTBEFORE(AUTO_Public_TSV_FileList!$A$1:$A$1000,".tsv"),"")),0)),"notfound")</f>
        <v>10.1093%2Fcercor%2Fbhs239_Table1.tsv</v>
      </c>
      <c r="M67" s="21" t="s">
        <v>354</v>
      </c>
      <c r="N67" s="21" t="s">
        <v>355</v>
      </c>
      <c r="O67" s="20"/>
      <c r="P67" s="21" t="s">
        <v>55</v>
      </c>
      <c r="Q67" s="21"/>
      <c r="R67" s="21" t="s">
        <v>356</v>
      </c>
      <c r="S67" s="21"/>
      <c r="T67" s="21" t="s">
        <v>357</v>
      </c>
      <c r="U67" s="21"/>
      <c r="V67" s="21" t="s">
        <v>358</v>
      </c>
      <c r="W67" s="21" t="s">
        <v>187</v>
      </c>
      <c r="X67" s="21" t="s">
        <v>359</v>
      </c>
      <c r="Y67" s="21" t="s">
        <v>360</v>
      </c>
      <c r="Z67" s="21"/>
      <c r="AA67" s="21" t="s">
        <v>361</v>
      </c>
      <c r="AB67" s="21" t="s">
        <v>362</v>
      </c>
      <c r="AC67" s="21"/>
      <c r="AD67" s="21"/>
      <c r="AE67" s="21" t="s">
        <v>50</v>
      </c>
      <c r="AF67" s="21"/>
      <c r="AG67" s="21" t="s">
        <v>363</v>
      </c>
      <c r="AH67" s="20"/>
    </row>
    <row r="68" spans="1:36" ht="17" customHeight="1" x14ac:dyDescent="0.2">
      <c r="A68" s="21" t="s">
        <v>353</v>
      </c>
      <c r="B68" s="21"/>
      <c r="C68" s="21"/>
      <c r="D68" s="21" t="s">
        <v>160</v>
      </c>
      <c r="E68" s="17" t="str">
        <f t="shared" si="9"/>
        <v>Bianchi</v>
      </c>
      <c r="F68" s="17"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 s="17" t="str">
        <f t="shared" si="10"/>
        <v>2012</v>
      </c>
      <c r="H68" s="17" t="str">
        <f t="shared" si="11"/>
        <v>Bianchi_etal_2012</v>
      </c>
      <c r="I68" s="17" t="str">
        <f t="shared" si="8"/>
        <v>10.1093%2Fcercor%2Fbhs239</v>
      </c>
      <c r="J68" s="17" t="str">
        <f t="shared" si="12"/>
        <v>Bianchi_etal_2012_Table2</v>
      </c>
      <c r="K68" s="17" t="str">
        <f t="shared" si="7"/>
        <v>10.1093%2Fcercor%2Fbhs239_Table2</v>
      </c>
      <c r="L68" s="17" t="str">
        <f t="array" ref="L68">IFERROR(INDEX(AUTO_Public_TSV_FileList!$A$1:$A$1000,MATCH(TRUE(),EXACT(K68,IFERROR(_xlfn.TEXTBEFORE(AUTO_Public_TSV_FileList!$A$1:$A$1000,".tsv"),"")),0)),"notfound")</f>
        <v>10.1093%2Fcercor%2Fbhs239_Table2.tsv</v>
      </c>
      <c r="M68" s="21" t="s">
        <v>364</v>
      </c>
      <c r="N68" s="21" t="s">
        <v>355</v>
      </c>
      <c r="O68" s="20"/>
      <c r="P68" s="21" t="s">
        <v>55</v>
      </c>
      <c r="Q68" s="21"/>
      <c r="R68" s="21" t="s">
        <v>356</v>
      </c>
      <c r="S68" s="21"/>
      <c r="T68" s="21" t="s">
        <v>357</v>
      </c>
      <c r="U68" s="21"/>
      <c r="V68" s="21" t="s">
        <v>358</v>
      </c>
      <c r="W68" s="21" t="s">
        <v>187</v>
      </c>
      <c r="X68" s="21" t="s">
        <v>359</v>
      </c>
      <c r="Y68" s="21" t="s">
        <v>365</v>
      </c>
      <c r="Z68" s="21"/>
      <c r="AA68" s="21" t="s">
        <v>361</v>
      </c>
      <c r="AB68" s="21" t="s">
        <v>362</v>
      </c>
      <c r="AC68" s="21"/>
      <c r="AD68" s="21"/>
      <c r="AE68" s="21" t="s">
        <v>366</v>
      </c>
      <c r="AF68" s="21"/>
      <c r="AG68" s="21" t="s">
        <v>367</v>
      </c>
      <c r="AH68" s="20"/>
    </row>
    <row r="69" spans="1:36" ht="17" customHeight="1" x14ac:dyDescent="0.2">
      <c r="A69" s="20" t="s">
        <v>368</v>
      </c>
      <c r="B69" s="20"/>
      <c r="C69" s="20"/>
      <c r="D69" s="22" t="s">
        <v>369</v>
      </c>
      <c r="E69" s="18" t="str">
        <f t="shared" si="9"/>
        <v>Bjugn</v>
      </c>
      <c r="F69" s="17"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9" s="17" t="str">
        <f t="shared" si="10"/>
        <v>1993</v>
      </c>
      <c r="H69" s="18" t="str">
        <f t="shared" si="11"/>
        <v>Bjugn__1993</v>
      </c>
      <c r="I69" s="18" t="str">
        <f>_xlfn.LET(_xlpm.doi,IF(C69&lt;&gt;"",C69,_xlfn.TEXTAFTER(A69,"https://doi.org/")),SUBSTITUTE(SUBSTITUTE(SUBSTITUTE(SUBSTITUTE(_xlpm.doi,"/","%2F"),":","%3A"),"&lt;","%3C"),"&gt;","%3E"))</f>
        <v>10.1016%2F0006-8993(93)90744-8</v>
      </c>
      <c r="J69" s="18" t="str">
        <f t="shared" si="12"/>
        <v>Bjugn__1993_TABLEI</v>
      </c>
      <c r="K69" s="17" t="str">
        <f t="shared" si="7"/>
        <v>10.1016%2F0006-8993(93)90744-8_TABLEI</v>
      </c>
      <c r="L69" s="17" t="str">
        <f t="array" ref="L69">IFERROR(INDEX(AUTO_Public_TSV_FileList!$A$1:$A$1000,MATCH(TRUE(),EXACT(K69,IFERROR(_xlfn.TEXTBEFORE(AUTO_Public_TSV_FileList!$A$1:$A$1000,".tsv"),"")),0)),"notfound")</f>
        <v>10.1016%2F0006-8993(93)90744-8_TABLEI.tsv</v>
      </c>
      <c r="M69" s="20" t="s">
        <v>370</v>
      </c>
      <c r="N69" s="20" t="s">
        <v>88</v>
      </c>
      <c r="O69" s="20" t="s">
        <v>371</v>
      </c>
      <c r="P69" s="20" t="s">
        <v>133</v>
      </c>
      <c r="Q69" s="20"/>
      <c r="R69" s="20" t="s">
        <v>372</v>
      </c>
      <c r="S69" s="20" t="s">
        <v>135</v>
      </c>
      <c r="T69" s="20" t="s">
        <v>373</v>
      </c>
      <c r="U69" s="20"/>
      <c r="V69" s="20" t="s">
        <v>137</v>
      </c>
      <c r="W69" s="20" t="s">
        <v>374</v>
      </c>
      <c r="X69" s="20" t="s">
        <v>375</v>
      </c>
      <c r="Y69" s="20"/>
      <c r="Z69" s="20" t="s">
        <v>172</v>
      </c>
      <c r="AA69" s="20" t="s">
        <v>376</v>
      </c>
      <c r="AB69" s="20" t="s">
        <v>83</v>
      </c>
      <c r="AC69" s="20" t="s">
        <v>377</v>
      </c>
      <c r="AD69" s="20"/>
      <c r="AE69" s="20" t="s">
        <v>50</v>
      </c>
      <c r="AF69" s="20"/>
      <c r="AG69" s="20" t="s">
        <v>378</v>
      </c>
      <c r="AH69" s="20"/>
    </row>
    <row r="70" spans="1:36" ht="17" customHeight="1" x14ac:dyDescent="0.2">
      <c r="A70" s="20" t="s">
        <v>368</v>
      </c>
      <c r="B70" s="20"/>
      <c r="C70" s="20"/>
      <c r="D70" s="22" t="s">
        <v>379</v>
      </c>
      <c r="E70" s="18" t="str">
        <f t="shared" si="9"/>
        <v>Bjugn</v>
      </c>
      <c r="F70" s="17"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 s="17" t="str">
        <f t="shared" si="10"/>
        <v>1993</v>
      </c>
      <c r="H70" s="18" t="str">
        <f t="shared" si="11"/>
        <v>Bjugn__1993</v>
      </c>
      <c r="I70" s="18" t="str">
        <f>_xlfn.LET(_xlpm.doi,IF(C70&lt;&gt;"",C70,_xlfn.TEXTAFTER(A70,"https://doi.org/")),SUBSTITUTE(SUBSTITUTE(SUBSTITUTE(SUBSTITUTE(_xlpm.doi,"/","%2F"),":","%3A"),"&lt;","%3C"),"&gt;","%3E"))</f>
        <v>10.1016%2F0006-8993(93)90744-8</v>
      </c>
      <c r="J70" s="18" t="str">
        <f t="shared" si="12"/>
        <v>Bjugn__1993_TABLEII</v>
      </c>
      <c r="K70" s="17" t="str">
        <f t="shared" si="7"/>
        <v>10.1016%2F0006-8993(93)90744-8_TABLEII</v>
      </c>
      <c r="L70" s="17" t="str">
        <f t="array" ref="L70">IFERROR(INDEX(AUTO_Public_TSV_FileList!$A$1:$A$1000,MATCH(TRUE(),EXACT(K70,IFERROR(_xlfn.TEXTBEFORE(AUTO_Public_TSV_FileList!$A$1:$A$1000,".tsv"),"")),0)),"notfound")</f>
        <v>10.1016%2F0006-8993(93)90744-8_TABLEII.tsv</v>
      </c>
      <c r="M70" s="20" t="s">
        <v>380</v>
      </c>
      <c r="N70" s="20"/>
      <c r="O70" s="20"/>
      <c r="P70" s="20"/>
      <c r="Q70" s="20"/>
      <c r="R70" s="20"/>
      <c r="S70" s="20"/>
      <c r="T70" s="20"/>
      <c r="U70" s="20"/>
      <c r="V70" s="20"/>
      <c r="W70" s="20"/>
      <c r="X70" s="20"/>
      <c r="Y70" s="20"/>
      <c r="Z70" s="20"/>
      <c r="AA70" s="20"/>
      <c r="AB70" s="20"/>
      <c r="AC70" s="20"/>
      <c r="AD70" s="20"/>
      <c r="AE70" s="20"/>
      <c r="AF70" s="20"/>
      <c r="AG70" s="20"/>
      <c r="AH70" s="20"/>
    </row>
    <row r="71" spans="1:36" ht="17" customHeight="1" x14ac:dyDescent="0.2">
      <c r="A71" s="20" t="s">
        <v>368</v>
      </c>
      <c r="B71" s="20"/>
      <c r="C71" s="20"/>
      <c r="D71" s="22" t="s">
        <v>381</v>
      </c>
      <c r="E71" s="18" t="str">
        <f t="shared" si="9"/>
        <v>Bjugn</v>
      </c>
      <c r="F71" s="17"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 s="17" t="str">
        <f t="shared" si="10"/>
        <v>1993</v>
      </c>
      <c r="H71" s="18" t="str">
        <f t="shared" si="11"/>
        <v>Bjugn__1993</v>
      </c>
      <c r="I71" s="18" t="str">
        <f>_xlfn.LET(_xlpm.doi,IF(C71&lt;&gt;"",C71,_xlfn.TEXTAFTER(A71,"https://doi.org/")),SUBSTITUTE(SUBSTITUTE(SUBSTITUTE(SUBSTITUTE(_xlpm.doi,"/","%2F"),":","%3A"),"&lt;","%3C"),"&gt;","%3E"))</f>
        <v>10.1016%2F0006-8993(93)90744-8</v>
      </c>
      <c r="J71" s="18" t="str">
        <f t="shared" si="12"/>
        <v>Bjugn__1993_TABLEIII</v>
      </c>
      <c r="K71" s="17" t="str">
        <f t="shared" si="7"/>
        <v>10.1016%2F0006-8993(93)90744-8_TABLEIII</v>
      </c>
      <c r="L71" s="17" t="str">
        <f t="array" ref="L71">IFERROR(INDEX(AUTO_Public_TSV_FileList!$A$1:$A$1000,MATCH(TRUE(),EXACT(K71,IFERROR(_xlfn.TEXTBEFORE(AUTO_Public_TSV_FileList!$A$1:$A$1000,".tsv"),"")),0)),"notfound")</f>
        <v>notfound</v>
      </c>
      <c r="M71" s="20" t="s">
        <v>382</v>
      </c>
      <c r="N71" s="20"/>
      <c r="O71" s="20"/>
      <c r="P71" s="20"/>
      <c r="Q71" s="20"/>
      <c r="R71" s="20"/>
      <c r="S71" s="20"/>
      <c r="T71" s="20"/>
      <c r="U71" s="20"/>
      <c r="V71" s="20"/>
      <c r="W71" s="20"/>
      <c r="X71" s="20"/>
      <c r="Y71" s="20"/>
      <c r="Z71" s="20"/>
      <c r="AA71" s="20"/>
      <c r="AB71" s="20"/>
      <c r="AC71" s="20"/>
      <c r="AD71" s="20"/>
      <c r="AE71" s="20"/>
      <c r="AF71" s="20"/>
      <c r="AG71" s="20"/>
      <c r="AH71" s="20"/>
    </row>
    <row r="72" spans="1:36" ht="17" customHeight="1" x14ac:dyDescent="0.2">
      <c r="A72" s="20" t="s">
        <v>368</v>
      </c>
      <c r="B72" s="20"/>
      <c r="C72" s="20"/>
      <c r="D72" s="22" t="s">
        <v>383</v>
      </c>
      <c r="E72" s="18" t="str">
        <f t="shared" si="9"/>
        <v>Bjugn</v>
      </c>
      <c r="F72" s="17"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 s="17" t="str">
        <f t="shared" si="10"/>
        <v>1993</v>
      </c>
      <c r="H72" s="18" t="str">
        <f t="shared" si="11"/>
        <v>Bjugn__1993</v>
      </c>
      <c r="I72" s="18" t="str">
        <f>_xlfn.LET(_xlpm.doi,IF(C72&lt;&gt;"",C72,_xlfn.TEXTAFTER(A72,"https://doi.org/")),SUBSTITUTE(SUBSTITUTE(SUBSTITUTE(SUBSTITUTE(_xlpm.doi,"/","%2F"),":","%3A"),"&lt;","%3C"),"&gt;","%3E"))</f>
        <v>10.1016%2F0006-8993(93)90744-8</v>
      </c>
      <c r="J72" s="18" t="str">
        <f t="shared" si="12"/>
        <v>Bjugn__1993_TABLEIV</v>
      </c>
      <c r="K72" s="17" t="str">
        <f t="shared" si="7"/>
        <v>10.1016%2F0006-8993(93)90744-8_TABLEIV</v>
      </c>
      <c r="L72" s="17" t="str">
        <f t="array" ref="L72">IFERROR(INDEX(AUTO_Public_TSV_FileList!$A$1:$A$1000,MATCH(TRUE(),EXACT(K72,IFERROR(_xlfn.TEXTBEFORE(AUTO_Public_TSV_FileList!$A$1:$A$1000,".tsv"),"")),0)),"notfound")</f>
        <v>10.1016%2F0006-8993(93)90744-8_TABLEIV.tsv</v>
      </c>
      <c r="M72" s="20" t="s">
        <v>384</v>
      </c>
      <c r="N72" s="20"/>
      <c r="O72" s="20"/>
      <c r="P72" s="20"/>
      <c r="Q72" s="20"/>
      <c r="R72" s="20"/>
      <c r="S72" s="20"/>
      <c r="T72" s="20"/>
      <c r="U72" s="20"/>
      <c r="V72" s="20"/>
      <c r="W72" s="20"/>
      <c r="X72" s="20"/>
      <c r="Y72" s="20"/>
      <c r="Z72" s="20"/>
      <c r="AA72" s="20"/>
      <c r="AB72" s="20"/>
      <c r="AC72" s="20"/>
      <c r="AD72" s="20"/>
      <c r="AE72" s="20"/>
      <c r="AF72" s="20"/>
      <c r="AG72" s="20"/>
      <c r="AH72" s="20"/>
    </row>
    <row r="73" spans="1:36" ht="17" customHeight="1" x14ac:dyDescent="0.2">
      <c r="A73" s="20" t="s">
        <v>368</v>
      </c>
      <c r="B73" s="20"/>
      <c r="C73" s="20"/>
      <c r="D73" s="22" t="s">
        <v>385</v>
      </c>
      <c r="E73" s="18" t="str">
        <f t="shared" si="9"/>
        <v>Bjugn</v>
      </c>
      <c r="F73" s="17"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 s="17" t="str">
        <f t="shared" si="10"/>
        <v>1993</v>
      </c>
      <c r="H73" s="18" t="str">
        <f t="shared" si="11"/>
        <v>Bjugn__1993</v>
      </c>
      <c r="I73" s="18" t="str">
        <f>_xlfn.LET(_xlpm.doi,IF(C73&lt;&gt;"",C73,_xlfn.TEXTAFTER(A73,"https://doi.org/")),SUBSTITUTE(SUBSTITUTE(SUBSTITUTE(SUBSTITUTE(_xlpm.doi,"/","%2F"),":","%3A"),"&lt;","%3C"),"&gt;","%3E"))</f>
        <v>10.1016%2F0006-8993(93)90744-8</v>
      </c>
      <c r="J73" s="18" t="str">
        <f t="shared" si="12"/>
        <v>Bjugn__1993_TABLEV</v>
      </c>
      <c r="K73" s="17" t="str">
        <f t="shared" si="7"/>
        <v>10.1016%2F0006-8993(93)90744-8_TABLEV</v>
      </c>
      <c r="L73" s="17" t="str">
        <f t="array" ref="L73">IFERROR(INDEX(AUTO_Public_TSV_FileList!$A$1:$A$1000,MATCH(TRUE(),EXACT(K73,IFERROR(_xlfn.TEXTBEFORE(AUTO_Public_TSV_FileList!$A$1:$A$1000,".tsv"),"")),0)),"notfound")</f>
        <v>10.1016%2F0006-8993(93)90744-8_TABLEV.tsv</v>
      </c>
      <c r="M73" s="20" t="s">
        <v>386</v>
      </c>
      <c r="N73" s="20"/>
      <c r="O73" s="20"/>
      <c r="P73" s="20"/>
      <c r="Q73" s="20"/>
      <c r="R73" s="20"/>
      <c r="S73" s="20"/>
      <c r="T73" s="20"/>
      <c r="U73" s="20"/>
      <c r="V73" s="20"/>
      <c r="W73" s="20"/>
      <c r="X73" s="20"/>
      <c r="Y73" s="20"/>
      <c r="Z73" s="20"/>
      <c r="AA73" s="20"/>
      <c r="AB73" s="20"/>
      <c r="AC73" s="20"/>
      <c r="AD73" s="20"/>
      <c r="AE73" s="20"/>
      <c r="AF73" s="20"/>
      <c r="AG73" s="20"/>
      <c r="AH73" s="20"/>
    </row>
    <row r="74" spans="1:36" ht="17" customHeight="1" x14ac:dyDescent="0.2">
      <c r="A74" s="21" t="s">
        <v>387</v>
      </c>
      <c r="B74" s="21"/>
      <c r="C74" s="21"/>
      <c r="D74" s="21" t="s">
        <v>388</v>
      </c>
      <c r="E74" s="17" t="str">
        <f t="shared" si="9"/>
        <v>Boddy</v>
      </c>
      <c r="F74" s="17"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17" t="str">
        <f t="shared" si="10"/>
        <v>2012</v>
      </c>
      <c r="H74" s="17" t="str">
        <f t="shared" si="11"/>
        <v>Boddy_etal_2012</v>
      </c>
      <c r="I74" s="17" t="str">
        <f>_xlfn.LET(
_xlpm.doi,IF(C74&lt;&gt;"",C74,_xlfn.TEXTAFTER(A74,"https://doi.org/")),
SUBSTITUTE(
SUBSTITUTE(
SUBSTITUTE(
SUBSTITUTE(
_xlpm.doi,
"/","%2F"),
":","%3A"),
"&lt;","%3C"),
"&gt;","%3E")
)</f>
        <v>10.1111%2Fj.1420-9101.2012.02491.x</v>
      </c>
      <c r="J74" s="17" t="str">
        <f t="shared" si="12"/>
        <v>Boddy_etal_2012_brainbodydatabasev2.txt</v>
      </c>
      <c r="K74" s="17" t="str">
        <f t="shared" si="7"/>
        <v>10.1111%2Fj.1420-9101.2012.02491.x_brainbodydatabasev2.txt</v>
      </c>
      <c r="L74" s="17" t="str">
        <f t="array" ref="L74">IFERROR(INDEX(AUTO_Public_TSV_FileList!$A$1:$A$1000,MATCH(TRUE(),EXACT(K74,IFERROR(_xlfn.TEXTBEFORE(AUTO_Public_TSV_FileList!$A$1:$A$1000,".tsv"),"")),0)),"notfound")</f>
        <v>notfound</v>
      </c>
      <c r="M74" s="21"/>
      <c r="N74" s="21" t="s">
        <v>389</v>
      </c>
      <c r="O74" s="20"/>
      <c r="P74" s="21" t="s">
        <v>55</v>
      </c>
      <c r="Q74" s="21"/>
      <c r="R74" s="21"/>
      <c r="S74" s="21"/>
      <c r="T74" s="21"/>
      <c r="U74" s="21"/>
      <c r="V74" s="21"/>
      <c r="W74" s="21"/>
      <c r="X74" s="21"/>
      <c r="Y74" s="21"/>
      <c r="Z74" s="21"/>
      <c r="AA74" s="21"/>
      <c r="AB74" s="21"/>
      <c r="AC74" s="21"/>
      <c r="AD74" s="21"/>
      <c r="AE74" s="21"/>
      <c r="AF74" s="21"/>
      <c r="AG74" s="21"/>
      <c r="AH74" s="20"/>
    </row>
    <row r="75" spans="1:36" ht="17" customHeight="1" x14ac:dyDescent="0.2">
      <c r="A75" s="21" t="s">
        <v>387</v>
      </c>
      <c r="B75" s="21"/>
      <c r="C75" s="21"/>
      <c r="D75" s="21" t="s">
        <v>390</v>
      </c>
      <c r="E75" s="17" t="str">
        <f t="shared" si="9"/>
        <v>Boddy</v>
      </c>
      <c r="F75" s="17"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17" t="str">
        <f t="shared" si="10"/>
        <v>2012</v>
      </c>
      <c r="H75" s="17" t="str">
        <f t="shared" si="11"/>
        <v>Boddy_etal_2012</v>
      </c>
      <c r="I75" s="17" t="str">
        <f>_xlfn.LET(
_xlpm.doi,IF(C75&lt;&gt;"",C75,_xlfn.TEXTAFTER(A75,"https://doi.org/")),
SUBSTITUTE(
SUBSTITUTE(
SUBSTITUTE(
SUBSTITUTE(
_xlpm.doi,
"/","%2F"),
":","%3A"),
"&lt;","%3C"),
"&gt;","%3E")
)</f>
        <v>10.1111%2Fj.1420-9101.2012.02491.x</v>
      </c>
      <c r="J75" s="17" t="str">
        <f t="shared" si="12"/>
        <v>Boddy_etal_2012_TableS1</v>
      </c>
      <c r="K75" s="17" t="str">
        <f t="shared" si="7"/>
        <v>10.1111%2Fj.1420-9101.2012.02491.x_TableS1</v>
      </c>
      <c r="L75" s="17" t="str">
        <f t="array" ref="L75">IFERROR(INDEX(AUTO_Public_TSV_FileList!$A$1:$A$1000,MATCH(TRUE(),EXACT(K75,IFERROR(_xlfn.TEXTBEFORE(AUTO_Public_TSV_FileList!$A$1:$A$1000,".tsv"),"")),0)),"notfound")</f>
        <v>10.1111%2Fj.1420-9101.2012.02491.x_TableS1.tsv</v>
      </c>
      <c r="M75" s="21"/>
      <c r="N75" s="21" t="s">
        <v>391</v>
      </c>
      <c r="O75" s="20"/>
      <c r="P75" s="21" t="s">
        <v>55</v>
      </c>
      <c r="Q75" s="21"/>
      <c r="R75" s="21"/>
      <c r="S75" s="21"/>
      <c r="T75" s="21"/>
      <c r="U75" s="21"/>
      <c r="V75" s="21"/>
      <c r="W75" s="21"/>
      <c r="X75" s="21"/>
      <c r="Y75" s="21"/>
      <c r="Z75" s="21"/>
      <c r="AA75" s="21"/>
      <c r="AB75" s="21"/>
      <c r="AC75" s="21"/>
      <c r="AD75" s="21"/>
      <c r="AE75" s="21"/>
      <c r="AF75" s="21"/>
      <c r="AG75" s="21"/>
      <c r="AH75" s="20"/>
    </row>
    <row r="76" spans="1:36" ht="17" customHeight="1" x14ac:dyDescent="0.2">
      <c r="A76" s="19" t="s">
        <v>392</v>
      </c>
      <c r="B76" s="20"/>
      <c r="C76" s="20"/>
      <c r="D76" s="19" t="s">
        <v>86</v>
      </c>
      <c r="E76" s="17" t="str">
        <f t="shared" si="9"/>
        <v>Bortoff</v>
      </c>
      <c r="F76" s="17"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76" s="17" t="str">
        <f t="shared" si="10"/>
        <v>1993</v>
      </c>
      <c r="H76" s="17" t="str">
        <f t="shared" si="11"/>
        <v>Bortoff_Strick_1993</v>
      </c>
      <c r="I76" s="17" t="str">
        <f>_xlfn.LET(
_xlpm.doi,IF(C76&lt;&gt;"",C76,_xlfn.TEXTAFTER(A76,"https://doi.org/")),
SUBSTITUTE(
SUBSTITUTE(
SUBSTITUTE(
SUBSTITUTE(
_xlpm.doi,
"/","%2F"),
":","%3A"),
"&lt;","%3C"),
"&gt;","%3E")
)</f>
        <v>10.1523%2FJNEUROSCI.13-12-05105.1993</v>
      </c>
      <c r="J76" s="17" t="str">
        <f t="shared" si="12"/>
        <v>Bortoff_Strick_1993_Table1</v>
      </c>
      <c r="K76" s="17" t="str">
        <f t="shared" si="7"/>
        <v>10.1523%2FJNEUROSCI.13-12-05105.1993_Table1</v>
      </c>
      <c r="L76" s="17" t="str">
        <f t="array" ref="L76">IFERROR(INDEX(AUTO_Public_TSV_FileList!$A$1:$A$1000,MATCH(TRUE(),EXACT(K76,IFERROR(_xlfn.TEXTBEFORE(AUTO_Public_TSV_FileList!$A$1:$A$1000,".tsv"),"")),0)),"notfound")</f>
        <v>10.1523%2FJNEUROSCI.13-12-05105.1993_Table1.tsv</v>
      </c>
      <c r="M76" s="19" t="s">
        <v>393</v>
      </c>
      <c r="N76" s="19" t="s">
        <v>54</v>
      </c>
      <c r="O76" s="20"/>
      <c r="P76" s="19" t="s">
        <v>55</v>
      </c>
      <c r="Q76" s="19"/>
      <c r="R76" s="19" t="s">
        <v>394</v>
      </c>
      <c r="S76" s="20"/>
      <c r="T76" s="20"/>
      <c r="U76" s="20"/>
      <c r="V76" s="19" t="s">
        <v>395</v>
      </c>
      <c r="W76" s="19" t="s">
        <v>396</v>
      </c>
      <c r="X76" s="19" t="s">
        <v>397</v>
      </c>
      <c r="Y76" s="19" t="s">
        <v>398</v>
      </c>
      <c r="Z76" s="20"/>
      <c r="AA76" s="19" t="s">
        <v>399</v>
      </c>
      <c r="AB76" s="19" t="s">
        <v>400</v>
      </c>
      <c r="AC76" s="19" t="s">
        <v>401</v>
      </c>
      <c r="AD76" s="20"/>
      <c r="AE76" s="19" t="s">
        <v>50</v>
      </c>
      <c r="AF76" s="19"/>
      <c r="AG76" s="19" t="s">
        <v>402</v>
      </c>
      <c r="AH76" s="20"/>
    </row>
    <row r="77" spans="1:36" ht="17" customHeight="1" x14ac:dyDescent="0.2">
      <c r="A77" s="20" t="s">
        <v>5389</v>
      </c>
      <c r="B77" s="20"/>
      <c r="C77" s="20"/>
      <c r="D77" s="20" t="s">
        <v>86</v>
      </c>
      <c r="E77" s="18" t="str">
        <f t="shared" si="9"/>
        <v>Bowmaker</v>
      </c>
      <c r="F77" s="17"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17" t="str">
        <f t="shared" si="10"/>
        <v>1991</v>
      </c>
      <c r="H77" s="18" t="str">
        <f t="shared" si="11"/>
        <v>Bowmaker_etal_1991</v>
      </c>
      <c r="I77" s="18" t="str">
        <f>_xlfn.LET(_xlpm.doi,IF(C77&lt;&gt;"",C77,_xlfn.TEXTAFTER(A77,"https://doi.org/")),SUBSTITUTE(SUBSTITUTE(SUBSTITUTE(SUBSTITUTE(_xlpm.doi,"/","%2F"),":","%3A"),"&lt;","%3C"),"&gt;","%3E"))</f>
        <v>10.1242%2Fjeb.156.1.1</v>
      </c>
      <c r="J77" s="18" t="str">
        <f t="shared" si="12"/>
        <v>Bowmaker_etal_1991_Table1</v>
      </c>
      <c r="K77" s="17" t="str">
        <f t="shared" si="7"/>
        <v>10.1242%2Fjeb.156.1.1_Table1</v>
      </c>
      <c r="L77" s="17" t="str">
        <f t="array" ref="L77">IFERROR(INDEX(AUTO_Public_TSV_FileList!$A$1:$A$1000,MATCH(TRUE(),EXACT(K77,IFERROR(_xlfn.TEXTBEFORE(AUTO_Public_TSV_FileList!$A$1:$A$1000,".tsv"),"")),0)),"notfound")</f>
        <v>10.1242%2Fjeb.156.1.1_Table1.tsv</v>
      </c>
      <c r="M77" s="20"/>
      <c r="N77" s="20" t="s">
        <v>4864</v>
      </c>
      <c r="O77" s="20" t="s">
        <v>4865</v>
      </c>
      <c r="P77" s="20" t="s">
        <v>4866</v>
      </c>
      <c r="Q77" s="20" t="s">
        <v>4867</v>
      </c>
      <c r="R77" s="20" t="s">
        <v>4868</v>
      </c>
      <c r="S77" s="20" t="s">
        <v>4869</v>
      </c>
      <c r="T77" s="20" t="s">
        <v>4870</v>
      </c>
      <c r="U77" s="20"/>
      <c r="V77" s="20" t="s">
        <v>4871</v>
      </c>
      <c r="W77" s="20" t="s">
        <v>319</v>
      </c>
      <c r="X77" s="20" t="s">
        <v>4872</v>
      </c>
      <c r="Y77" s="20"/>
      <c r="Z77" s="20" t="s">
        <v>4873</v>
      </c>
      <c r="AA77" s="20" t="s">
        <v>4874</v>
      </c>
      <c r="AB77" s="20" t="s">
        <v>4875</v>
      </c>
      <c r="AC77" s="20" t="s">
        <v>4876</v>
      </c>
      <c r="AD77" s="20" t="s">
        <v>689</v>
      </c>
      <c r="AE77" s="20" t="s">
        <v>50</v>
      </c>
      <c r="AF77" s="20" t="s">
        <v>4877</v>
      </c>
      <c r="AG77" s="20" t="s">
        <v>4878</v>
      </c>
      <c r="AH77" s="20" t="s">
        <v>4879</v>
      </c>
      <c r="AJ77" t="s">
        <v>4880</v>
      </c>
    </row>
    <row r="78" spans="1:36" ht="17" customHeight="1" x14ac:dyDescent="0.2">
      <c r="A78" s="20" t="s">
        <v>5389</v>
      </c>
      <c r="B78" s="20"/>
      <c r="C78" s="20"/>
      <c r="D78" s="20" t="s">
        <v>160</v>
      </c>
      <c r="E78" s="18" t="str">
        <f t="shared" si="9"/>
        <v>Bowmaker</v>
      </c>
      <c r="F78" s="17"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17" t="str">
        <f t="shared" si="10"/>
        <v>1991</v>
      </c>
      <c r="H78" s="18" t="str">
        <f t="shared" si="11"/>
        <v>Bowmaker_etal_1991</v>
      </c>
      <c r="I78" s="18" t="str">
        <f>_xlfn.LET(_xlpm.doi,IF(C78&lt;&gt;"",C78,_xlfn.TEXTAFTER(A78,"https://doi.org/")),SUBSTITUTE(SUBSTITUTE(SUBSTITUTE(SUBSTITUTE(_xlpm.doi,"/","%2F"),":","%3A"),"&lt;","%3C"),"&gt;","%3E"))</f>
        <v>10.1242%2Fjeb.156.1.1</v>
      </c>
      <c r="J78" s="18" t="str">
        <f t="shared" si="12"/>
        <v>Bowmaker_etal_1991_Table2</v>
      </c>
      <c r="K78" s="17" t="str">
        <f t="shared" si="7"/>
        <v>10.1242%2Fjeb.156.1.1_Table2</v>
      </c>
      <c r="L78" s="17" t="str">
        <f t="array" ref="L78">IFERROR(INDEX(AUTO_Public_TSV_FileList!$A$1:$A$1000,MATCH(TRUE(),EXACT(K78,IFERROR(_xlfn.TEXTBEFORE(AUTO_Public_TSV_FileList!$A$1:$A$1000,".tsv"),"")),0)),"notfound")</f>
        <v>10.1242%2Fjeb.156.1.1_Table2.tsv</v>
      </c>
      <c r="M78" s="20"/>
      <c r="N78" s="20" t="s">
        <v>4864</v>
      </c>
      <c r="O78" s="20" t="s">
        <v>4881</v>
      </c>
      <c r="P78" s="20" t="s">
        <v>4866</v>
      </c>
      <c r="Q78" s="20" t="s">
        <v>4882</v>
      </c>
      <c r="R78" s="20" t="s">
        <v>4868</v>
      </c>
      <c r="S78" s="20" t="s">
        <v>4869</v>
      </c>
      <c r="T78" s="20" t="s">
        <v>4870</v>
      </c>
      <c r="U78" s="20"/>
      <c r="V78" s="20" t="s">
        <v>4871</v>
      </c>
      <c r="W78" s="20" t="s">
        <v>319</v>
      </c>
      <c r="X78" s="20" t="s">
        <v>4883</v>
      </c>
      <c r="Y78" s="20"/>
      <c r="Z78" s="20" t="s">
        <v>4873</v>
      </c>
      <c r="AA78" s="20" t="s">
        <v>4874</v>
      </c>
      <c r="AB78" s="20" t="s">
        <v>4884</v>
      </c>
      <c r="AC78" s="20" t="s">
        <v>4876</v>
      </c>
      <c r="AD78" s="20" t="s">
        <v>689</v>
      </c>
      <c r="AE78" s="20" t="s">
        <v>50</v>
      </c>
      <c r="AF78" s="20" t="s">
        <v>4877</v>
      </c>
      <c r="AG78" s="20" t="s">
        <v>4878</v>
      </c>
      <c r="AH78" s="20" t="s">
        <v>4879</v>
      </c>
      <c r="AJ78" t="s">
        <v>4885</v>
      </c>
    </row>
    <row r="79" spans="1:36" ht="17" customHeight="1" x14ac:dyDescent="0.2">
      <c r="A79" s="19" t="s">
        <v>403</v>
      </c>
      <c r="B79" s="20"/>
      <c r="C79" s="20"/>
      <c r="D79" s="19" t="s">
        <v>86</v>
      </c>
      <c r="E79" s="17" t="str">
        <f t="shared" si="9"/>
        <v>Boyer</v>
      </c>
      <c r="F79" s="17"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9" s="17" t="str">
        <f t="shared" si="10"/>
        <v>2018</v>
      </c>
      <c r="H79" s="17" t="str">
        <f t="shared" si="11"/>
        <v>Boyer_Harrington_2018</v>
      </c>
      <c r="I79" s="17" t="str">
        <f>_xlfn.LET(
_xlpm.doi,IF(C79&lt;&gt;"",C79,_xlfn.TEXTAFTER(A79,"https://doi.org/")),
SUBSTITUTE(
SUBSTITUTE(
SUBSTITUTE(
SUBSTITUTE(
_xlpm.doi,
"/","%2F"),
":","%3A"),
"&lt;","%3C"),
"&gt;","%3E")
)</f>
        <v>10.1016%2Fj.jhevol.2017.09.003</v>
      </c>
      <c r="J79" s="17" t="str">
        <f t="shared" si="12"/>
        <v>Boyer_Harrington_2018_Table1</v>
      </c>
      <c r="K79" s="17" t="str">
        <f t="shared" si="7"/>
        <v>10.1016%2Fj.jhevol.2017.09.003_Table1</v>
      </c>
      <c r="L79" s="17" t="str">
        <f t="array" ref="L79">IFERROR(INDEX(AUTO_Public_TSV_FileList!$A$1:$A$1000,MATCH(TRUE(),EXACT(K79,IFERROR(_xlfn.TEXTBEFORE(AUTO_Public_TSV_FileList!$A$1:$A$1000,".tsv"),"")),0)),"notfound")</f>
        <v>10.1016%2Fj.jhevol.2017.09.003_Table1.tsv</v>
      </c>
      <c r="M79" s="19" t="s">
        <v>404</v>
      </c>
      <c r="N79" s="20"/>
      <c r="O79" s="20"/>
      <c r="P79" s="19" t="s">
        <v>55</v>
      </c>
      <c r="Q79" s="20"/>
      <c r="R79" s="20"/>
      <c r="S79" s="20"/>
      <c r="T79" s="20"/>
      <c r="U79" s="20"/>
      <c r="V79" s="20"/>
      <c r="W79" s="20"/>
      <c r="X79" s="20"/>
      <c r="Y79" s="20"/>
      <c r="Z79" s="20"/>
      <c r="AA79" s="20"/>
      <c r="AB79" s="20"/>
      <c r="AC79" s="20"/>
      <c r="AD79" s="20"/>
      <c r="AE79" s="20"/>
      <c r="AF79" s="20"/>
      <c r="AG79" s="20"/>
      <c r="AH79" s="20"/>
    </row>
    <row r="80" spans="1:36" ht="17" customHeight="1" x14ac:dyDescent="0.2">
      <c r="A80" s="19" t="s">
        <v>405</v>
      </c>
      <c r="B80" s="20"/>
      <c r="C80" s="20"/>
      <c r="D80" s="19" t="s">
        <v>406</v>
      </c>
      <c r="E80" s="17" t="str">
        <f t="shared" si="9"/>
        <v>Boyer</v>
      </c>
      <c r="F80" s="17"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80" s="17" t="str">
        <f t="shared" si="10"/>
        <v>2019</v>
      </c>
      <c r="H80" s="17" t="str">
        <f t="shared" si="11"/>
        <v>Boyer_Harrington_2019</v>
      </c>
      <c r="I80" s="17" t="str">
        <f>_xlfn.LET(
_xlpm.doi,IF(C80&lt;&gt;"",C80,_xlfn.TEXTAFTER(A80,"https://doi.org/")),
SUBSTITUTE(
SUBSTITUTE(
SUBSTITUTE(
SUBSTITUTE(
_xlpm.doi,
"/","%2F"),
":","%3A"),
"&lt;","%3C"),
"&gt;","%3E")
)</f>
        <v>10.1016%2Fj.jhevol.2018.10.002</v>
      </c>
      <c r="J80" s="17" t="str">
        <f t="shared" si="12"/>
        <v>Boyer_Harrington_2019_SOMTableS6</v>
      </c>
      <c r="K80" s="17" t="str">
        <f t="shared" si="7"/>
        <v>10.1016%2Fj.jhevol.2018.10.002_SOMTableS6</v>
      </c>
      <c r="L80" s="17" t="str">
        <f t="array" ref="L80">IFERROR(INDEX(AUTO_Public_TSV_FileList!$A$1:$A$1000,MATCH(TRUE(),EXACT(K80,IFERROR(_xlfn.TEXTBEFORE(AUTO_Public_TSV_FileList!$A$1:$A$1000,".tsv"),"")),0)),"notfound")</f>
        <v>10.1016%2Fj.jhevol.2018.10.002_SOMTableS6.tsv</v>
      </c>
      <c r="M80" s="20"/>
      <c r="N80" s="20"/>
      <c r="O80" s="20"/>
      <c r="P80" s="19" t="s">
        <v>55</v>
      </c>
      <c r="Q80" s="20"/>
      <c r="R80" s="20"/>
      <c r="S80" s="20"/>
      <c r="T80" s="20"/>
      <c r="U80" s="20"/>
      <c r="V80" s="20"/>
      <c r="W80" s="20"/>
      <c r="X80" s="20"/>
      <c r="Y80" s="20"/>
      <c r="Z80" s="20"/>
      <c r="AA80" s="20"/>
      <c r="AB80" s="20"/>
      <c r="AC80" s="20"/>
      <c r="AD80" s="20"/>
      <c r="AE80" s="20"/>
      <c r="AF80" s="20"/>
      <c r="AG80" s="20"/>
      <c r="AH80" s="20"/>
    </row>
    <row r="81" spans="1:34" ht="16" x14ac:dyDescent="0.2">
      <c r="A81" s="20" t="s">
        <v>407</v>
      </c>
      <c r="B81" s="20"/>
      <c r="C81" s="20"/>
      <c r="D81" s="20" t="s">
        <v>408</v>
      </c>
      <c r="E81" s="17" t="str">
        <f t="shared" si="9"/>
        <v>Braitenberg</v>
      </c>
      <c r="F81" s="17" t="str">
        <f>_xlfn.LET(
_xlpm.authors,_xlfn.TEXTBEFORE(A81," ("&amp;G81&amp;")"),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81" s="17" t="str">
        <f t="shared" si="10"/>
        <v>1998</v>
      </c>
      <c r="H81" s="17" t="str">
        <f t="shared" si="11"/>
        <v>Braitenberg_Schüz_1998</v>
      </c>
      <c r="I81" s="17" t="str">
        <f>_xlfn.LET(
_xlpm.doi,IF(C81&lt;&gt;"",C81,_xlfn.TEXTAFTER(A81,"https://doi.org/")),
SUBSTITUTE(
SUBSTITUTE(
SUBSTITUTE(
SUBSTITUTE(
_xlpm.doi,
"/","%2F"),
":","%3A"),
"&lt;","%3C"),
"&gt;","%3E")
)</f>
        <v>10.1007%2F978-3-662-03733-1</v>
      </c>
      <c r="J81" s="17" t="str">
        <f t="shared" si="12"/>
        <v>Braitenberg_Schüz_1998_Figure62</v>
      </c>
      <c r="K81" s="17" t="str">
        <f>I81 &amp; "_" &amp; SUBSTITUTE(SUBSTITUTE(SUBSTITUTE(D81,CHAR(160),""), " ", ""), "_", "")</f>
        <v>10.1007%2F978-3-662-03733-1_Figure62</v>
      </c>
      <c r="L81" s="17" t="str">
        <f t="array" ref="L81">IFERROR(INDEX(AUTO_Public_TSV_FileList!$A$1:$A$1000,MATCH(TRUE(),EXACT(K81,IFERROR(_xlfn.TEXTBEFORE(AUTO_Public_TSV_FileList!$A$1:$A$1000,".tsv"),"")),0)),"notfound")</f>
        <v>10.1007%2F978-3-662-03733-1_Figure62.tsv</v>
      </c>
      <c r="M81" s="20" t="s">
        <v>409</v>
      </c>
      <c r="N81" s="20" t="s">
        <v>410</v>
      </c>
      <c r="O81" s="20" t="s">
        <v>411</v>
      </c>
      <c r="P81" s="20" t="s">
        <v>412</v>
      </c>
      <c r="Q81" s="20"/>
      <c r="R81" s="20" t="s">
        <v>413</v>
      </c>
      <c r="S81" s="20" t="s">
        <v>414</v>
      </c>
      <c r="T81" s="20" t="s">
        <v>415</v>
      </c>
      <c r="U81" s="20"/>
      <c r="V81" s="20" t="s">
        <v>416</v>
      </c>
      <c r="W81" s="20" t="s">
        <v>417</v>
      </c>
      <c r="X81" s="20" t="s">
        <v>418</v>
      </c>
      <c r="Y81" s="20" t="s">
        <v>419</v>
      </c>
      <c r="Z81" s="20" t="s">
        <v>420</v>
      </c>
      <c r="AA81" s="20" t="s">
        <v>421</v>
      </c>
      <c r="AB81" s="20" t="s">
        <v>422</v>
      </c>
      <c r="AC81" s="20" t="s">
        <v>423</v>
      </c>
      <c r="AD81" s="20"/>
      <c r="AE81" s="20" t="s">
        <v>424</v>
      </c>
      <c r="AF81" s="20"/>
      <c r="AG81" s="20" t="s">
        <v>425</v>
      </c>
      <c r="AH81" s="20"/>
    </row>
    <row r="82" spans="1:34" ht="17" customHeight="1" x14ac:dyDescent="0.2">
      <c r="A82" s="20" t="s">
        <v>407</v>
      </c>
      <c r="B82" s="20"/>
      <c r="C82" s="20"/>
      <c r="D82" s="20" t="s">
        <v>93</v>
      </c>
      <c r="E82" s="17" t="str">
        <f t="shared" si="9"/>
        <v>Braitenberg</v>
      </c>
      <c r="F82" s="17" t="str">
        <f>_xlfn.LET(
_xlpm.authors,_xlfn.TEXTBEFORE(A82," ("&amp;G82&amp;")"),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82" s="17" t="str">
        <f t="shared" si="10"/>
        <v>1998</v>
      </c>
      <c r="H82" s="17" t="str">
        <f t="shared" si="11"/>
        <v>Braitenberg_Schüz_1998</v>
      </c>
      <c r="I82" s="17" t="str">
        <f>_xlfn.LET(
_xlpm.doi,IF(C82&lt;&gt;"",C82,_xlfn.TEXTAFTER(A82,"https://doi.org/")),
SUBSTITUTE(
SUBSTITUTE(
SUBSTITUTE(
SUBSTITUTE(
_xlpm.doi,
"/","%2F"),
":","%3A"),
"&lt;","%3C"),
"&gt;","%3E")
)</f>
        <v>10.1007%2F978-3-662-03733-1</v>
      </c>
      <c r="J82" s="17" t="str">
        <f t="shared" si="12"/>
        <v>Braitenberg_Schüz_1998_Text</v>
      </c>
      <c r="K82" s="17" t="str">
        <f>I82 &amp; "_" &amp; SUBSTITUTE(SUBSTITUTE(SUBSTITUTE(D82,CHAR(160),""), " ", ""), "_", "")</f>
        <v>10.1007%2F978-3-662-03733-1_Text</v>
      </c>
      <c r="L82" s="17" t="str">
        <f t="array" ref="L82">IFERROR(INDEX(AUTO_Public_TSV_FileList!$A$1:$A$1000,MATCH(TRUE(),EXACT(K82,IFERROR(_xlfn.TEXTBEFORE(AUTO_Public_TSV_FileList!$A$1:$A$1000,".tsv"),"")),0)),"notfound")</f>
        <v>10.1007%2F978-3-662-03733-1_Text.tsv</v>
      </c>
      <c r="M82" s="20" t="s">
        <v>426</v>
      </c>
      <c r="N82" s="20" t="s">
        <v>427</v>
      </c>
      <c r="O82" s="20" t="s">
        <v>428</v>
      </c>
      <c r="P82" s="20" t="s">
        <v>429</v>
      </c>
      <c r="Q82" s="20"/>
      <c r="R82" s="20" t="s">
        <v>413</v>
      </c>
      <c r="S82" s="20" t="s">
        <v>430</v>
      </c>
      <c r="T82" s="20" t="s">
        <v>431</v>
      </c>
      <c r="U82" s="20"/>
      <c r="V82" s="20" t="s">
        <v>432</v>
      </c>
      <c r="W82" s="20" t="s">
        <v>417</v>
      </c>
      <c r="X82" s="20" t="s">
        <v>433</v>
      </c>
      <c r="Y82" s="20" t="s">
        <v>434</v>
      </c>
      <c r="Z82" s="20" t="s">
        <v>172</v>
      </c>
      <c r="AA82" s="20"/>
      <c r="AB82" s="20" t="s">
        <v>435</v>
      </c>
      <c r="AC82" s="20" t="s">
        <v>423</v>
      </c>
      <c r="AD82" s="20"/>
      <c r="AE82" s="20" t="s">
        <v>436</v>
      </c>
      <c r="AF82" s="20"/>
      <c r="AG82" s="20" t="s">
        <v>437</v>
      </c>
      <c r="AH82" s="20"/>
    </row>
    <row r="83" spans="1:34" ht="17" customHeight="1" x14ac:dyDescent="0.2">
      <c r="A83" s="20" t="s">
        <v>438</v>
      </c>
      <c r="B83" s="20"/>
      <c r="C83" s="20"/>
      <c r="D83" s="20" t="s">
        <v>439</v>
      </c>
      <c r="E83" s="18" t="str">
        <f t="shared" si="9"/>
        <v>Branstetter</v>
      </c>
      <c r="F83" s="17"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17" t="str">
        <f t="shared" si="10"/>
        <v>2017</v>
      </c>
      <c r="H83" s="18" t="str">
        <f t="shared" si="11"/>
        <v>Branstetter_etal_2017</v>
      </c>
      <c r="I83" s="18" t="str">
        <f>_xlfn.LET(_xlpm.doi,IF(C83&lt;&gt;"",C83,_xlfn.TEXTAFTER(A83,"https://doi.org/")),SUBSTITUTE(SUBSTITUTE(SUBSTITUTE(SUBSTITUTE(_xlpm.doi,"/","%2F"),":","%3A"),"&lt;","%3C"),"&gt;","%3E"))</f>
        <v>10.1121%2F1.4979116</v>
      </c>
      <c r="J83" s="18" t="str">
        <f t="shared" si="12"/>
        <v>Branstetter_etal_2017_TableI</v>
      </c>
      <c r="K83" s="17" t="str">
        <f t="shared" ref="K83:K114" si="13">I83 &amp; "_" &amp; SUBSTITUTE(SUBSTITUTE(SUBSTITUTE(D83,CHAR(160),"")," ",""),"_","")</f>
        <v>10.1121%2F1.4979116_TableI</v>
      </c>
      <c r="L83" s="17" t="str">
        <f t="array" ref="L83">IFERROR(INDEX(AUTO_Public_TSV_FileList!$A$1:$A$1000,MATCH(TRUE(),EXACT(K83,IFERROR(_xlfn.TEXTBEFORE(AUTO_Public_TSV_FileList!$A$1:$A$1000,".tsv"),"")),0)),"notfound")</f>
        <v>notfound</v>
      </c>
      <c r="M83" s="20" t="s">
        <v>440</v>
      </c>
      <c r="N83" s="20" t="s">
        <v>88</v>
      </c>
      <c r="O83" s="20" t="s">
        <v>441</v>
      </c>
      <c r="P83" s="20" t="s">
        <v>133</v>
      </c>
      <c r="Q83" s="20"/>
      <c r="R83" s="20" t="s">
        <v>442</v>
      </c>
      <c r="S83" s="20"/>
      <c r="T83" s="20"/>
      <c r="U83" s="20"/>
      <c r="V83" s="20" t="s">
        <v>101</v>
      </c>
      <c r="W83" s="20" t="s">
        <v>443</v>
      </c>
      <c r="X83" s="20" t="s">
        <v>444</v>
      </c>
      <c r="Y83" s="20"/>
      <c r="Z83" s="20" t="s">
        <v>445</v>
      </c>
      <c r="AA83" s="20" t="s">
        <v>446</v>
      </c>
      <c r="AB83" s="20" t="s">
        <v>447</v>
      </c>
      <c r="AC83" s="20" t="s">
        <v>448</v>
      </c>
      <c r="AD83" s="20"/>
      <c r="AE83" s="20" t="s">
        <v>50</v>
      </c>
      <c r="AF83" s="20"/>
      <c r="AG83" s="20" t="s">
        <v>449</v>
      </c>
      <c r="AH83" s="20"/>
    </row>
    <row r="84" spans="1:34" ht="17" customHeight="1" x14ac:dyDescent="0.2">
      <c r="A84" s="20" t="s">
        <v>438</v>
      </c>
      <c r="B84" s="20"/>
      <c r="C84" s="20"/>
      <c r="D84" s="20" t="s">
        <v>450</v>
      </c>
      <c r="E84" s="18" t="str">
        <f t="shared" si="9"/>
        <v>Branstetter</v>
      </c>
      <c r="F84" s="17"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17" t="str">
        <f t="shared" si="10"/>
        <v>2017</v>
      </c>
      <c r="H84" s="18" t="str">
        <f t="shared" si="11"/>
        <v>Branstetter_etal_2017</v>
      </c>
      <c r="I84" s="18" t="str">
        <f>_xlfn.LET(_xlpm.doi,IF(C84&lt;&gt;"",C84,_xlfn.TEXTAFTER(A84,"https://doi.org/")),SUBSTITUTE(SUBSTITUTE(SUBSTITUTE(SUBSTITUTE(_xlpm.doi,"/","%2F"),":","%3A"),"&lt;","%3C"),"&gt;","%3E"))</f>
        <v>10.1121%2F1.4979116</v>
      </c>
      <c r="J84" s="18" t="str">
        <f t="shared" si="12"/>
        <v>Branstetter_etal_2017_TableIV</v>
      </c>
      <c r="K84" s="17" t="str">
        <f t="shared" si="13"/>
        <v>10.1121%2F1.4979116_TableIV</v>
      </c>
      <c r="L84" s="17" t="str">
        <f t="array" ref="L84">IFERROR(INDEX(AUTO_Public_TSV_FileList!$A$1:$A$1000,MATCH(TRUE(),EXACT(K84,IFERROR(_xlfn.TEXTBEFORE(AUTO_Public_TSV_FileList!$A$1:$A$1000,".tsv"),"")),0)),"notfound")</f>
        <v>10.1121%2F1.4979116_TableIV.tsv</v>
      </c>
      <c r="M84" s="20" t="s">
        <v>451</v>
      </c>
      <c r="N84" s="20" t="s">
        <v>88</v>
      </c>
      <c r="O84" s="20" t="s">
        <v>452</v>
      </c>
      <c r="P84" s="20" t="s">
        <v>55</v>
      </c>
      <c r="Q84" s="20"/>
      <c r="R84" s="20" t="s">
        <v>442</v>
      </c>
      <c r="S84" s="20"/>
      <c r="T84" s="20"/>
      <c r="U84" s="20"/>
      <c r="V84" s="20" t="s">
        <v>101</v>
      </c>
      <c r="W84" s="20" t="s">
        <v>453</v>
      </c>
      <c r="X84" s="20" t="s">
        <v>454</v>
      </c>
      <c r="Y84" s="20"/>
      <c r="Z84" s="20" t="s">
        <v>445</v>
      </c>
      <c r="AA84" s="20" t="s">
        <v>455</v>
      </c>
      <c r="AB84" s="20" t="s">
        <v>456</v>
      </c>
      <c r="AC84" s="20" t="s">
        <v>448</v>
      </c>
      <c r="AD84" s="20"/>
      <c r="AE84" s="20" t="s">
        <v>70</v>
      </c>
      <c r="AF84" s="20" t="s">
        <v>457</v>
      </c>
      <c r="AG84" s="20" t="s">
        <v>449</v>
      </c>
      <c r="AH84" s="20"/>
    </row>
    <row r="85" spans="1:34" ht="17" customHeight="1" x14ac:dyDescent="0.2">
      <c r="A85" s="20" t="s">
        <v>458</v>
      </c>
      <c r="B85" s="20"/>
      <c r="C85" s="19" t="s">
        <v>459</v>
      </c>
      <c r="D85" s="19" t="s">
        <v>86</v>
      </c>
      <c r="E85" s="17" t="str">
        <f t="shared" si="9"/>
        <v>Brodmann</v>
      </c>
      <c r="F85" s="17"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5" s="17" t="str">
        <f t="shared" si="10"/>
        <v>1913</v>
      </c>
      <c r="H85" s="17" t="str">
        <f t="shared" si="11"/>
        <v>Brodmann__1913</v>
      </c>
      <c r="I85" s="17" t="str">
        <f t="shared" ref="I85:I90" si="14">_xlfn.LET(
_xlpm.doi,IF(C85&lt;&gt;"",C85,_xlfn.TEXTAFTER(A85,"https://doi.org/")),
SUBSTITUTE(
SUBSTITUTE(
SUBSTITUTE(
SUBSTITUTE(
_xlpm.doi,
"/","%2F"),
":","%3A"),
"&lt;","%3C"),
"&gt;","%3E")
)</f>
        <v>OCLC%3A8777719</v>
      </c>
      <c r="J85" s="17" t="str">
        <f t="shared" si="12"/>
        <v>Brodmann__1913_Table1</v>
      </c>
      <c r="K85" s="17" t="str">
        <f t="shared" si="13"/>
        <v>OCLC%3A8777719_Table1</v>
      </c>
      <c r="L85" s="17" t="str">
        <f t="array" ref="L85">IFERROR(INDEX(AUTO_Public_TSV_FileList!$A$1:$A$1000,MATCH(TRUE(),EXACT(K85,IFERROR(_xlfn.TEXTBEFORE(AUTO_Public_TSV_FileList!$A$1:$A$1000,".tsv"),"")),0)),"notfound")</f>
        <v>OCLC%3A8777719_Table1.tsv</v>
      </c>
      <c r="M85" s="19" t="s">
        <v>460</v>
      </c>
      <c r="N85" s="20"/>
      <c r="O85" s="20"/>
      <c r="P85" s="19" t="s">
        <v>55</v>
      </c>
      <c r="Q85" s="20"/>
      <c r="R85" s="20"/>
      <c r="S85" s="20"/>
      <c r="T85" s="20"/>
      <c r="U85" s="20"/>
      <c r="V85" s="20"/>
      <c r="W85" s="19" t="s">
        <v>461</v>
      </c>
      <c r="X85" s="19" t="s">
        <v>462</v>
      </c>
      <c r="Y85" s="20"/>
      <c r="Z85" s="20"/>
      <c r="AA85" s="20"/>
      <c r="AB85" s="19" t="s">
        <v>463</v>
      </c>
      <c r="AC85" s="20"/>
      <c r="AD85" s="20"/>
      <c r="AE85" s="19" t="s">
        <v>50</v>
      </c>
      <c r="AF85" s="19"/>
      <c r="AG85" s="20"/>
      <c r="AH85" s="20"/>
    </row>
    <row r="86" spans="1:34" ht="17" customHeight="1" x14ac:dyDescent="0.2">
      <c r="A86" s="19" t="s">
        <v>464</v>
      </c>
      <c r="B86" s="20"/>
      <c r="C86" s="19" t="s">
        <v>465</v>
      </c>
      <c r="D86" s="19" t="s">
        <v>466</v>
      </c>
      <c r="E86" s="17" t="str">
        <f t="shared" si="9"/>
        <v>Brodmann</v>
      </c>
      <c r="F86" s="17"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6" s="17" t="str">
        <f t="shared" si="10"/>
        <v>1913</v>
      </c>
      <c r="H86" s="17" t="str">
        <f t="shared" si="11"/>
        <v>Brodmann__1913</v>
      </c>
      <c r="I86" s="17" t="str">
        <f t="shared" si="14"/>
        <v>Verhandlungen%3A85%3A200-240</v>
      </c>
      <c r="J86" s="17" t="str">
        <f t="shared" si="12"/>
        <v>Brodmann__1913_Tabelle1</v>
      </c>
      <c r="K86" s="17" t="str">
        <f t="shared" si="13"/>
        <v>Verhandlungen%3A85%3A200-240_Tabelle1</v>
      </c>
      <c r="L86" s="17" t="str">
        <f t="array" ref="L86">IFERROR(INDEX(AUTO_Public_TSV_FileList!$A$1:$A$1000,MATCH(TRUE(),EXACT(K86,IFERROR(_xlfn.TEXTBEFORE(AUTO_Public_TSV_FileList!$A$1:$A$1000,".tsv"),"")),0)),"notfound")</f>
        <v>notfound</v>
      </c>
      <c r="M86" s="20"/>
      <c r="N86" s="20"/>
      <c r="O86" s="20" t="s">
        <v>467</v>
      </c>
      <c r="P86" s="20" t="s">
        <v>55</v>
      </c>
      <c r="Q86" s="20"/>
      <c r="R86" s="20"/>
      <c r="S86" s="20"/>
      <c r="T86" s="20"/>
      <c r="U86" s="20"/>
      <c r="V86" s="20"/>
      <c r="W86" s="19" t="s">
        <v>468</v>
      </c>
      <c r="X86" s="19" t="s">
        <v>264</v>
      </c>
      <c r="Y86" s="20"/>
      <c r="Z86" s="20"/>
      <c r="AA86" s="20"/>
      <c r="AB86" s="19" t="s">
        <v>264</v>
      </c>
      <c r="AC86" s="20"/>
      <c r="AD86" s="20"/>
      <c r="AE86" s="19" t="s">
        <v>50</v>
      </c>
      <c r="AF86" s="19"/>
      <c r="AG86" s="20"/>
      <c r="AH86" s="20"/>
    </row>
    <row r="87" spans="1:34" ht="17" customHeight="1" x14ac:dyDescent="0.2">
      <c r="A87" s="20" t="s">
        <v>4525</v>
      </c>
      <c r="B87" s="20"/>
      <c r="C87" s="20"/>
      <c r="D87" s="20" t="s">
        <v>500</v>
      </c>
      <c r="E87" s="17" t="str">
        <f t="shared" si="9"/>
        <v>Buchanan</v>
      </c>
      <c r="F87" s="17"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Johnson</v>
      </c>
      <c r="G87" s="17" t="str">
        <f t="shared" si="10"/>
        <v>2011</v>
      </c>
      <c r="H87" s="17" t="str">
        <f t="shared" si="11"/>
        <v>Buchanan_Johnson_2011</v>
      </c>
      <c r="I87" s="17" t="str">
        <f t="shared" si="14"/>
        <v>10.1111%2Fj.1749-6632.2011.06022.x</v>
      </c>
      <c r="J87" s="17" t="str">
        <f t="shared" si="12"/>
        <v>Buchanan_Johnson_2011_ResultsText</v>
      </c>
      <c r="K87" s="17" t="str">
        <f t="shared" si="13"/>
        <v>10.1111%2Fj.1749-6632.2011.06022.x_ResultsText</v>
      </c>
      <c r="L87" s="17" t="str">
        <f t="array" ref="L87">IFERROR(INDEX(AUTO_Public_TSV_FileList!$A$1:$A$1000,MATCH(TRUE(),EXACT(K87,IFERROR(_xlfn.TEXTBEFORE(AUTO_Public_TSV_FileList!$A$1:$A$1000,".tsv"),"")),0)),"notfound")</f>
        <v>notfound</v>
      </c>
      <c r="M87" s="20"/>
      <c r="N87" s="20" t="s">
        <v>4526</v>
      </c>
      <c r="O87" s="20" t="s">
        <v>4527</v>
      </c>
      <c r="P87" s="20" t="s">
        <v>4528</v>
      </c>
      <c r="Q87" s="20" t="s">
        <v>4529</v>
      </c>
      <c r="R87" s="20" t="s">
        <v>4530</v>
      </c>
      <c r="S87" s="20" t="s">
        <v>4531</v>
      </c>
      <c r="T87" s="20" t="s">
        <v>4532</v>
      </c>
      <c r="U87" s="20"/>
      <c r="V87" s="20" t="s">
        <v>4533</v>
      </c>
      <c r="W87" s="20" t="s">
        <v>4534</v>
      </c>
      <c r="X87" s="20" t="s">
        <v>4535</v>
      </c>
      <c r="Y87" s="20" t="s">
        <v>4536</v>
      </c>
      <c r="Z87" s="20" t="s">
        <v>4537</v>
      </c>
      <c r="AA87" s="20" t="s">
        <v>4538</v>
      </c>
      <c r="AB87" s="20" t="s">
        <v>4539</v>
      </c>
      <c r="AC87" s="20" t="s">
        <v>4540</v>
      </c>
      <c r="AD87" s="20" t="s">
        <v>4541</v>
      </c>
      <c r="AE87" s="20" t="s">
        <v>50</v>
      </c>
      <c r="AF87" s="20"/>
      <c r="AG87" s="20" t="s">
        <v>4542</v>
      </c>
      <c r="AH87" s="20"/>
    </row>
    <row r="88" spans="1:34" ht="17" customHeight="1" x14ac:dyDescent="0.2">
      <c r="A88" s="19" t="s">
        <v>469</v>
      </c>
      <c r="B88" s="20"/>
      <c r="C88" s="20"/>
      <c r="D88" s="19" t="s">
        <v>470</v>
      </c>
      <c r="E88" s="17" t="str">
        <f t="shared" si="9"/>
        <v>Burger</v>
      </c>
      <c r="F88" s="17"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17" t="str">
        <f t="shared" si="10"/>
        <v>2019</v>
      </c>
      <c r="H88" s="17" t="str">
        <f t="shared" si="11"/>
        <v>Burger_etal_2019</v>
      </c>
      <c r="I88" s="17" t="str">
        <f t="shared" si="14"/>
        <v>10.1093%2Fjmammal%2Fgyz043</v>
      </c>
      <c r="J88" s="17" t="str">
        <f t="shared" si="12"/>
        <v>Burger_etal_2019_SupplementaryDataSD1</v>
      </c>
      <c r="K88" s="17" t="str">
        <f t="shared" si="13"/>
        <v>10.1093%2Fjmammal%2Fgyz043_SupplementaryDataSD1</v>
      </c>
      <c r="L88" s="17" t="str">
        <f t="array" ref="L88">IFERROR(INDEX(AUTO_Public_TSV_FileList!$A$1:$A$1000,MATCH(TRUE(),EXACT(K88,IFERROR(_xlfn.TEXTBEFORE(AUTO_Public_TSV_FileList!$A$1:$A$1000,".tsv"),"")),0)),"notfound")</f>
        <v>10.1093%2Fjmammal%2Fgyz043_SupplementaryDataSD1.tsv</v>
      </c>
      <c r="M88" s="19" t="s">
        <v>471</v>
      </c>
      <c r="N88" s="19" t="s">
        <v>54</v>
      </c>
      <c r="O88" s="20"/>
      <c r="P88" s="19" t="s">
        <v>55</v>
      </c>
      <c r="Q88" s="19" t="s">
        <v>472</v>
      </c>
      <c r="R88" s="20"/>
      <c r="S88" s="20"/>
      <c r="T88" s="20"/>
      <c r="U88" s="20"/>
      <c r="V88" s="19"/>
      <c r="W88" s="19" t="s">
        <v>224</v>
      </c>
      <c r="X88" s="19" t="s">
        <v>473</v>
      </c>
      <c r="Y88" s="20"/>
      <c r="Z88" s="20"/>
      <c r="AA88" s="20"/>
      <c r="AB88" s="19" t="s">
        <v>474</v>
      </c>
      <c r="AC88" s="20"/>
      <c r="AD88" s="20"/>
      <c r="AE88" s="19" t="s">
        <v>265</v>
      </c>
      <c r="AF88" s="19"/>
      <c r="AG88" s="19" t="s">
        <v>475</v>
      </c>
      <c r="AH88" s="20"/>
    </row>
    <row r="89" spans="1:34" ht="17" customHeight="1" x14ac:dyDescent="0.2">
      <c r="A89" s="19" t="s">
        <v>476</v>
      </c>
      <c r="B89" s="20"/>
      <c r="C89" s="20"/>
      <c r="D89" s="19" t="s">
        <v>477</v>
      </c>
      <c r="E89" s="17" t="str">
        <f t="shared" si="9"/>
        <v>Burish</v>
      </c>
      <c r="F89" s="1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17" t="str">
        <f t="shared" si="10"/>
        <v>2010</v>
      </c>
      <c r="H89" s="17" t="str">
        <f t="shared" si="11"/>
        <v>Burish_etal_2010</v>
      </c>
      <c r="I89" s="17" t="str">
        <f t="shared" si="14"/>
        <v>10.1159%2F000319019</v>
      </c>
      <c r="J89" s="17" t="str">
        <f t="shared" si="12"/>
        <v>Burish_etal_2010_SupplementaryTable1</v>
      </c>
      <c r="K89" s="17" t="str">
        <f t="shared" si="13"/>
        <v>10.1159%2F000319019_SupplementaryTable1</v>
      </c>
      <c r="L89" s="17" t="str">
        <f t="array" ref="L89">IFERROR(INDEX(AUTO_Public_TSV_FileList!$A$1:$A$1000,MATCH(TRUE(),EXACT(K89,IFERROR(_xlfn.TEXTBEFORE(AUTO_Public_TSV_FileList!$A$1:$A$1000,".tsv"),"")),0)),"notfound")</f>
        <v>10.1159%2F000319019_SupplementaryTable1.tsv</v>
      </c>
      <c r="M89" s="19" t="s">
        <v>478</v>
      </c>
      <c r="N89" s="20"/>
      <c r="O89" s="20"/>
      <c r="P89" s="19" t="s">
        <v>55</v>
      </c>
      <c r="Q89" s="19"/>
      <c r="R89" s="20"/>
      <c r="S89" s="20"/>
      <c r="T89" s="20"/>
      <c r="U89" s="20"/>
      <c r="V89" s="19"/>
      <c r="W89" s="20" t="s">
        <v>479</v>
      </c>
      <c r="X89" s="19" t="s">
        <v>480</v>
      </c>
      <c r="Y89" s="20"/>
      <c r="Z89" s="20"/>
      <c r="AA89" s="19" t="s">
        <v>82</v>
      </c>
      <c r="AB89" s="19"/>
      <c r="AC89" s="19" t="s">
        <v>84</v>
      </c>
      <c r="AD89" s="19" t="s">
        <v>84</v>
      </c>
      <c r="AE89" s="19"/>
      <c r="AF89" s="19"/>
      <c r="AG89" s="20"/>
      <c r="AH89" s="20"/>
    </row>
    <row r="90" spans="1:34" ht="17" customHeight="1" x14ac:dyDescent="0.2">
      <c r="A90" s="19" t="s">
        <v>476</v>
      </c>
      <c r="B90" s="20"/>
      <c r="C90" s="20"/>
      <c r="D90" s="19" t="s">
        <v>86</v>
      </c>
      <c r="E90" s="17" t="str">
        <f t="shared" si="9"/>
        <v>Burish</v>
      </c>
      <c r="F90" s="17"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17" t="str">
        <f t="shared" si="10"/>
        <v>2010</v>
      </c>
      <c r="H90" s="17" t="str">
        <f t="shared" si="11"/>
        <v>Burish_etal_2010</v>
      </c>
      <c r="I90" s="17" t="str">
        <f t="shared" si="14"/>
        <v>10.1159%2F000319019</v>
      </c>
      <c r="J90" s="17" t="str">
        <f t="shared" si="12"/>
        <v>Burish_etal_2010_Table1</v>
      </c>
      <c r="K90" s="17" t="str">
        <f t="shared" si="13"/>
        <v>10.1159%2F000319019_Table1</v>
      </c>
      <c r="L90" s="17" t="str">
        <f t="array" ref="L90">IFERROR(INDEX(AUTO_Public_TSV_FileList!$A$1:$A$1000,MATCH(TRUE(),EXACT(K90,IFERROR(_xlfn.TEXTBEFORE(AUTO_Public_TSV_FileList!$A$1:$A$1000,".tsv"),"")),0)),"notfound")</f>
        <v>10.1159%2F000319019_Table1.tsv</v>
      </c>
      <c r="M90" s="19" t="s">
        <v>481</v>
      </c>
      <c r="N90" s="19" t="s">
        <v>54</v>
      </c>
      <c r="O90" s="20"/>
      <c r="P90" s="19" t="s">
        <v>55</v>
      </c>
      <c r="Q90" s="19"/>
      <c r="R90" s="19" t="s">
        <v>482</v>
      </c>
      <c r="S90" s="19" t="s">
        <v>483</v>
      </c>
      <c r="T90" s="20"/>
      <c r="U90" s="20"/>
      <c r="V90" s="20"/>
      <c r="W90" s="19" t="s">
        <v>479</v>
      </c>
      <c r="X90" s="19" t="s">
        <v>480</v>
      </c>
      <c r="Y90" s="20"/>
      <c r="Z90" s="20"/>
      <c r="AA90" s="19" t="s">
        <v>82</v>
      </c>
      <c r="AB90" s="19"/>
      <c r="AC90" s="19" t="s">
        <v>84</v>
      </c>
      <c r="AD90" s="19" t="s">
        <v>84</v>
      </c>
      <c r="AE90" s="19"/>
      <c r="AF90" s="19"/>
      <c r="AG90" s="20"/>
      <c r="AH90" s="20"/>
    </row>
    <row r="91" spans="1:34" ht="17" customHeight="1" x14ac:dyDescent="0.2">
      <c r="A91" s="20" t="s">
        <v>3624</v>
      </c>
      <c r="B91" s="20"/>
      <c r="C91" s="20"/>
      <c r="D91" s="20" t="s">
        <v>3098</v>
      </c>
      <c r="E91" s="18" t="str">
        <f t="shared" si="9"/>
        <v>Burkart</v>
      </c>
      <c r="F91" s="17"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17" t="str">
        <f t="shared" si="10"/>
        <v>2014</v>
      </c>
      <c r="H91" s="18" t="str">
        <f t="shared" si="11"/>
        <v>Burkart_etal_2014</v>
      </c>
      <c r="I91" s="18" t="str">
        <f>_xlfn.LET(_xlpm.doi,IF(C91&lt;&gt;"",C91,_xlfn.TEXTAFTER(A91,"https://doi.org/")),SUBSTITUTE(SUBSTITUTE(SUBSTITUTE(SUBSTITUTE(_xlpm.doi,"/","%2F"),":","%3A"),"&lt;","%3C"),"&gt;","%3E"))</f>
        <v>10.1038%2Fncomms5747</v>
      </c>
      <c r="J91" s="18" t="str">
        <f t="shared" si="12"/>
        <v>Burkart_etal_2014_Figure1</v>
      </c>
      <c r="K91" s="17" t="str">
        <f t="shared" si="13"/>
        <v>10.1038%2Fncomms5747_Figure1</v>
      </c>
      <c r="L91" s="17" t="str">
        <f t="array" ref="L91">IFERROR(INDEX(AUTO_Public_TSV_FileList!$A$1:$A$1000,MATCH(TRUE(),EXACT(K91,IFERROR(_xlfn.TEXTBEFORE(AUTO_Public_TSV_FileList!$A$1:$A$1000,".tsv"),"")),0)),"notfound")</f>
        <v>10.1038%2Fncomms5747_Figure1.tsv</v>
      </c>
      <c r="M91" s="20" t="s">
        <v>3636</v>
      </c>
      <c r="N91" s="20" t="s">
        <v>3637</v>
      </c>
      <c r="O91" s="20" t="s">
        <v>3626</v>
      </c>
      <c r="P91" s="20" t="s">
        <v>3484</v>
      </c>
      <c r="Q91" s="20" t="s">
        <v>3638</v>
      </c>
      <c r="R91" s="20" t="s">
        <v>3628</v>
      </c>
      <c r="S91" s="20"/>
      <c r="T91" s="20"/>
      <c r="U91" s="20" t="s">
        <v>3639</v>
      </c>
      <c r="V91" s="20" t="s">
        <v>3636</v>
      </c>
      <c r="W91" s="20" t="s">
        <v>187</v>
      </c>
      <c r="X91" s="20" t="s">
        <v>3636</v>
      </c>
      <c r="Y91" s="20"/>
      <c r="Z91" s="20"/>
      <c r="AA91" s="20" t="s">
        <v>3630</v>
      </c>
      <c r="AB91" s="20"/>
      <c r="AC91" s="20" t="s">
        <v>3631</v>
      </c>
      <c r="AD91" s="20" t="s">
        <v>3631</v>
      </c>
      <c r="AE91" s="20" t="s">
        <v>70</v>
      </c>
      <c r="AF91" s="20" t="s">
        <v>3640</v>
      </c>
      <c r="AG91" s="20"/>
      <c r="AH91" s="20" t="s">
        <v>3632</v>
      </c>
    </row>
    <row r="92" spans="1:34" ht="17" customHeight="1" x14ac:dyDescent="0.2">
      <c r="A92" s="20" t="s">
        <v>3624</v>
      </c>
      <c r="B92" s="20"/>
      <c r="C92" s="20"/>
      <c r="D92" s="20" t="s">
        <v>2170</v>
      </c>
      <c r="E92" s="18" t="str">
        <f t="shared" si="9"/>
        <v>Burkart</v>
      </c>
      <c r="F92" s="17"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17" t="str">
        <f t="shared" si="10"/>
        <v>2014</v>
      </c>
      <c r="H92" s="18" t="str">
        <f t="shared" si="11"/>
        <v>Burkart_etal_2014</v>
      </c>
      <c r="I92" s="18" t="str">
        <f>_xlfn.LET(_xlpm.doi,IF(C92&lt;&gt;"",C92,_xlfn.TEXTAFTER(A92,"https://doi.org/")),SUBSTITUTE(SUBSTITUTE(SUBSTITUTE(SUBSTITUTE(_xlpm.doi,"/","%2F"),":","%3A"),"&lt;","%3C"),"&gt;","%3E"))</f>
        <v>10.1038%2Fncomms5747</v>
      </c>
      <c r="J92" s="18" t="str">
        <f t="shared" si="12"/>
        <v>Burkart_etal_2014_Table2</v>
      </c>
      <c r="K92" s="17" t="str">
        <f t="shared" si="13"/>
        <v>10.1038%2Fncomms5747_Table2</v>
      </c>
      <c r="L92" s="17" t="str">
        <f t="array" ref="L92">IFERROR(INDEX(AUTO_Public_TSV_FileList!$A$1:$A$1000,MATCH(TRUE(),EXACT(K92,IFERROR(_xlfn.TEXTBEFORE(AUTO_Public_TSV_FileList!$A$1:$A$1000,".tsv"),"")),0)),"notfound")</f>
        <v>10.1038%2Fncomms5747_Table2.tsv</v>
      </c>
      <c r="M92" s="20" t="s">
        <v>3625</v>
      </c>
      <c r="N92" s="20" t="s">
        <v>3482</v>
      </c>
      <c r="O92" s="20" t="s">
        <v>3626</v>
      </c>
      <c r="P92" s="20" t="s">
        <v>3484</v>
      </c>
      <c r="Q92" s="20" t="s">
        <v>3627</v>
      </c>
      <c r="R92" s="20" t="s">
        <v>3628</v>
      </c>
      <c r="S92" s="20"/>
      <c r="T92" s="20"/>
      <c r="U92" s="20" t="s">
        <v>3629</v>
      </c>
      <c r="V92" s="20" t="s">
        <v>3625</v>
      </c>
      <c r="W92" s="20" t="s">
        <v>187</v>
      </c>
      <c r="X92" s="20" t="s">
        <v>3625</v>
      </c>
      <c r="Y92" s="20"/>
      <c r="Z92" s="20"/>
      <c r="AA92" s="20" t="s">
        <v>3630</v>
      </c>
      <c r="AB92" s="20"/>
      <c r="AC92" s="20" t="s">
        <v>3631</v>
      </c>
      <c r="AD92" s="20" t="s">
        <v>3631</v>
      </c>
      <c r="AE92" s="20" t="s">
        <v>50</v>
      </c>
      <c r="AF92" s="20"/>
      <c r="AG92" s="20"/>
      <c r="AH92" s="20" t="s">
        <v>3632</v>
      </c>
    </row>
    <row r="93" spans="1:34" ht="17" customHeight="1" x14ac:dyDescent="0.2">
      <c r="A93" s="20" t="s">
        <v>3624</v>
      </c>
      <c r="B93" s="20"/>
      <c r="C93" s="20"/>
      <c r="D93" s="20" t="s">
        <v>3633</v>
      </c>
      <c r="E93" s="18" t="str">
        <f t="shared" si="9"/>
        <v>Burkart</v>
      </c>
      <c r="F93" s="17"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17" t="str">
        <f t="shared" si="10"/>
        <v>2014</v>
      </c>
      <c r="H93" s="18" t="str">
        <f t="shared" si="11"/>
        <v>Burkart_etal_2014</v>
      </c>
      <c r="I93" s="18" t="str">
        <f>_xlfn.LET(_xlpm.doi,IF(C93&lt;&gt;"",C93,_xlfn.TEXTAFTER(A93,"https://doi.org/")),SUBSTITUTE(SUBSTITUTE(SUBSTITUTE(SUBSTITUTE(_xlpm.doi,"/","%2F"),":","%3A"),"&lt;","%3C"),"&gt;","%3E"))</f>
        <v>10.1038%2Fncomms5747</v>
      </c>
      <c r="J93" s="18" t="str">
        <f t="shared" si="12"/>
        <v>Burkart_etal_2014_TableS7</v>
      </c>
      <c r="K93" s="17" t="str">
        <f t="shared" si="13"/>
        <v>10.1038%2Fncomms5747_TableS7</v>
      </c>
      <c r="L93" s="17" t="str">
        <f t="array" ref="L93">IFERROR(INDEX(AUTO_Public_TSV_FileList!$A$1:$A$1000,MATCH(TRUE(),EXACT(K93,IFERROR(_xlfn.TEXTBEFORE(AUTO_Public_TSV_FileList!$A$1:$A$1000,".tsv"),"")),0)),"notfound")</f>
        <v>10.1038%2Fncomms5747_TableS7.tsv</v>
      </c>
      <c r="M93" s="20" t="s">
        <v>3634</v>
      </c>
      <c r="N93" s="20" t="s">
        <v>3482</v>
      </c>
      <c r="O93" s="20" t="s">
        <v>3626</v>
      </c>
      <c r="P93" s="20" t="s">
        <v>3484</v>
      </c>
      <c r="Q93" s="20" t="s">
        <v>3635</v>
      </c>
      <c r="R93" s="20" t="s">
        <v>3628</v>
      </c>
      <c r="S93" s="20"/>
      <c r="T93" s="20"/>
      <c r="U93" s="20" t="s">
        <v>3629</v>
      </c>
      <c r="V93" s="20" t="s">
        <v>3634</v>
      </c>
      <c r="W93" s="20" t="s">
        <v>187</v>
      </c>
      <c r="X93" s="20" t="s">
        <v>3634</v>
      </c>
      <c r="Y93" s="20"/>
      <c r="Z93" s="20"/>
      <c r="AA93" s="20" t="s">
        <v>3630</v>
      </c>
      <c r="AB93" s="20"/>
      <c r="AC93" s="20" t="s">
        <v>3631</v>
      </c>
      <c r="AD93" s="20" t="s">
        <v>3631</v>
      </c>
      <c r="AE93" s="20" t="s">
        <v>50</v>
      </c>
      <c r="AF93" s="20"/>
      <c r="AG93" s="20"/>
      <c r="AH93" s="20" t="s">
        <v>3632</v>
      </c>
    </row>
    <row r="94" spans="1:34" ht="17" customHeight="1" x14ac:dyDescent="0.2">
      <c r="A94" s="19" t="s">
        <v>484</v>
      </c>
      <c r="B94" s="20"/>
      <c r="C94" s="20"/>
      <c r="D94" s="19" t="s">
        <v>86</v>
      </c>
      <c r="E94" s="17" t="str">
        <f t="shared" si="9"/>
        <v>Bush</v>
      </c>
      <c r="F94" s="17"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4" s="17" t="str">
        <f t="shared" si="10"/>
        <v>2003</v>
      </c>
      <c r="H94" s="17" t="str">
        <f t="shared" si="11"/>
        <v>Bush_Allman_2003</v>
      </c>
      <c r="I94" s="17" t="str">
        <f t="shared" ref="I94:I101" si="15">_xlfn.LET(
_xlpm.doi,IF(C94&lt;&gt;"",C94,_xlfn.TEXTAFTER(A94,"https://doi.org/")),
SUBSTITUTE(
SUBSTITUTE(
SUBSTITUTE(
SUBSTITUTE(
_xlpm.doi,
"/","%2F"),
":","%3A"),
"&lt;","%3C"),
"&gt;","%3E")
)</f>
        <v>10.1159%2F000068880</v>
      </c>
      <c r="J94" s="17" t="str">
        <f t="shared" si="12"/>
        <v>Bush_Allman_2003_Table1</v>
      </c>
      <c r="K94" s="17" t="str">
        <f t="shared" si="13"/>
        <v>10.1159%2F000068880_Table1</v>
      </c>
      <c r="L94" s="17" t="str">
        <f t="array" ref="L94">IFERROR(INDEX(AUTO_Public_TSV_FileList!$A$1:$A$1000,MATCH(TRUE(),EXACT(K94,IFERROR(_xlfn.TEXTBEFORE(AUTO_Public_TSV_FileList!$A$1:$A$1000,".tsv"),"")),0)),"notfound")</f>
        <v>10.1159%2F000068880_Table1.tsv</v>
      </c>
      <c r="M94" s="19"/>
      <c r="N94" s="20"/>
      <c r="O94" s="20"/>
      <c r="P94" s="19" t="s">
        <v>55</v>
      </c>
      <c r="Q94" s="20"/>
      <c r="R94" s="20"/>
      <c r="S94" s="20"/>
      <c r="T94" s="20"/>
      <c r="U94" s="20"/>
      <c r="V94" s="20"/>
      <c r="W94" s="20"/>
      <c r="X94" s="20"/>
      <c r="Y94" s="20"/>
      <c r="Z94" s="20"/>
      <c r="AA94" s="20"/>
      <c r="AB94" s="20"/>
      <c r="AC94" s="19" t="s">
        <v>485</v>
      </c>
      <c r="AD94" s="19" t="s">
        <v>486</v>
      </c>
      <c r="AE94" s="20"/>
      <c r="AF94" s="20"/>
      <c r="AG94" s="20"/>
      <c r="AH94" s="20"/>
    </row>
    <row r="95" spans="1:34" ht="17" customHeight="1" x14ac:dyDescent="0.2">
      <c r="A95" s="19" t="s">
        <v>487</v>
      </c>
      <c r="B95" s="19" t="s">
        <v>488</v>
      </c>
      <c r="C95" s="20"/>
      <c r="D95" s="19" t="s">
        <v>160</v>
      </c>
      <c r="E95" s="17" t="str">
        <f t="shared" si="9"/>
        <v>Bush</v>
      </c>
      <c r="F95" s="17"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5" s="17" t="str">
        <f t="shared" si="10"/>
        <v>2004</v>
      </c>
      <c r="H95" s="17" t="str">
        <f t="shared" si="11"/>
        <v>Bush_Allman_2004_a</v>
      </c>
      <c r="I95" s="17" t="str">
        <f t="shared" si="15"/>
        <v>10.1073%2Fpnas.0305760101</v>
      </c>
      <c r="J95" s="17" t="str">
        <f t="shared" si="12"/>
        <v>Bush_Allman_2004_a_Table2</v>
      </c>
      <c r="K95" s="17" t="str">
        <f t="shared" si="13"/>
        <v>10.1073%2Fpnas.0305760101_Table2</v>
      </c>
      <c r="L95" s="17" t="str">
        <f t="array" ref="L95">IFERROR(INDEX(AUTO_Public_TSV_FileList!$A$1:$A$1000,MATCH(TRUE(),EXACT(K95,IFERROR(_xlfn.TEXTBEFORE(AUTO_Public_TSV_FileList!$A$1:$A$1000,".tsv"),"")),0)),"notfound")</f>
        <v>10.1073%2Fpnas.0305760101_Table2.tsv</v>
      </c>
      <c r="M95" s="19" t="s">
        <v>489</v>
      </c>
      <c r="N95" s="19" t="s">
        <v>54</v>
      </c>
      <c r="O95" s="20"/>
      <c r="P95" s="19" t="s">
        <v>55</v>
      </c>
      <c r="Q95" s="19"/>
      <c r="R95" s="20"/>
      <c r="S95" s="20"/>
      <c r="T95" s="20"/>
      <c r="U95" s="20"/>
      <c r="V95" s="20"/>
      <c r="W95" s="19" t="s">
        <v>490</v>
      </c>
      <c r="X95" s="19" t="s">
        <v>491</v>
      </c>
      <c r="Y95" s="20"/>
      <c r="Z95" s="19" t="s">
        <v>172</v>
      </c>
      <c r="AA95" s="19" t="s">
        <v>216</v>
      </c>
      <c r="AB95" s="20"/>
      <c r="AC95" s="19" t="s">
        <v>485</v>
      </c>
      <c r="AD95" s="19" t="s">
        <v>486</v>
      </c>
      <c r="AE95" s="20"/>
      <c r="AF95" s="20"/>
      <c r="AG95" s="20"/>
      <c r="AH95" s="20"/>
    </row>
    <row r="96" spans="1:34" ht="17" customHeight="1" x14ac:dyDescent="0.2">
      <c r="A96" s="19" t="s">
        <v>492</v>
      </c>
      <c r="B96" s="19" t="s">
        <v>493</v>
      </c>
      <c r="C96" s="20"/>
      <c r="D96" s="19" t="s">
        <v>77</v>
      </c>
      <c r="E96" s="17" t="str">
        <f t="shared" si="9"/>
        <v>Bush</v>
      </c>
      <c r="F96" s="17"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6" s="17" t="str">
        <f t="shared" si="10"/>
        <v>2004</v>
      </c>
      <c r="H96" s="17" t="str">
        <f t="shared" si="11"/>
        <v>Bush_Allman_2004_b</v>
      </c>
      <c r="I96" s="17" t="str">
        <f t="shared" si="15"/>
        <v>10.1002%2Far.a.20114</v>
      </c>
      <c r="J96" s="17" t="str">
        <f t="shared" si="12"/>
        <v>Bush_Allman_2004_b_TABLE1</v>
      </c>
      <c r="K96" s="17" t="str">
        <f t="shared" si="13"/>
        <v>10.1002%2Far.a.20114_TABLE1</v>
      </c>
      <c r="L96" s="17" t="str">
        <f t="array" ref="L96">IFERROR(INDEX(AUTO_Public_TSV_FileList!$A$1:$A$1000,MATCH(TRUE(),EXACT(K96,IFERROR(_xlfn.TEXTBEFORE(AUTO_Public_TSV_FileList!$A$1:$A$1000,".tsv"),"")),0)),"notfound")</f>
        <v>10.1002%2Far.a.20114_TABLE1.tsv</v>
      </c>
      <c r="M96" s="19" t="s">
        <v>494</v>
      </c>
      <c r="N96" s="19" t="s">
        <v>54</v>
      </c>
      <c r="O96" s="20"/>
      <c r="P96" s="19" t="s">
        <v>55</v>
      </c>
      <c r="Q96" s="19"/>
      <c r="R96" s="20"/>
      <c r="S96" s="20"/>
      <c r="T96" s="20"/>
      <c r="U96" s="20"/>
      <c r="V96" s="20"/>
      <c r="W96" s="19" t="s">
        <v>187</v>
      </c>
      <c r="X96" s="19" t="s">
        <v>495</v>
      </c>
      <c r="Y96" s="20"/>
      <c r="Z96" s="19" t="s">
        <v>172</v>
      </c>
      <c r="AA96" s="19" t="s">
        <v>496</v>
      </c>
      <c r="AB96" s="20"/>
      <c r="AC96" s="19" t="s">
        <v>485</v>
      </c>
      <c r="AD96" s="19" t="s">
        <v>486</v>
      </c>
      <c r="AE96" s="20"/>
      <c r="AF96" s="20"/>
      <c r="AG96" s="20"/>
      <c r="AH96" s="20"/>
    </row>
    <row r="97" spans="1:36" ht="17" customHeight="1" x14ac:dyDescent="0.2">
      <c r="A97" s="19" t="s">
        <v>492</v>
      </c>
      <c r="B97" s="19" t="s">
        <v>493</v>
      </c>
      <c r="C97" s="20"/>
      <c r="D97" s="19" t="s">
        <v>145</v>
      </c>
      <c r="E97" s="17" t="str">
        <f t="shared" si="9"/>
        <v>Bush</v>
      </c>
      <c r="F97" s="17"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7" s="17" t="str">
        <f t="shared" si="10"/>
        <v>2004</v>
      </c>
      <c r="H97" s="17" t="str">
        <f t="shared" si="11"/>
        <v>Bush_Allman_2004_b</v>
      </c>
      <c r="I97" s="17" t="str">
        <f t="shared" si="15"/>
        <v>10.1002%2Far.a.20114</v>
      </c>
      <c r="J97" s="17" t="str">
        <f t="shared" si="12"/>
        <v>Bush_Allman_2004_b_TABLE2</v>
      </c>
      <c r="K97" s="17" t="str">
        <f t="shared" si="13"/>
        <v>10.1002%2Far.a.20114_TABLE2</v>
      </c>
      <c r="L97" s="17" t="str">
        <f t="array" ref="L97">IFERROR(INDEX(AUTO_Public_TSV_FileList!$A$1:$A$1000,MATCH(TRUE(),EXACT(K97,IFERROR(_xlfn.TEXTBEFORE(AUTO_Public_TSV_FileList!$A$1:$A$1000,".tsv"),"")),0)),"notfound")</f>
        <v>10.1002%2Far.a.20114_TABLE2.tsv</v>
      </c>
      <c r="M97" s="19"/>
      <c r="N97" s="19"/>
      <c r="O97" s="20"/>
      <c r="P97" s="19" t="s">
        <v>55</v>
      </c>
      <c r="Q97" s="19"/>
      <c r="R97" s="20"/>
      <c r="S97" s="20"/>
      <c r="T97" s="20"/>
      <c r="U97" s="20"/>
      <c r="V97" s="20"/>
      <c r="W97" s="19"/>
      <c r="X97" s="19"/>
      <c r="Y97" s="20"/>
      <c r="Z97" s="19"/>
      <c r="AA97" s="19"/>
      <c r="AB97" s="20"/>
      <c r="AC97" s="19"/>
      <c r="AD97" s="19"/>
      <c r="AE97" s="20"/>
      <c r="AF97" s="20"/>
      <c r="AG97" s="20"/>
      <c r="AH97" s="20"/>
    </row>
    <row r="98" spans="1:36" ht="17" customHeight="1" x14ac:dyDescent="0.2">
      <c r="A98" s="19" t="s">
        <v>492</v>
      </c>
      <c r="B98" s="19" t="s">
        <v>493</v>
      </c>
      <c r="C98" s="20"/>
      <c r="D98" s="19" t="s">
        <v>147</v>
      </c>
      <c r="E98" s="17" t="str">
        <f t="shared" si="9"/>
        <v>Bush</v>
      </c>
      <c r="F98" s="1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8" s="17" t="str">
        <f t="shared" si="10"/>
        <v>2004</v>
      </c>
      <c r="H98" s="17" t="str">
        <f t="shared" si="11"/>
        <v>Bush_Allman_2004_b</v>
      </c>
      <c r="I98" s="17" t="str">
        <f t="shared" si="15"/>
        <v>10.1002%2Far.a.20114</v>
      </c>
      <c r="J98" s="17" t="str">
        <f t="shared" si="12"/>
        <v>Bush_Allman_2004_b_TABLE3</v>
      </c>
      <c r="K98" s="17" t="str">
        <f t="shared" si="13"/>
        <v>10.1002%2Far.a.20114_TABLE3</v>
      </c>
      <c r="L98" s="17" t="str">
        <f t="array" ref="L98">IFERROR(INDEX(AUTO_Public_TSV_FileList!$A$1:$A$1000,MATCH(TRUE(),EXACT(K98,IFERROR(_xlfn.TEXTBEFORE(AUTO_Public_TSV_FileList!$A$1:$A$1000,".tsv"),"")),0)),"notfound")</f>
        <v>10.1002%2Far.a.20114_TABLE3.tsv</v>
      </c>
      <c r="M98" s="19"/>
      <c r="N98" s="19"/>
      <c r="O98" s="20"/>
      <c r="P98" s="19" t="s">
        <v>55</v>
      </c>
      <c r="Q98" s="19"/>
      <c r="R98" s="20"/>
      <c r="S98" s="20"/>
      <c r="T98" s="20"/>
      <c r="U98" s="20"/>
      <c r="V98" s="20"/>
      <c r="W98" s="19"/>
      <c r="X98" s="19"/>
      <c r="Y98" s="20"/>
      <c r="Z98" s="19"/>
      <c r="AA98" s="19"/>
      <c r="AB98" s="20"/>
      <c r="AC98" s="19"/>
      <c r="AD98" s="19"/>
      <c r="AE98" s="20"/>
      <c r="AF98" s="20"/>
      <c r="AG98" s="20"/>
      <c r="AH98" s="20"/>
    </row>
    <row r="99" spans="1:36" ht="17" customHeight="1" x14ac:dyDescent="0.2">
      <c r="A99" s="19" t="s">
        <v>497</v>
      </c>
      <c r="B99" s="19"/>
      <c r="C99" s="20"/>
      <c r="D99" s="19" t="s">
        <v>86</v>
      </c>
      <c r="E99" s="17" t="str">
        <f t="shared" si="9"/>
        <v>Butti</v>
      </c>
      <c r="F99" s="17"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17" t="str">
        <f t="shared" si="10"/>
        <v>2009</v>
      </c>
      <c r="H99" s="17" t="str">
        <f t="shared" si="11"/>
        <v>Butti_etal_2009</v>
      </c>
      <c r="I99" s="17" t="str">
        <f t="shared" si="15"/>
        <v>10.1002%2Fcne.22055</v>
      </c>
      <c r="J99" s="17" t="str">
        <f t="shared" si="12"/>
        <v>Butti_etal_2009_Table1</v>
      </c>
      <c r="K99" s="17" t="str">
        <f t="shared" si="13"/>
        <v>10.1002%2Fcne.22055_Table1</v>
      </c>
      <c r="L99" s="17" t="str">
        <f t="array" ref="L99">IFERROR(INDEX(AUTO_Public_TSV_FileList!$A$1:$A$1000,MATCH(TRUE(),EXACT(K99,IFERROR(_xlfn.TEXTBEFORE(AUTO_Public_TSV_FileList!$A$1:$A$1000,".tsv"),"")),0)),"notfound")</f>
        <v>10.1002%2Fcne.22055_Table1.tsv</v>
      </c>
      <c r="M99" s="19"/>
      <c r="N99" s="19"/>
      <c r="O99" s="20"/>
      <c r="P99" s="19" t="s">
        <v>55</v>
      </c>
      <c r="Q99" s="19"/>
      <c r="R99" s="20"/>
      <c r="S99" s="20"/>
      <c r="T99" s="20"/>
      <c r="U99" s="20"/>
      <c r="V99" s="20"/>
      <c r="W99" s="19"/>
      <c r="X99" s="19"/>
      <c r="Y99" s="20"/>
      <c r="Z99" s="19"/>
      <c r="AA99" s="19"/>
      <c r="AB99" s="20"/>
      <c r="AC99" s="19"/>
      <c r="AD99" s="19"/>
      <c r="AE99" s="20"/>
      <c r="AF99" s="20"/>
      <c r="AG99" s="20"/>
      <c r="AH99" s="20"/>
    </row>
    <row r="100" spans="1:36" ht="17" customHeight="1" x14ac:dyDescent="0.2">
      <c r="A100" s="19" t="s">
        <v>497</v>
      </c>
      <c r="B100" s="19"/>
      <c r="C100" s="20"/>
      <c r="D100" s="19" t="s">
        <v>164</v>
      </c>
      <c r="E100" s="17" t="str">
        <f t="shared" si="9"/>
        <v>Butti</v>
      </c>
      <c r="F100" s="17"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0" s="17" t="str">
        <f t="shared" si="10"/>
        <v>2009</v>
      </c>
      <c r="H100" s="17" t="str">
        <f t="shared" si="11"/>
        <v>Butti_etal_2009</v>
      </c>
      <c r="I100" s="17" t="str">
        <f t="shared" si="15"/>
        <v>10.1002%2Fcne.22055</v>
      </c>
      <c r="J100" s="17" t="str">
        <f t="shared" si="12"/>
        <v>Butti_etal_2009_Table5</v>
      </c>
      <c r="K100" s="17" t="str">
        <f t="shared" si="13"/>
        <v>10.1002%2Fcne.22055_Table5</v>
      </c>
      <c r="L100" s="17" t="str">
        <f t="array" ref="L100">IFERROR(INDEX(AUTO_Public_TSV_FileList!$A$1:$A$1000,MATCH(TRUE(),EXACT(K100,IFERROR(_xlfn.TEXTBEFORE(AUTO_Public_TSV_FileList!$A$1:$A$1000,".tsv"),"")),0)),"notfound")</f>
        <v>10.1002%2Fcne.22055_Table5.tsv</v>
      </c>
      <c r="M100" s="19"/>
      <c r="N100" s="19"/>
      <c r="O100" s="20"/>
      <c r="P100" s="19" t="s">
        <v>55</v>
      </c>
      <c r="Q100" s="19"/>
      <c r="R100" s="20"/>
      <c r="S100" s="20"/>
      <c r="T100" s="20"/>
      <c r="U100" s="20"/>
      <c r="V100" s="20"/>
      <c r="W100" s="19"/>
      <c r="X100" s="19"/>
      <c r="Y100" s="20"/>
      <c r="Z100" s="19"/>
      <c r="AA100" s="19"/>
      <c r="AB100" s="20"/>
      <c r="AC100" s="19"/>
      <c r="AD100" s="19"/>
      <c r="AE100" s="20"/>
      <c r="AF100" s="20"/>
      <c r="AG100" s="20"/>
      <c r="AH100" s="20"/>
    </row>
    <row r="101" spans="1:36" ht="17" customHeight="1" x14ac:dyDescent="0.2">
      <c r="A101" s="19" t="s">
        <v>497</v>
      </c>
      <c r="B101" s="19"/>
      <c r="C101" s="20"/>
      <c r="D101" s="19" t="s">
        <v>498</v>
      </c>
      <c r="E101" s="17" t="str">
        <f t="shared" si="9"/>
        <v>Butti</v>
      </c>
      <c r="F101" s="17"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1" s="17" t="str">
        <f t="shared" si="10"/>
        <v>2009</v>
      </c>
      <c r="H101" s="17" t="str">
        <f t="shared" si="11"/>
        <v>Butti_etal_2009</v>
      </c>
      <c r="I101" s="17" t="str">
        <f t="shared" si="15"/>
        <v>10.1002%2Fcne.22055</v>
      </c>
      <c r="J101" s="17" t="str">
        <f t="shared" si="12"/>
        <v>Butti_etal_2009_Table6</v>
      </c>
      <c r="K101" s="17" t="str">
        <f t="shared" si="13"/>
        <v>10.1002%2Fcne.22055_Table6</v>
      </c>
      <c r="L101" s="17" t="str">
        <f t="array" ref="L101">IFERROR(INDEX(AUTO_Public_TSV_FileList!$A$1:$A$1000,MATCH(TRUE(),EXACT(K101,IFERROR(_xlfn.TEXTBEFORE(AUTO_Public_TSV_FileList!$A$1:$A$1000,".tsv"),"")),0)),"notfound")</f>
        <v>10.1002%2Fcne.22055_Table6.tsv</v>
      </c>
      <c r="M101" s="19"/>
      <c r="N101" s="19"/>
      <c r="O101" s="20"/>
      <c r="P101" s="19" t="s">
        <v>55</v>
      </c>
      <c r="Q101" s="19"/>
      <c r="R101" s="20"/>
      <c r="S101" s="20"/>
      <c r="T101" s="20"/>
      <c r="U101" s="20"/>
      <c r="V101" s="20"/>
      <c r="W101" s="19"/>
      <c r="X101" s="19"/>
      <c r="Y101" s="20"/>
      <c r="Z101" s="19"/>
      <c r="AA101" s="19"/>
      <c r="AB101" s="20"/>
      <c r="AC101" s="19"/>
      <c r="AD101" s="19"/>
      <c r="AE101" s="20"/>
      <c r="AF101" s="20"/>
      <c r="AG101" s="20"/>
      <c r="AH101" s="20"/>
    </row>
    <row r="102" spans="1:36" ht="17" customHeight="1" x14ac:dyDescent="0.2">
      <c r="A102" s="20" t="s">
        <v>4886</v>
      </c>
      <c r="B102" s="20"/>
      <c r="C102" s="20"/>
      <c r="D102" s="20" t="s">
        <v>86</v>
      </c>
      <c r="E102" s="18" t="str">
        <f t="shared" si="9"/>
        <v>Campbell</v>
      </c>
      <c r="F102" s="17"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Tobler</v>
      </c>
      <c r="G102" s="17" t="str">
        <f t="shared" si="10"/>
        <v>1984</v>
      </c>
      <c r="H102" s="18" t="str">
        <f t="shared" si="11"/>
        <v>Campbell_Tobler_1984</v>
      </c>
      <c r="I102" s="18" t="str">
        <f>_xlfn.LET(_xlpm.doi,IF(C102&lt;&gt;"",C102,_xlfn.TEXTAFTER(A102,"https://doi.org/")),SUBSTITUTE(SUBSTITUTE(SUBSTITUTE(SUBSTITUTE(_xlpm.doi,"/","%2F"),":","%3A"),"&lt;","%3C"),"&gt;","%3E"))</f>
        <v>10.1016%2F0149-7634(84)90054-X</v>
      </c>
      <c r="J102" s="18" t="str">
        <f t="shared" si="12"/>
        <v>Campbell_Tobler_1984_Table1</v>
      </c>
      <c r="K102" s="17" t="str">
        <f t="shared" si="13"/>
        <v>10.1016%2F0149-7634(84)90054-X_Table1</v>
      </c>
      <c r="L102" s="17" t="str">
        <f t="array" ref="L102">IFERROR(INDEX(AUTO_Public_TSV_FileList!$A$1:$A$1000,MATCH(TRUE(),EXACT(K102,IFERROR(_xlfn.TEXTBEFORE(AUTO_Public_TSV_FileList!$A$1:$A$1000,".tsv"),"")),0)),"notfound")</f>
        <v>10.1016%2F0149-7634(84)90054-X_Table1.tsv</v>
      </c>
      <c r="M102" s="20"/>
      <c r="N102" s="20" t="s">
        <v>4864</v>
      </c>
      <c r="O102" s="20" t="s">
        <v>4887</v>
      </c>
      <c r="P102" s="20" t="s">
        <v>4866</v>
      </c>
      <c r="Q102" s="20" t="s">
        <v>4888</v>
      </c>
      <c r="R102" s="20" t="s">
        <v>4889</v>
      </c>
      <c r="S102" s="20" t="s">
        <v>4869</v>
      </c>
      <c r="T102" s="20" t="s">
        <v>4870</v>
      </c>
      <c r="U102" s="20"/>
      <c r="V102" s="20" t="s">
        <v>4871</v>
      </c>
      <c r="W102" s="20" t="s">
        <v>4890</v>
      </c>
      <c r="X102" s="20" t="s">
        <v>4891</v>
      </c>
      <c r="Y102" s="20"/>
      <c r="Z102" s="20" t="s">
        <v>4873</v>
      </c>
      <c r="AA102" s="20" t="s">
        <v>4874</v>
      </c>
      <c r="AB102" s="20" t="s">
        <v>4892</v>
      </c>
      <c r="AC102" s="20" t="s">
        <v>4893</v>
      </c>
      <c r="AD102" s="20" t="s">
        <v>689</v>
      </c>
      <c r="AE102" s="20" t="s">
        <v>265</v>
      </c>
      <c r="AF102" s="20" t="s">
        <v>4877</v>
      </c>
      <c r="AG102" s="20" t="s">
        <v>4878</v>
      </c>
      <c r="AH102" s="20" t="s">
        <v>4879</v>
      </c>
      <c r="AJ102" t="s">
        <v>4894</v>
      </c>
    </row>
    <row r="103" spans="1:36" ht="17" customHeight="1" x14ac:dyDescent="0.2">
      <c r="A103" s="20" t="s">
        <v>499</v>
      </c>
      <c r="B103" s="20"/>
      <c r="C103" s="20"/>
      <c r="D103" s="20" t="s">
        <v>500</v>
      </c>
      <c r="E103" s="18" t="str">
        <f t="shared" si="9"/>
        <v>Campos</v>
      </c>
      <c r="F103" s="17"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103" s="17" t="str">
        <f t="shared" si="10"/>
        <v>1976</v>
      </c>
      <c r="H103" s="18" t="str">
        <f t="shared" si="11"/>
        <v>Campos_Welker_1976</v>
      </c>
      <c r="I103" s="18" t="str">
        <f>_xlfn.LET(_xlpm.doi,IF(C103&lt;&gt;"",C103,_xlfn.TEXTAFTER(A103,"https://doi.org/")),SUBSTITUTE(SUBSTITUTE(SUBSTITUTE(SUBSTITUTE(_xlpm.doi,"/","%2F"),":","%3A"),"&lt;","%3C"),"&gt;","%3E"))</f>
        <v>10.1159%2F000123814</v>
      </c>
      <c r="J103" s="18" t="str">
        <f t="shared" si="12"/>
        <v>Campos_Welker_1976_ResultsText</v>
      </c>
      <c r="K103" s="17" t="str">
        <f t="shared" si="13"/>
        <v>10.1159%2F000123814_ResultsText</v>
      </c>
      <c r="L103" s="17" t="str">
        <f t="array" ref="L103">IFERROR(INDEX(AUTO_Public_TSV_FileList!$A$1:$A$1000,MATCH(TRUE(),EXACT(K103,IFERROR(_xlfn.TEXTBEFORE(AUTO_Public_TSV_FileList!$A$1:$A$1000,".tsv"),"")),0)),"notfound")</f>
        <v>10.1159%2F000123814_ResultsText.tsv</v>
      </c>
      <c r="M103" s="20"/>
      <c r="N103" s="20" t="s">
        <v>501</v>
      </c>
      <c r="O103" s="20" t="s">
        <v>502</v>
      </c>
      <c r="P103" s="20" t="s">
        <v>503</v>
      </c>
      <c r="Q103" s="20" t="s">
        <v>504</v>
      </c>
      <c r="R103" s="20" t="s">
        <v>505</v>
      </c>
      <c r="S103" s="20" t="s">
        <v>506</v>
      </c>
      <c r="T103" s="20" t="s">
        <v>507</v>
      </c>
      <c r="U103" s="20"/>
      <c r="V103" s="20" t="s">
        <v>508</v>
      </c>
      <c r="W103" s="20" t="s">
        <v>509</v>
      </c>
      <c r="X103" s="20" t="s">
        <v>510</v>
      </c>
      <c r="Y103" s="20" t="s">
        <v>511</v>
      </c>
      <c r="Z103" s="20" t="s">
        <v>512</v>
      </c>
      <c r="AA103" s="20" t="s">
        <v>513</v>
      </c>
      <c r="AB103" s="20" t="s">
        <v>514</v>
      </c>
      <c r="AC103" s="20" t="s">
        <v>515</v>
      </c>
      <c r="AD103" s="20"/>
      <c r="AE103" s="20" t="s">
        <v>50</v>
      </c>
      <c r="AF103" s="20"/>
      <c r="AG103" s="20"/>
      <c r="AH103" s="20"/>
    </row>
    <row r="104" spans="1:36" ht="17" customHeight="1" x14ac:dyDescent="0.2">
      <c r="A104" s="20" t="s">
        <v>499</v>
      </c>
      <c r="B104" s="20"/>
      <c r="C104" s="20"/>
      <c r="D104" s="20" t="s">
        <v>86</v>
      </c>
      <c r="E104" s="18" t="str">
        <f t="shared" si="9"/>
        <v>Campos</v>
      </c>
      <c r="F104" s="17"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104" s="17" t="str">
        <f t="shared" si="10"/>
        <v>1976</v>
      </c>
      <c r="H104" s="18" t="str">
        <f t="shared" si="11"/>
        <v>Campos_Welker_1976</v>
      </c>
      <c r="I104" s="18" t="str">
        <f>_xlfn.LET(_xlpm.doi,IF(C104&lt;&gt;"",C104,_xlfn.TEXTAFTER(A104,"https://doi.org/")),SUBSTITUTE(SUBSTITUTE(SUBSTITUTE(SUBSTITUTE(_xlpm.doi,"/","%2F"),":","%3A"),"&lt;","%3C"),"&gt;","%3E"))</f>
        <v>10.1159%2F000123814</v>
      </c>
      <c r="J104" s="18" t="str">
        <f t="shared" si="12"/>
        <v>Campos_Welker_1976_Table1</v>
      </c>
      <c r="K104" s="18" t="str">
        <f t="shared" si="13"/>
        <v>10.1159%2F000123814_Table1</v>
      </c>
      <c r="L104" s="17" t="str">
        <f t="array" ref="L104">IFERROR(INDEX(AUTO_Public_TSV_FileList!$A$1:$A$1000,MATCH(TRUE(),EXACT(K104,IFERROR(_xlfn.TEXTBEFORE(AUTO_Public_TSV_FileList!$A$1:$A$1000,".tsv"),"")),0)),"notfound")</f>
        <v>10.1159%2F000123814_Table1.tsv</v>
      </c>
      <c r="M104" s="20" t="s">
        <v>516</v>
      </c>
      <c r="N104" s="20" t="s">
        <v>54</v>
      </c>
      <c r="O104" s="20"/>
      <c r="P104" s="20" t="s">
        <v>55</v>
      </c>
      <c r="Q104" s="20"/>
      <c r="R104" s="20" t="s">
        <v>505</v>
      </c>
      <c r="S104" s="20"/>
      <c r="T104" s="20" t="s">
        <v>517</v>
      </c>
      <c r="U104" s="20"/>
      <c r="V104" s="20" t="s">
        <v>518</v>
      </c>
      <c r="W104" s="20" t="s">
        <v>519</v>
      </c>
      <c r="X104" s="20" t="s">
        <v>520</v>
      </c>
      <c r="Y104" s="20" t="s">
        <v>521</v>
      </c>
      <c r="Z104" s="20"/>
      <c r="AA104" s="20" t="s">
        <v>522</v>
      </c>
      <c r="AB104" s="20" t="s">
        <v>523</v>
      </c>
      <c r="AC104" s="20" t="s">
        <v>515</v>
      </c>
      <c r="AD104" s="20" t="s">
        <v>524</v>
      </c>
      <c r="AE104" s="20" t="s">
        <v>50</v>
      </c>
      <c r="AF104" s="20"/>
      <c r="AG104" s="20"/>
      <c r="AH104" s="20"/>
    </row>
    <row r="105" spans="1:36" ht="17" customHeight="1" x14ac:dyDescent="0.2">
      <c r="A105" s="19" t="s">
        <v>525</v>
      </c>
      <c r="B105" s="20"/>
      <c r="C105" s="20"/>
      <c r="D105" s="19" t="s">
        <v>526</v>
      </c>
      <c r="E105" s="17" t="str">
        <f t="shared" si="9"/>
        <v>Capellini</v>
      </c>
      <c r="F105" s="17"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17" t="str">
        <f t="shared" si="10"/>
        <v>2008</v>
      </c>
      <c r="H105" s="17" t="str">
        <f t="shared" si="11"/>
        <v>Capellini_etal_2008</v>
      </c>
      <c r="I105" s="17" t="str">
        <f>_xlfn.LET(
_xlpm.doi,IF(C105&lt;&gt;"",C105,_xlfn.TEXTAFTER(A105,"https://doi.org/")),
SUBSTITUTE(
SUBSTITUTE(
SUBSTITUTE(
SUBSTITUTE(
_xlpm.doi,
"/","%2F"),
":","%3A"),
"&lt;","%3C"),
"&gt;","%3E")
)</f>
        <v>10.1111%2Fj.1558-5646.2008.00392.x</v>
      </c>
      <c r="J105" s="17" t="str">
        <f t="shared" si="12"/>
        <v>Capellini_etal_2008_sleep-dataFemale</v>
      </c>
      <c r="K105" s="17" t="str">
        <f t="shared" si="13"/>
        <v>10.1111%2Fj.1558-5646.2008.00392.x_sleep-dataFemale</v>
      </c>
      <c r="L105" s="17" t="str">
        <f t="array" ref="L105">IFERROR(INDEX(AUTO_Public_TSV_FileList!$A$1:$A$1000,MATCH(TRUE(),EXACT(K105,IFERROR(_xlfn.TEXTBEFORE(AUTO_Public_TSV_FileList!$A$1:$A$1000,".tsv"),"")),0)),"notfound")</f>
        <v>10.1111%2Fj.1558-5646.2008.00392.x_sleep-dataFemale.tsv</v>
      </c>
      <c r="M105" s="20"/>
      <c r="N105" s="19" t="s">
        <v>54</v>
      </c>
      <c r="O105" s="19" t="s">
        <v>527</v>
      </c>
      <c r="P105" s="19" t="s">
        <v>55</v>
      </c>
      <c r="Q105" s="19" t="s">
        <v>528</v>
      </c>
      <c r="R105" s="20"/>
      <c r="S105" s="20"/>
      <c r="T105" s="20"/>
      <c r="U105" s="20"/>
      <c r="V105" s="20"/>
      <c r="W105" s="19" t="s">
        <v>224</v>
      </c>
      <c r="X105" s="19" t="s">
        <v>529</v>
      </c>
      <c r="Y105" s="20"/>
      <c r="Z105" s="20"/>
      <c r="AA105" s="20"/>
      <c r="AB105" s="19" t="s">
        <v>530</v>
      </c>
      <c r="AC105" s="19" t="s">
        <v>531</v>
      </c>
      <c r="AD105" s="20"/>
      <c r="AE105" s="19" t="s">
        <v>265</v>
      </c>
      <c r="AF105" s="19"/>
      <c r="AG105" s="19" t="s">
        <v>532</v>
      </c>
      <c r="AH105" s="20"/>
    </row>
    <row r="106" spans="1:36" ht="17" customHeight="1" x14ac:dyDescent="0.2">
      <c r="A106" s="19" t="s">
        <v>525</v>
      </c>
      <c r="B106" s="20"/>
      <c r="C106" s="20"/>
      <c r="D106" s="19" t="s">
        <v>533</v>
      </c>
      <c r="E106" s="17" t="str">
        <f t="shared" si="9"/>
        <v>Capellini</v>
      </c>
      <c r="F106" s="17"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17" t="str">
        <f t="shared" si="10"/>
        <v>2008</v>
      </c>
      <c r="H106" s="17" t="str">
        <f t="shared" si="11"/>
        <v>Capellini_etal_2008</v>
      </c>
      <c r="I106" s="17" t="str">
        <f>_xlfn.LET(
_xlpm.doi,IF(C106&lt;&gt;"",C106,_xlfn.TEXTAFTER(A106,"https://doi.org/")),
SUBSTITUTE(
SUBSTITUTE(
SUBSTITUTE(
SUBSTITUTE(
_xlpm.doi,
"/","%2F"),
":","%3A"),
"&lt;","%3C"),
"&gt;","%3E")
)</f>
        <v>10.1111%2Fj.1558-5646.2008.00392.x</v>
      </c>
      <c r="J106" s="17" t="str">
        <f t="shared" si="12"/>
        <v>Capellini_etal_2008_sleep-dataMale</v>
      </c>
      <c r="K106" s="17" t="str">
        <f t="shared" si="13"/>
        <v>10.1111%2Fj.1558-5646.2008.00392.x_sleep-dataMale</v>
      </c>
      <c r="L106" s="17" t="str">
        <f t="array" ref="L106">IFERROR(INDEX(AUTO_Public_TSV_FileList!$A$1:$A$1000,MATCH(TRUE(),EXACT(K106,IFERROR(_xlfn.TEXTBEFORE(AUTO_Public_TSV_FileList!$A$1:$A$1000,".tsv"),"")),0)),"notfound")</f>
        <v>10.1111%2Fj.1558-5646.2008.00392.x_sleep-dataMale.tsv</v>
      </c>
      <c r="M106" s="20"/>
      <c r="N106" s="19" t="s">
        <v>54</v>
      </c>
      <c r="O106" s="19" t="s">
        <v>534</v>
      </c>
      <c r="P106" s="19" t="s">
        <v>55</v>
      </c>
      <c r="Q106" s="19" t="s">
        <v>535</v>
      </c>
      <c r="R106" s="20"/>
      <c r="S106" s="20"/>
      <c r="T106" s="20"/>
      <c r="U106" s="20"/>
      <c r="V106" s="20"/>
      <c r="W106" s="19" t="s">
        <v>224</v>
      </c>
      <c r="X106" s="19" t="s">
        <v>529</v>
      </c>
      <c r="Y106" s="20"/>
      <c r="Z106" s="20"/>
      <c r="AA106" s="20"/>
      <c r="AB106" s="19" t="s">
        <v>530</v>
      </c>
      <c r="AC106" s="19" t="s">
        <v>531</v>
      </c>
      <c r="AD106" s="20"/>
      <c r="AE106" s="19" t="s">
        <v>265</v>
      </c>
      <c r="AF106" s="19"/>
      <c r="AG106" s="19" t="s">
        <v>532</v>
      </c>
      <c r="AH106" s="20"/>
    </row>
    <row r="107" spans="1:36" ht="17" customHeight="1" x14ac:dyDescent="0.2">
      <c r="A107" s="19" t="s">
        <v>525</v>
      </c>
      <c r="B107" s="20"/>
      <c r="C107" s="20"/>
      <c r="D107" s="19" t="s">
        <v>536</v>
      </c>
      <c r="E107" s="17" t="str">
        <f t="shared" si="9"/>
        <v>Capellini</v>
      </c>
      <c r="F107" s="17"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17" t="str">
        <f t="shared" si="10"/>
        <v>2008</v>
      </c>
      <c r="H107" s="17" t="str">
        <f t="shared" si="11"/>
        <v>Capellini_etal_2008</v>
      </c>
      <c r="I107" s="17" t="str">
        <f>_xlfn.LET(
_xlpm.doi,IF(C107&lt;&gt;"",C107,_xlfn.TEXTAFTER(A107,"https://doi.org/")),
SUBSTITUTE(
SUBSTITUTE(
SUBSTITUTE(
SUBSTITUTE(
_xlpm.doi,
"/","%2F"),
":","%3A"),
"&lt;","%3C"),
"&gt;","%3E")
)</f>
        <v>10.1111%2Fj.1558-5646.2008.00392.x</v>
      </c>
      <c r="J107" s="17" t="str">
        <f t="shared" si="12"/>
        <v>Capellini_etal_2008_sleep-dataMixed</v>
      </c>
      <c r="K107" s="17" t="str">
        <f t="shared" si="13"/>
        <v>10.1111%2Fj.1558-5646.2008.00392.x_sleep-dataMixed</v>
      </c>
      <c r="L107" s="17" t="str">
        <f t="array" ref="L107">IFERROR(INDEX(AUTO_Public_TSV_FileList!$A$1:$A$1000,MATCH(TRUE(),EXACT(K107,IFERROR(_xlfn.TEXTBEFORE(AUTO_Public_TSV_FileList!$A$1:$A$1000,".tsv"),"")),0)),"notfound")</f>
        <v>10.1111%2Fj.1558-5646.2008.00392.x_sleep-dataMixed.tsv</v>
      </c>
      <c r="M107" s="20"/>
      <c r="N107" s="19" t="s">
        <v>54</v>
      </c>
      <c r="O107" s="19" t="s">
        <v>537</v>
      </c>
      <c r="P107" s="19" t="s">
        <v>55</v>
      </c>
      <c r="Q107" s="19" t="s">
        <v>538</v>
      </c>
      <c r="R107" s="20"/>
      <c r="S107" s="20"/>
      <c r="T107" s="20"/>
      <c r="U107" s="20"/>
      <c r="V107" s="20"/>
      <c r="W107" s="19" t="s">
        <v>224</v>
      </c>
      <c r="X107" s="19" t="s">
        <v>529</v>
      </c>
      <c r="Y107" s="20"/>
      <c r="Z107" s="20"/>
      <c r="AA107" s="20"/>
      <c r="AB107" s="19" t="s">
        <v>530</v>
      </c>
      <c r="AC107" s="19" t="s">
        <v>531</v>
      </c>
      <c r="AD107" s="20"/>
      <c r="AE107" s="19" t="s">
        <v>265</v>
      </c>
      <c r="AF107" s="19"/>
      <c r="AG107" s="19" t="s">
        <v>532</v>
      </c>
      <c r="AH107" s="20"/>
    </row>
    <row r="108" spans="1:36" ht="17" customHeight="1" x14ac:dyDescent="0.2">
      <c r="A108" s="20" t="s">
        <v>539</v>
      </c>
      <c r="B108" s="20"/>
      <c r="C108" s="20"/>
      <c r="D108" s="20" t="s">
        <v>110</v>
      </c>
      <c r="E108" s="18" t="str">
        <f t="shared" si="9"/>
        <v>Carlo</v>
      </c>
      <c r="F108" s="17"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108" s="17" t="str">
        <f t="shared" si="10"/>
        <v>2013</v>
      </c>
      <c r="H108" s="18" t="str">
        <f t="shared" si="11"/>
        <v>Carlo_Stevens_2013</v>
      </c>
      <c r="I108" s="18" t="str">
        <f>_xlfn.LET(_xlpm.doi,IF(C108&lt;&gt;"",C108,_xlfn.TEXTAFTER(A108,"https://doi.org/")),SUBSTITUTE(SUBSTITUTE(SUBSTITUTE(SUBSTITUTE(_xlpm.doi,"/","%2F"),":","%3A"),"&lt;","%3C"),"&gt;","%3E"))</f>
        <v>10.1073%2Fpnas.1221398110</v>
      </c>
      <c r="J108" s="18" t="str">
        <f t="shared" si="12"/>
        <v>Carlo_Stevens_2013_Figure2</v>
      </c>
      <c r="K108" s="17" t="str">
        <f t="shared" si="13"/>
        <v>10.1073%2Fpnas.1221398110_Figure2</v>
      </c>
      <c r="L108" s="17" t="str">
        <f t="array" ref="L108">IFERROR(INDEX(AUTO_Public_TSV_FileList!$A$1:$A$1000,MATCH(TRUE(),EXACT(K108,IFERROR(_xlfn.TEXTBEFORE(AUTO_Public_TSV_FileList!$A$1:$A$1000,".tsv"),"")),0)),"notfound")</f>
        <v>notfound</v>
      </c>
      <c r="M108" s="20" t="s">
        <v>540</v>
      </c>
      <c r="N108" s="20" t="s">
        <v>541</v>
      </c>
      <c r="O108" s="20" t="s">
        <v>542</v>
      </c>
      <c r="P108" s="20" t="s">
        <v>133</v>
      </c>
      <c r="Q108" s="20"/>
      <c r="R108" s="20" t="s">
        <v>543</v>
      </c>
      <c r="S108" s="20" t="s">
        <v>135</v>
      </c>
      <c r="T108" s="20" t="s">
        <v>544</v>
      </c>
      <c r="U108" s="20"/>
      <c r="V108" s="20" t="s">
        <v>545</v>
      </c>
      <c r="W108" s="20" t="s">
        <v>546</v>
      </c>
      <c r="X108" s="20" t="s">
        <v>547</v>
      </c>
      <c r="Y108" s="20"/>
      <c r="Z108" s="20" t="s">
        <v>172</v>
      </c>
      <c r="AA108" s="20" t="s">
        <v>548</v>
      </c>
      <c r="AB108" s="20" t="s">
        <v>549</v>
      </c>
      <c r="AC108" s="20" t="s">
        <v>550</v>
      </c>
      <c r="AD108" s="20"/>
      <c r="AE108" s="20" t="s">
        <v>50</v>
      </c>
      <c r="AF108" s="20"/>
      <c r="AG108" s="20" t="s">
        <v>551</v>
      </c>
      <c r="AH108" s="20"/>
    </row>
    <row r="109" spans="1:36" ht="17" customHeight="1" x14ac:dyDescent="0.2">
      <c r="A109" s="20" t="s">
        <v>539</v>
      </c>
      <c r="B109" s="20"/>
      <c r="C109" s="20"/>
      <c r="D109" s="20" t="s">
        <v>390</v>
      </c>
      <c r="E109" s="18" t="str">
        <f t="shared" si="9"/>
        <v>Carlo</v>
      </c>
      <c r="F109" s="17"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109" s="17" t="str">
        <f t="shared" si="10"/>
        <v>2013</v>
      </c>
      <c r="H109" s="18" t="str">
        <f t="shared" si="11"/>
        <v>Carlo_Stevens_2013</v>
      </c>
      <c r="I109" s="18" t="str">
        <f>_xlfn.LET(_xlpm.doi,IF(C109&lt;&gt;"",C109,_xlfn.TEXTAFTER(A109,"https://doi.org/")),SUBSTITUTE(SUBSTITUTE(SUBSTITUTE(SUBSTITUTE(_xlpm.doi,"/","%2F"),":","%3A"),"&lt;","%3C"),"&gt;","%3E"))</f>
        <v>10.1073%2Fpnas.1221398110</v>
      </c>
      <c r="J109" s="18" t="str">
        <f t="shared" si="12"/>
        <v>Carlo_Stevens_2013_TableS1</v>
      </c>
      <c r="K109" s="17" t="str">
        <f t="shared" si="13"/>
        <v>10.1073%2Fpnas.1221398110_TableS1</v>
      </c>
      <c r="L109" s="17" t="str">
        <f t="array" ref="L109">IFERROR(INDEX(AUTO_Public_TSV_FileList!$A$1:$A$1000,MATCH(TRUE(),EXACT(K109,IFERROR(_xlfn.TEXTBEFORE(AUTO_Public_TSV_FileList!$A$1:$A$1000,".tsv"),"")),0)),"notfound")</f>
        <v>notfound</v>
      </c>
      <c r="M109" s="20" t="s">
        <v>552</v>
      </c>
      <c r="N109" s="20" t="s">
        <v>4696</v>
      </c>
      <c r="O109" s="20" t="s">
        <v>4697</v>
      </c>
      <c r="P109" s="20" t="s">
        <v>4677</v>
      </c>
      <c r="Q109" s="20" t="s">
        <v>4698</v>
      </c>
      <c r="R109" s="20" t="s">
        <v>543</v>
      </c>
      <c r="S109" s="20" t="s">
        <v>4679</v>
      </c>
      <c r="T109" s="20"/>
      <c r="U109" s="20"/>
      <c r="V109" s="20" t="s">
        <v>4699</v>
      </c>
      <c r="W109" s="20" t="s">
        <v>4700</v>
      </c>
      <c r="X109" s="20" t="s">
        <v>4701</v>
      </c>
      <c r="Y109" s="20"/>
      <c r="Z109" s="20"/>
      <c r="AA109" s="20"/>
      <c r="AB109" s="20" t="s">
        <v>1761</v>
      </c>
      <c r="AC109" s="20" t="s">
        <v>550</v>
      </c>
      <c r="AD109" s="20" t="s">
        <v>689</v>
      </c>
      <c r="AE109" s="20" t="s">
        <v>50</v>
      </c>
      <c r="AF109" s="20"/>
      <c r="AG109" s="20"/>
      <c r="AH109" s="20" t="s">
        <v>4681</v>
      </c>
    </row>
    <row r="110" spans="1:36" ht="17" customHeight="1" x14ac:dyDescent="0.2">
      <c r="A110" s="20" t="s">
        <v>553</v>
      </c>
      <c r="B110" s="20"/>
      <c r="C110" s="20"/>
      <c r="D110" s="20" t="s">
        <v>554</v>
      </c>
      <c r="E110" s="17" t="str">
        <f t="shared" si="9"/>
        <v>Carnes</v>
      </c>
      <c r="F110" s="17" t="str">
        <f>_xlfn.LET(
_xlpm.authors,_xlfn.TEXTBEFORE(A110," ("&amp;G110&amp;")"),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0" s="17" t="str">
        <f t="shared" si="10"/>
        <v>2011</v>
      </c>
      <c r="H110" s="17" t="str">
        <f t="shared" si="11"/>
        <v>Carnes_etal_2011</v>
      </c>
      <c r="I110" s="17" t="str">
        <f>_xlfn.LET(
_xlpm.doi,IF(C110&lt;&gt;"",C110,_xlfn.TEXTAFTER(A110,"https://doi.org/")),
SUBSTITUTE(
SUBSTITUTE(
SUBSTITUTE(
SUBSTITUTE(
_xlpm.doi,
"/","%2F"),
":","%3A"),
"&lt;","%3C"),
"&gt;","%3E")
)</f>
        <v>10.1371%2Fjournal.pone.0019853</v>
      </c>
      <c r="J110" s="17" t="str">
        <f t="shared" si="12"/>
        <v>Carnes_etal_2011_TableS1</v>
      </c>
      <c r="K110" s="17" t="str">
        <f t="shared" si="13"/>
        <v>10.1371%2Fjournal.pone.0019853_TableS1</v>
      </c>
      <c r="L110" s="17" t="str">
        <f>IFERROR(INDEX(AUTO_Public_TSV_FileList!$A$1:$A$1000,MATCH(TRUE(),EXACT(K110,IFERROR(_xlfn.TEXTBEFORE(AUTO_Public_TSV_FileList!$A$1:$A$1000,".tsv"),"")),0)),"notfound")</f>
        <v>notfound</v>
      </c>
      <c r="M110" s="20" t="s">
        <v>555</v>
      </c>
      <c r="N110" s="20" t="s">
        <v>556</v>
      </c>
      <c r="O110" s="20" t="s">
        <v>557</v>
      </c>
      <c r="P110" s="20" t="s">
        <v>313</v>
      </c>
      <c r="Q110" s="20" t="s">
        <v>558</v>
      </c>
      <c r="R110" s="20" t="s">
        <v>559</v>
      </c>
      <c r="S110" s="20" t="s">
        <v>316</v>
      </c>
      <c r="T110" s="20" t="s">
        <v>317</v>
      </c>
      <c r="U110" s="20"/>
      <c r="V110" s="20" t="s">
        <v>560</v>
      </c>
      <c r="W110" s="20" t="s">
        <v>319</v>
      </c>
      <c r="X110" s="20" t="s">
        <v>561</v>
      </c>
      <c r="Y110" s="20"/>
      <c r="Z110" s="20"/>
      <c r="AA110" s="20"/>
      <c r="AB110" s="20"/>
      <c r="AC110" s="20" t="s">
        <v>562</v>
      </c>
      <c r="AD110" s="20"/>
      <c r="AE110" s="20" t="s">
        <v>265</v>
      </c>
      <c r="AF110" s="20"/>
      <c r="AG110" s="20" t="s">
        <v>324</v>
      </c>
      <c r="AH110" s="20" t="s">
        <v>325</v>
      </c>
    </row>
    <row r="111" spans="1:36" ht="17" customHeight="1" x14ac:dyDescent="0.2">
      <c r="A111" s="19" t="s">
        <v>563</v>
      </c>
      <c r="B111" s="20"/>
      <c r="C111" s="20"/>
      <c r="D111" s="19" t="s">
        <v>564</v>
      </c>
      <c r="E111" s="17" t="str">
        <f t="shared" si="9"/>
        <v>Caspar</v>
      </c>
      <c r="F111" s="17"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17" t="str">
        <f t="shared" si="10"/>
        <v>2022</v>
      </c>
      <c r="H111" s="17" t="str">
        <f t="shared" si="11"/>
        <v>Caspar_etal_2022</v>
      </c>
      <c r="I111" s="17" t="str">
        <f>_xlfn.LET(
_xlpm.doi,IF(C111&lt;&gt;"",C111,_xlfn.TEXTAFTER(A111,"https://doi.org/")),
SUBSTITUTE(
SUBSTITUTE(
SUBSTITUTE(
SUBSTITUTE(
_xlpm.doi,
"/","%2F"),
":","%3A"),
"&lt;","%3C"),
"&gt;","%3E")
)</f>
        <v>10.7554%2FeLife.77875</v>
      </c>
      <c r="J111" s="17" t="str">
        <f t="shared" si="12"/>
        <v>Caspar_etal_2022_Supplementaryfile3</v>
      </c>
      <c r="K111" s="17" t="str">
        <f t="shared" si="13"/>
        <v>10.7554%2FeLife.77875_Supplementaryfile3</v>
      </c>
      <c r="L111" s="17" t="str">
        <f t="array" ref="L111">IFERROR(INDEX(AUTO_Public_TSV_FileList!$A$1:$A$1000,MATCH(TRUE(),EXACT(K111,IFERROR(_xlfn.TEXTBEFORE(AUTO_Public_TSV_FileList!$A$1:$A$1000,".tsv"),"")),0)),"notfound")</f>
        <v>10.7554%2FeLife.77875_Supplementaryfile3.tsv</v>
      </c>
      <c r="M111" s="19" t="s">
        <v>565</v>
      </c>
      <c r="N111" s="19" t="s">
        <v>54</v>
      </c>
      <c r="O111" s="20"/>
      <c r="P111" s="19" t="s">
        <v>55</v>
      </c>
      <c r="Q111" s="19" t="s">
        <v>566</v>
      </c>
      <c r="R111" s="19" t="s">
        <v>567</v>
      </c>
      <c r="S111" s="20"/>
      <c r="T111" s="20"/>
      <c r="U111" s="20"/>
      <c r="V111" s="20"/>
      <c r="W111" s="19" t="s">
        <v>187</v>
      </c>
      <c r="X111" s="19" t="s">
        <v>568</v>
      </c>
      <c r="Y111" s="20"/>
      <c r="Z111" s="20"/>
      <c r="AA111" s="20"/>
      <c r="AB111" s="19" t="s">
        <v>569</v>
      </c>
      <c r="AC111" s="20"/>
      <c r="AD111" s="20"/>
      <c r="AE111" s="19" t="s">
        <v>265</v>
      </c>
      <c r="AF111" s="19"/>
      <c r="AG111" s="20"/>
      <c r="AH111" s="20"/>
    </row>
    <row r="112" spans="1:36" ht="17" customHeight="1" x14ac:dyDescent="0.2">
      <c r="A112" s="19" t="s">
        <v>563</v>
      </c>
      <c r="B112" s="20"/>
      <c r="C112" s="20"/>
      <c r="D112" s="19" t="s">
        <v>86</v>
      </c>
      <c r="E112" s="17" t="str">
        <f t="shared" si="9"/>
        <v>Caspar</v>
      </c>
      <c r="F112" s="17"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17" t="str">
        <f t="shared" si="10"/>
        <v>2022</v>
      </c>
      <c r="H112" s="17" t="str">
        <f t="shared" si="11"/>
        <v>Caspar_etal_2022</v>
      </c>
      <c r="I112" s="17" t="str">
        <f>_xlfn.LET(
_xlpm.doi,IF(C112&lt;&gt;"",C112,_xlfn.TEXTAFTER(A112,"https://doi.org/")),
SUBSTITUTE(
SUBSTITUTE(
SUBSTITUTE(
SUBSTITUTE(
_xlpm.doi,
"/","%2F"),
":","%3A"),
"&lt;","%3C"),
"&gt;","%3E")
)</f>
        <v>10.7554%2FeLife.77875</v>
      </c>
      <c r="J112" s="17" t="str">
        <f t="shared" si="12"/>
        <v>Caspar_etal_2022_Table1</v>
      </c>
      <c r="K112" s="17" t="str">
        <f t="shared" si="13"/>
        <v>10.7554%2FeLife.77875_Table1</v>
      </c>
      <c r="L112" s="17" t="str">
        <f t="array" ref="L112">IFERROR(INDEX(AUTO_Public_TSV_FileList!$A$1:$A$1000,MATCH(TRUE(),EXACT(K112,IFERROR(_xlfn.TEXTBEFORE(AUTO_Public_TSV_FileList!$A$1:$A$1000,".tsv"),"")),0)),"notfound")</f>
        <v>10.7554%2FeLife.77875_Table1.tsv</v>
      </c>
      <c r="M112" s="19" t="s">
        <v>570</v>
      </c>
      <c r="N112" s="19" t="s">
        <v>54</v>
      </c>
      <c r="O112" s="20"/>
      <c r="P112" s="19" t="s">
        <v>55</v>
      </c>
      <c r="Q112" s="19"/>
      <c r="R112" s="19" t="s">
        <v>571</v>
      </c>
      <c r="S112" s="20"/>
      <c r="T112" s="20"/>
      <c r="U112" s="20"/>
      <c r="V112" s="20"/>
      <c r="W112" s="19" t="s">
        <v>187</v>
      </c>
      <c r="X112" s="19" t="s">
        <v>572</v>
      </c>
      <c r="Y112" s="20"/>
      <c r="Z112" s="20"/>
      <c r="AA112" s="20"/>
      <c r="AB112" s="19" t="s">
        <v>573</v>
      </c>
      <c r="AC112" s="20"/>
      <c r="AD112" s="20"/>
      <c r="AE112" s="19" t="s">
        <v>265</v>
      </c>
      <c r="AF112" s="19"/>
      <c r="AG112" s="19" t="s">
        <v>574</v>
      </c>
      <c r="AH112" s="20"/>
    </row>
    <row r="113" spans="1:34" ht="17" customHeight="1" x14ac:dyDescent="0.2">
      <c r="A113" s="20" t="s">
        <v>575</v>
      </c>
      <c r="B113" s="20"/>
      <c r="C113" s="20"/>
      <c r="D113" s="20" t="s">
        <v>86</v>
      </c>
      <c r="E113" s="18" t="str">
        <f t="shared" si="9"/>
        <v>Catania</v>
      </c>
      <c r="F113" s="17"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113" s="17" t="str">
        <f t="shared" si="10"/>
        <v>2002</v>
      </c>
      <c r="H113" s="18" t="str">
        <f t="shared" si="11"/>
        <v>Catania_Remple_2002</v>
      </c>
      <c r="I113" s="18" t="str">
        <f>_xlfn.LET(_xlpm.doi,IF(C113&lt;&gt;"",C113,_xlfn.TEXTAFTER(A113,"https://doi.org/")),SUBSTITUTE(SUBSTITUTE(SUBSTITUTE(SUBSTITUTE(_xlpm.doi,"/","%2F"),":","%3A"),"&lt;","%3C"),"&gt;","%3E"))</f>
        <v>10.1073%2Fpnas.072097999</v>
      </c>
      <c r="J113" s="18" t="str">
        <f t="shared" si="12"/>
        <v>Catania_Remple_2002_Table1</v>
      </c>
      <c r="K113" s="17" t="str">
        <f t="shared" si="13"/>
        <v>10.1073%2Fpnas.072097999_Table1</v>
      </c>
      <c r="L113" s="17" t="str">
        <f t="array" ref="L113">IFERROR(INDEX(AUTO_Public_TSV_FileList!$A$1:$A$1000,MATCH(TRUE(),EXACT(K113,IFERROR(_xlfn.TEXTBEFORE(AUTO_Public_TSV_FileList!$A$1:$A$1000,".tsv"),"")),0)),"notfound")</f>
        <v>10.1073%2Fpnas.072097999_Table1.tsv</v>
      </c>
      <c r="M113" s="20"/>
      <c r="N113" s="20" t="s">
        <v>576</v>
      </c>
      <c r="O113" s="20" t="s">
        <v>577</v>
      </c>
      <c r="P113" s="20" t="s">
        <v>503</v>
      </c>
      <c r="Q113" s="20" t="s">
        <v>578</v>
      </c>
      <c r="R113" s="20" t="s">
        <v>579</v>
      </c>
      <c r="S113" s="20" t="s">
        <v>580</v>
      </c>
      <c r="T113" s="20" t="s">
        <v>581</v>
      </c>
      <c r="U113" s="20"/>
      <c r="V113" s="20" t="s">
        <v>582</v>
      </c>
      <c r="W113" s="20" t="s">
        <v>583</v>
      </c>
      <c r="X113" s="20" t="s">
        <v>584</v>
      </c>
      <c r="Y113" s="20" t="s">
        <v>585</v>
      </c>
      <c r="Z113" s="20" t="s">
        <v>586</v>
      </c>
      <c r="AA113" s="20" t="s">
        <v>587</v>
      </c>
      <c r="AB113" s="20" t="s">
        <v>588</v>
      </c>
      <c r="AC113" s="20" t="s">
        <v>589</v>
      </c>
      <c r="AD113" s="20"/>
      <c r="AE113" s="20" t="s">
        <v>50</v>
      </c>
      <c r="AF113" s="20"/>
      <c r="AG113" s="20"/>
      <c r="AH113" s="20"/>
    </row>
    <row r="114" spans="1:34" ht="17" customHeight="1" x14ac:dyDescent="0.2">
      <c r="A114" s="20" t="s">
        <v>590</v>
      </c>
      <c r="B114" s="20"/>
      <c r="C114" s="20"/>
      <c r="D114" s="20" t="s">
        <v>86</v>
      </c>
      <c r="E114" s="18" t="str">
        <f t="shared" si="9"/>
        <v>Catania</v>
      </c>
      <c r="F114" s="17"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17" t="str">
        <f t="shared" si="10"/>
        <v>1999</v>
      </c>
      <c r="H114" s="18" t="str">
        <f t="shared" si="11"/>
        <v>Catania_etal_1999</v>
      </c>
      <c r="I114" s="18" t="str">
        <f>_xlfn.LET(_xlpm.doi,IF(C114&lt;&gt;"",C114,_xlfn.TEXTAFTER(A114,"https://doi.org/")),SUBSTITUTE(SUBSTITUTE(SUBSTITUTE(SUBSTITUTE(_xlpm.doi,"/","%2F"),":","%3A"),"&lt;","%3C"),"&gt;","%3E"))</f>
        <v>10.1002%2F(SICI)1096-9861(19990719)410%3A1%3C55%3A%3AAID-CNE6%3E3.0.CO;2-2</v>
      </c>
      <c r="J114" s="18" t="str">
        <f t="shared" si="12"/>
        <v>Catania_etal_1999_Table1</v>
      </c>
      <c r="K114" s="17" t="str">
        <f t="shared" si="13"/>
        <v>10.1002%2F(SICI)1096-9861(19990719)410%3A1%3C55%3A%3AAID-CNE6%3E3.0.CO;2-2_Table1</v>
      </c>
      <c r="L114" s="17" t="str">
        <f t="array" ref="L114">IFERROR(INDEX(AUTO_Public_TSV_FileList!$A$1:$A$1000,MATCH(TRUE(),EXACT(K114,IFERROR(_xlfn.TEXTBEFORE(AUTO_Public_TSV_FileList!$A$1:$A$1000,".tsv"),"")),0)),"notfound")</f>
        <v>10.1002%2F(SICI)1096-9861(19990719)410%3A1%3C55%3A%3AAID-CNE6%3E3.0.CO;2-2_Table1.tsv</v>
      </c>
      <c r="M114" s="20"/>
      <c r="N114" s="20" t="s">
        <v>591</v>
      </c>
      <c r="O114" s="20" t="s">
        <v>592</v>
      </c>
      <c r="P114" s="20" t="s">
        <v>503</v>
      </c>
      <c r="Q114" s="20" t="s">
        <v>593</v>
      </c>
      <c r="R114" s="20" t="s">
        <v>594</v>
      </c>
      <c r="S114" s="20" t="s">
        <v>595</v>
      </c>
      <c r="T114" s="20" t="s">
        <v>596</v>
      </c>
      <c r="U114" s="20"/>
      <c r="V114" s="20" t="s">
        <v>597</v>
      </c>
      <c r="W114" s="20" t="s">
        <v>598</v>
      </c>
      <c r="X114" s="20" t="s">
        <v>599</v>
      </c>
      <c r="Y114" s="20" t="s">
        <v>600</v>
      </c>
      <c r="Z114" s="20" t="s">
        <v>586</v>
      </c>
      <c r="AA114" s="20" t="s">
        <v>601</v>
      </c>
      <c r="AB114" s="20" t="s">
        <v>588</v>
      </c>
      <c r="AC114" s="20" t="s">
        <v>589</v>
      </c>
      <c r="AD114" s="20"/>
      <c r="AE114" s="20" t="s">
        <v>50</v>
      </c>
      <c r="AF114" s="20"/>
      <c r="AG114" s="20"/>
      <c r="AH114" s="20"/>
    </row>
    <row r="115" spans="1:34" ht="17" customHeight="1" x14ac:dyDescent="0.2">
      <c r="A115" s="19" t="s">
        <v>602</v>
      </c>
      <c r="B115" s="20"/>
      <c r="C115" s="20"/>
      <c r="D115" s="19" t="s">
        <v>390</v>
      </c>
      <c r="E115" s="17" t="str">
        <f t="shared" si="9"/>
        <v>Caves</v>
      </c>
      <c r="F115" s="17"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17" t="str">
        <f t="shared" si="10"/>
        <v>2018</v>
      </c>
      <c r="H115" s="17" t="str">
        <f t="shared" si="11"/>
        <v>Caves_etal_2018</v>
      </c>
      <c r="I115" s="17" t="str">
        <f t="shared" ref="I115:I128" si="16">_xlfn.LET(
_xlpm.doi,IF(C115&lt;&gt;"",C115,_xlfn.TEXTAFTER(A115,"https://doi.org/")),
SUBSTITUTE(
SUBSTITUTE(
SUBSTITUTE(
SUBSTITUTE(
_xlpm.doi,
"/","%2F"),
":","%3A"),
"&lt;","%3C"),
"&gt;","%3E")
)</f>
        <v>10.1016%2Fj.tree.2018.03.001</v>
      </c>
      <c r="J115" s="17" t="str">
        <f t="shared" si="12"/>
        <v>Caves_etal_2018_TableS1</v>
      </c>
      <c r="K115" s="17" t="str">
        <f t="shared" ref="K115:K146" si="17">I115 &amp; "_" &amp; SUBSTITUTE(SUBSTITUTE(SUBSTITUTE(D115,CHAR(160),"")," ",""),"_","")</f>
        <v>10.1016%2Fj.tree.2018.03.001_TableS1</v>
      </c>
      <c r="L115" s="17" t="str">
        <f t="array" ref="L115">IFERROR(INDEX(AUTO_Public_TSV_FileList!$A$1:$A$1000,MATCH(TRUE(),EXACT(K115,IFERROR(_xlfn.TEXTBEFORE(AUTO_Public_TSV_FileList!$A$1:$A$1000,".tsv"),"")),0)),"notfound")</f>
        <v>10.1016%2Fj.tree.2018.03.001_TableS1.tsv</v>
      </c>
      <c r="M115" s="20"/>
      <c r="N115" s="20"/>
      <c r="O115" s="20"/>
      <c r="P115" s="19" t="s">
        <v>55</v>
      </c>
      <c r="Q115" s="20"/>
      <c r="R115" s="20"/>
      <c r="S115" s="20"/>
      <c r="T115" s="20"/>
      <c r="U115" s="20"/>
      <c r="V115" s="20"/>
      <c r="W115" s="20"/>
      <c r="X115" s="20"/>
      <c r="Y115" s="20"/>
      <c r="Z115" s="20"/>
      <c r="AA115" s="20"/>
      <c r="AB115" s="20"/>
      <c r="AC115" s="20"/>
      <c r="AD115" s="20"/>
      <c r="AE115" s="20"/>
      <c r="AF115" s="20"/>
      <c r="AG115" s="20"/>
      <c r="AH115" s="20"/>
    </row>
    <row r="116" spans="1:34" ht="17" customHeight="1" x14ac:dyDescent="0.2">
      <c r="A116" s="20" t="s">
        <v>603</v>
      </c>
      <c r="B116" s="20"/>
      <c r="C116" s="20"/>
      <c r="D116" s="20" t="s">
        <v>604</v>
      </c>
      <c r="E116" s="17" t="str">
        <f t="shared" si="9"/>
        <v>Chang</v>
      </c>
      <c r="F116" s="17" t="str">
        <f>_xlfn.LET(
_xlpm.authors,_xlfn.TEXTBEFORE(A116," ("&amp;G116&amp;")"),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6" s="17" t="str">
        <f t="shared" si="10"/>
        <v>2015</v>
      </c>
      <c r="H116" s="17" t="str">
        <f t="shared" si="11"/>
        <v>Chang_etal_2015</v>
      </c>
      <c r="I116" s="17" t="str">
        <f t="shared" si="16"/>
        <v>10.1016%2Fj.cub.2014.11.016</v>
      </c>
      <c r="J116" s="17" t="str">
        <f t="shared" si="12"/>
        <v>Chang_etal_2015_Figure2</v>
      </c>
      <c r="K116" s="17" t="str">
        <f t="shared" si="17"/>
        <v>10.1016%2Fj.cub.2014.11.016_Figure2</v>
      </c>
      <c r="L116" s="17" t="str">
        <f>IFERROR(INDEX(AUTO_Public_TSV_FileList!$A$1:$A$1000,MATCH(TRUE(),EXACT(K116,IFERROR(_xlfn.TEXTBEFORE(AUTO_Public_TSV_FileList!$A$1:$A$1000,".tsv"),"")),0)),"notfound")</f>
        <v>notfound</v>
      </c>
      <c r="M116" s="20" t="s">
        <v>604</v>
      </c>
      <c r="N116" s="20" t="s">
        <v>311</v>
      </c>
      <c r="O116" s="20" t="s">
        <v>605</v>
      </c>
      <c r="P116" s="20" t="s">
        <v>313</v>
      </c>
      <c r="Q116" s="20" t="s">
        <v>606</v>
      </c>
      <c r="R116" s="20" t="s">
        <v>607</v>
      </c>
      <c r="S116" s="20" t="s">
        <v>316</v>
      </c>
      <c r="T116" s="20" t="s">
        <v>317</v>
      </c>
      <c r="U116" s="20"/>
      <c r="V116" s="20" t="s">
        <v>318</v>
      </c>
      <c r="W116" s="20" t="s">
        <v>319</v>
      </c>
      <c r="X116" s="20"/>
      <c r="Y116" s="20"/>
      <c r="Z116" s="20"/>
      <c r="AA116" s="20" t="s">
        <v>608</v>
      </c>
      <c r="AB116" s="20" t="s">
        <v>609</v>
      </c>
      <c r="AC116" s="20" t="s">
        <v>610</v>
      </c>
      <c r="AD116" s="20"/>
      <c r="AE116" s="20" t="s">
        <v>50</v>
      </c>
      <c r="AF116" s="20"/>
      <c r="AG116" s="20" t="s">
        <v>324</v>
      </c>
      <c r="AH116" s="20" t="s">
        <v>325</v>
      </c>
    </row>
    <row r="117" spans="1:34" ht="17" customHeight="1" x14ac:dyDescent="0.2">
      <c r="A117" s="20" t="s">
        <v>603</v>
      </c>
      <c r="B117" s="20"/>
      <c r="C117" s="20"/>
      <c r="D117" s="20" t="s">
        <v>310</v>
      </c>
      <c r="E117" s="17" t="str">
        <f t="shared" si="9"/>
        <v>Chang</v>
      </c>
      <c r="F117" s="17" t="str">
        <f>_xlfn.LET(
_xlpm.authors,_xlfn.TEXTBEFORE(A117," ("&amp;G117&amp;")"),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7" s="17" t="str">
        <f t="shared" si="10"/>
        <v>2015</v>
      </c>
      <c r="H117" s="17" t="str">
        <f t="shared" si="11"/>
        <v>Chang_etal_2015</v>
      </c>
      <c r="I117" s="17" t="str">
        <f t="shared" si="16"/>
        <v>10.1016%2Fj.cub.2014.11.016</v>
      </c>
      <c r="J117" s="17" t="str">
        <f t="shared" si="12"/>
        <v>Chang_etal_2015_Figure4</v>
      </c>
      <c r="K117" s="17" t="str">
        <f t="shared" si="17"/>
        <v>10.1016%2Fj.cub.2014.11.016_Figure4</v>
      </c>
      <c r="L117" s="17" t="str">
        <f>IFERROR(INDEX(AUTO_Public_TSV_FileList!$A$1:$A$1000,MATCH(TRUE(),EXACT(K117,IFERROR(_xlfn.TEXTBEFORE(AUTO_Public_TSV_FileList!$A$1:$A$1000,".tsv"),"")),0)),"notfound")</f>
        <v>notfound</v>
      </c>
      <c r="M117" s="20" t="s">
        <v>611</v>
      </c>
      <c r="N117" s="20" t="s">
        <v>311</v>
      </c>
      <c r="O117" s="20" t="s">
        <v>612</v>
      </c>
      <c r="P117" s="20" t="s">
        <v>313</v>
      </c>
      <c r="Q117" s="20" t="s">
        <v>613</v>
      </c>
      <c r="R117" s="20" t="s">
        <v>607</v>
      </c>
      <c r="S117" s="20" t="s">
        <v>316</v>
      </c>
      <c r="T117" s="20" t="s">
        <v>317</v>
      </c>
      <c r="U117" s="20"/>
      <c r="V117" s="20" t="s">
        <v>318</v>
      </c>
      <c r="W117" s="20" t="s">
        <v>319</v>
      </c>
      <c r="X117" s="20" t="s">
        <v>614</v>
      </c>
      <c r="Y117" s="20"/>
      <c r="Z117" s="20"/>
      <c r="AA117" s="20" t="s">
        <v>608</v>
      </c>
      <c r="AB117" s="20" t="s">
        <v>609</v>
      </c>
      <c r="AC117" s="20" t="s">
        <v>610</v>
      </c>
      <c r="AD117" s="20"/>
      <c r="AE117" s="20" t="s">
        <v>50</v>
      </c>
      <c r="AF117" s="20"/>
      <c r="AG117" s="20" t="s">
        <v>324</v>
      </c>
      <c r="AH117" s="20" t="s">
        <v>325</v>
      </c>
    </row>
    <row r="118" spans="1:34" ht="17" customHeight="1" x14ac:dyDescent="0.2">
      <c r="A118" s="20" t="s">
        <v>615</v>
      </c>
      <c r="B118" s="20"/>
      <c r="C118" s="20"/>
      <c r="D118" s="20" t="s">
        <v>604</v>
      </c>
      <c r="E118" s="17" t="str">
        <f t="shared" si="9"/>
        <v>Chang</v>
      </c>
      <c r="F118" s="17" t="str">
        <f>_xlfn.LET(
_xlpm.authors,_xlfn.TEXTBEFORE(A118," ("&amp;G118&amp;")"),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8" s="17" t="str">
        <f t="shared" si="10"/>
        <v>2017</v>
      </c>
      <c r="H118" s="17" t="str">
        <f t="shared" si="11"/>
        <v>Chang_etal_2017</v>
      </c>
      <c r="I118" s="17" t="str">
        <f t="shared" si="16"/>
        <v>10.1073%2Fpnas.1620764114</v>
      </c>
      <c r="J118" s="17" t="str">
        <f t="shared" si="12"/>
        <v>Chang_etal_2017_Figure2</v>
      </c>
      <c r="K118" s="17" t="str">
        <f t="shared" si="17"/>
        <v>10.1073%2Fpnas.1620764114_Figure2</v>
      </c>
      <c r="L118" s="17" t="str">
        <f>IFERROR(INDEX(AUTO_Public_TSV_FileList!$A$1:$A$1000,MATCH(TRUE(),EXACT(K118,IFERROR(_xlfn.TEXTBEFORE(AUTO_Public_TSV_FileList!$A$1:$A$1000,".tsv"),"")),0)),"notfound")</f>
        <v>notfound</v>
      </c>
      <c r="M118" s="20" t="s">
        <v>604</v>
      </c>
      <c r="N118" s="20" t="s">
        <v>311</v>
      </c>
      <c r="O118" s="20" t="s">
        <v>616</v>
      </c>
      <c r="P118" s="20" t="s">
        <v>313</v>
      </c>
      <c r="Q118" s="20" t="s">
        <v>617</v>
      </c>
      <c r="R118" s="20" t="s">
        <v>618</v>
      </c>
      <c r="S118" s="20" t="s">
        <v>316</v>
      </c>
      <c r="T118" s="20" t="s">
        <v>317</v>
      </c>
      <c r="U118" s="20"/>
      <c r="V118" s="20" t="s">
        <v>318</v>
      </c>
      <c r="W118" s="20" t="s">
        <v>319</v>
      </c>
      <c r="X118" s="20"/>
      <c r="Y118" s="20"/>
      <c r="Z118" s="20"/>
      <c r="AA118" s="20" t="s">
        <v>619</v>
      </c>
      <c r="AB118" s="20" t="s">
        <v>609</v>
      </c>
      <c r="AC118" s="20" t="s">
        <v>620</v>
      </c>
      <c r="AD118" s="20"/>
      <c r="AE118" s="20" t="s">
        <v>50</v>
      </c>
      <c r="AF118" s="20"/>
      <c r="AG118" s="20" t="s">
        <v>324</v>
      </c>
      <c r="AH118" s="20" t="s">
        <v>325</v>
      </c>
    </row>
    <row r="119" spans="1:34" ht="17" customHeight="1" x14ac:dyDescent="0.2">
      <c r="A119" s="20" t="s">
        <v>615</v>
      </c>
      <c r="B119" s="20"/>
      <c r="C119" s="20"/>
      <c r="D119" s="20" t="s">
        <v>35</v>
      </c>
      <c r="E119" s="17" t="str">
        <f t="shared" si="9"/>
        <v>Chang</v>
      </c>
      <c r="F119" s="17" t="str">
        <f>_xlfn.LET(
_xlpm.authors,_xlfn.TEXTBEFORE(A119," ("&amp;G119&amp;")"),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9" s="17" t="str">
        <f t="shared" si="10"/>
        <v>2017</v>
      </c>
      <c r="H119" s="17" t="str">
        <f t="shared" si="11"/>
        <v>Chang_etal_2017</v>
      </c>
      <c r="I119" s="17" t="str">
        <f t="shared" si="16"/>
        <v>10.1073%2Fpnas.1620764114</v>
      </c>
      <c r="J119" s="17" t="str">
        <f t="shared" si="12"/>
        <v>Chang_etal_2017_Table1</v>
      </c>
      <c r="K119" s="17" t="str">
        <f t="shared" si="17"/>
        <v>10.1073%2Fpnas.1620764114_Table1</v>
      </c>
      <c r="L119" s="17" t="str">
        <f>IFERROR(INDEX(AUTO_Public_TSV_FileList!$A$1:$A$1000,MATCH(TRUE(),EXACT(K119,IFERROR(_xlfn.TEXTBEFORE(AUTO_Public_TSV_FileList!$A$1:$A$1000,".tsv"),"")),0)),"notfound")</f>
        <v>notfound</v>
      </c>
      <c r="M119" s="20" t="s">
        <v>621</v>
      </c>
      <c r="N119" s="20" t="s">
        <v>556</v>
      </c>
      <c r="O119" s="20" t="s">
        <v>622</v>
      </c>
      <c r="P119" s="20" t="s">
        <v>313</v>
      </c>
      <c r="Q119" s="20" t="s">
        <v>623</v>
      </c>
      <c r="R119" s="20" t="s">
        <v>618</v>
      </c>
      <c r="S119" s="20" t="s">
        <v>316</v>
      </c>
      <c r="T119" s="20" t="s">
        <v>317</v>
      </c>
      <c r="U119" s="20"/>
      <c r="V119" s="20" t="s">
        <v>624</v>
      </c>
      <c r="W119" s="20" t="s">
        <v>319</v>
      </c>
      <c r="X119" s="20" t="s">
        <v>625</v>
      </c>
      <c r="Y119" s="20"/>
      <c r="Z119" s="20"/>
      <c r="AA119" s="20" t="s">
        <v>619</v>
      </c>
      <c r="AB119" s="20" t="s">
        <v>609</v>
      </c>
      <c r="AC119" s="20" t="s">
        <v>620</v>
      </c>
      <c r="AD119" s="20"/>
      <c r="AE119" s="20" t="s">
        <v>50</v>
      </c>
      <c r="AF119" s="20"/>
      <c r="AG119" s="20" t="s">
        <v>324</v>
      </c>
      <c r="AH119" s="20" t="s">
        <v>325</v>
      </c>
    </row>
    <row r="120" spans="1:34" ht="17" customHeight="1" x14ac:dyDescent="0.2">
      <c r="A120" s="19" t="s">
        <v>626</v>
      </c>
      <c r="B120" s="20"/>
      <c r="C120" s="20"/>
      <c r="D120" s="19" t="s">
        <v>120</v>
      </c>
      <c r="E120" s="17" t="str">
        <f t="shared" si="9"/>
        <v>Changizi</v>
      </c>
      <c r="F120" s="17"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17" t="str">
        <f t="shared" si="10"/>
        <v>2001</v>
      </c>
      <c r="H120" s="17" t="str">
        <f t="shared" si="11"/>
        <v>Changizi__2001</v>
      </c>
      <c r="I120" s="17" t="str">
        <f t="shared" si="16"/>
        <v>10.1007%2Fs004220000205</v>
      </c>
      <c r="J120" s="17" t="str">
        <f t="shared" si="12"/>
        <v>Changizi__2001_Figure3</v>
      </c>
      <c r="K120" s="17" t="str">
        <f t="shared" si="17"/>
        <v>10.1007%2Fs004220000205_Figure3</v>
      </c>
      <c r="L120" s="17" t="str">
        <f t="array" ref="L120">IFERROR(INDEX(AUTO_Public_TSV_FileList!$A$1:$A$1000,MATCH(TRUE(),EXACT(K120,IFERROR(_xlfn.TEXTBEFORE(AUTO_Public_TSV_FileList!$A$1:$A$1000,".tsv"),"")),0)),"notfound")</f>
        <v>10.1007%2Fs004220000205_Figure3.tsv</v>
      </c>
      <c r="M120" s="20"/>
      <c r="N120" s="19" t="s">
        <v>627</v>
      </c>
      <c r="O120" s="20"/>
      <c r="P120" s="19" t="s">
        <v>55</v>
      </c>
      <c r="Q120" s="19"/>
      <c r="R120" s="20"/>
      <c r="S120" s="20"/>
      <c r="T120" s="20"/>
      <c r="U120" s="20"/>
      <c r="V120" s="20"/>
      <c r="W120" s="19" t="s">
        <v>224</v>
      </c>
      <c r="X120" s="19" t="s">
        <v>628</v>
      </c>
      <c r="Y120" s="20"/>
      <c r="Z120" s="20"/>
      <c r="AA120" s="20"/>
      <c r="AB120" s="19" t="s">
        <v>629</v>
      </c>
      <c r="AC120" s="20"/>
      <c r="AD120" s="20"/>
      <c r="AE120" s="19" t="s">
        <v>265</v>
      </c>
      <c r="AF120" s="19"/>
      <c r="AG120" s="19" t="s">
        <v>630</v>
      </c>
      <c r="AH120" s="20"/>
    </row>
    <row r="121" spans="1:34" ht="17" customHeight="1" x14ac:dyDescent="0.2">
      <c r="A121" s="23" t="s">
        <v>631</v>
      </c>
      <c r="B121" s="21"/>
      <c r="C121" s="21"/>
      <c r="D121" s="23" t="s">
        <v>86</v>
      </c>
      <c r="E121" s="17" t="str">
        <f t="shared" si="9"/>
        <v>Changizi</v>
      </c>
      <c r="F121" s="17"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17" t="str">
        <f t="shared" si="10"/>
        <v>2003</v>
      </c>
      <c r="H121" s="17" t="str">
        <f t="shared" si="11"/>
        <v>Changizi__2003</v>
      </c>
      <c r="I121" s="17" t="str">
        <f t="shared" si="16"/>
        <v>10.1006%2Fjtbi.2003.3125</v>
      </c>
      <c r="J121" s="17" t="str">
        <f t="shared" si="12"/>
        <v>Changizi__2003_Table1</v>
      </c>
      <c r="K121" s="17" t="str">
        <f t="shared" si="17"/>
        <v>10.1006%2Fjtbi.2003.3125_Table1</v>
      </c>
      <c r="L121" s="17" t="str">
        <f t="array" ref="L121">IFERROR(INDEX(AUTO_Public_TSV_FileList!$A$1:$A$1000,MATCH(TRUE(),EXACT(K121,IFERROR(_xlfn.TEXTBEFORE(AUTO_Public_TSV_FileList!$A$1:$A$1000,".tsv"),"")),0)),"notfound")</f>
        <v>10.1006%2Fjtbi.2003.3125_Table1.tsv</v>
      </c>
      <c r="M121" s="21" t="s">
        <v>632</v>
      </c>
      <c r="N121" s="19" t="s">
        <v>54</v>
      </c>
      <c r="O121" s="21"/>
      <c r="P121" s="20" t="s">
        <v>55</v>
      </c>
      <c r="Q121" s="21"/>
      <c r="R121" s="21" t="s">
        <v>633</v>
      </c>
      <c r="S121" s="21" t="s">
        <v>634</v>
      </c>
      <c r="T121" s="21" t="s">
        <v>635</v>
      </c>
      <c r="U121" s="21"/>
      <c r="V121" s="21" t="s">
        <v>636</v>
      </c>
      <c r="W121" s="23" t="s">
        <v>224</v>
      </c>
      <c r="X121" s="21" t="s">
        <v>637</v>
      </c>
      <c r="Y121" s="21" t="s">
        <v>637</v>
      </c>
      <c r="Z121" s="21"/>
      <c r="AA121" s="21"/>
      <c r="AB121" s="23" t="s">
        <v>638</v>
      </c>
      <c r="AC121" s="20"/>
      <c r="AD121" s="21"/>
      <c r="AE121" s="23" t="s">
        <v>70</v>
      </c>
      <c r="AF121" s="23"/>
      <c r="AG121" s="20" t="s">
        <v>639</v>
      </c>
      <c r="AH121" s="20"/>
    </row>
    <row r="122" spans="1:34" ht="17" customHeight="1" x14ac:dyDescent="0.2">
      <c r="A122" s="19" t="s">
        <v>640</v>
      </c>
      <c r="B122" s="20"/>
      <c r="C122" s="20"/>
      <c r="D122" s="19" t="s">
        <v>86</v>
      </c>
      <c r="E122" s="17" t="str">
        <f t="shared" si="9"/>
        <v>Changizi</v>
      </c>
      <c r="F122" s="17"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22" s="17" t="str">
        <f t="shared" si="10"/>
        <v>2005</v>
      </c>
      <c r="H122" s="17" t="str">
        <f t="shared" si="11"/>
        <v>Changizi_Shimojo_2005</v>
      </c>
      <c r="I122" s="17" t="str">
        <f t="shared" si="16"/>
        <v>10.1159%2F000085942</v>
      </c>
      <c r="J122" s="17" t="str">
        <f t="shared" si="12"/>
        <v>Changizi_Shimojo_2005_Table1</v>
      </c>
      <c r="K122" s="17" t="str">
        <f t="shared" si="17"/>
        <v>10.1159%2F000085942_Table1</v>
      </c>
      <c r="L122" s="17" t="str">
        <f t="array" ref="L122">IFERROR(INDEX(AUTO_Public_TSV_FileList!$A$1:$A$1000,MATCH(TRUE(),EXACT(K122,IFERROR(_xlfn.TEXTBEFORE(AUTO_Public_TSV_FileList!$A$1:$A$1000,".tsv"),"")),0)),"notfound")</f>
        <v>10.1159%2F000085942_Table1.tsv</v>
      </c>
      <c r="M122" s="20"/>
      <c r="N122" s="19" t="s">
        <v>54</v>
      </c>
      <c r="O122" s="20"/>
      <c r="P122" s="19" t="s">
        <v>55</v>
      </c>
      <c r="Q122" s="19"/>
      <c r="R122" s="20"/>
      <c r="S122" s="20"/>
      <c r="T122" s="20"/>
      <c r="U122" s="20"/>
      <c r="V122" s="20"/>
      <c r="W122" s="19" t="s">
        <v>224</v>
      </c>
      <c r="X122" s="19" t="s">
        <v>641</v>
      </c>
      <c r="Y122" s="20"/>
      <c r="Z122" s="20"/>
      <c r="AA122" s="20"/>
      <c r="AB122" s="19" t="s">
        <v>642</v>
      </c>
      <c r="AC122" s="19" t="s">
        <v>643</v>
      </c>
      <c r="AD122" s="20"/>
      <c r="AE122" s="19" t="s">
        <v>70</v>
      </c>
      <c r="AF122" s="19"/>
      <c r="AG122" s="19" t="s">
        <v>644</v>
      </c>
      <c r="AH122" s="20"/>
    </row>
    <row r="123" spans="1:34" ht="17" customHeight="1" x14ac:dyDescent="0.2">
      <c r="A123" s="19" t="s">
        <v>640</v>
      </c>
      <c r="B123" s="20"/>
      <c r="C123" s="20"/>
      <c r="D123" s="19" t="s">
        <v>160</v>
      </c>
      <c r="E123" s="17" t="str">
        <f t="shared" si="9"/>
        <v>Changizi</v>
      </c>
      <c r="F123" s="17"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23" s="17" t="str">
        <f t="shared" si="10"/>
        <v>2005</v>
      </c>
      <c r="H123" s="17" t="str">
        <f t="shared" si="11"/>
        <v>Changizi_Shimojo_2005</v>
      </c>
      <c r="I123" s="17" t="str">
        <f t="shared" si="16"/>
        <v>10.1159%2F000085942</v>
      </c>
      <c r="J123" s="17" t="str">
        <f t="shared" si="12"/>
        <v>Changizi_Shimojo_2005_Table2</v>
      </c>
      <c r="K123" s="17" t="str">
        <f t="shared" si="17"/>
        <v>10.1159%2F000085942_Table2</v>
      </c>
      <c r="L123" s="17" t="str">
        <f t="array" ref="L123">IFERROR(INDEX(AUTO_Public_TSV_FileList!$A$1:$A$1000,MATCH(TRUE(),EXACT(K123,IFERROR(_xlfn.TEXTBEFORE(AUTO_Public_TSV_FileList!$A$1:$A$1000,".tsv"),"")),0)),"notfound")</f>
        <v>10.1159%2F000085942_Table2.tsv</v>
      </c>
      <c r="M123" s="20"/>
      <c r="N123" s="19" t="s">
        <v>54</v>
      </c>
      <c r="O123" s="20"/>
      <c r="P123" s="19" t="s">
        <v>55</v>
      </c>
      <c r="Q123" s="19"/>
      <c r="R123" s="20"/>
      <c r="S123" s="20"/>
      <c r="T123" s="20"/>
      <c r="U123" s="20"/>
      <c r="V123" s="20"/>
      <c r="W123" s="19" t="s">
        <v>224</v>
      </c>
      <c r="X123" s="19" t="s">
        <v>645</v>
      </c>
      <c r="Y123" s="20"/>
      <c r="Z123" s="20"/>
      <c r="AA123" s="20"/>
      <c r="AB123" s="19" t="s">
        <v>646</v>
      </c>
      <c r="AC123" s="19" t="s">
        <v>643</v>
      </c>
      <c r="AD123" s="20"/>
      <c r="AE123" s="19" t="s">
        <v>50</v>
      </c>
      <c r="AF123" s="19"/>
      <c r="AG123" s="19" t="s">
        <v>647</v>
      </c>
      <c r="AH123" s="20"/>
    </row>
    <row r="124" spans="1:34" ht="17" customHeight="1" x14ac:dyDescent="0.2">
      <c r="A124" s="19" t="s">
        <v>640</v>
      </c>
      <c r="B124" s="20"/>
      <c r="C124" s="20"/>
      <c r="D124" s="19" t="s">
        <v>162</v>
      </c>
      <c r="E124" s="17" t="str">
        <f t="shared" si="9"/>
        <v>Changizi</v>
      </c>
      <c r="F124" s="17"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24" s="17" t="str">
        <f t="shared" si="10"/>
        <v>2005</v>
      </c>
      <c r="H124" s="17" t="str">
        <f t="shared" si="11"/>
        <v>Changizi_Shimojo_2005</v>
      </c>
      <c r="I124" s="17" t="str">
        <f t="shared" si="16"/>
        <v>10.1159%2F000085942</v>
      </c>
      <c r="J124" s="17" t="str">
        <f t="shared" si="12"/>
        <v>Changizi_Shimojo_2005_Table3</v>
      </c>
      <c r="K124" s="17" t="str">
        <f t="shared" si="17"/>
        <v>10.1159%2F000085942_Table3</v>
      </c>
      <c r="L124" s="17" t="str">
        <f t="array" ref="L124">IFERROR(INDEX(AUTO_Public_TSV_FileList!$A$1:$A$1000,MATCH(TRUE(),EXACT(K124,IFERROR(_xlfn.TEXTBEFORE(AUTO_Public_TSV_FileList!$A$1:$A$1000,".tsv"),"")),0)),"notfound")</f>
        <v>10.1159%2F000085942_Table3.tsv</v>
      </c>
      <c r="M124" s="20"/>
      <c r="N124" s="19" t="s">
        <v>54</v>
      </c>
      <c r="O124" s="20"/>
      <c r="P124" s="19" t="s">
        <v>55</v>
      </c>
      <c r="Q124" s="19"/>
      <c r="R124" s="20"/>
      <c r="S124" s="20"/>
      <c r="T124" s="20"/>
      <c r="U124" s="20"/>
      <c r="V124" s="20"/>
      <c r="W124" s="19" t="s">
        <v>224</v>
      </c>
      <c r="X124" s="19" t="s">
        <v>648</v>
      </c>
      <c r="Y124" s="20"/>
      <c r="Z124" s="20"/>
      <c r="AA124" s="20"/>
      <c r="AB124" s="19" t="s">
        <v>649</v>
      </c>
      <c r="AC124" s="19" t="s">
        <v>643</v>
      </c>
      <c r="AD124" s="20"/>
      <c r="AE124" s="19" t="s">
        <v>265</v>
      </c>
      <c r="AF124" s="19"/>
      <c r="AG124" s="19" t="s">
        <v>650</v>
      </c>
      <c r="AH124" s="20"/>
    </row>
    <row r="125" spans="1:34" ht="17" customHeight="1" x14ac:dyDescent="0.2">
      <c r="A125" s="19" t="s">
        <v>640</v>
      </c>
      <c r="B125" s="20"/>
      <c r="C125" s="20"/>
      <c r="D125" s="19" t="s">
        <v>53</v>
      </c>
      <c r="E125" s="17" t="str">
        <f t="shared" si="9"/>
        <v>Changizi</v>
      </c>
      <c r="F125" s="17"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25" s="17" t="str">
        <f t="shared" si="10"/>
        <v>2005</v>
      </c>
      <c r="H125" s="17" t="str">
        <f t="shared" si="11"/>
        <v>Changizi_Shimojo_2005</v>
      </c>
      <c r="I125" s="17" t="str">
        <f t="shared" si="16"/>
        <v>10.1159%2F000085942</v>
      </c>
      <c r="J125" s="17" t="str">
        <f t="shared" si="12"/>
        <v>Changizi_Shimojo_2005_Table4</v>
      </c>
      <c r="K125" s="17" t="str">
        <f t="shared" si="17"/>
        <v>10.1159%2F000085942_Table4</v>
      </c>
      <c r="L125" s="17" t="str">
        <f t="array" ref="L125">IFERROR(INDEX(AUTO_Public_TSV_FileList!$A$1:$A$1000,MATCH(TRUE(),EXACT(K125,IFERROR(_xlfn.TEXTBEFORE(AUTO_Public_TSV_FileList!$A$1:$A$1000,".tsv"),"")),0)),"notfound")</f>
        <v>10.1159%2F000085942_Table4.tsv</v>
      </c>
      <c r="M125" s="20"/>
      <c r="N125" s="19" t="s">
        <v>54</v>
      </c>
      <c r="O125" s="20"/>
      <c r="P125" s="19" t="s">
        <v>55</v>
      </c>
      <c r="Q125" s="19"/>
      <c r="R125" s="20"/>
      <c r="S125" s="20"/>
      <c r="T125" s="20"/>
      <c r="U125" s="20"/>
      <c r="V125" s="20"/>
      <c r="W125" s="19" t="s">
        <v>224</v>
      </c>
      <c r="X125" s="19" t="s">
        <v>651</v>
      </c>
      <c r="Y125" s="20"/>
      <c r="Z125" s="20"/>
      <c r="AA125" s="20"/>
      <c r="AB125" s="19" t="s">
        <v>652</v>
      </c>
      <c r="AC125" s="19" t="s">
        <v>643</v>
      </c>
      <c r="AD125" s="20"/>
      <c r="AE125" s="19" t="s">
        <v>265</v>
      </c>
      <c r="AF125" s="19"/>
      <c r="AG125" s="19" t="s">
        <v>653</v>
      </c>
      <c r="AH125" s="20"/>
    </row>
    <row r="126" spans="1:34" ht="17" customHeight="1" x14ac:dyDescent="0.2">
      <c r="A126" s="19" t="s">
        <v>640</v>
      </c>
      <c r="B126" s="20"/>
      <c r="C126" s="20"/>
      <c r="D126" s="19" t="s">
        <v>164</v>
      </c>
      <c r="E126" s="17" t="str">
        <f t="shared" si="9"/>
        <v>Changizi</v>
      </c>
      <c r="F126" s="17"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26" s="17" t="str">
        <f t="shared" si="10"/>
        <v>2005</v>
      </c>
      <c r="H126" s="17" t="str">
        <f t="shared" si="11"/>
        <v>Changizi_Shimojo_2005</v>
      </c>
      <c r="I126" s="17" t="str">
        <f t="shared" si="16"/>
        <v>10.1159%2F000085942</v>
      </c>
      <c r="J126" s="17" t="str">
        <f t="shared" si="12"/>
        <v>Changizi_Shimojo_2005_Table5</v>
      </c>
      <c r="K126" s="17" t="str">
        <f t="shared" si="17"/>
        <v>10.1159%2F000085942_Table5</v>
      </c>
      <c r="L126" s="17" t="str">
        <f t="array" ref="L126">IFERROR(INDEX(AUTO_Public_TSV_FileList!$A$1:$A$1000,MATCH(TRUE(),EXACT(K126,IFERROR(_xlfn.TEXTBEFORE(AUTO_Public_TSV_FileList!$A$1:$A$1000,".tsv"),"")),0)),"notfound")</f>
        <v>10.1159%2F000085942_Table5.tsv</v>
      </c>
      <c r="M126" s="20"/>
      <c r="N126" s="19" t="s">
        <v>54</v>
      </c>
      <c r="O126" s="20"/>
      <c r="P126" s="19" t="s">
        <v>55</v>
      </c>
      <c r="Q126" s="19"/>
      <c r="R126" s="20"/>
      <c r="S126" s="20"/>
      <c r="T126" s="20"/>
      <c r="U126" s="20"/>
      <c r="V126" s="20"/>
      <c r="W126" s="19" t="s">
        <v>224</v>
      </c>
      <c r="X126" s="19" t="s">
        <v>654</v>
      </c>
      <c r="Y126" s="20"/>
      <c r="Z126" s="20"/>
      <c r="AA126" s="20"/>
      <c r="AB126" s="19" t="s">
        <v>655</v>
      </c>
      <c r="AC126" s="19" t="s">
        <v>643</v>
      </c>
      <c r="AD126" s="20"/>
      <c r="AE126" s="19" t="s">
        <v>265</v>
      </c>
      <c r="AF126" s="19"/>
      <c r="AG126" s="19" t="s">
        <v>656</v>
      </c>
      <c r="AH126" s="20"/>
    </row>
    <row r="127" spans="1:34" ht="17" customHeight="1" x14ac:dyDescent="0.2">
      <c r="A127" s="20" t="s">
        <v>657</v>
      </c>
      <c r="B127" s="20"/>
      <c r="C127" s="20"/>
      <c r="D127" s="20" t="s">
        <v>500</v>
      </c>
      <c r="E127" s="17" t="str">
        <f t="shared" si="9"/>
        <v>Chaplin</v>
      </c>
      <c r="F127" s="17"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17" t="str">
        <f t="shared" si="10"/>
        <v>2013</v>
      </c>
      <c r="H127" s="17" t="str">
        <f t="shared" si="11"/>
        <v>Chaplin_etal_2013</v>
      </c>
      <c r="I127" s="17" t="str">
        <f t="shared" si="16"/>
        <v>10.1523%2FJNEUROSCI.2909-13.2013</v>
      </c>
      <c r="J127" s="17" t="str">
        <f t="shared" si="12"/>
        <v>Chaplin_etal_2013_ResultsText</v>
      </c>
      <c r="K127" s="17" t="str">
        <f t="shared" si="17"/>
        <v>10.1523%2FJNEUROSCI.2909-13.2013_ResultsText</v>
      </c>
      <c r="L127" s="17" t="str">
        <f t="array" ref="L127">IFERROR(INDEX(AUTO_Public_TSV_FileList!$A$1:$A$1000,MATCH(TRUE(),EXACT(K127,IFERROR(_xlfn.TEXTBEFORE(AUTO_Public_TSV_FileList!$A$1:$A$1000,".tsv"),"")),0)),"notfound")</f>
        <v>10.1523%2FJNEUROSCI.2909-13.2013_ResultsText.tsv</v>
      </c>
      <c r="M127" s="21" t="s">
        <v>658</v>
      </c>
      <c r="N127" s="21" t="s">
        <v>659</v>
      </c>
      <c r="O127" s="20"/>
      <c r="P127" s="21" t="s">
        <v>55</v>
      </c>
      <c r="Q127" s="21"/>
      <c r="R127" s="21" t="s">
        <v>660</v>
      </c>
      <c r="S127" s="21" t="s">
        <v>661</v>
      </c>
      <c r="T127" s="21" t="s">
        <v>662</v>
      </c>
      <c r="U127" s="21"/>
      <c r="V127" s="20"/>
      <c r="W127" s="21" t="s">
        <v>187</v>
      </c>
      <c r="X127" s="21" t="s">
        <v>264</v>
      </c>
      <c r="Y127" s="21" t="s">
        <v>663</v>
      </c>
      <c r="Z127" s="21"/>
      <c r="AA127" s="21" t="s">
        <v>664</v>
      </c>
      <c r="AB127" s="21" t="s">
        <v>264</v>
      </c>
      <c r="AC127" s="21"/>
      <c r="AD127" s="21"/>
      <c r="AE127" s="21" t="s">
        <v>50</v>
      </c>
      <c r="AF127" s="21"/>
      <c r="AG127" s="21" t="s">
        <v>665</v>
      </c>
      <c r="AH127" s="20"/>
    </row>
    <row r="128" spans="1:34" ht="17" customHeight="1" x14ac:dyDescent="0.2">
      <c r="A128" s="19" t="s">
        <v>666</v>
      </c>
      <c r="B128" s="20"/>
      <c r="C128" s="20"/>
      <c r="D128" s="19" t="s">
        <v>667</v>
      </c>
      <c r="E128" s="17" t="str">
        <f t="shared" si="9"/>
        <v>Chen</v>
      </c>
      <c r="F128" s="17"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28" s="17" t="str">
        <f t="shared" si="10"/>
        <v>2020</v>
      </c>
      <c r="H128" s="17" t="str">
        <f t="shared" si="11"/>
        <v>Chen_Wiens_2020</v>
      </c>
      <c r="I128" s="17" t="str">
        <f t="shared" si="16"/>
        <v>10.1038%2Fs41467-020-14356-3</v>
      </c>
      <c r="J128" s="17" t="str">
        <f t="shared" si="12"/>
        <v>Chen_Wiens_2020_SupplementaryData3</v>
      </c>
      <c r="K128" s="17" t="str">
        <f t="shared" si="17"/>
        <v>10.1038%2Fs41467-020-14356-3_SupplementaryData3</v>
      </c>
      <c r="L128" s="17" t="str">
        <f t="array" ref="L128">IFERROR(INDEX(AUTO_Public_TSV_FileList!$A$1:$A$1000,MATCH(TRUE(),EXACT(K128,IFERROR(_xlfn.TEXTBEFORE(AUTO_Public_TSV_FileList!$A$1:$A$1000,".tsv"),"")),0)),"notfound")</f>
        <v>10.1038%2Fs41467-020-14356-3_SupplementaryData3.tsv</v>
      </c>
      <c r="M128" s="20"/>
      <c r="N128" s="19" t="s">
        <v>54</v>
      </c>
      <c r="O128" s="20"/>
      <c r="P128" s="19" t="s">
        <v>55</v>
      </c>
      <c r="Q128" s="19" t="s">
        <v>668</v>
      </c>
      <c r="R128" s="19" t="s">
        <v>669</v>
      </c>
      <c r="S128" s="20"/>
      <c r="T128" s="20"/>
      <c r="U128" s="20"/>
      <c r="V128" s="20"/>
      <c r="W128" s="19" t="s">
        <v>670</v>
      </c>
      <c r="X128" s="19" t="s">
        <v>671</v>
      </c>
      <c r="Y128" s="19" t="s">
        <v>672</v>
      </c>
      <c r="Z128" s="20"/>
      <c r="AA128" s="20"/>
      <c r="AB128" s="19" t="s">
        <v>673</v>
      </c>
      <c r="AC128" s="20"/>
      <c r="AD128" s="20"/>
      <c r="AE128" s="19" t="s">
        <v>265</v>
      </c>
      <c r="AF128" s="19"/>
      <c r="AG128" s="20"/>
      <c r="AH128" s="20"/>
    </row>
    <row r="129" spans="1:34" ht="17" customHeight="1" x14ac:dyDescent="0.2">
      <c r="A129" s="20" t="s">
        <v>674</v>
      </c>
      <c r="B129" s="20"/>
      <c r="C129" s="20" t="s">
        <v>675</v>
      </c>
      <c r="D129" s="20" t="s">
        <v>676</v>
      </c>
      <c r="E129" s="18" t="str">
        <f t="shared" si="9"/>
        <v>Chivers</v>
      </c>
      <c r="F129" s="17"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9" s="17" t="str">
        <f t="shared" si="10"/>
        <v>1984</v>
      </c>
      <c r="H129" s="18" t="str">
        <f t="shared" si="11"/>
        <v>Chivers__1984</v>
      </c>
      <c r="I129" s="18" t="str">
        <f>_xlfn.LET(_xlpm.doi,IF(C129&lt;&gt;"",C129,_xlfn.TEXTAFTER(A129,"https://doi.org/")),SUBSTITUTE(SUBSTITUTE(SUBSTITUTE(SUBSTITUTE(_xlpm.doi,"/","%2F"),":","%3A"),"&lt;","%3C"),"&gt;","%3E"))</f>
        <v>ISBN%3A9780852244487</v>
      </c>
      <c r="J129" s="18" t="str">
        <f t="shared" si="12"/>
        <v>Chivers__1984_Table24.1</v>
      </c>
      <c r="K129" s="17" t="str">
        <f t="shared" si="17"/>
        <v>ISBN%3A9780852244487_Table24.1</v>
      </c>
      <c r="L129" s="17" t="str">
        <f t="array" ref="L129">IFERROR(INDEX(AUTO_Public_TSV_FileList!$A$1:$A$1000,MATCH(TRUE(),EXACT(K129,IFERROR(_xlfn.TEXTBEFORE(AUTO_Public_TSV_FileList!$A$1:$A$1000,".tsv"),"")),0)),"notfound")</f>
        <v>ISBN%3A9780852244487_Table24.1.tsv</v>
      </c>
      <c r="M129" s="20"/>
      <c r="N129" s="20" t="s">
        <v>677</v>
      </c>
      <c r="O129" s="20" t="s">
        <v>678</v>
      </c>
      <c r="P129" s="20" t="s">
        <v>679</v>
      </c>
      <c r="Q129" s="20" t="s">
        <v>680</v>
      </c>
      <c r="R129" s="20" t="s">
        <v>681</v>
      </c>
      <c r="S129" s="20" t="s">
        <v>682</v>
      </c>
      <c r="T129" s="20" t="s">
        <v>683</v>
      </c>
      <c r="U129" s="20"/>
      <c r="V129" s="20" t="s">
        <v>684</v>
      </c>
      <c r="W129" s="20" t="s">
        <v>187</v>
      </c>
      <c r="X129" s="20" t="s">
        <v>685</v>
      </c>
      <c r="Y129" s="20"/>
      <c r="Z129" s="20" t="s">
        <v>686</v>
      </c>
      <c r="AA129" s="20" t="s">
        <v>687</v>
      </c>
      <c r="AB129" s="20" t="s">
        <v>678</v>
      </c>
      <c r="AC129" s="20" t="s">
        <v>688</v>
      </c>
      <c r="AD129" s="20" t="s">
        <v>689</v>
      </c>
      <c r="AE129" s="20" t="s">
        <v>265</v>
      </c>
      <c r="AF129" s="20" t="s">
        <v>690</v>
      </c>
      <c r="AG129" s="20" t="s">
        <v>691</v>
      </c>
      <c r="AH129" s="20" t="s">
        <v>692</v>
      </c>
    </row>
    <row r="130" spans="1:34" ht="17" customHeight="1" x14ac:dyDescent="0.2">
      <c r="A130" s="20" t="s">
        <v>674</v>
      </c>
      <c r="B130" s="20"/>
      <c r="C130" s="20" t="s">
        <v>675</v>
      </c>
      <c r="D130" s="20" t="s">
        <v>693</v>
      </c>
      <c r="E130" s="18" t="str">
        <f t="shared" ref="E130:E193" si="18">SUBSTITUTE(SUBSTITUTE(_xlfn.TEXTBEFORE(A130,","), "-", ""), " ", "")</f>
        <v>Chivers</v>
      </c>
      <c r="F130" s="17"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0" s="17" t="str">
        <f t="shared" ref="G130:G193" si="19">_xlfn.TEXTBEFORE(_xlfn.TEXTAFTER(A130, "("), ")")</f>
        <v>1984</v>
      </c>
      <c r="H130" s="18" t="str">
        <f t="shared" ref="H130:H193" si="20">SUBSTITUTE(SUBSTITUTE(E130 &amp; IF(F130&lt;&gt;"", "_" &amp; SUBSTITUTE(F130," ",""), "_") &amp; IF(G130&lt;&gt;"", "_" &amp; G130, "_") &amp; IF(B130&lt;&gt;"", "_" &amp; B130, ""),"'",""),"’","")</f>
        <v>Chivers__1984</v>
      </c>
      <c r="I130" s="18" t="str">
        <f>_xlfn.LET(_xlpm.doi,IF(C130&lt;&gt;"",C130,_xlfn.TEXTAFTER(A130,"https://doi.org/")),SUBSTITUTE(SUBSTITUTE(SUBSTITUTE(SUBSTITUTE(_xlpm.doi,"/","%2F"),":","%3A"),"&lt;","%3C"),"&gt;","%3E"))</f>
        <v>ISBN%3A9780852244487</v>
      </c>
      <c r="J130" s="18" t="str">
        <f t="shared" ref="J130:J193" si="21">TRIM(_xlfn.TEXTJOIN("_",FALSE(),H130,(SUBSTITUTE(SUBSTITUTE(D130," ",""), "_", ""))))</f>
        <v>Chivers__1984_Table24.2</v>
      </c>
      <c r="K130" s="17" t="str">
        <f t="shared" si="17"/>
        <v>ISBN%3A9780852244487_Table24.2</v>
      </c>
      <c r="L130" s="17" t="str">
        <f t="array" ref="L130">IFERROR(INDEX(AUTO_Public_TSV_FileList!$A$1:$A$1000,MATCH(TRUE(),EXACT(K130,IFERROR(_xlfn.TEXTBEFORE(AUTO_Public_TSV_FileList!$A$1:$A$1000,".tsv"),"")),0)),"notfound")</f>
        <v>ISBN%3A9780852244487_Table24.2.tsv</v>
      </c>
      <c r="M130" s="20"/>
      <c r="N130" s="20" t="s">
        <v>677</v>
      </c>
      <c r="O130" s="20" t="s">
        <v>694</v>
      </c>
      <c r="P130" s="20" t="s">
        <v>679</v>
      </c>
      <c r="Q130" s="20" t="s">
        <v>695</v>
      </c>
      <c r="R130" s="20" t="s">
        <v>681</v>
      </c>
      <c r="S130" s="20" t="s">
        <v>682</v>
      </c>
      <c r="T130" s="20" t="s">
        <v>683</v>
      </c>
      <c r="U130" s="20"/>
      <c r="V130" s="20" t="s">
        <v>684</v>
      </c>
      <c r="W130" s="20" t="s">
        <v>187</v>
      </c>
      <c r="X130" s="20" t="s">
        <v>696</v>
      </c>
      <c r="Y130" s="20"/>
      <c r="Z130" s="20" t="s">
        <v>686</v>
      </c>
      <c r="AA130" s="20" t="s">
        <v>687</v>
      </c>
      <c r="AB130" s="20" t="s">
        <v>694</v>
      </c>
      <c r="AC130" s="20" t="s">
        <v>688</v>
      </c>
      <c r="AD130" s="20" t="s">
        <v>689</v>
      </c>
      <c r="AE130" s="20" t="s">
        <v>265</v>
      </c>
      <c r="AF130" s="20" t="s">
        <v>690</v>
      </c>
      <c r="AG130" s="20" t="s">
        <v>691</v>
      </c>
      <c r="AH130" s="20" t="s">
        <v>692</v>
      </c>
    </row>
    <row r="131" spans="1:34" ht="17" customHeight="1" x14ac:dyDescent="0.2">
      <c r="A131" s="20" t="s">
        <v>674</v>
      </c>
      <c r="B131" s="20"/>
      <c r="C131" s="20" t="s">
        <v>675</v>
      </c>
      <c r="D131" s="20" t="s">
        <v>697</v>
      </c>
      <c r="E131" s="18" t="str">
        <f t="shared" si="18"/>
        <v>Chivers</v>
      </c>
      <c r="F131" s="17"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1" s="17" t="str">
        <f t="shared" si="19"/>
        <v>1984</v>
      </c>
      <c r="H131" s="18" t="str">
        <f t="shared" si="20"/>
        <v>Chivers__1984</v>
      </c>
      <c r="I131" s="18" t="str">
        <f>_xlfn.LET(_xlpm.doi,IF(C131&lt;&gt;"",C131,_xlfn.TEXTAFTER(A131,"https://doi.org/")),SUBSTITUTE(SUBSTITUTE(SUBSTITUTE(SUBSTITUTE(_xlpm.doi,"/","%2F"),":","%3A"),"&lt;","%3C"),"&gt;","%3E"))</f>
        <v>ISBN%3A9780852244487</v>
      </c>
      <c r="J131" s="18" t="str">
        <f t="shared" si="21"/>
        <v>Chivers__1984_Table24.3</v>
      </c>
      <c r="K131" s="17" t="str">
        <f t="shared" si="17"/>
        <v>ISBN%3A9780852244487_Table24.3</v>
      </c>
      <c r="L131" s="17" t="str">
        <f t="array" ref="L131">IFERROR(INDEX(AUTO_Public_TSV_FileList!$A$1:$A$1000,MATCH(TRUE(),EXACT(K131,IFERROR(_xlfn.TEXTBEFORE(AUTO_Public_TSV_FileList!$A$1:$A$1000,".tsv"),"")),0)),"notfound")</f>
        <v>ISBN%3A9780852244487_Table24.3.tsv</v>
      </c>
      <c r="M131" s="20"/>
      <c r="N131" s="20" t="s">
        <v>677</v>
      </c>
      <c r="O131" s="20" t="s">
        <v>698</v>
      </c>
      <c r="P131" s="20" t="s">
        <v>679</v>
      </c>
      <c r="Q131" s="20" t="s">
        <v>699</v>
      </c>
      <c r="R131" s="20" t="s">
        <v>681</v>
      </c>
      <c r="S131" s="20" t="s">
        <v>682</v>
      </c>
      <c r="T131" s="20" t="s">
        <v>683</v>
      </c>
      <c r="U131" s="20"/>
      <c r="V131" s="20" t="s">
        <v>684</v>
      </c>
      <c r="W131" s="20" t="s">
        <v>700</v>
      </c>
      <c r="X131" s="20" t="s">
        <v>701</v>
      </c>
      <c r="Y131" s="20"/>
      <c r="Z131" s="20" t="s">
        <v>686</v>
      </c>
      <c r="AA131" s="20" t="s">
        <v>687</v>
      </c>
      <c r="AB131" s="20" t="s">
        <v>698</v>
      </c>
      <c r="AC131" s="20" t="s">
        <v>688</v>
      </c>
      <c r="AD131" s="20" t="s">
        <v>689</v>
      </c>
      <c r="AE131" s="20" t="s">
        <v>265</v>
      </c>
      <c r="AF131" s="20" t="s">
        <v>690</v>
      </c>
      <c r="AG131" s="20" t="s">
        <v>691</v>
      </c>
      <c r="AH131" s="20" t="s">
        <v>692</v>
      </c>
    </row>
    <row r="132" spans="1:34" ht="17" customHeight="1" x14ac:dyDescent="0.2">
      <c r="A132" s="20" t="s">
        <v>674</v>
      </c>
      <c r="B132" s="20"/>
      <c r="C132" s="20" t="s">
        <v>675</v>
      </c>
      <c r="D132" s="20" t="s">
        <v>702</v>
      </c>
      <c r="E132" s="18" t="str">
        <f t="shared" si="18"/>
        <v>Chivers</v>
      </c>
      <c r="F132" s="17"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2" s="17" t="str">
        <f t="shared" si="19"/>
        <v>1984</v>
      </c>
      <c r="H132" s="18" t="str">
        <f t="shared" si="20"/>
        <v>Chivers__1984</v>
      </c>
      <c r="I132" s="18" t="str">
        <f>_xlfn.LET(_xlpm.doi,IF(C132&lt;&gt;"",C132,_xlfn.TEXTAFTER(A132,"https://doi.org/")),SUBSTITUTE(SUBSTITUTE(SUBSTITUTE(SUBSTITUTE(_xlpm.doi,"/","%2F"),":","%3A"),"&lt;","%3C"),"&gt;","%3E"))</f>
        <v>ISBN%3A9780852244487</v>
      </c>
      <c r="J132" s="18" t="str">
        <f t="shared" si="21"/>
        <v>Chivers__1984_Table24.4</v>
      </c>
      <c r="K132" s="17" t="str">
        <f t="shared" si="17"/>
        <v>ISBN%3A9780852244487_Table24.4</v>
      </c>
      <c r="L132" s="17" t="str">
        <f t="array" ref="L132">IFERROR(INDEX(AUTO_Public_TSV_FileList!$A$1:$A$1000,MATCH(TRUE(),EXACT(K132,IFERROR(_xlfn.TEXTBEFORE(AUTO_Public_TSV_FileList!$A$1:$A$1000,".tsv"),"")),0)),"notfound")</f>
        <v>ISBN%3A9780852244487_Table24.4.tsv</v>
      </c>
      <c r="M132" s="20"/>
      <c r="N132" s="20" t="s">
        <v>677</v>
      </c>
      <c r="O132" s="20" t="s">
        <v>703</v>
      </c>
      <c r="P132" s="20" t="s">
        <v>679</v>
      </c>
      <c r="Q132" s="20" t="s">
        <v>704</v>
      </c>
      <c r="R132" s="20" t="s">
        <v>681</v>
      </c>
      <c r="S132" s="20" t="s">
        <v>682</v>
      </c>
      <c r="T132" s="20" t="s">
        <v>683</v>
      </c>
      <c r="U132" s="20"/>
      <c r="V132" s="20" t="s">
        <v>684</v>
      </c>
      <c r="W132" s="20" t="s">
        <v>187</v>
      </c>
      <c r="X132" s="20" t="s">
        <v>705</v>
      </c>
      <c r="Y132" s="20"/>
      <c r="Z132" s="20" t="s">
        <v>686</v>
      </c>
      <c r="AA132" s="20" t="s">
        <v>687</v>
      </c>
      <c r="AB132" s="20" t="s">
        <v>703</v>
      </c>
      <c r="AC132" s="20" t="s">
        <v>688</v>
      </c>
      <c r="AD132" s="20" t="s">
        <v>689</v>
      </c>
      <c r="AE132" s="20" t="s">
        <v>265</v>
      </c>
      <c r="AF132" s="20" t="s">
        <v>690</v>
      </c>
      <c r="AG132" s="20" t="s">
        <v>691</v>
      </c>
      <c r="AH132" s="20" t="s">
        <v>692</v>
      </c>
    </row>
    <row r="133" spans="1:34" ht="17" customHeight="1" x14ac:dyDescent="0.2">
      <c r="A133" s="20" t="s">
        <v>706</v>
      </c>
      <c r="B133" s="20"/>
      <c r="C133" s="20"/>
      <c r="D133" s="20" t="s">
        <v>86</v>
      </c>
      <c r="E133" s="17" t="str">
        <f t="shared" si="18"/>
        <v>Clancy</v>
      </c>
      <c r="F133" s="17"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17" t="str">
        <f t="shared" si="19"/>
        <v>2001</v>
      </c>
      <c r="H133" s="17" t="str">
        <f t="shared" si="20"/>
        <v>Clancy_etal_2001</v>
      </c>
      <c r="I133" s="17" t="str">
        <f t="shared" ref="I133:I138" si="22">_xlfn.LET(
_xlpm.doi,IF(C133&lt;&gt;"",C133,_xlfn.TEXTAFTER(A133,"https://doi.org/")),
SUBSTITUTE(
SUBSTITUTE(
SUBSTITUTE(
SUBSTITUTE(
_xlpm.doi,
"/","%2F"),
":","%3A"),
"&lt;","%3C"),
"&gt;","%3E")
)</f>
        <v>10.1016%2Fs0306-4522(01)00171-3</v>
      </c>
      <c r="J133" s="17" t="str">
        <f t="shared" si="21"/>
        <v>Clancy_etal_2001_Table1</v>
      </c>
      <c r="K133" s="17" t="str">
        <f t="shared" si="17"/>
        <v>10.1016%2Fs0306-4522(01)00171-3_Table1</v>
      </c>
      <c r="L133" s="17" t="str">
        <f t="array" ref="L133">IFERROR(INDEX(AUTO_Public_TSV_FileList!$A$1:$A$1000,MATCH(TRUE(),EXACT(K133,IFERROR(_xlfn.TEXTBEFORE(AUTO_Public_TSV_FileList!$A$1:$A$1000,".tsv"),"")),0)),"notfound")</f>
        <v>10.1016%2Fs0306-4522(01)00171-3_Table1.tsv</v>
      </c>
      <c r="M133" s="20" t="s">
        <v>707</v>
      </c>
      <c r="N133" s="20" t="s">
        <v>708</v>
      </c>
      <c r="O133" s="20" t="s">
        <v>709</v>
      </c>
      <c r="P133" s="20" t="s">
        <v>299</v>
      </c>
      <c r="Q133" s="20" t="s">
        <v>710</v>
      </c>
      <c r="R133" s="20" t="s">
        <v>711</v>
      </c>
      <c r="S133" s="20"/>
      <c r="T133" s="20"/>
      <c r="U133" s="20"/>
      <c r="V133" s="20"/>
      <c r="W133" s="20" t="s">
        <v>712</v>
      </c>
      <c r="X133" s="20" t="s">
        <v>713</v>
      </c>
      <c r="Y133" s="20" t="s">
        <v>714</v>
      </c>
      <c r="Z133" s="20" t="s">
        <v>715</v>
      </c>
      <c r="AA133" s="20" t="s">
        <v>716</v>
      </c>
      <c r="AB133" s="20" t="s">
        <v>717</v>
      </c>
      <c r="AC133" s="20"/>
      <c r="AD133" s="20"/>
      <c r="AE133" s="20" t="s">
        <v>70</v>
      </c>
      <c r="AF133" s="20" t="s">
        <v>718</v>
      </c>
      <c r="AG133" s="20"/>
      <c r="AH133" s="20"/>
    </row>
    <row r="134" spans="1:34" ht="17" customHeight="1" x14ac:dyDescent="0.2">
      <c r="A134" s="20" t="s">
        <v>706</v>
      </c>
      <c r="B134" s="20"/>
      <c r="C134" s="20"/>
      <c r="D134" s="20" t="s">
        <v>160</v>
      </c>
      <c r="E134" s="17" t="str">
        <f t="shared" si="18"/>
        <v>Clancy</v>
      </c>
      <c r="F134" s="17"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17" t="str">
        <f t="shared" si="19"/>
        <v>2001</v>
      </c>
      <c r="H134" s="17" t="str">
        <f t="shared" si="20"/>
        <v>Clancy_etal_2001</v>
      </c>
      <c r="I134" s="17" t="str">
        <f t="shared" si="22"/>
        <v>10.1016%2Fs0306-4522(01)00171-3</v>
      </c>
      <c r="J134" s="17" t="str">
        <f t="shared" si="21"/>
        <v>Clancy_etal_2001_Table2</v>
      </c>
      <c r="K134" s="17" t="str">
        <f t="shared" si="17"/>
        <v>10.1016%2Fs0306-4522(01)00171-3_Table2</v>
      </c>
      <c r="L134" s="17" t="str">
        <f t="array" ref="L134">IFERROR(INDEX(AUTO_Public_TSV_FileList!$A$1:$A$1000,MATCH(TRUE(),EXACT(K134,IFERROR(_xlfn.TEXTBEFORE(AUTO_Public_TSV_FileList!$A$1:$A$1000,".tsv"),"")),0)),"notfound")</f>
        <v>10.1016%2Fs0306-4522(01)00171-3_Table2.tsv</v>
      </c>
      <c r="M134" s="20" t="s">
        <v>719</v>
      </c>
      <c r="N134" s="20" t="s">
        <v>720</v>
      </c>
      <c r="O134" s="20" t="s">
        <v>721</v>
      </c>
      <c r="P134" s="20" t="s">
        <v>299</v>
      </c>
      <c r="Q134" s="20" t="s">
        <v>722</v>
      </c>
      <c r="R134" s="20" t="s">
        <v>711</v>
      </c>
      <c r="S134" s="20"/>
      <c r="T134" s="20"/>
      <c r="U134" s="20"/>
      <c r="V134" s="20"/>
      <c r="W134" s="20" t="s">
        <v>712</v>
      </c>
      <c r="X134" s="20" t="s">
        <v>723</v>
      </c>
      <c r="Y134" s="20" t="s">
        <v>724</v>
      </c>
      <c r="Z134" s="20" t="s">
        <v>725</v>
      </c>
      <c r="AA134" s="20" t="s">
        <v>726</v>
      </c>
      <c r="AB134" s="20" t="s">
        <v>717</v>
      </c>
      <c r="AC134" s="20"/>
      <c r="AD134" s="20"/>
      <c r="AE134" s="20" t="s">
        <v>727</v>
      </c>
      <c r="AF134" s="20"/>
      <c r="AG134" s="20"/>
      <c r="AH134" s="20"/>
    </row>
    <row r="135" spans="1:34" ht="17" customHeight="1" x14ac:dyDescent="0.2">
      <c r="A135" s="19" t="s">
        <v>728</v>
      </c>
      <c r="B135" s="20"/>
      <c r="C135" s="20"/>
      <c r="D135" s="19" t="s">
        <v>729</v>
      </c>
      <c r="E135" s="17" t="str">
        <f t="shared" si="18"/>
        <v>Collins</v>
      </c>
      <c r="F135" s="17"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17" t="str">
        <f t="shared" si="19"/>
        <v>2010</v>
      </c>
      <c r="H135" s="17" t="str">
        <f t="shared" si="20"/>
        <v>Collins_etal_2010</v>
      </c>
      <c r="I135" s="17" t="str">
        <f t="shared" si="22"/>
        <v>10.1073%2Fpnas.1010356107</v>
      </c>
      <c r="J135" s="17" t="str">
        <f t="shared" si="21"/>
        <v>Collins_etal_2010_DatasetS1</v>
      </c>
      <c r="K135" s="17" t="str">
        <f t="shared" si="17"/>
        <v>10.1073%2Fpnas.1010356107_DatasetS1</v>
      </c>
      <c r="L135" s="17" t="str">
        <f t="array" ref="L135">IFERROR(INDEX(AUTO_Public_TSV_FileList!$A$1:$A$1000,MATCH(TRUE(),EXACT(K135,IFERROR(_xlfn.TEXTBEFORE(AUTO_Public_TSV_FileList!$A$1:$A$1000,".tsv"),"")),0)),"notfound")</f>
        <v>10.1073%2Fpnas.1010356107_DatasetS1.tsv</v>
      </c>
      <c r="M135" s="20"/>
      <c r="N135" s="20"/>
      <c r="O135" s="20"/>
      <c r="P135" s="19" t="s">
        <v>55</v>
      </c>
      <c r="Q135" s="20"/>
      <c r="R135" s="20"/>
      <c r="S135" s="20"/>
      <c r="T135" s="20"/>
      <c r="U135" s="20"/>
      <c r="V135" s="20"/>
      <c r="W135" s="19" t="s">
        <v>187</v>
      </c>
      <c r="X135" s="19" t="s">
        <v>730</v>
      </c>
      <c r="Y135" s="20"/>
      <c r="Z135" s="20"/>
      <c r="AA135" s="20"/>
      <c r="AB135" s="19" t="s">
        <v>264</v>
      </c>
      <c r="AC135" s="19" t="s">
        <v>589</v>
      </c>
      <c r="AD135" s="20"/>
      <c r="AE135" s="19" t="s">
        <v>50</v>
      </c>
      <c r="AF135" s="19"/>
      <c r="AG135" s="20"/>
      <c r="AH135" s="20"/>
    </row>
    <row r="136" spans="1:34" ht="17" customHeight="1" x14ac:dyDescent="0.2">
      <c r="A136" s="19" t="s">
        <v>731</v>
      </c>
      <c r="B136" s="20"/>
      <c r="C136" s="20"/>
      <c r="D136" s="19" t="s">
        <v>86</v>
      </c>
      <c r="E136" s="17" t="str">
        <f t="shared" si="18"/>
        <v>Collins</v>
      </c>
      <c r="F136" s="17"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17" t="str">
        <f t="shared" si="19"/>
        <v>2016</v>
      </c>
      <c r="H136" s="17" t="str">
        <f t="shared" si="20"/>
        <v>Collins_etal_2016</v>
      </c>
      <c r="I136" s="17" t="str">
        <f t="shared" si="22"/>
        <v>10.1073%2Fpnas.1524208113</v>
      </c>
      <c r="J136" s="17" t="str">
        <f t="shared" si="21"/>
        <v>Collins_etal_2016_Table1</v>
      </c>
      <c r="K136" s="17" t="str">
        <f t="shared" si="17"/>
        <v>10.1073%2Fpnas.1524208113_Table1</v>
      </c>
      <c r="L136" s="17" t="str">
        <f t="array" ref="L136">IFERROR(INDEX(AUTO_Public_TSV_FileList!$A$1:$A$1000,MATCH(TRUE(),EXACT(K136,IFERROR(_xlfn.TEXTBEFORE(AUTO_Public_TSV_FileList!$A$1:$A$1000,".tsv"),"")),0)),"notfound")</f>
        <v>10.1073%2Fpnas.1524208113_Table1.tsv</v>
      </c>
      <c r="M136" s="19" t="s">
        <v>732</v>
      </c>
      <c r="N136" s="19" t="s">
        <v>54</v>
      </c>
      <c r="O136" s="20"/>
      <c r="P136" s="19" t="s">
        <v>55</v>
      </c>
      <c r="Q136" s="20"/>
      <c r="R136" s="20"/>
      <c r="S136" s="20"/>
      <c r="T136" s="20"/>
      <c r="U136" s="20"/>
      <c r="V136" s="20"/>
      <c r="W136" s="19" t="s">
        <v>187</v>
      </c>
      <c r="X136" s="19" t="s">
        <v>733</v>
      </c>
      <c r="Y136" s="20"/>
      <c r="Z136" s="20"/>
      <c r="AA136" s="19" t="s">
        <v>82</v>
      </c>
      <c r="AB136" s="19" t="s">
        <v>734</v>
      </c>
      <c r="AC136" s="19" t="s">
        <v>589</v>
      </c>
      <c r="AD136" s="19" t="s">
        <v>84</v>
      </c>
      <c r="AE136" s="19" t="s">
        <v>50</v>
      </c>
      <c r="AF136" s="19"/>
      <c r="AG136" s="20"/>
      <c r="AH136" s="20"/>
    </row>
    <row r="137" spans="1:34" ht="17" customHeight="1" x14ac:dyDescent="0.2">
      <c r="A137" s="19" t="s">
        <v>735</v>
      </c>
      <c r="B137" s="20"/>
      <c r="C137" s="20" t="s">
        <v>736</v>
      </c>
      <c r="D137" s="19" t="s">
        <v>93</v>
      </c>
      <c r="E137" s="17" t="str">
        <f t="shared" si="18"/>
        <v>Conesa</v>
      </c>
      <c r="F137" s="17"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17" t="str">
        <f t="shared" si="19"/>
        <v>1991</v>
      </c>
      <c r="H137" s="17" t="str">
        <f t="shared" si="20"/>
        <v>Conesa_etal_1991</v>
      </c>
      <c r="I137" s="17" t="str">
        <f t="shared" si="22"/>
        <v>ARO%3A1991%3A83</v>
      </c>
      <c r="J137" s="17" t="str">
        <f t="shared" si="21"/>
        <v>Conesa_etal_1991_Text</v>
      </c>
      <c r="K137" s="17" t="str">
        <f t="shared" si="17"/>
        <v>ARO%3A1991%3A83_Text</v>
      </c>
      <c r="L137" s="17" t="str">
        <f t="array" ref="L137">IFERROR(INDEX(AUTO_Public_TSV_FileList!$A$1:$A$1000,MATCH(TRUE(),EXACT(K137,IFERROR(_xlfn.TEXTBEFORE(AUTO_Public_TSV_FileList!$A$1:$A$1000,".tsv"),"")),0)),"notfound")</f>
        <v>ARO%3A1991%3A83_Text.tsv</v>
      </c>
      <c r="M137" s="19" t="s">
        <v>737</v>
      </c>
      <c r="N137" s="19" t="s">
        <v>738</v>
      </c>
      <c r="O137" s="20" t="s">
        <v>739</v>
      </c>
      <c r="P137" s="19"/>
      <c r="Q137" s="20"/>
      <c r="R137" s="20" t="s">
        <v>740</v>
      </c>
      <c r="S137" s="20"/>
      <c r="T137" s="20" t="s">
        <v>741</v>
      </c>
      <c r="U137" s="20"/>
      <c r="V137" s="20" t="s">
        <v>742</v>
      </c>
      <c r="W137" s="19" t="s">
        <v>743</v>
      </c>
      <c r="X137" s="19" t="s">
        <v>744</v>
      </c>
      <c r="Y137" s="20" t="s">
        <v>745</v>
      </c>
      <c r="Z137" s="20" t="s">
        <v>746</v>
      </c>
      <c r="AA137" s="19" t="s">
        <v>747</v>
      </c>
      <c r="AB137" s="19" t="s">
        <v>748</v>
      </c>
      <c r="AC137" s="19"/>
      <c r="AD137" s="19"/>
      <c r="AE137" s="19" t="s">
        <v>50</v>
      </c>
      <c r="AF137" s="19"/>
      <c r="AG137" s="20" t="s">
        <v>749</v>
      </c>
      <c r="AH137" s="20"/>
    </row>
    <row r="138" spans="1:34" ht="17" customHeight="1" x14ac:dyDescent="0.2">
      <c r="A138" s="20" t="s">
        <v>750</v>
      </c>
      <c r="B138" s="20"/>
      <c r="C138" s="20" t="s">
        <v>751</v>
      </c>
      <c r="D138" s="20" t="s">
        <v>86</v>
      </c>
      <c r="E138" s="17" t="str">
        <f t="shared" si="18"/>
        <v>Crile</v>
      </c>
      <c r="F138" s="17"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Quiring</v>
      </c>
      <c r="G138" s="17" t="str">
        <f t="shared" si="19"/>
        <v>1940</v>
      </c>
      <c r="H138" s="17" t="str">
        <f t="shared" si="20"/>
        <v>Crile_Quiring_1940</v>
      </c>
      <c r="I138" s="17" t="str">
        <f t="shared" si="22"/>
        <v>HDL%3A1811%2F3110</v>
      </c>
      <c r="J138" s="17" t="str">
        <f t="shared" si="21"/>
        <v>Crile_Quiring_1940_Table1</v>
      </c>
      <c r="K138" s="17" t="str">
        <f t="shared" si="17"/>
        <v>HDL%3A1811%2F3110_Table1</v>
      </c>
      <c r="L138" s="17" t="str">
        <f t="array" ref="L138">IFERROR(INDEX(AUTO_Public_TSV_FileList!$A$1:$A$1000,MATCH(TRUE(),EXACT(K138,IFERROR(_xlfn.TEXTBEFORE(AUTO_Public_TSV_FileList!$A$1:$A$1000,".tsv"),"")),0)),"notfound")</f>
        <v>notfound</v>
      </c>
      <c r="M138" s="20" t="s">
        <v>752</v>
      </c>
      <c r="N138" s="20" t="s">
        <v>753</v>
      </c>
      <c r="O138" s="20" t="s">
        <v>754</v>
      </c>
      <c r="P138" s="20" t="s">
        <v>299</v>
      </c>
      <c r="Q138" s="20" t="s">
        <v>755</v>
      </c>
      <c r="R138" s="20"/>
      <c r="S138" s="20"/>
      <c r="T138" s="20"/>
      <c r="U138" s="20"/>
      <c r="V138" s="20"/>
      <c r="W138" s="20" t="s">
        <v>187</v>
      </c>
      <c r="X138" s="20" t="s">
        <v>756</v>
      </c>
      <c r="Y138" s="20" t="s">
        <v>757</v>
      </c>
      <c r="Z138" s="20" t="s">
        <v>758</v>
      </c>
      <c r="AA138" s="20" t="s">
        <v>759</v>
      </c>
      <c r="AB138" s="20" t="s">
        <v>760</v>
      </c>
      <c r="AC138" s="20"/>
      <c r="AD138" s="20"/>
      <c r="AE138" s="20" t="s">
        <v>265</v>
      </c>
      <c r="AF138" s="20"/>
      <c r="AG138" s="20"/>
      <c r="AH138" s="20"/>
    </row>
    <row r="139" spans="1:34" ht="17" customHeight="1" x14ac:dyDescent="0.2">
      <c r="A139" s="20" t="s">
        <v>761</v>
      </c>
      <c r="B139" s="20"/>
      <c r="C139" s="20"/>
      <c r="D139" s="20" t="s">
        <v>500</v>
      </c>
      <c r="E139" s="18" t="str">
        <f t="shared" si="18"/>
        <v>Dalland</v>
      </c>
      <c r="F139" s="17"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9" s="17" t="str">
        <f t="shared" si="19"/>
        <v>1965</v>
      </c>
      <c r="H139" s="18" t="str">
        <f t="shared" si="20"/>
        <v>Dalland__1965</v>
      </c>
      <c r="I139" s="18" t="str">
        <f>_xlfn.LET(_xlpm.doi,IF(C139&lt;&gt;"",C139,_xlfn.TEXTAFTER(A139,"https://doi.org/")),SUBSTITUTE(SUBSTITUTE(SUBSTITUTE(SUBSTITUTE(_xlpm.doi,"/","%2F"),":","%3A"),"&lt;","%3C"),"&gt;","%3E"))</f>
        <v>10.1126%2Fscience.150.3700.1185</v>
      </c>
      <c r="J139" s="18" t="str">
        <f t="shared" si="21"/>
        <v>Dalland__1965_ResultsText</v>
      </c>
      <c r="K139" s="17" t="str">
        <f t="shared" si="17"/>
        <v>10.1126%2Fscience.150.3700.1185_ResultsText</v>
      </c>
      <c r="L139" s="17" t="str">
        <f t="array" ref="L139">IFERROR(INDEX(AUTO_Public_TSV_FileList!$A$1:$A$1000,MATCH(TRUE(),EXACT(K139,IFERROR(_xlfn.TEXTBEFORE(AUTO_Public_TSV_FileList!$A$1:$A$1000,".tsv"),"")),0)),"notfound")</f>
        <v>10.1126%2Fscience.150.3700.1185_ResultsText.tsv</v>
      </c>
      <c r="M139" s="20" t="s">
        <v>762</v>
      </c>
      <c r="N139" s="20" t="s">
        <v>659</v>
      </c>
      <c r="O139" s="20" t="s">
        <v>763</v>
      </c>
      <c r="P139" s="20" t="s">
        <v>90</v>
      </c>
      <c r="Q139" s="20"/>
      <c r="R139" s="20"/>
      <c r="S139" s="20"/>
      <c r="T139" s="20"/>
      <c r="U139" s="20"/>
      <c r="V139" s="20"/>
      <c r="W139" s="20"/>
      <c r="X139" s="20"/>
      <c r="Y139" s="20"/>
      <c r="Z139" s="20"/>
      <c r="AA139" s="20"/>
      <c r="AB139" s="20"/>
      <c r="AC139" s="20"/>
      <c r="AD139" s="20"/>
      <c r="AE139" s="20"/>
      <c r="AF139" s="20"/>
      <c r="AG139" s="20"/>
      <c r="AH139" s="20"/>
    </row>
    <row r="140" spans="1:34" ht="17" customHeight="1" x14ac:dyDescent="0.2">
      <c r="A140" s="20" t="s">
        <v>764</v>
      </c>
      <c r="B140" s="20"/>
      <c r="C140" s="20"/>
      <c r="D140" s="20" t="s">
        <v>765</v>
      </c>
      <c r="E140" s="17" t="str">
        <f t="shared" si="18"/>
        <v>deCastro</v>
      </c>
      <c r="F140" s="17" t="str">
        <f>_xlfn.LET(
_xlpm.authors,_xlfn.TEXTBEFORE(A140," ("&amp;G140&amp;")"),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140" s="17" t="str">
        <f t="shared" si="19"/>
        <v>2025</v>
      </c>
      <c r="H140" s="17" t="str">
        <f t="shared" si="20"/>
        <v>deCastro__2025</v>
      </c>
      <c r="I140" s="17" t="str">
        <f>_xlfn.LET(
_xlpm.doi,IF(C140&lt;&gt;"",C140,_xlfn.TEXTAFTER(A140,"https://doi.org/")),
SUBSTITUTE(
SUBSTITUTE(
SUBSTITUTE(
SUBSTITUTE(
_xlpm.doi,
"/","%2F"),
":","%3A"),
"&lt;","%3C"),
"&gt;","%3E")
)</f>
        <v>10.1038%2Fs41597-025-05868-y</v>
      </c>
      <c r="J140" s="17" t="str">
        <f t="shared" si="21"/>
        <v>deCastro__2025_SciDataPub</v>
      </c>
      <c r="K140" s="17" t="str">
        <f t="shared" si="17"/>
        <v>10.1038%2Fs41597-025-05868-y_SciDataPub</v>
      </c>
      <c r="L140" s="17" t="str">
        <f>IFERROR(INDEX(AUTO_Public_TSV_FileList!$A$1:$A$1000,MATCH(TRUE(),EXACT(K140,IFERROR(_xlfn.TEXTBEFORE(AUTO_Public_TSV_FileList!$A$1:$A$1000,".tsv"),"")),0)),"notfound")</f>
        <v>notfound</v>
      </c>
      <c r="M140" s="20" t="s">
        <v>766</v>
      </c>
      <c r="N140" s="20" t="s">
        <v>767</v>
      </c>
      <c r="O140" s="20"/>
      <c r="P140" s="20" t="s">
        <v>55</v>
      </c>
      <c r="Q140" s="20"/>
      <c r="R140" s="20"/>
      <c r="S140" s="20"/>
      <c r="T140" s="20"/>
      <c r="U140" s="20"/>
      <c r="V140" s="20" t="s">
        <v>768</v>
      </c>
      <c r="W140" s="20" t="s">
        <v>769</v>
      </c>
      <c r="X140" s="20" t="s">
        <v>768</v>
      </c>
      <c r="Y140" s="20"/>
      <c r="Z140" s="20"/>
      <c r="AA140" s="20"/>
      <c r="AB140" s="20"/>
      <c r="AC140" s="20"/>
      <c r="AD140" s="20"/>
      <c r="AE140" s="20" t="s">
        <v>50</v>
      </c>
      <c r="AF140" s="20"/>
      <c r="AG140" s="20"/>
      <c r="AH140" s="20"/>
    </row>
    <row r="141" spans="1:34" ht="17" customHeight="1" x14ac:dyDescent="0.2">
      <c r="A141" s="19" t="s">
        <v>770</v>
      </c>
      <c r="B141" s="20"/>
      <c r="C141" s="20"/>
      <c r="D141" s="19" t="s">
        <v>86</v>
      </c>
      <c r="E141" s="17" t="str">
        <f t="shared" si="18"/>
        <v>deJager</v>
      </c>
      <c r="F141" s="17"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17" t="str">
        <f t="shared" si="19"/>
        <v>2022</v>
      </c>
      <c r="H141" s="17" t="str">
        <f t="shared" si="20"/>
        <v>deJager_etal_2022</v>
      </c>
      <c r="I141" s="17" t="str">
        <f>_xlfn.LET(
_xlpm.doi,IF(C141&lt;&gt;"",C141,_xlfn.TEXTAFTER(A141,"https://doi.org/")),
SUBSTITUTE(
SUBSTITUTE(
SUBSTITUTE(
SUBSTITUTE(
_xlpm.doi,
"/","%2F"),
":","%3A"),
"&lt;","%3C"),
"&gt;","%3E")
)</f>
        <v>10.1111%2Fjoa.13681</v>
      </c>
      <c r="J141" s="17" t="str">
        <f t="shared" si="21"/>
        <v>deJager_etal_2022_Table1</v>
      </c>
      <c r="K141" s="17" t="str">
        <f t="shared" si="17"/>
        <v>10.1111%2Fjoa.13681_Table1</v>
      </c>
      <c r="L141" s="17" t="str">
        <f t="array" ref="L141">IFERROR(INDEX(AUTO_Public_TSV_FileList!$A$1:$A$1000,MATCH(TRUE(),EXACT(K141,IFERROR(_xlfn.TEXTBEFORE(AUTO_Public_TSV_FileList!$A$1:$A$1000,".tsv"),"")),0)),"notfound")</f>
        <v>10.1111%2Fjoa.13681_Table1.tsv</v>
      </c>
      <c r="M141" s="20"/>
      <c r="N141" s="20"/>
      <c r="O141" s="20"/>
      <c r="P141" s="19" t="s">
        <v>55</v>
      </c>
      <c r="Q141" s="20"/>
      <c r="R141" s="20"/>
      <c r="S141" s="20"/>
      <c r="T141" s="20"/>
      <c r="U141" s="20"/>
      <c r="V141" s="20"/>
      <c r="W141" s="20"/>
      <c r="X141" s="20"/>
      <c r="Y141" s="20"/>
      <c r="Z141" s="20"/>
      <c r="AA141" s="20"/>
      <c r="AB141" s="20"/>
      <c r="AC141" s="20"/>
      <c r="AD141" s="20"/>
      <c r="AE141" s="20"/>
      <c r="AF141" s="20"/>
      <c r="AG141" s="20"/>
      <c r="AH141" s="20"/>
    </row>
    <row r="142" spans="1:34" ht="17" customHeight="1" x14ac:dyDescent="0.2">
      <c r="A142" s="20" t="s">
        <v>771</v>
      </c>
      <c r="B142" s="20"/>
      <c r="C142" s="20"/>
      <c r="D142" s="20" t="s">
        <v>772</v>
      </c>
      <c r="E142" s="18" t="str">
        <f t="shared" si="18"/>
        <v>deMagalhães</v>
      </c>
      <c r="F142" s="17"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42" s="17" t="str">
        <f t="shared" si="19"/>
        <v>2009</v>
      </c>
      <c r="H142" s="18" t="str">
        <f t="shared" si="20"/>
        <v>deMagalhães_Costa_2009</v>
      </c>
      <c r="I142" s="18" t="str">
        <f t="shared" ref="I142:I147" si="23">_xlfn.LET(_xlpm.doi,IF(C142&lt;&gt;"",C142,_xlfn.TEXTAFTER(A142,"https://doi.org/")),SUBSTITUTE(SUBSTITUTE(SUBSTITUTE(SUBSTITUTE(_xlpm.doi,"/","%2F"),":","%3A"),"&lt;","%3C"),"&gt;","%3E"))</f>
        <v>10.1111%2Fj.1420-9101.2009.01783.x</v>
      </c>
      <c r="J142" s="18" t="str">
        <f t="shared" si="21"/>
        <v>deMagalhães_Costa_2009_AnAgebuild2009</v>
      </c>
      <c r="K142" s="17" t="str">
        <f t="shared" si="17"/>
        <v>10.1111%2Fj.1420-9101.2009.01783.x_AnAgebuild2009</v>
      </c>
      <c r="L142" s="17" t="str">
        <f t="array" ref="L142">IFERROR(INDEX(AUTO_Public_TSV_FileList!$A$1:$A$1000,MATCH(TRUE(),EXACT(K142,IFERROR(_xlfn.TEXTBEFORE(AUTO_Public_TSV_FileList!$A$1:$A$1000,".tsv"),"")),0)),"notfound")</f>
        <v>notfound</v>
      </c>
      <c r="M142" s="20" t="s">
        <v>773</v>
      </c>
      <c r="N142" s="20" t="s">
        <v>774</v>
      </c>
      <c r="O142" s="20" t="s">
        <v>775</v>
      </c>
      <c r="P142" s="20" t="s">
        <v>776</v>
      </c>
      <c r="Q142" s="20"/>
      <c r="R142" s="20" t="s">
        <v>777</v>
      </c>
      <c r="S142" s="20"/>
      <c r="T142" s="20"/>
      <c r="U142" s="20"/>
      <c r="V142" s="20" t="s">
        <v>778</v>
      </c>
      <c r="W142" s="20" t="s">
        <v>779</v>
      </c>
      <c r="X142" s="20" t="s">
        <v>780</v>
      </c>
      <c r="Y142" s="20"/>
      <c r="Z142" s="20"/>
      <c r="AA142" s="20"/>
      <c r="AB142" s="20"/>
      <c r="AC142" s="20"/>
      <c r="AD142" s="20"/>
      <c r="AE142" s="20" t="s">
        <v>265</v>
      </c>
      <c r="AF142" s="20"/>
      <c r="AG142" s="20" t="s">
        <v>781</v>
      </c>
      <c r="AH142" s="20"/>
    </row>
    <row r="143" spans="1:34" ht="17" customHeight="1" x14ac:dyDescent="0.2">
      <c r="A143" s="20" t="s">
        <v>782</v>
      </c>
      <c r="B143" s="20"/>
      <c r="C143" s="20"/>
      <c r="D143" s="20" t="s">
        <v>783</v>
      </c>
      <c r="E143" s="18" t="str">
        <f t="shared" si="18"/>
        <v>deMagalhães</v>
      </c>
      <c r="F143" s="17"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17" t="str">
        <f t="shared" si="19"/>
        <v>2024</v>
      </c>
      <c r="H143" s="18" t="str">
        <f t="shared" si="20"/>
        <v>deMagalhães_etal_2024</v>
      </c>
      <c r="I143" s="18" t="str">
        <f t="shared" si="23"/>
        <v>10.1093%2Fnar%2Fgkad927</v>
      </c>
      <c r="J143" s="18" t="str">
        <f t="shared" si="21"/>
        <v>deMagalhães_etal_2024_anagedata.txt</v>
      </c>
      <c r="K143" s="17" t="str">
        <f t="shared" si="17"/>
        <v>10.1093%2Fnar%2Fgkad927_anagedata.txt</v>
      </c>
      <c r="L143" s="17" t="str">
        <f t="array" ref="L143">IFERROR(INDEX(AUTO_Public_TSV_FileList!$A$1:$A$1000,MATCH(TRUE(),EXACT(K143,IFERROR(_xlfn.TEXTBEFORE(AUTO_Public_TSV_FileList!$A$1:$A$1000,".tsv"),"")),0)),"notfound")</f>
        <v>10.1093%2Fnar%2Fgkad927_anagedata.txt.tsv</v>
      </c>
      <c r="M143" s="20" t="s">
        <v>784</v>
      </c>
      <c r="N143" s="20" t="s">
        <v>785</v>
      </c>
      <c r="O143" s="20" t="s">
        <v>786</v>
      </c>
      <c r="P143" s="20" t="s">
        <v>55</v>
      </c>
      <c r="Q143" s="20"/>
      <c r="R143" s="20" t="s">
        <v>787</v>
      </c>
      <c r="S143" s="20"/>
      <c r="T143" s="20" t="s">
        <v>788</v>
      </c>
      <c r="U143" s="20"/>
      <c r="V143" s="20" t="s">
        <v>778</v>
      </c>
      <c r="W143" s="20" t="s">
        <v>789</v>
      </c>
      <c r="X143" s="20" t="s">
        <v>790</v>
      </c>
      <c r="Y143" s="20" t="s">
        <v>791</v>
      </c>
      <c r="Z143" s="20"/>
      <c r="AA143" s="20" t="s">
        <v>792</v>
      </c>
      <c r="AB143" s="20" t="s">
        <v>793</v>
      </c>
      <c r="AC143" s="20"/>
      <c r="AD143" s="20"/>
      <c r="AE143" s="20" t="s">
        <v>265</v>
      </c>
      <c r="AF143" s="20" t="s">
        <v>794</v>
      </c>
      <c r="AG143" s="20" t="s">
        <v>795</v>
      </c>
      <c r="AH143" s="20"/>
    </row>
    <row r="144" spans="1:34" ht="17" customHeight="1" x14ac:dyDescent="0.2">
      <c r="A144" s="20" t="s">
        <v>796</v>
      </c>
      <c r="B144" s="20"/>
      <c r="C144" s="20" t="s">
        <v>797</v>
      </c>
      <c r="D144" s="20" t="s">
        <v>798</v>
      </c>
      <c r="E144" s="18" t="str">
        <f t="shared" si="18"/>
        <v>deSousa</v>
      </c>
      <c r="F144" s="17"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4" s="17" t="str">
        <f t="shared" si="19"/>
        <v>2008</v>
      </c>
      <c r="H144" s="18" t="str">
        <f t="shared" si="20"/>
        <v>deSousa__2008</v>
      </c>
      <c r="I144" s="18" t="str">
        <f t="shared" si="23"/>
        <v>UMI%3A3311323</v>
      </c>
      <c r="J144" s="18" t="str">
        <f t="shared" si="21"/>
        <v>deSousa__2008_Suppl.Table5.2</v>
      </c>
      <c r="K144" s="17" t="str">
        <f t="shared" si="17"/>
        <v>UMI%3A3311323_Suppl.Table5.2</v>
      </c>
      <c r="L144" s="17" t="str">
        <f t="array" ref="L144">IFERROR(INDEX(AUTO_Public_TSV_FileList!$A$1:$A$1000,MATCH(TRUE(),EXACT(K144,IFERROR(_xlfn.TEXTBEFORE(AUTO_Public_TSV_FileList!$A$1:$A$1000,".tsv"),"")),0)),"notfound")</f>
        <v>UMI%3A3311323_Suppl.Table5.2.tsv</v>
      </c>
      <c r="M144" s="20" t="s">
        <v>799</v>
      </c>
      <c r="N144" s="20"/>
      <c r="O144" s="20"/>
      <c r="P144" s="20"/>
      <c r="Q144" s="20"/>
      <c r="R144" s="20"/>
      <c r="S144" s="20"/>
      <c r="T144" s="20"/>
      <c r="U144" s="20"/>
      <c r="V144" s="20"/>
      <c r="W144" s="20"/>
      <c r="X144" s="20"/>
      <c r="Y144" s="20"/>
      <c r="Z144" s="20"/>
      <c r="AA144" s="20"/>
      <c r="AB144" s="20"/>
      <c r="AC144" s="20"/>
      <c r="AD144" s="20"/>
      <c r="AE144" s="20"/>
      <c r="AF144" s="20"/>
      <c r="AG144" s="20"/>
      <c r="AH144" s="20"/>
    </row>
    <row r="145" spans="1:34" ht="17" customHeight="1" x14ac:dyDescent="0.2">
      <c r="A145" s="20" t="s">
        <v>796</v>
      </c>
      <c r="B145" s="20"/>
      <c r="C145" s="20" t="s">
        <v>797</v>
      </c>
      <c r="D145" s="20" t="s">
        <v>800</v>
      </c>
      <c r="E145" s="18" t="str">
        <f t="shared" si="18"/>
        <v>deSousa</v>
      </c>
      <c r="F145" s="17"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5" s="17" t="str">
        <f t="shared" si="19"/>
        <v>2008</v>
      </c>
      <c r="H145" s="18" t="str">
        <f t="shared" si="20"/>
        <v>deSousa__2008</v>
      </c>
      <c r="I145" s="18" t="str">
        <f t="shared" si="23"/>
        <v>UMI%3A3311323</v>
      </c>
      <c r="J145" s="18" t="str">
        <f t="shared" si="21"/>
        <v>deSousa__2008_Table4.1</v>
      </c>
      <c r="K145" s="17" t="str">
        <f t="shared" si="17"/>
        <v>UMI%3A3311323_Table4.1</v>
      </c>
      <c r="L145" s="17" t="str">
        <f t="array" ref="L145">IFERROR(INDEX(AUTO_Public_TSV_FileList!$A$1:$A$1000,MATCH(TRUE(),EXACT(K145,IFERROR(_xlfn.TEXTBEFORE(AUTO_Public_TSV_FileList!$A$1:$A$1000,".tsv"),"")),0)),"notfound")</f>
        <v>UMI%3A3311323_Table4.1.tsv</v>
      </c>
      <c r="M145" s="20" t="s">
        <v>801</v>
      </c>
      <c r="N145" s="20"/>
      <c r="O145" s="20"/>
      <c r="P145" s="20"/>
      <c r="Q145" s="20"/>
      <c r="R145" s="20"/>
      <c r="S145" s="20"/>
      <c r="T145" s="20"/>
      <c r="U145" s="20"/>
      <c r="V145" s="20"/>
      <c r="W145" s="20"/>
      <c r="X145" s="20"/>
      <c r="Y145" s="20"/>
      <c r="Z145" s="20"/>
      <c r="AA145" s="20"/>
      <c r="AB145" s="20"/>
      <c r="AC145" s="20"/>
      <c r="AD145" s="20"/>
      <c r="AE145" s="20"/>
      <c r="AF145" s="20"/>
      <c r="AG145" s="20"/>
      <c r="AH145" s="20"/>
    </row>
    <row r="146" spans="1:34" ht="17" customHeight="1" x14ac:dyDescent="0.2">
      <c r="A146" s="20" t="s">
        <v>796</v>
      </c>
      <c r="B146" s="20"/>
      <c r="C146" s="20" t="s">
        <v>797</v>
      </c>
      <c r="D146" s="20" t="s">
        <v>802</v>
      </c>
      <c r="E146" s="18" t="str">
        <f t="shared" si="18"/>
        <v>deSousa</v>
      </c>
      <c r="F146" s="17"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6" s="17" t="str">
        <f t="shared" si="19"/>
        <v>2008</v>
      </c>
      <c r="H146" s="18" t="str">
        <f t="shared" si="20"/>
        <v>deSousa__2008</v>
      </c>
      <c r="I146" s="18" t="str">
        <f t="shared" si="23"/>
        <v>UMI%3A3311323</v>
      </c>
      <c r="J146" s="18" t="str">
        <f t="shared" si="21"/>
        <v>deSousa__2008_Table5.1</v>
      </c>
      <c r="K146" s="17" t="str">
        <f t="shared" si="17"/>
        <v>UMI%3A3311323_Table5.1</v>
      </c>
      <c r="L146" s="17" t="str">
        <f t="array" ref="L146">IFERROR(INDEX(AUTO_Public_TSV_FileList!$A$1:$A$1000,MATCH(TRUE(),EXACT(K146,IFERROR(_xlfn.TEXTBEFORE(AUTO_Public_TSV_FileList!$A$1:$A$1000,".tsv"),"")),0)),"notfound")</f>
        <v>UMI%3A3311323_Table5.1.tsv</v>
      </c>
      <c r="M146" s="20" t="s">
        <v>803</v>
      </c>
      <c r="N146" s="20"/>
      <c r="O146" s="20"/>
      <c r="P146" s="20"/>
      <c r="Q146" s="20"/>
      <c r="R146" s="20"/>
      <c r="S146" s="20"/>
      <c r="T146" s="20"/>
      <c r="U146" s="20"/>
      <c r="V146" s="20"/>
      <c r="W146" s="20"/>
      <c r="X146" s="20"/>
      <c r="Y146" s="20"/>
      <c r="Z146" s="20"/>
      <c r="AA146" s="20"/>
      <c r="AB146" s="20"/>
      <c r="AC146" s="20"/>
      <c r="AD146" s="20"/>
      <c r="AE146" s="20"/>
      <c r="AF146" s="20"/>
      <c r="AG146" s="20"/>
      <c r="AH146" s="20"/>
    </row>
    <row r="147" spans="1:34" ht="17" customHeight="1" x14ac:dyDescent="0.2">
      <c r="A147" s="20" t="s">
        <v>796</v>
      </c>
      <c r="B147" s="20"/>
      <c r="C147" s="20" t="s">
        <v>797</v>
      </c>
      <c r="D147" s="20" t="s">
        <v>804</v>
      </c>
      <c r="E147" s="18" t="str">
        <f t="shared" si="18"/>
        <v>deSousa</v>
      </c>
      <c r="F147" s="17"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7" s="17" t="str">
        <f t="shared" si="19"/>
        <v>2008</v>
      </c>
      <c r="H147" s="18" t="str">
        <f t="shared" si="20"/>
        <v>deSousa__2008</v>
      </c>
      <c r="I147" s="18" t="str">
        <f t="shared" si="23"/>
        <v>UMI%3A3311323</v>
      </c>
      <c r="J147" s="18" t="str">
        <f t="shared" si="21"/>
        <v>deSousa__2008_Table5.6</v>
      </c>
      <c r="K147" s="17" t="str">
        <f t="shared" ref="K147:K178" si="24">I147 &amp; "_" &amp; SUBSTITUTE(SUBSTITUTE(SUBSTITUTE(D147,CHAR(160),"")," ",""),"_","")</f>
        <v>UMI%3A3311323_Table5.6</v>
      </c>
      <c r="L147" s="17" t="str">
        <f t="array" ref="L147">IFERROR(INDEX(AUTO_Public_TSV_FileList!$A$1:$A$1000,MATCH(TRUE(),EXACT(K147,IFERROR(_xlfn.TEXTBEFORE(AUTO_Public_TSV_FileList!$A$1:$A$1000,".tsv"),"")),0)),"notfound")</f>
        <v>UMI%3A3311323_Table5.6.tsv</v>
      </c>
      <c r="M147" s="20" t="s">
        <v>805</v>
      </c>
      <c r="N147" s="20"/>
      <c r="O147" s="20"/>
      <c r="P147" s="20"/>
      <c r="Q147" s="20"/>
      <c r="R147" s="20"/>
      <c r="S147" s="20"/>
      <c r="T147" s="20"/>
      <c r="U147" s="20"/>
      <c r="V147" s="20"/>
      <c r="W147" s="20"/>
      <c r="X147" s="20"/>
      <c r="Y147" s="20"/>
      <c r="Z147" s="20"/>
      <c r="AA147" s="20"/>
      <c r="AB147" s="20"/>
      <c r="AC147" s="20"/>
      <c r="AD147" s="20"/>
      <c r="AE147" s="20"/>
      <c r="AF147" s="20"/>
      <c r="AG147" s="20"/>
      <c r="AH147" s="20"/>
    </row>
    <row r="148" spans="1:34" ht="17" customHeight="1" x14ac:dyDescent="0.2">
      <c r="A148" s="19" t="s">
        <v>806</v>
      </c>
      <c r="B148" s="20"/>
      <c r="C148" s="20"/>
      <c r="D148" s="19" t="s">
        <v>86</v>
      </c>
      <c r="E148" s="17" t="str">
        <f t="shared" si="18"/>
        <v>deSousa</v>
      </c>
      <c r="F148" s="17"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17" t="str">
        <f t="shared" si="19"/>
        <v>2013</v>
      </c>
      <c r="H148" s="17" t="str">
        <f t="shared" si="20"/>
        <v>deSousa_etal_2013</v>
      </c>
      <c r="I148" s="17" t="str">
        <f t="shared" ref="I148:I166" si="25">_xlfn.LET(
_xlpm.doi,IF(C148&lt;&gt;"",C148,_xlfn.TEXTAFTER(A148,"https://doi.org/")),
SUBSTITUTE(
SUBSTITUTE(
SUBSTITUTE(
SUBSTITUTE(
_xlpm.doi,
"/","%2F"),
":","%3A"),
"&lt;","%3C"),
"&gt;","%3E")
)</f>
        <v>10.1159%2F000346495</v>
      </c>
      <c r="J148" s="17" t="str">
        <f t="shared" si="21"/>
        <v>deSousa_etal_2013_Table1</v>
      </c>
      <c r="K148" s="17" t="str">
        <f t="shared" si="24"/>
        <v>10.1159%2F000346495_Table1</v>
      </c>
      <c r="L148" s="17" t="str">
        <f t="array" ref="L148">IFERROR(INDEX(AUTO_Public_TSV_FileList!$A$1:$A$1000,MATCH(TRUE(),EXACT(K148,IFERROR(_xlfn.TEXTBEFORE(AUTO_Public_TSV_FileList!$A$1:$A$1000,".tsv"),"")),0)),"notfound")</f>
        <v>10.1159%2F000346495_Table1.tsv</v>
      </c>
      <c r="M148" s="19" t="s">
        <v>807</v>
      </c>
      <c r="N148" s="19" t="s">
        <v>54</v>
      </c>
      <c r="O148" s="20"/>
      <c r="P148" s="19" t="s">
        <v>55</v>
      </c>
      <c r="Q148" s="19"/>
      <c r="R148" s="20"/>
      <c r="S148" s="20"/>
      <c r="T148" s="20"/>
      <c r="U148" s="20"/>
      <c r="V148" s="20"/>
      <c r="W148" s="19" t="s">
        <v>808</v>
      </c>
      <c r="X148" s="19" t="s">
        <v>809</v>
      </c>
      <c r="Y148" s="20"/>
      <c r="Z148" s="19" t="s">
        <v>172</v>
      </c>
      <c r="AA148" s="19" t="s">
        <v>216</v>
      </c>
      <c r="AB148" s="19" t="s">
        <v>177</v>
      </c>
      <c r="AC148" s="19" t="s">
        <v>810</v>
      </c>
      <c r="AD148" s="19" t="s">
        <v>811</v>
      </c>
      <c r="AE148" s="19" t="s">
        <v>50</v>
      </c>
      <c r="AF148" s="19"/>
      <c r="AG148" s="20"/>
      <c r="AH148" s="20"/>
    </row>
    <row r="149" spans="1:34" ht="17" customHeight="1" x14ac:dyDescent="0.2">
      <c r="A149" s="19" t="s">
        <v>812</v>
      </c>
      <c r="B149" s="20"/>
      <c r="C149" s="20"/>
      <c r="D149" s="19" t="s">
        <v>813</v>
      </c>
      <c r="E149" s="17" t="str">
        <f t="shared" si="18"/>
        <v>deSousa</v>
      </c>
      <c r="F149" s="17"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17" t="str">
        <f t="shared" si="19"/>
        <v>2010</v>
      </c>
      <c r="H149" s="17" t="str">
        <f t="shared" si="20"/>
        <v>deSousa_etal_2010</v>
      </c>
      <c r="I149" s="17" t="str">
        <f t="shared" si="25"/>
        <v>10.1016%2Fj.jhevol.2009.11.011</v>
      </c>
      <c r="J149" s="18" t="str">
        <f t="shared" si="21"/>
        <v>deSousa_etal_2010_SupTable2</v>
      </c>
      <c r="K149" s="17" t="str">
        <f t="shared" si="24"/>
        <v>10.1016%2Fj.jhevol.2009.11.011_SupTable2</v>
      </c>
      <c r="L149" s="17" t="str">
        <f t="array" ref="L149">IFERROR(INDEX(AUTO_Public_TSV_FileList!$A$1:$A$1000,MATCH(TRUE(),EXACT(K149,IFERROR(_xlfn.TEXTBEFORE(AUTO_Public_TSV_FileList!$A$1:$A$1000,".tsv"),"")),0)),"notfound")</f>
        <v>10.1016%2Fj.jhevol.2009.11.011_SupTable2.tsv</v>
      </c>
      <c r="M149" s="19" t="s">
        <v>814</v>
      </c>
      <c r="N149" s="19" t="s">
        <v>54</v>
      </c>
      <c r="O149" s="19"/>
      <c r="P149" s="19" t="s">
        <v>55</v>
      </c>
      <c r="Q149" s="19"/>
      <c r="R149" s="19" t="s">
        <v>815</v>
      </c>
      <c r="S149" s="19" t="s">
        <v>816</v>
      </c>
      <c r="T149" s="19" t="s">
        <v>817</v>
      </c>
      <c r="U149" s="19" t="s">
        <v>818</v>
      </c>
      <c r="V149" s="20"/>
      <c r="W149" s="19" t="s">
        <v>819</v>
      </c>
      <c r="X149" s="19" t="s">
        <v>820</v>
      </c>
      <c r="Y149" s="20"/>
      <c r="Z149" s="19" t="s">
        <v>172</v>
      </c>
      <c r="AA149" s="19" t="s">
        <v>216</v>
      </c>
      <c r="AB149" s="19" t="s">
        <v>177</v>
      </c>
      <c r="AC149" s="19" t="s">
        <v>810</v>
      </c>
      <c r="AD149" s="19" t="s">
        <v>811</v>
      </c>
      <c r="AE149" s="19" t="s">
        <v>50</v>
      </c>
      <c r="AF149" s="19"/>
      <c r="AG149" s="19" t="s">
        <v>821</v>
      </c>
      <c r="AH149" s="20"/>
    </row>
    <row r="150" spans="1:34" ht="17" customHeight="1" x14ac:dyDescent="0.2">
      <c r="A150" s="19" t="s">
        <v>812</v>
      </c>
      <c r="B150" s="20"/>
      <c r="C150" s="20"/>
      <c r="D150" s="19" t="s">
        <v>86</v>
      </c>
      <c r="E150" s="17" t="str">
        <f t="shared" si="18"/>
        <v>deSousa</v>
      </c>
      <c r="F150" s="17"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17" t="str">
        <f t="shared" si="19"/>
        <v>2010</v>
      </c>
      <c r="H150" s="17" t="str">
        <f t="shared" si="20"/>
        <v>deSousa_etal_2010</v>
      </c>
      <c r="I150" s="17" t="str">
        <f t="shared" si="25"/>
        <v>10.1016%2Fj.jhevol.2009.11.011</v>
      </c>
      <c r="J150" s="17" t="str">
        <f t="shared" si="21"/>
        <v>deSousa_etal_2010_Table1</v>
      </c>
      <c r="K150" s="17" t="str">
        <f t="shared" si="24"/>
        <v>10.1016%2Fj.jhevol.2009.11.011_Table1</v>
      </c>
      <c r="L150" s="17" t="str">
        <f t="array" ref="L150">IFERROR(INDEX(AUTO_Public_TSV_FileList!$A$1:$A$1000,MATCH(TRUE(),EXACT(K150,IFERROR(_xlfn.TEXTBEFORE(AUTO_Public_TSV_FileList!$A$1:$A$1000,".tsv"),"")),0)),"notfound")</f>
        <v>10.1016%2Fj.jhevol.2009.11.011_Table1.tsv</v>
      </c>
      <c r="M150" s="19" t="s">
        <v>822</v>
      </c>
      <c r="N150" s="19" t="s">
        <v>54</v>
      </c>
      <c r="O150" s="20"/>
      <c r="P150" s="19" t="s">
        <v>55</v>
      </c>
      <c r="Q150" s="20"/>
      <c r="R150" s="20"/>
      <c r="S150" s="20"/>
      <c r="T150" s="20"/>
      <c r="U150" s="20"/>
      <c r="V150" s="20"/>
      <c r="W150" s="19" t="s">
        <v>819</v>
      </c>
      <c r="X150" s="19" t="s">
        <v>823</v>
      </c>
      <c r="Y150" s="20"/>
      <c r="Z150" s="19" t="s">
        <v>824</v>
      </c>
      <c r="AA150" s="19" t="s">
        <v>216</v>
      </c>
      <c r="AB150" s="19" t="s">
        <v>177</v>
      </c>
      <c r="AC150" s="19" t="s">
        <v>810</v>
      </c>
      <c r="AD150" s="19" t="s">
        <v>811</v>
      </c>
      <c r="AE150" s="19" t="s">
        <v>50</v>
      </c>
      <c r="AF150" s="19"/>
      <c r="AG150" s="20"/>
      <c r="AH150" s="20"/>
    </row>
    <row r="151" spans="1:34" ht="17" customHeight="1" x14ac:dyDescent="0.2">
      <c r="A151" s="19" t="s">
        <v>825</v>
      </c>
      <c r="B151" s="20"/>
      <c r="C151" s="20"/>
      <c r="D151" s="19" t="s">
        <v>86</v>
      </c>
      <c r="E151" s="17" t="str">
        <f t="shared" si="18"/>
        <v>deSousa</v>
      </c>
      <c r="F151" s="17"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17" t="str">
        <f t="shared" si="19"/>
        <v>2009</v>
      </c>
      <c r="H151" s="17" t="str">
        <f t="shared" si="20"/>
        <v>deSousa_etal_2009</v>
      </c>
      <c r="I151" s="17" t="str">
        <f t="shared" si="25"/>
        <v>10.1093%2Fcercor%2Fbhp158</v>
      </c>
      <c r="J151" s="17" t="str">
        <f t="shared" si="21"/>
        <v>deSousa_etal_2009_Table1</v>
      </c>
      <c r="K151" s="17" t="str">
        <f t="shared" si="24"/>
        <v>10.1093%2Fcercor%2Fbhp158_Table1</v>
      </c>
      <c r="L151" s="17" t="str">
        <f t="array" ref="L151">IFERROR(INDEX(AUTO_Public_TSV_FileList!$A$1:$A$1000,MATCH(TRUE(),EXACT(K151,IFERROR(_xlfn.TEXTBEFORE(AUTO_Public_TSV_FileList!$A$1:$A$1000,".tsv"),"")),0)),"notfound")</f>
        <v>10.1093%2Fcercor%2Fbhp158_Table1.tsv</v>
      </c>
      <c r="M151" s="19" t="s">
        <v>826</v>
      </c>
      <c r="N151" s="19" t="s">
        <v>54</v>
      </c>
      <c r="O151" s="20"/>
      <c r="P151" s="20" t="s">
        <v>55</v>
      </c>
      <c r="Q151" s="20"/>
      <c r="R151" s="20" t="s">
        <v>827</v>
      </c>
      <c r="S151" s="20" t="s">
        <v>828</v>
      </c>
      <c r="T151" s="20"/>
      <c r="U151" s="20" t="s">
        <v>829</v>
      </c>
      <c r="V151" s="20"/>
      <c r="W151" s="20" t="s">
        <v>830</v>
      </c>
      <c r="X151" s="19" t="s">
        <v>831</v>
      </c>
      <c r="Y151" s="20"/>
      <c r="Z151" s="19" t="s">
        <v>172</v>
      </c>
      <c r="AA151" s="19" t="s">
        <v>832</v>
      </c>
      <c r="AB151" s="19" t="s">
        <v>833</v>
      </c>
      <c r="AC151" s="19" t="s">
        <v>810</v>
      </c>
      <c r="AD151" s="19" t="s">
        <v>810</v>
      </c>
      <c r="AE151" s="19" t="s">
        <v>265</v>
      </c>
      <c r="AF151" s="19"/>
      <c r="AG151" s="20" t="s">
        <v>834</v>
      </c>
      <c r="AH151" s="20"/>
    </row>
    <row r="152" spans="1:34" ht="17" customHeight="1" x14ac:dyDescent="0.2">
      <c r="A152" s="19" t="s">
        <v>825</v>
      </c>
      <c r="B152" s="20"/>
      <c r="C152" s="20"/>
      <c r="D152" s="19" t="s">
        <v>160</v>
      </c>
      <c r="E152" s="17" t="str">
        <f t="shared" si="18"/>
        <v>deSousa</v>
      </c>
      <c r="F152" s="17"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17" t="str">
        <f t="shared" si="19"/>
        <v>2009</v>
      </c>
      <c r="H152" s="17" t="str">
        <f t="shared" si="20"/>
        <v>deSousa_etal_2009</v>
      </c>
      <c r="I152" s="17" t="str">
        <f t="shared" si="25"/>
        <v>10.1093%2Fcercor%2Fbhp158</v>
      </c>
      <c r="J152" s="17" t="str">
        <f t="shared" si="21"/>
        <v>deSousa_etal_2009_Table2</v>
      </c>
      <c r="K152" s="17" t="str">
        <f t="shared" si="24"/>
        <v>10.1093%2Fcercor%2Fbhp158_Table2</v>
      </c>
      <c r="L152" s="17" t="str">
        <f t="array" ref="L152">IFERROR(INDEX(AUTO_Public_TSV_FileList!$A$1:$A$1000,MATCH(TRUE(),EXACT(K152,IFERROR(_xlfn.TEXTBEFORE(AUTO_Public_TSV_FileList!$A$1:$A$1000,".tsv"),"")),0)),"notfound")</f>
        <v>10.1093%2Fcercor%2Fbhp158_Table2.tsv</v>
      </c>
      <c r="M152" s="19" t="s">
        <v>835</v>
      </c>
      <c r="N152" s="19" t="s">
        <v>54</v>
      </c>
      <c r="O152" s="20"/>
      <c r="P152" s="20" t="s">
        <v>55</v>
      </c>
      <c r="Q152" s="20"/>
      <c r="R152" s="20" t="s">
        <v>827</v>
      </c>
      <c r="S152" s="20" t="s">
        <v>828</v>
      </c>
      <c r="T152" s="20"/>
      <c r="U152" s="20" t="s">
        <v>829</v>
      </c>
      <c r="V152" s="20"/>
      <c r="W152" s="20" t="s">
        <v>830</v>
      </c>
      <c r="X152" s="19" t="s">
        <v>831</v>
      </c>
      <c r="Y152" s="20"/>
      <c r="Z152" s="19" t="s">
        <v>172</v>
      </c>
      <c r="AA152" s="19" t="s">
        <v>832</v>
      </c>
      <c r="AB152" s="19" t="s">
        <v>833</v>
      </c>
      <c r="AC152" s="19" t="s">
        <v>810</v>
      </c>
      <c r="AD152" s="19" t="s">
        <v>810</v>
      </c>
      <c r="AE152" s="19" t="s">
        <v>265</v>
      </c>
      <c r="AF152" s="19"/>
      <c r="AG152" s="20" t="s">
        <v>834</v>
      </c>
      <c r="AH152" s="20"/>
    </row>
    <row r="153" spans="1:34" ht="17" customHeight="1" x14ac:dyDescent="0.2">
      <c r="A153" s="20" t="s">
        <v>836</v>
      </c>
      <c r="B153" s="20"/>
      <c r="C153" s="20"/>
      <c r="D153" s="20" t="s">
        <v>837</v>
      </c>
      <c r="E153" s="17" t="str">
        <f t="shared" si="18"/>
        <v>deSousa</v>
      </c>
      <c r="F153" s="17"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17" t="str">
        <f t="shared" si="19"/>
        <v>2022</v>
      </c>
      <c r="H153" s="17" t="str">
        <f t="shared" si="20"/>
        <v>deSousa_etal_2022</v>
      </c>
      <c r="I153" s="17" t="str">
        <f t="shared" si="25"/>
        <v>10.1016%2Fj.neubiorev.2022.104550</v>
      </c>
      <c r="J153" s="17" t="str">
        <f t="shared" si="21"/>
        <v>deSousa_etal_2022_acuityblind.csv</v>
      </c>
      <c r="K153" s="17" t="str">
        <f t="shared" si="24"/>
        <v>10.1016%2Fj.neubiorev.2022.104550_acuityblind.csv</v>
      </c>
      <c r="L153" s="17" t="str">
        <f t="array" ref="L153">IFERROR(INDEX(AUTO_Public_TSV_FileList!$A$1:$A$1000,MATCH(TRUE(),EXACT(K153,IFERROR(_xlfn.TEXTBEFORE(AUTO_Public_TSV_FileList!$A$1:$A$1000,".tsv"),"")),0)),"notfound")</f>
        <v>10.1016%2Fj.neubiorev.2022.104550_acuityblind.csv.tsv</v>
      </c>
      <c r="M153" s="20" t="s">
        <v>837</v>
      </c>
      <c r="N153" s="20"/>
      <c r="O153" s="20"/>
      <c r="P153" s="20" t="s">
        <v>55</v>
      </c>
      <c r="Q153" s="20"/>
      <c r="R153" s="20"/>
      <c r="S153" s="20"/>
      <c r="T153" s="20"/>
      <c r="U153" s="20"/>
      <c r="V153" s="20"/>
      <c r="W153" s="20"/>
      <c r="X153" s="20"/>
      <c r="Y153" s="20"/>
      <c r="Z153" s="20"/>
      <c r="AA153" s="20"/>
      <c r="AB153" s="20"/>
      <c r="AC153" s="20"/>
      <c r="AD153" s="20"/>
      <c r="AE153" s="20"/>
      <c r="AF153" s="20"/>
      <c r="AG153" s="20"/>
      <c r="AH153" s="20"/>
    </row>
    <row r="154" spans="1:34" ht="17" customHeight="1" x14ac:dyDescent="0.2">
      <c r="A154" s="23" t="s">
        <v>838</v>
      </c>
      <c r="B154" s="21"/>
      <c r="C154" s="21"/>
      <c r="D154" s="23" t="s">
        <v>86</v>
      </c>
      <c r="E154" s="17" t="str">
        <f t="shared" si="18"/>
        <v>Deaner</v>
      </c>
      <c r="F154" s="17"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17" t="str">
        <f t="shared" si="19"/>
        <v>2006</v>
      </c>
      <c r="H154" s="17" t="str">
        <f t="shared" si="20"/>
        <v>Deaner_etal_2006</v>
      </c>
      <c r="I154" s="17" t="str">
        <f t="shared" si="25"/>
        <v>10.1177%2F147470490600400114</v>
      </c>
      <c r="J154" s="17" t="str">
        <f t="shared" si="21"/>
        <v>Deaner_etal_2006_Table1</v>
      </c>
      <c r="K154" s="17" t="str">
        <f t="shared" si="24"/>
        <v>10.1177%2F147470490600400114_Table1</v>
      </c>
      <c r="L154" s="17" t="str">
        <f t="array" ref="L154">IFERROR(INDEX(AUTO_Public_TSV_FileList!$A$1:$A$1000,MATCH(TRUE(),EXACT(K154,IFERROR(_xlfn.TEXTBEFORE(AUTO_Public_TSV_FileList!$A$1:$A$1000,".tsv"),"")),0)),"notfound")</f>
        <v>10.1177%2F147470490600400114_Table1.tsv</v>
      </c>
      <c r="M154" s="21" t="s">
        <v>839</v>
      </c>
      <c r="N154" s="19" t="s">
        <v>54</v>
      </c>
      <c r="O154" s="20"/>
      <c r="P154" s="20" t="s">
        <v>55</v>
      </c>
      <c r="Q154" s="21"/>
      <c r="R154" s="21"/>
      <c r="S154" s="21" t="s">
        <v>634</v>
      </c>
      <c r="T154" s="21" t="s">
        <v>635</v>
      </c>
      <c r="U154" s="21"/>
      <c r="V154" s="21" t="s">
        <v>636</v>
      </c>
      <c r="W154" s="23" t="s">
        <v>187</v>
      </c>
      <c r="X154" s="21" t="s">
        <v>840</v>
      </c>
      <c r="Y154" s="21" t="s">
        <v>840</v>
      </c>
      <c r="Z154" s="21"/>
      <c r="AA154" s="21"/>
      <c r="AB154" s="23" t="s">
        <v>841</v>
      </c>
      <c r="AC154" s="20"/>
      <c r="AD154" s="21"/>
      <c r="AE154" s="23" t="s">
        <v>50</v>
      </c>
      <c r="AF154" s="23"/>
      <c r="AG154" s="20" t="s">
        <v>842</v>
      </c>
      <c r="AH154" s="20"/>
    </row>
    <row r="155" spans="1:34" ht="17" customHeight="1" x14ac:dyDescent="0.2">
      <c r="A155" s="19" t="s">
        <v>843</v>
      </c>
      <c r="B155" s="20"/>
      <c r="C155" s="20"/>
      <c r="D155" s="19" t="s">
        <v>844</v>
      </c>
      <c r="E155" s="17" t="str">
        <f t="shared" si="18"/>
        <v>DeCasien</v>
      </c>
      <c r="F155" s="17"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5" s="17" t="str">
        <f t="shared" si="19"/>
        <v>2019</v>
      </c>
      <c r="H155" s="17" t="str">
        <f t="shared" si="20"/>
        <v>DeCasien_Higham_2019</v>
      </c>
      <c r="I155" s="17" t="str">
        <f t="shared" si="25"/>
        <v>10.1038%2Fs41559-019-0969-0</v>
      </c>
      <c r="J155" s="17" t="str">
        <f t="shared" si="21"/>
        <v>DeCasien_Higham_2019_ActivityPeriodData</v>
      </c>
      <c r="K155" s="17" t="str">
        <f t="shared" si="24"/>
        <v>10.1038%2Fs41559-019-0969-0_ActivityPeriodData</v>
      </c>
      <c r="L155" s="17" t="str">
        <f t="array" ref="L155">IFERROR(INDEX(AUTO_Public_TSV_FileList!$A$1:$A$1000,MATCH(TRUE(),EXACT(K155,IFERROR(_xlfn.TEXTBEFORE(AUTO_Public_TSV_FileList!$A$1:$A$1000,".tsv"),"")),0)),"notfound")</f>
        <v>10.1038%2Fs41559-019-0969-0_ActivityPeriodData.tsv</v>
      </c>
      <c r="M155" s="19" t="s">
        <v>845</v>
      </c>
      <c r="N155" s="19" t="s">
        <v>54</v>
      </c>
      <c r="O155" s="20"/>
      <c r="P155" s="20" t="s">
        <v>55</v>
      </c>
      <c r="Q155" s="20"/>
      <c r="R155" s="19" t="s">
        <v>846</v>
      </c>
      <c r="S155" s="20"/>
      <c r="T155" s="20"/>
      <c r="U155" s="20"/>
      <c r="V155" s="20"/>
      <c r="W155" s="19" t="s">
        <v>187</v>
      </c>
      <c r="X155" s="19" t="s">
        <v>847</v>
      </c>
      <c r="Y155" s="20"/>
      <c r="Z155" s="19"/>
      <c r="AA155" s="20"/>
      <c r="AB155" s="19" t="s">
        <v>848</v>
      </c>
      <c r="AC155" s="20"/>
      <c r="AD155" s="20"/>
      <c r="AE155" s="19" t="s">
        <v>265</v>
      </c>
      <c r="AF155" s="19"/>
      <c r="AG155" s="20"/>
      <c r="AH155" s="20"/>
    </row>
    <row r="156" spans="1:34" ht="18" customHeight="1" x14ac:dyDescent="0.2">
      <c r="A156" s="19" t="s">
        <v>843</v>
      </c>
      <c r="B156" s="20"/>
      <c r="C156" s="20"/>
      <c r="D156" s="19" t="s">
        <v>849</v>
      </c>
      <c r="E156" s="17" t="str">
        <f t="shared" si="18"/>
        <v>DeCasien</v>
      </c>
      <c r="F156" s="17"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6" s="17" t="str">
        <f t="shared" si="19"/>
        <v>2019</v>
      </c>
      <c r="H156" s="17" t="str">
        <f t="shared" si="20"/>
        <v>DeCasien_Higham_2019</v>
      </c>
      <c r="I156" s="17" t="str">
        <f t="shared" si="25"/>
        <v>10.1038%2Fs41559-019-0969-0</v>
      </c>
      <c r="J156" s="17" t="str">
        <f t="shared" si="21"/>
        <v>DeCasien_Higham_2019_BrainRegionDatamm3</v>
      </c>
      <c r="K156" s="17" t="str">
        <f t="shared" si="24"/>
        <v>10.1038%2Fs41559-019-0969-0_BrainRegionDatamm3</v>
      </c>
      <c r="L156" s="17" t="str">
        <f t="array" ref="L156">IFERROR(INDEX(AUTO_Public_TSV_FileList!$A$1:$A$1000,MATCH(TRUE(),EXACT(K156,IFERROR(_xlfn.TEXTBEFORE(AUTO_Public_TSV_FileList!$A$1:$A$1000,".tsv"),"")),0)),"notfound")</f>
        <v>10.1038%2Fs41559-019-0969-0_BrainRegionDatamm3.tsv</v>
      </c>
      <c r="M156" s="19" t="s">
        <v>850</v>
      </c>
      <c r="N156" s="19" t="s">
        <v>54</v>
      </c>
      <c r="O156" s="20"/>
      <c r="P156" s="20" t="s">
        <v>55</v>
      </c>
      <c r="Q156" s="20"/>
      <c r="R156" s="19" t="s">
        <v>846</v>
      </c>
      <c r="S156" s="20"/>
      <c r="T156" s="20"/>
      <c r="U156" s="20"/>
      <c r="V156" s="20"/>
      <c r="W156" s="19" t="s">
        <v>187</v>
      </c>
      <c r="X156" s="19" t="s">
        <v>851</v>
      </c>
      <c r="Y156" s="20"/>
      <c r="Z156" s="19" t="s">
        <v>172</v>
      </c>
      <c r="AA156" s="20"/>
      <c r="AB156" s="19" t="s">
        <v>177</v>
      </c>
      <c r="AC156" s="20"/>
      <c r="AD156" s="20"/>
      <c r="AE156" s="19" t="s">
        <v>852</v>
      </c>
      <c r="AF156" s="19" t="s">
        <v>853</v>
      </c>
      <c r="AG156" s="20"/>
      <c r="AH156" s="20"/>
    </row>
    <row r="157" spans="1:34" ht="17" customHeight="1" x14ac:dyDescent="0.2">
      <c r="A157" s="19" t="s">
        <v>843</v>
      </c>
      <c r="B157" s="20"/>
      <c r="C157" s="20"/>
      <c r="D157" s="19" t="s">
        <v>854</v>
      </c>
      <c r="E157" s="17" t="str">
        <f t="shared" si="18"/>
        <v>DeCasien</v>
      </c>
      <c r="F157" s="17"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7" s="17" t="str">
        <f t="shared" si="19"/>
        <v>2019</v>
      </c>
      <c r="H157" s="17" t="str">
        <f t="shared" si="20"/>
        <v>DeCasien_Higham_2019</v>
      </c>
      <c r="I157" s="17" t="str">
        <f t="shared" si="25"/>
        <v>10.1038%2Fs41559-019-0969-0</v>
      </c>
      <c r="J157" s="17" t="str">
        <f t="shared" si="21"/>
        <v>DeCasien_Higham_2019_BrainRegionDataNotes</v>
      </c>
      <c r="K157" s="17" t="str">
        <f t="shared" si="24"/>
        <v>10.1038%2Fs41559-019-0969-0_BrainRegionDataNotes</v>
      </c>
      <c r="L157" s="17" t="str">
        <f t="array" ref="L157">IFERROR(INDEX(AUTO_Public_TSV_FileList!$A$1:$A$1000,MATCH(TRUE(),EXACT(K157,IFERROR(_xlfn.TEXTBEFORE(AUTO_Public_TSV_FileList!$A$1:$A$1000,".tsv"),"")),0)),"notfound")</f>
        <v>10.1038%2Fs41559-019-0969-0_BrainRegionDataNotes.tsv</v>
      </c>
      <c r="M157" s="19" t="s">
        <v>854</v>
      </c>
      <c r="N157" s="19" t="s">
        <v>54</v>
      </c>
      <c r="O157" s="20"/>
      <c r="P157" s="20" t="s">
        <v>55</v>
      </c>
      <c r="Q157" s="20"/>
      <c r="R157" s="19" t="s">
        <v>846</v>
      </c>
      <c r="S157" s="20"/>
      <c r="T157" s="20"/>
      <c r="U157" s="20"/>
      <c r="V157" s="20"/>
      <c r="W157" s="19" t="s">
        <v>187</v>
      </c>
      <c r="X157" s="19" t="s">
        <v>851</v>
      </c>
      <c r="Y157" s="20"/>
      <c r="Z157" s="19" t="s">
        <v>172</v>
      </c>
      <c r="AA157" s="20"/>
      <c r="AB157" s="19" t="s">
        <v>177</v>
      </c>
      <c r="AC157" s="20"/>
      <c r="AD157" s="20"/>
      <c r="AE157" s="19" t="s">
        <v>852</v>
      </c>
      <c r="AF157" s="19" t="s">
        <v>853</v>
      </c>
      <c r="AG157" s="20"/>
      <c r="AH157" s="20"/>
    </row>
    <row r="158" spans="1:34" ht="17" customHeight="1" x14ac:dyDescent="0.2">
      <c r="A158" s="19" t="s">
        <v>843</v>
      </c>
      <c r="B158" s="20"/>
      <c r="C158" s="20"/>
      <c r="D158" s="19" t="s">
        <v>855</v>
      </c>
      <c r="E158" s="17" t="str">
        <f t="shared" si="18"/>
        <v>DeCasien</v>
      </c>
      <c r="F158" s="17"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8" s="17" t="str">
        <f t="shared" si="19"/>
        <v>2019</v>
      </c>
      <c r="H158" s="17" t="str">
        <f t="shared" si="20"/>
        <v>DeCasien_Higham_2019</v>
      </c>
      <c r="I158" s="17" t="str">
        <f t="shared" si="25"/>
        <v>10.1038%2Fs41559-019-0969-0</v>
      </c>
      <c r="J158" s="17" t="str">
        <f t="shared" si="21"/>
        <v>DeCasien_Higham_2019_DietData</v>
      </c>
      <c r="K158" s="17" t="str">
        <f t="shared" si="24"/>
        <v>10.1038%2Fs41559-019-0969-0_DietData</v>
      </c>
      <c r="L158" s="17" t="str">
        <f t="array" ref="L158">IFERROR(INDEX(AUTO_Public_TSV_FileList!$A$1:$A$1000,MATCH(TRUE(),EXACT(K158,IFERROR(_xlfn.TEXTBEFORE(AUTO_Public_TSV_FileList!$A$1:$A$1000,".tsv"),"")),0)),"notfound")</f>
        <v>10.1038%2Fs41559-019-0969-0_DietData.tsv</v>
      </c>
      <c r="M158" s="19" t="s">
        <v>856</v>
      </c>
      <c r="N158" s="19" t="s">
        <v>54</v>
      </c>
      <c r="O158" s="20"/>
      <c r="P158" s="20" t="s">
        <v>55</v>
      </c>
      <c r="Q158" s="20"/>
      <c r="R158" s="19" t="s">
        <v>846</v>
      </c>
      <c r="S158" s="20"/>
      <c r="T158" s="20"/>
      <c r="U158" s="20"/>
      <c r="V158" s="20"/>
      <c r="W158" s="19" t="s">
        <v>187</v>
      </c>
      <c r="X158" s="19" t="s">
        <v>857</v>
      </c>
      <c r="Y158" s="20"/>
      <c r="Z158" s="19"/>
      <c r="AA158" s="20"/>
      <c r="AB158" s="19" t="s">
        <v>858</v>
      </c>
      <c r="AC158" s="20"/>
      <c r="AD158" s="20"/>
      <c r="AE158" s="19" t="s">
        <v>265</v>
      </c>
      <c r="AF158" s="19"/>
      <c r="AG158" s="20"/>
      <c r="AH158" s="20"/>
    </row>
    <row r="159" spans="1:34" ht="17" customHeight="1" x14ac:dyDescent="0.2">
      <c r="A159" s="19" t="s">
        <v>843</v>
      </c>
      <c r="B159" s="20"/>
      <c r="C159" s="20"/>
      <c r="D159" s="19" t="s">
        <v>859</v>
      </c>
      <c r="E159" s="17" t="str">
        <f t="shared" si="18"/>
        <v>DeCasien</v>
      </c>
      <c r="F159" s="17"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9" s="17" t="str">
        <f t="shared" si="19"/>
        <v>2019</v>
      </c>
      <c r="H159" s="17" t="str">
        <f t="shared" si="20"/>
        <v>DeCasien_Higham_2019</v>
      </c>
      <c r="I159" s="17" t="str">
        <f t="shared" si="25"/>
        <v>10.1038%2Fs41559-019-0969-0</v>
      </c>
      <c r="J159" s="17" t="str">
        <f t="shared" si="21"/>
        <v>DeCasien_Higham_2019_DQIdata</v>
      </c>
      <c r="K159" s="17" t="str">
        <f t="shared" si="24"/>
        <v>10.1038%2Fs41559-019-0969-0_DQIdata</v>
      </c>
      <c r="L159" s="17" t="str">
        <f t="array" ref="L159">IFERROR(INDEX(AUTO_Public_TSV_FileList!$A$1:$A$1000,MATCH(TRUE(),EXACT(K159,IFERROR(_xlfn.TEXTBEFORE(AUTO_Public_TSV_FileList!$A$1:$A$1000,".tsv"),"")),0)),"notfound")</f>
        <v>10.1038%2Fs41559-019-0969-0_DQIdata.tsv</v>
      </c>
      <c r="M159" s="19" t="s">
        <v>859</v>
      </c>
      <c r="N159" s="19" t="s">
        <v>54</v>
      </c>
      <c r="O159" s="20"/>
      <c r="P159" s="20" t="s">
        <v>55</v>
      </c>
      <c r="Q159" s="20"/>
      <c r="R159" s="19" t="s">
        <v>846</v>
      </c>
      <c r="S159" s="20"/>
      <c r="T159" s="20"/>
      <c r="U159" s="20"/>
      <c r="V159" s="20"/>
      <c r="W159" s="19" t="s">
        <v>187</v>
      </c>
      <c r="X159" s="19"/>
      <c r="Y159" s="20"/>
      <c r="Z159" s="19"/>
      <c r="AA159" s="20"/>
      <c r="AB159" s="19"/>
      <c r="AC159" s="20"/>
      <c r="AD159" s="20"/>
      <c r="AE159" s="19" t="s">
        <v>265</v>
      </c>
      <c r="AF159" s="19"/>
      <c r="AG159" s="20"/>
      <c r="AH159" s="20"/>
    </row>
    <row r="160" spans="1:34" ht="17" customHeight="1" x14ac:dyDescent="0.2">
      <c r="A160" s="19" t="s">
        <v>843</v>
      </c>
      <c r="B160" s="20"/>
      <c r="C160" s="20"/>
      <c r="D160" s="19" t="s">
        <v>860</v>
      </c>
      <c r="E160" s="17" t="str">
        <f t="shared" si="18"/>
        <v>DeCasien</v>
      </c>
      <c r="F160" s="17"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60" s="17" t="str">
        <f t="shared" si="19"/>
        <v>2019</v>
      </c>
      <c r="H160" s="17" t="str">
        <f t="shared" si="20"/>
        <v>DeCasien_Higham_2019</v>
      </c>
      <c r="I160" s="17" t="str">
        <f t="shared" si="25"/>
        <v>10.1038%2Fs41559-019-0969-0</v>
      </c>
      <c r="J160" s="17" t="str">
        <f t="shared" si="21"/>
        <v>DeCasien_Higham_2019_GroupSizeDataaggregated</v>
      </c>
      <c r="K160" s="17" t="str">
        <f t="shared" si="24"/>
        <v>10.1038%2Fs41559-019-0969-0_GroupSizeDataaggregated</v>
      </c>
      <c r="L160" s="17" t="str">
        <f t="array" ref="L160">IFERROR(INDEX(AUTO_Public_TSV_FileList!$A$1:$A$1000,MATCH(TRUE(),EXACT(K160,IFERROR(_xlfn.TEXTBEFORE(AUTO_Public_TSV_FileList!$A$1:$A$1000,".tsv"),"")),0)),"notfound")</f>
        <v>10.1038%2Fs41559-019-0969-0_GroupSizeDataaggregated.tsv</v>
      </c>
      <c r="M160" s="19" t="s">
        <v>861</v>
      </c>
      <c r="N160" s="19" t="s">
        <v>54</v>
      </c>
      <c r="O160" s="20"/>
      <c r="P160" s="20" t="s">
        <v>55</v>
      </c>
      <c r="Q160" s="20"/>
      <c r="R160" s="19" t="s">
        <v>846</v>
      </c>
      <c r="S160" s="20"/>
      <c r="T160" s="20"/>
      <c r="U160" s="20"/>
      <c r="V160" s="20"/>
      <c r="W160" s="19" t="s">
        <v>187</v>
      </c>
      <c r="X160" s="19" t="s">
        <v>862</v>
      </c>
      <c r="Y160" s="20"/>
      <c r="Z160" s="19"/>
      <c r="AA160" s="20"/>
      <c r="AB160" s="19" t="s">
        <v>863</v>
      </c>
      <c r="AC160" s="20"/>
      <c r="AD160" s="20"/>
      <c r="AE160" s="19" t="s">
        <v>265</v>
      </c>
      <c r="AF160" s="19"/>
      <c r="AG160" s="20"/>
      <c r="AH160" s="20"/>
    </row>
    <row r="161" spans="1:36" ht="17" customHeight="1" x14ac:dyDescent="0.2">
      <c r="A161" s="19" t="s">
        <v>843</v>
      </c>
      <c r="B161" s="20"/>
      <c r="C161" s="20"/>
      <c r="D161" s="19" t="s">
        <v>864</v>
      </c>
      <c r="E161" s="17" t="str">
        <f t="shared" si="18"/>
        <v>DeCasien</v>
      </c>
      <c r="F161" s="17"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61" s="17" t="str">
        <f t="shared" si="19"/>
        <v>2019</v>
      </c>
      <c r="H161" s="17" t="str">
        <f t="shared" si="20"/>
        <v>DeCasien_Higham_2019</v>
      </c>
      <c r="I161" s="17" t="str">
        <f t="shared" si="25"/>
        <v>10.1038%2Fs41559-019-0969-0</v>
      </c>
      <c r="J161" s="17" t="str">
        <f t="shared" si="21"/>
        <v>DeCasien_Higham_2019_GroupSizeDatafrom38</v>
      </c>
      <c r="K161" s="17" t="str">
        <f t="shared" si="24"/>
        <v>10.1038%2Fs41559-019-0969-0_GroupSizeDatafrom38</v>
      </c>
      <c r="L161" s="17" t="str">
        <f t="array" ref="L161">IFERROR(INDEX(AUTO_Public_TSV_FileList!$A$1:$A$1000,MATCH(TRUE(),EXACT(K161,IFERROR(_xlfn.TEXTBEFORE(AUTO_Public_TSV_FileList!$A$1:$A$1000,".tsv"),"")),0)),"notfound")</f>
        <v>10.1038%2Fs41559-019-0969-0_GroupSizeDatafrom38.tsv</v>
      </c>
      <c r="M161" s="19" t="s">
        <v>861</v>
      </c>
      <c r="N161" s="19" t="s">
        <v>54</v>
      </c>
      <c r="O161" s="20"/>
      <c r="P161" s="20" t="s">
        <v>55</v>
      </c>
      <c r="Q161" s="20"/>
      <c r="R161" s="19" t="s">
        <v>846</v>
      </c>
      <c r="S161" s="20"/>
      <c r="T161" s="20"/>
      <c r="U161" s="20"/>
      <c r="V161" s="20"/>
      <c r="W161" s="19" t="s">
        <v>187</v>
      </c>
      <c r="X161" s="19" t="s">
        <v>862</v>
      </c>
      <c r="Y161" s="20"/>
      <c r="Z161" s="19"/>
      <c r="AA161" s="20"/>
      <c r="AB161" s="19" t="s">
        <v>863</v>
      </c>
      <c r="AC161" s="20"/>
      <c r="AD161" s="20"/>
      <c r="AE161" s="19" t="s">
        <v>265</v>
      </c>
      <c r="AF161" s="19"/>
      <c r="AG161" s="20"/>
      <c r="AH161" s="20"/>
    </row>
    <row r="162" spans="1:36" ht="17" customHeight="1" x14ac:dyDescent="0.2">
      <c r="A162" s="19" t="s">
        <v>843</v>
      </c>
      <c r="B162" s="20"/>
      <c r="C162" s="20"/>
      <c r="D162" s="19" t="s">
        <v>865</v>
      </c>
      <c r="E162" s="17" t="str">
        <f t="shared" si="18"/>
        <v>DeCasien</v>
      </c>
      <c r="F162" s="17"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62" s="17" t="str">
        <f t="shared" si="19"/>
        <v>2019</v>
      </c>
      <c r="H162" s="17" t="str">
        <f t="shared" si="20"/>
        <v>DeCasien_Higham_2019</v>
      </c>
      <c r="I162" s="17" t="str">
        <f t="shared" si="25"/>
        <v>10.1038%2Fs41559-019-0969-0</v>
      </c>
      <c r="J162" s="17" t="str">
        <f t="shared" si="21"/>
        <v>DeCasien_Higham_2019_referencesbraindata</v>
      </c>
      <c r="K162" s="17" t="str">
        <f t="shared" si="24"/>
        <v>10.1038%2Fs41559-019-0969-0_referencesbraindata</v>
      </c>
      <c r="L162" s="17" t="str">
        <f t="array" ref="L162">IFERROR(INDEX(AUTO_Public_TSV_FileList!$A$1:$A$1000,MATCH(TRUE(),EXACT(K162,IFERROR(_xlfn.TEXTBEFORE(AUTO_Public_TSV_FileList!$A$1:$A$1000,".tsv"),"")),0)),"notfound")</f>
        <v>10.1038%2Fs41559-019-0969-0_referencesbraindata.tsv</v>
      </c>
      <c r="M162" s="19" t="s">
        <v>865</v>
      </c>
      <c r="N162" s="19" t="s">
        <v>54</v>
      </c>
      <c r="O162" s="20"/>
      <c r="P162" s="20" t="s">
        <v>55</v>
      </c>
      <c r="Q162" s="20"/>
      <c r="R162" s="19" t="s">
        <v>846</v>
      </c>
      <c r="S162" s="20"/>
      <c r="T162" s="20"/>
      <c r="U162" s="20"/>
      <c r="V162" s="20"/>
      <c r="W162" s="19" t="s">
        <v>187</v>
      </c>
      <c r="X162" s="19"/>
      <c r="Y162" s="20"/>
      <c r="Z162" s="19"/>
      <c r="AA162" s="20"/>
      <c r="AB162" s="19"/>
      <c r="AC162" s="20"/>
      <c r="AD162" s="20"/>
      <c r="AE162" s="19" t="s">
        <v>265</v>
      </c>
      <c r="AF162" s="19"/>
      <c r="AG162" s="20"/>
      <c r="AH162" s="20"/>
    </row>
    <row r="163" spans="1:36" ht="17" customHeight="1" x14ac:dyDescent="0.2">
      <c r="A163" s="19" t="s">
        <v>843</v>
      </c>
      <c r="B163" s="20"/>
      <c r="C163" s="20"/>
      <c r="D163" s="19" t="s">
        <v>866</v>
      </c>
      <c r="E163" s="17" t="str">
        <f t="shared" si="18"/>
        <v>DeCasien</v>
      </c>
      <c r="F163" s="17"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63" s="17" t="str">
        <f t="shared" si="19"/>
        <v>2019</v>
      </c>
      <c r="H163" s="17" t="str">
        <f t="shared" si="20"/>
        <v>DeCasien_Higham_2019</v>
      </c>
      <c r="I163" s="17" t="str">
        <f t="shared" si="25"/>
        <v>10.1038%2Fs41559-019-0969-0</v>
      </c>
      <c r="J163" s="17" t="str">
        <f t="shared" si="21"/>
        <v>DeCasien_Higham_2019_SocialSystemData</v>
      </c>
      <c r="K163" s="17" t="str">
        <f t="shared" si="24"/>
        <v>10.1038%2Fs41559-019-0969-0_SocialSystemData</v>
      </c>
      <c r="L163" s="17" t="str">
        <f t="array" ref="L163">IFERROR(INDEX(AUTO_Public_TSV_FileList!$A$1:$A$1000,MATCH(TRUE(),EXACT(K163,IFERROR(_xlfn.TEXTBEFORE(AUTO_Public_TSV_FileList!$A$1:$A$1000,".tsv"),"")),0)),"notfound")</f>
        <v>10.1038%2Fs41559-019-0969-0_SocialSystemData.tsv</v>
      </c>
      <c r="M163" s="19" t="s">
        <v>867</v>
      </c>
      <c r="N163" s="19" t="s">
        <v>54</v>
      </c>
      <c r="O163" s="20"/>
      <c r="P163" s="20" t="s">
        <v>55</v>
      </c>
      <c r="Q163" s="20"/>
      <c r="R163" s="19" t="s">
        <v>846</v>
      </c>
      <c r="S163" s="20"/>
      <c r="T163" s="20"/>
      <c r="U163" s="20"/>
      <c r="V163" s="20"/>
      <c r="W163" s="19" t="s">
        <v>187</v>
      </c>
      <c r="X163" s="19" t="s">
        <v>862</v>
      </c>
      <c r="Y163" s="20"/>
      <c r="Z163" s="19"/>
      <c r="AA163" s="20"/>
      <c r="AB163" s="19" t="s">
        <v>863</v>
      </c>
      <c r="AC163" s="20"/>
      <c r="AD163" s="20"/>
      <c r="AE163" s="19" t="s">
        <v>265</v>
      </c>
      <c r="AF163" s="19"/>
      <c r="AG163" s="20"/>
      <c r="AH163" s="20"/>
    </row>
    <row r="164" spans="1:36" ht="17" customHeight="1" x14ac:dyDescent="0.2">
      <c r="A164" s="19" t="s">
        <v>843</v>
      </c>
      <c r="B164" s="20"/>
      <c r="C164" s="20"/>
      <c r="D164" s="19" t="s">
        <v>868</v>
      </c>
      <c r="E164" s="17" t="str">
        <f t="shared" si="18"/>
        <v>DeCasien</v>
      </c>
      <c r="F164" s="17"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64" s="17" t="str">
        <f t="shared" si="19"/>
        <v>2019</v>
      </c>
      <c r="H164" s="17" t="str">
        <f t="shared" si="20"/>
        <v>DeCasien_Higham_2019</v>
      </c>
      <c r="I164" s="17" t="str">
        <f t="shared" si="25"/>
        <v>10.1038%2Fs41559-019-0969-0</v>
      </c>
      <c r="J164" s="17" t="str">
        <f t="shared" si="21"/>
        <v>DeCasien_Higham_2019_SourceRefsfrom38</v>
      </c>
      <c r="K164" s="17" t="str">
        <f t="shared" si="24"/>
        <v>10.1038%2Fs41559-019-0969-0_SourceRefsfrom38</v>
      </c>
      <c r="L164" s="17" t="str">
        <f t="array" ref="L164">IFERROR(INDEX(AUTO_Public_TSV_FileList!$A$1:$A$1000,MATCH(TRUE(),EXACT(K164,IFERROR(_xlfn.TEXTBEFORE(AUTO_Public_TSV_FileList!$A$1:$A$1000,".tsv"),"")),0)),"notfound")</f>
        <v>10.1038%2Fs41559-019-0969-0_SourceRefsfrom38.tsv</v>
      </c>
      <c r="M164" s="19" t="s">
        <v>868</v>
      </c>
      <c r="N164" s="19" t="s">
        <v>54</v>
      </c>
      <c r="O164" s="20"/>
      <c r="P164" s="20" t="s">
        <v>55</v>
      </c>
      <c r="Q164" s="20"/>
      <c r="R164" s="19" t="s">
        <v>846</v>
      </c>
      <c r="S164" s="20"/>
      <c r="T164" s="20"/>
      <c r="U164" s="20"/>
      <c r="V164" s="20"/>
      <c r="W164" s="19" t="s">
        <v>187</v>
      </c>
      <c r="X164" s="19"/>
      <c r="Y164" s="20"/>
      <c r="Z164" s="19"/>
      <c r="AA164" s="20"/>
      <c r="AB164" s="19"/>
      <c r="AC164" s="20"/>
      <c r="AD164" s="20"/>
      <c r="AE164" s="19" t="s">
        <v>265</v>
      </c>
      <c r="AF164" s="19"/>
      <c r="AG164" s="20"/>
      <c r="AH164" s="20"/>
    </row>
    <row r="165" spans="1:36" ht="17" customHeight="1" x14ac:dyDescent="0.2">
      <c r="A165" s="23" t="s">
        <v>869</v>
      </c>
      <c r="B165" s="21"/>
      <c r="C165" s="21"/>
      <c r="D165" s="23" t="s">
        <v>870</v>
      </c>
      <c r="E165" s="17" t="str">
        <f t="shared" si="18"/>
        <v>DeCasien</v>
      </c>
      <c r="F165" s="17"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17" t="str">
        <f t="shared" si="19"/>
        <v>2017</v>
      </c>
      <c r="H165" s="17" t="str">
        <f t="shared" si="20"/>
        <v>DeCasien_etal_2017</v>
      </c>
      <c r="I165" s="17" t="str">
        <f t="shared" si="25"/>
        <v>10.1038%2Fs41559-017-0112</v>
      </c>
      <c r="J165" s="17" t="str">
        <f t="shared" si="21"/>
        <v>DeCasien_etal_2017_BrainData</v>
      </c>
      <c r="K165" s="17" t="str">
        <f t="shared" si="24"/>
        <v>10.1038%2Fs41559-017-0112_BrainData</v>
      </c>
      <c r="L165" s="17" t="str">
        <f t="array" ref="L165">IFERROR(INDEX(AUTO_Public_TSV_FileList!$A$1:$A$1000,MATCH(TRUE(),EXACT(K165,IFERROR(_xlfn.TEXTBEFORE(AUTO_Public_TSV_FileList!$A$1:$A$1000,".tsv"),"")),0)),"notfound")</f>
        <v>10.1038%2Fs41559-017-0112_BrainData.tsv</v>
      </c>
      <c r="M165" s="21"/>
      <c r="N165" s="19"/>
      <c r="O165" s="20"/>
      <c r="P165" s="20" t="s">
        <v>55</v>
      </c>
      <c r="Q165" s="21"/>
      <c r="R165" s="21"/>
      <c r="S165" s="21"/>
      <c r="T165" s="21"/>
      <c r="U165" s="21"/>
      <c r="V165" s="21"/>
      <c r="W165" s="23"/>
      <c r="X165" s="21"/>
      <c r="Y165" s="21"/>
      <c r="Z165" s="21"/>
      <c r="AA165" s="21"/>
      <c r="AB165" s="23"/>
      <c r="AC165" s="20"/>
      <c r="AD165" s="21"/>
      <c r="AE165" s="23"/>
      <c r="AF165" s="23"/>
      <c r="AG165" s="20"/>
      <c r="AH165" s="20"/>
    </row>
    <row r="166" spans="1:36" ht="15" customHeight="1" x14ac:dyDescent="0.2">
      <c r="A166" s="23" t="s">
        <v>869</v>
      </c>
      <c r="B166" s="21"/>
      <c r="C166" s="21"/>
      <c r="D166" s="23" t="s">
        <v>865</v>
      </c>
      <c r="E166" s="17" t="str">
        <f t="shared" si="18"/>
        <v>DeCasien</v>
      </c>
      <c r="F166" s="17"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17" t="str">
        <f t="shared" si="19"/>
        <v>2017</v>
      </c>
      <c r="H166" s="17" t="str">
        <f t="shared" si="20"/>
        <v>DeCasien_etal_2017</v>
      </c>
      <c r="I166" s="17" t="str">
        <f t="shared" si="25"/>
        <v>10.1038%2Fs41559-017-0112</v>
      </c>
      <c r="J166" s="17" t="str">
        <f t="shared" si="21"/>
        <v>DeCasien_etal_2017_referencesbraindata</v>
      </c>
      <c r="K166" s="17" t="str">
        <f t="shared" si="24"/>
        <v>10.1038%2Fs41559-017-0112_referencesbraindata</v>
      </c>
      <c r="L166" s="17" t="str">
        <f t="array" ref="L166">IFERROR(INDEX(AUTO_Public_TSV_FileList!$A$1:$A$1000,MATCH(TRUE(),EXACT(K166,IFERROR(_xlfn.TEXTBEFORE(AUTO_Public_TSV_FileList!$A$1:$A$1000,".tsv"),"")),0)),"notfound")</f>
        <v>10.1038%2Fs41559-017-0112_referencesbraindata.tsv</v>
      </c>
      <c r="M166" s="21"/>
      <c r="N166" s="19"/>
      <c r="O166" s="20"/>
      <c r="P166" s="20" t="s">
        <v>55</v>
      </c>
      <c r="Q166" s="21"/>
      <c r="R166" s="21"/>
      <c r="S166" s="21"/>
      <c r="T166" s="21"/>
      <c r="U166" s="21"/>
      <c r="V166" s="21"/>
      <c r="W166" s="23"/>
      <c r="X166" s="21"/>
      <c r="Y166" s="21"/>
      <c r="Z166" s="21"/>
      <c r="AA166" s="21"/>
      <c r="AB166" s="23"/>
      <c r="AC166" s="20"/>
      <c r="AD166" s="21"/>
      <c r="AE166" s="23"/>
      <c r="AF166" s="23"/>
      <c r="AG166" s="20"/>
      <c r="AH166" s="20"/>
    </row>
    <row r="167" spans="1:36" ht="17" customHeight="1" x14ac:dyDescent="0.2">
      <c r="A167" s="20" t="s">
        <v>4895</v>
      </c>
      <c r="B167" s="20"/>
      <c r="C167" s="20"/>
      <c r="D167" s="20" t="s">
        <v>4896</v>
      </c>
      <c r="E167" s="18" t="str">
        <f t="shared" si="18"/>
        <v>Deegan</v>
      </c>
      <c r="F167" s="17"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Jacobs</v>
      </c>
      <c r="G167" s="17" t="str">
        <f t="shared" si="19"/>
        <v>2001</v>
      </c>
      <c r="H167" s="18" t="str">
        <f t="shared" si="20"/>
        <v>Deegan_Jacobs_2001</v>
      </c>
      <c r="I167" s="18" t="str">
        <f>_xlfn.LET(_xlpm.doi,IF(C167&lt;&gt;"",C167,_xlfn.TEXTAFTER(A167,"https://doi.org/")),SUBSTITUTE(SUBSTITUTE(SUBSTITUTE(SUBSTITUTE(_xlpm.doi,"/","%2F"),":","%3A"),"&lt;","%3C"),"&gt;","%3E"))</f>
        <v>10.1159%2F000049915</v>
      </c>
      <c r="J167" s="18" t="str">
        <f t="shared" si="21"/>
        <v>Deegan_Jacobs_2001_Text:ResultsandDiscussion</v>
      </c>
      <c r="K167" s="17" t="str">
        <f t="shared" si="24"/>
        <v>10.1159%2F000049915_Text:ResultsandDiscussion</v>
      </c>
      <c r="L167" s="17" t="str">
        <f t="array" ref="L167">IFERROR(INDEX(AUTO_Public_TSV_FileList!$A$1:$A$1000,MATCH(TRUE(),EXACT(K167,IFERROR(_xlfn.TEXTBEFORE(AUTO_Public_TSV_FileList!$A$1:$A$1000,".tsv"),"")),0)),"notfound")</f>
        <v>notfound</v>
      </c>
      <c r="M167" s="20"/>
      <c r="N167" s="20" t="s">
        <v>4864</v>
      </c>
      <c r="O167" s="20" t="s">
        <v>4897</v>
      </c>
      <c r="P167" s="20" t="s">
        <v>4866</v>
      </c>
      <c r="Q167" s="20" t="s">
        <v>4898</v>
      </c>
      <c r="R167" s="20" t="s">
        <v>4899</v>
      </c>
      <c r="S167" s="20" t="s">
        <v>4869</v>
      </c>
      <c r="T167" s="20" t="s">
        <v>4870</v>
      </c>
      <c r="U167" s="20"/>
      <c r="V167" s="20" t="s">
        <v>4871</v>
      </c>
      <c r="W167" s="20" t="s">
        <v>187</v>
      </c>
      <c r="X167" s="20" t="s">
        <v>4900</v>
      </c>
      <c r="Y167" s="20"/>
      <c r="Z167" s="20" t="s">
        <v>4873</v>
      </c>
      <c r="AA167" s="20" t="s">
        <v>4874</v>
      </c>
      <c r="AB167" s="20" t="s">
        <v>4901</v>
      </c>
      <c r="AC167" s="20" t="s">
        <v>4902</v>
      </c>
      <c r="AD167" s="20" t="s">
        <v>689</v>
      </c>
      <c r="AE167" s="20" t="s">
        <v>70</v>
      </c>
      <c r="AF167" s="20" t="s">
        <v>4877</v>
      </c>
      <c r="AG167" s="20" t="s">
        <v>4878</v>
      </c>
      <c r="AH167" s="20" t="s">
        <v>4879</v>
      </c>
      <c r="AJ167" t="s">
        <v>4903</v>
      </c>
    </row>
    <row r="168" spans="1:36" ht="17" customHeight="1" x14ac:dyDescent="0.2">
      <c r="A168" s="19" t="s">
        <v>871</v>
      </c>
      <c r="B168" s="20"/>
      <c r="C168" s="20"/>
      <c r="D168" s="19" t="s">
        <v>53</v>
      </c>
      <c r="E168" s="17" t="str">
        <f t="shared" si="18"/>
        <v>Dell</v>
      </c>
      <c r="F168" s="17"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17" t="str">
        <f t="shared" si="19"/>
        <v>2016</v>
      </c>
      <c r="H168" s="17" t="str">
        <f t="shared" si="20"/>
        <v>Dell_etal_2016</v>
      </c>
      <c r="I168" s="17" t="str">
        <f>_xlfn.LET(
_xlpm.doi,IF(C168&lt;&gt;"",C168,_xlfn.TEXTAFTER(A168,"https://doi.org/")),
SUBSTITUTE(
SUBSTITUTE(
SUBSTITUTE(
SUBSTITUTE(
_xlpm.doi,
"/","%2F"),
":","%3A"),
"&lt;","%3C"),
"&gt;","%3E")
)</f>
        <v>10.1002%2Fcne.23929</v>
      </c>
      <c r="J168" s="17" t="str">
        <f t="shared" si="21"/>
        <v>Dell_etal_2016_Table4</v>
      </c>
      <c r="K168" s="17" t="str">
        <f t="shared" si="24"/>
        <v>10.1002%2Fcne.23929_Table4</v>
      </c>
      <c r="L168" s="17" t="str">
        <f t="array" ref="L168">IFERROR(INDEX(AUTO_Public_TSV_FileList!$A$1:$A$1000,MATCH(TRUE(),EXACT(K168,IFERROR(_xlfn.TEXTBEFORE(AUTO_Public_TSV_FileList!$A$1:$A$1000,".tsv"),"")),0)),"notfound")</f>
        <v>10.1002%2Fcne.23929_Table4.tsv</v>
      </c>
      <c r="M168" s="19"/>
      <c r="N168" s="19"/>
      <c r="O168" s="20" t="s">
        <v>872</v>
      </c>
      <c r="P168" s="20" t="s">
        <v>55</v>
      </c>
      <c r="Q168" s="20"/>
      <c r="R168" s="19"/>
      <c r="S168" s="20"/>
      <c r="T168" s="20"/>
      <c r="U168" s="20"/>
      <c r="V168" s="20"/>
      <c r="W168" s="19"/>
      <c r="X168" s="19"/>
      <c r="Y168" s="20"/>
      <c r="Z168" s="19"/>
      <c r="AA168" s="20"/>
      <c r="AB168" s="19"/>
      <c r="AC168" s="20"/>
      <c r="AD168" s="20"/>
      <c r="AE168" s="19"/>
      <c r="AF168" s="19"/>
      <c r="AG168" s="20"/>
      <c r="AH168" s="20"/>
    </row>
    <row r="169" spans="1:36" ht="17" customHeight="1" x14ac:dyDescent="0.2">
      <c r="A169" s="20" t="s">
        <v>873</v>
      </c>
      <c r="B169" s="20"/>
      <c r="C169" s="20"/>
      <c r="D169" s="20" t="s">
        <v>874</v>
      </c>
      <c r="E169" s="17" t="str">
        <f t="shared" si="18"/>
        <v>Demirci</v>
      </c>
      <c r="F169" s="17"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17" t="str">
        <f t="shared" si="19"/>
        <v>2023</v>
      </c>
      <c r="H169" s="17" t="str">
        <f t="shared" si="20"/>
        <v>Demirci_etal_2023</v>
      </c>
      <c r="I169" s="17" t="str">
        <f>_xlfn.LET(
_xlpm.doi,IF(C169&lt;&gt;"",C169,_xlfn.TEXTAFTER(A169,"https://doi.org/")),
SUBSTITUTE(
SUBSTITUTE(
SUBSTITUTE(
SUBSTITUTE(
_xlpm.doi,
"/","%2F"),
":","%3A"),
"&lt;","%3C"),
"&gt;","%3E")
)</f>
        <v>10.1016%2Fj.neuroimage.2023.120283</v>
      </c>
      <c r="J169" s="17" t="str">
        <f t="shared" si="21"/>
        <v>Demirci_etal_2023_Fig.1</v>
      </c>
      <c r="K169" s="17" t="str">
        <f t="shared" si="24"/>
        <v>10.1016%2Fj.neuroimage.2023.120283_Fig.1</v>
      </c>
      <c r="L169" s="17" t="str">
        <f t="array" ref="L169">IFERROR(INDEX(AUTO_Public_TSV_FileList!$A$1:$A$1000,MATCH(TRUE(),EXACT(K169,IFERROR(_xlfn.TEXTBEFORE(AUTO_Public_TSV_FileList!$A$1:$A$1000,".tsv"),"")),0)),"notfound")</f>
        <v>10.1016%2Fj.neuroimage.2023.120283_Fig.1.tsv</v>
      </c>
      <c r="M169" s="20" t="s">
        <v>875</v>
      </c>
      <c r="N169" s="20"/>
      <c r="O169" s="20"/>
      <c r="P169" s="20" t="s">
        <v>55</v>
      </c>
      <c r="Q169" s="20"/>
      <c r="R169" s="20"/>
      <c r="S169" s="20"/>
      <c r="T169" s="20"/>
      <c r="U169" s="20"/>
      <c r="V169" s="20"/>
      <c r="W169" s="20"/>
      <c r="X169" s="20"/>
      <c r="Y169" s="20"/>
      <c r="Z169" s="20"/>
      <c r="AA169" s="20"/>
      <c r="AB169" s="20"/>
      <c r="AC169" s="20"/>
      <c r="AD169" s="20"/>
      <c r="AE169" s="20"/>
      <c r="AF169" s="20"/>
      <c r="AG169" s="20"/>
      <c r="AH169" s="20"/>
    </row>
    <row r="170" spans="1:36" ht="17" customHeight="1" x14ac:dyDescent="0.2">
      <c r="A170" s="20" t="s">
        <v>4546</v>
      </c>
      <c r="B170" s="20"/>
      <c r="C170" s="20"/>
      <c r="D170" s="20" t="s">
        <v>554</v>
      </c>
      <c r="E170" s="18" t="str">
        <f t="shared" si="18"/>
        <v>Dlugosz</v>
      </c>
      <c r="F170" s="17"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17" t="str">
        <f t="shared" si="19"/>
        <v>2013</v>
      </c>
      <c r="H170" s="18" t="str">
        <f t="shared" si="20"/>
        <v>Dlugosz_etal_2013</v>
      </c>
      <c r="I170" s="18" t="str">
        <f>_xlfn.LET(_xlpm.doi,IF(C170&lt;&gt;"",C170,_xlfn.TEXTAFTER(A170,"https://doi.org/")),SUBSTITUTE(SUBSTITUTE(SUBSTITUTE(SUBSTITUTE(_xlpm.doi,"/","%2F"),":","%3A"),"&lt;","%3C"),"&gt;","%3E"))</f>
        <v>10.1242%2Fjeb.088914</v>
      </c>
      <c r="J170" s="18" t="str">
        <f t="shared" si="21"/>
        <v>Dlugosz_etal_2013_TableS1</v>
      </c>
      <c r="K170" s="17" t="str">
        <f t="shared" si="24"/>
        <v>10.1242%2Fjeb.088914_TableS1</v>
      </c>
      <c r="L170" s="17" t="str">
        <f t="array" ref="L170">IFERROR(INDEX(AUTO_Public_TSV_FileList!$A$1:$A$1000,MATCH(TRUE(),EXACT(K170,IFERROR(_xlfn.TEXTBEFORE(AUTO_Public_TSV_FileList!$A$1:$A$1000,".tsv"),"")),0)),"notfound")</f>
        <v>notfound</v>
      </c>
      <c r="M170" s="20"/>
      <c r="N170" s="20"/>
      <c r="O170" s="20"/>
      <c r="P170" s="20"/>
      <c r="Q170" s="20"/>
      <c r="R170" s="20"/>
      <c r="S170" s="20"/>
      <c r="T170" s="20"/>
      <c r="U170" s="20"/>
      <c r="V170" s="20"/>
      <c r="W170" s="20"/>
      <c r="X170" s="20"/>
      <c r="Y170" s="20"/>
      <c r="Z170" s="20"/>
      <c r="AA170" s="20"/>
      <c r="AB170" s="20"/>
      <c r="AC170" s="20"/>
      <c r="AD170" s="20"/>
      <c r="AE170" s="20"/>
      <c r="AF170" s="20"/>
      <c r="AG170" s="20"/>
      <c r="AH170" s="20"/>
    </row>
    <row r="171" spans="1:36" ht="17" customHeight="1" x14ac:dyDescent="0.2">
      <c r="A171" s="20" t="s">
        <v>876</v>
      </c>
      <c r="B171" s="20"/>
      <c r="C171" s="20"/>
      <c r="D171" s="20" t="s">
        <v>877</v>
      </c>
      <c r="E171" s="18" t="str">
        <f t="shared" si="18"/>
        <v>Dom</v>
      </c>
      <c r="F171" s="17"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17" t="str">
        <f t="shared" si="19"/>
        <v>1971</v>
      </c>
      <c r="H171" s="18" t="str">
        <f t="shared" si="20"/>
        <v>Dom_etal_1971</v>
      </c>
      <c r="I171" s="18" t="str">
        <f>_xlfn.LET(_xlpm.doi,IF(C171&lt;&gt;"",C171,_xlfn.TEXTAFTER(A171,"https://doi.org/")),SUBSTITUTE(SUBSTITUTE(SUBSTITUTE(SUBSTITUTE(_xlpm.doi,"/","%2F"),":","%3A"),"&lt;","%3C"),"&gt;","%3E"))</f>
        <v>10.1016%2F0022-510X(71)90092-X</v>
      </c>
      <c r="J171" s="18" t="str">
        <f t="shared" si="21"/>
        <v>Dom_etal_1971_motormapCST</v>
      </c>
      <c r="K171" s="17" t="str">
        <f t="shared" si="24"/>
        <v>10.1016%2F0022-510X(71)90092-X_motormapCST</v>
      </c>
      <c r="L171" s="17" t="str">
        <f t="array" ref="L171">IFERROR(INDEX(AUTO_Public_TSV_FileList!$A$1:$A$1000,MATCH(TRUE(),EXACT(K171,IFERROR(_xlfn.TEXTBEFORE(AUTO_Public_TSV_FileList!$A$1:$A$1000,".tsv"),"")),0)),"notfound")</f>
        <v>notfound</v>
      </c>
      <c r="M171" s="20" t="s">
        <v>878</v>
      </c>
      <c r="N171" s="20" t="s">
        <v>879</v>
      </c>
      <c r="O171" s="20" t="s">
        <v>880</v>
      </c>
      <c r="P171" s="20" t="s">
        <v>133</v>
      </c>
      <c r="Q171" s="20"/>
      <c r="R171" s="20" t="s">
        <v>881</v>
      </c>
      <c r="S171" s="20" t="s">
        <v>135</v>
      </c>
      <c r="T171" s="20" t="s">
        <v>882</v>
      </c>
      <c r="U171" s="20"/>
      <c r="V171" s="20" t="s">
        <v>883</v>
      </c>
      <c r="W171" s="20" t="s">
        <v>884</v>
      </c>
      <c r="X171" s="20" t="s">
        <v>885</v>
      </c>
      <c r="Y171" s="20"/>
      <c r="Z171" s="20" t="s">
        <v>886</v>
      </c>
      <c r="AA171" s="20" t="s">
        <v>887</v>
      </c>
      <c r="AB171" s="20" t="s">
        <v>888</v>
      </c>
      <c r="AC171" s="20" t="s">
        <v>889</v>
      </c>
      <c r="AD171" s="20"/>
      <c r="AE171" s="20" t="s">
        <v>50</v>
      </c>
      <c r="AF171" s="20"/>
      <c r="AG171" s="20" t="s">
        <v>890</v>
      </c>
      <c r="AH171" s="20"/>
    </row>
    <row r="172" spans="1:36" ht="17" customHeight="1" x14ac:dyDescent="0.2">
      <c r="A172" s="20" t="s">
        <v>891</v>
      </c>
      <c r="B172" s="20"/>
      <c r="C172" s="20"/>
      <c r="D172" s="20" t="s">
        <v>892</v>
      </c>
      <c r="E172" s="18" t="str">
        <f t="shared" si="18"/>
        <v>Dooley</v>
      </c>
      <c r="F172" s="17"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17" t="str">
        <f t="shared" si="19"/>
        <v>2012</v>
      </c>
      <c r="H172" s="18" t="str">
        <f t="shared" si="20"/>
        <v>Dooley_etal_2012</v>
      </c>
      <c r="I172" s="18" t="str">
        <f>_xlfn.LET(_xlpm.doi,IF(C172&lt;&gt;"",C172,_xlfn.TEXTAFTER(A172,"https://doi.org/")),SUBSTITUTE(SUBSTITUTE(SUBSTITUTE(SUBSTITUTE(_xlpm.doi,"/","%2F"),":","%3A"),"&lt;","%3C"),"&gt;","%3E"))</f>
        <v>10.1016%2Fj.neuroscience.2012.07.065</v>
      </c>
      <c r="J172" s="18" t="str">
        <f t="shared" si="21"/>
        <v>Dooley_etal_2012_DiscussionText</v>
      </c>
      <c r="K172" s="17" t="str">
        <f t="shared" si="24"/>
        <v>10.1016%2Fj.neuroscience.2012.07.065_DiscussionText</v>
      </c>
      <c r="L172" s="17" t="str">
        <f t="array" ref="L172">IFERROR(INDEX(AUTO_Public_TSV_FileList!$A$1:$A$1000,MATCH(TRUE(),EXACT(K172,IFERROR(_xlfn.TEXTBEFORE(AUTO_Public_TSV_FileList!$A$1:$A$1000,".tsv"),"")),0)),"notfound")</f>
        <v>10.1016%2Fj.neuroscience.2012.07.065_DiscussionText.tsv</v>
      </c>
      <c r="M172" s="20" t="s">
        <v>893</v>
      </c>
      <c r="N172" s="20" t="s">
        <v>659</v>
      </c>
      <c r="O172" s="20" t="s">
        <v>894</v>
      </c>
      <c r="P172" s="20"/>
      <c r="Q172" s="20"/>
      <c r="R172" s="20" t="s">
        <v>895</v>
      </c>
      <c r="S172" s="20"/>
      <c r="T172" s="20" t="s">
        <v>896</v>
      </c>
      <c r="U172" s="20"/>
      <c r="V172" s="20" t="s">
        <v>897</v>
      </c>
      <c r="W172" s="20" t="s">
        <v>898</v>
      </c>
      <c r="X172" s="20" t="s">
        <v>899</v>
      </c>
      <c r="Y172" s="20" t="s">
        <v>900</v>
      </c>
      <c r="Z172" s="20"/>
      <c r="AA172" s="20" t="s">
        <v>901</v>
      </c>
      <c r="AB172" s="20" t="s">
        <v>902</v>
      </c>
      <c r="AC172" s="20" t="s">
        <v>903</v>
      </c>
      <c r="AD172" s="20"/>
      <c r="AE172" s="20" t="s">
        <v>265</v>
      </c>
      <c r="AF172" s="20" t="s">
        <v>904</v>
      </c>
      <c r="AG172" s="20" t="s">
        <v>905</v>
      </c>
      <c r="AH172" s="20"/>
    </row>
    <row r="173" spans="1:36" ht="17" customHeight="1" x14ac:dyDescent="0.2">
      <c r="A173" s="20" t="s">
        <v>891</v>
      </c>
      <c r="B173" s="20"/>
      <c r="C173" s="20"/>
      <c r="D173" s="20" t="s">
        <v>500</v>
      </c>
      <c r="E173" s="18" t="str">
        <f t="shared" si="18"/>
        <v>Dooley</v>
      </c>
      <c r="F173" s="17"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17" t="str">
        <f t="shared" si="19"/>
        <v>2012</v>
      </c>
      <c r="H173" s="18" t="str">
        <f t="shared" si="20"/>
        <v>Dooley_etal_2012</v>
      </c>
      <c r="I173" s="18" t="str">
        <f>_xlfn.LET(_xlpm.doi,IF(C173&lt;&gt;"",C173,_xlfn.TEXTAFTER(A173,"https://doi.org/")),SUBSTITUTE(SUBSTITUTE(SUBSTITUTE(SUBSTITUTE(_xlpm.doi,"/","%2F"),":","%3A"),"&lt;","%3C"),"&gt;","%3E"))</f>
        <v>10.1016%2Fj.neuroscience.2012.07.065</v>
      </c>
      <c r="J173" s="18" t="str">
        <f t="shared" si="21"/>
        <v>Dooley_etal_2012_ResultsText</v>
      </c>
      <c r="K173" s="17" t="str">
        <f t="shared" si="24"/>
        <v>10.1016%2Fj.neuroscience.2012.07.065_ResultsText</v>
      </c>
      <c r="L173" s="17" t="str">
        <f t="array" ref="L173">IFERROR(INDEX(AUTO_Public_TSV_FileList!$A$1:$A$1000,MATCH(TRUE(),EXACT(K173,IFERROR(_xlfn.TEXTBEFORE(AUTO_Public_TSV_FileList!$A$1:$A$1000,".tsv"),"")),0)),"notfound")</f>
        <v>10.1016%2Fj.neuroscience.2012.07.065_ResultsText.tsv</v>
      </c>
      <c r="M173" s="20" t="s">
        <v>906</v>
      </c>
      <c r="N173" s="20" t="s">
        <v>659</v>
      </c>
      <c r="O173" s="20" t="s">
        <v>907</v>
      </c>
      <c r="P173" s="20"/>
      <c r="Q173" s="20"/>
      <c r="R173" s="20" t="s">
        <v>895</v>
      </c>
      <c r="S173" s="20"/>
      <c r="T173" s="20" t="s">
        <v>908</v>
      </c>
      <c r="U173" s="20"/>
      <c r="V173" s="20" t="s">
        <v>897</v>
      </c>
      <c r="W173" s="20" t="s">
        <v>909</v>
      </c>
      <c r="X173" s="20" t="s">
        <v>899</v>
      </c>
      <c r="Y173" s="20" t="s">
        <v>910</v>
      </c>
      <c r="Z173" s="20"/>
      <c r="AA173" s="20" t="s">
        <v>911</v>
      </c>
      <c r="AB173" s="20" t="s">
        <v>902</v>
      </c>
      <c r="AC173" s="20" t="s">
        <v>903</v>
      </c>
      <c r="AD173" s="20"/>
      <c r="AE173" s="20" t="s">
        <v>50</v>
      </c>
      <c r="AF173" s="20"/>
      <c r="AG173" s="20" t="s">
        <v>912</v>
      </c>
      <c r="AH173" s="20"/>
    </row>
    <row r="174" spans="1:36" ht="17" customHeight="1" x14ac:dyDescent="0.2">
      <c r="A174" s="19" t="s">
        <v>913</v>
      </c>
      <c r="B174" s="20"/>
      <c r="C174" s="20"/>
      <c r="D174" s="19" t="s">
        <v>86</v>
      </c>
      <c r="E174" s="17" t="str">
        <f t="shared" si="18"/>
        <v>DosSantos</v>
      </c>
      <c r="F174" s="17"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17" t="str">
        <f t="shared" si="19"/>
        <v>2020</v>
      </c>
      <c r="H174" s="17" t="str">
        <f t="shared" si="20"/>
        <v>DosSantos_etal_2020</v>
      </c>
      <c r="I174" s="17" t="str">
        <f t="shared" ref="I174:I180" si="26">_xlfn.LET(
_xlpm.doi,IF(C174&lt;&gt;"",C174,_xlfn.TEXTAFTER(A174,"https://doi.org/")),
SUBSTITUTE(
SUBSTITUTE(
SUBSTITUTE(
SUBSTITUTE(
_xlpm.doi,
"/","%2F"),
":","%3A"),
"&lt;","%3C"),
"&gt;","%3E")
)</f>
        <v>10.1523%2FJNEUROSCI.2339-19.2020</v>
      </c>
      <c r="J174" s="17" t="str">
        <f t="shared" si="21"/>
        <v>DosSantos_etal_2020_Table1</v>
      </c>
      <c r="K174" s="17" t="str">
        <f t="shared" si="24"/>
        <v>10.1523%2FJNEUROSCI.2339-19.2020_Table1</v>
      </c>
      <c r="L174" s="17" t="str">
        <f t="array" ref="L174">IFERROR(INDEX(AUTO_Public_TSV_FileList!$A$1:$A$1000,MATCH(TRUE(),EXACT(K174,IFERROR(_xlfn.TEXTBEFORE(AUTO_Public_TSV_FileList!$A$1:$A$1000,".tsv"),"")),0)),"notfound")</f>
        <v>10.1523%2FJNEUROSCI.2339-19.2020_Table1.tsv</v>
      </c>
      <c r="M174" s="20"/>
      <c r="N174" s="19" t="s">
        <v>54</v>
      </c>
      <c r="O174" s="20"/>
      <c r="P174" s="19" t="s">
        <v>55</v>
      </c>
      <c r="Q174" s="19"/>
      <c r="R174" s="20"/>
      <c r="S174" s="19" t="s">
        <v>914</v>
      </c>
      <c r="T174" s="20"/>
      <c r="U174" s="19" t="s">
        <v>915</v>
      </c>
      <c r="V174" s="19" t="s">
        <v>916</v>
      </c>
      <c r="W174" s="19" t="s">
        <v>224</v>
      </c>
      <c r="X174" s="19" t="s">
        <v>917</v>
      </c>
      <c r="Y174" s="20"/>
      <c r="Z174" s="20"/>
      <c r="AA174" s="19" t="s">
        <v>82</v>
      </c>
      <c r="AB174" s="19" t="s">
        <v>918</v>
      </c>
      <c r="AC174" s="19" t="s">
        <v>84</v>
      </c>
      <c r="AD174" s="19" t="s">
        <v>84</v>
      </c>
      <c r="AE174" s="19" t="s">
        <v>50</v>
      </c>
      <c r="AF174" s="19"/>
      <c r="AG174" s="20"/>
      <c r="AH174" s="20"/>
    </row>
    <row r="175" spans="1:36" ht="17" customHeight="1" x14ac:dyDescent="0.2">
      <c r="A175" s="19" t="s">
        <v>913</v>
      </c>
      <c r="B175" s="20"/>
      <c r="C175" s="20"/>
      <c r="D175" s="19" t="s">
        <v>919</v>
      </c>
      <c r="E175" s="17" t="str">
        <f t="shared" si="18"/>
        <v>DosSantos</v>
      </c>
      <c r="F175" s="17"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17" t="str">
        <f t="shared" si="19"/>
        <v>2020</v>
      </c>
      <c r="H175" s="17" t="str">
        <f t="shared" si="20"/>
        <v>DosSantos_etal_2020</v>
      </c>
      <c r="I175" s="17" t="str">
        <f t="shared" si="26"/>
        <v>10.1523%2FJNEUROSCI.2339-19.2020</v>
      </c>
      <c r="J175" s="17" t="str">
        <f t="shared" si="21"/>
        <v>DosSantos_etal_2020_unpublished</v>
      </c>
      <c r="K175" s="17" t="str">
        <f t="shared" si="24"/>
        <v>10.1523%2FJNEUROSCI.2339-19.2020_unpublished</v>
      </c>
      <c r="L175" s="17" t="str">
        <f t="array" ref="L175">IFERROR(INDEX(AUTO_Public_TSV_FileList!$A$1:$A$1000,MATCH(TRUE(),EXACT(K175,IFERROR(_xlfn.TEXTBEFORE(AUTO_Public_TSV_FileList!$A$1:$A$1000,".tsv"),"")),0)),"notfound")</f>
        <v>10.1523%2FJNEUROSCI.2339-19.2020_unpublished.tsv</v>
      </c>
      <c r="M175" s="20"/>
      <c r="N175" s="19" t="s">
        <v>54</v>
      </c>
      <c r="O175" s="20"/>
      <c r="P175" s="19" t="s">
        <v>55</v>
      </c>
      <c r="Q175" s="19"/>
      <c r="R175" s="19" t="s">
        <v>920</v>
      </c>
      <c r="S175" s="19" t="s">
        <v>921</v>
      </c>
      <c r="T175" s="20"/>
      <c r="U175" s="20"/>
      <c r="V175" s="19" t="s">
        <v>916</v>
      </c>
      <c r="W175" s="19" t="s">
        <v>224</v>
      </c>
      <c r="X175" s="19" t="s">
        <v>917</v>
      </c>
      <c r="Y175" s="20"/>
      <c r="Z175" s="20"/>
      <c r="AA175" s="19" t="s">
        <v>82</v>
      </c>
      <c r="AB175" s="19" t="s">
        <v>918</v>
      </c>
      <c r="AC175" s="19" t="s">
        <v>84</v>
      </c>
      <c r="AD175" s="19" t="s">
        <v>84</v>
      </c>
      <c r="AE175" s="19" t="s">
        <v>50</v>
      </c>
      <c r="AF175" s="19"/>
      <c r="AG175" s="20"/>
      <c r="AH175" s="20"/>
    </row>
    <row r="176" spans="1:36" ht="17" customHeight="1" x14ac:dyDescent="0.2">
      <c r="A176" s="19" t="s">
        <v>922</v>
      </c>
      <c r="B176" s="20"/>
      <c r="C176" s="20"/>
      <c r="D176" s="19" t="s">
        <v>390</v>
      </c>
      <c r="E176" s="17" t="str">
        <f t="shared" si="18"/>
        <v>DosSantos</v>
      </c>
      <c r="F176" s="17"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17" t="str">
        <f t="shared" si="19"/>
        <v>2017</v>
      </c>
      <c r="H176" s="17" t="str">
        <f t="shared" si="20"/>
        <v>DosSantos_etal_2017</v>
      </c>
      <c r="I176" s="17" t="str">
        <f t="shared" si="26"/>
        <v>10.1159%2F000452856</v>
      </c>
      <c r="J176" s="17" t="str">
        <f t="shared" si="21"/>
        <v>DosSantos_etal_2017_TableS1</v>
      </c>
      <c r="K176" s="17" t="str">
        <f t="shared" si="24"/>
        <v>10.1159%2F000452856_TableS1</v>
      </c>
      <c r="L176" s="17" t="str">
        <f t="array" ref="L176">IFERROR(INDEX(AUTO_Public_TSV_FileList!$A$1:$A$1000,MATCH(TRUE(),EXACT(K176,IFERROR(_xlfn.TEXTBEFORE(AUTO_Public_TSV_FileList!$A$1:$A$1000,".tsv"),"")),0)),"notfound")</f>
        <v>10.1159%2F000452856_TableS1.tsv</v>
      </c>
      <c r="M176" s="20"/>
      <c r="N176" s="19" t="s">
        <v>923</v>
      </c>
      <c r="O176" s="20"/>
      <c r="P176" s="19" t="s">
        <v>55</v>
      </c>
      <c r="Q176" s="19"/>
      <c r="R176" s="19" t="s">
        <v>924</v>
      </c>
      <c r="S176" s="19" t="s">
        <v>925</v>
      </c>
      <c r="T176" s="20"/>
      <c r="U176" s="20"/>
      <c r="V176" s="20"/>
      <c r="W176" s="19" t="s">
        <v>926</v>
      </c>
      <c r="X176" s="19" t="s">
        <v>917</v>
      </c>
      <c r="Y176" s="20"/>
      <c r="Z176" s="20"/>
      <c r="AA176" s="19" t="s">
        <v>82</v>
      </c>
      <c r="AB176" s="19" t="s">
        <v>83</v>
      </c>
      <c r="AC176" s="19" t="s">
        <v>84</v>
      </c>
      <c r="AD176" s="19" t="s">
        <v>84</v>
      </c>
      <c r="AE176" s="19" t="s">
        <v>50</v>
      </c>
      <c r="AF176" s="19"/>
      <c r="AG176" s="20"/>
      <c r="AH176" s="20"/>
    </row>
    <row r="177" spans="1:36" ht="17" customHeight="1" x14ac:dyDescent="0.2">
      <c r="A177" s="19" t="s">
        <v>948</v>
      </c>
      <c r="B177" s="20"/>
      <c r="C177" s="20"/>
      <c r="D177" s="19" t="s">
        <v>86</v>
      </c>
      <c r="E177" s="17" t="str">
        <f t="shared" si="18"/>
        <v>Dunbar</v>
      </c>
      <c r="F177" s="17"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7" s="17" t="str">
        <f t="shared" si="19"/>
        <v>1992</v>
      </c>
      <c r="H177" s="17" t="str">
        <f t="shared" si="20"/>
        <v>Dunbar__1992</v>
      </c>
      <c r="I177" s="17" t="str">
        <f t="shared" si="26"/>
        <v>10.1016%2F0047-2484(92)90081-J</v>
      </c>
      <c r="J177" s="17" t="str">
        <f t="shared" si="21"/>
        <v>Dunbar__1992_Table1</v>
      </c>
      <c r="K177" s="17" t="str">
        <f t="shared" si="24"/>
        <v>10.1016%2F0047-2484(92)90081-J_Table1</v>
      </c>
      <c r="L177" s="17" t="str">
        <f t="array" ref="L177">IFERROR(INDEX(AUTO_Public_TSV_FileList!$A$1:$A$1000,MATCH(TRUE(),EXACT(K177,IFERROR(_xlfn.TEXTBEFORE(AUTO_Public_TSV_FileList!$A$1:$A$1000,".tsv"),"")),0)),"notfound")</f>
        <v>10.1016%2F0047-2484(92)90081-J_Table1.tsv</v>
      </c>
      <c r="M177" s="20" t="s">
        <v>949</v>
      </c>
      <c r="N177" s="19"/>
      <c r="O177" s="20"/>
      <c r="P177" s="19" t="s">
        <v>55</v>
      </c>
      <c r="Q177" s="19"/>
      <c r="R177" s="19"/>
      <c r="S177" s="19"/>
      <c r="T177" s="20"/>
      <c r="U177" s="20"/>
      <c r="V177" s="20"/>
      <c r="W177" s="19"/>
      <c r="X177" s="19"/>
      <c r="Y177" s="20"/>
      <c r="Z177" s="20"/>
      <c r="AA177" s="19"/>
      <c r="AB177" s="19"/>
      <c r="AC177" s="19"/>
      <c r="AD177" s="19"/>
      <c r="AE177" s="19"/>
      <c r="AF177" s="19"/>
      <c r="AG177" s="20"/>
      <c r="AH177" s="20"/>
    </row>
    <row r="178" spans="1:36" ht="17" customHeight="1" x14ac:dyDescent="0.2">
      <c r="A178" s="20" t="s">
        <v>927</v>
      </c>
      <c r="B178" s="20"/>
      <c r="C178" s="20"/>
      <c r="D178" s="20" t="s">
        <v>86</v>
      </c>
      <c r="E178" s="17" t="str">
        <f t="shared" si="18"/>
        <v>Dunbar</v>
      </c>
      <c r="F178" s="17"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78" s="17" t="str">
        <f t="shared" si="19"/>
        <v>1998</v>
      </c>
      <c r="H178" s="17" t="str">
        <f t="shared" si="20"/>
        <v>Dunbar_Bever_1998</v>
      </c>
      <c r="I178" s="17" t="str">
        <f t="shared" si="26"/>
        <v>10.1111%2Fj.1439-0310.1998.tb00103.x</v>
      </c>
      <c r="J178" s="17" t="str">
        <f t="shared" si="21"/>
        <v>Dunbar_Bever_1998_Table1</v>
      </c>
      <c r="K178" s="17" t="str">
        <f t="shared" si="24"/>
        <v>10.1111%2Fj.1439-0310.1998.tb00103.x_Table1</v>
      </c>
      <c r="L178" s="17" t="str">
        <f t="array" ref="L178">IFERROR(INDEX(AUTO_Public_TSV_FileList!$A$1:$A$1000,MATCH(TRUE(),EXACT(K178,IFERROR(_xlfn.TEXTBEFORE(AUTO_Public_TSV_FileList!$A$1:$A$1000,".tsv"),"")),0)),"notfound")</f>
        <v>notfound</v>
      </c>
      <c r="M178" s="20" t="s">
        <v>928</v>
      </c>
      <c r="N178" s="20" t="s">
        <v>929</v>
      </c>
      <c r="O178" s="20" t="s">
        <v>930</v>
      </c>
      <c r="P178" s="20" t="s">
        <v>299</v>
      </c>
      <c r="Q178" s="20" t="s">
        <v>931</v>
      </c>
      <c r="R178" s="20" t="s">
        <v>932</v>
      </c>
      <c r="S178" s="20"/>
      <c r="T178" s="20"/>
      <c r="U178" s="20"/>
      <c r="V178" s="20"/>
      <c r="W178" s="20" t="s">
        <v>344</v>
      </c>
      <c r="X178" s="20" t="s">
        <v>933</v>
      </c>
      <c r="Y178" s="20" t="s">
        <v>934</v>
      </c>
      <c r="Z178" s="20" t="s">
        <v>935</v>
      </c>
      <c r="AA178" s="20" t="s">
        <v>936</v>
      </c>
      <c r="AB178" s="20" t="s">
        <v>937</v>
      </c>
      <c r="AC178" s="20"/>
      <c r="AD178" s="20"/>
      <c r="AE178" s="20" t="s">
        <v>265</v>
      </c>
      <c r="AF178" s="20" t="s">
        <v>938</v>
      </c>
      <c r="AG178" s="20"/>
      <c r="AH178" s="20"/>
    </row>
    <row r="179" spans="1:36" ht="17" customHeight="1" x14ac:dyDescent="0.2">
      <c r="A179" s="20" t="s">
        <v>927</v>
      </c>
      <c r="B179" s="20"/>
      <c r="C179" s="20"/>
      <c r="D179" s="20" t="s">
        <v>160</v>
      </c>
      <c r="E179" s="17" t="str">
        <f t="shared" si="18"/>
        <v>Dunbar</v>
      </c>
      <c r="F179" s="17"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79" s="17" t="str">
        <f t="shared" si="19"/>
        <v>1998</v>
      </c>
      <c r="H179" s="17" t="str">
        <f t="shared" si="20"/>
        <v>Dunbar_Bever_1998</v>
      </c>
      <c r="I179" s="17" t="str">
        <f t="shared" si="26"/>
        <v>10.1111%2Fj.1439-0310.1998.tb00103.x</v>
      </c>
      <c r="J179" s="17" t="str">
        <f t="shared" si="21"/>
        <v>Dunbar_Bever_1998_Table2</v>
      </c>
      <c r="K179" s="17" t="str">
        <f t="shared" ref="K179:K210" si="27">I179 &amp; "_" &amp; SUBSTITUTE(SUBSTITUTE(SUBSTITUTE(D179,CHAR(160),"")," ",""),"_","")</f>
        <v>10.1111%2Fj.1439-0310.1998.tb00103.x_Table2</v>
      </c>
      <c r="L179" s="17" t="str">
        <f t="array" ref="L179">IFERROR(INDEX(AUTO_Public_TSV_FileList!$A$1:$A$1000,MATCH(TRUE(),EXACT(K179,IFERROR(_xlfn.TEXTBEFORE(AUTO_Public_TSV_FileList!$A$1:$A$1000,".tsv"),"")),0)),"notfound")</f>
        <v>notfound</v>
      </c>
      <c r="M179" s="20" t="s">
        <v>939</v>
      </c>
      <c r="N179" s="20" t="s">
        <v>929</v>
      </c>
      <c r="O179" s="20" t="s">
        <v>940</v>
      </c>
      <c r="P179" s="20" t="s">
        <v>299</v>
      </c>
      <c r="Q179" s="20" t="s">
        <v>941</v>
      </c>
      <c r="R179" s="20" t="s">
        <v>932</v>
      </c>
      <c r="S179" s="20"/>
      <c r="T179" s="20"/>
      <c r="U179" s="20"/>
      <c r="V179" s="20"/>
      <c r="W179" s="20" t="s">
        <v>344</v>
      </c>
      <c r="X179" s="20" t="s">
        <v>933</v>
      </c>
      <c r="Y179" s="20" t="s">
        <v>934</v>
      </c>
      <c r="Z179" s="20" t="s">
        <v>935</v>
      </c>
      <c r="AA179" s="20" t="s">
        <v>936</v>
      </c>
      <c r="AB179" s="20" t="s">
        <v>937</v>
      </c>
      <c r="AC179" s="20"/>
      <c r="AD179" s="20"/>
      <c r="AE179" s="20" t="s">
        <v>265</v>
      </c>
      <c r="AF179" s="20" t="s">
        <v>938</v>
      </c>
      <c r="AG179" s="20"/>
      <c r="AH179" s="20"/>
    </row>
    <row r="180" spans="1:36" ht="17" customHeight="1" x14ac:dyDescent="0.2">
      <c r="A180" s="20" t="s">
        <v>927</v>
      </c>
      <c r="B180" s="20"/>
      <c r="C180" s="20"/>
      <c r="D180" s="20" t="s">
        <v>162</v>
      </c>
      <c r="E180" s="17" t="str">
        <f t="shared" si="18"/>
        <v>Dunbar</v>
      </c>
      <c r="F180" s="17"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80" s="17" t="str">
        <f t="shared" si="19"/>
        <v>1998</v>
      </c>
      <c r="H180" s="17" t="str">
        <f t="shared" si="20"/>
        <v>Dunbar_Bever_1998</v>
      </c>
      <c r="I180" s="17" t="str">
        <f t="shared" si="26"/>
        <v>10.1111%2Fj.1439-0310.1998.tb00103.x</v>
      </c>
      <c r="J180" s="17" t="str">
        <f t="shared" si="21"/>
        <v>Dunbar_Bever_1998_Table3</v>
      </c>
      <c r="K180" s="17" t="str">
        <f t="shared" si="27"/>
        <v>10.1111%2Fj.1439-0310.1998.tb00103.x_Table3</v>
      </c>
      <c r="L180" s="17" t="str">
        <f t="array" ref="L180">IFERROR(INDEX(AUTO_Public_TSV_FileList!$A$1:$A$1000,MATCH(TRUE(),EXACT(K180,IFERROR(_xlfn.TEXTBEFORE(AUTO_Public_TSV_FileList!$A$1:$A$1000,".tsv"),"")),0)),"notfound")</f>
        <v>notfound</v>
      </c>
      <c r="M180" s="20" t="s">
        <v>942</v>
      </c>
      <c r="N180" s="20" t="s">
        <v>929</v>
      </c>
      <c r="O180" s="20" t="s">
        <v>943</v>
      </c>
      <c r="P180" s="20" t="s">
        <v>299</v>
      </c>
      <c r="Q180" s="20" t="s">
        <v>944</v>
      </c>
      <c r="R180" s="20" t="s">
        <v>932</v>
      </c>
      <c r="S180" s="20"/>
      <c r="T180" s="20"/>
      <c r="U180" s="20"/>
      <c r="V180" s="20"/>
      <c r="W180" s="20" t="s">
        <v>945</v>
      </c>
      <c r="X180" s="20" t="s">
        <v>933</v>
      </c>
      <c r="Y180" s="20" t="s">
        <v>934</v>
      </c>
      <c r="Z180" s="20" t="s">
        <v>935</v>
      </c>
      <c r="AA180" s="20" t="s">
        <v>936</v>
      </c>
      <c r="AB180" s="20" t="s">
        <v>946</v>
      </c>
      <c r="AC180" s="20"/>
      <c r="AD180" s="20"/>
      <c r="AE180" s="20" t="s">
        <v>265</v>
      </c>
      <c r="AF180" s="20" t="s">
        <v>947</v>
      </c>
      <c r="AG180" s="20"/>
      <c r="AH180" s="20"/>
    </row>
    <row r="181" spans="1:36" ht="17" customHeight="1" x14ac:dyDescent="0.2">
      <c r="A181" s="20" t="s">
        <v>4904</v>
      </c>
      <c r="B181" s="20"/>
      <c r="C181" s="20"/>
      <c r="D181" s="20" t="s">
        <v>390</v>
      </c>
      <c r="E181" s="18" t="str">
        <f t="shared" si="18"/>
        <v>Dunn</v>
      </c>
      <c r="F181" s="17"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Smaers</v>
      </c>
      <c r="G181" s="17" t="str">
        <f t="shared" si="19"/>
        <v>2018</v>
      </c>
      <c r="H181" s="18" t="str">
        <f t="shared" si="20"/>
        <v>Dunn_Smaers_2018</v>
      </c>
      <c r="I181" s="18" t="str">
        <f>_xlfn.LET(_xlpm.doi,IF(C181&lt;&gt;"",C181,_xlfn.TEXTAFTER(A181,"https://doi.org/")),SUBSTITUTE(SUBSTITUTE(SUBSTITUTE(SUBSTITUTE(_xlpm.doi,"/","%2F"),":","%3A"),"&lt;","%3C"),"&gt;","%3E"))</f>
        <v>10.3389%2Ffnins.2018.00534</v>
      </c>
      <c r="J181" s="18" t="str">
        <f t="shared" si="21"/>
        <v>Dunn_Smaers_2018_TableS1</v>
      </c>
      <c r="K181" s="17" t="str">
        <f t="shared" si="27"/>
        <v>10.3389%2Ffnins.2018.00534_TableS1</v>
      </c>
      <c r="L181" s="17" t="str">
        <f t="array" ref="L181">IFERROR(INDEX(AUTO_Public_TSV_FileList!$A$1:$A$1000,MATCH(TRUE(),EXACT(K181,IFERROR(_xlfn.TEXTBEFORE(AUTO_Public_TSV_FileList!$A$1:$A$1000,".tsv"),"")),0)),"notfound")</f>
        <v>10.3389%2Ffnins.2018.00534_TableS1.tsv</v>
      </c>
      <c r="M181" s="20"/>
      <c r="N181" s="20" t="s">
        <v>4864</v>
      </c>
      <c r="O181" s="20" t="s">
        <v>4905</v>
      </c>
      <c r="P181" s="20" t="s">
        <v>4866</v>
      </c>
      <c r="Q181" s="20" t="s">
        <v>4906</v>
      </c>
      <c r="R181" s="20" t="s">
        <v>4907</v>
      </c>
      <c r="S181" s="20" t="s">
        <v>4869</v>
      </c>
      <c r="T181" s="20" t="s">
        <v>4870</v>
      </c>
      <c r="U181" s="20"/>
      <c r="V181" s="20" t="s">
        <v>4871</v>
      </c>
      <c r="W181" s="20" t="s">
        <v>187</v>
      </c>
      <c r="X181" s="20" t="s">
        <v>4908</v>
      </c>
      <c r="Y181" s="20"/>
      <c r="Z181" s="20" t="s">
        <v>4873</v>
      </c>
      <c r="AA181" s="20" t="s">
        <v>4874</v>
      </c>
      <c r="AB181" s="20" t="s">
        <v>4909</v>
      </c>
      <c r="AC181" s="20" t="s">
        <v>4910</v>
      </c>
      <c r="AD181" s="20" t="s">
        <v>689</v>
      </c>
      <c r="AE181" s="20" t="s">
        <v>265</v>
      </c>
      <c r="AF181" s="20" t="s">
        <v>4877</v>
      </c>
      <c r="AG181" s="20" t="s">
        <v>4878</v>
      </c>
      <c r="AH181" s="20" t="s">
        <v>4879</v>
      </c>
      <c r="AJ181" t="s">
        <v>4911</v>
      </c>
    </row>
    <row r="182" spans="1:36" ht="17" customHeight="1" x14ac:dyDescent="0.2">
      <c r="A182" s="19" t="s">
        <v>950</v>
      </c>
      <c r="B182" s="20"/>
      <c r="C182" s="20"/>
      <c r="D182" s="19" t="s">
        <v>77</v>
      </c>
      <c r="E182" s="17" t="str">
        <f t="shared" si="18"/>
        <v>Eagleman</v>
      </c>
      <c r="F182" s="17"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82" s="17" t="str">
        <f t="shared" si="19"/>
        <v>2021</v>
      </c>
      <c r="H182" s="17" t="str">
        <f t="shared" si="20"/>
        <v>Eagleman_Vaughn_2021</v>
      </c>
      <c r="I182" s="17" t="str">
        <f>_xlfn.LET(
_xlpm.doi,IF(C182&lt;&gt;"",C182,_xlfn.TEXTAFTER(A182,"https://doi.org/")),
SUBSTITUTE(
SUBSTITUTE(
SUBSTITUTE(
SUBSTITUTE(
_xlpm.doi,
"/","%2F"),
":","%3A"),
"&lt;","%3C"),
"&gt;","%3E")
)</f>
        <v>10.3389%2Ffnins.2021.632853</v>
      </c>
      <c r="J182" s="17" t="str">
        <f t="shared" si="21"/>
        <v>Eagleman_Vaughn_2021_TABLE1</v>
      </c>
      <c r="K182" s="17" t="str">
        <f t="shared" si="27"/>
        <v>10.3389%2Ffnins.2021.632853_TABLE1</v>
      </c>
      <c r="L182" s="17" t="str">
        <f t="array" ref="L182">IFERROR(INDEX(AUTO_Public_TSV_FileList!$A$1:$A$1000,MATCH(TRUE(),EXACT(K182,IFERROR(_xlfn.TEXTBEFORE(AUTO_Public_TSV_FileList!$A$1:$A$1000,".tsv"),"")),0)),"notfound")</f>
        <v>10.3389%2Ffnins.2021.632853_TABLE1.tsv</v>
      </c>
      <c r="M182" s="19" t="s">
        <v>951</v>
      </c>
      <c r="N182" s="20"/>
      <c r="O182" s="20"/>
      <c r="P182" s="19" t="s">
        <v>55</v>
      </c>
      <c r="Q182" s="20"/>
      <c r="R182" s="20"/>
      <c r="S182" s="20"/>
      <c r="T182" s="20"/>
      <c r="U182" s="20"/>
      <c r="V182" s="20"/>
      <c r="W182" s="19" t="s">
        <v>224</v>
      </c>
      <c r="X182" s="19" t="s">
        <v>952</v>
      </c>
      <c r="Y182" s="20"/>
      <c r="Z182" s="20"/>
      <c r="AA182" s="20"/>
      <c r="AB182" s="19" t="s">
        <v>953</v>
      </c>
      <c r="AC182" s="20"/>
      <c r="AD182" s="20"/>
      <c r="AE182" s="19" t="s">
        <v>265</v>
      </c>
      <c r="AF182" s="19"/>
      <c r="AG182" s="20"/>
      <c r="AH182" s="20"/>
    </row>
    <row r="183" spans="1:36" ht="17" customHeight="1" x14ac:dyDescent="0.2">
      <c r="A183" s="19" t="s">
        <v>954</v>
      </c>
      <c r="B183" s="20"/>
      <c r="C183" s="20"/>
      <c r="D183" s="19" t="s">
        <v>955</v>
      </c>
      <c r="E183" s="17" t="str">
        <f t="shared" si="18"/>
        <v>Ebinger</v>
      </c>
      <c r="F183" s="17"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3" s="17" t="str">
        <f t="shared" si="19"/>
        <v>1974</v>
      </c>
      <c r="H183" s="17" t="str">
        <f t="shared" si="20"/>
        <v>Ebinger__1974</v>
      </c>
      <c r="I183" s="17" t="str">
        <f>_xlfn.LET(
_xlpm.doi,IF(C183&lt;&gt;"",C183,_xlfn.TEXTAFTER(A183,"https://doi.org/")),
SUBSTITUTE(
SUBSTITUTE(
SUBSTITUTE(
SUBSTITUTE(
_xlpm.doi,
"/","%2F"),
":","%3A"),
"&lt;","%3C"),
"&gt;","%3E")
)</f>
        <v>10.1007%2FBF00522811</v>
      </c>
      <c r="J183" s="17" t="str">
        <f t="shared" si="21"/>
        <v>Ebinger__1974_Tables3-4</v>
      </c>
      <c r="K183" s="17" t="str">
        <f t="shared" si="27"/>
        <v>10.1007%2FBF00522811_Tables3-4</v>
      </c>
      <c r="L183" s="17" t="str">
        <f t="array" ref="L183">IFERROR(INDEX(AUTO_Public_TSV_FileList!$A$1:$A$1000,MATCH(TRUE(),EXACT(K183,IFERROR(_xlfn.TEXTBEFORE(AUTO_Public_TSV_FileList!$A$1:$A$1000,".tsv"),"")),0)),"notfound")</f>
        <v>10.1007%2FBF00522811_Tables3-4.tsv</v>
      </c>
      <c r="M183" s="19" t="s">
        <v>956</v>
      </c>
      <c r="N183" s="20"/>
      <c r="O183" s="20"/>
      <c r="P183" s="19" t="s">
        <v>55</v>
      </c>
      <c r="Q183" s="20"/>
      <c r="R183" s="20"/>
      <c r="S183" s="20"/>
      <c r="T183" s="20"/>
      <c r="U183" s="20"/>
      <c r="V183" s="20"/>
      <c r="W183" s="19"/>
      <c r="X183" s="19"/>
      <c r="Y183" s="20"/>
      <c r="Z183" s="20"/>
      <c r="AA183" s="20"/>
      <c r="AB183" s="19"/>
      <c r="AC183" s="20"/>
      <c r="AD183" s="20"/>
      <c r="AE183" s="19" t="s">
        <v>50</v>
      </c>
      <c r="AF183" s="19"/>
      <c r="AG183" s="20"/>
      <c r="AH183" s="20"/>
    </row>
    <row r="184" spans="1:36" ht="17" customHeight="1" x14ac:dyDescent="0.2">
      <c r="A184" s="21" t="s">
        <v>957</v>
      </c>
      <c r="B184" s="21"/>
      <c r="C184" s="21"/>
      <c r="D184" s="21" t="s">
        <v>110</v>
      </c>
      <c r="E184" s="17" t="str">
        <f t="shared" si="18"/>
        <v>Elston</v>
      </c>
      <c r="F184" s="17"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4" s="17" t="str">
        <f t="shared" si="19"/>
        <v>2000</v>
      </c>
      <c r="H184" s="17" t="str">
        <f t="shared" si="20"/>
        <v>Elston__2000</v>
      </c>
      <c r="I184" s="17" t="str">
        <f>_xlfn.LET(
_xlpm.doi,IF(C184&lt;&gt;"",C184,_xlfn.TEXTAFTER(A184,"https://doi.org/")),
SUBSTITUTE(
SUBSTITUTE(
SUBSTITUTE(
SUBSTITUTE(
_xlpm.doi,
"/","%2F"),
":","%3A"),
"&lt;","%3C"),
"&gt;","%3E")
)</f>
        <v>10.1523%2FJNEUROSCI.20-18-j0002.2000</v>
      </c>
      <c r="J184" s="17" t="str">
        <f t="shared" si="21"/>
        <v>Elston__2000_Figure2</v>
      </c>
      <c r="K184" s="17" t="str">
        <f t="shared" si="27"/>
        <v>10.1523%2FJNEUROSCI.20-18-j0002.2000_Figure2</v>
      </c>
      <c r="L184" s="17" t="str">
        <f t="array" ref="L184">IFERROR(INDEX(AUTO_Public_TSV_FileList!$A$1:$A$1000,MATCH(TRUE(),EXACT(K184,IFERROR(_xlfn.TEXTBEFORE(AUTO_Public_TSV_FileList!$A$1:$A$1000,".tsv"),"")),0)),"notfound")</f>
        <v>10.1523%2FJNEUROSCI.20-18-j0002.2000_Figure2.tsv</v>
      </c>
      <c r="M184" s="20"/>
      <c r="N184" s="21" t="s">
        <v>355</v>
      </c>
      <c r="O184" s="20"/>
      <c r="P184" s="21" t="s">
        <v>55</v>
      </c>
      <c r="Q184" s="21"/>
      <c r="R184" s="21" t="s">
        <v>958</v>
      </c>
      <c r="S184" s="21"/>
      <c r="T184" s="21" t="s">
        <v>357</v>
      </c>
      <c r="U184" s="21"/>
      <c r="V184" s="21" t="s">
        <v>358</v>
      </c>
      <c r="W184" s="21" t="s">
        <v>187</v>
      </c>
      <c r="X184" s="21" t="s">
        <v>359</v>
      </c>
      <c r="Y184" s="21" t="s">
        <v>959</v>
      </c>
      <c r="Z184" s="21"/>
      <c r="AA184" s="21" t="s">
        <v>361</v>
      </c>
      <c r="AB184" s="21" t="s">
        <v>362</v>
      </c>
      <c r="AC184" s="21"/>
      <c r="AD184" s="21"/>
      <c r="AE184" s="21" t="s">
        <v>960</v>
      </c>
      <c r="AF184" s="21"/>
      <c r="AG184" s="21" t="s">
        <v>961</v>
      </c>
      <c r="AH184" s="20"/>
    </row>
    <row r="185" spans="1:36" ht="17" customHeight="1" x14ac:dyDescent="0.2">
      <c r="A185" s="21" t="s">
        <v>962</v>
      </c>
      <c r="B185" s="21"/>
      <c r="C185" s="21"/>
      <c r="D185" s="21" t="s">
        <v>86</v>
      </c>
      <c r="E185" s="17" t="str">
        <f t="shared" si="18"/>
        <v>Elston</v>
      </c>
      <c r="F185" s="17"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17" t="str">
        <f t="shared" si="19"/>
        <v>2001</v>
      </c>
      <c r="H185" s="17" t="str">
        <f t="shared" si="20"/>
        <v>Elston_etal_2001</v>
      </c>
      <c r="I185" s="17" t="str">
        <f>_xlfn.LET(
_xlpm.doi,IF(C185&lt;&gt;"",C185,_xlfn.TEXTAFTER(A185,"https://doi.org/")),
SUBSTITUTE(
SUBSTITUTE(
SUBSTITUTE(
SUBSTITUTE(
_xlpm.doi,
"/","%2F"),
":","%3A"),
"&lt;","%3C"),
"&gt;","%3E")
)</f>
        <v>10.1523%2FJNEUROSCI.21-17-j0002.2001</v>
      </c>
      <c r="J185" s="17" t="str">
        <f t="shared" si="21"/>
        <v>Elston_etal_2001_Table1</v>
      </c>
      <c r="K185" s="17" t="str">
        <f t="shared" si="27"/>
        <v>10.1523%2FJNEUROSCI.21-17-j0002.2001_Table1</v>
      </c>
      <c r="L185" s="17" t="str">
        <f t="array" ref="L185">IFERROR(INDEX(AUTO_Public_TSV_FileList!$A$1:$A$1000,MATCH(TRUE(),EXACT(K185,IFERROR(_xlfn.TEXTBEFORE(AUTO_Public_TSV_FileList!$A$1:$A$1000,".tsv"),"")),0)),"notfound")</f>
        <v>10.1523%2FJNEUROSCI.21-17-j0002.2001_Table1.tsv</v>
      </c>
      <c r="M185" s="20"/>
      <c r="N185" s="21" t="s">
        <v>355</v>
      </c>
      <c r="O185" s="20"/>
      <c r="P185" s="21" t="s">
        <v>55</v>
      </c>
      <c r="Q185" s="21"/>
      <c r="R185" s="21" t="s">
        <v>963</v>
      </c>
      <c r="S185" s="21"/>
      <c r="T185" s="21" t="s">
        <v>357</v>
      </c>
      <c r="U185" s="21"/>
      <c r="V185" s="21" t="s">
        <v>358</v>
      </c>
      <c r="W185" s="21" t="s">
        <v>187</v>
      </c>
      <c r="X185" s="21" t="s">
        <v>359</v>
      </c>
      <c r="Y185" s="21" t="s">
        <v>964</v>
      </c>
      <c r="Z185" s="21"/>
      <c r="AA185" s="21" t="s">
        <v>361</v>
      </c>
      <c r="AB185" s="21" t="s">
        <v>362</v>
      </c>
      <c r="AC185" s="21"/>
      <c r="AD185" s="21"/>
      <c r="AE185" s="23" t="s">
        <v>70</v>
      </c>
      <c r="AF185" s="23"/>
      <c r="AG185" s="21" t="s">
        <v>965</v>
      </c>
      <c r="AH185" s="20"/>
    </row>
    <row r="186" spans="1:36" ht="17" customHeight="1" x14ac:dyDescent="0.2">
      <c r="A186" s="20" t="s">
        <v>966</v>
      </c>
      <c r="B186" s="20" t="s">
        <v>488</v>
      </c>
      <c r="C186" s="20"/>
      <c r="D186" s="20" t="s">
        <v>86</v>
      </c>
      <c r="E186" s="18" t="str">
        <f t="shared" si="18"/>
        <v>Elston</v>
      </c>
      <c r="F186" s="17"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17" t="str">
        <f t="shared" si="19"/>
        <v>2005</v>
      </c>
      <c r="H186" s="18" t="str">
        <f t="shared" si="20"/>
        <v>Elston_etal_2005_a</v>
      </c>
      <c r="I186" s="18" t="str">
        <f t="shared" ref="I186:I195" si="28">_xlfn.LET(_xlpm.doi,IF(C186&lt;&gt;"",C186,_xlfn.TEXTAFTER(A186,"https://doi.org/")),SUBSTITUTE(SUBSTITUTE(SUBSTITUTE(SUBSTITUTE(_xlpm.doi,"/","%2F"),":","%3A"),"&lt;","%3C"),"&gt;","%3E"))</f>
        <v>10.1016%2Fj.neuroscience.2005.04.054</v>
      </c>
      <c r="J186" s="18" t="str">
        <f t="shared" si="21"/>
        <v>Elston_etal_2005_a_Table1</v>
      </c>
      <c r="K186" s="17" t="str">
        <f t="shared" si="27"/>
        <v>10.1016%2Fj.neuroscience.2005.04.054_Table1</v>
      </c>
      <c r="L186" s="17" t="str">
        <f t="array" ref="L186">IFERROR(INDEX(AUTO_Public_TSV_FileList!$A$1:$A$1000,MATCH(TRUE(),EXACT(K186,IFERROR(_xlfn.TEXTBEFORE(AUTO_Public_TSV_FileList!$A$1:$A$1000,".tsv"),"")),0)),"notfound")</f>
        <v>10.1016%2Fj.neuroscience.2005.04.054_Table1.tsv</v>
      </c>
      <c r="M186" s="20" t="s">
        <v>967</v>
      </c>
      <c r="N186" s="20"/>
      <c r="O186" s="20"/>
      <c r="P186" s="20"/>
      <c r="Q186" s="20"/>
      <c r="R186" s="20"/>
      <c r="S186" s="20"/>
      <c r="T186" s="20"/>
      <c r="U186" s="20"/>
      <c r="V186" s="20"/>
      <c r="W186" s="20"/>
      <c r="X186" s="20"/>
      <c r="Y186" s="20"/>
      <c r="Z186" s="20"/>
      <c r="AA186" s="20"/>
      <c r="AB186" s="20"/>
      <c r="AC186" s="20"/>
      <c r="AD186" s="20"/>
      <c r="AE186" s="20"/>
      <c r="AF186" s="20"/>
      <c r="AG186" s="20"/>
      <c r="AH186" s="20"/>
    </row>
    <row r="187" spans="1:36" ht="17" customHeight="1" x14ac:dyDescent="0.2">
      <c r="A187" s="20" t="s">
        <v>966</v>
      </c>
      <c r="B187" s="20" t="s">
        <v>488</v>
      </c>
      <c r="C187" s="20"/>
      <c r="D187" s="20" t="s">
        <v>160</v>
      </c>
      <c r="E187" s="18" t="str">
        <f t="shared" si="18"/>
        <v>Elston</v>
      </c>
      <c r="F187" s="17"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17" t="str">
        <f t="shared" si="19"/>
        <v>2005</v>
      </c>
      <c r="H187" s="18" t="str">
        <f t="shared" si="20"/>
        <v>Elston_etal_2005_a</v>
      </c>
      <c r="I187" s="18" t="str">
        <f t="shared" si="28"/>
        <v>10.1016%2Fj.neuroscience.2005.04.054</v>
      </c>
      <c r="J187" s="18" t="str">
        <f t="shared" si="21"/>
        <v>Elston_etal_2005_a_Table2</v>
      </c>
      <c r="K187" s="17" t="str">
        <f t="shared" si="27"/>
        <v>10.1016%2Fj.neuroscience.2005.04.054_Table2</v>
      </c>
      <c r="L187" s="17" t="str">
        <f t="array" ref="L187">IFERROR(INDEX(AUTO_Public_TSV_FileList!$A$1:$A$1000,MATCH(TRUE(),EXACT(K187,IFERROR(_xlfn.TEXTBEFORE(AUTO_Public_TSV_FileList!$A$1:$A$1000,".tsv"),"")),0)),"notfound")</f>
        <v>10.1016%2Fj.neuroscience.2005.04.054_Table2.tsv</v>
      </c>
      <c r="M187" s="20" t="s">
        <v>968</v>
      </c>
      <c r="N187" s="20"/>
      <c r="O187" s="20"/>
      <c r="P187" s="20"/>
      <c r="Q187" s="20"/>
      <c r="R187" s="20"/>
      <c r="S187" s="20"/>
      <c r="T187" s="20"/>
      <c r="U187" s="20"/>
      <c r="V187" s="20"/>
      <c r="W187" s="20"/>
      <c r="X187" s="20"/>
      <c r="Y187" s="20"/>
      <c r="Z187" s="20"/>
      <c r="AA187" s="20"/>
      <c r="AB187" s="20"/>
      <c r="AC187" s="20"/>
      <c r="AD187" s="20"/>
      <c r="AE187" s="20"/>
      <c r="AF187" s="20"/>
      <c r="AG187" s="20"/>
      <c r="AH187" s="20"/>
    </row>
    <row r="188" spans="1:36" ht="17" customHeight="1" x14ac:dyDescent="0.2">
      <c r="A188" s="20" t="s">
        <v>966</v>
      </c>
      <c r="B188" s="20" t="s">
        <v>488</v>
      </c>
      <c r="C188" s="20"/>
      <c r="D188" s="20" t="s">
        <v>162</v>
      </c>
      <c r="E188" s="18" t="str">
        <f t="shared" si="18"/>
        <v>Elston</v>
      </c>
      <c r="F188" s="17"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17" t="str">
        <f t="shared" si="19"/>
        <v>2005</v>
      </c>
      <c r="H188" s="18" t="str">
        <f t="shared" si="20"/>
        <v>Elston_etal_2005_a</v>
      </c>
      <c r="I188" s="18" t="str">
        <f t="shared" si="28"/>
        <v>10.1016%2Fj.neuroscience.2005.04.054</v>
      </c>
      <c r="J188" s="18" t="str">
        <f t="shared" si="21"/>
        <v>Elston_etal_2005_a_Table3</v>
      </c>
      <c r="K188" s="17" t="str">
        <f t="shared" si="27"/>
        <v>10.1016%2Fj.neuroscience.2005.04.054_Table3</v>
      </c>
      <c r="L188" s="17" t="str">
        <f t="array" ref="L188">IFERROR(INDEX(AUTO_Public_TSV_FileList!$A$1:$A$1000,MATCH(TRUE(),EXACT(K188,IFERROR(_xlfn.TEXTBEFORE(AUTO_Public_TSV_FileList!$A$1:$A$1000,".tsv"),"")),0)),"notfound")</f>
        <v>10.1016%2Fj.neuroscience.2005.04.054_Table3.tsv</v>
      </c>
      <c r="M188" s="20" t="s">
        <v>969</v>
      </c>
      <c r="N188" s="20"/>
      <c r="O188" s="20"/>
      <c r="P188" s="20"/>
      <c r="Q188" s="20"/>
      <c r="R188" s="20"/>
      <c r="S188" s="20"/>
      <c r="T188" s="20"/>
      <c r="U188" s="20"/>
      <c r="V188" s="20"/>
      <c r="W188" s="20"/>
      <c r="X188" s="20"/>
      <c r="Y188" s="20"/>
      <c r="Z188" s="20"/>
      <c r="AA188" s="20"/>
      <c r="AB188" s="20"/>
      <c r="AC188" s="20"/>
      <c r="AD188" s="20"/>
      <c r="AE188" s="20"/>
      <c r="AF188" s="20"/>
      <c r="AG188" s="20"/>
      <c r="AH188" s="20"/>
    </row>
    <row r="189" spans="1:36" ht="17" customHeight="1" x14ac:dyDescent="0.2">
      <c r="A189" s="20" t="s">
        <v>966</v>
      </c>
      <c r="B189" s="20" t="s">
        <v>488</v>
      </c>
      <c r="C189" s="20"/>
      <c r="D189" s="20" t="s">
        <v>53</v>
      </c>
      <c r="E189" s="18" t="str">
        <f t="shared" si="18"/>
        <v>Elston</v>
      </c>
      <c r="F189" s="17"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17" t="str">
        <f t="shared" si="19"/>
        <v>2005</v>
      </c>
      <c r="H189" s="18" t="str">
        <f t="shared" si="20"/>
        <v>Elston_etal_2005_a</v>
      </c>
      <c r="I189" s="18" t="str">
        <f t="shared" si="28"/>
        <v>10.1016%2Fj.neuroscience.2005.04.054</v>
      </c>
      <c r="J189" s="18" t="str">
        <f t="shared" si="21"/>
        <v>Elston_etal_2005_a_Table4</v>
      </c>
      <c r="K189" s="17" t="str">
        <f t="shared" si="27"/>
        <v>10.1016%2Fj.neuroscience.2005.04.054_Table4</v>
      </c>
      <c r="L189" s="17" t="str">
        <f t="array" ref="L189">IFERROR(INDEX(AUTO_Public_TSV_FileList!$A$1:$A$1000,MATCH(TRUE(),EXACT(K189,IFERROR(_xlfn.TEXTBEFORE(AUTO_Public_TSV_FileList!$A$1:$A$1000,".tsv"),"")),0)),"notfound")</f>
        <v>notfound</v>
      </c>
      <c r="M189" s="20" t="s">
        <v>970</v>
      </c>
      <c r="N189" s="20"/>
      <c r="O189" s="20"/>
      <c r="P189" s="20"/>
      <c r="Q189" s="20"/>
      <c r="R189" s="20"/>
      <c r="S189" s="20"/>
      <c r="T189" s="20"/>
      <c r="U189" s="20"/>
      <c r="V189" s="20"/>
      <c r="W189" s="20"/>
      <c r="X189" s="20"/>
      <c r="Y189" s="20"/>
      <c r="Z189" s="20"/>
      <c r="AA189" s="20"/>
      <c r="AB189" s="20"/>
      <c r="AC189" s="20"/>
      <c r="AD189" s="20"/>
      <c r="AE189" s="20"/>
      <c r="AF189" s="20"/>
      <c r="AG189" s="20"/>
      <c r="AH189" s="20"/>
    </row>
    <row r="190" spans="1:36" ht="17" customHeight="1" x14ac:dyDescent="0.2">
      <c r="A190" s="20" t="s">
        <v>966</v>
      </c>
      <c r="B190" s="20" t="s">
        <v>488</v>
      </c>
      <c r="C190" s="20"/>
      <c r="D190" s="20" t="s">
        <v>164</v>
      </c>
      <c r="E190" s="18" t="str">
        <f t="shared" si="18"/>
        <v>Elston</v>
      </c>
      <c r="F190" s="17"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17" t="str">
        <f t="shared" si="19"/>
        <v>2005</v>
      </c>
      <c r="H190" s="18" t="str">
        <f t="shared" si="20"/>
        <v>Elston_etal_2005_a</v>
      </c>
      <c r="I190" s="18" t="str">
        <f t="shared" si="28"/>
        <v>10.1016%2Fj.neuroscience.2005.04.054</v>
      </c>
      <c r="J190" s="18" t="str">
        <f t="shared" si="21"/>
        <v>Elston_etal_2005_a_Table5</v>
      </c>
      <c r="K190" s="17" t="str">
        <f t="shared" si="27"/>
        <v>10.1016%2Fj.neuroscience.2005.04.054_Table5</v>
      </c>
      <c r="L190" s="17" t="str">
        <f t="array" ref="L190">IFERROR(INDEX(AUTO_Public_TSV_FileList!$A$1:$A$1000,MATCH(TRUE(),EXACT(K190,IFERROR(_xlfn.TEXTBEFORE(AUTO_Public_TSV_FileList!$A$1:$A$1000,".tsv"),"")),0)),"notfound")</f>
        <v>notfound</v>
      </c>
      <c r="M190" s="20" t="s">
        <v>971</v>
      </c>
      <c r="N190" s="20"/>
      <c r="O190" s="20"/>
      <c r="P190" s="20"/>
      <c r="Q190" s="20"/>
      <c r="R190" s="20"/>
      <c r="S190" s="20"/>
      <c r="T190" s="20"/>
      <c r="U190" s="20"/>
      <c r="V190" s="20"/>
      <c r="W190" s="20"/>
      <c r="X190" s="20"/>
      <c r="Y190" s="20"/>
      <c r="Z190" s="20"/>
      <c r="AA190" s="20"/>
      <c r="AB190" s="20"/>
      <c r="AC190" s="20"/>
      <c r="AD190" s="20"/>
      <c r="AE190" s="20"/>
      <c r="AF190" s="20"/>
      <c r="AG190" s="20"/>
      <c r="AH190" s="20"/>
    </row>
    <row r="191" spans="1:36" ht="17" customHeight="1" x14ac:dyDescent="0.2">
      <c r="A191" s="20" t="s">
        <v>966</v>
      </c>
      <c r="B191" s="20" t="s">
        <v>488</v>
      </c>
      <c r="C191" s="20"/>
      <c r="D191" s="20" t="s">
        <v>498</v>
      </c>
      <c r="E191" s="18" t="str">
        <f t="shared" si="18"/>
        <v>Elston</v>
      </c>
      <c r="F191" s="17"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17" t="str">
        <f t="shared" si="19"/>
        <v>2005</v>
      </c>
      <c r="H191" s="18" t="str">
        <f t="shared" si="20"/>
        <v>Elston_etal_2005_a</v>
      </c>
      <c r="I191" s="18" t="str">
        <f t="shared" si="28"/>
        <v>10.1016%2Fj.neuroscience.2005.04.054</v>
      </c>
      <c r="J191" s="18" t="str">
        <f t="shared" si="21"/>
        <v>Elston_etal_2005_a_Table6</v>
      </c>
      <c r="K191" s="17" t="str">
        <f t="shared" si="27"/>
        <v>10.1016%2Fj.neuroscience.2005.04.054_Table6</v>
      </c>
      <c r="L191" s="17" t="str">
        <f t="array" ref="L191">IFERROR(INDEX(AUTO_Public_TSV_FileList!$A$1:$A$1000,MATCH(TRUE(),EXACT(K191,IFERROR(_xlfn.TEXTBEFORE(AUTO_Public_TSV_FileList!$A$1:$A$1000,".tsv"),"")),0)),"notfound")</f>
        <v>notfound</v>
      </c>
      <c r="M191" s="20" t="s">
        <v>972</v>
      </c>
      <c r="N191" s="20"/>
      <c r="O191" s="20"/>
      <c r="P191" s="20"/>
      <c r="Q191" s="20"/>
      <c r="R191" s="20"/>
      <c r="S191" s="20"/>
      <c r="T191" s="20"/>
      <c r="U191" s="20"/>
      <c r="V191" s="20"/>
      <c r="W191" s="20"/>
      <c r="X191" s="20"/>
      <c r="Y191" s="20"/>
      <c r="Z191" s="20"/>
      <c r="AA191" s="20"/>
      <c r="AB191" s="20"/>
      <c r="AC191" s="20"/>
      <c r="AD191" s="20"/>
      <c r="AE191" s="20"/>
      <c r="AF191" s="20"/>
      <c r="AG191" s="20"/>
      <c r="AH191" s="20"/>
    </row>
    <row r="192" spans="1:36" ht="17" customHeight="1" x14ac:dyDescent="0.2">
      <c r="A192" s="20" t="s">
        <v>973</v>
      </c>
      <c r="B192" s="20" t="s">
        <v>493</v>
      </c>
      <c r="C192" s="20"/>
      <c r="D192" s="20" t="s">
        <v>77</v>
      </c>
      <c r="E192" s="18" t="str">
        <f t="shared" si="18"/>
        <v>Elston</v>
      </c>
      <c r="F192" s="17"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17" t="str">
        <f t="shared" si="19"/>
        <v>2005</v>
      </c>
      <c r="H192" s="18" t="str">
        <f t="shared" si="20"/>
        <v>Elston_etal_2005_b</v>
      </c>
      <c r="I192" s="18" t="str">
        <f t="shared" si="28"/>
        <v>10.1002%2Far.a.20217</v>
      </c>
      <c r="J192" s="18" t="str">
        <f t="shared" si="21"/>
        <v>Elston_etal_2005_b_TABLE1</v>
      </c>
      <c r="K192" s="17" t="str">
        <f t="shared" si="27"/>
        <v>10.1002%2Far.a.20217_TABLE1</v>
      </c>
      <c r="L192" s="17" t="str">
        <f t="array" ref="L192">IFERROR(INDEX(AUTO_Public_TSV_FileList!$A$1:$A$1000,MATCH(TRUE(),EXACT(K192,IFERROR(_xlfn.TEXTBEFORE(AUTO_Public_TSV_FileList!$A$1:$A$1000,".tsv"),"")),0)),"notfound")</f>
        <v>10.1002%2Far.a.20217_TABLE1.tsv</v>
      </c>
      <c r="M192" s="20" t="s">
        <v>974</v>
      </c>
      <c r="N192" s="20"/>
      <c r="O192" s="20"/>
      <c r="P192" s="20"/>
      <c r="Q192" s="20"/>
      <c r="R192" s="20" t="s">
        <v>975</v>
      </c>
      <c r="S192" s="20" t="s">
        <v>976</v>
      </c>
      <c r="T192" s="20" t="s">
        <v>977</v>
      </c>
      <c r="U192" s="20"/>
      <c r="V192" s="20" t="s">
        <v>358</v>
      </c>
      <c r="W192" s="20" t="s">
        <v>978</v>
      </c>
      <c r="X192" s="20" t="s">
        <v>979</v>
      </c>
      <c r="Y192" s="20"/>
      <c r="Z192" s="20" t="s">
        <v>980</v>
      </c>
      <c r="AA192" s="20" t="s">
        <v>981</v>
      </c>
      <c r="AB192" s="20" t="s">
        <v>982</v>
      </c>
      <c r="AC192" s="20" t="s">
        <v>983</v>
      </c>
      <c r="AD192" s="20"/>
      <c r="AE192" s="20" t="s">
        <v>50</v>
      </c>
      <c r="AF192" s="20"/>
      <c r="AG192" s="20" t="s">
        <v>984</v>
      </c>
      <c r="AH192" s="20"/>
    </row>
    <row r="193" spans="1:36" ht="17" customHeight="1" x14ac:dyDescent="0.2">
      <c r="A193" s="20" t="s">
        <v>973</v>
      </c>
      <c r="B193" s="20" t="s">
        <v>493</v>
      </c>
      <c r="C193" s="20"/>
      <c r="D193" s="20" t="s">
        <v>145</v>
      </c>
      <c r="E193" s="18" t="str">
        <f t="shared" si="18"/>
        <v>Elston</v>
      </c>
      <c r="F193" s="17"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17" t="str">
        <f t="shared" si="19"/>
        <v>2005</v>
      </c>
      <c r="H193" s="18" t="str">
        <f t="shared" si="20"/>
        <v>Elston_etal_2005_b</v>
      </c>
      <c r="I193" s="18" t="str">
        <f t="shared" si="28"/>
        <v>10.1002%2Far.a.20217</v>
      </c>
      <c r="J193" s="18" t="str">
        <f t="shared" si="21"/>
        <v>Elston_etal_2005_b_TABLE2</v>
      </c>
      <c r="K193" s="17" t="str">
        <f t="shared" si="27"/>
        <v>10.1002%2Far.a.20217_TABLE2</v>
      </c>
      <c r="L193" s="17" t="str">
        <f t="array" ref="L193">IFERROR(INDEX(AUTO_Public_TSV_FileList!$A$1:$A$1000,MATCH(TRUE(),EXACT(K193,IFERROR(_xlfn.TEXTBEFORE(AUTO_Public_TSV_FileList!$A$1:$A$1000,".tsv"),"")),0)),"notfound")</f>
        <v>10.1002%2Far.a.20217_TABLE2.tsv</v>
      </c>
      <c r="M193" s="20" t="s">
        <v>985</v>
      </c>
      <c r="N193" s="20"/>
      <c r="O193" s="20"/>
      <c r="P193" s="20"/>
      <c r="Q193" s="20"/>
      <c r="R193" s="20" t="s">
        <v>975</v>
      </c>
      <c r="S193" s="20" t="s">
        <v>976</v>
      </c>
      <c r="T193" s="20" t="s">
        <v>977</v>
      </c>
      <c r="U193" s="20"/>
      <c r="V193" s="20" t="s">
        <v>358</v>
      </c>
      <c r="W193" s="20" t="s">
        <v>978</v>
      </c>
      <c r="X193" s="20" t="s">
        <v>986</v>
      </c>
      <c r="Y193" s="20"/>
      <c r="Z193" s="20" t="s">
        <v>980</v>
      </c>
      <c r="AA193" s="20" t="s">
        <v>987</v>
      </c>
      <c r="AB193" s="20" t="s">
        <v>982</v>
      </c>
      <c r="AC193" s="20" t="s">
        <v>983</v>
      </c>
      <c r="AD193" s="20"/>
      <c r="AE193" s="20" t="s">
        <v>50</v>
      </c>
      <c r="AF193" s="20"/>
      <c r="AG193" s="20" t="s">
        <v>984</v>
      </c>
      <c r="AH193" s="20"/>
    </row>
    <row r="194" spans="1:36" ht="17" customHeight="1" x14ac:dyDescent="0.2">
      <c r="A194" s="20" t="s">
        <v>973</v>
      </c>
      <c r="B194" s="20" t="s">
        <v>493</v>
      </c>
      <c r="C194" s="20"/>
      <c r="D194" s="20" t="s">
        <v>147</v>
      </c>
      <c r="E194" s="18" t="str">
        <f t="shared" ref="E194:E257" si="29">SUBSTITUTE(SUBSTITUTE(_xlfn.TEXTBEFORE(A194,","), "-", ""), " ", "")</f>
        <v>Elston</v>
      </c>
      <c r="F194" s="17"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17" t="str">
        <f t="shared" ref="G194:G257" si="30">_xlfn.TEXTBEFORE(_xlfn.TEXTAFTER(A194, "("), ")")</f>
        <v>2005</v>
      </c>
      <c r="H194" s="18" t="str">
        <f t="shared" ref="H194:H257" si="31">SUBSTITUTE(SUBSTITUTE(E194 &amp; IF(F194&lt;&gt;"", "_" &amp; SUBSTITUTE(F194," ",""), "_") &amp; IF(G194&lt;&gt;"", "_" &amp; G194, "_") &amp; IF(B194&lt;&gt;"", "_" &amp; B194, ""),"'",""),"’","")</f>
        <v>Elston_etal_2005_b</v>
      </c>
      <c r="I194" s="18" t="str">
        <f t="shared" si="28"/>
        <v>10.1002%2Far.a.20217</v>
      </c>
      <c r="J194" s="18" t="str">
        <f t="shared" ref="J194:J257" si="32">TRIM(_xlfn.TEXTJOIN("_",FALSE(),H194,(SUBSTITUTE(SUBSTITUTE(D194," ",""), "_", ""))))</f>
        <v>Elston_etal_2005_b_TABLE3</v>
      </c>
      <c r="K194" s="17" t="str">
        <f t="shared" si="27"/>
        <v>10.1002%2Far.a.20217_TABLE3</v>
      </c>
      <c r="L194" s="17" t="str">
        <f t="array" ref="L194">IFERROR(INDEX(AUTO_Public_TSV_FileList!$A$1:$A$1000,MATCH(TRUE(),EXACT(K194,IFERROR(_xlfn.TEXTBEFORE(AUTO_Public_TSV_FileList!$A$1:$A$1000,".tsv"),"")),0)),"notfound")</f>
        <v>10.1002%2Far.a.20217_TABLE3.tsv</v>
      </c>
      <c r="M194" s="20" t="s">
        <v>988</v>
      </c>
      <c r="N194" s="20"/>
      <c r="O194" s="20"/>
      <c r="P194" s="20"/>
      <c r="Q194" s="20"/>
      <c r="R194" s="20" t="s">
        <v>975</v>
      </c>
      <c r="S194" s="20" t="s">
        <v>976</v>
      </c>
      <c r="T194" s="20" t="s">
        <v>989</v>
      </c>
      <c r="U194" s="20"/>
      <c r="V194" s="20" t="s">
        <v>358</v>
      </c>
      <c r="W194" s="20" t="s">
        <v>978</v>
      </c>
      <c r="X194" s="20" t="s">
        <v>990</v>
      </c>
      <c r="Y194" s="20"/>
      <c r="Z194" s="20" t="s">
        <v>980</v>
      </c>
      <c r="AA194" s="20" t="s">
        <v>991</v>
      </c>
      <c r="AB194" s="20" t="s">
        <v>982</v>
      </c>
      <c r="AC194" s="20" t="s">
        <v>983</v>
      </c>
      <c r="AD194" s="20"/>
      <c r="AE194" s="20" t="s">
        <v>50</v>
      </c>
      <c r="AF194" s="20"/>
      <c r="AG194" s="20" t="s">
        <v>984</v>
      </c>
      <c r="AH194" s="20"/>
    </row>
    <row r="195" spans="1:36" ht="17" customHeight="1" x14ac:dyDescent="0.2">
      <c r="A195" s="20" t="s">
        <v>973</v>
      </c>
      <c r="B195" s="20" t="s">
        <v>493</v>
      </c>
      <c r="C195" s="20"/>
      <c r="D195" s="20" t="s">
        <v>149</v>
      </c>
      <c r="E195" s="18" t="str">
        <f t="shared" si="29"/>
        <v>Elston</v>
      </c>
      <c r="F195" s="17"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17" t="str">
        <f t="shared" si="30"/>
        <v>2005</v>
      </c>
      <c r="H195" s="18" t="str">
        <f t="shared" si="31"/>
        <v>Elston_etal_2005_b</v>
      </c>
      <c r="I195" s="18" t="str">
        <f t="shared" si="28"/>
        <v>10.1002%2Far.a.20217</v>
      </c>
      <c r="J195" s="18" t="str">
        <f t="shared" si="32"/>
        <v>Elston_etal_2005_b_TABLE4</v>
      </c>
      <c r="K195" s="17" t="str">
        <f t="shared" si="27"/>
        <v>10.1002%2Far.a.20217_TABLE4</v>
      </c>
      <c r="L195" s="17" t="str">
        <f t="array" ref="L195">IFERROR(INDEX(AUTO_Public_TSV_FileList!$A$1:$A$1000,MATCH(TRUE(),EXACT(K195,IFERROR(_xlfn.TEXTBEFORE(AUTO_Public_TSV_FileList!$A$1:$A$1000,".tsv"),"")),0)),"notfound")</f>
        <v>notfound</v>
      </c>
      <c r="M195" s="21" t="s">
        <v>992</v>
      </c>
      <c r="N195" s="20"/>
      <c r="O195" s="21"/>
      <c r="P195" s="20"/>
      <c r="Q195" s="21"/>
      <c r="R195" s="20" t="s">
        <v>993</v>
      </c>
      <c r="S195" s="21" t="s">
        <v>976</v>
      </c>
      <c r="T195" s="21" t="s">
        <v>977</v>
      </c>
      <c r="U195" s="21"/>
      <c r="V195" s="21" t="s">
        <v>358</v>
      </c>
      <c r="W195" s="20" t="s">
        <v>978</v>
      </c>
      <c r="X195" s="21" t="s">
        <v>994</v>
      </c>
      <c r="Y195" s="20"/>
      <c r="Z195" s="20" t="s">
        <v>980</v>
      </c>
      <c r="AA195" s="21" t="s">
        <v>995</v>
      </c>
      <c r="AB195" s="21" t="s">
        <v>982</v>
      </c>
      <c r="AC195" s="20" t="s">
        <v>983</v>
      </c>
      <c r="AD195" s="20"/>
      <c r="AE195" s="20" t="s">
        <v>50</v>
      </c>
      <c r="AF195" s="20"/>
      <c r="AG195" s="21" t="s">
        <v>984</v>
      </c>
      <c r="AH195" s="20"/>
    </row>
    <row r="196" spans="1:36" ht="17" customHeight="1" x14ac:dyDescent="0.2">
      <c r="A196" s="21" t="s">
        <v>996</v>
      </c>
      <c r="B196" s="21"/>
      <c r="C196" s="21"/>
      <c r="D196" s="21" t="s">
        <v>86</v>
      </c>
      <c r="E196" s="17" t="str">
        <f t="shared" si="29"/>
        <v>Elston</v>
      </c>
      <c r="F196" s="17"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17" t="str">
        <f t="shared" si="30"/>
        <v>2006</v>
      </c>
      <c r="H196" s="17" t="str">
        <f t="shared" si="31"/>
        <v>Elston_etal_2006</v>
      </c>
      <c r="I196" s="17" t="str">
        <f>_xlfn.LET(
_xlpm.doi,IF(C196&lt;&gt;"",C196,_xlfn.TEXTAFTER(A196,"https://doi.org/")),
SUBSTITUTE(
SUBSTITUTE(
SUBSTITUTE(
SUBSTITUTE(
_xlpm.doi,
"/","%2F"),
":","%3A"),
"&lt;","%3C"),
"&gt;","%3E")
)</f>
        <v>10.1002%2Far.a.20278</v>
      </c>
      <c r="J196" s="17" t="str">
        <f t="shared" si="32"/>
        <v>Elston_etal_2006_Table1</v>
      </c>
      <c r="K196" s="17" t="str">
        <f t="shared" si="27"/>
        <v>10.1002%2Far.a.20278_Table1</v>
      </c>
      <c r="L196" s="17" t="str">
        <f t="array" ref="L196">IFERROR(INDEX(AUTO_Public_TSV_FileList!$A$1:$A$1000,MATCH(TRUE(),EXACT(K196,IFERROR(_xlfn.TEXTBEFORE(AUTO_Public_TSV_FileList!$A$1:$A$1000,".tsv"),"")),0)),"notfound")</f>
        <v>10.1002%2Far.a.20278_Table1.tsv</v>
      </c>
      <c r="M196" s="20"/>
      <c r="N196" s="21" t="s">
        <v>355</v>
      </c>
      <c r="O196" s="20"/>
      <c r="P196" s="21" t="s">
        <v>55</v>
      </c>
      <c r="Q196" s="21"/>
      <c r="R196" s="21" t="s">
        <v>997</v>
      </c>
      <c r="S196" s="21"/>
      <c r="T196" s="21" t="s">
        <v>357</v>
      </c>
      <c r="U196" s="21"/>
      <c r="V196" s="21" t="s">
        <v>358</v>
      </c>
      <c r="W196" s="21" t="s">
        <v>187</v>
      </c>
      <c r="X196" s="21" t="s">
        <v>359</v>
      </c>
      <c r="Y196" s="21" t="s">
        <v>998</v>
      </c>
      <c r="Z196" s="21"/>
      <c r="AA196" s="21" t="s">
        <v>361</v>
      </c>
      <c r="AB196" s="21" t="s">
        <v>362</v>
      </c>
      <c r="AC196" s="21"/>
      <c r="AD196" s="21"/>
      <c r="AE196" s="23" t="s">
        <v>70</v>
      </c>
      <c r="AF196" s="23"/>
      <c r="AG196" s="21" t="s">
        <v>999</v>
      </c>
      <c r="AH196" s="20"/>
    </row>
    <row r="197" spans="1:36" ht="17" customHeight="1" x14ac:dyDescent="0.2">
      <c r="A197" s="20" t="s">
        <v>1000</v>
      </c>
      <c r="B197" s="20"/>
      <c r="C197" s="20"/>
      <c r="D197" s="20" t="s">
        <v>1001</v>
      </c>
      <c r="E197" s="18" t="str">
        <f t="shared" si="29"/>
        <v>Ernest</v>
      </c>
      <c r="F197" s="17"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17" t="str">
        <f t="shared" si="30"/>
        <v>2003</v>
      </c>
      <c r="H197" s="18" t="str">
        <f t="shared" si="31"/>
        <v>Ernest__2003</v>
      </c>
      <c r="I197" s="18" t="str">
        <f>_xlfn.LET(_xlpm.doi,IF(C197&lt;&gt;"",C197,_xlfn.TEXTAFTER(A197,"https://doi.org/")),SUBSTITUTE(SUBSTITUTE(SUBSTITUTE(SUBSTITUTE(_xlpm.doi,"/","%2F"),":","%3A"),"&lt;","%3C"),"&gt;","%3E"))</f>
        <v>10.1890%2F02-9002</v>
      </c>
      <c r="J197" s="18" t="str">
        <f t="shared" si="32"/>
        <v>Ernest__2003_Mammallifehistoriesv2.txt</v>
      </c>
      <c r="K197" s="17" t="str">
        <f t="shared" si="27"/>
        <v>10.1890%2F02-9002_Mammallifehistoriesv2.txt</v>
      </c>
      <c r="L197" s="17" t="str">
        <f t="array" ref="L197">IFERROR(INDEX(AUTO_Public_TSV_FileList!$A$1:$A$1000,MATCH(TRUE(),EXACT(K197,IFERROR(_xlfn.TEXTBEFORE(AUTO_Public_TSV_FileList!$A$1:$A$1000,".tsv"),"")),0)),"notfound")</f>
        <v>10.1890%2F02-9002_Mammallifehistoriesv2.txt.tsv</v>
      </c>
      <c r="M197" s="20" t="s">
        <v>1002</v>
      </c>
      <c r="N197" s="20" t="s">
        <v>1003</v>
      </c>
      <c r="O197" s="20" t="s">
        <v>1004</v>
      </c>
      <c r="P197" s="20" t="s">
        <v>1005</v>
      </c>
      <c r="Q197" s="20" t="s">
        <v>1006</v>
      </c>
      <c r="R197" s="20" t="s">
        <v>1007</v>
      </c>
      <c r="S197" s="20"/>
      <c r="T197" s="20" t="s">
        <v>1008</v>
      </c>
      <c r="U197" s="20"/>
      <c r="V197" s="20" t="s">
        <v>1009</v>
      </c>
      <c r="W197" s="20" t="s">
        <v>1010</v>
      </c>
      <c r="X197" s="20" t="s">
        <v>1011</v>
      </c>
      <c r="Y197" s="20"/>
      <c r="Z197" s="20"/>
      <c r="AA197" s="20" t="s">
        <v>1012</v>
      </c>
      <c r="AB197" s="20" t="s">
        <v>1013</v>
      </c>
      <c r="AC197" s="20"/>
      <c r="AD197" s="20"/>
      <c r="AE197" s="20" t="s">
        <v>265</v>
      </c>
      <c r="AF197" s="20" t="s">
        <v>1014</v>
      </c>
      <c r="AG197" s="20" t="s">
        <v>1015</v>
      </c>
      <c r="AH197" s="20" t="s">
        <v>352</v>
      </c>
    </row>
    <row r="198" spans="1:36" ht="17" customHeight="1" x14ac:dyDescent="0.2">
      <c r="A198" s="20" t="s">
        <v>1016</v>
      </c>
      <c r="B198" s="20"/>
      <c r="C198" s="20"/>
      <c r="D198" s="19" t="s">
        <v>77</v>
      </c>
      <c r="E198" s="17" t="str">
        <f t="shared" si="29"/>
        <v>Falcone</v>
      </c>
      <c r="F198" s="17"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17" t="str">
        <f t="shared" si="30"/>
        <v>2019</v>
      </c>
      <c r="H198" s="17" t="str">
        <f t="shared" si="31"/>
        <v>Falcone_etal_2019</v>
      </c>
      <c r="I198" s="17" t="str">
        <f>_xlfn.LET(
_xlpm.doi,IF(C198&lt;&gt;"",C198,_xlfn.TEXTAFTER(A198,"https://doi.org/")),
SUBSTITUTE(
SUBSTITUTE(
SUBSTITUTE(
SUBSTITUTE(
_xlpm.doi,
"/","%2F"),
":","%3A"),
"&lt;","%3C"),
"&gt;","%3E")
)</f>
        <v>10.1002%2Fcne.24605</v>
      </c>
      <c r="J198" s="17" t="str">
        <f t="shared" si="32"/>
        <v>Falcone_etal_2019_TABLE1</v>
      </c>
      <c r="K198" s="17" t="str">
        <f t="shared" si="27"/>
        <v>10.1002%2Fcne.24605_TABLE1</v>
      </c>
      <c r="L198" s="17" t="str">
        <f t="array" ref="L198">IFERROR(INDEX(AUTO_Public_TSV_FileList!$A$1:$A$1000,MATCH(TRUE(),EXACT(K198,IFERROR(_xlfn.TEXTBEFORE(AUTO_Public_TSV_FileList!$A$1:$A$1000,".tsv"),"")),0)),"notfound")</f>
        <v>10.1002%2Fcne.24605_TABLE1.tsv</v>
      </c>
      <c r="M198" s="19" t="s">
        <v>1017</v>
      </c>
      <c r="N198" s="20"/>
      <c r="O198" s="20"/>
      <c r="P198" s="19" t="s">
        <v>55</v>
      </c>
      <c r="Q198" s="20"/>
      <c r="R198" s="20"/>
      <c r="S198" s="20"/>
      <c r="T198" s="20"/>
      <c r="U198" s="20"/>
      <c r="V198" s="20"/>
      <c r="W198" s="19" t="s">
        <v>1018</v>
      </c>
      <c r="X198" s="19" t="s">
        <v>1019</v>
      </c>
      <c r="Y198" s="20"/>
      <c r="Z198" s="20"/>
      <c r="AA198" s="20"/>
      <c r="AB198" s="19" t="s">
        <v>1020</v>
      </c>
      <c r="AC198" s="20"/>
      <c r="AD198" s="20"/>
      <c r="AE198" s="19" t="s">
        <v>50</v>
      </c>
      <c r="AF198" s="19"/>
      <c r="AG198" s="20"/>
      <c r="AH198" s="20"/>
    </row>
    <row r="199" spans="1:36" ht="17" customHeight="1" x14ac:dyDescent="0.2">
      <c r="A199" s="20" t="s">
        <v>1016</v>
      </c>
      <c r="B199" s="20"/>
      <c r="C199" s="20"/>
      <c r="D199" s="19" t="s">
        <v>145</v>
      </c>
      <c r="E199" s="17" t="str">
        <f t="shared" si="29"/>
        <v>Falcone</v>
      </c>
      <c r="F199" s="17"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17" t="str">
        <f t="shared" si="30"/>
        <v>2019</v>
      </c>
      <c r="H199" s="17" t="str">
        <f t="shared" si="31"/>
        <v>Falcone_etal_2019</v>
      </c>
      <c r="I199" s="17" t="str">
        <f>_xlfn.LET(
_xlpm.doi,IF(C199&lt;&gt;"",C199,_xlfn.TEXTAFTER(A199,"https://doi.org/")),
SUBSTITUTE(
SUBSTITUTE(
SUBSTITUTE(
SUBSTITUTE(
_xlpm.doi,
"/","%2F"),
":","%3A"),
"&lt;","%3C"),
"&gt;","%3E")
)</f>
        <v>10.1002%2Fcne.24605</v>
      </c>
      <c r="J199" s="17" t="str">
        <f t="shared" si="32"/>
        <v>Falcone_etal_2019_TABLE2</v>
      </c>
      <c r="K199" s="17" t="str">
        <f t="shared" si="27"/>
        <v>10.1002%2Fcne.24605_TABLE2</v>
      </c>
      <c r="L199" s="17" t="str">
        <f t="array" ref="L199">IFERROR(INDEX(AUTO_Public_TSV_FileList!$A$1:$A$1000,MATCH(TRUE(),EXACT(K199,IFERROR(_xlfn.TEXTBEFORE(AUTO_Public_TSV_FileList!$A$1:$A$1000,".tsv"),"")),0)),"notfound")</f>
        <v>10.1002%2Fcne.24605_TABLE2.tsv</v>
      </c>
      <c r="M199" s="19" t="s">
        <v>1021</v>
      </c>
      <c r="N199" s="20"/>
      <c r="O199" s="20"/>
      <c r="P199" s="19" t="s">
        <v>55</v>
      </c>
      <c r="Q199" s="20"/>
      <c r="R199" s="20"/>
      <c r="S199" s="20"/>
      <c r="T199" s="20"/>
      <c r="U199" s="20"/>
      <c r="V199" s="20"/>
      <c r="W199" s="19" t="s">
        <v>1018</v>
      </c>
      <c r="X199" s="19" t="s">
        <v>1019</v>
      </c>
      <c r="Y199" s="20"/>
      <c r="Z199" s="20"/>
      <c r="AA199" s="20"/>
      <c r="AB199" s="19" t="s">
        <v>1020</v>
      </c>
      <c r="AC199" s="20"/>
      <c r="AD199" s="20"/>
      <c r="AE199" s="19" t="s">
        <v>50</v>
      </c>
      <c r="AF199" s="19"/>
      <c r="AG199" s="20"/>
      <c r="AH199" s="20"/>
    </row>
    <row r="200" spans="1:36" ht="17" customHeight="1" x14ac:dyDescent="0.2">
      <c r="A200" s="20" t="s">
        <v>1022</v>
      </c>
      <c r="B200" s="20"/>
      <c r="C200" s="20"/>
      <c r="D200" s="20" t="s">
        <v>160</v>
      </c>
      <c r="E200" s="18" t="str">
        <f t="shared" si="29"/>
        <v>Felleman</v>
      </c>
      <c r="F200" s="17"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200" s="17" t="str">
        <f t="shared" si="30"/>
        <v>1991</v>
      </c>
      <c r="H200" s="18" t="str">
        <f t="shared" si="31"/>
        <v>Felleman_VanEssen_1991</v>
      </c>
      <c r="I200" s="18" t="str">
        <f>_xlfn.LET(_xlpm.doi,IF(C200&lt;&gt;"",C200,_xlfn.TEXTAFTER(A200,"https://doi.org/")),SUBSTITUTE(SUBSTITUTE(SUBSTITUTE(SUBSTITUTE(_xlpm.doi,"/","%2F"),":","%3A"),"&lt;","%3C"),"&gt;","%3E"))</f>
        <v>10.1093%2Fcercor%2F1.1.1</v>
      </c>
      <c r="J200" s="18" t="str">
        <f t="shared" si="32"/>
        <v>Felleman_VanEssen_1991_Table2</v>
      </c>
      <c r="K200" s="17" t="str">
        <f t="shared" si="27"/>
        <v>10.1093%2Fcercor%2F1.1.1_Table2</v>
      </c>
      <c r="L200" s="17" t="str">
        <f t="array" ref="L200">IFERROR(INDEX(AUTO_Public_TSV_FileList!$A$1:$A$1000,MATCH(TRUE(),EXACT(K200,IFERROR(_xlfn.TEXTBEFORE(AUTO_Public_TSV_FileList!$A$1:$A$1000,".tsv"),"")),0)),"notfound")</f>
        <v>10.1093%2Fcercor%2F1.1.1_Table2.tsv</v>
      </c>
      <c r="M200" s="20"/>
      <c r="N200" s="20" t="s">
        <v>1023</v>
      </c>
      <c r="O200" s="20" t="s">
        <v>1024</v>
      </c>
      <c r="P200" s="20" t="s">
        <v>503</v>
      </c>
      <c r="Q200" s="20" t="s">
        <v>1025</v>
      </c>
      <c r="R200" s="20" t="s">
        <v>1026</v>
      </c>
      <c r="S200" s="20" t="s">
        <v>1027</v>
      </c>
      <c r="T200" s="20" t="s">
        <v>1028</v>
      </c>
      <c r="U200" s="20"/>
      <c r="V200" s="20" t="s">
        <v>1029</v>
      </c>
      <c r="W200" s="20" t="s">
        <v>1030</v>
      </c>
      <c r="X200" s="20" t="s">
        <v>1031</v>
      </c>
      <c r="Y200" s="20" t="s">
        <v>1032</v>
      </c>
      <c r="Z200" s="20" t="s">
        <v>1033</v>
      </c>
      <c r="AA200" s="20" t="s">
        <v>1034</v>
      </c>
      <c r="AB200" s="20" t="s">
        <v>588</v>
      </c>
      <c r="AC200" s="20"/>
      <c r="AD200" s="20"/>
      <c r="AE200" s="20" t="s">
        <v>265</v>
      </c>
      <c r="AF200" s="20" t="s">
        <v>1035</v>
      </c>
      <c r="AG200" s="20"/>
      <c r="AH200" s="20"/>
    </row>
    <row r="201" spans="1:36" ht="17" customHeight="1" x14ac:dyDescent="0.2">
      <c r="A201" s="20" t="s">
        <v>1022</v>
      </c>
      <c r="B201" s="20"/>
      <c r="C201" s="20"/>
      <c r="D201" s="20" t="s">
        <v>162</v>
      </c>
      <c r="E201" s="17" t="str">
        <f t="shared" si="29"/>
        <v>Felleman</v>
      </c>
      <c r="F201" s="17"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201" s="17" t="str">
        <f t="shared" si="30"/>
        <v>1991</v>
      </c>
      <c r="H201" s="17" t="str">
        <f t="shared" si="31"/>
        <v>Felleman_VanEssen_1991</v>
      </c>
      <c r="I201" s="17" t="str">
        <f>_xlfn.LET(
_xlpm.doi,IF(C201&lt;&gt;"",C201,_xlfn.TEXTAFTER(A201,"https://doi.org/")),
SUBSTITUTE(
SUBSTITUTE(
SUBSTITUTE(
SUBSTITUTE(
_xlpm.doi,
"/","%2F"),
":","%3A"),
"&lt;","%3C"),
"&gt;","%3E")
)</f>
        <v>10.1093%2Fcercor%2F1.1.1</v>
      </c>
      <c r="J201" s="17" t="str">
        <f t="shared" si="32"/>
        <v>Felleman_VanEssen_1991_Table3</v>
      </c>
      <c r="K201" s="17" t="str">
        <f t="shared" si="27"/>
        <v>10.1093%2Fcercor%2F1.1.1_Table3</v>
      </c>
      <c r="L201" s="17" t="str">
        <f t="array" ref="L201">IFERROR(INDEX(AUTO_Public_TSV_FileList!$A$1:$A$1000,MATCH(TRUE(),EXACT(K201,IFERROR(_xlfn.TEXTBEFORE(AUTO_Public_TSV_FileList!$A$1:$A$1000,".tsv"),"")),0)),"notfound")</f>
        <v>10.1093%2Fcercor%2F1.1.1_Table3.tsv</v>
      </c>
      <c r="M201" s="20" t="s">
        <v>1036</v>
      </c>
      <c r="N201" s="20"/>
      <c r="O201" s="20"/>
      <c r="P201" s="20"/>
      <c r="Q201" s="20"/>
      <c r="R201" s="20"/>
      <c r="S201" s="20"/>
      <c r="T201" s="20"/>
      <c r="U201" s="20"/>
      <c r="V201" s="20"/>
      <c r="W201" s="20"/>
      <c r="X201" s="20"/>
      <c r="Y201" s="20"/>
      <c r="Z201" s="20"/>
      <c r="AA201" s="20"/>
      <c r="AB201" s="20"/>
      <c r="AC201" s="20"/>
      <c r="AD201" s="20"/>
      <c r="AE201" s="20"/>
      <c r="AF201" s="20"/>
      <c r="AG201" s="20" t="s">
        <v>1037</v>
      </c>
      <c r="AH201" s="20"/>
    </row>
    <row r="202" spans="1:36" ht="17" customHeight="1" x14ac:dyDescent="0.2">
      <c r="A202" s="20" t="s">
        <v>1022</v>
      </c>
      <c r="B202" s="20"/>
      <c r="C202" s="20"/>
      <c r="D202" s="20" t="s">
        <v>164</v>
      </c>
      <c r="E202" s="17" t="str">
        <f t="shared" si="29"/>
        <v>Felleman</v>
      </c>
      <c r="F202" s="17"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202" s="17" t="str">
        <f t="shared" si="30"/>
        <v>1991</v>
      </c>
      <c r="H202" s="17" t="str">
        <f t="shared" si="31"/>
        <v>Felleman_VanEssen_1991</v>
      </c>
      <c r="I202" s="17" t="str">
        <f>_xlfn.LET(
_xlpm.doi,IF(C202&lt;&gt;"",C202,_xlfn.TEXTAFTER(A202,"https://doi.org/")),
SUBSTITUTE(
SUBSTITUTE(
SUBSTITUTE(
SUBSTITUTE(
_xlpm.doi,
"/","%2F"),
":","%3A"),
"&lt;","%3C"),
"&gt;","%3E")
)</f>
        <v>10.1093%2Fcercor%2F1.1.1</v>
      </c>
      <c r="J202" s="17" t="str">
        <f t="shared" si="32"/>
        <v>Felleman_VanEssen_1991_Table5</v>
      </c>
      <c r="K202" s="17" t="str">
        <f t="shared" si="27"/>
        <v>10.1093%2Fcercor%2F1.1.1_Table5</v>
      </c>
      <c r="L202" s="17" t="str">
        <f t="array" ref="L202">IFERROR(INDEX(AUTO_Public_TSV_FileList!$A$1:$A$1000,MATCH(TRUE(),EXACT(K202,IFERROR(_xlfn.TEXTBEFORE(AUTO_Public_TSV_FileList!$A$1:$A$1000,".tsv"),"")),0)),"notfound")</f>
        <v>10.1093%2Fcercor%2F1.1.1_Table5.tsv</v>
      </c>
      <c r="M202" s="20" t="s">
        <v>1038</v>
      </c>
      <c r="N202" s="20"/>
      <c r="O202" s="20"/>
      <c r="P202" s="20"/>
      <c r="Q202" s="20"/>
      <c r="R202" s="20"/>
      <c r="S202" s="20"/>
      <c r="T202" s="20"/>
      <c r="U202" s="20"/>
      <c r="V202" s="20"/>
      <c r="W202" s="20"/>
      <c r="X202" s="20"/>
      <c r="Y202" s="20"/>
      <c r="Z202" s="20"/>
      <c r="AA202" s="20"/>
      <c r="AB202" s="20"/>
      <c r="AC202" s="20"/>
      <c r="AD202" s="20"/>
      <c r="AE202" s="20"/>
      <c r="AF202" s="20"/>
      <c r="AG202" s="20"/>
      <c r="AH202" s="20"/>
    </row>
    <row r="203" spans="1:36" ht="17" customHeight="1" x14ac:dyDescent="0.2">
      <c r="A203" s="20" t="s">
        <v>4912</v>
      </c>
      <c r="B203" s="20"/>
      <c r="C203" s="20" t="s">
        <v>4913</v>
      </c>
      <c r="D203" s="20" t="s">
        <v>4914</v>
      </c>
      <c r="E203" s="18" t="str">
        <f t="shared" si="29"/>
        <v>Filiminoff</v>
      </c>
      <c r="F203" s="17"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17" t="str">
        <f t="shared" si="30"/>
        <v>1932</v>
      </c>
      <c r="H203" s="18" t="str">
        <f t="shared" si="31"/>
        <v>Filiminoff__1932</v>
      </c>
      <c r="I203" s="18" t="str">
        <f>_xlfn.LET(_xlpm.doi,IF(C203&lt;&gt;"",C203,_xlfn.TEXTAFTER(A203,"https://doi.org/")),SUBSTITUTE(SUBSTITUTE(SUBSTITUTE(SUBSTITUTE(_xlpm.doi,"/","%2F"),":","%3A"),"&lt;","%3C"),"&gt;","%3E"))</f>
        <v>JPsycholNeurol%3A44%3A1-96</v>
      </c>
      <c r="J203" s="18" t="str">
        <f t="shared" si="32"/>
        <v>Filiminoff__1932_Tablep70</v>
      </c>
      <c r="K203" s="17" t="str">
        <f t="shared" si="27"/>
        <v>JPsycholNeurol%3A44%3A1-96_Tablep70</v>
      </c>
      <c r="L203" s="17" t="str">
        <f t="array" ref="L203">IFERROR(INDEX(AUTO_Public_TSV_FileList!$A$1:$A$1000,MATCH(TRUE(),EXACT(K203,IFERROR(_xlfn.TEXTBEFORE(AUTO_Public_TSV_FileList!$A$1:$A$1000,".tsv"),"")),0)),"notfound")</f>
        <v>notfound</v>
      </c>
      <c r="M203" s="20"/>
      <c r="N203" s="20" t="s">
        <v>4915</v>
      </c>
      <c r="O203" s="20" t="s">
        <v>4916</v>
      </c>
      <c r="P203" s="20" t="s">
        <v>4528</v>
      </c>
      <c r="Q203" s="20" t="s">
        <v>4917</v>
      </c>
      <c r="R203" s="20"/>
      <c r="S203" s="20" t="s">
        <v>4918</v>
      </c>
      <c r="T203" s="20" t="s">
        <v>4919</v>
      </c>
      <c r="U203" s="20"/>
      <c r="V203" s="20" t="s">
        <v>4920</v>
      </c>
      <c r="W203" s="20" t="s">
        <v>43</v>
      </c>
      <c r="X203" s="20" t="s">
        <v>4921</v>
      </c>
      <c r="Y203" s="20" t="s">
        <v>4922</v>
      </c>
      <c r="Z203" s="20" t="s">
        <v>4923</v>
      </c>
      <c r="AA203" s="20" t="s">
        <v>4924</v>
      </c>
      <c r="AB203" s="20" t="s">
        <v>2439</v>
      </c>
      <c r="AC203" s="20" t="s">
        <v>4925</v>
      </c>
      <c r="AD203" s="20"/>
      <c r="AE203" s="20" t="s">
        <v>50</v>
      </c>
      <c r="AF203" s="20"/>
      <c r="AG203" s="20" t="s">
        <v>4926</v>
      </c>
      <c r="AH203" s="20" t="s">
        <v>4927</v>
      </c>
      <c r="AJ203" t="s">
        <v>4928</v>
      </c>
    </row>
    <row r="204" spans="1:36" ht="17" customHeight="1" x14ac:dyDescent="0.2">
      <c r="A204" s="19" t="s">
        <v>1039</v>
      </c>
      <c r="B204" s="20"/>
      <c r="C204" s="20"/>
      <c r="D204" s="19" t="s">
        <v>1040</v>
      </c>
      <c r="E204" s="17" t="str">
        <f t="shared" si="29"/>
        <v>Finlay</v>
      </c>
      <c r="F204" s="17"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17" t="str">
        <f t="shared" si="30"/>
        <v>2006</v>
      </c>
      <c r="H204" s="17" t="str">
        <f t="shared" si="31"/>
        <v>Finlay_etal_2006</v>
      </c>
      <c r="I204" s="17" t="str">
        <f>_xlfn.LET(
_xlpm.doi,IF(C204&lt;&gt;"",C204,_xlfn.TEXTAFTER(A204,"https://doi.org/")),
SUBSTITUTE(
SUBSTITUTE(
SUBSTITUTE(
SUBSTITUTE(
_xlpm.doi,
"/","%2F"),
":","%3A"),
"&lt;","%3C"),
"&gt;","%3E")
)</f>
        <v>10.1093%2Foso%2F9780198568742.003.0006</v>
      </c>
      <c r="J204" s="17" t="str">
        <f t="shared" si="32"/>
        <v>Finlay_etal_2006_Table6.1</v>
      </c>
      <c r="K204" s="17" t="str">
        <f t="shared" si="27"/>
        <v>10.1093%2Foso%2F9780198568742.003.0006_Table6.1</v>
      </c>
      <c r="L204" s="17" t="str">
        <f t="array" ref="L204">IFERROR(INDEX(AUTO_Public_TSV_FileList!$A$1:$A$1000,MATCH(TRUE(),EXACT(K204,IFERROR(_xlfn.TEXTBEFORE(AUTO_Public_TSV_FileList!$A$1:$A$1000,".tsv"),"")),0)),"notfound")</f>
        <v>10.1093%2Foso%2F9780198568742.003.0006_Table6.1.tsv</v>
      </c>
      <c r="M204" s="20"/>
      <c r="N204" s="19" t="s">
        <v>54</v>
      </c>
      <c r="O204" s="20"/>
      <c r="P204" s="19" t="s">
        <v>55</v>
      </c>
      <c r="Q204" s="19"/>
      <c r="R204" s="19" t="s">
        <v>1041</v>
      </c>
      <c r="S204" s="20"/>
      <c r="T204" s="20"/>
      <c r="U204" s="20" t="s">
        <v>1042</v>
      </c>
      <c r="V204" s="19"/>
      <c r="W204" s="19" t="s">
        <v>224</v>
      </c>
      <c r="X204" s="19" t="s">
        <v>1043</v>
      </c>
      <c r="Y204" s="20"/>
      <c r="Z204" s="20"/>
      <c r="AA204" s="20"/>
      <c r="AB204" s="19" t="s">
        <v>1044</v>
      </c>
      <c r="AC204" s="20"/>
      <c r="AD204" s="20"/>
      <c r="AE204" s="19" t="s">
        <v>265</v>
      </c>
      <c r="AF204" s="19"/>
      <c r="AG204" s="19" t="s">
        <v>630</v>
      </c>
      <c r="AH204" s="20"/>
    </row>
    <row r="205" spans="1:36" ht="17" customHeight="1" x14ac:dyDescent="0.2">
      <c r="A205" s="20" t="s">
        <v>1045</v>
      </c>
      <c r="B205" s="20"/>
      <c r="C205" s="20"/>
      <c r="D205" s="20" t="s">
        <v>160</v>
      </c>
      <c r="E205" s="18" t="str">
        <f t="shared" si="29"/>
        <v>Flydal</v>
      </c>
      <c r="F205" s="17"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17" t="str">
        <f t="shared" si="30"/>
        <v>2001</v>
      </c>
      <c r="H205" s="18" t="str">
        <f t="shared" si="31"/>
        <v>Flydal_etal_2001</v>
      </c>
      <c r="I205" s="18" t="str">
        <f>_xlfn.LET(_xlpm.doi,IF(C205&lt;&gt;"",C205,_xlfn.TEXTAFTER(A205,"https://doi.org/")),SUBSTITUTE(SUBSTITUTE(SUBSTITUTE(SUBSTITUTE(_xlpm.doi,"/","%2F"),":","%3A"),"&lt;","%3C"),"&gt;","%3E"))</f>
        <v>10.1007%2Fs003590100198</v>
      </c>
      <c r="J205" s="18" t="str">
        <f t="shared" si="32"/>
        <v>Flydal_etal_2001_Table2</v>
      </c>
      <c r="K205" s="17" t="str">
        <f t="shared" si="27"/>
        <v>10.1007%2Fs003590100198_Table2</v>
      </c>
      <c r="L205" s="17" t="str">
        <f t="array" ref="L205">IFERROR(INDEX(AUTO_Public_TSV_FileList!$A$1:$A$1000,MATCH(TRUE(),EXACT(K205,IFERROR(_xlfn.TEXTBEFORE(AUTO_Public_TSV_FileList!$A$1:$A$1000,".tsv"),"")),0)),"notfound")</f>
        <v>10.1007%2Fs003590100198_Table2.tsv</v>
      </c>
      <c r="M205" s="20" t="s">
        <v>1046</v>
      </c>
      <c r="N205" s="20" t="s">
        <v>88</v>
      </c>
      <c r="O205" s="20" t="s">
        <v>763</v>
      </c>
      <c r="P205" s="20" t="s">
        <v>90</v>
      </c>
      <c r="Q205" s="20"/>
      <c r="R205" s="20"/>
      <c r="S205" s="20"/>
      <c r="T205" s="20"/>
      <c r="U205" s="20"/>
      <c r="V205" s="20"/>
      <c r="W205" s="20"/>
      <c r="X205" s="20"/>
      <c r="Y205" s="20"/>
      <c r="Z205" s="20"/>
      <c r="AA205" s="20"/>
      <c r="AB205" s="20"/>
      <c r="AC205" s="20"/>
      <c r="AD205" s="20"/>
      <c r="AE205" s="20"/>
      <c r="AF205" s="20"/>
      <c r="AG205" s="20"/>
      <c r="AH205" s="20"/>
    </row>
    <row r="206" spans="1:36" ht="17" customHeight="1" x14ac:dyDescent="0.2">
      <c r="A206" s="19" t="s">
        <v>1047</v>
      </c>
      <c r="B206" s="20"/>
      <c r="C206" s="20"/>
      <c r="D206" s="19" t="s">
        <v>1048</v>
      </c>
      <c r="E206" s="17" t="str">
        <f t="shared" si="29"/>
        <v>Fobbs</v>
      </c>
      <c r="F206" s="17"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17" t="str">
        <f t="shared" si="30"/>
        <v>2011</v>
      </c>
      <c r="H206" s="17" t="str">
        <f t="shared" si="31"/>
        <v>Fobbs_etal_2011</v>
      </c>
      <c r="I206" s="17" t="str">
        <f t="shared" ref="I206:I212" si="33">_xlfn.LET(
_xlpm.doi,IF(C206&lt;&gt;"",C206,_xlfn.TEXTAFTER(A206,"https://doi.org/")),
SUBSTITUTE(
SUBSTITUTE(
SUBSTITUTE(
SUBSTITUTE(
_xlpm.doi,
"/","%2F"),
":","%3A"),
"&lt;","%3C"),
"&gt;","%3E")
)</f>
        <v>10.1111%2Fj.1749-6632.2011.06036.x</v>
      </c>
      <c r="J206" s="17" t="str">
        <f t="shared" si="32"/>
        <v>Fobbs_etal_2011_TableS1a</v>
      </c>
      <c r="K206" s="17" t="str">
        <f t="shared" si="27"/>
        <v>10.1111%2Fj.1749-6632.2011.06036.x_TableS1a</v>
      </c>
      <c r="L206" s="17" t="str">
        <f t="array" ref="L206">IFERROR(INDEX(AUTO_Public_TSV_FileList!$A$1:$A$1000,MATCH(TRUE(),EXACT(K206,IFERROR(_xlfn.TEXTBEFORE(AUTO_Public_TSV_FileList!$A$1:$A$1000,".tsv"),"")),0)),"notfound")</f>
        <v>10.1111%2Fj.1749-6632.2011.06036.x_TableS1a.tsv</v>
      </c>
      <c r="M206" s="20" t="s">
        <v>1049</v>
      </c>
      <c r="N206" s="19"/>
      <c r="O206" s="20"/>
      <c r="P206" s="19" t="s">
        <v>55</v>
      </c>
      <c r="Q206" s="19"/>
      <c r="R206" s="19"/>
      <c r="S206" s="20"/>
      <c r="T206" s="20"/>
      <c r="U206" s="20"/>
      <c r="V206" s="19"/>
      <c r="W206" s="19"/>
      <c r="X206" s="19"/>
      <c r="Y206" s="20"/>
      <c r="Z206" s="20"/>
      <c r="AA206" s="20"/>
      <c r="AB206" s="19"/>
      <c r="AC206" s="20"/>
      <c r="AD206" s="20"/>
      <c r="AE206" s="19"/>
      <c r="AF206" s="19"/>
      <c r="AG206" s="19"/>
      <c r="AH206" s="20"/>
    </row>
    <row r="207" spans="1:36" ht="17" customHeight="1" x14ac:dyDescent="0.2">
      <c r="A207" s="19" t="s">
        <v>1047</v>
      </c>
      <c r="B207" s="20"/>
      <c r="C207" s="20"/>
      <c r="D207" s="19" t="s">
        <v>1050</v>
      </c>
      <c r="E207" s="17" t="str">
        <f t="shared" si="29"/>
        <v>Fobbs</v>
      </c>
      <c r="F207" s="17"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17" t="str">
        <f t="shared" si="30"/>
        <v>2011</v>
      </c>
      <c r="H207" s="17" t="str">
        <f t="shared" si="31"/>
        <v>Fobbs_etal_2011</v>
      </c>
      <c r="I207" s="17" t="str">
        <f t="shared" si="33"/>
        <v>10.1111%2Fj.1749-6632.2011.06036.x</v>
      </c>
      <c r="J207" s="17" t="str">
        <f t="shared" si="32"/>
        <v>Fobbs_etal_2011_TableS1b</v>
      </c>
      <c r="K207" s="17" t="str">
        <f t="shared" si="27"/>
        <v>10.1111%2Fj.1749-6632.2011.06036.x_TableS1b</v>
      </c>
      <c r="L207" s="17" t="str">
        <f t="array" ref="L207">IFERROR(INDEX(AUTO_Public_TSV_FileList!$A$1:$A$1000,MATCH(TRUE(),EXACT(K207,IFERROR(_xlfn.TEXTBEFORE(AUTO_Public_TSV_FileList!$A$1:$A$1000,".tsv"),"")),0)),"notfound")</f>
        <v>10.1111%2Fj.1749-6632.2011.06036.x_TableS1b.tsv</v>
      </c>
      <c r="M207" s="20" t="s">
        <v>1049</v>
      </c>
      <c r="N207" s="19"/>
      <c r="O207" s="20"/>
      <c r="P207" s="19" t="s">
        <v>55</v>
      </c>
      <c r="Q207" s="19"/>
      <c r="R207" s="19"/>
      <c r="S207" s="20"/>
      <c r="T207" s="20"/>
      <c r="U207" s="20"/>
      <c r="V207" s="19"/>
      <c r="W207" s="19"/>
      <c r="X207" s="19"/>
      <c r="Y207" s="20"/>
      <c r="Z207" s="20"/>
      <c r="AA207" s="20"/>
      <c r="AB207" s="19"/>
      <c r="AC207" s="20"/>
      <c r="AD207" s="20"/>
      <c r="AE207" s="19"/>
      <c r="AF207" s="19"/>
      <c r="AG207" s="19"/>
      <c r="AH207" s="20"/>
    </row>
    <row r="208" spans="1:36" ht="17" customHeight="1" x14ac:dyDescent="0.2">
      <c r="A208" s="19" t="s">
        <v>1047</v>
      </c>
      <c r="B208" s="20"/>
      <c r="C208" s="20"/>
      <c r="D208" s="19" t="s">
        <v>1051</v>
      </c>
      <c r="E208" s="17" t="str">
        <f t="shared" si="29"/>
        <v>Fobbs</v>
      </c>
      <c r="F208" s="17"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17" t="str">
        <f t="shared" si="30"/>
        <v>2011</v>
      </c>
      <c r="H208" s="17" t="str">
        <f t="shared" si="31"/>
        <v>Fobbs_etal_2011</v>
      </c>
      <c r="I208" s="17" t="str">
        <f t="shared" si="33"/>
        <v>10.1111%2Fj.1749-6632.2011.06036.x</v>
      </c>
      <c r="J208" s="17" t="str">
        <f t="shared" si="32"/>
        <v>Fobbs_etal_2011_TableS2</v>
      </c>
      <c r="K208" s="17" t="str">
        <f t="shared" si="27"/>
        <v>10.1111%2Fj.1749-6632.2011.06036.x_TableS2</v>
      </c>
      <c r="L208" s="17" t="str">
        <f t="array" ref="L208">IFERROR(INDEX(AUTO_Public_TSV_FileList!$A$1:$A$1000,MATCH(TRUE(),EXACT(K208,IFERROR(_xlfn.TEXTBEFORE(AUTO_Public_TSV_FileList!$A$1:$A$1000,".tsv"),"")),0)),"notfound")</f>
        <v>10.1111%2Fj.1749-6632.2011.06036.x_TableS2.tsv</v>
      </c>
      <c r="M208" s="20" t="s">
        <v>1052</v>
      </c>
      <c r="N208" s="19"/>
      <c r="O208" s="20"/>
      <c r="P208" s="19" t="s">
        <v>55</v>
      </c>
      <c r="Q208" s="19"/>
      <c r="R208" s="19"/>
      <c r="S208" s="20"/>
      <c r="T208" s="20"/>
      <c r="U208" s="20"/>
      <c r="V208" s="19"/>
      <c r="W208" s="19"/>
      <c r="X208" s="19"/>
      <c r="Y208" s="20"/>
      <c r="Z208" s="20"/>
      <c r="AA208" s="20"/>
      <c r="AB208" s="19"/>
      <c r="AC208" s="20"/>
      <c r="AD208" s="20"/>
      <c r="AE208" s="19"/>
      <c r="AF208" s="19"/>
      <c r="AG208" s="19"/>
      <c r="AH208" s="20"/>
    </row>
    <row r="209" spans="1:34" ht="17" customHeight="1" x14ac:dyDescent="0.2">
      <c r="A209" s="19" t="s">
        <v>1047</v>
      </c>
      <c r="B209" s="20"/>
      <c r="C209" s="20"/>
      <c r="D209" s="19" t="s">
        <v>1053</v>
      </c>
      <c r="E209" s="17" t="str">
        <f t="shared" si="29"/>
        <v>Fobbs</v>
      </c>
      <c r="F209" s="17"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17" t="str">
        <f t="shared" si="30"/>
        <v>2011</v>
      </c>
      <c r="H209" s="17" t="str">
        <f t="shared" si="31"/>
        <v>Fobbs_etal_2011</v>
      </c>
      <c r="I209" s="17" t="str">
        <f t="shared" si="33"/>
        <v>10.1111%2Fj.1749-6632.2011.06036.x</v>
      </c>
      <c r="J209" s="17" t="str">
        <f t="shared" si="32"/>
        <v>Fobbs_etal_2011_TableS3</v>
      </c>
      <c r="K209" s="17" t="str">
        <f t="shared" si="27"/>
        <v>10.1111%2Fj.1749-6632.2011.06036.x_TableS3</v>
      </c>
      <c r="L209" s="17" t="str">
        <f t="array" ref="L209">IFERROR(INDEX(AUTO_Public_TSV_FileList!$A$1:$A$1000,MATCH(TRUE(),EXACT(K209,IFERROR(_xlfn.TEXTBEFORE(AUTO_Public_TSV_FileList!$A$1:$A$1000,".tsv"),"")),0)),"notfound")</f>
        <v>10.1111%2Fj.1749-6632.2011.06036.x_TableS3.tsv</v>
      </c>
      <c r="M209" s="20" t="s">
        <v>1054</v>
      </c>
      <c r="N209" s="19"/>
      <c r="O209" s="20"/>
      <c r="P209" s="19" t="s">
        <v>55</v>
      </c>
      <c r="Q209" s="19"/>
      <c r="R209" s="19"/>
      <c r="S209" s="20"/>
      <c r="T209" s="20"/>
      <c r="U209" s="20"/>
      <c r="V209" s="19"/>
      <c r="W209" s="19"/>
      <c r="X209" s="19"/>
      <c r="Y209" s="20"/>
      <c r="Z209" s="20"/>
      <c r="AA209" s="20"/>
      <c r="AB209" s="19"/>
      <c r="AC209" s="20"/>
      <c r="AD209" s="20"/>
      <c r="AE209" s="19"/>
      <c r="AF209" s="19"/>
      <c r="AG209" s="19"/>
      <c r="AH209" s="20"/>
    </row>
    <row r="210" spans="1:34" ht="17" customHeight="1" x14ac:dyDescent="0.2">
      <c r="A210" s="19" t="s">
        <v>1047</v>
      </c>
      <c r="B210" s="20"/>
      <c r="C210" s="20"/>
      <c r="D210" s="19" t="s">
        <v>1055</v>
      </c>
      <c r="E210" s="17" t="str">
        <f t="shared" si="29"/>
        <v>Fobbs</v>
      </c>
      <c r="F210" s="17"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7" t="str">
        <f t="shared" si="30"/>
        <v>2011</v>
      </c>
      <c r="H210" s="17" t="str">
        <f t="shared" si="31"/>
        <v>Fobbs_etal_2011</v>
      </c>
      <c r="I210" s="17" t="str">
        <f t="shared" si="33"/>
        <v>10.1111%2Fj.1749-6632.2011.06036.x</v>
      </c>
      <c r="J210" s="17" t="str">
        <f t="shared" si="32"/>
        <v>Fobbs_etal_2011_TableS4</v>
      </c>
      <c r="K210" s="17" t="str">
        <f t="shared" si="27"/>
        <v>10.1111%2Fj.1749-6632.2011.06036.x_TableS4</v>
      </c>
      <c r="L210" s="17" t="str">
        <f t="array" ref="L210">IFERROR(INDEX(AUTO_Public_TSV_FileList!$A$1:$A$1000,MATCH(TRUE(),EXACT(K210,IFERROR(_xlfn.TEXTBEFORE(AUTO_Public_TSV_FileList!$A$1:$A$1000,".tsv"),"")),0)),"notfound")</f>
        <v>10.1111%2Fj.1749-6632.2011.06036.x_TableS4.tsv</v>
      </c>
      <c r="M210" s="20" t="s">
        <v>1056</v>
      </c>
      <c r="N210" s="19"/>
      <c r="O210" s="20"/>
      <c r="P210" s="19" t="s">
        <v>55</v>
      </c>
      <c r="Q210" s="19"/>
      <c r="R210" s="19"/>
      <c r="S210" s="20"/>
      <c r="T210" s="20"/>
      <c r="U210" s="20"/>
      <c r="V210" s="19"/>
      <c r="W210" s="19"/>
      <c r="X210" s="19"/>
      <c r="Y210" s="20"/>
      <c r="Z210" s="20"/>
      <c r="AA210" s="20"/>
      <c r="AB210" s="19"/>
      <c r="AC210" s="20"/>
      <c r="AD210" s="20"/>
      <c r="AE210" s="19"/>
      <c r="AF210" s="19"/>
      <c r="AG210" s="19"/>
      <c r="AH210" s="20"/>
    </row>
    <row r="211" spans="1:34" ht="17" customHeight="1" x14ac:dyDescent="0.2">
      <c r="A211" s="19" t="s">
        <v>1047</v>
      </c>
      <c r="B211" s="20"/>
      <c r="C211" s="20"/>
      <c r="D211" s="19" t="s">
        <v>1057</v>
      </c>
      <c r="E211" s="17" t="str">
        <f t="shared" si="29"/>
        <v>Fobbs</v>
      </c>
      <c r="F211" s="17"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7" t="str">
        <f t="shared" si="30"/>
        <v>2011</v>
      </c>
      <c r="H211" s="17" t="str">
        <f t="shared" si="31"/>
        <v>Fobbs_etal_2011</v>
      </c>
      <c r="I211" s="17" t="str">
        <f t="shared" si="33"/>
        <v>10.1111%2Fj.1749-6632.2011.06036.x</v>
      </c>
      <c r="J211" s="17" t="str">
        <f t="shared" si="32"/>
        <v>Fobbs_etal_2011_TableS5a</v>
      </c>
      <c r="K211" s="17" t="str">
        <f t="shared" ref="K211:K242" si="34">I211 &amp; "_" &amp; SUBSTITUTE(SUBSTITUTE(SUBSTITUTE(D211,CHAR(160),"")," ",""),"_","")</f>
        <v>10.1111%2Fj.1749-6632.2011.06036.x_TableS5a</v>
      </c>
      <c r="L211" s="17" t="str">
        <f t="array" ref="L211">IFERROR(INDEX(AUTO_Public_TSV_FileList!$A$1:$A$1000,MATCH(TRUE(),EXACT(K211,IFERROR(_xlfn.TEXTBEFORE(AUTO_Public_TSV_FileList!$A$1:$A$1000,".tsv"),"")),0)),"notfound")</f>
        <v>10.1111%2Fj.1749-6632.2011.06036.x_TableS5a.tsv</v>
      </c>
      <c r="M211" s="20" t="s">
        <v>1058</v>
      </c>
      <c r="N211" s="19"/>
      <c r="O211" s="20"/>
      <c r="P211" s="19" t="s">
        <v>55</v>
      </c>
      <c r="Q211" s="19"/>
      <c r="R211" s="19"/>
      <c r="S211" s="20"/>
      <c r="T211" s="20"/>
      <c r="U211" s="20"/>
      <c r="V211" s="19"/>
      <c r="W211" s="19"/>
      <c r="X211" s="19"/>
      <c r="Y211" s="20"/>
      <c r="Z211" s="20"/>
      <c r="AA211" s="20"/>
      <c r="AB211" s="19"/>
      <c r="AC211" s="20"/>
      <c r="AD211" s="20"/>
      <c r="AE211" s="19"/>
      <c r="AF211" s="19"/>
      <c r="AG211" s="19"/>
      <c r="AH211" s="20"/>
    </row>
    <row r="212" spans="1:34" ht="17" customHeight="1" x14ac:dyDescent="0.2">
      <c r="A212" s="19" t="s">
        <v>1047</v>
      </c>
      <c r="B212" s="20"/>
      <c r="C212" s="20"/>
      <c r="D212" s="19" t="s">
        <v>1059</v>
      </c>
      <c r="E212" s="17" t="str">
        <f t="shared" si="29"/>
        <v>Fobbs</v>
      </c>
      <c r="F212" s="17"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17" t="str">
        <f t="shared" si="30"/>
        <v>2011</v>
      </c>
      <c r="H212" s="17" t="str">
        <f t="shared" si="31"/>
        <v>Fobbs_etal_2011</v>
      </c>
      <c r="I212" s="17" t="str">
        <f t="shared" si="33"/>
        <v>10.1111%2Fj.1749-6632.2011.06036.x</v>
      </c>
      <c r="J212" s="17" t="str">
        <f t="shared" si="32"/>
        <v>Fobbs_etal_2011_TableS5b</v>
      </c>
      <c r="K212" s="17" t="str">
        <f t="shared" si="34"/>
        <v>10.1111%2Fj.1749-6632.2011.06036.x_TableS5b</v>
      </c>
      <c r="L212" s="17" t="str">
        <f t="array" ref="L212">IFERROR(INDEX(AUTO_Public_TSV_FileList!$A$1:$A$1000,MATCH(TRUE(),EXACT(K212,IFERROR(_xlfn.TEXTBEFORE(AUTO_Public_TSV_FileList!$A$1:$A$1000,".tsv"),"")),0)),"notfound")</f>
        <v>10.1111%2Fj.1749-6632.2011.06036.x_TableS5b.tsv</v>
      </c>
      <c r="M212" s="20" t="s">
        <v>1058</v>
      </c>
      <c r="N212" s="19"/>
      <c r="O212" s="20"/>
      <c r="P212" s="19" t="s">
        <v>55</v>
      </c>
      <c r="Q212" s="19"/>
      <c r="R212" s="19"/>
      <c r="S212" s="20"/>
      <c r="T212" s="20"/>
      <c r="U212" s="20"/>
      <c r="V212" s="19"/>
      <c r="W212" s="19"/>
      <c r="X212" s="19"/>
      <c r="Y212" s="20"/>
      <c r="Z212" s="20"/>
      <c r="AA212" s="20"/>
      <c r="AB212" s="19"/>
      <c r="AC212" s="20"/>
      <c r="AD212" s="20"/>
      <c r="AE212" s="19"/>
      <c r="AF212" s="19"/>
      <c r="AG212" s="19"/>
      <c r="AH212" s="20"/>
    </row>
    <row r="213" spans="1:34" ht="17" customHeight="1" x14ac:dyDescent="0.2">
      <c r="A213" s="21" t="s">
        <v>1060</v>
      </c>
      <c r="B213" s="21"/>
      <c r="C213" s="21"/>
      <c r="D213" s="21" t="s">
        <v>439</v>
      </c>
      <c r="E213" s="18" t="str">
        <f t="shared" si="29"/>
        <v>Fox</v>
      </c>
      <c r="F213" s="17"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213" s="17" t="str">
        <f t="shared" si="30"/>
        <v>1986</v>
      </c>
      <c r="H213" s="18" t="str">
        <f t="shared" si="31"/>
        <v>Fox_Wilczynski_1986</v>
      </c>
      <c r="I213" s="18" t="str">
        <f>_xlfn.LET(_xlpm.doi,IF(C213&lt;&gt;"",C213,_xlfn.TEXTAFTER(A213,"https://doi.org/")),SUBSTITUTE(SUBSTITUTE(SUBSTITUTE(SUBSTITUTE(_xlpm.doi,"/","%2F"),":","%3A"),"&lt;","%3C"),"&gt;","%3E"))</f>
        <v>10.1159%2F000118700</v>
      </c>
      <c r="J213" s="18" t="str">
        <f t="shared" si="32"/>
        <v>Fox_Wilczynski_1986_TableI</v>
      </c>
      <c r="K213" s="18" t="str">
        <f t="shared" si="34"/>
        <v>10.1159%2F000118700_TableI</v>
      </c>
      <c r="L213" s="17" t="str">
        <f t="array" ref="L213">IFERROR(INDEX(AUTO_Public_TSV_FileList!$A$1:$A$1000,MATCH(TRUE(),EXACT(K213,IFERROR(_xlfn.TEXTBEFORE(AUTO_Public_TSV_FileList!$A$1:$A$1000,".tsv"),"")),0)),"notfound")</f>
        <v>10.1159%2F000118700_TableI.tsv</v>
      </c>
      <c r="M213" s="20"/>
      <c r="N213" s="19" t="s">
        <v>54</v>
      </c>
      <c r="O213" s="20"/>
      <c r="P213" s="21" t="s">
        <v>55</v>
      </c>
      <c r="Q213" s="21"/>
      <c r="R213" s="21"/>
      <c r="S213" s="21" t="s">
        <v>1061</v>
      </c>
      <c r="T213" s="21" t="s">
        <v>1062</v>
      </c>
      <c r="U213" s="21"/>
      <c r="V213" s="21" t="s">
        <v>1063</v>
      </c>
      <c r="W213" s="21" t="s">
        <v>519</v>
      </c>
      <c r="X213" s="21" t="s">
        <v>1064</v>
      </c>
      <c r="Y213" s="21"/>
      <c r="Z213" s="21"/>
      <c r="AA213" s="21" t="s">
        <v>1065</v>
      </c>
      <c r="AB213" s="21" t="s">
        <v>1066</v>
      </c>
      <c r="AC213" s="20"/>
      <c r="AD213" s="21"/>
      <c r="AE213" s="21" t="s">
        <v>1067</v>
      </c>
      <c r="AF213" s="21"/>
      <c r="AG213" s="21" t="s">
        <v>1068</v>
      </c>
      <c r="AH213" s="20"/>
    </row>
    <row r="214" spans="1:34" ht="17" customHeight="1" x14ac:dyDescent="0.2">
      <c r="A214" s="19" t="s">
        <v>1069</v>
      </c>
      <c r="B214" s="20"/>
      <c r="C214" s="19" t="s">
        <v>1070</v>
      </c>
      <c r="D214" s="19" t="s">
        <v>86</v>
      </c>
      <c r="E214" s="17" t="str">
        <f t="shared" si="29"/>
        <v>Frahm</v>
      </c>
      <c r="F214" s="17"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214" s="17" t="str">
        <f t="shared" si="30"/>
        <v>1994</v>
      </c>
      <c r="H214" s="17" t="str">
        <f t="shared" si="31"/>
        <v>Frahm_Zilles_1994</v>
      </c>
      <c r="I214" s="17" t="str">
        <f t="shared" ref="I214:I220" si="35">_xlfn.LET(
_xlpm.doi,IF(C214&lt;&gt;"",C214,_xlfn.TEXTAFTER(A214,"https://doi.org/")),
SUBSTITUTE(
SUBSTITUTE(
SUBSTITUTE(
SUBSTITUTE(
_xlpm.doi,
"/","%2F"),
":","%3A"),
"&lt;","%3C"),
"&gt;","%3E")
)</f>
        <v>PMID%3A7983368</v>
      </c>
      <c r="J214" s="17" t="str">
        <f t="shared" si="32"/>
        <v>Frahm_Zilles_1994_Table1</v>
      </c>
      <c r="K214" s="17" t="str">
        <f t="shared" si="34"/>
        <v>PMID%3A7983368_Table1</v>
      </c>
      <c r="L214" s="17" t="str">
        <f t="array" ref="L214">IFERROR(INDEX(AUTO_Public_TSV_FileList!$A$1:$A$1000,MATCH(TRUE(),EXACT(K214,IFERROR(_xlfn.TEXTBEFORE(AUTO_Public_TSV_FileList!$A$1:$A$1000,".tsv"),"")),0)),"notfound")</f>
        <v>PMID%3A7983368_Table1.tsv</v>
      </c>
      <c r="M214" s="20"/>
      <c r="N214" s="19" t="s">
        <v>54</v>
      </c>
      <c r="O214" s="20"/>
      <c r="P214" s="19" t="s">
        <v>55</v>
      </c>
      <c r="Q214" s="20"/>
      <c r="R214" s="20"/>
      <c r="S214" s="20"/>
      <c r="T214" s="20"/>
      <c r="U214" s="20"/>
      <c r="V214" s="20"/>
      <c r="W214" s="19" t="s">
        <v>203</v>
      </c>
      <c r="X214" s="19" t="s">
        <v>1071</v>
      </c>
      <c r="Y214" s="20"/>
      <c r="Z214" s="19" t="s">
        <v>172</v>
      </c>
      <c r="AA214" s="19" t="s">
        <v>216</v>
      </c>
      <c r="AB214" s="19" t="s">
        <v>177</v>
      </c>
      <c r="AC214" s="19" t="s">
        <v>205</v>
      </c>
      <c r="AD214" s="19" t="s">
        <v>205</v>
      </c>
      <c r="AE214" s="19" t="s">
        <v>50</v>
      </c>
      <c r="AF214" s="19"/>
      <c r="AG214" s="20"/>
      <c r="AH214" s="20"/>
    </row>
    <row r="215" spans="1:34" ht="17" customHeight="1" x14ac:dyDescent="0.2">
      <c r="A215" s="19" t="s">
        <v>1069</v>
      </c>
      <c r="B215" s="20"/>
      <c r="C215" s="19" t="s">
        <v>1070</v>
      </c>
      <c r="D215" s="19" t="s">
        <v>160</v>
      </c>
      <c r="E215" s="17" t="str">
        <f t="shared" si="29"/>
        <v>Frahm</v>
      </c>
      <c r="F215" s="17"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215" s="17" t="str">
        <f t="shared" si="30"/>
        <v>1994</v>
      </c>
      <c r="H215" s="17" t="str">
        <f t="shared" si="31"/>
        <v>Frahm_Zilles_1994</v>
      </c>
      <c r="I215" s="17" t="str">
        <f t="shared" si="35"/>
        <v>PMID%3A7983368</v>
      </c>
      <c r="J215" s="17" t="str">
        <f t="shared" si="32"/>
        <v>Frahm_Zilles_1994_Table2</v>
      </c>
      <c r="K215" s="17" t="str">
        <f t="shared" si="34"/>
        <v>PMID%3A7983368_Table2</v>
      </c>
      <c r="L215" s="17" t="str">
        <f t="array" ref="L215">IFERROR(INDEX(AUTO_Public_TSV_FileList!$A$1:$A$1000,MATCH(TRUE(),EXACT(K215,IFERROR(_xlfn.TEXTBEFORE(AUTO_Public_TSV_FileList!$A$1:$A$1000,".tsv"),"")),0)),"notfound")</f>
        <v>PMID%3A7983368_Table2.tsv</v>
      </c>
      <c r="M215" s="20"/>
      <c r="N215" s="20"/>
      <c r="O215" s="20"/>
      <c r="P215" s="20" t="s">
        <v>55</v>
      </c>
      <c r="Q215" s="20"/>
      <c r="R215" s="20"/>
      <c r="S215" s="20"/>
      <c r="T215" s="20"/>
      <c r="U215" s="20"/>
      <c r="V215" s="20"/>
      <c r="W215" s="20"/>
      <c r="X215" s="20"/>
      <c r="Y215" s="20"/>
      <c r="Z215" s="20"/>
      <c r="AA215" s="20"/>
      <c r="AB215" s="20"/>
      <c r="AC215" s="20"/>
      <c r="AD215" s="20"/>
      <c r="AE215" s="20"/>
      <c r="AF215" s="20"/>
      <c r="AG215" s="20"/>
      <c r="AH215" s="20"/>
    </row>
    <row r="216" spans="1:34" ht="17" customHeight="1" x14ac:dyDescent="0.2">
      <c r="A216" s="20" t="s">
        <v>1072</v>
      </c>
      <c r="B216" s="20"/>
      <c r="C216" s="19" t="s">
        <v>1073</v>
      </c>
      <c r="D216" s="19" t="s">
        <v>86</v>
      </c>
      <c r="E216" s="17" t="str">
        <f t="shared" si="29"/>
        <v>Frahm</v>
      </c>
      <c r="F216" s="17"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17" t="str">
        <f t="shared" si="30"/>
        <v>1997</v>
      </c>
      <c r="H216" s="17" t="str">
        <f t="shared" si="31"/>
        <v>Frahm_etal_1997</v>
      </c>
      <c r="I216" s="17" t="str">
        <f t="shared" si="35"/>
        <v>PMID%3A9176733</v>
      </c>
      <c r="J216" s="17" t="str">
        <f t="shared" si="32"/>
        <v>Frahm_etal_1997_Table1</v>
      </c>
      <c r="K216" s="17" t="str">
        <f t="shared" si="34"/>
        <v>PMID%3A9176733_Table1</v>
      </c>
      <c r="L216" s="17" t="str">
        <f t="array" ref="L216">IFERROR(INDEX(AUTO_Public_TSV_FileList!$A$1:$A$1000,MATCH(TRUE(),EXACT(K216,IFERROR(_xlfn.TEXTBEFORE(AUTO_Public_TSV_FileList!$A$1:$A$1000,".tsv"),"")),0)),"notfound")</f>
        <v>PMID%3A9176733_Table1.tsv</v>
      </c>
      <c r="M216" s="20"/>
      <c r="N216" s="19" t="s">
        <v>54</v>
      </c>
      <c r="O216" s="20"/>
      <c r="P216" s="19" t="s">
        <v>55</v>
      </c>
      <c r="Q216" s="20"/>
      <c r="R216" s="20"/>
      <c r="S216" s="20"/>
      <c r="T216" s="20"/>
      <c r="U216" s="20"/>
      <c r="V216" s="20"/>
      <c r="W216" s="19" t="s">
        <v>203</v>
      </c>
      <c r="X216" s="19" t="s">
        <v>1074</v>
      </c>
      <c r="Y216" s="20"/>
      <c r="Z216" s="19" t="s">
        <v>172</v>
      </c>
      <c r="AA216" s="19" t="s">
        <v>216</v>
      </c>
      <c r="AB216" s="19" t="s">
        <v>177</v>
      </c>
      <c r="AC216" s="19" t="s">
        <v>205</v>
      </c>
      <c r="AD216" s="19" t="s">
        <v>205</v>
      </c>
      <c r="AE216" s="19" t="s">
        <v>50</v>
      </c>
      <c r="AF216" s="19"/>
      <c r="AG216" s="20"/>
      <c r="AH216" s="20"/>
    </row>
    <row r="217" spans="1:34" ht="17" customHeight="1" x14ac:dyDescent="0.2">
      <c r="A217" s="19" t="s">
        <v>1075</v>
      </c>
      <c r="B217" s="20"/>
      <c r="C217" s="19" t="s">
        <v>1076</v>
      </c>
      <c r="D217" s="19" t="s">
        <v>86</v>
      </c>
      <c r="E217" s="17" t="str">
        <f t="shared" si="29"/>
        <v>Frahm</v>
      </c>
      <c r="F217" s="17"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17" t="str">
        <f t="shared" si="30"/>
        <v>1984</v>
      </c>
      <c r="H217" s="17" t="str">
        <f t="shared" si="31"/>
        <v>Frahm_etal_1984</v>
      </c>
      <c r="I217" s="17" t="str">
        <f t="shared" si="35"/>
        <v>PMID%3A6501869</v>
      </c>
      <c r="J217" s="17" t="str">
        <f t="shared" si="32"/>
        <v>Frahm_etal_1984_Table1</v>
      </c>
      <c r="K217" s="17" t="str">
        <f t="shared" si="34"/>
        <v>PMID%3A6501869_Table1</v>
      </c>
      <c r="L217" s="17" t="str">
        <f t="array" ref="L217">IFERROR(INDEX(AUTO_Public_TSV_FileList!$A$1:$A$1000,MATCH(TRUE(),EXACT(K217,IFERROR(_xlfn.TEXTBEFORE(AUTO_Public_TSV_FileList!$A$1:$A$1000,".tsv"),"")),0)),"notfound")</f>
        <v>PMID%3A6501869_Table1.tsv</v>
      </c>
      <c r="M217" s="19" t="s">
        <v>1077</v>
      </c>
      <c r="N217" s="19" t="s">
        <v>54</v>
      </c>
      <c r="O217" s="20"/>
      <c r="P217" s="19" t="s">
        <v>55</v>
      </c>
      <c r="Q217" s="20"/>
      <c r="R217" s="20"/>
      <c r="S217" s="20"/>
      <c r="T217" s="20"/>
      <c r="U217" s="20"/>
      <c r="V217" s="20"/>
      <c r="W217" s="19" t="s">
        <v>203</v>
      </c>
      <c r="X217" s="19" t="s">
        <v>1078</v>
      </c>
      <c r="Y217" s="20"/>
      <c r="Z217" s="19" t="s">
        <v>172</v>
      </c>
      <c r="AA217" s="19" t="s">
        <v>216</v>
      </c>
      <c r="AB217" s="19" t="s">
        <v>177</v>
      </c>
      <c r="AC217" s="19" t="s">
        <v>205</v>
      </c>
      <c r="AD217" s="19" t="s">
        <v>205</v>
      </c>
      <c r="AE217" s="19" t="s">
        <v>50</v>
      </c>
      <c r="AF217" s="19"/>
      <c r="AG217" s="20"/>
      <c r="AH217" s="20"/>
    </row>
    <row r="218" spans="1:34" ht="17" customHeight="1" x14ac:dyDescent="0.2">
      <c r="A218" s="19" t="s">
        <v>1075</v>
      </c>
      <c r="B218" s="20"/>
      <c r="C218" s="19" t="s">
        <v>1076</v>
      </c>
      <c r="D218" s="19" t="s">
        <v>160</v>
      </c>
      <c r="E218" s="17" t="str">
        <f t="shared" si="29"/>
        <v>Frahm</v>
      </c>
      <c r="F218" s="17"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17" t="str">
        <f t="shared" si="30"/>
        <v>1984</v>
      </c>
      <c r="H218" s="17" t="str">
        <f t="shared" si="31"/>
        <v>Frahm_etal_1984</v>
      </c>
      <c r="I218" s="17" t="str">
        <f t="shared" si="35"/>
        <v>PMID%3A6501869</v>
      </c>
      <c r="J218" s="17" t="str">
        <f t="shared" si="32"/>
        <v>Frahm_etal_1984_Table2</v>
      </c>
      <c r="K218" s="17" t="str">
        <f t="shared" si="34"/>
        <v>PMID%3A6501869_Table2</v>
      </c>
      <c r="L218" s="17" t="str">
        <f t="array" ref="L218">IFERROR(INDEX(AUTO_Public_TSV_FileList!$A$1:$A$1000,MATCH(TRUE(),EXACT(K218,IFERROR(_xlfn.TEXTBEFORE(AUTO_Public_TSV_FileList!$A$1:$A$1000,".tsv"),"")),0)),"notfound")</f>
        <v>PMID%3A6501869_Table2.tsv</v>
      </c>
      <c r="M218" s="19" t="s">
        <v>1079</v>
      </c>
      <c r="N218" s="19"/>
      <c r="O218" s="20"/>
      <c r="P218" s="19" t="s">
        <v>55</v>
      </c>
      <c r="Q218" s="20"/>
      <c r="R218" s="20"/>
      <c r="S218" s="20"/>
      <c r="T218" s="20"/>
      <c r="U218" s="20"/>
      <c r="V218" s="20"/>
      <c r="W218" s="19"/>
      <c r="X218" s="19"/>
      <c r="Y218" s="20"/>
      <c r="Z218" s="19"/>
      <c r="AA218" s="19"/>
      <c r="AB218" s="19"/>
      <c r="AC218" s="19"/>
      <c r="AD218" s="19"/>
      <c r="AE218" s="19"/>
      <c r="AF218" s="19"/>
      <c r="AG218" s="20"/>
      <c r="AH218" s="20"/>
    </row>
    <row r="219" spans="1:34" ht="17" customHeight="1" x14ac:dyDescent="0.2">
      <c r="A219" s="19" t="s">
        <v>1080</v>
      </c>
      <c r="B219" s="20"/>
      <c r="C219" s="19" t="s">
        <v>1081</v>
      </c>
      <c r="D219" s="19" t="s">
        <v>160</v>
      </c>
      <c r="E219" s="17" t="str">
        <f t="shared" si="29"/>
        <v>Frahm</v>
      </c>
      <c r="F219" s="17"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17" t="str">
        <f t="shared" si="30"/>
        <v>1982</v>
      </c>
      <c r="H219" s="17" t="str">
        <f t="shared" si="31"/>
        <v>Frahm_etal_1982</v>
      </c>
      <c r="I219" s="17" t="str">
        <f t="shared" si="35"/>
        <v>PMID%3A7161477</v>
      </c>
      <c r="J219" s="17" t="str">
        <f t="shared" si="32"/>
        <v>Frahm_etal_1982_Table2</v>
      </c>
      <c r="K219" s="17" t="str">
        <f t="shared" si="34"/>
        <v>PMID%3A7161477_Table2</v>
      </c>
      <c r="L219" s="17" t="str">
        <f t="array" ref="L219">IFERROR(INDEX(AUTO_Public_TSV_FileList!$A$1:$A$1000,MATCH(TRUE(),EXACT(K219,IFERROR(_xlfn.TEXTBEFORE(AUTO_Public_TSV_FileList!$A$1:$A$1000,".tsv"),"")),0)),"notfound")</f>
        <v>PMID%3A7161477_Table2.tsv</v>
      </c>
      <c r="M219" s="19" t="s">
        <v>1082</v>
      </c>
      <c r="N219" s="19" t="s">
        <v>54</v>
      </c>
      <c r="O219" s="20"/>
      <c r="P219" s="19" t="s">
        <v>55</v>
      </c>
      <c r="Q219" s="20"/>
      <c r="R219" s="20"/>
      <c r="S219" s="20"/>
      <c r="T219" s="20"/>
      <c r="U219" s="20"/>
      <c r="V219" s="20"/>
      <c r="W219" s="19" t="s">
        <v>203</v>
      </c>
      <c r="X219" s="19" t="s">
        <v>1083</v>
      </c>
      <c r="Y219" s="20"/>
      <c r="Z219" s="19" t="s">
        <v>172</v>
      </c>
      <c r="AA219" s="19" t="s">
        <v>216</v>
      </c>
      <c r="AB219" s="19" t="s">
        <v>177</v>
      </c>
      <c r="AC219" s="19" t="s">
        <v>205</v>
      </c>
      <c r="AD219" s="19" t="s">
        <v>205</v>
      </c>
      <c r="AE219" s="19" t="s">
        <v>50</v>
      </c>
      <c r="AF219" s="19"/>
      <c r="AG219" s="20"/>
      <c r="AH219" s="20"/>
    </row>
    <row r="220" spans="1:34" ht="17" customHeight="1" x14ac:dyDescent="0.2">
      <c r="A220" s="19" t="s">
        <v>1084</v>
      </c>
      <c r="B220" s="20"/>
      <c r="C220" s="19" t="s">
        <v>1085</v>
      </c>
      <c r="D220" s="19" t="s">
        <v>86</v>
      </c>
      <c r="E220" s="17" t="str">
        <f t="shared" si="29"/>
        <v>Frahm</v>
      </c>
      <c r="F220" s="17"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17" t="str">
        <f t="shared" si="30"/>
        <v>1998</v>
      </c>
      <c r="H220" s="17" t="str">
        <f t="shared" si="31"/>
        <v>Frahm_etal_1998</v>
      </c>
      <c r="I220" s="17" t="str">
        <f t="shared" si="35"/>
        <v>PMID%3A9672110</v>
      </c>
      <c r="J220" s="17" t="str">
        <f t="shared" si="32"/>
        <v>Frahm_etal_1998_Table1</v>
      </c>
      <c r="K220" s="17" t="str">
        <f t="shared" si="34"/>
        <v>PMID%3A9672110_Table1</v>
      </c>
      <c r="L220" s="17" t="str">
        <f t="array" ref="L220">IFERROR(INDEX(AUTO_Public_TSV_FileList!$A$1:$A$1000,MATCH(TRUE(),EXACT(K220,IFERROR(_xlfn.TEXTBEFORE(AUTO_Public_TSV_FileList!$A$1:$A$1000,".tsv"),"")),0)),"notfound")</f>
        <v>PMID%3A9672110_Table1.tsv</v>
      </c>
      <c r="M220" s="20"/>
      <c r="N220" s="19" t="s">
        <v>54</v>
      </c>
      <c r="O220" s="20"/>
      <c r="P220" s="19" t="s">
        <v>55</v>
      </c>
      <c r="Q220" s="20"/>
      <c r="R220" s="20"/>
      <c r="S220" s="20"/>
      <c r="T220" s="20"/>
      <c r="U220" s="20"/>
      <c r="V220" s="20"/>
      <c r="W220" s="19" t="s">
        <v>203</v>
      </c>
      <c r="X220" s="19" t="s">
        <v>1086</v>
      </c>
      <c r="Y220" s="20"/>
      <c r="Z220" s="19" t="s">
        <v>172</v>
      </c>
      <c r="AA220" s="19" t="s">
        <v>216</v>
      </c>
      <c r="AB220" s="19" t="s">
        <v>177</v>
      </c>
      <c r="AC220" s="19" t="s">
        <v>205</v>
      </c>
      <c r="AD220" s="19" t="s">
        <v>205</v>
      </c>
      <c r="AE220" s="19" t="s">
        <v>50</v>
      </c>
      <c r="AF220" s="19"/>
      <c r="AG220" s="20"/>
      <c r="AH220" s="20"/>
    </row>
    <row r="221" spans="1:34" ht="17" customHeight="1" x14ac:dyDescent="0.2">
      <c r="A221" s="20" t="s">
        <v>4544</v>
      </c>
      <c r="B221" s="20"/>
      <c r="C221" s="20"/>
      <c r="D221" s="20" t="s">
        <v>86</v>
      </c>
      <c r="E221" s="18" t="str">
        <f t="shared" si="29"/>
        <v>Franco</v>
      </c>
      <c r="F221" s="17"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17" t="str">
        <f t="shared" si="30"/>
        <v>2000</v>
      </c>
      <c r="H221" s="18" t="str">
        <f t="shared" si="31"/>
        <v>Franco_etal_2000</v>
      </c>
      <c r="I221" s="18" t="str">
        <f>_xlfn.LET(_xlpm.doi,IF(C221&lt;&gt;"",C221,_xlfn.TEXTAFTER(A221,"https://doi.org/")),SUBSTITUTE(SUBSTITUTE(SUBSTITUTE(SUBSTITUTE(_xlpm.doi,"/","%2F"),":","%3A"),"&lt;","%3C"),"&gt;","%3E"))</f>
        <v>10.1159%2F000047211</v>
      </c>
      <c r="J221" s="18" t="str">
        <f t="shared" si="32"/>
        <v>Franco_etal_2000_Table1</v>
      </c>
      <c r="K221" s="17" t="str">
        <f t="shared" si="34"/>
        <v>10.1159%2F000047211_Table1</v>
      </c>
      <c r="L221" s="17" t="str">
        <f t="array" ref="L221">IFERROR(INDEX(AUTO_Public_TSV_FileList!$A$1:$A$1000,MATCH(TRUE(),EXACT(K221,IFERROR(_xlfn.TEXTBEFORE(AUTO_Public_TSV_FileList!$A$1:$A$1000,".tsv"),"")),0)),"notfound")</f>
        <v>notfound</v>
      </c>
      <c r="M221" s="20" t="s">
        <v>4545</v>
      </c>
      <c r="N221" s="20"/>
      <c r="O221" s="20"/>
      <c r="P221" s="20"/>
      <c r="Q221" s="20"/>
      <c r="R221" s="20"/>
      <c r="S221" s="20"/>
      <c r="T221" s="20"/>
      <c r="U221" s="20"/>
      <c r="V221" s="20"/>
      <c r="W221" s="20"/>
      <c r="X221" s="20"/>
      <c r="Y221" s="20"/>
      <c r="Z221" s="20"/>
      <c r="AA221" s="20"/>
      <c r="AB221" s="20"/>
      <c r="AC221" s="20"/>
      <c r="AD221" s="20"/>
      <c r="AE221" s="20"/>
      <c r="AF221" s="20"/>
      <c r="AG221" s="20"/>
      <c r="AH221" s="20"/>
    </row>
    <row r="222" spans="1:34" ht="17" customHeight="1" x14ac:dyDescent="0.2">
      <c r="A222" s="20" t="s">
        <v>4544</v>
      </c>
      <c r="B222" s="20"/>
      <c r="C222" s="20"/>
      <c r="D222" s="20" t="s">
        <v>93</v>
      </c>
      <c r="E222" s="18" t="str">
        <f t="shared" si="29"/>
        <v>Franco</v>
      </c>
      <c r="F222" s="17"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17" t="str">
        <f t="shared" si="30"/>
        <v>2000</v>
      </c>
      <c r="H222" s="18" t="str">
        <f t="shared" si="31"/>
        <v>Franco_etal_2000</v>
      </c>
      <c r="I222" s="18" t="str">
        <f>_xlfn.LET(_xlpm.doi,IF(C222&lt;&gt;"",C222,_xlfn.TEXTAFTER(A222,"https://doi.org/")),SUBSTITUTE(SUBSTITUTE(SUBSTITUTE(SUBSTITUTE(_xlpm.doi,"/","%2F"),":","%3A"),"&lt;","%3C"),"&gt;","%3E"))</f>
        <v>10.1159%2F000047211</v>
      </c>
      <c r="J222" s="18" t="str">
        <f t="shared" si="32"/>
        <v>Franco_etal_2000_Text</v>
      </c>
      <c r="K222" s="17" t="str">
        <f t="shared" si="34"/>
        <v>10.1159%2F000047211_Text</v>
      </c>
      <c r="L222" s="17" t="str">
        <f t="array" ref="L222">IFERROR(INDEX(AUTO_Public_TSV_FileList!$A$1:$A$1000,MATCH(TRUE(),EXACT(K222,IFERROR(_xlfn.TEXTBEFORE(AUTO_Public_TSV_FileList!$A$1:$A$1000,".tsv"),"")),0)),"notfound")</f>
        <v>notfound</v>
      </c>
      <c r="M222" s="20"/>
      <c r="N222" s="20"/>
      <c r="O222" s="20"/>
      <c r="P222" s="20"/>
      <c r="Q222" s="20"/>
      <c r="R222" s="20"/>
      <c r="S222" s="20"/>
      <c r="T222" s="20"/>
      <c r="U222" s="20"/>
      <c r="V222" s="20"/>
      <c r="W222" s="20"/>
      <c r="X222" s="20"/>
      <c r="Y222" s="20"/>
      <c r="Z222" s="20"/>
      <c r="AA222" s="20"/>
      <c r="AB222" s="20"/>
      <c r="AC222" s="20"/>
      <c r="AD222" s="20"/>
      <c r="AE222" s="20"/>
      <c r="AF222" s="20"/>
      <c r="AG222" s="20"/>
      <c r="AH222" s="20"/>
    </row>
    <row r="223" spans="1:34" ht="17" customHeight="1" x14ac:dyDescent="0.2">
      <c r="A223" s="19" t="s">
        <v>1087</v>
      </c>
      <c r="B223" s="20"/>
      <c r="C223" s="20"/>
      <c r="D223" s="19" t="s">
        <v>1088</v>
      </c>
      <c r="E223" s="17" t="str">
        <f t="shared" si="29"/>
        <v>Fritsches</v>
      </c>
      <c r="F223" s="17"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17" t="str">
        <f t="shared" si="30"/>
        <v>2005</v>
      </c>
      <c r="H223" s="17" t="str">
        <f t="shared" si="31"/>
        <v>Fritsches_etal_2005</v>
      </c>
      <c r="I223" s="17" t="str">
        <f>_xlfn.LET(
_xlpm.doi,IF(C223&lt;&gt;"",C223,_xlfn.TEXTAFTER(A223,"https://doi.org/")),
SUBSTITUTE(
SUBSTITUTE(
SUBSTITUTE(
SUBSTITUTE(
_xlpm.doi,
"/","%2F"),
":","%3A"),
"&lt;","%3C"),
"&gt;","%3E")
)</f>
        <v>10.1016%2Fj.cub.2004.12.064</v>
      </c>
      <c r="J223" s="17" t="str">
        <f t="shared" si="32"/>
        <v>Fritsches_etal_2005_Fig2</v>
      </c>
      <c r="K223" s="17" t="str">
        <f t="shared" si="34"/>
        <v>10.1016%2Fj.cub.2004.12.064_Fig2</v>
      </c>
      <c r="L223" s="17" t="str">
        <f t="array" ref="L223">IFERROR(INDEX(AUTO_Public_TSV_FileList!$A$1:$A$1000,MATCH(TRUE(),EXACT(K223,IFERROR(_xlfn.TEXTBEFORE(AUTO_Public_TSV_FileList!$A$1:$A$1000,".tsv"),"")),0)),"notfound")</f>
        <v>10.1016%2Fj.cub.2004.12.064_Fig2.tsv</v>
      </c>
      <c r="M223" s="20"/>
      <c r="N223" s="20"/>
      <c r="O223" s="20" t="s">
        <v>1089</v>
      </c>
      <c r="P223" s="19" t="s">
        <v>55</v>
      </c>
      <c r="Q223" s="20"/>
      <c r="R223" s="20"/>
      <c r="S223" s="20"/>
      <c r="T223" s="20"/>
      <c r="U223" s="20"/>
      <c r="V223" s="20"/>
      <c r="W223" s="20"/>
      <c r="X223" s="20"/>
      <c r="Y223" s="20"/>
      <c r="Z223" s="20"/>
      <c r="AA223" s="20"/>
      <c r="AB223" s="20"/>
      <c r="AC223" s="20"/>
      <c r="AD223" s="20"/>
      <c r="AE223" s="20"/>
      <c r="AF223" s="20"/>
      <c r="AG223" s="20"/>
      <c r="AH223" s="20"/>
    </row>
    <row r="224" spans="1:34" ht="17" customHeight="1" x14ac:dyDescent="0.2">
      <c r="A224" s="20" t="s">
        <v>1090</v>
      </c>
      <c r="B224" s="20"/>
      <c r="C224" s="20"/>
      <c r="D224" s="20" t="s">
        <v>120</v>
      </c>
      <c r="E224" s="18" t="str">
        <f t="shared" si="29"/>
        <v>Frost</v>
      </c>
      <c r="F224" s="17"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24" s="17" t="str">
        <f t="shared" si="30"/>
        <v>1994</v>
      </c>
      <c r="H224" s="18" t="str">
        <f t="shared" si="31"/>
        <v>Frost_Masterton_1994</v>
      </c>
      <c r="I224" s="18" t="str">
        <f>_xlfn.LET(_xlpm.doi,IF(C224&lt;&gt;"",C224,_xlfn.TEXTAFTER(A224,"https://doi.org/")),SUBSTITUTE(SUBSTITUTE(SUBSTITUTE(SUBSTITUTE(_xlpm.doi,"/","%2F"),":","%3A"),"&lt;","%3C"),"&gt;","%3E"))</f>
        <v>10.1016%2F0378-5955(94)90088-4</v>
      </c>
      <c r="J224" s="18" t="str">
        <f t="shared" si="32"/>
        <v>Frost_Masterton_1994_Figure3</v>
      </c>
      <c r="K224" s="17" t="str">
        <f t="shared" si="34"/>
        <v>10.1016%2F0378-5955(94)90088-4_Figure3</v>
      </c>
      <c r="L224" s="17" t="str">
        <f t="array" ref="L224">IFERROR(INDEX(AUTO_Public_TSV_FileList!$A$1:$A$1000,MATCH(TRUE(),EXACT(K224,IFERROR(_xlfn.TEXTBEFORE(AUTO_Public_TSV_FileList!$A$1:$A$1000,".tsv"),"")),0)),"notfound")</f>
        <v>notfound</v>
      </c>
      <c r="M224" s="20" t="s">
        <v>1091</v>
      </c>
      <c r="N224" s="20" t="s">
        <v>541</v>
      </c>
      <c r="O224" s="20" t="s">
        <v>1092</v>
      </c>
      <c r="P224" s="20" t="s">
        <v>133</v>
      </c>
      <c r="Q224" s="20"/>
      <c r="R224" s="20" t="s">
        <v>1093</v>
      </c>
      <c r="S224" s="20"/>
      <c r="T224" s="20"/>
      <c r="U224" s="20"/>
      <c r="V224" s="20" t="s">
        <v>101</v>
      </c>
      <c r="W224" s="20" t="s">
        <v>1094</v>
      </c>
      <c r="X224" s="20" t="s">
        <v>1095</v>
      </c>
      <c r="Y224" s="20"/>
      <c r="Z224" s="20" t="s">
        <v>445</v>
      </c>
      <c r="AA224" s="20" t="s">
        <v>1096</v>
      </c>
      <c r="AB224" s="20" t="s">
        <v>1097</v>
      </c>
      <c r="AC224" s="20" t="s">
        <v>1098</v>
      </c>
      <c r="AD224" s="20"/>
      <c r="AE224" s="20" t="s">
        <v>70</v>
      </c>
      <c r="AF224" s="20" t="s">
        <v>1099</v>
      </c>
      <c r="AG224" s="20" t="s">
        <v>449</v>
      </c>
      <c r="AH224" s="20"/>
    </row>
    <row r="225" spans="1:36" ht="17" customHeight="1" x14ac:dyDescent="0.2">
      <c r="A225" s="20" t="s">
        <v>1090</v>
      </c>
      <c r="B225" s="20"/>
      <c r="C225" s="20"/>
      <c r="D225" s="20" t="s">
        <v>500</v>
      </c>
      <c r="E225" s="18" t="str">
        <f t="shared" si="29"/>
        <v>Frost</v>
      </c>
      <c r="F225" s="17"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25" s="17" t="str">
        <f t="shared" si="30"/>
        <v>1994</v>
      </c>
      <c r="H225" s="18" t="str">
        <f t="shared" si="31"/>
        <v>Frost_Masterton_1994</v>
      </c>
      <c r="I225" s="18" t="str">
        <f>_xlfn.LET(_xlpm.doi,IF(C225&lt;&gt;"",C225,_xlfn.TEXTAFTER(A225,"https://doi.org/")),SUBSTITUTE(SUBSTITUTE(SUBSTITUTE(SUBSTITUTE(_xlpm.doi,"/","%2F"),":","%3A"),"&lt;","%3C"),"&gt;","%3E"))</f>
        <v>10.1016%2F0378-5955(94)90088-4</v>
      </c>
      <c r="J225" s="18" t="str">
        <f t="shared" si="32"/>
        <v>Frost_Masterton_1994_ResultsText</v>
      </c>
      <c r="K225" s="17" t="str">
        <f t="shared" si="34"/>
        <v>10.1016%2F0378-5955(94)90088-4_ResultsText</v>
      </c>
      <c r="L225" s="17" t="str">
        <f t="array" ref="L225">IFERROR(INDEX(AUTO_Public_TSV_FileList!$A$1:$A$1000,MATCH(TRUE(),EXACT(K225,IFERROR(_xlfn.TEXTBEFORE(AUTO_Public_TSV_FileList!$A$1:$A$1000,".tsv"),"")),0)),"notfound")</f>
        <v>10.1016%2F0378-5955(94)90088-4_ResultsText.tsv</v>
      </c>
      <c r="M225" s="20" t="s">
        <v>1100</v>
      </c>
      <c r="N225" s="20" t="s">
        <v>659</v>
      </c>
      <c r="O225" s="20" t="s">
        <v>1101</v>
      </c>
      <c r="P225" s="20" t="s">
        <v>55</v>
      </c>
      <c r="Q225" s="20"/>
      <c r="R225" s="20" t="s">
        <v>1093</v>
      </c>
      <c r="S225" s="20"/>
      <c r="T225" s="20"/>
      <c r="U225" s="20"/>
      <c r="V225" s="20" t="s">
        <v>101</v>
      </c>
      <c r="W225" s="20" t="s">
        <v>1102</v>
      </c>
      <c r="X225" s="20" t="s">
        <v>1103</v>
      </c>
      <c r="Y225" s="20"/>
      <c r="Z225" s="20" t="s">
        <v>445</v>
      </c>
      <c r="AA225" s="20" t="s">
        <v>1096</v>
      </c>
      <c r="AB225" s="20" t="s">
        <v>1104</v>
      </c>
      <c r="AC225" s="20" t="s">
        <v>1098</v>
      </c>
      <c r="AD225" s="20"/>
      <c r="AE225" s="20" t="s">
        <v>50</v>
      </c>
      <c r="AF225" s="20"/>
      <c r="AG225" s="20" t="s">
        <v>449</v>
      </c>
      <c r="AH225" s="20"/>
    </row>
    <row r="226" spans="1:36" ht="17" customHeight="1" x14ac:dyDescent="0.2">
      <c r="A226" s="19" t="s">
        <v>1105</v>
      </c>
      <c r="B226" s="20"/>
      <c r="C226" s="20"/>
      <c r="D226" s="19" t="s">
        <v>86</v>
      </c>
      <c r="E226" s="17" t="str">
        <f t="shared" si="29"/>
        <v>Fu</v>
      </c>
      <c r="F226" s="17"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17" t="str">
        <f t="shared" si="30"/>
        <v>2013</v>
      </c>
      <c r="H226" s="17" t="str">
        <f t="shared" si="31"/>
        <v>Fu_etal_2013</v>
      </c>
      <c r="I226" s="17" t="str">
        <f>_xlfn.LET(
_xlpm.doi,IF(C226&lt;&gt;"",C226,_xlfn.TEXTAFTER(A226,"https://doi.org/")),
SUBSTITUTE(
SUBSTITUTE(
SUBSTITUTE(
SUBSTITUTE(
_xlpm.doi,
"/","%2F"),
":","%3A"),
"&lt;","%3C"),
"&gt;","%3E")
)</f>
        <v>10.1007%2Fs00429-012-0462-x</v>
      </c>
      <c r="J226" s="17" t="str">
        <f t="shared" si="32"/>
        <v>Fu_etal_2013_Table1</v>
      </c>
      <c r="K226" s="17" t="str">
        <f t="shared" si="34"/>
        <v>10.1007%2Fs00429-012-0462-x_Table1</v>
      </c>
      <c r="L226" s="17" t="str">
        <f t="array" ref="L226">IFERROR(INDEX(AUTO_Public_TSV_FileList!$A$1:$A$1000,MATCH(TRUE(),EXACT(K226,IFERROR(_xlfn.TEXTBEFORE(AUTO_Public_TSV_FileList!$A$1:$A$1000,".tsv"),"")),0)),"notfound")</f>
        <v>10.1007%2Fs00429-012-0462-x_Table1.tsv</v>
      </c>
      <c r="M226" s="19" t="s">
        <v>1106</v>
      </c>
      <c r="N226" s="20"/>
      <c r="O226" s="20"/>
      <c r="P226" s="19" t="s">
        <v>55</v>
      </c>
      <c r="Q226" s="20"/>
      <c r="R226" s="20"/>
      <c r="S226" s="20"/>
      <c r="T226" s="20"/>
      <c r="U226" s="20"/>
      <c r="V226" s="20"/>
      <c r="W226" s="19"/>
      <c r="X226" s="20"/>
      <c r="Y226" s="19" t="s">
        <v>480</v>
      </c>
      <c r="Z226" s="20"/>
      <c r="AA226" s="20"/>
      <c r="AB226" s="19"/>
      <c r="AC226" s="20"/>
      <c r="AD226" s="20"/>
      <c r="AE226" s="19"/>
      <c r="AF226" s="19"/>
      <c r="AG226" s="20"/>
      <c r="AH226" s="20"/>
    </row>
    <row r="227" spans="1:36" ht="17" customHeight="1" x14ac:dyDescent="0.2">
      <c r="A227" s="19" t="s">
        <v>1107</v>
      </c>
      <c r="B227" s="20"/>
      <c r="C227" s="20"/>
      <c r="D227" s="19" t="s">
        <v>390</v>
      </c>
      <c r="E227" s="17" t="str">
        <f t="shared" si="29"/>
        <v>Gabi</v>
      </c>
      <c r="F227" s="17"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17" t="str">
        <f t="shared" si="30"/>
        <v>2016</v>
      </c>
      <c r="H227" s="17" t="str">
        <f t="shared" si="31"/>
        <v>Gabi_etal_2016</v>
      </c>
      <c r="I227" s="17" t="str">
        <f>_xlfn.LET(
_xlpm.doi,IF(C227&lt;&gt;"",C227,_xlfn.TEXTAFTER(A227,"https://doi.org/")),
SUBSTITUTE(
SUBSTITUTE(
SUBSTITUTE(
SUBSTITUTE(
_xlpm.doi,
"/","%2F"),
":","%3A"),
"&lt;","%3C"),
"&gt;","%3E")
)</f>
        <v>10.1073%2Fpnas.1610178113</v>
      </c>
      <c r="J227" s="17" t="str">
        <f t="shared" si="32"/>
        <v>Gabi_etal_2016_TableS1</v>
      </c>
      <c r="K227" s="17" t="str">
        <f t="shared" si="34"/>
        <v>10.1073%2Fpnas.1610178113_TableS1</v>
      </c>
      <c r="L227" s="17" t="str">
        <f t="array" ref="L227">IFERROR(INDEX(AUTO_Public_TSV_FileList!$A$1:$A$1000,MATCH(TRUE(),EXACT(K227,IFERROR(_xlfn.TEXTBEFORE(AUTO_Public_TSV_FileList!$A$1:$A$1000,".tsv"),"")),0)),"notfound")</f>
        <v>10.1073%2Fpnas.1610178113_TableS1.tsv</v>
      </c>
      <c r="M227" s="20"/>
      <c r="N227" s="20" t="s">
        <v>54</v>
      </c>
      <c r="O227" s="20"/>
      <c r="P227" s="20" t="s">
        <v>55</v>
      </c>
      <c r="Q227" s="20"/>
      <c r="R227" s="20"/>
      <c r="S227" s="20"/>
      <c r="T227" s="20"/>
      <c r="U227" s="20"/>
      <c r="V227" s="20"/>
      <c r="W227" s="20" t="s">
        <v>1108</v>
      </c>
      <c r="X227" s="20" t="s">
        <v>1109</v>
      </c>
      <c r="Y227" s="20"/>
      <c r="Z227" s="20"/>
      <c r="AA227" s="20"/>
      <c r="AB227" s="20" t="s">
        <v>1110</v>
      </c>
      <c r="AC227" s="20" t="s">
        <v>84</v>
      </c>
      <c r="AD227" s="20"/>
      <c r="AE227" s="20" t="s">
        <v>50</v>
      </c>
      <c r="AF227" s="20"/>
      <c r="AG227" s="20" t="s">
        <v>1111</v>
      </c>
      <c r="AH227" s="20"/>
    </row>
    <row r="228" spans="1:36" ht="17" customHeight="1" x14ac:dyDescent="0.2">
      <c r="A228" s="20" t="s">
        <v>4939</v>
      </c>
      <c r="B228" s="20"/>
      <c r="C228" s="20"/>
      <c r="D228" s="20" t="s">
        <v>4940</v>
      </c>
      <c r="E228" s="18" t="str">
        <f t="shared" si="29"/>
        <v>GalánAcedo</v>
      </c>
      <c r="F228" s="17"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17" t="str">
        <f t="shared" si="30"/>
        <v>2019</v>
      </c>
      <c r="H228" s="18" t="str">
        <f t="shared" si="31"/>
        <v>GalánAcedo_etal_2019</v>
      </c>
      <c r="I228" s="18" t="str">
        <f t="shared" ref="I228:I234" si="36">_xlfn.LET(_xlpm.doi,IF(C228&lt;&gt;"",C228,_xlfn.TEXTAFTER(A228,"https://doi.org/")),SUBSTITUTE(SUBSTITUTE(SUBSTITUTE(SUBSTITUTE(_xlpm.doi,"/","%2F"),":","%3A"),"&lt;","%3C"),"&gt;","%3E"))</f>
        <v>10.1038%2Fs41597-019-0059-9</v>
      </c>
      <c r="J228" s="18" t="str">
        <f t="shared" si="32"/>
        <v>GalánAcedo_etal_2019_BodyMass.csv</v>
      </c>
      <c r="K228" s="17" t="str">
        <f t="shared" si="34"/>
        <v>10.1038%2Fs41597-019-0059-9_BodyMass.csv</v>
      </c>
      <c r="L228" s="17" t="str">
        <f t="array" ref="L228">IFERROR(INDEX(AUTO_Public_TSV_FileList!$A$1:$A$1000,MATCH(TRUE(),EXACT(K228,IFERROR(_xlfn.TEXTBEFORE(AUTO_Public_TSV_FileList!$A$1:$A$1000,".tsv"),"")),0)),"notfound")</f>
        <v>notfound</v>
      </c>
      <c r="M228" s="20"/>
      <c r="N228" s="20" t="s">
        <v>4864</v>
      </c>
      <c r="O228" s="20" t="s">
        <v>4941</v>
      </c>
      <c r="P228" s="20" t="s">
        <v>4866</v>
      </c>
      <c r="Q228" s="20" t="s">
        <v>4942</v>
      </c>
      <c r="R228" s="20" t="s">
        <v>4943</v>
      </c>
      <c r="S228" s="20" t="s">
        <v>4869</v>
      </c>
      <c r="T228" s="20" t="s">
        <v>4870</v>
      </c>
      <c r="U228" s="20"/>
      <c r="V228" s="20" t="s">
        <v>4871</v>
      </c>
      <c r="W228" s="20" t="s">
        <v>187</v>
      </c>
      <c r="X228" s="20" t="s">
        <v>4944</v>
      </c>
      <c r="Y228" s="20"/>
      <c r="Z228" s="20" t="s">
        <v>4873</v>
      </c>
      <c r="AA228" s="20" t="s">
        <v>4945</v>
      </c>
      <c r="AB228" s="20" t="s">
        <v>4946</v>
      </c>
      <c r="AC228" s="20" t="s">
        <v>4947</v>
      </c>
      <c r="AD228" s="20" t="s">
        <v>689</v>
      </c>
      <c r="AE228" s="20" t="s">
        <v>265</v>
      </c>
      <c r="AF228" s="20" t="s">
        <v>4877</v>
      </c>
      <c r="AG228" s="20" t="s">
        <v>4878</v>
      </c>
      <c r="AH228" s="20" t="s">
        <v>352</v>
      </c>
      <c r="AJ228" t="s">
        <v>4948</v>
      </c>
    </row>
    <row r="229" spans="1:36" ht="17" customHeight="1" x14ac:dyDescent="0.2">
      <c r="A229" s="20" t="s">
        <v>4939</v>
      </c>
      <c r="B229" s="20"/>
      <c r="C229" s="20"/>
      <c r="D229" s="20" t="s">
        <v>4949</v>
      </c>
      <c r="E229" s="18" t="str">
        <f t="shared" si="29"/>
        <v>GalánAcedo</v>
      </c>
      <c r="F229" s="17"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17" t="str">
        <f t="shared" si="30"/>
        <v>2019</v>
      </c>
      <c r="H229" s="18" t="str">
        <f t="shared" si="31"/>
        <v>GalánAcedo_etal_2019</v>
      </c>
      <c r="I229" s="18" t="str">
        <f t="shared" si="36"/>
        <v>10.1038%2Fs41597-019-0059-9</v>
      </c>
      <c r="J229" s="18" t="str">
        <f t="shared" si="32"/>
        <v>GalánAcedo_etal_2019_DielActivity.csv</v>
      </c>
      <c r="K229" s="17" t="str">
        <f t="shared" si="34"/>
        <v>10.1038%2Fs41597-019-0059-9_DielActivity.csv</v>
      </c>
      <c r="L229" s="17" t="str">
        <f t="array" ref="L229">IFERROR(INDEX(AUTO_Public_TSV_FileList!$A$1:$A$1000,MATCH(TRUE(),EXACT(K229,IFERROR(_xlfn.TEXTBEFORE(AUTO_Public_TSV_FileList!$A$1:$A$1000,".tsv"),"")),0)),"notfound")</f>
        <v>notfound</v>
      </c>
      <c r="M229" s="20"/>
      <c r="N229" s="20" t="s">
        <v>4864</v>
      </c>
      <c r="O229" s="20" t="s">
        <v>4950</v>
      </c>
      <c r="P229" s="20" t="s">
        <v>4866</v>
      </c>
      <c r="Q229" s="20" t="s">
        <v>4951</v>
      </c>
      <c r="R229" s="20" t="s">
        <v>4943</v>
      </c>
      <c r="S229" s="20" t="s">
        <v>4869</v>
      </c>
      <c r="T229" s="20" t="s">
        <v>4870</v>
      </c>
      <c r="U229" s="20"/>
      <c r="V229" s="20" t="s">
        <v>4871</v>
      </c>
      <c r="W229" s="20" t="s">
        <v>187</v>
      </c>
      <c r="X229" s="20" t="s">
        <v>4952</v>
      </c>
      <c r="Y229" s="20"/>
      <c r="Z229" s="20" t="s">
        <v>4873</v>
      </c>
      <c r="AA229" s="20" t="s">
        <v>4945</v>
      </c>
      <c r="AB229" s="20" t="s">
        <v>4946</v>
      </c>
      <c r="AC229" s="20" t="s">
        <v>4947</v>
      </c>
      <c r="AD229" s="20" t="s">
        <v>689</v>
      </c>
      <c r="AE229" s="20" t="s">
        <v>265</v>
      </c>
      <c r="AF229" s="20" t="s">
        <v>4877</v>
      </c>
      <c r="AG229" s="20" t="s">
        <v>4878</v>
      </c>
      <c r="AH229" s="20" t="s">
        <v>352</v>
      </c>
      <c r="AJ229" t="s">
        <v>4953</v>
      </c>
    </row>
    <row r="230" spans="1:36" ht="17" customHeight="1" x14ac:dyDescent="0.2">
      <c r="A230" s="20" t="s">
        <v>4939</v>
      </c>
      <c r="B230" s="20"/>
      <c r="C230" s="20"/>
      <c r="D230" s="20" t="s">
        <v>4954</v>
      </c>
      <c r="E230" s="18" t="str">
        <f t="shared" si="29"/>
        <v>GalánAcedo</v>
      </c>
      <c r="F230" s="17"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17" t="str">
        <f t="shared" si="30"/>
        <v>2019</v>
      </c>
      <c r="H230" s="18" t="str">
        <f t="shared" si="31"/>
        <v>GalánAcedo_etal_2019</v>
      </c>
      <c r="I230" s="18" t="str">
        <f t="shared" si="36"/>
        <v>10.1038%2Fs41597-019-0059-9</v>
      </c>
      <c r="J230" s="18" t="str">
        <f t="shared" si="32"/>
        <v>GalánAcedo_etal_2019_Habitat.csv</v>
      </c>
      <c r="K230" s="17" t="str">
        <f t="shared" si="34"/>
        <v>10.1038%2Fs41597-019-0059-9_Habitat.csv</v>
      </c>
      <c r="L230" s="17" t="str">
        <f t="array" ref="L230">IFERROR(INDEX(AUTO_Public_TSV_FileList!$A$1:$A$1000,MATCH(TRUE(),EXACT(K230,IFERROR(_xlfn.TEXTBEFORE(AUTO_Public_TSV_FileList!$A$1:$A$1000,".tsv"),"")),0)),"notfound")</f>
        <v>notfound</v>
      </c>
      <c r="M230" s="20"/>
      <c r="N230" s="20" t="s">
        <v>4864</v>
      </c>
      <c r="O230" s="20" t="s">
        <v>4955</v>
      </c>
      <c r="P230" s="20" t="s">
        <v>4866</v>
      </c>
      <c r="Q230" s="20" t="s">
        <v>4956</v>
      </c>
      <c r="R230" s="20" t="s">
        <v>4943</v>
      </c>
      <c r="S230" s="20" t="s">
        <v>4869</v>
      </c>
      <c r="T230" s="20" t="s">
        <v>4870</v>
      </c>
      <c r="U230" s="20"/>
      <c r="V230" s="20" t="s">
        <v>4871</v>
      </c>
      <c r="W230" s="20" t="s">
        <v>187</v>
      </c>
      <c r="X230" s="20" t="s">
        <v>4957</v>
      </c>
      <c r="Y230" s="20"/>
      <c r="Z230" s="20" t="s">
        <v>4873</v>
      </c>
      <c r="AA230" s="20" t="s">
        <v>4945</v>
      </c>
      <c r="AB230" s="20" t="s">
        <v>4946</v>
      </c>
      <c r="AC230" s="20" t="s">
        <v>4947</v>
      </c>
      <c r="AD230" s="20" t="s">
        <v>689</v>
      </c>
      <c r="AE230" s="20" t="s">
        <v>265</v>
      </c>
      <c r="AF230" s="20" t="s">
        <v>4877</v>
      </c>
      <c r="AG230" s="20" t="s">
        <v>4878</v>
      </c>
      <c r="AH230" s="20" t="s">
        <v>352</v>
      </c>
      <c r="AJ230" t="s">
        <v>4958</v>
      </c>
    </row>
    <row r="231" spans="1:36" ht="17" customHeight="1" x14ac:dyDescent="0.2">
      <c r="A231" s="20" t="s">
        <v>4939</v>
      </c>
      <c r="B231" s="20"/>
      <c r="C231" s="20"/>
      <c r="D231" s="20" t="s">
        <v>4959</v>
      </c>
      <c r="E231" s="18" t="str">
        <f t="shared" si="29"/>
        <v>GalánAcedo</v>
      </c>
      <c r="F231" s="17"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17" t="str">
        <f t="shared" si="30"/>
        <v>2019</v>
      </c>
      <c r="H231" s="18" t="str">
        <f t="shared" si="31"/>
        <v>GalánAcedo_etal_2019</v>
      </c>
      <c r="I231" s="18" t="str">
        <f t="shared" si="36"/>
        <v>10.1038%2Fs41597-019-0059-9</v>
      </c>
      <c r="J231" s="18" t="str">
        <f t="shared" si="32"/>
        <v>GalánAcedo_etal_2019_HomeRange.csv</v>
      </c>
      <c r="K231" s="17" t="str">
        <f t="shared" si="34"/>
        <v>10.1038%2Fs41597-019-0059-9_HomeRange.csv</v>
      </c>
      <c r="L231" s="17" t="str">
        <f t="array" ref="L231">IFERROR(INDEX(AUTO_Public_TSV_FileList!$A$1:$A$1000,MATCH(TRUE(),EXACT(K231,IFERROR(_xlfn.TEXTBEFORE(AUTO_Public_TSV_FileList!$A$1:$A$1000,".tsv"),"")),0)),"notfound")</f>
        <v>notfound</v>
      </c>
      <c r="M231" s="20"/>
      <c r="N231" s="20" t="s">
        <v>4864</v>
      </c>
      <c r="O231" s="20" t="s">
        <v>4960</v>
      </c>
      <c r="P231" s="20" t="s">
        <v>4866</v>
      </c>
      <c r="Q231" s="20" t="s">
        <v>4961</v>
      </c>
      <c r="R231" s="20" t="s">
        <v>4943</v>
      </c>
      <c r="S231" s="20" t="s">
        <v>4869</v>
      </c>
      <c r="T231" s="20" t="s">
        <v>4870</v>
      </c>
      <c r="U231" s="20"/>
      <c r="V231" s="20" t="s">
        <v>4871</v>
      </c>
      <c r="W231" s="20" t="s">
        <v>187</v>
      </c>
      <c r="X231" s="20" t="s">
        <v>4962</v>
      </c>
      <c r="Y231" s="20"/>
      <c r="Z231" s="20" t="s">
        <v>4873</v>
      </c>
      <c r="AA231" s="20" t="s">
        <v>4945</v>
      </c>
      <c r="AB231" s="20" t="s">
        <v>4946</v>
      </c>
      <c r="AC231" s="20" t="s">
        <v>4947</v>
      </c>
      <c r="AD231" s="20" t="s">
        <v>689</v>
      </c>
      <c r="AE231" s="20" t="s">
        <v>265</v>
      </c>
      <c r="AF231" s="20" t="s">
        <v>4877</v>
      </c>
      <c r="AG231" s="20" t="s">
        <v>4878</v>
      </c>
      <c r="AH231" s="20" t="s">
        <v>352</v>
      </c>
      <c r="AJ231" t="s">
        <v>4963</v>
      </c>
    </row>
    <row r="232" spans="1:36" ht="17" customHeight="1" x14ac:dyDescent="0.2">
      <c r="A232" s="20" t="s">
        <v>4939</v>
      </c>
      <c r="B232" s="20"/>
      <c r="C232" s="20"/>
      <c r="D232" s="20" t="s">
        <v>4964</v>
      </c>
      <c r="E232" s="18" t="str">
        <f t="shared" si="29"/>
        <v>GalánAcedo</v>
      </c>
      <c r="F232" s="17"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17" t="str">
        <f t="shared" si="30"/>
        <v>2019</v>
      </c>
      <c r="H232" s="18" t="str">
        <f t="shared" si="31"/>
        <v>GalánAcedo_etal_2019</v>
      </c>
      <c r="I232" s="18" t="str">
        <f t="shared" si="36"/>
        <v>10.1038%2Fs41597-019-0059-9</v>
      </c>
      <c r="J232" s="18" t="str">
        <f t="shared" si="32"/>
        <v>GalánAcedo_etal_2019_IUCNPoptrendRealm.csv</v>
      </c>
      <c r="K232" s="17" t="str">
        <f t="shared" si="34"/>
        <v>10.1038%2Fs41597-019-0059-9_IUCNPoptrendRealm.csv</v>
      </c>
      <c r="L232" s="17" t="str">
        <f t="array" ref="L232">IFERROR(INDEX(AUTO_Public_TSV_FileList!$A$1:$A$1000,MATCH(TRUE(),EXACT(K232,IFERROR(_xlfn.TEXTBEFORE(AUTO_Public_TSV_FileList!$A$1:$A$1000,".tsv"),"")),0)),"notfound")</f>
        <v>notfound</v>
      </c>
      <c r="M232" s="20"/>
      <c r="N232" s="20" t="s">
        <v>4864</v>
      </c>
      <c r="O232" s="20" t="s">
        <v>4955</v>
      </c>
      <c r="P232" s="20" t="s">
        <v>4866</v>
      </c>
      <c r="Q232" s="20" t="s">
        <v>4965</v>
      </c>
      <c r="R232" s="20" t="s">
        <v>4943</v>
      </c>
      <c r="S232" s="20" t="s">
        <v>4869</v>
      </c>
      <c r="T232" s="20" t="s">
        <v>4870</v>
      </c>
      <c r="U232" s="20"/>
      <c r="V232" s="20" t="s">
        <v>4871</v>
      </c>
      <c r="W232" s="20" t="s">
        <v>187</v>
      </c>
      <c r="X232" s="20" t="s">
        <v>4966</v>
      </c>
      <c r="Y232" s="20"/>
      <c r="Z232" s="20" t="s">
        <v>4873</v>
      </c>
      <c r="AA232" s="20" t="s">
        <v>4945</v>
      </c>
      <c r="AB232" s="20" t="s">
        <v>4946</v>
      </c>
      <c r="AC232" s="20" t="s">
        <v>4947</v>
      </c>
      <c r="AD232" s="20" t="s">
        <v>689</v>
      </c>
      <c r="AE232" s="20" t="s">
        <v>265</v>
      </c>
      <c r="AF232" s="20" t="s">
        <v>4877</v>
      </c>
      <c r="AG232" s="20" t="s">
        <v>4878</v>
      </c>
      <c r="AH232" s="20" t="s">
        <v>352</v>
      </c>
      <c r="AJ232" t="s">
        <v>4967</v>
      </c>
    </row>
    <row r="233" spans="1:36" ht="17" customHeight="1" x14ac:dyDescent="0.2">
      <c r="A233" s="20" t="s">
        <v>4939</v>
      </c>
      <c r="B233" s="20"/>
      <c r="C233" s="20"/>
      <c r="D233" s="20" t="s">
        <v>4968</v>
      </c>
      <c r="E233" s="18" t="str">
        <f t="shared" si="29"/>
        <v>GalánAcedo</v>
      </c>
      <c r="F233" s="17"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17" t="str">
        <f t="shared" si="30"/>
        <v>2019</v>
      </c>
      <c r="H233" s="18" t="str">
        <f t="shared" si="31"/>
        <v>GalánAcedo_etal_2019</v>
      </c>
      <c r="I233" s="18" t="str">
        <f t="shared" si="36"/>
        <v>10.1038%2Fs41597-019-0059-9</v>
      </c>
      <c r="J233" s="18" t="str">
        <f t="shared" si="32"/>
        <v>GalánAcedo_etal_2019_Locomotion.csv</v>
      </c>
      <c r="K233" s="17" t="str">
        <f t="shared" si="34"/>
        <v>10.1038%2Fs41597-019-0059-9_Locomotion.csv</v>
      </c>
      <c r="L233" s="17" t="str">
        <f t="array" ref="L233">IFERROR(INDEX(AUTO_Public_TSV_FileList!$A$1:$A$1000,MATCH(TRUE(),EXACT(K233,IFERROR(_xlfn.TEXTBEFORE(AUTO_Public_TSV_FileList!$A$1:$A$1000,".tsv"),"")),0)),"notfound")</f>
        <v>notfound</v>
      </c>
      <c r="M233" s="20"/>
      <c r="N233" s="20" t="s">
        <v>4864</v>
      </c>
      <c r="O233" s="20" t="s">
        <v>4969</v>
      </c>
      <c r="P233" s="20" t="s">
        <v>4866</v>
      </c>
      <c r="Q233" s="20" t="s">
        <v>4970</v>
      </c>
      <c r="R233" s="20" t="s">
        <v>4943</v>
      </c>
      <c r="S233" s="20" t="s">
        <v>4869</v>
      </c>
      <c r="T233" s="20" t="s">
        <v>4870</v>
      </c>
      <c r="U233" s="20"/>
      <c r="V233" s="20" t="s">
        <v>4871</v>
      </c>
      <c r="W233" s="20" t="s">
        <v>187</v>
      </c>
      <c r="X233" s="20" t="s">
        <v>4971</v>
      </c>
      <c r="Y233" s="20"/>
      <c r="Z233" s="20" t="s">
        <v>4873</v>
      </c>
      <c r="AA233" s="20" t="s">
        <v>4945</v>
      </c>
      <c r="AB233" s="20" t="s">
        <v>4946</v>
      </c>
      <c r="AC233" s="20" t="s">
        <v>4947</v>
      </c>
      <c r="AD233" s="20" t="s">
        <v>689</v>
      </c>
      <c r="AE233" s="20" t="s">
        <v>265</v>
      </c>
      <c r="AF233" s="20" t="s">
        <v>4877</v>
      </c>
      <c r="AG233" s="20" t="s">
        <v>4878</v>
      </c>
      <c r="AH233" s="20" t="s">
        <v>352</v>
      </c>
      <c r="AJ233" t="s">
        <v>4972</v>
      </c>
    </row>
    <row r="234" spans="1:36" ht="17" customHeight="1" x14ac:dyDescent="0.2">
      <c r="A234" s="20" t="s">
        <v>4939</v>
      </c>
      <c r="B234" s="20"/>
      <c r="C234" s="20"/>
      <c r="D234" s="20" t="s">
        <v>4973</v>
      </c>
      <c r="E234" s="18" t="str">
        <f t="shared" si="29"/>
        <v>GalánAcedo</v>
      </c>
      <c r="F234" s="17"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17" t="str">
        <f t="shared" si="30"/>
        <v>2019</v>
      </c>
      <c r="H234" s="18" t="str">
        <f t="shared" si="31"/>
        <v>GalánAcedo_etal_2019</v>
      </c>
      <c r="I234" s="18" t="str">
        <f t="shared" si="36"/>
        <v>10.1038%2Fs41597-019-0059-9</v>
      </c>
      <c r="J234" s="18" t="str">
        <f t="shared" si="32"/>
        <v>GalánAcedo_etal_2019_TrophicGuild.csv</v>
      </c>
      <c r="K234" s="17" t="str">
        <f t="shared" si="34"/>
        <v>10.1038%2Fs41597-019-0059-9_TrophicGuild.csv</v>
      </c>
      <c r="L234" s="17" t="str">
        <f t="array" ref="L234">IFERROR(INDEX(AUTO_Public_TSV_FileList!$A$1:$A$1000,MATCH(TRUE(),EXACT(K234,IFERROR(_xlfn.TEXTBEFORE(AUTO_Public_TSV_FileList!$A$1:$A$1000,".tsv"),"")),0)),"notfound")</f>
        <v>notfound</v>
      </c>
      <c r="M234" s="20"/>
      <c r="N234" s="20" t="s">
        <v>4864</v>
      </c>
      <c r="O234" s="20" t="s">
        <v>4974</v>
      </c>
      <c r="P234" s="20" t="s">
        <v>4866</v>
      </c>
      <c r="Q234" s="20" t="s">
        <v>4975</v>
      </c>
      <c r="R234" s="20" t="s">
        <v>4943</v>
      </c>
      <c r="S234" s="20" t="s">
        <v>4869</v>
      </c>
      <c r="T234" s="20" t="s">
        <v>4870</v>
      </c>
      <c r="U234" s="20"/>
      <c r="V234" s="20" t="s">
        <v>4871</v>
      </c>
      <c r="W234" s="20" t="s">
        <v>187</v>
      </c>
      <c r="X234" s="20" t="s">
        <v>4976</v>
      </c>
      <c r="Y234" s="20"/>
      <c r="Z234" s="20" t="s">
        <v>4873</v>
      </c>
      <c r="AA234" s="20" t="s">
        <v>4945</v>
      </c>
      <c r="AB234" s="20" t="s">
        <v>4946</v>
      </c>
      <c r="AC234" s="20" t="s">
        <v>4947</v>
      </c>
      <c r="AD234" s="20" t="s">
        <v>689</v>
      </c>
      <c r="AE234" s="20" t="s">
        <v>265</v>
      </c>
      <c r="AF234" s="20" t="s">
        <v>4877</v>
      </c>
      <c r="AG234" s="20" t="s">
        <v>4878</v>
      </c>
      <c r="AH234" s="20" t="s">
        <v>352</v>
      </c>
      <c r="AJ234" t="s">
        <v>4977</v>
      </c>
    </row>
    <row r="235" spans="1:36" ht="17" customHeight="1" x14ac:dyDescent="0.2">
      <c r="A235" s="20" t="s">
        <v>1112</v>
      </c>
      <c r="B235" s="20"/>
      <c r="C235" s="20"/>
      <c r="D235" s="20" t="s">
        <v>310</v>
      </c>
      <c r="E235" s="17" t="str">
        <f t="shared" si="29"/>
        <v>Gallup</v>
      </c>
      <c r="F235" s="17" t="str">
        <f>_xlfn.LET(
_xlpm.authors,_xlfn.TEXTBEFORE(A235," ("&amp;G235&amp;")"),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235" s="17" t="str">
        <f t="shared" si="30"/>
        <v>1970</v>
      </c>
      <c r="H235" s="17" t="str">
        <f t="shared" si="31"/>
        <v>Gallup__1970</v>
      </c>
      <c r="I235" s="17" t="str">
        <f>_xlfn.LET(
_xlpm.doi,IF(C235&lt;&gt;"",C235,_xlfn.TEXTAFTER(A235,"https://doi.org/")),
SUBSTITUTE(
SUBSTITUTE(
SUBSTITUTE(
SUBSTITUTE(
_xlpm.doi,
"/","%2F"),
":","%3A"),
"&lt;","%3C"),
"&gt;","%3E")
)</f>
        <v>10.1126%2Fscience.167.3914.86</v>
      </c>
      <c r="J235" s="17" t="str">
        <f t="shared" si="32"/>
        <v>Gallup__1970_Figure4</v>
      </c>
      <c r="K235" s="17" t="str">
        <f t="shared" si="34"/>
        <v>10.1126%2Fscience.167.3914.86_Figure4</v>
      </c>
      <c r="L235" s="17" t="str">
        <f>IFERROR(INDEX(AUTO_Public_TSV_FileList!$A$1:$A$1000,MATCH(TRUE(),EXACT(K235,IFERROR(_xlfn.TEXTBEFORE(AUTO_Public_TSV_FileList!$A$1:$A$1000,".tsv"),"")),0)),"notfound")</f>
        <v>notfound</v>
      </c>
      <c r="M235" s="20" t="s">
        <v>310</v>
      </c>
      <c r="N235" s="20" t="s">
        <v>311</v>
      </c>
      <c r="O235" s="20" t="s">
        <v>1113</v>
      </c>
      <c r="P235" s="20" t="s">
        <v>313</v>
      </c>
      <c r="Q235" s="20" t="s">
        <v>1114</v>
      </c>
      <c r="R235" s="20" t="s">
        <v>1115</v>
      </c>
      <c r="S235" s="20" t="s">
        <v>316</v>
      </c>
      <c r="T235" s="20" t="s">
        <v>317</v>
      </c>
      <c r="U235" s="20"/>
      <c r="V235" s="20" t="s">
        <v>318</v>
      </c>
      <c r="W235" s="20" t="s">
        <v>319</v>
      </c>
      <c r="X235" s="20" t="s">
        <v>1116</v>
      </c>
      <c r="Y235" s="20"/>
      <c r="Z235" s="20"/>
      <c r="AA235" s="20" t="s">
        <v>1117</v>
      </c>
      <c r="AB235" s="20" t="s">
        <v>609</v>
      </c>
      <c r="AC235" s="20" t="s">
        <v>1118</v>
      </c>
      <c r="AD235" s="20"/>
      <c r="AE235" s="20" t="s">
        <v>50</v>
      </c>
      <c r="AF235" s="20"/>
      <c r="AG235" s="20" t="s">
        <v>324</v>
      </c>
      <c r="AH235" s="20" t="s">
        <v>325</v>
      </c>
    </row>
    <row r="236" spans="1:36" ht="17" customHeight="1" x14ac:dyDescent="0.2">
      <c r="A236" s="20" t="s">
        <v>4929</v>
      </c>
      <c r="B236" s="20"/>
      <c r="C236" s="20"/>
      <c r="D236" s="20"/>
      <c r="E236" s="18" t="str">
        <f t="shared" si="29"/>
        <v>Gallup</v>
      </c>
      <c r="F236" s="17"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36" s="17" t="str">
        <f t="shared" si="30"/>
        <v>1977</v>
      </c>
      <c r="H236" s="18" t="str">
        <f t="shared" si="31"/>
        <v>Gallup__1977</v>
      </c>
      <c r="I236" s="18" t="str">
        <f t="shared" ref="I236:I244" si="37">_xlfn.LET(_xlpm.doi,IF(C236&lt;&gt;"",C236,_xlfn.TEXTAFTER(A236,"https://doi.org/")),SUBSTITUTE(SUBSTITUTE(SUBSTITUTE(SUBSTITUTE(_xlpm.doi,"/","%2F"),":","%3A"),"&lt;","%3C"),"&gt;","%3E"))</f>
        <v>10.1037%2F0003-066X.32.5.329</v>
      </c>
      <c r="J236" s="18" t="str">
        <f t="shared" si="32"/>
        <v>Gallup__1977_</v>
      </c>
      <c r="K236" s="17" t="str">
        <f t="shared" si="34"/>
        <v>10.1037%2F0003-066X.32.5.329_</v>
      </c>
      <c r="L236" s="17" t="str">
        <f t="array" ref="L236">IFERROR(INDEX(AUTO_Public_TSV_FileList!$A$1:$A$1000,MATCH(TRUE(),EXACT(K236,IFERROR(_xlfn.TEXTBEFORE(AUTO_Public_TSV_FileList!$A$1:$A$1000,".tsv"),"")),0)),"notfound")</f>
        <v>notfound</v>
      </c>
      <c r="M236" s="20"/>
      <c r="N236" s="20" t="s">
        <v>4930</v>
      </c>
      <c r="O236" s="20" t="s">
        <v>4931</v>
      </c>
      <c r="P236" s="20" t="s">
        <v>4932</v>
      </c>
      <c r="Q236" s="20"/>
      <c r="R236" s="20" t="s">
        <v>4933</v>
      </c>
      <c r="S236" s="20"/>
      <c r="T236" s="20" t="s">
        <v>4934</v>
      </c>
      <c r="U236" s="20"/>
      <c r="V236" s="20" t="s">
        <v>4856</v>
      </c>
      <c r="W236" s="20" t="s">
        <v>187</v>
      </c>
      <c r="X236" s="20" t="s">
        <v>4935</v>
      </c>
      <c r="Y236" s="20"/>
      <c r="Z236" s="20"/>
      <c r="AA236" s="20" t="s">
        <v>4936</v>
      </c>
      <c r="AB236" s="20" t="s">
        <v>322</v>
      </c>
      <c r="AC236" s="20"/>
      <c r="AD236" s="20"/>
      <c r="AE236" s="20"/>
      <c r="AF236" s="20"/>
      <c r="AG236" s="20" t="s">
        <v>4937</v>
      </c>
      <c r="AH236" s="20" t="s">
        <v>4862</v>
      </c>
      <c r="AJ236" t="s">
        <v>4938</v>
      </c>
    </row>
    <row r="237" spans="1:36" ht="17" customHeight="1" x14ac:dyDescent="0.2">
      <c r="A237" s="20" t="s">
        <v>4978</v>
      </c>
      <c r="B237" s="20"/>
      <c r="C237" s="20"/>
      <c r="D237" s="20" t="s">
        <v>439</v>
      </c>
      <c r="E237" s="18" t="str">
        <f t="shared" si="29"/>
        <v>Gamba</v>
      </c>
      <c r="F237" s="17"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7" t="str">
        <f t="shared" si="30"/>
        <v>2015</v>
      </c>
      <c r="H237" s="18" t="str">
        <f t="shared" si="31"/>
        <v>Gamba_etal_2015</v>
      </c>
      <c r="I237" s="18" t="str">
        <f t="shared" si="37"/>
        <v>10.1007%2Fs10764-015-9861-1</v>
      </c>
      <c r="J237" s="18" t="str">
        <f t="shared" si="32"/>
        <v>Gamba_etal_2015_TableI</v>
      </c>
      <c r="K237" s="17" t="str">
        <f t="shared" si="34"/>
        <v>10.1007%2Fs10764-015-9861-1_TableI</v>
      </c>
      <c r="L237" s="17" t="str">
        <f t="array" ref="L237">IFERROR(INDEX(AUTO_Public_TSV_FileList!$A$1:$A$1000,MATCH(TRUE(),EXACT(K237,IFERROR(_xlfn.TEXTBEFORE(AUTO_Public_TSV_FileList!$A$1:$A$1000,".tsv"),"")),0)),"notfound")</f>
        <v>10.1007%2Fs10764-015-9861-1_TableI.tsv</v>
      </c>
      <c r="M237" s="20"/>
      <c r="N237" s="20" t="s">
        <v>4864</v>
      </c>
      <c r="O237" s="20" t="s">
        <v>4979</v>
      </c>
      <c r="P237" s="20" t="s">
        <v>4866</v>
      </c>
      <c r="Q237" s="20" t="s">
        <v>4980</v>
      </c>
      <c r="R237" s="20" t="s">
        <v>4981</v>
      </c>
      <c r="S237" s="20" t="s">
        <v>4869</v>
      </c>
      <c r="T237" s="20" t="s">
        <v>4870</v>
      </c>
      <c r="U237" s="20"/>
      <c r="V237" s="20" t="s">
        <v>4871</v>
      </c>
      <c r="W237" s="20" t="s">
        <v>187</v>
      </c>
      <c r="X237" s="20" t="s">
        <v>4982</v>
      </c>
      <c r="Y237" s="20"/>
      <c r="Z237" s="20" t="s">
        <v>4873</v>
      </c>
      <c r="AA237" s="20" t="s">
        <v>4874</v>
      </c>
      <c r="AB237" s="20" t="s">
        <v>4983</v>
      </c>
      <c r="AC237" s="20" t="s">
        <v>4984</v>
      </c>
      <c r="AD237" s="20" t="s">
        <v>689</v>
      </c>
      <c r="AE237" s="20" t="s">
        <v>50</v>
      </c>
      <c r="AF237" s="20" t="s">
        <v>4877</v>
      </c>
      <c r="AG237" s="20" t="s">
        <v>4878</v>
      </c>
      <c r="AH237" s="20" t="s">
        <v>4879</v>
      </c>
      <c r="AJ237" t="s">
        <v>4985</v>
      </c>
    </row>
    <row r="238" spans="1:36" ht="17" customHeight="1" x14ac:dyDescent="0.2">
      <c r="A238" s="20" t="s">
        <v>4978</v>
      </c>
      <c r="B238" s="20"/>
      <c r="C238" s="20"/>
      <c r="D238" s="20" t="s">
        <v>4986</v>
      </c>
      <c r="E238" s="18" t="str">
        <f t="shared" si="29"/>
        <v>Gamba</v>
      </c>
      <c r="F238" s="17"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7" t="str">
        <f t="shared" si="30"/>
        <v>2015</v>
      </c>
      <c r="H238" s="18" t="str">
        <f t="shared" si="31"/>
        <v>Gamba_etal_2015</v>
      </c>
      <c r="I238" s="18" t="str">
        <f t="shared" si="37"/>
        <v>10.1007%2Fs10764-015-9861-1</v>
      </c>
      <c r="J238" s="18" t="str">
        <f t="shared" si="32"/>
        <v>Gamba_etal_2015_TableSII</v>
      </c>
      <c r="K238" s="17" t="str">
        <f t="shared" si="34"/>
        <v>10.1007%2Fs10764-015-9861-1_TableSII</v>
      </c>
      <c r="L238" s="17" t="str">
        <f t="array" ref="L238">IFERROR(INDEX(AUTO_Public_TSV_FileList!$A$1:$A$1000,MATCH(TRUE(),EXACT(K238,IFERROR(_xlfn.TEXTBEFORE(AUTO_Public_TSV_FileList!$A$1:$A$1000,".tsv"),"")),0)),"notfound")</f>
        <v>10.1007%2Fs10764-015-9861-1_TableSII.tsv</v>
      </c>
      <c r="M238" s="20"/>
      <c r="N238" s="20" t="s">
        <v>4864</v>
      </c>
      <c r="O238" s="20" t="s">
        <v>4987</v>
      </c>
      <c r="P238" s="20" t="s">
        <v>4866</v>
      </c>
      <c r="Q238" s="20" t="s">
        <v>4988</v>
      </c>
      <c r="R238" s="20" t="s">
        <v>4981</v>
      </c>
      <c r="S238" s="20" t="s">
        <v>4869</v>
      </c>
      <c r="T238" s="20" t="s">
        <v>4870</v>
      </c>
      <c r="U238" s="20"/>
      <c r="V238" s="20" t="s">
        <v>4871</v>
      </c>
      <c r="W238" s="20" t="s">
        <v>187</v>
      </c>
      <c r="X238" s="20" t="s">
        <v>4989</v>
      </c>
      <c r="Y238" s="20"/>
      <c r="Z238" s="20" t="s">
        <v>4873</v>
      </c>
      <c r="AA238" s="20" t="s">
        <v>4874</v>
      </c>
      <c r="AB238" s="20" t="s">
        <v>4990</v>
      </c>
      <c r="AC238" s="20" t="s">
        <v>4984</v>
      </c>
      <c r="AD238" s="20" t="s">
        <v>689</v>
      </c>
      <c r="AE238" s="20" t="s">
        <v>50</v>
      </c>
      <c r="AF238" s="20" t="s">
        <v>4877</v>
      </c>
      <c r="AG238" s="20" t="s">
        <v>4878</v>
      </c>
      <c r="AH238" s="20" t="s">
        <v>4879</v>
      </c>
      <c r="AJ238" t="s">
        <v>4991</v>
      </c>
    </row>
    <row r="239" spans="1:36" ht="17" customHeight="1" x14ac:dyDescent="0.2">
      <c r="A239" s="20" t="s">
        <v>4978</v>
      </c>
      <c r="B239" s="20"/>
      <c r="C239" s="20"/>
      <c r="D239" s="20" t="s">
        <v>4992</v>
      </c>
      <c r="E239" s="18" t="str">
        <f t="shared" si="29"/>
        <v>Gamba</v>
      </c>
      <c r="F239" s="17"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17" t="str">
        <f t="shared" si="30"/>
        <v>2015</v>
      </c>
      <c r="H239" s="18" t="str">
        <f t="shared" si="31"/>
        <v>Gamba_etal_2015</v>
      </c>
      <c r="I239" s="18" t="str">
        <f t="shared" si="37"/>
        <v>10.1007%2Fs10764-015-9861-1</v>
      </c>
      <c r="J239" s="18" t="str">
        <f t="shared" si="32"/>
        <v>Gamba_etal_2015_TableSIII</v>
      </c>
      <c r="K239" s="17" t="str">
        <f t="shared" si="34"/>
        <v>10.1007%2Fs10764-015-9861-1_TableSIII</v>
      </c>
      <c r="L239" s="17" t="str">
        <f t="array" ref="L239">IFERROR(INDEX(AUTO_Public_TSV_FileList!$A$1:$A$1000,MATCH(TRUE(),EXACT(K239,IFERROR(_xlfn.TEXTBEFORE(AUTO_Public_TSV_FileList!$A$1:$A$1000,".tsv"),"")),0)),"notfound")</f>
        <v>10.1007%2Fs10764-015-9861-1_TableSIII.tsv</v>
      </c>
      <c r="M239" s="20"/>
      <c r="N239" s="20" t="s">
        <v>4864</v>
      </c>
      <c r="O239" s="20" t="s">
        <v>4993</v>
      </c>
      <c r="P239" s="20" t="s">
        <v>4866</v>
      </c>
      <c r="Q239" s="20" t="s">
        <v>4994</v>
      </c>
      <c r="R239" s="20" t="s">
        <v>4981</v>
      </c>
      <c r="S239" s="20" t="s">
        <v>4869</v>
      </c>
      <c r="T239" s="20" t="s">
        <v>4870</v>
      </c>
      <c r="U239" s="20"/>
      <c r="V239" s="20" t="s">
        <v>4871</v>
      </c>
      <c r="W239" s="20" t="s">
        <v>187</v>
      </c>
      <c r="X239" s="20" t="s">
        <v>4989</v>
      </c>
      <c r="Y239" s="20"/>
      <c r="Z239" s="20" t="s">
        <v>4873</v>
      </c>
      <c r="AA239" s="20" t="s">
        <v>4874</v>
      </c>
      <c r="AB239" s="20" t="s">
        <v>4990</v>
      </c>
      <c r="AC239" s="20" t="s">
        <v>4984</v>
      </c>
      <c r="AD239" s="20" t="s">
        <v>689</v>
      </c>
      <c r="AE239" s="20" t="s">
        <v>50</v>
      </c>
      <c r="AF239" s="20" t="s">
        <v>4877</v>
      </c>
      <c r="AG239" s="20" t="s">
        <v>4878</v>
      </c>
      <c r="AH239" s="20" t="s">
        <v>4879</v>
      </c>
      <c r="AJ239" t="s">
        <v>4995</v>
      </c>
    </row>
    <row r="240" spans="1:36" ht="17" customHeight="1" x14ac:dyDescent="0.2">
      <c r="A240" s="20" t="s">
        <v>4978</v>
      </c>
      <c r="B240" s="20"/>
      <c r="C240" s="20"/>
      <c r="D240" s="20" t="s">
        <v>4996</v>
      </c>
      <c r="E240" s="18" t="str">
        <f t="shared" si="29"/>
        <v>Gamba</v>
      </c>
      <c r="F240" s="17"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17" t="str">
        <f t="shared" si="30"/>
        <v>2015</v>
      </c>
      <c r="H240" s="18" t="str">
        <f t="shared" si="31"/>
        <v>Gamba_etal_2015</v>
      </c>
      <c r="I240" s="18" t="str">
        <f t="shared" si="37"/>
        <v>10.1007%2Fs10764-015-9861-1</v>
      </c>
      <c r="J240" s="18" t="str">
        <f t="shared" si="32"/>
        <v>Gamba_etal_2015_TableSIV</v>
      </c>
      <c r="K240" s="17" t="str">
        <f t="shared" si="34"/>
        <v>10.1007%2Fs10764-015-9861-1_TableSIV</v>
      </c>
      <c r="L240" s="17" t="str">
        <f t="array" ref="L240">IFERROR(INDEX(AUTO_Public_TSV_FileList!$A$1:$A$1000,MATCH(TRUE(),EXACT(K240,IFERROR(_xlfn.TEXTBEFORE(AUTO_Public_TSV_FileList!$A$1:$A$1000,".tsv"),"")),0)),"notfound")</f>
        <v>10.1007%2Fs10764-015-9861-1_TableSIV.tsv</v>
      </c>
      <c r="M240" s="20"/>
      <c r="N240" s="20" t="s">
        <v>4864</v>
      </c>
      <c r="O240" s="20" t="s">
        <v>4997</v>
      </c>
      <c r="P240" s="20" t="s">
        <v>4866</v>
      </c>
      <c r="Q240" s="20" t="s">
        <v>4998</v>
      </c>
      <c r="R240" s="20" t="s">
        <v>4981</v>
      </c>
      <c r="S240" s="20" t="s">
        <v>4869</v>
      </c>
      <c r="T240" s="20" t="s">
        <v>4870</v>
      </c>
      <c r="U240" s="20"/>
      <c r="V240" s="20" t="s">
        <v>4871</v>
      </c>
      <c r="W240" s="20" t="s">
        <v>187</v>
      </c>
      <c r="X240" s="20" t="s">
        <v>4989</v>
      </c>
      <c r="Y240" s="20"/>
      <c r="Z240" s="20" t="s">
        <v>4873</v>
      </c>
      <c r="AA240" s="20" t="s">
        <v>4874</v>
      </c>
      <c r="AB240" s="20" t="s">
        <v>4990</v>
      </c>
      <c r="AC240" s="20" t="s">
        <v>4984</v>
      </c>
      <c r="AD240" s="20" t="s">
        <v>689</v>
      </c>
      <c r="AE240" s="20" t="s">
        <v>50</v>
      </c>
      <c r="AF240" s="20" t="s">
        <v>4877</v>
      </c>
      <c r="AG240" s="20" t="s">
        <v>4878</v>
      </c>
      <c r="AH240" s="20" t="s">
        <v>4879</v>
      </c>
      <c r="AJ240" t="s">
        <v>4999</v>
      </c>
    </row>
    <row r="241" spans="1:36" ht="17" customHeight="1" x14ac:dyDescent="0.2">
      <c r="A241" s="20" t="s">
        <v>4978</v>
      </c>
      <c r="B241" s="20"/>
      <c r="C241" s="20"/>
      <c r="D241" s="20" t="s">
        <v>5000</v>
      </c>
      <c r="E241" s="18" t="str">
        <f t="shared" si="29"/>
        <v>Gamba</v>
      </c>
      <c r="F241" s="17"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7" t="str">
        <f t="shared" si="30"/>
        <v>2015</v>
      </c>
      <c r="H241" s="18" t="str">
        <f t="shared" si="31"/>
        <v>Gamba_etal_2015</v>
      </c>
      <c r="I241" s="18" t="str">
        <f t="shared" si="37"/>
        <v>10.1007%2Fs10764-015-9861-1</v>
      </c>
      <c r="J241" s="18" t="str">
        <f t="shared" si="32"/>
        <v>Gamba_etal_2015_TableSV</v>
      </c>
      <c r="K241" s="17" t="str">
        <f t="shared" si="34"/>
        <v>10.1007%2Fs10764-015-9861-1_TableSV</v>
      </c>
      <c r="L241" s="17" t="str">
        <f t="array" ref="L241">IFERROR(INDEX(AUTO_Public_TSV_FileList!$A$1:$A$1000,MATCH(TRUE(),EXACT(K241,IFERROR(_xlfn.TEXTBEFORE(AUTO_Public_TSV_FileList!$A$1:$A$1000,".tsv"),"")),0)),"notfound")</f>
        <v>10.1007%2Fs10764-015-9861-1_TableSV.tsv</v>
      </c>
      <c r="M241" s="20"/>
      <c r="N241" s="20" t="s">
        <v>4864</v>
      </c>
      <c r="O241" s="20" t="s">
        <v>5001</v>
      </c>
      <c r="P241" s="20" t="s">
        <v>4866</v>
      </c>
      <c r="Q241" s="20" t="s">
        <v>5002</v>
      </c>
      <c r="R241" s="20" t="s">
        <v>4981</v>
      </c>
      <c r="S241" s="20" t="s">
        <v>4869</v>
      </c>
      <c r="T241" s="20" t="s">
        <v>4870</v>
      </c>
      <c r="U241" s="20"/>
      <c r="V241" s="20" t="s">
        <v>4871</v>
      </c>
      <c r="W241" s="20" t="s">
        <v>187</v>
      </c>
      <c r="X241" s="20" t="s">
        <v>4989</v>
      </c>
      <c r="Y241" s="20"/>
      <c r="Z241" s="20" t="s">
        <v>4873</v>
      </c>
      <c r="AA241" s="20" t="s">
        <v>4874</v>
      </c>
      <c r="AB241" s="20" t="s">
        <v>4990</v>
      </c>
      <c r="AC241" s="20" t="s">
        <v>4984</v>
      </c>
      <c r="AD241" s="20" t="s">
        <v>689</v>
      </c>
      <c r="AE241" s="20" t="s">
        <v>50</v>
      </c>
      <c r="AF241" s="20" t="s">
        <v>4877</v>
      </c>
      <c r="AG241" s="20" t="s">
        <v>4878</v>
      </c>
      <c r="AH241" s="20" t="s">
        <v>4879</v>
      </c>
      <c r="AJ241" t="s">
        <v>5003</v>
      </c>
    </row>
    <row r="242" spans="1:36" ht="17" customHeight="1" x14ac:dyDescent="0.2">
      <c r="A242" s="20" t="s">
        <v>4978</v>
      </c>
      <c r="B242" s="20"/>
      <c r="C242" s="20"/>
      <c r="D242" s="20" t="s">
        <v>5004</v>
      </c>
      <c r="E242" s="18" t="str">
        <f t="shared" si="29"/>
        <v>Gamba</v>
      </c>
      <c r="F242" s="17"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7" t="str">
        <f t="shared" si="30"/>
        <v>2015</v>
      </c>
      <c r="H242" s="18" t="str">
        <f t="shared" si="31"/>
        <v>Gamba_etal_2015</v>
      </c>
      <c r="I242" s="18" t="str">
        <f t="shared" si="37"/>
        <v>10.1007%2Fs10764-015-9861-1</v>
      </c>
      <c r="J242" s="18" t="str">
        <f t="shared" si="32"/>
        <v>Gamba_etal_2015_TableSVI</v>
      </c>
      <c r="K242" s="17" t="str">
        <f t="shared" si="34"/>
        <v>10.1007%2Fs10764-015-9861-1_TableSVI</v>
      </c>
      <c r="L242" s="17" t="str">
        <f t="array" ref="L242">IFERROR(INDEX(AUTO_Public_TSV_FileList!$A$1:$A$1000,MATCH(TRUE(),EXACT(K242,IFERROR(_xlfn.TEXTBEFORE(AUTO_Public_TSV_FileList!$A$1:$A$1000,".tsv"),"")),0)),"notfound")</f>
        <v>10.1007%2Fs10764-015-9861-1_TableSVI.tsv</v>
      </c>
      <c r="M242" s="20"/>
      <c r="N242" s="20" t="s">
        <v>4864</v>
      </c>
      <c r="O242" s="20" t="s">
        <v>5005</v>
      </c>
      <c r="P242" s="20" t="s">
        <v>4866</v>
      </c>
      <c r="Q242" s="20" t="s">
        <v>5006</v>
      </c>
      <c r="R242" s="20" t="s">
        <v>4981</v>
      </c>
      <c r="S242" s="20" t="s">
        <v>4869</v>
      </c>
      <c r="T242" s="20" t="s">
        <v>4870</v>
      </c>
      <c r="U242" s="20"/>
      <c r="V242" s="20" t="s">
        <v>4871</v>
      </c>
      <c r="W242" s="20" t="s">
        <v>187</v>
      </c>
      <c r="X242" s="20" t="s">
        <v>4989</v>
      </c>
      <c r="Y242" s="20"/>
      <c r="Z242" s="20" t="s">
        <v>4873</v>
      </c>
      <c r="AA242" s="20" t="s">
        <v>4874</v>
      </c>
      <c r="AB242" s="20" t="s">
        <v>4990</v>
      </c>
      <c r="AC242" s="20" t="s">
        <v>4984</v>
      </c>
      <c r="AD242" s="20" t="s">
        <v>689</v>
      </c>
      <c r="AE242" s="20" t="s">
        <v>50</v>
      </c>
      <c r="AF242" s="20" t="s">
        <v>4877</v>
      </c>
      <c r="AG242" s="20" t="s">
        <v>4878</v>
      </c>
      <c r="AH242" s="20" t="s">
        <v>4879</v>
      </c>
      <c r="AJ242" t="s">
        <v>5007</v>
      </c>
    </row>
    <row r="243" spans="1:36" ht="17" customHeight="1" x14ac:dyDescent="0.2">
      <c r="A243" s="20" t="s">
        <v>4978</v>
      </c>
      <c r="B243" s="20"/>
      <c r="C243" s="20"/>
      <c r="D243" s="20" t="s">
        <v>5008</v>
      </c>
      <c r="E243" s="18" t="str">
        <f t="shared" si="29"/>
        <v>Gamba</v>
      </c>
      <c r="F243" s="17"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17" t="str">
        <f t="shared" si="30"/>
        <v>2015</v>
      </c>
      <c r="H243" s="18" t="str">
        <f t="shared" si="31"/>
        <v>Gamba_etal_2015</v>
      </c>
      <c r="I243" s="18" t="str">
        <f t="shared" si="37"/>
        <v>10.1007%2Fs10764-015-9861-1</v>
      </c>
      <c r="J243" s="18" t="str">
        <f t="shared" si="32"/>
        <v>Gamba_etal_2015_TableSVII</v>
      </c>
      <c r="K243" s="17" t="str">
        <f t="shared" ref="K243:K272" si="38">I243 &amp; "_" &amp; SUBSTITUTE(SUBSTITUTE(SUBSTITUTE(D243,CHAR(160),"")," ",""),"_","")</f>
        <v>10.1007%2Fs10764-015-9861-1_TableSVII</v>
      </c>
      <c r="L243" s="17" t="str">
        <f t="array" ref="L243">IFERROR(INDEX(AUTO_Public_TSV_FileList!$A$1:$A$1000,MATCH(TRUE(),EXACT(K243,IFERROR(_xlfn.TEXTBEFORE(AUTO_Public_TSV_FileList!$A$1:$A$1000,".tsv"),"")),0)),"notfound")</f>
        <v>10.1007%2Fs10764-015-9861-1_TableSVII.tsv</v>
      </c>
      <c r="M243" s="20"/>
      <c r="N243" s="20" t="s">
        <v>4864</v>
      </c>
      <c r="O243" s="20" t="s">
        <v>5005</v>
      </c>
      <c r="P243" s="20" t="s">
        <v>4866</v>
      </c>
      <c r="Q243" s="20" t="s">
        <v>5009</v>
      </c>
      <c r="R243" s="20" t="s">
        <v>4981</v>
      </c>
      <c r="S243" s="20" t="s">
        <v>4869</v>
      </c>
      <c r="T243" s="20" t="s">
        <v>4870</v>
      </c>
      <c r="U243" s="20"/>
      <c r="V243" s="20" t="s">
        <v>4871</v>
      </c>
      <c r="W243" s="20" t="s">
        <v>187</v>
      </c>
      <c r="X243" s="20" t="s">
        <v>4989</v>
      </c>
      <c r="Y243" s="20"/>
      <c r="Z243" s="20" t="s">
        <v>4873</v>
      </c>
      <c r="AA243" s="20" t="s">
        <v>4874</v>
      </c>
      <c r="AB243" s="20" t="s">
        <v>4990</v>
      </c>
      <c r="AC243" s="20" t="s">
        <v>4984</v>
      </c>
      <c r="AD243" s="20" t="s">
        <v>689</v>
      </c>
      <c r="AE243" s="20" t="s">
        <v>50</v>
      </c>
      <c r="AF243" s="20" t="s">
        <v>4877</v>
      </c>
      <c r="AG243" s="20" t="s">
        <v>4878</v>
      </c>
      <c r="AH243" s="20" t="s">
        <v>4879</v>
      </c>
      <c r="AJ243" t="s">
        <v>5010</v>
      </c>
    </row>
    <row r="244" spans="1:36" ht="17" customHeight="1" x14ac:dyDescent="0.2">
      <c r="A244" s="20" t="s">
        <v>4978</v>
      </c>
      <c r="B244" s="20"/>
      <c r="C244" s="20"/>
      <c r="D244" s="20" t="s">
        <v>5011</v>
      </c>
      <c r="E244" s="18" t="str">
        <f t="shared" si="29"/>
        <v>Gamba</v>
      </c>
      <c r="F244" s="17"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17" t="str">
        <f t="shared" si="30"/>
        <v>2015</v>
      </c>
      <c r="H244" s="18" t="str">
        <f t="shared" si="31"/>
        <v>Gamba_etal_2015</v>
      </c>
      <c r="I244" s="18" t="str">
        <f t="shared" si="37"/>
        <v>10.1007%2Fs10764-015-9861-1</v>
      </c>
      <c r="J244" s="18" t="str">
        <f t="shared" si="32"/>
        <v>Gamba_etal_2015_TableSVIII</v>
      </c>
      <c r="K244" s="17" t="str">
        <f t="shared" si="38"/>
        <v>10.1007%2Fs10764-015-9861-1_TableSVIII</v>
      </c>
      <c r="L244" s="17" t="str">
        <f t="array" ref="L244">IFERROR(INDEX(AUTO_Public_TSV_FileList!$A$1:$A$1000,MATCH(TRUE(),EXACT(K244,IFERROR(_xlfn.TEXTBEFORE(AUTO_Public_TSV_FileList!$A$1:$A$1000,".tsv"),"")),0)),"notfound")</f>
        <v>10.1007%2Fs10764-015-9861-1_TableSVIII.tsv</v>
      </c>
      <c r="M244" s="20"/>
      <c r="N244" s="20" t="s">
        <v>4864</v>
      </c>
      <c r="O244" s="20" t="s">
        <v>5012</v>
      </c>
      <c r="P244" s="20" t="s">
        <v>4866</v>
      </c>
      <c r="Q244" s="20" t="s">
        <v>5013</v>
      </c>
      <c r="R244" s="20" t="s">
        <v>4981</v>
      </c>
      <c r="S244" s="20" t="s">
        <v>4869</v>
      </c>
      <c r="T244" s="20" t="s">
        <v>4870</v>
      </c>
      <c r="U244" s="20"/>
      <c r="V244" s="20" t="s">
        <v>4871</v>
      </c>
      <c r="W244" s="20" t="s">
        <v>187</v>
      </c>
      <c r="X244" s="20" t="s">
        <v>4989</v>
      </c>
      <c r="Y244" s="20"/>
      <c r="Z244" s="20" t="s">
        <v>4873</v>
      </c>
      <c r="AA244" s="20" t="s">
        <v>4874</v>
      </c>
      <c r="AB244" s="20" t="s">
        <v>4990</v>
      </c>
      <c r="AC244" s="20" t="s">
        <v>4984</v>
      </c>
      <c r="AD244" s="20" t="s">
        <v>689</v>
      </c>
      <c r="AE244" s="20" t="s">
        <v>50</v>
      </c>
      <c r="AF244" s="20" t="s">
        <v>4877</v>
      </c>
      <c r="AG244" s="20" t="s">
        <v>4878</v>
      </c>
      <c r="AH244" s="20" t="s">
        <v>4879</v>
      </c>
      <c r="AJ244" t="s">
        <v>5014</v>
      </c>
    </row>
    <row r="245" spans="1:36" ht="17" customHeight="1" x14ac:dyDescent="0.2">
      <c r="A245" s="20" t="s">
        <v>4565</v>
      </c>
      <c r="B245" s="20"/>
      <c r="C245" s="20"/>
      <c r="D245" s="20" t="s">
        <v>4566</v>
      </c>
      <c r="E245" s="17" t="str">
        <f t="shared" si="29"/>
        <v>Garcia</v>
      </c>
      <c r="F245" s="17" t="str">
        <f>_xlfn.LET(
_xlpm.authors,_xlfn.TEXTBEFORE(A245," ("&amp;G245&amp;")"),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Ravignani</v>
      </c>
      <c r="G245" s="17" t="str">
        <f t="shared" si="30"/>
        <v>2020</v>
      </c>
      <c r="H245" s="17" t="str">
        <f t="shared" si="31"/>
        <v>Garcia_Ravignani_2020</v>
      </c>
      <c r="I245" s="17" t="str">
        <f t="shared" ref="I245:I251" si="39">_xlfn.LET(
_xlpm.doi,IF(C245&lt;&gt;"",C245,_xlfn.TEXTAFTER(A245,"https://doi.org/")),
SUBSTITUTE(
SUBSTITUTE(
SUBSTITUTE(
SUBSTITUTE(
_xlpm.doi,
"/","%2F"),
":","%3A"),
"&lt;","%3C"),
"&gt;","%3E")
)</f>
        <v>10.1098%2Frsbl.2020.0081</v>
      </c>
      <c r="J245" s="17" t="str">
        <f t="shared" si="32"/>
        <v>Garcia_Ravignani_2020_sp1</v>
      </c>
      <c r="K245" s="17" t="str">
        <f t="shared" si="38"/>
        <v>10.1098%2Frsbl.2020.0081_sp1</v>
      </c>
      <c r="L245" s="17" t="str">
        <f>IFERROR(INDEX(AUTO_Public_TSV_FileList!$A$1:$A$1000,MATCH(TRUE(),EXACT(K245,IFERROR(_xlfn.TEXTBEFORE(AUTO_Public_TSV_FileList!$A$1:$A$1000,".tsv"),"")),0)),"notfound")</f>
        <v>notfound</v>
      </c>
      <c r="M245" s="20"/>
      <c r="N245" s="20"/>
      <c r="O245" s="20"/>
      <c r="P245" s="20"/>
      <c r="Q245" s="20"/>
      <c r="R245" s="20"/>
      <c r="S245" s="20"/>
      <c r="T245" s="20"/>
      <c r="U245" s="20"/>
      <c r="V245" s="20"/>
      <c r="W245" s="20"/>
      <c r="X245" s="20"/>
      <c r="Y245" s="20"/>
      <c r="Z245" s="20"/>
      <c r="AA245" s="20"/>
      <c r="AB245" s="20"/>
      <c r="AC245" s="20"/>
      <c r="AD245" s="20"/>
      <c r="AE245" s="20"/>
      <c r="AF245" s="20"/>
      <c r="AG245" s="20"/>
      <c r="AH245" s="20"/>
    </row>
    <row r="246" spans="1:36" ht="17" customHeight="1" x14ac:dyDescent="0.2">
      <c r="A246" s="20" t="s">
        <v>1119</v>
      </c>
      <c r="B246" s="20"/>
      <c r="C246" s="20" t="s">
        <v>1120</v>
      </c>
      <c r="D246" s="20" t="s">
        <v>162</v>
      </c>
      <c r="E246" s="17" t="str">
        <f t="shared" si="29"/>
        <v>Garey</v>
      </c>
      <c r="F246" s="17"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6" s="17" t="str">
        <f t="shared" si="30"/>
        <v>2006</v>
      </c>
      <c r="H246" s="17" t="str">
        <f t="shared" si="31"/>
        <v>Garey__2006</v>
      </c>
      <c r="I246" s="17" t="str">
        <f t="shared" si="39"/>
        <v>ISBN%3A9780387269177</v>
      </c>
      <c r="J246" s="17" t="str">
        <f t="shared" si="32"/>
        <v>Garey__2006_Table3</v>
      </c>
      <c r="K246" s="17" t="str">
        <f t="shared" si="38"/>
        <v>ISBN%3A9780387269177_Table3</v>
      </c>
      <c r="L246" s="17" t="str">
        <f t="array" ref="L246">IFERROR(INDEX(AUTO_Public_TSV_FileList!$A$1:$A$1000,MATCH(TRUE(),EXACT(K246,IFERROR(_xlfn.TEXTBEFORE(AUTO_Public_TSV_FileList!$A$1:$A$1000,".tsv"),"")),0)),"notfound")</f>
        <v>ISBN%3A9780387269177_Table3.tsv</v>
      </c>
      <c r="M246" s="20" t="s">
        <v>1121</v>
      </c>
      <c r="N246" s="20" t="s">
        <v>1122</v>
      </c>
      <c r="O246" s="20" t="s">
        <v>1123</v>
      </c>
      <c r="P246" s="20" t="s">
        <v>1124</v>
      </c>
      <c r="Q246" s="20" t="s">
        <v>1125</v>
      </c>
      <c r="R246" s="20"/>
      <c r="S246" s="20"/>
      <c r="T246" s="20"/>
      <c r="U246" s="20"/>
      <c r="V246" s="20" t="s">
        <v>1126</v>
      </c>
      <c r="W246" s="20" t="s">
        <v>319</v>
      </c>
      <c r="X246" s="20" t="s">
        <v>1127</v>
      </c>
      <c r="Y246" s="20" t="s">
        <v>1128</v>
      </c>
      <c r="Z246" s="20" t="s">
        <v>1129</v>
      </c>
      <c r="AA246" s="20" t="s">
        <v>1130</v>
      </c>
      <c r="AB246" s="20" t="s">
        <v>1131</v>
      </c>
      <c r="AC246" s="20" t="s">
        <v>1132</v>
      </c>
      <c r="AD246" s="20" t="s">
        <v>689</v>
      </c>
      <c r="AE246" s="20" t="s">
        <v>265</v>
      </c>
      <c r="AF246" s="20" t="s">
        <v>1133</v>
      </c>
      <c r="AG246" s="20" t="s">
        <v>1134</v>
      </c>
      <c r="AH246" s="20" t="s">
        <v>1135</v>
      </c>
    </row>
    <row r="247" spans="1:36" ht="17" customHeight="1" x14ac:dyDescent="0.2">
      <c r="A247" s="20" t="s">
        <v>1119</v>
      </c>
      <c r="B247" s="20"/>
      <c r="C247" s="20" t="s">
        <v>1120</v>
      </c>
      <c r="D247" s="20" t="s">
        <v>53</v>
      </c>
      <c r="E247" s="17" t="str">
        <f t="shared" si="29"/>
        <v>Garey</v>
      </c>
      <c r="F247" s="17"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7" s="17" t="str">
        <f t="shared" si="30"/>
        <v>2006</v>
      </c>
      <c r="H247" s="17" t="str">
        <f t="shared" si="31"/>
        <v>Garey__2006</v>
      </c>
      <c r="I247" s="17" t="str">
        <f t="shared" si="39"/>
        <v>ISBN%3A9780387269177</v>
      </c>
      <c r="J247" s="17" t="str">
        <f t="shared" si="32"/>
        <v>Garey__2006_Table4</v>
      </c>
      <c r="K247" s="17" t="str">
        <f t="shared" si="38"/>
        <v>ISBN%3A9780387269177_Table4</v>
      </c>
      <c r="L247" s="17" t="str">
        <f t="array" ref="L247">IFERROR(INDEX(AUTO_Public_TSV_FileList!$A$1:$A$1000,MATCH(TRUE(),EXACT(K247,IFERROR(_xlfn.TEXTBEFORE(AUTO_Public_TSV_FileList!$A$1:$A$1000,".tsv"),"")),0)),"notfound")</f>
        <v>ISBN%3A9780387269177_Table4.tsv</v>
      </c>
      <c r="M247" s="20" t="s">
        <v>1136</v>
      </c>
      <c r="N247" s="20" t="s">
        <v>1122</v>
      </c>
      <c r="O247" s="20" t="s">
        <v>1137</v>
      </c>
      <c r="P247" s="20" t="s">
        <v>1124</v>
      </c>
      <c r="Q247" s="20" t="s">
        <v>1138</v>
      </c>
      <c r="R247" s="20"/>
      <c r="S247" s="20"/>
      <c r="T247" s="20"/>
      <c r="U247" s="20"/>
      <c r="V247" s="20" t="s">
        <v>1126</v>
      </c>
      <c r="W247" s="20" t="s">
        <v>319</v>
      </c>
      <c r="X247" s="20" t="s">
        <v>1139</v>
      </c>
      <c r="Y247" s="20" t="s">
        <v>1140</v>
      </c>
      <c r="Z247" s="20" t="s">
        <v>1129</v>
      </c>
      <c r="AA247" s="20" t="s">
        <v>1130</v>
      </c>
      <c r="AB247" s="20" t="s">
        <v>1141</v>
      </c>
      <c r="AC247" s="20" t="s">
        <v>1132</v>
      </c>
      <c r="AD247" s="20" t="s">
        <v>689</v>
      </c>
      <c r="AE247" s="20" t="s">
        <v>265</v>
      </c>
      <c r="AF247" s="20" t="s">
        <v>1133</v>
      </c>
      <c r="AG247" s="20" t="s">
        <v>1134</v>
      </c>
      <c r="AH247" s="20" t="s">
        <v>1135</v>
      </c>
    </row>
    <row r="248" spans="1:36" ht="17" customHeight="1" x14ac:dyDescent="0.2">
      <c r="A248" s="20" t="s">
        <v>1119</v>
      </c>
      <c r="B248" s="20"/>
      <c r="C248" s="20" t="s">
        <v>1120</v>
      </c>
      <c r="D248" s="20" t="s">
        <v>164</v>
      </c>
      <c r="E248" s="17" t="str">
        <f t="shared" si="29"/>
        <v>Garey</v>
      </c>
      <c r="F248" s="17"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8" s="17" t="str">
        <f t="shared" si="30"/>
        <v>2006</v>
      </c>
      <c r="H248" s="17" t="str">
        <f t="shared" si="31"/>
        <v>Garey__2006</v>
      </c>
      <c r="I248" s="17" t="str">
        <f t="shared" si="39"/>
        <v>ISBN%3A9780387269177</v>
      </c>
      <c r="J248" s="17" t="str">
        <f t="shared" si="32"/>
        <v>Garey__2006_Table5</v>
      </c>
      <c r="K248" s="17" t="str">
        <f t="shared" si="38"/>
        <v>ISBN%3A9780387269177_Table5</v>
      </c>
      <c r="L248" s="17" t="str">
        <f t="array" ref="L248">IFERROR(INDEX(AUTO_Public_TSV_FileList!$A$1:$A$1000,MATCH(TRUE(),EXACT(K248,IFERROR(_xlfn.TEXTBEFORE(AUTO_Public_TSV_FileList!$A$1:$A$1000,".tsv"),"")),0)),"notfound")</f>
        <v>ISBN%3A9780387269177_Table5.tsv</v>
      </c>
      <c r="M248" s="20" t="s">
        <v>1142</v>
      </c>
      <c r="N248" s="20" t="s">
        <v>1122</v>
      </c>
      <c r="O248" s="20" t="s">
        <v>1143</v>
      </c>
      <c r="P248" s="20" t="s">
        <v>1124</v>
      </c>
      <c r="Q248" s="20" t="s">
        <v>1144</v>
      </c>
      <c r="R248" s="20"/>
      <c r="S248" s="20"/>
      <c r="T248" s="20"/>
      <c r="U248" s="20"/>
      <c r="V248" s="20" t="s">
        <v>1126</v>
      </c>
      <c r="W248" s="20" t="s">
        <v>319</v>
      </c>
      <c r="X248" s="20" t="s">
        <v>1145</v>
      </c>
      <c r="Y248" s="20" t="s">
        <v>1146</v>
      </c>
      <c r="Z248" s="20" t="s">
        <v>1129</v>
      </c>
      <c r="AA248" s="20" t="s">
        <v>1130</v>
      </c>
      <c r="AB248" s="20" t="s">
        <v>1147</v>
      </c>
      <c r="AC248" s="20" t="s">
        <v>1132</v>
      </c>
      <c r="AD248" s="20" t="s">
        <v>689</v>
      </c>
      <c r="AE248" s="20" t="s">
        <v>265</v>
      </c>
      <c r="AF248" s="20" t="s">
        <v>1133</v>
      </c>
      <c r="AG248" s="20" t="s">
        <v>1134</v>
      </c>
      <c r="AH248" s="20" t="s">
        <v>1135</v>
      </c>
    </row>
    <row r="249" spans="1:36" ht="17" customHeight="1" x14ac:dyDescent="0.2">
      <c r="A249" s="20" t="s">
        <v>1119</v>
      </c>
      <c r="B249" s="20"/>
      <c r="C249" s="20" t="s">
        <v>1120</v>
      </c>
      <c r="D249" s="20" t="s">
        <v>498</v>
      </c>
      <c r="E249" s="17" t="str">
        <f t="shared" si="29"/>
        <v>Garey</v>
      </c>
      <c r="F249" s="17"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9" s="17" t="str">
        <f t="shared" si="30"/>
        <v>2006</v>
      </c>
      <c r="H249" s="17" t="str">
        <f t="shared" si="31"/>
        <v>Garey__2006</v>
      </c>
      <c r="I249" s="17" t="str">
        <f t="shared" si="39"/>
        <v>ISBN%3A9780387269177</v>
      </c>
      <c r="J249" s="17" t="str">
        <f t="shared" si="32"/>
        <v>Garey__2006_Table6</v>
      </c>
      <c r="K249" s="17" t="str">
        <f t="shared" si="38"/>
        <v>ISBN%3A9780387269177_Table6</v>
      </c>
      <c r="L249" s="17" t="str">
        <f t="array" ref="L249">IFERROR(INDEX(AUTO_Public_TSV_FileList!$A$1:$A$1000,MATCH(TRUE(),EXACT(K249,IFERROR(_xlfn.TEXTBEFORE(AUTO_Public_TSV_FileList!$A$1:$A$1000,".tsv"),"")),0)),"notfound")</f>
        <v>ISBN%3A9780387269177_Table6.tsv</v>
      </c>
      <c r="M249" s="20" t="s">
        <v>1148</v>
      </c>
      <c r="N249" s="20" t="s">
        <v>1122</v>
      </c>
      <c r="O249" s="20" t="s">
        <v>1137</v>
      </c>
      <c r="P249" s="20" t="s">
        <v>1124</v>
      </c>
      <c r="Q249" s="20" t="s">
        <v>1149</v>
      </c>
      <c r="R249" s="20"/>
      <c r="S249" s="20"/>
      <c r="T249" s="20"/>
      <c r="U249" s="20"/>
      <c r="V249" s="20" t="s">
        <v>1126</v>
      </c>
      <c r="W249" s="20" t="s">
        <v>319</v>
      </c>
      <c r="X249" s="20" t="s">
        <v>1150</v>
      </c>
      <c r="Y249" s="20" t="s">
        <v>1151</v>
      </c>
      <c r="Z249" s="20" t="s">
        <v>1129</v>
      </c>
      <c r="AA249" s="20" t="s">
        <v>1130</v>
      </c>
      <c r="AB249" s="20" t="s">
        <v>1152</v>
      </c>
      <c r="AC249" s="20" t="s">
        <v>1132</v>
      </c>
      <c r="AD249" s="20" t="s">
        <v>689</v>
      </c>
      <c r="AE249" s="20" t="s">
        <v>265</v>
      </c>
      <c r="AF249" s="20" t="s">
        <v>1133</v>
      </c>
      <c r="AG249" s="20" t="s">
        <v>1134</v>
      </c>
      <c r="AH249" s="20" t="s">
        <v>1135</v>
      </c>
    </row>
    <row r="250" spans="1:36" ht="17" customHeight="1" x14ac:dyDescent="0.2">
      <c r="A250" s="19" t="s">
        <v>1153</v>
      </c>
      <c r="B250" s="20"/>
      <c r="C250" s="20"/>
      <c r="D250" s="19" t="s">
        <v>390</v>
      </c>
      <c r="E250" s="17" t="str">
        <f t="shared" si="29"/>
        <v>Garwicz</v>
      </c>
      <c r="F250" s="17"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17" t="str">
        <f t="shared" si="30"/>
        <v>2009</v>
      </c>
      <c r="H250" s="17" t="str">
        <f t="shared" si="31"/>
        <v>Garwicz_etal_2009</v>
      </c>
      <c r="I250" s="17" t="str">
        <f t="shared" si="39"/>
        <v>10.1073%2Fpnas.0905777106</v>
      </c>
      <c r="J250" s="17" t="str">
        <f t="shared" si="32"/>
        <v>Garwicz_etal_2009_TableS1</v>
      </c>
      <c r="K250" s="17" t="str">
        <f t="shared" si="38"/>
        <v>10.1073%2Fpnas.0905777106_TableS1</v>
      </c>
      <c r="L250" s="17" t="str">
        <f t="array" ref="L250">IFERROR(INDEX(AUTO_Public_TSV_FileList!$A$1:$A$1000,MATCH(TRUE(),EXACT(K250,IFERROR(_xlfn.TEXTBEFORE(AUTO_Public_TSV_FileList!$A$1:$A$1000,".tsv"),"")),0)),"notfound")</f>
        <v>10.1073%2Fpnas.0905777106_TableS1.tsv</v>
      </c>
      <c r="M250" s="19" t="s">
        <v>1154</v>
      </c>
      <c r="N250" s="20"/>
      <c r="O250" s="20"/>
      <c r="P250" s="20" t="s">
        <v>55</v>
      </c>
      <c r="Q250" s="20"/>
      <c r="R250" s="19" t="s">
        <v>1155</v>
      </c>
      <c r="S250" s="20"/>
      <c r="T250" s="20"/>
      <c r="U250" s="20"/>
      <c r="V250" s="20"/>
      <c r="W250" s="19" t="s">
        <v>224</v>
      </c>
      <c r="X250" s="20"/>
      <c r="Y250" s="20"/>
      <c r="Z250" s="20"/>
      <c r="AA250" s="20"/>
      <c r="AB250" s="19" t="s">
        <v>1156</v>
      </c>
      <c r="AC250" s="20"/>
      <c r="AD250" s="20"/>
      <c r="AE250" s="19" t="s">
        <v>265</v>
      </c>
      <c r="AF250" s="19"/>
      <c r="AG250" s="20"/>
      <c r="AH250" s="20"/>
    </row>
    <row r="251" spans="1:36" ht="17" customHeight="1" x14ac:dyDescent="0.2">
      <c r="A251" s="19" t="s">
        <v>1153</v>
      </c>
      <c r="B251" s="20"/>
      <c r="C251" s="20"/>
      <c r="D251" s="19" t="s">
        <v>1051</v>
      </c>
      <c r="E251" s="17" t="str">
        <f t="shared" si="29"/>
        <v>Garwicz</v>
      </c>
      <c r="F251" s="17"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7" t="str">
        <f t="shared" si="30"/>
        <v>2009</v>
      </c>
      <c r="H251" s="17" t="str">
        <f t="shared" si="31"/>
        <v>Garwicz_etal_2009</v>
      </c>
      <c r="I251" s="17" t="str">
        <f t="shared" si="39"/>
        <v>10.1073%2Fpnas.0905777106</v>
      </c>
      <c r="J251" s="17" t="str">
        <f t="shared" si="32"/>
        <v>Garwicz_etal_2009_TableS2</v>
      </c>
      <c r="K251" s="17" t="str">
        <f t="shared" si="38"/>
        <v>10.1073%2Fpnas.0905777106_TableS2</v>
      </c>
      <c r="L251" s="17" t="str">
        <f t="array" ref="L251">IFERROR(INDEX(AUTO_Public_TSV_FileList!$A$1:$A$1000,MATCH(TRUE(),EXACT(K251,IFERROR(_xlfn.TEXTBEFORE(AUTO_Public_TSV_FileList!$A$1:$A$1000,".tsv"),"")),0)),"notfound")</f>
        <v>10.1073%2Fpnas.0905777106_TableS2.tsv</v>
      </c>
      <c r="M251" s="19" t="s">
        <v>1157</v>
      </c>
      <c r="N251" s="20"/>
      <c r="O251" s="20"/>
      <c r="P251" s="20" t="s">
        <v>55</v>
      </c>
      <c r="Q251" s="20"/>
      <c r="R251" s="19" t="s">
        <v>1155</v>
      </c>
      <c r="S251" s="20"/>
      <c r="T251" s="20"/>
      <c r="U251" s="20"/>
      <c r="V251" s="20"/>
      <c r="W251" s="19" t="s">
        <v>224</v>
      </c>
      <c r="X251" s="20"/>
      <c r="Y251" s="20"/>
      <c r="Z251" s="20"/>
      <c r="AA251" s="20"/>
      <c r="AB251" s="19" t="s">
        <v>1156</v>
      </c>
      <c r="AC251" s="20"/>
      <c r="AD251" s="20"/>
      <c r="AE251" s="19" t="s">
        <v>265</v>
      </c>
      <c r="AF251" s="19"/>
      <c r="AG251" s="20"/>
      <c r="AH251" s="20"/>
    </row>
    <row r="252" spans="1:36" ht="17" customHeight="1" x14ac:dyDescent="0.2">
      <c r="A252" s="20" t="s">
        <v>1158</v>
      </c>
      <c r="B252" s="20"/>
      <c r="C252" s="20" t="s">
        <v>1159</v>
      </c>
      <c r="D252" s="20" t="s">
        <v>1160</v>
      </c>
      <c r="E252" s="18" t="str">
        <f t="shared" si="29"/>
        <v>Gautier</v>
      </c>
      <c r="F252" s="17"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2" s="17" t="str">
        <f t="shared" si="30"/>
        <v>1988</v>
      </c>
      <c r="H252" s="18" t="str">
        <f t="shared" si="31"/>
        <v>Gautier__1988</v>
      </c>
      <c r="I252" s="18" t="str">
        <f>_xlfn.LET(_xlpm.doi,IF(C252&lt;&gt;"",C252,_xlfn.TEXTAFTER(A252,"https://doi.org/")),SUBSTITUTE(SUBSTITUTE(SUBSTITUTE(SUBSTITUTE(_xlpm.doi,"/","%2F"),":","%3A"),"&lt;","%3C"),"&gt;","%3E"))</f>
        <v>ISBN%3A9780521335232</v>
      </c>
      <c r="J252" s="18" t="str">
        <f t="shared" si="32"/>
        <v>Gautier__1988_Table12.1</v>
      </c>
      <c r="K252" s="17" t="str">
        <f t="shared" si="38"/>
        <v>ISBN%3A9780521335232_Table12.1</v>
      </c>
      <c r="L252" s="17" t="str">
        <f t="array" ref="L252">IFERROR(INDEX(AUTO_Public_TSV_FileList!$A$1:$A$1000,MATCH(TRUE(),EXACT(K252,IFERROR(_xlfn.TEXTBEFORE(AUTO_Public_TSV_FileList!$A$1:$A$1000,".tsv"),"")),0)),"notfound")</f>
        <v>ISBN%3A9780521335232_Table12.1.tsv</v>
      </c>
      <c r="M252" s="20"/>
      <c r="N252" s="20" t="s">
        <v>677</v>
      </c>
      <c r="O252" s="20" t="s">
        <v>1161</v>
      </c>
      <c r="P252" s="20" t="s">
        <v>679</v>
      </c>
      <c r="Q252" s="20" t="s">
        <v>1162</v>
      </c>
      <c r="R252" s="20" t="s">
        <v>681</v>
      </c>
      <c r="S252" s="20" t="s">
        <v>682</v>
      </c>
      <c r="T252" s="20" t="s">
        <v>683</v>
      </c>
      <c r="U252" s="20"/>
      <c r="V252" s="20" t="s">
        <v>1163</v>
      </c>
      <c r="W252" s="20" t="s">
        <v>187</v>
      </c>
      <c r="X252" s="20" t="s">
        <v>1164</v>
      </c>
      <c r="Y252" s="20"/>
      <c r="Z252" s="20" t="s">
        <v>686</v>
      </c>
      <c r="AA252" s="20" t="s">
        <v>687</v>
      </c>
      <c r="AB252" s="20" t="s">
        <v>1161</v>
      </c>
      <c r="AC252" s="20" t="s">
        <v>1165</v>
      </c>
      <c r="AD252" s="20" t="s">
        <v>689</v>
      </c>
      <c r="AE252" s="20" t="s">
        <v>70</v>
      </c>
      <c r="AF252" s="20" t="s">
        <v>690</v>
      </c>
      <c r="AG252" s="20" t="s">
        <v>691</v>
      </c>
      <c r="AH252" s="20" t="s">
        <v>692</v>
      </c>
    </row>
    <row r="253" spans="1:36" ht="17" customHeight="1" x14ac:dyDescent="0.2">
      <c r="A253" s="20" t="s">
        <v>1158</v>
      </c>
      <c r="B253" s="20"/>
      <c r="C253" s="20" t="s">
        <v>1159</v>
      </c>
      <c r="D253" s="20" t="s">
        <v>1166</v>
      </c>
      <c r="E253" s="18" t="str">
        <f t="shared" si="29"/>
        <v>Gautier</v>
      </c>
      <c r="F253" s="17"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3" s="17" t="str">
        <f t="shared" si="30"/>
        <v>1988</v>
      </c>
      <c r="H253" s="18" t="str">
        <f t="shared" si="31"/>
        <v>Gautier__1988</v>
      </c>
      <c r="I253" s="18" t="str">
        <f>_xlfn.LET(_xlpm.doi,IF(C253&lt;&gt;"",C253,_xlfn.TEXTAFTER(A253,"https://doi.org/")),SUBSTITUTE(SUBSTITUTE(SUBSTITUTE(SUBSTITUTE(_xlpm.doi,"/","%2F"),":","%3A"),"&lt;","%3C"),"&gt;","%3E"))</f>
        <v>ISBN%3A9780521335232</v>
      </c>
      <c r="J253" s="18" t="str">
        <f t="shared" si="32"/>
        <v>Gautier__1988_Table12.2</v>
      </c>
      <c r="K253" s="17" t="str">
        <f t="shared" si="38"/>
        <v>ISBN%3A9780521335232_Table12.2</v>
      </c>
      <c r="L253" s="17" t="str">
        <f t="array" ref="L253">IFERROR(INDEX(AUTO_Public_TSV_FileList!$A$1:$A$1000,MATCH(TRUE(),EXACT(K253,IFERROR(_xlfn.TEXTBEFORE(AUTO_Public_TSV_FileList!$A$1:$A$1000,".tsv"),"")),0)),"notfound")</f>
        <v>ISBN%3A9780521335232_Table12.2.tsv</v>
      </c>
      <c r="M253" s="20"/>
      <c r="N253" s="20" t="s">
        <v>677</v>
      </c>
      <c r="O253" s="20" t="s">
        <v>1167</v>
      </c>
      <c r="P253" s="20" t="s">
        <v>679</v>
      </c>
      <c r="Q253" s="20" t="s">
        <v>1168</v>
      </c>
      <c r="R253" s="20" t="s">
        <v>681</v>
      </c>
      <c r="S253" s="20" t="s">
        <v>682</v>
      </c>
      <c r="T253" s="20" t="s">
        <v>683</v>
      </c>
      <c r="U253" s="20"/>
      <c r="V253" s="20" t="s">
        <v>1163</v>
      </c>
      <c r="W253" s="20" t="s">
        <v>187</v>
      </c>
      <c r="X253" s="20" t="s">
        <v>1169</v>
      </c>
      <c r="Y253" s="20"/>
      <c r="Z253" s="20" t="s">
        <v>686</v>
      </c>
      <c r="AA253" s="20" t="s">
        <v>687</v>
      </c>
      <c r="AB253" s="20" t="s">
        <v>1167</v>
      </c>
      <c r="AC253" s="20" t="s">
        <v>1165</v>
      </c>
      <c r="AD253" s="20" t="s">
        <v>689</v>
      </c>
      <c r="AE253" s="20" t="s">
        <v>70</v>
      </c>
      <c r="AF253" s="20" t="s">
        <v>690</v>
      </c>
      <c r="AG253" s="20" t="s">
        <v>691</v>
      </c>
      <c r="AH253" s="20" t="s">
        <v>692</v>
      </c>
    </row>
    <row r="254" spans="1:36" ht="17" customHeight="1" x14ac:dyDescent="0.2">
      <c r="A254" s="20" t="s">
        <v>1158</v>
      </c>
      <c r="B254" s="20"/>
      <c r="C254" s="20" t="s">
        <v>1159</v>
      </c>
      <c r="D254" s="20" t="s">
        <v>1170</v>
      </c>
      <c r="E254" s="18" t="str">
        <f t="shared" si="29"/>
        <v>Gautier</v>
      </c>
      <c r="F254" s="17"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4" s="17" t="str">
        <f t="shared" si="30"/>
        <v>1988</v>
      </c>
      <c r="H254" s="18" t="str">
        <f t="shared" si="31"/>
        <v>Gautier__1988</v>
      </c>
      <c r="I254" s="18" t="str">
        <f>_xlfn.LET(_xlpm.doi,IF(C254&lt;&gt;"",C254,_xlfn.TEXTAFTER(A254,"https://doi.org/")),SUBSTITUTE(SUBSTITUTE(SUBSTITUTE(SUBSTITUTE(_xlpm.doi,"/","%2F"),":","%3A"),"&lt;","%3C"),"&gt;","%3E"))</f>
        <v>ISBN%3A9780521335232</v>
      </c>
      <c r="J254" s="18" t="str">
        <f t="shared" si="32"/>
        <v>Gautier__1988_Table12.3</v>
      </c>
      <c r="K254" s="17" t="str">
        <f t="shared" si="38"/>
        <v>ISBN%3A9780521335232_Table12.3</v>
      </c>
      <c r="L254" s="17" t="str">
        <f t="array" ref="L254">IFERROR(INDEX(AUTO_Public_TSV_FileList!$A$1:$A$1000,MATCH(TRUE(),EXACT(K254,IFERROR(_xlfn.TEXTBEFORE(AUTO_Public_TSV_FileList!$A$1:$A$1000,".tsv"),"")),0)),"notfound")</f>
        <v>ISBN%3A9780521335232_Table12.3.tsv</v>
      </c>
      <c r="M254" s="20"/>
      <c r="N254" s="20" t="s">
        <v>677</v>
      </c>
      <c r="O254" s="20" t="s">
        <v>1171</v>
      </c>
      <c r="P254" s="20" t="s">
        <v>679</v>
      </c>
      <c r="Q254" s="20" t="s">
        <v>1172</v>
      </c>
      <c r="R254" s="20" t="s">
        <v>681</v>
      </c>
      <c r="S254" s="20" t="s">
        <v>682</v>
      </c>
      <c r="T254" s="20" t="s">
        <v>683</v>
      </c>
      <c r="U254" s="20"/>
      <c r="V254" s="20" t="s">
        <v>1163</v>
      </c>
      <c r="W254" s="20" t="s">
        <v>187</v>
      </c>
      <c r="X254" s="20" t="s">
        <v>1173</v>
      </c>
      <c r="Y254" s="20"/>
      <c r="Z254" s="20" t="s">
        <v>686</v>
      </c>
      <c r="AA254" s="20" t="s">
        <v>687</v>
      </c>
      <c r="AB254" s="20" t="s">
        <v>1171</v>
      </c>
      <c r="AC254" s="20" t="s">
        <v>1165</v>
      </c>
      <c r="AD254" s="20" t="s">
        <v>689</v>
      </c>
      <c r="AE254" s="20" t="s">
        <v>265</v>
      </c>
      <c r="AF254" s="20" t="s">
        <v>690</v>
      </c>
      <c r="AG254" s="20" t="s">
        <v>691</v>
      </c>
      <c r="AH254" s="20" t="s">
        <v>692</v>
      </c>
    </row>
    <row r="255" spans="1:36" ht="17" customHeight="1" x14ac:dyDescent="0.2">
      <c r="A255" s="19" t="s">
        <v>1174</v>
      </c>
      <c r="B255" s="20"/>
      <c r="C255" s="20"/>
      <c r="D255" s="19" t="s">
        <v>1051</v>
      </c>
      <c r="E255" s="17" t="str">
        <f t="shared" si="29"/>
        <v>Genoud</v>
      </c>
      <c r="F255" s="17"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7" t="str">
        <f t="shared" si="30"/>
        <v>2018</v>
      </c>
      <c r="H255" s="17" t="str">
        <f t="shared" si="31"/>
        <v>Genoud_etal_2018</v>
      </c>
      <c r="I255" s="17" t="str">
        <f>_xlfn.LET(
_xlpm.doi,IF(C255&lt;&gt;"",C255,_xlfn.TEXTAFTER(A255,"https://doi.org/")),
SUBSTITUTE(
SUBSTITUTE(
SUBSTITUTE(
SUBSTITUTE(
_xlpm.doi,
"/","%2F"),
":","%3A"),
"&lt;","%3C"),
"&gt;","%3E")
)</f>
        <v>10.1111%2Fbrv.12350</v>
      </c>
      <c r="J255" s="17" t="str">
        <f t="shared" si="32"/>
        <v>Genoud_etal_2018_TableS2</v>
      </c>
      <c r="K255" s="17" t="str">
        <f t="shared" si="38"/>
        <v>10.1111%2Fbrv.12350_TableS2</v>
      </c>
      <c r="L255" s="17" t="str">
        <f t="array" ref="L255">IFERROR(INDEX(AUTO_Public_TSV_FileList!$A$1:$A$1000,MATCH(TRUE(),EXACT(K255,IFERROR(_xlfn.TEXTBEFORE(AUTO_Public_TSV_FileList!$A$1:$A$1000,".tsv"),"")),0)),"notfound")</f>
        <v>10.1111%2Fbrv.12350_TableS2.tsv</v>
      </c>
      <c r="M255" s="19" t="s">
        <v>1175</v>
      </c>
      <c r="N255" s="20"/>
      <c r="O255" s="20"/>
      <c r="P255" s="20" t="s">
        <v>55</v>
      </c>
      <c r="Q255" s="20"/>
      <c r="R255" s="20"/>
      <c r="S255" s="20"/>
      <c r="T255" s="20"/>
      <c r="U255" s="20"/>
      <c r="V255" s="20"/>
      <c r="W255" s="19"/>
      <c r="X255" s="19" t="s">
        <v>1176</v>
      </c>
      <c r="Y255" s="20"/>
      <c r="Z255" s="20"/>
      <c r="AA255" s="20"/>
      <c r="AB255" s="19"/>
      <c r="AC255" s="20"/>
      <c r="AD255" s="20"/>
      <c r="AE255" s="19" t="s">
        <v>265</v>
      </c>
      <c r="AF255" s="19"/>
      <c r="AG255" s="20"/>
      <c r="AH255" s="20"/>
    </row>
    <row r="256" spans="1:36" ht="17" customHeight="1" x14ac:dyDescent="0.2">
      <c r="A256" s="20" t="s">
        <v>1177</v>
      </c>
      <c r="B256" s="20"/>
      <c r="C256" s="20" t="s">
        <v>1178</v>
      </c>
      <c r="D256" s="20" t="s">
        <v>500</v>
      </c>
      <c r="E256" s="18" t="str">
        <f t="shared" si="29"/>
        <v>Gillette</v>
      </c>
      <c r="F256" s="17"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17" t="str">
        <f t="shared" si="30"/>
        <v>1973</v>
      </c>
      <c r="H256" s="18" t="str">
        <f t="shared" si="31"/>
        <v>Gillette_etal_1973</v>
      </c>
      <c r="I256" s="18" t="str">
        <f t="shared" ref="I256:I265" si="40">_xlfn.LET(_xlpm.doi,IF(C256&lt;&gt;"",C256,_xlfn.TEXTAFTER(A256,"https://doi.org/")),SUBSTITUTE(SUBSTITUTE(SUBSTITUTE(SUBSTITUTE(_xlpm.doi,"/","%2F"),":","%3A"),"&lt;","%3C"),"&gt;","%3E"))</f>
        <v>PMID%3A4689764</v>
      </c>
      <c r="J256" s="18" t="str">
        <f t="shared" si="32"/>
        <v>Gillette_etal_1973_ResultsText</v>
      </c>
      <c r="K256" s="17" t="str">
        <f t="shared" si="38"/>
        <v>PMID%3A4689764_ResultsText</v>
      </c>
      <c r="L256" s="17" t="str">
        <f t="array" ref="L256">IFERROR(INDEX(AUTO_Public_TSV_FileList!$A$1:$A$1000,MATCH(TRUE(),EXACT(K256,IFERROR(_xlfn.TEXTBEFORE(AUTO_Public_TSV_FileList!$A$1:$A$1000,".tsv"),"")),0)),"notfound")</f>
        <v>PMID%3A4689764_ResultsText.tsv</v>
      </c>
      <c r="M256" s="20" t="s">
        <v>1179</v>
      </c>
      <c r="N256" s="20" t="s">
        <v>659</v>
      </c>
      <c r="O256" s="20" t="s">
        <v>1180</v>
      </c>
      <c r="P256" s="20" t="s">
        <v>90</v>
      </c>
      <c r="Q256" s="20"/>
      <c r="R256" s="20"/>
      <c r="S256" s="20"/>
      <c r="T256" s="20"/>
      <c r="U256" s="20"/>
      <c r="V256" s="20"/>
      <c r="W256" s="20"/>
      <c r="X256" s="20"/>
      <c r="Y256" s="20"/>
      <c r="Z256" s="20"/>
      <c r="AA256" s="20"/>
      <c r="AB256" s="20"/>
      <c r="AC256" s="20"/>
      <c r="AD256" s="20"/>
      <c r="AE256" s="20"/>
      <c r="AF256" s="20"/>
      <c r="AG256" s="20"/>
      <c r="AH256" s="20"/>
    </row>
    <row r="257" spans="1:36" ht="17" customHeight="1" x14ac:dyDescent="0.2">
      <c r="A257" s="20" t="s">
        <v>5015</v>
      </c>
      <c r="B257" s="20"/>
      <c r="C257" s="20"/>
      <c r="D257" s="20" t="s">
        <v>86</v>
      </c>
      <c r="E257" s="18" t="str">
        <f t="shared" si="29"/>
        <v>Glendenning</v>
      </c>
      <c r="F257" s="17"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7" s="17" t="str">
        <f t="shared" si="30"/>
        <v>1998</v>
      </c>
      <c r="H257" s="18" t="str">
        <f t="shared" si="31"/>
        <v>Glendenning_Masterton_1998</v>
      </c>
      <c r="I257" s="18" t="str">
        <f t="shared" si="40"/>
        <v>10.1159%2F000006530</v>
      </c>
      <c r="J257" s="18" t="str">
        <f t="shared" si="32"/>
        <v>Glendenning_Masterton_1998_Table1</v>
      </c>
      <c r="K257" s="17" t="str">
        <f t="shared" si="38"/>
        <v>10.1159%2F000006530_Table1</v>
      </c>
      <c r="L257" s="17" t="str">
        <f t="array" ref="L257">IFERROR(INDEX(AUTO_Public_TSV_FileList!$A$1:$A$1000,MATCH(TRUE(),EXACT(K257,IFERROR(_xlfn.TEXTBEFORE(AUTO_Public_TSV_FileList!$A$1:$A$1000,".tsv"),"")),0)),"notfound")</f>
        <v>notfound</v>
      </c>
      <c r="M257" s="20"/>
      <c r="N257" s="20" t="s">
        <v>5016</v>
      </c>
      <c r="O257" s="20" t="s">
        <v>5017</v>
      </c>
      <c r="P257" s="20" t="s">
        <v>5018</v>
      </c>
      <c r="Q257" s="20" t="s">
        <v>5019</v>
      </c>
      <c r="R257" s="20" t="s">
        <v>5020</v>
      </c>
      <c r="S257" s="20"/>
      <c r="T257" s="20" t="s">
        <v>5021</v>
      </c>
      <c r="U257" s="20"/>
      <c r="V257" s="20" t="s">
        <v>5022</v>
      </c>
      <c r="W257" s="20" t="s">
        <v>5023</v>
      </c>
      <c r="X257" s="20" t="s">
        <v>5024</v>
      </c>
      <c r="Y257" s="20" t="s">
        <v>284</v>
      </c>
      <c r="Z257" s="20" t="s">
        <v>5025</v>
      </c>
      <c r="AA257" s="20" t="s">
        <v>5026</v>
      </c>
      <c r="AB257" s="20" t="s">
        <v>5027</v>
      </c>
      <c r="AC257" s="20" t="s">
        <v>5028</v>
      </c>
      <c r="AD257" s="20" t="s">
        <v>689</v>
      </c>
      <c r="AE257" s="20" t="s">
        <v>70</v>
      </c>
      <c r="AF257" s="20" t="s">
        <v>5029</v>
      </c>
      <c r="AG257" s="20" t="s">
        <v>5030</v>
      </c>
      <c r="AH257" s="20" t="s">
        <v>5031</v>
      </c>
      <c r="AJ257" t="s">
        <v>5032</v>
      </c>
    </row>
    <row r="258" spans="1:36" ht="17" customHeight="1" x14ac:dyDescent="0.2">
      <c r="A258" s="20" t="s">
        <v>5015</v>
      </c>
      <c r="B258" s="20"/>
      <c r="C258" s="20"/>
      <c r="D258" s="20" t="s">
        <v>160</v>
      </c>
      <c r="E258" s="18" t="str">
        <f t="shared" ref="E258:E321" si="41">SUBSTITUTE(SUBSTITUTE(_xlfn.TEXTBEFORE(A258,","), "-", ""), " ", "")</f>
        <v>Glendenning</v>
      </c>
      <c r="F258" s="17"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8" s="17" t="str">
        <f t="shared" ref="G258:G321" si="42">_xlfn.TEXTBEFORE(_xlfn.TEXTAFTER(A258, "("), ")")</f>
        <v>1998</v>
      </c>
      <c r="H258" s="18" t="str">
        <f t="shared" ref="H258:H321" si="43">SUBSTITUTE(SUBSTITUTE(E258 &amp; IF(F258&lt;&gt;"", "_" &amp; SUBSTITUTE(F258," ",""), "_") &amp; IF(G258&lt;&gt;"", "_" &amp; G258, "_") &amp; IF(B258&lt;&gt;"", "_" &amp; B258, ""),"'",""),"’","")</f>
        <v>Glendenning_Masterton_1998</v>
      </c>
      <c r="I258" s="18" t="str">
        <f t="shared" si="40"/>
        <v>10.1159%2F000006530</v>
      </c>
      <c r="J258" s="18" t="str">
        <f t="shared" ref="J258:J321" si="44">TRIM(_xlfn.TEXTJOIN("_",FALSE(),H258,(SUBSTITUTE(SUBSTITUTE(D258," ",""), "_", ""))))</f>
        <v>Glendenning_Masterton_1998_Table2</v>
      </c>
      <c r="K258" s="17" t="str">
        <f t="shared" si="38"/>
        <v>10.1159%2F000006530_Table2</v>
      </c>
      <c r="L258" s="17" t="str">
        <f t="array" ref="L258">IFERROR(INDEX(AUTO_Public_TSV_FileList!$A$1:$A$1000,MATCH(TRUE(),EXACT(K258,IFERROR(_xlfn.TEXTBEFORE(AUTO_Public_TSV_FileList!$A$1:$A$1000,".tsv"),"")),0)),"notfound")</f>
        <v>notfound</v>
      </c>
      <c r="M258" s="20"/>
      <c r="N258" s="20" t="s">
        <v>5033</v>
      </c>
      <c r="O258" s="20" t="s">
        <v>5034</v>
      </c>
      <c r="P258" s="20" t="s">
        <v>5018</v>
      </c>
      <c r="Q258" s="20" t="s">
        <v>5035</v>
      </c>
      <c r="R258" s="20" t="s">
        <v>5020</v>
      </c>
      <c r="S258" s="20"/>
      <c r="T258" s="20" t="s">
        <v>5036</v>
      </c>
      <c r="U258" s="20"/>
      <c r="V258" s="20" t="s">
        <v>5022</v>
      </c>
      <c r="W258" s="20" t="s">
        <v>5023</v>
      </c>
      <c r="X258" s="20" t="s">
        <v>5037</v>
      </c>
      <c r="Y258" s="20"/>
      <c r="Z258" s="20" t="s">
        <v>5025</v>
      </c>
      <c r="AA258" s="20" t="s">
        <v>5038</v>
      </c>
      <c r="AB258" s="20" t="s">
        <v>5039</v>
      </c>
      <c r="AC258" s="20" t="s">
        <v>5028</v>
      </c>
      <c r="AD258" s="20" t="s">
        <v>689</v>
      </c>
      <c r="AE258" s="20" t="s">
        <v>50</v>
      </c>
      <c r="AF258" s="20"/>
      <c r="AG258" s="20" t="s">
        <v>5040</v>
      </c>
      <c r="AH258" s="20" t="s">
        <v>5031</v>
      </c>
      <c r="AJ258" t="s">
        <v>5041</v>
      </c>
    </row>
    <row r="259" spans="1:36" ht="17" customHeight="1" x14ac:dyDescent="0.2">
      <c r="A259" s="20" t="s">
        <v>5015</v>
      </c>
      <c r="B259" s="20"/>
      <c r="C259" s="20"/>
      <c r="D259" s="20" t="s">
        <v>162</v>
      </c>
      <c r="E259" s="18" t="str">
        <f t="shared" si="41"/>
        <v>Glendenning</v>
      </c>
      <c r="F259" s="17"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9" s="17" t="str">
        <f t="shared" si="42"/>
        <v>1998</v>
      </c>
      <c r="H259" s="18" t="str">
        <f t="shared" si="43"/>
        <v>Glendenning_Masterton_1998</v>
      </c>
      <c r="I259" s="18" t="str">
        <f t="shared" si="40"/>
        <v>10.1159%2F000006530</v>
      </c>
      <c r="J259" s="18" t="str">
        <f t="shared" si="44"/>
        <v>Glendenning_Masterton_1998_Table3</v>
      </c>
      <c r="K259" s="17" t="str">
        <f t="shared" si="38"/>
        <v>10.1159%2F000006530_Table3</v>
      </c>
      <c r="L259" s="17" t="str">
        <f t="array" ref="L259">IFERROR(INDEX(AUTO_Public_TSV_FileList!$A$1:$A$1000,MATCH(TRUE(),EXACT(K259,IFERROR(_xlfn.TEXTBEFORE(AUTO_Public_TSV_FileList!$A$1:$A$1000,".tsv"),"")),0)),"notfound")</f>
        <v>notfound</v>
      </c>
      <c r="M259" s="20"/>
      <c r="N259" s="20" t="s">
        <v>5033</v>
      </c>
      <c r="O259" s="20" t="s">
        <v>5042</v>
      </c>
      <c r="P259" s="20" t="s">
        <v>5018</v>
      </c>
      <c r="Q259" s="20" t="s">
        <v>5043</v>
      </c>
      <c r="R259" s="20" t="s">
        <v>5020</v>
      </c>
      <c r="S259" s="20"/>
      <c r="T259" s="20" t="s">
        <v>5036</v>
      </c>
      <c r="U259" s="20"/>
      <c r="V259" s="20" t="s">
        <v>5022</v>
      </c>
      <c r="W259" s="20" t="s">
        <v>5023</v>
      </c>
      <c r="X259" s="20" t="s">
        <v>5044</v>
      </c>
      <c r="Y259" s="20"/>
      <c r="Z259" s="20" t="s">
        <v>5025</v>
      </c>
      <c r="AA259" s="20" t="s">
        <v>5038</v>
      </c>
      <c r="AB259" s="20" t="s">
        <v>5045</v>
      </c>
      <c r="AC259" s="20" t="s">
        <v>5028</v>
      </c>
      <c r="AD259" s="20" t="s">
        <v>689</v>
      </c>
      <c r="AE259" s="20" t="s">
        <v>50</v>
      </c>
      <c r="AF259" s="20"/>
      <c r="AG259" s="20" t="s">
        <v>5040</v>
      </c>
      <c r="AH259" s="20" t="s">
        <v>5031</v>
      </c>
      <c r="AJ259" t="s">
        <v>5046</v>
      </c>
    </row>
    <row r="260" spans="1:36" ht="17" customHeight="1" x14ac:dyDescent="0.2">
      <c r="A260" s="20" t="s">
        <v>5015</v>
      </c>
      <c r="B260" s="20"/>
      <c r="C260" s="20"/>
      <c r="D260" s="20" t="s">
        <v>53</v>
      </c>
      <c r="E260" s="18" t="str">
        <f t="shared" si="41"/>
        <v>Glendenning</v>
      </c>
      <c r="F260" s="17"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0" s="17" t="str">
        <f t="shared" si="42"/>
        <v>1998</v>
      </c>
      <c r="H260" s="18" t="str">
        <f t="shared" si="43"/>
        <v>Glendenning_Masterton_1998</v>
      </c>
      <c r="I260" s="18" t="str">
        <f t="shared" si="40"/>
        <v>10.1159%2F000006530</v>
      </c>
      <c r="J260" s="18" t="str">
        <f t="shared" si="44"/>
        <v>Glendenning_Masterton_1998_Table4</v>
      </c>
      <c r="K260" s="17" t="str">
        <f t="shared" si="38"/>
        <v>10.1159%2F000006530_Table4</v>
      </c>
      <c r="L260" s="17" t="str">
        <f t="array" ref="L260">IFERROR(INDEX(AUTO_Public_TSV_FileList!$A$1:$A$1000,MATCH(TRUE(),EXACT(K260,IFERROR(_xlfn.TEXTBEFORE(AUTO_Public_TSV_FileList!$A$1:$A$1000,".tsv"),"")),0)),"notfound")</f>
        <v>notfound</v>
      </c>
      <c r="M260" s="20"/>
      <c r="N260" s="20" t="s">
        <v>5033</v>
      </c>
      <c r="O260" s="20" t="s">
        <v>5047</v>
      </c>
      <c r="P260" s="20" t="s">
        <v>5018</v>
      </c>
      <c r="Q260" s="20" t="s">
        <v>5048</v>
      </c>
      <c r="R260" s="20" t="s">
        <v>5020</v>
      </c>
      <c r="S260" s="20"/>
      <c r="T260" s="20" t="s">
        <v>5049</v>
      </c>
      <c r="U260" s="20"/>
      <c r="V260" s="20" t="s">
        <v>5022</v>
      </c>
      <c r="W260" s="20" t="s">
        <v>5023</v>
      </c>
      <c r="X260" s="20" t="s">
        <v>5050</v>
      </c>
      <c r="Y260" s="20"/>
      <c r="Z260" s="20" t="s">
        <v>5025</v>
      </c>
      <c r="AA260" s="20" t="s">
        <v>5038</v>
      </c>
      <c r="AB260" s="20" t="s">
        <v>841</v>
      </c>
      <c r="AC260" s="20" t="s">
        <v>5028</v>
      </c>
      <c r="AD260" s="20" t="s">
        <v>689</v>
      </c>
      <c r="AE260" s="20" t="s">
        <v>50</v>
      </c>
      <c r="AF260" s="20"/>
      <c r="AG260" s="20" t="s">
        <v>5040</v>
      </c>
      <c r="AH260" s="20" t="s">
        <v>5031</v>
      </c>
      <c r="AJ260" t="s">
        <v>5051</v>
      </c>
    </row>
    <row r="261" spans="1:36" ht="17" customHeight="1" x14ac:dyDescent="0.2">
      <c r="A261" s="20" t="s">
        <v>5015</v>
      </c>
      <c r="B261" s="20"/>
      <c r="C261" s="20"/>
      <c r="D261" s="20" t="s">
        <v>164</v>
      </c>
      <c r="E261" s="18" t="str">
        <f t="shared" si="41"/>
        <v>Glendenning</v>
      </c>
      <c r="F261" s="17"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1" s="17" t="str">
        <f t="shared" si="42"/>
        <v>1998</v>
      </c>
      <c r="H261" s="18" t="str">
        <f t="shared" si="43"/>
        <v>Glendenning_Masterton_1998</v>
      </c>
      <c r="I261" s="18" t="str">
        <f t="shared" si="40"/>
        <v>10.1159%2F000006530</v>
      </c>
      <c r="J261" s="18" t="str">
        <f t="shared" si="44"/>
        <v>Glendenning_Masterton_1998_Table5</v>
      </c>
      <c r="K261" s="17" t="str">
        <f t="shared" si="38"/>
        <v>10.1159%2F000006530_Table5</v>
      </c>
      <c r="L261" s="17" t="str">
        <f t="array" ref="L261">IFERROR(INDEX(AUTO_Public_TSV_FileList!$A$1:$A$1000,MATCH(TRUE(),EXACT(K261,IFERROR(_xlfn.TEXTBEFORE(AUTO_Public_TSV_FileList!$A$1:$A$1000,".tsv"),"")),0)),"notfound")</f>
        <v>notfound</v>
      </c>
      <c r="M261" s="20"/>
      <c r="N261" s="20" t="s">
        <v>5033</v>
      </c>
      <c r="O261" s="20" t="s">
        <v>5052</v>
      </c>
      <c r="P261" s="20" t="s">
        <v>5018</v>
      </c>
      <c r="Q261" s="20" t="s">
        <v>5053</v>
      </c>
      <c r="R261" s="20" t="s">
        <v>5020</v>
      </c>
      <c r="S261" s="20"/>
      <c r="T261" s="20" t="s">
        <v>5036</v>
      </c>
      <c r="U261" s="20"/>
      <c r="V261" s="20" t="s">
        <v>5022</v>
      </c>
      <c r="W261" s="20" t="s">
        <v>5023</v>
      </c>
      <c r="X261" s="20" t="s">
        <v>5054</v>
      </c>
      <c r="Y261" s="20"/>
      <c r="Z261" s="20" t="s">
        <v>5025</v>
      </c>
      <c r="AA261" s="20" t="s">
        <v>5038</v>
      </c>
      <c r="AB261" s="20" t="s">
        <v>5055</v>
      </c>
      <c r="AC261" s="20" t="s">
        <v>5028</v>
      </c>
      <c r="AD261" s="20" t="s">
        <v>689</v>
      </c>
      <c r="AE261" s="20" t="s">
        <v>50</v>
      </c>
      <c r="AF261" s="20"/>
      <c r="AG261" s="20" t="s">
        <v>5040</v>
      </c>
      <c r="AH261" s="20" t="s">
        <v>5031</v>
      </c>
      <c r="AJ261" t="s">
        <v>5056</v>
      </c>
    </row>
    <row r="262" spans="1:36" ht="17" customHeight="1" x14ac:dyDescent="0.2">
      <c r="A262" s="20" t="s">
        <v>5015</v>
      </c>
      <c r="B262" s="20"/>
      <c r="C262" s="20"/>
      <c r="D262" s="20" t="s">
        <v>498</v>
      </c>
      <c r="E262" s="18" t="str">
        <f t="shared" si="41"/>
        <v>Glendenning</v>
      </c>
      <c r="F262" s="17"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2" s="17" t="str">
        <f t="shared" si="42"/>
        <v>1998</v>
      </c>
      <c r="H262" s="18" t="str">
        <f t="shared" si="43"/>
        <v>Glendenning_Masterton_1998</v>
      </c>
      <c r="I262" s="18" t="str">
        <f t="shared" si="40"/>
        <v>10.1159%2F000006530</v>
      </c>
      <c r="J262" s="18" t="str">
        <f t="shared" si="44"/>
        <v>Glendenning_Masterton_1998_Table6</v>
      </c>
      <c r="K262" s="17" t="str">
        <f t="shared" si="38"/>
        <v>10.1159%2F000006530_Table6</v>
      </c>
      <c r="L262" s="17" t="str">
        <f t="array" ref="L262">IFERROR(INDEX(AUTO_Public_TSV_FileList!$A$1:$A$1000,MATCH(TRUE(),EXACT(K262,IFERROR(_xlfn.TEXTBEFORE(AUTO_Public_TSV_FileList!$A$1:$A$1000,".tsv"),"")),0)),"notfound")</f>
        <v>notfound</v>
      </c>
      <c r="M262" s="20"/>
      <c r="N262" s="20" t="s">
        <v>5033</v>
      </c>
      <c r="O262" s="20" t="s">
        <v>5057</v>
      </c>
      <c r="P262" s="20" t="s">
        <v>5018</v>
      </c>
      <c r="Q262" s="20" t="s">
        <v>5058</v>
      </c>
      <c r="R262" s="20" t="s">
        <v>5020</v>
      </c>
      <c r="S262" s="20"/>
      <c r="T262" s="20" t="s">
        <v>5036</v>
      </c>
      <c r="U262" s="20"/>
      <c r="V262" s="20" t="s">
        <v>5022</v>
      </c>
      <c r="W262" s="20" t="s">
        <v>5023</v>
      </c>
      <c r="X262" s="20" t="s">
        <v>5059</v>
      </c>
      <c r="Y262" s="20"/>
      <c r="Z262" s="20" t="s">
        <v>5025</v>
      </c>
      <c r="AA262" s="20" t="s">
        <v>5038</v>
      </c>
      <c r="AB262" s="20" t="s">
        <v>5055</v>
      </c>
      <c r="AC262" s="20" t="s">
        <v>5028</v>
      </c>
      <c r="AD262" s="20" t="s">
        <v>689</v>
      </c>
      <c r="AE262" s="20" t="s">
        <v>50</v>
      </c>
      <c r="AF262" s="20"/>
      <c r="AG262" s="20" t="s">
        <v>5040</v>
      </c>
      <c r="AH262" s="20" t="s">
        <v>5031</v>
      </c>
      <c r="AJ262" t="s">
        <v>5060</v>
      </c>
    </row>
    <row r="263" spans="1:36" ht="17" customHeight="1" x14ac:dyDescent="0.2">
      <c r="A263" s="20" t="s">
        <v>5015</v>
      </c>
      <c r="B263" s="20"/>
      <c r="C263" s="20"/>
      <c r="D263" s="20" t="s">
        <v>1843</v>
      </c>
      <c r="E263" s="18" t="str">
        <f t="shared" si="41"/>
        <v>Glendenning</v>
      </c>
      <c r="F263" s="17"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3" s="17" t="str">
        <f t="shared" si="42"/>
        <v>1998</v>
      </c>
      <c r="H263" s="18" t="str">
        <f t="shared" si="43"/>
        <v>Glendenning_Masterton_1998</v>
      </c>
      <c r="I263" s="18" t="str">
        <f t="shared" si="40"/>
        <v>10.1159%2F000006530</v>
      </c>
      <c r="J263" s="18" t="str">
        <f t="shared" si="44"/>
        <v>Glendenning_Masterton_1998_Table7</v>
      </c>
      <c r="K263" s="17" t="str">
        <f t="shared" si="38"/>
        <v>10.1159%2F000006530_Table7</v>
      </c>
      <c r="L263" s="17" t="str">
        <f t="array" ref="L263">IFERROR(INDEX(AUTO_Public_TSV_FileList!$A$1:$A$1000,MATCH(TRUE(),EXACT(K263,IFERROR(_xlfn.TEXTBEFORE(AUTO_Public_TSV_FileList!$A$1:$A$1000,".tsv"),"")),0)),"notfound")</f>
        <v>notfound</v>
      </c>
      <c r="M263" s="20"/>
      <c r="N263" s="20" t="s">
        <v>5033</v>
      </c>
      <c r="O263" s="20" t="s">
        <v>5061</v>
      </c>
      <c r="P263" s="20" t="s">
        <v>5018</v>
      </c>
      <c r="Q263" s="20" t="s">
        <v>5062</v>
      </c>
      <c r="R263" s="20" t="s">
        <v>5020</v>
      </c>
      <c r="S263" s="20"/>
      <c r="T263" s="20" t="s">
        <v>5036</v>
      </c>
      <c r="U263" s="20"/>
      <c r="V263" s="20" t="s">
        <v>5022</v>
      </c>
      <c r="W263" s="20" t="s">
        <v>5023</v>
      </c>
      <c r="X263" s="20" t="s">
        <v>5063</v>
      </c>
      <c r="Y263" s="20"/>
      <c r="Z263" s="20" t="s">
        <v>5025</v>
      </c>
      <c r="AA263" s="20" t="s">
        <v>5038</v>
      </c>
      <c r="AB263" s="20" t="s">
        <v>5055</v>
      </c>
      <c r="AC263" s="20" t="s">
        <v>5028</v>
      </c>
      <c r="AD263" s="20" t="s">
        <v>689</v>
      </c>
      <c r="AE263" s="20" t="s">
        <v>50</v>
      </c>
      <c r="AF263" s="20"/>
      <c r="AG263" s="20" t="s">
        <v>5040</v>
      </c>
      <c r="AH263" s="20" t="s">
        <v>5031</v>
      </c>
      <c r="AJ263" t="s">
        <v>5064</v>
      </c>
    </row>
    <row r="264" spans="1:36" ht="17" customHeight="1" x14ac:dyDescent="0.2">
      <c r="A264" s="20" t="s">
        <v>3604</v>
      </c>
      <c r="B264" s="20"/>
      <c r="C264" s="20"/>
      <c r="D264" s="20" t="s">
        <v>3605</v>
      </c>
      <c r="E264" s="18" t="str">
        <f t="shared" si="41"/>
        <v>Gómez</v>
      </c>
      <c r="F264" s="17"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17" t="str">
        <f t="shared" si="42"/>
        <v>2016</v>
      </c>
      <c r="H264" s="18" t="str">
        <f t="shared" si="43"/>
        <v>Gómez_etal_2016</v>
      </c>
      <c r="I264" s="18" t="str">
        <f t="shared" si="40"/>
        <v>10.1038%2Fnature19758</v>
      </c>
      <c r="J264" s="18" t="str">
        <f t="shared" si="44"/>
        <v>Gómez_etal_2016_TableIXA</v>
      </c>
      <c r="K264" s="17" t="str">
        <f t="shared" si="38"/>
        <v>10.1038%2Fnature19758_TableIXA</v>
      </c>
      <c r="L264" s="17" t="str">
        <f t="array" ref="L264">IFERROR(INDEX(AUTO_Public_TSV_FileList!$A$1:$A$1000,MATCH(TRUE(),EXACT(K264,IFERROR(_xlfn.TEXTBEFORE(AUTO_Public_TSV_FileList!$A$1:$A$1000,".tsv"),"")),0)),"notfound")</f>
        <v>10.1038%2Fnature19758_TableIXA.tsv</v>
      </c>
      <c r="M264" s="20" t="s">
        <v>3606</v>
      </c>
      <c r="N264" s="20" t="s">
        <v>3482</v>
      </c>
      <c r="O264" s="20" t="s">
        <v>3552</v>
      </c>
      <c r="P264" s="20" t="s">
        <v>3484</v>
      </c>
      <c r="Q264" s="20" t="s">
        <v>3607</v>
      </c>
      <c r="R264" s="20" t="s">
        <v>3608</v>
      </c>
      <c r="S264" s="20"/>
      <c r="T264" s="20"/>
      <c r="U264" s="20" t="s">
        <v>3609</v>
      </c>
      <c r="V264" s="20" t="s">
        <v>3610</v>
      </c>
      <c r="W264" s="20" t="s">
        <v>319</v>
      </c>
      <c r="X264" s="20" t="s">
        <v>3610</v>
      </c>
      <c r="Y264" s="20"/>
      <c r="Z264" s="20"/>
      <c r="AA264" s="20" t="s">
        <v>3611</v>
      </c>
      <c r="AB264" s="20"/>
      <c r="AC264" s="20" t="s">
        <v>3612</v>
      </c>
      <c r="AD264" s="20" t="s">
        <v>3612</v>
      </c>
      <c r="AE264" s="20" t="s">
        <v>265</v>
      </c>
      <c r="AF264" s="20" t="s">
        <v>3613</v>
      </c>
      <c r="AG264" s="20"/>
      <c r="AH264" s="20" t="s">
        <v>3490</v>
      </c>
    </row>
    <row r="265" spans="1:36" ht="17" customHeight="1" x14ac:dyDescent="0.2">
      <c r="A265" s="20" t="s">
        <v>4549</v>
      </c>
      <c r="B265" s="20"/>
      <c r="C265" s="20"/>
      <c r="D265" s="20" t="s">
        <v>369</v>
      </c>
      <c r="E265" s="18" t="str">
        <f t="shared" si="41"/>
        <v>Graham</v>
      </c>
      <c r="F265" s="17"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17" t="str">
        <f t="shared" si="42"/>
        <v>2011</v>
      </c>
      <c r="H265" s="18" t="str">
        <f t="shared" si="43"/>
        <v>Graham__2011</v>
      </c>
      <c r="I265" s="18" t="str">
        <f t="shared" si="40"/>
        <v>10.1002%2Fajp.20898</v>
      </c>
      <c r="J265" s="18" t="str">
        <f t="shared" si="44"/>
        <v>Graham__2011_TABLEI</v>
      </c>
      <c r="K265" s="17" t="str">
        <f t="shared" si="38"/>
        <v>10.1002%2Fajp.20898_TABLEI</v>
      </c>
      <c r="L265" s="17" t="str">
        <f t="array" ref="L265">IFERROR(INDEX(AUTO_Public_TSV_FileList!$A$1:$A$1000,MATCH(TRUE(),EXACT(K265,IFERROR(_xlfn.TEXTBEFORE(AUTO_Public_TSV_FileList!$A$1:$A$1000,".tsv"),"")),0)),"notfound")</f>
        <v>notfound</v>
      </c>
      <c r="M265" s="20" t="s">
        <v>4547</v>
      </c>
      <c r="N265" s="20" t="s">
        <v>4567</v>
      </c>
      <c r="O265" s="20" t="s">
        <v>4568</v>
      </c>
      <c r="P265" s="20" t="s">
        <v>4569</v>
      </c>
      <c r="Q265" s="20" t="s">
        <v>4570</v>
      </c>
      <c r="R265" s="20" t="s">
        <v>4571</v>
      </c>
      <c r="S265" s="20" t="s">
        <v>4572</v>
      </c>
      <c r="T265" s="20" t="s">
        <v>4573</v>
      </c>
      <c r="U265" s="20"/>
      <c r="V265" s="20" t="s">
        <v>4574</v>
      </c>
      <c r="W265" s="20" t="s">
        <v>187</v>
      </c>
      <c r="X265" s="20" t="s">
        <v>4575</v>
      </c>
      <c r="Y265" s="20" t="s">
        <v>4576</v>
      </c>
      <c r="Z265" s="20" t="s">
        <v>4577</v>
      </c>
      <c r="AA265" s="20" t="s">
        <v>4578</v>
      </c>
      <c r="AB265" s="20" t="s">
        <v>4579</v>
      </c>
      <c r="AC265" s="20" t="s">
        <v>4580</v>
      </c>
      <c r="AD265" s="20" t="s">
        <v>689</v>
      </c>
      <c r="AE265" s="20" t="s">
        <v>265</v>
      </c>
      <c r="AF265" s="20" t="s">
        <v>4581</v>
      </c>
      <c r="AG265" s="20" t="s">
        <v>4582</v>
      </c>
      <c r="AH265" s="20" t="s">
        <v>4583</v>
      </c>
    </row>
    <row r="266" spans="1:36" ht="17" customHeight="1" x14ac:dyDescent="0.2">
      <c r="A266" s="19" t="s">
        <v>1181</v>
      </c>
      <c r="B266" s="20"/>
      <c r="C266" s="20"/>
      <c r="D266" s="19" t="s">
        <v>390</v>
      </c>
      <c r="E266" s="17" t="str">
        <f t="shared" si="41"/>
        <v>Granatosky</v>
      </c>
      <c r="F266" s="17"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17" t="str">
        <f t="shared" si="42"/>
        <v>2018</v>
      </c>
      <c r="H266" s="17" t="str">
        <f t="shared" si="43"/>
        <v>Granatosky__2018</v>
      </c>
      <c r="I266" s="17" t="str">
        <f>_xlfn.LET(
_xlpm.doi,IF(C266&lt;&gt;"",C266,_xlfn.TEXTAFTER(A266,"https://doi.org/")),
SUBSTITUTE(
SUBSTITUTE(
SUBSTITUTE(
SUBSTITUTE(
_xlpm.doi,
"/","%2F"),
":","%3A"),
"&lt;","%3C"),
"&gt;","%3E")
)</f>
        <v>10.1111%2Fjzo.12608</v>
      </c>
      <c r="J266" s="17" t="str">
        <f t="shared" si="44"/>
        <v>Granatosky__2018_TableS1</v>
      </c>
      <c r="K266" s="17" t="str">
        <f t="shared" si="38"/>
        <v>10.1111%2Fjzo.12608_TableS1</v>
      </c>
      <c r="L266" s="17" t="str">
        <f t="array" ref="L266">IFERROR(INDEX(AUTO_Public_TSV_FileList!$A$1:$A$1000,MATCH(TRUE(),EXACT(K266,IFERROR(_xlfn.TEXTBEFORE(AUTO_Public_TSV_FileList!$A$1:$A$1000,".tsv"),"")),0)),"notfound")</f>
        <v>10.1111%2Fjzo.12608_TableS1.tsv</v>
      </c>
      <c r="M266" s="19" t="s">
        <v>1182</v>
      </c>
      <c r="N266" s="20"/>
      <c r="O266" s="20"/>
      <c r="P266" s="20" t="s">
        <v>55</v>
      </c>
      <c r="Q266" s="20"/>
      <c r="R266" s="19" t="s">
        <v>1183</v>
      </c>
      <c r="S266" s="20"/>
      <c r="T266" s="20"/>
      <c r="U266" s="20"/>
      <c r="V266" s="20"/>
      <c r="W266" s="19" t="s">
        <v>224</v>
      </c>
      <c r="X266" s="20"/>
      <c r="Y266" s="20"/>
      <c r="Z266" s="20"/>
      <c r="AA266" s="20"/>
      <c r="AB266" s="19" t="s">
        <v>1184</v>
      </c>
      <c r="AC266" s="20"/>
      <c r="AD266" s="20"/>
      <c r="AE266" s="19" t="s">
        <v>265</v>
      </c>
      <c r="AF266" s="19"/>
      <c r="AG266" s="20"/>
      <c r="AH266" s="20"/>
    </row>
    <row r="267" spans="1:36" ht="17" customHeight="1" x14ac:dyDescent="0.2">
      <c r="A267" s="20" t="s">
        <v>5065</v>
      </c>
      <c r="B267" s="20"/>
      <c r="C267" s="20"/>
      <c r="D267" s="20" t="s">
        <v>86</v>
      </c>
      <c r="E267" s="18" t="str">
        <f t="shared" si="41"/>
        <v>Grueter</v>
      </c>
      <c r="F267" s="17"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17" t="str">
        <f t="shared" si="42"/>
        <v>2013</v>
      </c>
      <c r="H267" s="18" t="str">
        <f t="shared" si="43"/>
        <v>Grueter_etal_2013</v>
      </c>
      <c r="I267" s="18" t="str">
        <f>_xlfn.LET(_xlpm.doi,IF(C267&lt;&gt;"",C267,_xlfn.TEXTAFTER(A267,"https://doi.org/")),SUBSTITUTE(SUBSTITUTE(SUBSTITUTE(SUBSTITUTE(_xlpm.doi,"/","%2F"),":","%3A"),"&lt;","%3C"),"&gt;","%3E"))</f>
        <v>10.1016%2Fj.evolhumbehav.2012.09.004</v>
      </c>
      <c r="J267" s="18" t="str">
        <f t="shared" si="44"/>
        <v>Grueter_etal_2013_Table1</v>
      </c>
      <c r="K267" s="17" t="str">
        <f t="shared" si="38"/>
        <v>10.1016%2Fj.evolhumbehav.2012.09.004_Table1</v>
      </c>
      <c r="L267" s="17" t="str">
        <f t="array" ref="L267">IFERROR(INDEX(AUTO_Public_TSV_FileList!$A$1:$A$1000,MATCH(TRUE(),EXACT(K267,IFERROR(_xlfn.TEXTBEFORE(AUTO_Public_TSV_FileList!$A$1:$A$1000,".tsv"),"")),0)),"notfound")</f>
        <v>10.1016%2Fj.evolhumbehav.2012.09.004_Table1.tsv</v>
      </c>
      <c r="M267" s="20"/>
      <c r="N267" s="20" t="s">
        <v>4864</v>
      </c>
      <c r="O267" s="20" t="s">
        <v>5066</v>
      </c>
      <c r="P267" s="20" t="s">
        <v>4866</v>
      </c>
      <c r="Q267" s="20" t="s">
        <v>5067</v>
      </c>
      <c r="R267" s="20" t="s">
        <v>5068</v>
      </c>
      <c r="S267" s="20" t="s">
        <v>4869</v>
      </c>
      <c r="T267" s="20" t="s">
        <v>4870</v>
      </c>
      <c r="U267" s="20"/>
      <c r="V267" s="20" t="s">
        <v>4871</v>
      </c>
      <c r="W267" s="20" t="s">
        <v>187</v>
      </c>
      <c r="X267" s="20" t="s">
        <v>5069</v>
      </c>
      <c r="Y267" s="20"/>
      <c r="Z267" s="20" t="s">
        <v>4873</v>
      </c>
      <c r="AA267" s="20" t="s">
        <v>4874</v>
      </c>
      <c r="AB267" s="20" t="s">
        <v>4909</v>
      </c>
      <c r="AC267" s="20" t="s">
        <v>5070</v>
      </c>
      <c r="AD267" s="20" t="s">
        <v>689</v>
      </c>
      <c r="AE267" s="20" t="s">
        <v>70</v>
      </c>
      <c r="AF267" s="20" t="s">
        <v>4877</v>
      </c>
      <c r="AG267" s="20" t="s">
        <v>4878</v>
      </c>
      <c r="AH267" s="20" t="s">
        <v>4879</v>
      </c>
      <c r="AJ267" t="s">
        <v>5071</v>
      </c>
    </row>
    <row r="268" spans="1:36" ht="17" customHeight="1" x14ac:dyDescent="0.2">
      <c r="A268" s="20" t="s">
        <v>5065</v>
      </c>
      <c r="B268" s="20"/>
      <c r="C268" s="20"/>
      <c r="D268" s="20" t="s">
        <v>554</v>
      </c>
      <c r="E268" s="18" t="str">
        <f t="shared" si="41"/>
        <v>Grueter</v>
      </c>
      <c r="F268" s="17"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17" t="str">
        <f t="shared" si="42"/>
        <v>2013</v>
      </c>
      <c r="H268" s="18" t="str">
        <f t="shared" si="43"/>
        <v>Grueter_etal_2013</v>
      </c>
      <c r="I268" s="18" t="str">
        <f>_xlfn.LET(_xlpm.doi,IF(C268&lt;&gt;"",C268,_xlfn.TEXTAFTER(A268,"https://doi.org/")),SUBSTITUTE(SUBSTITUTE(SUBSTITUTE(SUBSTITUTE(_xlpm.doi,"/","%2F"),":","%3A"),"&lt;","%3C"),"&gt;","%3E"))</f>
        <v>10.1016%2Fj.evolhumbehav.2012.09.004</v>
      </c>
      <c r="J268" s="18" t="str">
        <f t="shared" si="44"/>
        <v>Grueter_etal_2013_TableS1</v>
      </c>
      <c r="K268" s="17" t="str">
        <f t="shared" si="38"/>
        <v>10.1016%2Fj.evolhumbehav.2012.09.004_TableS1</v>
      </c>
      <c r="L268" s="17" t="str">
        <f t="array" ref="L268">IFERROR(INDEX(AUTO_Public_TSV_FileList!$A$1:$A$1000,MATCH(TRUE(),EXACT(K268,IFERROR(_xlfn.TEXTBEFORE(AUTO_Public_TSV_FileList!$A$1:$A$1000,".tsv"),"")),0)),"notfound")</f>
        <v>10.1016%2Fj.evolhumbehav.2012.09.004_TableS1.tsv</v>
      </c>
      <c r="M268" s="20"/>
      <c r="N268" s="20" t="s">
        <v>5072</v>
      </c>
      <c r="O268" s="20" t="s">
        <v>5073</v>
      </c>
      <c r="P268" s="20" t="s">
        <v>5074</v>
      </c>
      <c r="Q268" s="20" t="s">
        <v>5075</v>
      </c>
      <c r="R268" s="20" t="s">
        <v>5068</v>
      </c>
      <c r="S268" s="20" t="s">
        <v>5076</v>
      </c>
      <c r="T268" s="20" t="s">
        <v>5077</v>
      </c>
      <c r="U268" s="20"/>
      <c r="V268" s="20" t="s">
        <v>4871</v>
      </c>
      <c r="W268" s="20" t="s">
        <v>187</v>
      </c>
      <c r="X268" s="20" t="s">
        <v>5078</v>
      </c>
      <c r="Y268" s="20"/>
      <c r="Z268" s="20" t="s">
        <v>5079</v>
      </c>
      <c r="AA268" s="20" t="s">
        <v>5080</v>
      </c>
      <c r="AB268" s="20" t="s">
        <v>5081</v>
      </c>
      <c r="AC268" s="20" t="s">
        <v>5070</v>
      </c>
      <c r="AD268" s="20" t="s">
        <v>689</v>
      </c>
      <c r="AE268" s="20" t="s">
        <v>70</v>
      </c>
      <c r="AF268" s="20" t="s">
        <v>5082</v>
      </c>
      <c r="AG268" s="20" t="s">
        <v>5083</v>
      </c>
      <c r="AH268" s="20" t="s">
        <v>352</v>
      </c>
      <c r="AJ268" t="s">
        <v>5084</v>
      </c>
    </row>
    <row r="269" spans="1:36" ht="17" customHeight="1" x14ac:dyDescent="0.2">
      <c r="A269" s="19" t="s">
        <v>1185</v>
      </c>
      <c r="B269" s="20"/>
      <c r="C269" s="20"/>
      <c r="D269" s="19" t="s">
        <v>1186</v>
      </c>
      <c r="E269" s="17" t="str">
        <f t="shared" si="41"/>
        <v>Haarlem</v>
      </c>
      <c r="F269" s="17"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17" t="str">
        <f t="shared" si="42"/>
        <v>2026</v>
      </c>
      <c r="H269" s="17" t="str">
        <f t="shared" si="43"/>
        <v>Haarlem_etal_2026</v>
      </c>
      <c r="I269" s="17" t="str">
        <f>_xlfn.LET(
_xlpm.doi,IF(C269&lt;&gt;"",C269,_xlfn.TEXTAFTER(A269,"https://doi.org/")),
SUBSTITUTE(
SUBSTITUTE(
SUBSTITUTE(
SUBSTITUTE(
_xlpm.doi,
"/","%2F"),
":","%3A"),
"&lt;","%3C"),
"&gt;","%3E")
)</f>
        <v>10.1038%2Fs41559-026-02994-7</v>
      </c>
      <c r="J269" s="17" t="str">
        <f t="shared" si="44"/>
        <v>Haarlem_etal_2026_CFFdataset</v>
      </c>
      <c r="K269" s="17" t="str">
        <f t="shared" si="38"/>
        <v>10.1038%2Fs41559-026-02994-7_CFFdataset</v>
      </c>
      <c r="L269" s="17" t="str">
        <f t="array" ref="L269">IFERROR(INDEX(AUTO_Public_TSV_FileList!$A$1:$A$1000,MATCH(TRUE(),EXACT(K269,IFERROR(_xlfn.TEXTBEFORE(AUTO_Public_TSV_FileList!$A$1:$A$1000,".tsv"),"")),0)),"notfound")</f>
        <v>10.1038%2Fs41559-026-02994-7_CFFdataset.tsv</v>
      </c>
      <c r="M269" s="20"/>
      <c r="N269" s="20"/>
      <c r="O269" s="19" t="s">
        <v>1186</v>
      </c>
      <c r="P269" s="20" t="s">
        <v>55</v>
      </c>
      <c r="Q269" s="20"/>
      <c r="R269" s="19" t="s">
        <v>1183</v>
      </c>
      <c r="S269" s="20"/>
      <c r="T269" s="20"/>
      <c r="U269" s="20"/>
      <c r="V269" s="20"/>
      <c r="W269" s="19"/>
      <c r="X269" s="20"/>
      <c r="Y269" s="20"/>
      <c r="Z269" s="20"/>
      <c r="AA269" s="20"/>
      <c r="AB269" s="19"/>
      <c r="AC269" s="20"/>
      <c r="AD269" s="20"/>
      <c r="AE269" s="19"/>
      <c r="AF269" s="19"/>
      <c r="AG269" s="20"/>
      <c r="AH269" s="20"/>
    </row>
    <row r="270" spans="1:36" ht="17" customHeight="1" x14ac:dyDescent="0.2">
      <c r="A270" s="21" t="s">
        <v>1187</v>
      </c>
      <c r="B270" s="21"/>
      <c r="C270" s="21"/>
      <c r="D270" s="21" t="s">
        <v>160</v>
      </c>
      <c r="E270" s="18" t="str">
        <f t="shared" si="41"/>
        <v>Hakeem</v>
      </c>
      <c r="F270" s="17"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17" t="str">
        <f t="shared" si="42"/>
        <v>2005</v>
      </c>
      <c r="H270" s="18" t="str">
        <f t="shared" si="43"/>
        <v>Hakeem_etal_2005</v>
      </c>
      <c r="I270" s="18" t="str">
        <f>_xlfn.LET(_xlpm.doi,IF(C270&lt;&gt;"",C270,_xlfn.TEXTAFTER(A270,"https://doi.org/")),SUBSTITUTE(SUBSTITUTE(SUBSTITUTE(SUBSTITUTE(_xlpm.doi,"/","%2F"),":","%3A"),"&lt;","%3C"),"&gt;","%3E"))</f>
        <v>10.1002%2Far.a.20255</v>
      </c>
      <c r="J270" s="18" t="str">
        <f t="shared" si="44"/>
        <v>Hakeem_etal_2005_Table2</v>
      </c>
      <c r="K270" s="18" t="str">
        <f t="shared" si="38"/>
        <v>10.1002%2Far.a.20255_Table2</v>
      </c>
      <c r="L270" s="17" t="str">
        <f t="array" ref="L270">IFERROR(INDEX(AUTO_Public_TSV_FileList!$A$1:$A$1000,MATCH(TRUE(),EXACT(K270,IFERROR(_xlfn.TEXTBEFORE(AUTO_Public_TSV_FileList!$A$1:$A$1000,".tsv"),"")),0)),"notfound")</f>
        <v>10.1002%2Far.a.20255_Table2.tsv</v>
      </c>
      <c r="M270" s="20"/>
      <c r="N270" s="19" t="s">
        <v>54</v>
      </c>
      <c r="O270" s="20"/>
      <c r="P270" s="21" t="s">
        <v>55</v>
      </c>
      <c r="Q270" s="21"/>
      <c r="R270" s="21" t="s">
        <v>1188</v>
      </c>
      <c r="S270" s="21" t="s">
        <v>1061</v>
      </c>
      <c r="T270" s="21" t="s">
        <v>1062</v>
      </c>
      <c r="U270" s="21"/>
      <c r="V270" s="21" t="s">
        <v>1063</v>
      </c>
      <c r="W270" s="21" t="s">
        <v>1189</v>
      </c>
      <c r="X270" s="21" t="s">
        <v>1190</v>
      </c>
      <c r="Y270" s="21"/>
      <c r="Z270" s="21"/>
      <c r="AA270" s="21" t="s">
        <v>1191</v>
      </c>
      <c r="AB270" s="21" t="s">
        <v>1192</v>
      </c>
      <c r="AC270" s="20"/>
      <c r="AD270" s="21"/>
      <c r="AE270" s="21" t="s">
        <v>50</v>
      </c>
      <c r="AF270" s="21"/>
      <c r="AG270" s="21" t="s">
        <v>1193</v>
      </c>
      <c r="AH270" s="20"/>
    </row>
    <row r="271" spans="1:36" ht="17" customHeight="1" x14ac:dyDescent="0.2">
      <c r="A271" s="21" t="s">
        <v>1194</v>
      </c>
      <c r="B271" s="21"/>
      <c r="C271" s="21"/>
      <c r="D271" s="21" t="s">
        <v>86</v>
      </c>
      <c r="E271" s="18" t="str">
        <f t="shared" si="41"/>
        <v>Hakeem</v>
      </c>
      <c r="F271" s="17"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17" t="str">
        <f t="shared" si="42"/>
        <v>2009</v>
      </c>
      <c r="H271" s="18" t="str">
        <f t="shared" si="43"/>
        <v>Hakeem_etal_2009</v>
      </c>
      <c r="I271" s="18" t="str">
        <f>_xlfn.LET(_xlpm.doi,IF(C271&lt;&gt;"",C271,_xlfn.TEXTAFTER(A271,"https://doi.org/")),SUBSTITUTE(SUBSTITUTE(SUBSTITUTE(SUBSTITUTE(_xlpm.doi,"/","%2F"),":","%3A"),"&lt;","%3C"),"&gt;","%3E"))</f>
        <v>10.1002%2Far.20829</v>
      </c>
      <c r="J271" s="18" t="str">
        <f t="shared" si="44"/>
        <v>Hakeem_etal_2009_Table1</v>
      </c>
      <c r="K271" s="18" t="str">
        <f t="shared" si="38"/>
        <v>10.1002%2Far.20829_Table1</v>
      </c>
      <c r="L271" s="17" t="str">
        <f t="array" ref="L271">IFERROR(INDEX(AUTO_Public_TSV_FileList!$A$1:$A$1000,MATCH(TRUE(),EXACT(K271,IFERROR(_xlfn.TEXTBEFORE(AUTO_Public_TSV_FileList!$A$1:$A$1000,".tsv"),"")),0)),"notfound")</f>
        <v>10.1002%2Far.20829_Table1.tsv</v>
      </c>
      <c r="M271" s="20"/>
      <c r="N271" s="19"/>
      <c r="O271" s="20"/>
      <c r="P271" s="21" t="s">
        <v>55</v>
      </c>
      <c r="Q271" s="21"/>
      <c r="R271" s="21"/>
      <c r="S271" s="21"/>
      <c r="T271" s="21"/>
      <c r="U271" s="21"/>
      <c r="V271" s="21"/>
      <c r="W271" s="21"/>
      <c r="X271" s="21"/>
      <c r="Y271" s="21"/>
      <c r="Z271" s="21"/>
      <c r="AA271" s="21"/>
      <c r="AB271" s="21"/>
      <c r="AC271" s="20"/>
      <c r="AD271" s="21"/>
      <c r="AE271" s="21"/>
      <c r="AF271" s="21"/>
      <c r="AG271" s="21"/>
      <c r="AH271" s="20"/>
    </row>
    <row r="272" spans="1:36" ht="17" customHeight="1" x14ac:dyDescent="0.2">
      <c r="A272" s="20" t="s">
        <v>1195</v>
      </c>
      <c r="B272" s="20"/>
      <c r="C272" s="20"/>
      <c r="D272" s="20" t="s">
        <v>94</v>
      </c>
      <c r="E272" s="18" t="str">
        <f t="shared" si="41"/>
        <v>Halley</v>
      </c>
      <c r="F272" s="17"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72" s="17" t="str">
        <f t="shared" si="42"/>
        <v>2019</v>
      </c>
      <c r="H272" s="18" t="str">
        <f t="shared" si="43"/>
        <v>Halley_Krubitzer_2019</v>
      </c>
      <c r="I272" s="18" t="str">
        <f>_xlfn.LET(_xlpm.doi,IF(C272&lt;&gt;"",C272,_xlfn.TEXTAFTER(A272,"https://doi.org/")),SUBSTITUTE(SUBSTITUTE(SUBSTITUTE(SUBSTITUTE(_xlpm.doi,"/","%2F"),":","%3A"),"&lt;","%3C"),"&gt;","%3E"))</f>
        <v>10.1016%2Fj.conb.2018.12.003</v>
      </c>
      <c r="J272" s="18" t="str">
        <f t="shared" si="44"/>
        <v>Halley_Krubitzer_2019_Figure1</v>
      </c>
      <c r="K272" s="18" t="str">
        <f t="shared" si="38"/>
        <v>10.1016%2Fj.conb.2018.12.003_Figure1</v>
      </c>
      <c r="L272" s="17" t="str">
        <f t="array" ref="L272">IFERROR(INDEX(AUTO_Public_TSV_FileList!$A$1:$A$1000,MATCH(TRUE(),EXACT(K272,IFERROR(_xlfn.TEXTBEFORE(AUTO_Public_TSV_FileList!$A$1:$A$1000,".tsv"),"")),0)),"notfound")</f>
        <v>notfound</v>
      </c>
      <c r="M272" s="20" t="s">
        <v>1196</v>
      </c>
      <c r="N272" s="20" t="s">
        <v>541</v>
      </c>
      <c r="O272" s="20" t="s">
        <v>1197</v>
      </c>
      <c r="P272" s="20" t="s">
        <v>55</v>
      </c>
      <c r="Q272" s="20"/>
      <c r="R272" s="20" t="s">
        <v>1198</v>
      </c>
      <c r="S272" s="20"/>
      <c r="T272" s="20" t="s">
        <v>1199</v>
      </c>
      <c r="U272" s="20"/>
      <c r="V272" s="20" t="s">
        <v>1200</v>
      </c>
      <c r="W272" s="20" t="s">
        <v>224</v>
      </c>
      <c r="X272" s="20" t="s">
        <v>1201</v>
      </c>
      <c r="Y272" s="20" t="s">
        <v>1202</v>
      </c>
      <c r="Z272" s="20"/>
      <c r="AA272" s="20"/>
      <c r="AB272" s="20" t="s">
        <v>1203</v>
      </c>
      <c r="AC272" s="20" t="s">
        <v>1204</v>
      </c>
      <c r="AD272" s="20"/>
      <c r="AE272" s="20" t="s">
        <v>265</v>
      </c>
      <c r="AF272" s="20"/>
      <c r="AG272" s="20" t="s">
        <v>1205</v>
      </c>
      <c r="AH272" s="20"/>
    </row>
    <row r="273" spans="1:36" ht="17" customHeight="1" x14ac:dyDescent="0.2">
      <c r="A273" s="20" t="s">
        <v>1206</v>
      </c>
      <c r="B273" s="20"/>
      <c r="C273" s="20"/>
      <c r="D273" s="20" t="s">
        <v>160</v>
      </c>
      <c r="E273" s="18" t="str">
        <f t="shared" si="41"/>
        <v>Hanson</v>
      </c>
      <c r="F273" s="18"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18" t="str">
        <f t="shared" si="42"/>
        <v>2018</v>
      </c>
      <c r="H273" s="18" t="str">
        <f t="shared" si="43"/>
        <v>Hanson_etal_2018</v>
      </c>
      <c r="I273" s="18" t="str">
        <f>_xlfn.LET(
_xlpm.doi,IF(C273&lt;&gt;"",C273,_xlfn.TEXTAFTER(A273,"https://doi.org/")),
SUBSTITUTE(
SUBSTITUTE(
SUBSTITUTE(
SUBSTITUTE(
_xlpm.doi,
"/","%2F"),
":","%3A"),
"&lt;","%3C"),
"&gt;","%3E")
)</f>
        <v>10.1002%2Fdneu.22554</v>
      </c>
      <c r="J273" s="18" t="str">
        <f t="shared" si="44"/>
        <v>Hanson_etal_2018_Table2</v>
      </c>
      <c r="K273" s="18" t="str">
        <f>I273 &amp; "_" &amp; SUBSTITUTE(SUBSTITUTE(SUBSTITUTE(D273,CHAR(160),""), " ", ""), "_", "")</f>
        <v>10.1002%2Fdneu.22554_Table2</v>
      </c>
      <c r="L273" s="17" t="str">
        <f t="array" ref="L273">IFERROR(INDEX(AUTO_Public_TSV_FileList!$A$1:$A$1000,MATCH(TRUE(),EXACT(K273,IFERROR(_xlfn.TEXTBEFORE(AUTO_Public_TSV_FileList!$A$1:$A$1000,".tsv"),"")),0)),"notfound")</f>
        <v>10.1002%2Fdneu.22554_Table2.tsv</v>
      </c>
      <c r="M273" s="20" t="s">
        <v>1207</v>
      </c>
      <c r="N273" s="20" t="s">
        <v>1208</v>
      </c>
      <c r="O273" s="20"/>
      <c r="P273" s="20" t="s">
        <v>55</v>
      </c>
      <c r="Q273" s="20" t="s">
        <v>1209</v>
      </c>
      <c r="R273" s="20"/>
      <c r="S273" s="20"/>
      <c r="T273" s="20"/>
      <c r="U273" s="20"/>
      <c r="V273" s="20"/>
      <c r="W273" s="20" t="s">
        <v>1210</v>
      </c>
      <c r="X273" s="20"/>
      <c r="Y273" s="20"/>
      <c r="Z273" s="20" t="s">
        <v>1211</v>
      </c>
      <c r="AA273" s="20" t="s">
        <v>376</v>
      </c>
      <c r="AB273" s="20" t="s">
        <v>167</v>
      </c>
      <c r="AC273" s="20" t="s">
        <v>1212</v>
      </c>
      <c r="AD273" s="20"/>
      <c r="AE273" s="20" t="s">
        <v>50</v>
      </c>
      <c r="AF273" s="20"/>
      <c r="AG273" s="20"/>
      <c r="AH273" s="20"/>
    </row>
    <row r="274" spans="1:36" ht="17" customHeight="1" x14ac:dyDescent="0.2">
      <c r="A274" s="20" t="s">
        <v>1206</v>
      </c>
      <c r="B274" s="20"/>
      <c r="C274" s="20"/>
      <c r="D274" s="20" t="s">
        <v>162</v>
      </c>
      <c r="E274" s="18" t="str">
        <f t="shared" si="41"/>
        <v>Hanson</v>
      </c>
      <c r="F274" s="18"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18" t="str">
        <f t="shared" si="42"/>
        <v>2018</v>
      </c>
      <c r="H274" s="18" t="str">
        <f t="shared" si="43"/>
        <v>Hanson_etal_2018</v>
      </c>
      <c r="I274" s="18" t="str">
        <f>_xlfn.LET(
_xlpm.doi,IF(C274&lt;&gt;"",C274,_xlfn.TEXTAFTER(A274,"https://doi.org/")),
SUBSTITUTE(
SUBSTITUTE(
SUBSTITUTE(
SUBSTITUTE(
_xlpm.doi,
"/","%2F"),
":","%3A"),
"&lt;","%3C"),
"&gt;","%3E")
)</f>
        <v>10.1002%2Fdneu.22554</v>
      </c>
      <c r="J274" s="18" t="str">
        <f t="shared" si="44"/>
        <v>Hanson_etal_2018_Table3</v>
      </c>
      <c r="K274" s="18" t="str">
        <f>I274 &amp; "_" &amp; SUBSTITUTE(SUBSTITUTE(SUBSTITUTE(D274,CHAR(160),""), " ", ""), "_", "")</f>
        <v>10.1002%2Fdneu.22554_Table3</v>
      </c>
      <c r="L274" s="17" t="str">
        <f t="array" ref="L274">IFERROR(INDEX(AUTO_Public_TSV_FileList!$A$1:$A$1000,MATCH(TRUE(),EXACT(K274,IFERROR(_xlfn.TEXTBEFORE(AUTO_Public_TSV_FileList!$A$1:$A$1000,".tsv"),"")),0)),"notfound")</f>
        <v>10.1002%2Fdneu.22554_Table3.tsv</v>
      </c>
      <c r="M274" s="20" t="s">
        <v>1213</v>
      </c>
      <c r="N274" s="20" t="s">
        <v>1208</v>
      </c>
      <c r="O274" s="20"/>
      <c r="P274" s="20" t="s">
        <v>55</v>
      </c>
      <c r="Q274" s="20" t="s">
        <v>1214</v>
      </c>
      <c r="R274" s="20"/>
      <c r="S274" s="20"/>
      <c r="T274" s="20"/>
      <c r="U274" s="20"/>
      <c r="V274" s="20"/>
      <c r="W274" s="20" t="s">
        <v>1210</v>
      </c>
      <c r="X274" s="20"/>
      <c r="Y274" s="20"/>
      <c r="Z274" s="20" t="s">
        <v>1215</v>
      </c>
      <c r="AA274" s="20" t="s">
        <v>376</v>
      </c>
      <c r="AB274" s="20" t="s">
        <v>167</v>
      </c>
      <c r="AC274" s="20" t="s">
        <v>1212</v>
      </c>
      <c r="AD274" s="20"/>
      <c r="AE274" s="20" t="s">
        <v>50</v>
      </c>
      <c r="AF274" s="20"/>
      <c r="AG274" s="20"/>
      <c r="AH274" s="20"/>
    </row>
    <row r="275" spans="1:36" ht="17" customHeight="1" x14ac:dyDescent="0.2">
      <c r="A275" s="20" t="s">
        <v>5392</v>
      </c>
      <c r="B275" s="20"/>
      <c r="C275" s="20"/>
      <c r="D275" s="20" t="s">
        <v>800</v>
      </c>
      <c r="E275" s="18" t="str">
        <f t="shared" si="41"/>
        <v>HardusME</v>
      </c>
      <c r="F275" s="17"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5" s="17" t="str">
        <f t="shared" si="42"/>
        <v>2009</v>
      </c>
      <c r="H275" s="18" t="str">
        <f t="shared" si="43"/>
        <v>HardusME__2009</v>
      </c>
      <c r="I275" s="18" t="str">
        <f>_xlfn.LET(_xlpm.doi,IF(C275&lt;&gt;"",C275,_xlfn.TEXTAFTER(A275,"https://doi.org/")),SUBSTITUTE(SUBSTITUTE(SUBSTITUTE(SUBSTITUTE(_xlpm.doi,"/","%2F"),":","%3A"),"&lt;","%3C"),"&gt;","%3E"))</f>
        <v>10.1093%2Facprof%3Aoso%2F9780199213276.003.0004</v>
      </c>
      <c r="J275" s="18" t="str">
        <f t="shared" si="44"/>
        <v>HardusME__2009_Table4.1</v>
      </c>
      <c r="K275" s="17" t="str">
        <f t="shared" ref="K275:K302" si="45">I275 &amp; "_" &amp; SUBSTITUTE(SUBSTITUTE(SUBSTITUTE(D275,CHAR(160),"")," ",""),"_","")</f>
        <v>10.1093%2Facprof%3Aoso%2F9780199213276.003.0004_Table4.1</v>
      </c>
      <c r="L275" s="17" t="str">
        <f t="array" ref="L275">IFERROR(INDEX(AUTO_Public_TSV_FileList!$A$1:$A$1000,MATCH(TRUE(),EXACT(K275,IFERROR(_xlfn.TEXTBEFORE(AUTO_Public_TSV_FileList!$A$1:$A$1000,".tsv"),"")),0)),"notfound")</f>
        <v>notfound</v>
      </c>
      <c r="M275" s="20"/>
      <c r="N275" s="20" t="s">
        <v>4864</v>
      </c>
      <c r="O275" s="20" t="s">
        <v>5085</v>
      </c>
      <c r="P275" s="20" t="s">
        <v>4866</v>
      </c>
      <c r="Q275" s="20" t="s">
        <v>5086</v>
      </c>
      <c r="R275" s="20" t="s">
        <v>5087</v>
      </c>
      <c r="S275" s="20" t="s">
        <v>4869</v>
      </c>
      <c r="T275" s="20" t="s">
        <v>4870</v>
      </c>
      <c r="U275" s="20"/>
      <c r="V275" s="20" t="s">
        <v>4871</v>
      </c>
      <c r="W275" s="20" t="s">
        <v>187</v>
      </c>
      <c r="X275" s="20" t="s">
        <v>5088</v>
      </c>
      <c r="Y275" s="20"/>
      <c r="Z275" s="20" t="s">
        <v>4873</v>
      </c>
      <c r="AA275" s="20" t="s">
        <v>4874</v>
      </c>
      <c r="AB275" s="20" t="s">
        <v>5089</v>
      </c>
      <c r="AC275" s="20" t="s">
        <v>5090</v>
      </c>
      <c r="AD275" s="20" t="s">
        <v>689</v>
      </c>
      <c r="AE275" s="20" t="s">
        <v>70</v>
      </c>
      <c r="AF275" s="20" t="s">
        <v>4877</v>
      </c>
      <c r="AG275" s="20" t="s">
        <v>4878</v>
      </c>
      <c r="AH275" s="20" t="s">
        <v>4879</v>
      </c>
      <c r="AJ275" t="s">
        <v>5091</v>
      </c>
    </row>
    <row r="276" spans="1:36" ht="17" customHeight="1" x14ac:dyDescent="0.2">
      <c r="A276" s="20" t="s">
        <v>5392</v>
      </c>
      <c r="B276" s="20"/>
      <c r="C276" s="20"/>
      <c r="D276" s="20" t="s">
        <v>5092</v>
      </c>
      <c r="E276" s="18" t="str">
        <f t="shared" si="41"/>
        <v>HardusME</v>
      </c>
      <c r="F276" s="17"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6" s="17" t="str">
        <f t="shared" si="42"/>
        <v>2009</v>
      </c>
      <c r="H276" s="18" t="str">
        <f t="shared" si="43"/>
        <v>HardusME__2009</v>
      </c>
      <c r="I276" s="18" t="str">
        <f>_xlfn.LET(_xlpm.doi,IF(C276&lt;&gt;"",C276,_xlfn.TEXTAFTER(A276,"https://doi.org/")),SUBSTITUTE(SUBSTITUTE(SUBSTITUTE(SUBSTITUTE(_xlpm.doi,"/","%2F"),":","%3A"),"&lt;","%3C"),"&gt;","%3E"))</f>
        <v>10.1093%2Facprof%3Aoso%2F9780199213276.003.0004</v>
      </c>
      <c r="J276" s="18" t="str">
        <f t="shared" si="44"/>
        <v>HardusME__2009_Table4.2</v>
      </c>
      <c r="K276" s="17" t="str">
        <f t="shared" si="45"/>
        <v>10.1093%2Facprof%3Aoso%2F9780199213276.003.0004_Table4.2</v>
      </c>
      <c r="L276" s="17" t="str">
        <f t="array" ref="L276">IFERROR(INDEX(AUTO_Public_TSV_FileList!$A$1:$A$1000,MATCH(TRUE(),EXACT(K276,IFERROR(_xlfn.TEXTBEFORE(AUTO_Public_TSV_FileList!$A$1:$A$1000,".tsv"),"")),0)),"notfound")</f>
        <v>notfound</v>
      </c>
      <c r="M276" s="20"/>
      <c r="N276" s="20" t="s">
        <v>4864</v>
      </c>
      <c r="O276" s="20" t="s">
        <v>5093</v>
      </c>
      <c r="P276" s="20" t="s">
        <v>4866</v>
      </c>
      <c r="Q276" s="20" t="s">
        <v>5094</v>
      </c>
      <c r="R276" s="20" t="s">
        <v>5087</v>
      </c>
      <c r="S276" s="20" t="s">
        <v>4869</v>
      </c>
      <c r="T276" s="20" t="s">
        <v>4870</v>
      </c>
      <c r="U276" s="20"/>
      <c r="V276" s="20" t="s">
        <v>4871</v>
      </c>
      <c r="W276" s="20" t="s">
        <v>187</v>
      </c>
      <c r="X276" s="20" t="s">
        <v>5095</v>
      </c>
      <c r="Y276" s="20"/>
      <c r="Z276" s="20" t="s">
        <v>4873</v>
      </c>
      <c r="AA276" s="20" t="s">
        <v>4874</v>
      </c>
      <c r="AB276" s="20" t="s">
        <v>5096</v>
      </c>
      <c r="AC276" s="20" t="s">
        <v>5090</v>
      </c>
      <c r="AD276" s="20" t="s">
        <v>689</v>
      </c>
      <c r="AE276" s="20" t="s">
        <v>50</v>
      </c>
      <c r="AF276" s="20" t="s">
        <v>4877</v>
      </c>
      <c r="AG276" s="20" t="s">
        <v>4878</v>
      </c>
      <c r="AH276" s="20" t="s">
        <v>4879</v>
      </c>
      <c r="AJ276" t="s">
        <v>5097</v>
      </c>
    </row>
    <row r="277" spans="1:36" ht="17" customHeight="1" x14ac:dyDescent="0.2">
      <c r="A277" s="20" t="s">
        <v>5392</v>
      </c>
      <c r="B277" s="20"/>
      <c r="C277" s="20"/>
      <c r="D277" s="20" t="s">
        <v>5098</v>
      </c>
      <c r="E277" s="18" t="str">
        <f t="shared" si="41"/>
        <v>HardusME</v>
      </c>
      <c r="F277" s="17"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7" s="17" t="str">
        <f t="shared" si="42"/>
        <v>2009</v>
      </c>
      <c r="H277" s="18" t="str">
        <f t="shared" si="43"/>
        <v>HardusME__2009</v>
      </c>
      <c r="I277" s="18" t="str">
        <f>_xlfn.LET(_xlpm.doi,IF(C277&lt;&gt;"",C277,_xlfn.TEXTAFTER(A277,"https://doi.org/")),SUBSTITUTE(SUBSTITUTE(SUBSTITUTE(SUBSTITUTE(_xlpm.doi,"/","%2F"),":","%3A"),"&lt;","%3C"),"&gt;","%3E"))</f>
        <v>10.1093%2Facprof%3Aoso%2F9780199213276.003.0004</v>
      </c>
      <c r="J277" s="18" t="str">
        <f t="shared" si="44"/>
        <v>HardusME__2009_Table4.3</v>
      </c>
      <c r="K277" s="17" t="str">
        <f t="shared" si="45"/>
        <v>10.1093%2Facprof%3Aoso%2F9780199213276.003.0004_Table4.3</v>
      </c>
      <c r="L277" s="17" t="str">
        <f t="array" ref="L277">IFERROR(INDEX(AUTO_Public_TSV_FileList!$A$1:$A$1000,MATCH(TRUE(),EXACT(K277,IFERROR(_xlfn.TEXTBEFORE(AUTO_Public_TSV_FileList!$A$1:$A$1000,".tsv"),"")),0)),"notfound")</f>
        <v>notfound</v>
      </c>
      <c r="M277" s="20"/>
      <c r="N277" s="20" t="s">
        <v>4864</v>
      </c>
      <c r="O277" s="20" t="s">
        <v>5099</v>
      </c>
      <c r="P277" s="20" t="s">
        <v>4866</v>
      </c>
      <c r="Q277" s="20" t="s">
        <v>5100</v>
      </c>
      <c r="R277" s="20" t="s">
        <v>5087</v>
      </c>
      <c r="S277" s="20" t="s">
        <v>4869</v>
      </c>
      <c r="T277" s="20" t="s">
        <v>4870</v>
      </c>
      <c r="U277" s="20"/>
      <c r="V277" s="20" t="s">
        <v>4871</v>
      </c>
      <c r="W277" s="20" t="s">
        <v>187</v>
      </c>
      <c r="X277" s="20" t="s">
        <v>5101</v>
      </c>
      <c r="Y277" s="20"/>
      <c r="Z277" s="20" t="s">
        <v>4873</v>
      </c>
      <c r="AA277" s="20" t="s">
        <v>4874</v>
      </c>
      <c r="AB277" s="20" t="s">
        <v>5096</v>
      </c>
      <c r="AC277" s="20" t="s">
        <v>5090</v>
      </c>
      <c r="AD277" s="20" t="s">
        <v>689</v>
      </c>
      <c r="AE277" s="20" t="s">
        <v>50</v>
      </c>
      <c r="AF277" s="20" t="s">
        <v>4877</v>
      </c>
      <c r="AG277" s="20" t="s">
        <v>4878</v>
      </c>
      <c r="AH277" s="20" t="s">
        <v>4879</v>
      </c>
      <c r="AJ277" t="s">
        <v>5102</v>
      </c>
    </row>
    <row r="278" spans="1:36" ht="17" customHeight="1" x14ac:dyDescent="0.2">
      <c r="A278" s="20" t="s">
        <v>5392</v>
      </c>
      <c r="B278" s="20"/>
      <c r="C278" s="20"/>
      <c r="D278" s="20" t="s">
        <v>5103</v>
      </c>
      <c r="E278" s="18" t="str">
        <f t="shared" si="41"/>
        <v>HardusME</v>
      </c>
      <c r="F278" s="17"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78" s="17" t="str">
        <f t="shared" si="42"/>
        <v>2009</v>
      </c>
      <c r="H278" s="18" t="str">
        <f t="shared" si="43"/>
        <v>HardusME__2009</v>
      </c>
      <c r="I278" s="18" t="str">
        <f>_xlfn.LET(_xlpm.doi,IF(C278&lt;&gt;"",C278,_xlfn.TEXTAFTER(A278,"https://doi.org/")),SUBSTITUTE(SUBSTITUTE(SUBSTITUTE(SUBSTITUTE(_xlpm.doi,"/","%2F"),":","%3A"),"&lt;","%3C"),"&gt;","%3E"))</f>
        <v>10.1093%2Facprof%3Aoso%2F9780199213276.003.0004</v>
      </c>
      <c r="J278" s="18" t="str">
        <f t="shared" si="44"/>
        <v>HardusME__2009_Table4.4</v>
      </c>
      <c r="K278" s="17" t="str">
        <f t="shared" si="45"/>
        <v>10.1093%2Facprof%3Aoso%2F9780199213276.003.0004_Table4.4</v>
      </c>
      <c r="L278" s="17" t="str">
        <f t="array" ref="L278">IFERROR(INDEX(AUTO_Public_TSV_FileList!$A$1:$A$1000,MATCH(TRUE(),EXACT(K278,IFERROR(_xlfn.TEXTBEFORE(AUTO_Public_TSV_FileList!$A$1:$A$1000,".tsv"),"")),0)),"notfound")</f>
        <v>notfound</v>
      </c>
      <c r="M278" s="20"/>
      <c r="N278" s="20" t="s">
        <v>4864</v>
      </c>
      <c r="O278" s="20" t="s">
        <v>5104</v>
      </c>
      <c r="P278" s="20" t="s">
        <v>4866</v>
      </c>
      <c r="Q278" s="20" t="s">
        <v>5105</v>
      </c>
      <c r="R278" s="20" t="s">
        <v>5087</v>
      </c>
      <c r="S278" s="20" t="s">
        <v>4869</v>
      </c>
      <c r="T278" s="20" t="s">
        <v>4870</v>
      </c>
      <c r="U278" s="20"/>
      <c r="V278" s="20" t="s">
        <v>4871</v>
      </c>
      <c r="W278" s="20" t="s">
        <v>187</v>
      </c>
      <c r="X278" s="20" t="s">
        <v>5106</v>
      </c>
      <c r="Y278" s="20"/>
      <c r="Z278" s="20" t="s">
        <v>4873</v>
      </c>
      <c r="AA278" s="20" t="s">
        <v>4874</v>
      </c>
      <c r="AB278" s="20" t="s">
        <v>5107</v>
      </c>
      <c r="AC278" s="20" t="s">
        <v>5090</v>
      </c>
      <c r="AD278" s="20" t="s">
        <v>689</v>
      </c>
      <c r="AE278" s="20" t="s">
        <v>70</v>
      </c>
      <c r="AF278" s="20" t="s">
        <v>4877</v>
      </c>
      <c r="AG278" s="20" t="s">
        <v>4878</v>
      </c>
      <c r="AH278" s="20" t="s">
        <v>4879</v>
      </c>
      <c r="AJ278" t="s">
        <v>5108</v>
      </c>
    </row>
    <row r="279" spans="1:36" ht="17" customHeight="1" x14ac:dyDescent="0.2">
      <c r="A279" s="20" t="s">
        <v>1216</v>
      </c>
      <c r="B279" s="20"/>
      <c r="C279" s="20"/>
      <c r="D279" s="20" t="s">
        <v>145</v>
      </c>
      <c r="E279" s="17" t="str">
        <f t="shared" si="41"/>
        <v>Haug</v>
      </c>
      <c r="F279" s="17" t="str">
        <f>_xlfn.LET(
_xlpm.authors,_xlfn.TEXTBEFORE(A279," ("&amp;G279&amp;")"),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279" s="17" t="str">
        <f t="shared" si="42"/>
        <v>1987</v>
      </c>
      <c r="H279" s="17" t="str">
        <f t="shared" si="43"/>
        <v>Haug__1987</v>
      </c>
      <c r="I279" s="17" t="str">
        <f>_xlfn.LET(
_xlpm.doi,IF(C279&lt;&gt;"",C279,_xlfn.TEXTAFTER(A279,"https://doi.org/")),
SUBSTITUTE(
SUBSTITUTE(
SUBSTITUTE(
SUBSTITUTE(
_xlpm.doi,
"/","%2F"),
":","%3A"),
"&lt;","%3C"),
"&gt;","%3E")
)</f>
        <v>10.1002%2Faja.1001800203</v>
      </c>
      <c r="J279" s="17" t="str">
        <f t="shared" si="44"/>
        <v>Haug__1987_TABLE2</v>
      </c>
      <c r="K279" s="17" t="str">
        <f t="shared" si="45"/>
        <v>10.1002%2Faja.1001800203_TABLE2</v>
      </c>
      <c r="L279" s="17" t="str">
        <f>IFERROR(INDEX(AUTO_Public_TSV_FileList!$A$1:$A$1000,MATCH(TRUE(),EXACT(K279,IFERROR(_xlfn.TEXTBEFORE(AUTO_Public_TSV_FileList!$A$1:$A$1000,".tsv"),"")),0)),"notfound")</f>
        <v>notfound</v>
      </c>
      <c r="M279" s="20" t="s">
        <v>1217</v>
      </c>
      <c r="N279" s="20" t="s">
        <v>54</v>
      </c>
      <c r="O279" s="20" t="s">
        <v>1218</v>
      </c>
      <c r="P279" s="20" t="s">
        <v>1124</v>
      </c>
      <c r="Q279" s="20" t="s">
        <v>1219</v>
      </c>
      <c r="R279" s="20" t="s">
        <v>1220</v>
      </c>
      <c r="S279" s="20" t="s">
        <v>1221</v>
      </c>
      <c r="T279" s="20" t="s">
        <v>1222</v>
      </c>
      <c r="U279" s="20"/>
      <c r="V279" s="20"/>
      <c r="W279" s="20" t="s">
        <v>224</v>
      </c>
      <c r="X279" s="20" t="s">
        <v>1223</v>
      </c>
      <c r="Y279" s="20"/>
      <c r="Z279" s="20" t="s">
        <v>1224</v>
      </c>
      <c r="AA279" s="20" t="s">
        <v>1225</v>
      </c>
      <c r="AB279" s="20" t="s">
        <v>1223</v>
      </c>
      <c r="AC279" s="20" t="s">
        <v>1226</v>
      </c>
      <c r="AD279" s="20" t="s">
        <v>1227</v>
      </c>
      <c r="AE279" s="20" t="s">
        <v>50</v>
      </c>
      <c r="AF279" s="20"/>
      <c r="AG279" s="20" t="s">
        <v>1228</v>
      </c>
      <c r="AH279" s="20" t="s">
        <v>1229</v>
      </c>
    </row>
    <row r="280" spans="1:36" ht="17" customHeight="1" x14ac:dyDescent="0.2">
      <c r="A280" s="20" t="s">
        <v>1230</v>
      </c>
      <c r="B280" s="20"/>
      <c r="C280" s="20" t="s">
        <v>1231</v>
      </c>
      <c r="D280" s="20" t="s">
        <v>1232</v>
      </c>
      <c r="E280" s="18" t="str">
        <f t="shared" si="41"/>
        <v>Hayssen</v>
      </c>
      <c r="F280" s="17"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17" t="str">
        <f t="shared" si="42"/>
        <v>1993</v>
      </c>
      <c r="H280" s="18" t="str">
        <f t="shared" si="43"/>
        <v>Hayssen_etal_1993</v>
      </c>
      <c r="I280" s="18" t="str">
        <f t="shared" ref="I280:I301" si="46">_xlfn.LET(_xlpm.doi,IF(C280&lt;&gt;"",C280,_xlfn.TEXTAFTER(A280,"https://doi.org/")),SUBSTITUTE(SUBSTITUTE(SUBSTITUTE(SUBSTITUTE(_xlpm.doi,"/","%2F"),":","%3A"),"&lt;","%3C"),"&gt;","%3E"))</f>
        <v>ISBN%3A9780801417535</v>
      </c>
      <c r="J280" s="18" t="str">
        <f t="shared" si="44"/>
        <v>Hayssen_etal_1993_Artiodactyla</v>
      </c>
      <c r="K280" s="17" t="str">
        <f t="shared" si="45"/>
        <v>ISBN%3A9780801417535_Artiodactyla</v>
      </c>
      <c r="L280" s="17" t="str">
        <f t="array" ref="L280">IFERROR(INDEX(AUTO_Public_TSV_FileList!$A$1:$A$1000,MATCH(TRUE(),EXACT(K280,IFERROR(_xlfn.TEXTBEFORE(AUTO_Public_TSV_FileList!$A$1:$A$1000,".tsv"),"")),0)),"notfound")</f>
        <v>ISBN%3A9780801417535_Artiodactyla.tsv</v>
      </c>
      <c r="M280" s="20" t="s">
        <v>1233</v>
      </c>
      <c r="N280" s="20" t="s">
        <v>1234</v>
      </c>
      <c r="O280" s="20" t="s">
        <v>1235</v>
      </c>
      <c r="P280" s="20" t="s">
        <v>1236</v>
      </c>
      <c r="Q280" s="20" t="s">
        <v>1237</v>
      </c>
      <c r="R280" s="20" t="s">
        <v>1238</v>
      </c>
      <c r="S280" s="20"/>
      <c r="T280" s="20" t="s">
        <v>1239</v>
      </c>
      <c r="U280" s="20"/>
      <c r="V280" s="20" t="s">
        <v>1240</v>
      </c>
      <c r="W280" s="20" t="s">
        <v>1241</v>
      </c>
      <c r="X280" s="20" t="s">
        <v>1242</v>
      </c>
      <c r="Y280" s="20"/>
      <c r="Z280" s="20" t="s">
        <v>1243</v>
      </c>
      <c r="AA280" s="20" t="s">
        <v>1244</v>
      </c>
      <c r="AB280" s="20" t="s">
        <v>1245</v>
      </c>
      <c r="AC280" s="20"/>
      <c r="AD280" s="20"/>
      <c r="AE280" s="20" t="s">
        <v>265</v>
      </c>
      <c r="AF280" s="20" t="s">
        <v>1246</v>
      </c>
      <c r="AG280" s="20" t="s">
        <v>1247</v>
      </c>
      <c r="AH280" s="20" t="s">
        <v>1248</v>
      </c>
    </row>
    <row r="281" spans="1:36" ht="17" customHeight="1" x14ac:dyDescent="0.2">
      <c r="A281" s="20" t="s">
        <v>1230</v>
      </c>
      <c r="B281" s="20"/>
      <c r="C281" s="20" t="s">
        <v>1231</v>
      </c>
      <c r="D281" s="20" t="s">
        <v>344</v>
      </c>
      <c r="E281" s="18" t="str">
        <f t="shared" si="41"/>
        <v>Hayssen</v>
      </c>
      <c r="F281" s="17"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17" t="str">
        <f t="shared" si="42"/>
        <v>1993</v>
      </c>
      <c r="H281" s="18" t="str">
        <f t="shared" si="43"/>
        <v>Hayssen_etal_1993</v>
      </c>
      <c r="I281" s="18" t="str">
        <f t="shared" si="46"/>
        <v>ISBN%3A9780801417535</v>
      </c>
      <c r="J281" s="18" t="str">
        <f t="shared" si="44"/>
        <v>Hayssen_etal_1993_Carnivora</v>
      </c>
      <c r="K281" s="17" t="str">
        <f t="shared" si="45"/>
        <v>ISBN%3A9780801417535_Carnivora</v>
      </c>
      <c r="L281" s="17" t="str">
        <f t="array" ref="L281">IFERROR(INDEX(AUTO_Public_TSV_FileList!$A$1:$A$1000,MATCH(TRUE(),EXACT(K281,IFERROR(_xlfn.TEXTBEFORE(AUTO_Public_TSV_FileList!$A$1:$A$1000,".tsv"),"")),0)),"notfound")</f>
        <v>ISBN%3A9780801417535_Carnivora.tsv</v>
      </c>
      <c r="M281" s="20" t="s">
        <v>1249</v>
      </c>
      <c r="N281" s="20" t="s">
        <v>1250</v>
      </c>
      <c r="O281" s="20" t="s">
        <v>1251</v>
      </c>
      <c r="P281" s="20" t="s">
        <v>1236</v>
      </c>
      <c r="Q281" s="20" t="s">
        <v>1252</v>
      </c>
      <c r="R281" s="20" t="s">
        <v>1238</v>
      </c>
      <c r="S281" s="20"/>
      <c r="T281" s="20" t="s">
        <v>1239</v>
      </c>
      <c r="U281" s="20"/>
      <c r="V281" s="20" t="s">
        <v>1240</v>
      </c>
      <c r="W281" s="20" t="s">
        <v>1253</v>
      </c>
      <c r="X281" s="20" t="s">
        <v>1254</v>
      </c>
      <c r="Y281" s="20"/>
      <c r="Z281" s="20" t="s">
        <v>1243</v>
      </c>
      <c r="AA281" s="20" t="s">
        <v>1244</v>
      </c>
      <c r="AB281" s="20" t="s">
        <v>1245</v>
      </c>
      <c r="AC281" s="20"/>
      <c r="AD281" s="20"/>
      <c r="AE281" s="20" t="s">
        <v>265</v>
      </c>
      <c r="AF281" s="20" t="s">
        <v>1246</v>
      </c>
      <c r="AG281" s="20" t="s">
        <v>1247</v>
      </c>
      <c r="AH281" s="20" t="s">
        <v>1248</v>
      </c>
    </row>
    <row r="282" spans="1:36" ht="17" customHeight="1" x14ac:dyDescent="0.2">
      <c r="A282" s="20" t="s">
        <v>1230</v>
      </c>
      <c r="B282" s="20"/>
      <c r="C282" s="20" t="s">
        <v>1231</v>
      </c>
      <c r="D282" s="20" t="s">
        <v>1255</v>
      </c>
      <c r="E282" s="18" t="str">
        <f t="shared" si="41"/>
        <v>Hayssen</v>
      </c>
      <c r="F282" s="17"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7" t="str">
        <f t="shared" si="42"/>
        <v>1993</v>
      </c>
      <c r="H282" s="18" t="str">
        <f t="shared" si="43"/>
        <v>Hayssen_etal_1993</v>
      </c>
      <c r="I282" s="18" t="str">
        <f t="shared" si="46"/>
        <v>ISBN%3A9780801417535</v>
      </c>
      <c r="J282" s="18" t="str">
        <f t="shared" si="44"/>
        <v>Hayssen_etal_1993_Cetacea</v>
      </c>
      <c r="K282" s="17" t="str">
        <f t="shared" si="45"/>
        <v>ISBN%3A9780801417535_Cetacea</v>
      </c>
      <c r="L282" s="17" t="str">
        <f t="array" ref="L282">IFERROR(INDEX(AUTO_Public_TSV_FileList!$A$1:$A$1000,MATCH(TRUE(),EXACT(K282,IFERROR(_xlfn.TEXTBEFORE(AUTO_Public_TSV_FileList!$A$1:$A$1000,".tsv"),"")),0)),"notfound")</f>
        <v>ISBN%3A9780801417535_Cetacea.tsv</v>
      </c>
      <c r="M282" s="20" t="s">
        <v>1256</v>
      </c>
      <c r="N282" s="20" t="s">
        <v>1257</v>
      </c>
      <c r="O282" s="20" t="s">
        <v>1258</v>
      </c>
      <c r="P282" s="20" t="s">
        <v>1236</v>
      </c>
      <c r="Q282" s="20" t="s">
        <v>1259</v>
      </c>
      <c r="R282" s="20" t="s">
        <v>1238</v>
      </c>
      <c r="S282" s="20"/>
      <c r="T282" s="20" t="s">
        <v>1239</v>
      </c>
      <c r="U282" s="20"/>
      <c r="V282" s="20" t="s">
        <v>1240</v>
      </c>
      <c r="W282" s="20" t="s">
        <v>1260</v>
      </c>
      <c r="X282" s="20" t="s">
        <v>1261</v>
      </c>
      <c r="Y282" s="20"/>
      <c r="Z282" s="20" t="s">
        <v>1243</v>
      </c>
      <c r="AA282" s="20" t="s">
        <v>1244</v>
      </c>
      <c r="AB282" s="20" t="s">
        <v>1245</v>
      </c>
      <c r="AC282" s="20"/>
      <c r="AD282" s="20"/>
      <c r="AE282" s="20" t="s">
        <v>265</v>
      </c>
      <c r="AF282" s="20" t="s">
        <v>1246</v>
      </c>
      <c r="AG282" s="20" t="s">
        <v>1247</v>
      </c>
      <c r="AH282" s="20" t="s">
        <v>1248</v>
      </c>
    </row>
    <row r="283" spans="1:36" ht="17" customHeight="1" x14ac:dyDescent="0.2">
      <c r="A283" s="20" t="s">
        <v>1230</v>
      </c>
      <c r="B283" s="20"/>
      <c r="C283" s="20" t="s">
        <v>1231</v>
      </c>
      <c r="D283" s="20" t="s">
        <v>1262</v>
      </c>
      <c r="E283" s="18" t="str">
        <f t="shared" si="41"/>
        <v>Hayssen</v>
      </c>
      <c r="F283" s="17"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17" t="str">
        <f t="shared" si="42"/>
        <v>1993</v>
      </c>
      <c r="H283" s="18" t="str">
        <f t="shared" si="43"/>
        <v>Hayssen_etal_1993</v>
      </c>
      <c r="I283" s="18" t="str">
        <f t="shared" si="46"/>
        <v>ISBN%3A9780801417535</v>
      </c>
      <c r="J283" s="18" t="str">
        <f t="shared" si="44"/>
        <v>Hayssen_etal_1993_Chiroptera</v>
      </c>
      <c r="K283" s="17" t="str">
        <f t="shared" si="45"/>
        <v>ISBN%3A9780801417535_Chiroptera</v>
      </c>
      <c r="L283" s="17" t="str">
        <f t="array" ref="L283">IFERROR(INDEX(AUTO_Public_TSV_FileList!$A$1:$A$1000,MATCH(TRUE(),EXACT(K283,IFERROR(_xlfn.TEXTBEFORE(AUTO_Public_TSV_FileList!$A$1:$A$1000,".tsv"),"")),0)),"notfound")</f>
        <v>ISBN%3A9780801417535_Chiroptera.tsv</v>
      </c>
      <c r="M283" s="20" t="s">
        <v>1263</v>
      </c>
      <c r="N283" s="20" t="s">
        <v>1264</v>
      </c>
      <c r="O283" s="20" t="s">
        <v>1265</v>
      </c>
      <c r="P283" s="20" t="s">
        <v>1236</v>
      </c>
      <c r="Q283" s="20" t="s">
        <v>1266</v>
      </c>
      <c r="R283" s="20" t="s">
        <v>1238</v>
      </c>
      <c r="S283" s="20"/>
      <c r="T283" s="20" t="s">
        <v>1239</v>
      </c>
      <c r="U283" s="20"/>
      <c r="V283" s="20" t="s">
        <v>1240</v>
      </c>
      <c r="W283" s="20" t="s">
        <v>1267</v>
      </c>
      <c r="X283" s="20" t="s">
        <v>1268</v>
      </c>
      <c r="Y283" s="20"/>
      <c r="Z283" s="20" t="s">
        <v>1243</v>
      </c>
      <c r="AA283" s="20" t="s">
        <v>1244</v>
      </c>
      <c r="AB283" s="20" t="s">
        <v>1245</v>
      </c>
      <c r="AC283" s="20"/>
      <c r="AD283" s="20"/>
      <c r="AE283" s="20" t="s">
        <v>265</v>
      </c>
      <c r="AF283" s="20" t="s">
        <v>1246</v>
      </c>
      <c r="AG283" s="20" t="s">
        <v>1247</v>
      </c>
      <c r="AH283" s="20" t="s">
        <v>1248</v>
      </c>
    </row>
    <row r="284" spans="1:36" ht="17" customHeight="1" x14ac:dyDescent="0.2">
      <c r="A284" s="20" t="s">
        <v>1230</v>
      </c>
      <c r="B284" s="20"/>
      <c r="C284" s="20" t="s">
        <v>1231</v>
      </c>
      <c r="D284" s="20" t="s">
        <v>1269</v>
      </c>
      <c r="E284" s="18" t="str">
        <f t="shared" si="41"/>
        <v>Hayssen</v>
      </c>
      <c r="F284" s="17"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7" t="str">
        <f t="shared" si="42"/>
        <v>1993</v>
      </c>
      <c r="H284" s="18" t="str">
        <f t="shared" si="43"/>
        <v>Hayssen_etal_1993</v>
      </c>
      <c r="I284" s="18" t="str">
        <f t="shared" si="46"/>
        <v>ISBN%3A9780801417535</v>
      </c>
      <c r="J284" s="18" t="str">
        <f t="shared" si="44"/>
        <v>Hayssen_etal_1993_Dermoptera</v>
      </c>
      <c r="K284" s="17" t="str">
        <f t="shared" si="45"/>
        <v>ISBN%3A9780801417535_Dermoptera</v>
      </c>
      <c r="L284" s="17" t="str">
        <f t="array" ref="L284">IFERROR(INDEX(AUTO_Public_TSV_FileList!$A$1:$A$1000,MATCH(TRUE(),EXACT(K284,IFERROR(_xlfn.TEXTBEFORE(AUTO_Public_TSV_FileList!$A$1:$A$1000,".tsv"),"")),0)),"notfound")</f>
        <v>ISBN%3A9780801417535_Dermoptera.tsv</v>
      </c>
      <c r="M284" s="20" t="s">
        <v>1270</v>
      </c>
      <c r="N284" s="20" t="s">
        <v>1271</v>
      </c>
      <c r="O284" s="20" t="s">
        <v>1272</v>
      </c>
      <c r="P284" s="20" t="s">
        <v>1236</v>
      </c>
      <c r="Q284" s="20" t="s">
        <v>1273</v>
      </c>
      <c r="R284" s="20" t="s">
        <v>1238</v>
      </c>
      <c r="S284" s="20"/>
      <c r="T284" s="20" t="s">
        <v>1239</v>
      </c>
      <c r="U284" s="20"/>
      <c r="V284" s="20" t="s">
        <v>1240</v>
      </c>
      <c r="W284" s="20" t="s">
        <v>1274</v>
      </c>
      <c r="X284" s="20" t="s">
        <v>1275</v>
      </c>
      <c r="Y284" s="20"/>
      <c r="Z284" s="20" t="s">
        <v>1243</v>
      </c>
      <c r="AA284" s="20" t="s">
        <v>1244</v>
      </c>
      <c r="AB284" s="20" t="s">
        <v>1245</v>
      </c>
      <c r="AC284" s="20"/>
      <c r="AD284" s="20"/>
      <c r="AE284" s="20" t="s">
        <v>265</v>
      </c>
      <c r="AF284" s="20" t="s">
        <v>1246</v>
      </c>
      <c r="AG284" s="20" t="s">
        <v>1247</v>
      </c>
      <c r="AH284" s="20" t="s">
        <v>1248</v>
      </c>
    </row>
    <row r="285" spans="1:36" ht="17" customHeight="1" x14ac:dyDescent="0.2">
      <c r="A285" s="20" t="s">
        <v>1230</v>
      </c>
      <c r="B285" s="20"/>
      <c r="C285" s="20" t="s">
        <v>1231</v>
      </c>
      <c r="D285" s="20" t="s">
        <v>1276</v>
      </c>
      <c r="E285" s="18" t="str">
        <f t="shared" si="41"/>
        <v>Hayssen</v>
      </c>
      <c r="F285" s="17"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7" t="str">
        <f t="shared" si="42"/>
        <v>1993</v>
      </c>
      <c r="H285" s="18" t="str">
        <f t="shared" si="43"/>
        <v>Hayssen_etal_1993</v>
      </c>
      <c r="I285" s="18" t="str">
        <f t="shared" si="46"/>
        <v>ISBN%3A9780801417535</v>
      </c>
      <c r="J285" s="18" t="str">
        <f t="shared" si="44"/>
        <v>Hayssen_etal_1993_Edentata</v>
      </c>
      <c r="K285" s="17" t="str">
        <f t="shared" si="45"/>
        <v>ISBN%3A9780801417535_Edentata</v>
      </c>
      <c r="L285" s="17" t="str">
        <f t="array" ref="L285">IFERROR(INDEX(AUTO_Public_TSV_FileList!$A$1:$A$1000,MATCH(TRUE(),EXACT(K285,IFERROR(_xlfn.TEXTBEFORE(AUTO_Public_TSV_FileList!$A$1:$A$1000,".tsv"),"")),0)),"notfound")</f>
        <v>ISBN%3A9780801417535_Edentata.tsv</v>
      </c>
      <c r="M285" s="20" t="s">
        <v>1277</v>
      </c>
      <c r="N285" s="20" t="s">
        <v>1278</v>
      </c>
      <c r="O285" s="20" t="s">
        <v>1279</v>
      </c>
      <c r="P285" s="20" t="s">
        <v>1236</v>
      </c>
      <c r="Q285" s="20" t="s">
        <v>1280</v>
      </c>
      <c r="R285" s="20" t="s">
        <v>1238</v>
      </c>
      <c r="S285" s="20"/>
      <c r="T285" s="20" t="s">
        <v>1239</v>
      </c>
      <c r="U285" s="20"/>
      <c r="V285" s="20" t="s">
        <v>1240</v>
      </c>
      <c r="W285" s="20" t="s">
        <v>1281</v>
      </c>
      <c r="X285" s="20" t="s">
        <v>1282</v>
      </c>
      <c r="Y285" s="20"/>
      <c r="Z285" s="20" t="s">
        <v>1243</v>
      </c>
      <c r="AA285" s="20" t="s">
        <v>1244</v>
      </c>
      <c r="AB285" s="20" t="s">
        <v>1245</v>
      </c>
      <c r="AC285" s="20"/>
      <c r="AD285" s="20"/>
      <c r="AE285" s="20" t="s">
        <v>265</v>
      </c>
      <c r="AF285" s="20" t="s">
        <v>1246</v>
      </c>
      <c r="AG285" s="20" t="s">
        <v>1247</v>
      </c>
      <c r="AH285" s="20" t="s">
        <v>1248</v>
      </c>
    </row>
    <row r="286" spans="1:36" ht="17" customHeight="1" x14ac:dyDescent="0.2">
      <c r="A286" s="20" t="s">
        <v>1230</v>
      </c>
      <c r="B286" s="20"/>
      <c r="C286" s="20" t="s">
        <v>1231</v>
      </c>
      <c r="D286" s="20" t="s">
        <v>1283</v>
      </c>
      <c r="E286" s="18" t="str">
        <f t="shared" si="41"/>
        <v>Hayssen</v>
      </c>
      <c r="F286" s="17"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7" t="str">
        <f t="shared" si="42"/>
        <v>1993</v>
      </c>
      <c r="H286" s="18" t="str">
        <f t="shared" si="43"/>
        <v>Hayssen_etal_1993</v>
      </c>
      <c r="I286" s="18" t="str">
        <f t="shared" si="46"/>
        <v>ISBN%3A9780801417535</v>
      </c>
      <c r="J286" s="18" t="str">
        <f t="shared" si="44"/>
        <v>Hayssen_etal_1993_Hyracoidea</v>
      </c>
      <c r="K286" s="17" t="str">
        <f t="shared" si="45"/>
        <v>ISBN%3A9780801417535_Hyracoidea</v>
      </c>
      <c r="L286" s="17" t="str">
        <f t="array" ref="L286">IFERROR(INDEX(AUTO_Public_TSV_FileList!$A$1:$A$1000,MATCH(TRUE(),EXACT(K286,IFERROR(_xlfn.TEXTBEFORE(AUTO_Public_TSV_FileList!$A$1:$A$1000,".tsv"),"")),0)),"notfound")</f>
        <v>ISBN%3A9780801417535_Hyracoidea.tsv</v>
      </c>
      <c r="M286" s="20" t="s">
        <v>1284</v>
      </c>
      <c r="N286" s="20" t="s">
        <v>1285</v>
      </c>
      <c r="O286" s="20" t="s">
        <v>1286</v>
      </c>
      <c r="P286" s="20" t="s">
        <v>1236</v>
      </c>
      <c r="Q286" s="20" t="s">
        <v>1287</v>
      </c>
      <c r="R286" s="20" t="s">
        <v>1238</v>
      </c>
      <c r="S286" s="20"/>
      <c r="T286" s="20" t="s">
        <v>1239</v>
      </c>
      <c r="U286" s="20"/>
      <c r="V286" s="20" t="s">
        <v>1240</v>
      </c>
      <c r="W286" s="20" t="s">
        <v>1288</v>
      </c>
      <c r="X286" s="20" t="s">
        <v>1289</v>
      </c>
      <c r="Y286" s="20"/>
      <c r="Z286" s="20" t="s">
        <v>1243</v>
      </c>
      <c r="AA286" s="20" t="s">
        <v>1244</v>
      </c>
      <c r="AB286" s="20" t="s">
        <v>1245</v>
      </c>
      <c r="AC286" s="20"/>
      <c r="AD286" s="20"/>
      <c r="AE286" s="20" t="s">
        <v>265</v>
      </c>
      <c r="AF286" s="20" t="s">
        <v>1246</v>
      </c>
      <c r="AG286" s="20" t="s">
        <v>1247</v>
      </c>
      <c r="AH286" s="20" t="s">
        <v>1248</v>
      </c>
    </row>
    <row r="287" spans="1:36" ht="17" customHeight="1" x14ac:dyDescent="0.2">
      <c r="A287" s="20" t="s">
        <v>1230</v>
      </c>
      <c r="B287" s="20"/>
      <c r="C287" s="20" t="s">
        <v>1231</v>
      </c>
      <c r="D287" s="20" t="s">
        <v>945</v>
      </c>
      <c r="E287" s="18" t="str">
        <f t="shared" si="41"/>
        <v>Hayssen</v>
      </c>
      <c r="F287" s="17"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7" t="str">
        <f t="shared" si="42"/>
        <v>1993</v>
      </c>
      <c r="H287" s="18" t="str">
        <f t="shared" si="43"/>
        <v>Hayssen_etal_1993</v>
      </c>
      <c r="I287" s="18" t="str">
        <f t="shared" si="46"/>
        <v>ISBN%3A9780801417535</v>
      </c>
      <c r="J287" s="18" t="str">
        <f t="shared" si="44"/>
        <v>Hayssen_etal_1993_Insectivora</v>
      </c>
      <c r="K287" s="17" t="str">
        <f t="shared" si="45"/>
        <v>ISBN%3A9780801417535_Insectivora</v>
      </c>
      <c r="L287" s="17" t="str">
        <f t="array" ref="L287">IFERROR(INDEX(AUTO_Public_TSV_FileList!$A$1:$A$1000,MATCH(TRUE(),EXACT(K287,IFERROR(_xlfn.TEXTBEFORE(AUTO_Public_TSV_FileList!$A$1:$A$1000,".tsv"),"")),0)),"notfound")</f>
        <v>ISBN%3A9780801417535_Insectivora.tsv</v>
      </c>
      <c r="M287" s="20" t="s">
        <v>1290</v>
      </c>
      <c r="N287" s="20" t="s">
        <v>1291</v>
      </c>
      <c r="O287" s="20" t="s">
        <v>1292</v>
      </c>
      <c r="P287" s="20" t="s">
        <v>1236</v>
      </c>
      <c r="Q287" s="20" t="s">
        <v>1293</v>
      </c>
      <c r="R287" s="20" t="s">
        <v>1238</v>
      </c>
      <c r="S287" s="20"/>
      <c r="T287" s="20" t="s">
        <v>1239</v>
      </c>
      <c r="U287" s="20"/>
      <c r="V287" s="20" t="s">
        <v>1240</v>
      </c>
      <c r="W287" s="20" t="s">
        <v>1294</v>
      </c>
      <c r="X287" s="20" t="s">
        <v>1295</v>
      </c>
      <c r="Y287" s="20"/>
      <c r="Z287" s="20" t="s">
        <v>1243</v>
      </c>
      <c r="AA287" s="20" t="s">
        <v>1244</v>
      </c>
      <c r="AB287" s="20" t="s">
        <v>1245</v>
      </c>
      <c r="AC287" s="20"/>
      <c r="AD287" s="20"/>
      <c r="AE287" s="20" t="s">
        <v>265</v>
      </c>
      <c r="AF287" s="20" t="s">
        <v>1246</v>
      </c>
      <c r="AG287" s="20" t="s">
        <v>1247</v>
      </c>
      <c r="AH287" s="20" t="s">
        <v>1248</v>
      </c>
    </row>
    <row r="288" spans="1:36" ht="17" customHeight="1" x14ac:dyDescent="0.2">
      <c r="A288" s="20" t="s">
        <v>1230</v>
      </c>
      <c r="B288" s="20"/>
      <c r="C288" s="20" t="s">
        <v>1231</v>
      </c>
      <c r="D288" s="20" t="s">
        <v>1296</v>
      </c>
      <c r="E288" s="18" t="str">
        <f t="shared" si="41"/>
        <v>Hayssen</v>
      </c>
      <c r="F288" s="17"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17" t="str">
        <f t="shared" si="42"/>
        <v>1993</v>
      </c>
      <c r="H288" s="18" t="str">
        <f t="shared" si="43"/>
        <v>Hayssen_etal_1993</v>
      </c>
      <c r="I288" s="18" t="str">
        <f t="shared" si="46"/>
        <v>ISBN%3A9780801417535</v>
      </c>
      <c r="J288" s="18" t="str">
        <f t="shared" si="44"/>
        <v>Hayssen_etal_1993_Lagomorpha</v>
      </c>
      <c r="K288" s="17" t="str">
        <f t="shared" si="45"/>
        <v>ISBN%3A9780801417535_Lagomorpha</v>
      </c>
      <c r="L288" s="17" t="str">
        <f t="array" ref="L288">IFERROR(INDEX(AUTO_Public_TSV_FileList!$A$1:$A$1000,MATCH(TRUE(),EXACT(K288,IFERROR(_xlfn.TEXTBEFORE(AUTO_Public_TSV_FileList!$A$1:$A$1000,".tsv"),"")),0)),"notfound")</f>
        <v>ISBN%3A9780801417535_Lagomorpha.tsv</v>
      </c>
      <c r="M288" s="20" t="s">
        <v>1297</v>
      </c>
      <c r="N288" s="20" t="s">
        <v>1298</v>
      </c>
      <c r="O288" s="20" t="s">
        <v>1299</v>
      </c>
      <c r="P288" s="20" t="s">
        <v>1236</v>
      </c>
      <c r="Q288" s="20" t="s">
        <v>1300</v>
      </c>
      <c r="R288" s="20" t="s">
        <v>1238</v>
      </c>
      <c r="S288" s="20"/>
      <c r="T288" s="20" t="s">
        <v>1239</v>
      </c>
      <c r="U288" s="20"/>
      <c r="V288" s="20" t="s">
        <v>1240</v>
      </c>
      <c r="W288" s="20" t="s">
        <v>1301</v>
      </c>
      <c r="X288" s="20" t="s">
        <v>1302</v>
      </c>
      <c r="Y288" s="20"/>
      <c r="Z288" s="20" t="s">
        <v>1243</v>
      </c>
      <c r="AA288" s="20" t="s">
        <v>1244</v>
      </c>
      <c r="AB288" s="20" t="s">
        <v>1245</v>
      </c>
      <c r="AC288" s="20"/>
      <c r="AD288" s="20"/>
      <c r="AE288" s="20" t="s">
        <v>265</v>
      </c>
      <c r="AF288" s="20" t="s">
        <v>1246</v>
      </c>
      <c r="AG288" s="20" t="s">
        <v>1247</v>
      </c>
      <c r="AH288" s="20" t="s">
        <v>1248</v>
      </c>
    </row>
    <row r="289" spans="1:34" ht="17" customHeight="1" x14ac:dyDescent="0.2">
      <c r="A289" s="20" t="s">
        <v>1230</v>
      </c>
      <c r="B289" s="20"/>
      <c r="C289" s="20" t="s">
        <v>1231</v>
      </c>
      <c r="D289" s="20" t="s">
        <v>1303</v>
      </c>
      <c r="E289" s="18" t="str">
        <f t="shared" si="41"/>
        <v>Hayssen</v>
      </c>
      <c r="F289" s="17"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17" t="str">
        <f t="shared" si="42"/>
        <v>1993</v>
      </c>
      <c r="H289" s="18" t="str">
        <f t="shared" si="43"/>
        <v>Hayssen_etal_1993</v>
      </c>
      <c r="I289" s="18" t="str">
        <f t="shared" si="46"/>
        <v>ISBN%3A9780801417535</v>
      </c>
      <c r="J289" s="18" t="str">
        <f t="shared" si="44"/>
        <v>Hayssen_etal_1993_LiteratureCited</v>
      </c>
      <c r="K289" s="17" t="str">
        <f t="shared" si="45"/>
        <v>ISBN%3A9780801417535_LiteratureCited</v>
      </c>
      <c r="L289" s="17" t="str">
        <f t="array" ref="L289">IFERROR(INDEX(AUTO_Public_TSV_FileList!$A$1:$A$1000,MATCH(TRUE(),EXACT(K289,IFERROR(_xlfn.TEXTBEFORE(AUTO_Public_TSV_FileList!$A$1:$A$1000,".tsv"),"")),0)),"notfound")</f>
        <v>ISBN%3A9780801417535_LiteratureCited.tsv</v>
      </c>
      <c r="M289" s="20" t="s">
        <v>1304</v>
      </c>
      <c r="N289" s="20" t="s">
        <v>1305</v>
      </c>
      <c r="O289" s="20" t="s">
        <v>1306</v>
      </c>
      <c r="P289" s="20" t="s">
        <v>1236</v>
      </c>
      <c r="Q289" s="20" t="s">
        <v>1307</v>
      </c>
      <c r="R289" s="20" t="s">
        <v>1238</v>
      </c>
      <c r="S289" s="20"/>
      <c r="T289" s="20"/>
      <c r="U289" s="20"/>
      <c r="V289" s="20" t="s">
        <v>1308</v>
      </c>
      <c r="W289" s="20" t="s">
        <v>461</v>
      </c>
      <c r="X289" s="20" t="s">
        <v>1309</v>
      </c>
      <c r="Y289" s="20"/>
      <c r="Z289" s="20"/>
      <c r="AA289" s="20" t="s">
        <v>1310</v>
      </c>
      <c r="AB289" s="20"/>
      <c r="AC289" s="20"/>
      <c r="AD289" s="20"/>
      <c r="AE289" s="20" t="s">
        <v>265</v>
      </c>
      <c r="AF289" s="20" t="s">
        <v>1311</v>
      </c>
      <c r="AG289" s="20" t="s">
        <v>1312</v>
      </c>
      <c r="AH289" s="20" t="s">
        <v>1313</v>
      </c>
    </row>
    <row r="290" spans="1:34" ht="17" customHeight="1" x14ac:dyDescent="0.2">
      <c r="A290" s="20" t="s">
        <v>1230</v>
      </c>
      <c r="B290" s="20"/>
      <c r="C290" s="20" t="s">
        <v>1231</v>
      </c>
      <c r="D290" s="20" t="s">
        <v>1314</v>
      </c>
      <c r="E290" s="18" t="str">
        <f t="shared" si="41"/>
        <v>Hayssen</v>
      </c>
      <c r="F290" s="17"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17" t="str">
        <f t="shared" si="42"/>
        <v>1993</v>
      </c>
      <c r="H290" s="18" t="str">
        <f t="shared" si="43"/>
        <v>Hayssen_etal_1993</v>
      </c>
      <c r="I290" s="18" t="str">
        <f t="shared" si="46"/>
        <v>ISBN%3A9780801417535</v>
      </c>
      <c r="J290" s="18" t="str">
        <f t="shared" si="44"/>
        <v>Hayssen_etal_1993_Macroscelidea</v>
      </c>
      <c r="K290" s="17" t="str">
        <f t="shared" si="45"/>
        <v>ISBN%3A9780801417535_Macroscelidea</v>
      </c>
      <c r="L290" s="17" t="str">
        <f t="array" ref="L290">IFERROR(INDEX(AUTO_Public_TSV_FileList!$A$1:$A$1000,MATCH(TRUE(),EXACT(K290,IFERROR(_xlfn.TEXTBEFORE(AUTO_Public_TSV_FileList!$A$1:$A$1000,".tsv"),"")),0)),"notfound")</f>
        <v>ISBN%3A9780801417535_Macroscelidea.tsv</v>
      </c>
      <c r="M290" s="20" t="s">
        <v>1315</v>
      </c>
      <c r="N290" s="20" t="s">
        <v>1316</v>
      </c>
      <c r="O290" s="20" t="s">
        <v>1317</v>
      </c>
      <c r="P290" s="20" t="s">
        <v>1236</v>
      </c>
      <c r="Q290" s="20" t="s">
        <v>1318</v>
      </c>
      <c r="R290" s="20" t="s">
        <v>1238</v>
      </c>
      <c r="S290" s="20"/>
      <c r="T290" s="20" t="s">
        <v>1239</v>
      </c>
      <c r="U290" s="20"/>
      <c r="V290" s="20" t="s">
        <v>1240</v>
      </c>
      <c r="W290" s="20" t="s">
        <v>1319</v>
      </c>
      <c r="X290" s="20" t="s">
        <v>1320</v>
      </c>
      <c r="Y290" s="20"/>
      <c r="Z290" s="20" t="s">
        <v>1243</v>
      </c>
      <c r="AA290" s="20" t="s">
        <v>1244</v>
      </c>
      <c r="AB290" s="20" t="s">
        <v>1245</v>
      </c>
      <c r="AC290" s="20"/>
      <c r="AD290" s="20"/>
      <c r="AE290" s="20" t="s">
        <v>265</v>
      </c>
      <c r="AF290" s="20" t="s">
        <v>1246</v>
      </c>
      <c r="AG290" s="20" t="s">
        <v>1247</v>
      </c>
      <c r="AH290" s="20" t="s">
        <v>1248</v>
      </c>
    </row>
    <row r="291" spans="1:34" ht="17" customHeight="1" x14ac:dyDescent="0.2">
      <c r="A291" s="20" t="s">
        <v>1230</v>
      </c>
      <c r="B291" s="20"/>
      <c r="C291" s="20" t="s">
        <v>1231</v>
      </c>
      <c r="D291" s="20" t="s">
        <v>1321</v>
      </c>
      <c r="E291" s="18" t="str">
        <f t="shared" si="41"/>
        <v>Hayssen</v>
      </c>
      <c r="F291" s="17"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17" t="str">
        <f t="shared" si="42"/>
        <v>1993</v>
      </c>
      <c r="H291" s="18" t="str">
        <f t="shared" si="43"/>
        <v>Hayssen_etal_1993</v>
      </c>
      <c r="I291" s="18" t="str">
        <f t="shared" si="46"/>
        <v>ISBN%3A9780801417535</v>
      </c>
      <c r="J291" s="18" t="str">
        <f t="shared" si="44"/>
        <v>Hayssen_etal_1993_Marsupialia</v>
      </c>
      <c r="K291" s="17" t="str">
        <f t="shared" si="45"/>
        <v>ISBN%3A9780801417535_Marsupialia</v>
      </c>
      <c r="L291" s="17" t="str">
        <f t="array" ref="L291">IFERROR(INDEX(AUTO_Public_TSV_FileList!$A$1:$A$1000,MATCH(TRUE(),EXACT(K291,IFERROR(_xlfn.TEXTBEFORE(AUTO_Public_TSV_FileList!$A$1:$A$1000,".tsv"),"")),0)),"notfound")</f>
        <v>ISBN%3A9780801417535_Marsupialia.tsv</v>
      </c>
      <c r="M291" s="20" t="s">
        <v>1322</v>
      </c>
      <c r="N291" s="20" t="s">
        <v>1323</v>
      </c>
      <c r="O291" s="20" t="s">
        <v>1324</v>
      </c>
      <c r="P291" s="20" t="s">
        <v>1236</v>
      </c>
      <c r="Q291" s="20" t="s">
        <v>1325</v>
      </c>
      <c r="R291" s="20" t="s">
        <v>1238</v>
      </c>
      <c r="S291" s="20"/>
      <c r="T291" s="20" t="s">
        <v>1239</v>
      </c>
      <c r="U291" s="20"/>
      <c r="V291" s="20" t="s">
        <v>1240</v>
      </c>
      <c r="W291" s="20" t="s">
        <v>1326</v>
      </c>
      <c r="X291" s="20" t="s">
        <v>1242</v>
      </c>
      <c r="Y291" s="20"/>
      <c r="Z291" s="20" t="s">
        <v>1243</v>
      </c>
      <c r="AA291" s="20" t="s">
        <v>1244</v>
      </c>
      <c r="AB291" s="20" t="s">
        <v>1245</v>
      </c>
      <c r="AC291" s="20"/>
      <c r="AD291" s="20"/>
      <c r="AE291" s="20" t="s">
        <v>265</v>
      </c>
      <c r="AF291" s="20" t="s">
        <v>1246</v>
      </c>
      <c r="AG291" s="20" t="s">
        <v>1247</v>
      </c>
      <c r="AH291" s="20" t="s">
        <v>1248</v>
      </c>
    </row>
    <row r="292" spans="1:34" ht="17" customHeight="1" x14ac:dyDescent="0.2">
      <c r="A292" s="20" t="s">
        <v>1230</v>
      </c>
      <c r="B292" s="20"/>
      <c r="C292" s="20" t="s">
        <v>1231</v>
      </c>
      <c r="D292" s="20" t="s">
        <v>1327</v>
      </c>
      <c r="E292" s="18" t="str">
        <f t="shared" si="41"/>
        <v>Hayssen</v>
      </c>
      <c r="F292" s="17"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17" t="str">
        <f t="shared" si="42"/>
        <v>1993</v>
      </c>
      <c r="H292" s="18" t="str">
        <f t="shared" si="43"/>
        <v>Hayssen_etal_1993</v>
      </c>
      <c r="I292" s="18" t="str">
        <f t="shared" si="46"/>
        <v>ISBN%3A9780801417535</v>
      </c>
      <c r="J292" s="18" t="str">
        <f t="shared" si="44"/>
        <v>Hayssen_etal_1993_Monotremata</v>
      </c>
      <c r="K292" s="17" t="str">
        <f t="shared" si="45"/>
        <v>ISBN%3A9780801417535_Monotremata</v>
      </c>
      <c r="L292" s="17" t="str">
        <f t="array" ref="L292">IFERROR(INDEX(AUTO_Public_TSV_FileList!$A$1:$A$1000,MATCH(TRUE(),EXACT(K292,IFERROR(_xlfn.TEXTBEFORE(AUTO_Public_TSV_FileList!$A$1:$A$1000,".tsv"),"")),0)),"notfound")</f>
        <v>ISBN%3A9780801417535_Monotremata.tsv</v>
      </c>
      <c r="M292" s="20" t="s">
        <v>1328</v>
      </c>
      <c r="N292" s="20" t="s">
        <v>1329</v>
      </c>
      <c r="O292" s="20" t="s">
        <v>1330</v>
      </c>
      <c r="P292" s="20" t="s">
        <v>1236</v>
      </c>
      <c r="Q292" s="20" t="s">
        <v>1331</v>
      </c>
      <c r="R292" s="20" t="s">
        <v>1238</v>
      </c>
      <c r="S292" s="20"/>
      <c r="T292" s="20" t="s">
        <v>1239</v>
      </c>
      <c r="U292" s="20"/>
      <c r="V292" s="20" t="s">
        <v>1240</v>
      </c>
      <c r="W292" s="20" t="s">
        <v>1332</v>
      </c>
      <c r="X292" s="20" t="s">
        <v>1333</v>
      </c>
      <c r="Y292" s="20"/>
      <c r="Z292" s="20" t="s">
        <v>1243</v>
      </c>
      <c r="AA292" s="20" t="s">
        <v>1244</v>
      </c>
      <c r="AB292" s="20" t="s">
        <v>1245</v>
      </c>
      <c r="AC292" s="20"/>
      <c r="AD292" s="20"/>
      <c r="AE292" s="20" t="s">
        <v>265</v>
      </c>
      <c r="AF292" s="20" t="s">
        <v>1246</v>
      </c>
      <c r="AG292" s="20" t="s">
        <v>1247</v>
      </c>
      <c r="AH292" s="20" t="s">
        <v>1248</v>
      </c>
    </row>
    <row r="293" spans="1:34" ht="17" customHeight="1" x14ac:dyDescent="0.2">
      <c r="A293" s="20" t="s">
        <v>1230</v>
      </c>
      <c r="B293" s="20"/>
      <c r="C293" s="20" t="s">
        <v>1231</v>
      </c>
      <c r="D293" s="20" t="s">
        <v>1334</v>
      </c>
      <c r="E293" s="18" t="str">
        <f t="shared" si="41"/>
        <v>Hayssen</v>
      </c>
      <c r="F293" s="17"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17" t="str">
        <f t="shared" si="42"/>
        <v>1993</v>
      </c>
      <c r="H293" s="18" t="str">
        <f t="shared" si="43"/>
        <v>Hayssen_etal_1993</v>
      </c>
      <c r="I293" s="18" t="str">
        <f t="shared" si="46"/>
        <v>ISBN%3A9780801417535</v>
      </c>
      <c r="J293" s="18" t="str">
        <f t="shared" si="44"/>
        <v>Hayssen_etal_1993_Perissodactyla</v>
      </c>
      <c r="K293" s="17" t="str">
        <f t="shared" si="45"/>
        <v>ISBN%3A9780801417535_Perissodactyla</v>
      </c>
      <c r="L293" s="17" t="str">
        <f t="array" ref="L293">IFERROR(INDEX(AUTO_Public_TSV_FileList!$A$1:$A$1000,MATCH(TRUE(),EXACT(K293,IFERROR(_xlfn.TEXTBEFORE(AUTO_Public_TSV_FileList!$A$1:$A$1000,".tsv"),"")),0)),"notfound")</f>
        <v>ISBN%3A9780801417535_Perissodactyla.tsv</v>
      </c>
      <c r="M293" s="20" t="s">
        <v>1335</v>
      </c>
      <c r="N293" s="20" t="s">
        <v>1336</v>
      </c>
      <c r="O293" s="20" t="s">
        <v>1337</v>
      </c>
      <c r="P293" s="20" t="s">
        <v>1236</v>
      </c>
      <c r="Q293" s="20" t="s">
        <v>1338</v>
      </c>
      <c r="R293" s="20" t="s">
        <v>1238</v>
      </c>
      <c r="S293" s="20"/>
      <c r="T293" s="20" t="s">
        <v>1239</v>
      </c>
      <c r="U293" s="20"/>
      <c r="V293" s="20" t="s">
        <v>1240</v>
      </c>
      <c r="W293" s="20" t="s">
        <v>1339</v>
      </c>
      <c r="X293" s="20" t="s">
        <v>1340</v>
      </c>
      <c r="Y293" s="20"/>
      <c r="Z293" s="20" t="s">
        <v>1243</v>
      </c>
      <c r="AA293" s="20" t="s">
        <v>1244</v>
      </c>
      <c r="AB293" s="20" t="s">
        <v>1245</v>
      </c>
      <c r="AC293" s="20"/>
      <c r="AD293" s="20"/>
      <c r="AE293" s="20" t="s">
        <v>265</v>
      </c>
      <c r="AF293" s="20" t="s">
        <v>1246</v>
      </c>
      <c r="AG293" s="20" t="s">
        <v>1247</v>
      </c>
      <c r="AH293" s="20" t="s">
        <v>1248</v>
      </c>
    </row>
    <row r="294" spans="1:34" ht="17" customHeight="1" x14ac:dyDescent="0.2">
      <c r="A294" s="20" t="s">
        <v>1230</v>
      </c>
      <c r="B294" s="20"/>
      <c r="C294" s="20" t="s">
        <v>1231</v>
      </c>
      <c r="D294" s="20" t="s">
        <v>1341</v>
      </c>
      <c r="E294" s="18" t="str">
        <f t="shared" si="41"/>
        <v>Hayssen</v>
      </c>
      <c r="F294" s="17"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17" t="str">
        <f t="shared" si="42"/>
        <v>1993</v>
      </c>
      <c r="H294" s="18" t="str">
        <f t="shared" si="43"/>
        <v>Hayssen_etal_1993</v>
      </c>
      <c r="I294" s="18" t="str">
        <f t="shared" si="46"/>
        <v>ISBN%3A9780801417535</v>
      </c>
      <c r="J294" s="18" t="str">
        <f t="shared" si="44"/>
        <v>Hayssen_etal_1993_Pholidota</v>
      </c>
      <c r="K294" s="17" t="str">
        <f t="shared" si="45"/>
        <v>ISBN%3A9780801417535_Pholidota</v>
      </c>
      <c r="L294" s="17" t="str">
        <f t="array" ref="L294">IFERROR(INDEX(AUTO_Public_TSV_FileList!$A$1:$A$1000,MATCH(TRUE(),EXACT(K294,IFERROR(_xlfn.TEXTBEFORE(AUTO_Public_TSV_FileList!$A$1:$A$1000,".tsv"),"")),0)),"notfound")</f>
        <v>ISBN%3A9780801417535_Pholidota.tsv</v>
      </c>
      <c r="M294" s="20" t="s">
        <v>1342</v>
      </c>
      <c r="N294" s="20" t="s">
        <v>1343</v>
      </c>
      <c r="O294" s="20" t="s">
        <v>1344</v>
      </c>
      <c r="P294" s="20" t="s">
        <v>1236</v>
      </c>
      <c r="Q294" s="20" t="s">
        <v>1345</v>
      </c>
      <c r="R294" s="20" t="s">
        <v>1238</v>
      </c>
      <c r="S294" s="20"/>
      <c r="T294" s="20" t="s">
        <v>1239</v>
      </c>
      <c r="U294" s="20"/>
      <c r="V294" s="20" t="s">
        <v>1240</v>
      </c>
      <c r="W294" s="20" t="s">
        <v>1346</v>
      </c>
      <c r="X294" s="20" t="s">
        <v>1289</v>
      </c>
      <c r="Y294" s="20"/>
      <c r="Z294" s="20" t="s">
        <v>1243</v>
      </c>
      <c r="AA294" s="20" t="s">
        <v>1244</v>
      </c>
      <c r="AB294" s="20" t="s">
        <v>1245</v>
      </c>
      <c r="AC294" s="20"/>
      <c r="AD294" s="20"/>
      <c r="AE294" s="20" t="s">
        <v>265</v>
      </c>
      <c r="AF294" s="20" t="s">
        <v>1246</v>
      </c>
      <c r="AG294" s="20" t="s">
        <v>1247</v>
      </c>
      <c r="AH294" s="20" t="s">
        <v>1248</v>
      </c>
    </row>
    <row r="295" spans="1:34" ht="17" customHeight="1" x14ac:dyDescent="0.2">
      <c r="A295" s="20" t="s">
        <v>1230</v>
      </c>
      <c r="B295" s="20"/>
      <c r="C295" s="20" t="s">
        <v>1231</v>
      </c>
      <c r="D295" s="20" t="s">
        <v>187</v>
      </c>
      <c r="E295" s="18" t="str">
        <f t="shared" si="41"/>
        <v>Hayssen</v>
      </c>
      <c r="F295" s="17"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17" t="str">
        <f t="shared" si="42"/>
        <v>1993</v>
      </c>
      <c r="H295" s="18" t="str">
        <f t="shared" si="43"/>
        <v>Hayssen_etal_1993</v>
      </c>
      <c r="I295" s="18" t="str">
        <f t="shared" si="46"/>
        <v>ISBN%3A9780801417535</v>
      </c>
      <c r="J295" s="18" t="str">
        <f t="shared" si="44"/>
        <v>Hayssen_etal_1993_Primates</v>
      </c>
      <c r="K295" s="17" t="str">
        <f t="shared" si="45"/>
        <v>ISBN%3A9780801417535_Primates</v>
      </c>
      <c r="L295" s="17" t="str">
        <f t="array" ref="L295">IFERROR(INDEX(AUTO_Public_TSV_FileList!$A$1:$A$1000,MATCH(TRUE(),EXACT(K295,IFERROR(_xlfn.TEXTBEFORE(AUTO_Public_TSV_FileList!$A$1:$A$1000,".tsv"),"")),0)),"notfound")</f>
        <v>ISBN%3A9780801417535_Primates.tsv</v>
      </c>
      <c r="M295" s="20" t="s">
        <v>1348</v>
      </c>
      <c r="N295" s="20" t="s">
        <v>1349</v>
      </c>
      <c r="O295" s="20" t="s">
        <v>1350</v>
      </c>
      <c r="P295" s="20" t="s">
        <v>1236</v>
      </c>
      <c r="Q295" s="20" t="s">
        <v>1351</v>
      </c>
      <c r="R295" s="20" t="s">
        <v>1238</v>
      </c>
      <c r="S295" s="20"/>
      <c r="T295" s="20" t="s">
        <v>1239</v>
      </c>
      <c r="U295" s="20"/>
      <c r="V295" s="20" t="s">
        <v>1240</v>
      </c>
      <c r="W295" s="20" t="s">
        <v>1352</v>
      </c>
      <c r="X295" s="20" t="s">
        <v>1353</v>
      </c>
      <c r="Y295" s="20"/>
      <c r="Z295" s="20" t="s">
        <v>1243</v>
      </c>
      <c r="AA295" s="20" t="s">
        <v>1244</v>
      </c>
      <c r="AB295" s="20" t="s">
        <v>1245</v>
      </c>
      <c r="AC295" s="20"/>
      <c r="AD295" s="20"/>
      <c r="AE295" s="20" t="s">
        <v>265</v>
      </c>
      <c r="AF295" s="20" t="s">
        <v>1246</v>
      </c>
      <c r="AG295" s="20" t="s">
        <v>1247</v>
      </c>
      <c r="AH295" s="20" t="s">
        <v>1248</v>
      </c>
    </row>
    <row r="296" spans="1:34" ht="17" customHeight="1" x14ac:dyDescent="0.2">
      <c r="A296" s="20" t="s">
        <v>1230</v>
      </c>
      <c r="B296" s="20"/>
      <c r="C296" s="20" t="s">
        <v>1231</v>
      </c>
      <c r="D296" s="20" t="s">
        <v>1189</v>
      </c>
      <c r="E296" s="18" t="str">
        <f t="shared" si="41"/>
        <v>Hayssen</v>
      </c>
      <c r="F296" s="17"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17" t="str">
        <f t="shared" si="42"/>
        <v>1993</v>
      </c>
      <c r="H296" s="18" t="str">
        <f t="shared" si="43"/>
        <v>Hayssen_etal_1993</v>
      </c>
      <c r="I296" s="18" t="str">
        <f t="shared" si="46"/>
        <v>ISBN%3A9780801417535</v>
      </c>
      <c r="J296" s="18" t="str">
        <f t="shared" si="44"/>
        <v>Hayssen_etal_1993_Proboscidea</v>
      </c>
      <c r="K296" s="17" t="str">
        <f t="shared" si="45"/>
        <v>ISBN%3A9780801417535_Proboscidea</v>
      </c>
      <c r="L296" s="17" t="str">
        <f t="array" ref="L296">IFERROR(INDEX(AUTO_Public_TSV_FileList!$A$1:$A$1000,MATCH(TRUE(),EXACT(K296,IFERROR(_xlfn.TEXTBEFORE(AUTO_Public_TSV_FileList!$A$1:$A$1000,".tsv"),"")),0)),"notfound")</f>
        <v>ISBN%3A9780801417535_Proboscidea.tsv</v>
      </c>
      <c r="M296" s="20" t="s">
        <v>1354</v>
      </c>
      <c r="N296" s="20" t="s">
        <v>1355</v>
      </c>
      <c r="O296" s="20" t="s">
        <v>1356</v>
      </c>
      <c r="P296" s="20" t="s">
        <v>1236</v>
      </c>
      <c r="Q296" s="20" t="s">
        <v>1357</v>
      </c>
      <c r="R296" s="20" t="s">
        <v>1238</v>
      </c>
      <c r="S296" s="20"/>
      <c r="T296" s="20" t="s">
        <v>1239</v>
      </c>
      <c r="U296" s="20"/>
      <c r="V296" s="20" t="s">
        <v>1240</v>
      </c>
      <c r="W296" s="20" t="s">
        <v>1358</v>
      </c>
      <c r="X296" s="20" t="s">
        <v>1347</v>
      </c>
      <c r="Y296" s="20"/>
      <c r="Z296" s="20" t="s">
        <v>1243</v>
      </c>
      <c r="AA296" s="20" t="s">
        <v>1244</v>
      </c>
      <c r="AB296" s="20" t="s">
        <v>1245</v>
      </c>
      <c r="AC296" s="20"/>
      <c r="AD296" s="20"/>
      <c r="AE296" s="20" t="s">
        <v>265</v>
      </c>
      <c r="AF296" s="20" t="s">
        <v>1246</v>
      </c>
      <c r="AG296" s="20" t="s">
        <v>1247</v>
      </c>
      <c r="AH296" s="20" t="s">
        <v>1248</v>
      </c>
    </row>
    <row r="297" spans="1:34" ht="17" customHeight="1" x14ac:dyDescent="0.2">
      <c r="A297" s="20" t="s">
        <v>1230</v>
      </c>
      <c r="B297" s="20"/>
      <c r="C297" s="20" t="s">
        <v>1231</v>
      </c>
      <c r="D297" s="20" t="s">
        <v>1359</v>
      </c>
      <c r="E297" s="18" t="str">
        <f t="shared" si="41"/>
        <v>Hayssen</v>
      </c>
      <c r="F297" s="17"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17" t="str">
        <f t="shared" si="42"/>
        <v>1993</v>
      </c>
      <c r="H297" s="18" t="str">
        <f t="shared" si="43"/>
        <v>Hayssen_etal_1993</v>
      </c>
      <c r="I297" s="18" t="str">
        <f t="shared" si="46"/>
        <v>ISBN%3A9780801417535</v>
      </c>
      <c r="J297" s="18" t="str">
        <f t="shared" si="44"/>
        <v>Hayssen_etal_1993_Rodentia</v>
      </c>
      <c r="K297" s="17" t="str">
        <f t="shared" si="45"/>
        <v>ISBN%3A9780801417535_Rodentia</v>
      </c>
      <c r="L297" s="17" t="str">
        <f t="array" ref="L297">IFERROR(INDEX(AUTO_Public_TSV_FileList!$A$1:$A$1000,MATCH(TRUE(),EXACT(K297,IFERROR(_xlfn.TEXTBEFORE(AUTO_Public_TSV_FileList!$A$1:$A$1000,".tsv"),"")),0)),"notfound")</f>
        <v>ISBN%3A9780801417535_Rodentia.tsv</v>
      </c>
      <c r="M297" s="20" t="s">
        <v>1360</v>
      </c>
      <c r="N297" s="20" t="s">
        <v>1361</v>
      </c>
      <c r="O297" s="20" t="s">
        <v>1362</v>
      </c>
      <c r="P297" s="20" t="s">
        <v>1236</v>
      </c>
      <c r="Q297" s="20" t="s">
        <v>1363</v>
      </c>
      <c r="R297" s="20" t="s">
        <v>1238</v>
      </c>
      <c r="S297" s="20"/>
      <c r="T297" s="20" t="s">
        <v>1239</v>
      </c>
      <c r="U297" s="20"/>
      <c r="V297" s="20" t="s">
        <v>1240</v>
      </c>
      <c r="W297" s="20" t="s">
        <v>1364</v>
      </c>
      <c r="X297" s="20" t="s">
        <v>1365</v>
      </c>
      <c r="Y297" s="20"/>
      <c r="Z297" s="20" t="s">
        <v>1243</v>
      </c>
      <c r="AA297" s="20" t="s">
        <v>1244</v>
      </c>
      <c r="AB297" s="20" t="s">
        <v>1245</v>
      </c>
      <c r="AC297" s="20"/>
      <c r="AD297" s="20"/>
      <c r="AE297" s="20" t="s">
        <v>265</v>
      </c>
      <c r="AF297" s="20" t="s">
        <v>1246</v>
      </c>
      <c r="AG297" s="20" t="s">
        <v>1247</v>
      </c>
      <c r="AH297" s="20" t="s">
        <v>1248</v>
      </c>
    </row>
    <row r="298" spans="1:34" ht="17" customHeight="1" x14ac:dyDescent="0.2">
      <c r="A298" s="20" t="s">
        <v>1230</v>
      </c>
      <c r="B298" s="20"/>
      <c r="C298" s="20" t="s">
        <v>1231</v>
      </c>
      <c r="D298" s="20" t="s">
        <v>1366</v>
      </c>
      <c r="E298" s="18" t="str">
        <f t="shared" si="41"/>
        <v>Hayssen</v>
      </c>
      <c r="F298" s="17"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17" t="str">
        <f t="shared" si="42"/>
        <v>1993</v>
      </c>
      <c r="H298" s="18" t="str">
        <f t="shared" si="43"/>
        <v>Hayssen_etal_1993</v>
      </c>
      <c r="I298" s="18" t="str">
        <f t="shared" si="46"/>
        <v>ISBN%3A9780801417535</v>
      </c>
      <c r="J298" s="18" t="str">
        <f t="shared" si="44"/>
        <v>Hayssen_etal_1993_Scandentia</v>
      </c>
      <c r="K298" s="17" t="str">
        <f t="shared" si="45"/>
        <v>ISBN%3A9780801417535_Scandentia</v>
      </c>
      <c r="L298" s="17" t="str">
        <f t="array" ref="L298">IFERROR(INDEX(AUTO_Public_TSV_FileList!$A$1:$A$1000,MATCH(TRUE(),EXACT(K298,IFERROR(_xlfn.TEXTBEFORE(AUTO_Public_TSV_FileList!$A$1:$A$1000,".tsv"),"")),0)),"notfound")</f>
        <v>ISBN%3A9780801417535_Scandentia.tsv</v>
      </c>
      <c r="M298" s="20" t="s">
        <v>1367</v>
      </c>
      <c r="N298" s="20" t="s">
        <v>1368</v>
      </c>
      <c r="O298" s="20" t="s">
        <v>1369</v>
      </c>
      <c r="P298" s="20" t="s">
        <v>1236</v>
      </c>
      <c r="Q298" s="20" t="s">
        <v>1370</v>
      </c>
      <c r="R298" s="20" t="s">
        <v>1238</v>
      </c>
      <c r="S298" s="20"/>
      <c r="T298" s="20" t="s">
        <v>1239</v>
      </c>
      <c r="U298" s="20"/>
      <c r="V298" s="20" t="s">
        <v>1240</v>
      </c>
      <c r="W298" s="20" t="s">
        <v>1371</v>
      </c>
      <c r="X298" s="20" t="s">
        <v>1289</v>
      </c>
      <c r="Y298" s="20"/>
      <c r="Z298" s="20" t="s">
        <v>1243</v>
      </c>
      <c r="AA298" s="20" t="s">
        <v>1244</v>
      </c>
      <c r="AB298" s="20" t="s">
        <v>1245</v>
      </c>
      <c r="AC298" s="20"/>
      <c r="AD298" s="20"/>
      <c r="AE298" s="20" t="s">
        <v>265</v>
      </c>
      <c r="AF298" s="20" t="s">
        <v>1246</v>
      </c>
      <c r="AG298" s="20" t="s">
        <v>1247</v>
      </c>
      <c r="AH298" s="20" t="s">
        <v>1248</v>
      </c>
    </row>
    <row r="299" spans="1:34" ht="17" customHeight="1" x14ac:dyDescent="0.2">
      <c r="A299" s="20" t="s">
        <v>1230</v>
      </c>
      <c r="B299" s="20"/>
      <c r="C299" s="20" t="s">
        <v>1231</v>
      </c>
      <c r="D299" s="20" t="s">
        <v>1372</v>
      </c>
      <c r="E299" s="18" t="str">
        <f t="shared" si="41"/>
        <v>Hayssen</v>
      </c>
      <c r="F299" s="17"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17" t="str">
        <f t="shared" si="42"/>
        <v>1993</v>
      </c>
      <c r="H299" s="18" t="str">
        <f t="shared" si="43"/>
        <v>Hayssen_etal_1993</v>
      </c>
      <c r="I299" s="18" t="str">
        <f t="shared" si="46"/>
        <v>ISBN%3A9780801417535</v>
      </c>
      <c r="J299" s="18" t="str">
        <f t="shared" si="44"/>
        <v>Hayssen_etal_1993_Sirenia</v>
      </c>
      <c r="K299" s="17" t="str">
        <f t="shared" si="45"/>
        <v>ISBN%3A9780801417535_Sirenia</v>
      </c>
      <c r="L299" s="17" t="str">
        <f t="array" ref="L299">IFERROR(INDEX(AUTO_Public_TSV_FileList!$A$1:$A$1000,MATCH(TRUE(),EXACT(K299,IFERROR(_xlfn.TEXTBEFORE(AUTO_Public_TSV_FileList!$A$1:$A$1000,".tsv"),"")),0)),"notfound")</f>
        <v>ISBN%3A9780801417535_Sirenia.tsv</v>
      </c>
      <c r="M299" s="20" t="s">
        <v>1373</v>
      </c>
      <c r="N299" s="20" t="s">
        <v>1374</v>
      </c>
      <c r="O299" s="20" t="s">
        <v>1375</v>
      </c>
      <c r="P299" s="20" t="s">
        <v>1236</v>
      </c>
      <c r="Q299" s="20" t="s">
        <v>1376</v>
      </c>
      <c r="R299" s="20" t="s">
        <v>1238</v>
      </c>
      <c r="S299" s="20"/>
      <c r="T299" s="20" t="s">
        <v>1239</v>
      </c>
      <c r="U299" s="20"/>
      <c r="V299" s="20" t="s">
        <v>1240</v>
      </c>
      <c r="W299" s="20" t="s">
        <v>1377</v>
      </c>
      <c r="X299" s="20" t="s">
        <v>1378</v>
      </c>
      <c r="Y299" s="20"/>
      <c r="Z299" s="20" t="s">
        <v>1243</v>
      </c>
      <c r="AA299" s="20" t="s">
        <v>1244</v>
      </c>
      <c r="AB299" s="20" t="s">
        <v>1245</v>
      </c>
      <c r="AC299" s="20"/>
      <c r="AD299" s="20"/>
      <c r="AE299" s="20" t="s">
        <v>265</v>
      </c>
      <c r="AF299" s="20" t="s">
        <v>1246</v>
      </c>
      <c r="AG299" s="20" t="s">
        <v>1247</v>
      </c>
      <c r="AH299" s="20" t="s">
        <v>1248</v>
      </c>
    </row>
    <row r="300" spans="1:34" ht="17" customHeight="1" x14ac:dyDescent="0.2">
      <c r="A300" s="20" t="s">
        <v>1230</v>
      </c>
      <c r="B300" s="20"/>
      <c r="C300" s="20" t="s">
        <v>1231</v>
      </c>
      <c r="D300" s="20" t="s">
        <v>1379</v>
      </c>
      <c r="E300" s="18" t="str">
        <f t="shared" si="41"/>
        <v>Hayssen</v>
      </c>
      <c r="F300" s="17"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17" t="str">
        <f t="shared" si="42"/>
        <v>1993</v>
      </c>
      <c r="H300" s="18" t="str">
        <f t="shared" si="43"/>
        <v>Hayssen_etal_1993</v>
      </c>
      <c r="I300" s="18" t="str">
        <f t="shared" si="46"/>
        <v>ISBN%3A9780801417535</v>
      </c>
      <c r="J300" s="18" t="str">
        <f t="shared" si="44"/>
        <v>Hayssen_etal_1993_Tubulidentata</v>
      </c>
      <c r="K300" s="17" t="str">
        <f t="shared" si="45"/>
        <v>ISBN%3A9780801417535_Tubulidentata</v>
      </c>
      <c r="L300" s="17" t="str">
        <f t="array" ref="L300">IFERROR(INDEX(AUTO_Public_TSV_FileList!$A$1:$A$1000,MATCH(TRUE(),EXACT(K300,IFERROR(_xlfn.TEXTBEFORE(AUTO_Public_TSV_FileList!$A$1:$A$1000,".tsv"),"")),0)),"notfound")</f>
        <v>ISBN%3A9780801417535_Tubulidentata.tsv</v>
      </c>
      <c r="M300" s="20" t="s">
        <v>1380</v>
      </c>
      <c r="N300" s="20" t="s">
        <v>1381</v>
      </c>
      <c r="O300" s="20" t="s">
        <v>1382</v>
      </c>
      <c r="P300" s="20" t="s">
        <v>1236</v>
      </c>
      <c r="Q300" s="20" t="s">
        <v>1383</v>
      </c>
      <c r="R300" s="20" t="s">
        <v>1238</v>
      </c>
      <c r="S300" s="20"/>
      <c r="T300" s="20" t="s">
        <v>1239</v>
      </c>
      <c r="U300" s="20"/>
      <c r="V300" s="20" t="s">
        <v>1240</v>
      </c>
      <c r="W300" s="20" t="s">
        <v>1384</v>
      </c>
      <c r="X300" s="20" t="s">
        <v>1385</v>
      </c>
      <c r="Y300" s="20"/>
      <c r="Z300" s="20" t="s">
        <v>1243</v>
      </c>
      <c r="AA300" s="20" t="s">
        <v>1244</v>
      </c>
      <c r="AB300" s="20" t="s">
        <v>1245</v>
      </c>
      <c r="AC300" s="20"/>
      <c r="AD300" s="20"/>
      <c r="AE300" s="20" t="s">
        <v>265</v>
      </c>
      <c r="AF300" s="20" t="s">
        <v>1246</v>
      </c>
      <c r="AG300" s="20" t="s">
        <v>1247</v>
      </c>
      <c r="AH300" s="20" t="s">
        <v>1248</v>
      </c>
    </row>
    <row r="301" spans="1:34" ht="17" customHeight="1" x14ac:dyDescent="0.2">
      <c r="A301" s="20" t="s">
        <v>1386</v>
      </c>
      <c r="B301" s="20"/>
      <c r="C301" s="20"/>
      <c r="D301" s="20" t="s">
        <v>86</v>
      </c>
      <c r="E301" s="18" t="str">
        <f t="shared" si="41"/>
        <v>Heesy</v>
      </c>
      <c r="F301" s="17"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1" s="17" t="str">
        <f t="shared" si="42"/>
        <v>2004</v>
      </c>
      <c r="H301" s="18" t="str">
        <f t="shared" si="43"/>
        <v>Heesy__2004</v>
      </c>
      <c r="I301" s="18" t="str">
        <f t="shared" si="46"/>
        <v>10.1002%2Far.a.20116</v>
      </c>
      <c r="J301" s="18" t="str">
        <f t="shared" si="44"/>
        <v>Heesy__2004_Table1</v>
      </c>
      <c r="K301" s="18" t="str">
        <f t="shared" si="45"/>
        <v>10.1002%2Far.a.20116_Table1</v>
      </c>
      <c r="L301" s="17" t="str">
        <f t="array" ref="L301">IFERROR(INDEX(AUTO_Public_TSV_FileList!$A$1:$A$1000,MATCH(TRUE(),EXACT(K301,IFERROR(_xlfn.TEXTBEFORE(AUTO_Public_TSV_FileList!$A$1:$A$1000,".tsv"),"")),0)),"notfound")</f>
        <v>10.1002%2Far.a.20116_Table1.tsv</v>
      </c>
      <c r="M301" s="20" t="s">
        <v>1387</v>
      </c>
      <c r="N301" s="19" t="s">
        <v>54</v>
      </c>
      <c r="O301" s="20" t="s">
        <v>1388</v>
      </c>
      <c r="P301" s="20" t="s">
        <v>55</v>
      </c>
      <c r="Q301" s="20"/>
      <c r="R301" s="20" t="s">
        <v>1389</v>
      </c>
      <c r="S301" s="20"/>
      <c r="T301" s="20"/>
      <c r="U301" s="20"/>
      <c r="V301" s="20" t="s">
        <v>897</v>
      </c>
      <c r="W301" s="21" t="s">
        <v>224</v>
      </c>
      <c r="X301" s="20" t="s">
        <v>1390</v>
      </c>
      <c r="Y301" s="20"/>
      <c r="Z301" s="20"/>
      <c r="AA301" s="20" t="s">
        <v>1391</v>
      </c>
      <c r="AB301" s="20" t="s">
        <v>1392</v>
      </c>
      <c r="AC301" s="20"/>
      <c r="AD301" s="20"/>
      <c r="AE301" s="20" t="s">
        <v>70</v>
      </c>
      <c r="AF301" s="20"/>
      <c r="AG301" s="20"/>
      <c r="AH301" s="20"/>
    </row>
    <row r="302" spans="1:34" ht="17" customHeight="1" x14ac:dyDescent="0.2">
      <c r="A302" s="20" t="s">
        <v>1393</v>
      </c>
      <c r="B302" s="20"/>
      <c r="C302" s="20"/>
      <c r="D302" s="20" t="s">
        <v>35</v>
      </c>
      <c r="E302" s="17" t="str">
        <f t="shared" si="41"/>
        <v>Heesy</v>
      </c>
      <c r="F302" s="17" t="str">
        <f>_xlfn.LET(
_xlpm.authors,_xlfn.TEXTBEFORE(A302," ("&amp;G302&amp;")"),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302" s="17" t="str">
        <f t="shared" si="42"/>
        <v>2011</v>
      </c>
      <c r="H302" s="17" t="str">
        <f t="shared" si="43"/>
        <v>Heesy_etal_2011</v>
      </c>
      <c r="I302" s="17" t="str">
        <f>_xlfn.LET(
_xlpm.doi,IF(C302&lt;&gt;"",C302,_xlfn.TEXTAFTER(A302,"https://doi.org/")),
SUBSTITUTE(
SUBSTITUTE(
SUBSTITUTE(
SUBSTITUTE(
_xlpm.doi,
"/","%2F"),
":","%3A"),
"&lt;","%3C"),
"&gt;","%3E")
)</f>
        <v>10.1159%2F000324860</v>
      </c>
      <c r="J302" s="17" t="str">
        <f t="shared" si="44"/>
        <v>Heesy_etal_2011_Table1</v>
      </c>
      <c r="K302" s="17" t="str">
        <f t="shared" si="45"/>
        <v>10.1159%2F000324860_Table1</v>
      </c>
      <c r="L302" s="17" t="str">
        <f>IFERROR(INDEX(AUTO_Public_TSV_FileList!$A$1:$A$1000,MATCH(TRUE(),EXACT(K302,IFERROR(_xlfn.TEXTBEFORE(AUTO_Public_TSV_FileList!$A$1:$A$1000,".tsv"),"")),0)),"notfound")</f>
        <v>notfound</v>
      </c>
      <c r="M302" s="20" t="s">
        <v>1394</v>
      </c>
      <c r="N302" s="20" t="s">
        <v>1395</v>
      </c>
      <c r="O302" s="20"/>
      <c r="P302" s="20" t="s">
        <v>55</v>
      </c>
      <c r="Q302" s="20"/>
      <c r="R302" s="20"/>
      <c r="S302" s="20"/>
      <c r="T302" s="20"/>
      <c r="U302" s="20"/>
      <c r="V302" s="20" t="s">
        <v>1396</v>
      </c>
      <c r="W302" s="20" t="s">
        <v>1397</v>
      </c>
      <c r="X302" s="20" t="s">
        <v>1398</v>
      </c>
      <c r="Y302" s="20"/>
      <c r="Z302" s="20"/>
      <c r="AA302" s="20"/>
      <c r="AB302" s="20"/>
      <c r="AC302" s="20"/>
      <c r="AD302" s="20"/>
      <c r="AE302" s="20" t="s">
        <v>70</v>
      </c>
      <c r="AF302" s="20"/>
      <c r="AG302" s="20"/>
      <c r="AH302" s="20"/>
    </row>
    <row r="303" spans="1:34" ht="17" customHeight="1" x14ac:dyDescent="0.2">
      <c r="A303" s="21" t="s">
        <v>1399</v>
      </c>
      <c r="B303" s="20"/>
      <c r="C303" s="20"/>
      <c r="D303" s="21" t="s">
        <v>86</v>
      </c>
      <c r="E303" s="17" t="str">
        <f t="shared" si="41"/>
        <v>Heffner</v>
      </c>
      <c r="F303" s="18"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3" s="17" t="str">
        <f t="shared" si="42"/>
        <v>1998</v>
      </c>
      <c r="H303" s="17" t="str">
        <f t="shared" si="43"/>
        <v>Heffner__1998</v>
      </c>
      <c r="I303" s="17" t="str">
        <f>_xlfn.LET(
_xlpm.doi,IF(C303&lt;&gt;"",C303,_xlfn.TEXTAFTER(A303,"https://doi.org/")),
SUBSTITUTE(
SUBSTITUTE(
SUBSTITUTE(
SUBSTITUTE(
_xlpm.doi,
"/","%2F"),
":","%3A"),
"&lt;","%3C"),
"&gt;","%3E")
)</f>
        <v>10.1016%2FS0168-1591(98)00101-4</v>
      </c>
      <c r="J303" s="17" t="str">
        <f t="shared" si="44"/>
        <v>Heffner__1998_Table1</v>
      </c>
      <c r="K303" s="17" t="str">
        <f>I303 &amp; "_" &amp; SUBSTITUTE(SUBSTITUTE(SUBSTITUTE(D303,CHAR(160),""), " ", ""), "_", "")</f>
        <v>10.1016%2FS0168-1591(98)00101-4_Table1</v>
      </c>
      <c r="L303" s="17" t="str">
        <f t="array" ref="L303">IFERROR(INDEX(AUTO_Public_TSV_FileList!$A$1:$A$1000,MATCH(TRUE(),EXACT(K303,IFERROR(_xlfn.TEXTBEFORE(AUTO_Public_TSV_FileList!$A$1:$A$1000,".tsv"),"")),0)),"notfound")</f>
        <v>10.1016%2FS0168-1591(98)00101-4_Table1.tsv</v>
      </c>
      <c r="M303" s="20" t="s">
        <v>1400</v>
      </c>
      <c r="N303" s="21" t="s">
        <v>54</v>
      </c>
      <c r="O303" s="20" t="s">
        <v>1401</v>
      </c>
      <c r="P303" s="21" t="s">
        <v>55</v>
      </c>
      <c r="Q303" s="20"/>
      <c r="R303" s="21" t="s">
        <v>1402</v>
      </c>
      <c r="S303" s="20"/>
      <c r="T303" s="20"/>
      <c r="U303" s="20"/>
      <c r="V303" s="21" t="s">
        <v>1403</v>
      </c>
      <c r="W303" s="21" t="s">
        <v>1404</v>
      </c>
      <c r="X303" s="21" t="s">
        <v>1405</v>
      </c>
      <c r="Y303" s="20"/>
      <c r="Z303" s="21" t="s">
        <v>1406</v>
      </c>
      <c r="AA303" s="21" t="s">
        <v>1407</v>
      </c>
      <c r="AB303" s="21" t="s">
        <v>1408</v>
      </c>
      <c r="AC303" s="21" t="s">
        <v>1409</v>
      </c>
      <c r="AD303" s="21" t="s">
        <v>1410</v>
      </c>
      <c r="AE303" s="21" t="s">
        <v>265</v>
      </c>
      <c r="AF303" s="21" t="s">
        <v>1410</v>
      </c>
      <c r="AG303" s="20"/>
      <c r="AH303" s="20"/>
    </row>
    <row r="304" spans="1:34" ht="17" customHeight="1" x14ac:dyDescent="0.2">
      <c r="A304" s="20" t="s">
        <v>1411</v>
      </c>
      <c r="B304" s="20"/>
      <c r="C304" s="20"/>
      <c r="D304" s="20" t="s">
        <v>86</v>
      </c>
      <c r="E304" s="18" t="str">
        <f t="shared" si="41"/>
        <v>Heffner</v>
      </c>
      <c r="F304" s="17"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4" s="17" t="str">
        <f t="shared" si="42"/>
        <v>1998</v>
      </c>
      <c r="H304" s="18" t="str">
        <f t="shared" si="43"/>
        <v>Heffner__1998</v>
      </c>
      <c r="I304" s="18" t="str">
        <f t="shared" ref="I304:I322" si="47">_xlfn.LET(_xlpm.doi,IF(C304&lt;&gt;"",C304,_xlfn.TEXTAFTER(A304,"https://doi.org/")),SUBSTITUTE(SUBSTITUTE(SUBSTITUTE(SUBSTITUTE(_xlpm.doi,"/","%2F"),":","%3A"),"&lt;","%3C"),"&gt;","%3E"))</f>
        <v>10.1016%2FS0168-1591(98)00101-4</v>
      </c>
      <c r="J304" s="18" t="str">
        <f t="shared" si="44"/>
        <v>Heffner__1998_Table1</v>
      </c>
      <c r="K304" s="17" t="str">
        <f t="shared" ref="K304:K338" si="48">I304 &amp; "_" &amp; SUBSTITUTE(SUBSTITUTE(SUBSTITUTE(D304,CHAR(160),"")," ",""),"_","")</f>
        <v>10.1016%2FS0168-1591(98)00101-4_Table1</v>
      </c>
      <c r="L304" s="17" t="str">
        <f t="array" ref="L304">IFERROR(INDEX(AUTO_Public_TSV_FileList!$A$1:$A$1000,MATCH(TRUE(),EXACT(K304,IFERROR(_xlfn.TEXTBEFORE(AUTO_Public_TSV_FileList!$A$1:$A$1000,".tsv"),"")),0)),"notfound")</f>
        <v>10.1016%2FS0168-1591(98)00101-4_Table1.tsv</v>
      </c>
      <c r="M304" s="20" t="s">
        <v>1400</v>
      </c>
      <c r="N304" s="20" t="s">
        <v>88</v>
      </c>
      <c r="O304" s="20" t="s">
        <v>1412</v>
      </c>
      <c r="P304" s="20"/>
      <c r="Q304" s="20"/>
      <c r="R304" s="20" t="s">
        <v>1402</v>
      </c>
      <c r="S304" s="20"/>
      <c r="T304" s="20" t="s">
        <v>1413</v>
      </c>
      <c r="U304" s="20"/>
      <c r="V304" s="20" t="s">
        <v>101</v>
      </c>
      <c r="W304" s="20" t="s">
        <v>1414</v>
      </c>
      <c r="X304" s="20" t="s">
        <v>1415</v>
      </c>
      <c r="Y304" s="20"/>
      <c r="Z304" s="20"/>
      <c r="AA304" s="20" t="s">
        <v>1416</v>
      </c>
      <c r="AB304" s="20" t="s">
        <v>1417</v>
      </c>
      <c r="AC304" s="20" t="s">
        <v>1409</v>
      </c>
      <c r="AD304" s="20"/>
      <c r="AE304" s="20" t="s">
        <v>265</v>
      </c>
      <c r="AF304" s="20" t="s">
        <v>1418</v>
      </c>
      <c r="AG304" s="20" t="s">
        <v>1419</v>
      </c>
      <c r="AH304" s="20"/>
    </row>
    <row r="305" spans="1:34" ht="17" customHeight="1" x14ac:dyDescent="0.2">
      <c r="A305" s="21" t="s">
        <v>1420</v>
      </c>
      <c r="B305" s="21"/>
      <c r="C305" s="21" t="s">
        <v>1421</v>
      </c>
      <c r="D305" s="21" t="s">
        <v>1422</v>
      </c>
      <c r="E305" s="18" t="str">
        <f t="shared" si="41"/>
        <v>Heffner</v>
      </c>
      <c r="F305" s="17"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05" s="17" t="str">
        <f t="shared" si="42"/>
        <v>2003</v>
      </c>
      <c r="H305" s="18" t="str">
        <f t="shared" si="43"/>
        <v>Heffner_Heffner_2003</v>
      </c>
      <c r="I305" s="18" t="str">
        <f t="shared" si="47"/>
        <v>ISBN%3A9780631226499</v>
      </c>
      <c r="J305" s="18" t="str">
        <f t="shared" si="44"/>
        <v>Heffner_Heffner_2003_Table19.1</v>
      </c>
      <c r="K305" s="17" t="str">
        <f t="shared" si="48"/>
        <v>ISBN%3A9780631226499_Table19.1</v>
      </c>
      <c r="L305" s="17" t="str">
        <f t="array" ref="L305">IFERROR(INDEX(AUTO_Public_TSV_FileList!$A$1:$A$1000,MATCH(TRUE(),EXACT(K305,IFERROR(_xlfn.TEXTBEFORE(AUTO_Public_TSV_FileList!$A$1:$A$1000,".tsv"),"")),0)),"notfound")</f>
        <v>ISBN%3A9780631226499_Table19.1.tsv</v>
      </c>
      <c r="M305" s="21" t="s">
        <v>1423</v>
      </c>
      <c r="N305" s="21" t="s">
        <v>1424</v>
      </c>
      <c r="O305" s="21" t="s">
        <v>1425</v>
      </c>
      <c r="P305" s="21" t="s">
        <v>1426</v>
      </c>
      <c r="Q305" s="21" t="s">
        <v>1427</v>
      </c>
      <c r="R305" s="21" t="s">
        <v>1428</v>
      </c>
      <c r="S305" s="21" t="s">
        <v>1429</v>
      </c>
      <c r="T305" s="21" t="s">
        <v>1430</v>
      </c>
      <c r="U305" s="21" t="s">
        <v>1431</v>
      </c>
      <c r="V305" s="21" t="s">
        <v>1432</v>
      </c>
      <c r="W305" s="21" t="s">
        <v>1433</v>
      </c>
      <c r="X305" s="21" t="s">
        <v>1434</v>
      </c>
      <c r="Y305" s="21" t="s">
        <v>1435</v>
      </c>
      <c r="Z305" s="21" t="s">
        <v>1436</v>
      </c>
      <c r="AA305" s="21" t="s">
        <v>1437</v>
      </c>
      <c r="AB305" s="21" t="s">
        <v>1438</v>
      </c>
      <c r="AC305" s="21" t="s">
        <v>1409</v>
      </c>
      <c r="AD305" s="21" t="s">
        <v>689</v>
      </c>
      <c r="AE305" s="21" t="s">
        <v>265</v>
      </c>
      <c r="AF305" s="21" t="s">
        <v>1439</v>
      </c>
      <c r="AG305" s="21" t="s">
        <v>1440</v>
      </c>
      <c r="AH305" s="21"/>
    </row>
    <row r="306" spans="1:34" ht="17" customHeight="1" x14ac:dyDescent="0.2">
      <c r="A306" s="20" t="s">
        <v>1441</v>
      </c>
      <c r="B306" s="20"/>
      <c r="C306" s="20"/>
      <c r="D306" s="20" t="s">
        <v>500</v>
      </c>
      <c r="E306" s="18" t="str">
        <f t="shared" si="41"/>
        <v>Heffner</v>
      </c>
      <c r="F306" s="17"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06" s="17" t="str">
        <f t="shared" si="42"/>
        <v>2008</v>
      </c>
      <c r="H306" s="18" t="str">
        <f t="shared" si="43"/>
        <v>Heffner_Heffner_2008</v>
      </c>
      <c r="I306" s="18" t="str">
        <f t="shared" si="47"/>
        <v>10.1016%2FB978-012370880-9.00004-9</v>
      </c>
      <c r="J306" s="18" t="str">
        <f t="shared" si="44"/>
        <v>Heffner_Heffner_2008_ResultsText</v>
      </c>
      <c r="K306" s="17" t="str">
        <f t="shared" si="48"/>
        <v>10.1016%2FB978-012370880-9.00004-9_ResultsText</v>
      </c>
      <c r="L306" s="17" t="str">
        <f t="array" ref="L306">IFERROR(INDEX(AUTO_Public_TSV_FileList!$A$1:$A$1000,MATCH(TRUE(),EXACT(K306,IFERROR(_xlfn.TEXTBEFORE(AUTO_Public_TSV_FileList!$A$1:$A$1000,".tsv"),"")),0)),"notfound")</f>
        <v>10.1016%2FB978-012370880-9.00004-9_ResultsText.tsv</v>
      </c>
      <c r="M306" s="20" t="s">
        <v>1442</v>
      </c>
      <c r="N306" s="20" t="s">
        <v>1443</v>
      </c>
      <c r="O306" s="20" t="s">
        <v>1444</v>
      </c>
      <c r="P306" s="20" t="s">
        <v>55</v>
      </c>
      <c r="Q306" s="20"/>
      <c r="R306" s="20"/>
      <c r="S306" s="20"/>
      <c r="T306" s="20"/>
      <c r="U306" s="20"/>
      <c r="V306" s="20"/>
      <c r="W306" s="20"/>
      <c r="X306" s="20"/>
      <c r="Y306" s="20"/>
      <c r="Z306" s="20"/>
      <c r="AA306" s="20"/>
      <c r="AB306" s="20"/>
      <c r="AC306" s="20"/>
      <c r="AD306" s="20"/>
      <c r="AE306" s="20"/>
      <c r="AF306" s="20"/>
      <c r="AG306" s="20"/>
      <c r="AH306" s="20"/>
    </row>
    <row r="307" spans="1:34" ht="17" customHeight="1" x14ac:dyDescent="0.2">
      <c r="A307" s="20" t="s">
        <v>4553</v>
      </c>
      <c r="B307" s="20"/>
      <c r="C307" s="20" t="s">
        <v>4554</v>
      </c>
      <c r="D307" s="20" t="s">
        <v>1593</v>
      </c>
      <c r="E307" s="18" t="str">
        <f t="shared" si="41"/>
        <v>Heffner</v>
      </c>
      <c r="F307" s="17"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07" s="17" t="str">
        <f t="shared" si="42"/>
        <v>2016</v>
      </c>
      <c r="H307" s="18" t="str">
        <f t="shared" si="43"/>
        <v>Heffner_Heffner_2016</v>
      </c>
      <c r="I307" s="18" t="str">
        <f t="shared" si="47"/>
        <v>AcousticsToday%3A12%3A1%3A20-27</v>
      </c>
      <c r="J307" s="18" t="str">
        <f t="shared" si="44"/>
        <v>Heffner_Heffner_2016_Figure5</v>
      </c>
      <c r="K307" s="18" t="str">
        <f t="shared" si="48"/>
        <v>AcousticsToday%3A12%3A1%3A20-27_Figure5</v>
      </c>
      <c r="L307" s="17" t="str">
        <f t="array" ref="L307">IFERROR(INDEX(AUTO_Public_TSV_FileList!$A$1:$A$1000,MATCH(TRUE(),EXACT(K307,IFERROR(_xlfn.TEXTBEFORE(AUTO_Public_TSV_FileList!$A$1:$A$1000,".tsv"),"")),0)),"notfound")</f>
        <v>notfound</v>
      </c>
      <c r="M307" s="20"/>
      <c r="N307" s="19" t="s">
        <v>4584</v>
      </c>
      <c r="O307" s="20" t="s">
        <v>4585</v>
      </c>
      <c r="P307" s="20" t="s">
        <v>4586</v>
      </c>
      <c r="Q307" s="20" t="s">
        <v>4587</v>
      </c>
      <c r="R307" s="20" t="s">
        <v>4588</v>
      </c>
      <c r="S307" s="20" t="s">
        <v>4589</v>
      </c>
      <c r="T307" s="20" t="s">
        <v>4590</v>
      </c>
      <c r="U307" s="20"/>
      <c r="V307" s="20" t="s">
        <v>4591</v>
      </c>
      <c r="W307" s="20" t="s">
        <v>224</v>
      </c>
      <c r="X307" s="20" t="s">
        <v>4592</v>
      </c>
      <c r="Y307" s="20"/>
      <c r="Z307" s="20" t="s">
        <v>4593</v>
      </c>
      <c r="AA307" s="20" t="s">
        <v>4594</v>
      </c>
      <c r="AB307" s="20" t="s">
        <v>4595</v>
      </c>
      <c r="AC307" s="20" t="s">
        <v>1409</v>
      </c>
      <c r="AD307" s="20" t="s">
        <v>689</v>
      </c>
      <c r="AE307" s="20" t="s">
        <v>265</v>
      </c>
      <c r="AF307" s="20" t="s">
        <v>4596</v>
      </c>
      <c r="AG307" s="20" t="s">
        <v>4597</v>
      </c>
      <c r="AH307" s="20" t="s">
        <v>4598</v>
      </c>
    </row>
    <row r="308" spans="1:34" ht="17" customHeight="1" x14ac:dyDescent="0.2">
      <c r="A308" s="20" t="s">
        <v>1445</v>
      </c>
      <c r="B308" s="20"/>
      <c r="C308" s="20"/>
      <c r="D308" s="20" t="s">
        <v>120</v>
      </c>
      <c r="E308" s="18" t="str">
        <f t="shared" si="41"/>
        <v>Heffner</v>
      </c>
      <c r="F308" s="17"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08" s="17" t="str">
        <f t="shared" si="42"/>
        <v>2018</v>
      </c>
      <c r="H308" s="18" t="str">
        <f t="shared" si="43"/>
        <v>Heffner_Heffner_2018</v>
      </c>
      <c r="I308" s="18" t="str">
        <f t="shared" si="47"/>
        <v>10.1063%2F1.5038516</v>
      </c>
      <c r="J308" s="18" t="str">
        <f t="shared" si="44"/>
        <v>Heffner_Heffner_2018_Figure3</v>
      </c>
      <c r="K308" s="17" t="str">
        <f t="shared" si="48"/>
        <v>10.1063%2F1.5038516_Figure3</v>
      </c>
      <c r="L308" s="17" t="str">
        <f t="array" ref="L308">IFERROR(INDEX(AUTO_Public_TSV_FileList!$A$1:$A$1000,MATCH(TRUE(),EXACT(K308,IFERROR(_xlfn.TEXTBEFORE(AUTO_Public_TSV_FileList!$A$1:$A$1000,".tsv"),"")),0)),"notfound")</f>
        <v>notfound</v>
      </c>
      <c r="M308" s="20" t="s">
        <v>1446</v>
      </c>
      <c r="N308" s="28" t="s">
        <v>4808</v>
      </c>
      <c r="O308" s="28" t="s">
        <v>4809</v>
      </c>
      <c r="P308" s="28" t="s">
        <v>4810</v>
      </c>
      <c r="Q308" s="28" t="s">
        <v>4811</v>
      </c>
      <c r="R308" s="28" t="s">
        <v>1447</v>
      </c>
      <c r="S308" s="28" t="s">
        <v>4812</v>
      </c>
      <c r="T308" s="28" t="s">
        <v>1448</v>
      </c>
      <c r="U308" s="28"/>
      <c r="V308" s="28" t="s">
        <v>1449</v>
      </c>
      <c r="W308" s="28" t="s">
        <v>1450</v>
      </c>
      <c r="X308" s="28" t="s">
        <v>1451</v>
      </c>
      <c r="Y308" s="28"/>
      <c r="Z308" s="28"/>
      <c r="AA308" s="28" t="s">
        <v>1452</v>
      </c>
      <c r="AB308" s="28" t="s">
        <v>1453</v>
      </c>
      <c r="AC308" s="28" t="s">
        <v>1409</v>
      </c>
      <c r="AD308" s="28"/>
      <c r="AE308" s="28" t="s">
        <v>265</v>
      </c>
      <c r="AF308" s="28" t="s">
        <v>1454</v>
      </c>
      <c r="AG308" s="28" t="s">
        <v>1455</v>
      </c>
      <c r="AH308" s="28" t="s">
        <v>4813</v>
      </c>
    </row>
    <row r="309" spans="1:34" ht="17" customHeight="1" x14ac:dyDescent="0.2">
      <c r="A309" s="20" t="s">
        <v>1456</v>
      </c>
      <c r="B309" s="20" t="s">
        <v>493</v>
      </c>
      <c r="C309" s="20"/>
      <c r="D309" s="20" t="s">
        <v>120</v>
      </c>
      <c r="E309" s="18" t="str">
        <f t="shared" si="41"/>
        <v>Heffner</v>
      </c>
      <c r="F309" s="17"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17" t="str">
        <f t="shared" si="42"/>
        <v>1994</v>
      </c>
      <c r="H309" s="18" t="str">
        <f t="shared" si="43"/>
        <v>Heffner_etal_1994_b</v>
      </c>
      <c r="I309" s="18" t="str">
        <f t="shared" si="47"/>
        <v>10.1016%2F0378-5955(94)90240-2</v>
      </c>
      <c r="J309" s="18" t="str">
        <f t="shared" si="44"/>
        <v>Heffner_etal_1994_b_Figure3</v>
      </c>
      <c r="K309" s="17" t="str">
        <f t="shared" si="48"/>
        <v>10.1016%2F0378-5955(94)90240-2_Figure3</v>
      </c>
      <c r="L309" s="17" t="str">
        <f t="array" ref="L309">IFERROR(INDEX(AUTO_Public_TSV_FileList!$A$1:$A$1000,MATCH(TRUE(),EXACT(K309,IFERROR(_xlfn.TEXTBEFORE(AUTO_Public_TSV_FileList!$A$1:$A$1000,".tsv"),"")),0)),"notfound")</f>
        <v>10.1016%2F0378-5955(94)90240-2_Figure3.tsv</v>
      </c>
      <c r="M309" s="20" t="s">
        <v>1457</v>
      </c>
      <c r="N309" s="20" t="s">
        <v>541</v>
      </c>
      <c r="O309" s="20" t="s">
        <v>1458</v>
      </c>
      <c r="P309" s="20" t="s">
        <v>55</v>
      </c>
      <c r="Q309" s="20"/>
      <c r="R309" s="20" t="s">
        <v>1459</v>
      </c>
      <c r="S309" s="20"/>
      <c r="T309" s="20" t="s">
        <v>1460</v>
      </c>
      <c r="U309" s="20"/>
      <c r="V309" s="20" t="s">
        <v>101</v>
      </c>
      <c r="W309" s="20" t="s">
        <v>1461</v>
      </c>
      <c r="X309" s="20" t="s">
        <v>1095</v>
      </c>
      <c r="Y309" s="20"/>
      <c r="Z309" s="20" t="s">
        <v>445</v>
      </c>
      <c r="AA309" s="20" t="s">
        <v>1462</v>
      </c>
      <c r="AB309" s="20" t="s">
        <v>1097</v>
      </c>
      <c r="AC309" s="20" t="s">
        <v>1409</v>
      </c>
      <c r="AD309" s="20"/>
      <c r="AE309" s="20" t="s">
        <v>70</v>
      </c>
      <c r="AF309" s="20" t="s">
        <v>1463</v>
      </c>
      <c r="AG309" s="20" t="s">
        <v>449</v>
      </c>
      <c r="AH309" s="20"/>
    </row>
    <row r="310" spans="1:34" ht="17" customHeight="1" x14ac:dyDescent="0.2">
      <c r="A310" s="20" t="s">
        <v>1464</v>
      </c>
      <c r="B310" s="20"/>
      <c r="C310" s="20"/>
      <c r="D310" s="20" t="s">
        <v>86</v>
      </c>
      <c r="E310" s="18" t="str">
        <f t="shared" si="41"/>
        <v>Heffner</v>
      </c>
      <c r="F310" s="17"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17" t="str">
        <f t="shared" si="42"/>
        <v>2016</v>
      </c>
      <c r="H310" s="18" t="str">
        <f t="shared" si="43"/>
        <v>Heffner_etal_2016</v>
      </c>
      <c r="I310" s="18" t="str">
        <f t="shared" si="47"/>
        <v>10.1007%2Fs00359-016-1125-9</v>
      </c>
      <c r="J310" s="18" t="str">
        <f t="shared" si="44"/>
        <v>Heffner_etal_2016_Table1</v>
      </c>
      <c r="K310" s="17" t="str">
        <f t="shared" si="48"/>
        <v>10.1007%2Fs00359-016-1125-9_Table1</v>
      </c>
      <c r="L310" s="17" t="str">
        <f t="array" ref="L310">IFERROR(INDEX(AUTO_Public_TSV_FileList!$A$1:$A$1000,MATCH(TRUE(),EXACT(K310,IFERROR(_xlfn.TEXTBEFORE(AUTO_Public_TSV_FileList!$A$1:$A$1000,".tsv"),"")),0)),"notfound")</f>
        <v>10.1007%2Fs00359-016-1125-9_Table1.tsv</v>
      </c>
      <c r="M310" s="20" t="s">
        <v>1465</v>
      </c>
      <c r="N310" s="20" t="s">
        <v>54</v>
      </c>
      <c r="O310" s="20" t="s">
        <v>1466</v>
      </c>
      <c r="P310" s="20" t="s">
        <v>55</v>
      </c>
      <c r="Q310" s="20"/>
      <c r="R310" s="20"/>
      <c r="S310" s="20"/>
      <c r="T310" s="20"/>
      <c r="U310" s="20"/>
      <c r="V310" s="20"/>
      <c r="W310" s="20"/>
      <c r="X310" s="20"/>
      <c r="Y310" s="20"/>
      <c r="Z310" s="20"/>
      <c r="AA310" s="20"/>
      <c r="AB310" s="20"/>
      <c r="AC310" s="20"/>
      <c r="AD310" s="20"/>
      <c r="AE310" s="20"/>
      <c r="AF310" s="20"/>
      <c r="AG310" s="20"/>
      <c r="AH310" s="20"/>
    </row>
    <row r="311" spans="1:34" ht="17" customHeight="1" x14ac:dyDescent="0.2">
      <c r="A311" s="20" t="s">
        <v>1467</v>
      </c>
      <c r="B311" s="20"/>
      <c r="C311" s="20" t="s">
        <v>1468</v>
      </c>
      <c r="D311" s="20" t="s">
        <v>500</v>
      </c>
      <c r="E311" s="18" t="str">
        <f t="shared" si="41"/>
        <v>Heffner</v>
      </c>
      <c r="F311" s="17"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17" t="str">
        <f t="shared" si="42"/>
        <v>1969</v>
      </c>
      <c r="H311" s="18" t="str">
        <f t="shared" si="43"/>
        <v>Heffner_etal_1969</v>
      </c>
      <c r="I311" s="18" t="str">
        <f t="shared" si="47"/>
        <v>AN%3A1970-12222-001</v>
      </c>
      <c r="J311" s="18" t="str">
        <f t="shared" si="44"/>
        <v>Heffner_etal_1969_ResultsText</v>
      </c>
      <c r="K311" s="17" t="str">
        <f t="shared" si="48"/>
        <v>AN%3A1970-12222-001_ResultsText</v>
      </c>
      <c r="L311" s="17" t="str">
        <f t="array" ref="L311">IFERROR(INDEX(AUTO_Public_TSV_FileList!$A$1:$A$1000,MATCH(TRUE(),EXACT(K311,IFERROR(_xlfn.TEXTBEFORE(AUTO_Public_TSV_FileList!$A$1:$A$1000,".tsv"),"")),0)),"notfound")</f>
        <v>AN%3A1970-12222-001_ResultsText.tsv</v>
      </c>
      <c r="M311" s="20" t="s">
        <v>1469</v>
      </c>
      <c r="N311" s="20" t="s">
        <v>659</v>
      </c>
      <c r="O311" s="20" t="s">
        <v>1470</v>
      </c>
      <c r="P311" s="20" t="s">
        <v>90</v>
      </c>
      <c r="Q311" s="20"/>
      <c r="R311" s="20"/>
      <c r="S311" s="20"/>
      <c r="T311" s="20"/>
      <c r="U311" s="20"/>
      <c r="V311" s="20"/>
      <c r="W311" s="20"/>
      <c r="X311" s="20"/>
      <c r="Y311" s="20"/>
      <c r="Z311" s="20"/>
      <c r="AA311" s="20"/>
      <c r="AB311" s="20"/>
      <c r="AC311" s="20"/>
      <c r="AD311" s="20"/>
      <c r="AE311" s="20"/>
      <c r="AF311" s="20"/>
      <c r="AG311" s="20"/>
      <c r="AH311" s="20"/>
    </row>
    <row r="312" spans="1:34" ht="17" customHeight="1" x14ac:dyDescent="0.2">
      <c r="A312" s="20" t="s">
        <v>1471</v>
      </c>
      <c r="B312" s="20"/>
      <c r="C312" s="20"/>
      <c r="D312" s="20" t="s">
        <v>500</v>
      </c>
      <c r="E312" s="18" t="str">
        <f t="shared" si="41"/>
        <v>Heffner</v>
      </c>
      <c r="F312" s="17"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17" t="str">
        <f t="shared" si="42"/>
        <v>2010</v>
      </c>
      <c r="H312" s="18" t="str">
        <f t="shared" si="43"/>
        <v>Heffner_etal_2010</v>
      </c>
      <c r="I312" s="18" t="str">
        <f t="shared" si="47"/>
        <v>10.1121%2F1.3284546</v>
      </c>
      <c r="J312" s="18" t="str">
        <f t="shared" si="44"/>
        <v>Heffner_etal_2010_ResultsText</v>
      </c>
      <c r="K312" s="17" t="str">
        <f t="shared" si="48"/>
        <v>10.1121%2F1.3284546_ResultsText</v>
      </c>
      <c r="L312" s="17" t="str">
        <f t="array" ref="L312">IFERROR(INDEX(AUTO_Public_TSV_FileList!$A$1:$A$1000,MATCH(TRUE(),EXACT(K312,IFERROR(_xlfn.TEXTBEFORE(AUTO_Public_TSV_FileList!$A$1:$A$1000,".tsv"),"")),0)),"notfound")</f>
        <v>10.1121%2F1.3284546_ResultsText.tsv</v>
      </c>
      <c r="M312" s="20" t="s">
        <v>1472</v>
      </c>
      <c r="N312" s="20" t="s">
        <v>659</v>
      </c>
      <c r="O312" s="20" t="s">
        <v>1473</v>
      </c>
      <c r="P312" s="20" t="s">
        <v>55</v>
      </c>
      <c r="Q312" s="20"/>
      <c r="R312" s="20"/>
      <c r="S312" s="20"/>
      <c r="T312" s="20"/>
      <c r="U312" s="20"/>
      <c r="V312" s="20"/>
      <c r="W312" s="20"/>
      <c r="X312" s="20"/>
      <c r="Y312" s="20"/>
      <c r="Z312" s="20"/>
      <c r="AA312" s="20"/>
      <c r="AB312" s="20"/>
      <c r="AC312" s="20"/>
      <c r="AD312" s="20"/>
      <c r="AE312" s="20"/>
      <c r="AF312" s="20"/>
      <c r="AG312" s="20"/>
      <c r="AH312" s="20"/>
    </row>
    <row r="313" spans="1:34" ht="17" customHeight="1" x14ac:dyDescent="0.2">
      <c r="A313" s="19" t="s">
        <v>1474</v>
      </c>
      <c r="B313" s="20"/>
      <c r="C313" s="20"/>
      <c r="D313" s="20" t="s">
        <v>77</v>
      </c>
      <c r="E313" s="18" t="str">
        <f t="shared" si="41"/>
        <v>Heffner</v>
      </c>
      <c r="F313" s="17"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17" t="str">
        <f t="shared" si="42"/>
        <v>2004</v>
      </c>
      <c r="H313" s="18" t="str">
        <f t="shared" si="43"/>
        <v>Heffner__2004</v>
      </c>
      <c r="I313" s="18" t="str">
        <f t="shared" si="47"/>
        <v>10.1002%2Far.a.20117</v>
      </c>
      <c r="J313" s="18" t="str">
        <f t="shared" si="44"/>
        <v>Heffner__2004_TABLE1</v>
      </c>
      <c r="K313" s="17" t="str">
        <f t="shared" si="48"/>
        <v>10.1002%2Far.a.20117_TABLE1</v>
      </c>
      <c r="L313" s="17" t="str">
        <f t="array" ref="L313">IFERROR(INDEX(AUTO_Public_TSV_FileList!$A$1:$A$1000,MATCH(TRUE(),EXACT(K313,IFERROR(_xlfn.TEXTBEFORE(AUTO_Public_TSV_FileList!$A$1:$A$1000,".tsv"),"")),0)),"notfound")</f>
        <v>notfound</v>
      </c>
      <c r="M313" s="20" t="s">
        <v>1478</v>
      </c>
      <c r="N313" s="19" t="s">
        <v>54</v>
      </c>
      <c r="O313" s="20" t="s">
        <v>1475</v>
      </c>
      <c r="P313" s="19" t="s">
        <v>55</v>
      </c>
      <c r="Q313" s="20"/>
      <c r="R313" s="20" t="s">
        <v>1476</v>
      </c>
      <c r="S313" s="20"/>
      <c r="T313" s="20" t="s">
        <v>1479</v>
      </c>
      <c r="U313" s="20"/>
      <c r="V313" s="20" t="s">
        <v>101</v>
      </c>
      <c r="W313" s="20" t="s">
        <v>187</v>
      </c>
      <c r="X313" s="20" t="s">
        <v>1480</v>
      </c>
      <c r="Y313" s="20"/>
      <c r="Z313" s="20"/>
      <c r="AA313" s="20" t="s">
        <v>1407</v>
      </c>
      <c r="AB313" s="20" t="s">
        <v>1482</v>
      </c>
      <c r="AC313" s="20" t="s">
        <v>1409</v>
      </c>
      <c r="AD313" s="20" t="s">
        <v>1477</v>
      </c>
      <c r="AE313" s="20" t="s">
        <v>70</v>
      </c>
      <c r="AF313" s="20" t="s">
        <v>1477</v>
      </c>
      <c r="AG313" s="20" t="s">
        <v>1483</v>
      </c>
      <c r="AH313" s="20"/>
    </row>
    <row r="314" spans="1:34" ht="17" customHeight="1" x14ac:dyDescent="0.2">
      <c r="A314" s="20" t="s">
        <v>1484</v>
      </c>
      <c r="B314" s="20"/>
      <c r="C314" s="20"/>
      <c r="D314" s="20" t="s">
        <v>500</v>
      </c>
      <c r="E314" s="18" t="str">
        <f t="shared" si="41"/>
        <v>Heffner</v>
      </c>
      <c r="F314" s="17"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14" s="17" t="str">
        <f t="shared" si="42"/>
        <v>1982</v>
      </c>
      <c r="H314" s="18" t="str">
        <f t="shared" si="43"/>
        <v>Heffner_Heffner_1982</v>
      </c>
      <c r="I314" s="18" t="str">
        <f t="shared" si="47"/>
        <v>10.1037%2F0735-7036.96.6.926</v>
      </c>
      <c r="J314" s="18" t="str">
        <f t="shared" si="44"/>
        <v>Heffner_Heffner_1982_ResultsText</v>
      </c>
      <c r="K314" s="17" t="str">
        <f t="shared" si="48"/>
        <v>10.1037%2F0735-7036.96.6.926_ResultsText</v>
      </c>
      <c r="L314" s="17" t="str">
        <f t="array" ref="L314">IFERROR(INDEX(AUTO_Public_TSV_FileList!$A$1:$A$1000,MATCH(TRUE(),EXACT(K314,IFERROR(_xlfn.TEXTBEFORE(AUTO_Public_TSV_FileList!$A$1:$A$1000,".tsv"),"")),0)),"notfound")</f>
        <v>10.1037%2F0735-7036.96.6.926_ResultsText.tsv</v>
      </c>
      <c r="M314" s="20" t="s">
        <v>1485</v>
      </c>
      <c r="N314" s="20" t="s">
        <v>659</v>
      </c>
      <c r="O314" s="20" t="s">
        <v>1486</v>
      </c>
      <c r="P314" s="20" t="s">
        <v>55</v>
      </c>
      <c r="Q314" s="20"/>
      <c r="R314" s="20"/>
      <c r="S314" s="20"/>
      <c r="T314" s="20"/>
      <c r="U314" s="20"/>
      <c r="V314" s="20"/>
      <c r="W314" s="20"/>
      <c r="X314" s="20"/>
      <c r="Y314" s="20"/>
      <c r="Z314" s="20"/>
      <c r="AA314" s="20"/>
      <c r="AB314" s="20"/>
      <c r="AC314" s="20"/>
      <c r="AD314" s="20"/>
      <c r="AE314" s="20"/>
      <c r="AF314" s="20"/>
      <c r="AG314" s="20"/>
      <c r="AH314" s="20"/>
    </row>
    <row r="315" spans="1:34" ht="17" customHeight="1" x14ac:dyDescent="0.2">
      <c r="A315" s="20" t="s">
        <v>1487</v>
      </c>
      <c r="B315" s="20"/>
      <c r="C315" s="20"/>
      <c r="D315" s="20" t="s">
        <v>120</v>
      </c>
      <c r="E315" s="18" t="str">
        <f t="shared" si="41"/>
        <v>Heffner</v>
      </c>
      <c r="F315" s="17"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15" s="17" t="str">
        <f t="shared" si="42"/>
        <v>1985</v>
      </c>
      <c r="H315" s="18" t="str">
        <f t="shared" si="43"/>
        <v>Heffner_Heffner_1985</v>
      </c>
      <c r="I315" s="18" t="str">
        <f t="shared" si="47"/>
        <v>10.2307%2F1380801</v>
      </c>
      <c r="J315" s="18" t="str">
        <f t="shared" si="44"/>
        <v>Heffner_Heffner_1985_Figure3</v>
      </c>
      <c r="K315" s="17" t="str">
        <f t="shared" si="48"/>
        <v>10.2307%2F1380801_Figure3</v>
      </c>
      <c r="L315" s="17" t="str">
        <f t="array" ref="L315">IFERROR(INDEX(AUTO_Public_TSV_FileList!$A$1:$A$1000,MATCH(TRUE(),EXACT(K315,IFERROR(_xlfn.TEXTBEFORE(AUTO_Public_TSV_FileList!$A$1:$A$1000,".tsv"),"")),0)),"notfound")</f>
        <v>notfound</v>
      </c>
      <c r="M315" s="20" t="s">
        <v>1488</v>
      </c>
      <c r="N315" s="20" t="s">
        <v>541</v>
      </c>
      <c r="O315" s="20" t="s">
        <v>1489</v>
      </c>
      <c r="P315" s="20" t="s">
        <v>133</v>
      </c>
      <c r="Q315" s="20"/>
      <c r="R315" s="20" t="s">
        <v>1490</v>
      </c>
      <c r="S315" s="20"/>
      <c r="T315" s="20"/>
      <c r="U315" s="20"/>
      <c r="V315" s="20" t="s">
        <v>101</v>
      </c>
      <c r="W315" s="20" t="s">
        <v>1491</v>
      </c>
      <c r="X315" s="20" t="s">
        <v>1095</v>
      </c>
      <c r="Y315" s="20"/>
      <c r="Z315" s="20" t="s">
        <v>445</v>
      </c>
      <c r="AA315" s="20" t="s">
        <v>1462</v>
      </c>
      <c r="AB315" s="20" t="s">
        <v>1097</v>
      </c>
      <c r="AC315" s="20" t="s">
        <v>1409</v>
      </c>
      <c r="AD315" s="20"/>
      <c r="AE315" s="20" t="s">
        <v>50</v>
      </c>
      <c r="AF315" s="20"/>
      <c r="AG315" s="20" t="s">
        <v>1492</v>
      </c>
      <c r="AH315" s="20"/>
    </row>
    <row r="316" spans="1:34" ht="17" customHeight="1" x14ac:dyDescent="0.2">
      <c r="A316" s="20" t="s">
        <v>1487</v>
      </c>
      <c r="B316" s="20"/>
      <c r="C316" s="20"/>
      <c r="D316" s="20" t="s">
        <v>1493</v>
      </c>
      <c r="E316" s="18" t="str">
        <f t="shared" si="41"/>
        <v>Heffner</v>
      </c>
      <c r="F316" s="17"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16" s="17" t="str">
        <f t="shared" si="42"/>
        <v>1985</v>
      </c>
      <c r="H316" s="18" t="str">
        <f t="shared" si="43"/>
        <v>Heffner_Heffner_1985</v>
      </c>
      <c r="I316" s="18" t="str">
        <f t="shared" si="47"/>
        <v>10.2307%2F1380801</v>
      </c>
      <c r="J316" s="18" t="str">
        <f t="shared" si="44"/>
        <v>Heffner_Heffner_1985_Figure6</v>
      </c>
      <c r="K316" s="17" t="str">
        <f t="shared" si="48"/>
        <v>10.2307%2F1380801_Figure6</v>
      </c>
      <c r="L316" s="17" t="str">
        <f t="array" ref="L316">IFERROR(INDEX(AUTO_Public_TSV_FileList!$A$1:$A$1000,MATCH(TRUE(),EXACT(K316,IFERROR(_xlfn.TEXTBEFORE(AUTO_Public_TSV_FileList!$A$1:$A$1000,".tsv"),"")),0)),"notfound")</f>
        <v>notfound</v>
      </c>
      <c r="M316" s="20" t="s">
        <v>1494</v>
      </c>
      <c r="N316" s="20" t="s">
        <v>541</v>
      </c>
      <c r="O316" s="20" t="s">
        <v>1489</v>
      </c>
      <c r="P316" s="20" t="s">
        <v>133</v>
      </c>
      <c r="Q316" s="20"/>
      <c r="R316" s="20" t="s">
        <v>1490</v>
      </c>
      <c r="S316" s="20"/>
      <c r="T316" s="20"/>
      <c r="U316" s="20"/>
      <c r="V316" s="20" t="s">
        <v>101</v>
      </c>
      <c r="W316" s="20" t="s">
        <v>1495</v>
      </c>
      <c r="X316" s="20" t="s">
        <v>1496</v>
      </c>
      <c r="Y316" s="20"/>
      <c r="Z316" s="20" t="s">
        <v>1406</v>
      </c>
      <c r="AA316" s="20" t="s">
        <v>1497</v>
      </c>
      <c r="AB316" s="20" t="s">
        <v>1498</v>
      </c>
      <c r="AC316" s="20" t="s">
        <v>1409</v>
      </c>
      <c r="AD316" s="20"/>
      <c r="AE316" s="20" t="s">
        <v>265</v>
      </c>
      <c r="AF316" s="20" t="s">
        <v>1499</v>
      </c>
      <c r="AG316" s="20" t="s">
        <v>1500</v>
      </c>
      <c r="AH316" s="20"/>
    </row>
    <row r="317" spans="1:34" ht="17" customHeight="1" x14ac:dyDescent="0.2">
      <c r="A317" s="20" t="s">
        <v>1487</v>
      </c>
      <c r="B317" s="20"/>
      <c r="C317" s="20"/>
      <c r="D317" s="20" t="s">
        <v>500</v>
      </c>
      <c r="E317" s="18" t="str">
        <f t="shared" si="41"/>
        <v>Heffner</v>
      </c>
      <c r="F317" s="17"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17" s="17" t="str">
        <f t="shared" si="42"/>
        <v>1985</v>
      </c>
      <c r="H317" s="18" t="str">
        <f t="shared" si="43"/>
        <v>Heffner_Heffner_1985</v>
      </c>
      <c r="I317" s="18" t="str">
        <f t="shared" si="47"/>
        <v>10.2307%2F1380801</v>
      </c>
      <c r="J317" s="18" t="str">
        <f t="shared" si="44"/>
        <v>Heffner_Heffner_1985_ResultsText</v>
      </c>
      <c r="K317" s="17" t="str">
        <f t="shared" si="48"/>
        <v>10.2307%2F1380801_ResultsText</v>
      </c>
      <c r="L317" s="17" t="str">
        <f t="array" ref="L317">IFERROR(INDEX(AUTO_Public_TSV_FileList!$A$1:$A$1000,MATCH(TRUE(),EXACT(K317,IFERROR(_xlfn.TEXTBEFORE(AUTO_Public_TSV_FileList!$A$1:$A$1000,".tsv"),"")),0)),"notfound")</f>
        <v>10.2307%2F1380801_ResultsText.tsv</v>
      </c>
      <c r="M317" s="20" t="s">
        <v>1501</v>
      </c>
      <c r="N317" s="20" t="s">
        <v>659</v>
      </c>
      <c r="O317" s="20" t="s">
        <v>1502</v>
      </c>
      <c r="P317" s="20" t="s">
        <v>55</v>
      </c>
      <c r="Q317" s="20"/>
      <c r="R317" s="20" t="s">
        <v>1490</v>
      </c>
      <c r="S317" s="20"/>
      <c r="T317" s="20"/>
      <c r="U317" s="20"/>
      <c r="V317" s="20" t="s">
        <v>101</v>
      </c>
      <c r="W317" s="20" t="s">
        <v>1503</v>
      </c>
      <c r="X317" s="20" t="s">
        <v>1103</v>
      </c>
      <c r="Y317" s="20"/>
      <c r="Z317" s="20" t="s">
        <v>445</v>
      </c>
      <c r="AA317" s="20" t="s">
        <v>1462</v>
      </c>
      <c r="AB317" s="20" t="s">
        <v>1504</v>
      </c>
      <c r="AC317" s="20" t="s">
        <v>1409</v>
      </c>
      <c r="AD317" s="20"/>
      <c r="AE317" s="20" t="s">
        <v>50</v>
      </c>
      <c r="AF317" s="20"/>
      <c r="AG317" s="20" t="s">
        <v>449</v>
      </c>
      <c r="AH317" s="20"/>
    </row>
    <row r="318" spans="1:34" ht="17" customHeight="1" x14ac:dyDescent="0.2">
      <c r="A318" s="20" t="s">
        <v>1505</v>
      </c>
      <c r="B318" s="20" t="s">
        <v>493</v>
      </c>
      <c r="C318" s="20"/>
      <c r="D318" s="20" t="s">
        <v>1506</v>
      </c>
      <c r="E318" s="18" t="str">
        <f t="shared" si="41"/>
        <v>Heffner</v>
      </c>
      <c r="F318" s="17"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18" s="17" t="str">
        <f t="shared" si="42"/>
        <v>1992</v>
      </c>
      <c r="H318" s="18" t="str">
        <f t="shared" si="43"/>
        <v>Heffner_Heffner_1992_b</v>
      </c>
      <c r="I318" s="18" t="str">
        <f t="shared" si="47"/>
        <v>10.1007%2F978-1-4612-2784-7_43</v>
      </c>
      <c r="J318" s="18" t="str">
        <f t="shared" si="44"/>
        <v>Heffner_Heffner_1992_b_TABLE34.1</v>
      </c>
      <c r="K318" s="17" t="str">
        <f t="shared" si="48"/>
        <v>10.1007%2F978-1-4612-2784-7_43_TABLE34.1</v>
      </c>
      <c r="L318" s="17" t="str">
        <f t="array" ref="L318">IFERROR(INDEX(AUTO_Public_TSV_FileList!$A$1:$A$1000,MATCH(TRUE(),EXACT(K318,IFERROR(_xlfn.TEXTBEFORE(AUTO_Public_TSV_FileList!$A$1:$A$1000,".tsv"),"")),0)),"notfound")</f>
        <v>notfound</v>
      </c>
      <c r="M318" s="20" t="s">
        <v>1507</v>
      </c>
      <c r="N318" s="28" t="s">
        <v>4814</v>
      </c>
      <c r="O318" s="28" t="s">
        <v>4815</v>
      </c>
      <c r="P318" s="28" t="s">
        <v>4816</v>
      </c>
      <c r="Q318" s="28" t="s">
        <v>4817</v>
      </c>
      <c r="R318" s="28" t="s">
        <v>1508</v>
      </c>
      <c r="S318" s="28" t="s">
        <v>4818</v>
      </c>
      <c r="T318" s="28" t="s">
        <v>4819</v>
      </c>
      <c r="U318" s="28"/>
      <c r="V318" s="28" t="s">
        <v>101</v>
      </c>
      <c r="W318" s="28" t="s">
        <v>1509</v>
      </c>
      <c r="X318" s="28" t="s">
        <v>1510</v>
      </c>
      <c r="Y318" s="28"/>
      <c r="Z318" s="28"/>
      <c r="AA318" s="28" t="s">
        <v>1511</v>
      </c>
      <c r="AB318" s="28" t="s">
        <v>1512</v>
      </c>
      <c r="AC318" s="28" t="s">
        <v>1409</v>
      </c>
      <c r="AD318" s="28"/>
      <c r="AE318" s="28" t="s">
        <v>50</v>
      </c>
      <c r="AF318" s="28"/>
      <c r="AG318" s="28" t="s">
        <v>4820</v>
      </c>
      <c r="AH318" s="28" t="s">
        <v>4821</v>
      </c>
    </row>
    <row r="319" spans="1:34" ht="17" customHeight="1" x14ac:dyDescent="0.2">
      <c r="A319" s="20" t="s">
        <v>1505</v>
      </c>
      <c r="B319" s="20" t="s">
        <v>493</v>
      </c>
      <c r="C319" s="20"/>
      <c r="D319" s="20" t="s">
        <v>1513</v>
      </c>
      <c r="E319" s="18" t="str">
        <f t="shared" si="41"/>
        <v>Heffner</v>
      </c>
      <c r="F319" s="17"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19" s="17" t="str">
        <f t="shared" si="42"/>
        <v>1992</v>
      </c>
      <c r="H319" s="18" t="str">
        <f t="shared" si="43"/>
        <v>Heffner_Heffner_1992_b</v>
      </c>
      <c r="I319" s="18" t="str">
        <f t="shared" si="47"/>
        <v>10.1007%2F978-1-4612-2784-7_43</v>
      </c>
      <c r="J319" s="18" t="str">
        <f t="shared" si="44"/>
        <v>Heffner_Heffner_1992_b_TABLE34.2</v>
      </c>
      <c r="K319" s="17" t="str">
        <f t="shared" si="48"/>
        <v>10.1007%2F978-1-4612-2784-7_43_TABLE34.2</v>
      </c>
      <c r="L319" s="17" t="str">
        <f t="array" ref="L319">IFERROR(INDEX(AUTO_Public_TSV_FileList!$A$1:$A$1000,MATCH(TRUE(),EXACT(K319,IFERROR(_xlfn.TEXTBEFORE(AUTO_Public_TSV_FileList!$A$1:$A$1000,".tsv"),"")),0)),"notfound")</f>
        <v>notfound</v>
      </c>
      <c r="M319" s="20" t="s">
        <v>1514</v>
      </c>
      <c r="N319" s="28" t="s">
        <v>4814</v>
      </c>
      <c r="O319" s="28" t="s">
        <v>4822</v>
      </c>
      <c r="P319" s="28" t="s">
        <v>4816</v>
      </c>
      <c r="Q319" s="28" t="s">
        <v>4823</v>
      </c>
      <c r="R319" s="28" t="s">
        <v>1508</v>
      </c>
      <c r="S319" s="28" t="s">
        <v>4824</v>
      </c>
      <c r="T319" s="28" t="s">
        <v>4825</v>
      </c>
      <c r="U319" s="28"/>
      <c r="V319" s="28" t="s">
        <v>101</v>
      </c>
      <c r="W319" s="28" t="s">
        <v>1515</v>
      </c>
      <c r="X319" s="28" t="s">
        <v>1516</v>
      </c>
      <c r="Y319" s="28"/>
      <c r="Z319" s="28"/>
      <c r="AA319" s="28" t="s">
        <v>1517</v>
      </c>
      <c r="AB319" s="28" t="s">
        <v>1518</v>
      </c>
      <c r="AC319" s="28" t="s">
        <v>1409</v>
      </c>
      <c r="AD319" s="28"/>
      <c r="AE319" s="28" t="s">
        <v>265</v>
      </c>
      <c r="AF319" s="28" t="s">
        <v>4826</v>
      </c>
      <c r="AG319" s="28" t="s">
        <v>1519</v>
      </c>
      <c r="AH319" s="28" t="s">
        <v>4821</v>
      </c>
    </row>
    <row r="320" spans="1:34" ht="17" customHeight="1" x14ac:dyDescent="0.2">
      <c r="A320" s="20" t="s">
        <v>1520</v>
      </c>
      <c r="B320" s="20" t="s">
        <v>1521</v>
      </c>
      <c r="C320" s="20"/>
      <c r="D320" s="20" t="s">
        <v>500</v>
      </c>
      <c r="E320" s="18" t="str">
        <f t="shared" si="41"/>
        <v>Heffner</v>
      </c>
      <c r="F320" s="17"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20" s="17" t="str">
        <f t="shared" si="42"/>
        <v>1992</v>
      </c>
      <c r="H320" s="18" t="str">
        <f t="shared" si="43"/>
        <v>Heffner_Heffner_1992_c</v>
      </c>
      <c r="I320" s="18" t="str">
        <f t="shared" si="47"/>
        <v>10.1016%2F0378-5955(92)90188-S</v>
      </c>
      <c r="J320" s="18" t="str">
        <f t="shared" si="44"/>
        <v>Heffner_Heffner_1992_c_ResultsText</v>
      </c>
      <c r="K320" s="17" t="str">
        <f t="shared" si="48"/>
        <v>10.1016%2F0378-5955(92)90188-S_ResultsText</v>
      </c>
      <c r="L320" s="17" t="str">
        <f t="array" ref="L320">IFERROR(INDEX(AUTO_Public_TSV_FileList!$A$1:$A$1000,MATCH(TRUE(),EXACT(K320,IFERROR(_xlfn.TEXTBEFORE(AUTO_Public_TSV_FileList!$A$1:$A$1000,".tsv"),"")),0)),"notfound")</f>
        <v>10.1016%2F0378-5955(92)90188-S_ResultsText.tsv</v>
      </c>
      <c r="M320" s="20" t="s">
        <v>1522</v>
      </c>
      <c r="N320" s="20" t="s">
        <v>659</v>
      </c>
      <c r="O320" s="20" t="s">
        <v>1523</v>
      </c>
      <c r="P320" s="20"/>
      <c r="Q320" s="20"/>
      <c r="R320" s="20" t="s">
        <v>1524</v>
      </c>
      <c r="S320" s="20"/>
      <c r="T320" s="20" t="s">
        <v>1525</v>
      </c>
      <c r="U320" s="20"/>
      <c r="V320" s="20" t="s">
        <v>101</v>
      </c>
      <c r="W320" s="20" t="s">
        <v>1526</v>
      </c>
      <c r="X320" s="20" t="s">
        <v>1527</v>
      </c>
      <c r="Y320" s="20" t="s">
        <v>1528</v>
      </c>
      <c r="Z320" s="20"/>
      <c r="AA320" s="20" t="s">
        <v>1096</v>
      </c>
      <c r="AB320" s="20" t="s">
        <v>1529</v>
      </c>
      <c r="AC320" s="20" t="s">
        <v>1409</v>
      </c>
      <c r="AD320" s="20"/>
      <c r="AE320" s="20" t="s">
        <v>50</v>
      </c>
      <c r="AF320" s="20"/>
      <c r="AG320" s="20" t="s">
        <v>1530</v>
      </c>
      <c r="AH320" s="20"/>
    </row>
    <row r="321" spans="1:34" ht="17" customHeight="1" x14ac:dyDescent="0.2">
      <c r="A321" s="20" t="s">
        <v>1520</v>
      </c>
      <c r="B321" s="20" t="s">
        <v>1521</v>
      </c>
      <c r="C321" s="20"/>
      <c r="D321" s="20" t="s">
        <v>369</v>
      </c>
      <c r="E321" s="18" t="str">
        <f t="shared" si="41"/>
        <v>Heffner</v>
      </c>
      <c r="F321" s="17"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21" s="17" t="str">
        <f t="shared" si="42"/>
        <v>1992</v>
      </c>
      <c r="H321" s="18" t="str">
        <f t="shared" si="43"/>
        <v>Heffner_Heffner_1992_c</v>
      </c>
      <c r="I321" s="18" t="str">
        <f t="shared" si="47"/>
        <v>10.1016%2F0378-5955(92)90188-S</v>
      </c>
      <c r="J321" s="18" t="str">
        <f t="shared" si="44"/>
        <v>Heffner_Heffner_1992_c_TABLEI</v>
      </c>
      <c r="K321" s="17" t="str">
        <f t="shared" si="48"/>
        <v>10.1016%2F0378-5955(92)90188-S_TABLEI</v>
      </c>
      <c r="L321" s="17" t="str">
        <f t="array" ref="L321">IFERROR(INDEX(AUTO_Public_TSV_FileList!$A$1:$A$1000,MATCH(TRUE(),EXACT(K321,IFERROR(_xlfn.TEXTBEFORE(AUTO_Public_TSV_FileList!$A$1:$A$1000,".tsv"),"")),0)),"notfound")</f>
        <v>10.1016%2F0378-5955(92)90188-S_TABLEI.tsv</v>
      </c>
      <c r="M321" s="20" t="s">
        <v>1531</v>
      </c>
      <c r="N321" s="20" t="s">
        <v>1532</v>
      </c>
      <c r="O321" s="20" t="s">
        <v>1533</v>
      </c>
      <c r="P321" s="20"/>
      <c r="Q321" s="20"/>
      <c r="R321" s="20" t="s">
        <v>1524</v>
      </c>
      <c r="S321" s="20"/>
      <c r="T321" s="20" t="s">
        <v>1534</v>
      </c>
      <c r="U321" s="20"/>
      <c r="V321" s="20" t="s">
        <v>101</v>
      </c>
      <c r="W321" s="20" t="s">
        <v>1535</v>
      </c>
      <c r="X321" s="20" t="s">
        <v>1536</v>
      </c>
      <c r="Y321" s="20" t="s">
        <v>1537</v>
      </c>
      <c r="Z321" s="20"/>
      <c r="AA321" s="20" t="s">
        <v>1481</v>
      </c>
      <c r="AB321" s="20" t="s">
        <v>1104</v>
      </c>
      <c r="AC321" s="20" t="s">
        <v>1409</v>
      </c>
      <c r="AD321" s="20"/>
      <c r="AE321" s="20" t="s">
        <v>70</v>
      </c>
      <c r="AF321" s="20" t="s">
        <v>1538</v>
      </c>
      <c r="AG321" s="20" t="s">
        <v>1539</v>
      </c>
      <c r="AH321" s="20"/>
    </row>
    <row r="322" spans="1:34" ht="17" customHeight="1" x14ac:dyDescent="0.2">
      <c r="A322" s="20" t="s">
        <v>1540</v>
      </c>
      <c r="B322" s="20" t="s">
        <v>488</v>
      </c>
      <c r="C322" s="20"/>
      <c r="D322" s="20" t="s">
        <v>77</v>
      </c>
      <c r="E322" s="18" t="str">
        <f t="shared" ref="E322:E385" si="49">SUBSTITUTE(SUBSTITUTE(_xlfn.TEXTBEFORE(A322,","), "-", ""), " ", "")</f>
        <v>Heffner</v>
      </c>
      <c r="F322" s="17"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22" s="17" t="str">
        <f t="shared" ref="G322:G385" si="50">_xlfn.TEXTBEFORE(_xlfn.TEXTAFTER(A322, "("), ")")</f>
        <v>1992</v>
      </c>
      <c r="H322" s="18" t="str">
        <f t="shared" ref="H322:H385" si="51">SUBSTITUTE(SUBSTITUTE(E322 &amp; IF(F322&lt;&gt;"", "_" &amp; SUBSTITUTE(F322," ",""), "_") &amp; IF(G322&lt;&gt;"", "_" &amp; G322, "_") &amp; IF(B322&lt;&gt;"", "_" &amp; B322, ""),"'",""),"’","")</f>
        <v>Heffner_Heffner_1992_a</v>
      </c>
      <c r="I322" s="18" t="str">
        <f t="shared" si="47"/>
        <v>10.1002%2Fcne.903170302</v>
      </c>
      <c r="J322" s="18" t="str">
        <f t="shared" ref="J322:J385" si="52">TRIM(_xlfn.TEXTJOIN("_",FALSE(),H322,(SUBSTITUTE(SUBSTITUTE(D322," ",""), "_", ""))))</f>
        <v>Heffner_Heffner_1992_a_TABLE1</v>
      </c>
      <c r="K322" s="18" t="str">
        <f t="shared" si="48"/>
        <v>10.1002%2Fcne.903170302_TABLE1</v>
      </c>
      <c r="L322" s="17" t="str">
        <f t="array" ref="L322">IFERROR(INDEX(AUTO_Public_TSV_FileList!$A$1:$A$1000,MATCH(TRUE(),EXACT(K322,IFERROR(_xlfn.TEXTBEFORE(AUTO_Public_TSV_FileList!$A$1:$A$1000,".tsv"),"")),0)),"notfound")</f>
        <v>10.1002%2Fcne.903170302_TABLE1.tsv</v>
      </c>
      <c r="M322" s="20" t="s">
        <v>1541</v>
      </c>
      <c r="N322" s="19" t="s">
        <v>54</v>
      </c>
      <c r="O322" s="20" t="s">
        <v>1542</v>
      </c>
      <c r="P322" s="20" t="s">
        <v>55</v>
      </c>
      <c r="Q322" s="20"/>
      <c r="R322" s="20"/>
      <c r="S322" s="20"/>
      <c r="T322" s="20"/>
      <c r="U322" s="20"/>
      <c r="V322" s="20"/>
      <c r="W322" s="20" t="s">
        <v>1543</v>
      </c>
      <c r="X322" s="20" t="s">
        <v>1544</v>
      </c>
      <c r="Y322" s="20"/>
      <c r="Z322" s="20"/>
      <c r="AA322" s="20"/>
      <c r="AB322" s="20" t="s">
        <v>1545</v>
      </c>
      <c r="AC322" s="20" t="s">
        <v>1409</v>
      </c>
      <c r="AD322" s="20"/>
      <c r="AE322" s="20" t="s">
        <v>70</v>
      </c>
      <c r="AF322" s="20"/>
      <c r="AG322" s="20"/>
      <c r="AH322" s="20"/>
    </row>
    <row r="323" spans="1:34" ht="17" customHeight="1" x14ac:dyDescent="0.2">
      <c r="A323" s="20" t="s">
        <v>1546</v>
      </c>
      <c r="B323" s="20"/>
      <c r="C323" s="20"/>
      <c r="D323" s="20" t="s">
        <v>439</v>
      </c>
      <c r="E323" s="17" t="str">
        <f t="shared" si="49"/>
        <v>Heffner</v>
      </c>
      <c r="F323" s="17"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323" s="17" t="str">
        <f t="shared" si="50"/>
        <v>1983</v>
      </c>
      <c r="H323" s="17" t="str">
        <f t="shared" si="51"/>
        <v>Heffner_Masterton_1983</v>
      </c>
      <c r="I323" s="17" t="str">
        <f>_xlfn.LET(
_xlpm.doi,IF(C323&lt;&gt;"",C323,_xlfn.TEXTAFTER(A323,"https://doi.org/")),
SUBSTITUTE(
SUBSTITUTE(
SUBSTITUTE(
SUBSTITUTE(
_xlpm.doi,
"/","%2F"),
":","%3A"),
"&lt;","%3C"),
"&gt;","%3E")
)</f>
        <v>10.1159%2F000121494</v>
      </c>
      <c r="J323" s="17" t="str">
        <f t="shared" si="52"/>
        <v>Heffner_Masterton_1983_TableI</v>
      </c>
      <c r="K323" s="17" t="str">
        <f t="shared" si="48"/>
        <v>10.1159%2F000121494_TableI</v>
      </c>
      <c r="L323" s="17" t="str">
        <f t="array" ref="L323">IFERROR(INDEX(AUTO_Public_TSV_FileList!$A$1:$A$1000,MATCH(TRUE(),EXACT(K323,IFERROR(_xlfn.TEXTBEFORE(AUTO_Public_TSV_FileList!$A$1:$A$1000,".tsv"),"")),0)),"notfound")</f>
        <v>10.1159%2F000121494_TableI.tsv</v>
      </c>
      <c r="M323" s="20" t="s">
        <v>1547</v>
      </c>
      <c r="N323" s="20" t="s">
        <v>88</v>
      </c>
      <c r="O323" s="20" t="s">
        <v>1548</v>
      </c>
      <c r="P323" s="20" t="s">
        <v>55</v>
      </c>
      <c r="Q323" s="20" t="s">
        <v>1549</v>
      </c>
      <c r="R323" s="20"/>
      <c r="S323" s="20"/>
      <c r="T323" s="20"/>
      <c r="U323" s="20"/>
      <c r="V323" s="20"/>
      <c r="W323" s="20"/>
      <c r="X323" s="20"/>
      <c r="Y323" s="20"/>
      <c r="Z323" s="20"/>
      <c r="AA323" s="20"/>
      <c r="AB323" s="20"/>
      <c r="AC323" s="20"/>
      <c r="AD323" s="20"/>
      <c r="AE323" s="20"/>
      <c r="AF323" s="20"/>
      <c r="AG323" s="20"/>
      <c r="AH323" s="20"/>
    </row>
    <row r="324" spans="1:34" ht="17" customHeight="1" x14ac:dyDescent="0.2">
      <c r="A324" s="20" t="s">
        <v>1550</v>
      </c>
      <c r="B324" s="20" t="s">
        <v>488</v>
      </c>
      <c r="C324" s="20"/>
      <c r="D324" s="20" t="s">
        <v>94</v>
      </c>
      <c r="E324" s="18" t="str">
        <f t="shared" si="49"/>
        <v>Heffner</v>
      </c>
      <c r="F324" s="17"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17" t="str">
        <f t="shared" si="50"/>
        <v>1994</v>
      </c>
      <c r="H324" s="18" t="str">
        <f t="shared" si="51"/>
        <v>Heffner_etal_1994_a</v>
      </c>
      <c r="I324" s="18" t="str">
        <f t="shared" ref="I324:I338" si="53">_xlfn.LET(_xlpm.doi,IF(C324&lt;&gt;"",C324,_xlfn.TEXTAFTER(A324,"https://doi.org/")),SUBSTITUTE(SUBSTITUTE(SUBSTITUTE(SUBSTITUTE(_xlpm.doi,"/","%2F"),":","%3A"),"&lt;","%3C"),"&gt;","%3E"))</f>
        <v>10.1016%2F0378-5955(94)90233-x</v>
      </c>
      <c r="J324" s="18" t="str">
        <f t="shared" si="52"/>
        <v>Heffner_etal_1994_a_Figure1</v>
      </c>
      <c r="K324" s="17" t="str">
        <f t="shared" si="48"/>
        <v>10.1016%2F0378-5955(94)90233-x_Figure1</v>
      </c>
      <c r="L324" s="17" t="str">
        <f t="array" ref="L324">IFERROR(INDEX(AUTO_Public_TSV_FileList!$A$1:$A$1000,MATCH(TRUE(),EXACT(K324,IFERROR(_xlfn.TEXTBEFORE(AUTO_Public_TSV_FileList!$A$1:$A$1000,".tsv"),"")),0)),"notfound")</f>
        <v>10.1016%2F0378-5955(94)90233-x_Figure1.tsv</v>
      </c>
      <c r="M324" s="20" t="s">
        <v>1551</v>
      </c>
      <c r="N324" s="20" t="s">
        <v>541</v>
      </c>
      <c r="O324" s="20" t="s">
        <v>1552</v>
      </c>
      <c r="P324" s="20" t="s">
        <v>55</v>
      </c>
      <c r="Q324" s="20"/>
      <c r="R324" s="20" t="s">
        <v>1553</v>
      </c>
      <c r="S324" s="20"/>
      <c r="T324" s="20"/>
      <c r="U324" s="20"/>
      <c r="V324" s="20" t="s">
        <v>101</v>
      </c>
      <c r="W324" s="20" t="s">
        <v>1554</v>
      </c>
      <c r="X324" s="20" t="s">
        <v>1095</v>
      </c>
      <c r="Y324" s="20"/>
      <c r="Z324" s="20" t="s">
        <v>445</v>
      </c>
      <c r="AA324" s="20" t="s">
        <v>1462</v>
      </c>
      <c r="AB324" s="20" t="s">
        <v>1097</v>
      </c>
      <c r="AC324" s="20" t="s">
        <v>1409</v>
      </c>
      <c r="AD324" s="20"/>
      <c r="AE324" s="20" t="s">
        <v>50</v>
      </c>
      <c r="AF324" s="20"/>
      <c r="AG324" s="20" t="s">
        <v>1492</v>
      </c>
      <c r="AH324" s="20"/>
    </row>
    <row r="325" spans="1:34" ht="17" customHeight="1" x14ac:dyDescent="0.2">
      <c r="A325" s="20" t="s">
        <v>1550</v>
      </c>
      <c r="B325" s="20" t="s">
        <v>488</v>
      </c>
      <c r="C325" s="20"/>
      <c r="D325" s="20" t="s">
        <v>110</v>
      </c>
      <c r="E325" s="18" t="str">
        <f t="shared" si="49"/>
        <v>Heffner</v>
      </c>
      <c r="F325" s="17"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17" t="str">
        <f t="shared" si="50"/>
        <v>1994</v>
      </c>
      <c r="H325" s="18" t="str">
        <f t="shared" si="51"/>
        <v>Heffner_etal_1994_a</v>
      </c>
      <c r="I325" s="18" t="str">
        <f t="shared" si="53"/>
        <v>10.1016%2F0378-5955(94)90233-x</v>
      </c>
      <c r="J325" s="18" t="str">
        <f t="shared" si="52"/>
        <v>Heffner_etal_1994_a_Figure2</v>
      </c>
      <c r="K325" s="17" t="str">
        <f t="shared" si="48"/>
        <v>10.1016%2F0378-5955(94)90233-x_Figure2</v>
      </c>
      <c r="L325" s="17" t="str">
        <f t="array" ref="L325">IFERROR(INDEX(AUTO_Public_TSV_FileList!$A$1:$A$1000,MATCH(TRUE(),EXACT(K325,IFERROR(_xlfn.TEXTBEFORE(AUTO_Public_TSV_FileList!$A$1:$A$1000,".tsv"),"")),0)),"notfound")</f>
        <v>10.1016%2F0378-5955(94)90233-x_Figure2.tsv</v>
      </c>
      <c r="M325" s="20" t="s">
        <v>1555</v>
      </c>
      <c r="N325" s="20" t="s">
        <v>541</v>
      </c>
      <c r="O325" s="20" t="s">
        <v>1556</v>
      </c>
      <c r="P325" s="20" t="s">
        <v>55</v>
      </c>
      <c r="Q325" s="20"/>
      <c r="R325" s="20" t="s">
        <v>1553</v>
      </c>
      <c r="S325" s="20"/>
      <c r="T325" s="20"/>
      <c r="U325" s="20"/>
      <c r="V325" s="20" t="s">
        <v>101</v>
      </c>
      <c r="W325" s="20" t="s">
        <v>1557</v>
      </c>
      <c r="X325" s="20" t="s">
        <v>1095</v>
      </c>
      <c r="Y325" s="20"/>
      <c r="Z325" s="20" t="s">
        <v>445</v>
      </c>
      <c r="AA325" s="20" t="s">
        <v>1462</v>
      </c>
      <c r="AB325" s="20" t="s">
        <v>1097</v>
      </c>
      <c r="AC325" s="20" t="s">
        <v>1409</v>
      </c>
      <c r="AD325" s="20"/>
      <c r="AE325" s="20" t="s">
        <v>50</v>
      </c>
      <c r="AF325" s="20"/>
      <c r="AG325" s="20" t="s">
        <v>449</v>
      </c>
      <c r="AH325" s="20"/>
    </row>
    <row r="326" spans="1:34" ht="17" customHeight="1" x14ac:dyDescent="0.2">
      <c r="A326" s="20" t="s">
        <v>1558</v>
      </c>
      <c r="B326" s="20" t="s">
        <v>1521</v>
      </c>
      <c r="C326" s="20"/>
      <c r="D326" s="20" t="s">
        <v>1559</v>
      </c>
      <c r="E326" s="18" t="str">
        <f t="shared" si="49"/>
        <v>Heffner</v>
      </c>
      <c r="F326" s="17"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17" t="str">
        <f t="shared" si="50"/>
        <v>1994</v>
      </c>
      <c r="H326" s="18" t="str">
        <f t="shared" si="51"/>
        <v>Heffner_etal_1994_c</v>
      </c>
      <c r="I326" s="18" t="str">
        <f t="shared" si="53"/>
        <v>10.1016%2F0378-5955(94)90116-3</v>
      </c>
      <c r="J326" s="18" t="str">
        <f t="shared" si="52"/>
        <v>Heffner_etal_1994_c_Figure7</v>
      </c>
      <c r="K326" s="17" t="str">
        <f t="shared" si="48"/>
        <v>10.1016%2F0378-5955(94)90116-3_Figure7</v>
      </c>
      <c r="L326" s="17" t="str">
        <f t="array" ref="L326">IFERROR(INDEX(AUTO_Public_TSV_FileList!$A$1:$A$1000,MATCH(TRUE(),EXACT(K326,IFERROR(_xlfn.TEXTBEFORE(AUTO_Public_TSV_FileList!$A$1:$A$1000,".tsv"),"")),0)),"notfound")</f>
        <v>notfound</v>
      </c>
      <c r="M326" s="20" t="s">
        <v>1560</v>
      </c>
      <c r="N326" s="20" t="s">
        <v>541</v>
      </c>
      <c r="O326" s="20" t="s">
        <v>1561</v>
      </c>
      <c r="P326" s="20" t="s">
        <v>133</v>
      </c>
      <c r="Q326" s="20"/>
      <c r="R326" s="20" t="s">
        <v>1562</v>
      </c>
      <c r="S326" s="20"/>
      <c r="T326" s="20" t="s">
        <v>1460</v>
      </c>
      <c r="U326" s="20"/>
      <c r="V326" s="20" t="s">
        <v>101</v>
      </c>
      <c r="W326" s="20" t="s">
        <v>1563</v>
      </c>
      <c r="X326" s="20" t="s">
        <v>1564</v>
      </c>
      <c r="Y326" s="20"/>
      <c r="Z326" s="20" t="s">
        <v>1406</v>
      </c>
      <c r="AA326" s="20" t="s">
        <v>1565</v>
      </c>
      <c r="AB326" s="20" t="s">
        <v>1566</v>
      </c>
      <c r="AC326" s="20" t="s">
        <v>1409</v>
      </c>
      <c r="AD326" s="20"/>
      <c r="AE326" s="20" t="s">
        <v>265</v>
      </c>
      <c r="AF326" s="20" t="s">
        <v>1567</v>
      </c>
      <c r="AG326" s="20" t="s">
        <v>1500</v>
      </c>
      <c r="AH326" s="20"/>
    </row>
    <row r="327" spans="1:34" ht="17" customHeight="1" x14ac:dyDescent="0.2">
      <c r="A327" s="20" t="s">
        <v>1558</v>
      </c>
      <c r="B327" s="20" t="s">
        <v>1521</v>
      </c>
      <c r="C327" s="20"/>
      <c r="D327" s="20" t="s">
        <v>86</v>
      </c>
      <c r="E327" s="18" t="str">
        <f t="shared" si="49"/>
        <v>Heffner</v>
      </c>
      <c r="F327" s="17"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17" t="str">
        <f t="shared" si="50"/>
        <v>1994</v>
      </c>
      <c r="H327" s="18" t="str">
        <f t="shared" si="51"/>
        <v>Heffner_etal_1994_c</v>
      </c>
      <c r="I327" s="18" t="str">
        <f t="shared" si="53"/>
        <v>10.1016%2F0378-5955(94)90116-3</v>
      </c>
      <c r="J327" s="18" t="str">
        <f t="shared" si="52"/>
        <v>Heffner_etal_1994_c_Table1</v>
      </c>
      <c r="K327" s="17" t="str">
        <f t="shared" si="48"/>
        <v>10.1016%2F0378-5955(94)90116-3_Table1</v>
      </c>
      <c r="L327" s="17" t="str">
        <f t="array" ref="L327">IFERROR(INDEX(AUTO_Public_TSV_FileList!$A$1:$A$1000,MATCH(TRUE(),EXACT(K327,IFERROR(_xlfn.TEXTBEFORE(AUTO_Public_TSV_FileList!$A$1:$A$1000,".tsv"),"")),0)),"notfound")</f>
        <v>10.1016%2F0378-5955(94)90116-3_Table1.tsv</v>
      </c>
      <c r="M327" s="20" t="s">
        <v>1568</v>
      </c>
      <c r="N327" s="20" t="s">
        <v>88</v>
      </c>
      <c r="O327" s="20" t="s">
        <v>1569</v>
      </c>
      <c r="P327" s="20" t="s">
        <v>55</v>
      </c>
      <c r="Q327" s="20"/>
      <c r="R327" s="20" t="s">
        <v>1562</v>
      </c>
      <c r="S327" s="20"/>
      <c r="T327" s="20" t="s">
        <v>1460</v>
      </c>
      <c r="U327" s="20"/>
      <c r="V327" s="20" t="s">
        <v>101</v>
      </c>
      <c r="W327" s="20" t="s">
        <v>1570</v>
      </c>
      <c r="X327" s="20" t="s">
        <v>1571</v>
      </c>
      <c r="Y327" s="20"/>
      <c r="Z327" s="20" t="s">
        <v>445</v>
      </c>
      <c r="AA327" s="20" t="s">
        <v>1572</v>
      </c>
      <c r="AB327" s="20" t="s">
        <v>1453</v>
      </c>
      <c r="AC327" s="20" t="s">
        <v>1409</v>
      </c>
      <c r="AD327" s="20"/>
      <c r="AE327" s="20" t="s">
        <v>70</v>
      </c>
      <c r="AF327" s="20" t="s">
        <v>1573</v>
      </c>
      <c r="AG327" s="20" t="s">
        <v>449</v>
      </c>
      <c r="AH327" s="20"/>
    </row>
    <row r="328" spans="1:34" ht="17" customHeight="1" x14ac:dyDescent="0.2">
      <c r="A328" s="20" t="s">
        <v>1574</v>
      </c>
      <c r="B328" s="20"/>
      <c r="C328" s="20"/>
      <c r="D328" s="20" t="s">
        <v>500</v>
      </c>
      <c r="E328" s="18" t="str">
        <f t="shared" si="49"/>
        <v>Heffner</v>
      </c>
      <c r="F328" s="17"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17" t="str">
        <f t="shared" si="50"/>
        <v>1999</v>
      </c>
      <c r="H328" s="18" t="str">
        <f t="shared" si="51"/>
        <v>Heffner_etal_1999</v>
      </c>
      <c r="I328" s="18" t="str">
        <f t="shared" si="53"/>
        <v>10.1037%2F0735-7036.113.3.297</v>
      </c>
      <c r="J328" s="18" t="str">
        <f t="shared" si="52"/>
        <v>Heffner_etal_1999_ResultsText</v>
      </c>
      <c r="K328" s="17" t="str">
        <f t="shared" si="48"/>
        <v>10.1037%2F0735-7036.113.3.297_ResultsText</v>
      </c>
      <c r="L328" s="17" t="str">
        <f t="array" ref="L328">IFERROR(INDEX(AUTO_Public_TSV_FileList!$A$1:$A$1000,MATCH(TRUE(),EXACT(K328,IFERROR(_xlfn.TEXTBEFORE(AUTO_Public_TSV_FileList!$A$1:$A$1000,".tsv"),"")),0)),"notfound")</f>
        <v>notfound</v>
      </c>
      <c r="M328" s="20" t="s">
        <v>1575</v>
      </c>
      <c r="N328" s="28" t="s">
        <v>4827</v>
      </c>
      <c r="O328" s="28" t="s">
        <v>4828</v>
      </c>
      <c r="P328" s="28" t="s">
        <v>4816</v>
      </c>
      <c r="Q328" s="28" t="s">
        <v>4829</v>
      </c>
      <c r="R328" s="28" t="s">
        <v>1576</v>
      </c>
      <c r="S328" s="28" t="s">
        <v>4830</v>
      </c>
      <c r="T328" s="28" t="s">
        <v>1577</v>
      </c>
      <c r="U328" s="28"/>
      <c r="V328" s="28" t="s">
        <v>1449</v>
      </c>
      <c r="W328" s="28" t="s">
        <v>1578</v>
      </c>
      <c r="X328" s="28" t="s">
        <v>1579</v>
      </c>
      <c r="Y328" s="28" t="s">
        <v>1580</v>
      </c>
      <c r="Z328" s="28"/>
      <c r="AA328" s="28" t="s">
        <v>1581</v>
      </c>
      <c r="AB328" s="28" t="s">
        <v>1582</v>
      </c>
      <c r="AC328" s="28" t="s">
        <v>1409</v>
      </c>
      <c r="AD328" s="28"/>
      <c r="AE328" s="28" t="s">
        <v>70</v>
      </c>
      <c r="AF328" s="28" t="s">
        <v>4831</v>
      </c>
      <c r="AG328" s="28" t="s">
        <v>1583</v>
      </c>
      <c r="AH328" s="28" t="s">
        <v>4832</v>
      </c>
    </row>
    <row r="329" spans="1:34" ht="17" customHeight="1" x14ac:dyDescent="0.2">
      <c r="A329" s="20" t="s">
        <v>1584</v>
      </c>
      <c r="B329" s="20"/>
      <c r="C329" s="20"/>
      <c r="D329" s="20" t="s">
        <v>500</v>
      </c>
      <c r="E329" s="18" t="str">
        <f t="shared" si="49"/>
        <v>Heffner</v>
      </c>
      <c r="F329" s="17"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17" t="str">
        <f t="shared" si="50"/>
        <v>2001</v>
      </c>
      <c r="H329" s="18" t="str">
        <f t="shared" si="51"/>
        <v>Heffner_etal_2001</v>
      </c>
      <c r="I329" s="18" t="str">
        <f t="shared" si="53"/>
        <v>10.1016%2FS0378-5955(01)00298-2</v>
      </c>
      <c r="J329" s="18" t="str">
        <f t="shared" si="52"/>
        <v>Heffner_etal_2001_ResultsText</v>
      </c>
      <c r="K329" s="17" t="str">
        <f t="shared" si="48"/>
        <v>10.1016%2FS0378-5955(01)00298-2_ResultsText</v>
      </c>
      <c r="L329" s="17" t="str">
        <f t="array" ref="L329">IFERROR(INDEX(AUTO_Public_TSV_FileList!$A$1:$A$1000,MATCH(TRUE(),EXACT(K329,IFERROR(_xlfn.TEXTBEFORE(AUTO_Public_TSV_FileList!$A$1:$A$1000,".tsv"),"")),0)),"notfound")</f>
        <v>10.1016%2FS0378-5955(01)00298-2_ResultsText.tsv</v>
      </c>
      <c r="M329" s="20" t="s">
        <v>1585</v>
      </c>
      <c r="N329" s="20" t="s">
        <v>659</v>
      </c>
      <c r="O329" s="20" t="s">
        <v>763</v>
      </c>
      <c r="P329" s="20" t="s">
        <v>90</v>
      </c>
      <c r="Q329" s="20"/>
      <c r="R329" s="20"/>
      <c r="S329" s="20"/>
      <c r="T329" s="20"/>
      <c r="U329" s="20"/>
      <c r="V329" s="20"/>
      <c r="W329" s="20"/>
      <c r="X329" s="20"/>
      <c r="Y329" s="20"/>
      <c r="Z329" s="20"/>
      <c r="AA329" s="20"/>
      <c r="AB329" s="20"/>
      <c r="AC329" s="20"/>
      <c r="AD329" s="20"/>
      <c r="AE329" s="20"/>
      <c r="AF329" s="20"/>
      <c r="AG329" s="20"/>
      <c r="AH329" s="20"/>
    </row>
    <row r="330" spans="1:34" ht="17" customHeight="1" x14ac:dyDescent="0.2">
      <c r="A330" s="20" t="s">
        <v>4646</v>
      </c>
      <c r="B330" s="20" t="s">
        <v>488</v>
      </c>
      <c r="C330" s="20"/>
      <c r="D330" s="20" t="s">
        <v>1493</v>
      </c>
      <c r="E330" s="18" t="str">
        <f t="shared" si="49"/>
        <v>Heffner</v>
      </c>
      <c r="F330" s="17"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17" t="str">
        <f t="shared" si="50"/>
        <v>2001</v>
      </c>
      <c r="H330" s="18" t="str">
        <f t="shared" si="51"/>
        <v>Heffner_etal_2001_a</v>
      </c>
      <c r="I330" s="18" t="str">
        <f t="shared" si="53"/>
        <v>10.1121%2F1.1329620</v>
      </c>
      <c r="J330" s="18" t="str">
        <f t="shared" si="52"/>
        <v>Heffner_etal_2001_a_Figure6</v>
      </c>
      <c r="K330" s="17" t="str">
        <f t="shared" si="48"/>
        <v>10.1121%2F1.1329620_Figure6</v>
      </c>
      <c r="L330" s="17" t="str">
        <f t="array" ref="L330">IFERROR(INDEX(AUTO_Public_TSV_FileList!$A$1:$A$1000,MATCH(TRUE(),EXACT(K330,IFERROR(_xlfn.TEXTBEFORE(AUTO_Public_TSV_FileList!$A$1:$A$1000,".tsv"),"")),0)),"notfound")</f>
        <v>notfound</v>
      </c>
      <c r="M330" s="20"/>
      <c r="N330" s="20" t="s">
        <v>4662</v>
      </c>
      <c r="O330" s="20" t="s">
        <v>4663</v>
      </c>
      <c r="P330" s="20" t="s">
        <v>4649</v>
      </c>
      <c r="Q330" s="20" t="s">
        <v>4664</v>
      </c>
      <c r="R330" s="20" t="s">
        <v>4651</v>
      </c>
      <c r="S330" s="20" t="s">
        <v>4665</v>
      </c>
      <c r="T330" s="20" t="s">
        <v>4666</v>
      </c>
      <c r="U330" s="20"/>
      <c r="V330" s="20" t="s">
        <v>4591</v>
      </c>
      <c r="W330" s="20" t="s">
        <v>224</v>
      </c>
      <c r="X330" s="20" t="s">
        <v>4667</v>
      </c>
      <c r="Y330" s="20"/>
      <c r="Z330" s="20" t="s">
        <v>4668</v>
      </c>
      <c r="AA330" s="20" t="s">
        <v>4669</v>
      </c>
      <c r="AB330" s="20" t="s">
        <v>4595</v>
      </c>
      <c r="AC330" s="20" t="s">
        <v>1409</v>
      </c>
      <c r="AD330" s="20" t="s">
        <v>689</v>
      </c>
      <c r="AE330" s="20" t="s">
        <v>265</v>
      </c>
      <c r="AF330" s="20" t="s">
        <v>4670</v>
      </c>
      <c r="AG330" s="20" t="s">
        <v>4671</v>
      </c>
      <c r="AH330" s="20" t="s">
        <v>4661</v>
      </c>
    </row>
    <row r="331" spans="1:34" ht="17" customHeight="1" x14ac:dyDescent="0.2">
      <c r="A331" s="20" t="s">
        <v>4646</v>
      </c>
      <c r="B331" s="20" t="s">
        <v>488</v>
      </c>
      <c r="C331" s="20"/>
      <c r="D331" s="20" t="s">
        <v>500</v>
      </c>
      <c r="E331" s="18" t="str">
        <f t="shared" si="49"/>
        <v>Heffner</v>
      </c>
      <c r="F331" s="17"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7" t="str">
        <f t="shared" si="50"/>
        <v>2001</v>
      </c>
      <c r="H331" s="18" t="str">
        <f t="shared" si="51"/>
        <v>Heffner_etal_2001_a</v>
      </c>
      <c r="I331" s="18" t="str">
        <f t="shared" si="53"/>
        <v>10.1121%2F1.1329620</v>
      </c>
      <c r="J331" s="18" t="str">
        <f t="shared" si="52"/>
        <v>Heffner_etal_2001_a_ResultsText</v>
      </c>
      <c r="K331" s="17" t="str">
        <f t="shared" si="48"/>
        <v>10.1121%2F1.1329620_ResultsText</v>
      </c>
      <c r="L331" s="17" t="str">
        <f t="array" ref="L331">IFERROR(INDEX(AUTO_Public_TSV_FileList!$A$1:$A$1000,MATCH(TRUE(),EXACT(K331,IFERROR(_xlfn.TEXTBEFORE(AUTO_Public_TSV_FileList!$A$1:$A$1000,".tsv"),"")),0)),"notfound")</f>
        <v>notfound</v>
      </c>
      <c r="M331" s="20"/>
      <c r="N331" s="20" t="s">
        <v>4647</v>
      </c>
      <c r="O331" s="20" t="s">
        <v>4648</v>
      </c>
      <c r="P331" s="20" t="s">
        <v>4649</v>
      </c>
      <c r="Q331" s="20" t="s">
        <v>4650</v>
      </c>
      <c r="R331" s="20" t="s">
        <v>4651</v>
      </c>
      <c r="S331" s="20" t="s">
        <v>4652</v>
      </c>
      <c r="T331" s="20" t="s">
        <v>4653</v>
      </c>
      <c r="U331" s="20"/>
      <c r="V331" s="20" t="s">
        <v>4591</v>
      </c>
      <c r="W331" s="20" t="s">
        <v>224</v>
      </c>
      <c r="X331" s="20" t="s">
        <v>4654</v>
      </c>
      <c r="Y331" s="20" t="s">
        <v>4655</v>
      </c>
      <c r="Z331" s="20" t="s">
        <v>4656</v>
      </c>
      <c r="AA331" s="20" t="s">
        <v>4657</v>
      </c>
      <c r="AB331" s="20" t="s">
        <v>4658</v>
      </c>
      <c r="AC331" s="20" t="s">
        <v>1409</v>
      </c>
      <c r="AD331" s="20" t="s">
        <v>689</v>
      </c>
      <c r="AE331" s="20" t="s">
        <v>70</v>
      </c>
      <c r="AF331" s="20" t="s">
        <v>4659</v>
      </c>
      <c r="AG331" s="20" t="s">
        <v>4660</v>
      </c>
      <c r="AH331" s="20" t="s">
        <v>4661</v>
      </c>
    </row>
    <row r="332" spans="1:34" ht="17" customHeight="1" x14ac:dyDescent="0.2">
      <c r="A332" s="20" t="s">
        <v>1586</v>
      </c>
      <c r="B332" s="20"/>
      <c r="C332" s="20"/>
      <c r="D332" s="20" t="s">
        <v>1587</v>
      </c>
      <c r="E332" s="18" t="str">
        <f t="shared" si="49"/>
        <v>Heffner</v>
      </c>
      <c r="F332" s="17"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17" t="str">
        <f t="shared" si="50"/>
        <v>2003</v>
      </c>
      <c r="H332" s="18" t="str">
        <f t="shared" si="51"/>
        <v>Heffner_etal_2003</v>
      </c>
      <c r="I332" s="18" t="str">
        <f t="shared" si="53"/>
        <v>10.1016%2Fs0378-5955(03)00233-8</v>
      </c>
      <c r="J332" s="18" t="str">
        <f t="shared" si="52"/>
        <v>Heffner_etal_2003_Figure4</v>
      </c>
      <c r="K332" s="17" t="str">
        <f t="shared" si="48"/>
        <v>10.1016%2Fs0378-5955(03)00233-8_Figure4</v>
      </c>
      <c r="L332" s="17" t="str">
        <f t="array" ref="L332">IFERROR(INDEX(AUTO_Public_TSV_FileList!$A$1:$A$1000,MATCH(TRUE(),EXACT(K332,IFERROR(_xlfn.TEXTBEFORE(AUTO_Public_TSV_FileList!$A$1:$A$1000,".tsv"),"")),0)),"notfound")</f>
        <v>notfound</v>
      </c>
      <c r="M332" s="20" t="s">
        <v>1588</v>
      </c>
      <c r="N332" s="20" t="s">
        <v>541</v>
      </c>
      <c r="O332" s="20" t="s">
        <v>1489</v>
      </c>
      <c r="P332" s="20" t="s">
        <v>133</v>
      </c>
      <c r="Q332" s="20"/>
      <c r="R332" s="20" t="s">
        <v>1589</v>
      </c>
      <c r="S332" s="20"/>
      <c r="T332" s="20"/>
      <c r="U332" s="20"/>
      <c r="V332" s="20" t="s">
        <v>101</v>
      </c>
      <c r="W332" s="20" t="s">
        <v>1590</v>
      </c>
      <c r="X332" s="20" t="s">
        <v>1591</v>
      </c>
      <c r="Y332" s="20"/>
      <c r="Z332" s="20" t="s">
        <v>445</v>
      </c>
      <c r="AA332" s="20" t="s">
        <v>1462</v>
      </c>
      <c r="AB332" s="20" t="s">
        <v>1097</v>
      </c>
      <c r="AC332" s="20" t="s">
        <v>1409</v>
      </c>
      <c r="AD332" s="20"/>
      <c r="AE332" s="20" t="s">
        <v>70</v>
      </c>
      <c r="AF332" s="20" t="s">
        <v>1592</v>
      </c>
      <c r="AG332" s="20" t="s">
        <v>1492</v>
      </c>
      <c r="AH332" s="20"/>
    </row>
    <row r="333" spans="1:34" ht="17" customHeight="1" x14ac:dyDescent="0.2">
      <c r="A333" s="20" t="s">
        <v>1586</v>
      </c>
      <c r="B333" s="20"/>
      <c r="C333" s="20"/>
      <c r="D333" s="20" t="s">
        <v>1593</v>
      </c>
      <c r="E333" s="18" t="str">
        <f t="shared" si="49"/>
        <v>Heffner</v>
      </c>
      <c r="F333" s="17"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17" t="str">
        <f t="shared" si="50"/>
        <v>2003</v>
      </c>
      <c r="H333" s="18" t="str">
        <f t="shared" si="51"/>
        <v>Heffner_etal_2003</v>
      </c>
      <c r="I333" s="18" t="str">
        <f t="shared" si="53"/>
        <v>10.1016%2Fs0378-5955(03)00233-8</v>
      </c>
      <c r="J333" s="18" t="str">
        <f t="shared" si="52"/>
        <v>Heffner_etal_2003_Figure5</v>
      </c>
      <c r="K333" s="17" t="str">
        <f t="shared" si="48"/>
        <v>10.1016%2Fs0378-5955(03)00233-8_Figure5</v>
      </c>
      <c r="L333" s="17" t="str">
        <f t="array" ref="L333">IFERROR(INDEX(AUTO_Public_TSV_FileList!$A$1:$A$1000,MATCH(TRUE(),EXACT(K333,IFERROR(_xlfn.TEXTBEFORE(AUTO_Public_TSV_FileList!$A$1:$A$1000,".tsv"),"")),0)),"notfound")</f>
        <v>notfound</v>
      </c>
      <c r="M333" s="20" t="s">
        <v>1594</v>
      </c>
      <c r="N333" s="20" t="s">
        <v>541</v>
      </c>
      <c r="O333" s="20" t="s">
        <v>1489</v>
      </c>
      <c r="P333" s="20" t="s">
        <v>133</v>
      </c>
      <c r="Q333" s="20"/>
      <c r="R333" s="20" t="s">
        <v>1589</v>
      </c>
      <c r="S333" s="20"/>
      <c r="T333" s="20"/>
      <c r="U333" s="20"/>
      <c r="V333" s="20" t="s">
        <v>101</v>
      </c>
      <c r="W333" s="20" t="s">
        <v>1595</v>
      </c>
      <c r="X333" s="20" t="s">
        <v>1596</v>
      </c>
      <c r="Y333" s="20"/>
      <c r="Z333" s="20" t="s">
        <v>1406</v>
      </c>
      <c r="AA333" s="20" t="s">
        <v>1565</v>
      </c>
      <c r="AB333" s="20" t="s">
        <v>1597</v>
      </c>
      <c r="AC333" s="20" t="s">
        <v>1409</v>
      </c>
      <c r="AD333" s="20"/>
      <c r="AE333" s="20" t="s">
        <v>265</v>
      </c>
      <c r="AF333" s="20" t="s">
        <v>1567</v>
      </c>
      <c r="AG333" s="20" t="s">
        <v>1500</v>
      </c>
      <c r="AH333" s="20"/>
    </row>
    <row r="334" spans="1:34" ht="17" customHeight="1" x14ac:dyDescent="0.2">
      <c r="A334" s="20" t="s">
        <v>1586</v>
      </c>
      <c r="B334" s="20"/>
      <c r="C334" s="20"/>
      <c r="D334" s="20" t="s">
        <v>500</v>
      </c>
      <c r="E334" s="18" t="str">
        <f t="shared" si="49"/>
        <v>Heffner</v>
      </c>
      <c r="F334" s="17"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17" t="str">
        <f t="shared" si="50"/>
        <v>2003</v>
      </c>
      <c r="H334" s="18" t="str">
        <f t="shared" si="51"/>
        <v>Heffner_etal_2003</v>
      </c>
      <c r="I334" s="18" t="str">
        <f t="shared" si="53"/>
        <v>10.1016%2Fs0378-5955(03)00233-8</v>
      </c>
      <c r="J334" s="18" t="str">
        <f t="shared" si="52"/>
        <v>Heffner_etal_2003_ResultsText</v>
      </c>
      <c r="K334" s="17" t="str">
        <f t="shared" si="48"/>
        <v>10.1016%2Fs0378-5955(03)00233-8_ResultsText</v>
      </c>
      <c r="L334" s="17" t="str">
        <f t="array" ref="L334">IFERROR(INDEX(AUTO_Public_TSV_FileList!$A$1:$A$1000,MATCH(TRUE(),EXACT(K334,IFERROR(_xlfn.TEXTBEFORE(AUTO_Public_TSV_FileList!$A$1:$A$1000,".tsv"),"")),0)),"notfound")</f>
        <v>10.1016%2Fs0378-5955(03)00233-8_ResultsText.tsv</v>
      </c>
      <c r="M334" s="20" t="s">
        <v>1598</v>
      </c>
      <c r="N334" s="20" t="s">
        <v>659</v>
      </c>
      <c r="O334" s="20" t="s">
        <v>1599</v>
      </c>
      <c r="P334" s="20" t="s">
        <v>55</v>
      </c>
      <c r="Q334" s="20"/>
      <c r="R334" s="20" t="s">
        <v>1589</v>
      </c>
      <c r="S334" s="20"/>
      <c r="T334" s="20"/>
      <c r="U334" s="20"/>
      <c r="V334" s="20" t="s">
        <v>101</v>
      </c>
      <c r="W334" s="20" t="s">
        <v>1600</v>
      </c>
      <c r="X334" s="20" t="s">
        <v>1601</v>
      </c>
      <c r="Y334" s="20"/>
      <c r="Z334" s="20" t="s">
        <v>445</v>
      </c>
      <c r="AA334" s="20" t="s">
        <v>1462</v>
      </c>
      <c r="AB334" s="20" t="s">
        <v>1602</v>
      </c>
      <c r="AC334" s="20" t="s">
        <v>1409</v>
      </c>
      <c r="AD334" s="20"/>
      <c r="AE334" s="20" t="s">
        <v>50</v>
      </c>
      <c r="AF334" s="20"/>
      <c r="AG334" s="20" t="s">
        <v>449</v>
      </c>
      <c r="AH334" s="20"/>
    </row>
    <row r="335" spans="1:34" ht="17" customHeight="1" x14ac:dyDescent="0.2">
      <c r="A335" s="20" t="s">
        <v>1603</v>
      </c>
      <c r="B335" s="20"/>
      <c r="C335" s="20"/>
      <c r="D335" s="20" t="s">
        <v>500</v>
      </c>
      <c r="E335" s="18" t="str">
        <f t="shared" si="49"/>
        <v>Heffner</v>
      </c>
      <c r="F335" s="17"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17" t="str">
        <f t="shared" si="50"/>
        <v>2006</v>
      </c>
      <c r="H335" s="18" t="str">
        <f t="shared" si="51"/>
        <v>Heffner_etal_2006</v>
      </c>
      <c r="I335" s="18" t="str">
        <f t="shared" si="53"/>
        <v>10.1016%2Fj.heares.2006.06.008</v>
      </c>
      <c r="J335" s="18" t="str">
        <f t="shared" si="52"/>
        <v>Heffner_etal_2006_ResultsText</v>
      </c>
      <c r="K335" s="17" t="str">
        <f t="shared" si="48"/>
        <v>10.1016%2Fj.heares.2006.06.008_ResultsText</v>
      </c>
      <c r="L335" s="17" t="str">
        <f t="array" ref="L335">IFERROR(INDEX(AUTO_Public_TSV_FileList!$A$1:$A$1000,MATCH(TRUE(),EXACT(K335,IFERROR(_xlfn.TEXTBEFORE(AUTO_Public_TSV_FileList!$A$1:$A$1000,".tsv"),"")),0)),"notfound")</f>
        <v>10.1016%2Fj.heares.2006.06.008_ResultsText.tsv</v>
      </c>
      <c r="M335" s="20" t="s">
        <v>1604</v>
      </c>
      <c r="N335" s="20" t="s">
        <v>659</v>
      </c>
      <c r="O335" s="20" t="s">
        <v>1605</v>
      </c>
      <c r="P335" s="20" t="s">
        <v>55</v>
      </c>
      <c r="Q335" s="20"/>
      <c r="R335" s="20"/>
      <c r="S335" s="20"/>
      <c r="T335" s="20"/>
      <c r="U335" s="20"/>
      <c r="V335" s="20"/>
      <c r="W335" s="20"/>
      <c r="X335" s="20"/>
      <c r="Y335" s="20"/>
      <c r="Z335" s="20"/>
      <c r="AA335" s="20"/>
      <c r="AB335" s="20"/>
      <c r="AC335" s="20"/>
      <c r="AD335" s="20"/>
      <c r="AE335" s="20"/>
      <c r="AF335" s="20"/>
      <c r="AG335" s="20"/>
      <c r="AH335" s="20"/>
    </row>
    <row r="336" spans="1:34" ht="17" customHeight="1" x14ac:dyDescent="0.2">
      <c r="A336" s="20" t="s">
        <v>1606</v>
      </c>
      <c r="B336" s="20"/>
      <c r="C336" s="20"/>
      <c r="D336" s="20" t="s">
        <v>1587</v>
      </c>
      <c r="E336" s="18" t="str">
        <f t="shared" si="49"/>
        <v>Heffner</v>
      </c>
      <c r="F336" s="17"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17" t="str">
        <f t="shared" si="50"/>
        <v>2007</v>
      </c>
      <c r="H336" s="18" t="str">
        <f t="shared" si="51"/>
        <v>Heffner_etal_2007</v>
      </c>
      <c r="I336" s="18" t="str">
        <f t="shared" si="53"/>
        <v>10.1016%2Fj.heares.2007.06.001</v>
      </c>
      <c r="J336" s="18" t="str">
        <f t="shared" si="52"/>
        <v>Heffner_etal_2007_Figure4</v>
      </c>
      <c r="K336" s="17" t="str">
        <f t="shared" si="48"/>
        <v>10.1016%2Fj.heares.2007.06.001_Figure4</v>
      </c>
      <c r="L336" s="17" t="str">
        <f t="array" ref="L336">IFERROR(INDEX(AUTO_Public_TSV_FileList!$A$1:$A$1000,MATCH(TRUE(),EXACT(K336,IFERROR(_xlfn.TEXTBEFORE(AUTO_Public_TSV_FileList!$A$1:$A$1000,".tsv"),"")),0)),"notfound")</f>
        <v>notfound</v>
      </c>
      <c r="M336" s="20" t="s">
        <v>1607</v>
      </c>
      <c r="N336" s="20" t="s">
        <v>541</v>
      </c>
      <c r="O336" s="20" t="s">
        <v>1608</v>
      </c>
      <c r="P336" s="20" t="s">
        <v>133</v>
      </c>
      <c r="Q336" s="20"/>
      <c r="R336" s="20" t="s">
        <v>1609</v>
      </c>
      <c r="S336" s="20"/>
      <c r="T336" s="20"/>
      <c r="U336" s="20"/>
      <c r="V336" s="20" t="s">
        <v>1449</v>
      </c>
      <c r="W336" s="20" t="s">
        <v>1610</v>
      </c>
      <c r="X336" s="20" t="s">
        <v>1611</v>
      </c>
      <c r="Y336" s="20"/>
      <c r="Z336" s="20" t="s">
        <v>1612</v>
      </c>
      <c r="AA336" s="20" t="s">
        <v>1613</v>
      </c>
      <c r="AB336" s="20" t="s">
        <v>1614</v>
      </c>
      <c r="AC336" s="20" t="s">
        <v>1409</v>
      </c>
      <c r="AD336" s="20"/>
      <c r="AE336" s="20" t="s">
        <v>50</v>
      </c>
      <c r="AF336" s="20"/>
      <c r="AG336" s="20" t="s">
        <v>1500</v>
      </c>
      <c r="AH336" s="20"/>
    </row>
    <row r="337" spans="1:34" ht="17" customHeight="1" x14ac:dyDescent="0.2">
      <c r="A337" s="20" t="s">
        <v>1606</v>
      </c>
      <c r="B337" s="20"/>
      <c r="C337" s="20"/>
      <c r="D337" s="20" t="s">
        <v>1493</v>
      </c>
      <c r="E337" s="18" t="str">
        <f t="shared" si="49"/>
        <v>Heffner</v>
      </c>
      <c r="F337" s="17"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17" t="str">
        <f t="shared" si="50"/>
        <v>2007</v>
      </c>
      <c r="H337" s="18" t="str">
        <f t="shared" si="51"/>
        <v>Heffner_etal_2007</v>
      </c>
      <c r="I337" s="18" t="str">
        <f t="shared" si="53"/>
        <v>10.1016%2Fj.heares.2007.06.001</v>
      </c>
      <c r="J337" s="18" t="str">
        <f t="shared" si="52"/>
        <v>Heffner_etal_2007_Figure6</v>
      </c>
      <c r="K337" s="17" t="str">
        <f t="shared" si="48"/>
        <v>10.1016%2Fj.heares.2007.06.001_Figure6</v>
      </c>
      <c r="L337" s="17" t="str">
        <f t="array" ref="L337">IFERROR(INDEX(AUTO_Public_TSV_FileList!$A$1:$A$1000,MATCH(TRUE(),EXACT(K337,IFERROR(_xlfn.TEXTBEFORE(AUTO_Public_TSV_FileList!$A$1:$A$1000,".tsv"),"")),0)),"notfound")</f>
        <v>10.1016%2Fj.heares.2007.06.001_Figure6.tsv</v>
      </c>
      <c r="M337" s="20" t="s">
        <v>1615</v>
      </c>
      <c r="N337" s="20" t="s">
        <v>541</v>
      </c>
      <c r="O337" s="20" t="s">
        <v>1616</v>
      </c>
      <c r="P337" s="20" t="s">
        <v>55</v>
      </c>
      <c r="Q337" s="20"/>
      <c r="R337" s="20" t="s">
        <v>1609</v>
      </c>
      <c r="S337" s="20"/>
      <c r="T337" s="20"/>
      <c r="U337" s="20"/>
      <c r="V337" s="20" t="s">
        <v>1449</v>
      </c>
      <c r="W337" s="20" t="s">
        <v>1617</v>
      </c>
      <c r="X337" s="20" t="s">
        <v>1618</v>
      </c>
      <c r="Y337" s="20"/>
      <c r="Z337" s="20" t="s">
        <v>445</v>
      </c>
      <c r="AA337" s="20" t="s">
        <v>1619</v>
      </c>
      <c r="AB337" s="20" t="s">
        <v>1453</v>
      </c>
      <c r="AC337" s="20" t="s">
        <v>1409</v>
      </c>
      <c r="AD337" s="20"/>
      <c r="AE337" s="20" t="s">
        <v>70</v>
      </c>
      <c r="AF337" s="20" t="s">
        <v>1620</v>
      </c>
      <c r="AG337" s="20" t="s">
        <v>449</v>
      </c>
      <c r="AH337" s="20"/>
    </row>
    <row r="338" spans="1:34" ht="17" customHeight="1" x14ac:dyDescent="0.2">
      <c r="A338" s="20" t="s">
        <v>1621</v>
      </c>
      <c r="B338" s="20"/>
      <c r="C338" s="20"/>
      <c r="D338" s="20" t="s">
        <v>500</v>
      </c>
      <c r="E338" s="18" t="str">
        <f t="shared" si="49"/>
        <v>Heffner</v>
      </c>
      <c r="F338" s="17"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17" t="str">
        <f t="shared" si="50"/>
        <v>2008</v>
      </c>
      <c r="H338" s="18" t="str">
        <f t="shared" si="51"/>
        <v>Heffner_etal_2008</v>
      </c>
      <c r="I338" s="18" t="str">
        <f t="shared" si="53"/>
        <v>10.1016%2Fj.heares.2008.05.001</v>
      </c>
      <c r="J338" s="18" t="str">
        <f t="shared" si="52"/>
        <v>Heffner_etal_2008_ResultsText</v>
      </c>
      <c r="K338" s="17" t="str">
        <f t="shared" si="48"/>
        <v>10.1016%2Fj.heares.2008.05.001_ResultsText</v>
      </c>
      <c r="L338" s="17" t="str">
        <f t="array" ref="L338">IFERROR(INDEX(AUTO_Public_TSV_FileList!$A$1:$A$1000,MATCH(TRUE(),EXACT(K338,IFERROR(_xlfn.TEXTBEFORE(AUTO_Public_TSV_FileList!$A$1:$A$1000,".tsv"),"")),0)),"notfound")</f>
        <v>notfound</v>
      </c>
      <c r="M338" s="20" t="s">
        <v>1622</v>
      </c>
      <c r="N338" s="20" t="s">
        <v>659</v>
      </c>
      <c r="O338" s="20" t="s">
        <v>1623</v>
      </c>
      <c r="P338" s="20"/>
      <c r="Q338" s="20"/>
      <c r="R338" s="20" t="s">
        <v>1624</v>
      </c>
      <c r="S338" s="20"/>
      <c r="T338" s="20"/>
      <c r="U338" s="20"/>
      <c r="V338" s="20" t="s">
        <v>1449</v>
      </c>
      <c r="W338" s="20" t="s">
        <v>1625</v>
      </c>
      <c r="X338" s="20" t="s">
        <v>1626</v>
      </c>
      <c r="Y338" s="20" t="s">
        <v>1627</v>
      </c>
      <c r="Z338" s="20"/>
      <c r="AA338" s="20" t="s">
        <v>1581</v>
      </c>
      <c r="AB338" s="20" t="s">
        <v>1453</v>
      </c>
      <c r="AC338" s="20" t="s">
        <v>1409</v>
      </c>
      <c r="AD338" s="20"/>
      <c r="AE338" s="20" t="s">
        <v>50</v>
      </c>
      <c r="AF338" s="20"/>
      <c r="AG338" s="20" t="s">
        <v>1583</v>
      </c>
      <c r="AH338" s="20"/>
    </row>
    <row r="339" spans="1:34" ht="17" customHeight="1" x14ac:dyDescent="0.2">
      <c r="A339" s="20" t="s">
        <v>1621</v>
      </c>
      <c r="B339" s="20"/>
      <c r="C339" s="20"/>
      <c r="D339" s="20" t="s">
        <v>86</v>
      </c>
      <c r="E339" s="18" t="str">
        <f t="shared" si="49"/>
        <v>Heffner</v>
      </c>
      <c r="F339" s="17"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17" t="str">
        <f t="shared" si="50"/>
        <v>2008</v>
      </c>
      <c r="H339" s="18" t="str">
        <f t="shared" si="51"/>
        <v>Heffner_etal_2008</v>
      </c>
      <c r="I339" s="18" t="str">
        <f>_xlfn.LET(
_xlpm.doi,IF(C339&lt;&gt;"",C339,_xlfn.TEXTAFTER(A339,"https://doi.org/")),
SUBSTITUTE(
SUBSTITUTE(
SUBSTITUTE(
SUBSTITUTE(
_xlpm.doi,
"/","%2F"),
":","%3A"),
"&lt;","%3C"),
"&gt;","%3E")
)</f>
        <v>10.1016%2Fj.heares.2008.05.001</v>
      </c>
      <c r="J339" s="18" t="str">
        <f t="shared" si="52"/>
        <v>Heffner_etal_2008_Table1</v>
      </c>
      <c r="K339" s="17" t="str">
        <f>I339 &amp; "_" &amp; SUBSTITUTE(SUBSTITUTE(SUBSTITUTE(D339,CHAR(160),""), " ", ""), "_", "")</f>
        <v>10.1016%2Fj.heares.2008.05.001_Table1</v>
      </c>
      <c r="L339" s="17" t="str">
        <f t="array" ref="L339">IFERROR(INDEX(AUTO_Public_TSV_FileList!$A$1:$A$1000,MATCH(TRUE(),EXACT(K339,IFERROR(_xlfn.TEXTBEFORE(AUTO_Public_TSV_FileList!$A$1:$A$1000,".tsv"),"")),0)),"notfound")</f>
        <v>10.1016%2Fj.heares.2008.05.001_Table1.tsv</v>
      </c>
      <c r="M339" s="20" t="s">
        <v>1628</v>
      </c>
      <c r="N339" s="20" t="s">
        <v>54</v>
      </c>
      <c r="O339" s="20" t="s">
        <v>1629</v>
      </c>
      <c r="P339" s="20" t="s">
        <v>55</v>
      </c>
      <c r="Q339" s="20"/>
      <c r="R339" s="20" t="s">
        <v>1624</v>
      </c>
      <c r="S339" s="20"/>
      <c r="T339" s="20"/>
      <c r="U339" s="20"/>
      <c r="V339" s="20" t="s">
        <v>1403</v>
      </c>
      <c r="W339" s="20" t="s">
        <v>1630</v>
      </c>
      <c r="X339" s="20" t="s">
        <v>1631</v>
      </c>
      <c r="Y339" s="20"/>
      <c r="Z339" s="20" t="s">
        <v>445</v>
      </c>
      <c r="AA339" s="20" t="s">
        <v>1407</v>
      </c>
      <c r="AB339" s="20" t="s">
        <v>1632</v>
      </c>
      <c r="AC339" s="20" t="s">
        <v>1409</v>
      </c>
      <c r="AD339" s="20"/>
      <c r="AE339" s="20" t="s">
        <v>70</v>
      </c>
      <c r="AF339" s="20"/>
      <c r="AG339" s="20"/>
      <c r="AH339" s="20"/>
    </row>
    <row r="340" spans="1:34" ht="17" customHeight="1" x14ac:dyDescent="0.2">
      <c r="A340" s="20" t="s">
        <v>1633</v>
      </c>
      <c r="B340" s="20"/>
      <c r="C340" s="20"/>
      <c r="D340" s="20" t="s">
        <v>439</v>
      </c>
      <c r="E340" s="18" t="str">
        <f t="shared" si="49"/>
        <v>Heffner</v>
      </c>
      <c r="F340" s="17"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17" t="str">
        <f t="shared" si="50"/>
        <v>2010</v>
      </c>
      <c r="H340" s="18" t="str">
        <f t="shared" si="51"/>
        <v>Heffner_etal_2010</v>
      </c>
      <c r="I340" s="18" t="str">
        <f t="shared" ref="I340:I347" si="54">_xlfn.LET(_xlpm.doi,IF(C340&lt;&gt;"",C340,_xlfn.TEXTAFTER(A340,"https://doi.org/")),SUBSTITUTE(SUBSTITUTE(SUBSTITUTE(SUBSTITUTE(_xlpm.doi,"/","%2F"),":","%3A"),"&lt;","%3C"),"&gt;","%3E"))</f>
        <v>10.1121%2F1.3372717</v>
      </c>
      <c r="J340" s="18" t="str">
        <f t="shared" si="52"/>
        <v>Heffner_etal_2010_TableI</v>
      </c>
      <c r="K340" s="17" t="str">
        <f t="shared" ref="K340:K347" si="55">I340 &amp; "_" &amp; SUBSTITUTE(SUBSTITUTE(SUBSTITUTE(D340,CHAR(160),"")," ",""),"_","")</f>
        <v>10.1121%2F1.3372717_TableI</v>
      </c>
      <c r="L340" s="17" t="str">
        <f t="array" ref="L340">IFERROR(INDEX(AUTO_Public_TSV_FileList!$A$1:$A$1000,MATCH(TRUE(),EXACT(K340,IFERROR(_xlfn.TEXTBEFORE(AUTO_Public_TSV_FileList!$A$1:$A$1000,".tsv"),"")),0)),"notfound")</f>
        <v>10.1121%2F1.3372717_TableI.tsv</v>
      </c>
      <c r="M340" s="20" t="s">
        <v>1634</v>
      </c>
      <c r="N340" s="20" t="s">
        <v>54</v>
      </c>
      <c r="O340" s="20" t="s">
        <v>1635</v>
      </c>
      <c r="P340" s="20" t="s">
        <v>55</v>
      </c>
      <c r="Q340" s="20"/>
      <c r="R340" s="20"/>
      <c r="S340" s="20"/>
      <c r="T340" s="20"/>
      <c r="U340" s="20"/>
      <c r="V340" s="20"/>
      <c r="W340" s="20"/>
      <c r="X340" s="20"/>
      <c r="Y340" s="20"/>
      <c r="Z340" s="20"/>
      <c r="AA340" s="20"/>
      <c r="AB340" s="20"/>
      <c r="AC340" s="20"/>
      <c r="AD340" s="20"/>
      <c r="AE340" s="20"/>
      <c r="AF340" s="20"/>
      <c r="AG340" s="20"/>
      <c r="AH340" s="20"/>
    </row>
    <row r="341" spans="1:34" ht="17" customHeight="1" x14ac:dyDescent="0.2">
      <c r="A341" s="20" t="s">
        <v>1636</v>
      </c>
      <c r="B341" s="20"/>
      <c r="C341" s="20"/>
      <c r="D341" s="20" t="s">
        <v>110</v>
      </c>
      <c r="E341" s="18" t="str">
        <f t="shared" si="49"/>
        <v>Heffner</v>
      </c>
      <c r="F341" s="17"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17" t="str">
        <f t="shared" si="50"/>
        <v>2013</v>
      </c>
      <c r="H341" s="18" t="str">
        <f t="shared" si="51"/>
        <v>Heffner_etal_2013</v>
      </c>
      <c r="I341" s="18" t="str">
        <f t="shared" si="54"/>
        <v>10.1016%2Fj.heares.2012.09.011</v>
      </c>
      <c r="J341" s="18" t="str">
        <f t="shared" si="52"/>
        <v>Heffner_etal_2013_Figure2</v>
      </c>
      <c r="K341" s="17" t="str">
        <f t="shared" si="55"/>
        <v>10.1016%2Fj.heares.2012.09.011_Figure2</v>
      </c>
      <c r="L341" s="17" t="str">
        <f t="array" ref="L341">IFERROR(INDEX(AUTO_Public_TSV_FileList!$A$1:$A$1000,MATCH(TRUE(),EXACT(K341,IFERROR(_xlfn.TEXTBEFORE(AUTO_Public_TSV_FileList!$A$1:$A$1000,".tsv"),"")),0)),"notfound")</f>
        <v>notfound</v>
      </c>
      <c r="M341" s="20" t="s">
        <v>1637</v>
      </c>
      <c r="N341" s="20" t="s">
        <v>541</v>
      </c>
      <c r="O341" s="20" t="s">
        <v>1489</v>
      </c>
      <c r="P341" s="20" t="s">
        <v>133</v>
      </c>
      <c r="Q341" s="20"/>
      <c r="R341" s="20" t="s">
        <v>1638</v>
      </c>
      <c r="S341" s="20"/>
      <c r="T341" s="20"/>
      <c r="U341" s="20"/>
      <c r="V341" s="20" t="s">
        <v>101</v>
      </c>
      <c r="W341" s="20" t="s">
        <v>1639</v>
      </c>
      <c r="X341" s="20" t="s">
        <v>1591</v>
      </c>
      <c r="Y341" s="20"/>
      <c r="Z341" s="20" t="s">
        <v>445</v>
      </c>
      <c r="AA341" s="20" t="s">
        <v>1462</v>
      </c>
      <c r="AB341" s="20" t="s">
        <v>1097</v>
      </c>
      <c r="AC341" s="20" t="s">
        <v>1409</v>
      </c>
      <c r="AD341" s="20"/>
      <c r="AE341" s="20" t="s">
        <v>50</v>
      </c>
      <c r="AF341" s="20"/>
      <c r="AG341" s="20" t="s">
        <v>1492</v>
      </c>
      <c r="AH341" s="20"/>
    </row>
    <row r="342" spans="1:34" ht="17" customHeight="1" x14ac:dyDescent="0.2">
      <c r="A342" s="20" t="s">
        <v>1636</v>
      </c>
      <c r="B342" s="20"/>
      <c r="C342" s="20"/>
      <c r="D342" s="20" t="s">
        <v>500</v>
      </c>
      <c r="E342" s="18" t="str">
        <f t="shared" si="49"/>
        <v>Heffner</v>
      </c>
      <c r="F342" s="17"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17" t="str">
        <f t="shared" si="50"/>
        <v>2013</v>
      </c>
      <c r="H342" s="18" t="str">
        <f t="shared" si="51"/>
        <v>Heffner_etal_2013</v>
      </c>
      <c r="I342" s="18" t="str">
        <f t="shared" si="54"/>
        <v>10.1016%2Fj.heares.2012.09.011</v>
      </c>
      <c r="J342" s="18" t="str">
        <f t="shared" si="52"/>
        <v>Heffner_etal_2013_ResultsText</v>
      </c>
      <c r="K342" s="17" t="str">
        <f t="shared" si="55"/>
        <v>10.1016%2Fj.heares.2012.09.011_ResultsText</v>
      </c>
      <c r="L342" s="17" t="str">
        <f t="array" ref="L342">IFERROR(INDEX(AUTO_Public_TSV_FileList!$A$1:$A$1000,MATCH(TRUE(),EXACT(K342,IFERROR(_xlfn.TEXTBEFORE(AUTO_Public_TSV_FileList!$A$1:$A$1000,".tsv"),"")),0)),"notfound")</f>
        <v>10.1016%2Fj.heares.2012.09.011_ResultsText.tsv</v>
      </c>
      <c r="M342" s="20" t="s">
        <v>1640</v>
      </c>
      <c r="N342" s="20" t="s">
        <v>659</v>
      </c>
      <c r="O342" s="20" t="s">
        <v>1641</v>
      </c>
      <c r="P342" s="20" t="s">
        <v>55</v>
      </c>
      <c r="Q342" s="20"/>
      <c r="R342" s="20" t="s">
        <v>1638</v>
      </c>
      <c r="S342" s="20"/>
      <c r="T342" s="20"/>
      <c r="U342" s="20"/>
      <c r="V342" s="20" t="s">
        <v>101</v>
      </c>
      <c r="W342" s="20" t="s">
        <v>1642</v>
      </c>
      <c r="X342" s="20" t="s">
        <v>1643</v>
      </c>
      <c r="Y342" s="20"/>
      <c r="Z342" s="20" t="s">
        <v>445</v>
      </c>
      <c r="AA342" s="20" t="s">
        <v>1462</v>
      </c>
      <c r="AB342" s="20" t="s">
        <v>1644</v>
      </c>
      <c r="AC342" s="20" t="s">
        <v>1409</v>
      </c>
      <c r="AD342" s="20"/>
      <c r="AE342" s="20" t="s">
        <v>50</v>
      </c>
      <c r="AF342" s="20"/>
      <c r="AG342" s="20" t="s">
        <v>449</v>
      </c>
      <c r="AH342" s="20"/>
    </row>
    <row r="343" spans="1:34" ht="17" customHeight="1" x14ac:dyDescent="0.2">
      <c r="A343" s="20" t="s">
        <v>1636</v>
      </c>
      <c r="B343" s="20"/>
      <c r="C343" s="20"/>
      <c r="D343" s="20" t="s">
        <v>86</v>
      </c>
      <c r="E343" s="18" t="str">
        <f t="shared" si="49"/>
        <v>Heffner</v>
      </c>
      <c r="F343" s="17"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17" t="str">
        <f t="shared" si="50"/>
        <v>2013</v>
      </c>
      <c r="H343" s="18" t="str">
        <f t="shared" si="51"/>
        <v>Heffner_etal_2013</v>
      </c>
      <c r="I343" s="18" t="str">
        <f t="shared" si="54"/>
        <v>10.1016%2Fj.heares.2012.09.011</v>
      </c>
      <c r="J343" s="18" t="str">
        <f t="shared" si="52"/>
        <v>Heffner_etal_2013_Table1</v>
      </c>
      <c r="K343" s="17" t="str">
        <f t="shared" si="55"/>
        <v>10.1016%2Fj.heares.2012.09.011_Table1</v>
      </c>
      <c r="L343" s="17" t="str">
        <f t="array" ref="L343">IFERROR(INDEX(AUTO_Public_TSV_FileList!$A$1:$A$1000,MATCH(TRUE(),EXACT(K343,IFERROR(_xlfn.TEXTBEFORE(AUTO_Public_TSV_FileList!$A$1:$A$1000,".tsv"),"")),0)),"notfound")</f>
        <v>notfound</v>
      </c>
      <c r="M343" s="20" t="s">
        <v>1645</v>
      </c>
      <c r="N343" s="20" t="s">
        <v>88</v>
      </c>
      <c r="O343" s="20" t="s">
        <v>1489</v>
      </c>
      <c r="P343" s="20" t="s">
        <v>133</v>
      </c>
      <c r="Q343" s="20"/>
      <c r="R343" s="20" t="s">
        <v>1638</v>
      </c>
      <c r="S343" s="20"/>
      <c r="T343" s="20"/>
      <c r="U343" s="20"/>
      <c r="V343" s="20" t="s">
        <v>101</v>
      </c>
      <c r="W343" s="20" t="s">
        <v>1646</v>
      </c>
      <c r="X343" s="20" t="s">
        <v>1647</v>
      </c>
      <c r="Y343" s="20"/>
      <c r="Z343" s="20" t="s">
        <v>445</v>
      </c>
      <c r="AA343" s="20" t="s">
        <v>1565</v>
      </c>
      <c r="AB343" s="20" t="s">
        <v>1648</v>
      </c>
      <c r="AC343" s="20" t="s">
        <v>1409</v>
      </c>
      <c r="AD343" s="20"/>
      <c r="AE343" s="20" t="s">
        <v>70</v>
      </c>
      <c r="AF343" s="20" t="s">
        <v>1567</v>
      </c>
      <c r="AG343" s="20" t="s">
        <v>1492</v>
      </c>
      <c r="AH343" s="20"/>
    </row>
    <row r="344" spans="1:34" ht="17" customHeight="1" x14ac:dyDescent="0.2">
      <c r="A344" s="20" t="s">
        <v>1649</v>
      </c>
      <c r="B344" s="20"/>
      <c r="C344" s="20"/>
      <c r="D344" s="20" t="s">
        <v>120</v>
      </c>
      <c r="E344" s="18" t="str">
        <f t="shared" si="49"/>
        <v>Heffner</v>
      </c>
      <c r="F344" s="17"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17" t="str">
        <f t="shared" si="50"/>
        <v>2014</v>
      </c>
      <c r="H344" s="18" t="str">
        <f t="shared" si="51"/>
        <v>Heffner_etal_2014</v>
      </c>
      <c r="I344" s="18" t="str">
        <f t="shared" si="54"/>
        <v>10.1121%2F1.4861344</v>
      </c>
      <c r="J344" s="18" t="str">
        <f t="shared" si="52"/>
        <v>Heffner_etal_2014_Figure3</v>
      </c>
      <c r="K344" s="17" t="str">
        <f t="shared" si="55"/>
        <v>10.1121%2F1.4861344_Figure3</v>
      </c>
      <c r="L344" s="17" t="str">
        <f t="array" ref="L344">IFERROR(INDEX(AUTO_Public_TSV_FileList!$A$1:$A$1000,MATCH(TRUE(),EXACT(K344,IFERROR(_xlfn.TEXTBEFORE(AUTO_Public_TSV_FileList!$A$1:$A$1000,".tsv"),"")),0)),"notfound")</f>
        <v>notfound</v>
      </c>
      <c r="M344" s="20" t="s">
        <v>1650</v>
      </c>
      <c r="N344" s="20" t="s">
        <v>541</v>
      </c>
      <c r="O344" s="20" t="s">
        <v>1489</v>
      </c>
      <c r="P344" s="20" t="s">
        <v>133</v>
      </c>
      <c r="Q344" s="20"/>
      <c r="R344" s="20" t="s">
        <v>1651</v>
      </c>
      <c r="S344" s="20"/>
      <c r="T344" s="20"/>
      <c r="U344" s="20"/>
      <c r="V344" s="20" t="s">
        <v>101</v>
      </c>
      <c r="W344" s="20" t="s">
        <v>1652</v>
      </c>
      <c r="X344" s="20" t="s">
        <v>1653</v>
      </c>
      <c r="Y344" s="20"/>
      <c r="Z344" s="20" t="s">
        <v>445</v>
      </c>
      <c r="AA344" s="20" t="s">
        <v>1462</v>
      </c>
      <c r="AB344" s="20" t="s">
        <v>1097</v>
      </c>
      <c r="AC344" s="20" t="s">
        <v>1409</v>
      </c>
      <c r="AD344" s="20"/>
      <c r="AE344" s="20" t="s">
        <v>50</v>
      </c>
      <c r="AF344" s="20"/>
      <c r="AG344" s="20" t="s">
        <v>1492</v>
      </c>
      <c r="AH344" s="20"/>
    </row>
    <row r="345" spans="1:34" ht="17" customHeight="1" x14ac:dyDescent="0.2">
      <c r="A345" s="20" t="s">
        <v>1649</v>
      </c>
      <c r="B345" s="20"/>
      <c r="C345" s="20"/>
      <c r="D345" s="20" t="s">
        <v>1654</v>
      </c>
      <c r="E345" s="18" t="str">
        <f t="shared" si="49"/>
        <v>Heffner</v>
      </c>
      <c r="F345" s="17"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17" t="str">
        <f t="shared" si="50"/>
        <v>2014</v>
      </c>
      <c r="H345" s="18" t="str">
        <f t="shared" si="51"/>
        <v>Heffner_etal_2014</v>
      </c>
      <c r="I345" s="18" t="str">
        <f t="shared" si="54"/>
        <v>10.1121%2F1.4861344</v>
      </c>
      <c r="J345" s="18" t="str">
        <f t="shared" si="52"/>
        <v>Heffner_etal_2014_Figure9</v>
      </c>
      <c r="K345" s="17" t="str">
        <f t="shared" si="55"/>
        <v>10.1121%2F1.4861344_Figure9</v>
      </c>
      <c r="L345" s="17" t="str">
        <f t="array" ref="L345">IFERROR(INDEX(AUTO_Public_TSV_FileList!$A$1:$A$1000,MATCH(TRUE(),EXACT(K345,IFERROR(_xlfn.TEXTBEFORE(AUTO_Public_TSV_FileList!$A$1:$A$1000,".tsv"),"")),0)),"notfound")</f>
        <v>notfound</v>
      </c>
      <c r="M345" s="20" t="s">
        <v>1655</v>
      </c>
      <c r="N345" s="20" t="s">
        <v>541</v>
      </c>
      <c r="O345" s="20" t="s">
        <v>1489</v>
      </c>
      <c r="P345" s="20" t="s">
        <v>133</v>
      </c>
      <c r="Q345" s="20"/>
      <c r="R345" s="20" t="s">
        <v>1651</v>
      </c>
      <c r="S345" s="20"/>
      <c r="T345" s="20"/>
      <c r="U345" s="20"/>
      <c r="V345" s="20" t="s">
        <v>101</v>
      </c>
      <c r="W345" s="20" t="s">
        <v>1595</v>
      </c>
      <c r="X345" s="20" t="s">
        <v>1571</v>
      </c>
      <c r="Y345" s="20"/>
      <c r="Z345" s="20" t="s">
        <v>1406</v>
      </c>
      <c r="AA345" s="20" t="s">
        <v>1565</v>
      </c>
      <c r="AB345" s="20" t="s">
        <v>1453</v>
      </c>
      <c r="AC345" s="20" t="s">
        <v>1409</v>
      </c>
      <c r="AD345" s="20"/>
      <c r="AE345" s="20" t="s">
        <v>265</v>
      </c>
      <c r="AF345" s="20" t="s">
        <v>1567</v>
      </c>
      <c r="AG345" s="20" t="s">
        <v>1500</v>
      </c>
      <c r="AH345" s="20"/>
    </row>
    <row r="346" spans="1:34" ht="17" customHeight="1" x14ac:dyDescent="0.2">
      <c r="A346" s="20" t="s">
        <v>1649</v>
      </c>
      <c r="B346" s="20"/>
      <c r="C346" s="20"/>
      <c r="D346" s="20" t="s">
        <v>1656</v>
      </c>
      <c r="E346" s="18" t="str">
        <f t="shared" si="49"/>
        <v>Heffner</v>
      </c>
      <c r="F346" s="17"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17" t="str">
        <f t="shared" si="50"/>
        <v>2014</v>
      </c>
      <c r="H346" s="18" t="str">
        <f t="shared" si="51"/>
        <v>Heffner_etal_2014</v>
      </c>
      <c r="I346" s="18" t="str">
        <f t="shared" si="54"/>
        <v>10.1121%2F1.4861344</v>
      </c>
      <c r="J346" s="18" t="str">
        <f t="shared" si="52"/>
        <v>Heffner_etal_2014_Figures10-11</v>
      </c>
      <c r="K346" s="17" t="str">
        <f t="shared" si="55"/>
        <v>10.1121%2F1.4861344_Figures10-11</v>
      </c>
      <c r="L346" s="17" t="str">
        <f t="array" ref="L346">IFERROR(INDEX(AUTO_Public_TSV_FileList!$A$1:$A$1000,MATCH(TRUE(),EXACT(K346,IFERROR(_xlfn.TEXTBEFORE(AUTO_Public_TSV_FileList!$A$1:$A$1000,".tsv"),"")),0)),"notfound")</f>
        <v>notfound</v>
      </c>
      <c r="M346" s="20" t="s">
        <v>1657</v>
      </c>
      <c r="N346" s="20" t="s">
        <v>541</v>
      </c>
      <c r="O346" s="20" t="s">
        <v>1489</v>
      </c>
      <c r="P346" s="20" t="s">
        <v>133</v>
      </c>
      <c r="Q346" s="20"/>
      <c r="R346" s="20" t="s">
        <v>1651</v>
      </c>
      <c r="S346" s="20"/>
      <c r="T346" s="20"/>
      <c r="U346" s="20"/>
      <c r="V346" s="20" t="s">
        <v>101</v>
      </c>
      <c r="W346" s="20" t="s">
        <v>1595</v>
      </c>
      <c r="X346" s="20" t="s">
        <v>1658</v>
      </c>
      <c r="Y346" s="20"/>
      <c r="Z346" s="20" t="s">
        <v>1406</v>
      </c>
      <c r="AA346" s="20" t="s">
        <v>1565</v>
      </c>
      <c r="AB346" s="20" t="s">
        <v>1659</v>
      </c>
      <c r="AC346" s="20" t="s">
        <v>1409</v>
      </c>
      <c r="AD346" s="20"/>
      <c r="AE346" s="20" t="s">
        <v>265</v>
      </c>
      <c r="AF346" s="20" t="s">
        <v>1567</v>
      </c>
      <c r="AG346" s="20" t="s">
        <v>1500</v>
      </c>
      <c r="AH346" s="20"/>
    </row>
    <row r="347" spans="1:34" ht="17" customHeight="1" x14ac:dyDescent="0.2">
      <c r="A347" s="20" t="s">
        <v>1649</v>
      </c>
      <c r="B347" s="20"/>
      <c r="C347" s="20"/>
      <c r="D347" s="20" t="s">
        <v>500</v>
      </c>
      <c r="E347" s="18" t="str">
        <f t="shared" si="49"/>
        <v>Heffner</v>
      </c>
      <c r="F347" s="17"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17" t="str">
        <f t="shared" si="50"/>
        <v>2014</v>
      </c>
      <c r="H347" s="18" t="str">
        <f t="shared" si="51"/>
        <v>Heffner_etal_2014</v>
      </c>
      <c r="I347" s="18" t="str">
        <f t="shared" si="54"/>
        <v>10.1121%2F1.4861344</v>
      </c>
      <c r="J347" s="18" t="str">
        <f t="shared" si="52"/>
        <v>Heffner_etal_2014_ResultsText</v>
      </c>
      <c r="K347" s="17" t="str">
        <f t="shared" si="55"/>
        <v>10.1121%2F1.4861344_ResultsText</v>
      </c>
      <c r="L347" s="17" t="str">
        <f t="array" ref="L347">IFERROR(INDEX(AUTO_Public_TSV_FileList!$A$1:$A$1000,MATCH(TRUE(),EXACT(K347,IFERROR(_xlfn.TEXTBEFORE(AUTO_Public_TSV_FileList!$A$1:$A$1000,".tsv"),"")),0)),"notfound")</f>
        <v>10.1121%2F1.4861344_ResultsText.tsv</v>
      </c>
      <c r="M347" s="20" t="s">
        <v>1660</v>
      </c>
      <c r="N347" s="20" t="s">
        <v>659</v>
      </c>
      <c r="O347" s="20" t="s">
        <v>1661</v>
      </c>
      <c r="P347" s="20" t="s">
        <v>90</v>
      </c>
      <c r="Q347" s="20"/>
      <c r="R347" s="20" t="s">
        <v>1651</v>
      </c>
      <c r="S347" s="20"/>
      <c r="T347" s="20"/>
      <c r="U347" s="20"/>
      <c r="V347" s="20" t="s">
        <v>101</v>
      </c>
      <c r="W347" s="20" t="s">
        <v>1662</v>
      </c>
      <c r="X347" s="20" t="s">
        <v>1663</v>
      </c>
      <c r="Y347" s="20"/>
      <c r="Z347" s="20" t="s">
        <v>445</v>
      </c>
      <c r="AA347" s="20" t="s">
        <v>1664</v>
      </c>
      <c r="AB347" s="20" t="s">
        <v>1665</v>
      </c>
      <c r="AC347" s="20" t="s">
        <v>1409</v>
      </c>
      <c r="AD347" s="20"/>
      <c r="AE347" s="20" t="s">
        <v>50</v>
      </c>
      <c r="AF347" s="20"/>
      <c r="AG347" s="20" t="s">
        <v>449</v>
      </c>
      <c r="AH347" s="20"/>
    </row>
    <row r="348" spans="1:34" ht="17" customHeight="1" x14ac:dyDescent="0.2">
      <c r="A348" s="20" t="s">
        <v>1666</v>
      </c>
      <c r="B348" s="20"/>
      <c r="C348" s="20"/>
      <c r="D348" s="20" t="s">
        <v>439</v>
      </c>
      <c r="E348" s="18" t="str">
        <f t="shared" si="49"/>
        <v>Heffner</v>
      </c>
      <c r="F348" s="17"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17" t="str">
        <f t="shared" si="50"/>
        <v>2015</v>
      </c>
      <c r="H348" s="18" t="str">
        <f t="shared" si="51"/>
        <v>Heffner_etal_2015</v>
      </c>
      <c r="I348" s="18" t="str">
        <f>_xlfn.LET(
_xlpm.doi,IF(C348&lt;&gt;"",C348,_xlfn.TEXTAFTER(A348,"https://doi.org/")),
SUBSTITUTE(
SUBSTITUTE(
SUBSTITUTE(
SUBSTITUTE(
_xlpm.doi,
"/","%2F"),
":","%3A"),
"&lt;","%3C"),
"&gt;","%3E")
)</f>
        <v>10.1121%2F1.4904529</v>
      </c>
      <c r="J348" s="18" t="str">
        <f t="shared" si="52"/>
        <v>Heffner_etal_2015_TableI</v>
      </c>
      <c r="K348" s="17" t="str">
        <f>I348 &amp; "_" &amp; SUBSTITUTE(SUBSTITUTE(SUBSTITUTE(D348,CHAR(160),""), " ", ""), "_", "")</f>
        <v>10.1121%2F1.4904529_TableI</v>
      </c>
      <c r="L348" s="17" t="str">
        <f t="array" ref="L348">IFERROR(INDEX(AUTO_Public_TSV_FileList!$A$1:$A$1000,MATCH(TRUE(),EXACT(K348,IFERROR(_xlfn.TEXTBEFORE(AUTO_Public_TSV_FileList!$A$1:$A$1000,".tsv"),"")),0)),"notfound")</f>
        <v>10.1121%2F1.4904529_TableI.tsv</v>
      </c>
      <c r="M348" s="20" t="s">
        <v>1667</v>
      </c>
      <c r="N348" s="20" t="s">
        <v>54</v>
      </c>
      <c r="O348" s="20" t="s">
        <v>1668</v>
      </c>
      <c r="P348" s="20" t="s">
        <v>55</v>
      </c>
      <c r="Q348" s="20"/>
      <c r="R348" s="20" t="s">
        <v>1669</v>
      </c>
      <c r="S348" s="20"/>
      <c r="T348" s="20"/>
      <c r="U348" s="20"/>
      <c r="V348" s="20" t="s">
        <v>1403</v>
      </c>
      <c r="W348" s="20" t="s">
        <v>1630</v>
      </c>
      <c r="X348" s="20" t="s">
        <v>1670</v>
      </c>
      <c r="Y348" s="20" t="s">
        <v>1671</v>
      </c>
      <c r="Z348" s="20" t="s">
        <v>445</v>
      </c>
      <c r="AA348" s="20" t="s">
        <v>1407</v>
      </c>
      <c r="AB348" s="20" t="s">
        <v>1672</v>
      </c>
      <c r="AC348" s="20" t="s">
        <v>1409</v>
      </c>
      <c r="AD348" s="20"/>
      <c r="AE348" s="20" t="s">
        <v>70</v>
      </c>
      <c r="AF348" s="20"/>
      <c r="AG348" s="20"/>
      <c r="AH348" s="20"/>
    </row>
    <row r="349" spans="1:34" ht="17" customHeight="1" x14ac:dyDescent="0.2">
      <c r="A349" s="20" t="s">
        <v>1673</v>
      </c>
      <c r="B349" s="20"/>
      <c r="C349" s="20"/>
      <c r="D349" s="20" t="s">
        <v>369</v>
      </c>
      <c r="E349" s="18" t="str">
        <f t="shared" si="49"/>
        <v>Heffner</v>
      </c>
      <c r="F349" s="17"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9" s="17" t="str">
        <f t="shared" si="50"/>
        <v>2015</v>
      </c>
      <c r="H349" s="18" t="str">
        <f t="shared" si="51"/>
        <v>Heffner_etal_2015</v>
      </c>
      <c r="I349" s="18" t="str">
        <f>_xlfn.LET(_xlpm.doi,IF(C349&lt;&gt;"",C349,_xlfn.TEXTAFTER(A349,"https://doi.org/")),SUBSTITUTE(SUBSTITUTE(SUBSTITUTE(SUBSTITUTE(_xlpm.doi,"/","%2F"),":","%3A"),"&lt;","%3C"),"&gt;","%3E"))</f>
        <v>10.1121%2F1.4904529</v>
      </c>
      <c r="J349" s="18" t="str">
        <f t="shared" si="52"/>
        <v>Heffner_etal_2015_TABLEI</v>
      </c>
      <c r="K349" s="17" t="str">
        <f t="shared" ref="K349:K380" si="56">I349 &amp; "_" &amp; SUBSTITUTE(SUBSTITUTE(SUBSTITUTE(D349,CHAR(160),"")," ",""),"_","")</f>
        <v>10.1121%2F1.4904529_TABLEI</v>
      </c>
      <c r="L349" s="17" t="str">
        <f t="array" ref="L349">IFERROR(INDEX(AUTO_Public_TSV_FileList!$A$1:$A$1000,MATCH(TRUE(),EXACT(K349,IFERROR(_xlfn.TEXTBEFORE(AUTO_Public_TSV_FileList!$A$1:$A$1000,".tsv"),"")),0)),"notfound")</f>
        <v>notfound</v>
      </c>
      <c r="M349" s="20" t="s">
        <v>1674</v>
      </c>
      <c r="N349" s="20" t="s">
        <v>88</v>
      </c>
      <c r="O349" s="20" t="s">
        <v>1675</v>
      </c>
      <c r="P349" s="20"/>
      <c r="Q349" s="20"/>
      <c r="R349" s="20" t="s">
        <v>1669</v>
      </c>
      <c r="S349" s="20"/>
      <c r="T349" s="20" t="s">
        <v>1676</v>
      </c>
      <c r="U349" s="20"/>
      <c r="V349" s="20" t="s">
        <v>101</v>
      </c>
      <c r="W349" s="20" t="s">
        <v>1677</v>
      </c>
      <c r="X349" s="20" t="s">
        <v>1678</v>
      </c>
      <c r="Y349" s="20" t="s">
        <v>1679</v>
      </c>
      <c r="Z349" s="20"/>
      <c r="AA349" s="20" t="s">
        <v>1680</v>
      </c>
      <c r="AB349" s="20" t="s">
        <v>1681</v>
      </c>
      <c r="AC349" s="20" t="s">
        <v>1409</v>
      </c>
      <c r="AD349" s="20"/>
      <c r="AE349" s="20" t="s">
        <v>70</v>
      </c>
      <c r="AF349" s="20" t="s">
        <v>1682</v>
      </c>
      <c r="AG349" s="20" t="s">
        <v>1683</v>
      </c>
      <c r="AH349" s="20"/>
    </row>
    <row r="350" spans="1:34" ht="17" customHeight="1" x14ac:dyDescent="0.2">
      <c r="A350" s="19" t="s">
        <v>1684</v>
      </c>
      <c r="B350" s="20"/>
      <c r="C350" s="20"/>
      <c r="D350" s="19" t="s">
        <v>120</v>
      </c>
      <c r="E350" s="17" t="str">
        <f t="shared" si="49"/>
        <v>Heffner</v>
      </c>
      <c r="F350" s="17"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17" t="str">
        <f t="shared" si="50"/>
        <v>2020</v>
      </c>
      <c r="H350" s="17" t="str">
        <f t="shared" si="51"/>
        <v>Heffner_etal_2020</v>
      </c>
      <c r="I350" s="17" t="str">
        <f>_xlfn.LET(
_xlpm.doi,IF(C350&lt;&gt;"",C350,_xlfn.TEXTAFTER(A350,"https://doi.org/")),
SUBSTITUTE(
SUBSTITUTE(
SUBSTITUTE(
SUBSTITUTE(
_xlpm.doi,
"/","%2F"),
":","%3A"),
"&lt;","%3C"),
"&gt;","%3E")
)</f>
        <v>10.1007%2Fs00359-020-01424-8</v>
      </c>
      <c r="J350" s="17" t="str">
        <f t="shared" si="52"/>
        <v>Heffner_etal_2020_Figure3</v>
      </c>
      <c r="K350" s="17" t="str">
        <f t="shared" si="56"/>
        <v>10.1007%2Fs00359-020-01424-8_Figure3</v>
      </c>
      <c r="L350" s="17" t="str">
        <f t="array" ref="L350">IFERROR(INDEX(AUTO_Public_TSV_FileList!$A$1:$A$1000,MATCH(TRUE(),EXACT(K350,IFERROR(_xlfn.TEXTBEFORE(AUTO_Public_TSV_FileList!$A$1:$A$1000,".tsv"),"")),0)),"notfound")</f>
        <v>10.1007%2Fs00359-020-01424-8_Figure3.tsv</v>
      </c>
      <c r="M350" s="20" t="s">
        <v>1685</v>
      </c>
      <c r="N350" s="19" t="s">
        <v>541</v>
      </c>
      <c r="O350" s="20" t="s">
        <v>1686</v>
      </c>
      <c r="P350" s="19" t="s">
        <v>55</v>
      </c>
      <c r="Q350" s="19"/>
      <c r="R350" s="19"/>
      <c r="S350" s="20"/>
      <c r="T350" s="20"/>
      <c r="U350" s="20"/>
      <c r="V350" s="19"/>
      <c r="W350" s="20" t="s">
        <v>1687</v>
      </c>
      <c r="X350" s="20" t="s">
        <v>1688</v>
      </c>
      <c r="Y350" s="20"/>
      <c r="Z350" s="20"/>
      <c r="AA350" s="20"/>
      <c r="AB350" s="20" t="s">
        <v>1545</v>
      </c>
      <c r="AC350" s="20" t="s">
        <v>1409</v>
      </c>
      <c r="AD350" s="20"/>
      <c r="AE350" s="20" t="s">
        <v>70</v>
      </c>
      <c r="AF350" s="19"/>
      <c r="AG350" s="20"/>
      <c r="AH350" s="20"/>
    </row>
    <row r="351" spans="1:34" ht="17" customHeight="1" x14ac:dyDescent="0.2">
      <c r="A351" s="20" t="s">
        <v>1689</v>
      </c>
      <c r="B351" s="20" t="s">
        <v>493</v>
      </c>
      <c r="C351" s="20"/>
      <c r="D351" s="20" t="s">
        <v>86</v>
      </c>
      <c r="E351" s="18" t="str">
        <f t="shared" si="49"/>
        <v>Heffner</v>
      </c>
      <c r="F351" s="17"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51" s="17" t="str">
        <f t="shared" si="50"/>
        <v>2010</v>
      </c>
      <c r="H351" s="18" t="str">
        <f t="shared" si="51"/>
        <v>Heffner_Heffner_2010_b</v>
      </c>
      <c r="I351" s="18" t="str">
        <f>_xlfn.LET(_xlpm.doi,IF(C351&lt;&gt;"",C351,_xlfn.TEXTAFTER(A351,"https://doi.org/")),SUBSTITUTE(SUBSTITUTE(SUBSTITUTE(SUBSTITUTE(_xlpm.doi,"/","%2F"),":","%3A"),"&lt;","%3C"),"&gt;","%3E"))</f>
        <v>10.1002%2Far.21292</v>
      </c>
      <c r="J351" s="18" t="str">
        <f t="shared" si="52"/>
        <v>Heffner_Heffner_2010_b_Table1</v>
      </c>
      <c r="K351" s="17" t="str">
        <f t="shared" si="56"/>
        <v>10.1002%2Far.21292_Table1</v>
      </c>
      <c r="L351" s="17" t="str">
        <f t="array" ref="L351">IFERROR(INDEX(AUTO_Public_TSV_FileList!$A$1:$A$1000,MATCH(TRUE(),EXACT(K351,IFERROR(_xlfn.TEXTBEFORE(AUTO_Public_TSV_FileList!$A$1:$A$1000,".tsv"),"")),0)),"notfound")</f>
        <v>10.1002%2Far.21292_Table1.tsv</v>
      </c>
      <c r="M351" s="20" t="s">
        <v>1690</v>
      </c>
      <c r="N351" s="20" t="s">
        <v>88</v>
      </c>
      <c r="O351" s="20" t="s">
        <v>1691</v>
      </c>
      <c r="P351" s="20" t="s">
        <v>55</v>
      </c>
      <c r="Q351" s="20"/>
      <c r="R351" s="20" t="s">
        <v>1692</v>
      </c>
      <c r="S351" s="20"/>
      <c r="T351" s="20"/>
      <c r="U351" s="20"/>
      <c r="V351" s="20" t="s">
        <v>101</v>
      </c>
      <c r="W351" s="20" t="s">
        <v>1693</v>
      </c>
      <c r="X351" s="20" t="s">
        <v>1694</v>
      </c>
      <c r="Y351" s="20"/>
      <c r="Z351" s="20" t="s">
        <v>1406</v>
      </c>
      <c r="AA351" s="20" t="s">
        <v>1565</v>
      </c>
      <c r="AB351" s="20" t="s">
        <v>1695</v>
      </c>
      <c r="AC351" s="20" t="s">
        <v>1409</v>
      </c>
      <c r="AD351" s="20"/>
      <c r="AE351" s="20" t="s">
        <v>265</v>
      </c>
      <c r="AF351" s="20" t="s">
        <v>1696</v>
      </c>
      <c r="AG351" s="20" t="s">
        <v>449</v>
      </c>
      <c r="AH351" s="20"/>
    </row>
    <row r="352" spans="1:34" ht="17" customHeight="1" x14ac:dyDescent="0.2">
      <c r="A352" s="19" t="s">
        <v>1697</v>
      </c>
      <c r="B352" s="20"/>
      <c r="C352" s="20"/>
      <c r="D352" s="19" t="s">
        <v>439</v>
      </c>
      <c r="E352" s="17" t="str">
        <f t="shared" si="49"/>
        <v>Heffner</v>
      </c>
      <c r="F352" s="17"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352" s="17" t="str">
        <f t="shared" si="50"/>
        <v>1975</v>
      </c>
      <c r="H352" s="17" t="str">
        <f t="shared" si="51"/>
        <v>Heffner_Masterton_1975</v>
      </c>
      <c r="I352" s="17" t="str">
        <f t="shared" ref="I352:I364" si="57">_xlfn.LET(
_xlpm.doi,IF(C352&lt;&gt;"",C352,_xlfn.TEXTAFTER(A352,"https://doi.org/")),
SUBSTITUTE(
SUBSTITUTE(
SUBSTITUTE(
SUBSTITUTE(
_xlpm.doi,
"/","%2F"),
":","%3A"),
"&lt;","%3C"),
"&gt;","%3E")
)</f>
        <v>10.1159%2F000124401</v>
      </c>
      <c r="J352" s="17" t="str">
        <f t="shared" si="52"/>
        <v>Heffner_Masterton_1975_TableI</v>
      </c>
      <c r="K352" s="17" t="str">
        <f t="shared" si="56"/>
        <v>10.1159%2F000124401_TableI</v>
      </c>
      <c r="L352" s="17" t="str">
        <f t="array" ref="L352">IFERROR(INDEX(AUTO_Public_TSV_FileList!$A$1:$A$1000,MATCH(TRUE(),EXACT(K352,IFERROR(_xlfn.TEXTBEFORE(AUTO_Public_TSV_FileList!$A$1:$A$1000,".tsv"),"")),0)),"notfound")</f>
        <v>10.1159%2F000124401_TableI.tsv</v>
      </c>
      <c r="M352" s="20"/>
      <c r="N352" s="19" t="s">
        <v>54</v>
      </c>
      <c r="O352" s="20"/>
      <c r="P352" s="19" t="s">
        <v>55</v>
      </c>
      <c r="Q352" s="19"/>
      <c r="R352" s="19" t="s">
        <v>1183</v>
      </c>
      <c r="S352" s="20"/>
      <c r="T352" s="20"/>
      <c r="U352" s="20"/>
      <c r="V352" s="19"/>
      <c r="W352" s="19" t="s">
        <v>224</v>
      </c>
      <c r="X352" s="19" t="s">
        <v>1698</v>
      </c>
      <c r="Y352" s="19" t="s">
        <v>1699</v>
      </c>
      <c r="Z352" s="20"/>
      <c r="AA352" s="20"/>
      <c r="AB352" s="19" t="s">
        <v>1700</v>
      </c>
      <c r="AC352" s="20"/>
      <c r="AD352" s="20"/>
      <c r="AE352" s="19" t="s">
        <v>70</v>
      </c>
      <c r="AF352" s="19"/>
      <c r="AG352" s="20"/>
      <c r="AH352" s="20"/>
    </row>
    <row r="353" spans="1:34" ht="17" customHeight="1" x14ac:dyDescent="0.2">
      <c r="A353" s="19" t="s">
        <v>1701</v>
      </c>
      <c r="B353" s="20"/>
      <c r="C353" s="19" t="s">
        <v>1702</v>
      </c>
      <c r="D353" s="19" t="s">
        <v>77</v>
      </c>
      <c r="E353" s="17" t="str">
        <f t="shared" si="49"/>
        <v>Heiss</v>
      </c>
      <c r="F353" s="17"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17" t="str">
        <f t="shared" si="50"/>
        <v>2004</v>
      </c>
      <c r="H353" s="17" t="str">
        <f t="shared" si="51"/>
        <v>Heiss_etal_2004</v>
      </c>
      <c r="I353" s="17" t="str">
        <f t="shared" si="57"/>
        <v>PMID%3A15534048</v>
      </c>
      <c r="J353" s="17" t="str">
        <f t="shared" si="52"/>
        <v>Heiss_etal_2004_TABLE1</v>
      </c>
      <c r="K353" s="17" t="str">
        <f t="shared" si="56"/>
        <v>PMID%3A15534048_TABLE1</v>
      </c>
      <c r="L353" s="17" t="str">
        <f t="array" ref="L353">IFERROR(INDEX(AUTO_Public_TSV_FileList!$A$1:$A$1000,MATCH(TRUE(),EXACT(K353,IFERROR(_xlfn.TEXTBEFORE(AUTO_Public_TSV_FileList!$A$1:$A$1000,".tsv"),"")),0)),"notfound")</f>
        <v>PMID%3A15534048_TABLE1.tsv</v>
      </c>
      <c r="M353" s="19" t="s">
        <v>1703</v>
      </c>
      <c r="N353" s="20"/>
      <c r="O353" s="19"/>
      <c r="P353" s="20" t="s">
        <v>55</v>
      </c>
      <c r="Q353" s="20"/>
      <c r="R353" s="19" t="s">
        <v>1183</v>
      </c>
      <c r="S353" s="20"/>
      <c r="T353" s="20"/>
      <c r="U353" s="20"/>
      <c r="V353" s="20"/>
      <c r="W353" s="19" t="s">
        <v>1210</v>
      </c>
      <c r="X353" s="19" t="s">
        <v>1704</v>
      </c>
      <c r="Y353" s="20"/>
      <c r="Z353" s="20"/>
      <c r="AA353" s="20"/>
      <c r="AB353" s="19" t="s">
        <v>1705</v>
      </c>
      <c r="AC353" s="20"/>
      <c r="AD353" s="20"/>
      <c r="AE353" s="19" t="s">
        <v>50</v>
      </c>
      <c r="AF353" s="19"/>
      <c r="AG353" s="20"/>
      <c r="AH353" s="20"/>
    </row>
    <row r="354" spans="1:34" ht="17" customHeight="1" x14ac:dyDescent="0.2">
      <c r="A354" s="19" t="s">
        <v>1706</v>
      </c>
      <c r="B354" s="20"/>
      <c r="C354" s="20"/>
      <c r="D354" s="19" t="s">
        <v>390</v>
      </c>
      <c r="E354" s="17" t="str">
        <f t="shared" si="49"/>
        <v>Heldstab</v>
      </c>
      <c r="F354" s="17"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17" t="str">
        <f t="shared" si="50"/>
        <v>2016</v>
      </c>
      <c r="H354" s="17" t="str">
        <f t="shared" si="51"/>
        <v>Heldstab_etal_2016</v>
      </c>
      <c r="I354" s="17" t="str">
        <f t="shared" si="57"/>
        <v>10.1038%2Fsrep24528</v>
      </c>
      <c r="J354" s="17" t="str">
        <f t="shared" si="52"/>
        <v>Heldstab_etal_2016_TableS1</v>
      </c>
      <c r="K354" s="17" t="str">
        <f t="shared" si="56"/>
        <v>10.1038%2Fsrep24528_TableS1</v>
      </c>
      <c r="L354" s="17" t="str">
        <f t="array" ref="L354">IFERROR(INDEX(AUTO_Public_TSV_FileList!$A$1:$A$1000,MATCH(TRUE(),EXACT(K354,IFERROR(_xlfn.TEXTBEFORE(AUTO_Public_TSV_FileList!$A$1:$A$1000,".tsv"),"")),0)),"notfound")</f>
        <v>10.1038%2Fsrep24528_TableS1.tsv</v>
      </c>
      <c r="M354" s="20"/>
      <c r="N354" s="19" t="s">
        <v>54</v>
      </c>
      <c r="O354" s="20"/>
      <c r="P354" s="20" t="s">
        <v>55</v>
      </c>
      <c r="Q354" s="20"/>
      <c r="R354" s="19" t="s">
        <v>1183</v>
      </c>
      <c r="S354" s="20"/>
      <c r="T354" s="20"/>
      <c r="U354" s="20"/>
      <c r="V354" s="19"/>
      <c r="W354" s="19" t="s">
        <v>187</v>
      </c>
      <c r="X354" s="19" t="s">
        <v>1707</v>
      </c>
      <c r="Y354" s="20"/>
      <c r="Z354" s="20"/>
      <c r="AA354" s="20"/>
      <c r="AB354" s="19" t="s">
        <v>1708</v>
      </c>
      <c r="AC354" s="20"/>
      <c r="AD354" s="20"/>
      <c r="AE354" s="19" t="s">
        <v>265</v>
      </c>
      <c r="AF354" s="19"/>
      <c r="AG354" s="20"/>
      <c r="AH354" s="20"/>
    </row>
    <row r="355" spans="1:34" ht="17" customHeight="1" x14ac:dyDescent="0.2">
      <c r="A355" s="19" t="s">
        <v>1720</v>
      </c>
      <c r="B355" s="20"/>
      <c r="C355" s="20"/>
      <c r="D355" s="19" t="s">
        <v>86</v>
      </c>
      <c r="E355" s="17" t="str">
        <f t="shared" si="49"/>
        <v>HerculanoHouzel</v>
      </c>
      <c r="F355" s="17"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17" t="str">
        <f t="shared" si="50"/>
        <v>2015</v>
      </c>
      <c r="H355" s="17" t="str">
        <f t="shared" si="51"/>
        <v>HerculanoHouzel__2015</v>
      </c>
      <c r="I355" s="17" t="str">
        <f t="shared" si="57"/>
        <v>10.1098%2Frspb.2015.1853</v>
      </c>
      <c r="J355" s="17" t="str">
        <f t="shared" si="52"/>
        <v>HerculanoHouzel__2015_Table1</v>
      </c>
      <c r="K355" s="17" t="str">
        <f t="shared" si="56"/>
        <v>10.1098%2Frspb.2015.1853_Table1</v>
      </c>
      <c r="L355" s="17" t="str">
        <f t="array" ref="L355">IFERROR(INDEX(AUTO_Public_TSV_FileList!$A$1:$A$1000,MATCH(TRUE(),EXACT(K355,IFERROR(_xlfn.TEXTBEFORE(AUTO_Public_TSV_FileList!$A$1:$A$1000,".tsv"),"")),0)),"notfound")</f>
        <v>10.1098%2Frspb.2015.1853_Table1.tsv</v>
      </c>
      <c r="M355" s="20"/>
      <c r="N355" s="19" t="s">
        <v>54</v>
      </c>
      <c r="O355" s="20"/>
      <c r="P355" s="20" t="s">
        <v>55</v>
      </c>
      <c r="Q355" s="20"/>
      <c r="R355" s="20"/>
      <c r="S355" s="20"/>
      <c r="T355" s="20"/>
      <c r="U355" s="20"/>
      <c r="V355" s="20"/>
      <c r="W355" s="19" t="s">
        <v>224</v>
      </c>
      <c r="X355" s="19" t="s">
        <v>1721</v>
      </c>
      <c r="Y355" s="20"/>
      <c r="Z355" s="20"/>
      <c r="AA355" s="20"/>
      <c r="AB355" s="19" t="s">
        <v>1722</v>
      </c>
      <c r="AC355" s="20"/>
      <c r="AD355" s="20"/>
      <c r="AE355" s="19" t="s">
        <v>70</v>
      </c>
      <c r="AF355" s="19"/>
      <c r="AG355" s="20"/>
      <c r="AH355" s="20"/>
    </row>
    <row r="356" spans="1:34" ht="17" customHeight="1" x14ac:dyDescent="0.2">
      <c r="A356" s="19" t="s">
        <v>1720</v>
      </c>
      <c r="B356" s="20"/>
      <c r="C356" s="20"/>
      <c r="D356" s="19" t="s">
        <v>160</v>
      </c>
      <c r="E356" s="17" t="str">
        <f t="shared" si="49"/>
        <v>HerculanoHouzel</v>
      </c>
      <c r="F356" s="17"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17" t="str">
        <f t="shared" si="50"/>
        <v>2015</v>
      </c>
      <c r="H356" s="17" t="str">
        <f t="shared" si="51"/>
        <v>HerculanoHouzel__2015</v>
      </c>
      <c r="I356" s="17" t="str">
        <f t="shared" si="57"/>
        <v>10.1098%2Frspb.2015.1853</v>
      </c>
      <c r="J356" s="17" t="str">
        <f t="shared" si="52"/>
        <v>HerculanoHouzel__2015_Table2</v>
      </c>
      <c r="K356" s="17" t="str">
        <f t="shared" si="56"/>
        <v>10.1098%2Frspb.2015.1853_Table2</v>
      </c>
      <c r="L356" s="17" t="str">
        <f t="array" ref="L356">IFERROR(INDEX(AUTO_Public_TSV_FileList!$A$1:$A$1000,MATCH(TRUE(),EXACT(K356,IFERROR(_xlfn.TEXTBEFORE(AUTO_Public_TSV_FileList!$A$1:$A$1000,".tsv"),"")),0)),"notfound")</f>
        <v>10.1098%2Frspb.2015.1853_Table2.tsv</v>
      </c>
      <c r="M356" s="19" t="s">
        <v>1723</v>
      </c>
      <c r="N356" s="19" t="s">
        <v>54</v>
      </c>
      <c r="O356" s="19"/>
      <c r="P356" s="20" t="s">
        <v>55</v>
      </c>
      <c r="Q356" s="20"/>
      <c r="R356" s="20"/>
      <c r="S356" s="20"/>
      <c r="T356" s="20"/>
      <c r="U356" s="20"/>
      <c r="V356" s="20"/>
      <c r="W356" s="19" t="s">
        <v>224</v>
      </c>
      <c r="X356" s="19" t="s">
        <v>1724</v>
      </c>
      <c r="Y356" s="20"/>
      <c r="Z356" s="20"/>
      <c r="AA356" s="20"/>
      <c r="AB356" s="19" t="s">
        <v>1725</v>
      </c>
      <c r="AC356" s="20"/>
      <c r="AD356" s="20"/>
      <c r="AE356" s="19" t="s">
        <v>70</v>
      </c>
      <c r="AF356" s="19"/>
      <c r="AG356" s="20"/>
      <c r="AH356" s="20"/>
    </row>
    <row r="357" spans="1:34" ht="17" customHeight="1" x14ac:dyDescent="0.2">
      <c r="A357" s="19" t="s">
        <v>1726</v>
      </c>
      <c r="B357" s="20"/>
      <c r="C357" s="20"/>
      <c r="D357" s="19" t="s">
        <v>86</v>
      </c>
      <c r="E357" s="17" t="str">
        <f t="shared" si="49"/>
        <v>HerculanoHouzel</v>
      </c>
      <c r="F357" s="17"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17" t="str">
        <f t="shared" si="50"/>
        <v>2015</v>
      </c>
      <c r="H357" s="17" t="str">
        <f t="shared" si="51"/>
        <v>HerculanoHouzel_etal_2015</v>
      </c>
      <c r="I357" s="17" t="str">
        <f t="shared" si="57"/>
        <v>10.1159%2F000437413</v>
      </c>
      <c r="J357" s="17" t="str">
        <f t="shared" si="52"/>
        <v>HerculanoHouzel_etal_2015_Table1</v>
      </c>
      <c r="K357" s="17" t="str">
        <f t="shared" si="56"/>
        <v>10.1159%2F000437413_Table1</v>
      </c>
      <c r="L357" s="17" t="str">
        <f t="array" ref="L357">IFERROR(INDEX(AUTO_Public_TSV_FileList!$A$1:$A$1000,MATCH(TRUE(),EXACT(K357,IFERROR(_xlfn.TEXTBEFORE(AUTO_Public_TSV_FileList!$A$1:$A$1000,".tsv"),"")),0)),"notfound")</f>
        <v>10.1159%2F000437413_Table1.tsv</v>
      </c>
      <c r="M357" s="19" t="s">
        <v>1727</v>
      </c>
      <c r="N357" s="19" t="s">
        <v>54</v>
      </c>
      <c r="O357" s="19"/>
      <c r="P357" s="19" t="s">
        <v>55</v>
      </c>
      <c r="Q357" s="19"/>
      <c r="R357" s="19" t="s">
        <v>1183</v>
      </c>
      <c r="S357" s="19" t="s">
        <v>1728</v>
      </c>
      <c r="T357" s="20"/>
      <c r="U357" s="20"/>
      <c r="V357" s="20"/>
      <c r="W357" s="19" t="s">
        <v>1729</v>
      </c>
      <c r="X357" s="19" t="s">
        <v>917</v>
      </c>
      <c r="Y357" s="20"/>
      <c r="Z357" s="20"/>
      <c r="AA357" s="19" t="s">
        <v>82</v>
      </c>
      <c r="AB357" s="19" t="s">
        <v>83</v>
      </c>
      <c r="AC357" s="19" t="s">
        <v>84</v>
      </c>
      <c r="AD357" s="19" t="s">
        <v>84</v>
      </c>
      <c r="AE357" s="19" t="s">
        <v>50</v>
      </c>
      <c r="AF357" s="19"/>
      <c r="AG357" s="20"/>
      <c r="AH357" s="20"/>
    </row>
    <row r="358" spans="1:34" ht="17" customHeight="1" x14ac:dyDescent="0.2">
      <c r="A358" s="19" t="s">
        <v>1726</v>
      </c>
      <c r="B358" s="20"/>
      <c r="C358" s="20"/>
      <c r="D358" s="19" t="s">
        <v>160</v>
      </c>
      <c r="E358" s="17" t="str">
        <f t="shared" si="49"/>
        <v>HerculanoHouzel</v>
      </c>
      <c r="F358" s="17"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17" t="str">
        <f t="shared" si="50"/>
        <v>2015</v>
      </c>
      <c r="H358" s="17" t="str">
        <f t="shared" si="51"/>
        <v>HerculanoHouzel_etal_2015</v>
      </c>
      <c r="I358" s="17" t="str">
        <f t="shared" si="57"/>
        <v>10.1159%2F000437413</v>
      </c>
      <c r="J358" s="17" t="str">
        <f t="shared" si="52"/>
        <v>HerculanoHouzel_etal_2015_Table2</v>
      </c>
      <c r="K358" s="17" t="str">
        <f t="shared" si="56"/>
        <v>10.1159%2F000437413_Table2</v>
      </c>
      <c r="L358" s="17" t="str">
        <f t="array" ref="L358">IFERROR(INDEX(AUTO_Public_TSV_FileList!$A$1:$A$1000,MATCH(TRUE(),EXACT(K358,IFERROR(_xlfn.TEXTBEFORE(AUTO_Public_TSV_FileList!$A$1:$A$1000,".tsv"),"")),0)),"notfound")</f>
        <v>10.1159%2F000437413_Table2.tsv</v>
      </c>
      <c r="M358" s="19" t="s">
        <v>1730</v>
      </c>
      <c r="N358" s="19" t="s">
        <v>54</v>
      </c>
      <c r="O358" s="19"/>
      <c r="P358" s="19" t="s">
        <v>55</v>
      </c>
      <c r="Q358" s="19"/>
      <c r="R358" s="19" t="s">
        <v>1183</v>
      </c>
      <c r="S358" s="20"/>
      <c r="T358" s="20"/>
      <c r="U358" s="20"/>
      <c r="V358" s="20"/>
      <c r="W358" s="19" t="s">
        <v>1729</v>
      </c>
      <c r="X358" s="19" t="s">
        <v>917</v>
      </c>
      <c r="Y358" s="20"/>
      <c r="Z358" s="20"/>
      <c r="AA358" s="19" t="s">
        <v>82</v>
      </c>
      <c r="AB358" s="19" t="s">
        <v>83</v>
      </c>
      <c r="AC358" s="19" t="s">
        <v>84</v>
      </c>
      <c r="AD358" s="19" t="s">
        <v>84</v>
      </c>
      <c r="AE358" s="19" t="s">
        <v>50</v>
      </c>
      <c r="AF358" s="19"/>
      <c r="AG358" s="20"/>
      <c r="AH358" s="20"/>
    </row>
    <row r="359" spans="1:34" ht="17" customHeight="1" x14ac:dyDescent="0.2">
      <c r="A359" s="19" t="s">
        <v>1726</v>
      </c>
      <c r="B359" s="20"/>
      <c r="C359" s="20"/>
      <c r="D359" s="19" t="s">
        <v>162</v>
      </c>
      <c r="E359" s="17" t="str">
        <f t="shared" si="49"/>
        <v>HerculanoHouzel</v>
      </c>
      <c r="F359" s="17"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17" t="str">
        <f t="shared" si="50"/>
        <v>2015</v>
      </c>
      <c r="H359" s="17" t="str">
        <f t="shared" si="51"/>
        <v>HerculanoHouzel_etal_2015</v>
      </c>
      <c r="I359" s="17" t="str">
        <f t="shared" si="57"/>
        <v>10.1159%2F000437413</v>
      </c>
      <c r="J359" s="17" t="str">
        <f t="shared" si="52"/>
        <v>HerculanoHouzel_etal_2015_Table3</v>
      </c>
      <c r="K359" s="17" t="str">
        <f t="shared" si="56"/>
        <v>10.1159%2F000437413_Table3</v>
      </c>
      <c r="L359" s="17" t="str">
        <f t="array" ref="L359">IFERROR(INDEX(AUTO_Public_TSV_FileList!$A$1:$A$1000,MATCH(TRUE(),EXACT(K359,IFERROR(_xlfn.TEXTBEFORE(AUTO_Public_TSV_FileList!$A$1:$A$1000,".tsv"),"")),0)),"notfound")</f>
        <v>10.1159%2F000437413_Table3.tsv</v>
      </c>
      <c r="M359" s="19" t="s">
        <v>1731</v>
      </c>
      <c r="N359" s="19" t="s">
        <v>54</v>
      </c>
      <c r="O359" s="19"/>
      <c r="P359" s="19" t="s">
        <v>55</v>
      </c>
      <c r="Q359" s="19"/>
      <c r="R359" s="19" t="s">
        <v>1183</v>
      </c>
      <c r="S359" s="20"/>
      <c r="T359" s="20"/>
      <c r="U359" s="20"/>
      <c r="V359" s="20"/>
      <c r="W359" s="19" t="s">
        <v>1729</v>
      </c>
      <c r="X359" s="19" t="s">
        <v>917</v>
      </c>
      <c r="Y359" s="20"/>
      <c r="Z359" s="20"/>
      <c r="AA359" s="19" t="s">
        <v>82</v>
      </c>
      <c r="AB359" s="19" t="s">
        <v>83</v>
      </c>
      <c r="AC359" s="19" t="s">
        <v>84</v>
      </c>
      <c r="AD359" s="19" t="s">
        <v>84</v>
      </c>
      <c r="AE359" s="19" t="s">
        <v>50</v>
      </c>
      <c r="AF359" s="19"/>
      <c r="AG359" s="20"/>
      <c r="AH359" s="20"/>
    </row>
    <row r="360" spans="1:34" ht="17" customHeight="1" x14ac:dyDescent="0.2">
      <c r="A360" s="19" t="s">
        <v>1726</v>
      </c>
      <c r="B360" s="20"/>
      <c r="C360" s="20"/>
      <c r="D360" s="19" t="s">
        <v>53</v>
      </c>
      <c r="E360" s="17" t="str">
        <f t="shared" si="49"/>
        <v>HerculanoHouzel</v>
      </c>
      <c r="F360" s="17"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17" t="str">
        <f t="shared" si="50"/>
        <v>2015</v>
      </c>
      <c r="H360" s="17" t="str">
        <f t="shared" si="51"/>
        <v>HerculanoHouzel_etal_2015</v>
      </c>
      <c r="I360" s="17" t="str">
        <f t="shared" si="57"/>
        <v>10.1159%2F000437413</v>
      </c>
      <c r="J360" s="17" t="str">
        <f t="shared" si="52"/>
        <v>HerculanoHouzel_etal_2015_Table4</v>
      </c>
      <c r="K360" s="17" t="str">
        <f t="shared" si="56"/>
        <v>10.1159%2F000437413_Table4</v>
      </c>
      <c r="L360" s="17" t="str">
        <f t="array" ref="L360">IFERROR(INDEX(AUTO_Public_TSV_FileList!$A$1:$A$1000,MATCH(TRUE(),EXACT(K360,IFERROR(_xlfn.TEXTBEFORE(AUTO_Public_TSV_FileList!$A$1:$A$1000,".tsv"),"")),0)),"notfound")</f>
        <v>10.1159%2F000437413_Table4.tsv</v>
      </c>
      <c r="M360" s="19" t="s">
        <v>1732</v>
      </c>
      <c r="N360" s="19" t="s">
        <v>54</v>
      </c>
      <c r="O360" s="19"/>
      <c r="P360" s="19" t="s">
        <v>55</v>
      </c>
      <c r="Q360" s="19"/>
      <c r="R360" s="19" t="s">
        <v>1183</v>
      </c>
      <c r="S360" s="20"/>
      <c r="T360" s="20"/>
      <c r="U360" s="20"/>
      <c r="V360" s="20"/>
      <c r="W360" s="19" t="s">
        <v>1729</v>
      </c>
      <c r="X360" s="19" t="s">
        <v>917</v>
      </c>
      <c r="Y360" s="20"/>
      <c r="Z360" s="20"/>
      <c r="AA360" s="19" t="s">
        <v>82</v>
      </c>
      <c r="AB360" s="19" t="s">
        <v>83</v>
      </c>
      <c r="AC360" s="19" t="s">
        <v>84</v>
      </c>
      <c r="AD360" s="19" t="s">
        <v>84</v>
      </c>
      <c r="AE360" s="19" t="s">
        <v>50</v>
      </c>
      <c r="AF360" s="19"/>
      <c r="AG360" s="20"/>
      <c r="AH360" s="20"/>
    </row>
    <row r="361" spans="1:34" ht="17" customHeight="1" x14ac:dyDescent="0.2">
      <c r="A361" s="19" t="s">
        <v>1726</v>
      </c>
      <c r="B361" s="20"/>
      <c r="C361" s="20"/>
      <c r="D361" s="19" t="s">
        <v>164</v>
      </c>
      <c r="E361" s="17" t="str">
        <f t="shared" si="49"/>
        <v>HerculanoHouzel</v>
      </c>
      <c r="F361" s="17"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17" t="str">
        <f t="shared" si="50"/>
        <v>2015</v>
      </c>
      <c r="H361" s="17" t="str">
        <f t="shared" si="51"/>
        <v>HerculanoHouzel_etal_2015</v>
      </c>
      <c r="I361" s="17" t="str">
        <f t="shared" si="57"/>
        <v>10.1159%2F000437413</v>
      </c>
      <c r="J361" s="17" t="str">
        <f t="shared" si="52"/>
        <v>HerculanoHouzel_etal_2015_Table5</v>
      </c>
      <c r="K361" s="17" t="str">
        <f t="shared" si="56"/>
        <v>10.1159%2F000437413_Table5</v>
      </c>
      <c r="L361" s="17" t="str">
        <f t="array" ref="L361">IFERROR(INDEX(AUTO_Public_TSV_FileList!$A$1:$A$1000,MATCH(TRUE(),EXACT(K361,IFERROR(_xlfn.TEXTBEFORE(AUTO_Public_TSV_FileList!$A$1:$A$1000,".tsv"),"")),0)),"notfound")</f>
        <v>10.1159%2F000437413_Table5.tsv</v>
      </c>
      <c r="M361" s="19" t="s">
        <v>1733</v>
      </c>
      <c r="N361" s="19" t="s">
        <v>54</v>
      </c>
      <c r="O361" s="19"/>
      <c r="P361" s="19" t="s">
        <v>55</v>
      </c>
      <c r="Q361" s="19"/>
      <c r="R361" s="19" t="s">
        <v>1183</v>
      </c>
      <c r="S361" s="20"/>
      <c r="T361" s="20"/>
      <c r="U361" s="20"/>
      <c r="V361" s="20"/>
      <c r="W361" s="19" t="s">
        <v>1729</v>
      </c>
      <c r="X361" s="19" t="s">
        <v>917</v>
      </c>
      <c r="Y361" s="20"/>
      <c r="Z361" s="20"/>
      <c r="AA361" s="19" t="s">
        <v>82</v>
      </c>
      <c r="AB361" s="19" t="s">
        <v>83</v>
      </c>
      <c r="AC361" s="19" t="s">
        <v>84</v>
      </c>
      <c r="AD361" s="19" t="s">
        <v>84</v>
      </c>
      <c r="AE361" s="19" t="s">
        <v>50</v>
      </c>
      <c r="AF361" s="19"/>
      <c r="AG361" s="20"/>
      <c r="AH361" s="20"/>
    </row>
    <row r="362" spans="1:34" ht="17" customHeight="1" x14ac:dyDescent="0.2">
      <c r="A362" s="20" t="s">
        <v>1709</v>
      </c>
      <c r="B362" s="20"/>
      <c r="C362" s="20"/>
      <c r="D362" s="20" t="s">
        <v>86</v>
      </c>
      <c r="E362" s="17" t="str">
        <f t="shared" si="49"/>
        <v>HerculanoHouzel</v>
      </c>
      <c r="F362" s="17"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17" t="str">
        <f t="shared" si="50"/>
        <v>2007</v>
      </c>
      <c r="H362" s="17" t="str">
        <f t="shared" si="51"/>
        <v>HerculanoHouzel_etal_2007</v>
      </c>
      <c r="I362" s="17" t="str">
        <f t="shared" si="57"/>
        <v>10.1073%2Fpnas.0611396104</v>
      </c>
      <c r="J362" s="17" t="str">
        <f t="shared" si="52"/>
        <v>HerculanoHouzel_etal_2007_Table1</v>
      </c>
      <c r="K362" s="17" t="str">
        <f t="shared" si="56"/>
        <v>10.1073%2Fpnas.0611396104_Table1</v>
      </c>
      <c r="L362" s="17" t="str">
        <f t="array" ref="L362">IFERROR(INDEX(AUTO_Public_TSV_FileList!$A$1:$A$1000,MATCH(TRUE(),EXACT(K362,IFERROR(_xlfn.TEXTBEFORE(AUTO_Public_TSV_FileList!$A$1:$A$1000,".tsv"),"")),0)),"notfound")</f>
        <v>notfound</v>
      </c>
      <c r="M362" s="20" t="s">
        <v>1710</v>
      </c>
      <c r="N362" s="20" t="s">
        <v>929</v>
      </c>
      <c r="O362" s="20" t="s">
        <v>1711</v>
      </c>
      <c r="P362" s="20" t="s">
        <v>299</v>
      </c>
      <c r="Q362" s="20" t="s">
        <v>1712</v>
      </c>
      <c r="R362" s="20" t="s">
        <v>1713</v>
      </c>
      <c r="S362" s="20"/>
      <c r="T362" s="20"/>
      <c r="U362" s="20"/>
      <c r="V362" s="20"/>
      <c r="W362" s="20" t="s">
        <v>1714</v>
      </c>
      <c r="X362" s="20" t="s">
        <v>1715</v>
      </c>
      <c r="Y362" s="20" t="s">
        <v>1716</v>
      </c>
      <c r="Z362" s="20" t="s">
        <v>1717</v>
      </c>
      <c r="AA362" s="20" t="s">
        <v>1718</v>
      </c>
      <c r="AB362" s="20" t="s">
        <v>1719</v>
      </c>
      <c r="AC362" s="20"/>
      <c r="AD362" s="20"/>
      <c r="AE362" s="20" t="s">
        <v>50</v>
      </c>
      <c r="AF362" s="20"/>
      <c r="AG362" s="20"/>
      <c r="AH362" s="20"/>
    </row>
    <row r="363" spans="1:34" ht="17" customHeight="1" x14ac:dyDescent="0.2">
      <c r="A363" s="19" t="s">
        <v>1734</v>
      </c>
      <c r="B363" s="20"/>
      <c r="C363" s="20"/>
      <c r="D363" s="19" t="s">
        <v>77</v>
      </c>
      <c r="E363" s="17" t="str">
        <f t="shared" si="49"/>
        <v>HerculanoHouzel</v>
      </c>
      <c r="F363" s="17"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17" t="str">
        <f t="shared" si="50"/>
        <v>2020</v>
      </c>
      <c r="H363" s="17" t="str">
        <f t="shared" si="51"/>
        <v>HerculanoHouzel_etal_2020</v>
      </c>
      <c r="I363" s="17" t="str">
        <f t="shared" si="57"/>
        <v>10.1002%2Fcne.24985</v>
      </c>
      <c r="J363" s="17" t="str">
        <f t="shared" si="52"/>
        <v>HerculanoHouzel_etal_2020_TABLE1</v>
      </c>
      <c r="K363" s="17" t="str">
        <f t="shared" si="56"/>
        <v>10.1002%2Fcne.24985_TABLE1</v>
      </c>
      <c r="L363" s="17" t="str">
        <f t="array" ref="L363">IFERROR(INDEX(AUTO_Public_TSV_FileList!$A$1:$A$1000,MATCH(TRUE(),EXACT(K363,IFERROR(_xlfn.TEXTBEFORE(AUTO_Public_TSV_FileList!$A$1:$A$1000,".tsv"),"")),0)),"notfound")</f>
        <v>10.1002%2Fcne.24985_TABLE1.tsv</v>
      </c>
      <c r="M363" s="19" t="s">
        <v>1735</v>
      </c>
      <c r="N363" s="19" t="s">
        <v>54</v>
      </c>
      <c r="O363" s="19"/>
      <c r="P363" s="19" t="s">
        <v>55</v>
      </c>
      <c r="Q363" s="19"/>
      <c r="R363" s="19" t="s">
        <v>1736</v>
      </c>
      <c r="S363" s="19" t="s">
        <v>483</v>
      </c>
      <c r="T363" s="20"/>
      <c r="U363" s="20"/>
      <c r="V363" s="20"/>
      <c r="W363" s="19" t="s">
        <v>1737</v>
      </c>
      <c r="X363" s="19" t="s">
        <v>1738</v>
      </c>
      <c r="Y363" s="20"/>
      <c r="Z363" s="20"/>
      <c r="AA363" s="19" t="s">
        <v>82</v>
      </c>
      <c r="AB363" s="19" t="s">
        <v>1739</v>
      </c>
      <c r="AC363" s="19" t="s">
        <v>84</v>
      </c>
      <c r="AD363" s="19" t="s">
        <v>84</v>
      </c>
      <c r="AE363" s="19" t="s">
        <v>50</v>
      </c>
      <c r="AF363" s="19"/>
      <c r="AG363" s="20"/>
      <c r="AH363" s="20"/>
    </row>
    <row r="364" spans="1:34" ht="17" customHeight="1" x14ac:dyDescent="0.2">
      <c r="A364" s="19" t="s">
        <v>1734</v>
      </c>
      <c r="B364" s="20"/>
      <c r="C364" s="20"/>
      <c r="D364" s="19" t="s">
        <v>145</v>
      </c>
      <c r="E364" s="17" t="str">
        <f t="shared" si="49"/>
        <v>HerculanoHouzel</v>
      </c>
      <c r="F364" s="17"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17" t="str">
        <f t="shared" si="50"/>
        <v>2020</v>
      </c>
      <c r="H364" s="17" t="str">
        <f t="shared" si="51"/>
        <v>HerculanoHouzel_etal_2020</v>
      </c>
      <c r="I364" s="17" t="str">
        <f t="shared" si="57"/>
        <v>10.1002%2Fcne.24985</v>
      </c>
      <c r="J364" s="17" t="str">
        <f t="shared" si="52"/>
        <v>HerculanoHouzel_etal_2020_TABLE2</v>
      </c>
      <c r="K364" s="17" t="str">
        <f t="shared" si="56"/>
        <v>10.1002%2Fcne.24985_TABLE2</v>
      </c>
      <c r="L364" s="17" t="str">
        <f t="array" ref="L364">IFERROR(INDEX(AUTO_Public_TSV_FileList!$A$1:$A$1000,MATCH(TRUE(),EXACT(K364,IFERROR(_xlfn.TEXTBEFORE(AUTO_Public_TSV_FileList!$A$1:$A$1000,".tsv"),"")),0)),"notfound")</f>
        <v>10.1002%2Fcne.24985_TABLE2.tsv</v>
      </c>
      <c r="M364" s="19" t="s">
        <v>1740</v>
      </c>
      <c r="N364" s="19" t="s">
        <v>54</v>
      </c>
      <c r="O364" s="19"/>
      <c r="P364" s="19" t="s">
        <v>55</v>
      </c>
      <c r="Q364" s="19"/>
      <c r="R364" s="19" t="s">
        <v>1736</v>
      </c>
      <c r="S364" s="19" t="s">
        <v>483</v>
      </c>
      <c r="T364" s="20"/>
      <c r="U364" s="20"/>
      <c r="V364" s="20"/>
      <c r="W364" s="19" t="s">
        <v>1737</v>
      </c>
      <c r="X364" s="19" t="s">
        <v>1741</v>
      </c>
      <c r="Y364" s="20"/>
      <c r="Z364" s="20"/>
      <c r="AA364" s="19" t="s">
        <v>82</v>
      </c>
      <c r="AB364" s="19" t="s">
        <v>83</v>
      </c>
      <c r="AC364" s="19" t="s">
        <v>84</v>
      </c>
      <c r="AD364" s="19" t="s">
        <v>84</v>
      </c>
      <c r="AE364" s="19" t="s">
        <v>50</v>
      </c>
      <c r="AF364" s="19"/>
      <c r="AG364" s="20"/>
      <c r="AH364" s="20"/>
    </row>
    <row r="365" spans="1:34" ht="17" customHeight="1" x14ac:dyDescent="0.2">
      <c r="A365" s="20" t="s">
        <v>1742</v>
      </c>
      <c r="B365" s="20"/>
      <c r="C365" s="20"/>
      <c r="D365" s="20" t="s">
        <v>160</v>
      </c>
      <c r="E365" s="18" t="str">
        <f t="shared" si="49"/>
        <v>HerculanoHouzel</v>
      </c>
      <c r="F365" s="17"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17" t="str">
        <f t="shared" si="50"/>
        <v>2016</v>
      </c>
      <c r="H365" s="18" t="str">
        <f t="shared" si="51"/>
        <v>HerculanoHouzel_etal_2016</v>
      </c>
      <c r="I365" s="18" t="str">
        <f>_xlfn.LET(_xlpm.doi,IF(C365&lt;&gt;"",C365,_xlfn.TEXTAFTER(A365,"https://doi.org/")),SUBSTITUTE(SUBSTITUTE(SUBSTITUTE(SUBSTITUTE(_xlpm.doi,"/","%2F"),":","%3A"),"&lt;","%3C"),"&gt;","%3E"))</f>
        <v>10.1002%2Fcne.23792</v>
      </c>
      <c r="J365" s="18" t="str">
        <f t="shared" si="52"/>
        <v>HerculanoHouzel_etal_2016_Table2</v>
      </c>
      <c r="K365" s="17" t="str">
        <f t="shared" si="56"/>
        <v>10.1002%2Fcne.23792_Table2</v>
      </c>
      <c r="L365" s="17" t="str">
        <f t="array" ref="L365">IFERROR(INDEX(AUTO_Public_TSV_FileList!$A$1:$A$1000,MATCH(TRUE(),EXACT(K365,IFERROR(_xlfn.TEXTBEFORE(AUTO_Public_TSV_FileList!$A$1:$A$1000,".tsv"),"")),0)),"notfound")</f>
        <v>10.1002%2Fcne.23792_Table2.tsv</v>
      </c>
      <c r="M365" s="20" t="s">
        <v>1743</v>
      </c>
      <c r="N365" s="20" t="s">
        <v>54</v>
      </c>
      <c r="O365" s="20"/>
      <c r="P365" s="20" t="s">
        <v>55</v>
      </c>
      <c r="Q365" s="20"/>
      <c r="R365" s="20"/>
      <c r="S365" s="20"/>
      <c r="T365" s="20"/>
      <c r="U365" s="20"/>
      <c r="V365" s="20"/>
      <c r="W365" s="20" t="s">
        <v>187</v>
      </c>
      <c r="X365" s="20" t="s">
        <v>1744</v>
      </c>
      <c r="Y365" s="20" t="s">
        <v>1745</v>
      </c>
      <c r="Z365" s="20" t="s">
        <v>1746</v>
      </c>
      <c r="AA365" s="20" t="s">
        <v>1747</v>
      </c>
      <c r="AB365" s="20" t="s">
        <v>83</v>
      </c>
      <c r="AC365" s="20"/>
      <c r="AD365" s="20"/>
      <c r="AE365" s="20" t="s">
        <v>1748</v>
      </c>
      <c r="AF365" s="20" t="s">
        <v>1749</v>
      </c>
      <c r="AG365" s="20"/>
      <c r="AH365" s="20"/>
    </row>
    <row r="366" spans="1:34" ht="17" customHeight="1" x14ac:dyDescent="0.2">
      <c r="A366" s="19" t="s">
        <v>1750</v>
      </c>
      <c r="B366" s="20"/>
      <c r="C366" s="20"/>
      <c r="D366" s="19" t="s">
        <v>1751</v>
      </c>
      <c r="E366" s="17" t="str">
        <f t="shared" si="49"/>
        <v>HerculanoHouzel</v>
      </c>
      <c r="F366" s="17"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17" t="str">
        <f t="shared" si="50"/>
        <v>2013</v>
      </c>
      <c r="H366" s="17" t="str">
        <f t="shared" si="51"/>
        <v>HerculanoHouzel_etal_2013</v>
      </c>
      <c r="I366" s="17" t="str">
        <f t="shared" ref="I366:I371" si="58">_xlfn.LET(
_xlpm.doi,IF(C366&lt;&gt;"",C366,_xlfn.TEXTAFTER(A366,"https://doi.org/")),
SUBSTITUTE(
SUBSTITUTE(
SUBSTITUTE(
SUBSTITUTE(
_xlpm.doi,
"/","%2F"),
":","%3A"),
"&lt;","%3C"),
"&gt;","%3E")
)</f>
        <v>10.3389%2Ffnana.2013.00035</v>
      </c>
      <c r="J366" s="17" t="str">
        <f t="shared" si="52"/>
        <v>HerculanoHouzel_etal_2013_Figure2TopLeft</v>
      </c>
      <c r="K366" s="17" t="str">
        <f t="shared" si="56"/>
        <v>10.3389%2Ffnana.2013.00035_Figure2TopLeft</v>
      </c>
      <c r="L366" s="17" t="str">
        <f t="array" ref="L366">IFERROR(INDEX(AUTO_Public_TSV_FileList!$A$1:$A$1000,MATCH(TRUE(),EXACT(K366,IFERROR(_xlfn.TEXTBEFORE(AUTO_Public_TSV_FileList!$A$1:$A$1000,".tsv"),"")),0)),"notfound")</f>
        <v>10.3389%2Ffnana.2013.00035_Figure2TopLeft.tsv</v>
      </c>
      <c r="M366" s="20"/>
      <c r="N366" s="20"/>
      <c r="O366" s="20"/>
      <c r="P366" s="19" t="s">
        <v>55</v>
      </c>
      <c r="Q366" s="20"/>
      <c r="R366" s="20"/>
      <c r="S366" s="20"/>
      <c r="T366" s="20"/>
      <c r="U366" s="20"/>
      <c r="V366" s="20"/>
      <c r="W366" s="19" t="s">
        <v>224</v>
      </c>
      <c r="X366" s="19" t="s">
        <v>1741</v>
      </c>
      <c r="Y366" s="20"/>
      <c r="Z366" s="20"/>
      <c r="AA366" s="19" t="s">
        <v>82</v>
      </c>
      <c r="AB366" s="19" t="s">
        <v>83</v>
      </c>
      <c r="AC366" s="19" t="s">
        <v>84</v>
      </c>
      <c r="AD366" s="19" t="s">
        <v>84</v>
      </c>
      <c r="AE366" s="19" t="s">
        <v>50</v>
      </c>
      <c r="AF366" s="19"/>
      <c r="AG366" s="20"/>
      <c r="AH366" s="20"/>
    </row>
    <row r="367" spans="1:34" ht="17" customHeight="1" x14ac:dyDescent="0.2">
      <c r="A367" s="19" t="s">
        <v>1750</v>
      </c>
      <c r="B367" s="20"/>
      <c r="C367" s="20"/>
      <c r="D367" s="19" t="s">
        <v>1752</v>
      </c>
      <c r="E367" s="17" t="str">
        <f t="shared" si="49"/>
        <v>HerculanoHouzel</v>
      </c>
      <c r="F367" s="17"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17" t="str">
        <f t="shared" si="50"/>
        <v>2013</v>
      </c>
      <c r="H367" s="17" t="str">
        <f t="shared" si="51"/>
        <v>HerculanoHouzel_etal_2013</v>
      </c>
      <c r="I367" s="17" t="str">
        <f t="shared" si="58"/>
        <v>10.3389%2Ffnana.2013.00035</v>
      </c>
      <c r="J367" s="17" t="str">
        <f t="shared" si="52"/>
        <v>HerculanoHouzel_etal_2013_Table1-a</v>
      </c>
      <c r="K367" s="17" t="str">
        <f t="shared" si="56"/>
        <v>10.3389%2Ffnana.2013.00035_Table1-a</v>
      </c>
      <c r="L367" s="17" t="str">
        <f t="array" ref="L367">IFERROR(INDEX(AUTO_Public_TSV_FileList!$A$1:$A$1000,MATCH(TRUE(),EXACT(K367,IFERROR(_xlfn.TEXTBEFORE(AUTO_Public_TSV_FileList!$A$1:$A$1000,".tsv"),"")),0)),"notfound")</f>
        <v>10.3389%2Ffnana.2013.00035_Table1-a.tsv</v>
      </c>
      <c r="M367" s="20"/>
      <c r="N367" s="19" t="s">
        <v>54</v>
      </c>
      <c r="O367" s="20"/>
      <c r="P367" s="19" t="s">
        <v>55</v>
      </c>
      <c r="Q367" s="20"/>
      <c r="R367" s="20"/>
      <c r="S367" s="20"/>
      <c r="T367" s="20"/>
      <c r="U367" s="20"/>
      <c r="V367" s="20"/>
      <c r="W367" s="19" t="s">
        <v>224</v>
      </c>
      <c r="X367" s="19" t="s">
        <v>1741</v>
      </c>
      <c r="Y367" s="20"/>
      <c r="Z367" s="20"/>
      <c r="AA367" s="19" t="s">
        <v>82</v>
      </c>
      <c r="AB367" s="19" t="s">
        <v>83</v>
      </c>
      <c r="AC367" s="19" t="s">
        <v>84</v>
      </c>
      <c r="AD367" s="19" t="s">
        <v>84</v>
      </c>
      <c r="AE367" s="19" t="s">
        <v>50</v>
      </c>
      <c r="AF367" s="19"/>
      <c r="AG367" s="20"/>
      <c r="AH367" s="20"/>
    </row>
    <row r="368" spans="1:34" ht="17" customHeight="1" x14ac:dyDescent="0.2">
      <c r="A368" s="19" t="s">
        <v>1750</v>
      </c>
      <c r="B368" s="20"/>
      <c r="C368" s="20"/>
      <c r="D368" s="19" t="s">
        <v>1753</v>
      </c>
      <c r="E368" s="17" t="str">
        <f t="shared" si="49"/>
        <v>HerculanoHouzel</v>
      </c>
      <c r="F368" s="17"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17" t="str">
        <f t="shared" si="50"/>
        <v>2013</v>
      </c>
      <c r="H368" s="17" t="str">
        <f t="shared" si="51"/>
        <v>HerculanoHouzel_etal_2013</v>
      </c>
      <c r="I368" s="17" t="str">
        <f t="shared" si="58"/>
        <v>10.3389%2Ffnana.2013.00035</v>
      </c>
      <c r="J368" s="17" t="str">
        <f t="shared" si="52"/>
        <v>HerculanoHouzel_etal_2013_Table1-b</v>
      </c>
      <c r="K368" s="17" t="str">
        <f t="shared" si="56"/>
        <v>10.3389%2Ffnana.2013.00035_Table1-b</v>
      </c>
      <c r="L368" s="17" t="str">
        <f t="array" ref="L368">IFERROR(INDEX(AUTO_Public_TSV_FileList!$A$1:$A$1000,MATCH(TRUE(),EXACT(K368,IFERROR(_xlfn.TEXTBEFORE(AUTO_Public_TSV_FileList!$A$1:$A$1000,".tsv"),"")),0)),"notfound")</f>
        <v>10.3389%2Ffnana.2013.00035_Table1-b.tsv</v>
      </c>
      <c r="M368" s="20"/>
      <c r="N368" s="19" t="s">
        <v>54</v>
      </c>
      <c r="O368" s="20"/>
      <c r="P368" s="19" t="s">
        <v>55</v>
      </c>
      <c r="Q368" s="20"/>
      <c r="R368" s="20"/>
      <c r="S368" s="20"/>
      <c r="T368" s="20"/>
      <c r="U368" s="20"/>
      <c r="V368" s="20"/>
      <c r="W368" s="19" t="s">
        <v>224</v>
      </c>
      <c r="X368" s="19" t="s">
        <v>1741</v>
      </c>
      <c r="Y368" s="20"/>
      <c r="Z368" s="20"/>
      <c r="AA368" s="19" t="s">
        <v>82</v>
      </c>
      <c r="AB368" s="19" t="s">
        <v>83</v>
      </c>
      <c r="AC368" s="19" t="s">
        <v>84</v>
      </c>
      <c r="AD368" s="19" t="s">
        <v>84</v>
      </c>
      <c r="AE368" s="19" t="s">
        <v>50</v>
      </c>
      <c r="AF368" s="19"/>
      <c r="AG368" s="20"/>
      <c r="AH368" s="20"/>
    </row>
    <row r="369" spans="1:36" ht="17" customHeight="1" x14ac:dyDescent="0.2">
      <c r="A369" s="19" t="s">
        <v>1754</v>
      </c>
      <c r="B369" s="20"/>
      <c r="C369" s="20"/>
      <c r="D369" s="19" t="s">
        <v>1755</v>
      </c>
      <c r="E369" s="17" t="str">
        <f t="shared" si="49"/>
        <v>Heuer</v>
      </c>
      <c r="F369" s="17"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17" t="str">
        <f t="shared" si="50"/>
        <v>2019</v>
      </c>
      <c r="H369" s="17" t="str">
        <f t="shared" si="51"/>
        <v>Heuer_etal_2019</v>
      </c>
      <c r="I369" s="17" t="str">
        <f t="shared" si="58"/>
        <v>10.1016%2Fj.cortex.2019.04.011</v>
      </c>
      <c r="J369" s="17" t="str">
        <f t="shared" si="52"/>
        <v>Heuer_etal_2019_S1</v>
      </c>
      <c r="K369" s="17" t="str">
        <f t="shared" si="56"/>
        <v>10.1016%2Fj.cortex.2019.04.011_S1</v>
      </c>
      <c r="L369" s="17" t="str">
        <f t="array" ref="L369">IFERROR(INDEX(AUTO_Public_TSV_FileList!$A$1:$A$1000,MATCH(TRUE(),EXACT(K369,IFERROR(_xlfn.TEXTBEFORE(AUTO_Public_TSV_FileList!$A$1:$A$1000,".tsv"),"")),0)),"notfound")</f>
        <v>10.1016%2Fj.cortex.2019.04.011_S1.tsv</v>
      </c>
      <c r="M369" s="20"/>
      <c r="N369" s="19" t="s">
        <v>54</v>
      </c>
      <c r="O369" s="20"/>
      <c r="P369" s="19" t="s">
        <v>55</v>
      </c>
      <c r="Q369" s="19" t="s">
        <v>1756</v>
      </c>
      <c r="R369" s="20"/>
      <c r="S369" s="20"/>
      <c r="T369" s="20"/>
      <c r="U369" s="20"/>
      <c r="V369" s="20"/>
      <c r="W369" s="19" t="s">
        <v>187</v>
      </c>
      <c r="X369" s="19" t="s">
        <v>1757</v>
      </c>
      <c r="Y369" s="20"/>
      <c r="Z369" s="20"/>
      <c r="AA369" s="20"/>
      <c r="AB369" s="19" t="s">
        <v>1758</v>
      </c>
      <c r="AC369" s="19" t="s">
        <v>1759</v>
      </c>
      <c r="AD369" s="20"/>
      <c r="AE369" s="19" t="s">
        <v>265</v>
      </c>
      <c r="AF369" s="19"/>
      <c r="AG369" s="19" t="s">
        <v>1760</v>
      </c>
      <c r="AH369" s="20"/>
    </row>
    <row r="370" spans="1:36" ht="17" customHeight="1" x14ac:dyDescent="0.2">
      <c r="A370" s="19" t="s">
        <v>1754</v>
      </c>
      <c r="B370" s="20"/>
      <c r="C370" s="20"/>
      <c r="D370" s="19" t="s">
        <v>86</v>
      </c>
      <c r="E370" s="17" t="str">
        <f t="shared" si="49"/>
        <v>Heuer</v>
      </c>
      <c r="F370" s="17"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17" t="str">
        <f t="shared" si="50"/>
        <v>2019</v>
      </c>
      <c r="H370" s="17" t="str">
        <f t="shared" si="51"/>
        <v>Heuer_etal_2019</v>
      </c>
      <c r="I370" s="17" t="str">
        <f t="shared" si="58"/>
        <v>10.1016%2Fj.cortex.2019.04.011</v>
      </c>
      <c r="J370" s="17" t="str">
        <f t="shared" si="52"/>
        <v>Heuer_etal_2019_Table1</v>
      </c>
      <c r="K370" s="17" t="str">
        <f t="shared" si="56"/>
        <v>10.1016%2Fj.cortex.2019.04.011_Table1</v>
      </c>
      <c r="L370" s="17" t="str">
        <f t="array" ref="L370">IFERROR(INDEX(AUTO_Public_TSV_FileList!$A$1:$A$1000,MATCH(TRUE(),EXACT(K370,IFERROR(_xlfn.TEXTBEFORE(AUTO_Public_TSV_FileList!$A$1:$A$1000,".tsv"),"")),0)),"notfound")</f>
        <v>10.1016%2Fj.cortex.2019.04.011_Table1.tsv</v>
      </c>
      <c r="M370" s="20"/>
      <c r="N370" s="19" t="s">
        <v>54</v>
      </c>
      <c r="O370" s="20"/>
      <c r="P370" s="19" t="s">
        <v>55</v>
      </c>
      <c r="Q370" s="19"/>
      <c r="R370" s="20"/>
      <c r="S370" s="20"/>
      <c r="T370" s="20"/>
      <c r="U370" s="20"/>
      <c r="V370" s="20"/>
      <c r="W370" s="19" t="s">
        <v>187</v>
      </c>
      <c r="X370" s="19" t="s">
        <v>1761</v>
      </c>
      <c r="Y370" s="20"/>
      <c r="Z370" s="20"/>
      <c r="AA370" s="19"/>
      <c r="AB370" s="19"/>
      <c r="AC370" s="19" t="s">
        <v>1759</v>
      </c>
      <c r="AD370" s="19"/>
      <c r="AE370" s="19" t="s">
        <v>265</v>
      </c>
      <c r="AF370" s="19"/>
      <c r="AG370" s="19" t="s">
        <v>1762</v>
      </c>
      <c r="AH370" s="20"/>
    </row>
    <row r="371" spans="1:36" ht="17" customHeight="1" x14ac:dyDescent="0.2">
      <c r="A371" s="19" t="s">
        <v>1763</v>
      </c>
      <c r="B371" s="20"/>
      <c r="C371" s="20"/>
      <c r="D371" s="19" t="s">
        <v>1764</v>
      </c>
      <c r="E371" s="17" t="str">
        <f t="shared" si="49"/>
        <v>Heuer</v>
      </c>
      <c r="F371" s="17"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17" t="str">
        <f t="shared" si="50"/>
        <v>2023</v>
      </c>
      <c r="H371" s="17" t="str">
        <f t="shared" si="51"/>
        <v>Heuer_etal_2023</v>
      </c>
      <c r="I371" s="17" t="str">
        <f t="shared" si="58"/>
        <v>10.7554%2FeLife.85907</v>
      </c>
      <c r="J371" s="17" t="str">
        <f t="shared" si="52"/>
        <v>Heuer_etal_2023_Data</v>
      </c>
      <c r="K371" s="17" t="str">
        <f t="shared" si="56"/>
        <v>10.7554%2FeLife.85907_Data</v>
      </c>
      <c r="L371" s="17" t="str">
        <f t="array" ref="L371">IFERROR(INDEX(AUTO_Public_TSV_FileList!$A$1:$A$1000,MATCH(TRUE(),EXACT(K371,IFERROR(_xlfn.TEXTBEFORE(AUTO_Public_TSV_FileList!$A$1:$A$1000,".tsv"),"")),0)),"notfound")</f>
        <v>10.7554%2FeLife.85907_Data.tsv</v>
      </c>
      <c r="M371" s="20"/>
      <c r="N371" s="19" t="s">
        <v>54</v>
      </c>
      <c r="O371" s="19" t="s">
        <v>1765</v>
      </c>
      <c r="P371" s="19" t="s">
        <v>55</v>
      </c>
      <c r="Q371" s="19" t="s">
        <v>1766</v>
      </c>
      <c r="R371" s="19" t="s">
        <v>1767</v>
      </c>
      <c r="S371" s="20"/>
      <c r="T371" s="20"/>
      <c r="U371" s="20"/>
      <c r="V371" s="19" t="s">
        <v>1768</v>
      </c>
      <c r="W371" s="19" t="s">
        <v>224</v>
      </c>
      <c r="X371" s="19" t="s">
        <v>1769</v>
      </c>
      <c r="Y371" s="19" t="s">
        <v>1770</v>
      </c>
      <c r="Z371" s="19"/>
      <c r="AA371" s="19" t="s">
        <v>1771</v>
      </c>
      <c r="AB371" s="19" t="s">
        <v>1772</v>
      </c>
      <c r="AC371" s="19" t="s">
        <v>1759</v>
      </c>
      <c r="AD371" s="20"/>
      <c r="AE371" s="19" t="s">
        <v>50</v>
      </c>
      <c r="AF371" s="19"/>
      <c r="AG371" s="19" t="s">
        <v>1773</v>
      </c>
      <c r="AH371" s="20"/>
    </row>
    <row r="372" spans="1:36" ht="17" customHeight="1" x14ac:dyDescent="0.2">
      <c r="A372" s="20" t="s">
        <v>5391</v>
      </c>
      <c r="B372" s="20"/>
      <c r="C372" s="20"/>
      <c r="D372" s="20" t="s">
        <v>5109</v>
      </c>
      <c r="E372" s="18" t="str">
        <f t="shared" si="49"/>
        <v>Hiwatashi</v>
      </c>
      <c r="F372" s="17"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17" t="str">
        <f t="shared" si="50"/>
        <v>2011</v>
      </c>
      <c r="H372" s="18" t="str">
        <f t="shared" si="51"/>
        <v>Hiwatashi_etal_2011</v>
      </c>
      <c r="I372" s="18" t="str">
        <f>_xlfn.LET(_xlpm.doi,IF(C372&lt;&gt;"",C372,_xlfn.TEXTAFTER(A372,"https://doi.org/")),SUBSTITUTE(SUBSTITUTE(SUBSTITUTE(SUBSTITUTE(_xlpm.doi,"/","%2F"),":","%3A"),"&lt;","%3C"),"&gt;","%3E"))</f>
        <v>10.1186%2F1471-2148-11-312</v>
      </c>
      <c r="J372" s="18" t="str">
        <f t="shared" si="52"/>
        <v>Hiwatashi_etal_2011_Text:Results,GenotypingofLandMopsingenes</v>
      </c>
      <c r="K372" s="17" t="str">
        <f t="shared" si="56"/>
        <v>10.1186%2F1471-2148-11-312_Text:Results,GenotypingofLandMopsingenes</v>
      </c>
      <c r="L372" s="17" t="str">
        <f t="array" ref="L372">IFERROR(INDEX(AUTO_Public_TSV_FileList!$A$1:$A$1000,MATCH(TRUE(),EXACT(K372,IFERROR(_xlfn.TEXTBEFORE(AUTO_Public_TSV_FileList!$A$1:$A$1000,".tsv"),"")),0)),"notfound")</f>
        <v>notfound</v>
      </c>
      <c r="M372" s="20"/>
      <c r="N372" s="20" t="s">
        <v>4864</v>
      </c>
      <c r="O372" s="20" t="s">
        <v>5110</v>
      </c>
      <c r="P372" s="20" t="s">
        <v>4866</v>
      </c>
      <c r="Q372" s="20" t="s">
        <v>5111</v>
      </c>
      <c r="R372" s="20" t="s">
        <v>5112</v>
      </c>
      <c r="S372" s="20" t="s">
        <v>4869</v>
      </c>
      <c r="T372" s="20" t="s">
        <v>4870</v>
      </c>
      <c r="U372" s="20"/>
      <c r="V372" s="20" t="s">
        <v>4871</v>
      </c>
      <c r="W372" s="20" t="s">
        <v>187</v>
      </c>
      <c r="X372" s="20" t="s">
        <v>5113</v>
      </c>
      <c r="Y372" s="20"/>
      <c r="Z372" s="20" t="s">
        <v>4873</v>
      </c>
      <c r="AA372" s="20" t="s">
        <v>4874</v>
      </c>
      <c r="AB372" s="20" t="s">
        <v>5114</v>
      </c>
      <c r="AC372" s="20" t="s">
        <v>5115</v>
      </c>
      <c r="AD372" s="20" t="s">
        <v>689</v>
      </c>
      <c r="AE372" s="20" t="s">
        <v>50</v>
      </c>
      <c r="AF372" s="20" t="s">
        <v>4877</v>
      </c>
      <c r="AG372" s="20" t="s">
        <v>4878</v>
      </c>
      <c r="AH372" s="20" t="s">
        <v>4879</v>
      </c>
      <c r="AJ372" t="s">
        <v>5116</v>
      </c>
    </row>
    <row r="373" spans="1:36" ht="17" customHeight="1" x14ac:dyDescent="0.2">
      <c r="A373" s="20" t="s">
        <v>1774</v>
      </c>
      <c r="B373" s="20"/>
      <c r="C373" s="20"/>
      <c r="D373" s="20" t="s">
        <v>439</v>
      </c>
      <c r="E373" s="17" t="str">
        <f t="shared" si="49"/>
        <v>Hofman</v>
      </c>
      <c r="F373" s="17"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17" t="str">
        <f t="shared" si="50"/>
        <v>1985</v>
      </c>
      <c r="H373" s="17" t="str">
        <f t="shared" si="51"/>
        <v>Hofman__1985</v>
      </c>
      <c r="I373" s="17" t="str">
        <f>_xlfn.LET(
_xlpm.doi,IF(C373&lt;&gt;"",C373,_xlfn.TEXTAFTER(A373,"https://doi.org/")),
SUBSTITUTE(
SUBSTITUTE(
SUBSTITUTE(
SUBSTITUTE(
_xlpm.doi,
"/","%2F"),
":","%3A"),
"&lt;","%3C"),
"&gt;","%3E")
)</f>
        <v>10.1159%2F000118718</v>
      </c>
      <c r="J373" s="17" t="str">
        <f t="shared" si="52"/>
        <v>Hofman__1985_TableI</v>
      </c>
      <c r="K373" s="17" t="str">
        <f t="shared" si="56"/>
        <v>10.1159%2F000118718_TableI</v>
      </c>
      <c r="L373" s="17" t="str">
        <f t="array" ref="L373">IFERROR(INDEX(AUTO_Public_TSV_FileList!$A$1:$A$1000,MATCH(TRUE(),EXACT(K373,IFERROR(_xlfn.TEXTBEFORE(AUTO_Public_TSV_FileList!$A$1:$A$1000,".tsv"),"")),0)),"notfound")</f>
        <v>notfound</v>
      </c>
      <c r="M373" s="20" t="s">
        <v>1775</v>
      </c>
      <c r="N373" s="20" t="s">
        <v>1776</v>
      </c>
      <c r="O373" s="20" t="s">
        <v>1777</v>
      </c>
      <c r="P373" s="20" t="s">
        <v>299</v>
      </c>
      <c r="Q373" s="20" t="s">
        <v>1778</v>
      </c>
      <c r="R373" s="20" t="s">
        <v>1779</v>
      </c>
      <c r="S373" s="20"/>
      <c r="T373" s="20"/>
      <c r="U373" s="20"/>
      <c r="V373" s="20"/>
      <c r="W373" s="20" t="s">
        <v>224</v>
      </c>
      <c r="X373" s="20" t="s">
        <v>1780</v>
      </c>
      <c r="Y373" s="20" t="s">
        <v>1781</v>
      </c>
      <c r="Z373" s="20" t="s">
        <v>1782</v>
      </c>
      <c r="AA373" s="20" t="s">
        <v>1783</v>
      </c>
      <c r="AB373" s="20" t="s">
        <v>937</v>
      </c>
      <c r="AC373" s="20"/>
      <c r="AD373" s="20"/>
      <c r="AE373" s="20" t="s">
        <v>265</v>
      </c>
      <c r="AF373" s="20" t="s">
        <v>1784</v>
      </c>
      <c r="AG373" s="20"/>
      <c r="AH373" s="20"/>
    </row>
    <row r="374" spans="1:36" ht="17" customHeight="1" x14ac:dyDescent="0.2">
      <c r="A374" s="20" t="s">
        <v>5390</v>
      </c>
      <c r="B374" s="20"/>
      <c r="C374" s="20"/>
      <c r="D374" s="20" t="s">
        <v>219</v>
      </c>
      <c r="E374" s="18" t="str">
        <f t="shared" si="49"/>
        <v>Hohmann</v>
      </c>
      <c r="F374" s="17"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17" t="str">
        <f t="shared" si="50"/>
        <v>1991</v>
      </c>
      <c r="H374" s="18" t="str">
        <f t="shared" si="51"/>
        <v>Hohmann__1991</v>
      </c>
      <c r="I374" s="18" t="str">
        <f t="shared" ref="I374:I384" si="59">_xlfn.LET(_xlpm.doi,IF(C374&lt;&gt;"",C374,_xlfn.TEXTAFTER(A374,"https://doi.org/")),SUBSTITUTE(SUBSTITUTE(SUBSTITUTE(SUBSTITUTE(_xlpm.doi,"/","%2F"),":","%3A"),"&lt;","%3C"),"&gt;","%3E"))</f>
        <v>10.1159%2F000156538</v>
      </c>
      <c r="J374" s="18" t="str">
        <f t="shared" si="52"/>
        <v>Hohmann__1991_Table10</v>
      </c>
      <c r="K374" s="17" t="str">
        <f t="shared" si="56"/>
        <v>10.1159%2F000156538_Table10</v>
      </c>
      <c r="L374" s="17" t="str">
        <f t="array" ref="L374">IFERROR(INDEX(AUTO_Public_TSV_FileList!$A$1:$A$1000,MATCH(TRUE(),EXACT(K374,IFERROR(_xlfn.TEXTBEFORE(AUTO_Public_TSV_FileList!$A$1:$A$1000,".tsv"),"")),0)),"notfound")</f>
        <v>10.1159%2F000156538_Table10.tsv</v>
      </c>
      <c r="M374" s="20"/>
      <c r="N374" s="20" t="s">
        <v>4864</v>
      </c>
      <c r="O374" s="20" t="s">
        <v>5117</v>
      </c>
      <c r="P374" s="20" t="s">
        <v>4866</v>
      </c>
      <c r="Q374" s="20" t="s">
        <v>5118</v>
      </c>
      <c r="R374" s="20" t="s">
        <v>5119</v>
      </c>
      <c r="S374" s="20" t="s">
        <v>4869</v>
      </c>
      <c r="T374" s="20" t="s">
        <v>4870</v>
      </c>
      <c r="U374" s="20"/>
      <c r="V374" s="20" t="s">
        <v>4871</v>
      </c>
      <c r="W374" s="20" t="s">
        <v>187</v>
      </c>
      <c r="X374" s="20" t="s">
        <v>5120</v>
      </c>
      <c r="Y374" s="20"/>
      <c r="Z374" s="20" t="s">
        <v>4873</v>
      </c>
      <c r="AA374" s="20" t="s">
        <v>4874</v>
      </c>
      <c r="AB374" s="20" t="s">
        <v>5121</v>
      </c>
      <c r="AC374" s="20" t="s">
        <v>5122</v>
      </c>
      <c r="AD374" s="20" t="s">
        <v>689</v>
      </c>
      <c r="AE374" s="20" t="s">
        <v>50</v>
      </c>
      <c r="AF374" s="20" t="s">
        <v>4877</v>
      </c>
      <c r="AG374" s="20" t="s">
        <v>4878</v>
      </c>
      <c r="AH374" s="20" t="s">
        <v>4879</v>
      </c>
      <c r="AJ374" t="s">
        <v>5123</v>
      </c>
    </row>
    <row r="375" spans="1:36" ht="17" customHeight="1" x14ac:dyDescent="0.2">
      <c r="A375" s="20" t="s">
        <v>5390</v>
      </c>
      <c r="B375" s="20"/>
      <c r="C375" s="20"/>
      <c r="D375" s="20" t="s">
        <v>5124</v>
      </c>
      <c r="E375" s="18" t="str">
        <f t="shared" si="49"/>
        <v>Hohmann</v>
      </c>
      <c r="F375" s="17"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17" t="str">
        <f t="shared" si="50"/>
        <v>1991</v>
      </c>
      <c r="H375" s="18" t="str">
        <f t="shared" si="51"/>
        <v>Hohmann__1991</v>
      </c>
      <c r="I375" s="18" t="str">
        <f t="shared" si="59"/>
        <v>10.1159%2F000156538</v>
      </c>
      <c r="J375" s="18" t="str">
        <f t="shared" si="52"/>
        <v>Hohmann__1991_Table11</v>
      </c>
      <c r="K375" s="17" t="str">
        <f t="shared" si="56"/>
        <v>10.1159%2F000156538_Table11</v>
      </c>
      <c r="L375" s="17" t="str">
        <f t="array" ref="L375">IFERROR(INDEX(AUTO_Public_TSV_FileList!$A$1:$A$1000,MATCH(TRUE(),EXACT(K375,IFERROR(_xlfn.TEXTBEFORE(AUTO_Public_TSV_FileList!$A$1:$A$1000,".tsv"),"")),0)),"notfound")</f>
        <v>10.1159%2F000156538_Table11.tsv</v>
      </c>
      <c r="M375" s="20"/>
      <c r="N375" s="20" t="s">
        <v>4864</v>
      </c>
      <c r="O375" s="20" t="s">
        <v>5125</v>
      </c>
      <c r="P375" s="20" t="s">
        <v>4866</v>
      </c>
      <c r="Q375" s="20" t="s">
        <v>5126</v>
      </c>
      <c r="R375" s="20" t="s">
        <v>5119</v>
      </c>
      <c r="S375" s="20" t="s">
        <v>4869</v>
      </c>
      <c r="T375" s="20" t="s">
        <v>4870</v>
      </c>
      <c r="U375" s="20"/>
      <c r="V375" s="20" t="s">
        <v>4871</v>
      </c>
      <c r="W375" s="20" t="s">
        <v>187</v>
      </c>
      <c r="X375" s="20" t="s">
        <v>5127</v>
      </c>
      <c r="Y375" s="20"/>
      <c r="Z375" s="20" t="s">
        <v>4873</v>
      </c>
      <c r="AA375" s="20" t="s">
        <v>4874</v>
      </c>
      <c r="AB375" s="20" t="s">
        <v>5128</v>
      </c>
      <c r="AC375" s="20" t="s">
        <v>5122</v>
      </c>
      <c r="AD375" s="20" t="s">
        <v>689</v>
      </c>
      <c r="AE375" s="20" t="s">
        <v>50</v>
      </c>
      <c r="AF375" s="20" t="s">
        <v>4877</v>
      </c>
      <c r="AG375" s="20" t="s">
        <v>4878</v>
      </c>
      <c r="AH375" s="20" t="s">
        <v>4879</v>
      </c>
      <c r="AJ375" t="s">
        <v>5129</v>
      </c>
    </row>
    <row r="376" spans="1:36" ht="17" customHeight="1" x14ac:dyDescent="0.2">
      <c r="A376" s="20" t="s">
        <v>5390</v>
      </c>
      <c r="B376" s="20"/>
      <c r="C376" s="20"/>
      <c r="D376" s="20" t="s">
        <v>5130</v>
      </c>
      <c r="E376" s="18" t="str">
        <f t="shared" si="49"/>
        <v>Hohmann</v>
      </c>
      <c r="F376" s="17"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17" t="str">
        <f t="shared" si="50"/>
        <v>1991</v>
      </c>
      <c r="H376" s="18" t="str">
        <f t="shared" si="51"/>
        <v>Hohmann__1991</v>
      </c>
      <c r="I376" s="18" t="str">
        <f t="shared" si="59"/>
        <v>10.1159%2F000156538</v>
      </c>
      <c r="J376" s="18" t="str">
        <f t="shared" si="52"/>
        <v>Hohmann__1991_Table12</v>
      </c>
      <c r="K376" s="17" t="str">
        <f t="shared" si="56"/>
        <v>10.1159%2F000156538_Table12</v>
      </c>
      <c r="L376" s="17" t="str">
        <f t="array" ref="L376">IFERROR(INDEX(AUTO_Public_TSV_FileList!$A$1:$A$1000,MATCH(TRUE(),EXACT(K376,IFERROR(_xlfn.TEXTBEFORE(AUTO_Public_TSV_FileList!$A$1:$A$1000,".tsv"),"")),0)),"notfound")</f>
        <v>10.1159%2F000156538_Table12.tsv</v>
      </c>
      <c r="M376" s="20"/>
      <c r="N376" s="20" t="s">
        <v>4864</v>
      </c>
      <c r="O376" s="20" t="s">
        <v>5131</v>
      </c>
      <c r="P376" s="20" t="s">
        <v>4866</v>
      </c>
      <c r="Q376" s="20" t="s">
        <v>5132</v>
      </c>
      <c r="R376" s="20" t="s">
        <v>5119</v>
      </c>
      <c r="S376" s="20" t="s">
        <v>4869</v>
      </c>
      <c r="T376" s="20" t="s">
        <v>4870</v>
      </c>
      <c r="U376" s="20"/>
      <c r="V376" s="20" t="s">
        <v>4871</v>
      </c>
      <c r="W376" s="20" t="s">
        <v>187</v>
      </c>
      <c r="X376" s="20" t="s">
        <v>5133</v>
      </c>
      <c r="Y376" s="20"/>
      <c r="Z376" s="20" t="s">
        <v>4873</v>
      </c>
      <c r="AA376" s="20" t="s">
        <v>4874</v>
      </c>
      <c r="AB376" s="20" t="s">
        <v>5134</v>
      </c>
      <c r="AC376" s="20" t="s">
        <v>5122</v>
      </c>
      <c r="AD376" s="20" t="s">
        <v>689</v>
      </c>
      <c r="AE376" s="20" t="s">
        <v>50</v>
      </c>
      <c r="AF376" s="20" t="s">
        <v>4877</v>
      </c>
      <c r="AG376" s="20" t="s">
        <v>4878</v>
      </c>
      <c r="AH376" s="20" t="s">
        <v>4879</v>
      </c>
      <c r="AJ376" t="s">
        <v>5135</v>
      </c>
    </row>
    <row r="377" spans="1:36" ht="17" customHeight="1" x14ac:dyDescent="0.2">
      <c r="A377" s="20" t="s">
        <v>5390</v>
      </c>
      <c r="B377" s="20"/>
      <c r="C377" s="20"/>
      <c r="D377" s="20" t="s">
        <v>162</v>
      </c>
      <c r="E377" s="18" t="str">
        <f t="shared" si="49"/>
        <v>Hohmann</v>
      </c>
      <c r="F377" s="17"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17" t="str">
        <f t="shared" si="50"/>
        <v>1991</v>
      </c>
      <c r="H377" s="18" t="str">
        <f t="shared" si="51"/>
        <v>Hohmann__1991</v>
      </c>
      <c r="I377" s="18" t="str">
        <f t="shared" si="59"/>
        <v>10.1159%2F000156538</v>
      </c>
      <c r="J377" s="18" t="str">
        <f t="shared" si="52"/>
        <v>Hohmann__1991_Table3</v>
      </c>
      <c r="K377" s="17" t="str">
        <f t="shared" si="56"/>
        <v>10.1159%2F000156538_Table3</v>
      </c>
      <c r="L377" s="17" t="str">
        <f t="array" ref="L377">IFERROR(INDEX(AUTO_Public_TSV_FileList!$A$1:$A$1000,MATCH(TRUE(),EXACT(K377,IFERROR(_xlfn.TEXTBEFORE(AUTO_Public_TSV_FileList!$A$1:$A$1000,".tsv"),"")),0)),"notfound")</f>
        <v>10.1159%2F000156538_Table3.tsv</v>
      </c>
      <c r="M377" s="20"/>
      <c r="N377" s="20" t="s">
        <v>4864</v>
      </c>
      <c r="O377" s="20" t="s">
        <v>5136</v>
      </c>
      <c r="P377" s="20" t="s">
        <v>4866</v>
      </c>
      <c r="Q377" s="20" t="s">
        <v>5137</v>
      </c>
      <c r="R377" s="20" t="s">
        <v>5119</v>
      </c>
      <c r="S377" s="20" t="s">
        <v>4869</v>
      </c>
      <c r="T377" s="20" t="s">
        <v>4870</v>
      </c>
      <c r="U377" s="20"/>
      <c r="V377" s="20" t="s">
        <v>4871</v>
      </c>
      <c r="W377" s="20" t="s">
        <v>187</v>
      </c>
      <c r="X377" s="20" t="s">
        <v>5138</v>
      </c>
      <c r="Y377" s="20"/>
      <c r="Z377" s="20" t="s">
        <v>4873</v>
      </c>
      <c r="AA377" s="20" t="s">
        <v>4874</v>
      </c>
      <c r="AB377" s="20" t="s">
        <v>5139</v>
      </c>
      <c r="AC377" s="20" t="s">
        <v>5122</v>
      </c>
      <c r="AD377" s="20" t="s">
        <v>689</v>
      </c>
      <c r="AE377" s="20" t="s">
        <v>50</v>
      </c>
      <c r="AF377" s="20" t="s">
        <v>4877</v>
      </c>
      <c r="AG377" s="20" t="s">
        <v>4878</v>
      </c>
      <c r="AH377" s="20" t="s">
        <v>4879</v>
      </c>
      <c r="AJ377" t="s">
        <v>5140</v>
      </c>
    </row>
    <row r="378" spans="1:36" ht="17" customHeight="1" x14ac:dyDescent="0.2">
      <c r="A378" s="20" t="s">
        <v>5390</v>
      </c>
      <c r="B378" s="20"/>
      <c r="C378" s="20"/>
      <c r="D378" s="20" t="s">
        <v>53</v>
      </c>
      <c r="E378" s="18" t="str">
        <f t="shared" si="49"/>
        <v>Hohmann</v>
      </c>
      <c r="F378" s="17"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17" t="str">
        <f t="shared" si="50"/>
        <v>1991</v>
      </c>
      <c r="H378" s="18" t="str">
        <f t="shared" si="51"/>
        <v>Hohmann__1991</v>
      </c>
      <c r="I378" s="18" t="str">
        <f t="shared" si="59"/>
        <v>10.1159%2F000156538</v>
      </c>
      <c r="J378" s="18" t="str">
        <f t="shared" si="52"/>
        <v>Hohmann__1991_Table4</v>
      </c>
      <c r="K378" s="17" t="str">
        <f t="shared" si="56"/>
        <v>10.1159%2F000156538_Table4</v>
      </c>
      <c r="L378" s="17" t="str">
        <f t="array" ref="L378">IFERROR(INDEX(AUTO_Public_TSV_FileList!$A$1:$A$1000,MATCH(TRUE(),EXACT(K378,IFERROR(_xlfn.TEXTBEFORE(AUTO_Public_TSV_FileList!$A$1:$A$1000,".tsv"),"")),0)),"notfound")</f>
        <v>10.1159%2F000156538_Table4.tsv</v>
      </c>
      <c r="M378" s="20"/>
      <c r="N378" s="20" t="s">
        <v>4864</v>
      </c>
      <c r="O378" s="20" t="s">
        <v>5141</v>
      </c>
      <c r="P378" s="20" t="s">
        <v>4866</v>
      </c>
      <c r="Q378" s="20" t="s">
        <v>5142</v>
      </c>
      <c r="R378" s="20" t="s">
        <v>5119</v>
      </c>
      <c r="S378" s="20" t="s">
        <v>4869</v>
      </c>
      <c r="T378" s="20" t="s">
        <v>4870</v>
      </c>
      <c r="U378" s="20"/>
      <c r="V378" s="20" t="s">
        <v>4871</v>
      </c>
      <c r="W378" s="20" t="s">
        <v>187</v>
      </c>
      <c r="X378" s="20" t="s">
        <v>5138</v>
      </c>
      <c r="Y378" s="20"/>
      <c r="Z378" s="20" t="s">
        <v>4873</v>
      </c>
      <c r="AA378" s="20" t="s">
        <v>4874</v>
      </c>
      <c r="AB378" s="20" t="s">
        <v>5139</v>
      </c>
      <c r="AC378" s="20" t="s">
        <v>5122</v>
      </c>
      <c r="AD378" s="20" t="s">
        <v>689</v>
      </c>
      <c r="AE378" s="20" t="s">
        <v>50</v>
      </c>
      <c r="AF378" s="20" t="s">
        <v>4877</v>
      </c>
      <c r="AG378" s="20" t="s">
        <v>4878</v>
      </c>
      <c r="AH378" s="20" t="s">
        <v>4879</v>
      </c>
      <c r="AJ378" t="s">
        <v>5143</v>
      </c>
    </row>
    <row r="379" spans="1:36" ht="17" customHeight="1" x14ac:dyDescent="0.2">
      <c r="A379" s="20" t="s">
        <v>5390</v>
      </c>
      <c r="B379" s="20"/>
      <c r="C379" s="20"/>
      <c r="D379" s="20" t="s">
        <v>164</v>
      </c>
      <c r="E379" s="18" t="str">
        <f t="shared" si="49"/>
        <v>Hohmann</v>
      </c>
      <c r="F379" s="17"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17" t="str">
        <f t="shared" si="50"/>
        <v>1991</v>
      </c>
      <c r="H379" s="18" t="str">
        <f t="shared" si="51"/>
        <v>Hohmann__1991</v>
      </c>
      <c r="I379" s="18" t="str">
        <f t="shared" si="59"/>
        <v>10.1159%2F000156538</v>
      </c>
      <c r="J379" s="18" t="str">
        <f t="shared" si="52"/>
        <v>Hohmann__1991_Table5</v>
      </c>
      <c r="K379" s="17" t="str">
        <f t="shared" si="56"/>
        <v>10.1159%2F000156538_Table5</v>
      </c>
      <c r="L379" s="17" t="str">
        <f t="array" ref="L379">IFERROR(INDEX(AUTO_Public_TSV_FileList!$A$1:$A$1000,MATCH(TRUE(),EXACT(K379,IFERROR(_xlfn.TEXTBEFORE(AUTO_Public_TSV_FileList!$A$1:$A$1000,".tsv"),"")),0)),"notfound")</f>
        <v>10.1159%2F000156538_Table5.tsv</v>
      </c>
      <c r="M379" s="20"/>
      <c r="N379" s="20" t="s">
        <v>4864</v>
      </c>
      <c r="O379" s="20" t="s">
        <v>5144</v>
      </c>
      <c r="P379" s="20" t="s">
        <v>4866</v>
      </c>
      <c r="Q379" s="20" t="s">
        <v>5145</v>
      </c>
      <c r="R379" s="20" t="s">
        <v>5119</v>
      </c>
      <c r="S379" s="20" t="s">
        <v>4869</v>
      </c>
      <c r="T379" s="20" t="s">
        <v>4870</v>
      </c>
      <c r="U379" s="20"/>
      <c r="V379" s="20" t="s">
        <v>4871</v>
      </c>
      <c r="W379" s="20" t="s">
        <v>187</v>
      </c>
      <c r="X379" s="20" t="s">
        <v>5146</v>
      </c>
      <c r="Y379" s="20"/>
      <c r="Z379" s="20" t="s">
        <v>4873</v>
      </c>
      <c r="AA379" s="20" t="s">
        <v>4874</v>
      </c>
      <c r="AB379" s="20" t="s">
        <v>5147</v>
      </c>
      <c r="AC379" s="20" t="s">
        <v>5122</v>
      </c>
      <c r="AD379" s="20" t="s">
        <v>689</v>
      </c>
      <c r="AE379" s="20" t="s">
        <v>50</v>
      </c>
      <c r="AF379" s="20" t="s">
        <v>4877</v>
      </c>
      <c r="AG379" s="20" t="s">
        <v>4878</v>
      </c>
      <c r="AH379" s="20" t="s">
        <v>4879</v>
      </c>
      <c r="AJ379" t="s">
        <v>5148</v>
      </c>
    </row>
    <row r="380" spans="1:36" ht="17" customHeight="1" x14ac:dyDescent="0.2">
      <c r="A380" s="20" t="s">
        <v>5390</v>
      </c>
      <c r="B380" s="20"/>
      <c r="C380" s="20"/>
      <c r="D380" s="20" t="s">
        <v>498</v>
      </c>
      <c r="E380" s="18" t="str">
        <f t="shared" si="49"/>
        <v>Hohmann</v>
      </c>
      <c r="F380" s="17"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17" t="str">
        <f t="shared" si="50"/>
        <v>1991</v>
      </c>
      <c r="H380" s="18" t="str">
        <f t="shared" si="51"/>
        <v>Hohmann__1991</v>
      </c>
      <c r="I380" s="18" t="str">
        <f t="shared" si="59"/>
        <v>10.1159%2F000156538</v>
      </c>
      <c r="J380" s="18" t="str">
        <f t="shared" si="52"/>
        <v>Hohmann__1991_Table6</v>
      </c>
      <c r="K380" s="17" t="str">
        <f t="shared" si="56"/>
        <v>10.1159%2F000156538_Table6</v>
      </c>
      <c r="L380" s="17" t="str">
        <f t="array" ref="L380">IFERROR(INDEX(AUTO_Public_TSV_FileList!$A$1:$A$1000,MATCH(TRUE(),EXACT(K380,IFERROR(_xlfn.TEXTBEFORE(AUTO_Public_TSV_FileList!$A$1:$A$1000,".tsv"),"")),0)),"notfound")</f>
        <v>10.1159%2F000156538_Table6.tsv</v>
      </c>
      <c r="M380" s="20"/>
      <c r="N380" s="20" t="s">
        <v>4864</v>
      </c>
      <c r="O380" s="20" t="s">
        <v>5149</v>
      </c>
      <c r="P380" s="20" t="s">
        <v>4866</v>
      </c>
      <c r="Q380" s="20" t="s">
        <v>5150</v>
      </c>
      <c r="R380" s="20" t="s">
        <v>5119</v>
      </c>
      <c r="S380" s="20" t="s">
        <v>4869</v>
      </c>
      <c r="T380" s="20" t="s">
        <v>4870</v>
      </c>
      <c r="U380" s="20"/>
      <c r="V380" s="20" t="s">
        <v>4871</v>
      </c>
      <c r="W380" s="20" t="s">
        <v>187</v>
      </c>
      <c r="X380" s="20" t="s">
        <v>5146</v>
      </c>
      <c r="Y380" s="20"/>
      <c r="Z380" s="20" t="s">
        <v>4873</v>
      </c>
      <c r="AA380" s="20" t="s">
        <v>4874</v>
      </c>
      <c r="AB380" s="20" t="s">
        <v>5147</v>
      </c>
      <c r="AC380" s="20" t="s">
        <v>5122</v>
      </c>
      <c r="AD380" s="20" t="s">
        <v>689</v>
      </c>
      <c r="AE380" s="20" t="s">
        <v>50</v>
      </c>
      <c r="AF380" s="20" t="s">
        <v>4877</v>
      </c>
      <c r="AG380" s="20" t="s">
        <v>4878</v>
      </c>
      <c r="AH380" s="20" t="s">
        <v>4879</v>
      </c>
      <c r="AJ380" t="s">
        <v>5151</v>
      </c>
    </row>
    <row r="381" spans="1:36" ht="17" customHeight="1" x14ac:dyDescent="0.2">
      <c r="A381" s="20" t="s">
        <v>5390</v>
      </c>
      <c r="B381" s="20"/>
      <c r="C381" s="20"/>
      <c r="D381" s="20" t="s">
        <v>1843</v>
      </c>
      <c r="E381" s="18" t="str">
        <f t="shared" si="49"/>
        <v>Hohmann</v>
      </c>
      <c r="F381" s="17"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17" t="str">
        <f t="shared" si="50"/>
        <v>1991</v>
      </c>
      <c r="H381" s="18" t="str">
        <f t="shared" si="51"/>
        <v>Hohmann__1991</v>
      </c>
      <c r="I381" s="18" t="str">
        <f t="shared" si="59"/>
        <v>10.1159%2F000156538</v>
      </c>
      <c r="J381" s="18" t="str">
        <f t="shared" si="52"/>
        <v>Hohmann__1991_Table7</v>
      </c>
      <c r="K381" s="17" t="str">
        <f t="shared" ref="K381:K412" si="60">I381 &amp; "_" &amp; SUBSTITUTE(SUBSTITUTE(SUBSTITUTE(D381,CHAR(160),"")," ",""),"_","")</f>
        <v>10.1159%2F000156538_Table7</v>
      </c>
      <c r="L381" s="17" t="str">
        <f t="array" ref="L381">IFERROR(INDEX(AUTO_Public_TSV_FileList!$A$1:$A$1000,MATCH(TRUE(),EXACT(K381,IFERROR(_xlfn.TEXTBEFORE(AUTO_Public_TSV_FileList!$A$1:$A$1000,".tsv"),"")),0)),"notfound")</f>
        <v>10.1159%2F000156538_Table7.tsv</v>
      </c>
      <c r="M381" s="20"/>
      <c r="N381" s="20" t="s">
        <v>4864</v>
      </c>
      <c r="O381" s="20" t="s">
        <v>5152</v>
      </c>
      <c r="P381" s="20" t="s">
        <v>4866</v>
      </c>
      <c r="Q381" s="20" t="s">
        <v>5153</v>
      </c>
      <c r="R381" s="20" t="s">
        <v>5119</v>
      </c>
      <c r="S381" s="20" t="s">
        <v>4869</v>
      </c>
      <c r="T381" s="20" t="s">
        <v>4870</v>
      </c>
      <c r="U381" s="20"/>
      <c r="V381" s="20" t="s">
        <v>4871</v>
      </c>
      <c r="W381" s="20" t="s">
        <v>187</v>
      </c>
      <c r="X381" s="20" t="s">
        <v>5120</v>
      </c>
      <c r="Y381" s="20"/>
      <c r="Z381" s="20" t="s">
        <v>4873</v>
      </c>
      <c r="AA381" s="20" t="s">
        <v>4874</v>
      </c>
      <c r="AB381" s="20" t="s">
        <v>5121</v>
      </c>
      <c r="AC381" s="20" t="s">
        <v>5122</v>
      </c>
      <c r="AD381" s="20" t="s">
        <v>689</v>
      </c>
      <c r="AE381" s="20" t="s">
        <v>50</v>
      </c>
      <c r="AF381" s="20" t="s">
        <v>4877</v>
      </c>
      <c r="AG381" s="20" t="s">
        <v>4878</v>
      </c>
      <c r="AH381" s="20" t="s">
        <v>4879</v>
      </c>
      <c r="AJ381" t="s">
        <v>5154</v>
      </c>
    </row>
    <row r="382" spans="1:36" ht="17" customHeight="1" x14ac:dyDescent="0.2">
      <c r="A382" s="20" t="s">
        <v>5390</v>
      </c>
      <c r="B382" s="20"/>
      <c r="C382" s="20"/>
      <c r="D382" s="20" t="s">
        <v>290</v>
      </c>
      <c r="E382" s="18" t="str">
        <f t="shared" si="49"/>
        <v>Hohmann</v>
      </c>
      <c r="F382" s="17"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17" t="str">
        <f t="shared" si="50"/>
        <v>1991</v>
      </c>
      <c r="H382" s="18" t="str">
        <f t="shared" si="51"/>
        <v>Hohmann__1991</v>
      </c>
      <c r="I382" s="18" t="str">
        <f t="shared" si="59"/>
        <v>10.1159%2F000156538</v>
      </c>
      <c r="J382" s="18" t="str">
        <f t="shared" si="52"/>
        <v>Hohmann__1991_Table8</v>
      </c>
      <c r="K382" s="17" t="str">
        <f t="shared" si="60"/>
        <v>10.1159%2F000156538_Table8</v>
      </c>
      <c r="L382" s="17" t="str">
        <f t="array" ref="L382">IFERROR(INDEX(AUTO_Public_TSV_FileList!$A$1:$A$1000,MATCH(TRUE(),EXACT(K382,IFERROR(_xlfn.TEXTBEFORE(AUTO_Public_TSV_FileList!$A$1:$A$1000,".tsv"),"")),0)),"notfound")</f>
        <v>10.1159%2F000156538_Table8.tsv</v>
      </c>
      <c r="M382" s="20"/>
      <c r="N382" s="20" t="s">
        <v>4864</v>
      </c>
      <c r="O382" s="20" t="s">
        <v>5155</v>
      </c>
      <c r="P382" s="20" t="s">
        <v>4866</v>
      </c>
      <c r="Q382" s="20" t="s">
        <v>5156</v>
      </c>
      <c r="R382" s="20" t="s">
        <v>5119</v>
      </c>
      <c r="S382" s="20" t="s">
        <v>4869</v>
      </c>
      <c r="T382" s="20" t="s">
        <v>4870</v>
      </c>
      <c r="U382" s="20"/>
      <c r="V382" s="20" t="s">
        <v>4871</v>
      </c>
      <c r="W382" s="20" t="s">
        <v>187</v>
      </c>
      <c r="X382" s="20" t="s">
        <v>5120</v>
      </c>
      <c r="Y382" s="20"/>
      <c r="Z382" s="20" t="s">
        <v>4873</v>
      </c>
      <c r="AA382" s="20" t="s">
        <v>4874</v>
      </c>
      <c r="AB382" s="20" t="s">
        <v>5121</v>
      </c>
      <c r="AC382" s="20" t="s">
        <v>5122</v>
      </c>
      <c r="AD382" s="20" t="s">
        <v>689</v>
      </c>
      <c r="AE382" s="20" t="s">
        <v>50</v>
      </c>
      <c r="AF382" s="20" t="s">
        <v>4877</v>
      </c>
      <c r="AG382" s="20" t="s">
        <v>4878</v>
      </c>
      <c r="AH382" s="20" t="s">
        <v>4879</v>
      </c>
      <c r="AJ382" t="s">
        <v>5157</v>
      </c>
    </row>
    <row r="383" spans="1:36" ht="17" customHeight="1" x14ac:dyDescent="0.2">
      <c r="A383" s="20" t="s">
        <v>5390</v>
      </c>
      <c r="B383" s="20"/>
      <c r="C383" s="20"/>
      <c r="D383" s="20" t="s">
        <v>5158</v>
      </c>
      <c r="E383" s="18" t="str">
        <f t="shared" si="49"/>
        <v>Hohmann</v>
      </c>
      <c r="F383" s="17"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17" t="str">
        <f t="shared" si="50"/>
        <v>1991</v>
      </c>
      <c r="H383" s="18" t="str">
        <f t="shared" si="51"/>
        <v>Hohmann__1991</v>
      </c>
      <c r="I383" s="18" t="str">
        <f t="shared" si="59"/>
        <v>10.1159%2F000156538</v>
      </c>
      <c r="J383" s="18" t="str">
        <f t="shared" si="52"/>
        <v>Hohmann__1991_Table9</v>
      </c>
      <c r="K383" s="17" t="str">
        <f t="shared" si="60"/>
        <v>10.1159%2F000156538_Table9</v>
      </c>
      <c r="L383" s="17" t="str">
        <f t="array" ref="L383">IFERROR(INDEX(AUTO_Public_TSV_FileList!$A$1:$A$1000,MATCH(TRUE(),EXACT(K383,IFERROR(_xlfn.TEXTBEFORE(AUTO_Public_TSV_FileList!$A$1:$A$1000,".tsv"),"")),0)),"notfound")</f>
        <v>10.1159%2F000156538_Table9.tsv</v>
      </c>
      <c r="M383" s="20"/>
      <c r="N383" s="20" t="s">
        <v>4864</v>
      </c>
      <c r="O383" s="20" t="s">
        <v>5117</v>
      </c>
      <c r="P383" s="20" t="s">
        <v>4866</v>
      </c>
      <c r="Q383" s="20" t="s">
        <v>5159</v>
      </c>
      <c r="R383" s="20" t="s">
        <v>5119</v>
      </c>
      <c r="S383" s="20" t="s">
        <v>4869</v>
      </c>
      <c r="T383" s="20" t="s">
        <v>4870</v>
      </c>
      <c r="U383" s="20"/>
      <c r="V383" s="20" t="s">
        <v>4871</v>
      </c>
      <c r="W383" s="20" t="s">
        <v>187</v>
      </c>
      <c r="X383" s="20" t="s">
        <v>5120</v>
      </c>
      <c r="Y383" s="20"/>
      <c r="Z383" s="20" t="s">
        <v>4873</v>
      </c>
      <c r="AA383" s="20" t="s">
        <v>4874</v>
      </c>
      <c r="AB383" s="20" t="s">
        <v>5121</v>
      </c>
      <c r="AC383" s="20" t="s">
        <v>5122</v>
      </c>
      <c r="AD383" s="20" t="s">
        <v>689</v>
      </c>
      <c r="AE383" s="20" t="s">
        <v>50</v>
      </c>
      <c r="AF383" s="20" t="s">
        <v>4877</v>
      </c>
      <c r="AG383" s="20" t="s">
        <v>4878</v>
      </c>
      <c r="AH383" s="20" t="s">
        <v>4879</v>
      </c>
      <c r="AJ383" t="s">
        <v>5160</v>
      </c>
    </row>
    <row r="384" spans="1:36" ht="17" customHeight="1" x14ac:dyDescent="0.2">
      <c r="A384" s="20" t="s">
        <v>1785</v>
      </c>
      <c r="B384" s="20"/>
      <c r="C384" s="20"/>
      <c r="D384" s="20" t="s">
        <v>1786</v>
      </c>
      <c r="E384" s="18" t="str">
        <f t="shared" si="49"/>
        <v>HrvojMihic</v>
      </c>
      <c r="F384" s="17"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17" t="str">
        <f t="shared" si="50"/>
        <v>2026</v>
      </c>
      <c r="H384" s="18" t="str">
        <f t="shared" si="51"/>
        <v>HrvojMihic_etal_2026</v>
      </c>
      <c r="I384" s="18" t="str">
        <f t="shared" si="59"/>
        <v>10.1073%2Fpnas.2609260123</v>
      </c>
      <c r="J384" s="18" t="str">
        <f t="shared" si="52"/>
        <v>HrvojMihic_etal_2026_SD</v>
      </c>
      <c r="K384" s="17" t="str">
        <f t="shared" si="60"/>
        <v>10.1073%2Fpnas.2609260123_SD</v>
      </c>
      <c r="L384" s="17" t="str">
        <f t="array" ref="L384">IFERROR(INDEX(AUTO_Public_TSV_FileList!$A$1:$A$1000,MATCH(TRUE(),EXACT(K384,IFERROR(_xlfn.TEXTBEFORE(AUTO_Public_TSV_FileList!$A$1:$A$1000,".tsv"),"")),0)),"notfound")</f>
        <v>10.1073%2Fpnas.2609260123_SD.tsv</v>
      </c>
      <c r="M384" s="20" t="s">
        <v>1787</v>
      </c>
      <c r="N384" s="20" t="s">
        <v>1788</v>
      </c>
      <c r="O384" s="20" t="s">
        <v>1789</v>
      </c>
      <c r="P384" s="20" t="s">
        <v>55</v>
      </c>
      <c r="Q384" s="20"/>
      <c r="R384" s="20" t="s">
        <v>1790</v>
      </c>
      <c r="S384" s="20"/>
      <c r="T384" s="20"/>
      <c r="U384" s="20"/>
      <c r="V384" s="20" t="s">
        <v>1791</v>
      </c>
      <c r="W384" s="20" t="s">
        <v>1792</v>
      </c>
      <c r="X384" s="20" t="s">
        <v>1793</v>
      </c>
      <c r="Y384" s="20" t="s">
        <v>1794</v>
      </c>
      <c r="Z384" s="20" t="s">
        <v>1795</v>
      </c>
      <c r="AA384" s="20" t="s">
        <v>1796</v>
      </c>
      <c r="AB384" s="20" t="s">
        <v>1797</v>
      </c>
      <c r="AC384" s="20"/>
      <c r="AD384" s="20"/>
      <c r="AE384" s="20" t="s">
        <v>50</v>
      </c>
      <c r="AF384" s="20"/>
      <c r="AG384" s="20"/>
      <c r="AH384" s="20"/>
    </row>
    <row r="385" spans="1:34" ht="17" customHeight="1" x14ac:dyDescent="0.2">
      <c r="A385" s="19" t="s">
        <v>1798</v>
      </c>
      <c r="B385" s="20"/>
      <c r="C385" s="20"/>
      <c r="D385" s="19" t="s">
        <v>145</v>
      </c>
      <c r="E385" s="17" t="str">
        <f t="shared" si="49"/>
        <v>Huffman</v>
      </c>
      <c r="F385" s="17"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17" t="str">
        <f t="shared" si="50"/>
        <v>1999</v>
      </c>
      <c r="H385" s="17" t="str">
        <f t="shared" si="51"/>
        <v>Huffman_etal_1999</v>
      </c>
      <c r="I385" s="17" t="str">
        <f>_xlfn.LET(
_xlpm.doi,IF(C385&lt;&gt;"",C385,_xlfn.TEXTAFTER(A385,"https://doi.org/")),
SUBSTITUTE(
SUBSTITUTE(
SUBSTITUTE(
SUBSTITUTE(
_xlpm.doi,
"/","%2F"),
":","%3A"),
"&lt;","%3C"),
"&gt;","%3E")
)</f>
        <v>10.1002%2F(sici)1096-9861(19990105)403%3A1%3C5%3A%3Aaid-cne2%3E3.0.co;2-f</v>
      </c>
      <c r="J385" s="17" t="str">
        <f t="shared" si="52"/>
        <v>Huffman_etal_1999_TABLE2</v>
      </c>
      <c r="K385" s="17" t="str">
        <f t="shared" si="60"/>
        <v>10.1002%2F(sici)1096-9861(19990105)403%3A1%3C5%3A%3Aaid-cne2%3E3.0.co;2-f_TABLE2</v>
      </c>
      <c r="L385" s="17" t="str">
        <f t="array" ref="L385">IFERROR(INDEX(AUTO_Public_TSV_FileList!$A$1:$A$1000,MATCH(TRUE(),EXACT(K385,IFERROR(_xlfn.TEXTBEFORE(AUTO_Public_TSV_FileList!$A$1:$A$1000,".tsv"),"")),0)),"notfound")</f>
        <v>10.1002%2F(sici)1096-9861(19990105)403%3A1%3C5%3A%3Aaid-cne2%3E3.0.co;2-f_TABLE2.tsv</v>
      </c>
      <c r="M385" s="20" t="s">
        <v>1799</v>
      </c>
      <c r="N385" s="19"/>
      <c r="O385" s="19"/>
      <c r="P385" s="19"/>
      <c r="Q385" s="19"/>
      <c r="R385" s="19"/>
      <c r="S385" s="20"/>
      <c r="T385" s="20"/>
      <c r="U385" s="20"/>
      <c r="V385" s="19"/>
      <c r="W385" s="19"/>
      <c r="X385" s="19"/>
      <c r="Y385" s="19"/>
      <c r="Z385" s="19"/>
      <c r="AA385" s="19"/>
      <c r="AB385" s="19"/>
      <c r="AC385" s="19"/>
      <c r="AD385" s="20"/>
      <c r="AE385" s="19"/>
      <c r="AF385" s="19"/>
      <c r="AG385" s="19"/>
      <c r="AH385" s="20"/>
    </row>
    <row r="386" spans="1:34" ht="17" customHeight="1" x14ac:dyDescent="0.2">
      <c r="A386" s="20" t="s">
        <v>4849</v>
      </c>
      <c r="B386" s="21"/>
      <c r="C386" s="21"/>
      <c r="D386" s="21" t="s">
        <v>120</v>
      </c>
      <c r="E386" s="18" t="str">
        <f t="shared" ref="E386:E449" si="61">SUBSTITUTE(SUBSTITUTE(_xlfn.TEXTBEFORE(A386,","), "-", ""), " ", "")</f>
        <v>Hutsler</v>
      </c>
      <c r="F386" s="17"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17" t="str">
        <f t="shared" ref="G386:G449" si="62">_xlfn.TEXTBEFORE(_xlfn.TEXTAFTER(A386, "("), ")")</f>
        <v>2005</v>
      </c>
      <c r="H386" s="18" t="str">
        <f t="shared" ref="H386:H449" si="63">SUBSTITUTE(SUBSTITUTE(E386 &amp; IF(F386&lt;&gt;"", "_" &amp; SUBSTITUTE(F386," ",""), "_") &amp; IF(G386&lt;&gt;"", "_" &amp; G386, "_") &amp; IF(B386&lt;&gt;"", "_" &amp; B386, ""),"'",""),"’","")</f>
        <v>Hutsler_etal_2005</v>
      </c>
      <c r="I386" s="18" t="str">
        <f>_xlfn.LET(_xlpm.doi,IF(C386&lt;&gt;"",C386,_xlfn.TEXTAFTER(A386,"https://doi.org/")),SUBSTITUTE(SUBSTITUTE(SUBSTITUTE(SUBSTITUTE(_xlpm.doi,"/","%2F"),":","%3A"),"&lt;","%3C"),"&gt;","%3E"))</f>
        <v>10.1016%2Fj.brainres.2005.06.015</v>
      </c>
      <c r="J386" s="18" t="str">
        <f t="shared" ref="J386:J449" si="64">TRIM(_xlfn.TEXTJOIN("_",FALSE(),H386,(SUBSTITUTE(SUBSTITUTE(D386," ",""), "_", ""))))</f>
        <v>Hutsler_etal_2005_Figure3</v>
      </c>
      <c r="K386" s="17" t="str">
        <f t="shared" si="60"/>
        <v>10.1016%2Fj.brainres.2005.06.015_Figure3</v>
      </c>
      <c r="L386" s="17" t="str">
        <f t="array" ref="L386">IFERROR(INDEX(AUTO_Public_TSV_FileList!$A$1:$A$1000,MATCH(TRUE(),EXACT(K386,IFERROR(_xlfn.TEXTBEFORE(AUTO_Public_TSV_FileList!$A$1:$A$1000,".tsv"),"")),0)),"notfound")</f>
        <v>10.1016%2Fj.brainres.2005.06.015_Figure3.tsv</v>
      </c>
      <c r="M386" s="21" t="s">
        <v>1800</v>
      </c>
      <c r="N386" s="21" t="s">
        <v>1801</v>
      </c>
      <c r="O386" s="21" t="s">
        <v>1802</v>
      </c>
      <c r="P386" s="21" t="s">
        <v>1803</v>
      </c>
      <c r="Q386" s="21" t="s">
        <v>1804</v>
      </c>
      <c r="R386" s="21" t="s">
        <v>1805</v>
      </c>
      <c r="S386" s="21"/>
      <c r="T386" s="21" t="s">
        <v>1806</v>
      </c>
      <c r="U386" s="21"/>
      <c r="V386" s="21" t="s">
        <v>1807</v>
      </c>
      <c r="W386" s="21" t="s">
        <v>1808</v>
      </c>
      <c r="X386" s="21" t="s">
        <v>1809</v>
      </c>
      <c r="Y386" s="21"/>
      <c r="Z386" s="21" t="s">
        <v>1129</v>
      </c>
      <c r="AA386" s="21" t="s">
        <v>1810</v>
      </c>
      <c r="AB386" s="21" t="s">
        <v>1811</v>
      </c>
      <c r="AC386" s="21" t="s">
        <v>1812</v>
      </c>
      <c r="AD386" s="21"/>
      <c r="AE386" s="21" t="s">
        <v>50</v>
      </c>
      <c r="AF386" s="21"/>
      <c r="AG386" s="21" t="s">
        <v>1813</v>
      </c>
      <c r="AH386" s="21"/>
    </row>
    <row r="387" spans="1:34" ht="17" customHeight="1" x14ac:dyDescent="0.2">
      <c r="A387" s="20" t="s">
        <v>4849</v>
      </c>
      <c r="B387" s="21"/>
      <c r="C387" s="21"/>
      <c r="D387" s="21" t="s">
        <v>1493</v>
      </c>
      <c r="E387" s="18" t="str">
        <f t="shared" si="61"/>
        <v>Hutsler</v>
      </c>
      <c r="F387" s="17"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17" t="str">
        <f t="shared" si="62"/>
        <v>2005</v>
      </c>
      <c r="H387" s="18" t="str">
        <f t="shared" si="63"/>
        <v>Hutsler_etal_2005</v>
      </c>
      <c r="I387" s="18" t="str">
        <f>_xlfn.LET(_xlpm.doi,IF(C387&lt;&gt;"",C387,_xlfn.TEXTAFTER(A387,"https://doi.org/")),SUBSTITUTE(SUBSTITUTE(SUBSTITUTE(SUBSTITUTE(_xlpm.doi,"/","%2F"),":","%3A"),"&lt;","%3C"),"&gt;","%3E"))</f>
        <v>10.1016%2Fj.brainres.2005.06.015</v>
      </c>
      <c r="J387" s="18" t="str">
        <f t="shared" si="64"/>
        <v>Hutsler_etal_2005_Figure6</v>
      </c>
      <c r="K387" s="17" t="str">
        <f t="shared" si="60"/>
        <v>10.1016%2Fj.brainres.2005.06.015_Figure6</v>
      </c>
      <c r="L387" s="17" t="str">
        <f t="array" ref="L387">IFERROR(INDEX(AUTO_Public_TSV_FileList!$A$1:$A$1000,MATCH(TRUE(),EXACT(K387,IFERROR(_xlfn.TEXTBEFORE(AUTO_Public_TSV_FileList!$A$1:$A$1000,".tsv"),"")),0)),"notfound")</f>
        <v>10.1016%2Fj.brainres.2005.06.015_Figure6.tsv</v>
      </c>
      <c r="M387" s="21" t="s">
        <v>1814</v>
      </c>
      <c r="N387" s="21" t="s">
        <v>1801</v>
      </c>
      <c r="O387" s="21" t="s">
        <v>1815</v>
      </c>
      <c r="P387" s="21" t="s">
        <v>1816</v>
      </c>
      <c r="Q387" s="21" t="s">
        <v>1817</v>
      </c>
      <c r="R387" s="21" t="s">
        <v>1805</v>
      </c>
      <c r="S387" s="21"/>
      <c r="T387" s="21" t="s">
        <v>1806</v>
      </c>
      <c r="U387" s="21"/>
      <c r="V387" s="21" t="s">
        <v>1807</v>
      </c>
      <c r="W387" s="21" t="s">
        <v>1818</v>
      </c>
      <c r="X387" s="21" t="s">
        <v>1819</v>
      </c>
      <c r="Y387" s="21"/>
      <c r="Z387" s="21" t="s">
        <v>1129</v>
      </c>
      <c r="AA387" s="21" t="s">
        <v>1810</v>
      </c>
      <c r="AB387" s="21" t="s">
        <v>1811</v>
      </c>
      <c r="AC387" s="21" t="s">
        <v>1812</v>
      </c>
      <c r="AD387" s="21"/>
      <c r="AE387" s="21" t="s">
        <v>50</v>
      </c>
      <c r="AF387" s="21"/>
      <c r="AG387" s="21" t="s">
        <v>1813</v>
      </c>
      <c r="AH387" s="21"/>
    </row>
    <row r="388" spans="1:34" ht="17" customHeight="1" x14ac:dyDescent="0.2">
      <c r="A388" s="20" t="s">
        <v>4849</v>
      </c>
      <c r="B388" s="21"/>
      <c r="C388" s="21"/>
      <c r="D388" s="21" t="s">
        <v>1820</v>
      </c>
      <c r="E388" s="18" t="str">
        <f t="shared" si="61"/>
        <v>Hutsler</v>
      </c>
      <c r="F388" s="17"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17" t="str">
        <f t="shared" si="62"/>
        <v>2005</v>
      </c>
      <c r="H388" s="18" t="str">
        <f t="shared" si="63"/>
        <v>Hutsler_etal_2005</v>
      </c>
      <c r="I388" s="18" t="str">
        <f>_xlfn.LET(_xlpm.doi,IF(C388&lt;&gt;"",C388,_xlfn.TEXTAFTER(A388,"https://doi.org/")),SUBSTITUTE(SUBSTITUTE(SUBSTITUTE(SUBSTITUTE(_xlpm.doi,"/","%2F"),":","%3A"),"&lt;","%3C"),"&gt;","%3E"))</f>
        <v>10.1016%2Fj.brainres.2005.06.015</v>
      </c>
      <c r="J388" s="18" t="str">
        <f t="shared" si="64"/>
        <v>Hutsler_etal_2005_ReportedValues</v>
      </c>
      <c r="K388" s="17" t="str">
        <f t="shared" si="60"/>
        <v>10.1016%2Fj.brainres.2005.06.015_ReportedValues</v>
      </c>
      <c r="L388" s="17" t="str">
        <f t="array" ref="L388">IFERROR(INDEX(AUTO_Public_TSV_FileList!$A$1:$A$1000,MATCH(TRUE(),EXACT(K388,IFERROR(_xlfn.TEXTBEFORE(AUTO_Public_TSV_FileList!$A$1:$A$1000,".tsv"),"")),0)),"notfound")</f>
        <v>10.1016%2Fj.brainres.2005.06.015_ReportedValues.tsv</v>
      </c>
      <c r="M388" s="21" t="s">
        <v>1821</v>
      </c>
      <c r="N388" s="21" t="s">
        <v>659</v>
      </c>
      <c r="O388" s="21" t="s">
        <v>1822</v>
      </c>
      <c r="P388" s="21" t="s">
        <v>1823</v>
      </c>
      <c r="Q388" s="21" t="s">
        <v>1824</v>
      </c>
      <c r="R388" s="21" t="s">
        <v>1805</v>
      </c>
      <c r="S388" s="21"/>
      <c r="T388" s="21" t="s">
        <v>1806</v>
      </c>
      <c r="U388" s="21"/>
      <c r="V388" s="21" t="s">
        <v>1807</v>
      </c>
      <c r="W388" s="21" t="s">
        <v>1825</v>
      </c>
      <c r="X388" s="21" t="s">
        <v>1826</v>
      </c>
      <c r="Y388" s="21"/>
      <c r="Z388" s="21" t="s">
        <v>1129</v>
      </c>
      <c r="AA388" s="21" t="s">
        <v>1810</v>
      </c>
      <c r="AB388" s="21" t="s">
        <v>1811</v>
      </c>
      <c r="AC388" s="21" t="s">
        <v>1812</v>
      </c>
      <c r="AD388" s="21"/>
      <c r="AE388" s="21" t="s">
        <v>50</v>
      </c>
      <c r="AF388" s="21"/>
      <c r="AG388" s="21" t="s">
        <v>1813</v>
      </c>
      <c r="AH388" s="21"/>
    </row>
    <row r="389" spans="1:34" ht="17" customHeight="1" x14ac:dyDescent="0.2">
      <c r="A389" s="20" t="s">
        <v>4849</v>
      </c>
      <c r="B389" s="21"/>
      <c r="C389" s="21"/>
      <c r="D389" s="21" t="s">
        <v>86</v>
      </c>
      <c r="E389" s="18" t="str">
        <f t="shared" si="61"/>
        <v>Hutsler</v>
      </c>
      <c r="F389" s="17"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17" t="str">
        <f t="shared" si="62"/>
        <v>2005</v>
      </c>
      <c r="H389" s="18" t="str">
        <f t="shared" si="63"/>
        <v>Hutsler_etal_2005</v>
      </c>
      <c r="I389" s="18" t="str">
        <f>_xlfn.LET(_xlpm.doi,IF(C389&lt;&gt;"",C389,_xlfn.TEXTAFTER(A389,"https://doi.org/")),SUBSTITUTE(SUBSTITUTE(SUBSTITUTE(SUBSTITUTE(_xlpm.doi,"/","%2F"),":","%3A"),"&lt;","%3C"),"&gt;","%3E"))</f>
        <v>10.1016%2Fj.brainres.2005.06.015</v>
      </c>
      <c r="J389" s="18" t="str">
        <f t="shared" si="64"/>
        <v>Hutsler_etal_2005_Table1</v>
      </c>
      <c r="K389" s="17" t="str">
        <f t="shared" si="60"/>
        <v>10.1016%2Fj.brainres.2005.06.015_Table1</v>
      </c>
      <c r="L389" s="17" t="str">
        <f t="array" ref="L389">IFERROR(INDEX(AUTO_Public_TSV_FileList!$A$1:$A$1000,MATCH(TRUE(),EXACT(K389,IFERROR(_xlfn.TEXTBEFORE(AUTO_Public_TSV_FileList!$A$1:$A$1000,".tsv"),"")),0)),"notfound")</f>
        <v>10.1016%2Fj.brainres.2005.06.015_Table1.tsv</v>
      </c>
      <c r="M389" s="21" t="s">
        <v>1827</v>
      </c>
      <c r="N389" s="21" t="s">
        <v>88</v>
      </c>
      <c r="O389" s="21" t="s">
        <v>1828</v>
      </c>
      <c r="P389" s="21" t="s">
        <v>1829</v>
      </c>
      <c r="Q389" s="21" t="s">
        <v>1830</v>
      </c>
      <c r="R389" s="21" t="s">
        <v>1805</v>
      </c>
      <c r="S389" s="21"/>
      <c r="T389" s="21" t="s">
        <v>1806</v>
      </c>
      <c r="U389" s="21"/>
      <c r="V389" s="21" t="s">
        <v>1807</v>
      </c>
      <c r="W389" s="21" t="s">
        <v>1831</v>
      </c>
      <c r="X389" s="21" t="s">
        <v>1832</v>
      </c>
      <c r="Y389" s="21"/>
      <c r="Z389" s="21" t="s">
        <v>1129</v>
      </c>
      <c r="AA389" s="21" t="s">
        <v>1810</v>
      </c>
      <c r="AB389" s="21" t="s">
        <v>1811</v>
      </c>
      <c r="AC389" s="21" t="s">
        <v>1812</v>
      </c>
      <c r="AD389" s="21"/>
      <c r="AE389" s="21" t="s">
        <v>50</v>
      </c>
      <c r="AF389" s="21"/>
      <c r="AG389" s="21" t="s">
        <v>1813</v>
      </c>
      <c r="AH389" s="21"/>
    </row>
    <row r="390" spans="1:34" ht="17" customHeight="1" x14ac:dyDescent="0.2">
      <c r="A390" s="20" t="s">
        <v>1833</v>
      </c>
      <c r="B390" s="20"/>
      <c r="C390" s="20"/>
      <c r="D390" s="20" t="s">
        <v>1834</v>
      </c>
      <c r="E390" s="17" t="str">
        <f t="shared" si="61"/>
        <v>InoueNakamura</v>
      </c>
      <c r="F390" s="17" t="str">
        <f>_xlfn.LET(
_xlpm.authors,_xlfn.TEXTBEFORE(A390," ("&amp;G390&amp;")"),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390" s="17" t="str">
        <f t="shared" si="62"/>
        <v>1997</v>
      </c>
      <c r="H390" s="17" t="str">
        <f t="shared" si="63"/>
        <v>InoueNakamura__1997</v>
      </c>
      <c r="I390" s="17" t="str">
        <f t="shared" ref="I390:I405" si="65">_xlfn.LET(
_xlpm.doi,IF(C390&lt;&gt;"",C390,_xlfn.TEXTAFTER(A390,"https://doi.org/")),
SUBSTITUTE(
SUBSTITUTE(
SUBSTITUTE(
SUBSTITUTE(
_xlpm.doi,
"/","%2F"),
":","%3A"),
"&lt;","%3C"),
"&gt;","%3E")
)</f>
        <v>10.1111%2F1468-5884.00059</v>
      </c>
      <c r="J390" s="17" t="str">
        <f t="shared" si="64"/>
        <v>InoueNakamura__1997_Table3</v>
      </c>
      <c r="K390" s="17" t="str">
        <f t="shared" si="60"/>
        <v>10.1111%2F1468-5884.00059_Table3</v>
      </c>
      <c r="L390" s="17" t="str">
        <f>IFERROR(INDEX(AUTO_Public_TSV_FileList!$A$1:$A$1000,MATCH(TRUE(),EXACT(K390,IFERROR(_xlfn.TEXTBEFORE(AUTO_Public_TSV_FileList!$A$1:$A$1000,".tsv"),"")),0)),"notfound")</f>
        <v>notfound</v>
      </c>
      <c r="M390" s="20" t="s">
        <v>1834</v>
      </c>
      <c r="N390" s="20" t="s">
        <v>556</v>
      </c>
      <c r="O390" s="20" t="s">
        <v>1835</v>
      </c>
      <c r="P390" s="20" t="s">
        <v>313</v>
      </c>
      <c r="Q390" s="20" t="s">
        <v>1836</v>
      </c>
      <c r="R390" s="20" t="s">
        <v>1837</v>
      </c>
      <c r="S390" s="20" t="s">
        <v>316</v>
      </c>
      <c r="T390" s="20" t="s">
        <v>317</v>
      </c>
      <c r="U390" s="20"/>
      <c r="V390" s="20" t="s">
        <v>318</v>
      </c>
      <c r="W390" s="20" t="s">
        <v>319</v>
      </c>
      <c r="X390" s="20"/>
      <c r="Y390" s="20"/>
      <c r="Z390" s="20"/>
      <c r="AA390" s="20" t="s">
        <v>1838</v>
      </c>
      <c r="AB390" s="20" t="s">
        <v>609</v>
      </c>
      <c r="AC390" s="20" t="s">
        <v>1839</v>
      </c>
      <c r="AD390" s="20"/>
      <c r="AE390" s="20" t="s">
        <v>70</v>
      </c>
      <c r="AF390" s="20"/>
      <c r="AG390" s="20" t="s">
        <v>324</v>
      </c>
      <c r="AH390" s="20" t="s">
        <v>325</v>
      </c>
    </row>
    <row r="391" spans="1:34" ht="17" customHeight="1" x14ac:dyDescent="0.2">
      <c r="A391" s="19" t="s">
        <v>4557</v>
      </c>
      <c r="B391" s="20"/>
      <c r="C391" s="20"/>
      <c r="D391" s="19" t="s">
        <v>4558</v>
      </c>
      <c r="E391" s="17" t="str">
        <f t="shared" si="61"/>
        <v>Isler</v>
      </c>
      <c r="F391" s="17"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Schaik</v>
      </c>
      <c r="G391" s="17" t="str">
        <f t="shared" si="62"/>
        <v>2012</v>
      </c>
      <c r="H391" s="17" t="str">
        <f t="shared" si="63"/>
        <v>Isler_vanSchaik_2012</v>
      </c>
      <c r="I391" s="17" t="str">
        <f t="shared" si="65"/>
        <v>10.1016%2Fj.jhevol.2012.03.009</v>
      </c>
      <c r="J391" s="17" t="str">
        <f t="shared" si="64"/>
        <v>Isler_vanSchaik_2012_1-s2.0-S0047248412000577-mmc2.xls</v>
      </c>
      <c r="K391" s="17" t="str">
        <f t="shared" si="60"/>
        <v>10.1016%2Fj.jhevol.2012.03.009_1-s2.0-S0047248412000577-mmc2.xls</v>
      </c>
      <c r="L391" s="17" t="str">
        <f t="array" ref="L391">IFERROR(INDEX(AUTO_Public_TSV_FileList!$A$1:$A$1000,MATCH(TRUE(),EXACT(K391,IFERROR(_xlfn.TEXTBEFORE(AUTO_Public_TSV_FileList!$A$1:$A$1000,".tsv"),"")),0)),"notfound")</f>
        <v>notfound</v>
      </c>
      <c r="M391" s="20"/>
      <c r="N391" s="20" t="s">
        <v>4702</v>
      </c>
      <c r="O391" s="20" t="s">
        <v>4703</v>
      </c>
      <c r="P391" s="20" t="s">
        <v>4704</v>
      </c>
      <c r="Q391" s="20" t="s">
        <v>4705</v>
      </c>
      <c r="R391" s="20" t="s">
        <v>4706</v>
      </c>
      <c r="S391" s="20" t="s">
        <v>4707</v>
      </c>
      <c r="T391" s="20" t="s">
        <v>4708</v>
      </c>
      <c r="U391" s="20"/>
      <c r="V391" s="20" t="s">
        <v>4709</v>
      </c>
      <c r="W391" s="20" t="s">
        <v>319</v>
      </c>
      <c r="X391" s="20" t="s">
        <v>4710</v>
      </c>
      <c r="Y391" s="20" t="s">
        <v>4711</v>
      </c>
      <c r="Z391" s="20" t="s">
        <v>4712</v>
      </c>
      <c r="AA391" s="20" t="s">
        <v>4713</v>
      </c>
      <c r="AB391" s="20" t="s">
        <v>4714</v>
      </c>
      <c r="AC391" s="20" t="s">
        <v>4715</v>
      </c>
      <c r="AD391" s="20" t="s">
        <v>689</v>
      </c>
      <c r="AE391" s="20" t="s">
        <v>265</v>
      </c>
      <c r="AF391" s="20" t="s">
        <v>4716</v>
      </c>
      <c r="AG391" s="20" t="s">
        <v>4717</v>
      </c>
      <c r="AH391" s="20"/>
    </row>
    <row r="392" spans="1:34" ht="17" customHeight="1" x14ac:dyDescent="0.2">
      <c r="A392" s="19" t="s">
        <v>4557</v>
      </c>
      <c r="B392" s="20"/>
      <c r="C392" s="20"/>
      <c r="D392" s="19" t="s">
        <v>4559</v>
      </c>
      <c r="E392" s="17" t="str">
        <f t="shared" si="61"/>
        <v>Isler</v>
      </c>
      <c r="F392" s="17"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Schaik</v>
      </c>
      <c r="G392" s="17" t="str">
        <f t="shared" si="62"/>
        <v>2012</v>
      </c>
      <c r="H392" s="17" t="str">
        <f t="shared" si="63"/>
        <v>Isler_vanSchaik_2012</v>
      </c>
      <c r="I392" s="17" t="str">
        <f t="shared" si="65"/>
        <v>10.1016%2Fj.jhevol.2012.03.009</v>
      </c>
      <c r="J392" s="17" t="str">
        <f t="shared" si="64"/>
        <v>Isler_vanSchaik_2012_SupplementaryInformation1.3</v>
      </c>
      <c r="K392" s="17" t="str">
        <f t="shared" si="60"/>
        <v>10.1016%2Fj.jhevol.2012.03.009_SupplementaryInformation1.3</v>
      </c>
      <c r="L392" s="17" t="str">
        <f t="array" ref="L392">IFERROR(INDEX(AUTO_Public_TSV_FileList!$A$1:$A$1000,MATCH(TRUE(),EXACT(K392,IFERROR(_xlfn.TEXTBEFORE(AUTO_Public_TSV_FileList!$A$1:$A$1000,".tsv"),"")),0)),"notfound")</f>
        <v>notfound</v>
      </c>
      <c r="M392" s="20" t="s">
        <v>4561</v>
      </c>
      <c r="N392" s="20" t="s">
        <v>4718</v>
      </c>
      <c r="O392" s="20" t="s">
        <v>4719</v>
      </c>
      <c r="P392" s="20" t="s">
        <v>4704</v>
      </c>
      <c r="Q392" s="20" t="s">
        <v>4720</v>
      </c>
      <c r="R392" s="20" t="s">
        <v>4706</v>
      </c>
      <c r="S392" s="20" t="s">
        <v>4721</v>
      </c>
      <c r="T392" s="20" t="s">
        <v>4722</v>
      </c>
      <c r="U392" s="20"/>
      <c r="V392" s="20" t="s">
        <v>4723</v>
      </c>
      <c r="W392" s="20" t="s">
        <v>319</v>
      </c>
      <c r="X392" s="20" t="s">
        <v>4724</v>
      </c>
      <c r="Y392" s="20"/>
      <c r="Z392" s="20" t="s">
        <v>4725</v>
      </c>
      <c r="AA392" s="20" t="s">
        <v>4726</v>
      </c>
      <c r="AB392" s="20" t="s">
        <v>4727</v>
      </c>
      <c r="AC392" s="20" t="s">
        <v>4715</v>
      </c>
      <c r="AD392" s="20" t="s">
        <v>689</v>
      </c>
      <c r="AE392" s="20" t="s">
        <v>4505</v>
      </c>
      <c r="AF392" s="20" t="s">
        <v>4716</v>
      </c>
      <c r="AG392" s="20" t="s">
        <v>4728</v>
      </c>
      <c r="AH392" s="20"/>
    </row>
    <row r="393" spans="1:34" ht="17" customHeight="1" x14ac:dyDescent="0.2">
      <c r="A393" s="19" t="s">
        <v>4557</v>
      </c>
      <c r="B393" s="20"/>
      <c r="C393" s="20"/>
      <c r="D393" s="19" t="s">
        <v>4560</v>
      </c>
      <c r="E393" s="17" t="str">
        <f t="shared" si="61"/>
        <v>Isler</v>
      </c>
      <c r="F393" s="17"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Schaik</v>
      </c>
      <c r="G393" s="17" t="str">
        <f t="shared" si="62"/>
        <v>2012</v>
      </c>
      <c r="H393" s="17" t="str">
        <f t="shared" si="63"/>
        <v>Isler_vanSchaik_2012</v>
      </c>
      <c r="I393" s="17" t="str">
        <f t="shared" si="65"/>
        <v>10.1016%2Fj.jhevol.2012.03.009</v>
      </c>
      <c r="J393" s="17" t="str">
        <f t="shared" si="64"/>
        <v>Isler_vanSchaik_2012_SupplementaryInformation4.References</v>
      </c>
      <c r="K393" s="17" t="str">
        <f t="shared" si="60"/>
        <v>10.1016%2Fj.jhevol.2012.03.009_SupplementaryInformation4.References</v>
      </c>
      <c r="L393" s="17" t="str">
        <f t="array" ref="L393">IFERROR(INDEX(AUTO_Public_TSV_FileList!$A$1:$A$1000,MATCH(TRUE(),EXACT(K393,IFERROR(_xlfn.TEXTBEFORE(AUTO_Public_TSV_FileList!$A$1:$A$1000,".tsv"),"")),0)),"notfound")</f>
        <v>notfound</v>
      </c>
      <c r="M393" s="20" t="s">
        <v>4560</v>
      </c>
      <c r="N393" s="20" t="s">
        <v>4718</v>
      </c>
      <c r="O393" s="20" t="s">
        <v>4719</v>
      </c>
      <c r="P393" s="20" t="s">
        <v>4704</v>
      </c>
      <c r="Q393" s="20" t="s">
        <v>4729</v>
      </c>
      <c r="R393" s="20" t="s">
        <v>4706</v>
      </c>
      <c r="S393" s="20" t="s">
        <v>4721</v>
      </c>
      <c r="T393" s="20" t="s">
        <v>4722</v>
      </c>
      <c r="U393" s="20"/>
      <c r="V393" s="20" t="s">
        <v>4723</v>
      </c>
      <c r="W393" s="20" t="s">
        <v>319</v>
      </c>
      <c r="X393" s="20" t="s">
        <v>4724</v>
      </c>
      <c r="Y393" s="20"/>
      <c r="Z393" s="20" t="s">
        <v>4725</v>
      </c>
      <c r="AA393" s="20" t="s">
        <v>4726</v>
      </c>
      <c r="AB393" s="20" t="s">
        <v>4727</v>
      </c>
      <c r="AC393" s="20" t="s">
        <v>4715</v>
      </c>
      <c r="AD393" s="20" t="s">
        <v>689</v>
      </c>
      <c r="AE393" s="20" t="s">
        <v>4505</v>
      </c>
      <c r="AF393" s="20" t="s">
        <v>4716</v>
      </c>
      <c r="AG393" s="20" t="s">
        <v>4728</v>
      </c>
      <c r="AH393" s="20"/>
    </row>
    <row r="394" spans="1:34" ht="17" customHeight="1" x14ac:dyDescent="0.2">
      <c r="A394" s="19" t="s">
        <v>1840</v>
      </c>
      <c r="B394" s="20"/>
      <c r="C394" s="20"/>
      <c r="D394" s="19" t="s">
        <v>160</v>
      </c>
      <c r="E394" s="17" t="str">
        <f t="shared" si="61"/>
        <v>Isler</v>
      </c>
      <c r="F394" s="17"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17" t="str">
        <f t="shared" si="62"/>
        <v>2008</v>
      </c>
      <c r="H394" s="17" t="str">
        <f t="shared" si="63"/>
        <v>Isler_etal_2008</v>
      </c>
      <c r="I394" s="17" t="str">
        <f t="shared" si="65"/>
        <v>10.1016%2Fj.jhevol.2008.08.004</v>
      </c>
      <c r="J394" s="17" t="str">
        <f t="shared" si="64"/>
        <v>Isler_etal_2008_Table2</v>
      </c>
      <c r="K394" s="17" t="str">
        <f t="shared" si="60"/>
        <v>10.1016%2Fj.jhevol.2008.08.004_Table2</v>
      </c>
      <c r="L394" s="17" t="str">
        <f t="array" ref="L394">IFERROR(INDEX(AUTO_Public_TSV_FileList!$A$1:$A$1000,MATCH(TRUE(),EXACT(K394,IFERROR(_xlfn.TEXTBEFORE(AUTO_Public_TSV_FileList!$A$1:$A$1000,".tsv"),"")),0)),"notfound")</f>
        <v>10.1016%2Fj.jhevol.2008.08.004_Table2.tsv</v>
      </c>
      <c r="M394" s="20"/>
      <c r="N394" s="19" t="s">
        <v>54</v>
      </c>
      <c r="O394" s="20"/>
      <c r="P394" s="19" t="s">
        <v>55</v>
      </c>
      <c r="Q394" s="20"/>
      <c r="R394" s="20"/>
      <c r="S394" s="20"/>
      <c r="T394" s="20"/>
      <c r="U394" s="20"/>
      <c r="V394" s="20"/>
      <c r="W394" s="19" t="s">
        <v>187</v>
      </c>
      <c r="X394" s="19" t="s">
        <v>1841</v>
      </c>
      <c r="Y394" s="20"/>
      <c r="Z394" s="20"/>
      <c r="AA394" s="20"/>
      <c r="AB394" s="19" t="s">
        <v>1842</v>
      </c>
      <c r="AC394" s="20"/>
      <c r="AD394" s="20"/>
      <c r="AE394" s="19" t="s">
        <v>265</v>
      </c>
      <c r="AF394" s="19"/>
      <c r="AG394" s="20"/>
      <c r="AH394" s="20"/>
    </row>
    <row r="395" spans="1:34" ht="17" customHeight="1" x14ac:dyDescent="0.2">
      <c r="A395" s="19" t="s">
        <v>1840</v>
      </c>
      <c r="B395" s="20"/>
      <c r="C395" s="20"/>
      <c r="D395" s="19" t="s">
        <v>1843</v>
      </c>
      <c r="E395" s="17" t="str">
        <f t="shared" si="61"/>
        <v>Isler</v>
      </c>
      <c r="F395" s="17"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17" t="str">
        <f t="shared" si="62"/>
        <v>2008</v>
      </c>
      <c r="H395" s="17" t="str">
        <f t="shared" si="63"/>
        <v>Isler_etal_2008</v>
      </c>
      <c r="I395" s="17" t="str">
        <f t="shared" si="65"/>
        <v>10.1016%2Fj.jhevol.2008.08.004</v>
      </c>
      <c r="J395" s="17" t="str">
        <f t="shared" si="64"/>
        <v>Isler_etal_2008_Table7</v>
      </c>
      <c r="K395" s="17" t="str">
        <f t="shared" si="60"/>
        <v>10.1016%2Fj.jhevol.2008.08.004_Table7</v>
      </c>
      <c r="L395" s="17" t="str">
        <f t="array" ref="L395">IFERROR(INDEX(AUTO_Public_TSV_FileList!$A$1:$A$1000,MATCH(TRUE(),EXACT(K395,IFERROR(_xlfn.TEXTBEFORE(AUTO_Public_TSV_FileList!$A$1:$A$1000,".tsv"),"")),0)),"notfound")</f>
        <v>10.1016%2Fj.jhevol.2008.08.004_Table7.tsv</v>
      </c>
      <c r="M395" s="20"/>
      <c r="N395" s="19" t="s">
        <v>54</v>
      </c>
      <c r="O395" s="20"/>
      <c r="P395" s="19" t="s">
        <v>55</v>
      </c>
      <c r="Q395" s="20"/>
      <c r="R395" s="20"/>
      <c r="S395" s="20"/>
      <c r="T395" s="20"/>
      <c r="U395" s="20"/>
      <c r="V395" s="20"/>
      <c r="W395" s="19" t="s">
        <v>187</v>
      </c>
      <c r="X395" s="19" t="s">
        <v>1841</v>
      </c>
      <c r="Y395" s="20"/>
      <c r="Z395" s="20"/>
      <c r="AA395" s="20"/>
      <c r="AB395" s="19" t="s">
        <v>1842</v>
      </c>
      <c r="AC395" s="20"/>
      <c r="AD395" s="20"/>
      <c r="AE395" s="19" t="s">
        <v>265</v>
      </c>
      <c r="AF395" s="19"/>
      <c r="AG395" s="20"/>
      <c r="AH395" s="20"/>
    </row>
    <row r="396" spans="1:34" ht="17" customHeight="1" x14ac:dyDescent="0.2">
      <c r="A396" s="19" t="s">
        <v>1840</v>
      </c>
      <c r="B396" s="20"/>
      <c r="C396" s="20"/>
      <c r="D396" s="19" t="s">
        <v>390</v>
      </c>
      <c r="E396" s="17" t="str">
        <f t="shared" si="61"/>
        <v>Isler</v>
      </c>
      <c r="F396" s="17"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17" t="str">
        <f t="shared" si="62"/>
        <v>2008</v>
      </c>
      <c r="H396" s="17" t="str">
        <f t="shared" si="63"/>
        <v>Isler_etal_2008</v>
      </c>
      <c r="I396" s="17" t="str">
        <f t="shared" si="65"/>
        <v>10.1016%2Fj.jhevol.2008.08.004</v>
      </c>
      <c r="J396" s="17" t="str">
        <f t="shared" si="64"/>
        <v>Isler_etal_2008_TableS1</v>
      </c>
      <c r="K396" s="17" t="str">
        <f t="shared" si="60"/>
        <v>10.1016%2Fj.jhevol.2008.08.004_TableS1</v>
      </c>
      <c r="L396" s="17" t="str">
        <f t="array" ref="L396">IFERROR(INDEX(AUTO_Public_TSV_FileList!$A$1:$A$1000,MATCH(TRUE(),EXACT(K396,IFERROR(_xlfn.TEXTBEFORE(AUTO_Public_TSV_FileList!$A$1:$A$1000,".tsv"),"")),0)),"notfound")</f>
        <v>10.1016%2Fj.jhevol.2008.08.004_TableS1.tsv</v>
      </c>
      <c r="M396" s="20"/>
      <c r="N396" s="19" t="s">
        <v>54</v>
      </c>
      <c r="O396" s="20"/>
      <c r="P396" s="19" t="s">
        <v>55</v>
      </c>
      <c r="Q396" s="20"/>
      <c r="R396" s="20"/>
      <c r="S396" s="20"/>
      <c r="T396" s="20"/>
      <c r="U396" s="20"/>
      <c r="V396" s="20"/>
      <c r="W396" s="19" t="s">
        <v>187</v>
      </c>
      <c r="X396" s="19" t="s">
        <v>1841</v>
      </c>
      <c r="Y396" s="20"/>
      <c r="Z396" s="20"/>
      <c r="AA396" s="20"/>
      <c r="AB396" s="19" t="s">
        <v>1842</v>
      </c>
      <c r="AC396" s="20"/>
      <c r="AD396" s="20"/>
      <c r="AE396" s="19" t="s">
        <v>265</v>
      </c>
      <c r="AF396" s="19"/>
      <c r="AG396" s="20"/>
      <c r="AH396" s="20"/>
    </row>
    <row r="397" spans="1:34" ht="17" customHeight="1" x14ac:dyDescent="0.2">
      <c r="A397" s="19" t="s">
        <v>1840</v>
      </c>
      <c r="B397" s="20"/>
      <c r="C397" s="20"/>
      <c r="D397" s="19" t="s">
        <v>1051</v>
      </c>
      <c r="E397" s="17" t="str">
        <f t="shared" si="61"/>
        <v>Isler</v>
      </c>
      <c r="F397" s="17"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17" t="str">
        <f t="shared" si="62"/>
        <v>2008</v>
      </c>
      <c r="H397" s="17" t="str">
        <f t="shared" si="63"/>
        <v>Isler_etal_2008</v>
      </c>
      <c r="I397" s="17" t="str">
        <f t="shared" si="65"/>
        <v>10.1016%2Fj.jhevol.2008.08.004</v>
      </c>
      <c r="J397" s="17" t="str">
        <f t="shared" si="64"/>
        <v>Isler_etal_2008_TableS2</v>
      </c>
      <c r="K397" s="17" t="str">
        <f t="shared" si="60"/>
        <v>10.1016%2Fj.jhevol.2008.08.004_TableS2</v>
      </c>
      <c r="L397" s="17" t="str">
        <f t="array" ref="L397">IFERROR(INDEX(AUTO_Public_TSV_FileList!$A$1:$A$1000,MATCH(TRUE(),EXACT(K397,IFERROR(_xlfn.TEXTBEFORE(AUTO_Public_TSV_FileList!$A$1:$A$1000,".tsv"),"")),0)),"notfound")</f>
        <v>10.1016%2Fj.jhevol.2008.08.004_TableS2.tsv</v>
      </c>
      <c r="M397" s="20"/>
      <c r="N397" s="19" t="s">
        <v>54</v>
      </c>
      <c r="O397" s="20"/>
      <c r="P397" s="19" t="s">
        <v>55</v>
      </c>
      <c r="Q397" s="20"/>
      <c r="R397" s="20"/>
      <c r="S397" s="20"/>
      <c r="T397" s="20"/>
      <c r="U397" s="20"/>
      <c r="V397" s="20"/>
      <c r="W397" s="19" t="s">
        <v>187</v>
      </c>
      <c r="X397" s="19" t="s">
        <v>1841</v>
      </c>
      <c r="Y397" s="20"/>
      <c r="Z397" s="20"/>
      <c r="AA397" s="20"/>
      <c r="AB397" s="19" t="s">
        <v>1842</v>
      </c>
      <c r="AC397" s="20"/>
      <c r="AD397" s="20"/>
      <c r="AE397" s="19" t="s">
        <v>265</v>
      </c>
      <c r="AF397" s="19"/>
      <c r="AG397" s="20"/>
      <c r="AH397" s="20"/>
    </row>
    <row r="398" spans="1:34" ht="17" customHeight="1" x14ac:dyDescent="0.2">
      <c r="A398" s="19" t="s">
        <v>1840</v>
      </c>
      <c r="B398" s="20"/>
      <c r="C398" s="20"/>
      <c r="D398" s="19" t="s">
        <v>1053</v>
      </c>
      <c r="E398" s="17" t="str">
        <f t="shared" si="61"/>
        <v>Isler</v>
      </c>
      <c r="F398" s="17"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17" t="str">
        <f t="shared" si="62"/>
        <v>2008</v>
      </c>
      <c r="H398" s="17" t="str">
        <f t="shared" si="63"/>
        <v>Isler_etal_2008</v>
      </c>
      <c r="I398" s="17" t="str">
        <f t="shared" si="65"/>
        <v>10.1016%2Fj.jhevol.2008.08.004</v>
      </c>
      <c r="J398" s="17" t="str">
        <f t="shared" si="64"/>
        <v>Isler_etal_2008_TableS3</v>
      </c>
      <c r="K398" s="17" t="str">
        <f t="shared" si="60"/>
        <v>10.1016%2Fj.jhevol.2008.08.004_TableS3</v>
      </c>
      <c r="L398" s="17" t="str">
        <f t="array" ref="L398">IFERROR(INDEX(AUTO_Public_TSV_FileList!$A$1:$A$1000,MATCH(TRUE(),EXACT(K398,IFERROR(_xlfn.TEXTBEFORE(AUTO_Public_TSV_FileList!$A$1:$A$1000,".tsv"),"")),0)),"notfound")</f>
        <v>10.1016%2Fj.jhevol.2008.08.004_TableS3.tsv</v>
      </c>
      <c r="M398" s="20"/>
      <c r="N398" s="19" t="s">
        <v>54</v>
      </c>
      <c r="O398" s="20"/>
      <c r="P398" s="19" t="s">
        <v>55</v>
      </c>
      <c r="Q398" s="20"/>
      <c r="R398" s="20"/>
      <c r="S398" s="20"/>
      <c r="T398" s="20"/>
      <c r="U398" s="20"/>
      <c r="V398" s="20"/>
      <c r="W398" s="19" t="s">
        <v>187</v>
      </c>
      <c r="X398" s="19" t="s">
        <v>1841</v>
      </c>
      <c r="Y398" s="20"/>
      <c r="Z398" s="20"/>
      <c r="AA398" s="20"/>
      <c r="AB398" s="19" t="s">
        <v>1842</v>
      </c>
      <c r="AC398" s="20"/>
      <c r="AD398" s="20"/>
      <c r="AE398" s="19" t="s">
        <v>265</v>
      </c>
      <c r="AF398" s="19"/>
      <c r="AG398" s="20"/>
      <c r="AH398" s="20"/>
    </row>
    <row r="399" spans="1:34" ht="17" customHeight="1" x14ac:dyDescent="0.2">
      <c r="A399" s="19" t="s">
        <v>1840</v>
      </c>
      <c r="B399" s="20"/>
      <c r="C399" s="20"/>
      <c r="D399" s="19" t="s">
        <v>1844</v>
      </c>
      <c r="E399" s="17" t="str">
        <f t="shared" si="61"/>
        <v>Isler</v>
      </c>
      <c r="F399" s="17"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17" t="str">
        <f t="shared" si="62"/>
        <v>2008</v>
      </c>
      <c r="H399" s="17" t="str">
        <f t="shared" si="63"/>
        <v>Isler_etal_2008</v>
      </c>
      <c r="I399" s="17" t="str">
        <f t="shared" si="65"/>
        <v>10.1016%2Fj.jhevol.2008.08.004</v>
      </c>
      <c r="J399" s="17" t="str">
        <f t="shared" si="64"/>
        <v>Isler_etal_2008_Tree.nex</v>
      </c>
      <c r="K399" s="17" t="str">
        <f t="shared" si="60"/>
        <v>10.1016%2Fj.jhevol.2008.08.004_Tree.nex</v>
      </c>
      <c r="L399" s="17" t="str">
        <f t="array" ref="L399">IFERROR(INDEX(AUTO_Public_TSV_FileList!$A$1:$A$1000,MATCH(TRUE(),EXACT(K399,IFERROR(_xlfn.TEXTBEFORE(AUTO_Public_TSV_FileList!$A$1:$A$1000,".tsv"),"")),0)),"notfound")</f>
        <v>notfound</v>
      </c>
      <c r="M399" s="20"/>
      <c r="N399" s="19" t="s">
        <v>1845</v>
      </c>
      <c r="O399" s="20" t="s">
        <v>1846</v>
      </c>
      <c r="P399" s="20" t="s">
        <v>55</v>
      </c>
      <c r="Q399" s="20"/>
      <c r="R399" s="20"/>
      <c r="S399" s="20"/>
      <c r="T399" s="20"/>
      <c r="U399" s="20"/>
      <c r="V399" s="20"/>
      <c r="W399" s="19" t="s">
        <v>187</v>
      </c>
      <c r="X399" s="19" t="s">
        <v>1847</v>
      </c>
      <c r="Y399" s="20"/>
      <c r="Z399" s="20"/>
      <c r="AA399" s="20"/>
      <c r="AB399" s="19" t="s">
        <v>1848</v>
      </c>
      <c r="AC399" s="20"/>
      <c r="AD399" s="20"/>
      <c r="AE399" s="19" t="s">
        <v>265</v>
      </c>
      <c r="AF399" s="19"/>
      <c r="AG399" s="20"/>
      <c r="AH399" s="20"/>
    </row>
    <row r="400" spans="1:34" ht="17" customHeight="1" x14ac:dyDescent="0.2">
      <c r="A400" s="19" t="s">
        <v>1849</v>
      </c>
      <c r="B400" s="20"/>
      <c r="C400" s="20"/>
      <c r="D400" s="19" t="s">
        <v>86</v>
      </c>
      <c r="E400" s="17" t="str">
        <f t="shared" si="61"/>
        <v>Iwaniuk</v>
      </c>
      <c r="F400" s="17"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17" t="str">
        <f t="shared" si="62"/>
        <v>2001</v>
      </c>
      <c r="H400" s="17" t="str">
        <f t="shared" si="63"/>
        <v>Iwaniuk_etal_2001</v>
      </c>
      <c r="I400" s="17" t="str">
        <f t="shared" si="65"/>
        <v>10.1037%2F0735-7036.115.1.29</v>
      </c>
      <c r="J400" s="17" t="str">
        <f t="shared" si="64"/>
        <v>Iwaniuk_etal_2001_Table1</v>
      </c>
      <c r="K400" s="17" t="str">
        <f t="shared" si="60"/>
        <v>10.1037%2F0735-7036.115.1.29_Table1</v>
      </c>
      <c r="L400" s="17" t="str">
        <f t="array" ref="L400">IFERROR(INDEX(AUTO_Public_TSV_FileList!$A$1:$A$1000,MATCH(TRUE(),EXACT(K400,IFERROR(_xlfn.TEXTBEFORE(AUTO_Public_TSV_FileList!$A$1:$A$1000,".tsv"),"")),0)),"notfound")</f>
        <v>10.1037%2F0735-7036.115.1.29_Table1.tsv</v>
      </c>
      <c r="M400" s="19" t="s">
        <v>1850</v>
      </c>
      <c r="N400" s="19" t="s">
        <v>54</v>
      </c>
      <c r="O400" s="20"/>
      <c r="P400" s="19" t="s">
        <v>55</v>
      </c>
      <c r="Q400" s="20"/>
      <c r="R400" s="20"/>
      <c r="S400" s="20"/>
      <c r="T400" s="20"/>
      <c r="U400" s="20"/>
      <c r="V400" s="19"/>
      <c r="W400" s="19" t="s">
        <v>224</v>
      </c>
      <c r="X400" s="19" t="s">
        <v>1851</v>
      </c>
      <c r="Y400" s="20"/>
      <c r="Z400" s="20"/>
      <c r="AA400" s="20"/>
      <c r="AB400" s="19" t="s">
        <v>1852</v>
      </c>
      <c r="AC400" s="20"/>
      <c r="AD400" s="20"/>
      <c r="AE400" s="19" t="s">
        <v>265</v>
      </c>
      <c r="AF400" s="19"/>
      <c r="AG400" s="20"/>
      <c r="AH400" s="20"/>
    </row>
    <row r="401" spans="1:34" ht="15" customHeight="1" x14ac:dyDescent="0.2">
      <c r="A401" s="19" t="s">
        <v>1849</v>
      </c>
      <c r="B401" s="20"/>
      <c r="C401" s="20"/>
      <c r="D401" s="19" t="s">
        <v>160</v>
      </c>
      <c r="E401" s="17" t="str">
        <f t="shared" si="61"/>
        <v>Iwaniuk</v>
      </c>
      <c r="F401" s="17"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17" t="str">
        <f t="shared" si="62"/>
        <v>2001</v>
      </c>
      <c r="H401" s="17" t="str">
        <f t="shared" si="63"/>
        <v>Iwaniuk_etal_2001</v>
      </c>
      <c r="I401" s="17" t="str">
        <f t="shared" si="65"/>
        <v>10.1037%2F0735-7036.115.1.29</v>
      </c>
      <c r="J401" s="17" t="str">
        <f t="shared" si="64"/>
        <v>Iwaniuk_etal_2001_Table2</v>
      </c>
      <c r="K401" s="17" t="str">
        <f t="shared" si="60"/>
        <v>10.1037%2F0735-7036.115.1.29_Table2</v>
      </c>
      <c r="L401" s="17" t="str">
        <f t="array" ref="L401">IFERROR(INDEX(AUTO_Public_TSV_FileList!$A$1:$A$1000,MATCH(TRUE(),EXACT(K401,IFERROR(_xlfn.TEXTBEFORE(AUTO_Public_TSV_FileList!$A$1:$A$1000,".tsv"),"")),0)),"notfound")</f>
        <v>10.1037%2F0735-7036.115.1.29_Table2.tsv</v>
      </c>
      <c r="M401" s="19" t="s">
        <v>1853</v>
      </c>
      <c r="N401" s="19" t="s">
        <v>54</v>
      </c>
      <c r="O401" s="20"/>
      <c r="P401" s="19" t="s">
        <v>55</v>
      </c>
      <c r="Q401" s="20"/>
      <c r="R401" s="20"/>
      <c r="S401" s="20"/>
      <c r="T401" s="20"/>
      <c r="U401" s="20"/>
      <c r="V401" s="19"/>
      <c r="W401" s="19" t="s">
        <v>224</v>
      </c>
      <c r="X401" s="19" t="s">
        <v>1851</v>
      </c>
      <c r="Y401" s="20"/>
      <c r="Z401" s="20"/>
      <c r="AA401" s="20"/>
      <c r="AB401" s="19" t="s">
        <v>1852</v>
      </c>
      <c r="AC401" s="20"/>
      <c r="AD401" s="20"/>
      <c r="AE401" s="19" t="s">
        <v>265</v>
      </c>
      <c r="AF401" s="19"/>
      <c r="AG401" s="20"/>
      <c r="AH401" s="20"/>
    </row>
    <row r="402" spans="1:34" ht="15.75" customHeight="1" x14ac:dyDescent="0.2">
      <c r="A402" s="19" t="s">
        <v>1849</v>
      </c>
      <c r="B402" s="20"/>
      <c r="C402" s="20"/>
      <c r="D402" s="19" t="s">
        <v>162</v>
      </c>
      <c r="E402" s="17" t="str">
        <f t="shared" si="61"/>
        <v>Iwaniuk</v>
      </c>
      <c r="F402" s="17"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17" t="str">
        <f t="shared" si="62"/>
        <v>2001</v>
      </c>
      <c r="H402" s="17" t="str">
        <f t="shared" si="63"/>
        <v>Iwaniuk_etal_2001</v>
      </c>
      <c r="I402" s="17" t="str">
        <f t="shared" si="65"/>
        <v>10.1037%2F0735-7036.115.1.29</v>
      </c>
      <c r="J402" s="17" t="str">
        <f t="shared" si="64"/>
        <v>Iwaniuk_etal_2001_Table3</v>
      </c>
      <c r="K402" s="17" t="str">
        <f t="shared" si="60"/>
        <v>10.1037%2F0735-7036.115.1.29_Table3</v>
      </c>
      <c r="L402" s="17" t="str">
        <f t="array" ref="L402">IFERROR(INDEX(AUTO_Public_TSV_FileList!$A$1:$A$1000,MATCH(TRUE(),EXACT(K402,IFERROR(_xlfn.TEXTBEFORE(AUTO_Public_TSV_FileList!$A$1:$A$1000,".tsv"),"")),0)),"notfound")</f>
        <v>10.1037%2F0735-7036.115.1.29_Table3.tsv</v>
      </c>
      <c r="M402" s="19" t="s">
        <v>1854</v>
      </c>
      <c r="N402" s="19" t="s">
        <v>54</v>
      </c>
      <c r="O402" s="20"/>
      <c r="P402" s="19" t="s">
        <v>55</v>
      </c>
      <c r="Q402" s="20"/>
      <c r="R402" s="20"/>
      <c r="S402" s="20"/>
      <c r="T402" s="20"/>
      <c r="U402" s="20"/>
      <c r="V402" s="19"/>
      <c r="W402" s="19" t="s">
        <v>224</v>
      </c>
      <c r="X402" s="19" t="s">
        <v>1851</v>
      </c>
      <c r="Y402" s="20"/>
      <c r="Z402" s="20"/>
      <c r="AA402" s="20"/>
      <c r="AB402" s="19" t="s">
        <v>1852</v>
      </c>
      <c r="AC402" s="20"/>
      <c r="AD402" s="20"/>
      <c r="AE402" s="19" t="s">
        <v>265</v>
      </c>
      <c r="AF402" s="19"/>
      <c r="AG402" s="20"/>
      <c r="AH402" s="20"/>
    </row>
    <row r="403" spans="1:34" ht="15.75" customHeight="1" x14ac:dyDescent="0.2">
      <c r="A403" s="19" t="s">
        <v>1849</v>
      </c>
      <c r="B403" s="20"/>
      <c r="C403" s="20"/>
      <c r="D403" s="19" t="s">
        <v>53</v>
      </c>
      <c r="E403" s="17" t="str">
        <f t="shared" si="61"/>
        <v>Iwaniuk</v>
      </c>
      <c r="F403" s="17"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17" t="str">
        <f t="shared" si="62"/>
        <v>2001</v>
      </c>
      <c r="H403" s="17" t="str">
        <f t="shared" si="63"/>
        <v>Iwaniuk_etal_2001</v>
      </c>
      <c r="I403" s="17" t="str">
        <f t="shared" si="65"/>
        <v>10.1037%2F0735-7036.115.1.29</v>
      </c>
      <c r="J403" s="17" t="str">
        <f t="shared" si="64"/>
        <v>Iwaniuk_etal_2001_Table4</v>
      </c>
      <c r="K403" s="17" t="str">
        <f t="shared" si="60"/>
        <v>10.1037%2F0735-7036.115.1.29_Table4</v>
      </c>
      <c r="L403" s="17" t="str">
        <f t="array" ref="L403">IFERROR(INDEX(AUTO_Public_TSV_FileList!$A$1:$A$1000,MATCH(TRUE(),EXACT(K403,IFERROR(_xlfn.TEXTBEFORE(AUTO_Public_TSV_FileList!$A$1:$A$1000,".tsv"),"")),0)),"notfound")</f>
        <v>10.1037%2F0735-7036.115.1.29_Table4.tsv</v>
      </c>
      <c r="M403" s="19" t="s">
        <v>1855</v>
      </c>
      <c r="N403" s="19" t="s">
        <v>54</v>
      </c>
      <c r="O403" s="20"/>
      <c r="P403" s="19" t="s">
        <v>55</v>
      </c>
      <c r="Q403" s="20"/>
      <c r="R403" s="20"/>
      <c r="S403" s="20"/>
      <c r="T403" s="20"/>
      <c r="U403" s="20"/>
      <c r="V403" s="19"/>
      <c r="W403" s="19" t="s">
        <v>224</v>
      </c>
      <c r="X403" s="19" t="s">
        <v>1851</v>
      </c>
      <c r="Y403" s="20"/>
      <c r="Z403" s="20"/>
      <c r="AA403" s="20"/>
      <c r="AB403" s="19" t="s">
        <v>1852</v>
      </c>
      <c r="AC403" s="20"/>
      <c r="AD403" s="20"/>
      <c r="AE403" s="19" t="s">
        <v>265</v>
      </c>
      <c r="AF403" s="19"/>
      <c r="AG403" s="20"/>
      <c r="AH403" s="20"/>
    </row>
    <row r="404" spans="1:34" ht="15.75" customHeight="1" x14ac:dyDescent="0.2">
      <c r="A404" s="19" t="s">
        <v>1856</v>
      </c>
      <c r="B404" s="20"/>
      <c r="C404" s="20"/>
      <c r="D404" s="19" t="s">
        <v>1857</v>
      </c>
      <c r="E404" s="17" t="str">
        <f t="shared" si="61"/>
        <v>Iwaniuk</v>
      </c>
      <c r="F404" s="17"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17" t="str">
        <f t="shared" si="62"/>
        <v>1999</v>
      </c>
      <c r="H404" s="17" t="str">
        <f t="shared" si="63"/>
        <v>Iwaniuk_etal_1999</v>
      </c>
      <c r="I404" s="17" t="str">
        <f t="shared" si="65"/>
        <v>10.1016%2Fs0166-4328(98)00151-x</v>
      </c>
      <c r="J404" s="17" t="str">
        <f t="shared" si="64"/>
        <v>Iwaniuk_etal_1999_References</v>
      </c>
      <c r="K404" s="17" t="str">
        <f t="shared" si="60"/>
        <v>10.1016%2Fs0166-4328(98)00151-x_References</v>
      </c>
      <c r="L404" s="17" t="str">
        <f t="array" ref="L404">IFERROR(INDEX(AUTO_Public_TSV_FileList!$A$1:$A$1000,MATCH(TRUE(),EXACT(K404,IFERROR(_xlfn.TEXTBEFORE(AUTO_Public_TSV_FileList!$A$1:$A$1000,".tsv"),"")),0)),"notfound")</f>
        <v>10.1016%2Fs0166-4328(98)00151-x_References.tsv</v>
      </c>
      <c r="M404" s="19" t="s">
        <v>1857</v>
      </c>
      <c r="N404" s="19" t="s">
        <v>1858</v>
      </c>
      <c r="O404" s="20"/>
      <c r="P404" s="19" t="s">
        <v>55</v>
      </c>
      <c r="Q404" s="20"/>
      <c r="R404" s="20"/>
      <c r="S404" s="20"/>
      <c r="T404" s="20"/>
      <c r="U404" s="20"/>
      <c r="V404" s="20"/>
      <c r="W404" s="19" t="s">
        <v>224</v>
      </c>
      <c r="X404" s="19" t="s">
        <v>1859</v>
      </c>
      <c r="Y404" s="20"/>
      <c r="Z404" s="20"/>
      <c r="AA404" s="20"/>
      <c r="AB404" s="19" t="s">
        <v>1860</v>
      </c>
      <c r="AC404" s="20"/>
      <c r="AD404" s="20"/>
      <c r="AE404" s="19" t="s">
        <v>265</v>
      </c>
      <c r="AF404" s="19"/>
      <c r="AG404" s="20"/>
      <c r="AH404" s="20"/>
    </row>
    <row r="405" spans="1:34" ht="15.75" customHeight="1" x14ac:dyDescent="0.2">
      <c r="A405" s="19" t="s">
        <v>1856</v>
      </c>
      <c r="B405" s="20"/>
      <c r="C405" s="20"/>
      <c r="D405" s="19" t="s">
        <v>86</v>
      </c>
      <c r="E405" s="17" t="str">
        <f t="shared" si="61"/>
        <v>Iwaniuk</v>
      </c>
      <c r="F405" s="17"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17" t="str">
        <f t="shared" si="62"/>
        <v>1999</v>
      </c>
      <c r="H405" s="17" t="str">
        <f t="shared" si="63"/>
        <v>Iwaniuk_etal_1999</v>
      </c>
      <c r="I405" s="17" t="str">
        <f t="shared" si="65"/>
        <v>10.1016%2Fs0166-4328(98)00151-x</v>
      </c>
      <c r="J405" s="17" t="str">
        <f t="shared" si="64"/>
        <v>Iwaniuk_etal_1999_Table1</v>
      </c>
      <c r="K405" s="17" t="str">
        <f t="shared" si="60"/>
        <v>10.1016%2Fs0166-4328(98)00151-x_Table1</v>
      </c>
      <c r="L405" s="17" t="str">
        <f t="array" ref="L405">IFERROR(INDEX(AUTO_Public_TSV_FileList!$A$1:$A$1000,MATCH(TRUE(),EXACT(K405,IFERROR(_xlfn.TEXTBEFORE(AUTO_Public_TSV_FileList!$A$1:$A$1000,".tsv"),"")),0)),"notfound")</f>
        <v>10.1016%2Fs0166-4328(98)00151-x_Table1.tsv</v>
      </c>
      <c r="M405" s="19" t="s">
        <v>1861</v>
      </c>
      <c r="N405" s="19" t="s">
        <v>54</v>
      </c>
      <c r="O405" s="20"/>
      <c r="P405" s="19" t="s">
        <v>55</v>
      </c>
      <c r="Q405" s="20"/>
      <c r="R405" s="20"/>
      <c r="S405" s="20"/>
      <c r="T405" s="20"/>
      <c r="U405" s="20"/>
      <c r="V405" s="20"/>
      <c r="W405" s="19" t="s">
        <v>224</v>
      </c>
      <c r="X405" s="19" t="s">
        <v>1859</v>
      </c>
      <c r="Y405" s="20"/>
      <c r="Z405" s="20"/>
      <c r="AA405" s="20"/>
      <c r="AB405" s="19" t="s">
        <v>1860</v>
      </c>
      <c r="AC405" s="20"/>
      <c r="AD405" s="20"/>
      <c r="AE405" s="19" t="s">
        <v>265</v>
      </c>
      <c r="AF405" s="19"/>
      <c r="AG405" s="20"/>
      <c r="AH405" s="20"/>
    </row>
    <row r="406" spans="1:34" ht="15.75" customHeight="1" x14ac:dyDescent="0.2">
      <c r="A406" s="21" t="s">
        <v>1862</v>
      </c>
      <c r="B406" s="21"/>
      <c r="C406" s="21"/>
      <c r="D406" s="21" t="s">
        <v>86</v>
      </c>
      <c r="E406" s="18" t="str">
        <f t="shared" si="61"/>
        <v>Iwaniuk</v>
      </c>
      <c r="F406" s="17"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17" t="str">
        <f t="shared" si="62"/>
        <v>2000</v>
      </c>
      <c r="H406" s="18" t="str">
        <f t="shared" si="63"/>
        <v>Iwaniuk_etal_2000</v>
      </c>
      <c r="I406" s="18" t="str">
        <f t="shared" ref="I406:I415" si="66">_xlfn.LET(_xlpm.doi,IF(C406&lt;&gt;"",C406,_xlfn.TEXTAFTER(A406,"https://doi.org/")),SUBSTITUTE(SUBSTITUTE(SUBSTITUTE(SUBSTITUTE(_xlpm.doi,"/","%2F"),":","%3A"),"&lt;","%3C"),"&gt;","%3E"))</f>
        <v>10.1139%2Fz00-023</v>
      </c>
      <c r="J406" s="18" t="str">
        <f t="shared" si="64"/>
        <v>Iwaniuk_etal_2000_Table1</v>
      </c>
      <c r="K406" s="17" t="str">
        <f t="shared" si="60"/>
        <v>10.1139%2Fz00-023_Table1</v>
      </c>
      <c r="L406" s="17" t="str">
        <f t="array" ref="L406">IFERROR(INDEX(AUTO_Public_TSV_FileList!$A$1:$A$1000,MATCH(TRUE(),EXACT(K406,IFERROR(_xlfn.TEXTBEFORE(AUTO_Public_TSV_FileList!$A$1:$A$1000,".tsv"),"")),0)),"notfound")</f>
        <v>notfound</v>
      </c>
      <c r="M406" s="21" t="s">
        <v>1863</v>
      </c>
      <c r="N406" s="21" t="s">
        <v>88</v>
      </c>
      <c r="O406" s="21" t="s">
        <v>1864</v>
      </c>
      <c r="P406" s="21" t="s">
        <v>133</v>
      </c>
      <c r="Q406" s="21"/>
      <c r="R406" s="21" t="s">
        <v>1865</v>
      </c>
      <c r="S406" s="21" t="s">
        <v>135</v>
      </c>
      <c r="T406" s="21" t="s">
        <v>1866</v>
      </c>
      <c r="U406" s="21"/>
      <c r="V406" s="21" t="s">
        <v>1867</v>
      </c>
      <c r="W406" s="21" t="s">
        <v>1868</v>
      </c>
      <c r="X406" s="21" t="s">
        <v>1869</v>
      </c>
      <c r="Y406" s="21" t="s">
        <v>1870</v>
      </c>
      <c r="Z406" s="21" t="s">
        <v>1871</v>
      </c>
      <c r="AA406" s="21" t="s">
        <v>1872</v>
      </c>
      <c r="AB406" s="21" t="s">
        <v>1873</v>
      </c>
      <c r="AC406" s="21" t="s">
        <v>1874</v>
      </c>
      <c r="AD406" s="21"/>
      <c r="AE406" s="21" t="s">
        <v>70</v>
      </c>
      <c r="AF406" s="21" t="s">
        <v>1875</v>
      </c>
      <c r="AG406" s="21" t="s">
        <v>1876</v>
      </c>
      <c r="AH406" s="20"/>
    </row>
    <row r="407" spans="1:34" ht="15.75" customHeight="1" x14ac:dyDescent="0.2">
      <c r="A407" s="20" t="s">
        <v>1877</v>
      </c>
      <c r="B407" s="20"/>
      <c r="C407" s="20"/>
      <c r="D407" s="20" t="s">
        <v>500</v>
      </c>
      <c r="E407" s="18" t="str">
        <f t="shared" si="61"/>
        <v>Jackson</v>
      </c>
      <c r="F407" s="17"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17" t="str">
        <f t="shared" si="62"/>
        <v>1997</v>
      </c>
      <c r="H407" s="18" t="str">
        <f t="shared" si="63"/>
        <v>Jackson_etal_1997</v>
      </c>
      <c r="I407" s="18" t="str">
        <f t="shared" si="66"/>
        <v>10.1037%2F0735-7036.111.1.100</v>
      </c>
      <c r="J407" s="18" t="str">
        <f t="shared" si="64"/>
        <v>Jackson_etal_1997_ResultsText</v>
      </c>
      <c r="K407" s="17" t="str">
        <f t="shared" si="60"/>
        <v>10.1037%2F0735-7036.111.1.100_ResultsText</v>
      </c>
      <c r="L407" s="17" t="str">
        <f t="array" ref="L407">IFERROR(INDEX(AUTO_Public_TSV_FileList!$A$1:$A$1000,MATCH(TRUE(),EXACT(K407,IFERROR(_xlfn.TEXTBEFORE(AUTO_Public_TSV_FileList!$A$1:$A$1000,".tsv"),"")),0)),"notfound")</f>
        <v>10.1037%2F0735-7036.111.1.100_ResultsText.tsv</v>
      </c>
      <c r="M407" s="20" t="s">
        <v>1878</v>
      </c>
      <c r="N407" s="20" t="s">
        <v>659</v>
      </c>
      <c r="O407" s="20" t="s">
        <v>1879</v>
      </c>
      <c r="P407" s="20" t="s">
        <v>90</v>
      </c>
      <c r="Q407" s="20" t="s">
        <v>1880</v>
      </c>
      <c r="R407" s="20"/>
      <c r="S407" s="20"/>
      <c r="T407" s="20"/>
      <c r="U407" s="20"/>
      <c r="V407" s="20"/>
      <c r="W407" s="20" t="s">
        <v>1210</v>
      </c>
      <c r="X407" s="20"/>
      <c r="Y407" s="20"/>
      <c r="Z407" s="20"/>
      <c r="AA407" s="20" t="s">
        <v>1881</v>
      </c>
      <c r="AB407" s="20" t="s">
        <v>177</v>
      </c>
      <c r="AC407" s="20" t="s">
        <v>1882</v>
      </c>
      <c r="AD407" s="20"/>
      <c r="AE407" s="20" t="s">
        <v>50</v>
      </c>
      <c r="AF407" s="20"/>
      <c r="AG407" s="20"/>
      <c r="AH407" s="20"/>
    </row>
    <row r="408" spans="1:34" ht="15.75" customHeight="1" x14ac:dyDescent="0.2">
      <c r="A408" s="20" t="s">
        <v>1883</v>
      </c>
      <c r="B408" s="20"/>
      <c r="C408" s="20"/>
      <c r="D408" s="20" t="s">
        <v>1884</v>
      </c>
      <c r="E408" s="18" t="str">
        <f t="shared" si="61"/>
        <v>Jacob</v>
      </c>
      <c r="F408" s="17"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17" t="str">
        <f t="shared" si="62"/>
        <v>2021</v>
      </c>
      <c r="H408" s="18" t="str">
        <f t="shared" si="63"/>
        <v>Jacob_etal_2021</v>
      </c>
      <c r="I408" s="18" t="str">
        <f t="shared" si="66"/>
        <v>10.1002%2Fcne.25197</v>
      </c>
      <c r="J408" s="18" t="str">
        <f t="shared" si="64"/>
        <v>Jacob_etal_2021_FIGURE4</v>
      </c>
      <c r="K408" s="17" t="str">
        <f t="shared" si="60"/>
        <v>10.1002%2Fcne.25197_FIGURE4</v>
      </c>
      <c r="L408" s="17" t="str">
        <f t="array" ref="L408">IFERROR(INDEX(AUTO_Public_TSV_FileList!$A$1:$A$1000,MATCH(TRUE(),EXACT(K408,IFERROR(_xlfn.TEXTBEFORE(AUTO_Public_TSV_FileList!$A$1:$A$1000,".tsv"),"")),0)),"notfound")</f>
        <v>10.1002%2Fcne.25197_FIGURE4.tsv</v>
      </c>
      <c r="M408" s="20" t="s">
        <v>1884</v>
      </c>
      <c r="N408" s="20"/>
      <c r="O408" s="20"/>
      <c r="P408" s="20" t="s">
        <v>55</v>
      </c>
      <c r="Q408" s="20"/>
      <c r="R408" s="20"/>
      <c r="S408" s="20"/>
      <c r="T408" s="20"/>
      <c r="U408" s="20"/>
      <c r="V408" s="20"/>
      <c r="W408" s="20"/>
      <c r="X408" s="20"/>
      <c r="Y408" s="20"/>
      <c r="Z408" s="20"/>
      <c r="AA408" s="20"/>
      <c r="AB408" s="20"/>
      <c r="AC408" s="20"/>
      <c r="AD408" s="20"/>
      <c r="AE408" s="20"/>
      <c r="AF408" s="20"/>
      <c r="AG408" s="20"/>
      <c r="AH408" s="20"/>
    </row>
    <row r="409" spans="1:34" ht="15.75" customHeight="1" x14ac:dyDescent="0.2">
      <c r="A409" s="20" t="s">
        <v>1883</v>
      </c>
      <c r="B409" s="20"/>
      <c r="C409" s="20"/>
      <c r="D409" s="20" t="s">
        <v>77</v>
      </c>
      <c r="E409" s="18" t="str">
        <f t="shared" si="61"/>
        <v>Jacob</v>
      </c>
      <c r="F409" s="17"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7" t="str">
        <f t="shared" si="62"/>
        <v>2021</v>
      </c>
      <c r="H409" s="18" t="str">
        <f t="shared" si="63"/>
        <v>Jacob_etal_2021</v>
      </c>
      <c r="I409" s="18" t="str">
        <f t="shared" si="66"/>
        <v>10.1002%2Fcne.25197</v>
      </c>
      <c r="J409" s="18" t="str">
        <f t="shared" si="64"/>
        <v>Jacob_etal_2021_TABLE1</v>
      </c>
      <c r="K409" s="17" t="str">
        <f t="shared" si="60"/>
        <v>10.1002%2Fcne.25197_TABLE1</v>
      </c>
      <c r="L409" s="17" t="str">
        <f t="array" ref="L409">IFERROR(INDEX(AUTO_Public_TSV_FileList!$A$1:$A$1000,MATCH(TRUE(),EXACT(K409,IFERROR(_xlfn.TEXTBEFORE(AUTO_Public_TSV_FileList!$A$1:$A$1000,".tsv"),"")),0)),"notfound")</f>
        <v>10.1002%2Fcne.25197_TABLE1.tsv</v>
      </c>
      <c r="M409" s="20" t="s">
        <v>1885</v>
      </c>
      <c r="N409" s="20" t="s">
        <v>54</v>
      </c>
      <c r="O409" s="20" t="s">
        <v>1886</v>
      </c>
      <c r="P409" s="20" t="s">
        <v>55</v>
      </c>
      <c r="Q409" s="20"/>
      <c r="R409" s="20"/>
      <c r="S409" s="20"/>
      <c r="T409" s="20"/>
      <c r="U409" s="20"/>
      <c r="V409" s="20"/>
      <c r="W409" s="20"/>
      <c r="X409" s="20"/>
      <c r="Y409" s="20"/>
      <c r="Z409" s="20"/>
      <c r="AA409" s="20"/>
      <c r="AB409" s="20"/>
      <c r="AC409" s="20"/>
      <c r="AD409" s="20"/>
      <c r="AE409" s="20"/>
      <c r="AF409" s="20"/>
      <c r="AG409" s="20"/>
      <c r="AH409" s="20"/>
    </row>
    <row r="410" spans="1:34" ht="15.75" customHeight="1" x14ac:dyDescent="0.2">
      <c r="A410" s="20" t="s">
        <v>1883</v>
      </c>
      <c r="B410" s="20"/>
      <c r="C410" s="20"/>
      <c r="D410" s="20" t="s">
        <v>145</v>
      </c>
      <c r="E410" s="18" t="str">
        <f t="shared" si="61"/>
        <v>Jacob</v>
      </c>
      <c r="F410" s="17"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17" t="str">
        <f t="shared" si="62"/>
        <v>2021</v>
      </c>
      <c r="H410" s="18" t="str">
        <f t="shared" si="63"/>
        <v>Jacob_etal_2021</v>
      </c>
      <c r="I410" s="18" t="str">
        <f t="shared" si="66"/>
        <v>10.1002%2Fcne.25197</v>
      </c>
      <c r="J410" s="18" t="str">
        <f t="shared" si="64"/>
        <v>Jacob_etal_2021_TABLE2</v>
      </c>
      <c r="K410" s="17" t="str">
        <f t="shared" si="60"/>
        <v>10.1002%2Fcne.25197_TABLE2</v>
      </c>
      <c r="L410" s="17" t="str">
        <f t="array" ref="L410">IFERROR(INDEX(AUTO_Public_TSV_FileList!$A$1:$A$1000,MATCH(TRUE(),EXACT(K410,IFERROR(_xlfn.TEXTBEFORE(AUTO_Public_TSV_FileList!$A$1:$A$1000,".tsv"),"")),0)),"notfound")</f>
        <v>10.1002%2Fcne.25197_TABLE2.tsv</v>
      </c>
      <c r="M410" s="20" t="s">
        <v>1887</v>
      </c>
      <c r="N410" s="20" t="s">
        <v>54</v>
      </c>
      <c r="O410" s="20" t="s">
        <v>1886</v>
      </c>
      <c r="P410" s="20" t="s">
        <v>55</v>
      </c>
      <c r="Q410" s="20"/>
      <c r="R410" s="20"/>
      <c r="S410" s="20"/>
      <c r="T410" s="20"/>
      <c r="U410" s="20"/>
      <c r="V410" s="20"/>
      <c r="W410" s="20"/>
      <c r="X410" s="20"/>
      <c r="Y410" s="20"/>
      <c r="Z410" s="20"/>
      <c r="AA410" s="20"/>
      <c r="AB410" s="20"/>
      <c r="AC410" s="20"/>
      <c r="AD410" s="20"/>
      <c r="AE410" s="20"/>
      <c r="AF410" s="20"/>
      <c r="AG410" s="20"/>
      <c r="AH410" s="20"/>
    </row>
    <row r="411" spans="1:34" ht="15.75" customHeight="1" x14ac:dyDescent="0.2">
      <c r="A411" s="20" t="s">
        <v>1883</v>
      </c>
      <c r="B411" s="20"/>
      <c r="C411" s="20"/>
      <c r="D411" s="20" t="s">
        <v>147</v>
      </c>
      <c r="E411" s="18" t="str">
        <f t="shared" si="61"/>
        <v>Jacob</v>
      </c>
      <c r="F411" s="17"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17" t="str">
        <f t="shared" si="62"/>
        <v>2021</v>
      </c>
      <c r="H411" s="18" t="str">
        <f t="shared" si="63"/>
        <v>Jacob_etal_2021</v>
      </c>
      <c r="I411" s="18" t="str">
        <f t="shared" si="66"/>
        <v>10.1002%2Fcne.25197</v>
      </c>
      <c r="J411" s="18" t="str">
        <f t="shared" si="64"/>
        <v>Jacob_etal_2021_TABLE3</v>
      </c>
      <c r="K411" s="17" t="str">
        <f t="shared" si="60"/>
        <v>10.1002%2Fcne.25197_TABLE3</v>
      </c>
      <c r="L411" s="17" t="str">
        <f t="array" ref="L411">IFERROR(INDEX(AUTO_Public_TSV_FileList!$A$1:$A$1000,MATCH(TRUE(),EXACT(K411,IFERROR(_xlfn.TEXTBEFORE(AUTO_Public_TSV_FileList!$A$1:$A$1000,".tsv"),"")),0)),"notfound")</f>
        <v>10.1002%2Fcne.25197_TABLE3.tsv</v>
      </c>
      <c r="M411" s="20" t="s">
        <v>1888</v>
      </c>
      <c r="N411" s="20" t="s">
        <v>54</v>
      </c>
      <c r="O411" s="20" t="s">
        <v>1886</v>
      </c>
      <c r="P411" s="20" t="s">
        <v>55</v>
      </c>
      <c r="Q411" s="20"/>
      <c r="R411" s="20"/>
      <c r="S411" s="20"/>
      <c r="T411" s="20"/>
      <c r="U411" s="20"/>
      <c r="V411" s="20"/>
      <c r="W411" s="20"/>
      <c r="X411" s="20"/>
      <c r="Y411" s="20"/>
      <c r="Z411" s="20"/>
      <c r="AA411" s="20"/>
      <c r="AB411" s="20"/>
      <c r="AC411" s="20"/>
      <c r="AD411" s="20"/>
      <c r="AE411" s="20"/>
      <c r="AF411" s="20"/>
      <c r="AG411" s="20"/>
      <c r="AH411" s="20"/>
    </row>
    <row r="412" spans="1:34" ht="15.75" customHeight="1" x14ac:dyDescent="0.2">
      <c r="A412" s="20" t="s">
        <v>1889</v>
      </c>
      <c r="B412" s="20"/>
      <c r="C412" s="20"/>
      <c r="D412" s="20" t="s">
        <v>86</v>
      </c>
      <c r="E412" s="18" t="str">
        <f t="shared" si="61"/>
        <v>Jacobs</v>
      </c>
      <c r="F412" s="17"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17" t="str">
        <f t="shared" si="62"/>
        <v>1997</v>
      </c>
      <c r="H412" s="18" t="str">
        <f t="shared" si="63"/>
        <v>Jacobs_etal_1997</v>
      </c>
      <c r="I412" s="18" t="str">
        <f t="shared" si="66"/>
        <v>10.1002%2F(SICI)1096-9861(19971006)386%3A4%3C661%3A%3AAID-CNE11%3E3.0.CO;2-N</v>
      </c>
      <c r="J412" s="18" t="str">
        <f t="shared" si="64"/>
        <v>Jacobs_etal_1997_Table1</v>
      </c>
      <c r="K412" s="17" t="str">
        <f t="shared" si="60"/>
        <v>10.1002%2F(SICI)1096-9861(19971006)386%3A4%3C661%3A%3AAID-CNE11%3E3.0.CO;2-N_Table1</v>
      </c>
      <c r="L412" s="17" t="str">
        <f t="array" ref="L412">IFERROR(INDEX(AUTO_Public_TSV_FileList!$A$1:$A$1000,MATCH(TRUE(),EXACT(K412,IFERROR(_xlfn.TEXTBEFORE(AUTO_Public_TSV_FileList!$A$1:$A$1000,".tsv"),"")),0)),"notfound")</f>
        <v>notfound</v>
      </c>
      <c r="M412" s="20"/>
      <c r="N412" s="20" t="s">
        <v>355</v>
      </c>
      <c r="O412" s="20" t="s">
        <v>1890</v>
      </c>
      <c r="P412" s="20" t="s">
        <v>55</v>
      </c>
      <c r="Q412" s="20"/>
      <c r="R412" s="20"/>
      <c r="S412" s="20"/>
      <c r="T412" s="20"/>
      <c r="U412" s="20"/>
      <c r="V412" s="20"/>
      <c r="W412" s="20"/>
      <c r="X412" s="20"/>
      <c r="Y412" s="20"/>
      <c r="Z412" s="20"/>
      <c r="AA412" s="20"/>
      <c r="AB412" s="20"/>
      <c r="AC412" s="20"/>
      <c r="AD412" s="20"/>
      <c r="AE412" s="20"/>
      <c r="AF412" s="20"/>
      <c r="AG412" s="20"/>
      <c r="AH412" s="20"/>
    </row>
    <row r="413" spans="1:34" ht="15.75" customHeight="1" x14ac:dyDescent="0.2">
      <c r="A413" s="20" t="s">
        <v>1889</v>
      </c>
      <c r="B413" s="20"/>
      <c r="C413" s="20"/>
      <c r="D413" s="20" t="s">
        <v>160</v>
      </c>
      <c r="E413" s="18" t="str">
        <f t="shared" si="61"/>
        <v>Jacobs</v>
      </c>
      <c r="F413" s="17"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17" t="str">
        <f t="shared" si="62"/>
        <v>1997</v>
      </c>
      <c r="H413" s="18" t="str">
        <f t="shared" si="63"/>
        <v>Jacobs_etal_1997</v>
      </c>
      <c r="I413" s="18" t="str">
        <f t="shared" si="66"/>
        <v>10.1002%2F(SICI)1096-9861(19971006)386%3A4%3C661%3A%3AAID-CNE11%3E3.0.CO;2-N</v>
      </c>
      <c r="J413" s="18" t="str">
        <f t="shared" si="64"/>
        <v>Jacobs_etal_1997_Table2</v>
      </c>
      <c r="K413" s="17" t="str">
        <f t="shared" ref="K413:K444" si="67">I413 &amp; "_" &amp; SUBSTITUTE(SUBSTITUTE(SUBSTITUTE(D413,CHAR(160),"")," ",""),"_","")</f>
        <v>10.1002%2F(SICI)1096-9861(19971006)386%3A4%3C661%3A%3AAID-CNE11%3E3.0.CO;2-N_Table2</v>
      </c>
      <c r="L413" s="17" t="str">
        <f t="array" ref="L413">IFERROR(INDEX(AUTO_Public_TSV_FileList!$A$1:$A$1000,MATCH(TRUE(),EXACT(K413,IFERROR(_xlfn.TEXTBEFORE(AUTO_Public_TSV_FileList!$A$1:$A$1000,".tsv"),"")),0)),"notfound")</f>
        <v>notfound</v>
      </c>
      <c r="M413" s="20"/>
      <c r="N413" s="20" t="s">
        <v>355</v>
      </c>
      <c r="O413" s="20" t="s">
        <v>1890</v>
      </c>
      <c r="P413" s="20" t="s">
        <v>55</v>
      </c>
      <c r="Q413" s="20"/>
      <c r="R413" s="20"/>
      <c r="S413" s="20"/>
      <c r="T413" s="20"/>
      <c r="U413" s="20"/>
      <c r="V413" s="20"/>
      <c r="W413" s="20"/>
      <c r="X413" s="20"/>
      <c r="Y413" s="20"/>
      <c r="Z413" s="20"/>
      <c r="AA413" s="20"/>
      <c r="AB413" s="20"/>
      <c r="AC413" s="20"/>
      <c r="AD413" s="20"/>
      <c r="AE413" s="20"/>
      <c r="AF413" s="20"/>
      <c r="AG413" s="20"/>
      <c r="AH413" s="20"/>
    </row>
    <row r="414" spans="1:34" ht="15.75" customHeight="1" x14ac:dyDescent="0.2">
      <c r="A414" s="20" t="s">
        <v>1891</v>
      </c>
      <c r="B414" s="20"/>
      <c r="C414" s="20"/>
      <c r="D414" s="20" t="s">
        <v>162</v>
      </c>
      <c r="E414" s="18" t="str">
        <f t="shared" si="61"/>
        <v>Jacobs</v>
      </c>
      <c r="F414" s="17"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17" t="str">
        <f t="shared" si="62"/>
        <v>2018</v>
      </c>
      <c r="H414" s="18" t="str">
        <f t="shared" si="63"/>
        <v>Jacobs_etal_2018</v>
      </c>
      <c r="I414" s="18" t="str">
        <f t="shared" si="66"/>
        <v>10.1002%2Fcne.24349</v>
      </c>
      <c r="J414" s="18" t="str">
        <f t="shared" si="64"/>
        <v>Jacobs_etal_2018_Table3</v>
      </c>
      <c r="K414" s="17" t="str">
        <f t="shared" si="67"/>
        <v>10.1002%2Fcne.24349_Table3</v>
      </c>
      <c r="L414" s="17" t="str">
        <f t="array" ref="L414">IFERROR(INDEX(AUTO_Public_TSV_FileList!$A$1:$A$1000,MATCH(TRUE(),EXACT(K414,IFERROR(_xlfn.TEXTBEFORE(AUTO_Public_TSV_FileList!$A$1:$A$1000,".tsv"),"")),0)),"notfound")</f>
        <v>10.1002%2Fcne.24349_Table3.tsv</v>
      </c>
      <c r="M414" s="20"/>
      <c r="N414" s="20" t="s">
        <v>355</v>
      </c>
      <c r="O414" s="20" t="s">
        <v>1892</v>
      </c>
      <c r="P414" s="20" t="s">
        <v>55</v>
      </c>
      <c r="Q414" s="20"/>
      <c r="R414" s="20"/>
      <c r="S414" s="20"/>
      <c r="T414" s="20"/>
      <c r="U414" s="20"/>
      <c r="V414" s="20"/>
      <c r="W414" s="20"/>
      <c r="X414" s="20"/>
      <c r="Y414" s="20"/>
      <c r="Z414" s="20"/>
      <c r="AA414" s="20"/>
      <c r="AB414" s="20"/>
      <c r="AC414" s="20"/>
      <c r="AD414" s="20"/>
      <c r="AE414" s="20"/>
      <c r="AF414" s="20"/>
      <c r="AG414" s="20"/>
      <c r="AH414" s="20"/>
    </row>
    <row r="415" spans="1:34" ht="15.75" customHeight="1" x14ac:dyDescent="0.2">
      <c r="A415" s="20" t="s">
        <v>1891</v>
      </c>
      <c r="B415" s="20"/>
      <c r="C415" s="20"/>
      <c r="D415" s="20" t="s">
        <v>164</v>
      </c>
      <c r="E415" s="18" t="str">
        <f t="shared" si="61"/>
        <v>Jacobs</v>
      </c>
      <c r="F415" s="17"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17" t="str">
        <f t="shared" si="62"/>
        <v>2018</v>
      </c>
      <c r="H415" s="18" t="str">
        <f t="shared" si="63"/>
        <v>Jacobs_etal_2018</v>
      </c>
      <c r="I415" s="18" t="str">
        <f t="shared" si="66"/>
        <v>10.1002%2Fcne.24349</v>
      </c>
      <c r="J415" s="18" t="str">
        <f t="shared" si="64"/>
        <v>Jacobs_etal_2018_Table5</v>
      </c>
      <c r="K415" s="17" t="str">
        <f t="shared" si="67"/>
        <v>10.1002%2Fcne.24349_Table5</v>
      </c>
      <c r="L415" s="17" t="str">
        <f t="array" ref="L415">IFERROR(INDEX(AUTO_Public_TSV_FileList!$A$1:$A$1000,MATCH(TRUE(),EXACT(K415,IFERROR(_xlfn.TEXTBEFORE(AUTO_Public_TSV_FileList!$A$1:$A$1000,".tsv"),"")),0)),"notfound")</f>
        <v>10.1002%2Fcne.24349_Table5.tsv</v>
      </c>
      <c r="M415" s="20"/>
      <c r="N415" s="20" t="s">
        <v>355</v>
      </c>
      <c r="O415" s="20" t="s">
        <v>1892</v>
      </c>
      <c r="P415" s="20" t="s">
        <v>55</v>
      </c>
      <c r="Q415" s="20"/>
      <c r="R415" s="20"/>
      <c r="S415" s="20"/>
      <c r="T415" s="20"/>
      <c r="U415" s="20"/>
      <c r="V415" s="20"/>
      <c r="W415" s="20"/>
      <c r="X415" s="20"/>
      <c r="Y415" s="20"/>
      <c r="Z415" s="20"/>
      <c r="AA415" s="20"/>
      <c r="AB415" s="20"/>
      <c r="AC415" s="20"/>
      <c r="AD415" s="20"/>
      <c r="AE415" s="20"/>
      <c r="AF415" s="20"/>
      <c r="AG415" s="20"/>
      <c r="AH415" s="20"/>
    </row>
    <row r="416" spans="1:34" ht="15.75" customHeight="1" x14ac:dyDescent="0.2">
      <c r="A416" s="19" t="s">
        <v>1893</v>
      </c>
      <c r="B416" s="20"/>
      <c r="C416" s="20"/>
      <c r="D416" s="19" t="s">
        <v>86</v>
      </c>
      <c r="E416" s="17" t="str">
        <f t="shared" si="61"/>
        <v>Jacobs</v>
      </c>
      <c r="F416" s="17"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17" t="str">
        <f t="shared" si="62"/>
        <v>2015</v>
      </c>
      <c r="H416" s="17" t="str">
        <f t="shared" si="63"/>
        <v>Jacobs_etal_2015</v>
      </c>
      <c r="I416" s="17" t="str">
        <f t="shared" ref="I416:I422" si="68">_xlfn.LET(
_xlpm.doi,IF(C416&lt;&gt;"",C416,_xlfn.TEXTAFTER(A416,"https://doi.org/")),
SUBSTITUTE(
SUBSTITUTE(
SUBSTITUTE(
SUBSTITUTE(
_xlpm.doi,
"/","%2F"),
":","%3A"),
"&lt;","%3C"),
"&gt;","%3E")
)</f>
        <v>10.1007%2Fs00429-014-0830-9</v>
      </c>
      <c r="J416" s="17" t="str">
        <f t="shared" si="64"/>
        <v>Jacobs_etal_2015_Table1</v>
      </c>
      <c r="K416" s="17" t="str">
        <f t="shared" si="67"/>
        <v>10.1007%2Fs00429-014-0830-9_Table1</v>
      </c>
      <c r="L416" s="17" t="str">
        <f t="array" ref="L416">IFERROR(INDEX(AUTO_Public_TSV_FileList!$A$1:$A$1000,MATCH(TRUE(),EXACT(K416,IFERROR(_xlfn.TEXTBEFORE(AUTO_Public_TSV_FileList!$A$1:$A$1000,".tsv"),"")),0)),"notfound")</f>
        <v>10.1007%2Fs00429-014-0830-9_Table1.tsv</v>
      </c>
      <c r="M416" s="19" t="s">
        <v>1894</v>
      </c>
      <c r="N416" s="20"/>
      <c r="O416" s="20"/>
      <c r="P416" s="19" t="s">
        <v>55</v>
      </c>
      <c r="Q416" s="20"/>
      <c r="R416" s="20"/>
      <c r="S416" s="20"/>
      <c r="T416" s="20"/>
      <c r="U416" s="20"/>
      <c r="V416" s="20"/>
      <c r="W416" s="20"/>
      <c r="X416" s="20"/>
      <c r="Y416" s="20"/>
      <c r="Z416" s="20"/>
      <c r="AA416" s="20"/>
      <c r="AB416" s="20"/>
      <c r="AC416" s="20"/>
      <c r="AD416" s="20"/>
      <c r="AE416" s="20"/>
      <c r="AF416" s="20"/>
      <c r="AG416" s="20"/>
      <c r="AH416" s="20"/>
    </row>
    <row r="417" spans="1:36" ht="15.75" customHeight="1" x14ac:dyDescent="0.2">
      <c r="A417" s="19" t="s">
        <v>1893</v>
      </c>
      <c r="B417" s="20"/>
      <c r="C417" s="20"/>
      <c r="D417" s="19" t="s">
        <v>162</v>
      </c>
      <c r="E417" s="17" t="str">
        <f t="shared" si="61"/>
        <v>Jacobs</v>
      </c>
      <c r="F417" s="17"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17" t="str">
        <f t="shared" si="62"/>
        <v>2015</v>
      </c>
      <c r="H417" s="17" t="str">
        <f t="shared" si="63"/>
        <v>Jacobs_etal_2015</v>
      </c>
      <c r="I417" s="17" t="str">
        <f t="shared" si="68"/>
        <v>10.1007%2Fs00429-014-0830-9</v>
      </c>
      <c r="J417" s="17" t="str">
        <f t="shared" si="64"/>
        <v>Jacobs_etal_2015_Table3</v>
      </c>
      <c r="K417" s="17" t="str">
        <f t="shared" si="67"/>
        <v>10.1007%2Fs00429-014-0830-9_Table3</v>
      </c>
      <c r="L417" s="17" t="str">
        <f t="array" ref="L417">IFERROR(INDEX(AUTO_Public_TSV_FileList!$A$1:$A$1000,MATCH(TRUE(),EXACT(K417,IFERROR(_xlfn.TEXTBEFORE(AUTO_Public_TSV_FileList!$A$1:$A$1000,".tsv"),"")),0)),"notfound")</f>
        <v>10.1007%2Fs00429-014-0830-9_Table3.tsv</v>
      </c>
      <c r="M417" s="20" t="s">
        <v>1895</v>
      </c>
      <c r="N417" s="20"/>
      <c r="O417" s="20"/>
      <c r="P417" s="20" t="s">
        <v>55</v>
      </c>
      <c r="Q417" s="20"/>
      <c r="R417" s="20"/>
      <c r="S417" s="20"/>
      <c r="T417" s="20"/>
      <c r="U417" s="20"/>
      <c r="V417" s="20"/>
      <c r="W417" s="20"/>
      <c r="X417" s="20"/>
      <c r="Y417" s="20"/>
      <c r="Z417" s="20"/>
      <c r="AA417" s="20"/>
      <c r="AB417" s="20"/>
      <c r="AC417" s="20"/>
      <c r="AD417" s="20"/>
      <c r="AE417" s="20"/>
      <c r="AF417" s="20"/>
      <c r="AG417" s="20"/>
      <c r="AH417" s="20"/>
    </row>
    <row r="418" spans="1:36" ht="15.75" customHeight="1" x14ac:dyDescent="0.2">
      <c r="A418" s="19" t="s">
        <v>1893</v>
      </c>
      <c r="B418" s="20"/>
      <c r="C418" s="20"/>
      <c r="D418" s="20" t="s">
        <v>53</v>
      </c>
      <c r="E418" s="17" t="str">
        <f t="shared" si="61"/>
        <v>Jacobs</v>
      </c>
      <c r="F418" s="17"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17" t="str">
        <f t="shared" si="62"/>
        <v>2015</v>
      </c>
      <c r="H418" s="17" t="str">
        <f t="shared" si="63"/>
        <v>Jacobs_etal_2015</v>
      </c>
      <c r="I418" s="17" t="str">
        <f t="shared" si="68"/>
        <v>10.1007%2Fs00429-014-0830-9</v>
      </c>
      <c r="J418" s="17" t="str">
        <f t="shared" si="64"/>
        <v>Jacobs_etal_2015_Table4</v>
      </c>
      <c r="K418" s="17" t="str">
        <f t="shared" si="67"/>
        <v>10.1007%2Fs00429-014-0830-9_Table4</v>
      </c>
      <c r="L418" s="17" t="str">
        <f t="array" ref="L418">IFERROR(INDEX(AUTO_Public_TSV_FileList!$A$1:$A$1000,MATCH(TRUE(),EXACT(K418,IFERROR(_xlfn.TEXTBEFORE(AUTO_Public_TSV_FileList!$A$1:$A$1000,".tsv"),"")),0)),"notfound")</f>
        <v>10.1007%2Fs00429-014-0830-9_Table4.tsv</v>
      </c>
      <c r="M418" s="20" t="s">
        <v>1896</v>
      </c>
      <c r="N418" s="20"/>
      <c r="O418" s="20"/>
      <c r="P418" s="20" t="s">
        <v>55</v>
      </c>
      <c r="Q418" s="20"/>
      <c r="R418" s="20"/>
      <c r="S418" s="20"/>
      <c r="T418" s="20"/>
      <c r="U418" s="20"/>
      <c r="V418" s="20"/>
      <c r="W418" s="20"/>
      <c r="X418" s="20"/>
      <c r="Y418" s="20"/>
      <c r="Z418" s="20"/>
      <c r="AA418" s="20"/>
      <c r="AB418" s="20"/>
      <c r="AC418" s="20"/>
      <c r="AD418" s="20"/>
      <c r="AE418" s="20"/>
      <c r="AF418" s="20"/>
      <c r="AG418" s="20"/>
      <c r="AH418" s="20"/>
    </row>
    <row r="419" spans="1:36" ht="15.75" customHeight="1" x14ac:dyDescent="0.2">
      <c r="A419" s="20" t="s">
        <v>1897</v>
      </c>
      <c r="B419" s="20"/>
      <c r="C419" s="20"/>
      <c r="D419" s="20" t="s">
        <v>86</v>
      </c>
      <c r="E419" s="17" t="str">
        <f t="shared" si="61"/>
        <v>Jacobs</v>
      </c>
      <c r="F419" s="17"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17" t="str">
        <f t="shared" si="62"/>
        <v>2016</v>
      </c>
      <c r="H419" s="17" t="str">
        <f t="shared" si="63"/>
        <v>Jacobs_etal_2016</v>
      </c>
      <c r="I419" s="17" t="str">
        <f t="shared" si="68"/>
        <v>10.1002%2Fcne.23841</v>
      </c>
      <c r="J419" s="17" t="str">
        <f t="shared" si="64"/>
        <v>Jacobs_etal_2016_Table1</v>
      </c>
      <c r="K419" s="17" t="str">
        <f t="shared" si="67"/>
        <v>10.1002%2Fcne.23841_Table1</v>
      </c>
      <c r="L419" s="17" t="str">
        <f t="array" ref="L419">IFERROR(INDEX(AUTO_Public_TSV_FileList!$A$1:$A$1000,MATCH(TRUE(),EXACT(K419,IFERROR(_xlfn.TEXTBEFORE(AUTO_Public_TSV_FileList!$A$1:$A$1000,".tsv"),"")),0)),"notfound")</f>
        <v>10.1002%2Fcne.23841_Table1.tsv</v>
      </c>
      <c r="M419" s="20"/>
      <c r="N419" s="19" t="s">
        <v>54</v>
      </c>
      <c r="O419" s="20"/>
      <c r="P419" s="20" t="s">
        <v>55</v>
      </c>
      <c r="Q419" s="20"/>
      <c r="R419" s="20" t="s">
        <v>1898</v>
      </c>
      <c r="S419" s="20"/>
      <c r="T419" s="20"/>
      <c r="U419" s="20"/>
      <c r="V419" s="20" t="s">
        <v>1899</v>
      </c>
      <c r="W419" s="20" t="s">
        <v>1900</v>
      </c>
      <c r="X419" s="20" t="s">
        <v>1901</v>
      </c>
      <c r="Y419" s="20"/>
      <c r="Z419" s="20"/>
      <c r="AA419" s="20"/>
      <c r="AB419" s="20" t="s">
        <v>1902</v>
      </c>
      <c r="AC419" s="20"/>
      <c r="AD419" s="20"/>
      <c r="AE419" s="20" t="s">
        <v>50</v>
      </c>
      <c r="AF419" s="20"/>
      <c r="AG419" s="20"/>
      <c r="AH419" s="20"/>
    </row>
    <row r="420" spans="1:36" ht="15.75" customHeight="1" x14ac:dyDescent="0.2">
      <c r="A420" s="19" t="s">
        <v>1897</v>
      </c>
      <c r="B420" s="20"/>
      <c r="C420" s="20"/>
      <c r="D420" s="19" t="s">
        <v>86</v>
      </c>
      <c r="E420" s="17" t="str">
        <f t="shared" si="61"/>
        <v>Jacobs</v>
      </c>
      <c r="F420" s="17"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17" t="str">
        <f t="shared" si="62"/>
        <v>2016</v>
      </c>
      <c r="H420" s="17" t="str">
        <f t="shared" si="63"/>
        <v>Jacobs_etal_2016</v>
      </c>
      <c r="I420" s="17" t="str">
        <f t="shared" si="68"/>
        <v>10.1002%2Fcne.23841</v>
      </c>
      <c r="J420" s="17" t="str">
        <f t="shared" si="64"/>
        <v>Jacobs_etal_2016_Table1</v>
      </c>
      <c r="K420" s="17" t="str">
        <f t="shared" si="67"/>
        <v>10.1002%2Fcne.23841_Table1</v>
      </c>
      <c r="L420" s="17" t="str">
        <f t="array" ref="L420">IFERROR(INDEX(AUTO_Public_TSV_FileList!$A$1:$A$1000,MATCH(TRUE(),EXACT(K420,IFERROR(_xlfn.TEXTBEFORE(AUTO_Public_TSV_FileList!$A$1:$A$1000,".tsv"),"")),0)),"notfound")</f>
        <v>10.1002%2Fcne.23841_Table1.tsv</v>
      </c>
      <c r="M420" s="20"/>
      <c r="N420" s="19" t="s">
        <v>54</v>
      </c>
      <c r="O420" s="20"/>
      <c r="P420" s="19" t="s">
        <v>55</v>
      </c>
      <c r="Q420" s="20"/>
      <c r="R420" s="20" t="s">
        <v>1898</v>
      </c>
      <c r="S420" s="20"/>
      <c r="T420" s="20"/>
      <c r="U420" s="20"/>
      <c r="V420" s="19" t="s">
        <v>1899</v>
      </c>
      <c r="W420" s="19" t="s">
        <v>1900</v>
      </c>
      <c r="X420" s="19" t="s">
        <v>1901</v>
      </c>
      <c r="Y420" s="20"/>
      <c r="Z420" s="20"/>
      <c r="AA420" s="20"/>
      <c r="AB420" s="19" t="s">
        <v>1902</v>
      </c>
      <c r="AC420" s="20"/>
      <c r="AD420" s="20"/>
      <c r="AE420" s="19" t="s">
        <v>50</v>
      </c>
      <c r="AF420" s="19"/>
      <c r="AG420" s="20"/>
      <c r="AH420" s="20"/>
    </row>
    <row r="421" spans="1:36" ht="15.75" customHeight="1" x14ac:dyDescent="0.2">
      <c r="A421" s="21" t="s">
        <v>1903</v>
      </c>
      <c r="B421" s="21"/>
      <c r="C421" s="21"/>
      <c r="D421" s="21" t="s">
        <v>86</v>
      </c>
      <c r="E421" s="17" t="str">
        <f t="shared" si="61"/>
        <v>Jacobs</v>
      </c>
      <c r="F421" s="17"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17" t="str">
        <f t="shared" si="62"/>
        <v>2001</v>
      </c>
      <c r="H421" s="17" t="str">
        <f t="shared" si="63"/>
        <v>Jacobs_etal_2001</v>
      </c>
      <c r="I421" s="17" t="str">
        <f t="shared" si="68"/>
        <v>10.1093%2Fcercor%2F11.6.558</v>
      </c>
      <c r="J421" s="17" t="str">
        <f t="shared" si="64"/>
        <v>Jacobs_etal_2001_Table1</v>
      </c>
      <c r="K421" s="17" t="str">
        <f t="shared" si="67"/>
        <v>10.1093%2Fcercor%2F11.6.558_Table1</v>
      </c>
      <c r="L421" s="17" t="str">
        <f t="array" ref="L421">IFERROR(INDEX(AUTO_Public_TSV_FileList!$A$1:$A$1000,MATCH(TRUE(),EXACT(K421,IFERROR(_xlfn.TEXTBEFORE(AUTO_Public_TSV_FileList!$A$1:$A$1000,".tsv"),"")),0)),"notfound")</f>
        <v>10.1093%2Fcercor%2F11.6.558_Table1.tsv</v>
      </c>
      <c r="M421" s="20"/>
      <c r="N421" s="21" t="s">
        <v>355</v>
      </c>
      <c r="O421" s="21"/>
      <c r="P421" s="21" t="s">
        <v>55</v>
      </c>
      <c r="Q421" s="21"/>
      <c r="R421" s="21" t="s">
        <v>1904</v>
      </c>
      <c r="S421" s="21"/>
      <c r="T421" s="21" t="s">
        <v>357</v>
      </c>
      <c r="U421" s="21"/>
      <c r="V421" s="21" t="s">
        <v>358</v>
      </c>
      <c r="W421" s="21" t="s">
        <v>187</v>
      </c>
      <c r="X421" s="21" t="s">
        <v>359</v>
      </c>
      <c r="Y421" s="21" t="s">
        <v>1905</v>
      </c>
      <c r="Z421" s="21"/>
      <c r="AA421" s="21" t="s">
        <v>361</v>
      </c>
      <c r="AB421" s="21" t="s">
        <v>362</v>
      </c>
      <c r="AC421" s="21"/>
      <c r="AD421" s="21"/>
      <c r="AE421" s="21" t="s">
        <v>1906</v>
      </c>
      <c r="AF421" s="21"/>
      <c r="AG421" s="21" t="s">
        <v>1907</v>
      </c>
      <c r="AH421" s="20"/>
    </row>
    <row r="422" spans="1:36" ht="15" customHeight="1" x14ac:dyDescent="0.2">
      <c r="A422" s="21" t="s">
        <v>1903</v>
      </c>
      <c r="B422" s="21"/>
      <c r="C422" s="21"/>
      <c r="D422" s="21" t="s">
        <v>160</v>
      </c>
      <c r="E422" s="17" t="str">
        <f t="shared" si="61"/>
        <v>Jacobs</v>
      </c>
      <c r="F422" s="17"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17" t="str">
        <f t="shared" si="62"/>
        <v>2001</v>
      </c>
      <c r="H422" s="17" t="str">
        <f t="shared" si="63"/>
        <v>Jacobs_etal_2001</v>
      </c>
      <c r="I422" s="17" t="str">
        <f t="shared" si="68"/>
        <v>10.1093%2Fcercor%2F11.6.558</v>
      </c>
      <c r="J422" s="17" t="str">
        <f t="shared" si="64"/>
        <v>Jacobs_etal_2001_Table2</v>
      </c>
      <c r="K422" s="17" t="str">
        <f t="shared" si="67"/>
        <v>10.1093%2Fcercor%2F11.6.558_Table2</v>
      </c>
      <c r="L422" s="17" t="str">
        <f t="array" ref="L422">IFERROR(INDEX(AUTO_Public_TSV_FileList!$A$1:$A$1000,MATCH(TRUE(),EXACT(K422,IFERROR(_xlfn.TEXTBEFORE(AUTO_Public_TSV_FileList!$A$1:$A$1000,".tsv"),"")),0)),"notfound")</f>
        <v>10.1093%2Fcercor%2F11.6.558_Table2.tsv</v>
      </c>
      <c r="M422" s="20"/>
      <c r="N422" s="21" t="s">
        <v>355</v>
      </c>
      <c r="O422" s="20"/>
      <c r="P422" s="21" t="s">
        <v>55</v>
      </c>
      <c r="Q422" s="21"/>
      <c r="R422" s="21" t="s">
        <v>1904</v>
      </c>
      <c r="S422" s="21"/>
      <c r="T422" s="21" t="s">
        <v>357</v>
      </c>
      <c r="U422" s="21"/>
      <c r="V422" s="21" t="s">
        <v>358</v>
      </c>
      <c r="W422" s="21" t="s">
        <v>187</v>
      </c>
      <c r="X422" s="21" t="s">
        <v>359</v>
      </c>
      <c r="Y422" s="21" t="s">
        <v>1908</v>
      </c>
      <c r="Z422" s="21"/>
      <c r="AA422" s="21" t="s">
        <v>361</v>
      </c>
      <c r="AB422" s="21" t="s">
        <v>362</v>
      </c>
      <c r="AC422" s="21"/>
      <c r="AD422" s="21"/>
      <c r="AE422" s="21" t="s">
        <v>50</v>
      </c>
      <c r="AF422" s="21"/>
      <c r="AG422" s="21" t="s">
        <v>1909</v>
      </c>
      <c r="AH422" s="20"/>
    </row>
    <row r="423" spans="1:36" ht="15" customHeight="1" x14ac:dyDescent="0.2">
      <c r="A423" s="20" t="s">
        <v>5161</v>
      </c>
      <c r="B423" s="20"/>
      <c r="C423" s="20"/>
      <c r="D423" s="20" t="s">
        <v>86</v>
      </c>
      <c r="E423" s="18" t="str">
        <f t="shared" si="61"/>
        <v>Jacobs</v>
      </c>
      <c r="F423" s="17"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17" t="str">
        <f t="shared" si="62"/>
        <v>2008</v>
      </c>
      <c r="H423" s="18" t="str">
        <f t="shared" si="63"/>
        <v>Jacobs__2008</v>
      </c>
      <c r="I423" s="18" t="str">
        <f t="shared" ref="I423:I434" si="69">_xlfn.LET(_xlpm.doi,IF(C423&lt;&gt;"",C423,_xlfn.TEXTAFTER(A423,"https://doi.org/")),SUBSTITUTE(SUBSTITUTE(SUBSTITUTE(SUBSTITUTE(_xlpm.doi,"/","%2F"),":","%3A"),"&lt;","%3C"),"&gt;","%3E"))</f>
        <v>10.1017%2FS0952523808080760</v>
      </c>
      <c r="J423" s="18" t="str">
        <f t="shared" si="64"/>
        <v>Jacobs__2008_Table1</v>
      </c>
      <c r="K423" s="17" t="str">
        <f t="shared" si="67"/>
        <v>10.1017%2FS0952523808080760_Table1</v>
      </c>
      <c r="L423" s="17" t="str">
        <f t="array" ref="L423">IFERROR(INDEX(AUTO_Public_TSV_FileList!$A$1:$A$1000,MATCH(TRUE(),EXACT(K423,IFERROR(_xlfn.TEXTBEFORE(AUTO_Public_TSV_FileList!$A$1:$A$1000,".tsv"),"")),0)),"notfound")</f>
        <v>10.1017%2FS0952523808080760_Table1.tsv</v>
      </c>
      <c r="M423" s="20"/>
      <c r="N423" s="20" t="s">
        <v>4864</v>
      </c>
      <c r="O423" s="20" t="s">
        <v>5162</v>
      </c>
      <c r="P423" s="20" t="s">
        <v>4866</v>
      </c>
      <c r="Q423" s="20" t="s">
        <v>5163</v>
      </c>
      <c r="R423" s="20" t="s">
        <v>5164</v>
      </c>
      <c r="S423" s="20" t="s">
        <v>4869</v>
      </c>
      <c r="T423" s="20" t="s">
        <v>4870</v>
      </c>
      <c r="U423" s="20"/>
      <c r="V423" s="20" t="s">
        <v>4871</v>
      </c>
      <c r="W423" s="20" t="s">
        <v>187</v>
      </c>
      <c r="X423" s="20" t="s">
        <v>5165</v>
      </c>
      <c r="Y423" s="20"/>
      <c r="Z423" s="20" t="s">
        <v>4873</v>
      </c>
      <c r="AA423" s="20" t="s">
        <v>4874</v>
      </c>
      <c r="AB423" s="20" t="s">
        <v>5166</v>
      </c>
      <c r="AC423" s="20" t="s">
        <v>5167</v>
      </c>
      <c r="AD423" s="20" t="s">
        <v>689</v>
      </c>
      <c r="AE423" s="20" t="s">
        <v>265</v>
      </c>
      <c r="AF423" s="20" t="s">
        <v>4877</v>
      </c>
      <c r="AG423" s="20" t="s">
        <v>4878</v>
      </c>
      <c r="AH423" s="20" t="s">
        <v>4879</v>
      </c>
      <c r="AJ423" t="s">
        <v>5168</v>
      </c>
    </row>
    <row r="424" spans="1:36" ht="15" customHeight="1" x14ac:dyDescent="0.2">
      <c r="A424" s="20" t="s">
        <v>5161</v>
      </c>
      <c r="B424" s="20"/>
      <c r="C424" s="20"/>
      <c r="D424" s="20" t="s">
        <v>160</v>
      </c>
      <c r="E424" s="18" t="str">
        <f t="shared" si="61"/>
        <v>Jacobs</v>
      </c>
      <c r="F424" s="17"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17" t="str">
        <f t="shared" si="62"/>
        <v>2008</v>
      </c>
      <c r="H424" s="18" t="str">
        <f t="shared" si="63"/>
        <v>Jacobs__2008</v>
      </c>
      <c r="I424" s="18" t="str">
        <f t="shared" si="69"/>
        <v>10.1017%2FS0952523808080760</v>
      </c>
      <c r="J424" s="18" t="str">
        <f t="shared" si="64"/>
        <v>Jacobs__2008_Table2</v>
      </c>
      <c r="K424" s="17" t="str">
        <f t="shared" si="67"/>
        <v>10.1017%2FS0952523808080760_Table2</v>
      </c>
      <c r="L424" s="17" t="str">
        <f t="array" ref="L424">IFERROR(INDEX(AUTO_Public_TSV_FileList!$A$1:$A$1000,MATCH(TRUE(),EXACT(K424,IFERROR(_xlfn.TEXTBEFORE(AUTO_Public_TSV_FileList!$A$1:$A$1000,".tsv"),"")),0)),"notfound")</f>
        <v>10.1017%2FS0952523808080760_Table2.tsv</v>
      </c>
      <c r="M424" s="20"/>
      <c r="N424" s="20" t="s">
        <v>4864</v>
      </c>
      <c r="O424" s="20" t="s">
        <v>5169</v>
      </c>
      <c r="P424" s="20" t="s">
        <v>4866</v>
      </c>
      <c r="Q424" s="20" t="s">
        <v>5170</v>
      </c>
      <c r="R424" s="20" t="s">
        <v>5164</v>
      </c>
      <c r="S424" s="20" t="s">
        <v>4869</v>
      </c>
      <c r="T424" s="20" t="s">
        <v>4870</v>
      </c>
      <c r="U424" s="20"/>
      <c r="V424" s="20" t="s">
        <v>4871</v>
      </c>
      <c r="W424" s="20" t="s">
        <v>187</v>
      </c>
      <c r="X424" s="20" t="s">
        <v>5171</v>
      </c>
      <c r="Y424" s="20"/>
      <c r="Z424" s="20" t="s">
        <v>4873</v>
      </c>
      <c r="AA424" s="20" t="s">
        <v>4874</v>
      </c>
      <c r="AB424" s="20" t="s">
        <v>5172</v>
      </c>
      <c r="AC424" s="20" t="s">
        <v>5167</v>
      </c>
      <c r="AD424" s="20" t="s">
        <v>689</v>
      </c>
      <c r="AE424" s="20" t="s">
        <v>265</v>
      </c>
      <c r="AF424" s="20" t="s">
        <v>4877</v>
      </c>
      <c r="AG424" s="20" t="s">
        <v>4878</v>
      </c>
      <c r="AH424" s="20" t="s">
        <v>4879</v>
      </c>
      <c r="AJ424" t="s">
        <v>5173</v>
      </c>
    </row>
    <row r="425" spans="1:36" ht="15" customHeight="1" x14ac:dyDescent="0.2">
      <c r="A425" s="20" t="s">
        <v>5174</v>
      </c>
      <c r="B425" s="20"/>
      <c r="C425" s="20"/>
      <c r="D425" s="20" t="s">
        <v>86</v>
      </c>
      <c r="E425" s="18" t="str">
        <f t="shared" si="61"/>
        <v>Jacobs</v>
      </c>
      <c r="F425" s="17"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17" t="str">
        <f t="shared" si="62"/>
        <v>2009</v>
      </c>
      <c r="H425" s="18" t="str">
        <f t="shared" si="63"/>
        <v>Jacobs__2009</v>
      </c>
      <c r="I425" s="18" t="str">
        <f t="shared" si="69"/>
        <v>10.1098%2Frstb.2009.0039</v>
      </c>
      <c r="J425" s="18" t="str">
        <f t="shared" si="64"/>
        <v>Jacobs__2009_Table1</v>
      </c>
      <c r="K425" s="17" t="str">
        <f t="shared" si="67"/>
        <v>10.1098%2Frstb.2009.0039_Table1</v>
      </c>
      <c r="L425" s="17" t="str">
        <f t="array" ref="L425">IFERROR(INDEX(AUTO_Public_TSV_FileList!$A$1:$A$1000,MATCH(TRUE(),EXACT(K425,IFERROR(_xlfn.TEXTBEFORE(AUTO_Public_TSV_FileList!$A$1:$A$1000,".tsv"),"")),0)),"notfound")</f>
        <v>10.1098%2Frstb.2009.0039_Table1.tsv</v>
      </c>
      <c r="M425" s="20"/>
      <c r="N425" s="20" t="s">
        <v>4864</v>
      </c>
      <c r="O425" s="20" t="s">
        <v>5175</v>
      </c>
      <c r="P425" s="20" t="s">
        <v>4866</v>
      </c>
      <c r="Q425" s="20" t="s">
        <v>5176</v>
      </c>
      <c r="R425" s="20" t="s">
        <v>5177</v>
      </c>
      <c r="S425" s="20" t="s">
        <v>4869</v>
      </c>
      <c r="T425" s="20" t="s">
        <v>4870</v>
      </c>
      <c r="U425" s="20"/>
      <c r="V425" s="20" t="s">
        <v>4871</v>
      </c>
      <c r="W425" s="20" t="s">
        <v>319</v>
      </c>
      <c r="X425" s="20" t="s">
        <v>5178</v>
      </c>
      <c r="Y425" s="20"/>
      <c r="Z425" s="20" t="s">
        <v>4873</v>
      </c>
      <c r="AA425" s="20" t="s">
        <v>4874</v>
      </c>
      <c r="AB425" s="20" t="s">
        <v>5179</v>
      </c>
      <c r="AC425" s="20" t="s">
        <v>5180</v>
      </c>
      <c r="AD425" s="20" t="s">
        <v>689</v>
      </c>
      <c r="AE425" s="20" t="s">
        <v>265</v>
      </c>
      <c r="AF425" s="20" t="s">
        <v>4877</v>
      </c>
      <c r="AG425" s="20" t="s">
        <v>4878</v>
      </c>
      <c r="AH425" s="20" t="s">
        <v>4879</v>
      </c>
      <c r="AJ425" t="s">
        <v>5181</v>
      </c>
    </row>
    <row r="426" spans="1:36" ht="15" customHeight="1" x14ac:dyDescent="0.2">
      <c r="A426" s="20" t="s">
        <v>5190</v>
      </c>
      <c r="B426" s="20"/>
      <c r="C426" s="20"/>
      <c r="D426" s="20" t="s">
        <v>5191</v>
      </c>
      <c r="E426" s="18" t="str">
        <f t="shared" si="61"/>
        <v>Jacobs</v>
      </c>
      <c r="F426" s="17"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Deegan</v>
      </c>
      <c r="G426" s="17" t="str">
        <f t="shared" si="62"/>
        <v>1993</v>
      </c>
      <c r="H426" s="18" t="str">
        <f t="shared" si="63"/>
        <v>Jacobs_Deegan_1993</v>
      </c>
      <c r="I426" s="18" t="str">
        <f t="shared" si="69"/>
        <v>10.1002%2Fajp.1350300307</v>
      </c>
      <c r="J426" s="18" t="str">
        <f t="shared" si="64"/>
        <v>Jacobs_Deegan_1993_Text:Discussion,LemurPhotopigments</v>
      </c>
      <c r="K426" s="17" t="str">
        <f t="shared" si="67"/>
        <v>10.1002%2Fajp.1350300307_Text:Discussion,LemurPhotopigments</v>
      </c>
      <c r="L426" s="17" t="str">
        <f t="array" ref="L426">IFERROR(INDEX(AUTO_Public_TSV_FileList!$A$1:$A$1000,MATCH(TRUE(),EXACT(K426,IFERROR(_xlfn.TEXTBEFORE(AUTO_Public_TSV_FileList!$A$1:$A$1000,".tsv"),"")),0)),"notfound")</f>
        <v>notfound</v>
      </c>
      <c r="M426" s="20"/>
      <c r="N426" s="20" t="s">
        <v>4864</v>
      </c>
      <c r="O426" s="20" t="s">
        <v>5192</v>
      </c>
      <c r="P426" s="20" t="s">
        <v>4866</v>
      </c>
      <c r="Q426" s="20" t="s">
        <v>5193</v>
      </c>
      <c r="R426" s="20" t="s">
        <v>5194</v>
      </c>
      <c r="S426" s="20" t="s">
        <v>4869</v>
      </c>
      <c r="T426" s="20" t="s">
        <v>4870</v>
      </c>
      <c r="U426" s="20"/>
      <c r="V426" s="20" t="s">
        <v>4871</v>
      </c>
      <c r="W426" s="20" t="s">
        <v>187</v>
      </c>
      <c r="X426" s="20" t="s">
        <v>5195</v>
      </c>
      <c r="Y426" s="20"/>
      <c r="Z426" s="20" t="s">
        <v>4873</v>
      </c>
      <c r="AA426" s="20" t="s">
        <v>4874</v>
      </c>
      <c r="AB426" s="20" t="s">
        <v>5196</v>
      </c>
      <c r="AC426" s="20" t="s">
        <v>5197</v>
      </c>
      <c r="AD426" s="20" t="s">
        <v>689</v>
      </c>
      <c r="AE426" s="20" t="s">
        <v>50</v>
      </c>
      <c r="AF426" s="20" t="s">
        <v>4877</v>
      </c>
      <c r="AG426" s="20" t="s">
        <v>4878</v>
      </c>
      <c r="AH426" s="20" t="s">
        <v>4879</v>
      </c>
      <c r="AJ426" t="s">
        <v>5198</v>
      </c>
    </row>
    <row r="427" spans="1:36" ht="15" customHeight="1" x14ac:dyDescent="0.2">
      <c r="A427" s="20" t="s">
        <v>5199</v>
      </c>
      <c r="B427" s="20"/>
      <c r="C427" s="20"/>
      <c r="D427" s="20" t="s">
        <v>5200</v>
      </c>
      <c r="E427" s="18" t="str">
        <f t="shared" si="61"/>
        <v>Jacobs</v>
      </c>
      <c r="F427" s="17"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Deegan</v>
      </c>
      <c r="G427" s="17" t="str">
        <f t="shared" si="62"/>
        <v>2001</v>
      </c>
      <c r="H427" s="18" t="str">
        <f t="shared" si="63"/>
        <v>Jacobs_Deegan_2001</v>
      </c>
      <c r="I427" s="18" t="str">
        <f t="shared" si="69"/>
        <v>10.1098%2Frspb.2000.1421</v>
      </c>
      <c r="J427" s="18" t="str">
        <f t="shared" si="64"/>
        <v>Jacobs_Deegan_2001_Text:Results(a)–(c)</v>
      </c>
      <c r="K427" s="17" t="str">
        <f t="shared" si="67"/>
        <v>10.1098%2Frspb.2000.1421_Text:Results(a)–(c)</v>
      </c>
      <c r="L427" s="17" t="str">
        <f t="array" ref="L427">IFERROR(INDEX(AUTO_Public_TSV_FileList!$A$1:$A$1000,MATCH(TRUE(),EXACT(K427,IFERROR(_xlfn.TEXTBEFORE(AUTO_Public_TSV_FileList!$A$1:$A$1000,".tsv"),"")),0)),"notfound")</f>
        <v>notfound</v>
      </c>
      <c r="M427" s="20"/>
      <c r="N427" s="20" t="s">
        <v>4864</v>
      </c>
      <c r="O427" s="20" t="s">
        <v>5201</v>
      </c>
      <c r="P427" s="20" t="s">
        <v>4866</v>
      </c>
      <c r="Q427" s="20" t="s">
        <v>5202</v>
      </c>
      <c r="R427" s="20" t="s">
        <v>5203</v>
      </c>
      <c r="S427" s="20" t="s">
        <v>4869</v>
      </c>
      <c r="T427" s="20" t="s">
        <v>4870</v>
      </c>
      <c r="U427" s="20"/>
      <c r="V427" s="20" t="s">
        <v>4871</v>
      </c>
      <c r="W427" s="20" t="s">
        <v>187</v>
      </c>
      <c r="X427" s="20" t="s">
        <v>5204</v>
      </c>
      <c r="Y427" s="20"/>
      <c r="Z427" s="20" t="s">
        <v>4873</v>
      </c>
      <c r="AA427" s="20" t="s">
        <v>4874</v>
      </c>
      <c r="AB427" s="20" t="s">
        <v>5205</v>
      </c>
      <c r="AC427" s="20" t="s">
        <v>5206</v>
      </c>
      <c r="AD427" s="20" t="s">
        <v>689</v>
      </c>
      <c r="AE427" s="20" t="s">
        <v>50</v>
      </c>
      <c r="AF427" s="20" t="s">
        <v>4877</v>
      </c>
      <c r="AG427" s="20" t="s">
        <v>4878</v>
      </c>
      <c r="AH427" s="20" t="s">
        <v>4879</v>
      </c>
      <c r="AJ427" t="s">
        <v>5207</v>
      </c>
    </row>
    <row r="428" spans="1:36" ht="15" customHeight="1" x14ac:dyDescent="0.2">
      <c r="A428" s="20" t="s">
        <v>5208</v>
      </c>
      <c r="B428" s="20"/>
      <c r="C428" s="20"/>
      <c r="D428" s="20" t="s">
        <v>86</v>
      </c>
      <c r="E428" s="18" t="str">
        <f t="shared" si="61"/>
        <v>Jacobs</v>
      </c>
      <c r="F428" s="17"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Deegan</v>
      </c>
      <c r="G428" s="17" t="str">
        <f t="shared" si="62"/>
        <v>2003</v>
      </c>
      <c r="H428" s="18" t="str">
        <f t="shared" si="63"/>
        <v>Jacobs_Deegan_2003</v>
      </c>
      <c r="I428" s="18" t="str">
        <f t="shared" si="69"/>
        <v>10.1016%2FS0042-6989(02)00565-5</v>
      </c>
      <c r="J428" s="18" t="str">
        <f t="shared" si="64"/>
        <v>Jacobs_Deegan_2003_Table1</v>
      </c>
      <c r="K428" s="17" t="str">
        <f t="shared" si="67"/>
        <v>10.1016%2FS0042-6989(02)00565-5_Table1</v>
      </c>
      <c r="L428" s="17" t="str">
        <f t="array" ref="L428">IFERROR(INDEX(AUTO_Public_TSV_FileList!$A$1:$A$1000,MATCH(TRUE(),EXACT(K428,IFERROR(_xlfn.TEXTBEFORE(AUTO_Public_TSV_FileList!$A$1:$A$1000,".tsv"),"")),0)),"notfound")</f>
        <v>10.1016%2FS0042-6989(02)00565-5_Table1.tsv</v>
      </c>
      <c r="M428" s="20"/>
      <c r="N428" s="20" t="s">
        <v>4864</v>
      </c>
      <c r="O428" s="20" t="s">
        <v>5209</v>
      </c>
      <c r="P428" s="20" t="s">
        <v>4866</v>
      </c>
      <c r="Q428" s="20" t="s">
        <v>5210</v>
      </c>
      <c r="R428" s="20" t="s">
        <v>5211</v>
      </c>
      <c r="S428" s="20" t="s">
        <v>4869</v>
      </c>
      <c r="T428" s="20" t="s">
        <v>4870</v>
      </c>
      <c r="U428" s="20"/>
      <c r="V428" s="20" t="s">
        <v>4871</v>
      </c>
      <c r="W428" s="20" t="s">
        <v>187</v>
      </c>
      <c r="X428" s="20" t="s">
        <v>5212</v>
      </c>
      <c r="Y428" s="20"/>
      <c r="Z428" s="20" t="s">
        <v>4873</v>
      </c>
      <c r="AA428" s="20" t="s">
        <v>4874</v>
      </c>
      <c r="AB428" s="20" t="s">
        <v>5213</v>
      </c>
      <c r="AC428" s="20" t="s">
        <v>5214</v>
      </c>
      <c r="AD428" s="20" t="s">
        <v>689</v>
      </c>
      <c r="AE428" s="20" t="s">
        <v>70</v>
      </c>
      <c r="AF428" s="20" t="s">
        <v>4877</v>
      </c>
      <c r="AG428" s="20" t="s">
        <v>4878</v>
      </c>
      <c r="AH428" s="20" t="s">
        <v>4879</v>
      </c>
      <c r="AJ428" t="s">
        <v>5215</v>
      </c>
    </row>
    <row r="429" spans="1:36" ht="15" customHeight="1" x14ac:dyDescent="0.2">
      <c r="A429" s="20" t="s">
        <v>5216</v>
      </c>
      <c r="B429" s="20"/>
      <c r="C429" s="20"/>
      <c r="D429" s="20" t="s">
        <v>86</v>
      </c>
      <c r="E429" s="18" t="str">
        <f t="shared" si="61"/>
        <v>Jacobs</v>
      </c>
      <c r="F429" s="17"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Neitz</v>
      </c>
      <c r="G429" s="17" t="str">
        <f t="shared" si="62"/>
        <v>1987</v>
      </c>
      <c r="H429" s="18" t="str">
        <f t="shared" si="63"/>
        <v>Jacobs_Neitz_1987</v>
      </c>
      <c r="I429" s="18" t="str">
        <f t="shared" si="69"/>
        <v>10.1016%2F0042-6989(87)90202-1</v>
      </c>
      <c r="J429" s="18" t="str">
        <f t="shared" si="64"/>
        <v>Jacobs_Neitz_1987_Table1</v>
      </c>
      <c r="K429" s="17" t="str">
        <f t="shared" si="67"/>
        <v>10.1016%2F0042-6989(87)90202-1_Table1</v>
      </c>
      <c r="L429" s="17" t="str">
        <f t="array" ref="L429">IFERROR(INDEX(AUTO_Public_TSV_FileList!$A$1:$A$1000,MATCH(TRUE(),EXACT(K429,IFERROR(_xlfn.TEXTBEFORE(AUTO_Public_TSV_FileList!$A$1:$A$1000,".tsv"),"")),0)),"notfound")</f>
        <v>10.1016%2F0042-6989(87)90202-1_Table1.tsv</v>
      </c>
      <c r="M429" s="20"/>
      <c r="N429" s="20" t="s">
        <v>4864</v>
      </c>
      <c r="O429" s="20" t="s">
        <v>5217</v>
      </c>
      <c r="P429" s="20" t="s">
        <v>4866</v>
      </c>
      <c r="Q429" s="20" t="s">
        <v>5218</v>
      </c>
      <c r="R429" s="20" t="s">
        <v>5219</v>
      </c>
      <c r="S429" s="20" t="s">
        <v>4869</v>
      </c>
      <c r="T429" s="20" t="s">
        <v>4870</v>
      </c>
      <c r="U429" s="20"/>
      <c r="V429" s="20" t="s">
        <v>4871</v>
      </c>
      <c r="W429" s="20" t="s">
        <v>187</v>
      </c>
      <c r="X429" s="20" t="s">
        <v>5220</v>
      </c>
      <c r="Y429" s="20"/>
      <c r="Z429" s="20" t="s">
        <v>4873</v>
      </c>
      <c r="AA429" s="20" t="s">
        <v>4874</v>
      </c>
      <c r="AB429" s="20" t="s">
        <v>5221</v>
      </c>
      <c r="AC429" s="20" t="s">
        <v>5222</v>
      </c>
      <c r="AD429" s="20" t="s">
        <v>689</v>
      </c>
      <c r="AE429" s="20" t="s">
        <v>70</v>
      </c>
      <c r="AF429" s="20" t="s">
        <v>4877</v>
      </c>
      <c r="AG429" s="20" t="s">
        <v>4878</v>
      </c>
      <c r="AH429" s="20" t="s">
        <v>4879</v>
      </c>
      <c r="AJ429" t="s">
        <v>5223</v>
      </c>
    </row>
    <row r="430" spans="1:36" ht="15" customHeight="1" x14ac:dyDescent="0.2">
      <c r="A430" s="20" t="s">
        <v>5182</v>
      </c>
      <c r="B430" s="20"/>
      <c r="C430" s="20"/>
      <c r="D430" s="20" t="s">
        <v>86</v>
      </c>
      <c r="E430" s="18" t="str">
        <f t="shared" si="61"/>
        <v>Jacobs</v>
      </c>
      <c r="F430" s="17"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17" t="str">
        <f t="shared" si="62"/>
        <v>2002</v>
      </c>
      <c r="H430" s="18" t="str">
        <f t="shared" si="63"/>
        <v>Jacobs_etal_2002</v>
      </c>
      <c r="I430" s="18" t="str">
        <f t="shared" si="69"/>
        <v>10.1016%2FS0042-6989(01)00264-4</v>
      </c>
      <c r="J430" s="18" t="str">
        <f t="shared" si="64"/>
        <v>Jacobs_etal_2002_Table1</v>
      </c>
      <c r="K430" s="17" t="str">
        <f t="shared" si="67"/>
        <v>10.1016%2FS0042-6989(01)00264-4_Table1</v>
      </c>
      <c r="L430" s="17" t="str">
        <f t="array" ref="L430">IFERROR(INDEX(AUTO_Public_TSV_FileList!$A$1:$A$1000,MATCH(TRUE(),EXACT(K430,IFERROR(_xlfn.TEXTBEFORE(AUTO_Public_TSV_FileList!$A$1:$A$1000,".tsv"),"")),0)),"notfound")</f>
        <v>10.1016%2FS0042-6989(01)00264-4_Table1.tsv</v>
      </c>
      <c r="M430" s="20"/>
      <c r="N430" s="20" t="s">
        <v>4864</v>
      </c>
      <c r="O430" s="20" t="s">
        <v>5183</v>
      </c>
      <c r="P430" s="20" t="s">
        <v>4866</v>
      </c>
      <c r="Q430" s="20" t="s">
        <v>5184</v>
      </c>
      <c r="R430" s="20" t="s">
        <v>5185</v>
      </c>
      <c r="S430" s="20" t="s">
        <v>4869</v>
      </c>
      <c r="T430" s="20" t="s">
        <v>4870</v>
      </c>
      <c r="U430" s="20"/>
      <c r="V430" s="20" t="s">
        <v>4871</v>
      </c>
      <c r="W430" s="20" t="s">
        <v>187</v>
      </c>
      <c r="X430" s="20" t="s">
        <v>5186</v>
      </c>
      <c r="Y430" s="20"/>
      <c r="Z430" s="20" t="s">
        <v>4873</v>
      </c>
      <c r="AA430" s="20" t="s">
        <v>4874</v>
      </c>
      <c r="AB430" s="20" t="s">
        <v>5187</v>
      </c>
      <c r="AC430" s="20" t="s">
        <v>5188</v>
      </c>
      <c r="AD430" s="20" t="s">
        <v>689</v>
      </c>
      <c r="AE430" s="20" t="s">
        <v>50</v>
      </c>
      <c r="AF430" s="20" t="s">
        <v>4877</v>
      </c>
      <c r="AG430" s="20" t="s">
        <v>4878</v>
      </c>
      <c r="AH430" s="20" t="s">
        <v>4879</v>
      </c>
      <c r="AJ430" t="s">
        <v>5189</v>
      </c>
    </row>
    <row r="431" spans="1:36" ht="15" customHeight="1" x14ac:dyDescent="0.2">
      <c r="A431" s="20" t="s">
        <v>3570</v>
      </c>
      <c r="B431" s="20"/>
      <c r="C431" s="20"/>
      <c r="D431" s="20" t="s">
        <v>35</v>
      </c>
      <c r="E431" s="18" t="str">
        <f t="shared" si="61"/>
        <v>Jacobs</v>
      </c>
      <c r="F431" s="17"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Spencer</v>
      </c>
      <c r="G431" s="17" t="str">
        <f t="shared" si="62"/>
        <v>1994</v>
      </c>
      <c r="H431" s="18" t="str">
        <f t="shared" si="63"/>
        <v>Jacobs_Spencer_1994</v>
      </c>
      <c r="I431" s="18" t="str">
        <f t="shared" si="69"/>
        <v>10.1159%2F000113584</v>
      </c>
      <c r="J431" s="18" t="str">
        <f t="shared" si="64"/>
        <v>Jacobs_Spencer_1994_Table1</v>
      </c>
      <c r="K431" s="17" t="str">
        <f t="shared" si="67"/>
        <v>10.1159%2F000113584_Table1</v>
      </c>
      <c r="L431" s="17" t="str">
        <f t="array" ref="L431">IFERROR(INDEX(AUTO_Public_TSV_FileList!$A$1:$A$1000,MATCH(TRUE(),EXACT(K431,IFERROR(_xlfn.TEXTBEFORE(AUTO_Public_TSV_FileList!$A$1:$A$1000,".tsv"),"")),0)),"notfound")</f>
        <v>10.1159%2F000113584_Table1.tsv</v>
      </c>
      <c r="M431" s="20" t="s">
        <v>3571</v>
      </c>
      <c r="N431" s="20" t="s">
        <v>3482</v>
      </c>
      <c r="O431" s="20" t="s">
        <v>3552</v>
      </c>
      <c r="P431" s="20" t="s">
        <v>3484</v>
      </c>
      <c r="Q431" s="20" t="s">
        <v>3572</v>
      </c>
      <c r="R431" s="20" t="s">
        <v>3573</v>
      </c>
      <c r="S431" s="20"/>
      <c r="T431" s="20"/>
      <c r="U431" s="20" t="s">
        <v>3574</v>
      </c>
      <c r="V431" s="20" t="s">
        <v>3575</v>
      </c>
      <c r="W431" s="20" t="s">
        <v>3576</v>
      </c>
      <c r="X431" s="20" t="s">
        <v>3575</v>
      </c>
      <c r="Y431" s="20"/>
      <c r="Z431" s="20"/>
      <c r="AA431" s="20" t="s">
        <v>3577</v>
      </c>
      <c r="AB431" s="20"/>
      <c r="AC431" s="20" t="s">
        <v>3578</v>
      </c>
      <c r="AD431" s="20" t="s">
        <v>3578</v>
      </c>
      <c r="AE431" s="20" t="s">
        <v>50</v>
      </c>
      <c r="AF431" s="20"/>
      <c r="AG431" s="20"/>
      <c r="AH431" s="20" t="s">
        <v>3490</v>
      </c>
    </row>
    <row r="432" spans="1:36" ht="15" customHeight="1" x14ac:dyDescent="0.2">
      <c r="A432" s="20" t="s">
        <v>3652</v>
      </c>
      <c r="B432" s="20"/>
      <c r="C432" s="20"/>
      <c r="D432" s="20" t="s">
        <v>3098</v>
      </c>
      <c r="E432" s="18" t="str">
        <f t="shared" si="61"/>
        <v>Jacobs</v>
      </c>
      <c r="F432" s="17"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17" t="str">
        <f t="shared" si="62"/>
        <v>1990</v>
      </c>
      <c r="H432" s="18" t="str">
        <f t="shared" si="63"/>
        <v>Jacobs_etal_1990</v>
      </c>
      <c r="I432" s="18" t="str">
        <f t="shared" si="69"/>
        <v>10.1073%2Fpnas.87.16.6349</v>
      </c>
      <c r="J432" s="18" t="str">
        <f t="shared" si="64"/>
        <v>Jacobs_etal_1990_Figure1</v>
      </c>
      <c r="K432" s="17" t="str">
        <f t="shared" si="67"/>
        <v>10.1073%2Fpnas.87.16.6349_Figure1</v>
      </c>
      <c r="L432" s="17" t="str">
        <f t="array" ref="L432">IFERROR(INDEX(AUTO_Public_TSV_FileList!$A$1:$A$1000,MATCH(TRUE(),EXACT(K432,IFERROR(_xlfn.TEXTBEFORE(AUTO_Public_TSV_FileList!$A$1:$A$1000,".tsv"),"")),0)),"notfound")</f>
        <v>10.1073%2Fpnas.87.16.6349_Figure1.tsv</v>
      </c>
      <c r="M432" s="20" t="s">
        <v>3653</v>
      </c>
      <c r="N432" s="20" t="s">
        <v>3637</v>
      </c>
      <c r="O432" s="20" t="s">
        <v>3626</v>
      </c>
      <c r="P432" s="20" t="s">
        <v>3484</v>
      </c>
      <c r="Q432" s="20" t="s">
        <v>3654</v>
      </c>
      <c r="R432" s="20" t="s">
        <v>3655</v>
      </c>
      <c r="S432" s="20"/>
      <c r="T432" s="20"/>
      <c r="U432" s="20" t="s">
        <v>3639</v>
      </c>
      <c r="V432" s="20" t="s">
        <v>3653</v>
      </c>
      <c r="W432" s="20" t="s">
        <v>3656</v>
      </c>
      <c r="X432" s="20" t="s">
        <v>3653</v>
      </c>
      <c r="Y432" s="20"/>
      <c r="Z432" s="20"/>
      <c r="AA432" s="20" t="s">
        <v>3657</v>
      </c>
      <c r="AB432" s="20"/>
      <c r="AC432" s="20" t="s">
        <v>3578</v>
      </c>
      <c r="AD432" s="20" t="s">
        <v>3578</v>
      </c>
      <c r="AE432" s="20" t="s">
        <v>50</v>
      </c>
      <c r="AF432" s="20"/>
      <c r="AG432" s="20"/>
      <c r="AH432" s="20" t="s">
        <v>3632</v>
      </c>
    </row>
    <row r="433" spans="1:36" ht="15" customHeight="1" x14ac:dyDescent="0.2">
      <c r="A433" s="20" t="s">
        <v>5224</v>
      </c>
      <c r="B433" s="20"/>
      <c r="C433" s="20"/>
      <c r="D433" s="20" t="s">
        <v>390</v>
      </c>
      <c r="E433" s="18" t="str">
        <f t="shared" si="61"/>
        <v>Jacobs</v>
      </c>
      <c r="F433" s="17"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17" t="str">
        <f t="shared" si="62"/>
        <v>2019</v>
      </c>
      <c r="H433" s="18" t="str">
        <f t="shared" si="63"/>
        <v>Jacobs_etal_2019</v>
      </c>
      <c r="I433" s="18" t="str">
        <f t="shared" si="69"/>
        <v>10.1007%2Fs00265-018-2629-9</v>
      </c>
      <c r="J433" s="18" t="str">
        <f t="shared" si="64"/>
        <v>Jacobs_etal_2019_TableS1</v>
      </c>
      <c r="K433" s="17" t="str">
        <f t="shared" si="67"/>
        <v>10.1007%2Fs00265-018-2629-9_TableS1</v>
      </c>
      <c r="L433" s="17" t="str">
        <f t="array" ref="L433">IFERROR(INDEX(AUTO_Public_TSV_FileList!$A$1:$A$1000,MATCH(TRUE(),EXACT(K433,IFERROR(_xlfn.TEXTBEFORE(AUTO_Public_TSV_FileList!$A$1:$A$1000,".tsv"),"")),0)),"notfound")</f>
        <v>10.1007%2Fs00265-018-2629-9_TableS1.tsv</v>
      </c>
      <c r="M433" s="20"/>
      <c r="N433" s="20" t="s">
        <v>5225</v>
      </c>
      <c r="O433" s="20" t="s">
        <v>5226</v>
      </c>
      <c r="P433" s="20" t="s">
        <v>4866</v>
      </c>
      <c r="Q433" s="20" t="s">
        <v>5227</v>
      </c>
      <c r="R433" s="20" t="s">
        <v>5228</v>
      </c>
      <c r="S433" s="20" t="s">
        <v>4869</v>
      </c>
      <c r="T433" s="20" t="s">
        <v>4870</v>
      </c>
      <c r="U433" s="20"/>
      <c r="V433" s="20" t="s">
        <v>4871</v>
      </c>
      <c r="W433" s="20" t="s">
        <v>187</v>
      </c>
      <c r="X433" s="20" t="s">
        <v>5229</v>
      </c>
      <c r="Y433" s="20"/>
      <c r="Z433" s="20" t="s">
        <v>4873</v>
      </c>
      <c r="AA433" s="20" t="s">
        <v>4874</v>
      </c>
      <c r="AB433" s="20" t="s">
        <v>4909</v>
      </c>
      <c r="AC433" s="20" t="s">
        <v>5230</v>
      </c>
      <c r="AD433" s="20" t="s">
        <v>689</v>
      </c>
      <c r="AE433" s="20" t="s">
        <v>70</v>
      </c>
      <c r="AF433" s="20" t="s">
        <v>4877</v>
      </c>
      <c r="AG433" s="20" t="s">
        <v>4878</v>
      </c>
      <c r="AH433" s="20" t="s">
        <v>352</v>
      </c>
      <c r="AJ433" t="s">
        <v>5231</v>
      </c>
    </row>
    <row r="434" spans="1:36" ht="15" customHeight="1" x14ac:dyDescent="0.2">
      <c r="A434" s="20" t="s">
        <v>5224</v>
      </c>
      <c r="B434" s="20"/>
      <c r="C434" s="20"/>
      <c r="D434" s="20" t="s">
        <v>1051</v>
      </c>
      <c r="E434" s="18" t="str">
        <f t="shared" si="61"/>
        <v>Jacobs</v>
      </c>
      <c r="F434" s="17"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7" t="str">
        <f t="shared" si="62"/>
        <v>2019</v>
      </c>
      <c r="H434" s="18" t="str">
        <f t="shared" si="63"/>
        <v>Jacobs_etal_2019</v>
      </c>
      <c r="I434" s="18" t="str">
        <f t="shared" si="69"/>
        <v>10.1007%2Fs00265-018-2629-9</v>
      </c>
      <c r="J434" s="18" t="str">
        <f t="shared" si="64"/>
        <v>Jacobs_etal_2019_TableS2</v>
      </c>
      <c r="K434" s="17" t="str">
        <f t="shared" si="67"/>
        <v>10.1007%2Fs00265-018-2629-9_TableS2</v>
      </c>
      <c r="L434" s="17" t="str">
        <f t="array" ref="L434">IFERROR(INDEX(AUTO_Public_TSV_FileList!$A$1:$A$1000,MATCH(TRUE(),EXACT(K434,IFERROR(_xlfn.TEXTBEFORE(AUTO_Public_TSV_FileList!$A$1:$A$1000,".tsv"),"")),0)),"notfound")</f>
        <v>10.1007%2Fs00265-018-2629-9_TableS2.tsv</v>
      </c>
      <c r="M434" s="20"/>
      <c r="N434" s="20" t="s">
        <v>5225</v>
      </c>
      <c r="O434" s="20" t="s">
        <v>5232</v>
      </c>
      <c r="P434" s="20" t="s">
        <v>4866</v>
      </c>
      <c r="Q434" s="20" t="s">
        <v>5233</v>
      </c>
      <c r="R434" s="20" t="s">
        <v>5228</v>
      </c>
      <c r="S434" s="20" t="s">
        <v>4869</v>
      </c>
      <c r="T434" s="20" t="s">
        <v>4870</v>
      </c>
      <c r="U434" s="20"/>
      <c r="V434" s="20" t="s">
        <v>4871</v>
      </c>
      <c r="W434" s="20" t="s">
        <v>187</v>
      </c>
      <c r="X434" s="20" t="s">
        <v>5234</v>
      </c>
      <c r="Y434" s="20"/>
      <c r="Z434" s="20" t="s">
        <v>4873</v>
      </c>
      <c r="AA434" s="20" t="s">
        <v>4874</v>
      </c>
      <c r="AB434" s="20" t="s">
        <v>5235</v>
      </c>
      <c r="AC434" s="20" t="s">
        <v>5230</v>
      </c>
      <c r="AD434" s="20" t="s">
        <v>689</v>
      </c>
      <c r="AE434" s="20" t="s">
        <v>50</v>
      </c>
      <c r="AF434" s="20" t="s">
        <v>4877</v>
      </c>
      <c r="AG434" s="20" t="s">
        <v>4878</v>
      </c>
      <c r="AH434" s="20" t="s">
        <v>352</v>
      </c>
      <c r="AJ434" t="s">
        <v>5236</v>
      </c>
    </row>
    <row r="435" spans="1:36" ht="15" customHeight="1" x14ac:dyDescent="0.2">
      <c r="A435" s="19" t="s">
        <v>1910</v>
      </c>
      <c r="B435" s="20"/>
      <c r="C435" s="20"/>
      <c r="D435" s="19" t="s">
        <v>86</v>
      </c>
      <c r="E435" s="17" t="str">
        <f t="shared" si="61"/>
        <v>JardimMesseder</v>
      </c>
      <c r="F435" s="17"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7" t="str">
        <f t="shared" si="62"/>
        <v>2017</v>
      </c>
      <c r="H435" s="17" t="str">
        <f t="shared" si="63"/>
        <v>JardimMesseder_etal_2017</v>
      </c>
      <c r="I435" s="17" t="str">
        <f t="shared" ref="I435:I440" si="70">_xlfn.LET(
_xlpm.doi,IF(C435&lt;&gt;"",C435,_xlfn.TEXTAFTER(A435,"https://doi.org/")),
SUBSTITUTE(
SUBSTITUTE(
SUBSTITUTE(
SUBSTITUTE(
_xlpm.doi,
"/","%2F"),
":","%3A"),
"&lt;","%3C"),
"&gt;","%3E")
)</f>
        <v>10.3389%2Ffnana.2017.00118</v>
      </c>
      <c r="J435" s="17" t="str">
        <f t="shared" si="64"/>
        <v>JardimMesseder_etal_2017_Table1</v>
      </c>
      <c r="K435" s="17" t="str">
        <f t="shared" si="67"/>
        <v>10.3389%2Ffnana.2017.00118_Table1</v>
      </c>
      <c r="L435" s="17" t="str">
        <f t="array" ref="L435">IFERROR(INDEX(AUTO_Public_TSV_FileList!$A$1:$A$1000,MATCH(TRUE(),EXACT(K435,IFERROR(_xlfn.TEXTBEFORE(AUTO_Public_TSV_FileList!$A$1:$A$1000,".tsv"),"")),0)),"notfound")</f>
        <v>10.3389%2Ffnana.2017.00118_Table1.tsv</v>
      </c>
      <c r="M435" s="19" t="s">
        <v>1911</v>
      </c>
      <c r="N435" s="19" t="s">
        <v>54</v>
      </c>
      <c r="O435" s="20"/>
      <c r="P435" s="19" t="s">
        <v>55</v>
      </c>
      <c r="Q435" s="19"/>
      <c r="R435" s="19" t="s">
        <v>1912</v>
      </c>
      <c r="S435" s="20"/>
      <c r="T435" s="20"/>
      <c r="U435" s="20"/>
      <c r="V435" s="20"/>
      <c r="W435" s="19" t="s">
        <v>1913</v>
      </c>
      <c r="X435" s="19" t="s">
        <v>917</v>
      </c>
      <c r="Y435" s="20"/>
      <c r="Z435" s="20"/>
      <c r="AA435" s="19" t="s">
        <v>82</v>
      </c>
      <c r="AB435" s="19" t="s">
        <v>83</v>
      </c>
      <c r="AC435" s="19" t="s">
        <v>84</v>
      </c>
      <c r="AD435" s="19" t="s">
        <v>84</v>
      </c>
      <c r="AE435" s="19" t="s">
        <v>50</v>
      </c>
      <c r="AF435" s="19"/>
      <c r="AG435" s="20"/>
      <c r="AH435" s="20"/>
    </row>
    <row r="436" spans="1:36" ht="15" customHeight="1" x14ac:dyDescent="0.2">
      <c r="A436" s="19" t="s">
        <v>1914</v>
      </c>
      <c r="B436" s="20"/>
      <c r="C436" s="20"/>
      <c r="D436" s="19" t="s">
        <v>160</v>
      </c>
      <c r="E436" s="17" t="str">
        <f t="shared" si="61"/>
        <v>Johansen</v>
      </c>
      <c r="F436" s="17"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17" t="str">
        <f t="shared" si="62"/>
        <v>2024</v>
      </c>
      <c r="H436" s="17" t="str">
        <f t="shared" si="63"/>
        <v>Johansen_etal_2024</v>
      </c>
      <c r="I436" s="17" t="str">
        <f t="shared" si="70"/>
        <v>10.1523%2FJNEUROSCI.1750-23.2024</v>
      </c>
      <c r="J436" s="17" t="str">
        <f t="shared" si="64"/>
        <v>Johansen_etal_2024_Table2</v>
      </c>
      <c r="K436" s="17" t="str">
        <f t="shared" si="67"/>
        <v>10.1523%2FJNEUROSCI.1750-23.2024_Table2</v>
      </c>
      <c r="L436" s="17" t="str">
        <f t="array" ref="L436">IFERROR(INDEX(AUTO_Public_TSV_FileList!$A$1:$A$1000,MATCH(TRUE(),EXACT(K436,IFERROR(_xlfn.TEXTBEFORE(AUTO_Public_TSV_FileList!$A$1:$A$1000,".tsv"),"")),0)),"notfound")</f>
        <v>10.1523%2FJNEUROSCI.1750-23.2024_Table2.tsv</v>
      </c>
      <c r="M436" s="19" t="s">
        <v>1915</v>
      </c>
      <c r="N436" s="19" t="s">
        <v>54</v>
      </c>
      <c r="O436" s="20"/>
      <c r="P436" s="19" t="s">
        <v>55</v>
      </c>
      <c r="Q436" s="20"/>
      <c r="R436" s="20"/>
      <c r="S436" s="20"/>
      <c r="T436" s="20"/>
      <c r="U436" s="20"/>
      <c r="V436" s="20"/>
      <c r="W436" s="19" t="s">
        <v>1916</v>
      </c>
      <c r="X436" s="19" t="s">
        <v>1917</v>
      </c>
      <c r="Y436" s="20"/>
      <c r="Z436" s="20"/>
      <c r="AA436" s="20"/>
      <c r="AB436" s="19" t="s">
        <v>1918</v>
      </c>
      <c r="AC436" s="20"/>
      <c r="AD436" s="20"/>
      <c r="AE436" s="19" t="s">
        <v>50</v>
      </c>
      <c r="AF436" s="19"/>
      <c r="AG436" s="20"/>
      <c r="AH436" s="20"/>
    </row>
    <row r="437" spans="1:36" ht="15" customHeight="1" x14ac:dyDescent="0.2">
      <c r="A437" s="20" t="s">
        <v>1919</v>
      </c>
      <c r="B437" s="20"/>
      <c r="C437" s="20"/>
      <c r="D437" s="20" t="s">
        <v>86</v>
      </c>
      <c r="E437" s="17" t="str">
        <f t="shared" si="61"/>
        <v>Johnson</v>
      </c>
      <c r="F437" s="17"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17" t="str">
        <f t="shared" si="62"/>
        <v>2016</v>
      </c>
      <c r="H437" s="17" t="str">
        <f t="shared" si="63"/>
        <v>Johnson_etal_2016</v>
      </c>
      <c r="I437" s="17" t="str">
        <f t="shared" si="70"/>
        <v>10.1002%2Fcne.24022</v>
      </c>
      <c r="J437" s="17" t="str">
        <f t="shared" si="64"/>
        <v>Johnson_etal_2016_Table1</v>
      </c>
      <c r="K437" s="17" t="str">
        <f t="shared" si="67"/>
        <v>10.1002%2Fcne.24022_Table1</v>
      </c>
      <c r="L437" s="17" t="str">
        <f t="array" ref="L437">IFERROR(INDEX(AUTO_Public_TSV_FileList!$A$1:$A$1000,MATCH(TRUE(),EXACT(K437,IFERROR(_xlfn.TEXTBEFORE(AUTO_Public_TSV_FileList!$A$1:$A$1000,".tsv"),"")),0)),"notfound")</f>
        <v>10.1002%2Fcne.24022_Table1.tsv</v>
      </c>
      <c r="M437" s="20"/>
      <c r="N437" s="19" t="s">
        <v>54</v>
      </c>
      <c r="O437" s="20"/>
      <c r="P437" s="20" t="s">
        <v>55</v>
      </c>
      <c r="Q437" s="20"/>
      <c r="R437" s="20" t="s">
        <v>1920</v>
      </c>
      <c r="S437" s="20"/>
      <c r="T437" s="20"/>
      <c r="U437" s="20"/>
      <c r="V437" s="20" t="s">
        <v>1899</v>
      </c>
      <c r="W437" s="20" t="s">
        <v>1921</v>
      </c>
      <c r="X437" s="20" t="s">
        <v>1901</v>
      </c>
      <c r="Y437" s="20"/>
      <c r="Z437" s="20"/>
      <c r="AA437" s="20"/>
      <c r="AB437" s="20" t="s">
        <v>1902</v>
      </c>
      <c r="AC437" s="20"/>
      <c r="AD437" s="20"/>
      <c r="AE437" s="20" t="s">
        <v>50</v>
      </c>
      <c r="AF437" s="20"/>
      <c r="AG437" s="20"/>
      <c r="AH437" s="20"/>
    </row>
    <row r="438" spans="1:36" ht="15" customHeight="1" x14ac:dyDescent="0.2">
      <c r="A438" s="19" t="s">
        <v>1919</v>
      </c>
      <c r="B438" s="20"/>
      <c r="C438" s="20"/>
      <c r="D438" s="19" t="s">
        <v>86</v>
      </c>
      <c r="E438" s="17" t="str">
        <f t="shared" si="61"/>
        <v>Johnson</v>
      </c>
      <c r="F438" s="17"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17" t="str">
        <f t="shared" si="62"/>
        <v>2016</v>
      </c>
      <c r="H438" s="17" t="str">
        <f t="shared" si="63"/>
        <v>Johnson_etal_2016</v>
      </c>
      <c r="I438" s="17" t="str">
        <f t="shared" si="70"/>
        <v>10.1002%2Fcne.24022</v>
      </c>
      <c r="J438" s="17" t="str">
        <f t="shared" si="64"/>
        <v>Johnson_etal_2016_Table1</v>
      </c>
      <c r="K438" s="17" t="str">
        <f t="shared" si="67"/>
        <v>10.1002%2Fcne.24022_Table1</v>
      </c>
      <c r="L438" s="17" t="str">
        <f t="array" ref="L438">IFERROR(INDEX(AUTO_Public_TSV_FileList!$A$1:$A$1000,MATCH(TRUE(),EXACT(K438,IFERROR(_xlfn.TEXTBEFORE(AUTO_Public_TSV_FileList!$A$1:$A$1000,".tsv"),"")),0)),"notfound")</f>
        <v>10.1002%2Fcne.24022_Table1.tsv</v>
      </c>
      <c r="M438" s="20"/>
      <c r="N438" s="19" t="s">
        <v>54</v>
      </c>
      <c r="O438" s="20"/>
      <c r="P438" s="19" t="s">
        <v>55</v>
      </c>
      <c r="Q438" s="20"/>
      <c r="R438" s="20" t="s">
        <v>1920</v>
      </c>
      <c r="S438" s="20"/>
      <c r="T438" s="20"/>
      <c r="U438" s="20"/>
      <c r="V438" s="19" t="s">
        <v>1899</v>
      </c>
      <c r="W438" s="19" t="s">
        <v>1921</v>
      </c>
      <c r="X438" s="19" t="s">
        <v>1901</v>
      </c>
      <c r="Y438" s="20"/>
      <c r="Z438" s="20"/>
      <c r="AA438" s="20"/>
      <c r="AB438" s="19" t="s">
        <v>1902</v>
      </c>
      <c r="AC438" s="20"/>
      <c r="AD438" s="20"/>
      <c r="AE438" s="19" t="s">
        <v>50</v>
      </c>
      <c r="AF438" s="19"/>
      <c r="AG438" s="20"/>
      <c r="AH438" s="20"/>
    </row>
    <row r="439" spans="1:36" ht="15" customHeight="1" x14ac:dyDescent="0.2">
      <c r="A439" s="19" t="s">
        <v>1919</v>
      </c>
      <c r="B439" s="20"/>
      <c r="C439" s="19"/>
      <c r="D439" s="19" t="s">
        <v>86</v>
      </c>
      <c r="E439" s="17" t="str">
        <f t="shared" si="61"/>
        <v>Johnson</v>
      </c>
      <c r="F439" s="17"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17" t="str">
        <f t="shared" si="62"/>
        <v>2016</v>
      </c>
      <c r="H439" s="17" t="str">
        <f t="shared" si="63"/>
        <v>Johnson_etal_2016</v>
      </c>
      <c r="I439" s="17" t="str">
        <f t="shared" si="70"/>
        <v>10.1002%2Fcne.24022</v>
      </c>
      <c r="J439" s="17" t="str">
        <f t="shared" si="64"/>
        <v>Johnson_etal_2016_Table1</v>
      </c>
      <c r="K439" s="17" t="str">
        <f t="shared" si="67"/>
        <v>10.1002%2Fcne.24022_Table1</v>
      </c>
      <c r="L439" s="17" t="str">
        <f t="array" ref="L439">IFERROR(INDEX(AUTO_Public_TSV_FileList!$A$1:$A$1000,MATCH(TRUE(),EXACT(K439,IFERROR(_xlfn.TEXTBEFORE(AUTO_Public_TSV_FileList!$A$1:$A$1000,".tsv"),"")),0)),"notfound")</f>
        <v>10.1002%2Fcne.24022_Table1.tsv</v>
      </c>
      <c r="M439" s="20"/>
      <c r="N439" s="19" t="s">
        <v>54</v>
      </c>
      <c r="O439" s="20"/>
      <c r="P439" s="20" t="s">
        <v>55</v>
      </c>
      <c r="Q439" s="20"/>
      <c r="R439" s="20" t="s">
        <v>1920</v>
      </c>
      <c r="S439" s="20"/>
      <c r="T439" s="20"/>
      <c r="U439" s="20"/>
      <c r="V439" s="20" t="s">
        <v>1899</v>
      </c>
      <c r="W439" s="19" t="s">
        <v>1921</v>
      </c>
      <c r="X439" s="19" t="s">
        <v>1901</v>
      </c>
      <c r="Y439" s="20"/>
      <c r="Z439" s="19"/>
      <c r="AA439" s="19" t="s">
        <v>216</v>
      </c>
      <c r="AB439" s="19" t="s">
        <v>1902</v>
      </c>
      <c r="AC439" s="19" t="s">
        <v>205</v>
      </c>
      <c r="AD439" s="19" t="s">
        <v>810</v>
      </c>
      <c r="AE439" s="19" t="s">
        <v>50</v>
      </c>
      <c r="AF439" s="19"/>
      <c r="AG439" s="20"/>
      <c r="AH439" s="20"/>
    </row>
    <row r="440" spans="1:36" ht="15" customHeight="1" x14ac:dyDescent="0.2">
      <c r="A440" s="23" t="s">
        <v>1922</v>
      </c>
      <c r="B440" s="21"/>
      <c r="C440" s="21"/>
      <c r="D440" s="23" t="s">
        <v>86</v>
      </c>
      <c r="E440" s="17" t="str">
        <f t="shared" si="61"/>
        <v>Johnson</v>
      </c>
      <c r="F440" s="17"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17" t="str">
        <f t="shared" si="62"/>
        <v>2002</v>
      </c>
      <c r="H440" s="17" t="str">
        <f t="shared" si="63"/>
        <v>Johnson_etal_2002</v>
      </c>
      <c r="I440" s="17" t="str">
        <f t="shared" si="70"/>
        <v>10.1198%2F016214502753479185</v>
      </c>
      <c r="J440" s="17" t="str">
        <f t="shared" si="64"/>
        <v>Johnson_etal_2002_Table1</v>
      </c>
      <c r="K440" s="17" t="str">
        <f t="shared" si="67"/>
        <v>10.1198%2F016214502753479185_Table1</v>
      </c>
      <c r="L440" s="17" t="str">
        <f t="array" ref="L440">IFERROR(INDEX(AUTO_Public_TSV_FileList!$A$1:$A$1000,MATCH(TRUE(),EXACT(K440,IFERROR(_xlfn.TEXTBEFORE(AUTO_Public_TSV_FileList!$A$1:$A$1000,".tsv"),"")),0)),"notfound")</f>
        <v>notfound</v>
      </c>
      <c r="M440" s="20"/>
      <c r="N440" s="20" t="s">
        <v>4833</v>
      </c>
      <c r="O440" s="20" t="s">
        <v>4834</v>
      </c>
      <c r="P440" s="20" t="s">
        <v>4793</v>
      </c>
      <c r="Q440" s="20" t="s">
        <v>4835</v>
      </c>
      <c r="R440" s="20" t="s">
        <v>1923</v>
      </c>
      <c r="S440" s="20" t="s">
        <v>4836</v>
      </c>
      <c r="T440" s="20" t="s">
        <v>4837</v>
      </c>
      <c r="U440" s="20"/>
      <c r="V440" s="20" t="s">
        <v>1924</v>
      </c>
      <c r="W440" s="20" t="s">
        <v>4838</v>
      </c>
      <c r="X440" s="20" t="s">
        <v>1925</v>
      </c>
      <c r="Y440" s="20" t="s">
        <v>4839</v>
      </c>
      <c r="Z440" s="20" t="s">
        <v>4840</v>
      </c>
      <c r="AA440" s="20" t="s">
        <v>4841</v>
      </c>
      <c r="AB440" s="20" t="s">
        <v>841</v>
      </c>
      <c r="AC440" s="20" t="s">
        <v>4842</v>
      </c>
      <c r="AD440" s="20"/>
      <c r="AE440" s="20" t="s">
        <v>70</v>
      </c>
      <c r="AF440" s="20" t="s">
        <v>4843</v>
      </c>
      <c r="AG440" s="20" t="s">
        <v>4844</v>
      </c>
      <c r="AH440" s="20"/>
    </row>
    <row r="441" spans="1:36" ht="15" customHeight="1" x14ac:dyDescent="0.2">
      <c r="A441" s="20" t="s">
        <v>4564</v>
      </c>
      <c r="B441" s="20"/>
      <c r="C441" s="20"/>
      <c r="D441" s="20" t="s">
        <v>4562</v>
      </c>
      <c r="E441" s="18" t="str">
        <f t="shared" si="61"/>
        <v>Jones</v>
      </c>
      <c r="F441" s="17"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MacLarnon</v>
      </c>
      <c r="G441" s="17" t="str">
        <f t="shared" si="62"/>
        <v>2004</v>
      </c>
      <c r="H441" s="18" t="str">
        <f t="shared" si="63"/>
        <v>Jones_MacLarnon_2004</v>
      </c>
      <c r="I441" s="18" t="str">
        <f t="shared" ref="I441:I454" si="71">_xlfn.LET(_xlpm.doi,IF(C441&lt;&gt;"",C441,_xlfn.TEXTAFTER(A441,"https://doi.org/")),SUBSTITUTE(SUBSTITUTE(SUBSTITUTE(SUBSTITUTE(_xlpm.doi,"/","%2F"),":","%3A"),"&lt;","%3C"),"&gt;","%3E"))</f>
        <v>10.1086%2F421334</v>
      </c>
      <c r="J441" s="18" t="str">
        <f t="shared" si="64"/>
        <v>Jones_MacLarnon_2004_datafile1</v>
      </c>
      <c r="K441" s="17" t="str">
        <f t="shared" si="67"/>
        <v>10.1086%2F421334_datafile1</v>
      </c>
      <c r="L441" s="17" t="str">
        <f t="array" ref="L441">IFERROR(INDEX(AUTO_Public_TSV_FileList!$A$1:$A$1000,MATCH(TRUE(),EXACT(K441,IFERROR(_xlfn.TEXTBEFORE(AUTO_Public_TSV_FileList!$A$1:$A$1000,".tsv"),"")),0)),"notfound")</f>
        <v>notfound</v>
      </c>
      <c r="M441" s="20"/>
      <c r="N441" s="20" t="s">
        <v>4730</v>
      </c>
      <c r="O441" s="20" t="s">
        <v>4731</v>
      </c>
      <c r="P441" s="20" t="s">
        <v>4704</v>
      </c>
      <c r="Q441" s="20" t="s">
        <v>4732</v>
      </c>
      <c r="R441" s="20" t="s">
        <v>4733</v>
      </c>
      <c r="S441" s="20" t="s">
        <v>4707</v>
      </c>
      <c r="T441" s="20" t="s">
        <v>4734</v>
      </c>
      <c r="U441" s="20"/>
      <c r="V441" s="20" t="s">
        <v>4709</v>
      </c>
      <c r="W441" s="20" t="s">
        <v>1262</v>
      </c>
      <c r="X441" s="20" t="s">
        <v>4710</v>
      </c>
      <c r="Y441" s="20" t="s">
        <v>4735</v>
      </c>
      <c r="Z441" s="20" t="s">
        <v>4712</v>
      </c>
      <c r="AA441" s="20" t="s">
        <v>4713</v>
      </c>
      <c r="AB441" s="20" t="s">
        <v>4736</v>
      </c>
      <c r="AC441" s="20" t="s">
        <v>4737</v>
      </c>
      <c r="AD441" s="20" t="s">
        <v>689</v>
      </c>
      <c r="AE441" s="20" t="s">
        <v>265</v>
      </c>
      <c r="AF441" s="20" t="s">
        <v>4738</v>
      </c>
      <c r="AG441" s="20" t="s">
        <v>4717</v>
      </c>
      <c r="AH441" s="20" t="s">
        <v>352</v>
      </c>
    </row>
    <row r="442" spans="1:36" ht="15" customHeight="1" x14ac:dyDescent="0.2">
      <c r="A442" s="20" t="s">
        <v>4564</v>
      </c>
      <c r="B442" s="20"/>
      <c r="C442" s="20"/>
      <c r="D442" s="20" t="s">
        <v>4563</v>
      </c>
      <c r="E442" s="18" t="str">
        <f t="shared" si="61"/>
        <v>Jones</v>
      </c>
      <c r="F442" s="17"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MacLarnon</v>
      </c>
      <c r="G442" s="17" t="str">
        <f t="shared" si="62"/>
        <v>2004</v>
      </c>
      <c r="H442" s="18" t="str">
        <f t="shared" si="63"/>
        <v>Jones_MacLarnon_2004</v>
      </c>
      <c r="I442" s="18" t="str">
        <f t="shared" si="71"/>
        <v>10.1086%2F421334</v>
      </c>
      <c r="J442" s="18" t="str">
        <f t="shared" si="64"/>
        <v>Jones_MacLarnon_2004_datafile2</v>
      </c>
      <c r="K442" s="17" t="str">
        <f t="shared" si="67"/>
        <v>10.1086%2F421334_datafile2</v>
      </c>
      <c r="L442" s="17" t="str">
        <f t="array" ref="L442">IFERROR(INDEX(AUTO_Public_TSV_FileList!$A$1:$A$1000,MATCH(TRUE(),EXACT(K442,IFERROR(_xlfn.TEXTBEFORE(AUTO_Public_TSV_FileList!$A$1:$A$1000,".tsv"),"")),0)),"notfound")</f>
        <v>notfound</v>
      </c>
      <c r="M442" s="20"/>
      <c r="N442" s="20" t="s">
        <v>4730</v>
      </c>
      <c r="O442" s="20" t="s">
        <v>4739</v>
      </c>
      <c r="P442" s="20" t="s">
        <v>4704</v>
      </c>
      <c r="Q442" s="20" t="s">
        <v>4740</v>
      </c>
      <c r="R442" s="20" t="s">
        <v>4741</v>
      </c>
      <c r="S442" s="20" t="s">
        <v>4721</v>
      </c>
      <c r="T442" s="20" t="s">
        <v>4742</v>
      </c>
      <c r="U442" s="20"/>
      <c r="V442" s="20" t="s">
        <v>4723</v>
      </c>
      <c r="W442" s="20" t="s">
        <v>1262</v>
      </c>
      <c r="X442" s="20" t="s">
        <v>4724</v>
      </c>
      <c r="Y442" s="20"/>
      <c r="Z442" s="20" t="s">
        <v>4725</v>
      </c>
      <c r="AA442" s="20" t="s">
        <v>4726</v>
      </c>
      <c r="AB442" s="20" t="s">
        <v>4743</v>
      </c>
      <c r="AC442" s="20" t="s">
        <v>4737</v>
      </c>
      <c r="AD442" s="20" t="s">
        <v>689</v>
      </c>
      <c r="AE442" s="20" t="s">
        <v>4505</v>
      </c>
      <c r="AF442" s="20" t="s">
        <v>4738</v>
      </c>
      <c r="AG442" s="20" t="s">
        <v>4728</v>
      </c>
      <c r="AH442" s="20" t="s">
        <v>352</v>
      </c>
    </row>
    <row r="443" spans="1:36" ht="15" customHeight="1" x14ac:dyDescent="0.2">
      <c r="A443" s="20" t="s">
        <v>1926</v>
      </c>
      <c r="B443" s="20"/>
      <c r="C443" s="20"/>
      <c r="D443" s="20" t="s">
        <v>1927</v>
      </c>
      <c r="E443" s="18" t="str">
        <f t="shared" si="61"/>
        <v>Jones</v>
      </c>
      <c r="F443" s="17"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17" t="str">
        <f t="shared" si="62"/>
        <v>2009</v>
      </c>
      <c r="H443" s="18" t="str">
        <f t="shared" si="63"/>
        <v>Jones_etal_2009</v>
      </c>
      <c r="I443" s="18" t="str">
        <f t="shared" si="71"/>
        <v>10.1890%2F08-1494.1</v>
      </c>
      <c r="J443" s="18" t="str">
        <f t="shared" si="64"/>
        <v>Jones_etal_2009_PanTHERIA1-0WR05Aug2008.txt</v>
      </c>
      <c r="K443" s="17" t="str">
        <f t="shared" si="67"/>
        <v>10.1890%2F08-1494.1_PanTHERIA1-0WR05Aug2008.txt</v>
      </c>
      <c r="L443" s="17" t="str">
        <f t="array" ref="L443">IFERROR(INDEX(AUTO_Public_TSV_FileList!$A$1:$A$1000,MATCH(TRUE(),EXACT(K443,IFERROR(_xlfn.TEXTBEFORE(AUTO_Public_TSV_FileList!$A$1:$A$1000,".tsv"),"")),0)),"notfound")</f>
        <v>notfound</v>
      </c>
      <c r="M443" s="20"/>
      <c r="N443" s="20"/>
      <c r="O443" s="20"/>
      <c r="P443" s="20"/>
      <c r="Q443" s="20"/>
      <c r="R443" s="20"/>
      <c r="S443" s="20"/>
      <c r="T443" s="20"/>
      <c r="U443" s="20"/>
      <c r="V443" s="20"/>
      <c r="W443" s="20"/>
      <c r="X443" s="20"/>
      <c r="Y443" s="20"/>
      <c r="Z443" s="20"/>
      <c r="AA443" s="20"/>
      <c r="AB443" s="20"/>
      <c r="AC443" s="20"/>
      <c r="AD443" s="20"/>
      <c r="AE443" s="20"/>
      <c r="AF443" s="20"/>
      <c r="AG443" s="20"/>
      <c r="AH443" s="20"/>
    </row>
    <row r="444" spans="1:36" ht="15" customHeight="1" x14ac:dyDescent="0.2">
      <c r="A444" s="20" t="s">
        <v>1926</v>
      </c>
      <c r="B444" s="20"/>
      <c r="C444" s="20"/>
      <c r="D444" s="20" t="s">
        <v>1928</v>
      </c>
      <c r="E444" s="18" t="str">
        <f t="shared" si="61"/>
        <v>Jones</v>
      </c>
      <c r="F444" s="17"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17" t="str">
        <f t="shared" si="62"/>
        <v>2009</v>
      </c>
      <c r="H444" s="18" t="str">
        <f t="shared" si="63"/>
        <v>Jones_etal_2009</v>
      </c>
      <c r="I444" s="18" t="str">
        <f t="shared" si="71"/>
        <v>10.1890%2F08-1494.1</v>
      </c>
      <c r="J444" s="18" t="str">
        <f t="shared" si="64"/>
        <v>Jones_etal_2009_PanTHERIA1-0WR93Aug2008.txt</v>
      </c>
      <c r="K444" s="17" t="str">
        <f t="shared" si="67"/>
        <v>10.1890%2F08-1494.1_PanTHERIA1-0WR93Aug2008.txt</v>
      </c>
      <c r="L444" s="17" t="str">
        <f t="array" ref="L444">IFERROR(INDEX(AUTO_Public_TSV_FileList!$A$1:$A$1000,MATCH(TRUE(),EXACT(K444,IFERROR(_xlfn.TEXTBEFORE(AUTO_Public_TSV_FileList!$A$1:$A$1000,".tsv"),"")),0)),"notfound")</f>
        <v>notfound</v>
      </c>
      <c r="M444" s="20"/>
      <c r="N444" s="20"/>
      <c r="O444" s="20"/>
      <c r="P444" s="20"/>
      <c r="Q444" s="20"/>
      <c r="R444" s="20"/>
      <c r="S444" s="20"/>
      <c r="T444" s="20"/>
      <c r="U444" s="20"/>
      <c r="V444" s="20"/>
      <c r="W444" s="20"/>
      <c r="X444" s="20"/>
      <c r="Y444" s="20"/>
      <c r="Z444" s="20"/>
      <c r="AA444" s="20"/>
      <c r="AB444" s="20"/>
      <c r="AC444" s="20"/>
      <c r="AD444" s="20"/>
      <c r="AE444" s="20"/>
      <c r="AF444" s="20"/>
      <c r="AG444" s="20"/>
      <c r="AH444" s="20"/>
    </row>
    <row r="445" spans="1:36" ht="15" customHeight="1" x14ac:dyDescent="0.2">
      <c r="A445" s="20" t="s">
        <v>1929</v>
      </c>
      <c r="B445" s="20"/>
      <c r="C445" s="20"/>
      <c r="D445" s="20" t="s">
        <v>390</v>
      </c>
      <c r="E445" s="18" t="str">
        <f t="shared" si="61"/>
        <v>Jorstad</v>
      </c>
      <c r="F445" s="17"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17" t="str">
        <f t="shared" si="62"/>
        <v>2023</v>
      </c>
      <c r="H445" s="18" t="str">
        <f t="shared" si="63"/>
        <v>Jorstad_etal_2023</v>
      </c>
      <c r="I445" s="18" t="str">
        <f t="shared" si="71"/>
        <v>10.1126%2Fscience.adf6812</v>
      </c>
      <c r="J445" s="18" t="str">
        <f t="shared" si="64"/>
        <v>Jorstad_etal_2023_TableS1</v>
      </c>
      <c r="K445" s="17" t="str">
        <f t="shared" ref="K445:K479" si="72">I445 &amp; "_" &amp; SUBSTITUTE(SUBSTITUTE(SUBSTITUTE(D445,CHAR(160),"")," ",""),"_","")</f>
        <v>10.1126%2Fscience.adf6812_TableS1</v>
      </c>
      <c r="L445" s="17" t="str">
        <f t="array" ref="L445">IFERROR(INDEX(AUTO_Public_TSV_FileList!$A$1:$A$1000,MATCH(TRUE(),EXACT(K445,IFERROR(_xlfn.TEXTBEFORE(AUTO_Public_TSV_FileList!$A$1:$A$1000,".tsv"),"")),0)),"notfound")</f>
        <v>notfound</v>
      </c>
      <c r="M445" s="20" t="s">
        <v>1930</v>
      </c>
      <c r="N445" s="19" t="s">
        <v>54</v>
      </c>
      <c r="O445" s="20"/>
      <c r="P445" s="20" t="s">
        <v>55</v>
      </c>
      <c r="Q445" s="20" t="s">
        <v>1931</v>
      </c>
      <c r="R445" s="20" t="s">
        <v>1932</v>
      </c>
      <c r="S445" s="20" t="s">
        <v>1933</v>
      </c>
      <c r="T445" s="20" t="s">
        <v>1934</v>
      </c>
      <c r="U445" s="20" t="s">
        <v>1935</v>
      </c>
      <c r="V445" s="20"/>
      <c r="W445" s="20" t="s">
        <v>187</v>
      </c>
      <c r="X445" s="20" t="s">
        <v>1936</v>
      </c>
      <c r="Y445" s="20" t="s">
        <v>1937</v>
      </c>
      <c r="Z445" s="20"/>
      <c r="AA445" s="20" t="s">
        <v>1938</v>
      </c>
      <c r="AB445" s="20" t="s">
        <v>1939</v>
      </c>
      <c r="AC445" s="20" t="s">
        <v>1940</v>
      </c>
      <c r="AD445" s="20"/>
      <c r="AE445" s="20" t="s">
        <v>1941</v>
      </c>
      <c r="AF445" s="20"/>
      <c r="AG445" s="20"/>
      <c r="AH445" s="20"/>
    </row>
    <row r="446" spans="1:36" ht="15" customHeight="1" x14ac:dyDescent="0.2">
      <c r="A446" s="20" t="s">
        <v>1929</v>
      </c>
      <c r="B446" s="20"/>
      <c r="C446" s="20"/>
      <c r="D446" s="20" t="s">
        <v>1051</v>
      </c>
      <c r="E446" s="18" t="str">
        <f t="shared" si="61"/>
        <v>Jorstad</v>
      </c>
      <c r="F446" s="17"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17" t="str">
        <f t="shared" si="62"/>
        <v>2023</v>
      </c>
      <c r="H446" s="18" t="str">
        <f t="shared" si="63"/>
        <v>Jorstad_etal_2023</v>
      </c>
      <c r="I446" s="18" t="str">
        <f t="shared" si="71"/>
        <v>10.1126%2Fscience.adf6812</v>
      </c>
      <c r="J446" s="18" t="str">
        <f t="shared" si="64"/>
        <v>Jorstad_etal_2023_TableS2</v>
      </c>
      <c r="K446" s="17" t="str">
        <f t="shared" si="72"/>
        <v>10.1126%2Fscience.adf6812_TableS2</v>
      </c>
      <c r="L446" s="17" t="str">
        <f t="array" ref="L446">IFERROR(INDEX(AUTO_Public_TSV_FileList!$A$1:$A$1000,MATCH(TRUE(),EXACT(K446,IFERROR(_xlfn.TEXTBEFORE(AUTO_Public_TSV_FileList!$A$1:$A$1000,".tsv"),"")),0)),"notfound")</f>
        <v>notfound</v>
      </c>
      <c r="M446" s="20" t="s">
        <v>1942</v>
      </c>
      <c r="N446" s="19" t="s">
        <v>54</v>
      </c>
      <c r="O446" s="20"/>
      <c r="P446" s="20" t="s">
        <v>55</v>
      </c>
      <c r="Q446" s="20" t="s">
        <v>1931</v>
      </c>
      <c r="R446" s="20" t="s">
        <v>1932</v>
      </c>
      <c r="S446" s="20" t="s">
        <v>1933</v>
      </c>
      <c r="T446" s="20" t="s">
        <v>1934</v>
      </c>
      <c r="U446" s="20" t="s">
        <v>1935</v>
      </c>
      <c r="V446" s="20"/>
      <c r="W446" s="20" t="s">
        <v>187</v>
      </c>
      <c r="X446" s="20" t="s">
        <v>1936</v>
      </c>
      <c r="Y446" s="20" t="s">
        <v>1937</v>
      </c>
      <c r="Z446" s="20"/>
      <c r="AA446" s="20" t="s">
        <v>1938</v>
      </c>
      <c r="AB446" s="20" t="s">
        <v>1939</v>
      </c>
      <c r="AC446" s="20" t="s">
        <v>1940</v>
      </c>
      <c r="AD446" s="20"/>
      <c r="AE446" s="20" t="s">
        <v>1943</v>
      </c>
      <c r="AF446" s="20"/>
      <c r="AG446" s="20"/>
      <c r="AH446" s="20"/>
    </row>
    <row r="447" spans="1:36" ht="15" customHeight="1" x14ac:dyDescent="0.2">
      <c r="A447" s="20" t="s">
        <v>1929</v>
      </c>
      <c r="B447" s="20"/>
      <c r="C447" s="20"/>
      <c r="D447" s="20" t="s">
        <v>1053</v>
      </c>
      <c r="E447" s="18" t="str">
        <f t="shared" si="61"/>
        <v>Jorstad</v>
      </c>
      <c r="F447" s="17"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17" t="str">
        <f t="shared" si="62"/>
        <v>2023</v>
      </c>
      <c r="H447" s="18" t="str">
        <f t="shared" si="63"/>
        <v>Jorstad_etal_2023</v>
      </c>
      <c r="I447" s="18" t="str">
        <f t="shared" si="71"/>
        <v>10.1126%2Fscience.adf6812</v>
      </c>
      <c r="J447" s="18" t="str">
        <f t="shared" si="64"/>
        <v>Jorstad_etal_2023_TableS3</v>
      </c>
      <c r="K447" s="17" t="str">
        <f t="shared" si="72"/>
        <v>10.1126%2Fscience.adf6812_TableS3</v>
      </c>
      <c r="L447" s="17" t="str">
        <f t="array" ref="L447">IFERROR(INDEX(AUTO_Public_TSV_FileList!$A$1:$A$1000,MATCH(TRUE(),EXACT(K447,IFERROR(_xlfn.TEXTBEFORE(AUTO_Public_TSV_FileList!$A$1:$A$1000,".tsv"),"")),0)),"notfound")</f>
        <v>notfound</v>
      </c>
      <c r="M447" s="20" t="s">
        <v>1944</v>
      </c>
      <c r="N447" s="19" t="s">
        <v>54</v>
      </c>
      <c r="O447" s="20"/>
      <c r="P447" s="20" t="s">
        <v>55</v>
      </c>
      <c r="Q447" s="20" t="s">
        <v>1931</v>
      </c>
      <c r="R447" s="20" t="s">
        <v>1932</v>
      </c>
      <c r="S447" s="20" t="s">
        <v>1933</v>
      </c>
      <c r="T447" s="20" t="s">
        <v>1934</v>
      </c>
      <c r="U447" s="20" t="s">
        <v>1935</v>
      </c>
      <c r="V447" s="20"/>
      <c r="W447" s="20" t="s">
        <v>187</v>
      </c>
      <c r="X447" s="20" t="s">
        <v>1936</v>
      </c>
      <c r="Y447" s="20" t="s">
        <v>1937</v>
      </c>
      <c r="Z447" s="20"/>
      <c r="AA447" s="20" t="s">
        <v>1938</v>
      </c>
      <c r="AB447" s="20" t="s">
        <v>1939</v>
      </c>
      <c r="AC447" s="20" t="s">
        <v>1940</v>
      </c>
      <c r="AD447" s="20"/>
      <c r="AE447" s="20" t="s">
        <v>1945</v>
      </c>
      <c r="AF447" s="20"/>
      <c r="AG447" s="20"/>
      <c r="AH447" s="20"/>
    </row>
    <row r="448" spans="1:36" ht="15" customHeight="1" x14ac:dyDescent="0.2">
      <c r="A448" s="20" t="s">
        <v>1929</v>
      </c>
      <c r="B448" s="20"/>
      <c r="C448" s="20"/>
      <c r="D448" s="20" t="s">
        <v>1055</v>
      </c>
      <c r="E448" s="18" t="str">
        <f t="shared" si="61"/>
        <v>Jorstad</v>
      </c>
      <c r="F448" s="17"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17" t="str">
        <f t="shared" si="62"/>
        <v>2023</v>
      </c>
      <c r="H448" s="18" t="str">
        <f t="shared" si="63"/>
        <v>Jorstad_etal_2023</v>
      </c>
      <c r="I448" s="18" t="str">
        <f t="shared" si="71"/>
        <v>10.1126%2Fscience.adf6812</v>
      </c>
      <c r="J448" s="18" t="str">
        <f t="shared" si="64"/>
        <v>Jorstad_etal_2023_TableS4</v>
      </c>
      <c r="K448" s="17" t="str">
        <f t="shared" si="72"/>
        <v>10.1126%2Fscience.adf6812_TableS4</v>
      </c>
      <c r="L448" s="17" t="str">
        <f t="array" ref="L448">IFERROR(INDEX(AUTO_Public_TSV_FileList!$A$1:$A$1000,MATCH(TRUE(),EXACT(K448,IFERROR(_xlfn.TEXTBEFORE(AUTO_Public_TSV_FileList!$A$1:$A$1000,".tsv"),"")),0)),"notfound")</f>
        <v>notfound</v>
      </c>
      <c r="M448" s="20" t="s">
        <v>1946</v>
      </c>
      <c r="N448" s="19" t="s">
        <v>54</v>
      </c>
      <c r="O448" s="20"/>
      <c r="P448" s="20" t="s">
        <v>55</v>
      </c>
      <c r="Q448" s="20" t="s">
        <v>1931</v>
      </c>
      <c r="R448" s="20" t="s">
        <v>1932</v>
      </c>
      <c r="S448" s="20" t="s">
        <v>1933</v>
      </c>
      <c r="T448" s="20" t="s">
        <v>1934</v>
      </c>
      <c r="U448" s="20" t="s">
        <v>1935</v>
      </c>
      <c r="V448" s="20"/>
      <c r="W448" s="20" t="s">
        <v>187</v>
      </c>
      <c r="X448" s="20" t="s">
        <v>1936</v>
      </c>
      <c r="Y448" s="20" t="s">
        <v>1937</v>
      </c>
      <c r="Z448" s="20"/>
      <c r="AA448" s="20" t="s">
        <v>1938</v>
      </c>
      <c r="AB448" s="20" t="s">
        <v>1939</v>
      </c>
      <c r="AC448" s="20" t="s">
        <v>1940</v>
      </c>
      <c r="AD448" s="20"/>
      <c r="AE448" s="20" t="s">
        <v>1947</v>
      </c>
      <c r="AF448" s="20"/>
      <c r="AG448" s="20"/>
      <c r="AH448" s="20"/>
    </row>
    <row r="449" spans="1:36" ht="15" customHeight="1" x14ac:dyDescent="0.2">
      <c r="A449" s="20" t="s">
        <v>1948</v>
      </c>
      <c r="B449" s="20"/>
      <c r="C449" s="20"/>
      <c r="D449" s="20" t="s">
        <v>1949</v>
      </c>
      <c r="E449" s="18" t="str">
        <f t="shared" si="61"/>
        <v>Jung</v>
      </c>
      <c r="F449" s="17"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17" t="str">
        <f t="shared" si="62"/>
        <v>2022</v>
      </c>
      <c r="H449" s="18" t="str">
        <f t="shared" si="63"/>
        <v>Jung_etal_2022</v>
      </c>
      <c r="I449" s="18" t="str">
        <f t="shared" si="71"/>
        <v>10.1126%2Fsciadv.abn0954</v>
      </c>
      <c r="J449" s="18" t="str">
        <f t="shared" si="64"/>
        <v>Jung_etal_2022_Reportedresults</v>
      </c>
      <c r="K449" s="17" t="str">
        <f t="shared" si="72"/>
        <v>10.1126%2Fsciadv.abn0954_Reportedresults</v>
      </c>
      <c r="L449" s="17" t="str">
        <f t="array" ref="L449">IFERROR(INDEX(AUTO_Public_TSV_FileList!$A$1:$A$1000,MATCH(TRUE(),EXACT(K449,IFERROR(_xlfn.TEXTBEFORE(AUTO_Public_TSV_FileList!$A$1:$A$1000,".tsv"),"")),0)),"notfound")</f>
        <v>10.1126%2Fsciadv.abn0954_Reportedresults.tsv</v>
      </c>
      <c r="M449" s="20" t="s">
        <v>1950</v>
      </c>
      <c r="N449" s="19" t="s">
        <v>54</v>
      </c>
      <c r="O449" s="20"/>
      <c r="P449" s="20" t="s">
        <v>55</v>
      </c>
      <c r="Q449" s="20"/>
      <c r="R449" s="20" t="s">
        <v>1951</v>
      </c>
      <c r="S449" s="20"/>
      <c r="T449" s="20"/>
      <c r="U449" s="20"/>
      <c r="V449" s="20"/>
      <c r="W449" s="19" t="s">
        <v>224</v>
      </c>
      <c r="X449" s="20" t="s">
        <v>1952</v>
      </c>
      <c r="Y449" s="20"/>
      <c r="Z449" s="20"/>
      <c r="AA449" s="20"/>
      <c r="AB449" s="20"/>
      <c r="AC449" s="20"/>
      <c r="AD449" s="20"/>
      <c r="AE449" s="20" t="s">
        <v>70</v>
      </c>
      <c r="AF449" s="20"/>
      <c r="AG449" s="20"/>
      <c r="AH449" s="20"/>
    </row>
    <row r="450" spans="1:36" ht="15" customHeight="1" x14ac:dyDescent="0.2">
      <c r="A450" s="20" t="s">
        <v>1948</v>
      </c>
      <c r="B450" s="20"/>
      <c r="C450" s="20"/>
      <c r="D450" s="20" t="s">
        <v>390</v>
      </c>
      <c r="E450" s="18" t="str">
        <f t="shared" ref="E450:E513" si="73">SUBSTITUTE(SUBSTITUTE(_xlfn.TEXTBEFORE(A450,","), "-", ""), " ", "")</f>
        <v>Jung</v>
      </c>
      <c r="F450" s="17"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17" t="str">
        <f t="shared" ref="G450:G513" si="74">_xlfn.TEXTBEFORE(_xlfn.TEXTAFTER(A450, "("), ")")</f>
        <v>2022</v>
      </c>
      <c r="H450" s="18" t="str">
        <f t="shared" ref="H450:H513" si="75">SUBSTITUTE(SUBSTITUTE(E450 &amp; IF(F450&lt;&gt;"", "_" &amp; SUBSTITUTE(F450," ",""), "_") &amp; IF(G450&lt;&gt;"", "_" &amp; G450, "_") &amp; IF(B450&lt;&gt;"", "_" &amp; B450, ""),"'",""),"’","")</f>
        <v>Jung_etal_2022</v>
      </c>
      <c r="I450" s="18" t="str">
        <f t="shared" si="71"/>
        <v>10.1126%2Fsciadv.abn0954</v>
      </c>
      <c r="J450" s="18" t="str">
        <f t="shared" ref="J450:J513" si="76">TRIM(_xlfn.TEXTJOIN("_",FALSE(),H450,(SUBSTITUTE(SUBSTITUTE(D450," ",""), "_", ""))))</f>
        <v>Jung_etal_2022_TableS1</v>
      </c>
      <c r="K450" s="18" t="str">
        <f t="shared" si="72"/>
        <v>10.1126%2Fsciadv.abn0954_TableS1</v>
      </c>
      <c r="L450" s="17" t="str">
        <f t="array" ref="L450">IFERROR(INDEX(AUTO_Public_TSV_FileList!$A$1:$A$1000,MATCH(TRUE(),EXACT(K450,IFERROR(_xlfn.TEXTBEFORE(AUTO_Public_TSV_FileList!$A$1:$A$1000,".tsv"),"")),0)),"notfound")</f>
        <v>notfound</v>
      </c>
      <c r="M450" s="20" t="s">
        <v>1953</v>
      </c>
      <c r="N450" s="19" t="s">
        <v>54</v>
      </c>
      <c r="O450" s="20"/>
      <c r="P450" s="20"/>
      <c r="Q450" s="20"/>
      <c r="R450" s="20" t="s">
        <v>1951</v>
      </c>
      <c r="S450" s="20"/>
      <c r="T450" s="20"/>
      <c r="U450" s="20"/>
      <c r="V450" s="20"/>
      <c r="W450" s="19" t="s">
        <v>224</v>
      </c>
      <c r="X450" s="20" t="s">
        <v>1952</v>
      </c>
      <c r="Y450" s="20"/>
      <c r="Z450" s="20"/>
      <c r="AA450" s="20"/>
      <c r="AB450" s="20"/>
      <c r="AC450" s="20"/>
      <c r="AD450" s="20"/>
      <c r="AE450" s="20" t="s">
        <v>70</v>
      </c>
      <c r="AF450" s="20"/>
      <c r="AG450" s="20"/>
      <c r="AH450" s="20"/>
    </row>
    <row r="451" spans="1:36" ht="15" customHeight="1" x14ac:dyDescent="0.2">
      <c r="A451" s="20" t="s">
        <v>1948</v>
      </c>
      <c r="B451" s="20"/>
      <c r="C451" s="20"/>
      <c r="D451" s="20" t="s">
        <v>1051</v>
      </c>
      <c r="E451" s="18" t="str">
        <f t="shared" si="73"/>
        <v>Jung</v>
      </c>
      <c r="F451" s="17"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17" t="str">
        <f t="shared" si="74"/>
        <v>2022</v>
      </c>
      <c r="H451" s="18" t="str">
        <f t="shared" si="75"/>
        <v>Jung_etal_2022</v>
      </c>
      <c r="I451" s="18" t="str">
        <f t="shared" si="71"/>
        <v>10.1126%2Fsciadv.abn0954</v>
      </c>
      <c r="J451" s="18" t="str">
        <f t="shared" si="76"/>
        <v>Jung_etal_2022_TableS2</v>
      </c>
      <c r="K451" s="18" t="str">
        <f t="shared" si="72"/>
        <v>10.1126%2Fsciadv.abn0954_TableS2</v>
      </c>
      <c r="L451" s="17" t="str">
        <f t="array" ref="L451">IFERROR(INDEX(AUTO_Public_TSV_FileList!$A$1:$A$1000,MATCH(TRUE(),EXACT(K451,IFERROR(_xlfn.TEXTBEFORE(AUTO_Public_TSV_FileList!$A$1:$A$1000,".tsv"),"")),0)),"notfound")</f>
        <v>notfound</v>
      </c>
      <c r="M451" s="20" t="s">
        <v>1954</v>
      </c>
      <c r="N451" s="19" t="s">
        <v>54</v>
      </c>
      <c r="O451" s="20"/>
      <c r="P451" s="20"/>
      <c r="Q451" s="20"/>
      <c r="R451" s="20" t="s">
        <v>1951</v>
      </c>
      <c r="S451" s="20"/>
      <c r="T451" s="20"/>
      <c r="U451" s="20"/>
      <c r="V451" s="20"/>
      <c r="W451" s="19" t="s">
        <v>224</v>
      </c>
      <c r="X451" s="20" t="s">
        <v>1952</v>
      </c>
      <c r="Y451" s="20"/>
      <c r="Z451" s="20"/>
      <c r="AA451" s="20"/>
      <c r="AB451" s="20"/>
      <c r="AC451" s="20"/>
      <c r="AD451" s="20"/>
      <c r="AE451" s="20" t="s">
        <v>70</v>
      </c>
      <c r="AF451" s="20"/>
      <c r="AG451" s="20"/>
      <c r="AH451" s="20"/>
    </row>
    <row r="452" spans="1:36" ht="15" customHeight="1" x14ac:dyDescent="0.2">
      <c r="A452" s="20" t="s">
        <v>5237</v>
      </c>
      <c r="B452" s="20"/>
      <c r="C452" s="20"/>
      <c r="D452" s="20" t="s">
        <v>5238</v>
      </c>
      <c r="E452" s="18" t="str">
        <f t="shared" si="73"/>
        <v>Kamilar</v>
      </c>
      <c r="F452" s="17"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Cooper</v>
      </c>
      <c r="G452" s="17" t="str">
        <f t="shared" si="74"/>
        <v>2013</v>
      </c>
      <c r="H452" s="18" t="str">
        <f t="shared" si="75"/>
        <v>Kamilar_Cooper_2013</v>
      </c>
      <c r="I452" s="18" t="str">
        <f t="shared" si="71"/>
        <v>10.1098%2Frstb.2012.0341</v>
      </c>
      <c r="J452" s="18" t="str">
        <f t="shared" si="76"/>
        <v>Kamilar_Cooper_2013_S2</v>
      </c>
      <c r="K452" s="17" t="str">
        <f t="shared" si="72"/>
        <v>10.1098%2Frstb.2012.0341_S2</v>
      </c>
      <c r="L452" s="17" t="str">
        <f t="array" ref="L452">IFERROR(INDEX(AUTO_Public_TSV_FileList!$A$1:$A$1000,MATCH(TRUE(),EXACT(K452,IFERROR(_xlfn.TEXTBEFORE(AUTO_Public_TSV_FileList!$A$1:$A$1000,".tsv"),"")),0)),"notfound")</f>
        <v>10.1098%2Frstb.2012.0341_S2.tsv</v>
      </c>
      <c r="M452" s="20"/>
      <c r="N452" s="20" t="s">
        <v>5239</v>
      </c>
      <c r="O452" s="20" t="s">
        <v>5073</v>
      </c>
      <c r="P452" s="20" t="s">
        <v>5074</v>
      </c>
      <c r="Q452" s="20" t="s">
        <v>5240</v>
      </c>
      <c r="R452" s="20" t="s">
        <v>5241</v>
      </c>
      <c r="S452" s="20" t="s">
        <v>5076</v>
      </c>
      <c r="T452" s="20" t="s">
        <v>5077</v>
      </c>
      <c r="U452" s="20"/>
      <c r="V452" s="20" t="s">
        <v>4871</v>
      </c>
      <c r="W452" s="20" t="s">
        <v>187</v>
      </c>
      <c r="X452" s="20" t="s">
        <v>5242</v>
      </c>
      <c r="Y452" s="20"/>
      <c r="Z452" s="20" t="s">
        <v>5079</v>
      </c>
      <c r="AA452" s="20" t="s">
        <v>5080</v>
      </c>
      <c r="AB452" s="20" t="s">
        <v>5081</v>
      </c>
      <c r="AC452" s="20" t="s">
        <v>5243</v>
      </c>
      <c r="AD452" s="20" t="s">
        <v>689</v>
      </c>
      <c r="AE452" s="20" t="s">
        <v>265</v>
      </c>
      <c r="AF452" s="20" t="s">
        <v>5082</v>
      </c>
      <c r="AG452" s="20" t="s">
        <v>5083</v>
      </c>
      <c r="AH452" s="20" t="s">
        <v>352</v>
      </c>
      <c r="AJ452" t="s">
        <v>5244</v>
      </c>
    </row>
    <row r="453" spans="1:36" ht="15" customHeight="1" x14ac:dyDescent="0.2">
      <c r="A453" s="20" t="s">
        <v>1955</v>
      </c>
      <c r="B453" s="20"/>
      <c r="C453" s="20" t="s">
        <v>1956</v>
      </c>
      <c r="D453" s="20" t="s">
        <v>77</v>
      </c>
      <c r="E453" s="18" t="str">
        <f t="shared" si="73"/>
        <v>Kamiya</v>
      </c>
      <c r="F453" s="17"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53" s="17" t="str">
        <f t="shared" si="74"/>
        <v>1980</v>
      </c>
      <c r="H453" s="18" t="str">
        <f t="shared" si="75"/>
        <v>Kamiya_Pirlot_1980</v>
      </c>
      <c r="I453" s="18" t="str">
        <f t="shared" si="71"/>
        <v>SRWRI%3A32%3A105-126</v>
      </c>
      <c r="J453" s="18" t="str">
        <f t="shared" si="76"/>
        <v>Kamiya_Pirlot_1980_TABLE1</v>
      </c>
      <c r="K453" s="17" t="str">
        <f t="shared" si="72"/>
        <v>SRWRI%3A32%3A105-126_TABLE1</v>
      </c>
      <c r="L453" s="17" t="str">
        <f t="array" ref="L453">IFERROR(INDEX(AUTO_Public_TSV_FileList!$A$1:$A$1000,MATCH(TRUE(),EXACT(K453,IFERROR(_xlfn.TEXTBEFORE(AUTO_Public_TSV_FileList!$A$1:$A$1000,".tsv"),"")),0)),"notfound")</f>
        <v>SRWRI%3A32%3A105-126_TABLE1.tsv</v>
      </c>
      <c r="M453" s="20"/>
      <c r="N453" s="20"/>
      <c r="O453" s="20"/>
      <c r="P453" s="20"/>
      <c r="Q453" s="20"/>
      <c r="R453" s="20"/>
      <c r="S453" s="20"/>
      <c r="T453" s="20"/>
      <c r="U453" s="20"/>
      <c r="V453" s="20"/>
      <c r="W453" s="20"/>
      <c r="X453" s="20"/>
      <c r="Y453" s="20"/>
      <c r="Z453" s="20"/>
      <c r="AA453" s="20"/>
      <c r="AB453" s="20"/>
      <c r="AC453" s="20"/>
      <c r="AD453" s="20"/>
      <c r="AE453" s="20"/>
      <c r="AF453" s="20"/>
      <c r="AG453" s="20"/>
      <c r="AH453" s="20"/>
    </row>
    <row r="454" spans="1:36" ht="15" customHeight="1" x14ac:dyDescent="0.2">
      <c r="A454" s="20" t="s">
        <v>1957</v>
      </c>
      <c r="B454" s="20"/>
      <c r="C454" s="20"/>
      <c r="D454" s="20" t="s">
        <v>86</v>
      </c>
      <c r="E454" s="18" t="str">
        <f t="shared" si="73"/>
        <v>Kamiya</v>
      </c>
      <c r="F454" s="17"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54" s="17" t="str">
        <f t="shared" si="74"/>
        <v>1988</v>
      </c>
      <c r="H454" s="18" t="str">
        <f t="shared" si="75"/>
        <v>Kamiya_Pirlot_1988</v>
      </c>
      <c r="I454" s="18" t="str">
        <f t="shared" si="71"/>
        <v>10.1111%2Fj.1439-0469.1988.tb00644.x</v>
      </c>
      <c r="J454" s="18" t="str">
        <f t="shared" si="76"/>
        <v>Kamiya_Pirlot_1988_Table1</v>
      </c>
      <c r="K454" s="17" t="str">
        <f t="shared" si="72"/>
        <v>10.1111%2Fj.1439-0469.1988.tb00644.x_Table1</v>
      </c>
      <c r="L454" s="17" t="str">
        <f t="array" ref="L454">IFERROR(INDEX(AUTO_Public_TSV_FileList!$A$1:$A$1000,MATCH(TRUE(),EXACT(K454,IFERROR(_xlfn.TEXTBEFORE(AUTO_Public_TSV_FileList!$A$1:$A$1000,".tsv"),"")),0)),"notfound")</f>
        <v>10.1111%2Fj.1439-0469.1988.tb00644.x_Table1.tsv</v>
      </c>
      <c r="M454" s="20" t="s">
        <v>1958</v>
      </c>
      <c r="N454" s="20"/>
      <c r="O454" s="20"/>
      <c r="P454" s="20"/>
      <c r="Q454" s="20"/>
      <c r="R454" s="20"/>
      <c r="S454" s="20"/>
      <c r="T454" s="20"/>
      <c r="U454" s="20"/>
      <c r="V454" s="20"/>
      <c r="W454" s="20"/>
      <c r="X454" s="20"/>
      <c r="Y454" s="20"/>
      <c r="Z454" s="20"/>
      <c r="AA454" s="20"/>
      <c r="AB454" s="20"/>
      <c r="AC454" s="20"/>
      <c r="AD454" s="20"/>
      <c r="AE454" s="20"/>
      <c r="AF454" s="20"/>
      <c r="AG454" s="20"/>
      <c r="AH454" s="20"/>
    </row>
    <row r="455" spans="1:36" ht="15" customHeight="1" x14ac:dyDescent="0.2">
      <c r="A455" s="19" t="s">
        <v>1959</v>
      </c>
      <c r="B455" s="20"/>
      <c r="C455" s="20"/>
      <c r="D455" s="19" t="s">
        <v>86</v>
      </c>
      <c r="E455" s="17" t="str">
        <f t="shared" si="73"/>
        <v>Karbowski</v>
      </c>
      <c r="F455" s="17"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5" s="17" t="str">
        <f t="shared" si="74"/>
        <v>2007</v>
      </c>
      <c r="H455" s="17" t="str">
        <f t="shared" si="75"/>
        <v>Karbowski__2007</v>
      </c>
      <c r="I455" s="17" t="str">
        <f t="shared" ref="I455:I487" si="77">_xlfn.LET(
_xlpm.doi,IF(C455&lt;&gt;"",C455,_xlfn.TEXTAFTER(A455,"https://doi.org/")),
SUBSTITUTE(
SUBSTITUTE(
SUBSTITUTE(
SUBSTITUTE(
_xlpm.doi,
"/","%2F"),
":","%3A"),
"&lt;","%3C"),
"&gt;","%3E")
)</f>
        <v>10.1186%2F1741-7007-5-18</v>
      </c>
      <c r="J455" s="17" t="str">
        <f t="shared" si="76"/>
        <v>Karbowski__2007_Table1</v>
      </c>
      <c r="K455" s="17" t="str">
        <f t="shared" si="72"/>
        <v>10.1186%2F1741-7007-5-18_Table1</v>
      </c>
      <c r="L455" s="17" t="str">
        <f t="array" ref="L455">IFERROR(INDEX(AUTO_Public_TSV_FileList!$A$1:$A$1000,MATCH(TRUE(),EXACT(K455,IFERROR(_xlfn.TEXTBEFORE(AUTO_Public_TSV_FileList!$A$1:$A$1000,".tsv"),"")),0)),"notfound")</f>
        <v>notfound</v>
      </c>
      <c r="M455" s="20"/>
      <c r="N455" s="19" t="s">
        <v>54</v>
      </c>
      <c r="O455" s="20"/>
      <c r="P455" s="20"/>
      <c r="Q455" s="20"/>
      <c r="R455" s="20"/>
      <c r="S455" s="20"/>
      <c r="T455" s="20"/>
      <c r="U455" s="20"/>
      <c r="V455" s="20"/>
      <c r="W455" s="19" t="s">
        <v>224</v>
      </c>
      <c r="X455" s="19" t="s">
        <v>1960</v>
      </c>
      <c r="Y455" s="20"/>
      <c r="Z455" s="20"/>
      <c r="AA455" s="19"/>
      <c r="AB455" s="19" t="s">
        <v>1961</v>
      </c>
      <c r="AC455" s="20"/>
      <c r="AD455" s="20"/>
      <c r="AE455" s="19" t="s">
        <v>265</v>
      </c>
      <c r="AF455" s="19"/>
      <c r="AG455" s="20"/>
      <c r="AH455" s="20"/>
    </row>
    <row r="456" spans="1:36" ht="15" customHeight="1" x14ac:dyDescent="0.2">
      <c r="A456" s="19" t="s">
        <v>1959</v>
      </c>
      <c r="B456" s="20"/>
      <c r="C456" s="20"/>
      <c r="D456" s="19" t="s">
        <v>390</v>
      </c>
      <c r="E456" s="17" t="str">
        <f t="shared" si="73"/>
        <v>Karbowski</v>
      </c>
      <c r="F456" s="17"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6" s="17" t="str">
        <f t="shared" si="74"/>
        <v>2007</v>
      </c>
      <c r="H456" s="17" t="str">
        <f t="shared" si="75"/>
        <v>Karbowski__2007</v>
      </c>
      <c r="I456" s="17" t="str">
        <f t="shared" si="77"/>
        <v>10.1186%2F1741-7007-5-18</v>
      </c>
      <c r="J456" s="17" t="str">
        <f t="shared" si="76"/>
        <v>Karbowski__2007_TableS1</v>
      </c>
      <c r="K456" s="17" t="str">
        <f t="shared" si="72"/>
        <v>10.1186%2F1741-7007-5-18_TableS1</v>
      </c>
      <c r="L456" s="17" t="str">
        <f t="array" ref="L456">IFERROR(INDEX(AUTO_Public_TSV_FileList!$A$1:$A$1000,MATCH(TRUE(),EXACT(K456,IFERROR(_xlfn.TEXTBEFORE(AUTO_Public_TSV_FileList!$A$1:$A$1000,".tsv"),"")),0)),"notfound")</f>
        <v>10.1186%2F1741-7007-5-18_TableS1.tsv</v>
      </c>
      <c r="M456" s="19" t="s">
        <v>1962</v>
      </c>
      <c r="N456" s="19" t="s">
        <v>54</v>
      </c>
      <c r="O456" s="20"/>
      <c r="P456" s="19" t="s">
        <v>55</v>
      </c>
      <c r="Q456" s="20"/>
      <c r="R456" s="20"/>
      <c r="S456" s="20"/>
      <c r="T456" s="20"/>
      <c r="U456" s="20"/>
      <c r="V456" s="20"/>
      <c r="W456" s="19" t="s">
        <v>224</v>
      </c>
      <c r="X456" s="19" t="s">
        <v>1963</v>
      </c>
      <c r="Y456" s="20"/>
      <c r="Z456" s="20"/>
      <c r="AA456" s="19"/>
      <c r="AB456" s="19" t="s">
        <v>1964</v>
      </c>
      <c r="AC456" s="20"/>
      <c r="AD456" s="20"/>
      <c r="AE456" s="19" t="s">
        <v>265</v>
      </c>
      <c r="AF456" s="19"/>
      <c r="AG456" s="20"/>
      <c r="AH456" s="20"/>
    </row>
    <row r="457" spans="1:36" ht="15" customHeight="1" x14ac:dyDescent="0.2">
      <c r="A457" s="19" t="s">
        <v>1959</v>
      </c>
      <c r="B457" s="20"/>
      <c r="C457" s="20"/>
      <c r="D457" s="19" t="s">
        <v>1965</v>
      </c>
      <c r="E457" s="17" t="str">
        <f t="shared" si="73"/>
        <v>Karbowski</v>
      </c>
      <c r="F457" s="17"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7" s="17" t="str">
        <f t="shared" si="74"/>
        <v>2007</v>
      </c>
      <c r="H457" s="17" t="str">
        <f t="shared" si="75"/>
        <v>Karbowski__2007</v>
      </c>
      <c r="I457" s="17" t="str">
        <f t="shared" si="77"/>
        <v>10.1186%2F1741-7007-5-18</v>
      </c>
      <c r="J457" s="17" t="str">
        <f t="shared" si="76"/>
        <v>Karbowski__2007_TableS10</v>
      </c>
      <c r="K457" s="17" t="str">
        <f t="shared" si="72"/>
        <v>10.1186%2F1741-7007-5-18_TableS10</v>
      </c>
      <c r="L457" s="17" t="str">
        <f t="array" ref="L457">IFERROR(INDEX(AUTO_Public_TSV_FileList!$A$1:$A$1000,MATCH(TRUE(),EXACT(K457,IFERROR(_xlfn.TEXTBEFORE(AUTO_Public_TSV_FileList!$A$1:$A$1000,".tsv"),"")),0)),"notfound")</f>
        <v>10.1186%2F1741-7007-5-18_TableS10.tsv</v>
      </c>
      <c r="M457" s="19" t="s">
        <v>1966</v>
      </c>
      <c r="N457" s="19" t="s">
        <v>54</v>
      </c>
      <c r="O457" s="20"/>
      <c r="P457" s="19" t="s">
        <v>55</v>
      </c>
      <c r="Q457" s="20"/>
      <c r="R457" s="20"/>
      <c r="S457" s="20"/>
      <c r="T457" s="20"/>
      <c r="U457" s="20"/>
      <c r="V457" s="20"/>
      <c r="W457" s="19" t="s">
        <v>224</v>
      </c>
      <c r="X457" s="19" t="s">
        <v>1967</v>
      </c>
      <c r="Y457" s="20"/>
      <c r="Z457" s="20"/>
      <c r="AA457" s="19"/>
      <c r="AB457" s="19" t="s">
        <v>1964</v>
      </c>
      <c r="AC457" s="20"/>
      <c r="AD457" s="20"/>
      <c r="AE457" s="19" t="s">
        <v>265</v>
      </c>
      <c r="AF457" s="19"/>
      <c r="AG457" s="20"/>
      <c r="AH457" s="20"/>
    </row>
    <row r="458" spans="1:36" ht="15" customHeight="1" x14ac:dyDescent="0.2">
      <c r="A458" s="19" t="s">
        <v>1959</v>
      </c>
      <c r="B458" s="20"/>
      <c r="C458" s="20"/>
      <c r="D458" s="19" t="s">
        <v>1968</v>
      </c>
      <c r="E458" s="17" t="str">
        <f t="shared" si="73"/>
        <v>Karbowski</v>
      </c>
      <c r="F458" s="17"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17" t="str">
        <f t="shared" si="74"/>
        <v>2007</v>
      </c>
      <c r="H458" s="17" t="str">
        <f t="shared" si="75"/>
        <v>Karbowski__2007</v>
      </c>
      <c r="I458" s="17" t="str">
        <f t="shared" si="77"/>
        <v>10.1186%2F1741-7007-5-18</v>
      </c>
      <c r="J458" s="17" t="str">
        <f t="shared" si="76"/>
        <v>Karbowski__2007_TableS11</v>
      </c>
      <c r="K458" s="17" t="str">
        <f t="shared" si="72"/>
        <v>10.1186%2F1741-7007-5-18_TableS11</v>
      </c>
      <c r="L458" s="17" t="str">
        <f t="array" ref="L458">IFERROR(INDEX(AUTO_Public_TSV_FileList!$A$1:$A$1000,MATCH(TRUE(),EXACT(K458,IFERROR(_xlfn.TEXTBEFORE(AUTO_Public_TSV_FileList!$A$1:$A$1000,".tsv"),"")),0)),"notfound")</f>
        <v>10.1186%2F1741-7007-5-18_TableS11.tsv</v>
      </c>
      <c r="M458" s="19" t="s">
        <v>1969</v>
      </c>
      <c r="N458" s="19" t="s">
        <v>54</v>
      </c>
      <c r="O458" s="20"/>
      <c r="P458" s="19" t="s">
        <v>55</v>
      </c>
      <c r="Q458" s="20"/>
      <c r="R458" s="20"/>
      <c r="S458" s="20"/>
      <c r="T458" s="20"/>
      <c r="U458" s="20"/>
      <c r="V458" s="20"/>
      <c r="W458" s="19" t="s">
        <v>224</v>
      </c>
      <c r="X458" s="19" t="s">
        <v>1967</v>
      </c>
      <c r="Y458" s="20"/>
      <c r="Z458" s="20"/>
      <c r="AA458" s="19"/>
      <c r="AB458" s="19" t="s">
        <v>1964</v>
      </c>
      <c r="AC458" s="20"/>
      <c r="AD458" s="20"/>
      <c r="AE458" s="19" t="s">
        <v>265</v>
      </c>
      <c r="AF458" s="19"/>
      <c r="AG458" s="20"/>
      <c r="AH458" s="20"/>
    </row>
    <row r="459" spans="1:36" ht="15" customHeight="1" x14ac:dyDescent="0.2">
      <c r="A459" s="19" t="s">
        <v>1959</v>
      </c>
      <c r="B459" s="20"/>
      <c r="C459" s="20"/>
      <c r="D459" s="19" t="s">
        <v>1970</v>
      </c>
      <c r="E459" s="17" t="str">
        <f t="shared" si="73"/>
        <v>Karbowski</v>
      </c>
      <c r="F459" s="17"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17" t="str">
        <f t="shared" si="74"/>
        <v>2007</v>
      </c>
      <c r="H459" s="17" t="str">
        <f t="shared" si="75"/>
        <v>Karbowski__2007</v>
      </c>
      <c r="I459" s="17" t="str">
        <f t="shared" si="77"/>
        <v>10.1186%2F1741-7007-5-18</v>
      </c>
      <c r="J459" s="17" t="str">
        <f t="shared" si="76"/>
        <v>Karbowski__2007_TableS12</v>
      </c>
      <c r="K459" s="17" t="str">
        <f t="shared" si="72"/>
        <v>10.1186%2F1741-7007-5-18_TableS12</v>
      </c>
      <c r="L459" s="17" t="str">
        <f t="array" ref="L459">IFERROR(INDEX(AUTO_Public_TSV_FileList!$A$1:$A$1000,MATCH(TRUE(),EXACT(K459,IFERROR(_xlfn.TEXTBEFORE(AUTO_Public_TSV_FileList!$A$1:$A$1000,".tsv"),"")),0)),"notfound")</f>
        <v>10.1186%2F1741-7007-5-18_TableS12.tsv</v>
      </c>
      <c r="M459" s="19" t="s">
        <v>1971</v>
      </c>
      <c r="N459" s="19" t="s">
        <v>54</v>
      </c>
      <c r="O459" s="20"/>
      <c r="P459" s="19" t="s">
        <v>55</v>
      </c>
      <c r="Q459" s="20"/>
      <c r="R459" s="20"/>
      <c r="S459" s="20"/>
      <c r="T459" s="20"/>
      <c r="U459" s="20"/>
      <c r="V459" s="20"/>
      <c r="W459" s="19" t="s">
        <v>224</v>
      </c>
      <c r="X459" s="19" t="s">
        <v>1967</v>
      </c>
      <c r="Y459" s="20"/>
      <c r="Z459" s="20"/>
      <c r="AA459" s="19"/>
      <c r="AB459" s="19" t="s">
        <v>1964</v>
      </c>
      <c r="AC459" s="20"/>
      <c r="AD459" s="20"/>
      <c r="AE459" s="19" t="s">
        <v>265</v>
      </c>
      <c r="AF459" s="19"/>
      <c r="AG459" s="20"/>
      <c r="AH459" s="20"/>
    </row>
    <row r="460" spans="1:36" ht="15" customHeight="1" x14ac:dyDescent="0.2">
      <c r="A460" s="19" t="s">
        <v>1959</v>
      </c>
      <c r="B460" s="20"/>
      <c r="C460" s="20"/>
      <c r="D460" s="19" t="s">
        <v>1972</v>
      </c>
      <c r="E460" s="17" t="str">
        <f t="shared" si="73"/>
        <v>Karbowski</v>
      </c>
      <c r="F460" s="17"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17" t="str">
        <f t="shared" si="74"/>
        <v>2007</v>
      </c>
      <c r="H460" s="17" t="str">
        <f t="shared" si="75"/>
        <v>Karbowski__2007</v>
      </c>
      <c r="I460" s="17" t="str">
        <f t="shared" si="77"/>
        <v>10.1186%2F1741-7007-5-18</v>
      </c>
      <c r="J460" s="17" t="str">
        <f t="shared" si="76"/>
        <v>Karbowski__2007_TableS13</v>
      </c>
      <c r="K460" s="17" t="str">
        <f t="shared" si="72"/>
        <v>10.1186%2F1741-7007-5-18_TableS13</v>
      </c>
      <c r="L460" s="17" t="str">
        <f t="array" ref="L460">IFERROR(INDEX(AUTO_Public_TSV_FileList!$A$1:$A$1000,MATCH(TRUE(),EXACT(K460,IFERROR(_xlfn.TEXTBEFORE(AUTO_Public_TSV_FileList!$A$1:$A$1000,".tsv"),"")),0)),"notfound")</f>
        <v>10.1186%2F1741-7007-5-18_TableS13.tsv</v>
      </c>
      <c r="M460" s="19" t="s">
        <v>1973</v>
      </c>
      <c r="N460" s="19" t="s">
        <v>54</v>
      </c>
      <c r="O460" s="20"/>
      <c r="P460" s="19" t="s">
        <v>55</v>
      </c>
      <c r="Q460" s="20"/>
      <c r="R460" s="20"/>
      <c r="S460" s="20"/>
      <c r="T460" s="20"/>
      <c r="U460" s="20"/>
      <c r="V460" s="20"/>
      <c r="W460" s="19" t="s">
        <v>224</v>
      </c>
      <c r="X460" s="19" t="s">
        <v>1967</v>
      </c>
      <c r="Y460" s="20"/>
      <c r="Z460" s="20"/>
      <c r="AA460" s="19"/>
      <c r="AB460" s="19" t="s">
        <v>1964</v>
      </c>
      <c r="AC460" s="20"/>
      <c r="AD460" s="20"/>
      <c r="AE460" s="19" t="s">
        <v>265</v>
      </c>
      <c r="AF460" s="19"/>
      <c r="AG460" s="20"/>
      <c r="AH460" s="20"/>
    </row>
    <row r="461" spans="1:36" ht="15" customHeight="1" x14ac:dyDescent="0.2">
      <c r="A461" s="19" t="s">
        <v>1959</v>
      </c>
      <c r="B461" s="20"/>
      <c r="C461" s="20"/>
      <c r="D461" s="19" t="s">
        <v>1974</v>
      </c>
      <c r="E461" s="17" t="str">
        <f t="shared" si="73"/>
        <v>Karbowski</v>
      </c>
      <c r="F461" s="17"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1" s="17" t="str">
        <f t="shared" si="74"/>
        <v>2007</v>
      </c>
      <c r="H461" s="17" t="str">
        <f t="shared" si="75"/>
        <v>Karbowski__2007</v>
      </c>
      <c r="I461" s="17" t="str">
        <f t="shared" si="77"/>
        <v>10.1186%2F1741-7007-5-18</v>
      </c>
      <c r="J461" s="17" t="str">
        <f t="shared" si="76"/>
        <v>Karbowski__2007_TableS14</v>
      </c>
      <c r="K461" s="17" t="str">
        <f t="shared" si="72"/>
        <v>10.1186%2F1741-7007-5-18_TableS14</v>
      </c>
      <c r="L461" s="17" t="str">
        <f t="array" ref="L461">IFERROR(INDEX(AUTO_Public_TSV_FileList!$A$1:$A$1000,MATCH(TRUE(),EXACT(K461,IFERROR(_xlfn.TEXTBEFORE(AUTO_Public_TSV_FileList!$A$1:$A$1000,".tsv"),"")),0)),"notfound")</f>
        <v>10.1186%2F1741-7007-5-18_TableS14.tsv</v>
      </c>
      <c r="M461" s="19" t="s">
        <v>1975</v>
      </c>
      <c r="N461" s="19" t="s">
        <v>54</v>
      </c>
      <c r="O461" s="20"/>
      <c r="P461" s="19" t="s">
        <v>55</v>
      </c>
      <c r="Q461" s="20"/>
      <c r="R461" s="20"/>
      <c r="S461" s="20"/>
      <c r="T461" s="20"/>
      <c r="U461" s="20"/>
      <c r="V461" s="20"/>
      <c r="W461" s="19" t="s">
        <v>224</v>
      </c>
      <c r="X461" s="19" t="s">
        <v>1967</v>
      </c>
      <c r="Y461" s="20"/>
      <c r="Z461" s="20"/>
      <c r="AA461" s="19"/>
      <c r="AB461" s="19" t="s">
        <v>1964</v>
      </c>
      <c r="AC461" s="20"/>
      <c r="AD461" s="20"/>
      <c r="AE461" s="19" t="s">
        <v>265</v>
      </c>
      <c r="AF461" s="19"/>
      <c r="AG461" s="20"/>
      <c r="AH461" s="20"/>
    </row>
    <row r="462" spans="1:36" ht="15" customHeight="1" x14ac:dyDescent="0.2">
      <c r="A462" s="19" t="s">
        <v>1959</v>
      </c>
      <c r="B462" s="20"/>
      <c r="C462" s="20"/>
      <c r="D462" s="19" t="s">
        <v>1976</v>
      </c>
      <c r="E462" s="17" t="str">
        <f t="shared" si="73"/>
        <v>Karbowski</v>
      </c>
      <c r="F462" s="17"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2" s="17" t="str">
        <f t="shared" si="74"/>
        <v>2007</v>
      </c>
      <c r="H462" s="17" t="str">
        <f t="shared" si="75"/>
        <v>Karbowski__2007</v>
      </c>
      <c r="I462" s="17" t="str">
        <f t="shared" si="77"/>
        <v>10.1186%2F1741-7007-5-18</v>
      </c>
      <c r="J462" s="17" t="str">
        <f t="shared" si="76"/>
        <v>Karbowski__2007_TableS15</v>
      </c>
      <c r="K462" s="17" t="str">
        <f t="shared" si="72"/>
        <v>10.1186%2F1741-7007-5-18_TableS15</v>
      </c>
      <c r="L462" s="17" t="str">
        <f t="array" ref="L462">IFERROR(INDEX(AUTO_Public_TSV_FileList!$A$1:$A$1000,MATCH(TRUE(),EXACT(K462,IFERROR(_xlfn.TEXTBEFORE(AUTO_Public_TSV_FileList!$A$1:$A$1000,".tsv"),"")),0)),"notfound")</f>
        <v>10.1186%2F1741-7007-5-18_TableS15.tsv</v>
      </c>
      <c r="M462" s="19" t="s">
        <v>1977</v>
      </c>
      <c r="N462" s="19" t="s">
        <v>54</v>
      </c>
      <c r="O462" s="20"/>
      <c r="P462" s="19" t="s">
        <v>55</v>
      </c>
      <c r="Q462" s="20"/>
      <c r="R462" s="20"/>
      <c r="S462" s="20"/>
      <c r="T462" s="20"/>
      <c r="U462" s="20"/>
      <c r="V462" s="20"/>
      <c r="W462" s="19" t="s">
        <v>224</v>
      </c>
      <c r="X462" s="19" t="s">
        <v>1967</v>
      </c>
      <c r="Y462" s="20"/>
      <c r="Z462" s="20"/>
      <c r="AA462" s="19"/>
      <c r="AB462" s="19" t="s">
        <v>1964</v>
      </c>
      <c r="AC462" s="20"/>
      <c r="AD462" s="20"/>
      <c r="AE462" s="19" t="s">
        <v>265</v>
      </c>
      <c r="AF462" s="19"/>
      <c r="AG462" s="20"/>
      <c r="AH462" s="20"/>
    </row>
    <row r="463" spans="1:36" ht="15" customHeight="1" x14ac:dyDescent="0.2">
      <c r="A463" s="19" t="s">
        <v>1959</v>
      </c>
      <c r="B463" s="20"/>
      <c r="C463" s="20"/>
      <c r="D463" s="19" t="s">
        <v>1978</v>
      </c>
      <c r="E463" s="17" t="str">
        <f t="shared" si="73"/>
        <v>Karbowski</v>
      </c>
      <c r="F463" s="17"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3" s="17" t="str">
        <f t="shared" si="74"/>
        <v>2007</v>
      </c>
      <c r="H463" s="17" t="str">
        <f t="shared" si="75"/>
        <v>Karbowski__2007</v>
      </c>
      <c r="I463" s="17" t="str">
        <f t="shared" si="77"/>
        <v>10.1186%2F1741-7007-5-18</v>
      </c>
      <c r="J463" s="17" t="str">
        <f t="shared" si="76"/>
        <v>Karbowski__2007_TableS16</v>
      </c>
      <c r="K463" s="17" t="str">
        <f t="shared" si="72"/>
        <v>10.1186%2F1741-7007-5-18_TableS16</v>
      </c>
      <c r="L463" s="17" t="str">
        <f t="array" ref="L463">IFERROR(INDEX(AUTO_Public_TSV_FileList!$A$1:$A$1000,MATCH(TRUE(),EXACT(K463,IFERROR(_xlfn.TEXTBEFORE(AUTO_Public_TSV_FileList!$A$1:$A$1000,".tsv"),"")),0)),"notfound")</f>
        <v>10.1186%2F1741-7007-5-18_TableS16.tsv</v>
      </c>
      <c r="M463" s="19" t="s">
        <v>1979</v>
      </c>
      <c r="N463" s="19" t="s">
        <v>54</v>
      </c>
      <c r="O463" s="20"/>
      <c r="P463" s="19" t="s">
        <v>55</v>
      </c>
      <c r="Q463" s="20"/>
      <c r="R463" s="20"/>
      <c r="S463" s="20"/>
      <c r="T463" s="20"/>
      <c r="U463" s="20"/>
      <c r="V463" s="20"/>
      <c r="W463" s="19" t="s">
        <v>224</v>
      </c>
      <c r="X463" s="19" t="s">
        <v>1967</v>
      </c>
      <c r="Y463" s="20"/>
      <c r="Z463" s="20"/>
      <c r="AA463" s="19"/>
      <c r="AB463" s="19" t="s">
        <v>1964</v>
      </c>
      <c r="AC463" s="20"/>
      <c r="AD463" s="20"/>
      <c r="AE463" s="19" t="s">
        <v>265</v>
      </c>
      <c r="AF463" s="19"/>
      <c r="AG463" s="20"/>
      <c r="AH463" s="20"/>
    </row>
    <row r="464" spans="1:36" ht="15" customHeight="1" x14ac:dyDescent="0.2">
      <c r="A464" s="19" t="s">
        <v>1959</v>
      </c>
      <c r="B464" s="20"/>
      <c r="C464" s="20"/>
      <c r="D464" s="19" t="s">
        <v>1980</v>
      </c>
      <c r="E464" s="17" t="str">
        <f t="shared" si="73"/>
        <v>Karbowski</v>
      </c>
      <c r="F464" s="17"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4" s="17" t="str">
        <f t="shared" si="74"/>
        <v>2007</v>
      </c>
      <c r="H464" s="17" t="str">
        <f t="shared" si="75"/>
        <v>Karbowski__2007</v>
      </c>
      <c r="I464" s="17" t="str">
        <f t="shared" si="77"/>
        <v>10.1186%2F1741-7007-5-18</v>
      </c>
      <c r="J464" s="17" t="str">
        <f t="shared" si="76"/>
        <v>Karbowski__2007_TableS17</v>
      </c>
      <c r="K464" s="17" t="str">
        <f t="shared" si="72"/>
        <v>10.1186%2F1741-7007-5-18_TableS17</v>
      </c>
      <c r="L464" s="17" t="str">
        <f t="array" ref="L464">IFERROR(INDEX(AUTO_Public_TSV_FileList!$A$1:$A$1000,MATCH(TRUE(),EXACT(K464,IFERROR(_xlfn.TEXTBEFORE(AUTO_Public_TSV_FileList!$A$1:$A$1000,".tsv"),"")),0)),"notfound")</f>
        <v>10.1186%2F1741-7007-5-18_TableS17.tsv</v>
      </c>
      <c r="M464" s="19" t="s">
        <v>1981</v>
      </c>
      <c r="N464" s="19" t="s">
        <v>54</v>
      </c>
      <c r="O464" s="20"/>
      <c r="P464" s="19" t="s">
        <v>55</v>
      </c>
      <c r="Q464" s="20"/>
      <c r="R464" s="20"/>
      <c r="S464" s="20"/>
      <c r="T464" s="20"/>
      <c r="U464" s="20"/>
      <c r="V464" s="20"/>
      <c r="W464" s="19" t="s">
        <v>224</v>
      </c>
      <c r="X464" s="19" t="s">
        <v>1967</v>
      </c>
      <c r="Y464" s="20"/>
      <c r="Z464" s="20"/>
      <c r="AA464" s="19"/>
      <c r="AB464" s="19" t="s">
        <v>1964</v>
      </c>
      <c r="AC464" s="20"/>
      <c r="AD464" s="20"/>
      <c r="AE464" s="19" t="s">
        <v>265</v>
      </c>
      <c r="AF464" s="19"/>
      <c r="AG464" s="20"/>
      <c r="AH464" s="20"/>
    </row>
    <row r="465" spans="1:34" ht="15" customHeight="1" x14ac:dyDescent="0.2">
      <c r="A465" s="19" t="s">
        <v>1959</v>
      </c>
      <c r="B465" s="20"/>
      <c r="C465" s="20"/>
      <c r="D465" s="19" t="s">
        <v>1982</v>
      </c>
      <c r="E465" s="17" t="str">
        <f t="shared" si="73"/>
        <v>Karbowski</v>
      </c>
      <c r="F465" s="17"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5" s="17" t="str">
        <f t="shared" si="74"/>
        <v>2007</v>
      </c>
      <c r="H465" s="17" t="str">
        <f t="shared" si="75"/>
        <v>Karbowski__2007</v>
      </c>
      <c r="I465" s="17" t="str">
        <f t="shared" si="77"/>
        <v>10.1186%2F1741-7007-5-18</v>
      </c>
      <c r="J465" s="17" t="str">
        <f t="shared" si="76"/>
        <v>Karbowski__2007_TableS18</v>
      </c>
      <c r="K465" s="17" t="str">
        <f t="shared" si="72"/>
        <v>10.1186%2F1741-7007-5-18_TableS18</v>
      </c>
      <c r="L465" s="17" t="str">
        <f t="array" ref="L465">IFERROR(INDEX(AUTO_Public_TSV_FileList!$A$1:$A$1000,MATCH(TRUE(),EXACT(K465,IFERROR(_xlfn.TEXTBEFORE(AUTO_Public_TSV_FileList!$A$1:$A$1000,".tsv"),"")),0)),"notfound")</f>
        <v>10.1186%2F1741-7007-5-18_TableS18.tsv</v>
      </c>
      <c r="M465" s="19" t="s">
        <v>1983</v>
      </c>
      <c r="N465" s="19" t="s">
        <v>54</v>
      </c>
      <c r="O465" s="20"/>
      <c r="P465" s="19" t="s">
        <v>55</v>
      </c>
      <c r="Q465" s="20"/>
      <c r="R465" s="20"/>
      <c r="S465" s="20"/>
      <c r="T465" s="20"/>
      <c r="U465" s="20"/>
      <c r="V465" s="20"/>
      <c r="W465" s="19" t="s">
        <v>224</v>
      </c>
      <c r="X465" s="19" t="s">
        <v>1967</v>
      </c>
      <c r="Y465" s="20"/>
      <c r="Z465" s="20"/>
      <c r="AA465" s="19"/>
      <c r="AB465" s="19" t="s">
        <v>1964</v>
      </c>
      <c r="AC465" s="20"/>
      <c r="AD465" s="20"/>
      <c r="AE465" s="19" t="s">
        <v>265</v>
      </c>
      <c r="AF465" s="19"/>
      <c r="AG465" s="20"/>
      <c r="AH465" s="20"/>
    </row>
    <row r="466" spans="1:34" ht="15" customHeight="1" x14ac:dyDescent="0.2">
      <c r="A466" s="19" t="s">
        <v>1959</v>
      </c>
      <c r="B466" s="20"/>
      <c r="C466" s="20"/>
      <c r="D466" s="19" t="s">
        <v>1984</v>
      </c>
      <c r="E466" s="17" t="str">
        <f t="shared" si="73"/>
        <v>Karbowski</v>
      </c>
      <c r="F466" s="17"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6" s="17" t="str">
        <f t="shared" si="74"/>
        <v>2007</v>
      </c>
      <c r="H466" s="17" t="str">
        <f t="shared" si="75"/>
        <v>Karbowski__2007</v>
      </c>
      <c r="I466" s="17" t="str">
        <f t="shared" si="77"/>
        <v>10.1186%2F1741-7007-5-18</v>
      </c>
      <c r="J466" s="17" t="str">
        <f t="shared" si="76"/>
        <v>Karbowski__2007_TableS19</v>
      </c>
      <c r="K466" s="17" t="str">
        <f t="shared" si="72"/>
        <v>10.1186%2F1741-7007-5-18_TableS19</v>
      </c>
      <c r="L466" s="17" t="str">
        <f t="array" ref="L466">IFERROR(INDEX(AUTO_Public_TSV_FileList!$A$1:$A$1000,MATCH(TRUE(),EXACT(K466,IFERROR(_xlfn.TEXTBEFORE(AUTO_Public_TSV_FileList!$A$1:$A$1000,".tsv"),"")),0)),"notfound")</f>
        <v>10.1186%2F1741-7007-5-18_TableS19.tsv</v>
      </c>
      <c r="M466" s="19" t="s">
        <v>1985</v>
      </c>
      <c r="N466" s="19" t="s">
        <v>54</v>
      </c>
      <c r="O466" s="20"/>
      <c r="P466" s="19" t="s">
        <v>55</v>
      </c>
      <c r="Q466" s="20"/>
      <c r="R466" s="20"/>
      <c r="S466" s="20"/>
      <c r="T466" s="20"/>
      <c r="U466" s="20"/>
      <c r="V466" s="20"/>
      <c r="W466" s="19" t="s">
        <v>224</v>
      </c>
      <c r="X466" s="19" t="s">
        <v>1967</v>
      </c>
      <c r="Y466" s="20"/>
      <c r="Z466" s="20"/>
      <c r="AA466" s="19"/>
      <c r="AB466" s="19" t="s">
        <v>1964</v>
      </c>
      <c r="AC466" s="20"/>
      <c r="AD466" s="20"/>
      <c r="AE466" s="19" t="s">
        <v>265</v>
      </c>
      <c r="AF466" s="19"/>
      <c r="AG466" s="20"/>
      <c r="AH466" s="20"/>
    </row>
    <row r="467" spans="1:34" ht="15" customHeight="1" x14ac:dyDescent="0.2">
      <c r="A467" s="19" t="s">
        <v>1959</v>
      </c>
      <c r="B467" s="20"/>
      <c r="C467" s="20"/>
      <c r="D467" s="19" t="s">
        <v>1051</v>
      </c>
      <c r="E467" s="17" t="str">
        <f t="shared" si="73"/>
        <v>Karbowski</v>
      </c>
      <c r="F467" s="17"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7" s="17" t="str">
        <f t="shared" si="74"/>
        <v>2007</v>
      </c>
      <c r="H467" s="17" t="str">
        <f t="shared" si="75"/>
        <v>Karbowski__2007</v>
      </c>
      <c r="I467" s="17" t="str">
        <f t="shared" si="77"/>
        <v>10.1186%2F1741-7007-5-18</v>
      </c>
      <c r="J467" s="17" t="str">
        <f t="shared" si="76"/>
        <v>Karbowski__2007_TableS2</v>
      </c>
      <c r="K467" s="17" t="str">
        <f t="shared" si="72"/>
        <v>10.1186%2F1741-7007-5-18_TableS2</v>
      </c>
      <c r="L467" s="17" t="str">
        <f t="array" ref="L467">IFERROR(INDEX(AUTO_Public_TSV_FileList!$A$1:$A$1000,MATCH(TRUE(),EXACT(K467,IFERROR(_xlfn.TEXTBEFORE(AUTO_Public_TSV_FileList!$A$1:$A$1000,".tsv"),"")),0)),"notfound")</f>
        <v>10.1186%2F1741-7007-5-18_TableS2.tsv</v>
      </c>
      <c r="M467" s="19" t="s">
        <v>1986</v>
      </c>
      <c r="N467" s="19" t="s">
        <v>54</v>
      </c>
      <c r="O467" s="20"/>
      <c r="P467" s="19" t="s">
        <v>1987</v>
      </c>
      <c r="Q467" s="20"/>
      <c r="R467" s="20"/>
      <c r="S467" s="20"/>
      <c r="T467" s="20"/>
      <c r="U467" s="20"/>
      <c r="V467" s="20"/>
      <c r="W467" s="19" t="s">
        <v>224</v>
      </c>
      <c r="X467" s="19" t="s">
        <v>1967</v>
      </c>
      <c r="Y467" s="20"/>
      <c r="Z467" s="20"/>
      <c r="AA467" s="19"/>
      <c r="AB467" s="19" t="s">
        <v>1964</v>
      </c>
      <c r="AC467" s="20"/>
      <c r="AD467" s="20"/>
      <c r="AE467" s="19" t="s">
        <v>265</v>
      </c>
      <c r="AF467" s="19"/>
      <c r="AG467" s="20"/>
      <c r="AH467" s="20"/>
    </row>
    <row r="468" spans="1:34" ht="15" customHeight="1" x14ac:dyDescent="0.2">
      <c r="A468" s="19" t="s">
        <v>1959</v>
      </c>
      <c r="B468" s="20"/>
      <c r="C468" s="20"/>
      <c r="D468" s="19" t="s">
        <v>1988</v>
      </c>
      <c r="E468" s="17" t="str">
        <f t="shared" si="73"/>
        <v>Karbowski</v>
      </c>
      <c r="F468" s="17"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8" s="17" t="str">
        <f t="shared" si="74"/>
        <v>2007</v>
      </c>
      <c r="H468" s="17" t="str">
        <f t="shared" si="75"/>
        <v>Karbowski__2007</v>
      </c>
      <c r="I468" s="17" t="str">
        <f t="shared" si="77"/>
        <v>10.1186%2F1741-7007-5-18</v>
      </c>
      <c r="J468" s="17" t="str">
        <f t="shared" si="76"/>
        <v>Karbowski__2007_TableS20</v>
      </c>
      <c r="K468" s="17" t="str">
        <f t="shared" si="72"/>
        <v>10.1186%2F1741-7007-5-18_TableS20</v>
      </c>
      <c r="L468" s="17" t="str">
        <f t="array" ref="L468">IFERROR(INDEX(AUTO_Public_TSV_FileList!$A$1:$A$1000,MATCH(TRUE(),EXACT(K468,IFERROR(_xlfn.TEXTBEFORE(AUTO_Public_TSV_FileList!$A$1:$A$1000,".tsv"),"")),0)),"notfound")</f>
        <v>10.1186%2F1741-7007-5-18_TableS20.tsv</v>
      </c>
      <c r="M468" s="19" t="s">
        <v>1989</v>
      </c>
      <c r="N468" s="19" t="s">
        <v>54</v>
      </c>
      <c r="O468" s="20"/>
      <c r="P468" s="19" t="s">
        <v>55</v>
      </c>
      <c r="Q468" s="20"/>
      <c r="R468" s="20"/>
      <c r="S468" s="20"/>
      <c r="T468" s="20"/>
      <c r="U468" s="20"/>
      <c r="V468" s="20"/>
      <c r="W468" s="19" t="s">
        <v>224</v>
      </c>
      <c r="X468" s="19" t="s">
        <v>1967</v>
      </c>
      <c r="Y468" s="20"/>
      <c r="Z468" s="20"/>
      <c r="AA468" s="19"/>
      <c r="AB468" s="19" t="s">
        <v>1964</v>
      </c>
      <c r="AC468" s="20"/>
      <c r="AD468" s="20"/>
      <c r="AE468" s="19" t="s">
        <v>265</v>
      </c>
      <c r="AF468" s="19"/>
      <c r="AG468" s="20"/>
      <c r="AH468" s="20"/>
    </row>
    <row r="469" spans="1:34" ht="15" customHeight="1" x14ac:dyDescent="0.2">
      <c r="A469" s="19" t="s">
        <v>1959</v>
      </c>
      <c r="B469" s="20"/>
      <c r="C469" s="20"/>
      <c r="D469" s="19" t="s">
        <v>1990</v>
      </c>
      <c r="E469" s="17" t="str">
        <f t="shared" si="73"/>
        <v>Karbowski</v>
      </c>
      <c r="F469" s="17"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9" s="17" t="str">
        <f t="shared" si="74"/>
        <v>2007</v>
      </c>
      <c r="H469" s="17" t="str">
        <f t="shared" si="75"/>
        <v>Karbowski__2007</v>
      </c>
      <c r="I469" s="17" t="str">
        <f t="shared" si="77"/>
        <v>10.1186%2F1741-7007-5-18</v>
      </c>
      <c r="J469" s="17" t="str">
        <f t="shared" si="76"/>
        <v>Karbowski__2007_TableS21</v>
      </c>
      <c r="K469" s="17" t="str">
        <f t="shared" si="72"/>
        <v>10.1186%2F1741-7007-5-18_TableS21</v>
      </c>
      <c r="L469" s="17" t="str">
        <f t="array" ref="L469">IFERROR(INDEX(AUTO_Public_TSV_FileList!$A$1:$A$1000,MATCH(TRUE(),EXACT(K469,IFERROR(_xlfn.TEXTBEFORE(AUTO_Public_TSV_FileList!$A$1:$A$1000,".tsv"),"")),0)),"notfound")</f>
        <v>10.1186%2F1741-7007-5-18_TableS21.tsv</v>
      </c>
      <c r="M469" s="19" t="s">
        <v>1991</v>
      </c>
      <c r="N469" s="19" t="s">
        <v>54</v>
      </c>
      <c r="O469" s="20"/>
      <c r="P469" s="19" t="s">
        <v>55</v>
      </c>
      <c r="Q469" s="20"/>
      <c r="R469" s="20"/>
      <c r="S469" s="20"/>
      <c r="T469" s="20"/>
      <c r="U469" s="20"/>
      <c r="V469" s="20"/>
      <c r="W469" s="19" t="s">
        <v>224</v>
      </c>
      <c r="X469" s="19" t="s">
        <v>1967</v>
      </c>
      <c r="Y469" s="20"/>
      <c r="Z469" s="20"/>
      <c r="AA469" s="19"/>
      <c r="AB469" s="19" t="s">
        <v>1964</v>
      </c>
      <c r="AC469" s="20"/>
      <c r="AD469" s="20"/>
      <c r="AE469" s="19" t="s">
        <v>265</v>
      </c>
      <c r="AF469" s="19"/>
      <c r="AG469" s="20"/>
      <c r="AH469" s="20"/>
    </row>
    <row r="470" spans="1:34" ht="15" customHeight="1" x14ac:dyDescent="0.2">
      <c r="A470" s="19" t="s">
        <v>1959</v>
      </c>
      <c r="B470" s="20"/>
      <c r="C470" s="20"/>
      <c r="D470" s="19" t="s">
        <v>1992</v>
      </c>
      <c r="E470" s="17" t="str">
        <f t="shared" si="73"/>
        <v>Karbowski</v>
      </c>
      <c r="F470" s="17"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0" s="17" t="str">
        <f t="shared" si="74"/>
        <v>2007</v>
      </c>
      <c r="H470" s="17" t="str">
        <f t="shared" si="75"/>
        <v>Karbowski__2007</v>
      </c>
      <c r="I470" s="17" t="str">
        <f t="shared" si="77"/>
        <v>10.1186%2F1741-7007-5-18</v>
      </c>
      <c r="J470" s="17" t="str">
        <f t="shared" si="76"/>
        <v>Karbowski__2007_TableS22</v>
      </c>
      <c r="K470" s="17" t="str">
        <f t="shared" si="72"/>
        <v>10.1186%2F1741-7007-5-18_TableS22</v>
      </c>
      <c r="L470" s="17" t="str">
        <f t="array" ref="L470">IFERROR(INDEX(AUTO_Public_TSV_FileList!$A$1:$A$1000,MATCH(TRUE(),EXACT(K470,IFERROR(_xlfn.TEXTBEFORE(AUTO_Public_TSV_FileList!$A$1:$A$1000,".tsv"),"")),0)),"notfound")</f>
        <v>10.1186%2F1741-7007-5-18_TableS22.tsv</v>
      </c>
      <c r="M470" s="19" t="s">
        <v>1993</v>
      </c>
      <c r="N470" s="19" t="s">
        <v>54</v>
      </c>
      <c r="O470" s="20"/>
      <c r="P470" s="19" t="s">
        <v>55</v>
      </c>
      <c r="Q470" s="20"/>
      <c r="R470" s="20"/>
      <c r="S470" s="20"/>
      <c r="T470" s="20"/>
      <c r="U470" s="20"/>
      <c r="V470" s="20"/>
      <c r="W470" s="19" t="s">
        <v>224</v>
      </c>
      <c r="X470" s="19" t="s">
        <v>1967</v>
      </c>
      <c r="Y470" s="20"/>
      <c r="Z470" s="20"/>
      <c r="AA470" s="19"/>
      <c r="AB470" s="19" t="s">
        <v>1964</v>
      </c>
      <c r="AC470" s="20"/>
      <c r="AD470" s="20"/>
      <c r="AE470" s="19" t="s">
        <v>265</v>
      </c>
      <c r="AF470" s="19"/>
      <c r="AG470" s="20"/>
      <c r="AH470" s="20"/>
    </row>
    <row r="471" spans="1:34" ht="15" customHeight="1" x14ac:dyDescent="0.2">
      <c r="A471" s="19" t="s">
        <v>1959</v>
      </c>
      <c r="B471" s="20"/>
      <c r="C471" s="20"/>
      <c r="D471" s="19" t="s">
        <v>1994</v>
      </c>
      <c r="E471" s="17" t="str">
        <f t="shared" si="73"/>
        <v>Karbowski</v>
      </c>
      <c r="F471" s="17"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1" s="17" t="str">
        <f t="shared" si="74"/>
        <v>2007</v>
      </c>
      <c r="H471" s="17" t="str">
        <f t="shared" si="75"/>
        <v>Karbowski__2007</v>
      </c>
      <c r="I471" s="17" t="str">
        <f t="shared" si="77"/>
        <v>10.1186%2F1741-7007-5-18</v>
      </c>
      <c r="J471" s="17" t="str">
        <f t="shared" si="76"/>
        <v>Karbowski__2007_TableS23</v>
      </c>
      <c r="K471" s="17" t="str">
        <f t="shared" si="72"/>
        <v>10.1186%2F1741-7007-5-18_TableS23</v>
      </c>
      <c r="L471" s="17" t="str">
        <f t="array" ref="L471">IFERROR(INDEX(AUTO_Public_TSV_FileList!$A$1:$A$1000,MATCH(TRUE(),EXACT(K471,IFERROR(_xlfn.TEXTBEFORE(AUTO_Public_TSV_FileList!$A$1:$A$1000,".tsv"),"")),0)),"notfound")</f>
        <v>10.1186%2F1741-7007-5-18_TableS23.tsv</v>
      </c>
      <c r="M471" s="19" t="s">
        <v>1995</v>
      </c>
      <c r="N471" s="19" t="s">
        <v>54</v>
      </c>
      <c r="O471" s="20"/>
      <c r="P471" s="19" t="s">
        <v>55</v>
      </c>
      <c r="Q471" s="20"/>
      <c r="R471" s="20"/>
      <c r="S471" s="20"/>
      <c r="T471" s="20"/>
      <c r="U471" s="20"/>
      <c r="V471" s="20"/>
      <c r="W471" s="19" t="s">
        <v>224</v>
      </c>
      <c r="X471" s="19" t="s">
        <v>1967</v>
      </c>
      <c r="Y471" s="20"/>
      <c r="Z471" s="20"/>
      <c r="AA471" s="19"/>
      <c r="AB471" s="19" t="s">
        <v>1964</v>
      </c>
      <c r="AC471" s="20"/>
      <c r="AD471" s="20"/>
      <c r="AE471" s="19" t="s">
        <v>265</v>
      </c>
      <c r="AF471" s="19"/>
      <c r="AG471" s="20"/>
      <c r="AH471" s="20"/>
    </row>
    <row r="472" spans="1:34" ht="15" customHeight="1" x14ac:dyDescent="0.2">
      <c r="A472" s="19" t="s">
        <v>1959</v>
      </c>
      <c r="B472" s="20"/>
      <c r="C472" s="20"/>
      <c r="D472" s="19" t="s">
        <v>1053</v>
      </c>
      <c r="E472" s="17" t="str">
        <f t="shared" si="73"/>
        <v>Karbowski</v>
      </c>
      <c r="F472" s="17"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2" s="17" t="str">
        <f t="shared" si="74"/>
        <v>2007</v>
      </c>
      <c r="H472" s="17" t="str">
        <f t="shared" si="75"/>
        <v>Karbowski__2007</v>
      </c>
      <c r="I472" s="17" t="str">
        <f t="shared" si="77"/>
        <v>10.1186%2F1741-7007-5-18</v>
      </c>
      <c r="J472" s="17" t="str">
        <f t="shared" si="76"/>
        <v>Karbowski__2007_TableS3</v>
      </c>
      <c r="K472" s="17" t="str">
        <f t="shared" si="72"/>
        <v>10.1186%2F1741-7007-5-18_TableS3</v>
      </c>
      <c r="L472" s="17" t="str">
        <f t="array" ref="L472">IFERROR(INDEX(AUTO_Public_TSV_FileList!$A$1:$A$1000,MATCH(TRUE(),EXACT(K472,IFERROR(_xlfn.TEXTBEFORE(AUTO_Public_TSV_FileList!$A$1:$A$1000,".tsv"),"")),0)),"notfound")</f>
        <v>10.1186%2F1741-7007-5-18_TableS3.tsv</v>
      </c>
      <c r="M472" s="19" t="s">
        <v>1996</v>
      </c>
      <c r="N472" s="19" t="s">
        <v>54</v>
      </c>
      <c r="O472" s="20"/>
      <c r="P472" s="19" t="s">
        <v>55</v>
      </c>
      <c r="Q472" s="20"/>
      <c r="R472" s="20"/>
      <c r="S472" s="20"/>
      <c r="T472" s="20"/>
      <c r="U472" s="20"/>
      <c r="V472" s="20"/>
      <c r="W472" s="19" t="s">
        <v>224</v>
      </c>
      <c r="X472" s="19" t="s">
        <v>1967</v>
      </c>
      <c r="Y472" s="20"/>
      <c r="Z472" s="20"/>
      <c r="AA472" s="19"/>
      <c r="AB472" s="19" t="s">
        <v>1964</v>
      </c>
      <c r="AC472" s="20"/>
      <c r="AD472" s="20"/>
      <c r="AE472" s="19" t="s">
        <v>265</v>
      </c>
      <c r="AF472" s="19"/>
      <c r="AG472" s="20"/>
      <c r="AH472" s="20"/>
    </row>
    <row r="473" spans="1:34" ht="15" customHeight="1" x14ac:dyDescent="0.2">
      <c r="A473" s="19" t="s">
        <v>1959</v>
      </c>
      <c r="B473" s="20"/>
      <c r="C473" s="20"/>
      <c r="D473" s="19" t="s">
        <v>1055</v>
      </c>
      <c r="E473" s="17" t="str">
        <f t="shared" si="73"/>
        <v>Karbowski</v>
      </c>
      <c r="F473" s="17"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3" s="17" t="str">
        <f t="shared" si="74"/>
        <v>2007</v>
      </c>
      <c r="H473" s="17" t="str">
        <f t="shared" si="75"/>
        <v>Karbowski__2007</v>
      </c>
      <c r="I473" s="17" t="str">
        <f t="shared" si="77"/>
        <v>10.1186%2F1741-7007-5-18</v>
      </c>
      <c r="J473" s="17" t="str">
        <f t="shared" si="76"/>
        <v>Karbowski__2007_TableS4</v>
      </c>
      <c r="K473" s="17" t="str">
        <f t="shared" si="72"/>
        <v>10.1186%2F1741-7007-5-18_TableS4</v>
      </c>
      <c r="L473" s="17" t="str">
        <f t="array" ref="L473">IFERROR(INDEX(AUTO_Public_TSV_FileList!$A$1:$A$1000,MATCH(TRUE(),EXACT(K473,IFERROR(_xlfn.TEXTBEFORE(AUTO_Public_TSV_FileList!$A$1:$A$1000,".tsv"),"")),0)),"notfound")</f>
        <v>10.1186%2F1741-7007-5-18_TableS4.tsv</v>
      </c>
      <c r="M473" s="19" t="s">
        <v>1997</v>
      </c>
      <c r="N473" s="19" t="s">
        <v>54</v>
      </c>
      <c r="O473" s="20"/>
      <c r="P473" s="19" t="s">
        <v>55</v>
      </c>
      <c r="Q473" s="20"/>
      <c r="R473" s="20"/>
      <c r="S473" s="20"/>
      <c r="T473" s="20"/>
      <c r="U473" s="20"/>
      <c r="V473" s="20"/>
      <c r="W473" s="19" t="s">
        <v>224</v>
      </c>
      <c r="X473" s="19" t="s">
        <v>1967</v>
      </c>
      <c r="Y473" s="20"/>
      <c r="Z473" s="20"/>
      <c r="AA473" s="19"/>
      <c r="AB473" s="19" t="s">
        <v>1964</v>
      </c>
      <c r="AC473" s="20"/>
      <c r="AD473" s="20"/>
      <c r="AE473" s="19" t="s">
        <v>265</v>
      </c>
      <c r="AF473" s="19"/>
      <c r="AG473" s="20"/>
      <c r="AH473" s="20"/>
    </row>
    <row r="474" spans="1:34" ht="15" customHeight="1" x14ac:dyDescent="0.2">
      <c r="A474" s="19" t="s">
        <v>1959</v>
      </c>
      <c r="B474" s="20"/>
      <c r="C474" s="20"/>
      <c r="D474" s="19" t="s">
        <v>1998</v>
      </c>
      <c r="E474" s="17" t="str">
        <f t="shared" si="73"/>
        <v>Karbowski</v>
      </c>
      <c r="F474" s="17"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4" s="17" t="str">
        <f t="shared" si="74"/>
        <v>2007</v>
      </c>
      <c r="H474" s="17" t="str">
        <f t="shared" si="75"/>
        <v>Karbowski__2007</v>
      </c>
      <c r="I474" s="17" t="str">
        <f t="shared" si="77"/>
        <v>10.1186%2F1741-7007-5-18</v>
      </c>
      <c r="J474" s="17" t="str">
        <f t="shared" si="76"/>
        <v>Karbowski__2007_TableS5</v>
      </c>
      <c r="K474" s="17" t="str">
        <f t="shared" si="72"/>
        <v>10.1186%2F1741-7007-5-18_TableS5</v>
      </c>
      <c r="L474" s="17" t="str">
        <f t="array" ref="L474">IFERROR(INDEX(AUTO_Public_TSV_FileList!$A$1:$A$1000,MATCH(TRUE(),EXACT(K474,IFERROR(_xlfn.TEXTBEFORE(AUTO_Public_TSV_FileList!$A$1:$A$1000,".tsv"),"")),0)),"notfound")</f>
        <v>10.1186%2F1741-7007-5-18_TableS5.tsv</v>
      </c>
      <c r="M474" s="19" t="s">
        <v>1999</v>
      </c>
      <c r="N474" s="19" t="s">
        <v>54</v>
      </c>
      <c r="O474" s="20"/>
      <c r="P474" s="19" t="s">
        <v>55</v>
      </c>
      <c r="Q474" s="20"/>
      <c r="R474" s="20"/>
      <c r="S474" s="20"/>
      <c r="T474" s="20"/>
      <c r="U474" s="20"/>
      <c r="V474" s="20"/>
      <c r="W474" s="19" t="s">
        <v>224</v>
      </c>
      <c r="X474" s="19" t="s">
        <v>1967</v>
      </c>
      <c r="Y474" s="20"/>
      <c r="Z474" s="20"/>
      <c r="AA474" s="19"/>
      <c r="AB474" s="19" t="s">
        <v>1964</v>
      </c>
      <c r="AC474" s="20"/>
      <c r="AD474" s="20"/>
      <c r="AE474" s="19" t="s">
        <v>265</v>
      </c>
      <c r="AF474" s="19"/>
      <c r="AG474" s="20"/>
      <c r="AH474" s="20"/>
    </row>
    <row r="475" spans="1:34" ht="15" customHeight="1" x14ac:dyDescent="0.2">
      <c r="A475" s="19" t="s">
        <v>1959</v>
      </c>
      <c r="B475" s="20"/>
      <c r="C475" s="20"/>
      <c r="D475" s="19" t="s">
        <v>2000</v>
      </c>
      <c r="E475" s="17" t="str">
        <f t="shared" si="73"/>
        <v>Karbowski</v>
      </c>
      <c r="F475" s="17"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5" s="17" t="str">
        <f t="shared" si="74"/>
        <v>2007</v>
      </c>
      <c r="H475" s="17" t="str">
        <f t="shared" si="75"/>
        <v>Karbowski__2007</v>
      </c>
      <c r="I475" s="17" t="str">
        <f t="shared" si="77"/>
        <v>10.1186%2F1741-7007-5-18</v>
      </c>
      <c r="J475" s="17" t="str">
        <f t="shared" si="76"/>
        <v>Karbowski__2007_TableS6</v>
      </c>
      <c r="K475" s="17" t="str">
        <f t="shared" si="72"/>
        <v>10.1186%2F1741-7007-5-18_TableS6</v>
      </c>
      <c r="L475" s="17" t="str">
        <f t="array" ref="L475">IFERROR(INDEX(AUTO_Public_TSV_FileList!$A$1:$A$1000,MATCH(TRUE(),EXACT(K475,IFERROR(_xlfn.TEXTBEFORE(AUTO_Public_TSV_FileList!$A$1:$A$1000,".tsv"),"")),0)),"notfound")</f>
        <v>10.1186%2F1741-7007-5-18_TableS6.tsv</v>
      </c>
      <c r="M475" s="19" t="s">
        <v>2001</v>
      </c>
      <c r="N475" s="19" t="s">
        <v>54</v>
      </c>
      <c r="O475" s="20"/>
      <c r="P475" s="19" t="s">
        <v>55</v>
      </c>
      <c r="Q475" s="20"/>
      <c r="R475" s="20"/>
      <c r="S475" s="20"/>
      <c r="T475" s="20"/>
      <c r="U475" s="20"/>
      <c r="V475" s="20"/>
      <c r="W475" s="19" t="s">
        <v>224</v>
      </c>
      <c r="X475" s="19" t="s">
        <v>1967</v>
      </c>
      <c r="Y475" s="20"/>
      <c r="Z475" s="20"/>
      <c r="AA475" s="19"/>
      <c r="AB475" s="19" t="s">
        <v>1964</v>
      </c>
      <c r="AC475" s="20"/>
      <c r="AD475" s="20"/>
      <c r="AE475" s="19" t="s">
        <v>265</v>
      </c>
      <c r="AF475" s="19"/>
      <c r="AG475" s="20"/>
      <c r="AH475" s="20"/>
    </row>
    <row r="476" spans="1:34" ht="15" customHeight="1" x14ac:dyDescent="0.2">
      <c r="A476" s="19" t="s">
        <v>1959</v>
      </c>
      <c r="B476" s="20"/>
      <c r="C476" s="20"/>
      <c r="D476" s="19" t="s">
        <v>2002</v>
      </c>
      <c r="E476" s="17" t="str">
        <f t="shared" si="73"/>
        <v>Karbowski</v>
      </c>
      <c r="F476" s="17"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6" s="17" t="str">
        <f t="shared" si="74"/>
        <v>2007</v>
      </c>
      <c r="H476" s="17" t="str">
        <f t="shared" si="75"/>
        <v>Karbowski__2007</v>
      </c>
      <c r="I476" s="17" t="str">
        <f t="shared" si="77"/>
        <v>10.1186%2F1741-7007-5-18</v>
      </c>
      <c r="J476" s="17" t="str">
        <f t="shared" si="76"/>
        <v>Karbowski__2007_TableS7</v>
      </c>
      <c r="K476" s="17" t="str">
        <f t="shared" si="72"/>
        <v>10.1186%2F1741-7007-5-18_TableS7</v>
      </c>
      <c r="L476" s="17" t="str">
        <f t="array" ref="L476">IFERROR(INDEX(AUTO_Public_TSV_FileList!$A$1:$A$1000,MATCH(TRUE(),EXACT(K476,IFERROR(_xlfn.TEXTBEFORE(AUTO_Public_TSV_FileList!$A$1:$A$1000,".tsv"),"")),0)),"notfound")</f>
        <v>10.1186%2F1741-7007-5-18_TableS7.tsv</v>
      </c>
      <c r="M476" s="19" t="s">
        <v>2003</v>
      </c>
      <c r="N476" s="19" t="s">
        <v>54</v>
      </c>
      <c r="O476" s="20"/>
      <c r="P476" s="19" t="s">
        <v>55</v>
      </c>
      <c r="Q476" s="20"/>
      <c r="R476" s="20"/>
      <c r="S476" s="20"/>
      <c r="T476" s="20"/>
      <c r="U476" s="20"/>
      <c r="V476" s="20"/>
      <c r="W476" s="19" t="s">
        <v>224</v>
      </c>
      <c r="X476" s="19" t="s">
        <v>1967</v>
      </c>
      <c r="Y476" s="20"/>
      <c r="Z476" s="20"/>
      <c r="AA476" s="19"/>
      <c r="AB476" s="19" t="s">
        <v>1964</v>
      </c>
      <c r="AC476" s="20"/>
      <c r="AD476" s="20"/>
      <c r="AE476" s="19" t="s">
        <v>265</v>
      </c>
      <c r="AF476" s="19"/>
      <c r="AG476" s="20"/>
      <c r="AH476" s="20"/>
    </row>
    <row r="477" spans="1:34" ht="15" customHeight="1" x14ac:dyDescent="0.2">
      <c r="A477" s="19" t="s">
        <v>1959</v>
      </c>
      <c r="B477" s="20"/>
      <c r="C477" s="20"/>
      <c r="D477" s="19" t="s">
        <v>2004</v>
      </c>
      <c r="E477" s="17" t="str">
        <f t="shared" si="73"/>
        <v>Karbowski</v>
      </c>
      <c r="F477" s="17"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7" s="17" t="str">
        <f t="shared" si="74"/>
        <v>2007</v>
      </c>
      <c r="H477" s="17" t="str">
        <f t="shared" si="75"/>
        <v>Karbowski__2007</v>
      </c>
      <c r="I477" s="17" t="str">
        <f t="shared" si="77"/>
        <v>10.1186%2F1741-7007-5-18</v>
      </c>
      <c r="J477" s="17" t="str">
        <f t="shared" si="76"/>
        <v>Karbowski__2007_TableS8</v>
      </c>
      <c r="K477" s="17" t="str">
        <f t="shared" si="72"/>
        <v>10.1186%2F1741-7007-5-18_TableS8</v>
      </c>
      <c r="L477" s="17" t="str">
        <f t="array" ref="L477">IFERROR(INDEX(AUTO_Public_TSV_FileList!$A$1:$A$1000,MATCH(TRUE(),EXACT(K477,IFERROR(_xlfn.TEXTBEFORE(AUTO_Public_TSV_FileList!$A$1:$A$1000,".tsv"),"")),0)),"notfound")</f>
        <v>10.1186%2F1741-7007-5-18_TableS8.tsv</v>
      </c>
      <c r="M477" s="19" t="s">
        <v>2005</v>
      </c>
      <c r="N477" s="19" t="s">
        <v>54</v>
      </c>
      <c r="O477" s="20"/>
      <c r="P477" s="19" t="s">
        <v>55</v>
      </c>
      <c r="Q477" s="20"/>
      <c r="R477" s="20"/>
      <c r="S477" s="20"/>
      <c r="T477" s="20"/>
      <c r="U477" s="20"/>
      <c r="V477" s="20"/>
      <c r="W477" s="19" t="s">
        <v>224</v>
      </c>
      <c r="X477" s="19" t="s">
        <v>1967</v>
      </c>
      <c r="Y477" s="20"/>
      <c r="Z477" s="20"/>
      <c r="AA477" s="19"/>
      <c r="AB477" s="19" t="s">
        <v>1964</v>
      </c>
      <c r="AC477" s="20"/>
      <c r="AD477" s="20"/>
      <c r="AE477" s="19" t="s">
        <v>265</v>
      </c>
      <c r="AF477" s="19"/>
      <c r="AG477" s="20"/>
      <c r="AH477" s="20"/>
    </row>
    <row r="478" spans="1:34" ht="15" customHeight="1" x14ac:dyDescent="0.2">
      <c r="A478" s="19" t="s">
        <v>1959</v>
      </c>
      <c r="B478" s="20"/>
      <c r="C478" s="20"/>
      <c r="D478" s="19" t="s">
        <v>2006</v>
      </c>
      <c r="E478" s="17" t="str">
        <f t="shared" si="73"/>
        <v>Karbowski</v>
      </c>
      <c r="F478" s="17"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8" s="17" t="str">
        <f t="shared" si="74"/>
        <v>2007</v>
      </c>
      <c r="H478" s="17" t="str">
        <f t="shared" si="75"/>
        <v>Karbowski__2007</v>
      </c>
      <c r="I478" s="17" t="str">
        <f t="shared" si="77"/>
        <v>10.1186%2F1741-7007-5-18</v>
      </c>
      <c r="J478" s="17" t="str">
        <f t="shared" si="76"/>
        <v>Karbowski__2007_TableS9</v>
      </c>
      <c r="K478" s="17" t="str">
        <f t="shared" si="72"/>
        <v>10.1186%2F1741-7007-5-18_TableS9</v>
      </c>
      <c r="L478" s="17" t="str">
        <f t="array" ref="L478">IFERROR(INDEX(AUTO_Public_TSV_FileList!$A$1:$A$1000,MATCH(TRUE(),EXACT(K478,IFERROR(_xlfn.TEXTBEFORE(AUTO_Public_TSV_FileList!$A$1:$A$1000,".tsv"),"")),0)),"notfound")</f>
        <v>10.1186%2F1741-7007-5-18_TableS9.tsv</v>
      </c>
      <c r="M478" s="19" t="s">
        <v>2007</v>
      </c>
      <c r="N478" s="19" t="s">
        <v>54</v>
      </c>
      <c r="O478" s="20"/>
      <c r="P478" s="19" t="s">
        <v>55</v>
      </c>
      <c r="Q478" s="20"/>
      <c r="R478" s="20"/>
      <c r="S478" s="20"/>
      <c r="T478" s="20"/>
      <c r="U478" s="20"/>
      <c r="V478" s="20"/>
      <c r="W478" s="19" t="s">
        <v>224</v>
      </c>
      <c r="X478" s="19" t="s">
        <v>1967</v>
      </c>
      <c r="Y478" s="20"/>
      <c r="Z478" s="20"/>
      <c r="AA478" s="19"/>
      <c r="AB478" s="19" t="s">
        <v>1964</v>
      </c>
      <c r="AC478" s="20"/>
      <c r="AD478" s="20"/>
      <c r="AE478" s="19" t="s">
        <v>265</v>
      </c>
      <c r="AF478" s="19"/>
      <c r="AG478" s="20"/>
      <c r="AH478" s="20"/>
    </row>
    <row r="479" spans="1:34" ht="15" customHeight="1" x14ac:dyDescent="0.2">
      <c r="A479" s="19" t="s">
        <v>2008</v>
      </c>
      <c r="B479" s="20"/>
      <c r="C479" s="20"/>
      <c r="D479" s="19" t="s">
        <v>77</v>
      </c>
      <c r="E479" s="17" t="str">
        <f t="shared" si="73"/>
        <v>Karl</v>
      </c>
      <c r="F479" s="17"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17" t="str">
        <f t="shared" si="74"/>
        <v>2024</v>
      </c>
      <c r="H479" s="17" t="str">
        <f t="shared" si="75"/>
        <v>Karl_etal_2024</v>
      </c>
      <c r="I479" s="17" t="str">
        <f t="shared" si="77"/>
        <v>10.1002%2Fcne.25669</v>
      </c>
      <c r="J479" s="17" t="str">
        <f t="shared" si="76"/>
        <v>Karl_etal_2024_TABLE1</v>
      </c>
      <c r="K479" s="17" t="str">
        <f t="shared" si="72"/>
        <v>10.1002%2Fcne.25669_TABLE1</v>
      </c>
      <c r="L479" s="17" t="str">
        <f t="array" ref="L479">IFERROR(INDEX(AUTO_Public_TSV_FileList!$A$1:$A$1000,MATCH(TRUE(),EXACT(K479,IFERROR(_xlfn.TEXTBEFORE(AUTO_Public_TSV_FileList!$A$1:$A$1000,".tsv"),"")),0)),"notfound")</f>
        <v>10.1002%2Fcne.25669_TABLE1.tsv</v>
      </c>
      <c r="M479" s="19" t="s">
        <v>2009</v>
      </c>
      <c r="N479" s="19" t="s">
        <v>54</v>
      </c>
      <c r="O479" s="20"/>
      <c r="P479" s="19" t="s">
        <v>55</v>
      </c>
      <c r="Q479" s="20"/>
      <c r="R479" s="20"/>
      <c r="S479" s="20"/>
      <c r="T479" s="20"/>
      <c r="U479" s="20"/>
      <c r="V479" s="20"/>
      <c r="W479" s="19" t="s">
        <v>224</v>
      </c>
      <c r="X479" s="19" t="s">
        <v>2010</v>
      </c>
      <c r="Y479" s="20"/>
      <c r="Z479" s="20"/>
      <c r="AA479" s="20"/>
      <c r="AB479" s="19" t="s">
        <v>2010</v>
      </c>
      <c r="AC479" s="20"/>
      <c r="AD479" s="20"/>
      <c r="AE479" s="19" t="s">
        <v>50</v>
      </c>
      <c r="AF479" s="19"/>
      <c r="AG479" s="20"/>
      <c r="AH479" s="20"/>
    </row>
    <row r="480" spans="1:34" ht="15" customHeight="1" x14ac:dyDescent="0.2">
      <c r="A480" s="20" t="s">
        <v>2011</v>
      </c>
      <c r="B480" s="20"/>
      <c r="C480" s="20"/>
      <c r="D480" s="20" t="s">
        <v>2012</v>
      </c>
      <c r="E480" s="18" t="str">
        <f t="shared" si="73"/>
        <v>Karlsen</v>
      </c>
      <c r="F480" s="18"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80" s="18" t="str">
        <f t="shared" si="74"/>
        <v>2011</v>
      </c>
      <c r="H480" s="18" t="str">
        <f t="shared" si="75"/>
        <v>Karlsen_Pakkenberg_2011</v>
      </c>
      <c r="I480" s="18" t="str">
        <f t="shared" si="77"/>
        <v>10.1093%2Fcercor%2Fbhr033</v>
      </c>
      <c r="J480" s="18" t="str">
        <f t="shared" si="76"/>
        <v>Karlsen_Pakkenberg_2011_authordata(groupmeans)</v>
      </c>
      <c r="K480" s="18" t="str">
        <f>I480 &amp; "_" &amp; SUBSTITUTE(SUBSTITUTE(SUBSTITUTE(D480,CHAR(160),""), " ", ""), "_", "")</f>
        <v>10.1093%2Fcercor%2Fbhr033_authordata(groupmeans)</v>
      </c>
      <c r="L480" s="17" t="str">
        <f t="array" ref="L480">IFERROR(INDEX(AUTO_Public_TSV_FileList!$A$1:$A$1000,MATCH(TRUE(),EXACT(K480,IFERROR(_xlfn.TEXTBEFORE(AUTO_Public_TSV_FileList!$A$1:$A$1000,".tsv"),"")),0)),"notfound")</f>
        <v>10.1093%2Fcercor%2Fbhr033_authordata(groupmeans).tsv</v>
      </c>
      <c r="M480" s="20" t="s">
        <v>2013</v>
      </c>
      <c r="N480" s="20" t="s">
        <v>2014</v>
      </c>
      <c r="O480" s="20"/>
      <c r="P480" s="20" t="s">
        <v>55</v>
      </c>
      <c r="Q480" s="20" t="s">
        <v>2015</v>
      </c>
      <c r="R480" s="20"/>
      <c r="S480" s="20"/>
      <c r="T480" s="20"/>
      <c r="U480" s="20"/>
      <c r="V480" s="20"/>
      <c r="W480" s="20" t="s">
        <v>1210</v>
      </c>
      <c r="X480" s="20"/>
      <c r="Y480" s="20"/>
      <c r="Z480" s="20" t="s">
        <v>2016</v>
      </c>
      <c r="AA480" s="20" t="s">
        <v>376</v>
      </c>
      <c r="AB480" s="20" t="s">
        <v>2017</v>
      </c>
      <c r="AC480" s="20" t="s">
        <v>2018</v>
      </c>
      <c r="AD480" s="20"/>
      <c r="AE480" s="20" t="s">
        <v>50</v>
      </c>
      <c r="AF480" s="20"/>
      <c r="AG480" s="20"/>
      <c r="AH480" s="20"/>
    </row>
    <row r="481" spans="1:34" ht="15" customHeight="1" x14ac:dyDescent="0.2">
      <c r="A481" s="20" t="s">
        <v>2011</v>
      </c>
      <c r="B481" s="20"/>
      <c r="C481" s="20"/>
      <c r="D481" s="20" t="s">
        <v>2019</v>
      </c>
      <c r="E481" s="18" t="str">
        <f t="shared" si="73"/>
        <v>Karlsen</v>
      </c>
      <c r="F481" s="18"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81" s="18" t="str">
        <f t="shared" si="74"/>
        <v>2011</v>
      </c>
      <c r="H481" s="18" t="str">
        <f t="shared" si="75"/>
        <v>Karlsen_Pakkenberg_2011</v>
      </c>
      <c r="I481" s="18" t="str">
        <f t="shared" si="77"/>
        <v>10.1093%2Fcercor%2Fbhr033</v>
      </c>
      <c r="J481" s="18" t="str">
        <f t="shared" si="76"/>
        <v>Karlsen_Pakkenberg_2011_reportedvalues</v>
      </c>
      <c r="K481" s="18" t="str">
        <f>I481 &amp; "_" &amp; SUBSTITUTE(SUBSTITUTE(SUBSTITUTE(D481,CHAR(160),""), " ", ""), "_", "")</f>
        <v>10.1093%2Fcercor%2Fbhr033_reportedvalues</v>
      </c>
      <c r="L481" s="17" t="str">
        <f t="array" ref="L481">IFERROR(INDEX(AUTO_Public_TSV_FileList!$A$1:$A$1000,MATCH(TRUE(),EXACT(K481,IFERROR(_xlfn.TEXTBEFORE(AUTO_Public_TSV_FileList!$A$1:$A$1000,".tsv"),"")),0)),"notfound")</f>
        <v>10.1093%2Fcercor%2Fbhr033_reportedvalues.tsv</v>
      </c>
      <c r="M481" s="20" t="s">
        <v>2020</v>
      </c>
      <c r="N481" s="20" t="s">
        <v>2021</v>
      </c>
      <c r="O481" s="20"/>
      <c r="P481" s="20" t="s">
        <v>55</v>
      </c>
      <c r="Q481" s="20" t="s">
        <v>2022</v>
      </c>
      <c r="R481" s="20"/>
      <c r="S481" s="20"/>
      <c r="T481" s="20"/>
      <c r="U481" s="20"/>
      <c r="V481" s="20"/>
      <c r="W481" s="20" t="s">
        <v>1210</v>
      </c>
      <c r="X481" s="20"/>
      <c r="Y481" s="20"/>
      <c r="Z481" s="20" t="s">
        <v>2023</v>
      </c>
      <c r="AA481" s="20" t="s">
        <v>376</v>
      </c>
      <c r="AB481" s="20" t="s">
        <v>2017</v>
      </c>
      <c r="AC481" s="20" t="s">
        <v>2018</v>
      </c>
      <c r="AD481" s="20"/>
      <c r="AE481" s="20" t="s">
        <v>50</v>
      </c>
      <c r="AF481" s="20"/>
      <c r="AG481" s="20"/>
      <c r="AH481" s="20"/>
    </row>
    <row r="482" spans="1:34" ht="15" customHeight="1" x14ac:dyDescent="0.2">
      <c r="A482" s="20" t="s">
        <v>2011</v>
      </c>
      <c r="B482" s="20"/>
      <c r="C482" s="20"/>
      <c r="D482" s="20" t="s">
        <v>160</v>
      </c>
      <c r="E482" s="18" t="str">
        <f t="shared" si="73"/>
        <v>Karlsen</v>
      </c>
      <c r="F482" s="18"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82" s="18" t="str">
        <f t="shared" si="74"/>
        <v>2011</v>
      </c>
      <c r="H482" s="18" t="str">
        <f t="shared" si="75"/>
        <v>Karlsen_Pakkenberg_2011</v>
      </c>
      <c r="I482" s="18" t="str">
        <f t="shared" si="77"/>
        <v>10.1093%2Fcercor%2Fbhr033</v>
      </c>
      <c r="J482" s="18" t="str">
        <f t="shared" si="76"/>
        <v>Karlsen_Pakkenberg_2011_Table2</v>
      </c>
      <c r="K482" s="18" t="str">
        <f>I482 &amp; "_" &amp; SUBSTITUTE(SUBSTITUTE(SUBSTITUTE(D482,CHAR(160),""), " ", ""), "_", "")</f>
        <v>10.1093%2Fcercor%2Fbhr033_Table2</v>
      </c>
      <c r="L482" s="17" t="str">
        <f t="array" ref="L482">IFERROR(INDEX(AUTO_Public_TSV_FileList!$A$1:$A$1000,MATCH(TRUE(),EXACT(K482,IFERROR(_xlfn.TEXTBEFORE(AUTO_Public_TSV_FileList!$A$1:$A$1000,".tsv"),"")),0)),"notfound")</f>
        <v>10.1093%2Fcercor%2Fbhr033_Table2.tsv</v>
      </c>
      <c r="M482" s="20" t="s">
        <v>2024</v>
      </c>
      <c r="N482" s="20" t="s">
        <v>2025</v>
      </c>
      <c r="O482" s="20"/>
      <c r="P482" s="20" t="s">
        <v>55</v>
      </c>
      <c r="Q482" s="20" t="s">
        <v>2026</v>
      </c>
      <c r="R482" s="20"/>
      <c r="S482" s="20"/>
      <c r="T482" s="20"/>
      <c r="U482" s="20"/>
      <c r="V482" s="20"/>
      <c r="W482" s="20" t="s">
        <v>1210</v>
      </c>
      <c r="X482" s="20"/>
      <c r="Y482" s="20"/>
      <c r="Z482" s="20" t="s">
        <v>2027</v>
      </c>
      <c r="AA482" s="20" t="s">
        <v>2028</v>
      </c>
      <c r="AB482" s="20" t="s">
        <v>177</v>
      </c>
      <c r="AC482" s="20" t="s">
        <v>2018</v>
      </c>
      <c r="AD482" s="20"/>
      <c r="AE482" s="20" t="s">
        <v>50</v>
      </c>
      <c r="AF482" s="20"/>
      <c r="AG482" s="20"/>
      <c r="AH482" s="20"/>
    </row>
    <row r="483" spans="1:34" ht="15" customHeight="1" x14ac:dyDescent="0.2">
      <c r="A483" s="20" t="s">
        <v>2029</v>
      </c>
      <c r="B483" s="20"/>
      <c r="C483" s="20"/>
      <c r="D483" s="20" t="s">
        <v>110</v>
      </c>
      <c r="E483" s="17" t="str">
        <f t="shared" si="73"/>
        <v>Kaskan</v>
      </c>
      <c r="F483" s="17"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17" t="str">
        <f t="shared" si="74"/>
        <v>2005</v>
      </c>
      <c r="H483" s="17" t="str">
        <f t="shared" si="75"/>
        <v>Kaskan_etal_2005</v>
      </c>
      <c r="I483" s="17" t="str">
        <f t="shared" si="77"/>
        <v>10.1098%2Frspb.2004.2925</v>
      </c>
      <c r="J483" s="17" t="str">
        <f t="shared" si="76"/>
        <v>Kaskan_etal_2005_Figure2</v>
      </c>
      <c r="K483" s="17" t="str">
        <f t="shared" ref="K483:K514" si="78">I483 &amp; "_" &amp; SUBSTITUTE(SUBSTITUTE(SUBSTITUTE(D483,CHAR(160),"")," ",""),"_","")</f>
        <v>10.1098%2Frspb.2004.2925_Figure2</v>
      </c>
      <c r="L483" s="17" t="str">
        <f t="array" ref="L483">IFERROR(INDEX(AUTO_Public_TSV_FileList!$A$1:$A$1000,MATCH(TRUE(),EXACT(K483,IFERROR(_xlfn.TEXTBEFORE(AUTO_Public_TSV_FileList!$A$1:$A$1000,".tsv"),"")),0)),"notfound")</f>
        <v>notfound</v>
      </c>
      <c r="M483" s="20" t="s">
        <v>2030</v>
      </c>
      <c r="N483" s="20"/>
      <c r="O483" s="20"/>
      <c r="P483" s="20"/>
      <c r="Q483" s="20"/>
      <c r="R483" s="20"/>
      <c r="S483" s="20"/>
      <c r="T483" s="20"/>
      <c r="U483" s="20"/>
      <c r="V483" s="20"/>
      <c r="W483" s="20"/>
      <c r="X483" s="20"/>
      <c r="Y483" s="20"/>
      <c r="Z483" s="20"/>
      <c r="AA483" s="20"/>
      <c r="AB483" s="20"/>
      <c r="AC483" s="20"/>
      <c r="AD483" s="20"/>
      <c r="AE483" s="20"/>
      <c r="AF483" s="20"/>
      <c r="AG483" s="20"/>
      <c r="AH483" s="20"/>
    </row>
    <row r="484" spans="1:34" ht="15" customHeight="1" x14ac:dyDescent="0.2">
      <c r="A484" s="20" t="s">
        <v>2029</v>
      </c>
      <c r="B484" s="20"/>
      <c r="C484" s="20"/>
      <c r="D484" s="20" t="s">
        <v>120</v>
      </c>
      <c r="E484" s="17" t="str">
        <f t="shared" si="73"/>
        <v>Kaskan</v>
      </c>
      <c r="F484" s="17"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17" t="str">
        <f t="shared" si="74"/>
        <v>2005</v>
      </c>
      <c r="H484" s="17" t="str">
        <f t="shared" si="75"/>
        <v>Kaskan_etal_2005</v>
      </c>
      <c r="I484" s="17" t="str">
        <f t="shared" si="77"/>
        <v>10.1098%2Frspb.2004.2925</v>
      </c>
      <c r="J484" s="17" t="str">
        <f t="shared" si="76"/>
        <v>Kaskan_etal_2005_Figure3</v>
      </c>
      <c r="K484" s="17" t="str">
        <f t="shared" si="78"/>
        <v>10.1098%2Frspb.2004.2925_Figure3</v>
      </c>
      <c r="L484" s="17" t="str">
        <f t="array" ref="L484">IFERROR(INDEX(AUTO_Public_TSV_FileList!$A$1:$A$1000,MATCH(TRUE(),EXACT(K484,IFERROR(_xlfn.TEXTBEFORE(AUTO_Public_TSV_FileList!$A$1:$A$1000,".tsv"),"")),0)),"notfound")</f>
        <v>notfound</v>
      </c>
      <c r="M484" s="20" t="s">
        <v>2031</v>
      </c>
      <c r="N484" s="20"/>
      <c r="O484" s="20"/>
      <c r="P484" s="20"/>
      <c r="Q484" s="20"/>
      <c r="R484" s="20"/>
      <c r="S484" s="20"/>
      <c r="T484" s="20"/>
      <c r="U484" s="20"/>
      <c r="V484" s="20"/>
      <c r="W484" s="20"/>
      <c r="X484" s="20"/>
      <c r="Y484" s="20"/>
      <c r="Z484" s="20"/>
      <c r="AA484" s="20"/>
      <c r="AB484" s="20"/>
      <c r="AC484" s="20"/>
      <c r="AD484" s="20"/>
      <c r="AE484" s="20"/>
      <c r="AF484" s="20"/>
      <c r="AG484" s="20"/>
      <c r="AH484" s="20"/>
    </row>
    <row r="485" spans="1:34" ht="15" customHeight="1" x14ac:dyDescent="0.2">
      <c r="A485" s="20" t="s">
        <v>2029</v>
      </c>
      <c r="B485" s="20"/>
      <c r="C485" s="20"/>
      <c r="D485" s="20" t="s">
        <v>1857</v>
      </c>
      <c r="E485" s="17" t="str">
        <f t="shared" si="73"/>
        <v>Kaskan</v>
      </c>
      <c r="F485" s="17"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17" t="str">
        <f t="shared" si="74"/>
        <v>2005</v>
      </c>
      <c r="H485" s="17" t="str">
        <f t="shared" si="75"/>
        <v>Kaskan_etal_2005</v>
      </c>
      <c r="I485" s="17" t="str">
        <f t="shared" si="77"/>
        <v>10.1098%2Frspb.2004.2925</v>
      </c>
      <c r="J485" s="17" t="str">
        <f t="shared" si="76"/>
        <v>Kaskan_etal_2005_References</v>
      </c>
      <c r="K485" s="17" t="str">
        <f t="shared" si="78"/>
        <v>10.1098%2Frspb.2004.2925_References</v>
      </c>
      <c r="L485" s="17" t="str">
        <f t="array" ref="L485">IFERROR(INDEX(AUTO_Public_TSV_FileList!$A$1:$A$1000,MATCH(TRUE(),EXACT(K485,IFERROR(_xlfn.TEXTBEFORE(AUTO_Public_TSV_FileList!$A$1:$A$1000,".tsv"),"")),0)),"notfound")</f>
        <v>notfound</v>
      </c>
      <c r="M485" s="20"/>
      <c r="N485" s="20"/>
      <c r="O485" s="20"/>
      <c r="P485" s="20"/>
      <c r="Q485" s="20"/>
      <c r="R485" s="20"/>
      <c r="S485" s="20"/>
      <c r="T485" s="20"/>
      <c r="U485" s="20"/>
      <c r="V485" s="20"/>
      <c r="W485" s="20"/>
      <c r="X485" s="20"/>
      <c r="Y485" s="20"/>
      <c r="Z485" s="20"/>
      <c r="AA485" s="20"/>
      <c r="AB485" s="20"/>
      <c r="AC485" s="20"/>
      <c r="AD485" s="20"/>
      <c r="AE485" s="20"/>
      <c r="AF485" s="20"/>
      <c r="AG485" s="20"/>
      <c r="AH485" s="20"/>
    </row>
    <row r="486" spans="1:34" ht="15" customHeight="1" x14ac:dyDescent="0.2">
      <c r="A486" s="20" t="s">
        <v>2029</v>
      </c>
      <c r="B486" s="20"/>
      <c r="C486" s="20"/>
      <c r="D486" s="20" t="s">
        <v>390</v>
      </c>
      <c r="E486" s="17" t="str">
        <f t="shared" si="73"/>
        <v>Kaskan</v>
      </c>
      <c r="F486" s="17"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17" t="str">
        <f t="shared" si="74"/>
        <v>2005</v>
      </c>
      <c r="H486" s="17" t="str">
        <f t="shared" si="75"/>
        <v>Kaskan_etal_2005</v>
      </c>
      <c r="I486" s="17" t="str">
        <f t="shared" si="77"/>
        <v>10.1098%2Frspb.2004.2925</v>
      </c>
      <c r="J486" s="17" t="str">
        <f t="shared" si="76"/>
        <v>Kaskan_etal_2005_TableS1</v>
      </c>
      <c r="K486" s="17" t="str">
        <f t="shared" si="78"/>
        <v>10.1098%2Frspb.2004.2925_TableS1</v>
      </c>
      <c r="L486" s="17" t="str">
        <f t="array" ref="L486">IFERROR(INDEX(AUTO_Public_TSV_FileList!$A$1:$A$1000,MATCH(TRUE(),EXACT(K486,IFERROR(_xlfn.TEXTBEFORE(AUTO_Public_TSV_FileList!$A$1:$A$1000,".tsv"),"")),0)),"notfound")</f>
        <v>10.1098%2Frspb.2004.2925_TableS1.tsv</v>
      </c>
      <c r="M486" s="20" t="s">
        <v>2032</v>
      </c>
      <c r="N486" s="20"/>
      <c r="O486" s="20"/>
      <c r="P486" s="20"/>
      <c r="Q486" s="20"/>
      <c r="R486" s="20"/>
      <c r="S486" s="20"/>
      <c r="T486" s="20"/>
      <c r="U486" s="20"/>
      <c r="V486" s="20"/>
      <c r="W486" s="20"/>
      <c r="X486" s="20"/>
      <c r="Y486" s="20"/>
      <c r="Z486" s="20"/>
      <c r="AA486" s="20"/>
      <c r="AB486" s="20"/>
      <c r="AC486" s="20"/>
      <c r="AD486" s="20"/>
      <c r="AE486" s="20"/>
      <c r="AF486" s="20"/>
      <c r="AG486" s="20"/>
      <c r="AH486" s="20"/>
    </row>
    <row r="487" spans="1:34" ht="15" customHeight="1" x14ac:dyDescent="0.2">
      <c r="A487" s="20" t="s">
        <v>2029</v>
      </c>
      <c r="B487" s="20"/>
      <c r="C487" s="20"/>
      <c r="D487" s="20" t="s">
        <v>1051</v>
      </c>
      <c r="E487" s="17" t="str">
        <f t="shared" si="73"/>
        <v>Kaskan</v>
      </c>
      <c r="F487" s="17"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17" t="str">
        <f t="shared" si="74"/>
        <v>2005</v>
      </c>
      <c r="H487" s="17" t="str">
        <f t="shared" si="75"/>
        <v>Kaskan_etal_2005</v>
      </c>
      <c r="I487" s="17" t="str">
        <f t="shared" si="77"/>
        <v>10.1098%2Frspb.2004.2925</v>
      </c>
      <c r="J487" s="17" t="str">
        <f t="shared" si="76"/>
        <v>Kaskan_etal_2005_TableS2</v>
      </c>
      <c r="K487" s="17" t="str">
        <f t="shared" si="78"/>
        <v>10.1098%2Frspb.2004.2925_TableS2</v>
      </c>
      <c r="L487" s="17" t="str">
        <f t="array" ref="L487">IFERROR(INDEX(AUTO_Public_TSV_FileList!$A$1:$A$1000,MATCH(TRUE(),EXACT(K487,IFERROR(_xlfn.TEXTBEFORE(AUTO_Public_TSV_FileList!$A$1:$A$1000,".tsv"),"")),0)),"notfound")</f>
        <v>notfound</v>
      </c>
      <c r="M487" s="20" t="s">
        <v>2033</v>
      </c>
      <c r="N487" s="20"/>
      <c r="O487" s="20"/>
      <c r="P487" s="20"/>
      <c r="Q487" s="20"/>
      <c r="R487" s="20"/>
      <c r="S487" s="20"/>
      <c r="T487" s="20"/>
      <c r="U487" s="20"/>
      <c r="V487" s="20"/>
      <c r="W487" s="20"/>
      <c r="X487" s="20"/>
      <c r="Y487" s="20"/>
      <c r="Z487" s="20"/>
      <c r="AA487" s="20"/>
      <c r="AB487" s="20"/>
      <c r="AC487" s="20"/>
      <c r="AD487" s="20"/>
      <c r="AE487" s="20"/>
      <c r="AF487" s="20"/>
      <c r="AG487" s="20"/>
      <c r="AH487" s="20"/>
    </row>
    <row r="488" spans="1:34" ht="15" customHeight="1" x14ac:dyDescent="0.2">
      <c r="A488" s="20" t="s">
        <v>2034</v>
      </c>
      <c r="B488" s="20"/>
      <c r="C488" s="20"/>
      <c r="D488" s="20" t="s">
        <v>2035</v>
      </c>
      <c r="E488" s="18" t="str">
        <f t="shared" si="73"/>
        <v>Kastak</v>
      </c>
      <c r="F488" s="17"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488" s="17" t="str">
        <f t="shared" si="74"/>
        <v>1998</v>
      </c>
      <c r="H488" s="18" t="str">
        <f t="shared" si="75"/>
        <v>Kastak_Schusterman_1998</v>
      </c>
      <c r="I488" s="18" t="str">
        <f>_xlfn.LET(_xlpm.doi,IF(C488&lt;&gt;"",C488,_xlfn.TEXTAFTER(A488,"https://doi.org/")),SUBSTITUTE(SUBSTITUTE(SUBSTITUTE(SUBSTITUTE(_xlpm.doi,"/","%2F"),":","%3A"),"&lt;","%3C"),"&gt;","%3E"))</f>
        <v>10.1121%2F1.421367</v>
      </c>
      <c r="J488" s="18" t="str">
        <f t="shared" si="76"/>
        <v>Kastak_Schusterman_1998_TablesI-II</v>
      </c>
      <c r="K488" s="17" t="str">
        <f t="shared" si="78"/>
        <v>10.1121%2F1.421367_TablesI-II</v>
      </c>
      <c r="L488" s="17" t="str">
        <f t="array" ref="L488">IFERROR(INDEX(AUTO_Public_TSV_FileList!$A$1:$A$1000,MATCH(TRUE(),EXACT(K488,IFERROR(_xlfn.TEXTBEFORE(AUTO_Public_TSV_FileList!$A$1:$A$1000,".tsv"),"")),0)),"notfound")</f>
        <v>10.1121%2F1.421367_TablesI-II.tsv</v>
      </c>
      <c r="M488" s="20" t="s">
        <v>2036</v>
      </c>
      <c r="N488" s="20" t="s">
        <v>88</v>
      </c>
      <c r="O488" s="20" t="s">
        <v>1879</v>
      </c>
      <c r="P488" s="20" t="s">
        <v>90</v>
      </c>
      <c r="Q488" s="20"/>
      <c r="R488" s="20"/>
      <c r="S488" s="20"/>
      <c r="T488" s="20"/>
      <c r="U488" s="20"/>
      <c r="V488" s="20"/>
      <c r="W488" s="20"/>
      <c r="X488" s="20"/>
      <c r="Y488" s="20"/>
      <c r="Z488" s="20"/>
      <c r="AA488" s="20"/>
      <c r="AB488" s="20"/>
      <c r="AC488" s="20"/>
      <c r="AD488" s="20"/>
      <c r="AE488" s="20"/>
      <c r="AF488" s="20"/>
      <c r="AG488" s="20"/>
      <c r="AH488" s="20"/>
    </row>
    <row r="489" spans="1:34" ht="15" customHeight="1" x14ac:dyDescent="0.2">
      <c r="A489" s="20" t="s">
        <v>2037</v>
      </c>
      <c r="B489" s="20"/>
      <c r="C489" s="20"/>
      <c r="D489" s="20" t="s">
        <v>500</v>
      </c>
      <c r="E489" s="18" t="str">
        <f t="shared" si="73"/>
        <v>Kastak</v>
      </c>
      <c r="F489" s="17"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489" s="17" t="str">
        <f t="shared" si="74"/>
        <v>1999</v>
      </c>
      <c r="H489" s="18" t="str">
        <f t="shared" si="75"/>
        <v>Kastak_Schusterman_1999</v>
      </c>
      <c r="I489" s="18" t="str">
        <f>_xlfn.LET(_xlpm.doi,IF(C489&lt;&gt;"",C489,_xlfn.TEXTAFTER(A489,"https://doi.org/")),SUBSTITUTE(SUBSTITUTE(SUBSTITUTE(SUBSTITUTE(_xlpm.doi,"/","%2F"),":","%3A"),"&lt;","%3C"),"&gt;","%3E"))</f>
        <v>10.1139%2Fz99-151</v>
      </c>
      <c r="J489" s="18" t="str">
        <f t="shared" si="76"/>
        <v>Kastak_Schusterman_1999_ResultsText</v>
      </c>
      <c r="K489" s="17" t="str">
        <f t="shared" si="78"/>
        <v>10.1139%2Fz99-151_ResultsText</v>
      </c>
      <c r="L489" s="17" t="str">
        <f t="array" ref="L489">IFERROR(INDEX(AUTO_Public_TSV_FileList!$A$1:$A$1000,MATCH(TRUE(),EXACT(K489,IFERROR(_xlfn.TEXTBEFORE(AUTO_Public_TSV_FileList!$A$1:$A$1000,".tsv"),"")),0)),"notfound")</f>
        <v>10.1139%2Fz99-151_ResultsText.tsv</v>
      </c>
      <c r="M489" s="20" t="s">
        <v>2038</v>
      </c>
      <c r="N489" s="20" t="s">
        <v>659</v>
      </c>
      <c r="O489" s="20" t="s">
        <v>1879</v>
      </c>
      <c r="P489" s="20" t="s">
        <v>90</v>
      </c>
      <c r="Q489" s="20"/>
      <c r="R489" s="20"/>
      <c r="S489" s="20"/>
      <c r="T489" s="20"/>
      <c r="U489" s="20"/>
      <c r="V489" s="20"/>
      <c r="W489" s="20"/>
      <c r="X489" s="20"/>
      <c r="Y489" s="20"/>
      <c r="Z489" s="20"/>
      <c r="AA489" s="20"/>
      <c r="AB489" s="20"/>
      <c r="AC489" s="20"/>
      <c r="AD489" s="20"/>
      <c r="AE489" s="20"/>
      <c r="AF489" s="20"/>
      <c r="AG489" s="20"/>
      <c r="AH489" s="20"/>
    </row>
    <row r="490" spans="1:34" ht="15" customHeight="1" x14ac:dyDescent="0.2">
      <c r="A490" s="20" t="s">
        <v>2039</v>
      </c>
      <c r="B490" s="20" t="s">
        <v>493</v>
      </c>
      <c r="C490" s="20"/>
      <c r="D490" s="20" t="s">
        <v>439</v>
      </c>
      <c r="E490" s="18" t="str">
        <f t="shared" si="73"/>
        <v>Kastelein</v>
      </c>
      <c r="F490" s="17"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17" t="str">
        <f t="shared" si="74"/>
        <v>2010</v>
      </c>
      <c r="H490" s="18" t="str">
        <f t="shared" si="75"/>
        <v>Kastelein_etal_2010_b</v>
      </c>
      <c r="I490" s="18" t="str">
        <f>_xlfn.LET(_xlpm.doi,IF(C490&lt;&gt;"",C490,_xlfn.TEXTAFTER(A490,"https://doi.org/")),SUBSTITUTE(SUBSTITUTE(SUBSTITUTE(SUBSTITUTE(_xlpm.doi,"/","%2F"),":","%3A"),"&lt;","%3C"),"&gt;","%3E"))</f>
        <v>10.1121%2F1.3493435</v>
      </c>
      <c r="J490" s="18" t="str">
        <f t="shared" si="76"/>
        <v>Kastelein_etal_2010_b_TableI</v>
      </c>
      <c r="K490" s="17" t="str">
        <f t="shared" si="78"/>
        <v>10.1121%2F1.3493435_TableI</v>
      </c>
      <c r="L490" s="17" t="str">
        <f t="array" ref="L490">IFERROR(INDEX(AUTO_Public_TSV_FileList!$A$1:$A$1000,MATCH(TRUE(),EXACT(K490,IFERROR(_xlfn.TEXTBEFORE(AUTO_Public_TSV_FileList!$A$1:$A$1000,".tsv"),"")),0)),"notfound")</f>
        <v>10.1121%2F1.3493435_TableI.tsv</v>
      </c>
      <c r="M490" s="20" t="s">
        <v>2040</v>
      </c>
      <c r="N490" s="20" t="s">
        <v>88</v>
      </c>
      <c r="O490" s="20" t="s">
        <v>1879</v>
      </c>
      <c r="P490" s="20" t="s">
        <v>90</v>
      </c>
      <c r="Q490" s="20"/>
      <c r="R490" s="20"/>
      <c r="S490" s="20"/>
      <c r="T490" s="20"/>
      <c r="U490" s="20"/>
      <c r="V490" s="20"/>
      <c r="W490" s="20"/>
      <c r="X490" s="20"/>
      <c r="Y490" s="20"/>
      <c r="Z490" s="20"/>
      <c r="AA490" s="20"/>
      <c r="AB490" s="20"/>
      <c r="AC490" s="20"/>
      <c r="AD490" s="20"/>
      <c r="AE490" s="20"/>
      <c r="AF490" s="20"/>
      <c r="AG490" s="20"/>
      <c r="AH490" s="20"/>
    </row>
    <row r="491" spans="1:34" ht="15" customHeight="1" x14ac:dyDescent="0.2">
      <c r="A491" s="19" t="s">
        <v>2041</v>
      </c>
      <c r="B491" s="20"/>
      <c r="C491" s="19" t="s">
        <v>2042</v>
      </c>
      <c r="D491" s="19" t="s">
        <v>2043</v>
      </c>
      <c r="E491" s="17" t="str">
        <f t="shared" si="73"/>
        <v>Kaufman</v>
      </c>
      <c r="F491" s="17"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1" s="17" t="str">
        <f t="shared" si="74"/>
        <v>2004</v>
      </c>
      <c r="H491" s="17" t="str">
        <f t="shared" si="75"/>
        <v>Kaufman__2004</v>
      </c>
      <c r="I491" s="17" t="str">
        <f t="shared" ref="I491:I508" si="79">_xlfn.LET(
_xlpm.doi,IF(C491&lt;&gt;"",C491,_xlfn.TEXTAFTER(A491,"https://doi.org/")),
SUBSTITUTE(
SUBSTITUTE(
SUBSTITUTE(
SUBSTITUTE(
_xlpm.doi,
"/","%2F"),
":","%3A"),
"&lt;","%3C"),
"&gt;","%3E")
)</f>
        <v>UMI%3A3147447</v>
      </c>
      <c r="J491" s="17" t="str">
        <f t="shared" si="76"/>
        <v>Kaufman__2004_TableA1</v>
      </c>
      <c r="K491" s="17" t="str">
        <f t="shared" si="78"/>
        <v>UMI%3A3147447_TableA1</v>
      </c>
      <c r="L491" s="17" t="str">
        <f t="array" ref="L491">IFERROR(INDEX(AUTO_Public_TSV_FileList!$A$1:$A$1000,MATCH(TRUE(),EXACT(K491,IFERROR(_xlfn.TEXTBEFORE(AUTO_Public_TSV_FileList!$A$1:$A$1000,".tsv"),"")),0)),"notfound")</f>
        <v>UMI%3A3147447_TableA1.tsv</v>
      </c>
      <c r="M491" s="19" t="s">
        <v>2044</v>
      </c>
      <c r="N491" s="19" t="s">
        <v>54</v>
      </c>
      <c r="O491" s="20"/>
      <c r="P491" s="19" t="s">
        <v>55</v>
      </c>
      <c r="Q491" s="19"/>
      <c r="R491" s="20"/>
      <c r="S491" s="20"/>
      <c r="T491" s="20"/>
      <c r="U491" s="20"/>
      <c r="V491" s="20"/>
      <c r="W491" s="19" t="s">
        <v>224</v>
      </c>
      <c r="X491" s="19" t="s">
        <v>2045</v>
      </c>
      <c r="Y491" s="20"/>
      <c r="Z491" s="20"/>
      <c r="AA491" s="20"/>
      <c r="AB491" s="19" t="s">
        <v>307</v>
      </c>
      <c r="AC491" s="20"/>
      <c r="AD491" s="20"/>
      <c r="AE491" s="19" t="s">
        <v>265</v>
      </c>
      <c r="AF491" s="19"/>
      <c r="AG491" s="20"/>
      <c r="AH491" s="20"/>
    </row>
    <row r="492" spans="1:34" ht="15.75" customHeight="1" x14ac:dyDescent="0.2">
      <c r="A492" s="19" t="s">
        <v>2041</v>
      </c>
      <c r="B492" s="20"/>
      <c r="C492" s="19" t="s">
        <v>2042</v>
      </c>
      <c r="D492" s="19" t="s">
        <v>2046</v>
      </c>
      <c r="E492" s="17" t="str">
        <f t="shared" si="73"/>
        <v>Kaufman</v>
      </c>
      <c r="F492" s="17"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2" s="17" t="str">
        <f t="shared" si="74"/>
        <v>2004</v>
      </c>
      <c r="H492" s="17" t="str">
        <f t="shared" si="75"/>
        <v>Kaufman__2004</v>
      </c>
      <c r="I492" s="17" t="str">
        <f t="shared" si="79"/>
        <v>UMI%3A3147447</v>
      </c>
      <c r="J492" s="17" t="str">
        <f t="shared" si="76"/>
        <v>Kaufman__2004_TableA10</v>
      </c>
      <c r="K492" s="17" t="str">
        <f t="shared" si="78"/>
        <v>UMI%3A3147447_TableA10</v>
      </c>
      <c r="L492" s="17" t="str">
        <f t="array" ref="L492">IFERROR(INDEX(AUTO_Public_TSV_FileList!$A$1:$A$1000,MATCH(TRUE(),EXACT(K492,IFERROR(_xlfn.TEXTBEFORE(AUTO_Public_TSV_FileList!$A$1:$A$1000,".tsv"),"")),0)),"notfound")</f>
        <v>UMI%3A3147447_TableA10.tsv</v>
      </c>
      <c r="M492" s="19" t="s">
        <v>2047</v>
      </c>
      <c r="N492" s="19" t="s">
        <v>54</v>
      </c>
      <c r="O492" s="20"/>
      <c r="P492" s="19" t="s">
        <v>55</v>
      </c>
      <c r="Q492" s="19"/>
      <c r="R492" s="20"/>
      <c r="S492" s="20"/>
      <c r="T492" s="20"/>
      <c r="U492" s="20"/>
      <c r="V492" s="20"/>
      <c r="W492" s="19" t="s">
        <v>224</v>
      </c>
      <c r="X492" s="19" t="s">
        <v>2045</v>
      </c>
      <c r="Y492" s="20"/>
      <c r="Z492" s="20"/>
      <c r="AA492" s="20"/>
      <c r="AB492" s="19" t="s">
        <v>307</v>
      </c>
      <c r="AC492" s="20"/>
      <c r="AD492" s="20"/>
      <c r="AE492" s="19" t="s">
        <v>265</v>
      </c>
      <c r="AF492" s="19"/>
      <c r="AG492" s="20"/>
      <c r="AH492" s="20"/>
    </row>
    <row r="493" spans="1:34" ht="15.75" customHeight="1" x14ac:dyDescent="0.2">
      <c r="A493" s="19" t="s">
        <v>2041</v>
      </c>
      <c r="B493" s="20"/>
      <c r="C493" s="19" t="s">
        <v>2042</v>
      </c>
      <c r="D493" s="19" t="s">
        <v>2048</v>
      </c>
      <c r="E493" s="17" t="str">
        <f t="shared" si="73"/>
        <v>Kaufman</v>
      </c>
      <c r="F493" s="17"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17" t="str">
        <f t="shared" si="74"/>
        <v>2004</v>
      </c>
      <c r="H493" s="17" t="str">
        <f t="shared" si="75"/>
        <v>Kaufman__2004</v>
      </c>
      <c r="I493" s="17" t="str">
        <f t="shared" si="79"/>
        <v>UMI%3A3147447</v>
      </c>
      <c r="J493" s="17" t="str">
        <f t="shared" si="76"/>
        <v>Kaufman__2004_TableA11</v>
      </c>
      <c r="K493" s="17" t="str">
        <f t="shared" si="78"/>
        <v>UMI%3A3147447_TableA11</v>
      </c>
      <c r="L493" s="17" t="str">
        <f t="array" ref="L493">IFERROR(INDEX(AUTO_Public_TSV_FileList!$A$1:$A$1000,MATCH(TRUE(),EXACT(K493,IFERROR(_xlfn.TEXTBEFORE(AUTO_Public_TSV_FileList!$A$1:$A$1000,".tsv"),"")),0)),"notfound")</f>
        <v>UMI%3A3147447_TableA11.tsv</v>
      </c>
      <c r="M493" s="19" t="s">
        <v>2049</v>
      </c>
      <c r="N493" s="19" t="s">
        <v>54</v>
      </c>
      <c r="O493" s="20"/>
      <c r="P493" s="19" t="s">
        <v>55</v>
      </c>
      <c r="Q493" s="19"/>
      <c r="R493" s="20"/>
      <c r="S493" s="20"/>
      <c r="T493" s="20"/>
      <c r="U493" s="20"/>
      <c r="V493" s="20"/>
      <c r="W493" s="19" t="s">
        <v>224</v>
      </c>
      <c r="X493" s="19" t="s">
        <v>2045</v>
      </c>
      <c r="Y493" s="20"/>
      <c r="Z493" s="20"/>
      <c r="AA493" s="20"/>
      <c r="AB493" s="19" t="s">
        <v>307</v>
      </c>
      <c r="AC493" s="20"/>
      <c r="AD493" s="20"/>
      <c r="AE493" s="19" t="s">
        <v>265</v>
      </c>
      <c r="AF493" s="19"/>
      <c r="AG493" s="20"/>
      <c r="AH493" s="20"/>
    </row>
    <row r="494" spans="1:34" ht="15.75" customHeight="1" x14ac:dyDescent="0.2">
      <c r="A494" s="19" t="s">
        <v>2041</v>
      </c>
      <c r="B494" s="20"/>
      <c r="C494" s="19" t="s">
        <v>2042</v>
      </c>
      <c r="D494" s="19" t="s">
        <v>2050</v>
      </c>
      <c r="E494" s="17" t="str">
        <f t="shared" si="73"/>
        <v>Kaufman</v>
      </c>
      <c r="F494" s="17"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4" s="17" t="str">
        <f t="shared" si="74"/>
        <v>2004</v>
      </c>
      <c r="H494" s="17" t="str">
        <f t="shared" si="75"/>
        <v>Kaufman__2004</v>
      </c>
      <c r="I494" s="17" t="str">
        <f t="shared" si="79"/>
        <v>UMI%3A3147447</v>
      </c>
      <c r="J494" s="17" t="str">
        <f t="shared" si="76"/>
        <v>Kaufman__2004_TableA12</v>
      </c>
      <c r="K494" s="17" t="str">
        <f t="shared" si="78"/>
        <v>UMI%3A3147447_TableA12</v>
      </c>
      <c r="L494" s="17" t="str">
        <f t="array" ref="L494">IFERROR(INDEX(AUTO_Public_TSV_FileList!$A$1:$A$1000,MATCH(TRUE(),EXACT(K494,IFERROR(_xlfn.TEXTBEFORE(AUTO_Public_TSV_FileList!$A$1:$A$1000,".tsv"),"")),0)),"notfound")</f>
        <v>UMI%3A3147447_TableA12.tsv</v>
      </c>
      <c r="M494" s="19" t="s">
        <v>2051</v>
      </c>
      <c r="N494" s="19" t="s">
        <v>54</v>
      </c>
      <c r="O494" s="20"/>
      <c r="P494" s="19" t="s">
        <v>55</v>
      </c>
      <c r="Q494" s="19"/>
      <c r="R494" s="20"/>
      <c r="S494" s="20"/>
      <c r="T494" s="20"/>
      <c r="U494" s="20"/>
      <c r="V494" s="20"/>
      <c r="W494" s="19" t="s">
        <v>224</v>
      </c>
      <c r="X494" s="19" t="s">
        <v>2045</v>
      </c>
      <c r="Y494" s="20"/>
      <c r="Z494" s="20"/>
      <c r="AA494" s="20"/>
      <c r="AB494" s="19" t="s">
        <v>307</v>
      </c>
      <c r="AC494" s="20"/>
      <c r="AD494" s="20"/>
      <c r="AE494" s="19" t="s">
        <v>265</v>
      </c>
      <c r="AF494" s="19"/>
      <c r="AG494" s="20"/>
      <c r="AH494" s="20"/>
    </row>
    <row r="495" spans="1:34" ht="15.75" customHeight="1" x14ac:dyDescent="0.2">
      <c r="A495" s="19" t="s">
        <v>2041</v>
      </c>
      <c r="B495" s="20"/>
      <c r="C495" s="19" t="s">
        <v>2042</v>
      </c>
      <c r="D495" s="19" t="s">
        <v>2052</v>
      </c>
      <c r="E495" s="17" t="str">
        <f t="shared" si="73"/>
        <v>Kaufman</v>
      </c>
      <c r="F495" s="17"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5" s="17" t="str">
        <f t="shared" si="74"/>
        <v>2004</v>
      </c>
      <c r="H495" s="17" t="str">
        <f t="shared" si="75"/>
        <v>Kaufman__2004</v>
      </c>
      <c r="I495" s="17" t="str">
        <f t="shared" si="79"/>
        <v>UMI%3A3147447</v>
      </c>
      <c r="J495" s="17" t="str">
        <f t="shared" si="76"/>
        <v>Kaufman__2004_TableA13</v>
      </c>
      <c r="K495" s="17" t="str">
        <f t="shared" si="78"/>
        <v>UMI%3A3147447_TableA13</v>
      </c>
      <c r="L495" s="17" t="str">
        <f t="array" ref="L495">IFERROR(INDEX(AUTO_Public_TSV_FileList!$A$1:$A$1000,MATCH(TRUE(),EXACT(K495,IFERROR(_xlfn.TEXTBEFORE(AUTO_Public_TSV_FileList!$A$1:$A$1000,".tsv"),"")),0)),"notfound")</f>
        <v>UMI%3A3147447_TableA13.tsv</v>
      </c>
      <c r="M495" s="19" t="s">
        <v>2053</v>
      </c>
      <c r="N495" s="19" t="s">
        <v>54</v>
      </c>
      <c r="O495" s="20"/>
      <c r="P495" s="19" t="s">
        <v>55</v>
      </c>
      <c r="Q495" s="19"/>
      <c r="R495" s="20"/>
      <c r="S495" s="20"/>
      <c r="T495" s="20"/>
      <c r="U495" s="20"/>
      <c r="V495" s="20"/>
      <c r="W495" s="19" t="s">
        <v>224</v>
      </c>
      <c r="X495" s="19" t="s">
        <v>2045</v>
      </c>
      <c r="Y495" s="20"/>
      <c r="Z495" s="20"/>
      <c r="AA495" s="20"/>
      <c r="AB495" s="19" t="s">
        <v>307</v>
      </c>
      <c r="AC495" s="20"/>
      <c r="AD495" s="20"/>
      <c r="AE495" s="19" t="s">
        <v>265</v>
      </c>
      <c r="AF495" s="19"/>
      <c r="AG495" s="20"/>
      <c r="AH495" s="20"/>
    </row>
    <row r="496" spans="1:34" ht="15.75" customHeight="1" x14ac:dyDescent="0.2">
      <c r="A496" s="19" t="s">
        <v>2041</v>
      </c>
      <c r="B496" s="20"/>
      <c r="C496" s="19" t="s">
        <v>2042</v>
      </c>
      <c r="D496" s="19" t="s">
        <v>2054</v>
      </c>
      <c r="E496" s="17" t="str">
        <f t="shared" si="73"/>
        <v>Kaufman</v>
      </c>
      <c r="F496" s="17"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6" s="17" t="str">
        <f t="shared" si="74"/>
        <v>2004</v>
      </c>
      <c r="H496" s="17" t="str">
        <f t="shared" si="75"/>
        <v>Kaufman__2004</v>
      </c>
      <c r="I496" s="17" t="str">
        <f t="shared" si="79"/>
        <v>UMI%3A3147447</v>
      </c>
      <c r="J496" s="17" t="str">
        <f t="shared" si="76"/>
        <v>Kaufman__2004_TableA14</v>
      </c>
      <c r="K496" s="17" t="str">
        <f t="shared" si="78"/>
        <v>UMI%3A3147447_TableA14</v>
      </c>
      <c r="L496" s="17" t="str">
        <f t="array" ref="L496">IFERROR(INDEX(AUTO_Public_TSV_FileList!$A$1:$A$1000,MATCH(TRUE(),EXACT(K496,IFERROR(_xlfn.TEXTBEFORE(AUTO_Public_TSV_FileList!$A$1:$A$1000,".tsv"),"")),0)),"notfound")</f>
        <v>UMI%3A3147447_TableA14.tsv</v>
      </c>
      <c r="M496" s="19" t="s">
        <v>2055</v>
      </c>
      <c r="N496" s="19" t="s">
        <v>54</v>
      </c>
      <c r="O496" s="20"/>
      <c r="P496" s="19" t="s">
        <v>55</v>
      </c>
      <c r="Q496" s="19"/>
      <c r="R496" s="20"/>
      <c r="S496" s="20"/>
      <c r="T496" s="20"/>
      <c r="U496" s="20"/>
      <c r="V496" s="20"/>
      <c r="W496" s="19" t="s">
        <v>224</v>
      </c>
      <c r="X496" s="19" t="s">
        <v>2045</v>
      </c>
      <c r="Y496" s="20"/>
      <c r="Z496" s="20"/>
      <c r="AA496" s="20"/>
      <c r="AB496" s="19" t="s">
        <v>307</v>
      </c>
      <c r="AC496" s="20"/>
      <c r="AD496" s="20"/>
      <c r="AE496" s="19" t="s">
        <v>265</v>
      </c>
      <c r="AF496" s="19"/>
      <c r="AG496" s="20"/>
      <c r="AH496" s="20"/>
    </row>
    <row r="497" spans="1:34" ht="15.75" customHeight="1" x14ac:dyDescent="0.2">
      <c r="A497" s="19" t="s">
        <v>2041</v>
      </c>
      <c r="B497" s="20"/>
      <c r="C497" s="19" t="s">
        <v>2042</v>
      </c>
      <c r="D497" s="19" t="s">
        <v>2056</v>
      </c>
      <c r="E497" s="17" t="str">
        <f t="shared" si="73"/>
        <v>Kaufman</v>
      </c>
      <c r="F497" s="17"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7" s="17" t="str">
        <f t="shared" si="74"/>
        <v>2004</v>
      </c>
      <c r="H497" s="17" t="str">
        <f t="shared" si="75"/>
        <v>Kaufman__2004</v>
      </c>
      <c r="I497" s="17" t="str">
        <f t="shared" si="79"/>
        <v>UMI%3A3147447</v>
      </c>
      <c r="J497" s="17" t="str">
        <f t="shared" si="76"/>
        <v>Kaufman__2004_TableA15</v>
      </c>
      <c r="K497" s="17" t="str">
        <f t="shared" si="78"/>
        <v>UMI%3A3147447_TableA15</v>
      </c>
      <c r="L497" s="17" t="str">
        <f t="array" ref="L497">IFERROR(INDEX(AUTO_Public_TSV_FileList!$A$1:$A$1000,MATCH(TRUE(),EXACT(K497,IFERROR(_xlfn.TEXTBEFORE(AUTO_Public_TSV_FileList!$A$1:$A$1000,".tsv"),"")),0)),"notfound")</f>
        <v>UMI%3A3147447_TableA15.tsv</v>
      </c>
      <c r="M497" s="19" t="s">
        <v>2057</v>
      </c>
      <c r="N497" s="19" t="s">
        <v>54</v>
      </c>
      <c r="O497" s="20"/>
      <c r="P497" s="19" t="s">
        <v>55</v>
      </c>
      <c r="Q497" s="19"/>
      <c r="R497" s="20"/>
      <c r="S497" s="20"/>
      <c r="T497" s="20"/>
      <c r="U497" s="20"/>
      <c r="V497" s="20"/>
      <c r="W497" s="19" t="s">
        <v>224</v>
      </c>
      <c r="X497" s="19" t="s">
        <v>2045</v>
      </c>
      <c r="Y497" s="20"/>
      <c r="Z497" s="20"/>
      <c r="AA497" s="20"/>
      <c r="AB497" s="19" t="s">
        <v>307</v>
      </c>
      <c r="AC497" s="20"/>
      <c r="AD497" s="20"/>
      <c r="AE497" s="19" t="s">
        <v>265</v>
      </c>
      <c r="AF497" s="19"/>
      <c r="AG497" s="20"/>
      <c r="AH497" s="20"/>
    </row>
    <row r="498" spans="1:34" ht="15.75" customHeight="1" x14ac:dyDescent="0.2">
      <c r="A498" s="19" t="s">
        <v>2041</v>
      </c>
      <c r="B498" s="20"/>
      <c r="C498" s="19" t="s">
        <v>2042</v>
      </c>
      <c r="D498" s="19" t="s">
        <v>2058</v>
      </c>
      <c r="E498" s="17" t="str">
        <f t="shared" si="73"/>
        <v>Kaufman</v>
      </c>
      <c r="F498" s="17"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8" s="17" t="str">
        <f t="shared" si="74"/>
        <v>2004</v>
      </c>
      <c r="H498" s="17" t="str">
        <f t="shared" si="75"/>
        <v>Kaufman__2004</v>
      </c>
      <c r="I498" s="17" t="str">
        <f t="shared" si="79"/>
        <v>UMI%3A3147447</v>
      </c>
      <c r="J498" s="17" t="str">
        <f t="shared" si="76"/>
        <v>Kaufman__2004_TableA2</v>
      </c>
      <c r="K498" s="17" t="str">
        <f t="shared" si="78"/>
        <v>UMI%3A3147447_TableA2</v>
      </c>
      <c r="L498" s="17" t="str">
        <f t="array" ref="L498">IFERROR(INDEX(AUTO_Public_TSV_FileList!$A$1:$A$1000,MATCH(TRUE(),EXACT(K498,IFERROR(_xlfn.TEXTBEFORE(AUTO_Public_TSV_FileList!$A$1:$A$1000,".tsv"),"")),0)),"notfound")</f>
        <v>UMI%3A3147447_TableA2.tsv</v>
      </c>
      <c r="M498" s="19" t="s">
        <v>2059</v>
      </c>
      <c r="N498" s="19" t="s">
        <v>54</v>
      </c>
      <c r="O498" s="20"/>
      <c r="P498" s="19" t="s">
        <v>55</v>
      </c>
      <c r="Q498" s="19"/>
      <c r="R498" s="20"/>
      <c r="S498" s="20"/>
      <c r="T498" s="20"/>
      <c r="U498" s="20"/>
      <c r="V498" s="20"/>
      <c r="W498" s="19" t="s">
        <v>224</v>
      </c>
      <c r="X498" s="19" t="s">
        <v>2045</v>
      </c>
      <c r="Y498" s="20"/>
      <c r="Z498" s="20"/>
      <c r="AA498" s="20"/>
      <c r="AB498" s="19" t="s">
        <v>307</v>
      </c>
      <c r="AC498" s="20"/>
      <c r="AD498" s="20"/>
      <c r="AE498" s="19" t="s">
        <v>265</v>
      </c>
      <c r="AF498" s="19"/>
      <c r="AG498" s="20"/>
      <c r="AH498" s="20"/>
    </row>
    <row r="499" spans="1:34" ht="15.75" customHeight="1" x14ac:dyDescent="0.2">
      <c r="A499" s="19" t="s">
        <v>2041</v>
      </c>
      <c r="B499" s="20"/>
      <c r="C499" s="19" t="s">
        <v>2042</v>
      </c>
      <c r="D499" s="19" t="s">
        <v>2060</v>
      </c>
      <c r="E499" s="17" t="str">
        <f t="shared" si="73"/>
        <v>Kaufman</v>
      </c>
      <c r="F499" s="17"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9" s="17" t="str">
        <f t="shared" si="74"/>
        <v>2004</v>
      </c>
      <c r="H499" s="17" t="str">
        <f t="shared" si="75"/>
        <v>Kaufman__2004</v>
      </c>
      <c r="I499" s="17" t="str">
        <f t="shared" si="79"/>
        <v>UMI%3A3147447</v>
      </c>
      <c r="J499" s="17" t="str">
        <f t="shared" si="76"/>
        <v>Kaufman__2004_TableA3</v>
      </c>
      <c r="K499" s="17" t="str">
        <f t="shared" si="78"/>
        <v>UMI%3A3147447_TableA3</v>
      </c>
      <c r="L499" s="17" t="str">
        <f t="array" ref="L499">IFERROR(INDEX(AUTO_Public_TSV_FileList!$A$1:$A$1000,MATCH(TRUE(),EXACT(K499,IFERROR(_xlfn.TEXTBEFORE(AUTO_Public_TSV_FileList!$A$1:$A$1000,".tsv"),"")),0)),"notfound")</f>
        <v>UMI%3A3147447_TableA3.tsv</v>
      </c>
      <c r="M499" s="19" t="s">
        <v>2061</v>
      </c>
      <c r="N499" s="19" t="s">
        <v>54</v>
      </c>
      <c r="O499" s="20"/>
      <c r="P499" s="19" t="s">
        <v>55</v>
      </c>
      <c r="Q499" s="19"/>
      <c r="R499" s="20"/>
      <c r="S499" s="20"/>
      <c r="T499" s="20"/>
      <c r="U499" s="20"/>
      <c r="V499" s="20"/>
      <c r="W499" s="19" t="s">
        <v>224</v>
      </c>
      <c r="X499" s="19" t="s">
        <v>2045</v>
      </c>
      <c r="Y499" s="20"/>
      <c r="Z499" s="20"/>
      <c r="AA499" s="20"/>
      <c r="AB499" s="19" t="s">
        <v>307</v>
      </c>
      <c r="AC499" s="20"/>
      <c r="AD499" s="20"/>
      <c r="AE499" s="19" t="s">
        <v>265</v>
      </c>
      <c r="AF499" s="19"/>
      <c r="AG499" s="20"/>
      <c r="AH499" s="20"/>
    </row>
    <row r="500" spans="1:34" ht="15.75" customHeight="1" x14ac:dyDescent="0.2">
      <c r="A500" s="19" t="s">
        <v>2041</v>
      </c>
      <c r="B500" s="20"/>
      <c r="C500" s="19" t="s">
        <v>2042</v>
      </c>
      <c r="D500" s="19" t="s">
        <v>2062</v>
      </c>
      <c r="E500" s="17" t="str">
        <f t="shared" si="73"/>
        <v>Kaufman</v>
      </c>
      <c r="F500" s="17"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0" s="17" t="str">
        <f t="shared" si="74"/>
        <v>2004</v>
      </c>
      <c r="H500" s="17" t="str">
        <f t="shared" si="75"/>
        <v>Kaufman__2004</v>
      </c>
      <c r="I500" s="17" t="str">
        <f t="shared" si="79"/>
        <v>UMI%3A3147447</v>
      </c>
      <c r="J500" s="17" t="str">
        <f t="shared" si="76"/>
        <v>Kaufman__2004_TableA4</v>
      </c>
      <c r="K500" s="17" t="str">
        <f t="shared" si="78"/>
        <v>UMI%3A3147447_TableA4</v>
      </c>
      <c r="L500" s="17" t="str">
        <f t="array" ref="L500">IFERROR(INDEX(AUTO_Public_TSV_FileList!$A$1:$A$1000,MATCH(TRUE(),EXACT(K500,IFERROR(_xlfn.TEXTBEFORE(AUTO_Public_TSV_FileList!$A$1:$A$1000,".tsv"),"")),0)),"notfound")</f>
        <v>UMI%3A3147447_TableA4.tsv</v>
      </c>
      <c r="M500" s="19" t="s">
        <v>2063</v>
      </c>
      <c r="N500" s="19" t="s">
        <v>54</v>
      </c>
      <c r="O500" s="20"/>
      <c r="P500" s="19" t="s">
        <v>55</v>
      </c>
      <c r="Q500" s="19"/>
      <c r="R500" s="20"/>
      <c r="S500" s="20"/>
      <c r="T500" s="20"/>
      <c r="U500" s="20"/>
      <c r="V500" s="20"/>
      <c r="W500" s="19" t="s">
        <v>224</v>
      </c>
      <c r="X500" s="19" t="s">
        <v>2045</v>
      </c>
      <c r="Y500" s="20"/>
      <c r="Z500" s="20"/>
      <c r="AA500" s="20"/>
      <c r="AB500" s="19" t="s">
        <v>307</v>
      </c>
      <c r="AC500" s="20"/>
      <c r="AD500" s="20"/>
      <c r="AE500" s="19" t="s">
        <v>265</v>
      </c>
      <c r="AF500" s="19"/>
      <c r="AG500" s="20"/>
      <c r="AH500" s="20"/>
    </row>
    <row r="501" spans="1:34" ht="15.75" customHeight="1" x14ac:dyDescent="0.2">
      <c r="A501" s="19" t="s">
        <v>2041</v>
      </c>
      <c r="B501" s="20"/>
      <c r="C501" s="19" t="s">
        <v>2042</v>
      </c>
      <c r="D501" s="19" t="s">
        <v>2064</v>
      </c>
      <c r="E501" s="17" t="str">
        <f t="shared" si="73"/>
        <v>Kaufman</v>
      </c>
      <c r="F501" s="17"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1" s="17" t="str">
        <f t="shared" si="74"/>
        <v>2004</v>
      </c>
      <c r="H501" s="17" t="str">
        <f t="shared" si="75"/>
        <v>Kaufman__2004</v>
      </c>
      <c r="I501" s="17" t="str">
        <f t="shared" si="79"/>
        <v>UMI%3A3147447</v>
      </c>
      <c r="J501" s="17" t="str">
        <f t="shared" si="76"/>
        <v>Kaufman__2004_TableA5</v>
      </c>
      <c r="K501" s="17" t="str">
        <f t="shared" si="78"/>
        <v>UMI%3A3147447_TableA5</v>
      </c>
      <c r="L501" s="17" t="str">
        <f t="array" ref="L501">IFERROR(INDEX(AUTO_Public_TSV_FileList!$A$1:$A$1000,MATCH(TRUE(),EXACT(K501,IFERROR(_xlfn.TEXTBEFORE(AUTO_Public_TSV_FileList!$A$1:$A$1000,".tsv"),"")),0)),"notfound")</f>
        <v>UMI%3A3147447_TableA5.tsv</v>
      </c>
      <c r="M501" s="19" t="s">
        <v>2065</v>
      </c>
      <c r="N501" s="19" t="s">
        <v>54</v>
      </c>
      <c r="O501" s="20"/>
      <c r="P501" s="19" t="s">
        <v>55</v>
      </c>
      <c r="Q501" s="19"/>
      <c r="R501" s="20"/>
      <c r="S501" s="20"/>
      <c r="T501" s="20"/>
      <c r="U501" s="20"/>
      <c r="V501" s="20"/>
      <c r="W501" s="19" t="s">
        <v>224</v>
      </c>
      <c r="X501" s="19" t="s">
        <v>2045</v>
      </c>
      <c r="Y501" s="20"/>
      <c r="Z501" s="20"/>
      <c r="AA501" s="20"/>
      <c r="AB501" s="19" t="s">
        <v>307</v>
      </c>
      <c r="AC501" s="20"/>
      <c r="AD501" s="20"/>
      <c r="AE501" s="19" t="s">
        <v>265</v>
      </c>
      <c r="AF501" s="19"/>
      <c r="AG501" s="20"/>
      <c r="AH501" s="20"/>
    </row>
    <row r="502" spans="1:34" ht="15" customHeight="1" x14ac:dyDescent="0.2">
      <c r="A502" s="19" t="s">
        <v>2041</v>
      </c>
      <c r="B502" s="20"/>
      <c r="C502" s="19" t="s">
        <v>2042</v>
      </c>
      <c r="D502" s="19" t="s">
        <v>2066</v>
      </c>
      <c r="E502" s="17" t="str">
        <f t="shared" si="73"/>
        <v>Kaufman</v>
      </c>
      <c r="F502" s="17"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2" s="17" t="str">
        <f t="shared" si="74"/>
        <v>2004</v>
      </c>
      <c r="H502" s="17" t="str">
        <f t="shared" si="75"/>
        <v>Kaufman__2004</v>
      </c>
      <c r="I502" s="17" t="str">
        <f t="shared" si="79"/>
        <v>UMI%3A3147447</v>
      </c>
      <c r="J502" s="17" t="str">
        <f t="shared" si="76"/>
        <v>Kaufman__2004_TableA6</v>
      </c>
      <c r="K502" s="17" t="str">
        <f t="shared" si="78"/>
        <v>UMI%3A3147447_TableA6</v>
      </c>
      <c r="L502" s="17" t="str">
        <f t="array" ref="L502">IFERROR(INDEX(AUTO_Public_TSV_FileList!$A$1:$A$1000,MATCH(TRUE(),EXACT(K502,IFERROR(_xlfn.TEXTBEFORE(AUTO_Public_TSV_FileList!$A$1:$A$1000,".tsv"),"")),0)),"notfound")</f>
        <v>UMI%3A3147447_TableA6.tsv</v>
      </c>
      <c r="M502" s="19" t="s">
        <v>2067</v>
      </c>
      <c r="N502" s="19" t="s">
        <v>54</v>
      </c>
      <c r="O502" s="20"/>
      <c r="P502" s="19" t="s">
        <v>55</v>
      </c>
      <c r="Q502" s="19"/>
      <c r="R502" s="20"/>
      <c r="S502" s="20"/>
      <c r="T502" s="20"/>
      <c r="U502" s="20"/>
      <c r="V502" s="20"/>
      <c r="W502" s="19" t="s">
        <v>224</v>
      </c>
      <c r="X502" s="19" t="s">
        <v>2045</v>
      </c>
      <c r="Y502" s="20"/>
      <c r="Z502" s="20"/>
      <c r="AA502" s="20"/>
      <c r="AB502" s="19" t="s">
        <v>307</v>
      </c>
      <c r="AC502" s="20"/>
      <c r="AD502" s="20"/>
      <c r="AE502" s="19" t="s">
        <v>265</v>
      </c>
      <c r="AF502" s="19"/>
      <c r="AG502" s="20"/>
      <c r="AH502" s="20"/>
    </row>
    <row r="503" spans="1:34" ht="15" customHeight="1" x14ac:dyDescent="0.2">
      <c r="A503" s="19" t="s">
        <v>2041</v>
      </c>
      <c r="B503" s="20"/>
      <c r="C503" s="19" t="s">
        <v>2042</v>
      </c>
      <c r="D503" s="19" t="s">
        <v>2068</v>
      </c>
      <c r="E503" s="17" t="str">
        <f t="shared" si="73"/>
        <v>Kaufman</v>
      </c>
      <c r="F503" s="17"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3" s="17" t="str">
        <f t="shared" si="74"/>
        <v>2004</v>
      </c>
      <c r="H503" s="17" t="str">
        <f t="shared" si="75"/>
        <v>Kaufman__2004</v>
      </c>
      <c r="I503" s="17" t="str">
        <f t="shared" si="79"/>
        <v>UMI%3A3147447</v>
      </c>
      <c r="J503" s="17" t="str">
        <f t="shared" si="76"/>
        <v>Kaufman__2004_TableA7</v>
      </c>
      <c r="K503" s="17" t="str">
        <f t="shared" si="78"/>
        <v>UMI%3A3147447_TableA7</v>
      </c>
      <c r="L503" s="17" t="str">
        <f t="array" ref="L503">IFERROR(INDEX(AUTO_Public_TSV_FileList!$A$1:$A$1000,MATCH(TRUE(),EXACT(K503,IFERROR(_xlfn.TEXTBEFORE(AUTO_Public_TSV_FileList!$A$1:$A$1000,".tsv"),"")),0)),"notfound")</f>
        <v>UMI%3A3147447_TableA7.tsv</v>
      </c>
      <c r="M503" s="19" t="s">
        <v>2069</v>
      </c>
      <c r="N503" s="19" t="s">
        <v>54</v>
      </c>
      <c r="O503" s="20"/>
      <c r="P503" s="19" t="s">
        <v>55</v>
      </c>
      <c r="Q503" s="19"/>
      <c r="R503" s="20"/>
      <c r="S503" s="20"/>
      <c r="T503" s="20"/>
      <c r="U503" s="20"/>
      <c r="V503" s="20"/>
      <c r="W503" s="19" t="s">
        <v>224</v>
      </c>
      <c r="X503" s="19" t="s">
        <v>2045</v>
      </c>
      <c r="Y503" s="20"/>
      <c r="Z503" s="20"/>
      <c r="AA503" s="20"/>
      <c r="AB503" s="19" t="s">
        <v>307</v>
      </c>
      <c r="AC503" s="20"/>
      <c r="AD503" s="20"/>
      <c r="AE503" s="19" t="s">
        <v>265</v>
      </c>
      <c r="AF503" s="19"/>
      <c r="AG503" s="20"/>
      <c r="AH503" s="20"/>
    </row>
    <row r="504" spans="1:34" ht="15" customHeight="1" x14ac:dyDescent="0.2">
      <c r="A504" s="19" t="s">
        <v>2041</v>
      </c>
      <c r="B504" s="20"/>
      <c r="C504" s="19" t="s">
        <v>2042</v>
      </c>
      <c r="D504" s="19" t="s">
        <v>2070</v>
      </c>
      <c r="E504" s="17" t="str">
        <f t="shared" si="73"/>
        <v>Kaufman</v>
      </c>
      <c r="F504" s="17"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4" s="17" t="str">
        <f t="shared" si="74"/>
        <v>2004</v>
      </c>
      <c r="H504" s="17" t="str">
        <f t="shared" si="75"/>
        <v>Kaufman__2004</v>
      </c>
      <c r="I504" s="17" t="str">
        <f t="shared" si="79"/>
        <v>UMI%3A3147447</v>
      </c>
      <c r="J504" s="17" t="str">
        <f t="shared" si="76"/>
        <v>Kaufman__2004_TableA8</v>
      </c>
      <c r="K504" s="17" t="str">
        <f t="shared" si="78"/>
        <v>UMI%3A3147447_TableA8</v>
      </c>
      <c r="L504" s="17" t="str">
        <f t="array" ref="L504">IFERROR(INDEX(AUTO_Public_TSV_FileList!$A$1:$A$1000,MATCH(TRUE(),EXACT(K504,IFERROR(_xlfn.TEXTBEFORE(AUTO_Public_TSV_FileList!$A$1:$A$1000,".tsv"),"")),0)),"notfound")</f>
        <v>UMI%3A3147447_TableA8.tsv</v>
      </c>
      <c r="M504" s="19" t="s">
        <v>2071</v>
      </c>
      <c r="N504" s="19" t="s">
        <v>54</v>
      </c>
      <c r="O504" s="20"/>
      <c r="P504" s="19" t="s">
        <v>55</v>
      </c>
      <c r="Q504" s="19"/>
      <c r="R504" s="20"/>
      <c r="S504" s="20"/>
      <c r="T504" s="20"/>
      <c r="U504" s="20"/>
      <c r="V504" s="20"/>
      <c r="W504" s="19" t="s">
        <v>224</v>
      </c>
      <c r="X504" s="19" t="s">
        <v>2045</v>
      </c>
      <c r="Y504" s="20"/>
      <c r="Z504" s="20"/>
      <c r="AA504" s="20"/>
      <c r="AB504" s="19" t="s">
        <v>307</v>
      </c>
      <c r="AC504" s="20"/>
      <c r="AD504" s="20"/>
      <c r="AE504" s="19" t="s">
        <v>265</v>
      </c>
      <c r="AF504" s="19"/>
      <c r="AG504" s="20"/>
      <c r="AH504" s="20"/>
    </row>
    <row r="505" spans="1:34" ht="15" customHeight="1" x14ac:dyDescent="0.2">
      <c r="A505" s="19" t="s">
        <v>2041</v>
      </c>
      <c r="B505" s="20"/>
      <c r="C505" s="19" t="s">
        <v>2042</v>
      </c>
      <c r="D505" s="19" t="s">
        <v>2072</v>
      </c>
      <c r="E505" s="17" t="str">
        <f t="shared" si="73"/>
        <v>Kaufman</v>
      </c>
      <c r="F505" s="17"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5" s="17" t="str">
        <f t="shared" si="74"/>
        <v>2004</v>
      </c>
      <c r="H505" s="17" t="str">
        <f t="shared" si="75"/>
        <v>Kaufman__2004</v>
      </c>
      <c r="I505" s="17" t="str">
        <f t="shared" si="79"/>
        <v>UMI%3A3147447</v>
      </c>
      <c r="J505" s="17" t="str">
        <f t="shared" si="76"/>
        <v>Kaufman__2004_TableA9</v>
      </c>
      <c r="K505" s="17" t="str">
        <f t="shared" si="78"/>
        <v>UMI%3A3147447_TableA9</v>
      </c>
      <c r="L505" s="17" t="str">
        <f t="array" ref="L505">IFERROR(INDEX(AUTO_Public_TSV_FileList!$A$1:$A$1000,MATCH(TRUE(),EXACT(K505,IFERROR(_xlfn.TEXTBEFORE(AUTO_Public_TSV_FileList!$A$1:$A$1000,".tsv"),"")),0)),"notfound")</f>
        <v>UMI%3A3147447_TableA9.tsv</v>
      </c>
      <c r="M505" s="19" t="s">
        <v>2073</v>
      </c>
      <c r="N505" s="19" t="s">
        <v>54</v>
      </c>
      <c r="O505" s="20"/>
      <c r="P505" s="19" t="s">
        <v>55</v>
      </c>
      <c r="Q505" s="19"/>
      <c r="R505" s="20"/>
      <c r="S505" s="20"/>
      <c r="T505" s="20"/>
      <c r="U505" s="20"/>
      <c r="V505" s="20"/>
      <c r="W505" s="19" t="s">
        <v>224</v>
      </c>
      <c r="X505" s="19" t="s">
        <v>2045</v>
      </c>
      <c r="Y505" s="20"/>
      <c r="Z505" s="20"/>
      <c r="AA505" s="20"/>
      <c r="AB505" s="19" t="s">
        <v>307</v>
      </c>
      <c r="AC505" s="20"/>
      <c r="AD505" s="20"/>
      <c r="AE505" s="19" t="s">
        <v>265</v>
      </c>
      <c r="AF505" s="19"/>
      <c r="AG505" s="20"/>
      <c r="AH505" s="20"/>
    </row>
    <row r="506" spans="1:34" ht="15" customHeight="1" x14ac:dyDescent="0.2">
      <c r="A506" s="19" t="s">
        <v>2074</v>
      </c>
      <c r="B506" s="20"/>
      <c r="C506" s="19"/>
      <c r="D506" s="19" t="s">
        <v>2075</v>
      </c>
      <c r="E506" s="17" t="str">
        <f t="shared" si="73"/>
        <v>Kay</v>
      </c>
      <c r="F506" s="17"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17" t="str">
        <f t="shared" si="74"/>
        <v>2026</v>
      </c>
      <c r="H506" s="17" t="str">
        <f t="shared" si="75"/>
        <v>Kay_etal_2026</v>
      </c>
      <c r="I506" s="17" t="str">
        <f t="shared" si="79"/>
        <v>10.1126%2Fscience.aee3541</v>
      </c>
      <c r="J506" s="17" t="str">
        <f t="shared" si="76"/>
        <v>Kay_etal_2026_DataS1</v>
      </c>
      <c r="K506" s="17" t="str">
        <f t="shared" si="78"/>
        <v>10.1126%2Fscience.aee3541_DataS1</v>
      </c>
      <c r="L506" s="17" t="str">
        <f t="array" ref="L506">IFERROR(INDEX(AUTO_Public_TSV_FileList!$A$1:$A$1000,MATCH(TRUE(),EXACT(K506,IFERROR(_xlfn.TEXTBEFORE(AUTO_Public_TSV_FileList!$A$1:$A$1000,".tsv"),"")),0)),"notfound")</f>
        <v>notfound</v>
      </c>
      <c r="M506" s="19"/>
      <c r="N506" s="20" t="s">
        <v>4744</v>
      </c>
      <c r="O506" s="20" t="s">
        <v>4745</v>
      </c>
      <c r="P506" s="20" t="s">
        <v>4746</v>
      </c>
      <c r="Q506" s="20" t="s">
        <v>4747</v>
      </c>
      <c r="R506" s="20" t="s">
        <v>4748</v>
      </c>
      <c r="S506" s="20" t="s">
        <v>4749</v>
      </c>
      <c r="T506" s="20" t="s">
        <v>4750</v>
      </c>
      <c r="U506" s="20"/>
      <c r="V506" s="20" t="s">
        <v>4751</v>
      </c>
      <c r="W506" s="20" t="s">
        <v>4752</v>
      </c>
      <c r="X506" s="20" t="s">
        <v>4753</v>
      </c>
      <c r="Y506" s="20" t="s">
        <v>4754</v>
      </c>
      <c r="Z506" s="20" t="s">
        <v>4755</v>
      </c>
      <c r="AA506" s="20" t="s">
        <v>4756</v>
      </c>
      <c r="AB506" s="20" t="s">
        <v>4757</v>
      </c>
      <c r="AC506" s="20" t="s">
        <v>4758</v>
      </c>
      <c r="AD506" s="20"/>
      <c r="AE506" s="20" t="s">
        <v>70</v>
      </c>
      <c r="AF506" s="20" t="s">
        <v>4759</v>
      </c>
      <c r="AG506" s="20" t="s">
        <v>4760</v>
      </c>
      <c r="AH506" s="20" t="s">
        <v>352</v>
      </c>
    </row>
    <row r="507" spans="1:34" ht="15" customHeight="1" x14ac:dyDescent="0.2">
      <c r="A507" s="19" t="s">
        <v>2076</v>
      </c>
      <c r="B507" s="20"/>
      <c r="C507" s="20"/>
      <c r="D507" s="19" t="s">
        <v>86</v>
      </c>
      <c r="E507" s="17" t="str">
        <f t="shared" si="73"/>
        <v>Kazu</v>
      </c>
      <c r="F507" s="17"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17" t="str">
        <f t="shared" si="74"/>
        <v>2014</v>
      </c>
      <c r="H507" s="17" t="str">
        <f t="shared" si="75"/>
        <v>Kazu_etal_2014</v>
      </c>
      <c r="I507" s="17" t="str">
        <f t="shared" si="79"/>
        <v>10.3389%2Ffnana.2014.00128</v>
      </c>
      <c r="J507" s="17" t="str">
        <f t="shared" si="76"/>
        <v>Kazu_etal_2014_Table1</v>
      </c>
      <c r="K507" s="17" t="str">
        <f t="shared" si="78"/>
        <v>10.3389%2Ffnana.2014.00128_Table1</v>
      </c>
      <c r="L507" s="17" t="str">
        <f t="array" ref="L507">IFERROR(INDEX(AUTO_Public_TSV_FileList!$A$1:$A$1000,MATCH(TRUE(),EXACT(K507,IFERROR(_xlfn.TEXTBEFORE(AUTO_Public_TSV_FileList!$A$1:$A$1000,".tsv"),"")),0)),"notfound")</f>
        <v>10.3389%2Ffnana.2014.00128_Table1.tsv</v>
      </c>
      <c r="M507" s="20"/>
      <c r="N507" s="19" t="s">
        <v>54</v>
      </c>
      <c r="O507" s="20"/>
      <c r="P507" s="19" t="s">
        <v>55</v>
      </c>
      <c r="Q507" s="19"/>
      <c r="R507" s="20"/>
      <c r="S507" s="20"/>
      <c r="T507" s="20"/>
      <c r="U507" s="20" t="s">
        <v>2077</v>
      </c>
      <c r="V507" s="20"/>
      <c r="W507" s="19" t="s">
        <v>1232</v>
      </c>
      <c r="X507" s="19" t="s">
        <v>2078</v>
      </c>
      <c r="Y507" s="20"/>
      <c r="Z507" s="20"/>
      <c r="AA507" s="19" t="s">
        <v>82</v>
      </c>
      <c r="AB507" s="19" t="s">
        <v>83</v>
      </c>
      <c r="AC507" s="19" t="s">
        <v>84</v>
      </c>
      <c r="AD507" s="20"/>
      <c r="AE507" s="19" t="s">
        <v>50</v>
      </c>
      <c r="AF507" s="19"/>
      <c r="AG507" s="19" t="s">
        <v>2079</v>
      </c>
      <c r="AH507" s="20"/>
    </row>
    <row r="508" spans="1:34" ht="15" customHeight="1" x14ac:dyDescent="0.2">
      <c r="A508" s="19" t="s">
        <v>2080</v>
      </c>
      <c r="B508" s="20"/>
      <c r="C508" s="20"/>
      <c r="D508" s="19" t="s">
        <v>77</v>
      </c>
      <c r="E508" s="17" t="str">
        <f t="shared" si="73"/>
        <v>Kazu</v>
      </c>
      <c r="F508" s="17"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17" t="str">
        <f t="shared" si="74"/>
        <v>2015</v>
      </c>
      <c r="H508" s="17" t="str">
        <f t="shared" si="75"/>
        <v>Kazu_etal_2015</v>
      </c>
      <c r="I508" s="17" t="str">
        <f t="shared" si="79"/>
        <v>10.3389%2Ffnana.2015.00039</v>
      </c>
      <c r="J508" s="17" t="str">
        <f t="shared" si="76"/>
        <v>Kazu_etal_2015_TABLE1</v>
      </c>
      <c r="K508" s="17" t="str">
        <f t="shared" si="78"/>
        <v>10.3389%2Ffnana.2015.00039_TABLE1</v>
      </c>
      <c r="L508" s="17" t="str">
        <f t="array" ref="L508">IFERROR(INDEX(AUTO_Public_TSV_FileList!$A$1:$A$1000,MATCH(TRUE(),EXACT(K508,IFERROR(_xlfn.TEXTBEFORE(AUTO_Public_TSV_FileList!$A$1:$A$1000,".tsv"),"")),0)),"notfound")</f>
        <v>10.3389%2Ffnana.2015.00039_TABLE1.tsv</v>
      </c>
      <c r="M508" s="19" t="s">
        <v>2081</v>
      </c>
      <c r="N508" s="20" t="s">
        <v>54</v>
      </c>
      <c r="O508" s="20"/>
      <c r="P508" s="20" t="s">
        <v>55</v>
      </c>
      <c r="Q508" s="20"/>
      <c r="R508" s="20"/>
      <c r="S508" s="20"/>
      <c r="T508" s="20"/>
      <c r="U508" s="20"/>
      <c r="V508" s="20"/>
      <c r="W508" s="20" t="s">
        <v>1232</v>
      </c>
      <c r="X508" s="20" t="s">
        <v>2082</v>
      </c>
      <c r="Y508" s="20"/>
      <c r="Z508" s="20"/>
      <c r="AA508" s="19" t="s">
        <v>82</v>
      </c>
      <c r="AB508" s="19" t="s">
        <v>83</v>
      </c>
      <c r="AC508" s="20" t="s">
        <v>84</v>
      </c>
      <c r="AD508" s="20"/>
      <c r="AE508" s="20" t="s">
        <v>50</v>
      </c>
      <c r="AF508" s="20"/>
      <c r="AG508" s="20" t="s">
        <v>2083</v>
      </c>
      <c r="AH508" s="20"/>
    </row>
    <row r="509" spans="1:34" ht="15" customHeight="1" x14ac:dyDescent="0.2">
      <c r="A509" s="20" t="s">
        <v>2084</v>
      </c>
      <c r="B509" s="20"/>
      <c r="C509" s="20"/>
      <c r="D509" s="20" t="s">
        <v>500</v>
      </c>
      <c r="E509" s="18" t="str">
        <f t="shared" si="73"/>
        <v>Kelly</v>
      </c>
      <c r="F509" s="17"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17" t="str">
        <f t="shared" si="74"/>
        <v>1986</v>
      </c>
      <c r="H509" s="18" t="str">
        <f t="shared" si="75"/>
        <v>Kelly_etal_1986</v>
      </c>
      <c r="I509" s="18" t="str">
        <f>_xlfn.LET(_xlpm.doi,IF(C509&lt;&gt;"",C509,_xlfn.TEXTAFTER(A509,"https://doi.org/")),SUBSTITUTE(SUBSTITUTE(SUBSTITUTE(SUBSTITUTE(_xlpm.doi,"/","%2F"),":","%3A"),"&lt;","%3C"),"&gt;","%3E"))</f>
        <v>10.1016%2F0378-5955(86)90025-0</v>
      </c>
      <c r="J509" s="18" t="str">
        <f t="shared" si="76"/>
        <v>Kelly_etal_1986_ResultsText</v>
      </c>
      <c r="K509" s="17" t="str">
        <f t="shared" si="78"/>
        <v>10.1016%2F0378-5955(86)90025-0_ResultsText</v>
      </c>
      <c r="L509" s="17" t="str">
        <f t="array" ref="L509">IFERROR(INDEX(AUTO_Public_TSV_FileList!$A$1:$A$1000,MATCH(TRUE(),EXACT(K509,IFERROR(_xlfn.TEXTBEFORE(AUTO_Public_TSV_FileList!$A$1:$A$1000,".tsv"),"")),0)),"notfound")</f>
        <v>10.1016%2F0378-5955(86)90025-0_ResultsText.tsv</v>
      </c>
      <c r="M509" s="20" t="s">
        <v>2085</v>
      </c>
      <c r="N509" s="20" t="s">
        <v>659</v>
      </c>
      <c r="O509" s="20" t="s">
        <v>1879</v>
      </c>
      <c r="P509" s="20" t="s">
        <v>90</v>
      </c>
      <c r="Q509" s="20"/>
      <c r="R509" s="20"/>
      <c r="S509" s="20"/>
      <c r="T509" s="20"/>
      <c r="U509" s="20"/>
      <c r="V509" s="20"/>
      <c r="W509" s="20"/>
      <c r="X509" s="20"/>
      <c r="Y509" s="20"/>
      <c r="Z509" s="20"/>
      <c r="AA509" s="20"/>
      <c r="AB509" s="20"/>
      <c r="AC509" s="20"/>
      <c r="AD509" s="20"/>
      <c r="AE509" s="20"/>
      <c r="AF509" s="20"/>
      <c r="AG509" s="20"/>
      <c r="AH509" s="20"/>
    </row>
    <row r="510" spans="1:34" ht="15" customHeight="1" x14ac:dyDescent="0.2">
      <c r="A510" s="20" t="s">
        <v>2086</v>
      </c>
      <c r="B510" s="20"/>
      <c r="C510" s="20"/>
      <c r="D510" s="20" t="s">
        <v>2087</v>
      </c>
      <c r="E510" s="17" t="str">
        <f t="shared" si="73"/>
        <v>Kerney</v>
      </c>
      <c r="F510" s="17" t="str">
        <f>_xlfn.LET(
_xlpm.authors,_xlfn.TEXTBEFORE(A510," ("&amp;G510&amp;")"),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10" s="17" t="str">
        <f t="shared" si="74"/>
        <v>2017</v>
      </c>
      <c r="H510" s="17" t="str">
        <f t="shared" si="75"/>
        <v>Kerney_etal_2017</v>
      </c>
      <c r="I510" s="17" t="str">
        <f>_xlfn.LET(
_xlpm.doi,IF(C510&lt;&gt;"",C510,_xlfn.TEXTAFTER(A510,"https://doi.org/")),
SUBSTITUTE(
SUBSTITUTE(
SUBSTITUTE(
SUBSTITUTE(
_xlpm.doi,
"/","%2F"),
":","%3A"),
"&lt;","%3C"),
"&gt;","%3E")
)</f>
        <v>10.1007%2Fs10329-017-0615-x</v>
      </c>
      <c r="J510" s="17" t="str">
        <f t="shared" si="76"/>
        <v>Kerney_etal_2017_OnlineResource1</v>
      </c>
      <c r="K510" s="17" t="str">
        <f t="shared" si="78"/>
        <v>10.1007%2Fs10329-017-0615-x_OnlineResource1</v>
      </c>
      <c r="L510" s="17" t="str">
        <f>IFERROR(INDEX(AUTO_Public_TSV_FileList!$A$1:$A$1000,MATCH(TRUE(),EXACT(K510,IFERROR(_xlfn.TEXTBEFORE(AUTO_Public_TSV_FileList!$A$1:$A$1000,".tsv"),"")),0)),"notfound")</f>
        <v>notfound</v>
      </c>
      <c r="M510" s="20" t="s">
        <v>2088</v>
      </c>
      <c r="N510" s="20" t="s">
        <v>2089</v>
      </c>
      <c r="O510" s="20" t="s">
        <v>2090</v>
      </c>
      <c r="P510" s="20" t="s">
        <v>313</v>
      </c>
      <c r="Q510" s="20" t="s">
        <v>2091</v>
      </c>
      <c r="R510" s="20" t="s">
        <v>2092</v>
      </c>
      <c r="S510" s="20" t="s">
        <v>316</v>
      </c>
      <c r="T510" s="20" t="s">
        <v>317</v>
      </c>
      <c r="U510" s="20"/>
      <c r="V510" s="20" t="s">
        <v>1851</v>
      </c>
      <c r="W510" s="20" t="s">
        <v>319</v>
      </c>
      <c r="X510" s="20" t="s">
        <v>2093</v>
      </c>
      <c r="Y510" s="20"/>
      <c r="Z510" s="20"/>
      <c r="AA510" s="20" t="s">
        <v>2094</v>
      </c>
      <c r="AB510" s="20" t="s">
        <v>322</v>
      </c>
      <c r="AC510" s="20" t="s">
        <v>2095</v>
      </c>
      <c r="AD510" s="20"/>
      <c r="AE510" s="20" t="s">
        <v>265</v>
      </c>
      <c r="AF510" s="20" t="s">
        <v>2096</v>
      </c>
      <c r="AG510" s="20" t="s">
        <v>324</v>
      </c>
      <c r="AH510" s="20" t="s">
        <v>352</v>
      </c>
    </row>
    <row r="511" spans="1:34" ht="15" customHeight="1" x14ac:dyDescent="0.2">
      <c r="A511" s="20" t="s">
        <v>2086</v>
      </c>
      <c r="B511" s="20"/>
      <c r="C511" s="20"/>
      <c r="D511" s="20" t="s">
        <v>2097</v>
      </c>
      <c r="E511" s="17" t="str">
        <f t="shared" si="73"/>
        <v>Kerney</v>
      </c>
      <c r="F511" s="17" t="str">
        <f>_xlfn.LET(
_xlpm.authors,_xlfn.TEXTBEFORE(A511," ("&amp;G511&amp;")"),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11" s="17" t="str">
        <f t="shared" si="74"/>
        <v>2017</v>
      </c>
      <c r="H511" s="17" t="str">
        <f t="shared" si="75"/>
        <v>Kerney_etal_2017</v>
      </c>
      <c r="I511" s="17" t="str">
        <f>_xlfn.LET(
_xlpm.doi,IF(C511&lt;&gt;"",C511,_xlfn.TEXTAFTER(A511,"https://doi.org/")),
SUBSTITUTE(
SUBSTITUTE(
SUBSTITUTE(
SUBSTITUTE(
_xlpm.doi,
"/","%2F"),
":","%3A"),
"&lt;","%3C"),
"&gt;","%3E")
)</f>
        <v>10.1007%2Fs10329-017-0615-x</v>
      </c>
      <c r="J511" s="17" t="str">
        <f t="shared" si="76"/>
        <v>Kerney_etal_2017_OnlineResource2</v>
      </c>
      <c r="K511" s="17" t="str">
        <f t="shared" si="78"/>
        <v>10.1007%2Fs10329-017-0615-x_OnlineResource2</v>
      </c>
      <c r="L511" s="17" t="str">
        <f>IFERROR(INDEX(AUTO_Public_TSV_FileList!$A$1:$A$1000,MATCH(TRUE(),EXACT(K511,IFERROR(_xlfn.TEXTBEFORE(AUTO_Public_TSV_FileList!$A$1:$A$1000,".tsv"),"")),0)),"notfound")</f>
        <v>notfound</v>
      </c>
      <c r="M511" s="20" t="s">
        <v>2088</v>
      </c>
      <c r="N511" s="20" t="s">
        <v>2089</v>
      </c>
      <c r="O511" s="20" t="s">
        <v>2098</v>
      </c>
      <c r="P511" s="20" t="s">
        <v>313</v>
      </c>
      <c r="Q511" s="20" t="s">
        <v>2099</v>
      </c>
      <c r="R511" s="20" t="s">
        <v>2092</v>
      </c>
      <c r="S511" s="20" t="s">
        <v>316</v>
      </c>
      <c r="T511" s="20" t="s">
        <v>317</v>
      </c>
      <c r="U511" s="20"/>
      <c r="V511" s="20" t="s">
        <v>1851</v>
      </c>
      <c r="W511" s="20" t="s">
        <v>319</v>
      </c>
      <c r="X511" s="20" t="s">
        <v>2100</v>
      </c>
      <c r="Y511" s="20"/>
      <c r="Z511" s="20"/>
      <c r="AA511" s="20" t="s">
        <v>2094</v>
      </c>
      <c r="AB511" s="20" t="s">
        <v>322</v>
      </c>
      <c r="AC511" s="20" t="s">
        <v>2095</v>
      </c>
      <c r="AD511" s="20"/>
      <c r="AE511" s="20" t="s">
        <v>265</v>
      </c>
      <c r="AF511" s="20" t="s">
        <v>2096</v>
      </c>
      <c r="AG511" s="20" t="s">
        <v>324</v>
      </c>
      <c r="AH511" s="20" t="s">
        <v>352</v>
      </c>
    </row>
    <row r="512" spans="1:34" ht="15" customHeight="1" x14ac:dyDescent="0.2">
      <c r="A512" s="20" t="s">
        <v>2101</v>
      </c>
      <c r="B512" s="20"/>
      <c r="C512" s="20"/>
      <c r="D512" s="20" t="s">
        <v>2102</v>
      </c>
      <c r="E512" s="18" t="str">
        <f t="shared" si="73"/>
        <v>Ketten</v>
      </c>
      <c r="F512" s="17"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2" s="17" t="str">
        <f t="shared" si="74"/>
        <v>2012</v>
      </c>
      <c r="H512" s="18" t="str">
        <f t="shared" si="75"/>
        <v>Ketten__2012</v>
      </c>
      <c r="I512" s="18" t="str">
        <f>_xlfn.LET(_xlpm.doi,IF(C512&lt;&gt;"",C512,_xlfn.TEXTAFTER(A512,"https://doi.org/")),SUBSTITUTE(SUBSTITUTE(SUBSTITUTE(SUBSTITUTE(_xlpm.doi,"/","%2F"),":","%3A"),"&lt;","%3C"),"&gt;","%3E"))</f>
        <v>10.1007%2F978-1-4419-7311-5_46</v>
      </c>
      <c r="J512" s="18" t="str">
        <f t="shared" si="76"/>
        <v>Ketten__2012_Text(TTSvalues)</v>
      </c>
      <c r="K512" s="17" t="str">
        <f t="shared" si="78"/>
        <v>10.1007%2F978-1-4419-7311-5_46_Text(TTSvalues)</v>
      </c>
      <c r="L512" s="17" t="str">
        <f t="array" ref="L512">IFERROR(INDEX(AUTO_Public_TSV_FileList!$A$1:$A$1000,MATCH(TRUE(),EXACT(K512,IFERROR(_xlfn.TEXTBEFORE(AUTO_Public_TSV_FileList!$A$1:$A$1000,".tsv"),"")),0)),"notfound")</f>
        <v>notfound</v>
      </c>
      <c r="M512" s="20" t="s">
        <v>2103</v>
      </c>
      <c r="N512" s="28" t="s">
        <v>659</v>
      </c>
      <c r="O512" s="28" t="s">
        <v>2104</v>
      </c>
      <c r="P512" s="28" t="s">
        <v>4845</v>
      </c>
      <c r="Q512" s="28"/>
      <c r="R512" s="28" t="s">
        <v>2105</v>
      </c>
      <c r="S512" s="28"/>
      <c r="T512" s="28" t="s">
        <v>2106</v>
      </c>
      <c r="U512" s="28" t="s">
        <v>4846</v>
      </c>
      <c r="V512" s="28" t="s">
        <v>2107</v>
      </c>
      <c r="W512" s="28" t="s">
        <v>2108</v>
      </c>
      <c r="X512" s="28" t="s">
        <v>2109</v>
      </c>
      <c r="Y512" s="28"/>
      <c r="Z512" s="28"/>
      <c r="AA512" s="28" t="s">
        <v>2110</v>
      </c>
      <c r="AB512" s="28" t="s">
        <v>2111</v>
      </c>
      <c r="AC512" s="28" t="s">
        <v>2112</v>
      </c>
      <c r="AD512" s="28"/>
      <c r="AE512" s="28" t="s">
        <v>265</v>
      </c>
      <c r="AF512" s="28" t="s">
        <v>2113</v>
      </c>
      <c r="AG512" s="28" t="s">
        <v>4847</v>
      </c>
      <c r="AH512" s="28" t="s">
        <v>4848</v>
      </c>
    </row>
    <row r="513" spans="1:34" ht="15" customHeight="1" x14ac:dyDescent="0.2">
      <c r="A513" s="19" t="s">
        <v>2114</v>
      </c>
      <c r="B513" s="20"/>
      <c r="C513" s="20"/>
      <c r="D513" s="19" t="s">
        <v>86</v>
      </c>
      <c r="E513" s="17" t="str">
        <f t="shared" si="73"/>
        <v>Kirk</v>
      </c>
      <c r="F513" s="17"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513" s="17" t="str">
        <f t="shared" si="74"/>
        <v>2004</v>
      </c>
      <c r="H513" s="17" t="str">
        <f t="shared" si="75"/>
        <v>Kirk_Kay_2004</v>
      </c>
      <c r="I513" s="17" t="str">
        <f>_xlfn.LET(
_xlpm.doi,IF(C513&lt;&gt;"",C513,_xlfn.TEXTAFTER(A513,"https://doi.org/")),
SUBSTITUTE(
SUBSTITUTE(
SUBSTITUTE(
SUBSTITUTE(
_xlpm.doi,
"/","%2F"),
":","%3A"),
"&lt;","%3C"),
"&gt;","%3E")
)</f>
        <v>10.1007%2F978-1-4419-8873-7_20</v>
      </c>
      <c r="J513" s="17" t="str">
        <f t="shared" si="76"/>
        <v>Kirk_Kay_2004_Table1</v>
      </c>
      <c r="K513" s="17" t="str">
        <f t="shared" si="78"/>
        <v>10.1007%2F978-1-4419-8873-7_20_Table1</v>
      </c>
      <c r="L513" s="17" t="str">
        <f t="array" ref="L513">IFERROR(INDEX(AUTO_Public_TSV_FileList!$A$1:$A$1000,MATCH(TRUE(),EXACT(K513,IFERROR(_xlfn.TEXTBEFORE(AUTO_Public_TSV_FileList!$A$1:$A$1000,".tsv"),"")),0)),"notfound")</f>
        <v>10.1007%2F978-1-4419-8873-7_20_Table1.tsv</v>
      </c>
      <c r="M513" s="19" t="s">
        <v>2115</v>
      </c>
      <c r="N513" s="20"/>
      <c r="O513" s="20"/>
      <c r="P513" s="20"/>
      <c r="Q513" s="20"/>
      <c r="R513" s="20"/>
      <c r="S513" s="20"/>
      <c r="T513" s="20"/>
      <c r="U513" s="20"/>
      <c r="V513" s="20"/>
      <c r="W513" s="20"/>
      <c r="X513" s="20"/>
      <c r="Y513" s="20"/>
      <c r="Z513" s="20"/>
      <c r="AA513" s="20"/>
      <c r="AB513" s="20"/>
      <c r="AC513" s="20"/>
      <c r="AD513" s="20"/>
      <c r="AE513" s="20"/>
      <c r="AF513" s="20"/>
      <c r="AG513" s="20"/>
      <c r="AH513" s="20"/>
    </row>
    <row r="514" spans="1:34" ht="15" customHeight="1" x14ac:dyDescent="0.2">
      <c r="A514" s="19" t="s">
        <v>2114</v>
      </c>
      <c r="B514" s="20"/>
      <c r="C514" s="20"/>
      <c r="D514" s="19" t="s">
        <v>160</v>
      </c>
      <c r="E514" s="17" t="str">
        <f t="shared" ref="E514:E577" si="80">SUBSTITUTE(SUBSTITUTE(_xlfn.TEXTBEFORE(A514,","), "-", ""), " ", "")</f>
        <v>Kirk</v>
      </c>
      <c r="F514" s="17"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514" s="17" t="str">
        <f t="shared" ref="G514:G577" si="81">_xlfn.TEXTBEFORE(_xlfn.TEXTAFTER(A514, "("), ")")</f>
        <v>2004</v>
      </c>
      <c r="H514" s="17" t="str">
        <f t="shared" ref="H514:H577" si="82">SUBSTITUTE(SUBSTITUTE(E514 &amp; IF(F514&lt;&gt;"", "_" &amp; SUBSTITUTE(F514," ",""), "_") &amp; IF(G514&lt;&gt;"", "_" &amp; G514, "_") &amp; IF(B514&lt;&gt;"", "_" &amp; B514, ""),"'",""),"’","")</f>
        <v>Kirk_Kay_2004</v>
      </c>
      <c r="I514" s="17" t="str">
        <f>_xlfn.LET(
_xlpm.doi,IF(C514&lt;&gt;"",C514,_xlfn.TEXTAFTER(A514,"https://doi.org/")),
SUBSTITUTE(
SUBSTITUTE(
SUBSTITUTE(
SUBSTITUTE(
_xlpm.doi,
"/","%2F"),
":","%3A"),
"&lt;","%3C"),
"&gt;","%3E")
)</f>
        <v>10.1007%2F978-1-4419-8873-7_20</v>
      </c>
      <c r="J514" s="17" t="str">
        <f t="shared" ref="J514:J577" si="83">TRIM(_xlfn.TEXTJOIN("_",FALSE(),H514,(SUBSTITUTE(SUBSTITUTE(D514," ",""), "_", ""))))</f>
        <v>Kirk_Kay_2004_Table2</v>
      </c>
      <c r="K514" s="17" t="str">
        <f t="shared" si="78"/>
        <v>10.1007%2F978-1-4419-8873-7_20_Table2</v>
      </c>
      <c r="L514" s="17" t="str">
        <f t="array" ref="L514">IFERROR(INDEX(AUTO_Public_TSV_FileList!$A$1:$A$1000,MATCH(TRUE(),EXACT(K514,IFERROR(_xlfn.TEXTBEFORE(AUTO_Public_TSV_FileList!$A$1:$A$1000,".tsv"),"")),0)),"notfound")</f>
        <v>10.1007%2F978-1-4419-8873-7_20_Table2.tsv</v>
      </c>
      <c r="M514" s="19" t="s">
        <v>2116</v>
      </c>
      <c r="N514" s="20"/>
      <c r="O514" s="20"/>
      <c r="P514" s="20"/>
      <c r="Q514" s="20"/>
      <c r="R514" s="20"/>
      <c r="S514" s="20"/>
      <c r="T514" s="20"/>
      <c r="U514" s="20"/>
      <c r="V514" s="20"/>
      <c r="W514" s="20"/>
      <c r="X514" s="20"/>
      <c r="Y514" s="20"/>
      <c r="Z514" s="20"/>
      <c r="AA514" s="20"/>
      <c r="AB514" s="20"/>
      <c r="AC514" s="20"/>
      <c r="AD514" s="20"/>
      <c r="AE514" s="20"/>
      <c r="AF514" s="20"/>
      <c r="AG514" s="20"/>
      <c r="AH514" s="20"/>
    </row>
    <row r="515" spans="1:34" ht="15" customHeight="1" x14ac:dyDescent="0.2">
      <c r="A515" s="20" t="s">
        <v>2117</v>
      </c>
      <c r="B515" s="20"/>
      <c r="C515" s="20"/>
      <c r="D515" s="20" t="s">
        <v>120</v>
      </c>
      <c r="E515" s="18" t="str">
        <f t="shared" si="80"/>
        <v>Koay</v>
      </c>
      <c r="F515" s="17"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17" t="str">
        <f t="shared" si="81"/>
        <v>2002</v>
      </c>
      <c r="H515" s="18" t="str">
        <f t="shared" si="82"/>
        <v>Koay_etal_2002</v>
      </c>
      <c r="I515" s="18" t="str">
        <f>_xlfn.LET(_xlpm.doi,IF(C515&lt;&gt;"",C515,_xlfn.TEXTAFTER(A515,"https://doi.org/")),SUBSTITUTE(SUBSTITUTE(SUBSTITUTE(SUBSTITUTE(_xlpm.doi,"/","%2F"),":","%3A"),"&lt;","%3C"),"&gt;","%3E"))</f>
        <v>10.1016%2Fs0378-5955(02)00458-6</v>
      </c>
      <c r="J515" s="18" t="str">
        <f t="shared" si="83"/>
        <v>Koay_etal_2002_Figure3</v>
      </c>
      <c r="K515" s="17" t="str">
        <f t="shared" ref="K515:K546" si="84">I515 &amp; "_" &amp; SUBSTITUTE(SUBSTITUTE(SUBSTITUTE(D515,CHAR(160),"")," ",""),"_","")</f>
        <v>10.1016%2Fs0378-5955(02)00458-6_Figure3</v>
      </c>
      <c r="L515" s="17" t="str">
        <f t="array" ref="L515">IFERROR(INDEX(AUTO_Public_TSV_FileList!$A$1:$A$1000,MATCH(TRUE(),EXACT(K515,IFERROR(_xlfn.TEXTBEFORE(AUTO_Public_TSV_FileList!$A$1:$A$1000,".tsv"),"")),0)),"notfound")</f>
        <v>notfound</v>
      </c>
      <c r="M515" s="20" t="s">
        <v>2118</v>
      </c>
      <c r="N515" s="20" t="s">
        <v>541</v>
      </c>
      <c r="O515" s="20" t="s">
        <v>1489</v>
      </c>
      <c r="P515" s="20" t="s">
        <v>133</v>
      </c>
      <c r="Q515" s="20"/>
      <c r="R515" s="20" t="s">
        <v>2119</v>
      </c>
      <c r="S515" s="20"/>
      <c r="T515" s="20"/>
      <c r="U515" s="20"/>
      <c r="V515" s="20" t="s">
        <v>101</v>
      </c>
      <c r="W515" s="20" t="s">
        <v>2120</v>
      </c>
      <c r="X515" s="20" t="s">
        <v>1591</v>
      </c>
      <c r="Y515" s="20"/>
      <c r="Z515" s="20" t="s">
        <v>445</v>
      </c>
      <c r="AA515" s="20" t="s">
        <v>1462</v>
      </c>
      <c r="AB515" s="20" t="s">
        <v>1097</v>
      </c>
      <c r="AC515" s="20" t="s">
        <v>1409</v>
      </c>
      <c r="AD515" s="20"/>
      <c r="AE515" s="20" t="s">
        <v>50</v>
      </c>
      <c r="AF515" s="20"/>
      <c r="AG515" s="20" t="s">
        <v>1492</v>
      </c>
      <c r="AH515" s="20"/>
    </row>
    <row r="516" spans="1:34" ht="15" customHeight="1" x14ac:dyDescent="0.2">
      <c r="A516" s="20" t="s">
        <v>2117</v>
      </c>
      <c r="B516" s="20"/>
      <c r="C516" s="20"/>
      <c r="D516" s="20" t="s">
        <v>500</v>
      </c>
      <c r="E516" s="18" t="str">
        <f t="shared" si="80"/>
        <v>Koay</v>
      </c>
      <c r="F516" s="17"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17" t="str">
        <f t="shared" si="81"/>
        <v>2002</v>
      </c>
      <c r="H516" s="18" t="str">
        <f t="shared" si="82"/>
        <v>Koay_etal_2002</v>
      </c>
      <c r="I516" s="18" t="str">
        <f>_xlfn.LET(_xlpm.doi,IF(C516&lt;&gt;"",C516,_xlfn.TEXTAFTER(A516,"https://doi.org/")),SUBSTITUTE(SUBSTITUTE(SUBSTITUTE(SUBSTITUTE(_xlpm.doi,"/","%2F"),":","%3A"),"&lt;","%3C"),"&gt;","%3E"))</f>
        <v>10.1016%2Fs0378-5955(02)00458-6</v>
      </c>
      <c r="J516" s="18" t="str">
        <f t="shared" si="83"/>
        <v>Koay_etal_2002_ResultsText</v>
      </c>
      <c r="K516" s="17" t="str">
        <f t="shared" si="84"/>
        <v>10.1016%2Fs0378-5955(02)00458-6_ResultsText</v>
      </c>
      <c r="L516" s="17" t="str">
        <f t="array" ref="L516">IFERROR(INDEX(AUTO_Public_TSV_FileList!$A$1:$A$1000,MATCH(TRUE(),EXACT(K516,IFERROR(_xlfn.TEXTBEFORE(AUTO_Public_TSV_FileList!$A$1:$A$1000,".tsv"),"")),0)),"notfound")</f>
        <v>10.1016%2Fs0378-5955(02)00458-6_ResultsText.tsv</v>
      </c>
      <c r="M516" s="20" t="s">
        <v>2121</v>
      </c>
      <c r="N516" s="20" t="s">
        <v>659</v>
      </c>
      <c r="O516" s="20" t="s">
        <v>2122</v>
      </c>
      <c r="P516" s="20" t="s">
        <v>90</v>
      </c>
      <c r="Q516" s="20"/>
      <c r="R516" s="20" t="s">
        <v>2119</v>
      </c>
      <c r="S516" s="20"/>
      <c r="T516" s="20"/>
      <c r="U516" s="20"/>
      <c r="V516" s="20" t="s">
        <v>101</v>
      </c>
      <c r="W516" s="20" t="s">
        <v>2120</v>
      </c>
      <c r="X516" s="20" t="s">
        <v>1103</v>
      </c>
      <c r="Y516" s="20"/>
      <c r="Z516" s="20" t="s">
        <v>445</v>
      </c>
      <c r="AA516" s="20" t="s">
        <v>1462</v>
      </c>
      <c r="AB516" s="20" t="s">
        <v>1104</v>
      </c>
      <c r="AC516" s="20" t="s">
        <v>1409</v>
      </c>
      <c r="AD516" s="20"/>
      <c r="AE516" s="20" t="s">
        <v>50</v>
      </c>
      <c r="AF516" s="20"/>
      <c r="AG516" s="20" t="s">
        <v>449</v>
      </c>
      <c r="AH516" s="20"/>
    </row>
    <row r="517" spans="1:34" ht="15" customHeight="1" x14ac:dyDescent="0.2">
      <c r="A517" s="19" t="s">
        <v>2123</v>
      </c>
      <c r="B517" s="20"/>
      <c r="C517" s="20"/>
      <c r="D517" s="19" t="s">
        <v>1493</v>
      </c>
      <c r="E517" s="17" t="str">
        <f t="shared" si="80"/>
        <v>Koay</v>
      </c>
      <c r="F517" s="17"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17" t="str">
        <f t="shared" si="81"/>
        <v>1998</v>
      </c>
      <c r="H517" s="17" t="str">
        <f t="shared" si="82"/>
        <v>Koay_etal_1998</v>
      </c>
      <c r="I517" s="17" t="str">
        <f>_xlfn.LET(
_xlpm.doi,IF(C517&lt;&gt;"",C517,_xlfn.TEXTAFTER(A517,"https://doi.org/")),
SUBSTITUTE(
SUBSTITUTE(
SUBSTITUTE(
SUBSTITUTE(
_xlpm.doi,
"/","%2F"),
":","%3A"),
"&lt;","%3C"),
"&gt;","%3E")
)</f>
        <v>10.1037%2F0735-7036.112.4.371</v>
      </c>
      <c r="J517" s="17" t="str">
        <f t="shared" si="83"/>
        <v>Koay_etal_1998_Figure6</v>
      </c>
      <c r="K517" s="17" t="str">
        <f t="shared" si="84"/>
        <v>10.1037%2F0735-7036.112.4.371_Figure6</v>
      </c>
      <c r="L517" s="17" t="str">
        <f t="array" ref="L517">IFERROR(INDEX(AUTO_Public_TSV_FileList!$A$1:$A$1000,MATCH(TRUE(),EXACT(K517,IFERROR(_xlfn.TEXTBEFORE(AUTO_Public_TSV_FileList!$A$1:$A$1000,".tsv"),"")),0)),"notfound")</f>
        <v>10.1037%2F0735-7036.112.4.371_Figure6.tsv</v>
      </c>
      <c r="M517" s="19"/>
      <c r="N517" s="20"/>
      <c r="O517" s="20"/>
      <c r="P517" s="20"/>
      <c r="Q517" s="20"/>
      <c r="R517" s="20"/>
      <c r="S517" s="20"/>
      <c r="T517" s="20"/>
      <c r="U517" s="20"/>
      <c r="V517" s="20"/>
      <c r="W517" s="20"/>
      <c r="X517" s="20"/>
      <c r="Y517" s="20"/>
      <c r="Z517" s="20"/>
      <c r="AA517" s="20"/>
      <c r="AB517" s="20"/>
      <c r="AC517" s="20"/>
      <c r="AD517" s="20"/>
      <c r="AE517" s="20"/>
      <c r="AF517" s="20"/>
      <c r="AG517" s="20"/>
      <c r="AH517" s="20"/>
    </row>
    <row r="518" spans="1:34" ht="15" customHeight="1" x14ac:dyDescent="0.2">
      <c r="A518" s="20" t="s">
        <v>2123</v>
      </c>
      <c r="B518" s="20"/>
      <c r="C518" s="20"/>
      <c r="D518" s="20" t="s">
        <v>1559</v>
      </c>
      <c r="E518" s="18" t="str">
        <f t="shared" si="80"/>
        <v>Koay</v>
      </c>
      <c r="F518" s="17"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17" t="str">
        <f t="shared" si="81"/>
        <v>1998</v>
      </c>
      <c r="H518" s="18" t="str">
        <f t="shared" si="82"/>
        <v>Koay_etal_1998</v>
      </c>
      <c r="I518" s="18" t="str">
        <f>_xlfn.LET(_xlpm.doi,IF(C518&lt;&gt;"",C518,_xlfn.TEXTAFTER(A518,"https://doi.org/")),SUBSTITUTE(SUBSTITUTE(SUBSTITUTE(SUBSTITUTE(_xlpm.doi,"/","%2F"),":","%3A"),"&lt;","%3C"),"&gt;","%3E"))</f>
        <v>10.1037%2F0735-7036.112.4.371</v>
      </c>
      <c r="J518" s="18" t="str">
        <f t="shared" si="83"/>
        <v>Koay_etal_1998_Figure7</v>
      </c>
      <c r="K518" s="17" t="str">
        <f t="shared" si="84"/>
        <v>10.1037%2F0735-7036.112.4.371_Figure7</v>
      </c>
      <c r="L518" s="17" t="str">
        <f t="array" ref="L518">IFERROR(INDEX(AUTO_Public_TSV_FileList!$A$1:$A$1000,MATCH(TRUE(),EXACT(K518,IFERROR(_xlfn.TEXTBEFORE(AUTO_Public_TSV_FileList!$A$1:$A$1000,".tsv"),"")),0)),"notfound")</f>
        <v>notfound</v>
      </c>
      <c r="M518" s="20" t="s">
        <v>2124</v>
      </c>
      <c r="N518" s="20" t="s">
        <v>541</v>
      </c>
      <c r="O518" s="20" t="s">
        <v>2125</v>
      </c>
      <c r="P518" s="20"/>
      <c r="Q518" s="20"/>
      <c r="R518" s="20" t="s">
        <v>2126</v>
      </c>
      <c r="S518" s="20"/>
      <c r="T518" s="20" t="s">
        <v>2127</v>
      </c>
      <c r="U518" s="20"/>
      <c r="V518" s="20" t="s">
        <v>101</v>
      </c>
      <c r="W518" s="20" t="s">
        <v>2128</v>
      </c>
      <c r="X518" s="20" t="s">
        <v>2129</v>
      </c>
      <c r="Y518" s="20"/>
      <c r="Z518" s="20"/>
      <c r="AA518" s="20" t="s">
        <v>1452</v>
      </c>
      <c r="AB518" s="20" t="s">
        <v>1498</v>
      </c>
      <c r="AC518" s="20" t="s">
        <v>1409</v>
      </c>
      <c r="AD518" s="20"/>
      <c r="AE518" s="20" t="s">
        <v>70</v>
      </c>
      <c r="AF518" s="20" t="s">
        <v>2130</v>
      </c>
      <c r="AG518" s="20" t="s">
        <v>2131</v>
      </c>
      <c r="AH518" s="20"/>
    </row>
    <row r="519" spans="1:34" ht="15" customHeight="1" x14ac:dyDescent="0.2">
      <c r="A519" s="20" t="s">
        <v>2132</v>
      </c>
      <c r="B519" s="20"/>
      <c r="C519" s="20"/>
      <c r="D519" s="20" t="s">
        <v>500</v>
      </c>
      <c r="E519" s="18" t="str">
        <f t="shared" si="80"/>
        <v>Koay</v>
      </c>
      <c r="F519" s="17"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17" t="str">
        <f t="shared" si="81"/>
        <v>2003</v>
      </c>
      <c r="H519" s="18" t="str">
        <f t="shared" si="82"/>
        <v>Koay_etal_2003</v>
      </c>
      <c r="I519" s="18" t="str">
        <f>_xlfn.LET(_xlpm.doi,IF(C519&lt;&gt;"",C519,_xlfn.TEXTAFTER(A519,"https://doi.org/")),SUBSTITUTE(SUBSTITUTE(SUBSTITUTE(SUBSTITUTE(_xlpm.doi,"/","%2F"),":","%3A"),"&lt;","%3C"),"&gt;","%3E"))</f>
        <v>10.1016%2FS0378-5955(03)00025-X</v>
      </c>
      <c r="J519" s="18" t="str">
        <f t="shared" si="83"/>
        <v>Koay_etal_2003_ResultsText</v>
      </c>
      <c r="K519" s="17" t="str">
        <f t="shared" si="84"/>
        <v>10.1016%2FS0378-5955(03)00025-X_ResultsText</v>
      </c>
      <c r="L519" s="17" t="str">
        <f t="array" ref="L519">IFERROR(INDEX(AUTO_Public_TSV_FileList!$A$1:$A$1000,MATCH(TRUE(),EXACT(K519,IFERROR(_xlfn.TEXTBEFORE(AUTO_Public_TSV_FileList!$A$1:$A$1000,".tsv"),"")),0)),"notfound")</f>
        <v>10.1016%2FS0378-5955(03)00025-X_ResultsText.tsv</v>
      </c>
      <c r="M519" s="20" t="s">
        <v>2133</v>
      </c>
      <c r="N519" s="20" t="s">
        <v>659</v>
      </c>
      <c r="O519" s="20" t="s">
        <v>1879</v>
      </c>
      <c r="P519" s="20" t="s">
        <v>90</v>
      </c>
      <c r="Q519" s="20"/>
      <c r="R519" s="20"/>
      <c r="S519" s="20"/>
      <c r="T519" s="20"/>
      <c r="U519" s="20"/>
      <c r="V519" s="20"/>
      <c r="W519" s="20"/>
      <c r="X519" s="20"/>
      <c r="Y519" s="20"/>
      <c r="Z519" s="20"/>
      <c r="AA519" s="20"/>
      <c r="AB519" s="20"/>
      <c r="AC519" s="20"/>
      <c r="AD519" s="20"/>
      <c r="AE519" s="20"/>
      <c r="AF519" s="20"/>
      <c r="AG519" s="20"/>
      <c r="AH519" s="20"/>
    </row>
    <row r="520" spans="1:34" ht="15" customHeight="1" x14ac:dyDescent="0.2">
      <c r="A520" s="20" t="s">
        <v>2134</v>
      </c>
      <c r="B520" s="20" t="s">
        <v>493</v>
      </c>
      <c r="C520" s="20"/>
      <c r="D520" s="20" t="s">
        <v>2135</v>
      </c>
      <c r="E520" s="18" t="str">
        <f t="shared" si="80"/>
        <v>Koay</v>
      </c>
      <c r="F520" s="17"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17" t="str">
        <f t="shared" si="81"/>
        <v>1998</v>
      </c>
      <c r="H520" s="18" t="str">
        <f t="shared" si="82"/>
        <v>Koay_etal_1998_b</v>
      </c>
      <c r="I520" s="18" t="str">
        <f>_xlfn.LET(_xlpm.doi,IF(C520&lt;&gt;"",C520,_xlfn.TEXTAFTER(A520,"https://doi.org/")),SUBSTITUTE(SUBSTITUTE(SUBSTITUTE(SUBSTITUTE(_xlpm.doi,"/","%2F"),":","%3A"),"&lt;","%3C"),"&gt;","%3E"))</f>
        <v>10.1016%2Fs0378-5955(98)00037-9</v>
      </c>
      <c r="J520" s="18" t="str">
        <f t="shared" si="83"/>
        <v>Koay_etal_1998_b_Figure8</v>
      </c>
      <c r="K520" s="17" t="str">
        <f t="shared" si="84"/>
        <v>10.1016%2Fs0378-5955(98)00037-9_Figure8</v>
      </c>
      <c r="L520" s="17" t="str">
        <f t="array" ref="L520">IFERROR(INDEX(AUTO_Public_TSV_FileList!$A$1:$A$1000,MATCH(TRUE(),EXACT(K520,IFERROR(_xlfn.TEXTBEFORE(AUTO_Public_TSV_FileList!$A$1:$A$1000,".tsv"),"")),0)),"notfound")</f>
        <v>notfound</v>
      </c>
      <c r="M520" s="20" t="s">
        <v>2136</v>
      </c>
      <c r="N520" s="20" t="s">
        <v>541</v>
      </c>
      <c r="O520" s="20" t="s">
        <v>2137</v>
      </c>
      <c r="P520" s="20" t="s">
        <v>133</v>
      </c>
      <c r="Q520" s="20"/>
      <c r="R520" s="20" t="s">
        <v>2138</v>
      </c>
      <c r="S520" s="20"/>
      <c r="T520" s="20" t="s">
        <v>2139</v>
      </c>
      <c r="U520" s="20"/>
      <c r="V520" s="20" t="s">
        <v>101</v>
      </c>
      <c r="W520" s="20" t="s">
        <v>1563</v>
      </c>
      <c r="X520" s="20" t="s">
        <v>1571</v>
      </c>
      <c r="Y520" s="20"/>
      <c r="Z520" s="20" t="s">
        <v>1406</v>
      </c>
      <c r="AA520" s="20" t="s">
        <v>1565</v>
      </c>
      <c r="AB520" s="20" t="s">
        <v>1453</v>
      </c>
      <c r="AC520" s="20" t="s">
        <v>1409</v>
      </c>
      <c r="AD520" s="20"/>
      <c r="AE520" s="20" t="s">
        <v>265</v>
      </c>
      <c r="AF520" s="20" t="s">
        <v>1567</v>
      </c>
      <c r="AG520" s="20" t="s">
        <v>1500</v>
      </c>
      <c r="AH520" s="20"/>
    </row>
    <row r="521" spans="1:34" ht="15" customHeight="1" x14ac:dyDescent="0.2">
      <c r="A521" s="20" t="s">
        <v>2134</v>
      </c>
      <c r="B521" s="20" t="s">
        <v>493</v>
      </c>
      <c r="C521" s="20"/>
      <c r="D521" s="20" t="s">
        <v>1654</v>
      </c>
      <c r="E521" s="18" t="str">
        <f t="shared" si="80"/>
        <v>Koay</v>
      </c>
      <c r="F521" s="17"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17" t="str">
        <f t="shared" si="81"/>
        <v>1998</v>
      </c>
      <c r="H521" s="18" t="str">
        <f t="shared" si="82"/>
        <v>Koay_etal_1998_b</v>
      </c>
      <c r="I521" s="18" t="str">
        <f>_xlfn.LET(_xlpm.doi,IF(C521&lt;&gt;"",C521,_xlfn.TEXTAFTER(A521,"https://doi.org/")),SUBSTITUTE(SUBSTITUTE(SUBSTITUTE(SUBSTITUTE(_xlpm.doi,"/","%2F"),":","%3A"),"&lt;","%3C"),"&gt;","%3E"))</f>
        <v>10.1016%2Fs0378-5955(98)00037-9</v>
      </c>
      <c r="J521" s="18" t="str">
        <f t="shared" si="83"/>
        <v>Koay_etal_1998_b_Figure9</v>
      </c>
      <c r="K521" s="17" t="str">
        <f t="shared" si="84"/>
        <v>10.1016%2Fs0378-5955(98)00037-9_Figure9</v>
      </c>
      <c r="L521" s="17" t="str">
        <f t="array" ref="L521">IFERROR(INDEX(AUTO_Public_TSV_FileList!$A$1:$A$1000,MATCH(TRUE(),EXACT(K521,IFERROR(_xlfn.TEXTBEFORE(AUTO_Public_TSV_FileList!$A$1:$A$1000,".tsv"),"")),0)),"notfound")</f>
        <v>notfound</v>
      </c>
      <c r="M521" s="20" t="s">
        <v>2140</v>
      </c>
      <c r="N521" s="20" t="s">
        <v>541</v>
      </c>
      <c r="O521" s="20" t="s">
        <v>2137</v>
      </c>
      <c r="P521" s="20" t="s">
        <v>133</v>
      </c>
      <c r="Q521" s="20"/>
      <c r="R521" s="20" t="s">
        <v>2138</v>
      </c>
      <c r="S521" s="20"/>
      <c r="T521" s="20" t="s">
        <v>2139</v>
      </c>
      <c r="U521" s="20"/>
      <c r="V521" s="20" t="s">
        <v>1449</v>
      </c>
      <c r="W521" s="20" t="s">
        <v>1595</v>
      </c>
      <c r="X521" s="20" t="s">
        <v>2141</v>
      </c>
      <c r="Y521" s="20"/>
      <c r="Z521" s="20" t="s">
        <v>1406</v>
      </c>
      <c r="AA521" s="20" t="s">
        <v>1565</v>
      </c>
      <c r="AB521" s="20" t="s">
        <v>1453</v>
      </c>
      <c r="AC521" s="20" t="s">
        <v>1409</v>
      </c>
      <c r="AD521" s="20"/>
      <c r="AE521" s="20" t="s">
        <v>265</v>
      </c>
      <c r="AF521" s="20" t="s">
        <v>1567</v>
      </c>
      <c r="AG521" s="20" t="s">
        <v>1500</v>
      </c>
      <c r="AH521" s="20"/>
    </row>
    <row r="522" spans="1:34" ht="15" customHeight="1" x14ac:dyDescent="0.2">
      <c r="A522" s="20" t="s">
        <v>2134</v>
      </c>
      <c r="B522" s="20" t="s">
        <v>493</v>
      </c>
      <c r="C522" s="20"/>
      <c r="D522" s="20" t="s">
        <v>500</v>
      </c>
      <c r="E522" s="18" t="str">
        <f t="shared" si="80"/>
        <v>Koay</v>
      </c>
      <c r="F522" s="17"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17" t="str">
        <f t="shared" si="81"/>
        <v>1998</v>
      </c>
      <c r="H522" s="18" t="str">
        <f t="shared" si="82"/>
        <v>Koay_etal_1998_b</v>
      </c>
      <c r="I522" s="18" t="str">
        <f>_xlfn.LET(_xlpm.doi,IF(C522&lt;&gt;"",C522,_xlfn.TEXTAFTER(A522,"https://doi.org/")),SUBSTITUTE(SUBSTITUTE(SUBSTITUTE(SUBSTITUTE(_xlpm.doi,"/","%2F"),":","%3A"),"&lt;","%3C"),"&gt;","%3E"))</f>
        <v>10.1016%2Fs0378-5955(98)00037-9</v>
      </c>
      <c r="J522" s="18" t="str">
        <f t="shared" si="83"/>
        <v>Koay_etal_1998_b_ResultsText</v>
      </c>
      <c r="K522" s="17" t="str">
        <f t="shared" si="84"/>
        <v>10.1016%2Fs0378-5955(98)00037-9_ResultsText</v>
      </c>
      <c r="L522" s="17" t="str">
        <f t="array" ref="L522">IFERROR(INDEX(AUTO_Public_TSV_FileList!$A$1:$A$1000,MATCH(TRUE(),EXACT(K522,IFERROR(_xlfn.TEXTBEFORE(AUTO_Public_TSV_FileList!$A$1:$A$1000,".tsv"),"")),0)),"notfound")</f>
        <v>10.1016%2Fs0378-5955(98)00037-9_ResultsText.tsv</v>
      </c>
      <c r="M522" s="20" t="s">
        <v>2142</v>
      </c>
      <c r="N522" s="20" t="s">
        <v>659</v>
      </c>
      <c r="O522" s="20" t="s">
        <v>2143</v>
      </c>
      <c r="P522" s="20" t="s">
        <v>55</v>
      </c>
      <c r="Q522" s="20"/>
      <c r="R522" s="20" t="s">
        <v>2138</v>
      </c>
      <c r="S522" s="20"/>
      <c r="T522" s="20" t="s">
        <v>2139</v>
      </c>
      <c r="U522" s="20"/>
      <c r="V522" s="20" t="s">
        <v>1449</v>
      </c>
      <c r="W522" s="20" t="s">
        <v>2144</v>
      </c>
      <c r="X522" s="20" t="s">
        <v>2145</v>
      </c>
      <c r="Y522" s="20"/>
      <c r="Z522" s="20" t="s">
        <v>445</v>
      </c>
      <c r="AA522" s="20" t="s">
        <v>2146</v>
      </c>
      <c r="AB522" s="20" t="s">
        <v>2147</v>
      </c>
      <c r="AC522" s="20" t="s">
        <v>1409</v>
      </c>
      <c r="AD522" s="20"/>
      <c r="AE522" s="20" t="s">
        <v>50</v>
      </c>
      <c r="AF522" s="20"/>
      <c r="AG522" s="20" t="s">
        <v>449</v>
      </c>
      <c r="AH522" s="20"/>
    </row>
    <row r="523" spans="1:34" ht="15" customHeight="1" x14ac:dyDescent="0.2">
      <c r="A523" s="19" t="s">
        <v>2148</v>
      </c>
      <c r="B523" s="20"/>
      <c r="C523" s="19"/>
      <c r="D523" s="19" t="s">
        <v>2149</v>
      </c>
      <c r="E523" s="17" t="str">
        <f t="shared" si="80"/>
        <v>Kochiyama</v>
      </c>
      <c r="F523" s="17"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17" t="str">
        <f t="shared" si="81"/>
        <v>2018</v>
      </c>
      <c r="H523" s="17" t="str">
        <f t="shared" si="82"/>
        <v>Kochiyama_etal_2018</v>
      </c>
      <c r="I523" s="17" t="str">
        <f t="shared" ref="I523:I531" si="85">_xlfn.LET(
_xlpm.doi,IF(C523&lt;&gt;"",C523,_xlfn.TEXTAFTER(A523,"https://doi.org/")),
SUBSTITUTE(
SUBSTITUTE(
SUBSTITUTE(
SUBSTITUTE(
_xlpm.doi,
"/","%2F"),
":","%3A"),
"&lt;","%3C"),
"&gt;","%3E")
)</f>
        <v>10.1038%2Fs41598-018-24331-0</v>
      </c>
      <c r="J523" s="17" t="str">
        <f t="shared" si="83"/>
        <v>Kochiyama_etal_2018_ExtendedDataFigure4</v>
      </c>
      <c r="K523" s="17" t="str">
        <f t="shared" si="84"/>
        <v>10.1038%2Fs41598-018-24331-0_ExtendedDataFigure4</v>
      </c>
      <c r="L523" s="17" t="str">
        <f t="array" ref="L523">IFERROR(INDEX(AUTO_Public_TSV_FileList!$A$1:$A$1000,MATCH(TRUE(),EXACT(K523,IFERROR(_xlfn.TEXTBEFORE(AUTO_Public_TSV_FileList!$A$1:$A$1000,".tsv"),"")),0)),"notfound")</f>
        <v>10.1038%2Fs41598-018-24331-0_ExtendedDataFigure4.tsv</v>
      </c>
      <c r="M523" s="19" t="s">
        <v>2150</v>
      </c>
      <c r="N523" s="19" t="s">
        <v>541</v>
      </c>
      <c r="O523" s="20"/>
      <c r="P523" s="20" t="s">
        <v>55</v>
      </c>
      <c r="Q523" s="20"/>
      <c r="R523" s="20"/>
      <c r="S523" s="20"/>
      <c r="T523" s="20"/>
      <c r="U523" s="20"/>
      <c r="V523" s="20"/>
      <c r="W523" s="20"/>
      <c r="X523" s="20"/>
      <c r="Y523" s="20"/>
      <c r="Z523" s="20"/>
      <c r="AA523" s="20"/>
      <c r="AB523" s="20"/>
      <c r="AC523" s="20"/>
      <c r="AD523" s="20"/>
      <c r="AE523" s="20"/>
      <c r="AF523" s="20"/>
      <c r="AG523" s="20"/>
      <c r="AH523" s="20"/>
    </row>
    <row r="524" spans="1:34" ht="15" customHeight="1" x14ac:dyDescent="0.2">
      <c r="A524" s="19" t="s">
        <v>2148</v>
      </c>
      <c r="B524" s="20"/>
      <c r="C524" s="19"/>
      <c r="D524" s="19" t="s">
        <v>2151</v>
      </c>
      <c r="E524" s="17" t="str">
        <f t="shared" si="80"/>
        <v>Kochiyama</v>
      </c>
      <c r="F524" s="17"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7" t="str">
        <f t="shared" si="81"/>
        <v>2018</v>
      </c>
      <c r="H524" s="17" t="str">
        <f t="shared" si="82"/>
        <v>Kochiyama_etal_2018</v>
      </c>
      <c r="I524" s="17" t="str">
        <f t="shared" si="85"/>
        <v>10.1038%2Fs41598-018-24331-0</v>
      </c>
      <c r="J524" s="17" t="str">
        <f t="shared" si="83"/>
        <v>Kochiyama_etal_2018_ExtendedDataTable1</v>
      </c>
      <c r="K524" s="17" t="str">
        <f t="shared" si="84"/>
        <v>10.1038%2Fs41598-018-24331-0_ExtendedDataTable1</v>
      </c>
      <c r="L524" s="17" t="str">
        <f t="array" ref="L524">IFERROR(INDEX(AUTO_Public_TSV_FileList!$A$1:$A$1000,MATCH(TRUE(),EXACT(K524,IFERROR(_xlfn.TEXTBEFORE(AUTO_Public_TSV_FileList!$A$1:$A$1000,".tsv"),"")),0)),"notfound")</f>
        <v>10.1038%2Fs41598-018-24331-0_ExtendedDataTable1.tsv</v>
      </c>
      <c r="M524" s="19" t="s">
        <v>2152</v>
      </c>
      <c r="N524" s="19" t="s">
        <v>54</v>
      </c>
      <c r="O524" s="20"/>
      <c r="P524" s="20" t="s">
        <v>55</v>
      </c>
      <c r="Q524" s="20"/>
      <c r="R524" s="20"/>
      <c r="S524" s="20"/>
      <c r="T524" s="20"/>
      <c r="U524" s="20"/>
      <c r="V524" s="20"/>
      <c r="W524" s="20"/>
      <c r="X524" s="20"/>
      <c r="Y524" s="20"/>
      <c r="Z524" s="20"/>
      <c r="AA524" s="20"/>
      <c r="AB524" s="20"/>
      <c r="AC524" s="20"/>
      <c r="AD524" s="20"/>
      <c r="AE524" s="20"/>
      <c r="AF524" s="20"/>
      <c r="AG524" s="20"/>
      <c r="AH524" s="20"/>
    </row>
    <row r="525" spans="1:34" ht="15" customHeight="1" x14ac:dyDescent="0.2">
      <c r="A525" s="19" t="s">
        <v>2148</v>
      </c>
      <c r="B525" s="20"/>
      <c r="C525" s="19"/>
      <c r="D525" s="19" t="s">
        <v>2153</v>
      </c>
      <c r="E525" s="17" t="str">
        <f t="shared" si="80"/>
        <v>Kochiyama</v>
      </c>
      <c r="F525" s="17"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7" t="str">
        <f t="shared" si="81"/>
        <v>2018</v>
      </c>
      <c r="H525" s="17" t="str">
        <f t="shared" si="82"/>
        <v>Kochiyama_etal_2018</v>
      </c>
      <c r="I525" s="17" t="str">
        <f t="shared" si="85"/>
        <v>10.1038%2Fs41598-018-24331-0</v>
      </c>
      <c r="J525" s="17" t="str">
        <f t="shared" si="83"/>
        <v>Kochiyama_etal_2018_ExtendedDataTable3</v>
      </c>
      <c r="K525" s="17" t="str">
        <f t="shared" si="84"/>
        <v>10.1038%2Fs41598-018-24331-0_ExtendedDataTable3</v>
      </c>
      <c r="L525" s="17" t="str">
        <f t="array" ref="L525">IFERROR(INDEX(AUTO_Public_TSV_FileList!$A$1:$A$1000,MATCH(TRUE(),EXACT(K525,IFERROR(_xlfn.TEXTBEFORE(AUTO_Public_TSV_FileList!$A$1:$A$1000,".tsv"),"")),0)),"notfound")</f>
        <v>10.1038%2Fs41598-018-24331-0_ExtendedDataTable3.tsv</v>
      </c>
      <c r="M525" s="19" t="s">
        <v>2154</v>
      </c>
      <c r="N525" s="19" t="s">
        <v>54</v>
      </c>
      <c r="O525" s="20"/>
      <c r="P525" s="20" t="s">
        <v>55</v>
      </c>
      <c r="Q525" s="20"/>
      <c r="R525" s="20"/>
      <c r="S525" s="20"/>
      <c r="T525" s="20"/>
      <c r="U525" s="20"/>
      <c r="V525" s="20"/>
      <c r="W525" s="20"/>
      <c r="X525" s="20"/>
      <c r="Y525" s="20"/>
      <c r="Z525" s="20"/>
      <c r="AA525" s="20"/>
      <c r="AB525" s="20"/>
      <c r="AC525" s="20"/>
      <c r="AD525" s="20"/>
      <c r="AE525" s="20"/>
      <c r="AF525" s="20"/>
      <c r="AG525" s="20"/>
      <c r="AH525" s="20"/>
    </row>
    <row r="526" spans="1:34" ht="15" customHeight="1" x14ac:dyDescent="0.2">
      <c r="A526" s="19" t="s">
        <v>2148</v>
      </c>
      <c r="B526" s="20"/>
      <c r="C526" s="19"/>
      <c r="D526" s="19" t="s">
        <v>2155</v>
      </c>
      <c r="E526" s="17" t="str">
        <f t="shared" si="80"/>
        <v>Kochiyama</v>
      </c>
      <c r="F526" s="17"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17" t="str">
        <f t="shared" si="81"/>
        <v>2018</v>
      </c>
      <c r="H526" s="17" t="str">
        <f t="shared" si="82"/>
        <v>Kochiyama_etal_2018</v>
      </c>
      <c r="I526" s="17" t="str">
        <f t="shared" si="85"/>
        <v>10.1038%2Fs41598-018-24331-0</v>
      </c>
      <c r="J526" s="17" t="str">
        <f t="shared" si="83"/>
        <v>Kochiyama_etal_2018_Figure3legend</v>
      </c>
      <c r="K526" s="17" t="str">
        <f t="shared" si="84"/>
        <v>10.1038%2Fs41598-018-24331-0_Figure3legend</v>
      </c>
      <c r="L526" s="17" t="str">
        <f t="array" ref="L526">IFERROR(INDEX(AUTO_Public_TSV_FileList!$A$1:$A$1000,MATCH(TRUE(),EXACT(K526,IFERROR(_xlfn.TEXTBEFORE(AUTO_Public_TSV_FileList!$A$1:$A$1000,".tsv"),"")),0)),"notfound")</f>
        <v>10.1038%2Fs41598-018-24331-0_Figure3legend.tsv</v>
      </c>
      <c r="M526" s="19" t="s">
        <v>2156</v>
      </c>
      <c r="N526" s="19" t="s">
        <v>2157</v>
      </c>
      <c r="O526" s="20"/>
      <c r="P526" s="20" t="s">
        <v>55</v>
      </c>
      <c r="Q526" s="20"/>
      <c r="R526" s="20"/>
      <c r="S526" s="20"/>
      <c r="T526" s="20"/>
      <c r="U526" s="20"/>
      <c r="V526" s="20"/>
      <c r="W526" s="20"/>
      <c r="X526" s="20"/>
      <c r="Y526" s="20"/>
      <c r="Z526" s="20"/>
      <c r="AA526" s="20"/>
      <c r="AB526" s="20"/>
      <c r="AC526" s="20"/>
      <c r="AD526" s="20"/>
      <c r="AE526" s="20"/>
      <c r="AF526" s="20"/>
      <c r="AG526" s="20"/>
      <c r="AH526" s="20"/>
    </row>
    <row r="527" spans="1:34" ht="15" customHeight="1" x14ac:dyDescent="0.2">
      <c r="A527" s="19" t="s">
        <v>2148</v>
      </c>
      <c r="B527" s="20"/>
      <c r="C527" s="19"/>
      <c r="D527" s="19" t="s">
        <v>154</v>
      </c>
      <c r="E527" s="17" t="str">
        <f t="shared" si="80"/>
        <v>Kochiyama</v>
      </c>
      <c r="F527" s="17"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17" t="str">
        <f t="shared" si="81"/>
        <v>2018</v>
      </c>
      <c r="H527" s="17" t="str">
        <f t="shared" si="82"/>
        <v>Kochiyama_etal_2018</v>
      </c>
      <c r="I527" s="17" t="str">
        <f t="shared" si="85"/>
        <v>10.1038%2Fs41598-018-24331-0</v>
      </c>
      <c r="J527" s="17" t="str">
        <f t="shared" si="83"/>
        <v>Kochiyama_etal_2018_Figure3A</v>
      </c>
      <c r="K527" s="17" t="str">
        <f t="shared" si="84"/>
        <v>10.1038%2Fs41598-018-24331-0_Figure3A</v>
      </c>
      <c r="L527" s="17" t="str">
        <f t="array" ref="L527">IFERROR(INDEX(AUTO_Public_TSV_FileList!$A$1:$A$1000,MATCH(TRUE(),EXACT(K527,IFERROR(_xlfn.TEXTBEFORE(AUTO_Public_TSV_FileList!$A$1:$A$1000,".tsv"),"")),0)),"notfound")</f>
        <v>10.1038%2Fs41598-018-24331-0_Figure3A.tsv</v>
      </c>
      <c r="M527" s="19" t="s">
        <v>2156</v>
      </c>
      <c r="N527" s="19" t="s">
        <v>541</v>
      </c>
      <c r="O527" s="20"/>
      <c r="P527" s="20" t="s">
        <v>55</v>
      </c>
      <c r="Q527" s="20"/>
      <c r="R527" s="20"/>
      <c r="S527" s="20"/>
      <c r="T527" s="20"/>
      <c r="U527" s="20"/>
      <c r="V527" s="20"/>
      <c r="W527" s="20"/>
      <c r="X527" s="20"/>
      <c r="Y527" s="20"/>
      <c r="Z527" s="20"/>
      <c r="AA527" s="20"/>
      <c r="AB527" s="20"/>
      <c r="AC527" s="20"/>
      <c r="AD527" s="20"/>
      <c r="AE527" s="20"/>
      <c r="AF527" s="20"/>
      <c r="AG527" s="20"/>
      <c r="AH527" s="20"/>
    </row>
    <row r="528" spans="1:34" ht="15" customHeight="1" x14ac:dyDescent="0.2">
      <c r="A528" s="19" t="s">
        <v>2148</v>
      </c>
      <c r="B528" s="20"/>
      <c r="C528" s="19"/>
      <c r="D528" s="19" t="s">
        <v>155</v>
      </c>
      <c r="E528" s="17" t="str">
        <f t="shared" si="80"/>
        <v>Kochiyama</v>
      </c>
      <c r="F528" s="17"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17" t="str">
        <f t="shared" si="81"/>
        <v>2018</v>
      </c>
      <c r="H528" s="17" t="str">
        <f t="shared" si="82"/>
        <v>Kochiyama_etal_2018</v>
      </c>
      <c r="I528" s="17" t="str">
        <f t="shared" si="85"/>
        <v>10.1038%2Fs41598-018-24331-0</v>
      </c>
      <c r="J528" s="17" t="str">
        <f t="shared" si="83"/>
        <v>Kochiyama_etal_2018_Figure3B</v>
      </c>
      <c r="K528" s="17" t="str">
        <f t="shared" si="84"/>
        <v>10.1038%2Fs41598-018-24331-0_Figure3B</v>
      </c>
      <c r="L528" s="17" t="str">
        <f t="array" ref="L528">IFERROR(INDEX(AUTO_Public_TSV_FileList!$A$1:$A$1000,MATCH(TRUE(),EXACT(K528,IFERROR(_xlfn.TEXTBEFORE(AUTO_Public_TSV_FileList!$A$1:$A$1000,".tsv"),"")),0)),"notfound")</f>
        <v>10.1038%2Fs41598-018-24331-0_Figure3B.tsv</v>
      </c>
      <c r="M528" s="19" t="s">
        <v>2156</v>
      </c>
      <c r="N528" s="19" t="s">
        <v>541</v>
      </c>
      <c r="O528" s="20"/>
      <c r="P528" s="20" t="s">
        <v>55</v>
      </c>
      <c r="Q528" s="20"/>
      <c r="R528" s="20"/>
      <c r="S528" s="20"/>
      <c r="T528" s="20"/>
      <c r="U528" s="20"/>
      <c r="V528" s="20"/>
      <c r="W528" s="20"/>
      <c r="X528" s="20"/>
      <c r="Y528" s="20"/>
      <c r="Z528" s="20"/>
      <c r="AA528" s="20"/>
      <c r="AB528" s="20"/>
      <c r="AC528" s="20"/>
      <c r="AD528" s="20"/>
      <c r="AE528" s="20"/>
      <c r="AF528" s="20"/>
      <c r="AG528" s="20"/>
      <c r="AH528" s="20"/>
    </row>
    <row r="529" spans="1:34" ht="15" customHeight="1" x14ac:dyDescent="0.2">
      <c r="A529" s="19" t="s">
        <v>2148</v>
      </c>
      <c r="B529" s="20"/>
      <c r="C529" s="19"/>
      <c r="D529" s="19" t="s">
        <v>2158</v>
      </c>
      <c r="E529" s="17" t="str">
        <f t="shared" si="80"/>
        <v>Kochiyama</v>
      </c>
      <c r="F529" s="17"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17" t="str">
        <f t="shared" si="81"/>
        <v>2018</v>
      </c>
      <c r="H529" s="17" t="str">
        <f t="shared" si="82"/>
        <v>Kochiyama_etal_2018</v>
      </c>
      <c r="I529" s="17" t="str">
        <f t="shared" si="85"/>
        <v>10.1038%2Fs41598-018-24331-0</v>
      </c>
      <c r="J529" s="17" t="str">
        <f t="shared" si="83"/>
        <v>Kochiyama_etal_2018_FossilSpecimensText</v>
      </c>
      <c r="K529" s="17" t="str">
        <f t="shared" si="84"/>
        <v>10.1038%2Fs41598-018-24331-0_FossilSpecimensText</v>
      </c>
      <c r="L529" s="17" t="str">
        <f t="array" ref="L529">IFERROR(INDEX(AUTO_Public_TSV_FileList!$A$1:$A$1000,MATCH(TRUE(),EXACT(K529,IFERROR(_xlfn.TEXTBEFORE(AUTO_Public_TSV_FileList!$A$1:$A$1000,".tsv"),"")),0)),"notfound")</f>
        <v>10.1038%2Fs41598-018-24331-0_FossilSpecimensText.tsv</v>
      </c>
      <c r="M529" s="19" t="s">
        <v>2159</v>
      </c>
      <c r="N529" s="19" t="s">
        <v>54</v>
      </c>
      <c r="O529" s="20"/>
      <c r="P529" s="20" t="s">
        <v>55</v>
      </c>
      <c r="Q529" s="20"/>
      <c r="R529" s="20"/>
      <c r="S529" s="20"/>
      <c r="T529" s="20"/>
      <c r="U529" s="20"/>
      <c r="V529" s="20"/>
      <c r="W529" s="20"/>
      <c r="X529" s="20"/>
      <c r="Y529" s="20"/>
      <c r="Z529" s="20"/>
      <c r="AA529" s="20"/>
      <c r="AB529" s="20"/>
      <c r="AC529" s="20"/>
      <c r="AD529" s="20"/>
      <c r="AE529" s="20"/>
      <c r="AF529" s="20"/>
      <c r="AG529" s="20"/>
      <c r="AH529" s="20"/>
    </row>
    <row r="530" spans="1:34" ht="15" customHeight="1" x14ac:dyDescent="0.2">
      <c r="A530" s="20" t="s">
        <v>2160</v>
      </c>
      <c r="B530" s="20"/>
      <c r="C530" s="20"/>
      <c r="D530" s="20" t="s">
        <v>35</v>
      </c>
      <c r="E530" s="17" t="str">
        <f t="shared" si="80"/>
        <v>Kowiański</v>
      </c>
      <c r="F530" s="17" t="str">
        <f>_xlfn.LET(
_xlpm.authors,_xlfn.TEXTBEFORE(A530," ("&amp;G530&amp;")"),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0" s="17" t="str">
        <f t="shared" si="81"/>
        <v>1999</v>
      </c>
      <c r="H530" s="17" t="str">
        <f t="shared" si="82"/>
        <v>Kowiański_etal_1999</v>
      </c>
      <c r="I530" s="17" t="str">
        <f t="shared" si="85"/>
        <v>10.1159%2F000006581</v>
      </c>
      <c r="J530" s="17" t="str">
        <f t="shared" si="83"/>
        <v>Kowiański_etal_1999_Table1</v>
      </c>
      <c r="K530" s="17" t="str">
        <f t="shared" si="84"/>
        <v>10.1159%2F000006581_Table1</v>
      </c>
      <c r="L530" s="17" t="str">
        <f>IFERROR(INDEX(AUTO_Public_TSV_FileList!$A$1:$A$1000,MATCH(TRUE(),EXACT(K530,IFERROR(_xlfn.TEXTBEFORE(AUTO_Public_TSV_FileList!$A$1:$A$1000,".tsv"),"")),0)),"notfound")</f>
        <v>notfound</v>
      </c>
      <c r="M530" s="20" t="s">
        <v>2161</v>
      </c>
      <c r="N530" s="20" t="s">
        <v>556</v>
      </c>
      <c r="O530" s="20" t="s">
        <v>2162</v>
      </c>
      <c r="P530" s="20" t="s">
        <v>313</v>
      </c>
      <c r="Q530" s="20" t="s">
        <v>2163</v>
      </c>
      <c r="R530" s="20" t="s">
        <v>2164</v>
      </c>
      <c r="S530" s="20" t="s">
        <v>316</v>
      </c>
      <c r="T530" s="20" t="s">
        <v>317</v>
      </c>
      <c r="U530" s="20"/>
      <c r="V530" s="20" t="s">
        <v>2165</v>
      </c>
      <c r="W530" s="20" t="s">
        <v>319</v>
      </c>
      <c r="X530" s="20" t="s">
        <v>2166</v>
      </c>
      <c r="Y530" s="20"/>
      <c r="Z530" s="20"/>
      <c r="AA530" s="20" t="s">
        <v>2167</v>
      </c>
      <c r="AB530" s="20" t="s">
        <v>2168</v>
      </c>
      <c r="AC530" s="20" t="s">
        <v>2169</v>
      </c>
      <c r="AD530" s="20"/>
      <c r="AE530" s="20" t="s">
        <v>50</v>
      </c>
      <c r="AF530" s="20"/>
      <c r="AG530" s="20" t="s">
        <v>324</v>
      </c>
      <c r="AH530" s="20" t="s">
        <v>325</v>
      </c>
    </row>
    <row r="531" spans="1:34" ht="15" customHeight="1" x14ac:dyDescent="0.2">
      <c r="A531" s="20" t="s">
        <v>2160</v>
      </c>
      <c r="B531" s="20"/>
      <c r="C531" s="20"/>
      <c r="D531" s="20" t="s">
        <v>2170</v>
      </c>
      <c r="E531" s="17" t="str">
        <f t="shared" si="80"/>
        <v>Kowiański</v>
      </c>
      <c r="F531" s="17" t="str">
        <f>_xlfn.LET(
_xlpm.authors,_xlfn.TEXTBEFORE(A531," ("&amp;G531&amp;")"),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1" s="17" t="str">
        <f t="shared" si="81"/>
        <v>1999</v>
      </c>
      <c r="H531" s="17" t="str">
        <f t="shared" si="82"/>
        <v>Kowiański_etal_1999</v>
      </c>
      <c r="I531" s="17" t="str">
        <f t="shared" si="85"/>
        <v>10.1159%2F000006581</v>
      </c>
      <c r="J531" s="17" t="str">
        <f t="shared" si="83"/>
        <v>Kowiański_etal_1999_Table2</v>
      </c>
      <c r="K531" s="17" t="str">
        <f t="shared" si="84"/>
        <v>10.1159%2F000006581_Table2</v>
      </c>
      <c r="L531" s="17" t="str">
        <f>IFERROR(INDEX(AUTO_Public_TSV_FileList!$A$1:$A$1000,MATCH(TRUE(),EXACT(K531,IFERROR(_xlfn.TEXTBEFORE(AUTO_Public_TSV_FileList!$A$1:$A$1000,".tsv"),"")),0)),"notfound")</f>
        <v>notfound</v>
      </c>
      <c r="M531" s="20" t="s">
        <v>2171</v>
      </c>
      <c r="N531" s="20" t="s">
        <v>556</v>
      </c>
      <c r="O531" s="20" t="s">
        <v>2162</v>
      </c>
      <c r="P531" s="20" t="s">
        <v>313</v>
      </c>
      <c r="Q531" s="20" t="s">
        <v>2172</v>
      </c>
      <c r="R531" s="20" t="s">
        <v>2164</v>
      </c>
      <c r="S531" s="20" t="s">
        <v>316</v>
      </c>
      <c r="T531" s="20" t="s">
        <v>317</v>
      </c>
      <c r="U531" s="20"/>
      <c r="V531" s="20" t="s">
        <v>2165</v>
      </c>
      <c r="W531" s="20" t="s">
        <v>319</v>
      </c>
      <c r="X531" s="20" t="s">
        <v>2173</v>
      </c>
      <c r="Y531" s="20"/>
      <c r="Z531" s="20"/>
      <c r="AA531" s="20" t="s">
        <v>2167</v>
      </c>
      <c r="AB531" s="20" t="s">
        <v>2168</v>
      </c>
      <c r="AC531" s="20" t="s">
        <v>2169</v>
      </c>
      <c r="AD531" s="20"/>
      <c r="AE531" s="20" t="s">
        <v>50</v>
      </c>
      <c r="AF531" s="20"/>
      <c r="AG531" s="20" t="s">
        <v>324</v>
      </c>
      <c r="AH531" s="20" t="s">
        <v>325</v>
      </c>
    </row>
    <row r="532" spans="1:34" ht="15" customHeight="1" x14ac:dyDescent="0.2">
      <c r="A532" s="20" t="s">
        <v>2174</v>
      </c>
      <c r="B532" s="20"/>
      <c r="C532" s="20"/>
      <c r="D532" s="20" t="s">
        <v>160</v>
      </c>
      <c r="E532" s="18" t="str">
        <f t="shared" si="80"/>
        <v>Krompecher</v>
      </c>
      <c r="F532" s="17"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532" s="17" t="str">
        <f t="shared" si="81"/>
        <v>1966</v>
      </c>
      <c r="H532" s="18" t="str">
        <f t="shared" si="82"/>
        <v>Krompecher_Lipak_1966</v>
      </c>
      <c r="I532" s="18" t="str">
        <f>_xlfn.LET(_xlpm.doi,IF(C532&lt;&gt;"",C532,_xlfn.TEXTAFTER(A532,"https://doi.org/")),SUBSTITUTE(SUBSTITUTE(SUBSTITUTE(SUBSTITUTE(_xlpm.doi,"/","%2F"),":","%3A"),"&lt;","%3C"),"&gt;","%3E"))</f>
        <v>10.1002%2Fcne.901270108</v>
      </c>
      <c r="J532" s="18" t="str">
        <f t="shared" si="83"/>
        <v>Krompecher_Lipak_1966_Table2</v>
      </c>
      <c r="K532" s="17" t="str">
        <f t="shared" si="84"/>
        <v>10.1002%2Fcne.901270108_Table2</v>
      </c>
      <c r="L532" s="17" t="str">
        <f t="array" ref="L532">IFERROR(INDEX(AUTO_Public_TSV_FileList!$A$1:$A$1000,MATCH(TRUE(),EXACT(K532,IFERROR(_xlfn.TEXTBEFORE(AUTO_Public_TSV_FileList!$A$1:$A$1000,".tsv"),"")),0)),"notfound")</f>
        <v>10.1002%2Fcne.901270108_Table2.tsv</v>
      </c>
      <c r="M532" s="20" t="s">
        <v>2175</v>
      </c>
      <c r="N532" s="20" t="s">
        <v>54</v>
      </c>
      <c r="O532" s="20"/>
      <c r="P532" s="20" t="s">
        <v>55</v>
      </c>
      <c r="Q532" s="20"/>
      <c r="R532" s="20"/>
      <c r="S532" s="20"/>
      <c r="T532" s="20"/>
      <c r="U532" s="20"/>
      <c r="V532" s="20"/>
      <c r="W532" s="20" t="s">
        <v>2176</v>
      </c>
      <c r="X532" s="20" t="s">
        <v>2177</v>
      </c>
      <c r="Y532" s="20" t="s">
        <v>2178</v>
      </c>
      <c r="Z532" s="20" t="s">
        <v>2179</v>
      </c>
      <c r="AA532" s="20" t="s">
        <v>2180</v>
      </c>
      <c r="AB532" s="20" t="s">
        <v>1797</v>
      </c>
      <c r="AC532" s="20"/>
      <c r="AD532" s="20"/>
      <c r="AE532" s="20" t="s">
        <v>70</v>
      </c>
      <c r="AF532" s="20" t="s">
        <v>2181</v>
      </c>
      <c r="AG532" s="20"/>
      <c r="AH532" s="20"/>
    </row>
    <row r="533" spans="1:34" ht="15" customHeight="1" x14ac:dyDescent="0.2">
      <c r="A533" s="19" t="s">
        <v>2182</v>
      </c>
      <c r="B533" s="20"/>
      <c r="C533" s="19"/>
      <c r="D533" s="19" t="s">
        <v>86</v>
      </c>
      <c r="E533" s="17" t="str">
        <f t="shared" si="80"/>
        <v>Krubitzer</v>
      </c>
      <c r="F533" s="17"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533" s="17" t="str">
        <f t="shared" si="81"/>
        <v>1990</v>
      </c>
      <c r="H533" s="17" t="str">
        <f t="shared" si="82"/>
        <v>Krubitzer_Kaas_1990</v>
      </c>
      <c r="I533" s="17" t="str">
        <f>_xlfn.LET(
_xlpm.doi,IF(C533&lt;&gt;"",C533,_xlfn.TEXTAFTER(A533,"https://doi.org/")),
SUBSTITUTE(
SUBSTITUTE(
SUBSTITUTE(
SUBSTITUTE(
_xlpm.doi,
"/","%2F"),
":","%3A"),
"&lt;","%3C"),
"&gt;","%3E")
)</f>
        <v>10.1017%2Fs0952523800000213</v>
      </c>
      <c r="J533" s="17" t="str">
        <f t="shared" si="83"/>
        <v>Krubitzer_Kaas_1990_Table1</v>
      </c>
      <c r="K533" s="17" t="str">
        <f t="shared" si="84"/>
        <v>10.1017%2Fs0952523800000213_Table1</v>
      </c>
      <c r="L533" s="17" t="str">
        <f t="array" ref="L533">IFERROR(INDEX(AUTO_Public_TSV_FileList!$A$1:$A$1000,MATCH(TRUE(),EXACT(K533,IFERROR(_xlfn.TEXTBEFORE(AUTO_Public_TSV_FileList!$A$1:$A$1000,".tsv"),"")),0)),"notfound")</f>
        <v>10.1017%2Fs0952523800000213_Table1.tsv</v>
      </c>
      <c r="M533" s="19" t="s">
        <v>2183</v>
      </c>
      <c r="N533" s="20"/>
      <c r="O533" s="20"/>
      <c r="P533" s="20" t="s">
        <v>55</v>
      </c>
      <c r="Q533" s="20"/>
      <c r="R533" s="20"/>
      <c r="S533" s="20"/>
      <c r="T533" s="20"/>
      <c r="U533" s="20"/>
      <c r="V533" s="20"/>
      <c r="W533" s="20"/>
      <c r="X533" s="20"/>
      <c r="Y533" s="20"/>
      <c r="Z533" s="20"/>
      <c r="AA533" s="20"/>
      <c r="AB533" s="20"/>
      <c r="AC533" s="20"/>
      <c r="AD533" s="20"/>
      <c r="AE533" s="20"/>
      <c r="AF533" s="20"/>
      <c r="AG533" s="20"/>
      <c r="AH533" s="20"/>
    </row>
    <row r="534" spans="1:34" ht="15" customHeight="1" x14ac:dyDescent="0.2">
      <c r="A534" s="20" t="s">
        <v>2184</v>
      </c>
      <c r="B534" s="20"/>
      <c r="C534" s="20"/>
      <c r="D534" s="20" t="s">
        <v>500</v>
      </c>
      <c r="E534" s="18" t="str">
        <f t="shared" si="80"/>
        <v>Krubitzer</v>
      </c>
      <c r="F534" s="17"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17" t="str">
        <f t="shared" si="81"/>
        <v>1997</v>
      </c>
      <c r="H534" s="18" t="str">
        <f t="shared" si="82"/>
        <v>Krubitzer_etal_1997</v>
      </c>
      <c r="I534" s="18" t="str">
        <f>_xlfn.LET(_xlpm.doi,IF(C534&lt;&gt;"",C534,_xlfn.TEXTAFTER(A534,"https://doi.org/")),SUBSTITUTE(SUBSTITUTE(SUBSTITUTE(SUBSTITUTE(_xlpm.doi,"/","%2F"),":","%3A"),"&lt;","%3C"),"&gt;","%3E"))</f>
        <v>10.1002%2F(SICI)1096-9861(19970317)379%3A3%3C399%3A%3AAID-CNE6%3E3.0.CO;2-Z</v>
      </c>
      <c r="J534" s="18" t="str">
        <f t="shared" si="83"/>
        <v>Krubitzer_etal_1997_ResultsText</v>
      </c>
      <c r="K534" s="17" t="str">
        <f t="shared" si="84"/>
        <v>10.1002%2F(SICI)1096-9861(19970317)379%3A3%3C399%3A%3AAID-CNE6%3E3.0.CO;2-Z_ResultsText</v>
      </c>
      <c r="L534" s="17" t="str">
        <f t="array" ref="L534">IFERROR(INDEX(AUTO_Public_TSV_FileList!$A$1:$A$1000,MATCH(TRUE(),EXACT(K534,IFERROR(_xlfn.TEXTBEFORE(AUTO_Public_TSV_FileList!$A$1:$A$1000,".tsv"),"")),0)),"notfound")</f>
        <v>10.1002%2F(SICI)1096-9861(19970317)379%3A3%3C399%3A%3AAID-CNE6%3E3.0.CO;2-Z_ResultsText.tsv</v>
      </c>
      <c r="M534" s="20"/>
      <c r="N534" s="20" t="s">
        <v>2185</v>
      </c>
      <c r="O534" s="20" t="s">
        <v>2186</v>
      </c>
      <c r="P534" s="20" t="s">
        <v>503</v>
      </c>
      <c r="Q534" s="20" t="s">
        <v>2187</v>
      </c>
      <c r="R534" s="20" t="s">
        <v>2188</v>
      </c>
      <c r="S534" s="20" t="s">
        <v>2189</v>
      </c>
      <c r="T534" s="20" t="s">
        <v>2190</v>
      </c>
      <c r="U534" s="20"/>
      <c r="V534" s="20" t="s">
        <v>2191</v>
      </c>
      <c r="W534" s="20" t="s">
        <v>2192</v>
      </c>
      <c r="X534" s="20" t="s">
        <v>2193</v>
      </c>
      <c r="Y534" s="20" t="s">
        <v>2194</v>
      </c>
      <c r="Z534" s="20" t="s">
        <v>586</v>
      </c>
      <c r="AA534" s="20" t="s">
        <v>2195</v>
      </c>
      <c r="AB534" s="20" t="s">
        <v>2196</v>
      </c>
      <c r="AC534" s="20" t="s">
        <v>589</v>
      </c>
      <c r="AD534" s="20"/>
      <c r="AE534" s="20" t="s">
        <v>50</v>
      </c>
      <c r="AF534" s="20"/>
      <c r="AG534" s="20"/>
      <c r="AH534" s="20"/>
    </row>
    <row r="535" spans="1:34" ht="15" customHeight="1" x14ac:dyDescent="0.2">
      <c r="A535" s="21" t="s">
        <v>2197</v>
      </c>
      <c r="B535" s="21"/>
      <c r="C535" s="21"/>
      <c r="D535" s="21" t="s">
        <v>160</v>
      </c>
      <c r="E535" s="18" t="str">
        <f t="shared" si="80"/>
        <v>Kruska</v>
      </c>
      <c r="F535" s="17"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5" s="17" t="str">
        <f t="shared" si="81"/>
        <v>2014</v>
      </c>
      <c r="H535" s="18" t="str">
        <f t="shared" si="82"/>
        <v>Kruska__2014</v>
      </c>
      <c r="I535" s="18" t="str">
        <f>_xlfn.LET(_xlpm.doi,IF(C535&lt;&gt;"",C535,_xlfn.TEXTAFTER(A535,"https://doi.org/")),SUBSTITUTE(SUBSTITUTE(SUBSTITUTE(SUBSTITUTE(_xlpm.doi,"/","%2F"),":","%3A"),"&lt;","%3C"),"&gt;","%3E"))</f>
        <v>10.1016%2Fj.mambio.2013.12.005</v>
      </c>
      <c r="J535" s="18" t="str">
        <f t="shared" si="83"/>
        <v>Kruska__2014_Table2</v>
      </c>
      <c r="K535" s="18" t="str">
        <f t="shared" si="84"/>
        <v>10.1016%2Fj.mambio.2013.12.005_Table2</v>
      </c>
      <c r="L535" s="17" t="str">
        <f t="array" ref="L535">IFERROR(INDEX(AUTO_Public_TSV_FileList!$A$1:$A$1000,MATCH(TRUE(),EXACT(K535,IFERROR(_xlfn.TEXTBEFORE(AUTO_Public_TSV_FileList!$A$1:$A$1000,".tsv"),"")),0)),"notfound")</f>
        <v>10.1016%2Fj.mambio.2013.12.005_Table2.tsv</v>
      </c>
      <c r="M535" s="20" t="s">
        <v>2198</v>
      </c>
      <c r="N535" s="19" t="s">
        <v>54</v>
      </c>
      <c r="O535" s="20"/>
      <c r="P535" s="21" t="s">
        <v>55</v>
      </c>
      <c r="Q535" s="21"/>
      <c r="R535" s="21" t="s">
        <v>2199</v>
      </c>
      <c r="S535" s="21" t="s">
        <v>1061</v>
      </c>
      <c r="T535" s="21" t="s">
        <v>1062</v>
      </c>
      <c r="U535" s="21"/>
      <c r="V535" s="21" t="s">
        <v>2200</v>
      </c>
      <c r="W535" s="21" t="s">
        <v>1359</v>
      </c>
      <c r="X535" s="21" t="s">
        <v>2201</v>
      </c>
      <c r="Y535" s="21" t="s">
        <v>2202</v>
      </c>
      <c r="Z535" s="21"/>
      <c r="AA535" s="21"/>
      <c r="AB535" s="21" t="s">
        <v>2203</v>
      </c>
      <c r="AC535" s="21" t="s">
        <v>205</v>
      </c>
      <c r="AD535" s="21" t="s">
        <v>205</v>
      </c>
      <c r="AE535" s="21" t="s">
        <v>50</v>
      </c>
      <c r="AF535" s="21"/>
      <c r="AG535" s="21" t="s">
        <v>2204</v>
      </c>
      <c r="AH535" s="20"/>
    </row>
    <row r="536" spans="1:34" ht="15" customHeight="1" x14ac:dyDescent="0.2">
      <c r="A536" s="21" t="s">
        <v>2197</v>
      </c>
      <c r="B536" s="21"/>
      <c r="C536" s="21"/>
      <c r="D536" s="21" t="s">
        <v>162</v>
      </c>
      <c r="E536" s="18" t="str">
        <f t="shared" si="80"/>
        <v>Kruska</v>
      </c>
      <c r="F536" s="17"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6" s="17" t="str">
        <f t="shared" si="81"/>
        <v>2014</v>
      </c>
      <c r="H536" s="18" t="str">
        <f t="shared" si="82"/>
        <v>Kruska__2014</v>
      </c>
      <c r="I536" s="18" t="str">
        <f>_xlfn.LET(_xlpm.doi,IF(C536&lt;&gt;"",C536,_xlfn.TEXTAFTER(A536,"https://doi.org/")),SUBSTITUTE(SUBSTITUTE(SUBSTITUTE(SUBSTITUTE(_xlpm.doi,"/","%2F"),":","%3A"),"&lt;","%3C"),"&gt;","%3E"))</f>
        <v>10.1016%2Fj.mambio.2013.12.005</v>
      </c>
      <c r="J536" s="18" t="str">
        <f t="shared" si="83"/>
        <v>Kruska__2014_Table3</v>
      </c>
      <c r="K536" s="18" t="str">
        <f t="shared" si="84"/>
        <v>10.1016%2Fj.mambio.2013.12.005_Table3</v>
      </c>
      <c r="L536" s="17" t="str">
        <f t="array" ref="L536">IFERROR(INDEX(AUTO_Public_TSV_FileList!$A$1:$A$1000,MATCH(TRUE(),EXACT(K536,IFERROR(_xlfn.TEXTBEFORE(AUTO_Public_TSV_FileList!$A$1:$A$1000,".tsv"),"")),0)),"notfound")</f>
        <v>10.1016%2Fj.mambio.2013.12.005_Table3.tsv</v>
      </c>
      <c r="M536" s="20" t="s">
        <v>2205</v>
      </c>
      <c r="N536" s="19" t="s">
        <v>54</v>
      </c>
      <c r="O536" s="20"/>
      <c r="P536" s="21" t="s">
        <v>55</v>
      </c>
      <c r="Q536" s="21"/>
      <c r="R536" s="21" t="s">
        <v>2199</v>
      </c>
      <c r="S536" s="21" t="s">
        <v>1061</v>
      </c>
      <c r="T536" s="21" t="s">
        <v>1062</v>
      </c>
      <c r="U536" s="21"/>
      <c r="V536" s="21" t="s">
        <v>2200</v>
      </c>
      <c r="W536" s="21" t="s">
        <v>1359</v>
      </c>
      <c r="X536" s="21" t="s">
        <v>2201</v>
      </c>
      <c r="Y536" s="21" t="s">
        <v>2202</v>
      </c>
      <c r="Z536" s="21"/>
      <c r="AA536" s="21"/>
      <c r="AB536" s="21" t="s">
        <v>2203</v>
      </c>
      <c r="AC536" s="21" t="s">
        <v>205</v>
      </c>
      <c r="AD536" s="21" t="s">
        <v>205</v>
      </c>
      <c r="AE536" s="21" t="s">
        <v>50</v>
      </c>
      <c r="AF536" s="21"/>
      <c r="AG536" s="21" t="s">
        <v>2204</v>
      </c>
      <c r="AH536" s="20"/>
    </row>
    <row r="537" spans="1:34" ht="15" customHeight="1" x14ac:dyDescent="0.2">
      <c r="A537" s="21" t="s">
        <v>2206</v>
      </c>
      <c r="B537" s="21"/>
      <c r="C537" s="21"/>
      <c r="D537" s="21" t="s">
        <v>160</v>
      </c>
      <c r="E537" s="18" t="str">
        <f t="shared" si="80"/>
        <v>Kruska</v>
      </c>
      <c r="F537" s="17"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537" s="17" t="str">
        <f t="shared" si="81"/>
        <v>1974</v>
      </c>
      <c r="H537" s="18" t="str">
        <f t="shared" si="82"/>
        <v>Kruska_Rohrs_1974</v>
      </c>
      <c r="I537" s="18" t="str">
        <f>_xlfn.LET(_xlpm.doi,IF(C537&lt;&gt;"",C537,_xlfn.TEXTAFTER(A537,"https://doi.org/")),SUBSTITUTE(SUBSTITUTE(SUBSTITUTE(SUBSTITUTE(_xlpm.doi,"/","%2F"),":","%3A"),"&lt;","%3C"),"&gt;","%3E"))</f>
        <v>10.1007%2Fbf00518633</v>
      </c>
      <c r="J537" s="18" t="str">
        <f t="shared" si="83"/>
        <v>Kruska_Rohrs_1974_Table2</v>
      </c>
      <c r="K537" s="18" t="str">
        <f t="shared" si="84"/>
        <v>10.1007%2Fbf00518633_Table2</v>
      </c>
      <c r="L537" s="17" t="str">
        <f t="array" ref="L537">IFERROR(INDEX(AUTO_Public_TSV_FileList!$A$1:$A$1000,MATCH(TRUE(),EXACT(K537,IFERROR(_xlfn.TEXTBEFORE(AUTO_Public_TSV_FileList!$A$1:$A$1000,".tsv"),"")),0)),"notfound")</f>
        <v>10.1007%2Fbf00518633_Table2.tsv</v>
      </c>
      <c r="M537" s="20"/>
      <c r="N537" s="19" t="s">
        <v>54</v>
      </c>
      <c r="O537" s="20"/>
      <c r="P537" s="21" t="s">
        <v>55</v>
      </c>
      <c r="Q537" s="21"/>
      <c r="R537" s="21"/>
      <c r="S537" s="21" t="s">
        <v>1061</v>
      </c>
      <c r="T537" s="21" t="s">
        <v>1062</v>
      </c>
      <c r="U537" s="21"/>
      <c r="V537" s="21" t="s">
        <v>1063</v>
      </c>
      <c r="W537" s="21" t="s">
        <v>1232</v>
      </c>
      <c r="X537" s="21" t="s">
        <v>2207</v>
      </c>
      <c r="Y537" s="21"/>
      <c r="Z537" s="21"/>
      <c r="AA537" s="21" t="s">
        <v>2208</v>
      </c>
      <c r="AB537" s="21" t="s">
        <v>2203</v>
      </c>
      <c r="AC537" s="20"/>
      <c r="AD537" s="21"/>
      <c r="AE537" s="21" t="s">
        <v>50</v>
      </c>
      <c r="AF537" s="21"/>
      <c r="AG537" s="21" t="s">
        <v>2209</v>
      </c>
      <c r="AH537" s="20"/>
    </row>
    <row r="538" spans="1:34" ht="15" customHeight="1" x14ac:dyDescent="0.2">
      <c r="A538" s="21" t="s">
        <v>2206</v>
      </c>
      <c r="B538" s="21"/>
      <c r="C538" s="21"/>
      <c r="D538" s="21" t="s">
        <v>162</v>
      </c>
      <c r="E538" s="18" t="str">
        <f t="shared" si="80"/>
        <v>Kruska</v>
      </c>
      <c r="F538" s="17"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538" s="17" t="str">
        <f t="shared" si="81"/>
        <v>1974</v>
      </c>
      <c r="H538" s="18" t="str">
        <f t="shared" si="82"/>
        <v>Kruska_Rohrs_1974</v>
      </c>
      <c r="I538" s="18" t="str">
        <f>_xlfn.LET(_xlpm.doi,IF(C538&lt;&gt;"",C538,_xlfn.TEXTAFTER(A538,"https://doi.org/")),SUBSTITUTE(SUBSTITUTE(SUBSTITUTE(SUBSTITUTE(_xlpm.doi,"/","%2F"),":","%3A"),"&lt;","%3C"),"&gt;","%3E"))</f>
        <v>10.1007%2Fbf00518633</v>
      </c>
      <c r="J538" s="18" t="str">
        <f t="shared" si="83"/>
        <v>Kruska_Rohrs_1974_Table3</v>
      </c>
      <c r="K538" s="18" t="str">
        <f t="shared" si="84"/>
        <v>10.1007%2Fbf00518633_Table3</v>
      </c>
      <c r="L538" s="17" t="str">
        <f t="array" ref="L538">IFERROR(INDEX(AUTO_Public_TSV_FileList!$A$1:$A$1000,MATCH(TRUE(),EXACT(K538,IFERROR(_xlfn.TEXTBEFORE(AUTO_Public_TSV_FileList!$A$1:$A$1000,".tsv"),"")),0)),"notfound")</f>
        <v>10.1007%2Fbf00518633_Table3.tsv</v>
      </c>
      <c r="M538" s="20"/>
      <c r="N538" s="19" t="s">
        <v>54</v>
      </c>
      <c r="O538" s="20"/>
      <c r="P538" s="21" t="s">
        <v>55</v>
      </c>
      <c r="Q538" s="21"/>
      <c r="R538" s="21"/>
      <c r="S538" s="21" t="s">
        <v>1061</v>
      </c>
      <c r="T538" s="21" t="s">
        <v>1062</v>
      </c>
      <c r="U538" s="21"/>
      <c r="V538" s="21" t="s">
        <v>1063</v>
      </c>
      <c r="W538" s="21" t="s">
        <v>1232</v>
      </c>
      <c r="X538" s="21" t="s">
        <v>2207</v>
      </c>
      <c r="Y538" s="21"/>
      <c r="Z538" s="21"/>
      <c r="AA538" s="21" t="s">
        <v>2208</v>
      </c>
      <c r="AB538" s="21" t="s">
        <v>2203</v>
      </c>
      <c r="AC538" s="20"/>
      <c r="AD538" s="21"/>
      <c r="AE538" s="21" t="s">
        <v>50</v>
      </c>
      <c r="AF538" s="21"/>
      <c r="AG538" s="21" t="s">
        <v>2209</v>
      </c>
      <c r="AH538" s="20"/>
    </row>
    <row r="539" spans="1:34" ht="15" customHeight="1" x14ac:dyDescent="0.2">
      <c r="A539" s="19" t="s">
        <v>2210</v>
      </c>
      <c r="B539" s="20"/>
      <c r="C539" s="20"/>
      <c r="D539" s="19" t="s">
        <v>86</v>
      </c>
      <c r="E539" s="17" t="str">
        <f t="shared" si="80"/>
        <v>Kverkova</v>
      </c>
      <c r="F539" s="17"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7" t="str">
        <f t="shared" si="81"/>
        <v>2018</v>
      </c>
      <c r="H539" s="17" t="str">
        <f t="shared" si="82"/>
        <v>Kverkova_etal_2018</v>
      </c>
      <c r="I539" s="17" t="str">
        <f t="shared" ref="I539:I544" si="86">_xlfn.LET(
_xlpm.doi,IF(C539&lt;&gt;"",C539,_xlfn.TEXTAFTER(A539,"https://doi.org/")),
SUBSTITUTE(
SUBSTITUTE(
SUBSTITUTE(
SUBSTITUTE(
_xlpm.doi,
"/","%2F"),
":","%3A"),
"&lt;","%3C"),
"&gt;","%3E")
)</f>
        <v>10.1038%2Fs41598-018-26062-8</v>
      </c>
      <c r="J539" s="17" t="str">
        <f t="shared" si="83"/>
        <v>Kverkova_etal_2018_Table1</v>
      </c>
      <c r="K539" s="17" t="str">
        <f t="shared" si="84"/>
        <v>10.1038%2Fs41598-018-26062-8_Table1</v>
      </c>
      <c r="L539" s="17" t="str">
        <f t="array" ref="L539">IFERROR(INDEX(AUTO_Public_TSV_FileList!$A$1:$A$1000,MATCH(TRUE(),EXACT(K539,IFERROR(_xlfn.TEXTBEFORE(AUTO_Public_TSV_FileList!$A$1:$A$1000,".tsv"),"")),0)),"notfound")</f>
        <v>10.1038%2Fs41598-018-26062-8_Table1.tsv</v>
      </c>
      <c r="M539" s="19" t="s">
        <v>2211</v>
      </c>
      <c r="N539" s="19" t="s">
        <v>54</v>
      </c>
      <c r="O539" s="20"/>
      <c r="P539" s="19" t="s">
        <v>55</v>
      </c>
      <c r="Q539" s="19"/>
      <c r="R539" s="20"/>
      <c r="S539" s="20"/>
      <c r="T539" s="20"/>
      <c r="U539" s="20"/>
      <c r="V539" s="20"/>
      <c r="W539" s="19" t="s">
        <v>2212</v>
      </c>
      <c r="X539" s="19" t="s">
        <v>1761</v>
      </c>
      <c r="Y539" s="20"/>
      <c r="Z539" s="20"/>
      <c r="AA539" s="20"/>
      <c r="AB539" s="19"/>
      <c r="AC539" s="19" t="s">
        <v>2213</v>
      </c>
      <c r="AD539" s="19" t="s">
        <v>2213</v>
      </c>
      <c r="AE539" s="19" t="s">
        <v>50</v>
      </c>
      <c r="AF539" s="19"/>
      <c r="AG539" s="20"/>
      <c r="AH539" s="20"/>
    </row>
    <row r="540" spans="1:34" ht="15" customHeight="1" x14ac:dyDescent="0.2">
      <c r="A540" s="19" t="s">
        <v>2210</v>
      </c>
      <c r="B540" s="20"/>
      <c r="C540" s="20"/>
      <c r="D540" s="19" t="s">
        <v>390</v>
      </c>
      <c r="E540" s="17" t="str">
        <f t="shared" si="80"/>
        <v>Kverkova</v>
      </c>
      <c r="F540" s="17"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17" t="str">
        <f t="shared" si="81"/>
        <v>2018</v>
      </c>
      <c r="H540" s="17" t="str">
        <f t="shared" si="82"/>
        <v>Kverkova_etal_2018</v>
      </c>
      <c r="I540" s="17" t="str">
        <f t="shared" si="86"/>
        <v>10.1038%2Fs41598-018-26062-8</v>
      </c>
      <c r="J540" s="17" t="str">
        <f t="shared" si="83"/>
        <v>Kverkova_etal_2018_TableS1</v>
      </c>
      <c r="K540" s="17" t="str">
        <f t="shared" si="84"/>
        <v>10.1038%2Fs41598-018-26062-8_TableS1</v>
      </c>
      <c r="L540" s="17" t="str">
        <f t="array" ref="L540">IFERROR(INDEX(AUTO_Public_TSV_FileList!$A$1:$A$1000,MATCH(TRUE(),EXACT(K540,IFERROR(_xlfn.TEXTBEFORE(AUTO_Public_TSV_FileList!$A$1:$A$1000,".tsv"),"")),0)),"notfound")</f>
        <v>10.1038%2Fs41598-018-26062-8_TableS1.tsv</v>
      </c>
      <c r="M540" s="19" t="s">
        <v>2214</v>
      </c>
      <c r="N540" s="19" t="s">
        <v>54</v>
      </c>
      <c r="O540" s="20"/>
      <c r="P540" s="19" t="s">
        <v>55</v>
      </c>
      <c r="Q540" s="19"/>
      <c r="R540" s="19" t="s">
        <v>2215</v>
      </c>
      <c r="S540" s="20"/>
      <c r="T540" s="20"/>
      <c r="U540" s="20"/>
      <c r="V540" s="20"/>
      <c r="W540" s="19" t="s">
        <v>2212</v>
      </c>
      <c r="X540" s="19" t="s">
        <v>1738</v>
      </c>
      <c r="Y540" s="20"/>
      <c r="Z540" s="20"/>
      <c r="AA540" s="20"/>
      <c r="AB540" s="19" t="s">
        <v>1739</v>
      </c>
      <c r="AC540" s="19" t="s">
        <v>2213</v>
      </c>
      <c r="AD540" s="19" t="s">
        <v>2213</v>
      </c>
      <c r="AE540" s="19" t="s">
        <v>50</v>
      </c>
      <c r="AF540" s="19"/>
      <c r="AG540" s="20"/>
      <c r="AH540" s="20"/>
    </row>
    <row r="541" spans="1:34" ht="15" customHeight="1" x14ac:dyDescent="0.2">
      <c r="A541" s="19" t="s">
        <v>2210</v>
      </c>
      <c r="B541" s="20"/>
      <c r="C541" s="20"/>
      <c r="D541" s="19" t="s">
        <v>1998</v>
      </c>
      <c r="E541" s="17" t="str">
        <f t="shared" si="80"/>
        <v>Kverkova</v>
      </c>
      <c r="F541" s="17"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17" t="str">
        <f t="shared" si="81"/>
        <v>2018</v>
      </c>
      <c r="H541" s="17" t="str">
        <f t="shared" si="82"/>
        <v>Kverkova_etal_2018</v>
      </c>
      <c r="I541" s="17" t="str">
        <f t="shared" si="86"/>
        <v>10.1038%2Fs41598-018-26062-8</v>
      </c>
      <c r="J541" s="17" t="str">
        <f t="shared" si="83"/>
        <v>Kverkova_etal_2018_TableS5</v>
      </c>
      <c r="K541" s="17" t="str">
        <f t="shared" si="84"/>
        <v>10.1038%2Fs41598-018-26062-8_TableS5</v>
      </c>
      <c r="L541" s="17" t="str">
        <f t="array" ref="L541">IFERROR(INDEX(AUTO_Public_TSV_FileList!$A$1:$A$1000,MATCH(TRUE(),EXACT(K541,IFERROR(_xlfn.TEXTBEFORE(AUTO_Public_TSV_FileList!$A$1:$A$1000,".tsv"),"")),0)),"notfound")</f>
        <v>10.1038%2Fs41598-018-26062-8_TableS5.tsv</v>
      </c>
      <c r="M541" s="19" t="s">
        <v>2216</v>
      </c>
      <c r="N541" s="19" t="s">
        <v>54</v>
      </c>
      <c r="O541" s="20"/>
      <c r="P541" s="19" t="s">
        <v>55</v>
      </c>
      <c r="Q541" s="19"/>
      <c r="R541" s="19" t="s">
        <v>2215</v>
      </c>
      <c r="S541" s="20"/>
      <c r="T541" s="20"/>
      <c r="U541" s="20"/>
      <c r="V541" s="20"/>
      <c r="W541" s="19" t="s">
        <v>2212</v>
      </c>
      <c r="X541" s="19" t="s">
        <v>2217</v>
      </c>
      <c r="Y541" s="20"/>
      <c r="Z541" s="20"/>
      <c r="AA541" s="19" t="s">
        <v>82</v>
      </c>
      <c r="AB541" s="19" t="s">
        <v>83</v>
      </c>
      <c r="AC541" s="19" t="s">
        <v>2213</v>
      </c>
      <c r="AD541" s="19" t="s">
        <v>2213</v>
      </c>
      <c r="AE541" s="19" t="s">
        <v>50</v>
      </c>
      <c r="AF541" s="19"/>
      <c r="AG541" s="20"/>
      <c r="AH541" s="20"/>
    </row>
    <row r="542" spans="1:34" ht="15" customHeight="1" x14ac:dyDescent="0.2">
      <c r="A542" s="20" t="s">
        <v>2218</v>
      </c>
      <c r="B542" s="20"/>
      <c r="C542" s="20"/>
      <c r="D542" s="20" t="s">
        <v>326</v>
      </c>
      <c r="E542" s="17" t="str">
        <f t="shared" si="80"/>
        <v>Laska</v>
      </c>
      <c r="F542" s="17" t="str">
        <f>_xlfn.LET(
_xlpm.authors,_xlfn.TEXTBEFORE(A542," ("&amp;G542&amp;")"),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42" s="17" t="str">
        <f t="shared" si="81"/>
        <v>2008</v>
      </c>
      <c r="H542" s="17" t="str">
        <f t="shared" si="82"/>
        <v>Laska_etal_2008</v>
      </c>
      <c r="I542" s="17" t="str">
        <f t="shared" si="86"/>
        <v>10.1002%2Fajp.20558</v>
      </c>
      <c r="J542" s="17" t="str">
        <f t="shared" si="83"/>
        <v>Laska_etal_2008_Figure5</v>
      </c>
      <c r="K542" s="17" t="str">
        <f t="shared" si="84"/>
        <v>10.1002%2Fajp.20558_Figure5</v>
      </c>
      <c r="L542" s="17" t="str">
        <f>IFERROR(INDEX(AUTO_Public_TSV_FileList!$A$1:$A$1000,MATCH(TRUE(),EXACT(K542,IFERROR(_xlfn.TEXTBEFORE(AUTO_Public_TSV_FileList!$A$1:$A$1000,".tsv"),"")),0)),"notfound")</f>
        <v>notfound</v>
      </c>
      <c r="M542" s="20" t="s">
        <v>326</v>
      </c>
      <c r="N542" s="20" t="s">
        <v>311</v>
      </c>
      <c r="O542" s="20" t="s">
        <v>2219</v>
      </c>
      <c r="P542" s="20" t="s">
        <v>313</v>
      </c>
      <c r="Q542" s="20" t="s">
        <v>2220</v>
      </c>
      <c r="R542" s="20" t="s">
        <v>2221</v>
      </c>
      <c r="S542" s="20" t="s">
        <v>316</v>
      </c>
      <c r="T542" s="20" t="s">
        <v>317</v>
      </c>
      <c r="U542" s="20"/>
      <c r="V542" s="20" t="s">
        <v>318</v>
      </c>
      <c r="W542" s="20" t="s">
        <v>319</v>
      </c>
      <c r="X542" s="20" t="s">
        <v>2222</v>
      </c>
      <c r="Y542" s="20"/>
      <c r="Z542" s="20"/>
      <c r="AA542" s="20" t="s">
        <v>2223</v>
      </c>
      <c r="AB542" s="20" t="s">
        <v>2224</v>
      </c>
      <c r="AC542" s="20" t="s">
        <v>2225</v>
      </c>
      <c r="AD542" s="20"/>
      <c r="AE542" s="20" t="s">
        <v>50</v>
      </c>
      <c r="AF542" s="20"/>
      <c r="AG542" s="20" t="s">
        <v>324</v>
      </c>
      <c r="AH542" s="20" t="s">
        <v>325</v>
      </c>
    </row>
    <row r="543" spans="1:34" ht="15" customHeight="1" x14ac:dyDescent="0.2">
      <c r="A543" s="20" t="s">
        <v>2226</v>
      </c>
      <c r="B543" s="20"/>
      <c r="C543" s="20"/>
      <c r="D543" s="20" t="s">
        <v>35</v>
      </c>
      <c r="E543" s="17" t="str">
        <f t="shared" si="80"/>
        <v>Laska</v>
      </c>
      <c r="F543" s="17" t="str">
        <f>_xlfn.LET(
_xlpm.authors,_xlfn.TEXTBEFORE(A543," ("&amp;G543&amp;")"),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43" s="17" t="str">
        <f t="shared" si="81"/>
        <v>2009</v>
      </c>
      <c r="H543" s="17" t="str">
        <f t="shared" si="82"/>
        <v>Laska_etal_2009</v>
      </c>
      <c r="I543" s="17" t="str">
        <f t="shared" si="86"/>
        <v>10.1007%2Fs10886-009-9630-8</v>
      </c>
      <c r="J543" s="17" t="str">
        <f t="shared" si="83"/>
        <v>Laska_etal_2009_Table1</v>
      </c>
      <c r="K543" s="17" t="str">
        <f t="shared" si="84"/>
        <v>10.1007%2Fs10886-009-9630-8_Table1</v>
      </c>
      <c r="L543" s="17" t="str">
        <f>IFERROR(INDEX(AUTO_Public_TSV_FileList!$A$1:$A$1000,MATCH(TRUE(),EXACT(K543,IFERROR(_xlfn.TEXTBEFORE(AUTO_Public_TSV_FileList!$A$1:$A$1000,".tsv"),"")),0)),"notfound")</f>
        <v>notfound</v>
      </c>
      <c r="M543" s="20" t="s">
        <v>35</v>
      </c>
      <c r="N543" s="20" t="s">
        <v>556</v>
      </c>
      <c r="O543" s="20" t="s">
        <v>2227</v>
      </c>
      <c r="P543" s="20" t="s">
        <v>313</v>
      </c>
      <c r="Q543" s="20" t="s">
        <v>2228</v>
      </c>
      <c r="R543" s="20" t="s">
        <v>2229</v>
      </c>
      <c r="S543" s="20" t="s">
        <v>316</v>
      </c>
      <c r="T543" s="20" t="s">
        <v>317</v>
      </c>
      <c r="U543" s="20"/>
      <c r="V543" s="20" t="s">
        <v>318</v>
      </c>
      <c r="W543" s="20" t="s">
        <v>319</v>
      </c>
      <c r="X543" s="20" t="s">
        <v>2230</v>
      </c>
      <c r="Y543" s="20"/>
      <c r="Z543" s="20"/>
      <c r="AA543" s="20" t="s">
        <v>2231</v>
      </c>
      <c r="AB543" s="20" t="s">
        <v>2224</v>
      </c>
      <c r="AC543" s="20" t="s">
        <v>2232</v>
      </c>
      <c r="AD543" s="20"/>
      <c r="AE543" s="20" t="s">
        <v>50</v>
      </c>
      <c r="AF543" s="20"/>
      <c r="AG543" s="20" t="s">
        <v>324</v>
      </c>
      <c r="AH543" s="20" t="s">
        <v>325</v>
      </c>
    </row>
    <row r="544" spans="1:34" ht="15" customHeight="1" x14ac:dyDescent="0.2">
      <c r="A544" s="20" t="s">
        <v>2233</v>
      </c>
      <c r="B544" s="20"/>
      <c r="C544" s="20"/>
      <c r="D544" s="20" t="s">
        <v>35</v>
      </c>
      <c r="E544" s="17" t="str">
        <f t="shared" si="80"/>
        <v>Laska</v>
      </c>
      <c r="F544" s="17" t="str">
        <f>_xlfn.LET(
_xlpm.authors,_xlfn.TEXTBEFORE(A544," ("&amp;G544&amp;")"),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44" s="17" t="str">
        <f t="shared" si="81"/>
        <v>2003</v>
      </c>
      <c r="H544" s="17" t="str">
        <f t="shared" si="82"/>
        <v>Laska_etal_2003</v>
      </c>
      <c r="I544" s="17" t="str">
        <f t="shared" si="86"/>
        <v>10.1023%2FB%3AJOEC.0000008009.85523.7a</v>
      </c>
      <c r="J544" s="17" t="str">
        <f t="shared" si="83"/>
        <v>Laska_etal_2003_Table1</v>
      </c>
      <c r="K544" s="17" t="str">
        <f t="shared" si="84"/>
        <v>10.1023%2FB%3AJOEC.0000008009.85523.7a_Table1</v>
      </c>
      <c r="L544" s="17" t="str">
        <f>IFERROR(INDEX(AUTO_Public_TSV_FileList!$A$1:$A$1000,MATCH(TRUE(),EXACT(K544,IFERROR(_xlfn.TEXTBEFORE(AUTO_Public_TSV_FileList!$A$1:$A$1000,".tsv"),"")),0)),"notfound")</f>
        <v>notfound</v>
      </c>
      <c r="M544" s="20" t="s">
        <v>35</v>
      </c>
      <c r="N544" s="20" t="s">
        <v>556</v>
      </c>
      <c r="O544" s="20" t="s">
        <v>2234</v>
      </c>
      <c r="P544" s="20" t="s">
        <v>313</v>
      </c>
      <c r="Q544" s="20" t="s">
        <v>2235</v>
      </c>
      <c r="R544" s="20" t="s">
        <v>2236</v>
      </c>
      <c r="S544" s="20" t="s">
        <v>316</v>
      </c>
      <c r="T544" s="20" t="s">
        <v>317</v>
      </c>
      <c r="U544" s="20"/>
      <c r="V544" s="20" t="s">
        <v>318</v>
      </c>
      <c r="W544" s="20" t="s">
        <v>319</v>
      </c>
      <c r="X544" s="20" t="s">
        <v>2237</v>
      </c>
      <c r="Y544" s="20"/>
      <c r="Z544" s="20"/>
      <c r="AA544" s="20" t="s">
        <v>2238</v>
      </c>
      <c r="AB544" s="20" t="s">
        <v>2224</v>
      </c>
      <c r="AC544" s="20" t="s">
        <v>2239</v>
      </c>
      <c r="AD544" s="20"/>
      <c r="AE544" s="20" t="s">
        <v>50</v>
      </c>
      <c r="AF544" s="20"/>
      <c r="AG544" s="20" t="s">
        <v>324</v>
      </c>
      <c r="AH544" s="20" t="s">
        <v>325</v>
      </c>
    </row>
    <row r="545" spans="1:34" ht="15" customHeight="1" x14ac:dyDescent="0.2">
      <c r="A545" s="21" t="s">
        <v>2240</v>
      </c>
      <c r="B545" s="21"/>
      <c r="C545" s="21"/>
      <c r="D545" s="21" t="s">
        <v>86</v>
      </c>
      <c r="E545" s="18" t="str">
        <f t="shared" si="80"/>
        <v>Lassek</v>
      </c>
      <c r="F545" s="17"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545" s="17" t="str">
        <f t="shared" si="81"/>
        <v>1940</v>
      </c>
      <c r="H545" s="18" t="str">
        <f t="shared" si="82"/>
        <v>Lassek_Rasmussen_1940</v>
      </c>
      <c r="I545" s="18" t="str">
        <f>_xlfn.LET(_xlpm.doi,IF(C545&lt;&gt;"",C545,_xlfn.TEXTAFTER(A545,"https://doi.org/")),SUBSTITUTE(SUBSTITUTE(SUBSTITUTE(SUBSTITUTE(_xlpm.doi,"/","%2F"),":","%3A"),"&lt;","%3C"),"&gt;","%3E"))</f>
        <v>10.1002%2Fcne.900720209</v>
      </c>
      <c r="J545" s="18" t="str">
        <f t="shared" si="83"/>
        <v>Lassek_Rasmussen_1940_Table1</v>
      </c>
      <c r="K545" s="17" t="str">
        <f t="shared" si="84"/>
        <v>10.1002%2Fcne.900720209_Table1</v>
      </c>
      <c r="L545" s="17" t="str">
        <f t="array" ref="L545">IFERROR(INDEX(AUTO_Public_TSV_FileList!$A$1:$A$1000,MATCH(TRUE(),EXACT(K545,IFERROR(_xlfn.TEXTBEFORE(AUTO_Public_TSV_FileList!$A$1:$A$1000,".tsv"),"")),0)),"notfound")</f>
        <v>10.1002%2Fcne.900720209_Table1.tsv</v>
      </c>
      <c r="M545" s="21" t="s">
        <v>2241</v>
      </c>
      <c r="N545" s="21" t="s">
        <v>2242</v>
      </c>
      <c r="O545" s="21" t="s">
        <v>2243</v>
      </c>
      <c r="P545" s="21" t="s">
        <v>2244</v>
      </c>
      <c r="Q545" s="21" t="s">
        <v>2245</v>
      </c>
      <c r="R545" s="21" t="s">
        <v>2246</v>
      </c>
      <c r="S545" s="21"/>
      <c r="T545" s="21" t="s">
        <v>2247</v>
      </c>
      <c r="U545" s="21"/>
      <c r="V545" s="21"/>
      <c r="W545" s="21"/>
      <c r="X545" s="21"/>
      <c r="Y545" s="21"/>
      <c r="Z545" s="21"/>
      <c r="AA545" s="21" t="s">
        <v>2248</v>
      </c>
      <c r="AB545" s="21" t="s">
        <v>2249</v>
      </c>
      <c r="AC545" s="21"/>
      <c r="AD545" s="21"/>
      <c r="AE545" s="21" t="s">
        <v>70</v>
      </c>
      <c r="AF545" s="21"/>
      <c r="AG545" s="21" t="s">
        <v>2250</v>
      </c>
      <c r="AH545" s="21"/>
    </row>
    <row r="546" spans="1:34" ht="15" customHeight="1" x14ac:dyDescent="0.2">
      <c r="A546" s="20" t="s">
        <v>2251</v>
      </c>
      <c r="B546" s="20"/>
      <c r="C546" s="20" t="s">
        <v>2252</v>
      </c>
      <c r="D546" s="20" t="s">
        <v>369</v>
      </c>
      <c r="E546" s="18" t="str">
        <f t="shared" si="80"/>
        <v>Latimer</v>
      </c>
      <c r="F546" s="17"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6" s="17" t="str">
        <f t="shared" si="81"/>
        <v>1942</v>
      </c>
      <c r="H546" s="18" t="str">
        <f t="shared" si="82"/>
        <v>Latimer__1942</v>
      </c>
      <c r="I546" s="18" t="str">
        <f>_xlfn.LET(_xlpm.doi,IF(C546&lt;&gt;"",C546,_xlfn.TEXTAFTER(A546,"https://doi.org/")),SUBSTITUTE(SUBSTITUTE(SUBSTITUTE(SUBSTITUTE(_xlpm.doi,"/","%2F"),":","%3A"),"&lt;","%3C"),"&gt;","%3E"))</f>
        <v>Growth%3A6%3A39-57</v>
      </c>
      <c r="J546" s="18" t="str">
        <f t="shared" si="83"/>
        <v>Latimer__1942_TABLEI</v>
      </c>
      <c r="K546" s="17" t="str">
        <f t="shared" si="84"/>
        <v>Growth%3A6%3A39-57_TABLEI</v>
      </c>
      <c r="L546" s="17" t="str">
        <f t="array" ref="L546">IFERROR(INDEX(AUTO_Public_TSV_FileList!$A$1:$A$1000,MATCH(TRUE(),EXACT(K546,IFERROR(_xlfn.TEXTBEFORE(AUTO_Public_TSV_FileList!$A$1:$A$1000,".tsv"),"")),0)),"notfound")</f>
        <v>Growth%3A6%3A39-57_TABLEI.tsv</v>
      </c>
      <c r="M546" s="20" t="s">
        <v>2253</v>
      </c>
      <c r="N546" s="20" t="s">
        <v>54</v>
      </c>
      <c r="O546" s="20"/>
      <c r="P546" s="20" t="s">
        <v>55</v>
      </c>
      <c r="Q546" s="20"/>
      <c r="R546" s="20"/>
      <c r="S546" s="20"/>
      <c r="T546" s="20"/>
      <c r="U546" s="20"/>
      <c r="V546" s="20"/>
      <c r="W546" s="20" t="s">
        <v>2254</v>
      </c>
      <c r="X546" s="20" t="s">
        <v>2255</v>
      </c>
      <c r="Y546" s="20" t="s">
        <v>2256</v>
      </c>
      <c r="Z546" s="20" t="s">
        <v>2179</v>
      </c>
      <c r="AA546" s="20" t="s">
        <v>2257</v>
      </c>
      <c r="AB546" s="20" t="s">
        <v>2258</v>
      </c>
      <c r="AC546" s="20"/>
      <c r="AD546" s="20"/>
      <c r="AE546" s="20" t="s">
        <v>50</v>
      </c>
      <c r="AF546" s="20"/>
      <c r="AG546" s="20"/>
      <c r="AH546" s="20"/>
    </row>
    <row r="547" spans="1:34" ht="15" customHeight="1" x14ac:dyDescent="0.2">
      <c r="A547" s="20" t="s">
        <v>2259</v>
      </c>
      <c r="B547" s="20"/>
      <c r="C547" s="20"/>
      <c r="D547" s="20" t="s">
        <v>160</v>
      </c>
      <c r="E547" s="18" t="str">
        <f t="shared" si="80"/>
        <v>Latimer</v>
      </c>
      <c r="F547" s="17"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47" s="17" t="str">
        <f t="shared" si="81"/>
        <v>1956</v>
      </c>
      <c r="H547" s="18" t="str">
        <f t="shared" si="82"/>
        <v>Latimer__1956</v>
      </c>
      <c r="I547" s="18" t="str">
        <f>_xlfn.LET(_xlpm.doi,IF(C547&lt;&gt;"",C547,_xlfn.TEXTAFTER(A547,"https://doi.org/")),SUBSTITUTE(SUBSTITUTE(SUBSTITUTE(SUBSTITUTE(_xlpm.doi,"/","%2F"),":","%3A"),"&lt;","%3C"),"&gt;","%3E"))</f>
        <v>10.2307%2F3626308</v>
      </c>
      <c r="J547" s="18" t="str">
        <f t="shared" si="83"/>
        <v>Latimer__1956_Table2</v>
      </c>
      <c r="K547" s="17" t="str">
        <f t="shared" ref="K547:K567" si="87">I547 &amp; "_" &amp; SUBSTITUTE(SUBSTITUTE(SUBSTITUTE(D547,CHAR(160),"")," ",""),"_","")</f>
        <v>10.2307%2F3626308_Table2</v>
      </c>
      <c r="L547" s="17" t="str">
        <f t="array" ref="L547">IFERROR(INDEX(AUTO_Public_TSV_FileList!$A$1:$A$1000,MATCH(TRUE(),EXACT(K547,IFERROR(_xlfn.TEXTBEFORE(AUTO_Public_TSV_FileList!$A$1:$A$1000,".tsv"),"")),0)),"notfound")</f>
        <v>10.2307%2F3626308_Table2.tsv</v>
      </c>
      <c r="M547" s="20" t="s">
        <v>2260</v>
      </c>
      <c r="N547" s="20"/>
      <c r="O547" s="20"/>
      <c r="P547" s="20"/>
      <c r="Q547" s="20"/>
      <c r="R547" s="20"/>
      <c r="S547" s="20"/>
      <c r="T547" s="20"/>
      <c r="U547" s="20"/>
      <c r="V547" s="20"/>
      <c r="W547" s="20"/>
      <c r="X547" s="20"/>
      <c r="Y547" s="20"/>
      <c r="Z547" s="20"/>
      <c r="AA547" s="20"/>
      <c r="AB547" s="20"/>
      <c r="AC547" s="20"/>
      <c r="AD547" s="20"/>
      <c r="AE547" s="20"/>
      <c r="AF547" s="20"/>
      <c r="AG547" s="20"/>
      <c r="AH547" s="20"/>
    </row>
    <row r="548" spans="1:34" ht="15" customHeight="1" x14ac:dyDescent="0.2">
      <c r="A548" s="20" t="s">
        <v>2261</v>
      </c>
      <c r="B548" s="20"/>
      <c r="C548" s="20"/>
      <c r="D548" s="20" t="s">
        <v>2262</v>
      </c>
      <c r="E548" s="17" t="str">
        <f t="shared" si="80"/>
        <v>Lethmate</v>
      </c>
      <c r="F548" s="17" t="str">
        <f>_xlfn.LET(
_xlpm.authors,_xlfn.TEXTBEFORE(A548," ("&amp;G548&amp;")"),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Dücker</v>
      </c>
      <c r="G548" s="17" t="str">
        <f t="shared" si="81"/>
        <v>1973</v>
      </c>
      <c r="H548" s="17" t="str">
        <f t="shared" si="82"/>
        <v>Lethmate_Dücker_1973</v>
      </c>
      <c r="I548" s="17" t="str">
        <f t="shared" ref="I548:I576" si="88">_xlfn.LET(
_xlpm.doi,IF(C548&lt;&gt;"",C548,_xlfn.TEXTAFTER(A548,"https://doi.org/")),
SUBSTITUTE(
SUBSTITUTE(
SUBSTITUTE(
SUBSTITUTE(
_xlpm.doi,
"/","%2F"),
":","%3A"),
"&lt;","%3C"),
"&gt;","%3E")
)</f>
        <v>10.1111%2Fj.1439-0310.1973.tb02094.x</v>
      </c>
      <c r="J548" s="17" t="str">
        <f t="shared" si="83"/>
        <v>Lethmate_Dücker_1973_Table4</v>
      </c>
      <c r="K548" s="17" t="str">
        <f t="shared" si="87"/>
        <v>10.1111%2Fj.1439-0310.1973.tb02094.x_Table4</v>
      </c>
      <c r="L548" s="17" t="str">
        <f>IFERROR(INDEX(AUTO_Public_TSV_FileList!$A$1:$A$1000,MATCH(TRUE(),EXACT(K548,IFERROR(_xlfn.TEXTBEFORE(AUTO_Public_TSV_FileList!$A$1:$A$1000,".tsv"),"")),0)),"notfound")</f>
        <v>notfound</v>
      </c>
      <c r="M548" s="20" t="s">
        <v>2262</v>
      </c>
      <c r="N548" s="20" t="s">
        <v>556</v>
      </c>
      <c r="O548" s="20" t="s">
        <v>2263</v>
      </c>
      <c r="P548" s="20" t="s">
        <v>313</v>
      </c>
      <c r="Q548" s="20" t="s">
        <v>2264</v>
      </c>
      <c r="R548" s="20" t="s">
        <v>2265</v>
      </c>
      <c r="S548" s="20" t="s">
        <v>316</v>
      </c>
      <c r="T548" s="20" t="s">
        <v>317</v>
      </c>
      <c r="U548" s="20"/>
      <c r="V548" s="20" t="s">
        <v>318</v>
      </c>
      <c r="W548" s="20" t="s">
        <v>319</v>
      </c>
      <c r="X548" s="20"/>
      <c r="Y548" s="20"/>
      <c r="Z548" s="20"/>
      <c r="AA548" s="20" t="s">
        <v>2266</v>
      </c>
      <c r="AB548" s="20" t="s">
        <v>609</v>
      </c>
      <c r="AC548" s="20" t="s">
        <v>2267</v>
      </c>
      <c r="AD548" s="20"/>
      <c r="AE548" s="20" t="s">
        <v>70</v>
      </c>
      <c r="AF548" s="20"/>
      <c r="AG548" s="20" t="s">
        <v>324</v>
      </c>
      <c r="AH548" s="20" t="s">
        <v>325</v>
      </c>
    </row>
    <row r="549" spans="1:34" ht="15" customHeight="1" x14ac:dyDescent="0.2">
      <c r="A549" s="20" t="s">
        <v>2268</v>
      </c>
      <c r="B549" s="20" t="s">
        <v>493</v>
      </c>
      <c r="C549" s="20"/>
      <c r="D549" s="20" t="s">
        <v>2170</v>
      </c>
      <c r="E549" s="17" t="str">
        <f t="shared" si="80"/>
        <v>Lewitus</v>
      </c>
      <c r="F549" s="17" t="str">
        <f>_xlfn.LET(
_xlpm.authors,_xlfn.TEXTBEFORE(A549," ("&amp;G549&amp;")"),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49" s="17" t="str">
        <f t="shared" si="81"/>
        <v>2012</v>
      </c>
      <c r="H549" s="17" t="str">
        <f t="shared" si="82"/>
        <v>Lewitus_etal_2012_b</v>
      </c>
      <c r="I549" s="17" t="str">
        <f t="shared" si="88"/>
        <v>10.1111%2Fj.1558-5646.2012.01601.x</v>
      </c>
      <c r="J549" s="17" t="str">
        <f t="shared" si="83"/>
        <v>Lewitus_etal_2012_b_Table2</v>
      </c>
      <c r="K549" s="17" t="str">
        <f t="shared" si="87"/>
        <v>10.1111%2Fj.1558-5646.2012.01601.x_Table2</v>
      </c>
      <c r="L549" s="17" t="str">
        <f>IFERROR(INDEX(AUTO_Public_TSV_FileList!$A$1:$A$1000,MATCH(TRUE(),EXACT(K549,IFERROR(_xlfn.TEXTBEFORE(AUTO_Public_TSV_FileList!$A$1:$A$1000,".tsv"),"")),0)),"notfound")</f>
        <v>notfound</v>
      </c>
      <c r="M549" s="20" t="s">
        <v>2269</v>
      </c>
      <c r="N549" s="20" t="s">
        <v>2270</v>
      </c>
      <c r="O549" s="20" t="s">
        <v>2271</v>
      </c>
      <c r="P549" s="20" t="s">
        <v>39</v>
      </c>
      <c r="Q549" s="20" t="s">
        <v>2272</v>
      </c>
      <c r="R549" s="20" t="s">
        <v>2273</v>
      </c>
      <c r="S549" s="20"/>
      <c r="T549" s="20"/>
      <c r="U549" s="20" t="s">
        <v>2274</v>
      </c>
      <c r="V549" s="20" t="s">
        <v>2275</v>
      </c>
      <c r="W549" s="20" t="s">
        <v>319</v>
      </c>
      <c r="X549" s="20" t="s">
        <v>2276</v>
      </c>
      <c r="Y549" s="20"/>
      <c r="Z549" s="20" t="s">
        <v>2277</v>
      </c>
      <c r="AA549" s="20" t="s">
        <v>2278</v>
      </c>
      <c r="AB549" s="20" t="s">
        <v>2279</v>
      </c>
      <c r="AC549" s="20" t="s">
        <v>2280</v>
      </c>
      <c r="AD549" s="20" t="s">
        <v>2281</v>
      </c>
      <c r="AE549" s="20" t="s">
        <v>70</v>
      </c>
      <c r="AF549" s="20" t="s">
        <v>2282</v>
      </c>
      <c r="AG549" s="20"/>
      <c r="AH549" s="20" t="s">
        <v>352</v>
      </c>
    </row>
    <row r="550" spans="1:34" ht="15" customHeight="1" x14ac:dyDescent="0.2">
      <c r="A550" s="20" t="s">
        <v>2268</v>
      </c>
      <c r="B550" s="20" t="s">
        <v>493</v>
      </c>
      <c r="C550" s="20"/>
      <c r="D550" s="20" t="s">
        <v>2283</v>
      </c>
      <c r="E550" s="17" t="str">
        <f t="shared" si="80"/>
        <v>Lewitus</v>
      </c>
      <c r="F550" s="17" t="str">
        <f>_xlfn.LET(
_xlpm.authors,_xlfn.TEXTBEFORE(A550," ("&amp;G550&amp;")"),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50" s="17" t="str">
        <f t="shared" si="81"/>
        <v>2012</v>
      </c>
      <c r="H550" s="17" t="str">
        <f t="shared" si="82"/>
        <v>Lewitus_etal_2012_b</v>
      </c>
      <c r="I550" s="17" t="str">
        <f t="shared" si="88"/>
        <v>10.1111%2Fj.1558-5646.2012.01601.x</v>
      </c>
      <c r="J550" s="17" t="str">
        <f t="shared" si="83"/>
        <v>Lewitus_etal_2012_b_TableS2</v>
      </c>
      <c r="K550" s="17" t="str">
        <f t="shared" si="87"/>
        <v>10.1111%2Fj.1558-5646.2012.01601.x_TableS2</v>
      </c>
      <c r="L550" s="17" t="str">
        <f>IFERROR(INDEX(AUTO_Public_TSV_FileList!$A$1:$A$1000,MATCH(TRUE(),EXACT(K550,IFERROR(_xlfn.TEXTBEFORE(AUTO_Public_TSV_FileList!$A$1:$A$1000,".tsv"),"")),0)),"notfound")</f>
        <v>notfound</v>
      </c>
      <c r="M550" s="20" t="s">
        <v>2284</v>
      </c>
      <c r="N550" s="20" t="s">
        <v>2270</v>
      </c>
      <c r="O550" s="20" t="s">
        <v>2285</v>
      </c>
      <c r="P550" s="20" t="s">
        <v>39</v>
      </c>
      <c r="Q550" s="20" t="s">
        <v>2286</v>
      </c>
      <c r="R550" s="20" t="s">
        <v>2273</v>
      </c>
      <c r="S550" s="20"/>
      <c r="T550" s="20"/>
      <c r="U550" s="20" t="s">
        <v>2287</v>
      </c>
      <c r="V550" s="20" t="s">
        <v>2275</v>
      </c>
      <c r="W550" s="20" t="s">
        <v>319</v>
      </c>
      <c r="X550" s="20" t="s">
        <v>2288</v>
      </c>
      <c r="Y550" s="20"/>
      <c r="Z550" s="20" t="s">
        <v>2277</v>
      </c>
      <c r="AA550" s="20" t="s">
        <v>2278</v>
      </c>
      <c r="AB550" s="20" t="s">
        <v>2289</v>
      </c>
      <c r="AC550" s="20" t="s">
        <v>2280</v>
      </c>
      <c r="AD550" s="20" t="s">
        <v>2281</v>
      </c>
      <c r="AE550" s="20" t="s">
        <v>70</v>
      </c>
      <c r="AF550" s="20" t="s">
        <v>2290</v>
      </c>
      <c r="AG550" s="20"/>
      <c r="AH550" s="20" t="s">
        <v>352</v>
      </c>
    </row>
    <row r="551" spans="1:34" ht="15" customHeight="1" x14ac:dyDescent="0.2">
      <c r="A551" s="20" t="s">
        <v>2268</v>
      </c>
      <c r="B551" s="20" t="s">
        <v>493</v>
      </c>
      <c r="C551" s="20"/>
      <c r="D551" s="20" t="s">
        <v>2291</v>
      </c>
      <c r="E551" s="17" t="str">
        <f t="shared" si="80"/>
        <v>Lewitus</v>
      </c>
      <c r="F551" s="17" t="str">
        <f>_xlfn.LET(
_xlpm.authors,_xlfn.TEXTBEFORE(A551," ("&amp;G551&amp;")"),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51" s="17" t="str">
        <f t="shared" si="81"/>
        <v>2012</v>
      </c>
      <c r="H551" s="17" t="str">
        <f t="shared" si="82"/>
        <v>Lewitus_etal_2012_b</v>
      </c>
      <c r="I551" s="17" t="str">
        <f t="shared" si="88"/>
        <v>10.1111%2Fj.1558-5646.2012.01601.x</v>
      </c>
      <c r="J551" s="17" t="str">
        <f t="shared" si="83"/>
        <v>Lewitus_etal_2012_b_TableS3</v>
      </c>
      <c r="K551" s="17" t="str">
        <f t="shared" si="87"/>
        <v>10.1111%2Fj.1558-5646.2012.01601.x_TableS3</v>
      </c>
      <c r="L551" s="17" t="str">
        <f>IFERROR(INDEX(AUTO_Public_TSV_FileList!$A$1:$A$1000,MATCH(TRUE(),EXACT(K551,IFERROR(_xlfn.TEXTBEFORE(AUTO_Public_TSV_FileList!$A$1:$A$1000,".tsv"),"")),0)),"notfound")</f>
        <v>notfound</v>
      </c>
      <c r="M551" s="20" t="s">
        <v>2292</v>
      </c>
      <c r="N551" s="20" t="s">
        <v>2270</v>
      </c>
      <c r="O551" s="20" t="s">
        <v>2271</v>
      </c>
      <c r="P551" s="20" t="s">
        <v>39</v>
      </c>
      <c r="Q551" s="20" t="s">
        <v>2293</v>
      </c>
      <c r="R551" s="20" t="s">
        <v>2273</v>
      </c>
      <c r="S551" s="20"/>
      <c r="T551" s="20"/>
      <c r="U551" s="20" t="s">
        <v>2274</v>
      </c>
      <c r="V551" s="20" t="s">
        <v>2275</v>
      </c>
      <c r="W551" s="20" t="s">
        <v>319</v>
      </c>
      <c r="X551" s="20" t="s">
        <v>2276</v>
      </c>
      <c r="Y551" s="20"/>
      <c r="Z551" s="20" t="s">
        <v>2277</v>
      </c>
      <c r="AA551" s="20" t="s">
        <v>2278</v>
      </c>
      <c r="AB551" s="20" t="s">
        <v>2279</v>
      </c>
      <c r="AC551" s="20" t="s">
        <v>2280</v>
      </c>
      <c r="AD551" s="20" t="s">
        <v>2281</v>
      </c>
      <c r="AE551" s="20" t="s">
        <v>70</v>
      </c>
      <c r="AF551" s="20" t="s">
        <v>2282</v>
      </c>
      <c r="AG551" s="20"/>
      <c r="AH551" s="20" t="s">
        <v>352</v>
      </c>
    </row>
    <row r="552" spans="1:34" ht="15" customHeight="1" x14ac:dyDescent="0.2">
      <c r="A552" s="19" t="s">
        <v>2294</v>
      </c>
      <c r="B552" s="20"/>
      <c r="C552" s="20"/>
      <c r="D552" s="19" t="s">
        <v>2043</v>
      </c>
      <c r="E552" s="17" t="str">
        <f t="shared" si="80"/>
        <v>Lewitus</v>
      </c>
      <c r="F552" s="17"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17" t="str">
        <f t="shared" si="81"/>
        <v>2013</v>
      </c>
      <c r="H552" s="17" t="str">
        <f t="shared" si="82"/>
        <v>Lewitus_etal_2013</v>
      </c>
      <c r="I552" s="17" t="str">
        <f t="shared" si="88"/>
        <v>10.3389%2Ffnhum.2013.00424</v>
      </c>
      <c r="J552" s="17" t="str">
        <f t="shared" si="83"/>
        <v>Lewitus_etal_2013_TableA1</v>
      </c>
      <c r="K552" s="17" t="str">
        <f t="shared" si="87"/>
        <v>10.3389%2Ffnhum.2013.00424_TableA1</v>
      </c>
      <c r="L552" s="17" t="str">
        <f t="array" ref="L552">IFERROR(INDEX(AUTO_Public_TSV_FileList!$A$1:$A$1000,MATCH(TRUE(),EXACT(K552,IFERROR(_xlfn.TEXTBEFORE(AUTO_Public_TSV_FileList!$A$1:$A$1000,".tsv"),"")),0)),"notfound")</f>
        <v>10.3389%2Ffnhum.2013.00424_TableA1.tsv</v>
      </c>
      <c r="M552" s="19" t="s">
        <v>2295</v>
      </c>
      <c r="N552" s="20"/>
      <c r="O552" s="20"/>
      <c r="P552" s="19"/>
      <c r="Q552" s="20"/>
      <c r="R552" s="20"/>
      <c r="S552" s="20"/>
      <c r="T552" s="20"/>
      <c r="U552" s="20"/>
      <c r="V552" s="20"/>
      <c r="W552" s="19" t="s">
        <v>224</v>
      </c>
      <c r="X552" s="19"/>
      <c r="Y552" s="20"/>
      <c r="Z552" s="20"/>
      <c r="AA552" s="20"/>
      <c r="AB552" s="19" t="s">
        <v>2296</v>
      </c>
      <c r="AC552" s="20"/>
      <c r="AD552" s="20"/>
      <c r="AE552" s="19" t="s">
        <v>265</v>
      </c>
      <c r="AF552" s="19"/>
      <c r="AG552" s="20"/>
      <c r="AH552" s="20"/>
    </row>
    <row r="553" spans="1:34" ht="15" customHeight="1" x14ac:dyDescent="0.2">
      <c r="A553" s="19" t="s">
        <v>2297</v>
      </c>
      <c r="B553" s="20"/>
      <c r="C553" s="20"/>
      <c r="D553" s="19" t="s">
        <v>2298</v>
      </c>
      <c r="E553" s="17" t="str">
        <f t="shared" si="80"/>
        <v>Lewitus</v>
      </c>
      <c r="F553" s="17"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17" t="str">
        <f t="shared" si="81"/>
        <v>2014</v>
      </c>
      <c r="H553" s="17" t="str">
        <f t="shared" si="82"/>
        <v>Lewitus_etal_2014</v>
      </c>
      <c r="I553" s="17" t="str">
        <f t="shared" si="88"/>
        <v>10.1371%2Fjournal.pbio.1002000</v>
      </c>
      <c r="J553" s="17" t="str">
        <f t="shared" si="83"/>
        <v>Lewitus_etal_2014_ExternalDatabaseS1references</v>
      </c>
      <c r="K553" s="17" t="str">
        <f t="shared" si="87"/>
        <v>10.1371%2Fjournal.pbio.1002000_ExternalDatabaseS1references</v>
      </c>
      <c r="L553" s="17" t="str">
        <f t="array" ref="L553">IFERROR(INDEX(AUTO_Public_TSV_FileList!$A$1:$A$1000,MATCH(TRUE(),EXACT(K553,IFERROR(_xlfn.TEXTBEFORE(AUTO_Public_TSV_FileList!$A$1:$A$1000,".tsv"),"")),0)),"notfound")</f>
        <v>10.1371%2Fjournal.pbio.1002000_ExternalDatabaseS1references.tsv</v>
      </c>
      <c r="M553" s="19" t="s">
        <v>2299</v>
      </c>
      <c r="N553" s="20"/>
      <c r="O553" s="20"/>
      <c r="P553" s="19"/>
      <c r="Q553" s="20"/>
      <c r="R553" s="20"/>
      <c r="S553" s="20"/>
      <c r="T553" s="20"/>
      <c r="U553" s="20"/>
      <c r="V553" s="20"/>
      <c r="W553" s="19" t="s">
        <v>224</v>
      </c>
      <c r="X553" s="19"/>
      <c r="Y553" s="20"/>
      <c r="Z553" s="20"/>
      <c r="AA553" s="20"/>
      <c r="AB553" s="19"/>
      <c r="AC553" s="20"/>
      <c r="AD553" s="20"/>
      <c r="AE553" s="19" t="s">
        <v>265</v>
      </c>
      <c r="AF553" s="19"/>
      <c r="AG553" s="20"/>
      <c r="AH553" s="20"/>
    </row>
    <row r="554" spans="1:34" ht="15" customHeight="1" x14ac:dyDescent="0.2">
      <c r="A554" s="19" t="s">
        <v>2297</v>
      </c>
      <c r="B554" s="20"/>
      <c r="C554" s="20"/>
      <c r="D554" s="19" t="s">
        <v>2300</v>
      </c>
      <c r="E554" s="17" t="str">
        <f t="shared" si="80"/>
        <v>Lewitus</v>
      </c>
      <c r="F554" s="17"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17" t="str">
        <f t="shared" si="81"/>
        <v>2014</v>
      </c>
      <c r="H554" s="17" t="str">
        <f t="shared" si="82"/>
        <v>Lewitus_etal_2014</v>
      </c>
      <c r="I554" s="17" t="str">
        <f t="shared" si="88"/>
        <v>10.1371%2Fjournal.pbio.1002000</v>
      </c>
      <c r="J554" s="17" t="str">
        <f t="shared" si="83"/>
        <v>Lewitus_etal_2014_ExternalDatabaseS1sources</v>
      </c>
      <c r="K554" s="17" t="str">
        <f t="shared" si="87"/>
        <v>10.1371%2Fjournal.pbio.1002000_ExternalDatabaseS1sources</v>
      </c>
      <c r="L554" s="17" t="str">
        <f t="array" ref="L554">IFERROR(INDEX(AUTO_Public_TSV_FileList!$A$1:$A$1000,MATCH(TRUE(),EXACT(K554,IFERROR(_xlfn.TEXTBEFORE(AUTO_Public_TSV_FileList!$A$1:$A$1000,".tsv"),"")),0)),"notfound")</f>
        <v>10.1371%2Fjournal.pbio.1002000_ExternalDatabaseS1sources.tsv</v>
      </c>
      <c r="M554" s="19" t="s">
        <v>2299</v>
      </c>
      <c r="N554" s="20"/>
      <c r="O554" s="20"/>
      <c r="P554" s="19"/>
      <c r="Q554" s="20"/>
      <c r="R554" s="20"/>
      <c r="S554" s="20"/>
      <c r="T554" s="20"/>
      <c r="U554" s="20"/>
      <c r="V554" s="20"/>
      <c r="W554" s="19" t="s">
        <v>224</v>
      </c>
      <c r="X554" s="19"/>
      <c r="Y554" s="20"/>
      <c r="Z554" s="20"/>
      <c r="AA554" s="20"/>
      <c r="AB554" s="19"/>
      <c r="AC554" s="20"/>
      <c r="AD554" s="20"/>
      <c r="AE554" s="19" t="s">
        <v>265</v>
      </c>
      <c r="AF554" s="19"/>
      <c r="AG554" s="20"/>
      <c r="AH554" s="20"/>
    </row>
    <row r="555" spans="1:34" ht="15" customHeight="1" x14ac:dyDescent="0.2">
      <c r="A555" s="19" t="s">
        <v>2297</v>
      </c>
      <c r="B555" s="20"/>
      <c r="C555" s="20"/>
      <c r="D555" s="19" t="s">
        <v>390</v>
      </c>
      <c r="E555" s="17" t="str">
        <f t="shared" si="80"/>
        <v>Lewitus</v>
      </c>
      <c r="F555" s="17"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17" t="str">
        <f t="shared" si="81"/>
        <v>2014</v>
      </c>
      <c r="H555" s="17" t="str">
        <f t="shared" si="82"/>
        <v>Lewitus_etal_2014</v>
      </c>
      <c r="I555" s="17" t="str">
        <f t="shared" si="88"/>
        <v>10.1371%2Fjournal.pbio.1002000</v>
      </c>
      <c r="J555" s="17" t="str">
        <f t="shared" si="83"/>
        <v>Lewitus_etal_2014_TableS1</v>
      </c>
      <c r="K555" s="17" t="str">
        <f t="shared" si="87"/>
        <v>10.1371%2Fjournal.pbio.1002000_TableS1</v>
      </c>
      <c r="L555" s="17" t="str">
        <f t="array" ref="L555">IFERROR(INDEX(AUTO_Public_TSV_FileList!$A$1:$A$1000,MATCH(TRUE(),EXACT(K555,IFERROR(_xlfn.TEXTBEFORE(AUTO_Public_TSV_FileList!$A$1:$A$1000,".tsv"),"")),0)),"notfound")</f>
        <v>10.1371%2Fjournal.pbio.1002000_TableS1.tsv</v>
      </c>
      <c r="M555" s="19" t="s">
        <v>2301</v>
      </c>
      <c r="N555" s="20"/>
      <c r="O555" s="20"/>
      <c r="P555" s="19" t="s">
        <v>55</v>
      </c>
      <c r="Q555" s="20"/>
      <c r="R555" s="20"/>
      <c r="S555" s="20"/>
      <c r="T555" s="20"/>
      <c r="U555" s="20"/>
      <c r="V555" s="20"/>
      <c r="W555" s="19" t="s">
        <v>224</v>
      </c>
      <c r="X555" s="19" t="s">
        <v>2302</v>
      </c>
      <c r="Y555" s="20"/>
      <c r="Z555" s="20"/>
      <c r="AA555" s="20"/>
      <c r="AB555" s="19" t="s">
        <v>2303</v>
      </c>
      <c r="AC555" s="20"/>
      <c r="AD555" s="20"/>
      <c r="AE555" s="19" t="s">
        <v>265</v>
      </c>
      <c r="AF555" s="19"/>
      <c r="AG555" s="20"/>
      <c r="AH555" s="20"/>
    </row>
    <row r="556" spans="1:34" ht="15" customHeight="1" x14ac:dyDescent="0.2">
      <c r="A556" s="19" t="s">
        <v>2297</v>
      </c>
      <c r="B556" s="20"/>
      <c r="C556" s="20"/>
      <c r="D556" s="19" t="s">
        <v>2004</v>
      </c>
      <c r="E556" s="17" t="str">
        <f t="shared" si="80"/>
        <v>Lewitus</v>
      </c>
      <c r="F556" s="17"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17" t="str">
        <f t="shared" si="81"/>
        <v>2014</v>
      </c>
      <c r="H556" s="17" t="str">
        <f t="shared" si="82"/>
        <v>Lewitus_etal_2014</v>
      </c>
      <c r="I556" s="17" t="str">
        <f t="shared" si="88"/>
        <v>10.1371%2Fjournal.pbio.1002000</v>
      </c>
      <c r="J556" s="17" t="str">
        <f t="shared" si="83"/>
        <v>Lewitus_etal_2014_TableS8</v>
      </c>
      <c r="K556" s="17" t="str">
        <f t="shared" si="87"/>
        <v>10.1371%2Fjournal.pbio.1002000_TableS8</v>
      </c>
      <c r="L556" s="17" t="str">
        <f t="array" ref="L556">IFERROR(INDEX(AUTO_Public_TSV_FileList!$A$1:$A$1000,MATCH(TRUE(),EXACT(K556,IFERROR(_xlfn.TEXTBEFORE(AUTO_Public_TSV_FileList!$A$1:$A$1000,".tsv"),"")),0)),"notfound")</f>
        <v>10.1371%2Fjournal.pbio.1002000_TableS8.tsv</v>
      </c>
      <c r="M556" s="19" t="s">
        <v>2304</v>
      </c>
      <c r="N556" s="20"/>
      <c r="O556" s="20"/>
      <c r="P556" s="19" t="s">
        <v>55</v>
      </c>
      <c r="Q556" s="20"/>
      <c r="R556" s="20"/>
      <c r="S556" s="20"/>
      <c r="T556" s="20"/>
      <c r="U556" s="20"/>
      <c r="V556" s="20"/>
      <c r="W556" s="19" t="s">
        <v>224</v>
      </c>
      <c r="X556" s="19"/>
      <c r="Y556" s="20"/>
      <c r="Z556" s="20"/>
      <c r="AA556" s="20"/>
      <c r="AB556" s="19"/>
      <c r="AC556" s="20"/>
      <c r="AD556" s="20"/>
      <c r="AE556" s="19" t="s">
        <v>265</v>
      </c>
      <c r="AF556" s="19"/>
      <c r="AG556" s="20"/>
      <c r="AH556" s="20"/>
    </row>
    <row r="557" spans="1:34" ht="15" customHeight="1" x14ac:dyDescent="0.2">
      <c r="A557" s="20" t="s">
        <v>2305</v>
      </c>
      <c r="B557" s="20"/>
      <c r="C557" s="20"/>
      <c r="D557" s="20" t="s">
        <v>35</v>
      </c>
      <c r="E557" s="17" t="str">
        <f t="shared" si="80"/>
        <v>Lewitus</v>
      </c>
      <c r="F557" s="17"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17" t="str">
        <f t="shared" si="81"/>
        <v>2012</v>
      </c>
      <c r="H557" s="17" t="str">
        <f t="shared" si="82"/>
        <v>Lewitus_etal_2012</v>
      </c>
      <c r="I557" s="17" t="str">
        <f t="shared" si="88"/>
        <v>10.1007%2Fs00429-011-0338-5</v>
      </c>
      <c r="J557" s="17" t="str">
        <f t="shared" si="83"/>
        <v>Lewitus_etal_2012_Table1</v>
      </c>
      <c r="K557" s="17" t="str">
        <f t="shared" si="87"/>
        <v>10.1007%2Fs00429-011-0338-5_Table1</v>
      </c>
      <c r="L557" s="17" t="str">
        <f t="array" ref="L557">IFERROR(INDEX(AUTO_Public_TSV_FileList!$A$1:$A$1000,MATCH(TRUE(),EXACT(K557,IFERROR(_xlfn.TEXTBEFORE(AUTO_Public_TSV_FileList!$A$1:$A$1000,".tsv"),"")),0)),"notfound")</f>
        <v>10.1007%2Fs00429-011-0338-5_Table1.tsv</v>
      </c>
      <c r="M557" s="20" t="s">
        <v>2306</v>
      </c>
      <c r="N557" s="20" t="s">
        <v>2307</v>
      </c>
      <c r="O557" s="20" t="s">
        <v>2308</v>
      </c>
      <c r="P557" s="20" t="s">
        <v>299</v>
      </c>
      <c r="Q557" s="20" t="s">
        <v>2309</v>
      </c>
      <c r="R557" s="20" t="s">
        <v>2310</v>
      </c>
      <c r="S557" s="20"/>
      <c r="T557" s="20"/>
      <c r="U557" s="20"/>
      <c r="V557" s="20"/>
      <c r="W557" s="20" t="s">
        <v>2311</v>
      </c>
      <c r="X557" s="20" t="s">
        <v>2312</v>
      </c>
      <c r="Y557" s="20" t="s">
        <v>2313</v>
      </c>
      <c r="Z557" s="20" t="s">
        <v>1129</v>
      </c>
      <c r="AA557" s="20" t="s">
        <v>2314</v>
      </c>
      <c r="AB557" s="20" t="s">
        <v>2315</v>
      </c>
      <c r="AC557" s="20"/>
      <c r="AD557" s="20"/>
      <c r="AE557" s="20" t="s">
        <v>2316</v>
      </c>
      <c r="AF557" s="20"/>
      <c r="AG557" s="20"/>
      <c r="AH557" s="20"/>
    </row>
    <row r="558" spans="1:34" ht="16" customHeight="1" x14ac:dyDescent="0.2">
      <c r="A558" s="20" t="s">
        <v>2305</v>
      </c>
      <c r="B558" s="20"/>
      <c r="C558" s="20"/>
      <c r="D558" s="20" t="s">
        <v>2170</v>
      </c>
      <c r="E558" s="17" t="str">
        <f t="shared" si="80"/>
        <v>Lewitus</v>
      </c>
      <c r="F558" s="17"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17" t="str">
        <f t="shared" si="81"/>
        <v>2012</v>
      </c>
      <c r="H558" s="17" t="str">
        <f t="shared" si="82"/>
        <v>Lewitus_etal_2012</v>
      </c>
      <c r="I558" s="17" t="str">
        <f t="shared" si="88"/>
        <v>10.1007%2Fs00429-011-0338-5</v>
      </c>
      <c r="J558" s="17" t="str">
        <f t="shared" si="83"/>
        <v>Lewitus_etal_2012_Table2</v>
      </c>
      <c r="K558" s="17" t="str">
        <f t="shared" si="87"/>
        <v>10.1007%2Fs00429-011-0338-5_Table2</v>
      </c>
      <c r="L558" s="17" t="str">
        <f t="array" ref="L558">IFERROR(INDEX(AUTO_Public_TSV_FileList!$A$1:$A$1000,MATCH(TRUE(),EXACT(K558,IFERROR(_xlfn.TEXTBEFORE(AUTO_Public_TSV_FileList!$A$1:$A$1000,".tsv"),"")),0)),"notfound")</f>
        <v>10.1007%2Fs00429-011-0338-5_Table2.tsv</v>
      </c>
      <c r="M558" s="20" t="s">
        <v>2317</v>
      </c>
      <c r="N558" s="20" t="s">
        <v>2307</v>
      </c>
      <c r="O558" s="20" t="s">
        <v>2318</v>
      </c>
      <c r="P558" s="20" t="s">
        <v>299</v>
      </c>
      <c r="Q558" s="20" t="s">
        <v>2319</v>
      </c>
      <c r="R558" s="20" t="s">
        <v>2310</v>
      </c>
      <c r="S558" s="20"/>
      <c r="T558" s="20"/>
      <c r="U558" s="20"/>
      <c r="V558" s="20"/>
      <c r="W558" s="20" t="s">
        <v>2320</v>
      </c>
      <c r="X558" s="20" t="s">
        <v>2321</v>
      </c>
      <c r="Y558" s="20"/>
      <c r="Z558" s="20" t="s">
        <v>2322</v>
      </c>
      <c r="AA558" s="20" t="s">
        <v>2323</v>
      </c>
      <c r="AB558" s="20" t="s">
        <v>1518</v>
      </c>
      <c r="AC558" s="20"/>
      <c r="AD558" s="20"/>
      <c r="AE558" s="20" t="s">
        <v>2324</v>
      </c>
      <c r="AF558" s="20" t="s">
        <v>2325</v>
      </c>
      <c r="AG558" s="20"/>
      <c r="AH558" s="20"/>
    </row>
    <row r="559" spans="1:34" ht="15" customHeight="1" x14ac:dyDescent="0.2">
      <c r="A559" s="20" t="s">
        <v>2305</v>
      </c>
      <c r="B559" s="20"/>
      <c r="C559" s="20"/>
      <c r="D559" s="20" t="s">
        <v>2262</v>
      </c>
      <c r="E559" s="17" t="str">
        <f t="shared" si="80"/>
        <v>Lewitus</v>
      </c>
      <c r="F559" s="17"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17" t="str">
        <f t="shared" si="81"/>
        <v>2012</v>
      </c>
      <c r="H559" s="17" t="str">
        <f t="shared" si="82"/>
        <v>Lewitus_etal_2012</v>
      </c>
      <c r="I559" s="17" t="str">
        <f t="shared" si="88"/>
        <v>10.1007%2Fs00429-011-0338-5</v>
      </c>
      <c r="J559" s="17" t="str">
        <f t="shared" si="83"/>
        <v>Lewitus_etal_2012_Table4</v>
      </c>
      <c r="K559" s="17" t="str">
        <f t="shared" si="87"/>
        <v>10.1007%2Fs00429-011-0338-5_Table4</v>
      </c>
      <c r="L559" s="17" t="str">
        <f t="array" ref="L559">IFERROR(INDEX(AUTO_Public_TSV_FileList!$A$1:$A$1000,MATCH(TRUE(),EXACT(K559,IFERROR(_xlfn.TEXTBEFORE(AUTO_Public_TSV_FileList!$A$1:$A$1000,".tsv"),"")),0)),"notfound")</f>
        <v>10.1007%2Fs00429-011-0338-5_Table4.tsv</v>
      </c>
      <c r="M559" s="20" t="s">
        <v>2326</v>
      </c>
      <c r="N559" s="20" t="s">
        <v>2307</v>
      </c>
      <c r="O559" s="20" t="s">
        <v>2327</v>
      </c>
      <c r="P559" s="20" t="s">
        <v>299</v>
      </c>
      <c r="Q559" s="20" t="s">
        <v>2328</v>
      </c>
      <c r="R559" s="20" t="s">
        <v>2310</v>
      </c>
      <c r="S559" s="20"/>
      <c r="T559" s="20"/>
      <c r="U559" s="20"/>
      <c r="V559" s="20"/>
      <c r="W559" s="20" t="s">
        <v>2329</v>
      </c>
      <c r="X559" s="20" t="s">
        <v>2330</v>
      </c>
      <c r="Y559" s="20" t="s">
        <v>2331</v>
      </c>
      <c r="Z559" s="20" t="s">
        <v>1129</v>
      </c>
      <c r="AA559" s="20" t="s">
        <v>2332</v>
      </c>
      <c r="AB559" s="20" t="s">
        <v>167</v>
      </c>
      <c r="AC559" s="20"/>
      <c r="AD559" s="20"/>
      <c r="AE559" s="20" t="s">
        <v>2316</v>
      </c>
      <c r="AF559" s="20"/>
      <c r="AG559" s="20"/>
      <c r="AH559" s="20"/>
    </row>
    <row r="560" spans="1:34" ht="15" customHeight="1" x14ac:dyDescent="0.2">
      <c r="A560" s="20" t="s">
        <v>2305</v>
      </c>
      <c r="B560" s="20"/>
      <c r="C560" s="20"/>
      <c r="D560" s="20" t="s">
        <v>2333</v>
      </c>
      <c r="E560" s="17" t="str">
        <f t="shared" si="80"/>
        <v>Lewitus</v>
      </c>
      <c r="F560" s="17"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17" t="str">
        <f t="shared" si="81"/>
        <v>2012</v>
      </c>
      <c r="H560" s="17" t="str">
        <f t="shared" si="82"/>
        <v>Lewitus_etal_2012</v>
      </c>
      <c r="I560" s="17" t="str">
        <f t="shared" si="88"/>
        <v>10.1007%2Fs00429-011-0338-5</v>
      </c>
      <c r="J560" s="17" t="str">
        <f t="shared" si="83"/>
        <v>Lewitus_etal_2012_TableS1A</v>
      </c>
      <c r="K560" s="17" t="str">
        <f t="shared" si="87"/>
        <v>10.1007%2Fs00429-011-0338-5_TableS1A</v>
      </c>
      <c r="L560" s="17" t="str">
        <f t="array" ref="L560">IFERROR(INDEX(AUTO_Public_TSV_FileList!$A$1:$A$1000,MATCH(TRUE(),EXACT(K560,IFERROR(_xlfn.TEXTBEFORE(AUTO_Public_TSV_FileList!$A$1:$A$1000,".tsv"),"")),0)),"notfound")</f>
        <v>10.1007%2Fs00429-011-0338-5_TableS1A.tsv</v>
      </c>
      <c r="M560" s="20" t="s">
        <v>2334</v>
      </c>
      <c r="N560" s="20" t="s">
        <v>2335</v>
      </c>
      <c r="O560" s="20" t="s">
        <v>2336</v>
      </c>
      <c r="P560" s="20" t="s">
        <v>299</v>
      </c>
      <c r="Q560" s="20" t="s">
        <v>2337</v>
      </c>
      <c r="R560" s="20" t="s">
        <v>2310</v>
      </c>
      <c r="S560" s="20"/>
      <c r="T560" s="20"/>
      <c r="U560" s="20"/>
      <c r="V560" s="20"/>
      <c r="W560" s="20" t="s">
        <v>2338</v>
      </c>
      <c r="X560" s="20" t="s">
        <v>2339</v>
      </c>
      <c r="Y560" s="20" t="s">
        <v>2340</v>
      </c>
      <c r="Z560" s="20" t="s">
        <v>1129</v>
      </c>
      <c r="AA560" s="20" t="s">
        <v>2332</v>
      </c>
      <c r="AB560" s="20" t="s">
        <v>2341</v>
      </c>
      <c r="AC560" s="20"/>
      <c r="AD560" s="20"/>
      <c r="AE560" s="20" t="s">
        <v>2316</v>
      </c>
      <c r="AF560" s="20"/>
      <c r="AG560" s="20"/>
      <c r="AH560" s="20"/>
    </row>
    <row r="561" spans="1:34" ht="15" customHeight="1" x14ac:dyDescent="0.2">
      <c r="A561" s="20" t="s">
        <v>2342</v>
      </c>
      <c r="B561" s="20"/>
      <c r="C561" s="20"/>
      <c r="D561" s="20" t="s">
        <v>2343</v>
      </c>
      <c r="E561" s="17" t="str">
        <f t="shared" si="80"/>
        <v>Lindenfors</v>
      </c>
      <c r="F561" s="17" t="str">
        <f>_xlfn.LET(
_xlpm.authors,_xlfn.TEXTBEFORE(A561," ("&amp;G561&amp;")"),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61" s="17" t="str">
        <f t="shared" si="81"/>
        <v>2007</v>
      </c>
      <c r="H561" s="17" t="str">
        <f t="shared" si="82"/>
        <v>Lindenfors_etal_2007</v>
      </c>
      <c r="I561" s="17" t="str">
        <f t="shared" si="88"/>
        <v>10.1186%2F1741-7007-5-20</v>
      </c>
      <c r="J561" s="17" t="str">
        <f t="shared" si="83"/>
        <v>Lindenfors_etal_2007_AdditionalFile1</v>
      </c>
      <c r="K561" s="17" t="str">
        <f t="shared" si="87"/>
        <v>10.1186%2F1741-7007-5-20_AdditionalFile1</v>
      </c>
      <c r="L561" s="17" t="str">
        <f>IFERROR(INDEX(AUTO_Public_TSV_FileList!$A$1:$A$1000,MATCH(TRUE(),EXACT(K561,IFERROR(_xlfn.TEXTBEFORE(AUTO_Public_TSV_FileList!$A$1:$A$1000,".tsv"),"")),0)),"notfound")</f>
        <v>notfound</v>
      </c>
      <c r="M561" s="20" t="s">
        <v>2344</v>
      </c>
      <c r="N561" s="20" t="s">
        <v>556</v>
      </c>
      <c r="O561" s="20" t="s">
        <v>2345</v>
      </c>
      <c r="P561" s="20" t="s">
        <v>313</v>
      </c>
      <c r="Q561" s="20" t="s">
        <v>2346</v>
      </c>
      <c r="R561" s="20" t="s">
        <v>2347</v>
      </c>
      <c r="S561" s="20" t="s">
        <v>316</v>
      </c>
      <c r="T561" s="20" t="s">
        <v>317</v>
      </c>
      <c r="U561" s="20"/>
      <c r="V561" s="20" t="s">
        <v>560</v>
      </c>
      <c r="W561" s="20" t="s">
        <v>319</v>
      </c>
      <c r="X561" s="20" t="s">
        <v>2348</v>
      </c>
      <c r="Y561" s="20"/>
      <c r="Z561" s="20"/>
      <c r="AA561" s="20"/>
      <c r="AB561" s="20"/>
      <c r="AC561" s="20" t="s">
        <v>2349</v>
      </c>
      <c r="AD561" s="20"/>
      <c r="AE561" s="20" t="s">
        <v>265</v>
      </c>
      <c r="AF561" s="20"/>
      <c r="AG561" s="20" t="s">
        <v>324</v>
      </c>
      <c r="AH561" s="20" t="s">
        <v>325</v>
      </c>
    </row>
    <row r="562" spans="1:34" ht="15" customHeight="1" x14ac:dyDescent="0.2">
      <c r="A562" s="19" t="s">
        <v>2350</v>
      </c>
      <c r="B562" s="20"/>
      <c r="C562" s="20"/>
      <c r="D562" s="19" t="s">
        <v>390</v>
      </c>
      <c r="E562" s="17" t="str">
        <f t="shared" si="80"/>
        <v>Liu</v>
      </c>
      <c r="F562" s="17"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17" t="str">
        <f t="shared" si="81"/>
        <v>2016</v>
      </c>
      <c r="H562" s="17" t="str">
        <f t="shared" si="82"/>
        <v>Liu_etal_2016</v>
      </c>
      <c r="I562" s="17" t="str">
        <f t="shared" si="88"/>
        <v>10.1098%2Frspb.2016.1923</v>
      </c>
      <c r="J562" s="17" t="str">
        <f t="shared" si="83"/>
        <v>Liu_etal_2016_TableS1</v>
      </c>
      <c r="K562" s="17" t="str">
        <f t="shared" si="87"/>
        <v>10.1098%2Frspb.2016.1923_TableS1</v>
      </c>
      <c r="L562" s="17" t="str">
        <f t="array" ref="L562">IFERROR(INDEX(AUTO_Public_TSV_FileList!$A$1:$A$1000,MATCH(TRUE(),EXACT(K562,IFERROR(_xlfn.TEXTBEFORE(AUTO_Public_TSV_FileList!$A$1:$A$1000,".tsv"),"")),0)),"notfound")</f>
        <v>10.1098%2Frspb.2016.1923_TableS1.tsv</v>
      </c>
      <c r="M562" s="20"/>
      <c r="N562" s="19" t="s">
        <v>54</v>
      </c>
      <c r="O562" s="20"/>
      <c r="P562" s="19" t="s">
        <v>55</v>
      </c>
      <c r="Q562" s="19"/>
      <c r="R562" s="20"/>
      <c r="S562" s="20"/>
      <c r="T562" s="20"/>
      <c r="U562" s="20"/>
      <c r="V562" s="20"/>
      <c r="W562" s="19" t="s">
        <v>187</v>
      </c>
      <c r="X562" s="19" t="s">
        <v>2351</v>
      </c>
      <c r="Y562" s="20"/>
      <c r="Z562" s="20"/>
      <c r="AA562" s="20"/>
      <c r="AB562" s="19" t="s">
        <v>2352</v>
      </c>
      <c r="AC562" s="19" t="s">
        <v>2353</v>
      </c>
      <c r="AD562" s="20"/>
      <c r="AE562" s="19" t="s">
        <v>265</v>
      </c>
      <c r="AF562" s="19"/>
      <c r="AG562" s="19" t="s">
        <v>2354</v>
      </c>
      <c r="AH562" s="20"/>
    </row>
    <row r="563" spans="1:34" ht="15" customHeight="1" x14ac:dyDescent="0.2">
      <c r="A563" s="19" t="s">
        <v>2355</v>
      </c>
      <c r="B563" s="20"/>
      <c r="C563" s="20"/>
      <c r="D563" s="19" t="s">
        <v>2356</v>
      </c>
      <c r="E563" s="17" t="str">
        <f t="shared" si="80"/>
        <v>Lukas</v>
      </c>
      <c r="F563" s="17"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563" s="17" t="str">
        <f t="shared" si="81"/>
        <v>2013</v>
      </c>
      <c r="H563" s="17" t="str">
        <f t="shared" si="82"/>
        <v>Lukas_CluttonBrock_2013</v>
      </c>
      <c r="I563" s="17" t="str">
        <f t="shared" si="88"/>
        <v>10.1126%2Fscience.1238677</v>
      </c>
      <c r="J563" s="17" t="str">
        <f t="shared" si="83"/>
        <v>Lukas_CluttonBrock_2013_ReferencesforSupplementaryTable</v>
      </c>
      <c r="K563" s="17" t="str">
        <f t="shared" si="87"/>
        <v>10.1126%2Fscience.1238677_ReferencesforSupplementaryTable</v>
      </c>
      <c r="L563" s="17" t="str">
        <f t="array" ref="L563">IFERROR(INDEX(AUTO_Public_TSV_FileList!$A$1:$A$1000,MATCH(TRUE(),EXACT(K563,IFERROR(_xlfn.TEXTBEFORE(AUTO_Public_TSV_FileList!$A$1:$A$1000,".tsv"),"")),0)),"notfound")</f>
        <v>10.1126%2Fscience.1238677_ReferencesforSupplementaryTable.tsv</v>
      </c>
      <c r="M563" s="20" t="s">
        <v>2356</v>
      </c>
      <c r="N563" s="19"/>
      <c r="O563" s="20" t="s">
        <v>2357</v>
      </c>
      <c r="P563" s="19"/>
      <c r="Q563" s="19"/>
      <c r="R563" s="20"/>
      <c r="S563" s="20"/>
      <c r="T563" s="20"/>
      <c r="U563" s="20"/>
      <c r="V563" s="20"/>
      <c r="W563" s="19"/>
      <c r="X563" s="19"/>
      <c r="Y563" s="20"/>
      <c r="Z563" s="20"/>
      <c r="AA563" s="20"/>
      <c r="AB563" s="19"/>
      <c r="AC563" s="19"/>
      <c r="AD563" s="20"/>
      <c r="AE563" s="19"/>
      <c r="AF563" s="19"/>
      <c r="AG563" s="19"/>
      <c r="AH563" s="20"/>
    </row>
    <row r="564" spans="1:34" ht="15" customHeight="1" x14ac:dyDescent="0.2">
      <c r="A564" s="19" t="s">
        <v>2355</v>
      </c>
      <c r="B564" s="20"/>
      <c r="C564" s="20"/>
      <c r="D564" s="19" t="s">
        <v>2358</v>
      </c>
      <c r="E564" s="17" t="str">
        <f t="shared" si="80"/>
        <v>Lukas</v>
      </c>
      <c r="F564" s="17"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564" s="17" t="str">
        <f t="shared" si="81"/>
        <v>2013</v>
      </c>
      <c r="H564" s="17" t="str">
        <f t="shared" si="82"/>
        <v>Lukas_CluttonBrock_2013</v>
      </c>
      <c r="I564" s="17" t="str">
        <f t="shared" si="88"/>
        <v>10.1126%2Fscience.1238677</v>
      </c>
      <c r="J564" s="17" t="str">
        <f t="shared" si="83"/>
        <v>Lukas_CluttonBrock_2013_SupplementaryData</v>
      </c>
      <c r="K564" s="17" t="str">
        <f t="shared" si="87"/>
        <v>10.1126%2Fscience.1238677_SupplementaryData</v>
      </c>
      <c r="L564" s="17" t="str">
        <f t="array" ref="L564">IFERROR(INDEX(AUTO_Public_TSV_FileList!$A$1:$A$1000,MATCH(TRUE(),EXACT(K564,IFERROR(_xlfn.TEXTBEFORE(AUTO_Public_TSV_FileList!$A$1:$A$1000,".tsv"),"")),0)),"notfound")</f>
        <v>10.1126%2Fscience.1238677_SupplementaryData.tsv</v>
      </c>
      <c r="M564" s="20" t="s">
        <v>2359</v>
      </c>
      <c r="N564" s="19"/>
      <c r="O564" s="20" t="s">
        <v>2357</v>
      </c>
      <c r="P564" s="19"/>
      <c r="Q564" s="19"/>
      <c r="R564" s="20"/>
      <c r="S564" s="20"/>
      <c r="T564" s="20"/>
      <c r="U564" s="20"/>
      <c r="V564" s="20"/>
      <c r="W564" s="19"/>
      <c r="X564" s="19"/>
      <c r="Y564" s="20"/>
      <c r="Z564" s="20"/>
      <c r="AA564" s="20"/>
      <c r="AB564" s="19"/>
      <c r="AC564" s="19"/>
      <c r="AD564" s="20"/>
      <c r="AE564" s="19"/>
      <c r="AF564" s="19"/>
      <c r="AG564" s="19"/>
      <c r="AH564" s="20"/>
    </row>
    <row r="565" spans="1:34" ht="15" customHeight="1" x14ac:dyDescent="0.2">
      <c r="A565" s="19" t="s">
        <v>2360</v>
      </c>
      <c r="B565" s="20"/>
      <c r="C565" s="20"/>
      <c r="D565" s="19" t="s">
        <v>86</v>
      </c>
      <c r="E565" s="17" t="str">
        <f t="shared" si="80"/>
        <v>Lyamin</v>
      </c>
      <c r="F565" s="17"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17" t="str">
        <f t="shared" si="81"/>
        <v>2008</v>
      </c>
      <c r="H565" s="17" t="str">
        <f t="shared" si="82"/>
        <v>Lyamin_etal_2008</v>
      </c>
      <c r="I565" s="17" t="str">
        <f t="shared" si="88"/>
        <v>10.1016%2Fj.neubiorev.2008.05.023</v>
      </c>
      <c r="J565" s="17" t="str">
        <f t="shared" si="83"/>
        <v>Lyamin_etal_2008_Table1</v>
      </c>
      <c r="K565" s="17" t="str">
        <f t="shared" si="87"/>
        <v>10.1016%2Fj.neubiorev.2008.05.023_Table1</v>
      </c>
      <c r="L565" s="17" t="str">
        <f t="array" ref="L565">IFERROR(INDEX(AUTO_Public_TSV_FileList!$A$1:$A$1000,MATCH(TRUE(),EXACT(K565,IFERROR(_xlfn.TEXTBEFORE(AUTO_Public_TSV_FileList!$A$1:$A$1000,".tsv"),"")),0)),"notfound")</f>
        <v>10.1016%2Fj.neubiorev.2008.05.023_Table1.tsv</v>
      </c>
      <c r="M565" s="20"/>
      <c r="N565" s="20"/>
      <c r="O565" s="20"/>
      <c r="P565" s="19" t="s">
        <v>55</v>
      </c>
      <c r="Q565" s="20"/>
      <c r="R565" s="20"/>
      <c r="S565" s="20"/>
      <c r="T565" s="20"/>
      <c r="U565" s="20"/>
      <c r="V565" s="20"/>
      <c r="W565" s="20"/>
      <c r="X565" s="20"/>
      <c r="Y565" s="20"/>
      <c r="Z565" s="20"/>
      <c r="AA565" s="20"/>
      <c r="AB565" s="20"/>
      <c r="AC565" s="20"/>
      <c r="AD565" s="20"/>
      <c r="AE565" s="20"/>
      <c r="AF565" s="20"/>
      <c r="AG565" s="20"/>
      <c r="AH565" s="20"/>
    </row>
    <row r="566" spans="1:34" ht="15" customHeight="1" x14ac:dyDescent="0.2">
      <c r="A566" s="19" t="s">
        <v>2360</v>
      </c>
      <c r="B566" s="20"/>
      <c r="C566" s="20"/>
      <c r="D566" s="19" t="s">
        <v>160</v>
      </c>
      <c r="E566" s="17" t="str">
        <f t="shared" si="80"/>
        <v>Lyamin</v>
      </c>
      <c r="F566" s="17"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17" t="str">
        <f t="shared" si="81"/>
        <v>2008</v>
      </c>
      <c r="H566" s="17" t="str">
        <f t="shared" si="82"/>
        <v>Lyamin_etal_2008</v>
      </c>
      <c r="I566" s="17" t="str">
        <f t="shared" si="88"/>
        <v>10.1016%2Fj.neubiorev.2008.05.023</v>
      </c>
      <c r="J566" s="17" t="str">
        <f t="shared" si="83"/>
        <v>Lyamin_etal_2008_Table2</v>
      </c>
      <c r="K566" s="17" t="str">
        <f t="shared" si="87"/>
        <v>10.1016%2Fj.neubiorev.2008.05.023_Table2</v>
      </c>
      <c r="L566" s="17" t="str">
        <f t="array" ref="L566">IFERROR(INDEX(AUTO_Public_TSV_FileList!$A$1:$A$1000,MATCH(TRUE(),EXACT(K566,IFERROR(_xlfn.TEXTBEFORE(AUTO_Public_TSV_FileList!$A$1:$A$1000,".tsv"),"")),0)),"notfound")</f>
        <v>10.1016%2Fj.neubiorev.2008.05.023_Table2.tsv</v>
      </c>
      <c r="M566" s="20"/>
      <c r="N566" s="20"/>
      <c r="O566" s="20" t="s">
        <v>2361</v>
      </c>
      <c r="P566" s="19" t="s">
        <v>55</v>
      </c>
      <c r="Q566" s="20"/>
      <c r="R566" s="20"/>
      <c r="S566" s="20"/>
      <c r="T566" s="20"/>
      <c r="U566" s="20"/>
      <c r="V566" s="20"/>
      <c r="W566" s="20"/>
      <c r="X566" s="20"/>
      <c r="Y566" s="20"/>
      <c r="Z566" s="20"/>
      <c r="AA566" s="20"/>
      <c r="AB566" s="20"/>
      <c r="AC566" s="20"/>
      <c r="AD566" s="20"/>
      <c r="AE566" s="20"/>
      <c r="AF566" s="20"/>
      <c r="AG566" s="20"/>
      <c r="AH566" s="20"/>
    </row>
    <row r="567" spans="1:34" ht="15" customHeight="1" x14ac:dyDescent="0.2">
      <c r="A567" s="19" t="s">
        <v>4555</v>
      </c>
      <c r="B567" s="20"/>
      <c r="C567" s="20"/>
      <c r="D567" s="19" t="s">
        <v>439</v>
      </c>
      <c r="E567" s="17" t="str">
        <f t="shared" si="80"/>
        <v>Mace</v>
      </c>
      <c r="F567" s="17"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17" t="str">
        <f t="shared" si="81"/>
        <v>1981</v>
      </c>
      <c r="H567" s="17" t="str">
        <f t="shared" si="82"/>
        <v>Mace_etal_1981</v>
      </c>
      <c r="I567" s="17" t="str">
        <f t="shared" si="88"/>
        <v>10.1111%2Fj.1469-7998.1981.tb03449.x</v>
      </c>
      <c r="J567" s="17" t="str">
        <f t="shared" si="83"/>
        <v>Mace_etal_1981_TableI</v>
      </c>
      <c r="K567" s="17" t="str">
        <f t="shared" si="87"/>
        <v>10.1111%2Fj.1469-7998.1981.tb03449.x_TableI</v>
      </c>
      <c r="L567" s="17" t="str">
        <f t="array" ref="L567">IFERROR(INDEX(AUTO_Public_TSV_FileList!$A$1:$A$1000,MATCH(TRUE(),EXACT(K567,IFERROR(_xlfn.TEXTBEFORE(AUTO_Public_TSV_FileList!$A$1:$A$1000,".tsv"),"")),0)),"notfound")</f>
        <v>notfound</v>
      </c>
      <c r="M567" s="20" t="s">
        <v>4556</v>
      </c>
      <c r="N567" s="20" t="s">
        <v>4718</v>
      </c>
      <c r="O567" s="20" t="s">
        <v>4761</v>
      </c>
      <c r="P567" s="20" t="s">
        <v>4704</v>
      </c>
      <c r="Q567" s="20" t="s">
        <v>4762</v>
      </c>
      <c r="R567" s="20" t="s">
        <v>4763</v>
      </c>
      <c r="S567" s="20" t="s">
        <v>4707</v>
      </c>
      <c r="T567" s="20" t="s">
        <v>4722</v>
      </c>
      <c r="U567" s="20"/>
      <c r="V567" s="20" t="s">
        <v>4709</v>
      </c>
      <c r="W567" s="20" t="s">
        <v>319</v>
      </c>
      <c r="X567" s="20" t="s">
        <v>4710</v>
      </c>
      <c r="Y567" s="20" t="s">
        <v>4764</v>
      </c>
      <c r="Z567" s="20" t="s">
        <v>4765</v>
      </c>
      <c r="AA567" s="20" t="s">
        <v>4766</v>
      </c>
      <c r="AB567" s="20" t="s">
        <v>4767</v>
      </c>
      <c r="AC567" s="20" t="s">
        <v>4768</v>
      </c>
      <c r="AD567" s="20" t="s">
        <v>689</v>
      </c>
      <c r="AE567" s="20" t="s">
        <v>265</v>
      </c>
      <c r="AF567" s="20" t="s">
        <v>4769</v>
      </c>
      <c r="AG567" s="20" t="s">
        <v>4717</v>
      </c>
      <c r="AH567" s="20"/>
    </row>
    <row r="568" spans="1:34" ht="15" customHeight="1" x14ac:dyDescent="0.2">
      <c r="A568" s="20" t="s">
        <v>2362</v>
      </c>
      <c r="B568" s="20"/>
      <c r="C568" s="20"/>
      <c r="D568" s="20" t="s">
        <v>2363</v>
      </c>
      <c r="E568" s="18" t="str">
        <f t="shared" si="80"/>
        <v>Mackes</v>
      </c>
      <c r="F568" s="18"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18" t="str">
        <f t="shared" si="81"/>
        <v>2020</v>
      </c>
      <c r="H568" s="18" t="str">
        <f t="shared" si="82"/>
        <v>Mackes_etal_2020</v>
      </c>
      <c r="I568" s="18" t="str">
        <f t="shared" si="88"/>
        <v>10.1073%2Fpnas.1911264116</v>
      </c>
      <c r="J568" s="18" t="str">
        <f t="shared" si="83"/>
        <v>Mackes_etal_2020_ERABIS(cortical)</v>
      </c>
      <c r="K568" s="18" t="str">
        <f>I568 &amp; "_" &amp; SUBSTITUTE(SUBSTITUTE(SUBSTITUTE(D568,CHAR(160),""), " ", ""), "_", "")</f>
        <v>10.1073%2Fpnas.1911264116_ERABIS(cortical)</v>
      </c>
      <c r="L568" s="17" t="str">
        <f t="array" ref="L568">IFERROR(INDEX(AUTO_Public_TSV_FileList!$A$1:$A$1000,MATCH(TRUE(),EXACT(K568,IFERROR(_xlfn.TEXTBEFORE(AUTO_Public_TSV_FileList!$A$1:$A$1000,".tsv"),"")),0)),"notfound")</f>
        <v>10.1073%2Fpnas.1911264116_ERABIS(cortical).tsv</v>
      </c>
      <c r="M568" s="20" t="s">
        <v>2364</v>
      </c>
      <c r="N568" s="20" t="s">
        <v>2014</v>
      </c>
      <c r="O568" s="20"/>
      <c r="P568" s="20" t="s">
        <v>55</v>
      </c>
      <c r="Q568" s="20" t="s">
        <v>2365</v>
      </c>
      <c r="R568" s="20"/>
      <c r="S568" s="20"/>
      <c r="T568" s="20"/>
      <c r="U568" s="20"/>
      <c r="V568" s="20"/>
      <c r="W568" s="20" t="s">
        <v>1210</v>
      </c>
      <c r="X568" s="20"/>
      <c r="Y568" s="20"/>
      <c r="Z568" s="20" t="s">
        <v>2366</v>
      </c>
      <c r="AA568" s="20" t="s">
        <v>2367</v>
      </c>
      <c r="AB568" s="20" t="s">
        <v>177</v>
      </c>
      <c r="AC568" s="20" t="s">
        <v>1882</v>
      </c>
      <c r="AD568" s="20"/>
      <c r="AE568" s="20" t="s">
        <v>50</v>
      </c>
      <c r="AF568" s="20"/>
      <c r="AG568" s="20"/>
      <c r="AH568" s="20"/>
    </row>
    <row r="569" spans="1:34" ht="15" customHeight="1" x14ac:dyDescent="0.2">
      <c r="A569" s="20" t="s">
        <v>2362</v>
      </c>
      <c r="B569" s="20"/>
      <c r="C569" s="20"/>
      <c r="D569" s="20" t="s">
        <v>2368</v>
      </c>
      <c r="E569" s="18" t="str">
        <f t="shared" si="80"/>
        <v>Mackes</v>
      </c>
      <c r="F569" s="18"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18" t="str">
        <f t="shared" si="81"/>
        <v>2020</v>
      </c>
      <c r="H569" s="18" t="str">
        <f t="shared" si="82"/>
        <v>Mackes_etal_2020</v>
      </c>
      <c r="I569" s="18" t="str">
        <f t="shared" si="88"/>
        <v>10.1073%2Fpnas.1911264116</v>
      </c>
      <c r="J569" s="18" t="str">
        <f t="shared" si="83"/>
        <v>Mackes_etal_2020_subcortical</v>
      </c>
      <c r="K569" s="18" t="str">
        <f>I569 &amp; "_" &amp; SUBSTITUTE(SUBSTITUTE(SUBSTITUTE(D569,CHAR(160),""), " ", ""), "_", "")</f>
        <v>10.1073%2Fpnas.1911264116_subcortical</v>
      </c>
      <c r="L569" s="17" t="str">
        <f t="array" ref="L569">IFERROR(INDEX(AUTO_Public_TSV_FileList!$A$1:$A$1000,MATCH(TRUE(),EXACT(K569,IFERROR(_xlfn.TEXTBEFORE(AUTO_Public_TSV_FileList!$A$1:$A$1000,".tsv"),"")),0)),"notfound")</f>
        <v>10.1073%2Fpnas.1911264116_subcortical.tsv</v>
      </c>
      <c r="M569" s="20" t="s">
        <v>2369</v>
      </c>
      <c r="N569" s="20" t="s">
        <v>2014</v>
      </c>
      <c r="O569" s="20"/>
      <c r="P569" s="20" t="s">
        <v>55</v>
      </c>
      <c r="Q569" s="20" t="s">
        <v>1880</v>
      </c>
      <c r="R569" s="20"/>
      <c r="S569" s="20"/>
      <c r="T569" s="20"/>
      <c r="U569" s="20"/>
      <c r="V569" s="20"/>
      <c r="W569" s="20" t="s">
        <v>1210</v>
      </c>
      <c r="X569" s="20"/>
      <c r="Y569" s="20"/>
      <c r="Z569" s="20" t="s">
        <v>2370</v>
      </c>
      <c r="AA569" s="20" t="s">
        <v>1881</v>
      </c>
      <c r="AB569" s="20" t="s">
        <v>177</v>
      </c>
      <c r="AC569" s="20" t="s">
        <v>1882</v>
      </c>
      <c r="AD569" s="20"/>
      <c r="AE569" s="20" t="s">
        <v>50</v>
      </c>
      <c r="AF569" s="20"/>
      <c r="AG569" s="20"/>
      <c r="AH569" s="20"/>
    </row>
    <row r="570" spans="1:34" ht="15" customHeight="1" x14ac:dyDescent="0.2">
      <c r="A570" s="19" t="s">
        <v>2371</v>
      </c>
      <c r="B570" s="20"/>
      <c r="C570" s="20"/>
      <c r="D570" s="19" t="s">
        <v>86</v>
      </c>
      <c r="E570" s="17" t="str">
        <f t="shared" si="80"/>
        <v>MacLarnon</v>
      </c>
      <c r="F570" s="17"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0" s="17" t="str">
        <f t="shared" si="81"/>
        <v>1996</v>
      </c>
      <c r="H570" s="17" t="str">
        <f t="shared" si="82"/>
        <v>MacLarnon__1996</v>
      </c>
      <c r="I570" s="17" t="str">
        <f t="shared" si="88"/>
        <v>10.1006%2Fjhev.1996.0005</v>
      </c>
      <c r="J570" s="17" t="str">
        <f t="shared" si="83"/>
        <v>MacLarnon__1996_Table1</v>
      </c>
      <c r="K570" s="17" t="str">
        <f t="shared" ref="K570:K600" si="89">I570 &amp; "_" &amp; SUBSTITUTE(SUBSTITUTE(SUBSTITUTE(D570,CHAR(160),"")," ",""),"_","")</f>
        <v>10.1006%2Fjhev.1996.0005_Table1</v>
      </c>
      <c r="L570" s="17" t="str">
        <f t="array" ref="L570">IFERROR(INDEX(AUTO_Public_TSV_FileList!$A$1:$A$1000,MATCH(TRUE(),EXACT(K570,IFERROR(_xlfn.TEXTBEFORE(AUTO_Public_TSV_FileList!$A$1:$A$1000,".tsv"),"")),0)),"notfound")</f>
        <v>10.1006%2Fjhev.1996.0005_Table1.tsv</v>
      </c>
      <c r="M570" s="19" t="s">
        <v>2372</v>
      </c>
      <c r="N570" s="20"/>
      <c r="O570" s="20"/>
      <c r="P570" s="19" t="s">
        <v>55</v>
      </c>
      <c r="Q570" s="20"/>
      <c r="R570" s="20"/>
      <c r="S570" s="20"/>
      <c r="T570" s="20"/>
      <c r="U570" s="20"/>
      <c r="V570" s="20"/>
      <c r="W570" s="19" t="s">
        <v>187</v>
      </c>
      <c r="X570" s="19" t="s">
        <v>2373</v>
      </c>
      <c r="Y570" s="20"/>
      <c r="Z570" s="20"/>
      <c r="AA570" s="20"/>
      <c r="AB570" s="19" t="s">
        <v>2374</v>
      </c>
      <c r="AC570" s="20"/>
      <c r="AD570" s="20"/>
      <c r="AE570" s="19" t="s">
        <v>50</v>
      </c>
      <c r="AF570" s="19"/>
      <c r="AG570" s="20"/>
      <c r="AH570" s="20"/>
    </row>
    <row r="571" spans="1:34" ht="15" customHeight="1" x14ac:dyDescent="0.2">
      <c r="A571" s="19" t="s">
        <v>2375</v>
      </c>
      <c r="B571" s="20"/>
      <c r="C571" s="19" t="s">
        <v>2376</v>
      </c>
      <c r="D571" s="19" t="s">
        <v>2377</v>
      </c>
      <c r="E571" s="17" t="str">
        <f t="shared" si="80"/>
        <v>MacLeod</v>
      </c>
      <c r="F571" s="17"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1" s="17" t="str">
        <f t="shared" si="81"/>
        <v>2000</v>
      </c>
      <c r="H571" s="17" t="str">
        <f t="shared" si="82"/>
        <v>MacLeod__2000</v>
      </c>
      <c r="I571" s="17" t="str">
        <f t="shared" si="88"/>
        <v>NQ%3A61662</v>
      </c>
      <c r="J571" s="17" t="str">
        <f t="shared" si="83"/>
        <v>MacLeod__2000_APPENDIXI</v>
      </c>
      <c r="K571" s="17" t="str">
        <f t="shared" si="89"/>
        <v>NQ%3A61662_APPENDIXI</v>
      </c>
      <c r="L571" s="17" t="str">
        <f t="array" ref="L571">IFERROR(INDEX(AUTO_Public_TSV_FileList!$A$1:$A$1000,MATCH(TRUE(),EXACT(K571,IFERROR(_xlfn.TEXTBEFORE(AUTO_Public_TSV_FileList!$A$1:$A$1000,".tsv"),"")),0)),"notfound")</f>
        <v>NQ%3A61662_APPENDIXI.tsv</v>
      </c>
      <c r="M571" s="19" t="s">
        <v>2378</v>
      </c>
      <c r="N571" s="20"/>
      <c r="O571" s="20"/>
      <c r="P571" s="19" t="s">
        <v>55</v>
      </c>
      <c r="Q571" s="20"/>
      <c r="R571" s="20"/>
      <c r="S571" s="20"/>
      <c r="T571" s="20"/>
      <c r="U571" s="20"/>
      <c r="V571" s="20"/>
      <c r="W571" s="20"/>
      <c r="X571" s="20"/>
      <c r="Y571" s="20"/>
      <c r="Z571" s="20"/>
      <c r="AA571" s="20"/>
      <c r="AB571" s="20"/>
      <c r="AC571" s="20"/>
      <c r="AD571" s="20"/>
      <c r="AE571" s="20"/>
      <c r="AF571" s="20"/>
      <c r="AG571" s="20"/>
      <c r="AH571" s="20"/>
    </row>
    <row r="572" spans="1:34" ht="15" customHeight="1" x14ac:dyDescent="0.2">
      <c r="A572" s="19" t="s">
        <v>2379</v>
      </c>
      <c r="B572" s="20"/>
      <c r="C572" s="20"/>
      <c r="D572" s="19" t="s">
        <v>86</v>
      </c>
      <c r="E572" s="17" t="str">
        <f t="shared" si="80"/>
        <v>MacLeod</v>
      </c>
      <c r="F572" s="17"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17" t="str">
        <f t="shared" si="81"/>
        <v>2003</v>
      </c>
      <c r="H572" s="17" t="str">
        <f t="shared" si="82"/>
        <v>MacLeod_etal_2003</v>
      </c>
      <c r="I572" s="17" t="str">
        <f t="shared" si="88"/>
        <v>10.1016%2Fs0047-2484(03)00028-9</v>
      </c>
      <c r="J572" s="17" t="str">
        <f t="shared" si="83"/>
        <v>MacLeod_etal_2003_Table1</v>
      </c>
      <c r="K572" s="17" t="str">
        <f t="shared" si="89"/>
        <v>10.1016%2Fs0047-2484(03)00028-9_Table1</v>
      </c>
      <c r="L572" s="17" t="str">
        <f t="array" ref="L572">IFERROR(INDEX(AUTO_Public_TSV_FileList!$A$1:$A$1000,MATCH(TRUE(),EXACT(K572,IFERROR(_xlfn.TEXTBEFORE(AUTO_Public_TSV_FileList!$A$1:$A$1000,".tsv"),"")),0)),"notfound")</f>
        <v>10.1016%2Fs0047-2484(03)00028-9_Table1.tsv</v>
      </c>
      <c r="M572" s="19" t="s">
        <v>2380</v>
      </c>
      <c r="N572" s="20"/>
      <c r="O572" s="20"/>
      <c r="P572" s="19" t="s">
        <v>55</v>
      </c>
      <c r="Q572" s="20"/>
      <c r="R572" s="20"/>
      <c r="S572" s="20"/>
      <c r="T572" s="20"/>
      <c r="U572" s="20"/>
      <c r="V572" s="20"/>
      <c r="W572" s="19" t="s">
        <v>187</v>
      </c>
      <c r="X572" s="19" t="s">
        <v>2381</v>
      </c>
      <c r="Y572" s="20"/>
      <c r="Z572" s="19" t="s">
        <v>2382</v>
      </c>
      <c r="AA572" s="19" t="s">
        <v>216</v>
      </c>
      <c r="AB572" s="19" t="s">
        <v>177</v>
      </c>
      <c r="AC572" s="19" t="s">
        <v>2383</v>
      </c>
      <c r="AD572" s="19" t="s">
        <v>2384</v>
      </c>
      <c r="AE572" s="19" t="s">
        <v>50</v>
      </c>
      <c r="AF572" s="19"/>
      <c r="AG572" s="20"/>
      <c r="AH572" s="20"/>
    </row>
    <row r="573" spans="1:34" ht="15" customHeight="1" x14ac:dyDescent="0.2">
      <c r="A573" s="19" t="s">
        <v>2379</v>
      </c>
      <c r="B573" s="20"/>
      <c r="C573" s="20"/>
      <c r="D573" s="19" t="s">
        <v>160</v>
      </c>
      <c r="E573" s="17" t="str">
        <f t="shared" si="80"/>
        <v>MacLeod</v>
      </c>
      <c r="F573" s="17"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17" t="str">
        <f t="shared" si="81"/>
        <v>2003</v>
      </c>
      <c r="H573" s="17" t="str">
        <f t="shared" si="82"/>
        <v>MacLeod_etal_2003</v>
      </c>
      <c r="I573" s="17" t="str">
        <f t="shared" si="88"/>
        <v>10.1016%2Fs0047-2484(03)00028-9</v>
      </c>
      <c r="J573" s="17" t="str">
        <f t="shared" si="83"/>
        <v>MacLeod_etal_2003_Table2</v>
      </c>
      <c r="K573" s="17" t="str">
        <f t="shared" si="89"/>
        <v>10.1016%2Fs0047-2484(03)00028-9_Table2</v>
      </c>
      <c r="L573" s="17" t="str">
        <f t="array" ref="L573">IFERROR(INDEX(AUTO_Public_TSV_FileList!$A$1:$A$1000,MATCH(TRUE(),EXACT(K573,IFERROR(_xlfn.TEXTBEFORE(AUTO_Public_TSV_FileList!$A$1:$A$1000,".tsv"),"")),0)),"notfound")</f>
        <v>10.1016%2Fs0047-2484(03)00028-9_Table2.tsv</v>
      </c>
      <c r="M573" s="19" t="s">
        <v>2385</v>
      </c>
      <c r="N573" s="20"/>
      <c r="O573" s="20"/>
      <c r="P573" s="19" t="s">
        <v>55</v>
      </c>
      <c r="Q573" s="20"/>
      <c r="R573" s="20"/>
      <c r="S573" s="20"/>
      <c r="T573" s="20"/>
      <c r="U573" s="20"/>
      <c r="V573" s="20"/>
      <c r="W573" s="19" t="s">
        <v>187</v>
      </c>
      <c r="X573" s="19" t="s">
        <v>2381</v>
      </c>
      <c r="Y573" s="20"/>
      <c r="Z573" s="19" t="s">
        <v>172</v>
      </c>
      <c r="AA573" s="19" t="s">
        <v>216</v>
      </c>
      <c r="AB573" s="19" t="s">
        <v>177</v>
      </c>
      <c r="AC573" s="19" t="s">
        <v>810</v>
      </c>
      <c r="AD573" s="19" t="s">
        <v>810</v>
      </c>
      <c r="AE573" s="19" t="s">
        <v>50</v>
      </c>
      <c r="AF573" s="19"/>
      <c r="AG573" s="20"/>
      <c r="AH573" s="20"/>
    </row>
    <row r="574" spans="1:34" ht="15" customHeight="1" x14ac:dyDescent="0.2">
      <c r="A574" s="20" t="s">
        <v>2386</v>
      </c>
      <c r="B574" s="20"/>
      <c r="C574" s="20" t="s">
        <v>2387</v>
      </c>
      <c r="D574" s="20" t="s">
        <v>2388</v>
      </c>
      <c r="E574" s="17" t="str">
        <f t="shared" si="80"/>
        <v>Mallavarapu</v>
      </c>
      <c r="F574" s="17" t="str">
        <f>_xlfn.LET(
_xlpm.authors,_xlfn.TEXTBEFORE(A574," ("&amp;G574&amp;")"),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574" s="17" t="str">
        <f t="shared" si="81"/>
        <v>2001</v>
      </c>
      <c r="H574" s="17" t="str">
        <f t="shared" si="82"/>
        <v>Mallavarapu__2001</v>
      </c>
      <c r="I574" s="17" t="str">
        <f t="shared" si="88"/>
        <v>https%3A%2F%2Fopensiuc.lib.siu.edu%2Fuhp_theses%2F147%2F</v>
      </c>
      <c r="J574" s="17" t="str">
        <f t="shared" si="83"/>
        <v>Mallavarapu__2001_ResultsText</v>
      </c>
      <c r="K574" s="17" t="str">
        <f t="shared" si="89"/>
        <v>https%3A%2F%2Fopensiuc.lib.siu.edu%2Fuhp_theses%2F147%2F_ResultsText</v>
      </c>
      <c r="L574" s="17" t="str">
        <f>IFERROR(INDEX(AUTO_Public_TSV_FileList!$A$1:$A$1000,MATCH(TRUE(),EXACT(K574,IFERROR(_xlfn.TEXTBEFORE(AUTO_Public_TSV_FileList!$A$1:$A$1000,".tsv"),"")),0)),"notfound")</f>
        <v>notfound</v>
      </c>
      <c r="M574" s="20" t="s">
        <v>2388</v>
      </c>
      <c r="N574" s="20" t="s">
        <v>311</v>
      </c>
      <c r="O574" s="20" t="s">
        <v>2389</v>
      </c>
      <c r="P574" s="20" t="s">
        <v>313</v>
      </c>
      <c r="Q574" s="20" t="s">
        <v>2390</v>
      </c>
      <c r="R574" s="20" t="s">
        <v>2387</v>
      </c>
      <c r="S574" s="20" t="s">
        <v>316</v>
      </c>
      <c r="T574" s="20" t="s">
        <v>317</v>
      </c>
      <c r="U574" s="20"/>
      <c r="V574" s="20" t="s">
        <v>318</v>
      </c>
      <c r="W574" s="20" t="s">
        <v>319</v>
      </c>
      <c r="X574" s="20" t="s">
        <v>2391</v>
      </c>
      <c r="Y574" s="20"/>
      <c r="Z574" s="20"/>
      <c r="AA574" s="20" t="s">
        <v>2392</v>
      </c>
      <c r="AB574" s="20" t="s">
        <v>322</v>
      </c>
      <c r="AC574" s="20" t="s">
        <v>2393</v>
      </c>
      <c r="AD574" s="20"/>
      <c r="AE574" s="20" t="s">
        <v>50</v>
      </c>
      <c r="AF574" s="20"/>
      <c r="AG574" s="20" t="s">
        <v>324</v>
      </c>
      <c r="AH574" s="20" t="s">
        <v>325</v>
      </c>
    </row>
    <row r="575" spans="1:34" ht="15" customHeight="1" x14ac:dyDescent="0.2">
      <c r="A575" s="19" t="s">
        <v>2406</v>
      </c>
      <c r="B575" s="20"/>
      <c r="C575" s="20"/>
      <c r="D575" s="19" t="s">
        <v>86</v>
      </c>
      <c r="E575" s="17" t="str">
        <f t="shared" si="80"/>
        <v>Manger</v>
      </c>
      <c r="F575" s="17"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5" s="17" t="str">
        <f t="shared" si="81"/>
        <v>2006</v>
      </c>
      <c r="H575" s="17" t="str">
        <f t="shared" si="82"/>
        <v>Manger__2006</v>
      </c>
      <c r="I575" s="17" t="str">
        <f t="shared" si="88"/>
        <v>10.1017%2FS1464793106007019</v>
      </c>
      <c r="J575" s="17" t="str">
        <f t="shared" si="83"/>
        <v>Manger__2006_Table1</v>
      </c>
      <c r="K575" s="17" t="str">
        <f t="shared" si="89"/>
        <v>10.1017%2FS1464793106007019_Table1</v>
      </c>
      <c r="L575" s="17" t="str">
        <f t="array" ref="L575">IFERROR(INDEX(AUTO_Public_TSV_FileList!$A$1:$A$1000,MATCH(TRUE(),EXACT(K575,IFERROR(_xlfn.TEXTBEFORE(AUTO_Public_TSV_FileList!$A$1:$A$1000,".tsv"),"")),0)),"notfound")</f>
        <v>10.1017%2FS1464793106007019_Table1.tsv</v>
      </c>
      <c r="M575" s="20"/>
      <c r="N575" s="20"/>
      <c r="O575" s="20"/>
      <c r="P575" s="19" t="s">
        <v>55</v>
      </c>
      <c r="Q575" s="20"/>
      <c r="R575" s="20"/>
      <c r="S575" s="20"/>
      <c r="T575" s="20"/>
      <c r="U575" s="20"/>
      <c r="V575" s="20"/>
      <c r="W575" s="20"/>
      <c r="X575" s="20"/>
      <c r="Y575" s="20"/>
      <c r="Z575" s="20"/>
      <c r="AA575" s="20"/>
      <c r="AB575" s="20"/>
      <c r="AC575" s="20"/>
      <c r="AD575" s="20"/>
      <c r="AE575" s="20"/>
      <c r="AF575" s="20"/>
      <c r="AG575" s="20"/>
      <c r="AH575" s="20"/>
    </row>
    <row r="576" spans="1:34" ht="15" customHeight="1" x14ac:dyDescent="0.2">
      <c r="A576" s="20" t="s">
        <v>2394</v>
      </c>
      <c r="B576" s="20"/>
      <c r="C576" s="20"/>
      <c r="D576" s="20" t="s">
        <v>86</v>
      </c>
      <c r="E576" s="17" t="str">
        <f t="shared" si="80"/>
        <v>Manger</v>
      </c>
      <c r="F576" s="17"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17" t="str">
        <f t="shared" si="81"/>
        <v>2012</v>
      </c>
      <c r="H576" s="17" t="str">
        <f t="shared" si="82"/>
        <v>Manger_etal_2012</v>
      </c>
      <c r="I576" s="17" t="str">
        <f t="shared" si="88"/>
        <v>10.1002%2Fcne.23046</v>
      </c>
      <c r="J576" s="17" t="str">
        <f t="shared" si="83"/>
        <v>Manger_etal_2012_Table1</v>
      </c>
      <c r="K576" s="17" t="str">
        <f t="shared" si="89"/>
        <v>10.1002%2Fcne.23046_Table1</v>
      </c>
      <c r="L576" s="17" t="str">
        <f t="array" ref="L576">IFERROR(INDEX(AUTO_Public_TSV_FileList!$A$1:$A$1000,MATCH(TRUE(),EXACT(K576,IFERROR(_xlfn.TEXTBEFORE(AUTO_Public_TSV_FileList!$A$1:$A$1000,".tsv"),"")),0)),"notfound")</f>
        <v>notfound</v>
      </c>
      <c r="M576" s="20" t="s">
        <v>2395</v>
      </c>
      <c r="N576" s="20" t="s">
        <v>180</v>
      </c>
      <c r="O576" s="20" t="s">
        <v>2396</v>
      </c>
      <c r="P576" s="20" t="s">
        <v>299</v>
      </c>
      <c r="Q576" s="20" t="s">
        <v>2397</v>
      </c>
      <c r="R576" s="20" t="s">
        <v>2398</v>
      </c>
      <c r="S576" s="20"/>
      <c r="T576" s="20"/>
      <c r="U576" s="20"/>
      <c r="V576" s="20"/>
      <c r="W576" s="20" t="s">
        <v>2399</v>
      </c>
      <c r="X576" s="20" t="s">
        <v>2400</v>
      </c>
      <c r="Y576" s="20" t="s">
        <v>2401</v>
      </c>
      <c r="Z576" s="20" t="s">
        <v>2402</v>
      </c>
      <c r="AA576" s="20" t="s">
        <v>2403</v>
      </c>
      <c r="AB576" s="20" t="s">
        <v>2404</v>
      </c>
      <c r="AC576" s="20"/>
      <c r="AD576" s="20"/>
      <c r="AE576" s="20" t="s">
        <v>70</v>
      </c>
      <c r="AF576" s="20" t="s">
        <v>2405</v>
      </c>
      <c r="AG576" s="20"/>
      <c r="AH576" s="20"/>
    </row>
    <row r="577" spans="1:36" ht="15" customHeight="1" x14ac:dyDescent="0.2">
      <c r="A577" s="20" t="s">
        <v>4507</v>
      </c>
      <c r="B577" s="20"/>
      <c r="C577" s="20"/>
      <c r="D577" s="20" t="s">
        <v>439</v>
      </c>
      <c r="E577" s="18" t="str">
        <f t="shared" si="80"/>
        <v>MangoldWirz</v>
      </c>
      <c r="F577" s="17"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7" s="17" t="str">
        <f t="shared" si="81"/>
        <v>1966</v>
      </c>
      <c r="H577" s="18" t="str">
        <f t="shared" si="82"/>
        <v>MangoldWirz__1966</v>
      </c>
      <c r="I577" s="18" t="str">
        <f>_xlfn.LET(_xlpm.doi,IF(C577&lt;&gt;"",C577,_xlfn.TEXTAFTER(A577,"https://doi.org/")),SUBSTITUTE(SUBSTITUTE(SUBSTITUTE(SUBSTITUTE(_xlpm.doi,"/","%2F"),":","%3A"),"&lt;","%3C"),"&gt;","%3E"))</f>
        <v>10.1159%2F000142809</v>
      </c>
      <c r="J577" s="18" t="str">
        <f t="shared" si="83"/>
        <v>MangoldWirz__1966_TableI</v>
      </c>
      <c r="K577" s="17" t="str">
        <f t="shared" si="89"/>
        <v>10.1159%2F000142809_TableI</v>
      </c>
      <c r="L577" s="17" t="str">
        <f t="array" ref="L577">IFERROR(INDEX(AUTO_Public_TSV_FileList!$A$1:$A$1000,MATCH(TRUE(),EXACT(K577,IFERROR(_xlfn.TEXTBEFORE(AUTO_Public_TSV_FileList!$A$1:$A$1000,".tsv"),"")),0)),"notfound")</f>
        <v>10.1159%2F000142809_TableI.tsv</v>
      </c>
      <c r="M577" s="20" t="s">
        <v>4509</v>
      </c>
      <c r="N577" s="20" t="s">
        <v>4496</v>
      </c>
      <c r="O577" s="20"/>
      <c r="P577" s="20" t="s">
        <v>55</v>
      </c>
      <c r="Q577" s="20"/>
      <c r="R577" s="20" t="s">
        <v>4510</v>
      </c>
      <c r="S577" s="20"/>
      <c r="T577" s="20"/>
      <c r="U577" s="20"/>
      <c r="V577" s="20" t="s">
        <v>4498</v>
      </c>
      <c r="W577" s="20" t="s">
        <v>4511</v>
      </c>
      <c r="X577" s="20" t="s">
        <v>4512</v>
      </c>
      <c r="Y577" s="20"/>
      <c r="Z577" s="20"/>
      <c r="AA577" s="20" t="s">
        <v>4513</v>
      </c>
      <c r="AB577" s="20" t="s">
        <v>4514</v>
      </c>
      <c r="AC577" s="20" t="s">
        <v>4515</v>
      </c>
      <c r="AD577" s="20" t="s">
        <v>4504</v>
      </c>
      <c r="AE577" s="20"/>
      <c r="AF577" s="20" t="s">
        <v>70</v>
      </c>
      <c r="AG577" s="20" t="s">
        <v>4516</v>
      </c>
      <c r="AH577" s="20" t="s">
        <v>4517</v>
      </c>
    </row>
    <row r="578" spans="1:36" ht="15" customHeight="1" x14ac:dyDescent="0.2">
      <c r="A578" s="20" t="s">
        <v>4507</v>
      </c>
      <c r="B578" s="20"/>
      <c r="C578" s="20"/>
      <c r="D578" s="20" t="s">
        <v>2455</v>
      </c>
      <c r="E578" s="18" t="str">
        <f t="shared" ref="E578:E641" si="90">SUBSTITUTE(SUBSTITUTE(_xlfn.TEXTBEFORE(A578,","), "-", ""), " ", "")</f>
        <v>MangoldWirz</v>
      </c>
      <c r="F578" s="17"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8" s="17" t="str">
        <f t="shared" ref="G578:G641" si="91">_xlfn.TEXTBEFORE(_xlfn.TEXTAFTER(A578, "("), ")")</f>
        <v>1966</v>
      </c>
      <c r="H578" s="18" t="str">
        <f t="shared" ref="H578:H641" si="92">SUBSTITUTE(SUBSTITUTE(E578 &amp; IF(F578&lt;&gt;"", "_" &amp; SUBSTITUTE(F578," ",""), "_") &amp; IF(G578&lt;&gt;"", "_" &amp; G578, "_") &amp; IF(B578&lt;&gt;"", "_" &amp; B578, ""),"'",""),"’","")</f>
        <v>MangoldWirz__1966</v>
      </c>
      <c r="I578" s="18" t="str">
        <f>_xlfn.LET(_xlpm.doi,IF(C578&lt;&gt;"",C578,_xlfn.TEXTAFTER(A578,"https://doi.org/")),SUBSTITUTE(SUBSTITUTE(SUBSTITUTE(SUBSTITUTE(_xlpm.doi,"/","%2F"),":","%3A"),"&lt;","%3C"),"&gt;","%3E"))</f>
        <v>10.1159%2F000142809</v>
      </c>
      <c r="J578" s="18" t="str">
        <f t="shared" ref="J578:J641" si="93">TRIM(_xlfn.TEXTJOIN("_",FALSE(),H578,(SUBSTITUTE(SUBSTITUTE(D578," ",""), "_", ""))))</f>
        <v>MangoldWirz__1966_TableII</v>
      </c>
      <c r="K578" s="17" t="str">
        <f t="shared" si="89"/>
        <v>10.1159%2F000142809_TableII</v>
      </c>
      <c r="L578" s="17" t="str">
        <f t="array" ref="L578">IFERROR(INDEX(AUTO_Public_TSV_FileList!$A$1:$A$1000,MATCH(TRUE(),EXACT(K578,IFERROR(_xlfn.TEXTBEFORE(AUTO_Public_TSV_FileList!$A$1:$A$1000,".tsv"),"")),0)),"notfound")</f>
        <v>10.1159%2F000142809_TableII.tsv</v>
      </c>
      <c r="M578" s="20" t="s">
        <v>4509</v>
      </c>
      <c r="N578" s="20" t="s">
        <v>4496</v>
      </c>
      <c r="O578" s="20"/>
      <c r="P578" s="20" t="s">
        <v>55</v>
      </c>
      <c r="Q578" s="20"/>
      <c r="R578" s="20" t="s">
        <v>4510</v>
      </c>
      <c r="S578" s="20"/>
      <c r="T578" s="20"/>
      <c r="U578" s="20"/>
      <c r="V578" s="20" t="s">
        <v>4519</v>
      </c>
      <c r="W578" s="20" t="s">
        <v>4511</v>
      </c>
      <c r="X578" s="20" t="s">
        <v>4520</v>
      </c>
      <c r="Y578" s="20"/>
      <c r="Z578" s="20"/>
      <c r="AA578" s="20" t="s">
        <v>4521</v>
      </c>
      <c r="AB578" s="20" t="s">
        <v>4522</v>
      </c>
      <c r="AC578" s="20" t="s">
        <v>4523</v>
      </c>
      <c r="AD578" s="20" t="s">
        <v>4504</v>
      </c>
      <c r="AE578" s="20"/>
      <c r="AF578" s="20" t="s">
        <v>4505</v>
      </c>
      <c r="AG578" s="20"/>
      <c r="AH578" s="20" t="s">
        <v>4524</v>
      </c>
    </row>
    <row r="579" spans="1:36" ht="15" customHeight="1" x14ac:dyDescent="0.2">
      <c r="A579" s="19" t="s">
        <v>2407</v>
      </c>
      <c r="B579" s="20"/>
      <c r="C579" s="20"/>
      <c r="D579" s="19" t="s">
        <v>2408</v>
      </c>
      <c r="E579" s="17" t="str">
        <f t="shared" si="90"/>
        <v>ManyPrimates</v>
      </c>
      <c r="F579" s="17"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9" s="17" t="str">
        <f t="shared" si="91"/>
        <v>2022</v>
      </c>
      <c r="H579" s="17" t="str">
        <f t="shared" si="92"/>
        <v>ManyPrimates__2022</v>
      </c>
      <c r="I579" s="17" t="str">
        <f t="shared" ref="I579:I590" si="94">_xlfn.LET(
_xlpm.doi,IF(C579&lt;&gt;"",C579,_xlfn.TEXTAFTER(A579,"https://doi.org/")),
SUBSTITUTE(
SUBSTITUTE(
SUBSTITUTE(
SUBSTITUTE(
_xlpm.doi,
"/","%2F"),
":","%3A"),
"&lt;","%3C"),
"&gt;","%3E")
)</f>
        <v>10.26451%2Fabc.09.04.06.2022</v>
      </c>
      <c r="J579" s="17" t="str">
        <f t="shared" si="93"/>
        <v>ManyPrimates__2022_speciespredictors</v>
      </c>
      <c r="K579" s="17" t="str">
        <f t="shared" si="89"/>
        <v>10.26451%2Fabc.09.04.06.2022_speciespredictors</v>
      </c>
      <c r="L579" s="17" t="str">
        <f t="array" ref="L579">IFERROR(INDEX(AUTO_Public_TSV_FileList!$A$1:$A$1000,MATCH(TRUE(),EXACT(K579,IFERROR(_xlfn.TEXTBEFORE(AUTO_Public_TSV_FileList!$A$1:$A$1000,".tsv"),"")),0)),"notfound")</f>
        <v>10.26451%2Fabc.09.04.06.2022_speciespredictors.tsv</v>
      </c>
      <c r="M579" s="20"/>
      <c r="N579" s="19" t="s">
        <v>54</v>
      </c>
      <c r="O579" s="20"/>
      <c r="P579" s="19" t="s">
        <v>55</v>
      </c>
      <c r="Q579" s="20"/>
      <c r="R579" s="19" t="s">
        <v>2409</v>
      </c>
      <c r="S579" s="20"/>
      <c r="T579" s="20"/>
      <c r="U579" s="20"/>
      <c r="V579" s="19"/>
      <c r="W579" s="19" t="s">
        <v>187</v>
      </c>
      <c r="X579" s="19" t="s">
        <v>2410</v>
      </c>
      <c r="Y579" s="19" t="s">
        <v>2411</v>
      </c>
      <c r="Z579" s="20"/>
      <c r="AA579" s="20"/>
      <c r="AB579" s="19" t="s">
        <v>2412</v>
      </c>
      <c r="AC579" s="20"/>
      <c r="AD579" s="20"/>
      <c r="AE579" s="19" t="s">
        <v>70</v>
      </c>
      <c r="AF579" s="19"/>
      <c r="AG579" s="20"/>
      <c r="AH579" s="20"/>
    </row>
    <row r="580" spans="1:36" ht="15" customHeight="1" x14ac:dyDescent="0.2">
      <c r="A580" s="19" t="s">
        <v>2407</v>
      </c>
      <c r="B580" s="20"/>
      <c r="C580" s="20"/>
      <c r="D580" s="19" t="s">
        <v>2413</v>
      </c>
      <c r="E580" s="17" t="str">
        <f t="shared" si="90"/>
        <v>ManyPrimates</v>
      </c>
      <c r="F580" s="17"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0" s="17" t="str">
        <f t="shared" si="91"/>
        <v>2022</v>
      </c>
      <c r="H580" s="17" t="str">
        <f t="shared" si="92"/>
        <v>ManyPrimates__2022</v>
      </c>
      <c r="I580" s="17" t="str">
        <f t="shared" si="94"/>
        <v>10.26451%2Fabc.09.04.06.2022</v>
      </c>
      <c r="J580" s="17" t="str">
        <f t="shared" si="93"/>
        <v>ManyPrimates__2022_STMperformance</v>
      </c>
      <c r="K580" s="17" t="str">
        <f t="shared" si="89"/>
        <v>10.26451%2Fabc.09.04.06.2022_STMperformance</v>
      </c>
      <c r="L580" s="17" t="str">
        <f t="array" ref="L580">IFERROR(INDEX(AUTO_Public_TSV_FileList!$A$1:$A$1000,MATCH(TRUE(),EXACT(K580,IFERROR(_xlfn.TEXTBEFORE(AUTO_Public_TSV_FileList!$A$1:$A$1000,".tsv"),"")),0)),"notfound")</f>
        <v>10.26451%2Fabc.09.04.06.2022_STMperformance.tsv</v>
      </c>
      <c r="M580" s="20"/>
      <c r="N580" s="20" t="s">
        <v>4770</v>
      </c>
      <c r="O580" s="20"/>
      <c r="P580" s="20" t="s">
        <v>55</v>
      </c>
      <c r="Q580" s="20"/>
      <c r="R580" s="20" t="s">
        <v>4771</v>
      </c>
      <c r="S580" s="20"/>
      <c r="T580" s="20"/>
      <c r="U580" s="20"/>
      <c r="V580" s="20"/>
      <c r="W580" s="20" t="s">
        <v>187</v>
      </c>
      <c r="X580" s="20" t="s">
        <v>4772</v>
      </c>
      <c r="Y580" s="20" t="s">
        <v>4773</v>
      </c>
      <c r="Z580" s="20"/>
      <c r="AA580" s="20"/>
      <c r="AB580" s="20" t="s">
        <v>4774</v>
      </c>
      <c r="AC580" s="20"/>
      <c r="AD580" s="20"/>
      <c r="AE580" s="20" t="s">
        <v>50</v>
      </c>
      <c r="AF580" s="20"/>
      <c r="AG580" s="20"/>
      <c r="AH580" s="20"/>
    </row>
    <row r="581" spans="1:36" ht="15" customHeight="1" x14ac:dyDescent="0.2">
      <c r="A581" s="19" t="s">
        <v>4672</v>
      </c>
      <c r="B581" s="20"/>
      <c r="C581" s="20"/>
      <c r="D581" s="19" t="s">
        <v>4675</v>
      </c>
      <c r="E581" s="17" t="str">
        <f t="shared" si="90"/>
        <v>Martin</v>
      </c>
      <c r="F581" s="17"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17" t="str">
        <f t="shared" si="91"/>
        <v>2017</v>
      </c>
      <c r="H581" s="17" t="str">
        <f t="shared" si="92"/>
        <v>Martin_etal_2017</v>
      </c>
      <c r="I581" s="17" t="str">
        <f t="shared" si="94"/>
        <v xml:space="preserve">10.1111%2Fevo.13128 </v>
      </c>
      <c r="J581" s="17" t="str">
        <f t="shared" si="93"/>
        <v>Martin_etal_2017_MammalianVocalisationDataMartinetal.xlsx</v>
      </c>
      <c r="K581" s="17" t="str">
        <f t="shared" si="89"/>
        <v>10.1111%2Fevo.13128 _MammalianVocalisationDataMartinetal.xlsx</v>
      </c>
      <c r="L581" s="17" t="str">
        <f t="array" ref="L581">IFERROR(INDEX(AUTO_Public_TSV_FileList!$A$1:$A$1000,MATCH(TRUE(),EXACT(K581,IFERROR(_xlfn.TEXTBEFORE(AUTO_Public_TSV_FileList!$A$1:$A$1000,".tsv"),"")),0)),"notfound")</f>
        <v>notfound</v>
      </c>
      <c r="M581" s="20"/>
      <c r="N581" s="19"/>
      <c r="O581" s="20"/>
      <c r="P581" s="19"/>
      <c r="Q581" s="20"/>
      <c r="R581" s="19"/>
      <c r="S581" s="20"/>
      <c r="T581" s="20"/>
      <c r="U581" s="20"/>
      <c r="V581" s="19"/>
      <c r="W581" s="19"/>
      <c r="X581" s="19"/>
      <c r="Y581" s="19"/>
      <c r="Z581" s="20"/>
      <c r="AA581" s="20"/>
      <c r="AB581" s="19"/>
      <c r="AC581" s="20"/>
      <c r="AD581" s="20"/>
      <c r="AE581" s="19"/>
      <c r="AF581" s="19"/>
      <c r="AG581" s="20"/>
      <c r="AH581" s="20"/>
    </row>
    <row r="582" spans="1:36" ht="15" customHeight="1" x14ac:dyDescent="0.2">
      <c r="A582" s="19" t="s">
        <v>4672</v>
      </c>
      <c r="B582" s="20"/>
      <c r="C582" s="20"/>
      <c r="D582" s="19" t="s">
        <v>4674</v>
      </c>
      <c r="E582" s="17" t="str">
        <f t="shared" si="90"/>
        <v>Martin</v>
      </c>
      <c r="F582" s="17"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17" t="str">
        <f t="shared" si="91"/>
        <v>2017</v>
      </c>
      <c r="H582" s="17" t="str">
        <f t="shared" si="92"/>
        <v>Martin_etal_2017</v>
      </c>
      <c r="I582" s="17" t="str">
        <f t="shared" si="94"/>
        <v xml:space="preserve">10.1111%2Fevo.13128 </v>
      </c>
      <c r="J582" s="17" t="str">
        <f t="shared" si="93"/>
        <v>Martin_etal_2017_SupportingInformationS1</v>
      </c>
      <c r="K582" s="17" t="str">
        <f t="shared" si="89"/>
        <v>10.1111%2Fevo.13128 _SupportingInformationS1</v>
      </c>
      <c r="L582" s="17" t="str">
        <f t="array" ref="L582">IFERROR(INDEX(AUTO_Public_TSV_FileList!$A$1:$A$1000,MATCH(TRUE(),EXACT(K582,IFERROR(_xlfn.TEXTBEFORE(AUTO_Public_TSV_FileList!$A$1:$A$1000,".tsv"),"")),0)),"notfound")</f>
        <v>notfound</v>
      </c>
      <c r="M582" s="20" t="s">
        <v>4673</v>
      </c>
      <c r="N582" s="19"/>
      <c r="O582" s="20"/>
      <c r="P582" s="19"/>
      <c r="Q582" s="20"/>
      <c r="R582" s="19"/>
      <c r="S582" s="20"/>
      <c r="T582" s="20"/>
      <c r="U582" s="20"/>
      <c r="V582" s="19"/>
      <c r="W582" s="19"/>
      <c r="X582" s="19"/>
      <c r="Y582" s="19"/>
      <c r="Z582" s="20"/>
      <c r="AA582" s="20"/>
      <c r="AB582" s="19"/>
      <c r="AC582" s="20"/>
      <c r="AD582" s="20"/>
      <c r="AE582" s="19"/>
      <c r="AF582" s="19"/>
      <c r="AG582" s="20"/>
      <c r="AH582" s="20"/>
    </row>
    <row r="583" spans="1:36" ht="15" customHeight="1" x14ac:dyDescent="0.2">
      <c r="A583" s="19" t="s">
        <v>2414</v>
      </c>
      <c r="B583" s="19"/>
      <c r="C583" s="20"/>
      <c r="D583" s="19" t="s">
        <v>439</v>
      </c>
      <c r="E583" s="17" t="str">
        <f t="shared" si="90"/>
        <v>Matano</v>
      </c>
      <c r="F583" s="17"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3" s="17" t="str">
        <f t="shared" si="91"/>
        <v>1986</v>
      </c>
      <c r="H583" s="17" t="str">
        <f t="shared" si="92"/>
        <v>Matano__1986</v>
      </c>
      <c r="I583" s="17" t="str">
        <f t="shared" si="94"/>
        <v>10.1159%2F000156277</v>
      </c>
      <c r="J583" s="17" t="str">
        <f t="shared" si="93"/>
        <v>Matano__1986_TableI</v>
      </c>
      <c r="K583" s="17" t="str">
        <f t="shared" si="89"/>
        <v>10.1159%2F000156277_TableI</v>
      </c>
      <c r="L583" s="17" t="str">
        <f t="array" ref="L583">IFERROR(INDEX(AUTO_Public_TSV_FileList!$A$1:$A$1000,MATCH(TRUE(),EXACT(K583,IFERROR(_xlfn.TEXTBEFORE(AUTO_Public_TSV_FileList!$A$1:$A$1000,".tsv"),"")),0)),"notfound")</f>
        <v>10.1159%2F000156277_TableI.tsv</v>
      </c>
      <c r="M583" s="20"/>
      <c r="N583" s="20"/>
      <c r="O583" s="20"/>
      <c r="P583" s="19" t="s">
        <v>55</v>
      </c>
      <c r="Q583" s="20"/>
      <c r="R583" s="20"/>
      <c r="S583" s="20"/>
      <c r="T583" s="20"/>
      <c r="U583" s="20"/>
      <c r="V583" s="20"/>
      <c r="W583" s="20"/>
      <c r="X583" s="20"/>
      <c r="Y583" s="20"/>
      <c r="Z583" s="19"/>
      <c r="AA583" s="20"/>
      <c r="AB583" s="20"/>
      <c r="AC583" s="19"/>
      <c r="AD583" s="19"/>
      <c r="AE583" s="20" t="s">
        <v>70</v>
      </c>
      <c r="AF583" s="20"/>
      <c r="AG583" s="20"/>
      <c r="AH583" s="20"/>
    </row>
    <row r="584" spans="1:36" ht="15" customHeight="1" x14ac:dyDescent="0.2">
      <c r="A584" s="19" t="s">
        <v>2415</v>
      </c>
      <c r="B584" s="19"/>
      <c r="C584" s="20"/>
      <c r="D584" s="19" t="s">
        <v>86</v>
      </c>
      <c r="E584" s="17" t="str">
        <f t="shared" si="90"/>
        <v>Matano</v>
      </c>
      <c r="F584" s="17"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4" s="17" t="str">
        <f t="shared" si="91"/>
        <v>1992</v>
      </c>
      <c r="H584" s="17" t="str">
        <f t="shared" si="92"/>
        <v>Matano__1992</v>
      </c>
      <c r="I584" s="17" t="str">
        <f t="shared" si="94"/>
        <v>10.1537%2Fase1911.100.69</v>
      </c>
      <c r="J584" s="17" t="str">
        <f t="shared" si="93"/>
        <v>Matano__1992_Table1</v>
      </c>
      <c r="K584" s="17" t="str">
        <f t="shared" si="89"/>
        <v>10.1537%2Fase1911.100.69_Table1</v>
      </c>
      <c r="L584" s="17" t="str">
        <f t="array" ref="L584">IFERROR(INDEX(AUTO_Public_TSV_FileList!$A$1:$A$1000,MATCH(TRUE(),EXACT(K584,IFERROR(_xlfn.TEXTBEFORE(AUTO_Public_TSV_FileList!$A$1:$A$1000,".tsv"),"")),0)),"notfound")</f>
        <v>10.1537%2Fase1911.100.69_Table1.tsv</v>
      </c>
      <c r="M584" s="20" t="s">
        <v>2416</v>
      </c>
      <c r="N584" s="20"/>
      <c r="O584" s="20"/>
      <c r="P584" s="19" t="s">
        <v>55</v>
      </c>
      <c r="Q584" s="20"/>
      <c r="R584" s="20"/>
      <c r="S584" s="20"/>
      <c r="T584" s="20"/>
      <c r="U584" s="20"/>
      <c r="V584" s="20"/>
      <c r="W584" s="20"/>
      <c r="X584" s="20"/>
      <c r="Y584" s="20"/>
      <c r="Z584" s="19"/>
      <c r="AA584" s="20"/>
      <c r="AB584" s="20"/>
      <c r="AC584" s="19"/>
      <c r="AD584" s="19"/>
      <c r="AE584" s="20"/>
      <c r="AF584" s="20"/>
      <c r="AG584" s="20"/>
      <c r="AH584" s="20"/>
    </row>
    <row r="585" spans="1:36" ht="15" customHeight="1" x14ac:dyDescent="0.2">
      <c r="A585" s="19" t="s">
        <v>2415</v>
      </c>
      <c r="B585" s="19"/>
      <c r="C585" s="20"/>
      <c r="D585" s="19" t="s">
        <v>160</v>
      </c>
      <c r="E585" s="17" t="str">
        <f t="shared" si="90"/>
        <v>Matano</v>
      </c>
      <c r="F585" s="17"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5" s="17" t="str">
        <f t="shared" si="91"/>
        <v>1992</v>
      </c>
      <c r="H585" s="17" t="str">
        <f t="shared" si="92"/>
        <v>Matano__1992</v>
      </c>
      <c r="I585" s="17" t="str">
        <f t="shared" si="94"/>
        <v>10.1537%2Fase1911.100.69</v>
      </c>
      <c r="J585" s="17" t="str">
        <f t="shared" si="93"/>
        <v>Matano__1992_Table2</v>
      </c>
      <c r="K585" s="17" t="str">
        <f t="shared" si="89"/>
        <v>10.1537%2Fase1911.100.69_Table2</v>
      </c>
      <c r="L585" s="17" t="str">
        <f t="array" ref="L585">IFERROR(INDEX(AUTO_Public_TSV_FileList!$A$1:$A$1000,MATCH(TRUE(),EXACT(K585,IFERROR(_xlfn.TEXTBEFORE(AUTO_Public_TSV_FileList!$A$1:$A$1000,".tsv"),"")),0)),"notfound")</f>
        <v>10.1537%2Fase1911.100.69_Table2.tsv</v>
      </c>
      <c r="M585" s="20" t="s">
        <v>2417</v>
      </c>
      <c r="N585" s="20"/>
      <c r="O585" s="20"/>
      <c r="P585" s="19" t="s">
        <v>55</v>
      </c>
      <c r="Q585" s="20"/>
      <c r="R585" s="20"/>
      <c r="S585" s="20"/>
      <c r="T585" s="20"/>
      <c r="U585" s="20"/>
      <c r="V585" s="20"/>
      <c r="W585" s="20"/>
      <c r="X585" s="20"/>
      <c r="Y585" s="20"/>
      <c r="Z585" s="19"/>
      <c r="AA585" s="20"/>
      <c r="AB585" s="20"/>
      <c r="AC585" s="19"/>
      <c r="AD585" s="19"/>
      <c r="AE585" s="20"/>
      <c r="AF585" s="20"/>
      <c r="AG585" s="20"/>
      <c r="AH585" s="20"/>
    </row>
    <row r="586" spans="1:36" ht="15" customHeight="1" x14ac:dyDescent="0.2">
      <c r="A586" s="19" t="s">
        <v>2415</v>
      </c>
      <c r="B586" s="19"/>
      <c r="C586" s="20"/>
      <c r="D586" s="19" t="s">
        <v>162</v>
      </c>
      <c r="E586" s="17" t="str">
        <f t="shared" si="90"/>
        <v>Matano</v>
      </c>
      <c r="F586" s="17"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6" s="17" t="str">
        <f t="shared" si="91"/>
        <v>1992</v>
      </c>
      <c r="H586" s="17" t="str">
        <f t="shared" si="92"/>
        <v>Matano__1992</v>
      </c>
      <c r="I586" s="17" t="str">
        <f t="shared" si="94"/>
        <v>10.1537%2Fase1911.100.69</v>
      </c>
      <c r="J586" s="17" t="str">
        <f t="shared" si="93"/>
        <v>Matano__1992_Table3</v>
      </c>
      <c r="K586" s="17" t="str">
        <f t="shared" si="89"/>
        <v>10.1537%2Fase1911.100.69_Table3</v>
      </c>
      <c r="L586" s="17" t="str">
        <f t="array" ref="L586">IFERROR(INDEX(AUTO_Public_TSV_FileList!$A$1:$A$1000,MATCH(TRUE(),EXACT(K586,IFERROR(_xlfn.TEXTBEFORE(AUTO_Public_TSV_FileList!$A$1:$A$1000,".tsv"),"")),0)),"notfound")</f>
        <v>10.1537%2Fase1911.100.69_Table3.tsv</v>
      </c>
      <c r="M586" s="20"/>
      <c r="N586" s="20"/>
      <c r="O586" s="20"/>
      <c r="P586" s="19" t="s">
        <v>55</v>
      </c>
      <c r="Q586" s="20"/>
      <c r="R586" s="20"/>
      <c r="S586" s="20"/>
      <c r="T586" s="20"/>
      <c r="U586" s="20"/>
      <c r="V586" s="20"/>
      <c r="W586" s="20"/>
      <c r="X586" s="20"/>
      <c r="Y586" s="20"/>
      <c r="Z586" s="19"/>
      <c r="AA586" s="20"/>
      <c r="AB586" s="20"/>
      <c r="AC586" s="19"/>
      <c r="AD586" s="19"/>
      <c r="AE586" s="20" t="s">
        <v>70</v>
      </c>
      <c r="AF586" s="20"/>
      <c r="AG586" s="20"/>
      <c r="AH586" s="20"/>
    </row>
    <row r="587" spans="1:36" ht="15" customHeight="1" x14ac:dyDescent="0.2">
      <c r="A587" s="19" t="s">
        <v>2415</v>
      </c>
      <c r="B587" s="19"/>
      <c r="C587" s="20"/>
      <c r="D587" s="19" t="s">
        <v>53</v>
      </c>
      <c r="E587" s="17" t="str">
        <f t="shared" si="90"/>
        <v>Matano</v>
      </c>
      <c r="F587" s="17"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7" s="17" t="str">
        <f t="shared" si="91"/>
        <v>1992</v>
      </c>
      <c r="H587" s="17" t="str">
        <f t="shared" si="92"/>
        <v>Matano__1992</v>
      </c>
      <c r="I587" s="17" t="str">
        <f t="shared" si="94"/>
        <v>10.1537%2Fase1911.100.69</v>
      </c>
      <c r="J587" s="17" t="str">
        <f t="shared" si="93"/>
        <v>Matano__1992_Table4</v>
      </c>
      <c r="K587" s="17" t="str">
        <f t="shared" si="89"/>
        <v>10.1537%2Fase1911.100.69_Table4</v>
      </c>
      <c r="L587" s="17" t="str">
        <f t="array" ref="L587">IFERROR(INDEX(AUTO_Public_TSV_FileList!$A$1:$A$1000,MATCH(TRUE(),EXACT(K587,IFERROR(_xlfn.TEXTBEFORE(AUTO_Public_TSV_FileList!$A$1:$A$1000,".tsv"),"")),0)),"notfound")</f>
        <v>10.1537%2Fase1911.100.69_Table4.tsv</v>
      </c>
      <c r="M587" s="20" t="s">
        <v>2418</v>
      </c>
      <c r="N587" s="20"/>
      <c r="O587" s="20"/>
      <c r="P587" s="19" t="s">
        <v>55</v>
      </c>
      <c r="Q587" s="20"/>
      <c r="R587" s="20"/>
      <c r="S587" s="20"/>
      <c r="T587" s="20"/>
      <c r="U587" s="20"/>
      <c r="V587" s="20"/>
      <c r="W587" s="20"/>
      <c r="X587" s="20"/>
      <c r="Y587" s="20"/>
      <c r="Z587" s="19"/>
      <c r="AA587" s="20"/>
      <c r="AB587" s="20"/>
      <c r="AC587" s="19"/>
      <c r="AD587" s="19"/>
      <c r="AE587" s="20"/>
      <c r="AF587" s="20"/>
      <c r="AG587" s="20"/>
      <c r="AH587" s="20"/>
    </row>
    <row r="588" spans="1:36" ht="15" customHeight="1" x14ac:dyDescent="0.2">
      <c r="A588" s="19" t="s">
        <v>2419</v>
      </c>
      <c r="B588" s="19"/>
      <c r="C588" s="20"/>
      <c r="D588" s="19" t="s">
        <v>145</v>
      </c>
      <c r="E588" s="17" t="str">
        <f t="shared" si="90"/>
        <v>Matano</v>
      </c>
      <c r="F588" s="17"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8" s="17" t="str">
        <f t="shared" si="91"/>
        <v>2001</v>
      </c>
      <c r="H588" s="17" t="str">
        <f t="shared" si="92"/>
        <v>Matano__2001</v>
      </c>
      <c r="I588" s="17" t="str">
        <f t="shared" si="94"/>
        <v>10.1002%2F1096-8644(200102)114%3A2%3C163%3A%3AAID-AJPA1016%3E3.0.CO;2-F</v>
      </c>
      <c r="J588" s="17" t="str">
        <f t="shared" si="93"/>
        <v>Matano__2001_TABLE2</v>
      </c>
      <c r="K588" s="17" t="str">
        <f t="shared" si="89"/>
        <v>10.1002%2F1096-8644(200102)114%3A2%3C163%3A%3AAID-AJPA1016%3E3.0.CO;2-F_TABLE2</v>
      </c>
      <c r="L588" s="17" t="str">
        <f t="array" ref="L588">IFERROR(INDEX(AUTO_Public_TSV_FileList!$A$1:$A$1000,MATCH(TRUE(),EXACT(K588,IFERROR(_xlfn.TEXTBEFORE(AUTO_Public_TSV_FileList!$A$1:$A$1000,".tsv"),"")),0)),"notfound")</f>
        <v>10.1002%2F1096-8644(200102)114%3A2%3C163%3A%3AAID-AJPA1016%3E3.0.CO;2-F_TABLE2.tsv</v>
      </c>
      <c r="M588" s="19" t="s">
        <v>2420</v>
      </c>
      <c r="N588" s="20"/>
      <c r="O588" s="20"/>
      <c r="P588" s="19" t="s">
        <v>55</v>
      </c>
      <c r="Q588" s="20"/>
      <c r="R588" s="20"/>
      <c r="S588" s="20"/>
      <c r="T588" s="20"/>
      <c r="U588" s="20"/>
      <c r="V588" s="20"/>
      <c r="W588" s="20"/>
      <c r="X588" s="20"/>
      <c r="Y588" s="20"/>
      <c r="Z588" s="20"/>
      <c r="AA588" s="20"/>
      <c r="AB588" s="20"/>
      <c r="AC588" s="20"/>
      <c r="AD588" s="20"/>
      <c r="AE588" s="20"/>
      <c r="AF588" s="20"/>
      <c r="AG588" s="20"/>
      <c r="AH588" s="20"/>
    </row>
    <row r="589" spans="1:36" ht="15" customHeight="1" x14ac:dyDescent="0.2">
      <c r="A589" s="19" t="s">
        <v>2421</v>
      </c>
      <c r="B589" s="19" t="s">
        <v>488</v>
      </c>
      <c r="C589" s="20"/>
      <c r="D589" s="19" t="s">
        <v>86</v>
      </c>
      <c r="E589" s="17" t="str">
        <f t="shared" si="90"/>
        <v>Matano</v>
      </c>
      <c r="F589" s="17"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17" t="str">
        <f t="shared" si="91"/>
        <v>1985</v>
      </c>
      <c r="H589" s="17" t="str">
        <f t="shared" si="92"/>
        <v>Matano_etal_1985_a</v>
      </c>
      <c r="I589" s="17" t="str">
        <f t="shared" si="94"/>
        <v>10.1159%2F000156212</v>
      </c>
      <c r="J589" s="17" t="str">
        <f t="shared" si="93"/>
        <v>Matano_etal_1985_a_Table1</v>
      </c>
      <c r="K589" s="17" t="str">
        <f t="shared" si="89"/>
        <v>10.1159%2F000156212_Table1</v>
      </c>
      <c r="L589" s="17" t="str">
        <f t="array" ref="L589">IFERROR(INDEX(AUTO_Public_TSV_FileList!$A$1:$A$1000,MATCH(TRUE(),EXACT(K589,IFERROR(_xlfn.TEXTBEFORE(AUTO_Public_TSV_FileList!$A$1:$A$1000,".tsv"),"")),0)),"notfound")</f>
        <v>10.1159%2F000156212_Table1.tsv</v>
      </c>
      <c r="M589" s="20"/>
      <c r="N589" s="19" t="s">
        <v>54</v>
      </c>
      <c r="O589" s="20"/>
      <c r="P589" s="19" t="s">
        <v>55</v>
      </c>
      <c r="Q589" s="20"/>
      <c r="R589" s="20"/>
      <c r="S589" s="20"/>
      <c r="T589" s="20"/>
      <c r="U589" s="20"/>
      <c r="V589" s="20"/>
      <c r="W589" s="19" t="s">
        <v>203</v>
      </c>
      <c r="X589" s="19" t="s">
        <v>2422</v>
      </c>
      <c r="Y589" s="20"/>
      <c r="Z589" s="19" t="s">
        <v>172</v>
      </c>
      <c r="AA589" s="19" t="s">
        <v>216</v>
      </c>
      <c r="AB589" s="19" t="s">
        <v>177</v>
      </c>
      <c r="AC589" s="19" t="s">
        <v>205</v>
      </c>
      <c r="AD589" s="19" t="s">
        <v>205</v>
      </c>
      <c r="AE589" s="19" t="s">
        <v>70</v>
      </c>
      <c r="AF589" s="19"/>
      <c r="AG589" s="20"/>
      <c r="AH589" s="20"/>
    </row>
    <row r="590" spans="1:36" ht="15" customHeight="1" x14ac:dyDescent="0.2">
      <c r="A590" s="19" t="s">
        <v>2423</v>
      </c>
      <c r="B590" s="19" t="s">
        <v>493</v>
      </c>
      <c r="C590" s="20"/>
      <c r="D590" s="19" t="s">
        <v>86</v>
      </c>
      <c r="E590" s="17" t="str">
        <f t="shared" si="90"/>
        <v>Matano</v>
      </c>
      <c r="F590" s="17"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17" t="str">
        <f t="shared" si="91"/>
        <v>1985</v>
      </c>
      <c r="H590" s="17" t="str">
        <f t="shared" si="92"/>
        <v>Matano_etal_1985_b</v>
      </c>
      <c r="I590" s="17" t="str">
        <f t="shared" si="94"/>
        <v>10.1159%2F000156211</v>
      </c>
      <c r="J590" s="17" t="str">
        <f t="shared" si="93"/>
        <v>Matano_etal_1985_b_Table1</v>
      </c>
      <c r="K590" s="17" t="str">
        <f t="shared" si="89"/>
        <v>10.1159%2F000156211_Table1</v>
      </c>
      <c r="L590" s="17" t="str">
        <f t="array" ref="L590">IFERROR(INDEX(AUTO_Public_TSV_FileList!$A$1:$A$1000,MATCH(TRUE(),EXACT(K590,IFERROR(_xlfn.TEXTBEFORE(AUTO_Public_TSV_FileList!$A$1:$A$1000,".tsv"),"")),0)),"notfound")</f>
        <v>10.1159%2F000156211_Table1.tsv</v>
      </c>
      <c r="M590" s="20"/>
      <c r="N590" s="20"/>
      <c r="O590" s="20"/>
      <c r="P590" s="19" t="s">
        <v>55</v>
      </c>
      <c r="Q590" s="20"/>
      <c r="R590" s="20"/>
      <c r="S590" s="20"/>
      <c r="T590" s="20"/>
      <c r="U590" s="20"/>
      <c r="V590" s="20"/>
      <c r="W590" s="20"/>
      <c r="X590" s="20"/>
      <c r="Y590" s="20"/>
      <c r="Z590" s="19" t="s">
        <v>172</v>
      </c>
      <c r="AA590" s="20"/>
      <c r="AB590" s="20"/>
      <c r="AC590" s="19" t="s">
        <v>205</v>
      </c>
      <c r="AD590" s="19" t="s">
        <v>205</v>
      </c>
      <c r="AE590" s="20" t="s">
        <v>50</v>
      </c>
      <c r="AF590" s="20"/>
      <c r="AG590" s="20"/>
      <c r="AH590" s="20"/>
    </row>
    <row r="591" spans="1:36" ht="15" customHeight="1" x14ac:dyDescent="0.2">
      <c r="A591" s="20" t="s">
        <v>2424</v>
      </c>
      <c r="B591" s="20"/>
      <c r="C591" s="20"/>
      <c r="D591" s="20" t="s">
        <v>2425</v>
      </c>
      <c r="E591" s="18" t="str">
        <f t="shared" si="90"/>
        <v>Mayer</v>
      </c>
      <c r="F591" s="17"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17" t="str">
        <f t="shared" si="91"/>
        <v>2019</v>
      </c>
      <c r="H591" s="18" t="str">
        <f t="shared" si="92"/>
        <v>Mayer_etal_2019</v>
      </c>
      <c r="I591" s="18" t="str">
        <f>_xlfn.LET(_xlpm.doi,IF(C591&lt;&gt;"",C591,_xlfn.TEXTAFTER(A591,"https://doi.org/")),SUBSTITUTE(SUBSTITUTE(SUBSTITUTE(SUBSTITUTE(_xlpm.doi,"/","%2F"),":","%3A"),"&lt;","%3C"),"&gt;","%3E"))</f>
        <v>10.1523%2FJNEUROSCI.0556-19.2019</v>
      </c>
      <c r="J591" s="18" t="str">
        <f t="shared" si="93"/>
        <v>Mayer_etal_2019_Fig6</v>
      </c>
      <c r="K591" s="17" t="str">
        <f t="shared" si="89"/>
        <v>10.1523%2FJNEUROSCI.0556-19.2019_Fig6</v>
      </c>
      <c r="L591" s="17" t="str">
        <f t="array" ref="L591">IFERROR(INDEX(AUTO_Public_TSV_FileList!$A$1:$A$1000,MATCH(TRUE(),EXACT(K591,IFERROR(_xlfn.TEXTBEFORE(AUTO_Public_TSV_FileList!$A$1:$A$1000,".tsv"),"")),0)),"notfound")</f>
        <v>notfound</v>
      </c>
      <c r="M591" s="20" t="s">
        <v>2426</v>
      </c>
      <c r="N591" s="20" t="s">
        <v>2427</v>
      </c>
      <c r="O591" s="20" t="s">
        <v>2428</v>
      </c>
      <c r="P591" s="20" t="s">
        <v>2429</v>
      </c>
      <c r="Q591" s="20" t="s">
        <v>2430</v>
      </c>
      <c r="R591" s="20" t="s">
        <v>2431</v>
      </c>
      <c r="S591" s="20" t="s">
        <v>2432</v>
      </c>
      <c r="T591" s="20" t="s">
        <v>2433</v>
      </c>
      <c r="U591" s="20"/>
      <c r="V591" s="20" t="s">
        <v>2434</v>
      </c>
      <c r="W591" s="20" t="s">
        <v>2435</v>
      </c>
      <c r="X591" s="20" t="s">
        <v>2436</v>
      </c>
      <c r="Y591" s="20"/>
      <c r="Z591" s="20" t="s">
        <v>2437</v>
      </c>
      <c r="AA591" s="20" t="s">
        <v>2438</v>
      </c>
      <c r="AB591" s="20" t="s">
        <v>2439</v>
      </c>
      <c r="AC591" s="20" t="s">
        <v>2440</v>
      </c>
      <c r="AD591" s="20"/>
      <c r="AE591" s="20" t="s">
        <v>50</v>
      </c>
      <c r="AF591" s="20"/>
      <c r="AG591" s="20"/>
      <c r="AH591" s="20"/>
    </row>
    <row r="592" spans="1:36" ht="15" customHeight="1" x14ac:dyDescent="0.2">
      <c r="A592" s="20" t="s">
        <v>5245</v>
      </c>
      <c r="B592" s="20"/>
      <c r="C592" s="20"/>
      <c r="D592" s="20" t="s">
        <v>86</v>
      </c>
      <c r="E592" s="18" t="str">
        <f t="shared" si="90"/>
        <v>McComb</v>
      </c>
      <c r="F592" s="17"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Semple</v>
      </c>
      <c r="G592" s="17" t="str">
        <f t="shared" si="91"/>
        <v>2005</v>
      </c>
      <c r="H592" s="18" t="str">
        <f t="shared" si="92"/>
        <v>McComb_Semple_2005</v>
      </c>
      <c r="I592" s="18" t="str">
        <f>_xlfn.LET(_xlpm.doi,IF(C592&lt;&gt;"",C592,_xlfn.TEXTAFTER(A592,"https://doi.org/")),SUBSTITUTE(SUBSTITUTE(SUBSTITUTE(SUBSTITUTE(_xlpm.doi,"/","%2F"),":","%3A"),"&lt;","%3C"),"&gt;","%3E"))</f>
        <v>10.1098%2Frsbl.2005.0366</v>
      </c>
      <c r="J592" s="18" t="str">
        <f t="shared" si="93"/>
        <v>McComb_Semple_2005_Table1</v>
      </c>
      <c r="K592" s="17" t="str">
        <f t="shared" si="89"/>
        <v>10.1098%2Frsbl.2005.0366_Table1</v>
      </c>
      <c r="L592" s="17" t="str">
        <f t="array" ref="L592">IFERROR(INDEX(AUTO_Public_TSV_FileList!$A$1:$A$1000,MATCH(TRUE(),EXACT(K592,IFERROR(_xlfn.TEXTBEFORE(AUTO_Public_TSV_FileList!$A$1:$A$1000,".tsv"),"")),0)),"notfound")</f>
        <v>10.1098%2Frsbl.2005.0366_Table1.tsv</v>
      </c>
      <c r="M592" s="20"/>
      <c r="N592" s="20" t="s">
        <v>4864</v>
      </c>
      <c r="O592" s="20" t="s">
        <v>5246</v>
      </c>
      <c r="P592" s="20" t="s">
        <v>4866</v>
      </c>
      <c r="Q592" s="20" t="s">
        <v>5247</v>
      </c>
      <c r="R592" s="20" t="s">
        <v>5248</v>
      </c>
      <c r="S592" s="20" t="s">
        <v>4869</v>
      </c>
      <c r="T592" s="20" t="s">
        <v>4870</v>
      </c>
      <c r="U592" s="20"/>
      <c r="V592" s="20" t="s">
        <v>4871</v>
      </c>
      <c r="W592" s="20" t="s">
        <v>187</v>
      </c>
      <c r="X592" s="20" t="s">
        <v>5249</v>
      </c>
      <c r="Y592" s="20"/>
      <c r="Z592" s="20" t="s">
        <v>4873</v>
      </c>
      <c r="AA592" s="20" t="s">
        <v>4874</v>
      </c>
      <c r="AB592" s="20" t="s">
        <v>4909</v>
      </c>
      <c r="AC592" s="20" t="s">
        <v>5250</v>
      </c>
      <c r="AD592" s="20" t="s">
        <v>689</v>
      </c>
      <c r="AE592" s="20" t="s">
        <v>265</v>
      </c>
      <c r="AF592" s="20" t="s">
        <v>4877</v>
      </c>
      <c r="AG592" s="20" t="s">
        <v>4878</v>
      </c>
      <c r="AH592" s="20" t="s">
        <v>4879</v>
      </c>
      <c r="AJ592" t="s">
        <v>5251</v>
      </c>
    </row>
    <row r="593" spans="1:36" ht="15" customHeight="1" x14ac:dyDescent="0.2">
      <c r="A593" s="19" t="s">
        <v>2441</v>
      </c>
      <c r="B593" s="19"/>
      <c r="C593" s="20"/>
      <c r="D593" s="19" t="s">
        <v>86</v>
      </c>
      <c r="E593" s="17" t="str">
        <f t="shared" si="90"/>
        <v>McDowell</v>
      </c>
      <c r="F593" s="17"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17" t="str">
        <f t="shared" si="91"/>
        <v>2024</v>
      </c>
      <c r="H593" s="17" t="str">
        <f t="shared" si="92"/>
        <v>McDowell_etal_2024</v>
      </c>
      <c r="I593" s="17" t="str">
        <f>_xlfn.LET(
_xlpm.doi,IF(C593&lt;&gt;"",C593,_xlfn.TEXTAFTER(A593,"https://doi.org/")),
SUBSTITUTE(
SUBSTITUTE(
SUBSTITUTE(
SUBSTITUTE(
_xlpm.doi,
"/","%2F"),
":","%3A"),
"&lt;","%3C"),
"&gt;","%3E")
)</f>
        <v>10.1186%2Fs12915-024-02038-1</v>
      </c>
      <c r="J593" s="17" t="str">
        <f t="shared" si="93"/>
        <v>McDowell_etal_2024_Table1</v>
      </c>
      <c r="K593" s="17" t="str">
        <f t="shared" si="89"/>
        <v>10.1186%2Fs12915-024-02038-1_Table1</v>
      </c>
      <c r="L593" s="17" t="str">
        <f t="array" ref="L593">IFERROR(INDEX(AUTO_Public_TSV_FileList!$A$1:$A$1000,MATCH(TRUE(),EXACT(K593,IFERROR(_xlfn.TEXTBEFORE(AUTO_Public_TSV_FileList!$A$1:$A$1000,".tsv"),"")),0)),"notfound")</f>
        <v>10.1186%2Fs12915-024-02038-1_Table1.tsv</v>
      </c>
      <c r="M593" s="20"/>
      <c r="N593" s="20"/>
      <c r="O593" s="20"/>
      <c r="P593" s="19"/>
      <c r="Q593" s="20"/>
      <c r="R593" s="20"/>
      <c r="S593" s="20"/>
      <c r="T593" s="20"/>
      <c r="U593" s="20"/>
      <c r="V593" s="20"/>
      <c r="W593" s="20"/>
      <c r="X593" s="20"/>
      <c r="Y593" s="20"/>
      <c r="Z593" s="19"/>
      <c r="AA593" s="20"/>
      <c r="AB593" s="20"/>
      <c r="AC593" s="19"/>
      <c r="AD593" s="19"/>
      <c r="AE593" s="20"/>
      <c r="AF593" s="20"/>
      <c r="AG593" s="20"/>
      <c r="AH593" s="20"/>
    </row>
    <row r="594" spans="1:36" ht="15" customHeight="1" x14ac:dyDescent="0.2">
      <c r="A594" s="21" t="s">
        <v>2442</v>
      </c>
      <c r="B594" s="21"/>
      <c r="C594" s="21"/>
      <c r="D594" s="21" t="s">
        <v>2443</v>
      </c>
      <c r="E594" s="17" t="str">
        <f t="shared" si="90"/>
        <v>McGuire</v>
      </c>
      <c r="F594" s="17"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594" s="17" t="str">
        <f t="shared" si="91"/>
        <v>2011</v>
      </c>
      <c r="H594" s="17" t="str">
        <f t="shared" si="92"/>
        <v>McGuire_Ratcliffe_2011</v>
      </c>
      <c r="I594" s="17" t="str">
        <f>_xlfn.LET(
_xlpm.doi,IF(C594&lt;&gt;"",C594,_xlfn.TEXTAFTER(A594,"https://doi.org/")),
SUBSTITUTE(
SUBSTITUTE(
SUBSTITUTE(
SUBSTITUTE(
_xlpm.doi,
"/","%2F"),
":","%3A"),
"&lt;","%3C"),
"&gt;","%3E")
)</f>
        <v>10.1098%2Frsbl.2010.0744</v>
      </c>
      <c r="J594" s="17" t="str">
        <f t="shared" si="93"/>
        <v>McGuire_Ratcliffe_2011_ElectronicSupplementaryMaterial1,Table1</v>
      </c>
      <c r="K594" s="17" t="str">
        <f t="shared" si="89"/>
        <v>10.1098%2Frsbl.2010.0744_ElectronicSupplementaryMaterial1,Table1</v>
      </c>
      <c r="L594" s="17" t="str">
        <f t="array" ref="L594">IFERROR(INDEX(AUTO_Public_TSV_FileList!$A$1:$A$1000,MATCH(TRUE(),EXACT(K594,IFERROR(_xlfn.TEXTBEFORE(AUTO_Public_TSV_FileList!$A$1:$A$1000,".tsv"),"")),0)),"notfound")</f>
        <v>notfound</v>
      </c>
      <c r="M594" s="20"/>
      <c r="N594" s="19" t="s">
        <v>54</v>
      </c>
      <c r="O594" s="20"/>
      <c r="P594" s="21"/>
      <c r="Q594" s="21"/>
      <c r="R594" s="21" t="s">
        <v>2444</v>
      </c>
      <c r="S594" s="21" t="s">
        <v>1061</v>
      </c>
      <c r="T594" s="21" t="s">
        <v>1062</v>
      </c>
      <c r="U594" s="21"/>
      <c r="V594" s="21" t="s">
        <v>2200</v>
      </c>
      <c r="W594" s="21" t="s">
        <v>1262</v>
      </c>
      <c r="X594" s="21" t="s">
        <v>2445</v>
      </c>
      <c r="Y594" s="21" t="s">
        <v>2446</v>
      </c>
      <c r="Z594" s="21"/>
      <c r="AA594" s="21"/>
      <c r="AB594" s="21" t="s">
        <v>2447</v>
      </c>
      <c r="AC594" s="21" t="s">
        <v>205</v>
      </c>
      <c r="AD594" s="21" t="s">
        <v>205</v>
      </c>
      <c r="AE594" s="21" t="s">
        <v>265</v>
      </c>
      <c r="AF594" s="21"/>
      <c r="AG594" s="21" t="s">
        <v>2448</v>
      </c>
      <c r="AH594" s="20"/>
    </row>
    <row r="595" spans="1:36" ht="15" customHeight="1" x14ac:dyDescent="0.2">
      <c r="A595" s="19" t="s">
        <v>2449</v>
      </c>
      <c r="B595" s="20"/>
      <c r="C595" s="20"/>
      <c r="D595" s="20" t="s">
        <v>2450</v>
      </c>
      <c r="E595" s="17" t="str">
        <f t="shared" si="90"/>
        <v>MedinaGonzález</v>
      </c>
      <c r="F595" s="17"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5" s="17" t="str">
        <f t="shared" si="91"/>
        <v>2026</v>
      </c>
      <c r="H595" s="17" t="str">
        <f t="shared" si="92"/>
        <v>MedinaGonzález__2026</v>
      </c>
      <c r="I595" s="17" t="str">
        <f>_xlfn.LET(
_xlpm.doi,IF(C595&lt;&gt;"",C595,_xlfn.TEXTAFTER(A595,"https://doi.org/")),
SUBSTITUTE(
SUBSTITUTE(
SUBSTITUTE(
SUBSTITUTE(
_xlpm.doi,
"/","%2F"),
":","%3A"),
"&lt;","%3C"),
"&gt;","%3E")
)</f>
        <v>10.1002%2Fjez.70069</v>
      </c>
      <c r="J595" s="17" t="str">
        <f t="shared" si="93"/>
        <v>MedinaGonzález__2026_SupplementaryFile1</v>
      </c>
      <c r="K595" s="17" t="str">
        <f t="shared" si="89"/>
        <v>10.1002%2Fjez.70069_SupplementaryFile1</v>
      </c>
      <c r="L595" s="17" t="str">
        <f t="array" ref="L595">IFERROR(INDEX(AUTO_Public_TSV_FileList!$A$1:$A$1000,MATCH(TRUE(),EXACT(K595,IFERROR(_xlfn.TEXTBEFORE(AUTO_Public_TSV_FileList!$A$1:$A$1000,".tsv"),"")),0)),"notfound")</f>
        <v>10.1002%2Fjez.70069_SupplementaryFile1.tsv</v>
      </c>
      <c r="M595" s="20"/>
      <c r="N595" s="19" t="s">
        <v>54</v>
      </c>
      <c r="O595" s="20"/>
      <c r="P595" s="20"/>
      <c r="Q595" s="20"/>
      <c r="R595" s="20"/>
      <c r="S595" s="20"/>
      <c r="T595" s="20"/>
      <c r="U595" s="20"/>
      <c r="V595" s="20"/>
      <c r="W595" s="20"/>
      <c r="X595" s="20"/>
      <c r="Y595" s="20"/>
      <c r="Z595" s="20"/>
      <c r="AA595" s="20"/>
      <c r="AB595" s="20"/>
      <c r="AC595" s="20"/>
      <c r="AD595" s="20"/>
      <c r="AE595" s="20" t="s">
        <v>70</v>
      </c>
      <c r="AF595" s="20"/>
      <c r="AG595" s="20"/>
      <c r="AH595" s="20"/>
    </row>
    <row r="596" spans="1:36" ht="15" customHeight="1" x14ac:dyDescent="0.2">
      <c r="A596" s="19" t="s">
        <v>2449</v>
      </c>
      <c r="B596" s="20"/>
      <c r="C596" s="20"/>
      <c r="D596" s="20" t="s">
        <v>2451</v>
      </c>
      <c r="E596" s="17" t="str">
        <f t="shared" si="90"/>
        <v>MedinaGonzález</v>
      </c>
      <c r="F596" s="17"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6" s="17" t="str">
        <f t="shared" si="91"/>
        <v>2026</v>
      </c>
      <c r="H596" s="17" t="str">
        <f t="shared" si="92"/>
        <v>MedinaGonzález__2026</v>
      </c>
      <c r="I596" s="17" t="str">
        <f>_xlfn.LET(
_xlpm.doi,IF(C596&lt;&gt;"",C596,_xlfn.TEXTAFTER(A596,"https://doi.org/")),
SUBSTITUTE(
SUBSTITUTE(
SUBSTITUTE(
SUBSTITUTE(
_xlpm.doi,
"/","%2F"),
":","%3A"),
"&lt;","%3C"),
"&gt;","%3E")
)</f>
        <v>10.1002%2Fjez.70069</v>
      </c>
      <c r="J596" s="17" t="str">
        <f t="shared" si="93"/>
        <v>MedinaGonzález__2026_SupplementaryFile2</v>
      </c>
      <c r="K596" s="17" t="str">
        <f t="shared" si="89"/>
        <v>10.1002%2Fjez.70069_SupplementaryFile2</v>
      </c>
      <c r="L596" s="17" t="str">
        <f t="array" ref="L596">IFERROR(INDEX(AUTO_Public_TSV_FileList!$A$1:$A$1000,MATCH(TRUE(),EXACT(K596,IFERROR(_xlfn.TEXTBEFORE(AUTO_Public_TSV_FileList!$A$1:$A$1000,".tsv"),"")),0)),"notfound")</f>
        <v>10.1002%2Fjez.70069_SupplementaryFile2.tsv</v>
      </c>
      <c r="M596" s="20"/>
      <c r="N596" s="19" t="s">
        <v>54</v>
      </c>
      <c r="O596" s="20"/>
      <c r="P596" s="20"/>
      <c r="Q596" s="20"/>
      <c r="R596" s="20"/>
      <c r="S596" s="20"/>
      <c r="T596" s="20"/>
      <c r="U596" s="20"/>
      <c r="V596" s="20"/>
      <c r="W596" s="20"/>
      <c r="X596" s="20"/>
      <c r="Y596" s="20"/>
      <c r="Z596" s="20"/>
      <c r="AA596" s="20"/>
      <c r="AB596" s="20"/>
      <c r="AC596" s="20"/>
      <c r="AD596" s="20"/>
      <c r="AE596" s="20" t="s">
        <v>70</v>
      </c>
      <c r="AF596" s="20"/>
      <c r="AG596" s="20"/>
      <c r="AH596" s="20"/>
    </row>
    <row r="597" spans="1:36" ht="15" customHeight="1" x14ac:dyDescent="0.2">
      <c r="A597" s="19" t="s">
        <v>2449</v>
      </c>
      <c r="B597" s="20"/>
      <c r="C597" s="20"/>
      <c r="D597" s="20" t="s">
        <v>2452</v>
      </c>
      <c r="E597" s="17" t="str">
        <f t="shared" si="90"/>
        <v>MedinaGonzález</v>
      </c>
      <c r="F597" s="17"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7" s="17" t="str">
        <f t="shared" si="91"/>
        <v>2026</v>
      </c>
      <c r="H597" s="17" t="str">
        <f t="shared" si="92"/>
        <v>MedinaGonzález__2026</v>
      </c>
      <c r="I597" s="17" t="str">
        <f>_xlfn.LET(
_xlpm.doi,IF(C597&lt;&gt;"",C597,_xlfn.TEXTAFTER(A597,"https://doi.org/")),
SUBSTITUTE(
SUBSTITUTE(
SUBSTITUTE(
SUBSTITUTE(
_xlpm.doi,
"/","%2F"),
":","%3A"),
"&lt;","%3C"),
"&gt;","%3E")
)</f>
        <v>10.1002%2Fjez.70069</v>
      </c>
      <c r="J597" s="17" t="str">
        <f t="shared" si="93"/>
        <v>MedinaGonzález__2026_SupplementaryFile3</v>
      </c>
      <c r="K597" s="17" t="str">
        <f t="shared" si="89"/>
        <v>10.1002%2Fjez.70069_SupplementaryFile3</v>
      </c>
      <c r="L597" s="17" t="str">
        <f t="array" ref="L597">IFERROR(INDEX(AUTO_Public_TSV_FileList!$A$1:$A$1000,MATCH(TRUE(),EXACT(K597,IFERROR(_xlfn.TEXTBEFORE(AUTO_Public_TSV_FileList!$A$1:$A$1000,".tsv"),"")),0)),"notfound")</f>
        <v>10.1002%2Fjez.70069_SupplementaryFile3.tsv</v>
      </c>
      <c r="M597" s="20"/>
      <c r="N597" s="19" t="s">
        <v>54</v>
      </c>
      <c r="O597" s="20"/>
      <c r="P597" s="20"/>
      <c r="Q597" s="20"/>
      <c r="R597" s="20"/>
      <c r="S597" s="20"/>
      <c r="T597" s="20"/>
      <c r="U597" s="20"/>
      <c r="V597" s="20"/>
      <c r="W597" s="20"/>
      <c r="X597" s="20"/>
      <c r="Y597" s="20"/>
      <c r="Z597" s="20"/>
      <c r="AA597" s="20"/>
      <c r="AB597" s="20"/>
      <c r="AC597" s="20"/>
      <c r="AD597" s="20"/>
      <c r="AE597" s="20" t="s">
        <v>70</v>
      </c>
      <c r="AF597" s="20"/>
      <c r="AG597" s="20"/>
      <c r="AH597" s="20"/>
    </row>
    <row r="598" spans="1:36" ht="15" customHeight="1" x14ac:dyDescent="0.2">
      <c r="A598" s="20" t="s">
        <v>3480</v>
      </c>
      <c r="B598" s="20"/>
      <c r="C598" s="20"/>
      <c r="D598" s="20" t="s">
        <v>2663</v>
      </c>
      <c r="E598" s="18" t="str">
        <f t="shared" si="90"/>
        <v>Meyer</v>
      </c>
      <c r="F598" s="17"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8" s="17" t="str">
        <f t="shared" si="91"/>
        <v>1981</v>
      </c>
      <c r="H598" s="18" t="str">
        <f t="shared" si="92"/>
        <v>Meyer__1981</v>
      </c>
      <c r="I598" s="18" t="str">
        <f>_xlfn.LET(_xlpm.doi,IF(C598&lt;&gt;"",C598,_xlfn.TEXTAFTER(A598,"https://doi.org/")),SUBSTITUTE(SUBSTITUTE(SUBSTITUTE(SUBSTITUTE(_xlpm.doi,"/","%2F"),":","%3A"),"&lt;","%3C"),"&gt;","%3E"))</f>
        <v>10.1159%2F000121776</v>
      </c>
      <c r="J598" s="18" t="str">
        <f t="shared" si="93"/>
        <v>Meyer__1981_TableI</v>
      </c>
      <c r="K598" s="17" t="str">
        <f t="shared" si="89"/>
        <v>10.1159%2F000121776_TableI</v>
      </c>
      <c r="L598" s="17" t="str">
        <f t="array" ref="L598">IFERROR(INDEX(AUTO_Public_TSV_FileList!$A$1:$A$1000,MATCH(TRUE(),EXACT(K598,IFERROR(_xlfn.TEXTBEFORE(AUTO_Public_TSV_FileList!$A$1:$A$1000,".tsv"),"")),0)),"notfound")</f>
        <v>10.1159%2F000121776_TableI.tsv</v>
      </c>
      <c r="M598" s="20" t="s">
        <v>3481</v>
      </c>
      <c r="N598" s="20" t="s">
        <v>3482</v>
      </c>
      <c r="O598" s="20" t="s">
        <v>3483</v>
      </c>
      <c r="P598" s="20" t="s">
        <v>3484</v>
      </c>
      <c r="Q598" s="20" t="s">
        <v>3485</v>
      </c>
      <c r="R598" s="20" t="s">
        <v>3486</v>
      </c>
      <c r="S598" s="20"/>
      <c r="T598" s="20"/>
      <c r="U598" s="20"/>
      <c r="V598" s="20" t="s">
        <v>3487</v>
      </c>
      <c r="W598" s="20" t="s">
        <v>319</v>
      </c>
      <c r="X598" s="20" t="s">
        <v>3487</v>
      </c>
      <c r="Y598" s="20"/>
      <c r="Z598" s="20"/>
      <c r="AA598" s="20" t="s">
        <v>3488</v>
      </c>
      <c r="AB598" s="20"/>
      <c r="AC598" s="20" t="s">
        <v>3489</v>
      </c>
      <c r="AD598" s="20" t="s">
        <v>3489</v>
      </c>
      <c r="AE598" s="20" t="s">
        <v>50</v>
      </c>
      <c r="AF598" s="20"/>
      <c r="AG598" s="20"/>
      <c r="AH598" s="20" t="s">
        <v>3490</v>
      </c>
    </row>
    <row r="599" spans="1:36" ht="15" customHeight="1" x14ac:dyDescent="0.2">
      <c r="A599" s="20" t="s">
        <v>3480</v>
      </c>
      <c r="B599" s="20"/>
      <c r="C599" s="20"/>
      <c r="D599" s="20" t="s">
        <v>3491</v>
      </c>
      <c r="E599" s="18" t="str">
        <f t="shared" si="90"/>
        <v>Meyer</v>
      </c>
      <c r="F599" s="17"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9" s="17" t="str">
        <f t="shared" si="91"/>
        <v>1981</v>
      </c>
      <c r="H599" s="18" t="str">
        <f t="shared" si="92"/>
        <v>Meyer__1981</v>
      </c>
      <c r="I599" s="18" t="str">
        <f>_xlfn.LET(_xlpm.doi,IF(C599&lt;&gt;"",C599,_xlfn.TEXTAFTER(A599,"https://doi.org/")),SUBSTITUTE(SUBSTITUTE(SUBSTITUTE(SUBSTITUTE(_xlpm.doi,"/","%2F"),":","%3A"),"&lt;","%3C"),"&gt;","%3E"))</f>
        <v>10.1159%2F000121776</v>
      </c>
      <c r="J599" s="18" t="str">
        <f t="shared" si="93"/>
        <v>Meyer__1981_TableII</v>
      </c>
      <c r="K599" s="17" t="str">
        <f t="shared" si="89"/>
        <v>10.1159%2F000121776_TableII</v>
      </c>
      <c r="L599" s="17" t="str">
        <f t="array" ref="L599">IFERROR(INDEX(AUTO_Public_TSV_FileList!$A$1:$A$1000,MATCH(TRUE(),EXACT(K599,IFERROR(_xlfn.TEXTBEFORE(AUTO_Public_TSV_FileList!$A$1:$A$1000,".tsv"),"")),0)),"notfound")</f>
        <v>10.1159%2F000121776_TableII.tsv</v>
      </c>
      <c r="M599" s="20" t="s">
        <v>3492</v>
      </c>
      <c r="N599" s="20" t="s">
        <v>3482</v>
      </c>
      <c r="O599" s="20" t="s">
        <v>3483</v>
      </c>
      <c r="P599" s="20" t="s">
        <v>3484</v>
      </c>
      <c r="Q599" s="20" t="s">
        <v>3493</v>
      </c>
      <c r="R599" s="20" t="s">
        <v>3486</v>
      </c>
      <c r="S599" s="20"/>
      <c r="T599" s="20"/>
      <c r="U599" s="20" t="s">
        <v>3494</v>
      </c>
      <c r="V599" s="20" t="s">
        <v>3495</v>
      </c>
      <c r="W599" s="20" t="s">
        <v>319</v>
      </c>
      <c r="X599" s="20" t="s">
        <v>3495</v>
      </c>
      <c r="Y599" s="20"/>
      <c r="Z599" s="20"/>
      <c r="AA599" s="20" t="s">
        <v>3496</v>
      </c>
      <c r="AB599" s="20"/>
      <c r="AC599" s="20" t="s">
        <v>3489</v>
      </c>
      <c r="AD599" s="20" t="s">
        <v>3489</v>
      </c>
      <c r="AE599" s="20" t="s">
        <v>50</v>
      </c>
      <c r="AF599" s="20"/>
      <c r="AG599" s="20"/>
      <c r="AH599" s="20" t="s">
        <v>3490</v>
      </c>
    </row>
    <row r="600" spans="1:36" ht="15" customHeight="1" x14ac:dyDescent="0.2">
      <c r="A600" s="20" t="s">
        <v>2453</v>
      </c>
      <c r="B600" s="20"/>
      <c r="C600" s="20" t="s">
        <v>2454</v>
      </c>
      <c r="D600" s="20" t="s">
        <v>2455</v>
      </c>
      <c r="E600" s="18" t="str">
        <f t="shared" si="90"/>
        <v>Møhl</v>
      </c>
      <c r="F600" s="17"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00" s="17" t="str">
        <f t="shared" si="91"/>
        <v>1968</v>
      </c>
      <c r="H600" s="18" t="str">
        <f t="shared" si="92"/>
        <v>Møhl__1968</v>
      </c>
      <c r="I600" s="18" t="str">
        <f>_xlfn.LET(_xlpm.doi,IF(C600&lt;&gt;"",C600,_xlfn.TEXTAFTER(A600,"https://doi.org/")),SUBSTITUTE(SUBSTITUTE(SUBSTITUTE(SUBSTITUTE(_xlpm.doi,"/","%2F"),":","%3A"),"&lt;","%3C"),"&gt;","%3E"))</f>
        <v>AN%3A1969-15508-001</v>
      </c>
      <c r="J600" s="18" t="str">
        <f t="shared" si="93"/>
        <v>Møhl__1968_TableII</v>
      </c>
      <c r="K600" s="17" t="str">
        <f t="shared" si="89"/>
        <v>AN%3A1969-15508-001_TableII</v>
      </c>
      <c r="L600" s="17" t="str">
        <f t="array" ref="L600">IFERROR(INDEX(AUTO_Public_TSV_FileList!$A$1:$A$1000,MATCH(TRUE(),EXACT(K600,IFERROR(_xlfn.TEXTBEFORE(AUTO_Public_TSV_FileList!$A$1:$A$1000,".tsv"),"")),0)),"notfound")</f>
        <v>AN%3A1969-15508-001_TableII.tsv</v>
      </c>
      <c r="M600" s="20" t="s">
        <v>2456</v>
      </c>
      <c r="N600" s="20" t="s">
        <v>88</v>
      </c>
      <c r="O600" s="20" t="s">
        <v>2457</v>
      </c>
      <c r="P600" s="20" t="s">
        <v>55</v>
      </c>
      <c r="Q600" s="20"/>
      <c r="R600" s="20"/>
      <c r="S600" s="20"/>
      <c r="T600" s="20"/>
      <c r="U600" s="20"/>
      <c r="V600" s="20"/>
      <c r="W600" s="20"/>
      <c r="X600" s="20"/>
      <c r="Y600" s="20"/>
      <c r="Z600" s="20"/>
      <c r="AA600" s="20"/>
      <c r="AB600" s="20"/>
      <c r="AC600" s="20"/>
      <c r="AD600" s="20"/>
      <c r="AE600" s="20"/>
      <c r="AF600" s="20"/>
      <c r="AG600" s="20"/>
      <c r="AH600" s="20"/>
    </row>
    <row r="601" spans="1:36" ht="15" customHeight="1" x14ac:dyDescent="0.2">
      <c r="A601" s="19" t="s">
        <v>2458</v>
      </c>
      <c r="B601" s="20"/>
      <c r="C601" s="20"/>
      <c r="D601" s="19" t="s">
        <v>800</v>
      </c>
      <c r="E601" s="17" t="str">
        <f t="shared" si="90"/>
        <v>Mooney</v>
      </c>
      <c r="F601" s="17"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17" t="str">
        <f t="shared" si="91"/>
        <v>2012</v>
      </c>
      <c r="H601" s="17" t="str">
        <f t="shared" si="92"/>
        <v>Mooney_etal_2012</v>
      </c>
      <c r="I601" s="17" t="str">
        <f>_xlfn.LET(
_xlpm.doi,IF(C601&lt;&gt;"",C601,_xlfn.TEXTAFTER(A601,"https://doi.org/")),
SUBSTITUTE(
SUBSTITUTE(
SUBSTITUTE(
SUBSTITUTE(
_xlpm.doi,
"/","%2F"),
":","%3A"),
"&lt;","%3C"),
"&gt;","%3E")
)</f>
        <v>10.1016%2FB978-0-12-394282-1.00004-1</v>
      </c>
      <c r="J601" s="17" t="str">
        <f t="shared" si="93"/>
        <v>Mooney_etal_2012_Table4.1</v>
      </c>
      <c r="K601" s="17" t="str">
        <f>I601 &amp; "_" &amp; SUBSTITUTE(SUBSTITUTE(SUBSTITUTE(D601,CHAR(160),""), " ", ""), "_", "")</f>
        <v>10.1016%2FB978-0-12-394282-1.00004-1_Table4.1</v>
      </c>
      <c r="L601" s="17" t="str">
        <f t="array" ref="L601">IFERROR(INDEX(AUTO_Public_TSV_FileList!$A$1:$A$1000,MATCH(TRUE(),EXACT(K601,IFERROR(_xlfn.TEXTBEFORE(AUTO_Public_TSV_FileList!$A$1:$A$1000,".tsv"),"")),0)),"notfound")</f>
        <v>10.1016%2FB978-0-12-394282-1.00004-1_Table4.1.tsv</v>
      </c>
      <c r="M601" s="20" t="s">
        <v>2459</v>
      </c>
      <c r="N601" s="19" t="s">
        <v>54</v>
      </c>
      <c r="O601" s="20" t="s">
        <v>2460</v>
      </c>
      <c r="P601" s="19" t="s">
        <v>55</v>
      </c>
      <c r="Q601" s="20"/>
      <c r="R601" s="20" t="s">
        <v>2461</v>
      </c>
      <c r="S601" s="20"/>
      <c r="T601" s="20"/>
      <c r="U601" s="20"/>
      <c r="V601" s="20" t="s">
        <v>1403</v>
      </c>
      <c r="W601" s="19" t="s">
        <v>2462</v>
      </c>
      <c r="X601" s="19" t="s">
        <v>2463</v>
      </c>
      <c r="Y601" s="20"/>
      <c r="Z601" s="20" t="s">
        <v>2464</v>
      </c>
      <c r="AA601" s="20" t="s">
        <v>2465</v>
      </c>
      <c r="AB601" s="19" t="s">
        <v>2466</v>
      </c>
      <c r="AC601" s="19" t="s">
        <v>2467</v>
      </c>
      <c r="AD601" s="20" t="s">
        <v>2468</v>
      </c>
      <c r="AE601" s="19" t="s">
        <v>265</v>
      </c>
      <c r="AF601" s="19" t="s">
        <v>2468</v>
      </c>
      <c r="AG601" s="20"/>
      <c r="AH601" s="20"/>
    </row>
    <row r="602" spans="1:36" ht="15" customHeight="1" x14ac:dyDescent="0.2">
      <c r="A602" s="20" t="s">
        <v>2469</v>
      </c>
      <c r="B602" s="20"/>
      <c r="C602" s="20"/>
      <c r="D602" s="20" t="s">
        <v>800</v>
      </c>
      <c r="E602" s="17" t="str">
        <f t="shared" si="90"/>
        <v>Mooney</v>
      </c>
      <c r="F602" s="17"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17" t="str">
        <f t="shared" si="91"/>
        <v>2012</v>
      </c>
      <c r="H602" s="17" t="str">
        <f t="shared" si="92"/>
        <v>Mooney_etal_2012</v>
      </c>
      <c r="I602" s="17" t="str">
        <f>_xlfn.LET(
_xlpm.doi,IF(C602&lt;&gt;"",C602,_xlfn.TEXTAFTER(A602,"https://doi.org/")),
SUBSTITUTE(
SUBSTITUTE(
SUBSTITUTE(
SUBSTITUTE(
_xlpm.doi,
"/","%2F"),
":","%3A"),
"&lt;","%3C"),
"&gt;","%3E")
)</f>
        <v>10.1016%2FB978-0-12-394282-1.00004-1</v>
      </c>
      <c r="J602" s="17" t="str">
        <f t="shared" si="93"/>
        <v>Mooney_etal_2012_Table4.1</v>
      </c>
      <c r="K602" s="17" t="str">
        <f t="shared" ref="K602:K619" si="95">I602 &amp; "_" &amp; SUBSTITUTE(SUBSTITUTE(SUBSTITUTE(D602,CHAR(160),"")," ",""),"_","")</f>
        <v>10.1016%2FB978-0-12-394282-1.00004-1_Table4.1</v>
      </c>
      <c r="L602" s="17" t="str">
        <f t="array" ref="L602">IFERROR(INDEX(AUTO_Public_TSV_FileList!$A$1:$A$1000,MATCH(TRUE(),EXACT(K602,IFERROR(_xlfn.TEXTBEFORE(AUTO_Public_TSV_FileList!$A$1:$A$1000,".tsv"),"")),0)),"notfound")</f>
        <v>10.1016%2FB978-0-12-394282-1.00004-1_Table4.1.tsv</v>
      </c>
      <c r="M602" s="20" t="s">
        <v>2470</v>
      </c>
      <c r="N602" s="20" t="s">
        <v>88</v>
      </c>
      <c r="O602" s="20" t="s">
        <v>2471</v>
      </c>
      <c r="P602" s="20"/>
      <c r="Q602" s="20"/>
      <c r="R602" s="20" t="s">
        <v>2461</v>
      </c>
      <c r="S602" s="20"/>
      <c r="T602" s="20" t="s">
        <v>2472</v>
      </c>
      <c r="U602" s="20"/>
      <c r="V602" s="20" t="s">
        <v>101</v>
      </c>
      <c r="W602" s="20" t="s">
        <v>2473</v>
      </c>
      <c r="X602" s="20" t="s">
        <v>2474</v>
      </c>
      <c r="Y602" s="20" t="s">
        <v>2475</v>
      </c>
      <c r="Z602" s="20"/>
      <c r="AA602" s="20" t="s">
        <v>2476</v>
      </c>
      <c r="AB602" s="20" t="s">
        <v>1498</v>
      </c>
      <c r="AC602" s="20" t="s">
        <v>2467</v>
      </c>
      <c r="AD602" s="20"/>
      <c r="AE602" s="20" t="s">
        <v>265</v>
      </c>
      <c r="AF602" s="20" t="s">
        <v>2477</v>
      </c>
      <c r="AG602" s="20" t="s">
        <v>2478</v>
      </c>
      <c r="AH602" s="20"/>
    </row>
    <row r="603" spans="1:36" ht="15" customHeight="1" x14ac:dyDescent="0.2">
      <c r="A603" s="20" t="s">
        <v>2469</v>
      </c>
      <c r="B603" s="20"/>
      <c r="C603" s="20"/>
      <c r="D603" s="20" t="s">
        <v>93</v>
      </c>
      <c r="E603" s="17" t="str">
        <f t="shared" si="90"/>
        <v>Mooney</v>
      </c>
      <c r="F603" s="17"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17" t="str">
        <f t="shared" si="91"/>
        <v>2012</v>
      </c>
      <c r="H603" s="17" t="str">
        <f t="shared" si="92"/>
        <v>Mooney_etal_2012</v>
      </c>
      <c r="I603" s="17" t="str">
        <f>_xlfn.LET(
_xlpm.doi,IF(C603&lt;&gt;"",C603,_xlfn.TEXTAFTER(A603,"https://doi.org/")),
SUBSTITUTE(
SUBSTITUTE(
SUBSTITUTE(
SUBSTITUTE(
_xlpm.doi,
"/","%2F"),
":","%3A"),
"&lt;","%3C"),
"&gt;","%3E")
)</f>
        <v>10.1016%2FB978-0-12-394282-1.00004-1</v>
      </c>
      <c r="J603" s="17" t="str">
        <f t="shared" si="93"/>
        <v>Mooney_etal_2012_Text</v>
      </c>
      <c r="K603" s="17" t="str">
        <f t="shared" si="95"/>
        <v>10.1016%2FB978-0-12-394282-1.00004-1_Text</v>
      </c>
      <c r="L603" s="17" t="str">
        <f t="array" ref="L603">IFERROR(INDEX(AUTO_Public_TSV_FileList!$A$1:$A$1000,MATCH(TRUE(),EXACT(K603,IFERROR(_xlfn.TEXTBEFORE(AUTO_Public_TSV_FileList!$A$1:$A$1000,".tsv"),"")),0)),"notfound")</f>
        <v>10.1016%2FB978-0-12-394282-1.00004-1_Text.tsv</v>
      </c>
      <c r="M603" s="20" t="s">
        <v>2479</v>
      </c>
      <c r="N603" s="20" t="s">
        <v>659</v>
      </c>
      <c r="O603" s="20" t="s">
        <v>2480</v>
      </c>
      <c r="P603" s="20"/>
      <c r="Q603" s="20"/>
      <c r="R603" s="20" t="s">
        <v>2461</v>
      </c>
      <c r="S603" s="20"/>
      <c r="T603" s="20" t="s">
        <v>2481</v>
      </c>
      <c r="U603" s="20"/>
      <c r="V603" s="20" t="s">
        <v>101</v>
      </c>
      <c r="W603" s="20" t="s">
        <v>1255</v>
      </c>
      <c r="X603" s="20" t="s">
        <v>2482</v>
      </c>
      <c r="Y603" s="20"/>
      <c r="Z603" s="20"/>
      <c r="AA603" s="20" t="s">
        <v>2110</v>
      </c>
      <c r="AB603" s="20" t="s">
        <v>2483</v>
      </c>
      <c r="AC603" s="20" t="s">
        <v>2467</v>
      </c>
      <c r="AD603" s="20"/>
      <c r="AE603" s="20" t="s">
        <v>265</v>
      </c>
      <c r="AF603" s="20" t="s">
        <v>2484</v>
      </c>
      <c r="AG603" s="20" t="s">
        <v>2485</v>
      </c>
      <c r="AH603" s="20"/>
    </row>
    <row r="604" spans="1:36" ht="15" customHeight="1" x14ac:dyDescent="0.2">
      <c r="A604" s="20" t="s">
        <v>2486</v>
      </c>
      <c r="B604" s="20"/>
      <c r="C604" s="20"/>
      <c r="D604" s="20" t="s">
        <v>1593</v>
      </c>
      <c r="E604" s="17" t="str">
        <f t="shared" si="90"/>
        <v>Morelli</v>
      </c>
      <c r="F604" s="17"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17" t="str">
        <f t="shared" si="91"/>
        <v>2025</v>
      </c>
      <c r="H604" s="17" t="str">
        <f t="shared" si="92"/>
        <v>Morelli_etal_2025</v>
      </c>
      <c r="I604" s="17" t="str">
        <f>_xlfn.LET(
_xlpm.doi,IF(C604&lt;&gt;"",C604,_xlfn.TEXTAFTER(A604,"https://doi.org/")),
SUBSTITUTE(
SUBSTITUTE(
SUBSTITUTE(
SUBSTITUTE(
_xlpm.doi,
"/","%2F"),
":","%3A"),
"&lt;","%3C"),
"&gt;","%3E")
)</f>
        <v>10.1016%2Fj.pbiomolbio.2025.03.001</v>
      </c>
      <c r="J604" s="17" t="str">
        <f t="shared" si="93"/>
        <v>Morelli_etal_2025_Figure5</v>
      </c>
      <c r="K604" s="17" t="str">
        <f t="shared" si="95"/>
        <v>10.1016%2Fj.pbiomolbio.2025.03.001_Figure5</v>
      </c>
      <c r="L604" s="17" t="str">
        <f t="array" ref="L604">IFERROR(INDEX(AUTO_Public_TSV_FileList!$A$1:$A$1000,MATCH(TRUE(),EXACT(K604,IFERROR(_xlfn.TEXTBEFORE(AUTO_Public_TSV_FileList!$A$1:$A$1000,".tsv"),"")),0)),"notfound")</f>
        <v>notfound</v>
      </c>
      <c r="M604" s="20" t="s">
        <v>2487</v>
      </c>
      <c r="N604" s="20" t="s">
        <v>4775</v>
      </c>
      <c r="O604" s="20" t="s">
        <v>4776</v>
      </c>
      <c r="P604" s="20" t="s">
        <v>4746</v>
      </c>
      <c r="Q604" s="20" t="s">
        <v>4777</v>
      </c>
      <c r="R604" s="20" t="s">
        <v>4778</v>
      </c>
      <c r="S604" s="20" t="s">
        <v>4779</v>
      </c>
      <c r="T604" s="20" t="s">
        <v>4780</v>
      </c>
      <c r="U604" s="20"/>
      <c r="V604" s="20" t="s">
        <v>4781</v>
      </c>
      <c r="W604" s="20" t="s">
        <v>319</v>
      </c>
      <c r="X604" s="20" t="s">
        <v>4782</v>
      </c>
      <c r="Y604" s="20" t="s">
        <v>4783</v>
      </c>
      <c r="Z604" s="20" t="s">
        <v>4784</v>
      </c>
      <c r="AA604" s="20" t="s">
        <v>4785</v>
      </c>
      <c r="AB604" s="20" t="s">
        <v>4786</v>
      </c>
      <c r="AC604" s="20" t="s">
        <v>4787</v>
      </c>
      <c r="AD604" s="20"/>
      <c r="AE604" s="20" t="s">
        <v>265</v>
      </c>
      <c r="AF604" s="20" t="s">
        <v>4788</v>
      </c>
      <c r="AG604" s="20" t="s">
        <v>4789</v>
      </c>
      <c r="AH604" s="20" t="s">
        <v>4790</v>
      </c>
    </row>
    <row r="605" spans="1:36" ht="15" customHeight="1" x14ac:dyDescent="0.2">
      <c r="A605" s="20" t="s">
        <v>2488</v>
      </c>
      <c r="B605" s="20"/>
      <c r="C605" s="20"/>
      <c r="D605" s="20" t="s">
        <v>2075</v>
      </c>
      <c r="E605" s="17" t="str">
        <f t="shared" si="90"/>
        <v>Morgan</v>
      </c>
      <c r="F605" s="17"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17" t="str">
        <f t="shared" si="91"/>
        <v>2014</v>
      </c>
      <c r="H605" s="17" t="str">
        <f t="shared" si="92"/>
        <v>Morgan_etal_2014</v>
      </c>
      <c r="I605" s="17" t="str">
        <f>_xlfn.LET(
_xlpm.doi,IF(C605&lt;&gt;"",C605,_xlfn.TEXTAFTER(A605,"https://doi.org/")),
SUBSTITUTE(
SUBSTITUTE(
SUBSTITUTE(
SUBSTITUTE(
_xlpm.doi,
"/","%2F"),
":","%3A"),
"&lt;","%3C"),
"&gt;","%3E")
)</f>
        <v>10.1371%2Fjournal.pone.0110356</v>
      </c>
      <c r="J605" s="17" t="str">
        <f t="shared" si="93"/>
        <v>Morgan_etal_2014_DataS1</v>
      </c>
      <c r="K605" s="17" t="str">
        <f t="shared" si="95"/>
        <v>10.1371%2Fjournal.pone.0110356_DataS1</v>
      </c>
      <c r="L605" s="17" t="str">
        <f t="array" ref="L605">IFERROR(INDEX(AUTO_Public_TSV_FileList!$A$1:$A$1000,MATCH(TRUE(),EXACT(K605,IFERROR(_xlfn.TEXTBEFORE(AUTO_Public_TSV_FileList!$A$1:$A$1000,".tsv"),"")),0)),"notfound")</f>
        <v>10.1371%2Fjournal.pone.0110356_DataS1.tsv</v>
      </c>
      <c r="M605" s="20" t="s">
        <v>2489</v>
      </c>
      <c r="N605" s="20" t="s">
        <v>2490</v>
      </c>
      <c r="O605" s="20"/>
      <c r="P605" s="20" t="s">
        <v>55</v>
      </c>
      <c r="Q605" s="20" t="s">
        <v>2491</v>
      </c>
      <c r="R605" s="20"/>
      <c r="S605" s="20"/>
      <c r="T605" s="20"/>
      <c r="U605" s="20"/>
      <c r="V605" s="20"/>
      <c r="W605" s="20" t="s">
        <v>1210</v>
      </c>
      <c r="X605" s="20"/>
      <c r="Y605" s="20"/>
      <c r="Z605" s="20" t="s">
        <v>2492</v>
      </c>
      <c r="AA605" s="20" t="s">
        <v>2493</v>
      </c>
      <c r="AB605" s="20" t="s">
        <v>2017</v>
      </c>
      <c r="AC605" s="20" t="s">
        <v>2494</v>
      </c>
      <c r="AD605" s="20"/>
      <c r="AE605" s="20" t="s">
        <v>50</v>
      </c>
      <c r="AF605" s="20"/>
      <c r="AG605" s="20"/>
      <c r="AH605" s="20"/>
    </row>
    <row r="606" spans="1:36" ht="15" customHeight="1" x14ac:dyDescent="0.2">
      <c r="A606" s="20" t="s">
        <v>5252</v>
      </c>
      <c r="B606" s="20"/>
      <c r="C606" s="20"/>
      <c r="D606" s="20" t="s">
        <v>5253</v>
      </c>
      <c r="E606" s="18" t="str">
        <f t="shared" si="90"/>
        <v>MorroghBernard</v>
      </c>
      <c r="F606" s="17"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17" t="str">
        <f t="shared" si="91"/>
        <v>2008</v>
      </c>
      <c r="H606" s="18" t="str">
        <f t="shared" si="92"/>
        <v>MorroghBernard_etal_2008</v>
      </c>
      <c r="I606" s="18" t="str">
        <f t="shared" ref="I606:I611" si="96">_xlfn.LET(_xlpm.doi,IF(C606&lt;&gt;"",C606,_xlfn.TEXTAFTER(A606,"https://doi.org/")),SUBSTITUTE(SUBSTITUTE(SUBSTITUTE(SUBSTITUTE(_xlpm.doi,"/","%2F"),":","%3A"),"&lt;","%3C"),"&gt;","%3E"))</f>
        <v>10.1093%2Facprof%3Aoso%2F9780199213276.003.0008</v>
      </c>
      <c r="J606" s="18" t="str">
        <f t="shared" si="93"/>
        <v>MorroghBernard_etal_2008_Figure8.1</v>
      </c>
      <c r="K606" s="17" t="str">
        <f t="shared" si="95"/>
        <v>10.1093%2Facprof%3Aoso%2F9780199213276.003.0008_Figure8.1</v>
      </c>
      <c r="L606" s="17" t="str">
        <f t="array" ref="L606">IFERROR(INDEX(AUTO_Public_TSV_FileList!$A$1:$A$1000,MATCH(TRUE(),EXACT(K606,IFERROR(_xlfn.TEXTBEFORE(AUTO_Public_TSV_FileList!$A$1:$A$1000,".tsv"),"")),0)),"notfound")</f>
        <v>notfound</v>
      </c>
      <c r="M606" s="20"/>
      <c r="N606" s="20" t="s">
        <v>4864</v>
      </c>
      <c r="O606" s="20" t="s">
        <v>5254</v>
      </c>
      <c r="P606" s="20" t="s">
        <v>4866</v>
      </c>
      <c r="Q606" s="20" t="s">
        <v>5255</v>
      </c>
      <c r="R606" s="20" t="s">
        <v>5256</v>
      </c>
      <c r="S606" s="20" t="s">
        <v>4869</v>
      </c>
      <c r="T606" s="20" t="s">
        <v>4870</v>
      </c>
      <c r="U606" s="20"/>
      <c r="V606" s="20" t="s">
        <v>4871</v>
      </c>
      <c r="W606" s="20" t="s">
        <v>187</v>
      </c>
      <c r="X606" s="20" t="s">
        <v>5257</v>
      </c>
      <c r="Y606" s="20"/>
      <c r="Z606" s="20" t="s">
        <v>4873</v>
      </c>
      <c r="AA606" s="20" t="s">
        <v>5258</v>
      </c>
      <c r="AB606" s="20" t="s">
        <v>5259</v>
      </c>
      <c r="AC606" s="20" t="s">
        <v>5260</v>
      </c>
      <c r="AD606" s="20" t="s">
        <v>689</v>
      </c>
      <c r="AE606" s="20" t="s">
        <v>70</v>
      </c>
      <c r="AF606" s="20" t="s">
        <v>4877</v>
      </c>
      <c r="AG606" s="20" t="s">
        <v>4878</v>
      </c>
      <c r="AH606" s="20" t="s">
        <v>4879</v>
      </c>
      <c r="AJ606" t="s">
        <v>5261</v>
      </c>
    </row>
    <row r="607" spans="1:36" ht="15" customHeight="1" x14ac:dyDescent="0.2">
      <c r="A607" s="20" t="s">
        <v>5252</v>
      </c>
      <c r="B607" s="20"/>
      <c r="C607" s="20"/>
      <c r="D607" s="20" t="s">
        <v>5262</v>
      </c>
      <c r="E607" s="18" t="str">
        <f t="shared" si="90"/>
        <v>MorroghBernard</v>
      </c>
      <c r="F607" s="17"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17" t="str">
        <f t="shared" si="91"/>
        <v>2008</v>
      </c>
      <c r="H607" s="18" t="str">
        <f t="shared" si="92"/>
        <v>MorroghBernard_etal_2008</v>
      </c>
      <c r="I607" s="18" t="str">
        <f t="shared" si="96"/>
        <v>10.1093%2Facprof%3Aoso%2F9780199213276.003.0008</v>
      </c>
      <c r="J607" s="18" t="str">
        <f t="shared" si="93"/>
        <v>MorroghBernard_etal_2008_Figure8.2</v>
      </c>
      <c r="K607" s="17" t="str">
        <f t="shared" si="95"/>
        <v>10.1093%2Facprof%3Aoso%2F9780199213276.003.0008_Figure8.2</v>
      </c>
      <c r="L607" s="17" t="str">
        <f t="array" ref="L607">IFERROR(INDEX(AUTO_Public_TSV_FileList!$A$1:$A$1000,MATCH(TRUE(),EXACT(K607,IFERROR(_xlfn.TEXTBEFORE(AUTO_Public_TSV_FileList!$A$1:$A$1000,".tsv"),"")),0)),"notfound")</f>
        <v>notfound</v>
      </c>
      <c r="M607" s="20"/>
      <c r="N607" s="20" t="s">
        <v>4864</v>
      </c>
      <c r="O607" s="20" t="s">
        <v>5263</v>
      </c>
      <c r="P607" s="20" t="s">
        <v>4866</v>
      </c>
      <c r="Q607" s="20" t="s">
        <v>5264</v>
      </c>
      <c r="R607" s="20" t="s">
        <v>5256</v>
      </c>
      <c r="S607" s="20" t="s">
        <v>4869</v>
      </c>
      <c r="T607" s="20" t="s">
        <v>4870</v>
      </c>
      <c r="U607" s="20"/>
      <c r="V607" s="20" t="s">
        <v>4871</v>
      </c>
      <c r="W607" s="20" t="s">
        <v>187</v>
      </c>
      <c r="X607" s="20" t="s">
        <v>5265</v>
      </c>
      <c r="Y607" s="20"/>
      <c r="Z607" s="20" t="s">
        <v>4873</v>
      </c>
      <c r="AA607" s="20" t="s">
        <v>5258</v>
      </c>
      <c r="AB607" s="20" t="s">
        <v>5259</v>
      </c>
      <c r="AC607" s="20" t="s">
        <v>5260</v>
      </c>
      <c r="AD607" s="20" t="s">
        <v>689</v>
      </c>
      <c r="AE607" s="20" t="s">
        <v>265</v>
      </c>
      <c r="AF607" s="20" t="s">
        <v>4877</v>
      </c>
      <c r="AG607" s="20" t="s">
        <v>4878</v>
      </c>
      <c r="AH607" s="20" t="s">
        <v>4879</v>
      </c>
      <c r="AJ607" t="s">
        <v>5266</v>
      </c>
    </row>
    <row r="608" spans="1:36" ht="15" customHeight="1" x14ac:dyDescent="0.2">
      <c r="A608" s="20" t="s">
        <v>5252</v>
      </c>
      <c r="B608" s="20"/>
      <c r="C608" s="20"/>
      <c r="D608" s="20" t="s">
        <v>5267</v>
      </c>
      <c r="E608" s="18" t="str">
        <f t="shared" si="90"/>
        <v>MorroghBernard</v>
      </c>
      <c r="F608" s="17"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17" t="str">
        <f t="shared" si="91"/>
        <v>2008</v>
      </c>
      <c r="H608" s="18" t="str">
        <f t="shared" si="92"/>
        <v>MorroghBernard_etal_2008</v>
      </c>
      <c r="I608" s="18" t="str">
        <f t="shared" si="96"/>
        <v>10.1093%2Facprof%3Aoso%2F9780199213276.003.0008</v>
      </c>
      <c r="J608" s="18" t="str">
        <f t="shared" si="93"/>
        <v>MorroghBernard_etal_2008_Table8.2</v>
      </c>
      <c r="K608" s="17" t="str">
        <f t="shared" si="95"/>
        <v>10.1093%2Facprof%3Aoso%2F9780199213276.003.0008_Table8.2</v>
      </c>
      <c r="L608" s="17" t="str">
        <f t="array" ref="L608">IFERROR(INDEX(AUTO_Public_TSV_FileList!$A$1:$A$1000,MATCH(TRUE(),EXACT(K608,IFERROR(_xlfn.TEXTBEFORE(AUTO_Public_TSV_FileList!$A$1:$A$1000,".tsv"),"")),0)),"notfound")</f>
        <v>notfound</v>
      </c>
      <c r="M608" s="20"/>
      <c r="N608" s="20" t="s">
        <v>4864</v>
      </c>
      <c r="O608" s="20" t="s">
        <v>5268</v>
      </c>
      <c r="P608" s="20" t="s">
        <v>4866</v>
      </c>
      <c r="Q608" s="20" t="s">
        <v>5269</v>
      </c>
      <c r="R608" s="20" t="s">
        <v>5256</v>
      </c>
      <c r="S608" s="20" t="s">
        <v>4869</v>
      </c>
      <c r="T608" s="20" t="s">
        <v>4870</v>
      </c>
      <c r="U608" s="20"/>
      <c r="V608" s="20" t="s">
        <v>4871</v>
      </c>
      <c r="W608" s="20" t="s">
        <v>187</v>
      </c>
      <c r="X608" s="20" t="s">
        <v>5270</v>
      </c>
      <c r="Y608" s="20"/>
      <c r="Z608" s="20" t="s">
        <v>4873</v>
      </c>
      <c r="AA608" s="20" t="s">
        <v>4874</v>
      </c>
      <c r="AB608" s="20" t="s">
        <v>5271</v>
      </c>
      <c r="AC608" s="20" t="s">
        <v>5260</v>
      </c>
      <c r="AD608" s="20" t="s">
        <v>689</v>
      </c>
      <c r="AE608" s="20" t="s">
        <v>70</v>
      </c>
      <c r="AF608" s="20" t="s">
        <v>4877</v>
      </c>
      <c r="AG608" s="20" t="s">
        <v>4878</v>
      </c>
      <c r="AH608" s="20" t="s">
        <v>4879</v>
      </c>
      <c r="AJ608" t="s">
        <v>5272</v>
      </c>
    </row>
    <row r="609" spans="1:37" ht="15" customHeight="1" x14ac:dyDescent="0.2">
      <c r="A609" s="20" t="s">
        <v>5252</v>
      </c>
      <c r="B609" s="20"/>
      <c r="C609" s="20"/>
      <c r="D609" s="20" t="s">
        <v>5273</v>
      </c>
      <c r="E609" s="18" t="str">
        <f t="shared" si="90"/>
        <v>MorroghBernard</v>
      </c>
      <c r="F609" s="17"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17" t="str">
        <f t="shared" si="91"/>
        <v>2008</v>
      </c>
      <c r="H609" s="18" t="str">
        <f t="shared" si="92"/>
        <v>MorroghBernard_etal_2008</v>
      </c>
      <c r="I609" s="18" t="str">
        <f t="shared" si="96"/>
        <v>10.1093%2Facprof%3Aoso%2F9780199213276.003.0008</v>
      </c>
      <c r="J609" s="18" t="str">
        <f t="shared" si="93"/>
        <v>MorroghBernard_etal_2008_Table8.3</v>
      </c>
      <c r="K609" s="17" t="str">
        <f t="shared" si="95"/>
        <v>10.1093%2Facprof%3Aoso%2F9780199213276.003.0008_Table8.3</v>
      </c>
      <c r="L609" s="17" t="str">
        <f t="array" ref="L609">IFERROR(INDEX(AUTO_Public_TSV_FileList!$A$1:$A$1000,MATCH(TRUE(),EXACT(K609,IFERROR(_xlfn.TEXTBEFORE(AUTO_Public_TSV_FileList!$A$1:$A$1000,".tsv"),"")),0)),"notfound")</f>
        <v>notfound</v>
      </c>
      <c r="M609" s="20"/>
      <c r="N609" s="20" t="s">
        <v>4864</v>
      </c>
      <c r="O609" s="20" t="s">
        <v>5274</v>
      </c>
      <c r="P609" s="20" t="s">
        <v>4866</v>
      </c>
      <c r="Q609" s="20" t="s">
        <v>5275</v>
      </c>
      <c r="R609" s="20" t="s">
        <v>5256</v>
      </c>
      <c r="S609" s="20" t="s">
        <v>4869</v>
      </c>
      <c r="T609" s="20" t="s">
        <v>4870</v>
      </c>
      <c r="U609" s="20"/>
      <c r="V609" s="20" t="s">
        <v>4871</v>
      </c>
      <c r="W609" s="20" t="s">
        <v>187</v>
      </c>
      <c r="X609" s="20" t="s">
        <v>5276</v>
      </c>
      <c r="Y609" s="20"/>
      <c r="Z609" s="20" t="s">
        <v>4873</v>
      </c>
      <c r="AA609" s="20" t="s">
        <v>4874</v>
      </c>
      <c r="AB609" s="20" t="s">
        <v>5277</v>
      </c>
      <c r="AC609" s="20" t="s">
        <v>5260</v>
      </c>
      <c r="AD609" s="20" t="s">
        <v>689</v>
      </c>
      <c r="AE609" s="20" t="s">
        <v>70</v>
      </c>
      <c r="AF609" s="20" t="s">
        <v>4877</v>
      </c>
      <c r="AG609" s="20" t="s">
        <v>4878</v>
      </c>
      <c r="AH609" s="20" t="s">
        <v>4879</v>
      </c>
      <c r="AJ609" t="s">
        <v>5278</v>
      </c>
    </row>
    <row r="610" spans="1:37" ht="15" customHeight="1" x14ac:dyDescent="0.2">
      <c r="A610" s="20" t="s">
        <v>5252</v>
      </c>
      <c r="B610" s="20"/>
      <c r="C610" s="20"/>
      <c r="D610" s="20" t="s">
        <v>5279</v>
      </c>
      <c r="E610" s="18" t="str">
        <f t="shared" si="90"/>
        <v>MorroghBernard</v>
      </c>
      <c r="F610" s="17"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17" t="str">
        <f t="shared" si="91"/>
        <v>2008</v>
      </c>
      <c r="H610" s="18" t="str">
        <f t="shared" si="92"/>
        <v>MorroghBernard_etal_2008</v>
      </c>
      <c r="I610" s="18" t="str">
        <f t="shared" si="96"/>
        <v>10.1093%2Facprof%3Aoso%2F9780199213276.003.0008</v>
      </c>
      <c r="J610" s="18" t="str">
        <f t="shared" si="93"/>
        <v>MorroghBernard_etal_2008_Table8.5</v>
      </c>
      <c r="K610" s="17" t="str">
        <f t="shared" si="95"/>
        <v>10.1093%2Facprof%3Aoso%2F9780199213276.003.0008_Table8.5</v>
      </c>
      <c r="L610" s="17" t="str">
        <f t="array" ref="L610">IFERROR(INDEX(AUTO_Public_TSV_FileList!$A$1:$A$1000,MATCH(TRUE(),EXACT(K610,IFERROR(_xlfn.TEXTBEFORE(AUTO_Public_TSV_FileList!$A$1:$A$1000,".tsv"),"")),0)),"notfound")</f>
        <v>notfound</v>
      </c>
      <c r="M610" s="20"/>
      <c r="N610" s="20" t="s">
        <v>4864</v>
      </c>
      <c r="O610" s="20" t="s">
        <v>5280</v>
      </c>
      <c r="P610" s="20" t="s">
        <v>4866</v>
      </c>
      <c r="Q610" s="20" t="s">
        <v>5281</v>
      </c>
      <c r="R610" s="20" t="s">
        <v>5256</v>
      </c>
      <c r="S610" s="20" t="s">
        <v>4869</v>
      </c>
      <c r="T610" s="20" t="s">
        <v>4870</v>
      </c>
      <c r="U610" s="20"/>
      <c r="V610" s="20" t="s">
        <v>4871</v>
      </c>
      <c r="W610" s="20" t="s">
        <v>187</v>
      </c>
      <c r="X610" s="20" t="s">
        <v>5282</v>
      </c>
      <c r="Y610" s="20"/>
      <c r="Z610" s="20" t="s">
        <v>4873</v>
      </c>
      <c r="AA610" s="20" t="s">
        <v>4874</v>
      </c>
      <c r="AB610" s="20" t="s">
        <v>5283</v>
      </c>
      <c r="AC610" s="20" t="s">
        <v>5260</v>
      </c>
      <c r="AD610" s="20" t="s">
        <v>689</v>
      </c>
      <c r="AE610" s="20" t="s">
        <v>70</v>
      </c>
      <c r="AF610" s="20" t="s">
        <v>4877</v>
      </c>
      <c r="AG610" s="20" t="s">
        <v>4878</v>
      </c>
      <c r="AH610" s="20" t="s">
        <v>4879</v>
      </c>
      <c r="AJ610" t="s">
        <v>5284</v>
      </c>
    </row>
    <row r="611" spans="1:37" ht="13" customHeight="1" x14ac:dyDescent="0.2">
      <c r="A611" s="20" t="s">
        <v>5252</v>
      </c>
      <c r="B611" s="20"/>
      <c r="C611" s="20"/>
      <c r="D611" s="20" t="s">
        <v>5285</v>
      </c>
      <c r="E611" s="18" t="str">
        <f t="shared" si="90"/>
        <v>MorroghBernard</v>
      </c>
      <c r="F611" s="17"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17" t="str">
        <f t="shared" si="91"/>
        <v>2008</v>
      </c>
      <c r="H611" s="18" t="str">
        <f t="shared" si="92"/>
        <v>MorroghBernard_etal_2008</v>
      </c>
      <c r="I611" s="18" t="str">
        <f t="shared" si="96"/>
        <v>10.1093%2Facprof%3Aoso%2F9780199213276.003.0008</v>
      </c>
      <c r="J611" s="18" t="str">
        <f t="shared" si="93"/>
        <v>MorroghBernard_etal_2008_Table8.6</v>
      </c>
      <c r="K611" s="17" t="str">
        <f t="shared" si="95"/>
        <v>10.1093%2Facprof%3Aoso%2F9780199213276.003.0008_Table8.6</v>
      </c>
      <c r="L611" s="17" t="str">
        <f t="array" ref="L611">IFERROR(INDEX(AUTO_Public_TSV_FileList!$A$1:$A$1000,MATCH(TRUE(),EXACT(K611,IFERROR(_xlfn.TEXTBEFORE(AUTO_Public_TSV_FileList!$A$1:$A$1000,".tsv"),"")),0)),"notfound")</f>
        <v>notfound</v>
      </c>
      <c r="M611" s="20"/>
      <c r="N611" s="20" t="s">
        <v>4864</v>
      </c>
      <c r="O611" s="20" t="s">
        <v>5286</v>
      </c>
      <c r="P611" s="20" t="s">
        <v>4866</v>
      </c>
      <c r="Q611" s="20" t="s">
        <v>5287</v>
      </c>
      <c r="R611" s="20" t="s">
        <v>5256</v>
      </c>
      <c r="S611" s="20" t="s">
        <v>4869</v>
      </c>
      <c r="T611" s="20" t="s">
        <v>4870</v>
      </c>
      <c r="U611" s="20"/>
      <c r="V611" s="20" t="s">
        <v>4871</v>
      </c>
      <c r="W611" s="20" t="s">
        <v>187</v>
      </c>
      <c r="X611" s="20" t="s">
        <v>5288</v>
      </c>
      <c r="Y611" s="20"/>
      <c r="Z611" s="20" t="s">
        <v>4873</v>
      </c>
      <c r="AA611" s="20" t="s">
        <v>4874</v>
      </c>
      <c r="AB611" s="20" t="s">
        <v>5289</v>
      </c>
      <c r="AC611" s="20" t="s">
        <v>5260</v>
      </c>
      <c r="AD611" s="20" t="s">
        <v>689</v>
      </c>
      <c r="AE611" s="20" t="s">
        <v>70</v>
      </c>
      <c r="AF611" s="20" t="s">
        <v>4877</v>
      </c>
      <c r="AG611" s="20" t="s">
        <v>4878</v>
      </c>
      <c r="AH611" s="20" t="s">
        <v>4879</v>
      </c>
      <c r="AJ611" t="s">
        <v>5290</v>
      </c>
    </row>
    <row r="612" spans="1:37" ht="18" customHeight="1" x14ac:dyDescent="0.2">
      <c r="A612" s="19" t="s">
        <v>2495</v>
      </c>
      <c r="B612" s="20"/>
      <c r="C612" s="20"/>
      <c r="D612" s="19" t="s">
        <v>390</v>
      </c>
      <c r="E612" s="17" t="str">
        <f t="shared" si="90"/>
        <v>Mota</v>
      </c>
      <c r="F612" s="17"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612" s="17" t="str">
        <f t="shared" si="91"/>
        <v>2015</v>
      </c>
      <c r="H612" s="17" t="str">
        <f t="shared" si="92"/>
        <v>Mota_HerculanoHouzel_2015</v>
      </c>
      <c r="I612" s="17" t="str">
        <f t="shared" ref="I612:I621" si="97">_xlfn.LET(
_xlpm.doi,IF(C612&lt;&gt;"",C612,_xlfn.TEXTAFTER(A612,"https://doi.org/")),
SUBSTITUTE(
SUBSTITUTE(
SUBSTITUTE(
SUBSTITUTE(
_xlpm.doi,
"/","%2F"),
":","%3A"),
"&lt;","%3C"),
"&gt;","%3E")
)</f>
        <v>10.1126%2Fscience.aaa9101</v>
      </c>
      <c r="J612" s="17" t="str">
        <f t="shared" si="93"/>
        <v>Mota_HerculanoHouzel_2015_TableS1</v>
      </c>
      <c r="K612" s="17" t="str">
        <f t="shared" si="95"/>
        <v>10.1126%2Fscience.aaa9101_TableS1</v>
      </c>
      <c r="L612" s="17" t="str">
        <f t="array" ref="L612">IFERROR(INDEX(AUTO_Public_TSV_FileList!$A$1:$A$1000,MATCH(TRUE(),EXACT(K612,IFERROR(_xlfn.TEXTBEFORE(AUTO_Public_TSV_FileList!$A$1:$A$1000,".tsv"),"")),0)),"notfound")</f>
        <v>10.1126%2Fscience.aaa9101_TableS1.tsv</v>
      </c>
      <c r="M612" s="20"/>
      <c r="N612" s="20"/>
      <c r="O612" s="20"/>
      <c r="P612" s="20" t="s">
        <v>55</v>
      </c>
      <c r="Q612" s="20"/>
      <c r="R612" s="20"/>
      <c r="S612" s="20"/>
      <c r="T612" s="20"/>
      <c r="U612" s="20"/>
      <c r="V612" s="20"/>
      <c r="W612" s="19" t="s">
        <v>224</v>
      </c>
      <c r="X612" s="19" t="s">
        <v>2496</v>
      </c>
      <c r="Y612" s="20"/>
      <c r="Z612" s="20"/>
      <c r="AA612" s="20"/>
      <c r="AB612" s="19" t="s">
        <v>2496</v>
      </c>
      <c r="AC612" s="20"/>
      <c r="AD612" s="20"/>
      <c r="AE612" s="19" t="s">
        <v>70</v>
      </c>
      <c r="AF612" s="19"/>
      <c r="AG612" s="20"/>
      <c r="AH612" s="20"/>
    </row>
    <row r="613" spans="1:37" ht="18" customHeight="1" x14ac:dyDescent="0.2">
      <c r="A613" s="19" t="s">
        <v>2497</v>
      </c>
      <c r="B613" s="20"/>
      <c r="C613" s="20"/>
      <c r="D613" s="19" t="s">
        <v>2498</v>
      </c>
      <c r="E613" s="17" t="str">
        <f t="shared" si="90"/>
        <v>Mota</v>
      </c>
      <c r="F613" s="17"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17" t="str">
        <f t="shared" si="91"/>
        <v>2019</v>
      </c>
      <c r="H613" s="17" t="str">
        <f t="shared" si="92"/>
        <v>Mota_etal_2019</v>
      </c>
      <c r="I613" s="17" t="str">
        <f t="shared" si="97"/>
        <v>10.1073%2Fpnas.1716956116</v>
      </c>
      <c r="J613" s="17" t="str">
        <f t="shared" si="93"/>
        <v>Mota_etal_2019_SupplementaryTableS1</v>
      </c>
      <c r="K613" s="17" t="str">
        <f t="shared" si="95"/>
        <v>10.1073%2Fpnas.1716956116_SupplementaryTableS1</v>
      </c>
      <c r="L613" s="17" t="str">
        <f t="array" ref="L613">IFERROR(INDEX(AUTO_Public_TSV_FileList!$A$1:$A$1000,MATCH(TRUE(),EXACT(K613,IFERROR(_xlfn.TEXTBEFORE(AUTO_Public_TSV_FileList!$A$1:$A$1000,".tsv"),"")),0)),"notfound")</f>
        <v>10.1073%2Fpnas.1716956116_SupplementaryTableS1.tsv</v>
      </c>
      <c r="M613" s="19" t="s">
        <v>2499</v>
      </c>
      <c r="N613" s="20"/>
      <c r="O613" s="20"/>
      <c r="P613" s="20" t="s">
        <v>55</v>
      </c>
      <c r="Q613" s="20"/>
      <c r="R613" s="20"/>
      <c r="S613" s="20"/>
      <c r="T613" s="20"/>
      <c r="U613" s="20"/>
      <c r="V613" s="20"/>
      <c r="W613" s="19" t="s">
        <v>224</v>
      </c>
      <c r="X613" s="19" t="s">
        <v>2500</v>
      </c>
      <c r="Y613" s="19" t="s">
        <v>2501</v>
      </c>
      <c r="Z613" s="20"/>
      <c r="AA613" s="20"/>
      <c r="AB613" s="19" t="s">
        <v>2502</v>
      </c>
      <c r="AC613" s="20"/>
      <c r="AD613" s="20"/>
      <c r="AE613" s="19" t="s">
        <v>70</v>
      </c>
      <c r="AF613" s="19"/>
      <c r="AG613" s="20"/>
      <c r="AH613" s="20"/>
    </row>
    <row r="614" spans="1:37" ht="18" customHeight="1" x14ac:dyDescent="0.2">
      <c r="A614" s="20" t="s">
        <v>2503</v>
      </c>
      <c r="B614" s="20"/>
      <c r="C614" s="20"/>
      <c r="D614" s="20" t="s">
        <v>2504</v>
      </c>
      <c r="E614" s="17" t="str">
        <f t="shared" si="90"/>
        <v>Myhrvold</v>
      </c>
      <c r="F614" s="17"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17" t="str">
        <f t="shared" si="91"/>
        <v>2015</v>
      </c>
      <c r="H614" s="17" t="str">
        <f t="shared" si="92"/>
        <v>Myhrvold_etal_2015</v>
      </c>
      <c r="I614" s="17" t="str">
        <f t="shared" si="97"/>
        <v>10.1890%2F15-0846r.1</v>
      </c>
      <c r="J614" s="17" t="str">
        <f t="shared" si="93"/>
        <v>Myhrvold_etal_2015_AmnioteDatabaseReferencesAug2015.csv</v>
      </c>
      <c r="K614" s="17" t="str">
        <f t="shared" si="95"/>
        <v>10.1890%2F15-0846r.1_AmnioteDatabaseReferencesAug2015.csv</v>
      </c>
      <c r="L614" s="17" t="str">
        <f t="array" ref="L614">IFERROR(INDEX(AUTO_Public_TSV_FileList!$A$1:$A$1000,MATCH(TRUE(),EXACT(K614,IFERROR(_xlfn.TEXTBEFORE(AUTO_Public_TSV_FileList!$A$1:$A$1000,".tsv"),"")),0)),"notfound")</f>
        <v>notfound</v>
      </c>
      <c r="M614" s="20"/>
      <c r="N614" s="20"/>
      <c r="O614" s="20"/>
      <c r="P614" s="20"/>
      <c r="Q614" s="20"/>
      <c r="R614" s="20"/>
      <c r="S614" s="20"/>
      <c r="T614" s="20"/>
      <c r="U614" s="20"/>
      <c r="V614" s="20"/>
      <c r="W614" s="20"/>
      <c r="X614" s="20"/>
      <c r="Y614" s="20"/>
      <c r="Z614" s="20"/>
      <c r="AA614" s="20"/>
      <c r="AB614" s="20"/>
      <c r="AC614" s="20"/>
      <c r="AD614" s="20"/>
      <c r="AE614" s="20"/>
      <c r="AF614" s="20"/>
      <c r="AG614" s="20"/>
      <c r="AH614" s="20"/>
    </row>
    <row r="615" spans="1:37" ht="18" customHeight="1" x14ac:dyDescent="0.2">
      <c r="A615" s="20" t="s">
        <v>2503</v>
      </c>
      <c r="B615" s="20"/>
      <c r="C615" s="20"/>
      <c r="D615" s="20" t="s">
        <v>2505</v>
      </c>
      <c r="E615" s="17" t="str">
        <f t="shared" si="90"/>
        <v>Myhrvold</v>
      </c>
      <c r="F615" s="17"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17" t="str">
        <f t="shared" si="91"/>
        <v>2015</v>
      </c>
      <c r="H615" s="17" t="str">
        <f t="shared" si="92"/>
        <v>Myhrvold_etal_2015</v>
      </c>
      <c r="I615" s="17" t="str">
        <f t="shared" si="97"/>
        <v>10.1890%2F15-0846r.1</v>
      </c>
      <c r="J615" s="17" t="str">
        <f t="shared" si="93"/>
        <v>Myhrvold_etal_2015_AmnioteRangeCountAug2015.csv</v>
      </c>
      <c r="K615" s="17" t="str">
        <f t="shared" si="95"/>
        <v>10.1890%2F15-0846r.1_AmnioteRangeCountAug2015.csv</v>
      </c>
      <c r="L615" s="17" t="str">
        <f t="array" ref="L615">IFERROR(INDEX(AUTO_Public_TSV_FileList!$A$1:$A$1000,MATCH(TRUE(),EXACT(K615,IFERROR(_xlfn.TEXTBEFORE(AUTO_Public_TSV_FileList!$A$1:$A$1000,".tsv"),"")),0)),"notfound")</f>
        <v>notfound</v>
      </c>
      <c r="M615" s="20"/>
      <c r="N615" s="20"/>
      <c r="O615" s="20"/>
      <c r="P615" s="20"/>
      <c r="Q615" s="20"/>
      <c r="R615" s="20"/>
      <c r="S615" s="20"/>
      <c r="T615" s="20"/>
      <c r="U615" s="20"/>
      <c r="V615" s="20"/>
      <c r="W615" s="20"/>
      <c r="X615" s="20"/>
      <c r="Y615" s="20"/>
      <c r="Z615" s="20"/>
      <c r="AA615" s="20"/>
      <c r="AB615" s="20"/>
      <c r="AC615" s="20"/>
      <c r="AD615" s="20"/>
      <c r="AE615" s="20"/>
      <c r="AF615" s="20"/>
      <c r="AG615" s="20"/>
      <c r="AH615" s="20"/>
    </row>
    <row r="616" spans="1:37" ht="18" customHeight="1" x14ac:dyDescent="0.2">
      <c r="A616" s="20" t="s">
        <v>2503</v>
      </c>
      <c r="B616" s="20"/>
      <c r="C616" s="20"/>
      <c r="D616" s="20" t="s">
        <v>2506</v>
      </c>
      <c r="E616" s="17" t="str">
        <f t="shared" si="90"/>
        <v>Myhrvold</v>
      </c>
      <c r="F616" s="17"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17" t="str">
        <f t="shared" si="91"/>
        <v>2015</v>
      </c>
      <c r="H616" s="17" t="str">
        <f t="shared" si="92"/>
        <v>Myhrvold_etal_2015</v>
      </c>
      <c r="I616" s="17" t="str">
        <f t="shared" si="97"/>
        <v>10.1890%2F15-0846r.1</v>
      </c>
      <c r="J616" s="17" t="str">
        <f t="shared" si="93"/>
        <v>Myhrvold_etal_2015_AmnioteSparseTableAug2015.csv</v>
      </c>
      <c r="K616" s="17" t="str">
        <f t="shared" si="95"/>
        <v>10.1890%2F15-0846r.1_AmnioteSparseTableAug2015.csv</v>
      </c>
      <c r="L616" s="17" t="str">
        <f t="array" ref="L616">IFERROR(INDEX(AUTO_Public_TSV_FileList!$A$1:$A$1000,MATCH(TRUE(),EXACT(K616,IFERROR(_xlfn.TEXTBEFORE(AUTO_Public_TSV_FileList!$A$1:$A$1000,".tsv"),"")),0)),"notfound")</f>
        <v>notfound</v>
      </c>
      <c r="M616" s="20"/>
      <c r="N616" s="20"/>
      <c r="O616" s="20"/>
      <c r="P616" s="20"/>
      <c r="Q616" s="20"/>
      <c r="R616" s="20"/>
      <c r="S616" s="20"/>
      <c r="T616" s="20"/>
      <c r="U616" s="20"/>
      <c r="V616" s="20"/>
      <c r="W616" s="20"/>
      <c r="X616" s="20"/>
      <c r="Y616" s="20"/>
      <c r="Z616" s="20"/>
      <c r="AA616" s="20"/>
      <c r="AB616" s="20"/>
      <c r="AC616" s="20"/>
      <c r="AD616" s="20"/>
      <c r="AE616" s="20"/>
      <c r="AF616" s="20"/>
      <c r="AG616" s="20"/>
      <c r="AH616" s="20"/>
    </row>
    <row r="617" spans="1:37" ht="18" customHeight="1" x14ac:dyDescent="0.2">
      <c r="A617" s="20" t="s">
        <v>2503</v>
      </c>
      <c r="B617" s="20"/>
      <c r="C617" s="20"/>
      <c r="D617" s="20" t="s">
        <v>2507</v>
      </c>
      <c r="E617" s="17" t="str">
        <f t="shared" si="90"/>
        <v>Myhrvold</v>
      </c>
      <c r="F617" s="17"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17" t="str">
        <f t="shared" si="91"/>
        <v>2015</v>
      </c>
      <c r="H617" s="17" t="str">
        <f t="shared" si="92"/>
        <v>Myhrvold_etal_2015</v>
      </c>
      <c r="I617" s="17" t="str">
        <f t="shared" si="97"/>
        <v>10.1890%2F15-0846r.1</v>
      </c>
      <c r="J617" s="17" t="str">
        <f t="shared" si="93"/>
        <v>Myhrvold_etal_2015_AmnioteDatabaseAug2015</v>
      </c>
      <c r="K617" s="17" t="str">
        <f t="shared" si="95"/>
        <v>10.1890%2F15-0846r.1_AmnioteDatabaseAug2015</v>
      </c>
      <c r="L617" s="17" t="str">
        <f t="array" ref="L617">IFERROR(INDEX(AUTO_Public_TSV_FileList!$A$1:$A$1000,MATCH(TRUE(),EXACT(K617,IFERROR(_xlfn.TEXTBEFORE(AUTO_Public_TSV_FileList!$A$1:$A$1000,".tsv"),"")),0)),"notfound")</f>
        <v>10.1890%2F15-0846r.1_AmnioteDatabaseAug2015.tsv</v>
      </c>
      <c r="M617" s="20"/>
      <c r="N617" s="20"/>
      <c r="O617" s="20"/>
      <c r="P617" s="20"/>
      <c r="Q617" s="20"/>
      <c r="R617" s="20"/>
      <c r="S617" s="20"/>
      <c r="T617" s="20"/>
      <c r="U617" s="20"/>
      <c r="V617" s="20"/>
      <c r="W617" s="20"/>
      <c r="X617" s="20"/>
      <c r="Y617" s="20"/>
      <c r="Z617" s="20"/>
      <c r="AA617" s="20"/>
      <c r="AB617" s="20"/>
      <c r="AC617" s="20"/>
      <c r="AD617" s="20"/>
      <c r="AE617" s="20"/>
      <c r="AF617" s="20"/>
      <c r="AG617" s="20"/>
      <c r="AH617" s="20"/>
    </row>
    <row r="618" spans="1:37" ht="18" customHeight="1" x14ac:dyDescent="0.2">
      <c r="A618" s="19" t="s">
        <v>2508</v>
      </c>
      <c r="B618" s="20"/>
      <c r="C618" s="20"/>
      <c r="D618" s="19" t="s">
        <v>1764</v>
      </c>
      <c r="E618" s="17" t="str">
        <f t="shared" si="90"/>
        <v>Navarrete</v>
      </c>
      <c r="F618" s="17"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17" t="str">
        <f t="shared" si="91"/>
        <v>2016</v>
      </c>
      <c r="H618" s="17" t="str">
        <f t="shared" si="92"/>
        <v>Navarrete_etal_2016</v>
      </c>
      <c r="I618" s="17" t="str">
        <f t="shared" si="97"/>
        <v>10.1098%2Frstb.2015.0186</v>
      </c>
      <c r="J618" s="17" t="str">
        <f t="shared" si="93"/>
        <v>Navarrete_etal_2016_Data</v>
      </c>
      <c r="K618" s="17" t="str">
        <f t="shared" si="95"/>
        <v>10.1098%2Frstb.2015.0186_Data</v>
      </c>
      <c r="L618" s="17" t="str">
        <f t="array" ref="L618">IFERROR(INDEX(AUTO_Public_TSV_FileList!$A$1:$A$1000,MATCH(TRUE(),EXACT(K618,IFERROR(_xlfn.TEXTBEFORE(AUTO_Public_TSV_FileList!$A$1:$A$1000,".tsv"),"")),0)),"notfound")</f>
        <v>10.1098%2Frstb.2015.0186_Data.tsv</v>
      </c>
      <c r="M618" s="20"/>
      <c r="N618" s="20"/>
      <c r="O618" s="20"/>
      <c r="P618" s="20" t="s">
        <v>55</v>
      </c>
      <c r="Q618" s="20" t="s">
        <v>2509</v>
      </c>
      <c r="R618" s="20"/>
      <c r="S618" s="20"/>
      <c r="T618" s="20"/>
      <c r="U618" s="20"/>
      <c r="V618" s="20"/>
      <c r="W618" s="19"/>
      <c r="X618" s="19"/>
      <c r="Y618" s="19"/>
      <c r="Z618" s="20"/>
      <c r="AA618" s="20"/>
      <c r="AB618" s="19"/>
      <c r="AC618" s="20"/>
      <c r="AD618" s="20"/>
      <c r="AE618" s="19" t="s">
        <v>70</v>
      </c>
      <c r="AF618" s="19"/>
      <c r="AG618" s="20"/>
      <c r="AH618" s="20"/>
    </row>
    <row r="619" spans="1:37" ht="18" customHeight="1" x14ac:dyDescent="0.2">
      <c r="A619" s="19" t="s">
        <v>2510</v>
      </c>
      <c r="B619" s="20"/>
      <c r="C619" s="20"/>
      <c r="D619" s="20" t="s">
        <v>160</v>
      </c>
      <c r="E619" s="17" t="str">
        <f t="shared" si="90"/>
        <v>Nguyen</v>
      </c>
      <c r="F619" s="17"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17" t="str">
        <f t="shared" si="91"/>
        <v>2019</v>
      </c>
      <c r="H619" s="17" t="str">
        <f t="shared" si="92"/>
        <v>Nguyen_etal_2019</v>
      </c>
      <c r="I619" s="17" t="str">
        <f t="shared" si="97"/>
        <v>10.1002%2Fcne.24823</v>
      </c>
      <c r="J619" s="17" t="str">
        <f t="shared" si="93"/>
        <v>Nguyen_etal_2019_Table2</v>
      </c>
      <c r="K619" s="17" t="str">
        <f t="shared" si="95"/>
        <v>10.1002%2Fcne.24823_Table2</v>
      </c>
      <c r="L619" s="17" t="str">
        <f t="array" ref="L619">IFERROR(INDEX(AUTO_Public_TSV_FileList!$A$1:$A$1000,MATCH(TRUE(),EXACT(K619,IFERROR(_xlfn.TEXTBEFORE(AUTO_Public_TSV_FileList!$A$1:$A$1000,".tsv"),"")),0)),"notfound")</f>
        <v>10.1002%2Fcne.24823_Table2.tsv</v>
      </c>
      <c r="M619" s="20" t="s">
        <v>2511</v>
      </c>
      <c r="N619" s="20"/>
      <c r="O619" s="20"/>
      <c r="P619" s="20" t="s">
        <v>55</v>
      </c>
      <c r="Q619" s="20"/>
      <c r="R619" s="20"/>
      <c r="S619" s="20"/>
      <c r="T619" s="20"/>
      <c r="U619" s="20"/>
      <c r="V619" s="20"/>
      <c r="W619" s="20"/>
      <c r="X619" s="20"/>
      <c r="Y619" s="20"/>
      <c r="Z619" s="20"/>
      <c r="AA619" s="20"/>
      <c r="AB619" s="20"/>
      <c r="AC619" s="20"/>
      <c r="AD619" s="20"/>
      <c r="AE619" s="20" t="s">
        <v>50</v>
      </c>
      <c r="AF619" s="20"/>
      <c r="AG619" s="20"/>
      <c r="AH619" s="20"/>
    </row>
    <row r="620" spans="1:37" ht="18" customHeight="1" x14ac:dyDescent="0.2">
      <c r="A620" s="20" t="s">
        <v>2512</v>
      </c>
      <c r="B620" s="20"/>
      <c r="C620" s="20"/>
      <c r="D620" s="20" t="s">
        <v>86</v>
      </c>
      <c r="E620" s="18" t="str">
        <f t="shared" si="90"/>
        <v>Nimchinsky</v>
      </c>
      <c r="F620" s="18"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18" t="str">
        <f t="shared" si="91"/>
        <v>1999</v>
      </c>
      <c r="H620" s="18" t="str">
        <f t="shared" si="92"/>
        <v>Nimchinsky_etal_1999</v>
      </c>
      <c r="I620" s="18" t="str">
        <f t="shared" si="97"/>
        <v>10.1073%2Fpnas.96.9.5268</v>
      </c>
      <c r="J620" s="18" t="str">
        <f t="shared" si="93"/>
        <v>Nimchinsky_etal_1999_Table1</v>
      </c>
      <c r="K620" s="18" t="str">
        <f>I620 &amp; "_" &amp; SUBSTITUTE(SUBSTITUTE(SUBSTITUTE(D620,CHAR(160),""), " ", ""), "_", "")</f>
        <v>10.1073%2Fpnas.96.9.5268_Table1</v>
      </c>
      <c r="L620" s="17" t="str">
        <f t="array" ref="L620">IFERROR(INDEX(AUTO_Public_TSV_FileList!$A$1:$A$1000,MATCH(TRUE(),EXACT(K620,IFERROR(_xlfn.TEXTBEFORE(AUTO_Public_TSV_FileList!$A$1:$A$1000,".tsv"),"")),0)),"notfound")</f>
        <v>10.1073%2Fpnas.96.9.5268_Table1.tsv</v>
      </c>
      <c r="M620" s="20"/>
      <c r="N620" s="20"/>
      <c r="O620" s="20" t="s">
        <v>2513</v>
      </c>
      <c r="P620" s="19" t="s">
        <v>55</v>
      </c>
      <c r="Q620" s="20"/>
      <c r="R620" s="20"/>
      <c r="S620" s="20"/>
      <c r="T620" s="20"/>
      <c r="U620" s="20"/>
      <c r="V620" s="20"/>
      <c r="W620" s="20"/>
      <c r="X620" s="20"/>
      <c r="Y620" s="20"/>
      <c r="Z620" s="20"/>
      <c r="AA620" s="20"/>
      <c r="AB620" s="20"/>
      <c r="AC620" s="20"/>
      <c r="AD620" s="20"/>
      <c r="AE620" s="20"/>
      <c r="AF620" s="20"/>
      <c r="AG620" s="20"/>
      <c r="AH620" s="20"/>
    </row>
    <row r="621" spans="1:37" ht="18" customHeight="1" x14ac:dyDescent="0.2">
      <c r="A621" s="20" t="s">
        <v>2512</v>
      </c>
      <c r="B621" s="20"/>
      <c r="C621" s="20"/>
      <c r="D621" s="20" t="s">
        <v>160</v>
      </c>
      <c r="E621" s="18" t="str">
        <f t="shared" si="90"/>
        <v>Nimchinsky</v>
      </c>
      <c r="F621" s="18"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18" t="str">
        <f t="shared" si="91"/>
        <v>1999</v>
      </c>
      <c r="H621" s="18" t="str">
        <f t="shared" si="92"/>
        <v>Nimchinsky_etal_1999</v>
      </c>
      <c r="I621" s="18" t="str">
        <f t="shared" si="97"/>
        <v>10.1073%2Fpnas.96.9.5268</v>
      </c>
      <c r="J621" s="18" t="str">
        <f t="shared" si="93"/>
        <v>Nimchinsky_etal_1999_Table2</v>
      </c>
      <c r="K621" s="18" t="str">
        <f>I621 &amp; "_" &amp; SUBSTITUTE(SUBSTITUTE(SUBSTITUTE(D621,CHAR(160),""), " ", ""), "_", "")</f>
        <v>10.1073%2Fpnas.96.9.5268_Table2</v>
      </c>
      <c r="L621" s="17" t="str">
        <f t="array" ref="L621">IFERROR(INDEX(AUTO_Public_TSV_FileList!$A$1:$A$1000,MATCH(TRUE(),EXACT(K621,IFERROR(_xlfn.TEXTBEFORE(AUTO_Public_TSV_FileList!$A$1:$A$1000,".tsv"),"")),0)),"notfound")</f>
        <v>10.1073%2Fpnas.96.9.5268_Table2.tsv</v>
      </c>
      <c r="M621" s="20"/>
      <c r="N621" s="20"/>
      <c r="O621" s="20" t="s">
        <v>2513</v>
      </c>
      <c r="P621" s="19" t="s">
        <v>55</v>
      </c>
      <c r="Q621" s="20"/>
      <c r="R621" s="20"/>
      <c r="S621" s="20"/>
      <c r="T621" s="20"/>
      <c r="U621" s="20"/>
      <c r="V621" s="20"/>
      <c r="W621" s="20"/>
      <c r="X621" s="20"/>
      <c r="Y621" s="20"/>
      <c r="Z621" s="20"/>
      <c r="AA621" s="20"/>
      <c r="AB621" s="20"/>
      <c r="AC621" s="20"/>
      <c r="AD621" s="20"/>
      <c r="AE621" s="20"/>
      <c r="AF621" s="20"/>
      <c r="AG621" s="20"/>
      <c r="AH621" s="20"/>
    </row>
    <row r="622" spans="1:37" ht="16" customHeight="1" x14ac:dyDescent="0.2">
      <c r="A622" s="20" t="s">
        <v>2514</v>
      </c>
      <c r="B622" s="20"/>
      <c r="C622" s="20"/>
      <c r="D622" s="20" t="s">
        <v>94</v>
      </c>
      <c r="E622" s="18" t="str">
        <f t="shared" si="90"/>
        <v>Norlén</v>
      </c>
      <c r="F622" s="17"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17" t="str">
        <f t="shared" si="91"/>
        <v>2019</v>
      </c>
      <c r="H622" s="18" t="str">
        <f t="shared" si="92"/>
        <v>Norlén_etal_2019</v>
      </c>
      <c r="I622" s="18" t="str">
        <f>_xlfn.LET(_xlpm.doi,IF(C622&lt;&gt;"",C622,_xlfn.TEXTAFTER(A622,"https://doi.org/")),SUBSTITUTE(SUBSTITUTE(SUBSTITUTE(SUBSTITUTE(_xlpm.doi,"/","%2F"),":","%3A"),"&lt;","%3C"),"&gt;","%3E"))</f>
        <v>10.1007%2Fs10329-018-0697-0</v>
      </c>
      <c r="J622" s="18" t="str">
        <f t="shared" si="93"/>
        <v>Norlén_etal_2019_Figure1</v>
      </c>
      <c r="K622" s="17" t="str">
        <f t="shared" ref="K622:K650" si="98">I622 &amp; "_" &amp; SUBSTITUTE(SUBSTITUTE(SUBSTITUTE(D622,CHAR(160),"")," ",""),"_","")</f>
        <v>10.1007%2Fs10329-018-0697-0_Figure1</v>
      </c>
      <c r="L622" s="17" t="str">
        <f t="array" ref="L622">IFERROR(INDEX(AUTO_Public_TSV_FileList!$A$1:$A$1000,MATCH(TRUE(),EXACT(K622,IFERROR(_xlfn.TEXTBEFORE(AUTO_Public_TSV_FileList!$A$1:$A$1000,".tsv"),"")),0)),"notfound")</f>
        <v>notfound</v>
      </c>
      <c r="M622" s="20"/>
      <c r="N622" s="20" t="s">
        <v>4930</v>
      </c>
      <c r="O622" s="20" t="s">
        <v>5291</v>
      </c>
      <c r="P622" s="20" t="s">
        <v>5292</v>
      </c>
      <c r="Q622" s="20"/>
      <c r="R622" s="20" t="s">
        <v>2518</v>
      </c>
      <c r="S622" s="20"/>
      <c r="T622" s="20" t="s">
        <v>5293</v>
      </c>
      <c r="U622" s="20"/>
      <c r="V622" s="20" t="s">
        <v>5294</v>
      </c>
      <c r="W622" s="20" t="s">
        <v>187</v>
      </c>
      <c r="X622" s="20" t="s">
        <v>5295</v>
      </c>
      <c r="Y622" s="20"/>
      <c r="Z622" s="20"/>
      <c r="AA622" s="20" t="s">
        <v>2238</v>
      </c>
      <c r="AB622" s="20" t="s">
        <v>2224</v>
      </c>
      <c r="AC622" s="20"/>
      <c r="AD622" s="20"/>
      <c r="AE622" s="20" t="s">
        <v>50</v>
      </c>
      <c r="AF622" s="20"/>
      <c r="AG622" s="20" t="s">
        <v>5296</v>
      </c>
      <c r="AH622" s="20" t="s">
        <v>4862</v>
      </c>
      <c r="AJ622" t="s">
        <v>5297</v>
      </c>
      <c r="AK622" t="s">
        <v>5298</v>
      </c>
    </row>
    <row r="623" spans="1:37" ht="16" customHeight="1" x14ac:dyDescent="0.2">
      <c r="A623" s="20" t="s">
        <v>2514</v>
      </c>
      <c r="B623" s="20"/>
      <c r="C623" s="20"/>
      <c r="D623" s="20" t="s">
        <v>604</v>
      </c>
      <c r="E623" s="17" t="str">
        <f t="shared" si="90"/>
        <v>Norlén</v>
      </c>
      <c r="F623" s="17" t="str">
        <f>_xlfn.LET(
_xlpm.authors,_xlfn.TEXTBEFORE(A623," ("&amp;G623&amp;")"),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23" s="17" t="str">
        <f t="shared" si="91"/>
        <v>2019</v>
      </c>
      <c r="H623" s="17" t="str">
        <f t="shared" si="92"/>
        <v>Norlén_etal_2019</v>
      </c>
      <c r="I623" s="17" t="str">
        <f>_xlfn.LET(
_xlpm.doi,IF(C623&lt;&gt;"",C623,_xlfn.TEXTAFTER(A623,"https://doi.org/")),
SUBSTITUTE(
SUBSTITUTE(
SUBSTITUTE(
SUBSTITUTE(
_xlpm.doi,
"/","%2F"),
":","%3A"),
"&lt;","%3C"),
"&gt;","%3E")
)</f>
        <v>10.1007%2Fs10329-018-0697-0</v>
      </c>
      <c r="J623" s="17" t="str">
        <f t="shared" si="93"/>
        <v>Norlén_etal_2019_Figure2</v>
      </c>
      <c r="K623" s="17" t="str">
        <f t="shared" si="98"/>
        <v>10.1007%2Fs10329-018-0697-0_Figure2</v>
      </c>
      <c r="L623" s="17" t="str">
        <f>IFERROR(INDEX(AUTO_Public_TSV_FileList!$A$1:$A$1000,MATCH(TRUE(),EXACT(K623,IFERROR(_xlfn.TEXTBEFORE(AUTO_Public_TSV_FileList!$A$1:$A$1000,".tsv"),"")),0)),"notfound")</f>
        <v>notfound</v>
      </c>
      <c r="M623" s="20" t="s">
        <v>2515</v>
      </c>
      <c r="N623" s="20" t="s">
        <v>311</v>
      </c>
      <c r="O623" s="20" t="s">
        <v>2516</v>
      </c>
      <c r="P623" s="20" t="s">
        <v>313</v>
      </c>
      <c r="Q623" s="20" t="s">
        <v>2517</v>
      </c>
      <c r="R623" s="20" t="s">
        <v>2518</v>
      </c>
      <c r="S623" s="20" t="s">
        <v>316</v>
      </c>
      <c r="T623" s="20" t="s">
        <v>317</v>
      </c>
      <c r="U623" s="20"/>
      <c r="V623" s="20" t="s">
        <v>318</v>
      </c>
      <c r="W623" s="20" t="s">
        <v>319</v>
      </c>
      <c r="X623" s="20" t="s">
        <v>2519</v>
      </c>
      <c r="Y623" s="20"/>
      <c r="Z623" s="20"/>
      <c r="AA623" s="20" t="s">
        <v>2238</v>
      </c>
      <c r="AB623" s="20" t="s">
        <v>2224</v>
      </c>
      <c r="AC623" s="20" t="s">
        <v>2520</v>
      </c>
      <c r="AD623" s="20"/>
      <c r="AE623" s="20" t="s">
        <v>50</v>
      </c>
      <c r="AF623" s="20" t="s">
        <v>2096</v>
      </c>
      <c r="AG623" s="20" t="s">
        <v>324</v>
      </c>
      <c r="AH623" s="20" t="s">
        <v>325</v>
      </c>
    </row>
    <row r="624" spans="1:37" ht="16" customHeight="1" x14ac:dyDescent="0.2">
      <c r="A624" s="20" t="s">
        <v>2514</v>
      </c>
      <c r="B624" s="20"/>
      <c r="C624" s="20"/>
      <c r="D624" s="20" t="s">
        <v>2521</v>
      </c>
      <c r="E624" s="17" t="str">
        <f t="shared" si="90"/>
        <v>Norlén</v>
      </c>
      <c r="F624" s="17" t="str">
        <f>_xlfn.LET(
_xlpm.authors,_xlfn.TEXTBEFORE(A624," ("&amp;G624&amp;")"),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24" s="17" t="str">
        <f t="shared" si="91"/>
        <v>2019</v>
      </c>
      <c r="H624" s="17" t="str">
        <f t="shared" si="92"/>
        <v>Norlén_etal_2019</v>
      </c>
      <c r="I624" s="17" t="str">
        <f>_xlfn.LET(
_xlpm.doi,IF(C624&lt;&gt;"",C624,_xlfn.TEXTAFTER(A624,"https://doi.org/")),
SUBSTITUTE(
SUBSTITUTE(
SUBSTITUTE(
SUBSTITUTE(
_xlpm.doi,
"/","%2F"),
":","%3A"),
"&lt;","%3C"),
"&gt;","%3E")
)</f>
        <v>10.1007%2Fs10329-018-0697-0</v>
      </c>
      <c r="J624" s="17" t="str">
        <f t="shared" si="93"/>
        <v>Norlén_etal_2019_Figure3</v>
      </c>
      <c r="K624" s="17" t="str">
        <f t="shared" si="98"/>
        <v>10.1007%2Fs10329-018-0697-0_Figure3</v>
      </c>
      <c r="L624" s="17" t="str">
        <f>IFERROR(INDEX(AUTO_Public_TSV_FileList!$A$1:$A$1000,MATCH(TRUE(),EXACT(K624,IFERROR(_xlfn.TEXTBEFORE(AUTO_Public_TSV_FileList!$A$1:$A$1000,".tsv"),"")),0)),"notfound")</f>
        <v>notfound</v>
      </c>
      <c r="M624" s="20" t="s">
        <v>2521</v>
      </c>
      <c r="N624" s="20" t="s">
        <v>311</v>
      </c>
      <c r="O624" s="20" t="s">
        <v>2522</v>
      </c>
      <c r="P624" s="20" t="s">
        <v>313</v>
      </c>
      <c r="Q624" s="20" t="s">
        <v>2523</v>
      </c>
      <c r="R624" s="20" t="s">
        <v>2518</v>
      </c>
      <c r="S624" s="20" t="s">
        <v>316</v>
      </c>
      <c r="T624" s="20" t="s">
        <v>317</v>
      </c>
      <c r="U624" s="20"/>
      <c r="V624" s="20" t="s">
        <v>318</v>
      </c>
      <c r="W624" s="20" t="s">
        <v>319</v>
      </c>
      <c r="X624" s="20" t="s">
        <v>2524</v>
      </c>
      <c r="Y624" s="20"/>
      <c r="Z624" s="20"/>
      <c r="AA624" s="20" t="s">
        <v>2238</v>
      </c>
      <c r="AB624" s="20" t="s">
        <v>2224</v>
      </c>
      <c r="AC624" s="20" t="s">
        <v>2520</v>
      </c>
      <c r="AD624" s="20"/>
      <c r="AE624" s="20" t="s">
        <v>50</v>
      </c>
      <c r="AF624" s="20" t="s">
        <v>2096</v>
      </c>
      <c r="AG624" s="20" t="s">
        <v>324</v>
      </c>
      <c r="AH624" s="20" t="s">
        <v>325</v>
      </c>
    </row>
    <row r="625" spans="1:36" ht="16" customHeight="1" x14ac:dyDescent="0.2">
      <c r="A625" s="20" t="s">
        <v>2514</v>
      </c>
      <c r="B625" s="20"/>
      <c r="C625" s="20"/>
      <c r="D625" s="20" t="s">
        <v>35</v>
      </c>
      <c r="E625" s="17" t="str">
        <f t="shared" si="90"/>
        <v>Norlén</v>
      </c>
      <c r="F625" s="17" t="str">
        <f>_xlfn.LET(
_xlpm.authors,_xlfn.TEXTBEFORE(A625," ("&amp;G625&amp;")"),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25" s="17" t="str">
        <f t="shared" si="91"/>
        <v>2019</v>
      </c>
      <c r="H625" s="17" t="str">
        <f t="shared" si="92"/>
        <v>Norlén_etal_2019</v>
      </c>
      <c r="I625" s="17" t="str">
        <f>_xlfn.LET(
_xlpm.doi,IF(C625&lt;&gt;"",C625,_xlfn.TEXTAFTER(A625,"https://doi.org/")),
SUBSTITUTE(
SUBSTITUTE(
SUBSTITUTE(
SUBSTITUTE(
_xlpm.doi,
"/","%2F"),
":","%3A"),
"&lt;","%3C"),
"&gt;","%3E")
)</f>
        <v>10.1007%2Fs10329-018-0697-0</v>
      </c>
      <c r="J625" s="17" t="str">
        <f t="shared" si="93"/>
        <v>Norlén_etal_2019_Table1</v>
      </c>
      <c r="K625" s="17" t="str">
        <f t="shared" si="98"/>
        <v>10.1007%2Fs10329-018-0697-0_Table1</v>
      </c>
      <c r="L625" s="17" t="str">
        <f>IFERROR(INDEX(AUTO_Public_TSV_FileList!$A$1:$A$1000,MATCH(TRUE(),EXACT(K625,IFERROR(_xlfn.TEXTBEFORE(AUTO_Public_TSV_FileList!$A$1:$A$1000,".tsv"),"")),0)),"notfound")</f>
        <v>notfound</v>
      </c>
      <c r="M625" s="20" t="s">
        <v>2525</v>
      </c>
      <c r="N625" s="20" t="s">
        <v>556</v>
      </c>
      <c r="O625" s="20" t="s">
        <v>622</v>
      </c>
      <c r="P625" s="20" t="s">
        <v>313</v>
      </c>
      <c r="Q625" s="20" t="s">
        <v>2526</v>
      </c>
      <c r="R625" s="20" t="s">
        <v>2518</v>
      </c>
      <c r="S625" s="20" t="s">
        <v>316</v>
      </c>
      <c r="T625" s="20" t="s">
        <v>317</v>
      </c>
      <c r="U625" s="20"/>
      <c r="V625" s="20" t="s">
        <v>2527</v>
      </c>
      <c r="W625" s="20" t="s">
        <v>319</v>
      </c>
      <c r="X625" s="20" t="s">
        <v>2528</v>
      </c>
      <c r="Y625" s="20"/>
      <c r="Z625" s="20"/>
      <c r="AA625" s="20" t="s">
        <v>2238</v>
      </c>
      <c r="AB625" s="20" t="s">
        <v>2224</v>
      </c>
      <c r="AC625" s="20" t="s">
        <v>2520</v>
      </c>
      <c r="AD625" s="20"/>
      <c r="AE625" s="20" t="s">
        <v>70</v>
      </c>
      <c r="AF625" s="20" t="s">
        <v>2096</v>
      </c>
      <c r="AG625" s="20" t="s">
        <v>324</v>
      </c>
      <c r="AH625" s="20" t="s">
        <v>325</v>
      </c>
    </row>
    <row r="626" spans="1:36" ht="16" customHeight="1" x14ac:dyDescent="0.2">
      <c r="A626" s="20" t="s">
        <v>2529</v>
      </c>
      <c r="B626" s="20"/>
      <c r="C626" s="20"/>
      <c r="D626" s="20" t="s">
        <v>77</v>
      </c>
      <c r="E626" s="18" t="str">
        <f t="shared" si="90"/>
        <v>Nudo</v>
      </c>
      <c r="F626" s="17"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626" s="17" t="str">
        <f t="shared" si="91"/>
        <v>1988</v>
      </c>
      <c r="H626" s="18" t="str">
        <f t="shared" si="92"/>
        <v>Nudo_Masterton_1988</v>
      </c>
      <c r="I626" s="18" t="str">
        <f>_xlfn.LET(_xlpm.doi,IF(C626&lt;&gt;"",C626,_xlfn.TEXTAFTER(A626,"https://doi.org/")),SUBSTITUTE(SUBSTITUTE(SUBSTITUTE(SUBSTITUTE(_xlpm.doi,"/","%2F"),":","%3A"),"&lt;","%3C"),"&gt;","%3E"))</f>
        <v>10.1002%2Fcne.902770105</v>
      </c>
      <c r="J626" s="18" t="str">
        <f t="shared" si="93"/>
        <v>Nudo_Masterton_1988_TABLE1</v>
      </c>
      <c r="K626" s="17" t="str">
        <f t="shared" si="98"/>
        <v>10.1002%2Fcne.902770105_TABLE1</v>
      </c>
      <c r="L626" s="17" t="str">
        <f t="array" ref="L626">IFERROR(INDEX(AUTO_Public_TSV_FileList!$A$1:$A$1000,MATCH(TRUE(),EXACT(K626,IFERROR(_xlfn.TEXTBEFORE(AUTO_Public_TSV_FileList!$A$1:$A$1000,".tsv"),"")),0)),"notfound")</f>
        <v>10.1002%2Fcne.902770105_TABLE1.tsv</v>
      </c>
      <c r="M626" s="20" t="s">
        <v>2530</v>
      </c>
      <c r="N626" s="20" t="s">
        <v>88</v>
      </c>
      <c r="O626" s="20" t="s">
        <v>2531</v>
      </c>
      <c r="P626" s="20" t="s">
        <v>133</v>
      </c>
      <c r="Q626" s="20"/>
      <c r="R626" s="20" t="s">
        <v>2532</v>
      </c>
      <c r="S626" s="20" t="s">
        <v>135</v>
      </c>
      <c r="T626" s="20" t="s">
        <v>2533</v>
      </c>
      <c r="U626" s="20"/>
      <c r="V626" s="20" t="s">
        <v>883</v>
      </c>
      <c r="W626" s="20" t="s">
        <v>2534</v>
      </c>
      <c r="X626" s="20" t="s">
        <v>2535</v>
      </c>
      <c r="Y626" s="20"/>
      <c r="Z626" s="20" t="s">
        <v>420</v>
      </c>
      <c r="AA626" s="20" t="s">
        <v>2536</v>
      </c>
      <c r="AB626" s="20" t="s">
        <v>83</v>
      </c>
      <c r="AC626" s="20" t="s">
        <v>2537</v>
      </c>
      <c r="AD626" s="20"/>
      <c r="AE626" s="20" t="s">
        <v>50</v>
      </c>
      <c r="AF626" s="20"/>
      <c r="AG626" s="20" t="s">
        <v>2538</v>
      </c>
      <c r="AH626" s="20"/>
    </row>
    <row r="627" spans="1:36" ht="16" customHeight="1" x14ac:dyDescent="0.2">
      <c r="A627" s="20" t="s">
        <v>2539</v>
      </c>
      <c r="B627" s="20" t="s">
        <v>2540</v>
      </c>
      <c r="C627" s="20"/>
      <c r="D627" s="20" t="s">
        <v>500</v>
      </c>
      <c r="E627" s="18" t="str">
        <f t="shared" si="90"/>
        <v>Nudo</v>
      </c>
      <c r="F627" s="17"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627" s="17" t="str">
        <f t="shared" si="91"/>
        <v>1990</v>
      </c>
      <c r="H627" s="18" t="str">
        <f t="shared" si="92"/>
        <v>Nudo_Masterton_1990_III</v>
      </c>
      <c r="I627" s="18" t="str">
        <f>_xlfn.LET(_xlpm.doi,IF(C627&lt;&gt;"",C627,_xlfn.TEXTAFTER(A627,"https://doi.org/")),SUBSTITUTE(SUBSTITUTE(SUBSTITUTE(SUBSTITUTE(_xlpm.doi,"/","%2F"),":","%3A"),"&lt;","%3C"),"&gt;","%3E"))</f>
        <v>10.1002%2Fcne.902960405</v>
      </c>
      <c r="J627" s="18" t="str">
        <f t="shared" si="93"/>
        <v>Nudo_Masterton_1990_III_ResultsText</v>
      </c>
      <c r="K627" s="17" t="str">
        <f t="shared" si="98"/>
        <v>10.1002%2Fcne.902960405_ResultsText</v>
      </c>
      <c r="L627" s="17" t="str">
        <f t="array" ref="L627">IFERROR(INDEX(AUTO_Public_TSV_FileList!$A$1:$A$1000,MATCH(TRUE(),EXACT(K627,IFERROR(_xlfn.TEXTBEFORE(AUTO_Public_TSV_FileList!$A$1:$A$1000,".tsv"),"")),0)),"notfound")</f>
        <v>10.1002%2Fcne.902960405_ResultsText.tsv</v>
      </c>
      <c r="M627" s="20" t="s">
        <v>2541</v>
      </c>
      <c r="N627" s="20" t="s">
        <v>659</v>
      </c>
      <c r="O627" s="20" t="s">
        <v>2542</v>
      </c>
      <c r="P627" s="20" t="s">
        <v>133</v>
      </c>
      <c r="Q627" s="20"/>
      <c r="R627" s="20" t="s">
        <v>2543</v>
      </c>
      <c r="S627" s="20" t="s">
        <v>135</v>
      </c>
      <c r="T627" s="20" t="s">
        <v>2544</v>
      </c>
      <c r="U627" s="20"/>
      <c r="V627" s="20" t="s">
        <v>883</v>
      </c>
      <c r="W627" s="20" t="s">
        <v>2545</v>
      </c>
      <c r="X627" s="20" t="s">
        <v>2546</v>
      </c>
      <c r="Y627" s="20"/>
      <c r="Z627" s="20" t="s">
        <v>420</v>
      </c>
      <c r="AA627" s="20" t="s">
        <v>2547</v>
      </c>
      <c r="AB627" s="20" t="s">
        <v>2017</v>
      </c>
      <c r="AC627" s="20" t="s">
        <v>2537</v>
      </c>
      <c r="AD627" s="20"/>
      <c r="AE627" s="20" t="s">
        <v>50</v>
      </c>
      <c r="AF627" s="20"/>
      <c r="AG627" s="20" t="s">
        <v>2548</v>
      </c>
      <c r="AH627" s="20"/>
    </row>
    <row r="628" spans="1:36" ht="16" customHeight="1" x14ac:dyDescent="0.2">
      <c r="A628" s="20" t="s">
        <v>2549</v>
      </c>
      <c r="B628" s="20" t="s">
        <v>2550</v>
      </c>
      <c r="C628" s="20"/>
      <c r="D628" s="20" t="s">
        <v>2551</v>
      </c>
      <c r="E628" s="18" t="str">
        <f t="shared" si="90"/>
        <v>Nudo</v>
      </c>
      <c r="F628" s="17"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628" s="17" t="str">
        <f t="shared" si="91"/>
        <v>1990</v>
      </c>
      <c r="H628" s="18" t="str">
        <f t="shared" si="92"/>
        <v>Nudo_Masterton_1990_IV</v>
      </c>
      <c r="I628" s="18" t="str">
        <f>_xlfn.LET(_xlpm.doi,IF(C628&lt;&gt;"",C628,_xlfn.TEXTAFTER(A628,"https://doi.org/")),SUBSTITUTE(SUBSTITUTE(SUBSTITUTE(SUBSTITUTE(_xlpm.doi,"/","%2F"),":","%3A"),"&lt;","%3C"),"&gt;","%3E"))</f>
        <v>10.1002%2Fcne.902960406</v>
      </c>
      <c r="J628" s="18" t="str">
        <f t="shared" si="93"/>
        <v>Nudo_Masterton_1990_IV_Figure2A</v>
      </c>
      <c r="K628" s="17" t="str">
        <f t="shared" si="98"/>
        <v>10.1002%2Fcne.902960406_Figure2A</v>
      </c>
      <c r="L628" s="17" t="str">
        <f t="array" ref="L628">IFERROR(INDEX(AUTO_Public_TSV_FileList!$A$1:$A$1000,MATCH(TRUE(),EXACT(K628,IFERROR(_xlfn.TEXTBEFORE(AUTO_Public_TSV_FileList!$A$1:$A$1000,".tsv"),"")),0)),"notfound")</f>
        <v>notfound</v>
      </c>
      <c r="M628" s="20" t="s">
        <v>2552</v>
      </c>
      <c r="N628" s="20" t="s">
        <v>541</v>
      </c>
      <c r="O628" s="20" t="s">
        <v>2553</v>
      </c>
      <c r="P628" s="20" t="s">
        <v>133</v>
      </c>
      <c r="Q628" s="20"/>
      <c r="R628" s="20" t="s">
        <v>2554</v>
      </c>
      <c r="S628" s="20" t="s">
        <v>135</v>
      </c>
      <c r="T628" s="20" t="s">
        <v>2555</v>
      </c>
      <c r="U628" s="20"/>
      <c r="V628" s="20" t="s">
        <v>883</v>
      </c>
      <c r="W628" s="20" t="s">
        <v>2556</v>
      </c>
      <c r="X628" s="20" t="s">
        <v>2557</v>
      </c>
      <c r="Y628" s="20"/>
      <c r="Z628" s="20" t="s">
        <v>420</v>
      </c>
      <c r="AA628" s="20" t="s">
        <v>2558</v>
      </c>
      <c r="AB628" s="20" t="s">
        <v>264</v>
      </c>
      <c r="AC628" s="20" t="s">
        <v>2537</v>
      </c>
      <c r="AD628" s="20"/>
      <c r="AE628" s="20" t="s">
        <v>50</v>
      </c>
      <c r="AF628" s="20"/>
      <c r="AG628" s="20" t="s">
        <v>2559</v>
      </c>
      <c r="AH628" s="20"/>
    </row>
    <row r="629" spans="1:36" ht="16" customHeight="1" x14ac:dyDescent="0.2">
      <c r="A629" s="19" t="s">
        <v>2560</v>
      </c>
      <c r="B629" s="20"/>
      <c r="C629" s="20"/>
      <c r="D629" s="19" t="s">
        <v>77</v>
      </c>
      <c r="E629" s="17" t="str">
        <f t="shared" si="90"/>
        <v>Nudo</v>
      </c>
      <c r="F629" s="17"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17" t="str">
        <f t="shared" si="91"/>
        <v>1995</v>
      </c>
      <c r="H629" s="17" t="str">
        <f t="shared" si="92"/>
        <v>Nudo_etal_1995</v>
      </c>
      <c r="I629" s="17" t="str">
        <f>_xlfn.LET(
_xlpm.doi,IF(C629&lt;&gt;"",C629,_xlfn.TEXTAFTER(A629,"https://doi.org/")),
SUBSTITUTE(
SUBSTITUTE(
SUBSTITUTE(
SUBSTITUTE(
_xlpm.doi,
"/","%2F"),
":","%3A"),
"&lt;","%3C"),
"&gt;","%3E")
)</f>
        <v>10.1002%2Fcne.903580203</v>
      </c>
      <c r="J629" s="17" t="str">
        <f t="shared" si="93"/>
        <v>Nudo_etal_1995_TABLE1</v>
      </c>
      <c r="K629" s="17" t="str">
        <f t="shared" si="98"/>
        <v>10.1002%2Fcne.903580203_TABLE1</v>
      </c>
      <c r="L629" s="17" t="str">
        <f t="array" ref="L629">IFERROR(INDEX(AUTO_Public_TSV_FileList!$A$1:$A$1000,MATCH(TRUE(),EXACT(K629,IFERROR(_xlfn.TEXTBEFORE(AUTO_Public_TSV_FileList!$A$1:$A$1000,".tsv"),"")),0)),"notfound")</f>
        <v>10.1002%2Fcne.903580203_TABLE1.tsv</v>
      </c>
      <c r="M629" s="20"/>
      <c r="N629" s="19" t="s">
        <v>54</v>
      </c>
      <c r="O629" s="20"/>
      <c r="P629" s="20" t="s">
        <v>55</v>
      </c>
      <c r="Q629" s="20" t="s">
        <v>2561</v>
      </c>
      <c r="R629" s="20"/>
      <c r="S629" s="20"/>
      <c r="T629" s="20"/>
      <c r="U629" s="20"/>
      <c r="V629" s="20"/>
      <c r="W629" s="19" t="s">
        <v>224</v>
      </c>
      <c r="X629" s="19" t="s">
        <v>2562</v>
      </c>
      <c r="Y629" s="19"/>
      <c r="Z629" s="20"/>
      <c r="AA629" s="20"/>
      <c r="AB629" s="19" t="s">
        <v>2563</v>
      </c>
      <c r="AC629" s="19" t="s">
        <v>2537</v>
      </c>
      <c r="AD629" s="20"/>
      <c r="AE629" s="19" t="s">
        <v>50</v>
      </c>
      <c r="AF629" s="19"/>
      <c r="AG629" s="19" t="s">
        <v>2564</v>
      </c>
      <c r="AH629" s="20"/>
    </row>
    <row r="630" spans="1:36" ht="16" customHeight="1" x14ac:dyDescent="0.2">
      <c r="A630" s="19" t="s">
        <v>2560</v>
      </c>
      <c r="B630" s="20"/>
      <c r="C630" s="20"/>
      <c r="D630" s="19" t="s">
        <v>145</v>
      </c>
      <c r="E630" s="17" t="str">
        <f t="shared" si="90"/>
        <v>Nudo</v>
      </c>
      <c r="F630" s="17"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0" s="17" t="str">
        <f t="shared" si="91"/>
        <v>1995</v>
      </c>
      <c r="H630" s="17" t="str">
        <f t="shared" si="92"/>
        <v>Nudo_etal_1995</v>
      </c>
      <c r="I630" s="17" t="str">
        <f>_xlfn.LET(
_xlpm.doi,IF(C630&lt;&gt;"",C630,_xlfn.TEXTAFTER(A630,"https://doi.org/")),
SUBSTITUTE(
SUBSTITUTE(
SUBSTITUTE(
SUBSTITUTE(
_xlpm.doi,
"/","%2F"),
":","%3A"),
"&lt;","%3C"),
"&gt;","%3E")
)</f>
        <v>10.1002%2Fcne.903580203</v>
      </c>
      <c r="J630" s="17" t="str">
        <f t="shared" si="93"/>
        <v>Nudo_etal_1995_TABLE2</v>
      </c>
      <c r="K630" s="17" t="str">
        <f t="shared" si="98"/>
        <v>10.1002%2Fcne.903580203_TABLE2</v>
      </c>
      <c r="L630" s="17" t="str">
        <f t="array" ref="L630">IFERROR(INDEX(AUTO_Public_TSV_FileList!$A$1:$A$1000,MATCH(TRUE(),EXACT(K630,IFERROR(_xlfn.TEXTBEFORE(AUTO_Public_TSV_FileList!$A$1:$A$1000,".tsv"),"")),0)),"notfound")</f>
        <v>10.1002%2Fcne.903580203_TABLE2.tsv</v>
      </c>
      <c r="M630" s="20"/>
      <c r="N630" s="19" t="s">
        <v>54</v>
      </c>
      <c r="O630" s="20"/>
      <c r="P630" s="20" t="s">
        <v>55</v>
      </c>
      <c r="Q630" s="19"/>
      <c r="R630" s="20"/>
      <c r="S630" s="20"/>
      <c r="T630" s="20"/>
      <c r="U630" s="20"/>
      <c r="V630" s="20"/>
      <c r="W630" s="19" t="s">
        <v>224</v>
      </c>
      <c r="X630" s="19" t="s">
        <v>2565</v>
      </c>
      <c r="Y630" s="19"/>
      <c r="Z630" s="20"/>
      <c r="AA630" s="20"/>
      <c r="AB630" s="19" t="s">
        <v>2566</v>
      </c>
      <c r="AC630" s="19" t="s">
        <v>2537</v>
      </c>
      <c r="AD630" s="20"/>
      <c r="AE630" s="19" t="s">
        <v>50</v>
      </c>
      <c r="AF630" s="19"/>
      <c r="AG630" s="19" t="s">
        <v>2567</v>
      </c>
      <c r="AH630" s="20"/>
    </row>
    <row r="631" spans="1:36" ht="16" customHeight="1" x14ac:dyDescent="0.2">
      <c r="A631" s="19" t="s">
        <v>2560</v>
      </c>
      <c r="B631" s="20"/>
      <c r="C631" s="20"/>
      <c r="D631" s="19" t="s">
        <v>147</v>
      </c>
      <c r="E631" s="17" t="str">
        <f t="shared" si="90"/>
        <v>Nudo</v>
      </c>
      <c r="F631" s="17"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17" t="str">
        <f t="shared" si="91"/>
        <v>1995</v>
      </c>
      <c r="H631" s="17" t="str">
        <f t="shared" si="92"/>
        <v>Nudo_etal_1995</v>
      </c>
      <c r="I631" s="17" t="str">
        <f>_xlfn.LET(
_xlpm.doi,IF(C631&lt;&gt;"",C631,_xlfn.TEXTAFTER(A631,"https://doi.org/")),
SUBSTITUTE(
SUBSTITUTE(
SUBSTITUTE(
SUBSTITUTE(
_xlpm.doi,
"/","%2F"),
":","%3A"),
"&lt;","%3C"),
"&gt;","%3E")
)</f>
        <v>10.1002%2Fcne.903580203</v>
      </c>
      <c r="J631" s="17" t="str">
        <f t="shared" si="93"/>
        <v>Nudo_etal_1995_TABLE3</v>
      </c>
      <c r="K631" s="17" t="str">
        <f t="shared" si="98"/>
        <v>10.1002%2Fcne.903580203_TABLE3</v>
      </c>
      <c r="L631" s="17" t="str">
        <f t="array" ref="L631">IFERROR(INDEX(AUTO_Public_TSV_FileList!$A$1:$A$1000,MATCH(TRUE(),EXACT(K631,IFERROR(_xlfn.TEXTBEFORE(AUTO_Public_TSV_FileList!$A$1:$A$1000,".tsv"),"")),0)),"notfound")</f>
        <v>10.1002%2Fcne.903580203_TABLE3.tsv</v>
      </c>
      <c r="M631" s="20"/>
      <c r="N631" s="19" t="s">
        <v>54</v>
      </c>
      <c r="O631" s="20"/>
      <c r="P631" s="20" t="s">
        <v>55</v>
      </c>
      <c r="Q631" s="19"/>
      <c r="R631" s="20"/>
      <c r="S631" s="20"/>
      <c r="T631" s="20"/>
      <c r="U631" s="20"/>
      <c r="V631" s="20"/>
      <c r="W631" s="19" t="s">
        <v>224</v>
      </c>
      <c r="X631" s="19" t="s">
        <v>2568</v>
      </c>
      <c r="Y631" s="19"/>
      <c r="Z631" s="20"/>
      <c r="AA631" s="20"/>
      <c r="AB631" s="19" t="s">
        <v>2569</v>
      </c>
      <c r="AC631" s="19" t="s">
        <v>2537</v>
      </c>
      <c r="AD631" s="20"/>
      <c r="AE631" s="19" t="s">
        <v>265</v>
      </c>
      <c r="AF631" s="19"/>
      <c r="AG631" s="19" t="s">
        <v>2570</v>
      </c>
      <c r="AH631" s="20"/>
    </row>
    <row r="632" spans="1:36" ht="15" customHeight="1" x14ac:dyDescent="0.2">
      <c r="A632" s="19" t="s">
        <v>2560</v>
      </c>
      <c r="B632" s="20"/>
      <c r="C632" s="20"/>
      <c r="D632" s="19" t="s">
        <v>149</v>
      </c>
      <c r="E632" s="17" t="str">
        <f t="shared" si="90"/>
        <v>Nudo</v>
      </c>
      <c r="F632" s="17"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17" t="str">
        <f t="shared" si="91"/>
        <v>1995</v>
      </c>
      <c r="H632" s="17" t="str">
        <f t="shared" si="92"/>
        <v>Nudo_etal_1995</v>
      </c>
      <c r="I632" s="17" t="str">
        <f>_xlfn.LET(
_xlpm.doi,IF(C632&lt;&gt;"",C632,_xlfn.TEXTAFTER(A632,"https://doi.org/")),
SUBSTITUTE(
SUBSTITUTE(
SUBSTITUTE(
SUBSTITUTE(
_xlpm.doi,
"/","%2F"),
":","%3A"),
"&lt;","%3C"),
"&gt;","%3E")
)</f>
        <v>10.1002%2Fcne.903580203</v>
      </c>
      <c r="J632" s="17" t="str">
        <f t="shared" si="93"/>
        <v>Nudo_etal_1995_TABLE4</v>
      </c>
      <c r="K632" s="17" t="str">
        <f t="shared" si="98"/>
        <v>10.1002%2Fcne.903580203_TABLE4</v>
      </c>
      <c r="L632" s="17" t="str">
        <f t="array" ref="L632">IFERROR(INDEX(AUTO_Public_TSV_FileList!$A$1:$A$1000,MATCH(TRUE(),EXACT(K632,IFERROR(_xlfn.TEXTBEFORE(AUTO_Public_TSV_FileList!$A$1:$A$1000,".tsv"),"")),0)),"notfound")</f>
        <v>10.1002%2Fcne.903580203_TABLE4.tsv</v>
      </c>
      <c r="M632" s="20"/>
      <c r="N632" s="19" t="s">
        <v>54</v>
      </c>
      <c r="O632" s="20"/>
      <c r="P632" s="20" t="s">
        <v>55</v>
      </c>
      <c r="Q632" s="19"/>
      <c r="R632" s="20"/>
      <c r="S632" s="20"/>
      <c r="T632" s="20"/>
      <c r="U632" s="20"/>
      <c r="V632" s="20"/>
      <c r="W632" s="19" t="s">
        <v>224</v>
      </c>
      <c r="X632" s="19" t="s">
        <v>2571</v>
      </c>
      <c r="Y632" s="19"/>
      <c r="Z632" s="20"/>
      <c r="AA632" s="20"/>
      <c r="AB632" s="19" t="s">
        <v>2572</v>
      </c>
      <c r="AC632" s="19" t="s">
        <v>2537</v>
      </c>
      <c r="AD632" s="20"/>
      <c r="AE632" s="19" t="s">
        <v>50</v>
      </c>
      <c r="AF632" s="19"/>
      <c r="AG632" s="19" t="s">
        <v>2573</v>
      </c>
      <c r="AH632" s="20"/>
    </row>
    <row r="633" spans="1:36" ht="15" customHeight="1" x14ac:dyDescent="0.2">
      <c r="A633" s="19" t="s">
        <v>2560</v>
      </c>
      <c r="B633" s="20"/>
      <c r="C633" s="20"/>
      <c r="D633" s="19" t="s">
        <v>2574</v>
      </c>
      <c r="E633" s="17" t="str">
        <f t="shared" si="90"/>
        <v>Nudo</v>
      </c>
      <c r="F633" s="17"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17" t="str">
        <f t="shared" si="91"/>
        <v>1995</v>
      </c>
      <c r="H633" s="17" t="str">
        <f t="shared" si="92"/>
        <v>Nudo_etal_1995</v>
      </c>
      <c r="I633" s="17" t="str">
        <f>_xlfn.LET(
_xlpm.doi,IF(C633&lt;&gt;"",C633,_xlfn.TEXTAFTER(A633,"https://doi.org/")),
SUBSTITUTE(
SUBSTITUTE(
SUBSTITUTE(
SUBSTITUTE(
_xlpm.doi,
"/","%2F"),
":","%3A"),
"&lt;","%3C"),
"&gt;","%3E")
)</f>
        <v>10.1002%2Fcne.903580203</v>
      </c>
      <c r="J633" s="17" t="str">
        <f t="shared" si="93"/>
        <v>Nudo_etal_1995_TABLE5</v>
      </c>
      <c r="K633" s="17" t="str">
        <f t="shared" si="98"/>
        <v>10.1002%2Fcne.903580203_TABLE5</v>
      </c>
      <c r="L633" s="17" t="str">
        <f t="array" ref="L633">IFERROR(INDEX(AUTO_Public_TSV_FileList!$A$1:$A$1000,MATCH(TRUE(),EXACT(K633,IFERROR(_xlfn.TEXTBEFORE(AUTO_Public_TSV_FileList!$A$1:$A$1000,".tsv"),"")),0)),"notfound")</f>
        <v>10.1002%2Fcne.903580203_TABLE5.tsv</v>
      </c>
      <c r="M633" s="20"/>
      <c r="N633" s="19" t="s">
        <v>54</v>
      </c>
      <c r="O633" s="20"/>
      <c r="P633" s="20" t="s">
        <v>55</v>
      </c>
      <c r="Q633" s="19"/>
      <c r="R633" s="20"/>
      <c r="S633" s="20"/>
      <c r="T633" s="20"/>
      <c r="U633" s="20"/>
      <c r="V633" s="20"/>
      <c r="W633" s="19" t="s">
        <v>224</v>
      </c>
      <c r="X633" s="19" t="s">
        <v>2575</v>
      </c>
      <c r="Y633" s="19"/>
      <c r="Z633" s="20"/>
      <c r="AA633" s="20"/>
      <c r="AB633" s="19" t="s">
        <v>2576</v>
      </c>
      <c r="AC633" s="19" t="s">
        <v>2537</v>
      </c>
      <c r="AD633" s="20"/>
      <c r="AE633" s="19" t="s">
        <v>50</v>
      </c>
      <c r="AF633" s="19"/>
      <c r="AG633" s="19" t="s">
        <v>2577</v>
      </c>
      <c r="AH633" s="20"/>
    </row>
    <row r="634" spans="1:36" ht="15" customHeight="1" x14ac:dyDescent="0.2">
      <c r="A634" s="20" t="s">
        <v>3530</v>
      </c>
      <c r="B634" s="20"/>
      <c r="C634" s="20"/>
      <c r="D634" s="20" t="s">
        <v>2283</v>
      </c>
      <c r="E634" s="18" t="str">
        <f t="shared" si="90"/>
        <v>Nummela</v>
      </c>
      <c r="F634" s="17"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4" s="17" t="str">
        <f t="shared" si="91"/>
        <v>2013</v>
      </c>
      <c r="H634" s="18" t="str">
        <f t="shared" si="92"/>
        <v>Nummela_etal_2013</v>
      </c>
      <c r="I634" s="18" t="str">
        <f>_xlfn.LET(_xlpm.doi,IF(C634&lt;&gt;"",C634,_xlfn.TEXTAFTER(A634,"https://doi.org/")),SUBSTITUTE(SUBSTITUTE(SUBSTITUTE(SUBSTITUTE(_xlpm.doi,"/","%2F"),":","%3A"),"&lt;","%3C"),"&gt;","%3E"))</f>
        <v>10.1007%2Fs00359-013-0846-2</v>
      </c>
      <c r="J634" s="18" t="str">
        <f t="shared" si="93"/>
        <v>Nummela_etal_2013_TableS2</v>
      </c>
      <c r="K634" s="17" t="str">
        <f t="shared" si="98"/>
        <v>10.1007%2Fs00359-013-0846-2_TableS2</v>
      </c>
      <c r="L634" s="17" t="str">
        <f t="array" ref="L634">IFERROR(INDEX(AUTO_Public_TSV_FileList!$A$1:$A$1000,MATCH(TRUE(),EXACT(K634,IFERROR(_xlfn.TEXTBEFORE(AUTO_Public_TSV_FileList!$A$1:$A$1000,".tsv"),"")),0)),"notfound")</f>
        <v>10.1007%2Fs00359-013-0846-2_TableS2.tsv</v>
      </c>
      <c r="M634" s="20" t="s">
        <v>3531</v>
      </c>
      <c r="N634" s="20" t="s">
        <v>3482</v>
      </c>
      <c r="O634" s="20" t="s">
        <v>3483</v>
      </c>
      <c r="P634" s="20" t="s">
        <v>3484</v>
      </c>
      <c r="Q634" s="20" t="s">
        <v>3532</v>
      </c>
      <c r="R634" s="20" t="s">
        <v>3533</v>
      </c>
      <c r="S634" s="20"/>
      <c r="T634" s="20"/>
      <c r="U634" s="20" t="s">
        <v>3534</v>
      </c>
      <c r="V634" s="20" t="s">
        <v>3535</v>
      </c>
      <c r="W634" s="20" t="s">
        <v>319</v>
      </c>
      <c r="X634" s="20" t="s">
        <v>3535</v>
      </c>
      <c r="Y634" s="20"/>
      <c r="Z634" s="20"/>
      <c r="AA634" s="20" t="s">
        <v>3536</v>
      </c>
      <c r="AB634" s="20"/>
      <c r="AC634" s="20" t="s">
        <v>3537</v>
      </c>
      <c r="AD634" s="20" t="s">
        <v>3537</v>
      </c>
      <c r="AE634" s="20" t="s">
        <v>70</v>
      </c>
      <c r="AF634" s="20" t="s">
        <v>3538</v>
      </c>
      <c r="AG634" s="20"/>
      <c r="AH634" s="20" t="s">
        <v>3490</v>
      </c>
    </row>
    <row r="635" spans="1:36" ht="15" customHeight="1" x14ac:dyDescent="0.2">
      <c r="A635" s="20" t="s">
        <v>5299</v>
      </c>
      <c r="B635" s="20"/>
      <c r="C635" s="20"/>
      <c r="D635" s="20" t="s">
        <v>5300</v>
      </c>
      <c r="E635" s="18" t="str">
        <f t="shared" si="90"/>
        <v>Nunn</v>
      </c>
      <c r="F635" s="17"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Samson</v>
      </c>
      <c r="G635" s="17" t="str">
        <f t="shared" si="91"/>
        <v>2018</v>
      </c>
      <c r="H635" s="18" t="str">
        <f t="shared" si="92"/>
        <v>Nunn_Samson_2018</v>
      </c>
      <c r="I635" s="18" t="str">
        <f>_xlfn.LET(_xlpm.doi,IF(C635&lt;&gt;"",C635,_xlfn.TEXTAFTER(A635,"https://doi.org/")),SUBSTITUTE(SUBSTITUTE(SUBSTITUTE(SUBSTITUTE(_xlpm.doi,"/","%2F"),":","%3A"),"&lt;","%3C"),"&gt;","%3E"))</f>
        <v>10.1002%2Fajpa.23427</v>
      </c>
      <c r="J635" s="18" t="str">
        <f t="shared" si="93"/>
        <v>Nunn_Samson_2018_SupplementaryTable1</v>
      </c>
      <c r="K635" s="17" t="str">
        <f t="shared" si="98"/>
        <v>10.1002%2Fajpa.23427_SupplementaryTable1</v>
      </c>
      <c r="L635" s="17" t="str">
        <f t="array" ref="L635">IFERROR(INDEX(AUTO_Public_TSV_FileList!$A$1:$A$1000,MATCH(TRUE(),EXACT(K635,IFERROR(_xlfn.TEXTBEFORE(AUTO_Public_TSV_FileList!$A$1:$A$1000,".tsv"),"")),0)),"notfound")</f>
        <v>10.1002%2Fajpa.23427_SupplementaryTable1.tsv</v>
      </c>
      <c r="M635" s="20"/>
      <c r="N635" s="20" t="s">
        <v>5239</v>
      </c>
      <c r="O635" s="20" t="s">
        <v>5073</v>
      </c>
      <c r="P635" s="20" t="s">
        <v>5074</v>
      </c>
      <c r="Q635" s="20" t="s">
        <v>5301</v>
      </c>
      <c r="R635" s="20" t="s">
        <v>5302</v>
      </c>
      <c r="S635" s="20" t="s">
        <v>5076</v>
      </c>
      <c r="T635" s="20" t="s">
        <v>5077</v>
      </c>
      <c r="U635" s="20"/>
      <c r="V635" s="20" t="s">
        <v>4871</v>
      </c>
      <c r="W635" s="20" t="s">
        <v>187</v>
      </c>
      <c r="X635" s="20" t="s">
        <v>5303</v>
      </c>
      <c r="Y635" s="20"/>
      <c r="Z635" s="20" t="s">
        <v>5079</v>
      </c>
      <c r="AA635" s="20" t="s">
        <v>5080</v>
      </c>
      <c r="AB635" s="20" t="s">
        <v>5081</v>
      </c>
      <c r="AC635" s="20" t="s">
        <v>5304</v>
      </c>
      <c r="AD635" s="20" t="s">
        <v>689</v>
      </c>
      <c r="AE635" s="20" t="s">
        <v>265</v>
      </c>
      <c r="AF635" s="20" t="s">
        <v>5082</v>
      </c>
      <c r="AG635" s="20" t="s">
        <v>5083</v>
      </c>
      <c r="AH635" s="20" t="s">
        <v>352</v>
      </c>
      <c r="AJ635" t="s">
        <v>5305</v>
      </c>
    </row>
    <row r="636" spans="1:36" ht="15" customHeight="1" x14ac:dyDescent="0.2">
      <c r="A636" s="20" t="s">
        <v>5299</v>
      </c>
      <c r="B636" s="20"/>
      <c r="C636" s="20"/>
      <c r="D636" s="20" t="s">
        <v>86</v>
      </c>
      <c r="E636" s="18" t="str">
        <f t="shared" si="90"/>
        <v>Nunn</v>
      </c>
      <c r="F636" s="17"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Samson</v>
      </c>
      <c r="G636" s="17" t="str">
        <f t="shared" si="91"/>
        <v>2018</v>
      </c>
      <c r="H636" s="18" t="str">
        <f t="shared" si="92"/>
        <v>Nunn_Samson_2018</v>
      </c>
      <c r="I636" s="18" t="str">
        <f>_xlfn.LET(_xlpm.doi,IF(C636&lt;&gt;"",C636,_xlfn.TEXTAFTER(A636,"https://doi.org/")),SUBSTITUTE(SUBSTITUTE(SUBSTITUTE(SUBSTITUTE(_xlpm.doi,"/","%2F"),":","%3A"),"&lt;","%3C"),"&gt;","%3E"))</f>
        <v>10.1002%2Fajpa.23427</v>
      </c>
      <c r="J636" s="18" t="str">
        <f t="shared" si="93"/>
        <v>Nunn_Samson_2018_Table1</v>
      </c>
      <c r="K636" s="17" t="str">
        <f t="shared" si="98"/>
        <v>10.1002%2Fajpa.23427_Table1</v>
      </c>
      <c r="L636" s="17" t="str">
        <f t="array" ref="L636">IFERROR(INDEX(AUTO_Public_TSV_FileList!$A$1:$A$1000,MATCH(TRUE(),EXACT(K636,IFERROR(_xlfn.TEXTBEFORE(AUTO_Public_TSV_FileList!$A$1:$A$1000,".tsv"),"")),0)),"notfound")</f>
        <v>10.1002%2Fajpa.23427_Table1.tsv</v>
      </c>
      <c r="M636" s="20"/>
      <c r="N636" s="20" t="s">
        <v>4864</v>
      </c>
      <c r="O636" s="20" t="s">
        <v>5306</v>
      </c>
      <c r="P636" s="20" t="s">
        <v>4866</v>
      </c>
      <c r="Q636" s="20" t="s">
        <v>5307</v>
      </c>
      <c r="R636" s="20" t="s">
        <v>5302</v>
      </c>
      <c r="S636" s="20" t="s">
        <v>4869</v>
      </c>
      <c r="T636" s="20" t="s">
        <v>4870</v>
      </c>
      <c r="U636" s="20"/>
      <c r="V636" s="20" t="s">
        <v>4871</v>
      </c>
      <c r="W636" s="20" t="s">
        <v>187</v>
      </c>
      <c r="X636" s="20" t="s">
        <v>5308</v>
      </c>
      <c r="Y636" s="20"/>
      <c r="Z636" s="20" t="s">
        <v>4873</v>
      </c>
      <c r="AA636" s="20" t="s">
        <v>4874</v>
      </c>
      <c r="AB636" s="20" t="s">
        <v>4909</v>
      </c>
      <c r="AC636" s="20" t="s">
        <v>5304</v>
      </c>
      <c r="AD636" s="20" t="s">
        <v>689</v>
      </c>
      <c r="AE636" s="20" t="s">
        <v>265</v>
      </c>
      <c r="AF636" s="20" t="s">
        <v>4877</v>
      </c>
      <c r="AG636" s="20" t="s">
        <v>4878</v>
      </c>
      <c r="AH636" s="20" t="s">
        <v>4879</v>
      </c>
      <c r="AJ636" t="s">
        <v>5309</v>
      </c>
    </row>
    <row r="637" spans="1:36" ht="15" customHeight="1" x14ac:dyDescent="0.2">
      <c r="A637" s="20" t="s">
        <v>5310</v>
      </c>
      <c r="B637" s="20"/>
      <c r="C637" s="20"/>
      <c r="D637" s="20"/>
      <c r="E637" s="18" t="str">
        <f t="shared" si="90"/>
        <v>Nunn</v>
      </c>
      <c r="F637" s="17"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17" t="str">
        <f t="shared" si="91"/>
        <v>2001</v>
      </c>
      <c r="H637" s="18" t="str">
        <f t="shared" si="92"/>
        <v>Nunn_etal_2001</v>
      </c>
      <c r="I637" s="18" t="str">
        <f>_xlfn.LET(_xlpm.doi,IF(C637&lt;&gt;"",C637,_xlfn.TEXTAFTER(A637,"https://doi.org/")),SUBSTITUTE(SUBSTITUTE(SUBSTITUTE(SUBSTITUTE(_xlpm.doi,"/","%2F"),":","%3A"),"&lt;","%3C"),"&gt;","%3E"))</f>
        <v>10.1093%2Fbeheco%2F12.5.646</v>
      </c>
      <c r="J637" s="18" t="str">
        <f t="shared" si="93"/>
        <v>Nunn_etal_2001_</v>
      </c>
      <c r="K637" s="17" t="str">
        <f t="shared" si="98"/>
        <v>10.1093%2Fbeheco%2F12.5.646_</v>
      </c>
      <c r="L637" s="17" t="str">
        <f t="array" ref="L637">IFERROR(INDEX(AUTO_Public_TSV_FileList!$A$1:$A$1000,MATCH(TRUE(),EXACT(K637,IFERROR(_xlfn.TEXTBEFORE(AUTO_Public_TSV_FileList!$A$1:$A$1000,".tsv"),"")),0)),"notfound")</f>
        <v>notfound</v>
      </c>
      <c r="M637" s="20"/>
      <c r="N637" s="20" t="s">
        <v>4851</v>
      </c>
      <c r="O637" s="20" t="s">
        <v>5311</v>
      </c>
      <c r="P637" s="20" t="s">
        <v>5312</v>
      </c>
      <c r="Q637" s="20"/>
      <c r="R637" s="20" t="s">
        <v>5313</v>
      </c>
      <c r="S637" s="20"/>
      <c r="T637" s="20" t="s">
        <v>5314</v>
      </c>
      <c r="U637" s="20"/>
      <c r="V637" s="20" t="s">
        <v>5315</v>
      </c>
      <c r="W637" s="20" t="s">
        <v>187</v>
      </c>
      <c r="X637" s="20" t="s">
        <v>5316</v>
      </c>
      <c r="Y637" s="20"/>
      <c r="Z637" s="20"/>
      <c r="AA637" s="20" t="s">
        <v>5317</v>
      </c>
      <c r="AB637" s="20" t="s">
        <v>322</v>
      </c>
      <c r="AC637" s="20"/>
      <c r="AD637" s="20"/>
      <c r="AE637" s="20" t="s">
        <v>265</v>
      </c>
      <c r="AF637" s="20" t="s">
        <v>2096</v>
      </c>
      <c r="AG637" s="20" t="s">
        <v>5318</v>
      </c>
      <c r="AH637" s="20" t="s">
        <v>4862</v>
      </c>
      <c r="AJ637" t="s">
        <v>5319</v>
      </c>
    </row>
    <row r="638" spans="1:36" ht="15" customHeight="1" x14ac:dyDescent="0.2">
      <c r="A638" s="19" t="s">
        <v>2578</v>
      </c>
      <c r="B638" s="20"/>
      <c r="C638" s="20"/>
      <c r="D638" s="20" t="s">
        <v>729</v>
      </c>
      <c r="E638" s="17" t="str">
        <f t="shared" si="90"/>
        <v>Olkowicz</v>
      </c>
      <c r="F638" s="17"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17" t="str">
        <f t="shared" si="91"/>
        <v>2016</v>
      </c>
      <c r="H638" s="17" t="str">
        <f t="shared" si="92"/>
        <v>Olkowicz_etal_2016</v>
      </c>
      <c r="I638" s="17" t="str">
        <f>_xlfn.LET(
_xlpm.doi,IF(C638&lt;&gt;"",C638,_xlfn.TEXTAFTER(A638,"https://doi.org/")),
SUBSTITUTE(
SUBSTITUTE(
SUBSTITUTE(
SUBSTITUTE(
_xlpm.doi,
"/","%2F"),
":","%3A"),
"&lt;","%3C"),
"&gt;","%3E")
)</f>
        <v>10.1073%2Fpnas.1517131113</v>
      </c>
      <c r="J638" s="17" t="str">
        <f t="shared" si="93"/>
        <v>Olkowicz_etal_2016_DatasetS1</v>
      </c>
      <c r="K638" s="17" t="str">
        <f t="shared" si="98"/>
        <v>10.1073%2Fpnas.1517131113_DatasetS1</v>
      </c>
      <c r="L638" s="17" t="str">
        <f t="array" ref="L638">IFERROR(INDEX(AUTO_Public_TSV_FileList!$A$1:$A$1000,MATCH(TRUE(),EXACT(K638,IFERROR(_xlfn.TEXTBEFORE(AUTO_Public_TSV_FileList!$A$1:$A$1000,".tsv"),"")),0)),"notfound")</f>
        <v>10.1073%2Fpnas.1517131113_DatasetS1.tsv</v>
      </c>
      <c r="M638" s="20" t="s">
        <v>2579</v>
      </c>
      <c r="N638" s="20"/>
      <c r="O638" s="20"/>
      <c r="P638" s="20" t="s">
        <v>55</v>
      </c>
      <c r="Q638" s="20" t="s">
        <v>2561</v>
      </c>
      <c r="R638" s="20"/>
      <c r="S638" s="20"/>
      <c r="T638" s="20"/>
      <c r="U638" s="20"/>
      <c r="V638" s="20"/>
      <c r="W638" s="20"/>
      <c r="X638" s="20"/>
      <c r="Y638" s="20"/>
      <c r="Z638" s="20"/>
      <c r="AA638" s="20"/>
      <c r="AB638" s="20"/>
      <c r="AC638" s="20"/>
      <c r="AD638" s="20"/>
      <c r="AE638" s="20" t="s">
        <v>50</v>
      </c>
      <c r="AF638" s="20"/>
      <c r="AG638" s="20"/>
      <c r="AH638" s="20"/>
    </row>
    <row r="639" spans="1:36" ht="15" customHeight="1" x14ac:dyDescent="0.2">
      <c r="A639" s="20" t="s">
        <v>3614</v>
      </c>
      <c r="B639" s="20"/>
      <c r="C639" s="20"/>
      <c r="D639" s="20" t="s">
        <v>3540</v>
      </c>
      <c r="E639" s="18" t="str">
        <f t="shared" si="90"/>
        <v>Opie</v>
      </c>
      <c r="F639" s="17"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9" s="17" t="str">
        <f t="shared" si="91"/>
        <v>2013</v>
      </c>
      <c r="H639" s="18" t="str">
        <f t="shared" si="92"/>
        <v>Opie_etal_2013</v>
      </c>
      <c r="I639" s="18" t="str">
        <f t="shared" ref="I639:I647" si="99">_xlfn.LET(_xlpm.doi,IF(C639&lt;&gt;"",C639,_xlfn.TEXTAFTER(A639,"https://doi.org/")),SUBSTITUTE(SUBSTITUTE(SUBSTITUTE(SUBSTITUTE(_xlpm.doi,"/","%2F"),":","%3A"),"&lt;","%3C"),"&gt;","%3E"))</f>
        <v>10.1073%2Fpnas.1307903110</v>
      </c>
      <c r="J639" s="18" t="str">
        <f t="shared" si="93"/>
        <v>Opie_etal_2013_DataS1</v>
      </c>
      <c r="K639" s="17" t="str">
        <f t="shared" si="98"/>
        <v>10.1073%2Fpnas.1307903110_DataS1</v>
      </c>
      <c r="L639" s="17" t="str">
        <f t="array" ref="L639">IFERROR(INDEX(AUTO_Public_TSV_FileList!$A$1:$A$1000,MATCH(TRUE(),EXACT(K639,IFERROR(_xlfn.TEXTBEFORE(AUTO_Public_TSV_FileList!$A$1:$A$1000,".tsv"),"")),0)),"notfound")</f>
        <v>10.1073%2Fpnas.1307903110_DataS1.tsv</v>
      </c>
      <c r="M639" s="20" t="s">
        <v>3615</v>
      </c>
      <c r="N639" s="20" t="s">
        <v>3596</v>
      </c>
      <c r="O639" s="20" t="s">
        <v>3552</v>
      </c>
      <c r="P639" s="20" t="s">
        <v>3484</v>
      </c>
      <c r="Q639" s="20" t="s">
        <v>3616</v>
      </c>
      <c r="R639" s="20" t="s">
        <v>3617</v>
      </c>
      <c r="S639" s="20"/>
      <c r="T639" s="20"/>
      <c r="U639" s="20" t="s">
        <v>3618</v>
      </c>
      <c r="V639" s="20" t="s">
        <v>3619</v>
      </c>
      <c r="W639" s="20" t="s">
        <v>187</v>
      </c>
      <c r="X639" s="20" t="s">
        <v>3619</v>
      </c>
      <c r="Y639" s="20"/>
      <c r="Z639" s="20"/>
      <c r="AA639" s="20" t="s">
        <v>3620</v>
      </c>
      <c r="AB639" s="20"/>
      <c r="AC639" s="20" t="s">
        <v>3621</v>
      </c>
      <c r="AD639" s="20" t="s">
        <v>3622</v>
      </c>
      <c r="AE639" s="20" t="s">
        <v>265</v>
      </c>
      <c r="AF639" s="20" t="s">
        <v>3623</v>
      </c>
      <c r="AG639" s="20"/>
      <c r="AH639" s="20" t="s">
        <v>352</v>
      </c>
    </row>
    <row r="640" spans="1:36" ht="15" customHeight="1" x14ac:dyDescent="0.2">
      <c r="A640" s="20" t="s">
        <v>2580</v>
      </c>
      <c r="B640" s="20"/>
      <c r="C640" s="20"/>
      <c r="D640" s="20" t="s">
        <v>2581</v>
      </c>
      <c r="E640" s="18" t="str">
        <f t="shared" si="90"/>
        <v>Owren</v>
      </c>
      <c r="F640" s="17"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0" s="17" t="str">
        <f t="shared" si="91"/>
        <v>1988</v>
      </c>
      <c r="H640" s="18" t="str">
        <f t="shared" si="92"/>
        <v>Owren_etal_1988</v>
      </c>
      <c r="I640" s="18" t="str">
        <f t="shared" si="99"/>
        <v>10.1037%2F0735-7036.102.2.99</v>
      </c>
      <c r="J640" s="18" t="str">
        <f t="shared" si="93"/>
        <v>Owren_etal_1988_Table1+Table3</v>
      </c>
      <c r="K640" s="17" t="str">
        <f t="shared" si="98"/>
        <v>10.1037%2F0735-7036.102.2.99_Table1+Table3</v>
      </c>
      <c r="L640" s="17" t="str">
        <f t="array" ref="L640">IFERROR(INDEX(AUTO_Public_TSV_FileList!$A$1:$A$1000,MATCH(TRUE(),EXACT(K640,IFERROR(_xlfn.TEXTBEFORE(AUTO_Public_TSV_FileList!$A$1:$A$1000,".tsv"),"")),0)),"notfound")</f>
        <v>10.1037%2F0735-7036.102.2.99_Table1+Table3.tsv</v>
      </c>
      <c r="M640" s="20" t="s">
        <v>2582</v>
      </c>
      <c r="N640" s="20" t="s">
        <v>88</v>
      </c>
      <c r="O640" s="20" t="s">
        <v>2583</v>
      </c>
      <c r="P640" s="20" t="s">
        <v>55</v>
      </c>
      <c r="Q640" s="20"/>
      <c r="R640" s="20"/>
      <c r="S640" s="20"/>
      <c r="T640" s="20"/>
      <c r="U640" s="20"/>
      <c r="V640" s="20"/>
      <c r="W640" s="20"/>
      <c r="X640" s="20"/>
      <c r="Y640" s="20"/>
      <c r="Z640" s="20"/>
      <c r="AA640" s="20"/>
      <c r="AB640" s="20"/>
      <c r="AC640" s="20"/>
      <c r="AD640" s="20"/>
      <c r="AE640" s="20"/>
      <c r="AF640" s="20"/>
      <c r="AG640" s="20"/>
      <c r="AH640" s="20"/>
    </row>
    <row r="641" spans="1:36" ht="15" customHeight="1" x14ac:dyDescent="0.2">
      <c r="A641" s="20" t="s">
        <v>2584</v>
      </c>
      <c r="B641" s="20"/>
      <c r="C641" s="20"/>
      <c r="D641" s="20" t="s">
        <v>1053</v>
      </c>
      <c r="E641" s="18" t="str">
        <f t="shared" si="90"/>
        <v>PalomeroGallagher</v>
      </c>
      <c r="F641" s="17"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641" s="17" t="str">
        <f t="shared" si="91"/>
        <v>2018</v>
      </c>
      <c r="H641" s="18" t="str">
        <f t="shared" si="92"/>
        <v>PalomeroGallagher_Zilles_2018</v>
      </c>
      <c r="I641" s="18" t="str">
        <f t="shared" si="99"/>
        <v>10.1016%2Fj.cortex.2018.09.008</v>
      </c>
      <c r="J641" s="18" t="str">
        <f t="shared" si="93"/>
        <v>PalomeroGallagher_Zilles_2018_TableS3</v>
      </c>
      <c r="K641" s="17" t="str">
        <f t="shared" si="98"/>
        <v>10.1016%2Fj.cortex.2018.09.008_TableS3</v>
      </c>
      <c r="L641" s="17" t="str">
        <f t="array" ref="L641">IFERROR(INDEX(AUTO_Public_TSV_FileList!$A$1:$A$1000,MATCH(TRUE(),EXACT(K641,IFERROR(_xlfn.TEXTBEFORE(AUTO_Public_TSV_FileList!$A$1:$A$1000,".tsv"),"")),0)),"notfound")</f>
        <v>10.1016%2Fj.cortex.2018.09.008_TableS3.tsv</v>
      </c>
      <c r="M641" s="20" t="s">
        <v>2585</v>
      </c>
      <c r="N641" s="20" t="s">
        <v>2586</v>
      </c>
      <c r="O641" s="20" t="s">
        <v>2587</v>
      </c>
      <c r="P641" s="20" t="s">
        <v>55</v>
      </c>
      <c r="Q641" s="20" t="s">
        <v>2588</v>
      </c>
      <c r="R641" s="20"/>
      <c r="S641" s="20"/>
      <c r="T641" s="20"/>
      <c r="U641" s="20"/>
      <c r="V641" s="20" t="s">
        <v>2589</v>
      </c>
      <c r="W641" s="20" t="s">
        <v>2590</v>
      </c>
      <c r="X641" s="20" t="s">
        <v>2591</v>
      </c>
      <c r="Y641" s="20"/>
      <c r="Z641" s="20" t="s">
        <v>2592</v>
      </c>
      <c r="AA641" s="20" t="s">
        <v>2593</v>
      </c>
      <c r="AB641" s="20" t="s">
        <v>2594</v>
      </c>
      <c r="AC641" s="20"/>
      <c r="AD641" s="20"/>
      <c r="AE641" s="20" t="s">
        <v>50</v>
      </c>
      <c r="AF641" s="20"/>
      <c r="AG641" s="20" t="s">
        <v>2595</v>
      </c>
      <c r="AH641" s="20"/>
    </row>
    <row r="642" spans="1:36" ht="15" customHeight="1" x14ac:dyDescent="0.2">
      <c r="A642" s="20" t="s">
        <v>5320</v>
      </c>
      <c r="B642" s="20"/>
      <c r="C642" s="20" t="s">
        <v>5321</v>
      </c>
      <c r="D642" s="20" t="s">
        <v>86</v>
      </c>
      <c r="E642" s="18" t="str">
        <f t="shared" ref="E642:E705" si="100">SUBSTITUTE(SUBSTITUTE(_xlfn.TEXTBEFORE(A642,","), "-", ""), " ", "")</f>
        <v>Panepinto</v>
      </c>
      <c r="F642" s="17"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17" t="str">
        <f t="shared" ref="G642:G705" si="101">_xlfn.TEXTBEFORE(_xlfn.TEXTAFTER(A642, "("), ")")</f>
        <v>1978</v>
      </c>
      <c r="H642" s="18" t="str">
        <f t="shared" ref="H642:H705" si="102">SUBSTITUTE(SUBSTITUTE(E642 &amp; IF(F642&lt;&gt;"", "_" &amp; SUBSTITUTE(F642," ",""), "_") &amp; IF(G642&lt;&gt;"", "_" &amp; G642, "_") &amp; IF(B642&lt;&gt;"", "_" &amp; B642, ""),"'",""),"’","")</f>
        <v>Panepinto_etal_1978</v>
      </c>
      <c r="I642" s="18" t="str">
        <f t="shared" si="99"/>
        <v>PMID%3A682579</v>
      </c>
      <c r="J642" s="18" t="str">
        <f t="shared" ref="J642:J705" si="103">TRIM(_xlfn.TEXTJOIN("_",FALSE(),H642,(SUBSTITUTE(SUBSTITUTE(D642," ",""), "_", ""))))</f>
        <v>Panepinto_etal_1978_Table1</v>
      </c>
      <c r="K642" s="17" t="str">
        <f t="shared" si="98"/>
        <v>PMID%3A682579_Table1</v>
      </c>
      <c r="L642" s="17" t="str">
        <f t="array" ref="L642">IFERROR(INDEX(AUTO_Public_TSV_FileList!$A$1:$A$1000,MATCH(TRUE(),EXACT(K642,IFERROR(_xlfn.TEXTBEFORE(AUTO_Public_TSV_FileList!$A$1:$A$1000,".tsv"),"")),0)),"notfound")</f>
        <v>notfound</v>
      </c>
      <c r="M642" s="20"/>
      <c r="N642" s="20" t="s">
        <v>5322</v>
      </c>
      <c r="O642" s="20" t="s">
        <v>5323</v>
      </c>
      <c r="P642" s="20" t="s">
        <v>4528</v>
      </c>
      <c r="Q642" s="20" t="s">
        <v>5324</v>
      </c>
      <c r="R642" s="20" t="s">
        <v>5325</v>
      </c>
      <c r="S642" s="20"/>
      <c r="T642" s="20" t="s">
        <v>5326</v>
      </c>
      <c r="U642" s="20"/>
      <c r="V642" s="20" t="s">
        <v>5327</v>
      </c>
      <c r="W642" s="20" t="s">
        <v>5328</v>
      </c>
      <c r="X642" s="20" t="s">
        <v>5329</v>
      </c>
      <c r="Y642" s="20" t="s">
        <v>5330</v>
      </c>
      <c r="Z642" s="20" t="s">
        <v>5331</v>
      </c>
      <c r="AA642" s="20" t="s">
        <v>5332</v>
      </c>
      <c r="AB642" s="20" t="s">
        <v>5333</v>
      </c>
      <c r="AC642" s="20" t="s">
        <v>5334</v>
      </c>
      <c r="AD642" s="20"/>
      <c r="AE642" s="20" t="s">
        <v>50</v>
      </c>
      <c r="AF642" s="20"/>
      <c r="AG642" s="20" t="s">
        <v>5335</v>
      </c>
      <c r="AH642" s="20" t="s">
        <v>5336</v>
      </c>
      <c r="AJ642" t="s">
        <v>5337</v>
      </c>
    </row>
    <row r="643" spans="1:36" ht="15" customHeight="1" x14ac:dyDescent="0.2">
      <c r="A643" s="20" t="s">
        <v>5320</v>
      </c>
      <c r="B643" s="20"/>
      <c r="C643" s="20" t="s">
        <v>5321</v>
      </c>
      <c r="D643" s="20" t="s">
        <v>162</v>
      </c>
      <c r="E643" s="18" t="str">
        <f t="shared" si="100"/>
        <v>Panepinto</v>
      </c>
      <c r="F643" s="17"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17" t="str">
        <f t="shared" si="101"/>
        <v>1978</v>
      </c>
      <c r="H643" s="18" t="str">
        <f t="shared" si="102"/>
        <v>Panepinto_etal_1978</v>
      </c>
      <c r="I643" s="18" t="str">
        <f t="shared" si="99"/>
        <v>PMID%3A682579</v>
      </c>
      <c r="J643" s="18" t="str">
        <f t="shared" si="103"/>
        <v>Panepinto_etal_1978_Table3</v>
      </c>
      <c r="K643" s="17" t="str">
        <f t="shared" si="98"/>
        <v>PMID%3A682579_Table3</v>
      </c>
      <c r="L643" s="17" t="str">
        <f t="array" ref="L643">IFERROR(INDEX(AUTO_Public_TSV_FileList!$A$1:$A$1000,MATCH(TRUE(),EXACT(K643,IFERROR(_xlfn.TEXTBEFORE(AUTO_Public_TSV_FileList!$A$1:$A$1000,".tsv"),"")),0)),"notfound")</f>
        <v>notfound</v>
      </c>
      <c r="M643" s="20"/>
      <c r="N643" s="20" t="s">
        <v>5322</v>
      </c>
      <c r="O643" s="20" t="s">
        <v>5338</v>
      </c>
      <c r="P643" s="20" t="s">
        <v>4528</v>
      </c>
      <c r="Q643" s="20" t="s">
        <v>5339</v>
      </c>
      <c r="R643" s="20" t="s">
        <v>5325</v>
      </c>
      <c r="S643" s="20"/>
      <c r="T643" s="20" t="s">
        <v>5340</v>
      </c>
      <c r="U643" s="20"/>
      <c r="V643" s="20" t="s">
        <v>5341</v>
      </c>
      <c r="W643" s="20" t="s">
        <v>5328</v>
      </c>
      <c r="X643" s="20" t="s">
        <v>5342</v>
      </c>
      <c r="Y643" s="20" t="s">
        <v>5343</v>
      </c>
      <c r="Z643" s="20" t="s">
        <v>5331</v>
      </c>
      <c r="AA643" s="20" t="s">
        <v>5344</v>
      </c>
      <c r="AB643" s="20" t="s">
        <v>5345</v>
      </c>
      <c r="AC643" s="20" t="s">
        <v>5334</v>
      </c>
      <c r="AD643" s="20"/>
      <c r="AE643" s="20" t="s">
        <v>50</v>
      </c>
      <c r="AF643" s="20"/>
      <c r="AG643" s="20"/>
      <c r="AH643" s="20" t="s">
        <v>5336</v>
      </c>
      <c r="AJ643" t="s">
        <v>5346</v>
      </c>
    </row>
    <row r="644" spans="1:36" ht="15" customHeight="1" x14ac:dyDescent="0.2">
      <c r="A644" s="20" t="s">
        <v>5347</v>
      </c>
      <c r="B644" s="20"/>
      <c r="C644" s="20"/>
      <c r="D644" s="20" t="s">
        <v>5348</v>
      </c>
      <c r="E644" s="18" t="str">
        <f t="shared" si="100"/>
        <v>Pasquaretta</v>
      </c>
      <c r="F644" s="17"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4" s="17" t="str">
        <f t="shared" si="101"/>
        <v>2014</v>
      </c>
      <c r="H644" s="18" t="str">
        <f t="shared" si="102"/>
        <v>Pasquaretta__2014</v>
      </c>
      <c r="I644" s="18" t="str">
        <f t="shared" si="99"/>
        <v>10.1038%2Fsrep07600</v>
      </c>
      <c r="J644" s="18" t="str">
        <f t="shared" si="103"/>
        <v>Pasquaretta__2014_Extendeddatatable5</v>
      </c>
      <c r="K644" s="17" t="str">
        <f t="shared" si="98"/>
        <v>10.1038%2Fsrep07600_Extendeddatatable5</v>
      </c>
      <c r="L644" s="17" t="str">
        <f t="array" ref="L644">IFERROR(INDEX(AUTO_Public_TSV_FileList!$A$1:$A$1000,MATCH(TRUE(),EXACT(K644,IFERROR(_xlfn.TEXTBEFORE(AUTO_Public_TSV_FileList!$A$1:$A$1000,".tsv"),"")),0)),"notfound")</f>
        <v>10.1038%2Fsrep07600_Extendeddatatable5.tsv</v>
      </c>
      <c r="M644" s="20"/>
      <c r="N644" s="20" t="s">
        <v>5349</v>
      </c>
      <c r="O644" s="20" t="s">
        <v>5350</v>
      </c>
      <c r="P644" s="20" t="s">
        <v>4866</v>
      </c>
      <c r="Q644" s="20" t="s">
        <v>5351</v>
      </c>
      <c r="R644" s="20" t="s">
        <v>5352</v>
      </c>
      <c r="S644" s="20" t="s">
        <v>4869</v>
      </c>
      <c r="T644" s="20" t="s">
        <v>4870</v>
      </c>
      <c r="U644" s="20"/>
      <c r="V644" s="20" t="s">
        <v>4871</v>
      </c>
      <c r="W644" s="20" t="s">
        <v>187</v>
      </c>
      <c r="X644" s="20" t="s">
        <v>5353</v>
      </c>
      <c r="Y644" s="20"/>
      <c r="Z644" s="20" t="s">
        <v>4873</v>
      </c>
      <c r="AA644" s="20" t="s">
        <v>4874</v>
      </c>
      <c r="AB644" s="20" t="s">
        <v>5354</v>
      </c>
      <c r="AC644" s="20" t="s">
        <v>5355</v>
      </c>
      <c r="AD644" s="20" t="s">
        <v>689</v>
      </c>
      <c r="AE644" s="20" t="s">
        <v>70</v>
      </c>
      <c r="AF644" s="20" t="s">
        <v>4877</v>
      </c>
      <c r="AG644" s="20" t="s">
        <v>4878</v>
      </c>
      <c r="AH644" s="20" t="s">
        <v>352</v>
      </c>
      <c r="AJ644" t="s">
        <v>5356</v>
      </c>
    </row>
    <row r="645" spans="1:36" ht="15" customHeight="1" x14ac:dyDescent="0.2">
      <c r="A645" s="20" t="s">
        <v>3579</v>
      </c>
      <c r="B645" s="20"/>
      <c r="C645" s="20"/>
      <c r="D645" s="20" t="s">
        <v>35</v>
      </c>
      <c r="E645" s="18" t="str">
        <f t="shared" si="100"/>
        <v>Patzke</v>
      </c>
      <c r="F645" s="17"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5" s="17" t="str">
        <f t="shared" si="101"/>
        <v>2015</v>
      </c>
      <c r="H645" s="18" t="str">
        <f t="shared" si="102"/>
        <v>Patzke_etal_2015</v>
      </c>
      <c r="I645" s="18" t="str">
        <f t="shared" si="99"/>
        <v>10.1007%2Fs00429-013-0660-1</v>
      </c>
      <c r="J645" s="18" t="str">
        <f t="shared" si="103"/>
        <v>Patzke_etal_2015_Table1</v>
      </c>
      <c r="K645" s="17" t="str">
        <f t="shared" si="98"/>
        <v>10.1007%2Fs00429-013-0660-1_Table1</v>
      </c>
      <c r="L645" s="17" t="str">
        <f t="array" ref="L645">IFERROR(INDEX(AUTO_Public_TSV_FileList!$A$1:$A$1000,MATCH(TRUE(),EXACT(K645,IFERROR(_xlfn.TEXTBEFORE(AUTO_Public_TSV_FileList!$A$1:$A$1000,".tsv"),"")),0)),"notfound")</f>
        <v>10.1007%2Fs00429-013-0660-1_Table1.tsv</v>
      </c>
      <c r="M645" s="20" t="s">
        <v>3580</v>
      </c>
      <c r="N645" s="20" t="s">
        <v>3482</v>
      </c>
      <c r="O645" s="20" t="s">
        <v>3552</v>
      </c>
      <c r="P645" s="20" t="s">
        <v>3484</v>
      </c>
      <c r="Q645" s="20" t="s">
        <v>3581</v>
      </c>
      <c r="R645" s="20" t="s">
        <v>3582</v>
      </c>
      <c r="S645" s="20"/>
      <c r="T645" s="20"/>
      <c r="U645" s="20" t="s">
        <v>3583</v>
      </c>
      <c r="V645" s="20" t="s">
        <v>3584</v>
      </c>
      <c r="W645" s="20" t="s">
        <v>319</v>
      </c>
      <c r="X645" s="20" t="s">
        <v>3584</v>
      </c>
      <c r="Y645" s="20"/>
      <c r="Z645" s="20"/>
      <c r="AA645" s="20" t="s">
        <v>3585</v>
      </c>
      <c r="AB645" s="20"/>
      <c r="AC645" s="20" t="s">
        <v>3586</v>
      </c>
      <c r="AD645" s="20" t="s">
        <v>3586</v>
      </c>
      <c r="AE645" s="20" t="s">
        <v>70</v>
      </c>
      <c r="AF645" s="20" t="s">
        <v>3587</v>
      </c>
      <c r="AG645" s="20"/>
      <c r="AH645" s="20" t="s">
        <v>3490</v>
      </c>
    </row>
    <row r="646" spans="1:36" ht="15" customHeight="1" x14ac:dyDescent="0.2">
      <c r="A646" s="20" t="s">
        <v>3579</v>
      </c>
      <c r="B646" s="20"/>
      <c r="C646" s="20"/>
      <c r="D646" s="20" t="s">
        <v>2170</v>
      </c>
      <c r="E646" s="18" t="str">
        <f t="shared" si="100"/>
        <v>Patzke</v>
      </c>
      <c r="F646" s="17"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6" s="17" t="str">
        <f t="shared" si="101"/>
        <v>2015</v>
      </c>
      <c r="H646" s="18" t="str">
        <f t="shared" si="102"/>
        <v>Patzke_etal_2015</v>
      </c>
      <c r="I646" s="18" t="str">
        <f t="shared" si="99"/>
        <v>10.1007%2Fs00429-013-0660-1</v>
      </c>
      <c r="J646" s="18" t="str">
        <f t="shared" si="103"/>
        <v>Patzke_etal_2015_Table2</v>
      </c>
      <c r="K646" s="17" t="str">
        <f t="shared" si="98"/>
        <v>10.1007%2Fs00429-013-0660-1_Table2</v>
      </c>
      <c r="L646" s="17" t="str">
        <f t="array" ref="L646">IFERROR(INDEX(AUTO_Public_TSV_FileList!$A$1:$A$1000,MATCH(TRUE(),EXACT(K646,IFERROR(_xlfn.TEXTBEFORE(AUTO_Public_TSV_FileList!$A$1:$A$1000,".tsv"),"")),0)),"notfound")</f>
        <v>10.1007%2Fs00429-013-0660-1_Table2.tsv</v>
      </c>
      <c r="M646" s="20" t="s">
        <v>3588</v>
      </c>
      <c r="N646" s="20" t="s">
        <v>3482</v>
      </c>
      <c r="O646" s="20" t="s">
        <v>3552</v>
      </c>
      <c r="P646" s="20" t="s">
        <v>3484</v>
      </c>
      <c r="Q646" s="20" t="s">
        <v>3589</v>
      </c>
      <c r="R646" s="20" t="s">
        <v>3582</v>
      </c>
      <c r="S646" s="20"/>
      <c r="T646" s="20"/>
      <c r="U646" s="20" t="s">
        <v>3590</v>
      </c>
      <c r="V646" s="20" t="s">
        <v>3591</v>
      </c>
      <c r="W646" s="20" t="s">
        <v>319</v>
      </c>
      <c r="X646" s="20" t="s">
        <v>3591</v>
      </c>
      <c r="Y646" s="20"/>
      <c r="Z646" s="20"/>
      <c r="AA646" s="20" t="s">
        <v>3592</v>
      </c>
      <c r="AB646" s="20"/>
      <c r="AC646" s="20" t="s">
        <v>3586</v>
      </c>
      <c r="AD646" s="20" t="s">
        <v>3586</v>
      </c>
      <c r="AE646" s="20" t="s">
        <v>70</v>
      </c>
      <c r="AF646" s="20" t="s">
        <v>3593</v>
      </c>
      <c r="AG646" s="20"/>
      <c r="AH646" s="20" t="s">
        <v>3490</v>
      </c>
    </row>
    <row r="647" spans="1:36" ht="15" customHeight="1" x14ac:dyDescent="0.2">
      <c r="A647" s="20" t="s">
        <v>4548</v>
      </c>
      <c r="B647" s="20"/>
      <c r="C647" s="20"/>
      <c r="D647" s="20" t="s">
        <v>86</v>
      </c>
      <c r="E647" s="18" t="str">
        <f t="shared" si="100"/>
        <v>Pellis</v>
      </c>
      <c r="F647" s="17"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Iwaniuk</v>
      </c>
      <c r="G647" s="17" t="str">
        <f t="shared" si="101"/>
        <v>2000</v>
      </c>
      <c r="H647" s="18" t="str">
        <f t="shared" si="102"/>
        <v>Pellis_Iwaniuk_2000</v>
      </c>
      <c r="I647" s="18" t="str">
        <f t="shared" si="99"/>
        <v>10.1046%2Fj.1439-0310.2000.00627.x</v>
      </c>
      <c r="J647" s="18" t="str">
        <f t="shared" si="103"/>
        <v>Pellis_Iwaniuk_2000_Table1</v>
      </c>
      <c r="K647" s="17" t="str">
        <f t="shared" si="98"/>
        <v>10.1046%2Fj.1439-0310.2000.00627.x_Table1</v>
      </c>
      <c r="L647" s="17" t="str">
        <f t="array" ref="L647">IFERROR(INDEX(AUTO_Public_TSV_FileList!$A$1:$A$1000,MATCH(TRUE(),EXACT(K647,IFERROR(_xlfn.TEXTBEFORE(AUTO_Public_TSV_FileList!$A$1:$A$1000,".tsv"),"")),0)),"notfound")</f>
        <v>notfound</v>
      </c>
      <c r="M647" s="20" t="s">
        <v>4550</v>
      </c>
      <c r="N647" s="20" t="s">
        <v>4567</v>
      </c>
      <c r="O647" s="20" t="s">
        <v>4599</v>
      </c>
      <c r="P647" s="20" t="s">
        <v>4600</v>
      </c>
      <c r="Q647" s="20" t="s">
        <v>4601</v>
      </c>
      <c r="R647" s="20" t="s">
        <v>4602</v>
      </c>
      <c r="S647" s="20" t="s">
        <v>4603</v>
      </c>
      <c r="T647" s="20" t="s">
        <v>4604</v>
      </c>
      <c r="U647" s="20"/>
      <c r="V647" s="20" t="s">
        <v>4605</v>
      </c>
      <c r="W647" s="20" t="s">
        <v>187</v>
      </c>
      <c r="X647" s="20" t="s">
        <v>4606</v>
      </c>
      <c r="Y647" s="20"/>
      <c r="Z647" s="20" t="s">
        <v>4607</v>
      </c>
      <c r="AA647" s="20" t="s">
        <v>4608</v>
      </c>
      <c r="AB647" s="20" t="s">
        <v>4609</v>
      </c>
      <c r="AC647" s="20" t="s">
        <v>4610</v>
      </c>
      <c r="AD647" s="20" t="s">
        <v>689</v>
      </c>
      <c r="AE647" s="20" t="s">
        <v>50</v>
      </c>
      <c r="AF647" s="20"/>
      <c r="AG647" s="20" t="s">
        <v>4611</v>
      </c>
      <c r="AH647" s="20" t="s">
        <v>4612</v>
      </c>
    </row>
    <row r="648" spans="1:36" ht="15" customHeight="1" x14ac:dyDescent="0.2">
      <c r="A648" s="20" t="s">
        <v>2596</v>
      </c>
      <c r="B648" s="20"/>
      <c r="C648" s="20"/>
      <c r="D648" s="20" t="s">
        <v>160</v>
      </c>
      <c r="E648" s="17" t="str">
        <f t="shared" si="100"/>
        <v>Peruffo</v>
      </c>
      <c r="F648" s="17"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17" t="str">
        <f t="shared" si="101"/>
        <v>2019</v>
      </c>
      <c r="H648" s="17" t="str">
        <f t="shared" si="102"/>
        <v>Peruffo_etal_2019</v>
      </c>
      <c r="I648" s="17" t="str">
        <f>_xlfn.LET(
_xlpm.doi,IF(C648&lt;&gt;"",C648,_xlfn.TEXTAFTER(A648,"https://doi.org/")),
SUBSTITUTE(
SUBSTITUTE(
SUBSTITUTE(
SUBSTITUTE(
_xlpm.doi,
"/","%2F"),
":","%3A"),
"&lt;","%3C"),
"&gt;","%3E")
)</f>
        <v>10.1007%2Fs00429-019-01885-x</v>
      </c>
      <c r="J648" s="17" t="str">
        <f t="shared" si="103"/>
        <v>Peruffo_etal_2019_Table2</v>
      </c>
      <c r="K648" s="17" t="str">
        <f t="shared" si="98"/>
        <v>10.1007%2Fs00429-019-01885-x_Table2</v>
      </c>
      <c r="L648" s="17" t="str">
        <f t="array" ref="L648">IFERROR(INDEX(AUTO_Public_TSV_FileList!$A$1:$A$1000,MATCH(TRUE(),EXACT(K648,IFERROR(_xlfn.TEXTBEFORE(AUTO_Public_TSV_FileList!$A$1:$A$1000,".tsv"),"")),0)),"notfound")</f>
        <v>10.1007%2Fs00429-019-01885-x_Table2.tsv</v>
      </c>
      <c r="M648" s="20"/>
      <c r="N648" s="19" t="s">
        <v>54</v>
      </c>
      <c r="O648" s="20"/>
      <c r="P648" s="20" t="s">
        <v>55</v>
      </c>
      <c r="Q648" s="20"/>
      <c r="R648" s="20" t="s">
        <v>2597</v>
      </c>
      <c r="S648" s="20"/>
      <c r="T648" s="20"/>
      <c r="U648" s="20"/>
      <c r="V648" s="20" t="s">
        <v>1899</v>
      </c>
      <c r="W648" s="20" t="s">
        <v>2598</v>
      </c>
      <c r="X648" s="20" t="s">
        <v>2599</v>
      </c>
      <c r="Y648" s="20"/>
      <c r="Z648" s="20" t="s">
        <v>2600</v>
      </c>
      <c r="AA648" s="20"/>
      <c r="AB648" s="20" t="s">
        <v>2601</v>
      </c>
      <c r="AC648" s="20"/>
      <c r="AD648" s="20"/>
      <c r="AE648" s="20" t="s">
        <v>50</v>
      </c>
      <c r="AF648" s="20"/>
      <c r="AG648" s="20"/>
      <c r="AH648" s="20"/>
    </row>
    <row r="649" spans="1:36" ht="15" customHeight="1" x14ac:dyDescent="0.2">
      <c r="A649" s="19" t="s">
        <v>2596</v>
      </c>
      <c r="B649" s="20"/>
      <c r="C649" s="20"/>
      <c r="D649" s="19" t="s">
        <v>160</v>
      </c>
      <c r="E649" s="17" t="str">
        <f t="shared" si="100"/>
        <v>Peruffo</v>
      </c>
      <c r="F649" s="17"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17" t="str">
        <f t="shared" si="101"/>
        <v>2019</v>
      </c>
      <c r="H649" s="17" t="str">
        <f t="shared" si="102"/>
        <v>Peruffo_etal_2019</v>
      </c>
      <c r="I649" s="17" t="str">
        <f>_xlfn.LET(
_xlpm.doi,IF(C649&lt;&gt;"",C649,_xlfn.TEXTAFTER(A649,"https://doi.org/")),
SUBSTITUTE(
SUBSTITUTE(
SUBSTITUTE(
SUBSTITUTE(
_xlpm.doi,
"/","%2F"),
":","%3A"),
"&lt;","%3C"),
"&gt;","%3E")
)</f>
        <v>10.1007%2Fs00429-019-01885-x</v>
      </c>
      <c r="J649" s="17" t="str">
        <f t="shared" si="103"/>
        <v>Peruffo_etal_2019_Table2</v>
      </c>
      <c r="K649" s="17" t="str">
        <f t="shared" si="98"/>
        <v>10.1007%2Fs00429-019-01885-x_Table2</v>
      </c>
      <c r="L649" s="17" t="str">
        <f t="array" ref="L649">IFERROR(INDEX(AUTO_Public_TSV_FileList!$A$1:$A$1000,MATCH(TRUE(),EXACT(K649,IFERROR(_xlfn.TEXTBEFORE(AUTO_Public_TSV_FileList!$A$1:$A$1000,".tsv"),"")),0)),"notfound")</f>
        <v>10.1007%2Fs00429-019-01885-x_Table2.tsv</v>
      </c>
      <c r="M649" s="20"/>
      <c r="N649" s="19" t="s">
        <v>54</v>
      </c>
      <c r="O649" s="20"/>
      <c r="P649" s="20" t="s">
        <v>55</v>
      </c>
      <c r="Q649" s="20"/>
      <c r="R649" s="20" t="s">
        <v>2597</v>
      </c>
      <c r="S649" s="20"/>
      <c r="T649" s="20"/>
      <c r="U649" s="20"/>
      <c r="V649" s="20" t="s">
        <v>1899</v>
      </c>
      <c r="W649" s="19" t="s">
        <v>2598</v>
      </c>
      <c r="X649" s="19" t="s">
        <v>2599</v>
      </c>
      <c r="Y649" s="20"/>
      <c r="Z649" s="20" t="s">
        <v>2600</v>
      </c>
      <c r="AA649" s="19" t="s">
        <v>82</v>
      </c>
      <c r="AB649" s="19" t="s">
        <v>2601</v>
      </c>
      <c r="AC649" s="19" t="s">
        <v>589</v>
      </c>
      <c r="AD649" s="20"/>
      <c r="AE649" s="19" t="s">
        <v>50</v>
      </c>
      <c r="AF649" s="19"/>
      <c r="AG649" s="20"/>
      <c r="AH649" s="20"/>
    </row>
    <row r="650" spans="1:36" ht="15" customHeight="1" x14ac:dyDescent="0.2">
      <c r="A650" s="19" t="s">
        <v>2596</v>
      </c>
      <c r="B650" s="20"/>
      <c r="C650" s="20"/>
      <c r="D650" s="19" t="s">
        <v>160</v>
      </c>
      <c r="E650" s="17" t="str">
        <f t="shared" si="100"/>
        <v>Peruffo</v>
      </c>
      <c r="F650" s="17"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0" s="17" t="str">
        <f t="shared" si="101"/>
        <v>2019</v>
      </c>
      <c r="H650" s="17" t="str">
        <f t="shared" si="102"/>
        <v>Peruffo_etal_2019</v>
      </c>
      <c r="I650" s="17" t="str">
        <f>_xlfn.LET(
_xlpm.doi,IF(C650&lt;&gt;"",C650,_xlfn.TEXTAFTER(A650,"https://doi.org/")),
SUBSTITUTE(
SUBSTITUTE(
SUBSTITUTE(
SUBSTITUTE(
_xlpm.doi,
"/","%2F"),
":","%3A"),
"&lt;","%3C"),
"&gt;","%3E")
)</f>
        <v>10.1007%2Fs00429-019-01885-x</v>
      </c>
      <c r="J650" s="17" t="str">
        <f t="shared" si="103"/>
        <v>Peruffo_etal_2019_Table2</v>
      </c>
      <c r="K650" s="17" t="str">
        <f t="shared" si="98"/>
        <v>10.1007%2Fs00429-019-01885-x_Table2</v>
      </c>
      <c r="L650" s="17" t="str">
        <f t="array" ref="L650">IFERROR(INDEX(AUTO_Public_TSV_FileList!$A$1:$A$1000,MATCH(TRUE(),EXACT(K650,IFERROR(_xlfn.TEXTBEFORE(AUTO_Public_TSV_FileList!$A$1:$A$1000,".tsv"),"")),0)),"notfound")</f>
        <v>10.1007%2Fs00429-019-01885-x_Table2.tsv</v>
      </c>
      <c r="M650" s="20"/>
      <c r="N650" s="19" t="s">
        <v>54</v>
      </c>
      <c r="O650" s="20"/>
      <c r="P650" s="20" t="s">
        <v>55</v>
      </c>
      <c r="Q650" s="20"/>
      <c r="R650" s="20" t="s">
        <v>2597</v>
      </c>
      <c r="S650" s="20"/>
      <c r="T650" s="20"/>
      <c r="U650" s="20"/>
      <c r="V650" s="20" t="s">
        <v>1899</v>
      </c>
      <c r="W650" s="19" t="s">
        <v>2598</v>
      </c>
      <c r="X650" s="19" t="s">
        <v>2599</v>
      </c>
      <c r="Y650" s="20"/>
      <c r="Z650" s="20" t="s">
        <v>2600</v>
      </c>
      <c r="AA650" s="19"/>
      <c r="AB650" s="19" t="s">
        <v>2601</v>
      </c>
      <c r="AC650" s="19" t="s">
        <v>48</v>
      </c>
      <c r="AD650" s="20"/>
      <c r="AE650" s="19" t="s">
        <v>50</v>
      </c>
      <c r="AF650" s="19"/>
      <c r="AG650" s="20"/>
      <c r="AH650" s="20"/>
    </row>
    <row r="651" spans="1:36" ht="15" customHeight="1" x14ac:dyDescent="0.2">
      <c r="A651" s="21" t="s">
        <v>2602</v>
      </c>
      <c r="B651" s="20"/>
      <c r="C651" s="20"/>
      <c r="D651" s="21" t="s">
        <v>160</v>
      </c>
      <c r="E651" s="17" t="str">
        <f t="shared" si="100"/>
        <v>Pettigrew</v>
      </c>
      <c r="F651" s="17"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17" t="str">
        <f t="shared" si="101"/>
        <v>1998</v>
      </c>
      <c r="H651" s="17" t="str">
        <f t="shared" si="102"/>
        <v>Pettigrew_etal_1998</v>
      </c>
      <c r="I651" s="17" t="str">
        <f>_xlfn.LET(
_xlpm.doi,IF(C651&lt;&gt;"",C651,_xlfn.TEXTAFTER(A651,"https://doi.org/")),
SUBSTITUTE(
SUBSTITUTE(
SUBSTITUTE(
SUBSTITUTE(
_xlpm.doi,
"/","%2F"),
":","%3A"),
"&lt;","%3C"),
"&gt;","%3E")
)</f>
        <v>10.1098%2Frstb.1998.0276</v>
      </c>
      <c r="J651" s="17" t="str">
        <f t="shared" si="103"/>
        <v>Pettigrew_etal_1998_Table2</v>
      </c>
      <c r="K651" s="17" t="str">
        <f>I651 &amp; "_" &amp; SUBSTITUTE(SUBSTITUTE(SUBSTITUTE(D651,CHAR(160),""), " ", ""), "_", "")</f>
        <v>10.1098%2Frstb.1998.0276_Table2</v>
      </c>
      <c r="L651" s="17" t="str">
        <f t="array" ref="L651">IFERROR(INDEX(AUTO_Public_TSV_FileList!$A$1:$A$1000,MATCH(TRUE(),EXACT(K651,IFERROR(_xlfn.TEXTBEFORE(AUTO_Public_TSV_FileList!$A$1:$A$1000,".tsv"),"")),0)),"notfound")</f>
        <v>10.1098%2Frstb.1998.0276_Table2.tsv</v>
      </c>
      <c r="M651" s="20" t="s">
        <v>2603</v>
      </c>
      <c r="N651" s="21" t="s">
        <v>54</v>
      </c>
      <c r="O651" s="21" t="s">
        <v>2604</v>
      </c>
      <c r="P651" s="21" t="s">
        <v>55</v>
      </c>
      <c r="Q651" s="20"/>
      <c r="R651" s="21" t="s">
        <v>2605</v>
      </c>
      <c r="S651" s="20"/>
      <c r="T651" s="20"/>
      <c r="U651" s="20"/>
      <c r="V651" s="21" t="s">
        <v>1403</v>
      </c>
      <c r="W651" s="21" t="s">
        <v>2606</v>
      </c>
      <c r="X651" s="21" t="s">
        <v>2607</v>
      </c>
      <c r="Y651" s="20"/>
      <c r="Z651" s="21" t="s">
        <v>2608</v>
      </c>
      <c r="AA651" s="21" t="s">
        <v>2609</v>
      </c>
      <c r="AB651" s="21" t="s">
        <v>2610</v>
      </c>
      <c r="AC651" s="21" t="s">
        <v>2611</v>
      </c>
      <c r="AD651" s="20"/>
      <c r="AE651" s="21" t="s">
        <v>70</v>
      </c>
      <c r="AF651" s="20"/>
      <c r="AG651" s="20"/>
      <c r="AH651" s="20"/>
    </row>
    <row r="652" spans="1:36" ht="15" customHeight="1" x14ac:dyDescent="0.2">
      <c r="A652" s="20" t="s">
        <v>2612</v>
      </c>
      <c r="B652" s="20"/>
      <c r="C652" s="20"/>
      <c r="D652" s="20" t="s">
        <v>86</v>
      </c>
      <c r="E652" s="18" t="str">
        <f t="shared" si="100"/>
        <v>Pettigrew</v>
      </c>
      <c r="F652" s="17"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17" t="str">
        <f t="shared" si="101"/>
        <v>1998</v>
      </c>
      <c r="H652" s="18" t="str">
        <f t="shared" si="102"/>
        <v>Pettigrew_etal_1998</v>
      </c>
      <c r="I652" s="18" t="str">
        <f>_xlfn.LET(_xlpm.doi,IF(C652&lt;&gt;"",C652,_xlfn.TEXTAFTER(A652,"https://doi.org/")),SUBSTITUTE(SUBSTITUTE(SUBSTITUTE(SUBSTITUTE(_xlpm.doi,"/","%2F"),":","%3A"),"&lt;","%3C"),"&gt;","%3E"))</f>
        <v>10.1098%2Frstb.1998.0276</v>
      </c>
      <c r="J652" s="18" t="str">
        <f t="shared" si="103"/>
        <v>Pettigrew_etal_1998_Table1</v>
      </c>
      <c r="K652" s="17" t="str">
        <f t="shared" ref="K652:K683" si="104">I652 &amp; "_" &amp; SUBSTITUTE(SUBSTITUTE(SUBSTITUTE(D652,CHAR(160),"")," ",""),"_","")</f>
        <v>10.1098%2Frstb.1998.0276_Table1</v>
      </c>
      <c r="L652" s="17" t="str">
        <f t="array" ref="L652">IFERROR(INDEX(AUTO_Public_TSV_FileList!$A$1:$A$1000,MATCH(TRUE(),EXACT(K652,IFERROR(_xlfn.TEXTBEFORE(AUTO_Public_TSV_FileList!$A$1:$A$1000,".tsv"),"")),0)),"notfound")</f>
        <v>10.1098%2Frstb.1998.0276_Table1.tsv</v>
      </c>
      <c r="M652" s="20" t="s">
        <v>2613</v>
      </c>
      <c r="N652" s="20" t="s">
        <v>88</v>
      </c>
      <c r="O652" s="20" t="s">
        <v>2614</v>
      </c>
      <c r="P652" s="20"/>
      <c r="Q652" s="20"/>
      <c r="R652" s="20" t="s">
        <v>2605</v>
      </c>
      <c r="S652" s="20"/>
      <c r="T652" s="20" t="s">
        <v>2615</v>
      </c>
      <c r="U652" s="20"/>
      <c r="V652" s="20" t="s">
        <v>897</v>
      </c>
      <c r="W652" s="20" t="s">
        <v>2616</v>
      </c>
      <c r="X652" s="20" t="s">
        <v>2617</v>
      </c>
      <c r="Y652" s="20"/>
      <c r="Z652" s="20"/>
      <c r="AA652" s="20" t="s">
        <v>2618</v>
      </c>
      <c r="AB652" s="20" t="s">
        <v>2619</v>
      </c>
      <c r="AC652" s="20" t="s">
        <v>2611</v>
      </c>
      <c r="AD652" s="20"/>
      <c r="AE652" s="20" t="s">
        <v>50</v>
      </c>
      <c r="AF652" s="20"/>
      <c r="AG652" s="20" t="s">
        <v>2620</v>
      </c>
      <c r="AH652" s="20"/>
    </row>
    <row r="653" spans="1:36" ht="15" customHeight="1" x14ac:dyDescent="0.2">
      <c r="A653" s="20" t="s">
        <v>2612</v>
      </c>
      <c r="B653" s="20"/>
      <c r="C653" s="20"/>
      <c r="D653" s="20" t="s">
        <v>160</v>
      </c>
      <c r="E653" s="18" t="str">
        <f t="shared" si="100"/>
        <v>Pettigrew</v>
      </c>
      <c r="F653" s="17"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17" t="str">
        <f t="shared" si="101"/>
        <v>1998</v>
      </c>
      <c r="H653" s="18" t="str">
        <f t="shared" si="102"/>
        <v>Pettigrew_etal_1998</v>
      </c>
      <c r="I653" s="18" t="str">
        <f>_xlfn.LET(_xlpm.doi,IF(C653&lt;&gt;"",C653,_xlfn.TEXTAFTER(A653,"https://doi.org/")),SUBSTITUTE(SUBSTITUTE(SUBSTITUTE(SUBSTITUTE(_xlpm.doi,"/","%2F"),":","%3A"),"&lt;","%3C"),"&gt;","%3E"))</f>
        <v>10.1098%2Frstb.1998.0276</v>
      </c>
      <c r="J653" s="18" t="str">
        <f t="shared" si="103"/>
        <v>Pettigrew_etal_1998_Table2</v>
      </c>
      <c r="K653" s="17" t="str">
        <f t="shared" si="104"/>
        <v>10.1098%2Frstb.1998.0276_Table2</v>
      </c>
      <c r="L653" s="17" t="str">
        <f t="array" ref="L653">IFERROR(INDEX(AUTO_Public_TSV_FileList!$A$1:$A$1000,MATCH(TRUE(),EXACT(K653,IFERROR(_xlfn.TEXTBEFORE(AUTO_Public_TSV_FileList!$A$1:$A$1000,".tsv"),"")),0)),"notfound")</f>
        <v>10.1098%2Frstb.1998.0276_Table2.tsv</v>
      </c>
      <c r="M653" s="20" t="s">
        <v>2603</v>
      </c>
      <c r="N653" s="20" t="s">
        <v>88</v>
      </c>
      <c r="O653" s="20" t="s">
        <v>2621</v>
      </c>
      <c r="P653" s="20"/>
      <c r="Q653" s="20"/>
      <c r="R653" s="20" t="s">
        <v>2605</v>
      </c>
      <c r="S653" s="20"/>
      <c r="T653" s="20" t="s">
        <v>2622</v>
      </c>
      <c r="U653" s="20"/>
      <c r="V653" s="20" t="s">
        <v>897</v>
      </c>
      <c r="W653" s="20" t="s">
        <v>2623</v>
      </c>
      <c r="X653" s="20" t="s">
        <v>2624</v>
      </c>
      <c r="Y653" s="20" t="s">
        <v>2625</v>
      </c>
      <c r="Z653" s="20"/>
      <c r="AA653" s="20" t="s">
        <v>2626</v>
      </c>
      <c r="AB653" s="20" t="s">
        <v>2627</v>
      </c>
      <c r="AC653" s="20" t="s">
        <v>2611</v>
      </c>
      <c r="AD653" s="20"/>
      <c r="AE653" s="20" t="s">
        <v>70</v>
      </c>
      <c r="AF653" s="20"/>
      <c r="AG653" s="20" t="s">
        <v>2628</v>
      </c>
      <c r="AH653" s="20"/>
    </row>
    <row r="654" spans="1:36" ht="15" customHeight="1" x14ac:dyDescent="0.2">
      <c r="A654" s="20" t="s">
        <v>2612</v>
      </c>
      <c r="B654" s="20"/>
      <c r="C654" s="20"/>
      <c r="D654" s="20" t="s">
        <v>93</v>
      </c>
      <c r="E654" s="18" t="str">
        <f t="shared" si="100"/>
        <v>Pettigrew</v>
      </c>
      <c r="F654" s="17"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17" t="str">
        <f t="shared" si="101"/>
        <v>1998</v>
      </c>
      <c r="H654" s="18" t="str">
        <f t="shared" si="102"/>
        <v>Pettigrew_etal_1998</v>
      </c>
      <c r="I654" s="18" t="str">
        <f>_xlfn.LET(_xlpm.doi,IF(C654&lt;&gt;"",C654,_xlfn.TEXTAFTER(A654,"https://doi.org/")),SUBSTITUTE(SUBSTITUTE(SUBSTITUTE(SUBSTITUTE(_xlpm.doi,"/","%2F"),":","%3A"),"&lt;","%3C"),"&gt;","%3E"))</f>
        <v>10.1098%2Frstb.1998.0276</v>
      </c>
      <c r="J654" s="18" t="str">
        <f t="shared" si="103"/>
        <v>Pettigrew_etal_1998_Text</v>
      </c>
      <c r="K654" s="17" t="str">
        <f t="shared" si="104"/>
        <v>10.1098%2Frstb.1998.0276_Text</v>
      </c>
      <c r="L654" s="17" t="str">
        <f t="array" ref="L654">IFERROR(INDEX(AUTO_Public_TSV_FileList!$A$1:$A$1000,MATCH(TRUE(),EXACT(K654,IFERROR(_xlfn.TEXTBEFORE(AUTO_Public_TSV_FileList!$A$1:$A$1000,".tsv"),"")),0)),"notfound")</f>
        <v>10.1098%2Frstb.1998.0276_Text.tsv</v>
      </c>
      <c r="M654" s="20" t="s">
        <v>2629</v>
      </c>
      <c r="N654" s="20" t="s">
        <v>659</v>
      </c>
      <c r="O654" s="20" t="s">
        <v>2630</v>
      </c>
      <c r="P654" s="20"/>
      <c r="Q654" s="20"/>
      <c r="R654" s="20" t="s">
        <v>2605</v>
      </c>
      <c r="S654" s="20"/>
      <c r="T654" s="20" t="s">
        <v>2631</v>
      </c>
      <c r="U654" s="20"/>
      <c r="V654" s="20" t="s">
        <v>2632</v>
      </c>
      <c r="W654" s="20" t="s">
        <v>2616</v>
      </c>
      <c r="X654" s="20" t="s">
        <v>2633</v>
      </c>
      <c r="Y654" s="20"/>
      <c r="Z654" s="20"/>
      <c r="AA654" s="20" t="s">
        <v>2634</v>
      </c>
      <c r="AB654" s="20" t="s">
        <v>2635</v>
      </c>
      <c r="AC654" s="20" t="s">
        <v>2611</v>
      </c>
      <c r="AD654" s="20"/>
      <c r="AE654" s="20" t="s">
        <v>70</v>
      </c>
      <c r="AF654" s="20" t="s">
        <v>2636</v>
      </c>
      <c r="AG654" s="20" t="s">
        <v>1583</v>
      </c>
      <c r="AH654" s="20"/>
    </row>
    <row r="655" spans="1:36" ht="15" customHeight="1" x14ac:dyDescent="0.2">
      <c r="A655" s="20" t="s">
        <v>2637</v>
      </c>
      <c r="B655" s="20"/>
      <c r="C655" s="21" t="s">
        <v>2638</v>
      </c>
      <c r="D655" s="20" t="s">
        <v>369</v>
      </c>
      <c r="E655" s="17" t="str">
        <f t="shared" si="100"/>
        <v>Pirlot</v>
      </c>
      <c r="F655" s="17"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5" s="17" t="str">
        <f t="shared" si="101"/>
        <v>1981</v>
      </c>
      <c r="H655" s="17" t="str">
        <f t="shared" si="102"/>
        <v>Pirlot__1981</v>
      </c>
      <c r="I655" s="17" t="str">
        <f t="shared" ref="I655:I661" si="105">_xlfn.LET(
_xlpm.doi,IF(C655&lt;&gt;"",C655,_xlfn.TEXTAFTER(A655,"https://doi.org/")),
SUBSTITUTE(
SUBSTITUTE(
SUBSTITUTE(
SUBSTITUTE(
_xlpm.doi,
"/","%2F"),
":","%3A"),
"&lt;","%3C"),
"&gt;","%3E")
)</f>
        <v>PMID%3A7280305</v>
      </c>
      <c r="J655" s="17" t="str">
        <f t="shared" si="103"/>
        <v>Pirlot__1981_TABLEI</v>
      </c>
      <c r="K655" s="17" t="str">
        <f t="shared" si="104"/>
        <v>PMID%3A7280305_TABLEI</v>
      </c>
      <c r="L655" s="17" t="str">
        <f t="array" ref="L655">IFERROR(INDEX(AUTO_Public_TSV_FileList!$A$1:$A$1000,MATCH(TRUE(),EXACT(K655,IFERROR(_xlfn.TEXTBEFORE(AUTO_Public_TSV_FileList!$A$1:$A$1000,".tsv"),"")),0)),"notfound")</f>
        <v>PMID%3A7280305_TABLEI.tsv</v>
      </c>
      <c r="M655" s="20"/>
      <c r="N655" s="20" t="s">
        <v>54</v>
      </c>
      <c r="O655" s="20"/>
      <c r="P655" s="20"/>
      <c r="Q655" s="20"/>
      <c r="R655" s="20"/>
      <c r="S655" s="20"/>
      <c r="T655" s="20"/>
      <c r="U655" s="20"/>
      <c r="V655" s="20"/>
      <c r="W655" s="20"/>
      <c r="X655" s="20"/>
      <c r="Y655" s="20"/>
      <c r="Z655" s="20"/>
      <c r="AA655" s="20"/>
      <c r="AB655" s="20"/>
      <c r="AC655" s="20"/>
      <c r="AD655" s="20"/>
      <c r="AE655" s="20"/>
      <c r="AF655" s="20"/>
      <c r="AG655" s="20"/>
      <c r="AH655" s="20"/>
    </row>
    <row r="656" spans="1:36" ht="15" customHeight="1" x14ac:dyDescent="0.2">
      <c r="A656" s="20" t="s">
        <v>2637</v>
      </c>
      <c r="B656" s="20"/>
      <c r="C656" s="21" t="s">
        <v>2638</v>
      </c>
      <c r="D656" s="20" t="s">
        <v>379</v>
      </c>
      <c r="E656" s="17" t="str">
        <f t="shared" si="100"/>
        <v>Pirlot</v>
      </c>
      <c r="F656" s="17"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6" s="17" t="str">
        <f t="shared" si="101"/>
        <v>1981</v>
      </c>
      <c r="H656" s="17" t="str">
        <f t="shared" si="102"/>
        <v>Pirlot__1981</v>
      </c>
      <c r="I656" s="17" t="str">
        <f t="shared" si="105"/>
        <v>PMID%3A7280305</v>
      </c>
      <c r="J656" s="17" t="str">
        <f t="shared" si="103"/>
        <v>Pirlot__1981_TABLEII</v>
      </c>
      <c r="K656" s="17" t="str">
        <f t="shared" si="104"/>
        <v>PMID%3A7280305_TABLEII</v>
      </c>
      <c r="L656" s="17" t="str">
        <f t="array" ref="L656">IFERROR(INDEX(AUTO_Public_TSV_FileList!$A$1:$A$1000,MATCH(TRUE(),EXACT(K656,IFERROR(_xlfn.TEXTBEFORE(AUTO_Public_TSV_FileList!$A$1:$A$1000,".tsv"),"")),0)),"notfound")</f>
        <v>PMID%3A7280305_TABLEII.tsv</v>
      </c>
      <c r="M656" s="20"/>
      <c r="N656" s="20" t="s">
        <v>54</v>
      </c>
      <c r="O656" s="20"/>
      <c r="P656" s="20"/>
      <c r="Q656" s="20"/>
      <c r="R656" s="20"/>
      <c r="S656" s="20" t="s">
        <v>2639</v>
      </c>
      <c r="T656" s="20"/>
      <c r="U656" s="20"/>
      <c r="V656" s="20"/>
      <c r="W656" s="20"/>
      <c r="X656" s="20"/>
      <c r="Y656" s="20"/>
      <c r="Z656" s="20"/>
      <c r="AA656" s="20"/>
      <c r="AB656" s="20"/>
      <c r="AC656" s="20"/>
      <c r="AD656" s="20"/>
      <c r="AE656" s="20"/>
      <c r="AF656" s="20"/>
      <c r="AG656" s="20"/>
      <c r="AH656" s="20"/>
    </row>
    <row r="657" spans="1:34" ht="15" customHeight="1" x14ac:dyDescent="0.2">
      <c r="A657" s="20" t="s">
        <v>2640</v>
      </c>
      <c r="B657" s="20"/>
      <c r="C657" s="20" t="s">
        <v>2641</v>
      </c>
      <c r="D657" s="20" t="s">
        <v>86</v>
      </c>
      <c r="E657" s="17" t="str">
        <f t="shared" si="100"/>
        <v>Pirlot</v>
      </c>
      <c r="F657" s="17"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657" s="17" t="str">
        <f t="shared" si="101"/>
        <v>1985</v>
      </c>
      <c r="H657" s="17" t="str">
        <f t="shared" si="102"/>
        <v>Pirlot_Jiao_1985</v>
      </c>
      <c r="I657" s="17" t="str">
        <f t="shared" si="105"/>
        <v>PMID%3A3989277</v>
      </c>
      <c r="J657" s="17" t="str">
        <f t="shared" si="103"/>
        <v>Pirlot_Jiao_1985_Table1</v>
      </c>
      <c r="K657" s="17" t="str">
        <f t="shared" si="104"/>
        <v>PMID%3A3989277_Table1</v>
      </c>
      <c r="L657" s="17" t="str">
        <f t="array" ref="L657">IFERROR(INDEX(AUTO_Public_TSV_FileList!$A$1:$A$1000,MATCH(TRUE(),EXACT(K657,IFERROR(_xlfn.TEXTBEFORE(AUTO_Public_TSV_FileList!$A$1:$A$1000,".tsv"),"")),0)),"notfound")</f>
        <v>PMID%3A3989277_Table1.tsv</v>
      </c>
      <c r="M657" s="20"/>
      <c r="N657" s="20"/>
      <c r="O657" s="20"/>
      <c r="P657" s="20"/>
      <c r="Q657" s="20"/>
      <c r="R657" s="20"/>
      <c r="S657" s="20"/>
      <c r="T657" s="20"/>
      <c r="U657" s="20"/>
      <c r="V657" s="20"/>
      <c r="W657" s="20"/>
      <c r="X657" s="20"/>
      <c r="Y657" s="20"/>
      <c r="Z657" s="20"/>
      <c r="AA657" s="20"/>
      <c r="AB657" s="20"/>
      <c r="AC657" s="20"/>
      <c r="AD657" s="20"/>
      <c r="AE657" s="20"/>
      <c r="AF657" s="20"/>
      <c r="AG657" s="20"/>
      <c r="AH657" s="20"/>
    </row>
    <row r="658" spans="1:34" ht="15" customHeight="1" x14ac:dyDescent="0.2">
      <c r="A658" s="21" t="s">
        <v>2642</v>
      </c>
      <c r="B658" s="21"/>
      <c r="C658" s="20"/>
      <c r="D658" s="21" t="s">
        <v>86</v>
      </c>
      <c r="E658" s="17" t="str">
        <f t="shared" si="100"/>
        <v>Pirlot</v>
      </c>
      <c r="F658" s="17"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658" s="17" t="str">
        <f t="shared" si="101"/>
        <v>1982</v>
      </c>
      <c r="H658" s="17" t="str">
        <f t="shared" si="102"/>
        <v>Pirlot_Kamiya_1982</v>
      </c>
      <c r="I658" s="17" t="str">
        <f t="shared" si="105"/>
        <v>10.1139%2FZ82-084</v>
      </c>
      <c r="J658" s="17" t="str">
        <f t="shared" si="103"/>
        <v>Pirlot_Kamiya_1982_Table1</v>
      </c>
      <c r="K658" s="17" t="str">
        <f t="shared" si="104"/>
        <v>10.1139%2FZ82-084_Table1</v>
      </c>
      <c r="L658" s="17" t="str">
        <f t="array" ref="L658">IFERROR(INDEX(AUTO_Public_TSV_FileList!$A$1:$A$1000,MATCH(TRUE(),EXACT(K658,IFERROR(_xlfn.TEXTBEFORE(AUTO_Public_TSV_FileList!$A$1:$A$1000,".tsv"),"")),0)),"notfound")</f>
        <v>10.1139%2FZ82-084_Table1.tsv</v>
      </c>
      <c r="M658" s="20"/>
      <c r="N658" s="19" t="s">
        <v>54</v>
      </c>
      <c r="O658" s="20"/>
      <c r="P658" s="21" t="s">
        <v>55</v>
      </c>
      <c r="Q658" s="21"/>
      <c r="R658" s="21"/>
      <c r="S658" s="21" t="s">
        <v>1061</v>
      </c>
      <c r="T658" s="21" t="s">
        <v>1062</v>
      </c>
      <c r="U658" s="21"/>
      <c r="V658" s="21" t="s">
        <v>1063</v>
      </c>
      <c r="W658" s="21" t="s">
        <v>2643</v>
      </c>
      <c r="X658" s="21" t="s">
        <v>2644</v>
      </c>
      <c r="Y658" s="21"/>
      <c r="Z658" s="21"/>
      <c r="AA658" s="21" t="s">
        <v>2645</v>
      </c>
      <c r="AB658" s="21" t="s">
        <v>2646</v>
      </c>
      <c r="AC658" s="20"/>
      <c r="AD658" s="21"/>
      <c r="AE658" s="19" t="s">
        <v>70</v>
      </c>
      <c r="AF658" s="19"/>
      <c r="AG658" s="21" t="s">
        <v>2647</v>
      </c>
      <c r="AH658" s="20"/>
    </row>
    <row r="659" spans="1:34" ht="15" customHeight="1" x14ac:dyDescent="0.2">
      <c r="A659" s="21" t="s">
        <v>2648</v>
      </c>
      <c r="B659" s="21"/>
      <c r="C659" s="21"/>
      <c r="D659" s="21" t="s">
        <v>86</v>
      </c>
      <c r="E659" s="17" t="str">
        <f t="shared" si="100"/>
        <v>Pirlot</v>
      </c>
      <c r="F659" s="17"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659" s="17" t="str">
        <f t="shared" si="101"/>
        <v>1985</v>
      </c>
      <c r="H659" s="17" t="str">
        <f t="shared" si="102"/>
        <v>Pirlot_Kamiya_1985</v>
      </c>
      <c r="I659" s="17" t="str">
        <f t="shared" si="105"/>
        <v>10.1111%2Fj.1439-0469.1985.tb00577.x</v>
      </c>
      <c r="J659" s="17" t="str">
        <f t="shared" si="103"/>
        <v>Pirlot_Kamiya_1985_Table1</v>
      </c>
      <c r="K659" s="17" t="str">
        <f t="shared" si="104"/>
        <v>10.1111%2Fj.1439-0469.1985.tb00577.x_Table1</v>
      </c>
      <c r="L659" s="17" t="str">
        <f t="array" ref="L659">IFERROR(INDEX(AUTO_Public_TSV_FileList!$A$1:$A$1000,MATCH(TRUE(),EXACT(K659,IFERROR(_xlfn.TEXTBEFORE(AUTO_Public_TSV_FileList!$A$1:$A$1000,".tsv"),"")),0)),"notfound")</f>
        <v>10.1111%2Fj.1439-0469.1985.tb00577.x_Table1.tsv</v>
      </c>
      <c r="M659" s="20"/>
      <c r="N659" s="19" t="s">
        <v>54</v>
      </c>
      <c r="O659" s="20"/>
      <c r="P659" s="21" t="s">
        <v>55</v>
      </c>
      <c r="Q659" s="21"/>
      <c r="R659" s="21" t="s">
        <v>2649</v>
      </c>
      <c r="S659" s="21" t="s">
        <v>1061</v>
      </c>
      <c r="T659" s="21" t="s">
        <v>1062</v>
      </c>
      <c r="U659" s="21"/>
      <c r="V659" s="21" t="s">
        <v>1063</v>
      </c>
      <c r="W659" s="21" t="s">
        <v>1372</v>
      </c>
      <c r="X659" s="21" t="s">
        <v>2650</v>
      </c>
      <c r="Y659" s="21"/>
      <c r="Z659" s="21"/>
      <c r="AA659" s="21" t="s">
        <v>2651</v>
      </c>
      <c r="AB659" s="21" t="s">
        <v>2646</v>
      </c>
      <c r="AC659" s="20"/>
      <c r="AD659" s="21"/>
      <c r="AE659" s="21" t="s">
        <v>50</v>
      </c>
      <c r="AF659" s="21"/>
      <c r="AG659" s="21" t="s">
        <v>2652</v>
      </c>
      <c r="AH659" s="20"/>
    </row>
    <row r="660" spans="1:34" ht="15" customHeight="1" x14ac:dyDescent="0.2">
      <c r="A660" s="20" t="s">
        <v>2653</v>
      </c>
      <c r="B660" s="20"/>
      <c r="C660" s="20" t="s">
        <v>2654</v>
      </c>
      <c r="D660" s="20" t="s">
        <v>147</v>
      </c>
      <c r="E660" s="17" t="str">
        <f t="shared" si="100"/>
        <v>Pirlot</v>
      </c>
      <c r="F660" s="17"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660" s="17" t="str">
        <f t="shared" si="101"/>
        <v>1978</v>
      </c>
      <c r="H660" s="17" t="str">
        <f t="shared" si="102"/>
        <v>Pirlot_Nelson_1978</v>
      </c>
      <c r="I660" s="17" t="str">
        <f t="shared" si="105"/>
        <v>OCLC%3A1340515946</v>
      </c>
      <c r="J660" s="17" t="str">
        <f t="shared" si="103"/>
        <v>Pirlot_Nelson_1978_TABLE3</v>
      </c>
      <c r="K660" s="17" t="str">
        <f t="shared" si="104"/>
        <v>OCLC%3A1340515946_TABLE3</v>
      </c>
      <c r="L660" s="17" t="str">
        <f t="array" ref="L660">IFERROR(INDEX(AUTO_Public_TSV_FileList!$A$1:$A$1000,MATCH(TRUE(),EXACT(K660,IFERROR(_xlfn.TEXTBEFORE(AUTO_Public_TSV_FileList!$A$1:$A$1000,".tsv"),"")),0)),"notfound")</f>
        <v>OCLC%3A1340515946_TABLE3.tsv</v>
      </c>
      <c r="M660" s="20"/>
      <c r="N660" s="20"/>
      <c r="O660" s="20"/>
      <c r="P660" s="20"/>
      <c r="Q660" s="20"/>
      <c r="R660" s="20"/>
      <c r="S660" s="20"/>
      <c r="T660" s="20"/>
      <c r="U660" s="20"/>
      <c r="V660" s="20"/>
      <c r="W660" s="20"/>
      <c r="X660" s="20"/>
      <c r="Y660" s="20"/>
      <c r="Z660" s="20"/>
      <c r="AA660" s="20"/>
      <c r="AB660" s="20"/>
      <c r="AC660" s="20"/>
      <c r="AD660" s="20"/>
      <c r="AE660" s="20"/>
      <c r="AF660" s="20"/>
      <c r="AG660" s="20"/>
      <c r="AH660" s="20"/>
    </row>
    <row r="661" spans="1:34" ht="15" customHeight="1" x14ac:dyDescent="0.2">
      <c r="A661" s="20" t="s">
        <v>2655</v>
      </c>
      <c r="B661" s="20"/>
      <c r="C661" s="20"/>
      <c r="D661" s="20" t="s">
        <v>2521</v>
      </c>
      <c r="E661" s="17" t="str">
        <f t="shared" si="100"/>
        <v>Plotnik</v>
      </c>
      <c r="F661" s="17" t="str">
        <f>_xlfn.LET(
_xlpm.authors,_xlfn.TEXTBEFORE(A661," ("&amp;G661&amp;")"),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61" s="17" t="str">
        <f t="shared" si="101"/>
        <v>2006</v>
      </c>
      <c r="H661" s="17" t="str">
        <f t="shared" si="102"/>
        <v>Plotnik_etal_2006</v>
      </c>
      <c r="I661" s="17" t="str">
        <f t="shared" si="105"/>
        <v>10.1073%2Fpnas.0608062103</v>
      </c>
      <c r="J661" s="17" t="str">
        <f t="shared" si="103"/>
        <v>Plotnik_etal_2006_Figure3</v>
      </c>
      <c r="K661" s="17" t="str">
        <f t="shared" si="104"/>
        <v>10.1073%2Fpnas.0608062103_Figure3</v>
      </c>
      <c r="L661" s="17" t="str">
        <f>IFERROR(INDEX(AUTO_Public_TSV_FileList!$A$1:$A$1000,MATCH(TRUE(),EXACT(K661,IFERROR(_xlfn.TEXTBEFORE(AUTO_Public_TSV_FileList!$A$1:$A$1000,".tsv"),"")),0)),"notfound")</f>
        <v>notfound</v>
      </c>
      <c r="M661" s="20" t="s">
        <v>2521</v>
      </c>
      <c r="N661" s="20" t="s">
        <v>311</v>
      </c>
      <c r="O661" s="20" t="s">
        <v>2656</v>
      </c>
      <c r="P661" s="20" t="s">
        <v>313</v>
      </c>
      <c r="Q661" s="20" t="s">
        <v>2657</v>
      </c>
      <c r="R661" s="20" t="s">
        <v>2658</v>
      </c>
      <c r="S661" s="20" t="s">
        <v>316</v>
      </c>
      <c r="T661" s="20" t="s">
        <v>317</v>
      </c>
      <c r="U661" s="20"/>
      <c r="V661" s="20" t="s">
        <v>318</v>
      </c>
      <c r="W661" s="20" t="s">
        <v>319</v>
      </c>
      <c r="X661" s="20" t="s">
        <v>2659</v>
      </c>
      <c r="Y661" s="20"/>
      <c r="Z661" s="20"/>
      <c r="AA661" s="20" t="s">
        <v>2660</v>
      </c>
      <c r="AB661" s="20" t="s">
        <v>609</v>
      </c>
      <c r="AC661" s="20" t="s">
        <v>2661</v>
      </c>
      <c r="AD661" s="20"/>
      <c r="AE661" s="20" t="s">
        <v>50</v>
      </c>
      <c r="AF661" s="20"/>
      <c r="AG661" s="20" t="s">
        <v>324</v>
      </c>
      <c r="AH661" s="20" t="s">
        <v>325</v>
      </c>
    </row>
    <row r="662" spans="1:34" ht="15" customHeight="1" x14ac:dyDescent="0.2">
      <c r="A662" s="20" t="s">
        <v>3658</v>
      </c>
      <c r="B662" s="20"/>
      <c r="C662" s="20"/>
      <c r="D662" s="20" t="s">
        <v>554</v>
      </c>
      <c r="E662" s="18" t="str">
        <f t="shared" si="100"/>
        <v>Pontzer</v>
      </c>
      <c r="F662" s="17"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Kamilar</v>
      </c>
      <c r="G662" s="17" t="str">
        <f t="shared" si="101"/>
        <v>2009</v>
      </c>
      <c r="H662" s="18" t="str">
        <f t="shared" si="102"/>
        <v>Pontzer_Kamilar_2009</v>
      </c>
      <c r="I662" s="18" t="str">
        <f>_xlfn.LET(_xlpm.doi,IF(C662&lt;&gt;"",C662,_xlfn.TEXTAFTER(A662,"https://doi.org/")),SUBSTITUTE(SUBSTITUTE(SUBSTITUTE(SUBSTITUTE(_xlpm.doi,"/","%2F"),":","%3A"),"&lt;","%3C"),"&gt;","%3E"))</f>
        <v>10.1073%2Fpnas.0806105106</v>
      </c>
      <c r="J662" s="18" t="str">
        <f t="shared" si="103"/>
        <v>Pontzer_Kamilar_2009_TableS1</v>
      </c>
      <c r="K662" s="17" t="str">
        <f t="shared" si="104"/>
        <v>10.1073%2Fpnas.0806105106_TableS1</v>
      </c>
      <c r="L662" s="17" t="str">
        <f t="array" ref="L662">IFERROR(INDEX(AUTO_Public_TSV_FileList!$A$1:$A$1000,MATCH(TRUE(),EXACT(K662,IFERROR(_xlfn.TEXTBEFORE(AUTO_Public_TSV_FileList!$A$1:$A$1000,".tsv"),"")),0)),"notfound")</f>
        <v>10.1073%2Fpnas.0806105106_TableS1.tsv</v>
      </c>
      <c r="M662" s="20" t="s">
        <v>3659</v>
      </c>
      <c r="N662" s="20" t="s">
        <v>3482</v>
      </c>
      <c r="O662" s="20" t="s">
        <v>3626</v>
      </c>
      <c r="P662" s="20" t="s">
        <v>3484</v>
      </c>
      <c r="Q662" s="20" t="s">
        <v>3660</v>
      </c>
      <c r="R662" s="20" t="s">
        <v>3661</v>
      </c>
      <c r="S662" s="20"/>
      <c r="T662" s="20"/>
      <c r="U662" s="20" t="s">
        <v>3629</v>
      </c>
      <c r="V662" s="20" t="s">
        <v>3659</v>
      </c>
      <c r="W662" s="20" t="s">
        <v>319</v>
      </c>
      <c r="X662" s="20" t="s">
        <v>3659</v>
      </c>
      <c r="Y662" s="20"/>
      <c r="Z662" s="20"/>
      <c r="AA662" s="20" t="s">
        <v>3662</v>
      </c>
      <c r="AB662" s="20"/>
      <c r="AC662" s="20" t="s">
        <v>3663</v>
      </c>
      <c r="AD662" s="20" t="s">
        <v>3663</v>
      </c>
      <c r="AE662" s="20" t="s">
        <v>265</v>
      </c>
      <c r="AF662" s="20" t="s">
        <v>3640</v>
      </c>
      <c r="AG662" s="20"/>
      <c r="AH662" s="20" t="s">
        <v>3632</v>
      </c>
    </row>
    <row r="663" spans="1:34" ht="15" customHeight="1" x14ac:dyDescent="0.2">
      <c r="A663" s="20" t="s">
        <v>2662</v>
      </c>
      <c r="B663" s="20"/>
      <c r="C663" s="20"/>
      <c r="D663" s="20" t="s">
        <v>2663</v>
      </c>
      <c r="E663" s="17" t="str">
        <f t="shared" si="100"/>
        <v>Posada</v>
      </c>
      <c r="F663" s="17" t="str">
        <f>_xlfn.LET(
_xlpm.authors,_xlfn.TEXTBEFORE(A663," ("&amp;G663&amp;")"),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Colell</v>
      </c>
      <c r="G663" s="17" t="str">
        <f t="shared" si="101"/>
        <v>2007</v>
      </c>
      <c r="H663" s="17" t="str">
        <f t="shared" si="102"/>
        <v>Posada_Colell_2007</v>
      </c>
      <c r="I663" s="17" t="str">
        <f>_xlfn.LET(
_xlpm.doi,IF(C663&lt;&gt;"",C663,_xlfn.TEXTAFTER(A663,"https://doi.org/")),
SUBSTITUTE(
SUBSTITUTE(
SUBSTITUTE(
SUBSTITUTE(
_xlpm.doi,
"/","%2F"),
":","%3A"),
"&lt;","%3C"),
"&gt;","%3E")
)</f>
        <v>10.1002%2Fajp.20355</v>
      </c>
      <c r="J663" s="17" t="str">
        <f t="shared" si="103"/>
        <v>Posada_Colell_2007_TableI</v>
      </c>
      <c r="K663" s="17" t="str">
        <f t="shared" si="104"/>
        <v>10.1002%2Fajp.20355_TableI</v>
      </c>
      <c r="L663" s="17" t="str">
        <f>IFERROR(INDEX(AUTO_Public_TSV_FileList!$A$1:$A$1000,MATCH(TRUE(),EXACT(K663,IFERROR(_xlfn.TEXTBEFORE(AUTO_Public_TSV_FileList!$A$1:$A$1000,".tsv"),"")),0)),"notfound")</f>
        <v>notfound</v>
      </c>
      <c r="M663" s="20" t="s">
        <v>2663</v>
      </c>
      <c r="N663" s="20" t="s">
        <v>556</v>
      </c>
      <c r="O663" s="20" t="s">
        <v>2664</v>
      </c>
      <c r="P663" s="20" t="s">
        <v>313</v>
      </c>
      <c r="Q663" s="20" t="s">
        <v>2665</v>
      </c>
      <c r="R663" s="20" t="s">
        <v>2666</v>
      </c>
      <c r="S663" s="20" t="s">
        <v>316</v>
      </c>
      <c r="T663" s="20" t="s">
        <v>317</v>
      </c>
      <c r="U663" s="20"/>
      <c r="V663" s="20" t="s">
        <v>318</v>
      </c>
      <c r="W663" s="20" t="s">
        <v>319</v>
      </c>
      <c r="X663" s="20" t="s">
        <v>2667</v>
      </c>
      <c r="Y663" s="20"/>
      <c r="Z663" s="20"/>
      <c r="AA663" s="20" t="s">
        <v>2668</v>
      </c>
      <c r="AB663" s="20" t="s">
        <v>609</v>
      </c>
      <c r="AC663" s="20" t="s">
        <v>2669</v>
      </c>
      <c r="AD663" s="20"/>
      <c r="AE663" s="20" t="s">
        <v>50</v>
      </c>
      <c r="AF663" s="20"/>
      <c r="AG663" s="20" t="s">
        <v>324</v>
      </c>
      <c r="AH663" s="20" t="s">
        <v>325</v>
      </c>
    </row>
    <row r="664" spans="1:34" ht="15" customHeight="1" x14ac:dyDescent="0.2">
      <c r="A664" s="20" t="s">
        <v>2670</v>
      </c>
      <c r="B664" s="20"/>
      <c r="C664" s="20"/>
      <c r="D664" s="20" t="s">
        <v>2671</v>
      </c>
      <c r="E664" s="17" t="str">
        <f t="shared" si="100"/>
        <v>Povinelli</v>
      </c>
      <c r="F664" s="17" t="str">
        <f>_xlfn.LET(
_xlpm.authors,_xlfn.TEXTBEFORE(A664," ("&amp;G664&amp;")"),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64" s="17" t="str">
        <f t="shared" si="101"/>
        <v>1993</v>
      </c>
      <c r="H664" s="17" t="str">
        <f t="shared" si="102"/>
        <v>Povinelli_etal_1993</v>
      </c>
      <c r="I664" s="17" t="str">
        <f>_xlfn.LET(
_xlpm.doi,IF(C664&lt;&gt;"",C664,_xlfn.TEXTAFTER(A664,"https://doi.org/")),
SUBSTITUTE(
SUBSTITUTE(
SUBSTITUTE(
SUBSTITUTE(
_xlpm.doi,
"/","%2F"),
":","%3A"),
"&lt;","%3C"),
"&gt;","%3E")
)</f>
        <v>10.1037%2F0735-7036.107.4.347</v>
      </c>
      <c r="J664" s="17" t="str">
        <f t="shared" si="103"/>
        <v>Povinelli_etal_1993_Table5</v>
      </c>
      <c r="K664" s="17" t="str">
        <f t="shared" si="104"/>
        <v>10.1037%2F0735-7036.107.4.347_Table5</v>
      </c>
      <c r="L664" s="17" t="str">
        <f>IFERROR(INDEX(AUTO_Public_TSV_FileList!$A$1:$A$1000,MATCH(TRUE(),EXACT(K664,IFERROR(_xlfn.TEXTBEFORE(AUTO_Public_TSV_FileList!$A$1:$A$1000,".tsv"),"")),0)),"notfound")</f>
        <v>notfound</v>
      </c>
      <c r="M664" s="20" t="s">
        <v>2671</v>
      </c>
      <c r="N664" s="20" t="s">
        <v>556</v>
      </c>
      <c r="O664" s="20" t="s">
        <v>2672</v>
      </c>
      <c r="P664" s="20" t="s">
        <v>313</v>
      </c>
      <c r="Q664" s="20" t="s">
        <v>2673</v>
      </c>
      <c r="R664" s="20" t="s">
        <v>2674</v>
      </c>
      <c r="S664" s="20" t="s">
        <v>316</v>
      </c>
      <c r="T664" s="20" t="s">
        <v>317</v>
      </c>
      <c r="U664" s="20"/>
      <c r="V664" s="20" t="s">
        <v>318</v>
      </c>
      <c r="W664" s="20" t="s">
        <v>319</v>
      </c>
      <c r="X664" s="20" t="s">
        <v>2675</v>
      </c>
      <c r="Y664" s="20"/>
      <c r="Z664" s="20"/>
      <c r="AA664" s="20" t="s">
        <v>2676</v>
      </c>
      <c r="AB664" s="20" t="s">
        <v>609</v>
      </c>
      <c r="AC664" s="20" t="s">
        <v>2677</v>
      </c>
      <c r="AD664" s="20"/>
      <c r="AE664" s="20" t="s">
        <v>50</v>
      </c>
      <c r="AF664" s="20"/>
      <c r="AG664" s="20" t="s">
        <v>324</v>
      </c>
      <c r="AH664" s="20" t="s">
        <v>325</v>
      </c>
    </row>
    <row r="665" spans="1:34" ht="16" customHeight="1" x14ac:dyDescent="0.2">
      <c r="A665" s="19" t="s">
        <v>2678</v>
      </c>
      <c r="B665" s="20"/>
      <c r="C665" s="19"/>
      <c r="D665" s="19" t="s">
        <v>2679</v>
      </c>
      <c r="E665" s="17" t="str">
        <f t="shared" si="100"/>
        <v>Powell</v>
      </c>
      <c r="F665" s="17"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5" s="17" t="str">
        <f t="shared" si="101"/>
        <v>2017</v>
      </c>
      <c r="H665" s="17" t="str">
        <f t="shared" si="102"/>
        <v>Powell_etal_2017</v>
      </c>
      <c r="I665" s="17" t="str">
        <f>_xlfn.LET(
_xlpm.doi,IF(C665&lt;&gt;"",C665,_xlfn.TEXTAFTER(A665,"https://doi.org/")),
SUBSTITUTE(
SUBSTITUTE(
SUBSTITUTE(
SUBSTITUTE(
_xlpm.doi,
"/","%2F"),
":","%3A"),
"&lt;","%3C"),
"&gt;","%3E")
)</f>
        <v>10.1098%2Frspb.2017.1765</v>
      </c>
      <c r="J665" s="17" t="str">
        <f t="shared" si="103"/>
        <v>Powell_etal_2017_Dataset1</v>
      </c>
      <c r="K665" s="17" t="str">
        <f t="shared" si="104"/>
        <v>10.1098%2Frspb.2017.1765_Dataset1</v>
      </c>
      <c r="L665" s="17" t="str">
        <f t="array" ref="L665">IFERROR(INDEX(AUTO_Public_TSV_FileList!$A$1:$A$1000,MATCH(TRUE(),EXACT(K665,IFERROR(_xlfn.TEXTBEFORE(AUTO_Public_TSV_FileList!$A$1:$A$1000,".tsv"),"")),0)),"notfound")</f>
        <v>10.1098%2Frspb.2017.1765_Dataset1.tsv</v>
      </c>
      <c r="M665" s="20"/>
      <c r="N665" s="19" t="s">
        <v>54</v>
      </c>
      <c r="O665" s="20"/>
      <c r="P665" s="20" t="s">
        <v>55</v>
      </c>
      <c r="Q665" s="19"/>
      <c r="R665" s="19" t="s">
        <v>2680</v>
      </c>
      <c r="S665" s="20"/>
      <c r="T665" s="20"/>
      <c r="U665" s="20"/>
      <c r="V665" s="19"/>
      <c r="W665" s="19" t="s">
        <v>187</v>
      </c>
      <c r="X665" s="19" t="s">
        <v>2681</v>
      </c>
      <c r="Y665" s="19" t="s">
        <v>2682</v>
      </c>
      <c r="Z665" s="20"/>
      <c r="AA665" s="20"/>
      <c r="AB665" s="19" t="s">
        <v>2681</v>
      </c>
      <c r="AC665" s="20"/>
      <c r="AD665" s="20"/>
      <c r="AE665" s="19" t="s">
        <v>265</v>
      </c>
      <c r="AF665" s="19"/>
      <c r="AG665" s="20"/>
      <c r="AH665" s="20"/>
    </row>
    <row r="666" spans="1:34" ht="16" customHeight="1" x14ac:dyDescent="0.2">
      <c r="A666" s="20" t="s">
        <v>2683</v>
      </c>
      <c r="B666" s="20"/>
      <c r="C666" s="20"/>
      <c r="D666" s="20" t="s">
        <v>500</v>
      </c>
      <c r="E666" s="18" t="str">
        <f t="shared" si="100"/>
        <v>Preuss</v>
      </c>
      <c r="F666" s="17"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666" s="17" t="str">
        <f t="shared" si="101"/>
        <v>1996</v>
      </c>
      <c r="H666" s="18" t="str">
        <f t="shared" si="102"/>
        <v>Preuss_Kaas_1996</v>
      </c>
      <c r="I666" s="18" t="str">
        <f>_xlfn.LET(_xlpm.doi,IF(C666&lt;&gt;"",C666,_xlfn.TEXTAFTER(A666,"https://doi.org/")),SUBSTITUTE(SUBSTITUTE(SUBSTITUTE(SUBSTITUTE(_xlpm.doi,"/","%2F"),":","%3A"),"&lt;","%3C"),"&gt;","%3E"))</f>
        <v>10.1159%2F000113231</v>
      </c>
      <c r="J666" s="18" t="str">
        <f t="shared" si="103"/>
        <v>Preuss_Kaas_1996_ResultsText</v>
      </c>
      <c r="K666" s="17" t="str">
        <f t="shared" si="104"/>
        <v>10.1159%2F000113231_ResultsText</v>
      </c>
      <c r="L666" s="17" t="str">
        <f t="array" ref="L666">IFERROR(INDEX(AUTO_Public_TSV_FileList!$A$1:$A$1000,MATCH(TRUE(),EXACT(K666,IFERROR(_xlfn.TEXTBEFORE(AUTO_Public_TSV_FileList!$A$1:$A$1000,".tsv"),"")),0)),"notfound")</f>
        <v>10.1159%2F000113231_ResultsText.tsv</v>
      </c>
      <c r="M666" s="20"/>
      <c r="N666" s="20" t="s">
        <v>501</v>
      </c>
      <c r="O666" s="20" t="s">
        <v>2684</v>
      </c>
      <c r="P666" s="20" t="s">
        <v>503</v>
      </c>
      <c r="Q666" s="20" t="s">
        <v>2685</v>
      </c>
      <c r="R666" s="20" t="s">
        <v>2686</v>
      </c>
      <c r="S666" s="20" t="s">
        <v>2687</v>
      </c>
      <c r="T666" s="20" t="s">
        <v>2688</v>
      </c>
      <c r="U666" s="20"/>
      <c r="V666" s="20" t="s">
        <v>2689</v>
      </c>
      <c r="W666" s="20" t="s">
        <v>2690</v>
      </c>
      <c r="X666" s="20" t="s">
        <v>2691</v>
      </c>
      <c r="Y666" s="20" t="s">
        <v>2692</v>
      </c>
      <c r="Z666" s="20" t="s">
        <v>2693</v>
      </c>
      <c r="AA666" s="20" t="s">
        <v>2694</v>
      </c>
      <c r="AB666" s="20" t="s">
        <v>2695</v>
      </c>
      <c r="AC666" s="20" t="s">
        <v>589</v>
      </c>
      <c r="AD666" s="20"/>
      <c r="AE666" s="20" t="s">
        <v>50</v>
      </c>
      <c r="AF666" s="20"/>
      <c r="AG666" s="20"/>
      <c r="AH666" s="20"/>
    </row>
    <row r="667" spans="1:34" ht="16" customHeight="1" x14ac:dyDescent="0.2">
      <c r="A667" s="19" t="s">
        <v>2696</v>
      </c>
      <c r="B667" s="20"/>
      <c r="C667" s="19"/>
      <c r="D667" s="19" t="s">
        <v>86</v>
      </c>
      <c r="E667" s="17" t="str">
        <f t="shared" si="100"/>
        <v>Raghanti</v>
      </c>
      <c r="F667" s="17"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17" t="str">
        <f t="shared" si="101"/>
        <v>2015</v>
      </c>
      <c r="H667" s="17" t="str">
        <f t="shared" si="102"/>
        <v>Raghanti_etal_2015</v>
      </c>
      <c r="I667" s="17" t="str">
        <f>_xlfn.LET(
_xlpm.doi,IF(C667&lt;&gt;"",C667,_xlfn.TEXTAFTER(A667,"https://doi.org/")),
SUBSTITUTE(
SUBSTITUTE(
SUBSTITUTE(
SUBSTITUTE(
_xlpm.doi,
"/","%2F"),
":","%3A"),
"&lt;","%3C"),
"&gt;","%3E")
)</f>
        <v>10.1007%2Fs00429-014-0792-y</v>
      </c>
      <c r="J667" s="17" t="str">
        <f t="shared" si="103"/>
        <v>Raghanti_etal_2015_Table1</v>
      </c>
      <c r="K667" s="17" t="str">
        <f t="shared" si="104"/>
        <v>10.1007%2Fs00429-014-0792-y_Table1</v>
      </c>
      <c r="L667" s="17" t="str">
        <f t="array" ref="L667">IFERROR(INDEX(AUTO_Public_TSV_FileList!$A$1:$A$1000,MATCH(TRUE(),EXACT(K667,IFERROR(_xlfn.TEXTBEFORE(AUTO_Public_TSV_FileList!$A$1:$A$1000,".tsv"),"")),0)),"notfound")</f>
        <v>10.1007%2Fs00429-014-0792-y_Table1.tsv</v>
      </c>
      <c r="M667" s="20"/>
      <c r="N667" s="19"/>
      <c r="O667" s="20"/>
      <c r="P667" s="20"/>
      <c r="Q667" s="19"/>
      <c r="R667" s="19"/>
      <c r="S667" s="20"/>
      <c r="T667" s="20"/>
      <c r="U667" s="20"/>
      <c r="V667" s="19"/>
      <c r="W667" s="19"/>
      <c r="X667" s="19"/>
      <c r="Y667" s="19"/>
      <c r="Z667" s="20"/>
      <c r="AA667" s="20"/>
      <c r="AB667" s="19"/>
      <c r="AC667" s="20"/>
      <c r="AD667" s="20"/>
      <c r="AE667" s="19"/>
      <c r="AF667" s="19"/>
      <c r="AG667" s="20"/>
      <c r="AH667" s="20"/>
    </row>
    <row r="668" spans="1:34" ht="16" customHeight="1" x14ac:dyDescent="0.2">
      <c r="A668" s="20" t="s">
        <v>2697</v>
      </c>
      <c r="B668" s="20" t="s">
        <v>488</v>
      </c>
      <c r="C668" s="20"/>
      <c r="D668" s="20" t="s">
        <v>160</v>
      </c>
      <c r="E668" s="18" t="str">
        <f t="shared" si="100"/>
        <v>Raghanti</v>
      </c>
      <c r="F668" s="17"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17" t="str">
        <f t="shared" si="101"/>
        <v>2008</v>
      </c>
      <c r="H668" s="18" t="str">
        <f t="shared" si="102"/>
        <v>Raghanti_etal_2008_a</v>
      </c>
      <c r="I668" s="18" t="str">
        <f>_xlfn.LET(_xlpm.doi,IF(C668&lt;&gt;"",C668,_xlfn.TEXTAFTER(A668,"https://doi.org/")),SUBSTITUTE(SUBSTITUTE(SUBSTITUTE(SUBSTITUTE(_xlpm.doi,"/","%2F"),":","%3A"),"&lt;","%3C"),"&gt;","%3E"))</f>
        <v>10.1002%2Fcne.21546</v>
      </c>
      <c r="J668" s="18" t="str">
        <f t="shared" si="103"/>
        <v>Raghanti_etal_2008_a_Table2</v>
      </c>
      <c r="K668" s="17" t="str">
        <f t="shared" si="104"/>
        <v>10.1002%2Fcne.21546_Table2</v>
      </c>
      <c r="L668" s="17" t="str">
        <f t="array" ref="L668">IFERROR(INDEX(AUTO_Public_TSV_FileList!$A$1:$A$1000,MATCH(TRUE(),EXACT(K668,IFERROR(_xlfn.TEXTBEFORE(AUTO_Public_TSV_FileList!$A$1:$A$1000,".tsv"),"")),0)),"notfound")</f>
        <v>10.1002%2Fcne.21546_Table2.tsv</v>
      </c>
      <c r="M668" s="20" t="s">
        <v>2698</v>
      </c>
      <c r="N668" s="20" t="s">
        <v>88</v>
      </c>
      <c r="O668" s="20" t="s">
        <v>2699</v>
      </c>
      <c r="P668" s="20" t="s">
        <v>133</v>
      </c>
      <c r="Q668" s="20"/>
      <c r="R668" s="20" t="s">
        <v>2700</v>
      </c>
      <c r="S668" s="20" t="s">
        <v>135</v>
      </c>
      <c r="T668" s="20" t="s">
        <v>2701</v>
      </c>
      <c r="U668" s="20"/>
      <c r="V668" s="20" t="s">
        <v>2702</v>
      </c>
      <c r="W668" s="20" t="s">
        <v>2703</v>
      </c>
      <c r="X668" s="20" t="s">
        <v>2704</v>
      </c>
      <c r="Y668" s="20" t="s">
        <v>2705</v>
      </c>
      <c r="Z668" s="20" t="s">
        <v>2706</v>
      </c>
      <c r="AA668" s="20" t="s">
        <v>2707</v>
      </c>
      <c r="AB668" s="20" t="s">
        <v>2708</v>
      </c>
      <c r="AC668" s="20" t="s">
        <v>2709</v>
      </c>
      <c r="AD668" s="20" t="s">
        <v>2710</v>
      </c>
      <c r="AE668" s="20" t="s">
        <v>50</v>
      </c>
      <c r="AF668" s="20"/>
      <c r="AG668" s="20" t="s">
        <v>2711</v>
      </c>
      <c r="AH668" s="20"/>
    </row>
    <row r="669" spans="1:34" ht="15" customHeight="1" x14ac:dyDescent="0.2">
      <c r="A669" s="20" t="s">
        <v>2712</v>
      </c>
      <c r="B669" s="20" t="s">
        <v>1521</v>
      </c>
      <c r="C669" s="20"/>
      <c r="D669" s="20" t="s">
        <v>160</v>
      </c>
      <c r="E669" s="18" t="str">
        <f t="shared" si="100"/>
        <v>Raghanti</v>
      </c>
      <c r="F669" s="17"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17" t="str">
        <f t="shared" si="101"/>
        <v>2008</v>
      </c>
      <c r="H669" s="18" t="str">
        <f t="shared" si="102"/>
        <v>Raghanti_etal_2008_c</v>
      </c>
      <c r="I669" s="18" t="str">
        <f>_xlfn.LET(_xlpm.doi,IF(C669&lt;&gt;"",C669,_xlfn.TEXTAFTER(A669,"https://doi.org/")),SUBSTITUTE(SUBSTITUTE(SUBSTITUTE(SUBSTITUTE(_xlpm.doi,"/","%2F"),":","%3A"),"&lt;","%3C"),"&gt;","%3E"))</f>
        <v>10.1016%2Fj.neuroscience.2008.05.008</v>
      </c>
      <c r="J669" s="18" t="str">
        <f t="shared" si="103"/>
        <v>Raghanti_etal_2008_c_Table2</v>
      </c>
      <c r="K669" s="17" t="str">
        <f t="shared" si="104"/>
        <v>10.1016%2Fj.neuroscience.2008.05.008_Table2</v>
      </c>
      <c r="L669" s="17" t="str">
        <f t="array" ref="L669">IFERROR(INDEX(AUTO_Public_TSV_FileList!$A$1:$A$1000,MATCH(TRUE(),EXACT(K669,IFERROR(_xlfn.TEXTBEFORE(AUTO_Public_TSV_FileList!$A$1:$A$1000,".tsv"),"")),0)),"notfound")</f>
        <v>10.1016%2Fj.neuroscience.2008.05.008_Table2.tsv</v>
      </c>
      <c r="M669" s="20" t="s">
        <v>2713</v>
      </c>
      <c r="N669" s="20" t="s">
        <v>88</v>
      </c>
      <c r="O669" s="20" t="s">
        <v>2714</v>
      </c>
      <c r="P669" s="20" t="s">
        <v>133</v>
      </c>
      <c r="Q669" s="20"/>
      <c r="R669" s="20" t="s">
        <v>2715</v>
      </c>
      <c r="S669" s="20" t="s">
        <v>135</v>
      </c>
      <c r="T669" s="20" t="s">
        <v>2716</v>
      </c>
      <c r="U669" s="20"/>
      <c r="V669" s="20" t="s">
        <v>2702</v>
      </c>
      <c r="W669" s="20" t="s">
        <v>2703</v>
      </c>
      <c r="X669" s="20" t="s">
        <v>2717</v>
      </c>
      <c r="Y669" s="20"/>
      <c r="Z669" s="20" t="s">
        <v>2706</v>
      </c>
      <c r="AA669" s="20" t="s">
        <v>2707</v>
      </c>
      <c r="AB669" s="20" t="s">
        <v>2718</v>
      </c>
      <c r="AC669" s="20" t="s">
        <v>2709</v>
      </c>
      <c r="AD669" s="20" t="s">
        <v>2710</v>
      </c>
      <c r="AE669" s="20" t="s">
        <v>50</v>
      </c>
      <c r="AF669" s="20"/>
      <c r="AG669" s="20" t="s">
        <v>2719</v>
      </c>
      <c r="AH669" s="20"/>
    </row>
    <row r="670" spans="1:34" ht="15" customHeight="1" x14ac:dyDescent="0.2">
      <c r="A670" s="20" t="s">
        <v>2720</v>
      </c>
      <c r="B670" s="20" t="s">
        <v>493</v>
      </c>
      <c r="C670" s="20"/>
      <c r="D670" s="20" t="s">
        <v>160</v>
      </c>
      <c r="E670" s="18" t="str">
        <f t="shared" si="100"/>
        <v>Raghanti</v>
      </c>
      <c r="F670" s="17"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17" t="str">
        <f t="shared" si="101"/>
        <v>2008</v>
      </c>
      <c r="H670" s="18" t="str">
        <f t="shared" si="102"/>
        <v>Raghanti_etal_2008_b</v>
      </c>
      <c r="I670" s="18" t="str">
        <f>_xlfn.LET(_xlpm.doi,IF(C670&lt;&gt;"",C670,_xlfn.TEXTAFTER(A670,"https://doi.org/")),SUBSTITUTE(SUBSTITUTE(SUBSTITUTE(SUBSTITUTE(_xlpm.doi,"/","%2F"),":","%3A"),"&lt;","%3C"),"&gt;","%3E"))</f>
        <v>10.1093%2Fcercor%2Fbhm089</v>
      </c>
      <c r="J670" s="18" t="str">
        <f t="shared" si="103"/>
        <v>Raghanti_etal_2008_b_Table2</v>
      </c>
      <c r="K670" s="17" t="str">
        <f t="shared" si="104"/>
        <v>10.1093%2Fcercor%2Fbhm089_Table2</v>
      </c>
      <c r="L670" s="17" t="str">
        <f t="array" ref="L670">IFERROR(INDEX(AUTO_Public_TSV_FileList!$A$1:$A$1000,MATCH(TRUE(),EXACT(K670,IFERROR(_xlfn.TEXTBEFORE(AUTO_Public_TSV_FileList!$A$1:$A$1000,".tsv"),"")),0)),"notfound")</f>
        <v>10.1093%2Fcercor%2Fbhm089_Table2.tsv</v>
      </c>
      <c r="M670" s="20" t="s">
        <v>2721</v>
      </c>
      <c r="N670" s="20" t="s">
        <v>88</v>
      </c>
      <c r="O670" s="20" t="s">
        <v>2722</v>
      </c>
      <c r="P670" s="20" t="s">
        <v>133</v>
      </c>
      <c r="Q670" s="20"/>
      <c r="R670" s="20" t="s">
        <v>2723</v>
      </c>
      <c r="S670" s="20" t="s">
        <v>135</v>
      </c>
      <c r="T670" s="20" t="s">
        <v>2724</v>
      </c>
      <c r="U670" s="20"/>
      <c r="V670" s="20" t="s">
        <v>2702</v>
      </c>
      <c r="W670" s="20" t="s">
        <v>2703</v>
      </c>
      <c r="X670" s="20" t="s">
        <v>2725</v>
      </c>
      <c r="Y670" s="20"/>
      <c r="Z670" s="20" t="s">
        <v>2706</v>
      </c>
      <c r="AA670" s="20" t="s">
        <v>2707</v>
      </c>
      <c r="AB670" s="20" t="s">
        <v>2718</v>
      </c>
      <c r="AC670" s="20" t="s">
        <v>2709</v>
      </c>
      <c r="AD670" s="20" t="s">
        <v>2710</v>
      </c>
      <c r="AE670" s="20" t="s">
        <v>50</v>
      </c>
      <c r="AF670" s="20"/>
      <c r="AG670" s="20" t="s">
        <v>2726</v>
      </c>
      <c r="AH670" s="20"/>
    </row>
    <row r="671" spans="1:34" ht="15" customHeight="1" x14ac:dyDescent="0.2">
      <c r="A671" s="20" t="s">
        <v>2727</v>
      </c>
      <c r="B671" s="20"/>
      <c r="C671" s="20"/>
      <c r="D671" s="20" t="s">
        <v>500</v>
      </c>
      <c r="E671" s="18" t="str">
        <f t="shared" si="100"/>
        <v>Ravizza</v>
      </c>
      <c r="F671" s="17"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671" s="17" t="str">
        <f t="shared" si="101"/>
        <v>1972</v>
      </c>
      <c r="H671" s="18" t="str">
        <f t="shared" si="102"/>
        <v>Ravizza_Masterton_1972</v>
      </c>
      <c r="I671" s="18" t="str">
        <f>_xlfn.LET(_xlpm.doi,IF(C671&lt;&gt;"",C671,_xlfn.TEXTAFTER(A671,"https://doi.org/")),SUBSTITUTE(SUBSTITUTE(SUBSTITUTE(SUBSTITUTE(_xlpm.doi,"/","%2F"),":","%3A"),"&lt;","%3C"),"&gt;","%3E"))</f>
        <v>10.1152%2Fjn.1972.35.3.344</v>
      </c>
      <c r="J671" s="18" t="str">
        <f t="shared" si="103"/>
        <v>Ravizza_Masterton_1972_ResultsText</v>
      </c>
      <c r="K671" s="17" t="str">
        <f t="shared" si="104"/>
        <v>10.1152%2Fjn.1972.35.3.344_ResultsText</v>
      </c>
      <c r="L671" s="17" t="str">
        <f t="array" ref="L671">IFERROR(INDEX(AUTO_Public_TSV_FileList!$A$1:$A$1000,MATCH(TRUE(),EXACT(K671,IFERROR(_xlfn.TEXTBEFORE(AUTO_Public_TSV_FileList!$A$1:$A$1000,".tsv"),"")),0)),"notfound")</f>
        <v>10.1152%2Fjn.1972.35.3.344_ResultsText.tsv</v>
      </c>
      <c r="M671" s="20" t="s">
        <v>2728</v>
      </c>
      <c r="N671" s="20" t="s">
        <v>659</v>
      </c>
      <c r="O671" s="20" t="s">
        <v>2729</v>
      </c>
      <c r="P671" s="20" t="s">
        <v>55</v>
      </c>
      <c r="Q671" s="20"/>
      <c r="R671" s="20"/>
      <c r="S671" s="20"/>
      <c r="T671" s="20"/>
      <c r="U671" s="20"/>
      <c r="V671" s="20"/>
      <c r="W671" s="20"/>
      <c r="X671" s="20"/>
      <c r="Y671" s="20"/>
      <c r="Z671" s="20"/>
      <c r="AA671" s="20"/>
      <c r="AB671" s="20"/>
      <c r="AC671" s="20"/>
      <c r="AD671" s="20"/>
      <c r="AE671" s="20"/>
      <c r="AF671" s="20"/>
      <c r="AG671" s="20"/>
      <c r="AH671" s="20"/>
    </row>
    <row r="672" spans="1:34" ht="16" customHeight="1" x14ac:dyDescent="0.2">
      <c r="A672" s="20" t="s">
        <v>2730</v>
      </c>
      <c r="B672" s="20"/>
      <c r="C672" s="20" t="s">
        <v>2731</v>
      </c>
      <c r="D672" s="20" t="s">
        <v>500</v>
      </c>
      <c r="E672" s="18" t="str">
        <f t="shared" si="100"/>
        <v>Ravizza</v>
      </c>
      <c r="F672" s="17"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17" t="str">
        <f t="shared" si="101"/>
        <v>1969</v>
      </c>
      <c r="H672" s="18" t="str">
        <f t="shared" si="102"/>
        <v>Ravizza_etal_1969</v>
      </c>
      <c r="I672" s="18" t="str">
        <f>_xlfn.LET(_xlpm.doi,IF(C672&lt;&gt;"",C672,_xlfn.TEXTAFTER(A672,"https://doi.org/")),SUBSTITUTE(SUBSTITUTE(SUBSTITUTE(SUBSTITUTE(_xlpm.doi,"/","%2F"),":","%3A"),"&lt;","%3C"),"&gt;","%3E"))</f>
        <v>AN%3A1970-12227-001</v>
      </c>
      <c r="J672" s="18" t="str">
        <f t="shared" si="103"/>
        <v>Ravizza_etal_1969_ResultsText</v>
      </c>
      <c r="K672" s="17" t="str">
        <f t="shared" si="104"/>
        <v>AN%3A1970-12227-001_ResultsText</v>
      </c>
      <c r="L672" s="17" t="str">
        <f t="array" ref="L672">IFERROR(INDEX(AUTO_Public_TSV_FileList!$A$1:$A$1000,MATCH(TRUE(),EXACT(K672,IFERROR(_xlfn.TEXTBEFORE(AUTO_Public_TSV_FileList!$A$1:$A$1000,".tsv"),"")),0)),"notfound")</f>
        <v>AN%3A1970-12227-001_ResultsText.tsv</v>
      </c>
      <c r="M672" s="20" t="s">
        <v>2732</v>
      </c>
      <c r="N672" s="20" t="s">
        <v>659</v>
      </c>
      <c r="O672" s="20" t="s">
        <v>2733</v>
      </c>
      <c r="P672" s="20" t="s">
        <v>55</v>
      </c>
      <c r="Q672" s="20"/>
      <c r="R672" s="20"/>
      <c r="S672" s="20"/>
      <c r="T672" s="20"/>
      <c r="U672" s="20"/>
      <c r="V672" s="20"/>
      <c r="W672" s="20"/>
      <c r="X672" s="20"/>
      <c r="Y672" s="20"/>
      <c r="Z672" s="20"/>
      <c r="AA672" s="20"/>
      <c r="AB672" s="20"/>
      <c r="AC672" s="20"/>
      <c r="AD672" s="20"/>
      <c r="AE672" s="20"/>
      <c r="AF672" s="20"/>
      <c r="AG672" s="20"/>
      <c r="AH672" s="20"/>
    </row>
    <row r="673" spans="1:34" ht="15" customHeight="1" x14ac:dyDescent="0.2">
      <c r="A673" s="19" t="s">
        <v>2734</v>
      </c>
      <c r="B673" s="20"/>
      <c r="C673" s="19"/>
      <c r="D673" s="19" t="s">
        <v>1764</v>
      </c>
      <c r="E673" s="17" t="str">
        <f t="shared" si="100"/>
        <v>Reader</v>
      </c>
      <c r="F673" s="17"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17" t="str">
        <f t="shared" si="101"/>
        <v>2011</v>
      </c>
      <c r="H673" s="17" t="str">
        <f t="shared" si="102"/>
        <v>Reader_etal_2011</v>
      </c>
      <c r="I673" s="17" t="str">
        <f t="shared" ref="I673:I683" si="106">_xlfn.LET(
_xlpm.doi,IF(C673&lt;&gt;"",C673,_xlfn.TEXTAFTER(A673,"https://doi.org/")),
SUBSTITUTE(
SUBSTITUTE(
SUBSTITUTE(
SUBSTITUTE(
_xlpm.doi,
"/","%2F"),
":","%3A"),
"&lt;","%3C"),
"&gt;","%3E")
)</f>
        <v>10.1098%2Frstb.2010.0342</v>
      </c>
      <c r="J673" s="17" t="str">
        <f t="shared" si="103"/>
        <v>Reader_etal_2011_Data</v>
      </c>
      <c r="K673" s="17" t="str">
        <f t="shared" si="104"/>
        <v>10.1098%2Frstb.2010.0342_Data</v>
      </c>
      <c r="L673" s="17" t="str">
        <f t="array" ref="L673">IFERROR(INDEX(AUTO_Public_TSV_FileList!$A$1:$A$1000,MATCH(TRUE(),EXACT(K673,IFERROR(_xlfn.TEXTBEFORE(AUTO_Public_TSV_FileList!$A$1:$A$1000,".tsv"),"")),0)),"notfound")</f>
        <v>10.1098%2Frstb.2010.0342_Data.tsv</v>
      </c>
      <c r="M673" s="20"/>
      <c r="N673" s="19" t="s">
        <v>54</v>
      </c>
      <c r="O673" s="20"/>
      <c r="P673" s="19" t="s">
        <v>55</v>
      </c>
      <c r="Q673" s="19"/>
      <c r="R673" s="19"/>
      <c r="S673" s="20"/>
      <c r="T673" s="20"/>
      <c r="U673" s="20"/>
      <c r="V673" s="19"/>
      <c r="W673" s="19" t="s">
        <v>187</v>
      </c>
      <c r="X673" s="19" t="s">
        <v>2735</v>
      </c>
      <c r="Y673" s="19"/>
      <c r="Z673" s="20"/>
      <c r="AA673" s="20"/>
      <c r="AB673" s="19" t="s">
        <v>2736</v>
      </c>
      <c r="AC673" s="19" t="s">
        <v>2737</v>
      </c>
      <c r="AD673" s="20"/>
      <c r="AE673" s="19" t="s">
        <v>50</v>
      </c>
      <c r="AF673" s="19"/>
      <c r="AG673" s="19" t="s">
        <v>2738</v>
      </c>
      <c r="AH673" s="20"/>
    </row>
    <row r="674" spans="1:34" ht="15" customHeight="1" x14ac:dyDescent="0.2">
      <c r="A674" s="20" t="s">
        <v>2739</v>
      </c>
      <c r="B674" s="20"/>
      <c r="C674" s="20"/>
      <c r="D674" s="20" t="s">
        <v>35</v>
      </c>
      <c r="E674" s="17" t="str">
        <f t="shared" si="100"/>
        <v>RedinHurtado</v>
      </c>
      <c r="F674" s="17" t="str">
        <f>_xlfn.LET(
_xlpm.authors,_xlfn.TEXTBEFORE(A674," ("&amp;G674&amp;")"),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74" s="17" t="str">
        <f t="shared" si="101"/>
        <v>2023</v>
      </c>
      <c r="H674" s="17" t="str">
        <f t="shared" si="102"/>
        <v>RedinHurtado_etal_2023</v>
      </c>
      <c r="I674" s="17" t="str">
        <f t="shared" si="106"/>
        <v>10.1371%2Fjournal.pone.0292175</v>
      </c>
      <c r="J674" s="17" t="str">
        <f t="shared" si="103"/>
        <v>RedinHurtado_etal_2023_Table1</v>
      </c>
      <c r="K674" s="17" t="str">
        <f t="shared" si="104"/>
        <v>10.1371%2Fjournal.pone.0292175_Table1</v>
      </c>
      <c r="L674" s="17" t="str">
        <f>IFERROR(INDEX(AUTO_Public_TSV_FileList!$A$1:$A$1000,MATCH(TRUE(),EXACT(K674,IFERROR(_xlfn.TEXTBEFORE(AUTO_Public_TSV_FileList!$A$1:$A$1000,".tsv"),"")),0)),"notfound")</f>
        <v>notfound</v>
      </c>
      <c r="M674" s="20" t="s">
        <v>2740</v>
      </c>
      <c r="N674" s="20" t="s">
        <v>556</v>
      </c>
      <c r="O674" s="20" t="s">
        <v>622</v>
      </c>
      <c r="P674" s="20" t="s">
        <v>313</v>
      </c>
      <c r="Q674" s="20" t="s">
        <v>2741</v>
      </c>
      <c r="R674" s="20" t="s">
        <v>2742</v>
      </c>
      <c r="S674" s="20" t="s">
        <v>316</v>
      </c>
      <c r="T674" s="20" t="s">
        <v>317</v>
      </c>
      <c r="U674" s="20"/>
      <c r="V674" s="20" t="s">
        <v>2527</v>
      </c>
      <c r="W674" s="20" t="s">
        <v>319</v>
      </c>
      <c r="X674" s="20" t="s">
        <v>2528</v>
      </c>
      <c r="Y674" s="20"/>
      <c r="Z674" s="20"/>
      <c r="AA674" s="20" t="s">
        <v>2238</v>
      </c>
      <c r="AB674" s="20" t="s">
        <v>2224</v>
      </c>
      <c r="AC674" s="20" t="s">
        <v>2743</v>
      </c>
      <c r="AD674" s="20"/>
      <c r="AE674" s="20" t="s">
        <v>70</v>
      </c>
      <c r="AF674" s="20" t="s">
        <v>2096</v>
      </c>
      <c r="AG674" s="20" t="s">
        <v>324</v>
      </c>
      <c r="AH674" s="20" t="s">
        <v>325</v>
      </c>
    </row>
    <row r="675" spans="1:34" ht="16" customHeight="1" x14ac:dyDescent="0.2">
      <c r="A675" s="20" t="s">
        <v>2744</v>
      </c>
      <c r="B675" s="20"/>
      <c r="C675" s="20"/>
      <c r="D675" s="20" t="s">
        <v>35</v>
      </c>
      <c r="E675" s="17" t="str">
        <f t="shared" si="100"/>
        <v>Reep</v>
      </c>
      <c r="F675" s="17"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675" s="17" t="str">
        <f t="shared" si="101"/>
        <v>1990</v>
      </c>
      <c r="H675" s="17" t="str">
        <f t="shared" si="102"/>
        <v>Reep_OShea_1990</v>
      </c>
      <c r="I675" s="17" t="str">
        <f t="shared" si="106"/>
        <v>10.1159%2F000115866</v>
      </c>
      <c r="J675" s="17" t="str">
        <f t="shared" si="103"/>
        <v>Reep_OShea_1990_Table1</v>
      </c>
      <c r="K675" s="17" t="str">
        <f t="shared" si="104"/>
        <v>10.1159%2F000115866_Table1</v>
      </c>
      <c r="L675" s="17" t="str">
        <f t="array" ref="L675">IFERROR(INDEX(AUTO_Public_TSV_FileList!$A$1:$A$1000,MATCH(TRUE(),EXACT(K675,IFERROR(_xlfn.TEXTBEFORE(AUTO_Public_TSV_FileList!$A$1:$A$1000,".tsv"),"")),0)),"notfound")</f>
        <v>notfound</v>
      </c>
      <c r="M675" s="20" t="s">
        <v>2745</v>
      </c>
      <c r="N675" s="20" t="s">
        <v>2746</v>
      </c>
      <c r="O675" s="20" t="s">
        <v>2747</v>
      </c>
      <c r="P675" s="20" t="s">
        <v>299</v>
      </c>
      <c r="Q675" s="20" t="s">
        <v>2748</v>
      </c>
      <c r="R675" s="20" t="s">
        <v>2749</v>
      </c>
      <c r="S675" s="20"/>
      <c r="T675" s="20"/>
      <c r="U675" s="20"/>
      <c r="V675" s="20"/>
      <c r="W675" s="20" t="s">
        <v>2750</v>
      </c>
      <c r="X675" s="20" t="s">
        <v>2751</v>
      </c>
      <c r="Y675" s="20" t="s">
        <v>2752</v>
      </c>
      <c r="Z675" s="20" t="s">
        <v>2753</v>
      </c>
      <c r="AA675" s="20" t="s">
        <v>2754</v>
      </c>
      <c r="AB675" s="20" t="s">
        <v>2755</v>
      </c>
      <c r="AC675" s="20"/>
      <c r="AD675" s="20"/>
      <c r="AE675" s="20" t="s">
        <v>50</v>
      </c>
      <c r="AF675" s="20"/>
      <c r="AG675" s="20"/>
      <c r="AH675" s="20"/>
    </row>
    <row r="676" spans="1:34" ht="16" customHeight="1" x14ac:dyDescent="0.2">
      <c r="A676" s="20" t="s">
        <v>2744</v>
      </c>
      <c r="B676" s="20"/>
      <c r="C676" s="20"/>
      <c r="D676" s="20" t="s">
        <v>1834</v>
      </c>
      <c r="E676" s="17" t="str">
        <f t="shared" si="100"/>
        <v>Reep</v>
      </c>
      <c r="F676" s="17"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676" s="17" t="str">
        <f t="shared" si="101"/>
        <v>1990</v>
      </c>
      <c r="H676" s="17" t="str">
        <f t="shared" si="102"/>
        <v>Reep_OShea_1990</v>
      </c>
      <c r="I676" s="17" t="str">
        <f t="shared" si="106"/>
        <v>10.1159%2F000115866</v>
      </c>
      <c r="J676" s="17" t="str">
        <f t="shared" si="103"/>
        <v>Reep_OShea_1990_Table3</v>
      </c>
      <c r="K676" s="17" t="str">
        <f t="shared" si="104"/>
        <v>10.1159%2F000115866_Table3</v>
      </c>
      <c r="L676" s="17" t="str">
        <f t="array" ref="L676">IFERROR(INDEX(AUTO_Public_TSV_FileList!$A$1:$A$1000,MATCH(TRUE(),EXACT(K676,IFERROR(_xlfn.TEXTBEFORE(AUTO_Public_TSV_FileList!$A$1:$A$1000,".tsv"),"")),0)),"notfound")</f>
        <v>notfound</v>
      </c>
      <c r="M676" s="20" t="s">
        <v>2756</v>
      </c>
      <c r="N676" s="20" t="s">
        <v>2757</v>
      </c>
      <c r="O676" s="20" t="s">
        <v>2758</v>
      </c>
      <c r="P676" s="20" t="s">
        <v>299</v>
      </c>
      <c r="Q676" s="20" t="s">
        <v>2759</v>
      </c>
      <c r="R676" s="20" t="s">
        <v>2749</v>
      </c>
      <c r="S676" s="20"/>
      <c r="T676" s="20"/>
      <c r="U676" s="20"/>
      <c r="V676" s="20"/>
      <c r="W676" s="20" t="s">
        <v>2750</v>
      </c>
      <c r="X676" s="20" t="s">
        <v>2760</v>
      </c>
      <c r="Y676" s="20"/>
      <c r="Z676" s="20" t="s">
        <v>2761</v>
      </c>
      <c r="AA676" s="20" t="s">
        <v>2762</v>
      </c>
      <c r="AB676" s="20" t="s">
        <v>2496</v>
      </c>
      <c r="AC676" s="20"/>
      <c r="AD676" s="20"/>
      <c r="AE676" s="20" t="s">
        <v>50</v>
      </c>
      <c r="AF676" s="20"/>
      <c r="AG676" s="20"/>
      <c r="AH676" s="20"/>
    </row>
    <row r="677" spans="1:34" ht="16" customHeight="1" x14ac:dyDescent="0.2">
      <c r="A677" s="20" t="s">
        <v>2744</v>
      </c>
      <c r="B677" s="20"/>
      <c r="C677" s="20"/>
      <c r="D677" s="20" t="s">
        <v>2262</v>
      </c>
      <c r="E677" s="17" t="str">
        <f t="shared" si="100"/>
        <v>Reep</v>
      </c>
      <c r="F677" s="17"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677" s="17" t="str">
        <f t="shared" si="101"/>
        <v>1990</v>
      </c>
      <c r="H677" s="17" t="str">
        <f t="shared" si="102"/>
        <v>Reep_OShea_1990</v>
      </c>
      <c r="I677" s="17" t="str">
        <f t="shared" si="106"/>
        <v>10.1159%2F000115866</v>
      </c>
      <c r="J677" s="17" t="str">
        <f t="shared" si="103"/>
        <v>Reep_OShea_1990_Table4</v>
      </c>
      <c r="K677" s="17" t="str">
        <f t="shared" si="104"/>
        <v>10.1159%2F000115866_Table4</v>
      </c>
      <c r="L677" s="17" t="str">
        <f t="array" ref="L677">IFERROR(INDEX(AUTO_Public_TSV_FileList!$A$1:$A$1000,MATCH(TRUE(),EXACT(K677,IFERROR(_xlfn.TEXTBEFORE(AUTO_Public_TSV_FileList!$A$1:$A$1000,".tsv"),"")),0)),"notfound")</f>
        <v>notfound</v>
      </c>
      <c r="M677" s="20" t="s">
        <v>2763</v>
      </c>
      <c r="N677" s="20" t="s">
        <v>2757</v>
      </c>
      <c r="O677" s="20" t="s">
        <v>2764</v>
      </c>
      <c r="P677" s="20" t="s">
        <v>299</v>
      </c>
      <c r="Q677" s="20" t="s">
        <v>2765</v>
      </c>
      <c r="R677" s="20" t="s">
        <v>2749</v>
      </c>
      <c r="S677" s="20"/>
      <c r="T677" s="20"/>
      <c r="U677" s="20"/>
      <c r="V677" s="20"/>
      <c r="W677" s="20" t="s">
        <v>2750</v>
      </c>
      <c r="X677" s="20" t="s">
        <v>1127</v>
      </c>
      <c r="Y677" s="20"/>
      <c r="Z677" s="20" t="s">
        <v>2766</v>
      </c>
      <c r="AA677" s="20" t="s">
        <v>2767</v>
      </c>
      <c r="AB677" s="20" t="s">
        <v>1127</v>
      </c>
      <c r="AC677" s="20"/>
      <c r="AD677" s="20"/>
      <c r="AE677" s="20" t="s">
        <v>50</v>
      </c>
      <c r="AF677" s="20"/>
      <c r="AG677" s="20"/>
      <c r="AH677" s="20"/>
    </row>
    <row r="678" spans="1:34" ht="16" customHeight="1" x14ac:dyDescent="0.2">
      <c r="A678" s="20" t="s">
        <v>2768</v>
      </c>
      <c r="B678" s="20"/>
      <c r="C678" s="20"/>
      <c r="D678" s="20" t="s">
        <v>86</v>
      </c>
      <c r="E678" s="17" t="str">
        <f t="shared" si="100"/>
        <v>Reep</v>
      </c>
      <c r="F678" s="17"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8" s="17" t="str">
        <f t="shared" si="101"/>
        <v>2007</v>
      </c>
      <c r="H678" s="17" t="str">
        <f t="shared" si="102"/>
        <v>Reep_etal_2007</v>
      </c>
      <c r="I678" s="17" t="str">
        <f t="shared" si="106"/>
        <v>10.1159%2F000101491</v>
      </c>
      <c r="J678" s="17" t="str">
        <f t="shared" si="103"/>
        <v>Reep_etal_2007_Table1</v>
      </c>
      <c r="K678" s="17" t="str">
        <f t="shared" si="104"/>
        <v>10.1159%2F000101491_Table1</v>
      </c>
      <c r="L678" s="17" t="str">
        <f t="array" ref="L678">IFERROR(INDEX(AUTO_Public_TSV_FileList!$A$1:$A$1000,MATCH(TRUE(),EXACT(K678,IFERROR(_xlfn.TEXTBEFORE(AUTO_Public_TSV_FileList!$A$1:$A$1000,".tsv"),"")),0)),"notfound")</f>
        <v>10.1159%2F000101491_Table1.tsv</v>
      </c>
      <c r="M678" s="20" t="s">
        <v>2769</v>
      </c>
      <c r="N678" s="20" t="s">
        <v>54</v>
      </c>
      <c r="O678" s="20"/>
      <c r="P678" s="20" t="s">
        <v>55</v>
      </c>
      <c r="Q678" s="20"/>
      <c r="R678" s="20" t="s">
        <v>2770</v>
      </c>
      <c r="S678" s="20" t="s">
        <v>2771</v>
      </c>
      <c r="T678" s="20" t="s">
        <v>2772</v>
      </c>
      <c r="U678" s="20"/>
      <c r="V678" s="20" t="s">
        <v>2773</v>
      </c>
      <c r="W678" s="20" t="s">
        <v>2774</v>
      </c>
      <c r="X678" s="20" t="s">
        <v>2775</v>
      </c>
      <c r="Y678" s="20" t="s">
        <v>2776</v>
      </c>
      <c r="Z678" s="19" t="s">
        <v>172</v>
      </c>
      <c r="AA678" s="20" t="s">
        <v>2777</v>
      </c>
      <c r="AB678" s="20" t="s">
        <v>2778</v>
      </c>
      <c r="AC678" s="20" t="s">
        <v>2779</v>
      </c>
      <c r="AD678" s="20" t="s">
        <v>524</v>
      </c>
      <c r="AE678" s="20" t="s">
        <v>50</v>
      </c>
      <c r="AF678" s="20"/>
      <c r="AG678" s="20" t="s">
        <v>2780</v>
      </c>
      <c r="AH678" s="20"/>
    </row>
    <row r="679" spans="1:34" ht="16" customHeight="1" x14ac:dyDescent="0.2">
      <c r="A679" s="20" t="s">
        <v>2781</v>
      </c>
      <c r="B679" s="20"/>
      <c r="C679" s="20"/>
      <c r="D679" s="20" t="s">
        <v>2521</v>
      </c>
      <c r="E679" s="17" t="str">
        <f t="shared" si="100"/>
        <v>Reiss</v>
      </c>
      <c r="F679" s="17" t="str">
        <f>_xlfn.LET(
_xlpm.authors,_xlfn.TEXTBEFORE(A679," ("&amp;G679&amp;")"),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Marino</v>
      </c>
      <c r="G679" s="17" t="str">
        <f t="shared" si="101"/>
        <v>2001</v>
      </c>
      <c r="H679" s="17" t="str">
        <f t="shared" si="102"/>
        <v>Reiss_Marino_2001</v>
      </c>
      <c r="I679" s="17" t="str">
        <f t="shared" si="106"/>
        <v>10.1073%2Fpnas.101086398</v>
      </c>
      <c r="J679" s="17" t="str">
        <f t="shared" si="103"/>
        <v>Reiss_Marino_2001_Figure3</v>
      </c>
      <c r="K679" s="17" t="str">
        <f t="shared" si="104"/>
        <v>10.1073%2Fpnas.101086398_Figure3</v>
      </c>
      <c r="L679" s="17" t="str">
        <f>IFERROR(INDEX(AUTO_Public_TSV_FileList!$A$1:$A$1000,MATCH(TRUE(),EXACT(K679,IFERROR(_xlfn.TEXTBEFORE(AUTO_Public_TSV_FileList!$A$1:$A$1000,".tsv"),"")),0)),"notfound")</f>
        <v>notfound</v>
      </c>
      <c r="M679" s="20" t="s">
        <v>2521</v>
      </c>
      <c r="N679" s="20" t="s">
        <v>311</v>
      </c>
      <c r="O679" s="20" t="s">
        <v>2782</v>
      </c>
      <c r="P679" s="20" t="s">
        <v>313</v>
      </c>
      <c r="Q679" s="20" t="s">
        <v>2783</v>
      </c>
      <c r="R679" s="20" t="s">
        <v>2784</v>
      </c>
      <c r="S679" s="20" t="s">
        <v>316</v>
      </c>
      <c r="T679" s="20" t="s">
        <v>317</v>
      </c>
      <c r="U679" s="20"/>
      <c r="V679" s="20" t="s">
        <v>318</v>
      </c>
      <c r="W679" s="20" t="s">
        <v>319</v>
      </c>
      <c r="X679" s="20" t="s">
        <v>2785</v>
      </c>
      <c r="Y679" s="20"/>
      <c r="Z679" s="20"/>
      <c r="AA679" s="20" t="s">
        <v>2786</v>
      </c>
      <c r="AB679" s="20" t="s">
        <v>609</v>
      </c>
      <c r="AC679" s="20" t="s">
        <v>2787</v>
      </c>
      <c r="AD679" s="20"/>
      <c r="AE679" s="20" t="s">
        <v>50</v>
      </c>
      <c r="AF679" s="20"/>
      <c r="AG679" s="20" t="s">
        <v>324</v>
      </c>
      <c r="AH679" s="20" t="s">
        <v>325</v>
      </c>
    </row>
    <row r="680" spans="1:34" ht="16" customHeight="1" x14ac:dyDescent="0.2">
      <c r="A680" s="21" t="s">
        <v>2788</v>
      </c>
      <c r="B680" s="21"/>
      <c r="C680" s="21"/>
      <c r="D680" s="21" t="s">
        <v>86</v>
      </c>
      <c r="E680" s="17" t="str">
        <f t="shared" si="100"/>
        <v>Reyes</v>
      </c>
      <c r="F680" s="17"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0" s="17" t="str">
        <f t="shared" si="101"/>
        <v>2016</v>
      </c>
      <c r="H680" s="17" t="str">
        <f t="shared" si="102"/>
        <v>Reyes_etal_2016</v>
      </c>
      <c r="I680" s="17" t="str">
        <f t="shared" si="106"/>
        <v>10.1159%2F000445495</v>
      </c>
      <c r="J680" s="17" t="str">
        <f t="shared" si="103"/>
        <v>Reyes_etal_2016_Table1</v>
      </c>
      <c r="K680" s="17" t="str">
        <f t="shared" si="104"/>
        <v>10.1159%2F000445495_Table1</v>
      </c>
      <c r="L680" s="17" t="str">
        <f t="array" ref="L680">IFERROR(INDEX(AUTO_Public_TSV_FileList!$A$1:$A$1000,MATCH(TRUE(),EXACT(K680,IFERROR(_xlfn.TEXTBEFORE(AUTO_Public_TSV_FileList!$A$1:$A$1000,".tsv"),"")),0)),"notfound")</f>
        <v>10.1159%2F000445495_Table1.tsv</v>
      </c>
      <c r="M680" s="21" t="s">
        <v>2789</v>
      </c>
      <c r="N680" s="21" t="s">
        <v>2242</v>
      </c>
      <c r="O680" s="21" t="s">
        <v>2790</v>
      </c>
      <c r="P680" s="21" t="s">
        <v>2244</v>
      </c>
      <c r="Q680" s="21" t="s">
        <v>2791</v>
      </c>
      <c r="R680" s="21" t="s">
        <v>2792</v>
      </c>
      <c r="S680" s="21"/>
      <c r="T680" s="21" t="s">
        <v>2247</v>
      </c>
      <c r="U680" s="21"/>
      <c r="V680" s="21"/>
      <c r="W680" s="21"/>
      <c r="X680" s="21"/>
      <c r="Y680" s="21"/>
      <c r="Z680" s="21"/>
      <c r="AA680" s="21" t="s">
        <v>2793</v>
      </c>
      <c r="AB680" s="21" t="s">
        <v>2794</v>
      </c>
      <c r="AC680" s="21"/>
      <c r="AD680" s="21"/>
      <c r="AE680" s="21" t="s">
        <v>50</v>
      </c>
      <c r="AF680" s="21"/>
      <c r="AG680" s="21" t="s">
        <v>2250</v>
      </c>
      <c r="AH680" s="21" t="s">
        <v>2795</v>
      </c>
    </row>
    <row r="681" spans="1:34" ht="16" customHeight="1" x14ac:dyDescent="0.2">
      <c r="A681" s="21" t="s">
        <v>2788</v>
      </c>
      <c r="B681" s="21"/>
      <c r="C681" s="21"/>
      <c r="D681" s="21" t="s">
        <v>160</v>
      </c>
      <c r="E681" s="17" t="str">
        <f t="shared" si="100"/>
        <v>Reyes</v>
      </c>
      <c r="F681" s="17"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1" s="17" t="str">
        <f t="shared" si="101"/>
        <v>2016</v>
      </c>
      <c r="H681" s="17" t="str">
        <f t="shared" si="102"/>
        <v>Reyes_etal_2016</v>
      </c>
      <c r="I681" s="17" t="str">
        <f t="shared" si="106"/>
        <v>10.1159%2F000445495</v>
      </c>
      <c r="J681" s="17" t="str">
        <f t="shared" si="103"/>
        <v>Reyes_etal_2016_Table2</v>
      </c>
      <c r="K681" s="17" t="str">
        <f t="shared" si="104"/>
        <v>10.1159%2F000445495_Table2</v>
      </c>
      <c r="L681" s="17" t="str">
        <f t="array" ref="L681">IFERROR(INDEX(AUTO_Public_TSV_FileList!$A$1:$A$1000,MATCH(TRUE(),EXACT(K681,IFERROR(_xlfn.TEXTBEFORE(AUTO_Public_TSV_FileList!$A$1:$A$1000,".tsv"),"")),0)),"notfound")</f>
        <v>10.1159%2F000445495_Table2.tsv</v>
      </c>
      <c r="M681" s="21" t="s">
        <v>2796</v>
      </c>
      <c r="N681" s="21" t="s">
        <v>2242</v>
      </c>
      <c r="O681" s="21" t="s">
        <v>2797</v>
      </c>
      <c r="P681" s="21" t="s">
        <v>2244</v>
      </c>
      <c r="Q681" s="21" t="s">
        <v>2798</v>
      </c>
      <c r="R681" s="21" t="s">
        <v>2792</v>
      </c>
      <c r="S681" s="21"/>
      <c r="T681" s="21" t="s">
        <v>2247</v>
      </c>
      <c r="U681" s="21"/>
      <c r="V681" s="21"/>
      <c r="W681" s="21"/>
      <c r="X681" s="21"/>
      <c r="Y681" s="21"/>
      <c r="Z681" s="21"/>
      <c r="AA681" s="21" t="s">
        <v>2793</v>
      </c>
      <c r="AB681" s="21" t="s">
        <v>2799</v>
      </c>
      <c r="AC681" s="21"/>
      <c r="AD681" s="21"/>
      <c r="AE681" s="21" t="s">
        <v>50</v>
      </c>
      <c r="AF681" s="21"/>
      <c r="AG681" s="21" t="s">
        <v>2250</v>
      </c>
      <c r="AH681" s="21" t="s">
        <v>2795</v>
      </c>
    </row>
    <row r="682" spans="1:34" ht="16" customHeight="1" x14ac:dyDescent="0.2">
      <c r="A682" s="21" t="s">
        <v>2788</v>
      </c>
      <c r="B682" s="21"/>
      <c r="C682" s="21"/>
      <c r="D682" s="21" t="s">
        <v>162</v>
      </c>
      <c r="E682" s="17" t="str">
        <f t="shared" si="100"/>
        <v>Reyes</v>
      </c>
      <c r="F682" s="17"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17" t="str">
        <f t="shared" si="101"/>
        <v>2016</v>
      </c>
      <c r="H682" s="17" t="str">
        <f t="shared" si="102"/>
        <v>Reyes_etal_2016</v>
      </c>
      <c r="I682" s="17" t="str">
        <f t="shared" si="106"/>
        <v>10.1159%2F000445495</v>
      </c>
      <c r="J682" s="17" t="str">
        <f t="shared" si="103"/>
        <v>Reyes_etal_2016_Table3</v>
      </c>
      <c r="K682" s="17" t="str">
        <f t="shared" si="104"/>
        <v>10.1159%2F000445495_Table3</v>
      </c>
      <c r="L682" s="17" t="str">
        <f t="array" ref="L682">IFERROR(INDEX(AUTO_Public_TSV_FileList!$A$1:$A$1000,MATCH(TRUE(),EXACT(K682,IFERROR(_xlfn.TEXTBEFORE(AUTO_Public_TSV_FileList!$A$1:$A$1000,".tsv"),"")),0)),"notfound")</f>
        <v>10.1159%2F000445495_Table3.tsv</v>
      </c>
      <c r="M682" s="21" t="s">
        <v>2800</v>
      </c>
      <c r="N682" s="21" t="s">
        <v>2242</v>
      </c>
      <c r="O682" s="21" t="s">
        <v>2801</v>
      </c>
      <c r="P682" s="21" t="s">
        <v>2244</v>
      </c>
      <c r="Q682" s="21" t="s">
        <v>2802</v>
      </c>
      <c r="R682" s="21" t="s">
        <v>2792</v>
      </c>
      <c r="S682" s="21"/>
      <c r="T682" s="21" t="s">
        <v>2247</v>
      </c>
      <c r="U682" s="21"/>
      <c r="V682" s="21"/>
      <c r="W682" s="21"/>
      <c r="X682" s="21"/>
      <c r="Y682" s="21"/>
      <c r="Z682" s="21"/>
      <c r="AA682" s="21" t="s">
        <v>2793</v>
      </c>
      <c r="AB682" s="21" t="s">
        <v>2799</v>
      </c>
      <c r="AC682" s="21"/>
      <c r="AD682" s="21"/>
      <c r="AE682" s="21" t="s">
        <v>70</v>
      </c>
      <c r="AF682" s="21"/>
      <c r="AG682" s="21" t="s">
        <v>2250</v>
      </c>
      <c r="AH682" s="21" t="s">
        <v>2795</v>
      </c>
    </row>
    <row r="683" spans="1:34" ht="16" customHeight="1" x14ac:dyDescent="0.2">
      <c r="A683" s="19" t="s">
        <v>2803</v>
      </c>
      <c r="B683" s="20"/>
      <c r="C683" s="20"/>
      <c r="D683" s="19" t="s">
        <v>86</v>
      </c>
      <c r="E683" s="17" t="str">
        <f t="shared" si="100"/>
        <v>Ribeiro</v>
      </c>
      <c r="F683" s="17"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17" t="str">
        <f t="shared" si="101"/>
        <v>2013</v>
      </c>
      <c r="H683" s="17" t="str">
        <f t="shared" si="102"/>
        <v>Ribeiro_etal_2013</v>
      </c>
      <c r="I683" s="17" t="str">
        <f t="shared" si="106"/>
        <v>10.3389%2Ffnana.2013.00028</v>
      </c>
      <c r="J683" s="17" t="str">
        <f t="shared" si="103"/>
        <v>Ribeiro_etal_2013_Table1</v>
      </c>
      <c r="K683" s="17" t="str">
        <f t="shared" si="104"/>
        <v>10.3389%2Ffnana.2013.00028_Table1</v>
      </c>
      <c r="L683" s="17" t="str">
        <f t="array" ref="L683">IFERROR(INDEX(AUTO_Public_TSV_FileList!$A$1:$A$1000,MATCH(TRUE(),EXACT(K683,IFERROR(_xlfn.TEXTBEFORE(AUTO_Public_TSV_FileList!$A$1:$A$1000,".tsv"),"")),0)),"notfound")</f>
        <v>10.3389%2Ffnana.2013.00028_Table1.tsv</v>
      </c>
      <c r="M683" s="20"/>
      <c r="N683" s="19" t="s">
        <v>54</v>
      </c>
      <c r="O683" s="20"/>
      <c r="P683" s="19" t="s">
        <v>55</v>
      </c>
      <c r="Q683" s="19"/>
      <c r="R683" s="20"/>
      <c r="S683" s="20"/>
      <c r="T683" s="20"/>
      <c r="U683" s="20"/>
      <c r="V683" s="20"/>
      <c r="W683" s="19" t="s">
        <v>1210</v>
      </c>
      <c r="X683" s="19" t="s">
        <v>2804</v>
      </c>
      <c r="Y683" s="20"/>
      <c r="Z683" s="20"/>
      <c r="AA683" s="20"/>
      <c r="AB683" s="19" t="s">
        <v>2805</v>
      </c>
      <c r="AC683" s="19" t="s">
        <v>84</v>
      </c>
      <c r="AD683" s="20"/>
      <c r="AE683" s="19" t="s">
        <v>50</v>
      </c>
      <c r="AF683" s="19"/>
      <c r="AG683" s="19" t="s">
        <v>2806</v>
      </c>
      <c r="AH683" s="20"/>
    </row>
    <row r="684" spans="1:34" ht="16" customHeight="1" x14ac:dyDescent="0.2">
      <c r="A684" s="20" t="s">
        <v>2807</v>
      </c>
      <c r="B684" s="20"/>
      <c r="C684" s="20"/>
      <c r="D684" s="20" t="s">
        <v>2808</v>
      </c>
      <c r="E684" s="18" t="str">
        <f t="shared" si="100"/>
        <v>Ricklefs</v>
      </c>
      <c r="F684" s="17"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4" s="17" t="str">
        <f t="shared" si="101"/>
        <v>2010</v>
      </c>
      <c r="H684" s="18" t="str">
        <f t="shared" si="102"/>
        <v>Ricklefs__2010</v>
      </c>
      <c r="I684" s="18" t="str">
        <f>_xlfn.LET(_xlpm.doi,IF(C684&lt;&gt;"",C684,_xlfn.TEXTAFTER(A684,"https://doi.org/")),SUBSTITUTE(SUBSTITUTE(SUBSTITUTE(SUBSTITUTE(_xlpm.doi,"/","%2F"),":","%3A"),"&lt;","%3C"),"&gt;","%3E"))</f>
        <v>10.1073%2Fpnas.1005862107</v>
      </c>
      <c r="J684" s="18" t="str">
        <f t="shared" si="103"/>
        <v>Ricklefs__2010_Appendix4</v>
      </c>
      <c r="K684" s="17" t="str">
        <f t="shared" ref="K684:K715" si="107">I684 &amp; "_" &amp; SUBSTITUTE(SUBSTITUTE(SUBSTITUTE(D684,CHAR(160),"")," ",""),"_","")</f>
        <v>10.1073%2Fpnas.1005862107_Appendix4</v>
      </c>
      <c r="L684" s="17" t="str">
        <f t="array" ref="L684">IFERROR(INDEX(AUTO_Public_TSV_FileList!$A$1:$A$1000,MATCH(TRUE(),EXACT(K684,IFERROR(_xlfn.TEXTBEFORE(AUTO_Public_TSV_FileList!$A$1:$A$1000,".tsv"),"")),0)),"notfound")</f>
        <v>10.1073%2Fpnas.1005862107_Appendix4.tsv</v>
      </c>
      <c r="M684" s="20" t="s">
        <v>2809</v>
      </c>
      <c r="N684" s="20" t="s">
        <v>2810</v>
      </c>
      <c r="O684" s="20" t="s">
        <v>2811</v>
      </c>
      <c r="P684" s="20" t="s">
        <v>2812</v>
      </c>
      <c r="Q684" s="20" t="s">
        <v>2813</v>
      </c>
      <c r="R684" s="20" t="s">
        <v>2814</v>
      </c>
      <c r="S684" s="20"/>
      <c r="T684" s="20" t="s">
        <v>2815</v>
      </c>
      <c r="U684" s="20"/>
      <c r="V684" s="20" t="s">
        <v>2816</v>
      </c>
      <c r="W684" s="20" t="s">
        <v>2817</v>
      </c>
      <c r="X684" s="20" t="s">
        <v>2818</v>
      </c>
      <c r="Y684" s="20" t="s">
        <v>2819</v>
      </c>
      <c r="Z684" s="20" t="s">
        <v>2820</v>
      </c>
      <c r="AA684" s="20" t="s">
        <v>2821</v>
      </c>
      <c r="AB684" s="20" t="s">
        <v>2822</v>
      </c>
      <c r="AC684" s="20"/>
      <c r="AD684" s="20"/>
      <c r="AE684" s="20" t="s">
        <v>70</v>
      </c>
      <c r="AF684" s="20" t="s">
        <v>2823</v>
      </c>
      <c r="AG684" s="20" t="s">
        <v>2824</v>
      </c>
      <c r="AH684" s="20"/>
    </row>
    <row r="685" spans="1:34" ht="16" customHeight="1" x14ac:dyDescent="0.2">
      <c r="A685" s="20" t="s">
        <v>2807</v>
      </c>
      <c r="B685" s="20"/>
      <c r="C685" s="20"/>
      <c r="D685" s="20" t="s">
        <v>2825</v>
      </c>
      <c r="E685" s="18" t="str">
        <f t="shared" si="100"/>
        <v>Ricklefs</v>
      </c>
      <c r="F685" s="17"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5" s="17" t="str">
        <f t="shared" si="101"/>
        <v>2010</v>
      </c>
      <c r="H685" s="18" t="str">
        <f t="shared" si="102"/>
        <v>Ricklefs__2010</v>
      </c>
      <c r="I685" s="18" t="str">
        <f>_xlfn.LET(_xlpm.doi,IF(C685&lt;&gt;"",C685,_xlfn.TEXTAFTER(A685,"https://doi.org/")),SUBSTITUTE(SUBSTITUTE(SUBSTITUTE(SUBSTITUTE(_xlpm.doi,"/","%2F"),":","%3A"),"&lt;","%3C"),"&gt;","%3E"))</f>
        <v>10.1073%2Fpnas.1005862107</v>
      </c>
      <c r="J685" s="18" t="str">
        <f t="shared" si="103"/>
        <v>Ricklefs__2010_Appendix6</v>
      </c>
      <c r="K685" s="17" t="str">
        <f t="shared" si="107"/>
        <v>10.1073%2Fpnas.1005862107_Appendix6</v>
      </c>
      <c r="L685" s="17" t="str">
        <f t="array" ref="L685">IFERROR(INDEX(AUTO_Public_TSV_FileList!$A$1:$A$1000,MATCH(TRUE(),EXACT(K685,IFERROR(_xlfn.TEXTBEFORE(AUTO_Public_TSV_FileList!$A$1:$A$1000,".tsv"),"")),0)),"notfound")</f>
        <v>10.1073%2Fpnas.1005862107_Appendix6.tsv</v>
      </c>
      <c r="M685" s="20" t="s">
        <v>2826</v>
      </c>
      <c r="N685" s="20" t="s">
        <v>2827</v>
      </c>
      <c r="O685" s="20" t="s">
        <v>2828</v>
      </c>
      <c r="P685" s="20" t="s">
        <v>2812</v>
      </c>
      <c r="Q685" s="20" t="s">
        <v>2829</v>
      </c>
      <c r="R685" s="20" t="s">
        <v>2814</v>
      </c>
      <c r="S685" s="20"/>
      <c r="T685" s="20"/>
      <c r="U685" s="20"/>
      <c r="V685" s="20" t="s">
        <v>1009</v>
      </c>
      <c r="W685" s="20" t="s">
        <v>2830</v>
      </c>
      <c r="X685" s="20" t="s">
        <v>2831</v>
      </c>
      <c r="Y685" s="20"/>
      <c r="Z685" s="20"/>
      <c r="AA685" s="20" t="s">
        <v>2832</v>
      </c>
      <c r="AB685" s="20" t="s">
        <v>2833</v>
      </c>
      <c r="AC685" s="20"/>
      <c r="AD685" s="20"/>
      <c r="AE685" s="20" t="s">
        <v>265</v>
      </c>
      <c r="AF685" s="20" t="s">
        <v>2834</v>
      </c>
      <c r="AG685" s="20" t="s">
        <v>2835</v>
      </c>
      <c r="AH685" s="20"/>
    </row>
    <row r="686" spans="1:34" ht="16" customHeight="1" x14ac:dyDescent="0.2">
      <c r="A686" s="21" t="s">
        <v>2836</v>
      </c>
      <c r="B686" s="21"/>
      <c r="C686" s="21"/>
      <c r="D686" s="21" t="s">
        <v>86</v>
      </c>
      <c r="E686" s="18" t="str">
        <f t="shared" si="100"/>
        <v>Ridgway</v>
      </c>
      <c r="F686" s="17"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6" s="17" t="str">
        <f t="shared" si="101"/>
        <v>1990</v>
      </c>
      <c r="H686" s="18" t="str">
        <f t="shared" si="102"/>
        <v>Ridgway__1990</v>
      </c>
      <c r="I686" s="18" t="str">
        <f>_xlfn.LET(_xlpm.doi,IF(C686&lt;&gt;"",C686,_xlfn.TEXTAFTER(A686,"https://doi.org/")),SUBSTITUTE(SUBSTITUTE(SUBSTITUTE(SUBSTITUTE(_xlpm.doi,"/","%2F"),":","%3A"),"&lt;","%3C"),"&gt;","%3E"))</f>
        <v>10.1016%2FB978-0-12-440280-5.50008-1</v>
      </c>
      <c r="J686" s="18" t="str">
        <f t="shared" si="103"/>
        <v>Ridgway__1990_Table1</v>
      </c>
      <c r="K686" s="18" t="str">
        <f t="shared" si="107"/>
        <v>10.1016%2FB978-0-12-440280-5.50008-1_Table1</v>
      </c>
      <c r="L686" s="17" t="str">
        <f t="array" ref="L686">IFERROR(INDEX(AUTO_Public_TSV_FileList!$A$1:$A$1000,MATCH(TRUE(),EXACT(K686,IFERROR(_xlfn.TEXTBEFORE(AUTO_Public_TSV_FileList!$A$1:$A$1000,".tsv"),"")),0)),"notfound")</f>
        <v>10.1016%2FB978-0-12-440280-5.50008-1_Table1.tsv</v>
      </c>
      <c r="M686" s="21" t="s">
        <v>2837</v>
      </c>
      <c r="N686" s="19" t="s">
        <v>54</v>
      </c>
      <c r="O686" s="20" t="s">
        <v>2838</v>
      </c>
      <c r="P686" s="21" t="s">
        <v>55</v>
      </c>
      <c r="Q686" s="21"/>
      <c r="R686" s="21"/>
      <c r="S686" s="21" t="s">
        <v>1061</v>
      </c>
      <c r="T686" s="21" t="s">
        <v>1062</v>
      </c>
      <c r="U686" s="21"/>
      <c r="V686" s="21" t="s">
        <v>1063</v>
      </c>
      <c r="W686" s="21" t="s">
        <v>1255</v>
      </c>
      <c r="X686" s="21" t="s">
        <v>2839</v>
      </c>
      <c r="Y686" s="21"/>
      <c r="Z686" s="21"/>
      <c r="AA686" s="21" t="s">
        <v>2840</v>
      </c>
      <c r="AB686" s="21" t="s">
        <v>2841</v>
      </c>
      <c r="AC686" s="20"/>
      <c r="AD686" s="21"/>
      <c r="AE686" s="19" t="s">
        <v>70</v>
      </c>
      <c r="AF686" s="19"/>
      <c r="AG686" s="21" t="s">
        <v>2842</v>
      </c>
      <c r="AH686" s="20"/>
    </row>
    <row r="687" spans="1:34" ht="16" customHeight="1" x14ac:dyDescent="0.2">
      <c r="A687" s="19" t="s">
        <v>2843</v>
      </c>
      <c r="B687" s="20"/>
      <c r="C687" s="20"/>
      <c r="D687" s="19" t="s">
        <v>86</v>
      </c>
      <c r="E687" s="17" t="str">
        <f t="shared" si="100"/>
        <v>Rilling</v>
      </c>
      <c r="F687" s="17"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687" s="17" t="str">
        <f t="shared" si="101"/>
        <v>1998</v>
      </c>
      <c r="H687" s="17" t="str">
        <f t="shared" si="102"/>
        <v>Rilling_Insel_1998</v>
      </c>
      <c r="I687" s="17" t="str">
        <f>_xlfn.LET(
_xlpm.doi,IF(C687&lt;&gt;"",C687,_xlfn.TEXTAFTER(A687,"https://doi.org/")),
SUBSTITUTE(
SUBSTITUTE(
SUBSTITUTE(
SUBSTITUTE(
_xlpm.doi,
"/","%2F"),
":","%3A"),
"&lt;","%3C"),
"&gt;","%3E")
)</f>
        <v>10.1159%2F000006575</v>
      </c>
      <c r="J687" s="17" t="str">
        <f t="shared" si="103"/>
        <v>Rilling_Insel_1998_Table1</v>
      </c>
      <c r="K687" s="17" t="str">
        <f t="shared" si="107"/>
        <v>10.1159%2F000006575_Table1</v>
      </c>
      <c r="L687" s="17" t="str">
        <f t="array" ref="L687">IFERROR(INDEX(AUTO_Public_TSV_FileList!$A$1:$A$1000,MATCH(TRUE(),EXACT(K687,IFERROR(_xlfn.TEXTBEFORE(AUTO_Public_TSV_FileList!$A$1:$A$1000,".tsv"),"")),0)),"notfound")</f>
        <v>10.1159%2F000006575_Table1.tsv</v>
      </c>
      <c r="M687" s="19" t="s">
        <v>2844</v>
      </c>
      <c r="N687" s="20"/>
      <c r="O687" s="20"/>
      <c r="P687" s="19" t="s">
        <v>55</v>
      </c>
      <c r="Q687" s="20"/>
      <c r="R687" s="20"/>
      <c r="S687" s="20"/>
      <c r="T687" s="20"/>
      <c r="U687" s="20"/>
      <c r="V687" s="20"/>
      <c r="W687" s="20" t="s">
        <v>2845</v>
      </c>
      <c r="X687" s="20"/>
      <c r="Y687" s="20"/>
      <c r="Z687" s="19" t="s">
        <v>2382</v>
      </c>
      <c r="AA687" s="19" t="s">
        <v>216</v>
      </c>
      <c r="AB687" s="19" t="s">
        <v>177</v>
      </c>
      <c r="AC687" s="19" t="s">
        <v>2383</v>
      </c>
      <c r="AD687" s="19" t="s">
        <v>2384</v>
      </c>
      <c r="AE687" s="19" t="s">
        <v>50</v>
      </c>
      <c r="AF687" s="19"/>
      <c r="AG687" s="20"/>
      <c r="AH687" s="20"/>
    </row>
    <row r="688" spans="1:34" ht="16" customHeight="1" x14ac:dyDescent="0.2">
      <c r="A688" s="19" t="s">
        <v>2846</v>
      </c>
      <c r="B688" s="20"/>
      <c r="C688" s="20"/>
      <c r="D688" s="19" t="s">
        <v>86</v>
      </c>
      <c r="E688" s="17" t="str">
        <f t="shared" si="100"/>
        <v>Rilling</v>
      </c>
      <c r="F688" s="17"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688" s="17" t="str">
        <f t="shared" si="101"/>
        <v>1999</v>
      </c>
      <c r="H688" s="17" t="str">
        <f t="shared" si="102"/>
        <v>Rilling_Insel_1999</v>
      </c>
      <c r="I688" s="17" t="str">
        <f>_xlfn.LET(
_xlpm.doi,IF(C688&lt;&gt;"",C688,_xlfn.TEXTAFTER(A688,"https://doi.org/")),
SUBSTITUTE(
SUBSTITUTE(
SUBSTITUTE(
SUBSTITUTE(
_xlpm.doi,
"/","%2F"),
":","%3A"),
"&lt;","%3C"),
"&gt;","%3E")
)</f>
        <v>10.1006%2Fjhev.1999.0313</v>
      </c>
      <c r="J688" s="17" t="str">
        <f t="shared" si="103"/>
        <v>Rilling_Insel_1999_Table1</v>
      </c>
      <c r="K688" s="17" t="str">
        <f t="shared" si="107"/>
        <v>10.1006%2Fjhev.1999.0313_Table1</v>
      </c>
      <c r="L688" s="17" t="str">
        <f t="array" ref="L688">IFERROR(INDEX(AUTO_Public_TSV_FileList!$A$1:$A$1000,MATCH(TRUE(),EXACT(K688,IFERROR(_xlfn.TEXTBEFORE(AUTO_Public_TSV_FileList!$A$1:$A$1000,".tsv"),"")),0)),"notfound")</f>
        <v>10.1006%2Fjhev.1999.0313_Table1.tsv</v>
      </c>
      <c r="M688" s="19" t="s">
        <v>2847</v>
      </c>
      <c r="N688" s="20"/>
      <c r="O688" s="20"/>
      <c r="P688" s="19" t="s">
        <v>55</v>
      </c>
      <c r="Q688" s="20"/>
      <c r="R688" s="20"/>
      <c r="S688" s="20"/>
      <c r="T688" s="20"/>
      <c r="U688" s="20"/>
      <c r="V688" s="20"/>
      <c r="W688" s="20" t="s">
        <v>2848</v>
      </c>
      <c r="X688" s="20"/>
      <c r="Y688" s="20"/>
      <c r="Z688" s="19" t="s">
        <v>2382</v>
      </c>
      <c r="AA688" s="19" t="s">
        <v>216</v>
      </c>
      <c r="AB688" s="19" t="s">
        <v>177</v>
      </c>
      <c r="AC688" s="19" t="s">
        <v>2383</v>
      </c>
      <c r="AD688" s="19" t="s">
        <v>2384</v>
      </c>
      <c r="AE688" s="19" t="s">
        <v>50</v>
      </c>
      <c r="AF688" s="19"/>
      <c r="AG688" s="20"/>
      <c r="AH688" s="20"/>
    </row>
    <row r="689" spans="1:34" ht="16" customHeight="1" x14ac:dyDescent="0.2">
      <c r="A689" s="20" t="s">
        <v>2849</v>
      </c>
      <c r="B689" s="20"/>
      <c r="C689" s="20"/>
      <c r="D689" s="20" t="s">
        <v>2850</v>
      </c>
      <c r="E689" s="18" t="str">
        <f t="shared" si="100"/>
        <v>Rivara</v>
      </c>
      <c r="F689" s="17"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17" t="str">
        <f t="shared" si="101"/>
        <v>2003</v>
      </c>
      <c r="H689" s="18" t="str">
        <f t="shared" si="102"/>
        <v>Rivara_etal_2003</v>
      </c>
      <c r="I689" s="18" t="str">
        <f>_xlfn.LET(_xlpm.doi,IF(C689&lt;&gt;"",C689,_xlfn.TEXTAFTER(A689,"https://doi.org/")),SUBSTITUTE(SUBSTITUTE(SUBSTITUTE(SUBSTITUTE(_xlpm.doi,"/","%2F"),":","%3A"),"&lt;","%3C"),"&gt;","%3E"))</f>
        <v>10.1002%2Far.a.10015</v>
      </c>
      <c r="J689" s="18" t="str">
        <f t="shared" si="103"/>
        <v>Rivara_etal_2003_Betzcells</v>
      </c>
      <c r="K689" s="17" t="str">
        <f t="shared" si="107"/>
        <v>10.1002%2Far.a.10015_Betzcells</v>
      </c>
      <c r="L689" s="17" t="str">
        <f t="array" ref="L689">IFERROR(INDEX(AUTO_Public_TSV_FileList!$A$1:$A$1000,MATCH(TRUE(),EXACT(K689,IFERROR(_xlfn.TEXTBEFORE(AUTO_Public_TSV_FileList!$A$1:$A$1000,".tsv"),"")),0)),"notfound")</f>
        <v>notfound</v>
      </c>
      <c r="M689" s="20" t="s">
        <v>2851</v>
      </c>
      <c r="N689" s="20" t="s">
        <v>88</v>
      </c>
      <c r="O689" s="20" t="s">
        <v>2852</v>
      </c>
      <c r="P689" s="20" t="s">
        <v>133</v>
      </c>
      <c r="Q689" s="20"/>
      <c r="R689" s="20" t="s">
        <v>2853</v>
      </c>
      <c r="S689" s="20" t="s">
        <v>135</v>
      </c>
      <c r="T689" s="20" t="s">
        <v>2854</v>
      </c>
      <c r="U689" s="20"/>
      <c r="V689" s="20" t="s">
        <v>883</v>
      </c>
      <c r="W689" s="20" t="s">
        <v>2855</v>
      </c>
      <c r="X689" s="20" t="s">
        <v>2856</v>
      </c>
      <c r="Y689" s="20"/>
      <c r="Z689" s="20" t="s">
        <v>172</v>
      </c>
      <c r="AA689" s="20" t="s">
        <v>2857</v>
      </c>
      <c r="AB689" s="20" t="s">
        <v>2858</v>
      </c>
      <c r="AC689" s="20" t="s">
        <v>2280</v>
      </c>
      <c r="AD689" s="20" t="s">
        <v>2281</v>
      </c>
      <c r="AE689" s="20" t="s">
        <v>50</v>
      </c>
      <c r="AF689" s="20"/>
      <c r="AG689" s="20" t="s">
        <v>2859</v>
      </c>
      <c r="AH689" s="20"/>
    </row>
    <row r="690" spans="1:34" ht="16" customHeight="1" x14ac:dyDescent="0.2">
      <c r="A690" s="20" t="s">
        <v>2860</v>
      </c>
      <c r="B690" s="20"/>
      <c r="C690" s="20"/>
      <c r="D690" s="20" t="s">
        <v>147</v>
      </c>
      <c r="E690" s="18" t="str">
        <f t="shared" si="100"/>
        <v>Rockel</v>
      </c>
      <c r="F690" s="17"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17" t="str">
        <f t="shared" si="101"/>
        <v>1980</v>
      </c>
      <c r="H690" s="18" t="str">
        <f t="shared" si="102"/>
        <v>Rockel_etal_1980</v>
      </c>
      <c r="I690" s="18" t="str">
        <f>_xlfn.LET(_xlpm.doi,IF(C690&lt;&gt;"",C690,_xlfn.TEXTAFTER(A690,"https://doi.org/")),SUBSTITUTE(SUBSTITUTE(SUBSTITUTE(SUBSTITUTE(_xlpm.doi,"/","%2F"),":","%3A"),"&lt;","%3C"),"&gt;","%3E"))</f>
        <v>10.1093%2Fbrain%2F103.2.221</v>
      </c>
      <c r="J690" s="18" t="str">
        <f t="shared" si="103"/>
        <v>Rockel_etal_1980_TABLE3</v>
      </c>
      <c r="K690" s="17" t="str">
        <f t="shared" si="107"/>
        <v>10.1093%2Fbrain%2F103.2.221_TABLE3</v>
      </c>
      <c r="L690" s="17" t="str">
        <f t="array" ref="L690">IFERROR(INDEX(AUTO_Public_TSV_FileList!$A$1:$A$1000,MATCH(TRUE(),EXACT(K690,IFERROR(_xlfn.TEXTBEFORE(AUTO_Public_TSV_FileList!$A$1:$A$1000,".tsv"),"")),0)),"notfound")</f>
        <v>10.1093%2Fbrain%2F103.2.221_TABLE3.tsv</v>
      </c>
      <c r="M690" s="20" t="s">
        <v>2861</v>
      </c>
      <c r="N690" s="20" t="s">
        <v>2862</v>
      </c>
      <c r="O690" s="20" t="s">
        <v>2863</v>
      </c>
      <c r="P690" s="20"/>
      <c r="Q690" s="20" t="s">
        <v>2864</v>
      </c>
      <c r="R690" s="20" t="s">
        <v>2865</v>
      </c>
      <c r="S690" s="20" t="s">
        <v>2866</v>
      </c>
      <c r="T690" s="20" t="s">
        <v>2867</v>
      </c>
      <c r="U690" s="20" t="s">
        <v>2868</v>
      </c>
      <c r="V690" s="20" t="s">
        <v>2869</v>
      </c>
      <c r="W690" s="20" t="s">
        <v>2870</v>
      </c>
      <c r="X690" s="20" t="s">
        <v>2871</v>
      </c>
      <c r="Y690" s="20" t="s">
        <v>2872</v>
      </c>
      <c r="Z690" s="20" t="s">
        <v>2873</v>
      </c>
      <c r="AA690" s="20" t="s">
        <v>2874</v>
      </c>
      <c r="AB690" s="20" t="s">
        <v>2875</v>
      </c>
      <c r="AC690" s="20" t="s">
        <v>2876</v>
      </c>
      <c r="AD690" s="20"/>
      <c r="AE690" s="20" t="s">
        <v>50</v>
      </c>
      <c r="AF690" s="20"/>
      <c r="AG690" s="20" t="s">
        <v>2877</v>
      </c>
      <c r="AH690" s="20"/>
    </row>
    <row r="691" spans="1:34" ht="16" customHeight="1" x14ac:dyDescent="0.2">
      <c r="A691" s="20" t="s">
        <v>4552</v>
      </c>
      <c r="B691" s="20"/>
      <c r="C691" s="20"/>
      <c r="D691" s="20" t="s">
        <v>2905</v>
      </c>
      <c r="E691" s="18" t="str">
        <f t="shared" si="100"/>
        <v>Ross</v>
      </c>
      <c r="F691" s="17"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91" s="17" t="str">
        <f t="shared" si="101"/>
        <v>2007</v>
      </c>
      <c r="H691" s="18" t="str">
        <f t="shared" si="102"/>
        <v>Ross_Kirk_2007</v>
      </c>
      <c r="I691" s="18" t="str">
        <f>_xlfn.LET(_xlpm.doi,IF(C691&lt;&gt;"",C691,_xlfn.TEXTAFTER(A691,"https://doi.org/")),SUBSTITUTE(SUBSTITUTE(SUBSTITUTE(SUBSTITUTE(_xlpm.doi,"/","%2F"),":","%3A"),"&lt;","%3C"),"&gt;","%3E"))</f>
        <v>10.1016%2Fj.jhevol.2006.09.006</v>
      </c>
      <c r="J691" s="18" t="str">
        <f t="shared" si="103"/>
        <v>Ross_Kirk_2007_Appendix1</v>
      </c>
      <c r="K691" s="17" t="str">
        <f t="shared" si="107"/>
        <v>10.1016%2Fj.jhevol.2006.09.006_Appendix1</v>
      </c>
      <c r="L691" s="17" t="str">
        <f t="array" ref="L691">IFERROR(INDEX(AUTO_Public_TSV_FileList!$A$1:$A$1000,MATCH(TRUE(),EXACT(K691,IFERROR(_xlfn.TEXTBEFORE(AUTO_Public_TSV_FileList!$A$1:$A$1000,".tsv"),"")),0)),"notfound")</f>
        <v>notfound</v>
      </c>
      <c r="M691" s="20" t="s">
        <v>4551</v>
      </c>
      <c r="N691" s="20" t="s">
        <v>4613</v>
      </c>
      <c r="O691" s="20" t="s">
        <v>4614</v>
      </c>
      <c r="P691" s="20" t="s">
        <v>4615</v>
      </c>
      <c r="Q691" s="20" t="s">
        <v>4616</v>
      </c>
      <c r="R691" s="20" t="s">
        <v>4617</v>
      </c>
      <c r="S691" s="20" t="s">
        <v>4618</v>
      </c>
      <c r="T691" s="20" t="s">
        <v>4619</v>
      </c>
      <c r="U691" s="20"/>
      <c r="V691" s="20" t="s">
        <v>4620</v>
      </c>
      <c r="W691" s="20" t="s">
        <v>224</v>
      </c>
      <c r="X691" s="20" t="s">
        <v>4621</v>
      </c>
      <c r="Y691" s="20" t="s">
        <v>4622</v>
      </c>
      <c r="Z691" s="20" t="s">
        <v>4623</v>
      </c>
      <c r="AA691" s="20" t="s">
        <v>4624</v>
      </c>
      <c r="AB691" s="20" t="s">
        <v>4625</v>
      </c>
      <c r="AC691" s="20" t="s">
        <v>4626</v>
      </c>
      <c r="AD691" s="20" t="s">
        <v>689</v>
      </c>
      <c r="AE691" s="20" t="s">
        <v>70</v>
      </c>
      <c r="AF691" s="20" t="s">
        <v>4627</v>
      </c>
      <c r="AG691" s="20" t="s">
        <v>4628</v>
      </c>
      <c r="AH691" s="20" t="s">
        <v>4629</v>
      </c>
    </row>
    <row r="692" spans="1:34" ht="16" customHeight="1" x14ac:dyDescent="0.2">
      <c r="A692" s="19" t="s">
        <v>2878</v>
      </c>
      <c r="B692" s="20"/>
      <c r="C692" s="20"/>
      <c r="D692" s="19" t="s">
        <v>86</v>
      </c>
      <c r="E692" s="17" t="str">
        <f t="shared" si="100"/>
        <v>Ruf</v>
      </c>
      <c r="F692" s="17"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692" s="17" t="str">
        <f t="shared" si="101"/>
        <v>2015</v>
      </c>
      <c r="H692" s="17" t="str">
        <f t="shared" si="102"/>
        <v>Ruf_Geiser_2015</v>
      </c>
      <c r="I692" s="17" t="str">
        <f>_xlfn.LET(
_xlpm.doi,IF(C692&lt;&gt;"",C692,_xlfn.TEXTAFTER(A692,"https://doi.org/")),
SUBSTITUTE(
SUBSTITUTE(
SUBSTITUTE(
SUBSTITUTE(
_xlpm.doi,
"/","%2F"),
":","%3A"),
"&lt;","%3C"),
"&gt;","%3E")
)</f>
        <v>10.1111%2Fbrv.12137</v>
      </c>
      <c r="J692" s="17" t="str">
        <f t="shared" si="103"/>
        <v>Ruf_Geiser_2015_Table1</v>
      </c>
      <c r="K692" s="17" t="str">
        <f t="shared" si="107"/>
        <v>10.1111%2Fbrv.12137_Table1</v>
      </c>
      <c r="L692" s="17" t="str">
        <f t="array" ref="L692">IFERROR(INDEX(AUTO_Public_TSV_FileList!$A$1:$A$1000,MATCH(TRUE(),EXACT(K692,IFERROR(_xlfn.TEXTBEFORE(AUTO_Public_TSV_FileList!$A$1:$A$1000,".tsv"),"")),0)),"notfound")</f>
        <v>10.1111%2Fbrv.12137_Table1.tsv</v>
      </c>
      <c r="M692" s="20"/>
      <c r="N692" s="20"/>
      <c r="O692" s="20"/>
      <c r="P692" s="19" t="s">
        <v>55</v>
      </c>
      <c r="Q692" s="20"/>
      <c r="R692" s="20"/>
      <c r="S692" s="20"/>
      <c r="T692" s="20"/>
      <c r="U692" s="20"/>
      <c r="V692" s="20"/>
      <c r="W692" s="20"/>
      <c r="X692" s="20"/>
      <c r="Y692" s="20"/>
      <c r="Z692" s="20"/>
      <c r="AA692" s="20"/>
      <c r="AB692" s="20"/>
      <c r="AC692" s="20"/>
      <c r="AD692" s="20"/>
      <c r="AE692" s="20"/>
      <c r="AF692" s="20"/>
      <c r="AG692" s="20"/>
      <c r="AH692" s="20"/>
    </row>
    <row r="693" spans="1:34" ht="16" customHeight="1" x14ac:dyDescent="0.2">
      <c r="A693" s="20" t="s">
        <v>2879</v>
      </c>
      <c r="B693" s="20"/>
      <c r="C693" s="20"/>
      <c r="D693" s="20" t="s">
        <v>2880</v>
      </c>
      <c r="E693" s="17" t="str">
        <f t="shared" si="100"/>
        <v>Sacher</v>
      </c>
      <c r="F693" s="17"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693" s="17" t="str">
        <f t="shared" si="101"/>
        <v>1974</v>
      </c>
      <c r="H693" s="17" t="str">
        <f t="shared" si="102"/>
        <v>Sacher_Staffeldt_1974</v>
      </c>
      <c r="I693" s="17" t="str">
        <f>_xlfn.LET(
_xlpm.doi,IF(C693&lt;&gt;"",C693,_xlfn.TEXTAFTER(A693,"https://doi.org/")),
SUBSTITUTE(
SUBSTITUTE(
SUBSTITUTE(
SUBSTITUTE(
_xlpm.doi,
"/","%2F"),
":","%3A"),
"&lt;","%3C"),
"&gt;","%3E")
)</f>
        <v>10.1086%2F282938</v>
      </c>
      <c r="J693" s="17" t="str">
        <f t="shared" si="103"/>
        <v>Sacher_Staffeldt_1974_Appendix</v>
      </c>
      <c r="K693" s="17" t="str">
        <f t="shared" si="107"/>
        <v>10.1086%2F282938_Appendix</v>
      </c>
      <c r="L693" s="17" t="str">
        <f t="array" ref="L693">IFERROR(INDEX(AUTO_Public_TSV_FileList!$A$1:$A$1000,MATCH(TRUE(),EXACT(K693,IFERROR(_xlfn.TEXTBEFORE(AUTO_Public_TSV_FileList!$A$1:$A$1000,".tsv"),"")),0)),"notfound")</f>
        <v>10.1086%2F282938_Appendix.tsv</v>
      </c>
      <c r="M693" s="20" t="s">
        <v>2881</v>
      </c>
      <c r="N693" s="20" t="s">
        <v>2882</v>
      </c>
      <c r="O693" s="20" t="s">
        <v>2883</v>
      </c>
      <c r="P693" s="20" t="s">
        <v>2884</v>
      </c>
      <c r="Q693" s="20" t="s">
        <v>2885</v>
      </c>
      <c r="R693" s="20" t="s">
        <v>2886</v>
      </c>
      <c r="S693" s="20"/>
      <c r="T693" s="20"/>
      <c r="U693" s="20"/>
      <c r="V693" s="20"/>
      <c r="W693" s="20" t="s">
        <v>224</v>
      </c>
      <c r="X693" s="20" t="s">
        <v>2887</v>
      </c>
      <c r="Y693" s="20" t="s">
        <v>2888</v>
      </c>
      <c r="Z693" s="20" t="s">
        <v>2889</v>
      </c>
      <c r="AA693" s="20" t="s">
        <v>2890</v>
      </c>
      <c r="AB693" s="20" t="s">
        <v>2891</v>
      </c>
      <c r="AC693" s="20"/>
      <c r="AD693" s="20"/>
      <c r="AE693" s="20" t="s">
        <v>70</v>
      </c>
      <c r="AF693" s="20" t="s">
        <v>2892</v>
      </c>
      <c r="AG693" s="20"/>
      <c r="AH693" s="20"/>
    </row>
    <row r="694" spans="1:34" ht="16" customHeight="1" x14ac:dyDescent="0.2">
      <c r="A694" s="20" t="s">
        <v>2893</v>
      </c>
      <c r="B694" s="20"/>
      <c r="C694" s="20"/>
      <c r="D694" s="20" t="s">
        <v>500</v>
      </c>
      <c r="E694" s="18" t="str">
        <f t="shared" si="100"/>
        <v>Sarko</v>
      </c>
      <c r="F694" s="17"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17" t="str">
        <f t="shared" si="101"/>
        <v>2011</v>
      </c>
      <c r="H694" s="18" t="str">
        <f t="shared" si="102"/>
        <v>Sarko_etal_2011</v>
      </c>
      <c r="I694" s="18" t="str">
        <f>_xlfn.LET(_xlpm.doi,IF(C694&lt;&gt;"",C694,_xlfn.TEXTAFTER(A694,"https://doi.org/")),SUBSTITUTE(SUBSTITUTE(SUBSTITUTE(SUBSTITUTE(_xlpm.doi,"/","%2F"),":","%3A"),"&lt;","%3C"),"&gt;","%3E"))</f>
        <v>10.1002%2Fcne.22504</v>
      </c>
      <c r="J694" s="18" t="str">
        <f t="shared" si="103"/>
        <v>Sarko_etal_2011_ResultsText</v>
      </c>
      <c r="K694" s="17" t="str">
        <f t="shared" si="107"/>
        <v>10.1002%2Fcne.22504_ResultsText</v>
      </c>
      <c r="L694" s="17" t="str">
        <f t="array" ref="L694">IFERROR(INDEX(AUTO_Public_TSV_FileList!$A$1:$A$1000,MATCH(TRUE(),EXACT(K694,IFERROR(_xlfn.TEXTBEFORE(AUTO_Public_TSV_FileList!$A$1:$A$1000,".tsv"),"")),0)),"notfound")</f>
        <v>10.1002%2Fcne.22504_ResultsText.tsv</v>
      </c>
      <c r="M694" s="20"/>
      <c r="N694" s="20" t="s">
        <v>501</v>
      </c>
      <c r="O694" s="20" t="s">
        <v>2894</v>
      </c>
      <c r="P694" s="20" t="s">
        <v>503</v>
      </c>
      <c r="Q694" s="20" t="s">
        <v>2895</v>
      </c>
      <c r="R694" s="20" t="s">
        <v>2896</v>
      </c>
      <c r="S694" s="20" t="s">
        <v>2897</v>
      </c>
      <c r="T694" s="20" t="s">
        <v>2898</v>
      </c>
      <c r="U694" s="20"/>
      <c r="V694" s="20" t="s">
        <v>597</v>
      </c>
      <c r="W694" s="20" t="s">
        <v>2899</v>
      </c>
      <c r="X694" s="20" t="s">
        <v>2900</v>
      </c>
      <c r="Y694" s="20" t="s">
        <v>2901</v>
      </c>
      <c r="Z694" s="20" t="s">
        <v>586</v>
      </c>
      <c r="AA694" s="20" t="s">
        <v>2902</v>
      </c>
      <c r="AB694" s="20" t="s">
        <v>2903</v>
      </c>
      <c r="AC694" s="20" t="s">
        <v>589</v>
      </c>
      <c r="AD694" s="20"/>
      <c r="AE694" s="20" t="s">
        <v>50</v>
      </c>
      <c r="AF694" s="20"/>
      <c r="AG694" s="20"/>
      <c r="AH694" s="20"/>
    </row>
    <row r="695" spans="1:34" ht="16" customHeight="1" x14ac:dyDescent="0.2">
      <c r="A695" s="20" t="s">
        <v>2904</v>
      </c>
      <c r="B695" s="20"/>
      <c r="C695" s="20"/>
      <c r="D695" s="20" t="s">
        <v>2905</v>
      </c>
      <c r="E695" s="18" t="str">
        <f t="shared" si="100"/>
        <v>Savage</v>
      </c>
      <c r="F695" s="17"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17" t="str">
        <f t="shared" si="101"/>
        <v>2004</v>
      </c>
      <c r="H695" s="18" t="str">
        <f t="shared" si="102"/>
        <v>Savage_etal_2004</v>
      </c>
      <c r="I695" s="18" t="str">
        <f>_xlfn.LET(_xlpm.doi,IF(C695&lt;&gt;"",C695,_xlfn.TEXTAFTER(A695,"https://doi.org/")),SUBSTITUTE(SUBSTITUTE(SUBSTITUTE(SUBSTITUTE(_xlpm.doi,"/","%2F"),":","%3A"),"&lt;","%3C"),"&gt;","%3E"))</f>
        <v>10.1111%2Fj.0269-8463.2004.00856.x</v>
      </c>
      <c r="J695" s="18" t="str">
        <f t="shared" si="103"/>
        <v>Savage_etal_2004_Appendix1</v>
      </c>
      <c r="K695" s="17" t="str">
        <f t="shared" si="107"/>
        <v>10.1111%2Fj.0269-8463.2004.00856.x_Appendix1</v>
      </c>
      <c r="L695" s="17" t="str">
        <f t="array" ref="L695">IFERROR(INDEX(AUTO_Public_TSV_FileList!$A$1:$A$1000,MATCH(TRUE(),EXACT(K695,IFERROR(_xlfn.TEXTBEFORE(AUTO_Public_TSV_FileList!$A$1:$A$1000,".tsv"),"")),0)),"notfound")</f>
        <v>10.1111%2Fj.0269-8463.2004.00856.x_Appendix1.tsv</v>
      </c>
      <c r="M695" s="20" t="s">
        <v>2906</v>
      </c>
      <c r="N695" s="20" t="s">
        <v>2907</v>
      </c>
      <c r="O695" s="20" t="s">
        <v>2908</v>
      </c>
      <c r="P695" s="20" t="s">
        <v>2812</v>
      </c>
      <c r="Q695" s="20" t="s">
        <v>2909</v>
      </c>
      <c r="R695" s="20" t="s">
        <v>2910</v>
      </c>
      <c r="S695" s="20"/>
      <c r="T695" s="20" t="s">
        <v>2911</v>
      </c>
      <c r="U695" s="20"/>
      <c r="V695" s="20" t="s">
        <v>2912</v>
      </c>
      <c r="W695" s="20" t="s">
        <v>2913</v>
      </c>
      <c r="X695" s="20" t="s">
        <v>2914</v>
      </c>
      <c r="Y695" s="20" t="s">
        <v>2915</v>
      </c>
      <c r="Z695" s="20"/>
      <c r="AA695" s="20" t="s">
        <v>2916</v>
      </c>
      <c r="AB695" s="20" t="s">
        <v>2917</v>
      </c>
      <c r="AC695" s="20"/>
      <c r="AD695" s="20"/>
      <c r="AE695" s="20" t="s">
        <v>265</v>
      </c>
      <c r="AF695" s="20" t="s">
        <v>2918</v>
      </c>
      <c r="AG695" s="20" t="s">
        <v>2919</v>
      </c>
      <c r="AH695" s="20"/>
    </row>
    <row r="696" spans="1:34" ht="16" customHeight="1" x14ac:dyDescent="0.2">
      <c r="A696" s="20" t="s">
        <v>2920</v>
      </c>
      <c r="B696" s="20"/>
      <c r="C696" s="20"/>
      <c r="D696" s="20" t="s">
        <v>2880</v>
      </c>
      <c r="E696" s="17" t="str">
        <f t="shared" si="100"/>
        <v>Sawaguchi</v>
      </c>
      <c r="F696" s="17"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96" s="17" t="str">
        <f t="shared" si="101"/>
        <v>1988</v>
      </c>
      <c r="H696" s="17" t="str">
        <f t="shared" si="102"/>
        <v>Sawaguchi__1988</v>
      </c>
      <c r="I696" s="17" t="str">
        <f t="shared" ref="I696:I701" si="108">_xlfn.LET(
_xlpm.doi,IF(C696&lt;&gt;"",C696,_xlfn.TEXTAFTER(A696,"https://doi.org/")),
SUBSTITUTE(
SUBSTITUTE(
SUBSTITUTE(
SUBSTITUTE(
_xlpm.doi,
"/","%2F"),
":","%3A"),
"&lt;","%3C"),
"&gt;","%3E")
)</f>
        <v>10.1159%2F000116540</v>
      </c>
      <c r="J696" s="17" t="str">
        <f t="shared" si="103"/>
        <v>Sawaguchi__1988_Appendix</v>
      </c>
      <c r="K696" s="17" t="str">
        <f t="shared" si="107"/>
        <v>10.1159%2F000116540_Appendix</v>
      </c>
      <c r="L696" s="17" t="str">
        <f t="array" ref="L696">IFERROR(INDEX(AUTO_Public_TSV_FileList!$A$1:$A$1000,MATCH(TRUE(),EXACT(K696,IFERROR(_xlfn.TEXTBEFORE(AUTO_Public_TSV_FileList!$A$1:$A$1000,".tsv"),"")),0)),"notfound")</f>
        <v>10.1159%2F000116540_Appendix.tsv</v>
      </c>
      <c r="M696" s="20" t="s">
        <v>2921</v>
      </c>
      <c r="N696" s="20" t="s">
        <v>753</v>
      </c>
      <c r="O696" s="20" t="s">
        <v>2922</v>
      </c>
      <c r="P696" s="20" t="s">
        <v>299</v>
      </c>
      <c r="Q696" s="20" t="s">
        <v>2923</v>
      </c>
      <c r="R696" s="20" t="s">
        <v>2924</v>
      </c>
      <c r="S696" s="20"/>
      <c r="T696" s="20"/>
      <c r="U696" s="20"/>
      <c r="V696" s="20"/>
      <c r="W696" s="20" t="s">
        <v>187</v>
      </c>
      <c r="X696" s="20" t="s">
        <v>2925</v>
      </c>
      <c r="Y696" s="20" t="s">
        <v>2926</v>
      </c>
      <c r="Z696" s="20" t="s">
        <v>2927</v>
      </c>
      <c r="AA696" s="20" t="s">
        <v>2928</v>
      </c>
      <c r="AB696" s="20" t="s">
        <v>760</v>
      </c>
      <c r="AC696" s="20"/>
      <c r="AD696" s="20"/>
      <c r="AE696" s="20" t="s">
        <v>265</v>
      </c>
      <c r="AF696" s="20" t="s">
        <v>2929</v>
      </c>
      <c r="AG696" s="20"/>
      <c r="AH696" s="20"/>
    </row>
    <row r="697" spans="1:34" ht="16" customHeight="1" x14ac:dyDescent="0.2">
      <c r="A697" s="19" t="s">
        <v>2930</v>
      </c>
      <c r="B697" s="20"/>
      <c r="C697" s="20"/>
      <c r="D697" s="19" t="s">
        <v>2905</v>
      </c>
      <c r="E697" s="17" t="str">
        <f t="shared" si="100"/>
        <v>Schenker</v>
      </c>
      <c r="F697" s="17"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7" s="17" t="str">
        <f t="shared" si="101"/>
        <v>2005</v>
      </c>
      <c r="H697" s="17" t="str">
        <f t="shared" si="102"/>
        <v>Schenker_etal_2005</v>
      </c>
      <c r="I697" s="17" t="str">
        <f t="shared" si="108"/>
        <v>10.1016%2Fj.jhevol.2005.06.004</v>
      </c>
      <c r="J697" s="17" t="str">
        <f t="shared" si="103"/>
        <v>Schenker_etal_2005_Appendix1</v>
      </c>
      <c r="K697" s="17" t="str">
        <f t="shared" si="107"/>
        <v>10.1016%2Fj.jhevol.2005.06.004_Appendix1</v>
      </c>
      <c r="L697" s="17" t="str">
        <f t="array" ref="L697">IFERROR(INDEX(AUTO_Public_TSV_FileList!$A$1:$A$1000,MATCH(TRUE(),EXACT(K697,IFERROR(_xlfn.TEXTBEFORE(AUTO_Public_TSV_FileList!$A$1:$A$1000,".tsv"),"")),0)),"notfound")</f>
        <v>10.1016%2Fj.jhevol.2005.06.004_Appendix1.tsv</v>
      </c>
      <c r="M697" s="20" t="s">
        <v>2931</v>
      </c>
      <c r="N697" s="20"/>
      <c r="O697" s="20"/>
      <c r="P697" s="19"/>
      <c r="Q697" s="20"/>
      <c r="R697" s="20"/>
      <c r="S697" s="20"/>
      <c r="T697" s="20"/>
      <c r="U697" s="20"/>
      <c r="V697" s="20"/>
      <c r="W697" s="20"/>
      <c r="X697" s="20"/>
      <c r="Y697" s="20"/>
      <c r="Z697" s="20"/>
      <c r="AA697" s="20"/>
      <c r="AB697" s="20"/>
      <c r="AC697" s="20"/>
      <c r="AD697" s="20"/>
      <c r="AE697" s="20"/>
      <c r="AF697" s="20"/>
      <c r="AG697" s="20"/>
      <c r="AH697" s="20"/>
    </row>
    <row r="698" spans="1:34" ht="16" customHeight="1" x14ac:dyDescent="0.2">
      <c r="A698" s="19" t="s">
        <v>2930</v>
      </c>
      <c r="B698" s="20"/>
      <c r="C698" s="20"/>
      <c r="D698" s="19" t="s">
        <v>86</v>
      </c>
      <c r="E698" s="17" t="str">
        <f t="shared" si="100"/>
        <v>Schenker</v>
      </c>
      <c r="F698" s="17"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8" s="17" t="str">
        <f t="shared" si="101"/>
        <v>2005</v>
      </c>
      <c r="H698" s="17" t="str">
        <f t="shared" si="102"/>
        <v>Schenker_etal_2005</v>
      </c>
      <c r="I698" s="17" t="str">
        <f t="shared" si="108"/>
        <v>10.1016%2Fj.jhevol.2005.06.004</v>
      </c>
      <c r="J698" s="17" t="str">
        <f t="shared" si="103"/>
        <v>Schenker_etal_2005_Table1</v>
      </c>
      <c r="K698" s="17" t="str">
        <f t="shared" si="107"/>
        <v>10.1016%2Fj.jhevol.2005.06.004_Table1</v>
      </c>
      <c r="L698" s="17" t="str">
        <f t="array" ref="L698">IFERROR(INDEX(AUTO_Public_TSV_FileList!$A$1:$A$1000,MATCH(TRUE(),EXACT(K698,IFERROR(_xlfn.TEXTBEFORE(AUTO_Public_TSV_FileList!$A$1:$A$1000,".tsv"),"")),0)),"notfound")</f>
        <v>10.1016%2Fj.jhevol.2005.06.004_Table1.tsv</v>
      </c>
      <c r="M698" s="20" t="s">
        <v>2932</v>
      </c>
      <c r="N698" s="20"/>
      <c r="O698" s="20"/>
      <c r="P698" s="19"/>
      <c r="Q698" s="20"/>
      <c r="R698" s="20"/>
      <c r="S698" s="20"/>
      <c r="T698" s="20"/>
      <c r="U698" s="20"/>
      <c r="V698" s="20"/>
      <c r="W698" s="20"/>
      <c r="X698" s="20"/>
      <c r="Y698" s="20"/>
      <c r="Z698" s="20"/>
      <c r="AA698" s="20"/>
      <c r="AB698" s="20"/>
      <c r="AC698" s="20"/>
      <c r="AD698" s="20"/>
      <c r="AE698" s="20"/>
      <c r="AF698" s="20"/>
      <c r="AG698" s="20"/>
      <c r="AH698" s="20"/>
    </row>
    <row r="699" spans="1:34" ht="16" customHeight="1" x14ac:dyDescent="0.2">
      <c r="A699" s="19" t="s">
        <v>2933</v>
      </c>
      <c r="B699" s="20"/>
      <c r="C699" s="20"/>
      <c r="D699" s="19" t="s">
        <v>2934</v>
      </c>
      <c r="E699" s="17" t="str">
        <f t="shared" si="100"/>
        <v>Schleifenbaum</v>
      </c>
      <c r="F699" s="17"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99" s="17" t="str">
        <f t="shared" si="101"/>
        <v>1973</v>
      </c>
      <c r="H699" s="17" t="str">
        <f t="shared" si="102"/>
        <v>Schleifenbaum__1973</v>
      </c>
      <c r="I699" s="17" t="str">
        <f t="shared" si="108"/>
        <v>10.1007%2FBF00519885</v>
      </c>
      <c r="J699" s="17" t="str">
        <f t="shared" si="103"/>
        <v>Schleifenbaum__1973_Tables1-2</v>
      </c>
      <c r="K699" s="17" t="str">
        <f t="shared" si="107"/>
        <v>10.1007%2FBF00519885_Tables1-2</v>
      </c>
      <c r="L699" s="17" t="str">
        <f t="array" ref="L699">IFERROR(INDEX(AUTO_Public_TSV_FileList!$A$1:$A$1000,MATCH(TRUE(),EXACT(K699,IFERROR(_xlfn.TEXTBEFORE(AUTO_Public_TSV_FileList!$A$1:$A$1000,".tsv"),"")),0)),"notfound")</f>
        <v>10.1007%2FBF00519885_Tables1-2.tsv</v>
      </c>
      <c r="M699" s="20" t="s">
        <v>2935</v>
      </c>
      <c r="N699" s="20"/>
      <c r="O699" s="20"/>
      <c r="P699" s="19" t="s">
        <v>55</v>
      </c>
      <c r="Q699" s="20"/>
      <c r="R699" s="20"/>
      <c r="S699" s="20"/>
      <c r="T699" s="20"/>
      <c r="U699" s="20"/>
      <c r="V699" s="20"/>
      <c r="W699" s="20"/>
      <c r="X699" s="20"/>
      <c r="Y699" s="20"/>
      <c r="Z699" s="20"/>
      <c r="AA699" s="20"/>
      <c r="AB699" s="20"/>
      <c r="AC699" s="20"/>
      <c r="AD699" s="20"/>
      <c r="AE699" s="20" t="s">
        <v>50</v>
      </c>
      <c r="AF699" s="20"/>
      <c r="AG699" s="20"/>
      <c r="AH699" s="20"/>
    </row>
    <row r="700" spans="1:34" ht="16" customHeight="1" x14ac:dyDescent="0.2">
      <c r="A700" s="19" t="s">
        <v>2936</v>
      </c>
      <c r="B700" s="20"/>
      <c r="C700" s="20" t="s">
        <v>2937</v>
      </c>
      <c r="D700" s="19" t="s">
        <v>93</v>
      </c>
      <c r="E700" s="17" t="str">
        <f t="shared" si="100"/>
        <v>Schmidt</v>
      </c>
      <c r="F700" s="17"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17" t="str">
        <f t="shared" si="101"/>
        <v>1984</v>
      </c>
      <c r="H700" s="17" t="str">
        <f t="shared" si="102"/>
        <v>Schmidt_etal_1984</v>
      </c>
      <c r="I700" s="17" t="str">
        <f t="shared" si="108"/>
        <v>Myotis%3A21-22%3A62-66</v>
      </c>
      <c r="J700" s="17" t="str">
        <f t="shared" si="103"/>
        <v>Schmidt_etal_1984_Text</v>
      </c>
      <c r="K700" s="17" t="str">
        <f t="shared" si="107"/>
        <v>Myotis%3A21-22%3A62-66_Text</v>
      </c>
      <c r="L700" s="17" t="str">
        <f t="array" ref="L700">IFERROR(INDEX(AUTO_Public_TSV_FileList!$A$1:$A$1000,MATCH(TRUE(),EXACT(K700,IFERROR(_xlfn.TEXTBEFORE(AUTO_Public_TSV_FileList!$A$1:$A$1000,".tsv"),"")),0)),"notfound")</f>
        <v>Myotis%3A21-22%3A62-66_Text.tsv</v>
      </c>
      <c r="M700" s="20" t="s">
        <v>2938</v>
      </c>
      <c r="N700" s="20" t="s">
        <v>2939</v>
      </c>
      <c r="O700" s="20" t="s">
        <v>2940</v>
      </c>
      <c r="P700" s="19"/>
      <c r="Q700" s="20"/>
      <c r="R700" s="20" t="s">
        <v>2941</v>
      </c>
      <c r="S700" s="20"/>
      <c r="T700" s="20" t="s">
        <v>2942</v>
      </c>
      <c r="U700" s="20"/>
      <c r="V700" s="20" t="s">
        <v>742</v>
      </c>
      <c r="W700" s="20" t="s">
        <v>2943</v>
      </c>
      <c r="X700" s="20" t="s">
        <v>2944</v>
      </c>
      <c r="Y700" s="20" t="s">
        <v>2945</v>
      </c>
      <c r="Z700" s="20" t="s">
        <v>2946</v>
      </c>
      <c r="AA700" s="20" t="s">
        <v>2947</v>
      </c>
      <c r="AB700" s="20" t="s">
        <v>2948</v>
      </c>
      <c r="AC700" s="20"/>
      <c r="AD700" s="20"/>
      <c r="AE700" s="20" t="s">
        <v>50</v>
      </c>
      <c r="AF700" s="20"/>
      <c r="AG700" s="20" t="s">
        <v>2949</v>
      </c>
      <c r="AH700" s="20"/>
    </row>
    <row r="701" spans="1:34" ht="16" customHeight="1" x14ac:dyDescent="0.2">
      <c r="A701" s="19" t="s">
        <v>2950</v>
      </c>
      <c r="B701" s="20"/>
      <c r="C701" s="20"/>
      <c r="D701" s="19" t="s">
        <v>2951</v>
      </c>
      <c r="E701" s="17" t="str">
        <f t="shared" si="100"/>
        <v>Schniter</v>
      </c>
      <c r="F701" s="17"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701" s="17" t="str">
        <f t="shared" si="101"/>
        <v>2026</v>
      </c>
      <c r="H701" s="17" t="str">
        <f t="shared" si="102"/>
        <v>Schniter_PenaherreraAguirre_2026</v>
      </c>
      <c r="I701" s="17" t="str">
        <f t="shared" si="108"/>
        <v>10.1007%2Fs10329-026-01271-2</v>
      </c>
      <c r="J701" s="17" t="str">
        <f t="shared" si="103"/>
        <v>Schniter_PenaherreraAguirre_2026_data</v>
      </c>
      <c r="K701" s="17" t="str">
        <f t="shared" si="107"/>
        <v>10.1007%2Fs10329-026-01271-2_data</v>
      </c>
      <c r="L701" s="17" t="str">
        <f t="array" ref="L701">IFERROR(INDEX(AUTO_Public_TSV_FileList!$A$1:$A$1000,MATCH(TRUE(),EXACT(K701,IFERROR(_xlfn.TEXTBEFORE(AUTO_Public_TSV_FileList!$A$1:$A$1000,".tsv"),"")),0)),"notfound")</f>
        <v>10.1007%2Fs10329-026-01271-2_data.tsv</v>
      </c>
      <c r="M701" s="19" t="s">
        <v>2951</v>
      </c>
      <c r="N701" s="20"/>
      <c r="O701" s="20"/>
      <c r="P701" s="19" t="s">
        <v>55</v>
      </c>
      <c r="Q701" s="20"/>
      <c r="R701" s="20"/>
      <c r="S701" s="20"/>
      <c r="T701" s="20"/>
      <c r="U701" s="20"/>
      <c r="V701" s="20"/>
      <c r="W701" s="20"/>
      <c r="X701" s="19" t="s">
        <v>2952</v>
      </c>
      <c r="Y701" s="20"/>
      <c r="Z701" s="20"/>
      <c r="AA701" s="20"/>
      <c r="AB701" s="19" t="s">
        <v>2953</v>
      </c>
      <c r="AC701" s="20"/>
      <c r="AD701" s="20"/>
      <c r="AE701" s="19" t="s">
        <v>50</v>
      </c>
      <c r="AF701" s="19"/>
      <c r="AG701" s="20"/>
      <c r="AH701" s="21" t="s">
        <v>352</v>
      </c>
    </row>
    <row r="702" spans="1:34" ht="16" customHeight="1" x14ac:dyDescent="0.2">
      <c r="A702" s="20" t="s">
        <v>2954</v>
      </c>
      <c r="B702" s="20"/>
      <c r="C702" s="20"/>
      <c r="D702" s="20" t="s">
        <v>439</v>
      </c>
      <c r="E702" s="18" t="str">
        <f t="shared" si="100"/>
        <v>Schusterman</v>
      </c>
      <c r="F702" s="17"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2" s="17" t="str">
        <f t="shared" si="101"/>
        <v>1974</v>
      </c>
      <c r="H702" s="18" t="str">
        <f t="shared" si="102"/>
        <v>Schusterman__1974</v>
      </c>
      <c r="I702" s="18" t="str">
        <f>_xlfn.LET(_xlpm.doi,IF(C702&lt;&gt;"",C702,_xlfn.TEXTAFTER(A702,"https://doi.org/")),SUBSTITUTE(SUBSTITUTE(SUBSTITUTE(SUBSTITUTE(_xlpm.doi,"/","%2F"),":","%3A"),"&lt;","%3C"),"&gt;","%3E"))</f>
        <v>10.1121%2F1.1903415</v>
      </c>
      <c r="J702" s="18" t="str">
        <f t="shared" si="103"/>
        <v>Schusterman__1974_TableI</v>
      </c>
      <c r="K702" s="17" t="str">
        <f t="shared" si="107"/>
        <v>10.1121%2F1.1903415_TableI</v>
      </c>
      <c r="L702" s="17" t="str">
        <f t="array" ref="L702">IFERROR(INDEX(AUTO_Public_TSV_FileList!$A$1:$A$1000,MATCH(TRUE(),EXACT(K702,IFERROR(_xlfn.TEXTBEFORE(AUTO_Public_TSV_FileList!$A$1:$A$1000,".tsv"),"")),0)),"notfound")</f>
        <v>10.1121%2F1.1903415_TableI.tsv</v>
      </c>
      <c r="M702" s="20" t="s">
        <v>2955</v>
      </c>
      <c r="N702" s="20" t="s">
        <v>88</v>
      </c>
      <c r="O702" s="20" t="s">
        <v>2583</v>
      </c>
      <c r="P702" s="20" t="s">
        <v>55</v>
      </c>
      <c r="Q702" s="20"/>
      <c r="R702" s="20"/>
      <c r="S702" s="20"/>
      <c r="T702" s="20"/>
      <c r="U702" s="20"/>
      <c r="V702" s="20"/>
      <c r="W702" s="20"/>
      <c r="X702" s="20"/>
      <c r="Y702" s="20"/>
      <c r="Z702" s="20"/>
      <c r="AA702" s="20"/>
      <c r="AB702" s="20"/>
      <c r="AC702" s="20"/>
      <c r="AD702" s="20"/>
      <c r="AE702" s="20"/>
      <c r="AF702" s="20"/>
      <c r="AG702" s="20"/>
      <c r="AH702" s="20"/>
    </row>
    <row r="703" spans="1:34" ht="16" customHeight="1" x14ac:dyDescent="0.2">
      <c r="A703" s="20" t="s">
        <v>2956</v>
      </c>
      <c r="B703" s="20"/>
      <c r="C703" s="20"/>
      <c r="D703" s="20" t="s">
        <v>86</v>
      </c>
      <c r="E703" s="18" t="str">
        <f t="shared" si="100"/>
        <v>Schusterman</v>
      </c>
      <c r="F703" s="17" t="str">
        <f t="array" ref="F703">_xlfn.LET(
 _xlpm.authors,_xlfn.TEXTBEFORE(A703," ("&amp;G703&amp;")"),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3" s="17" t="str">
        <f t="shared" si="101"/>
        <v>1981</v>
      </c>
      <c r="H703" s="18" t="str">
        <f t="shared" si="102"/>
        <v>Schusterman__1981</v>
      </c>
      <c r="I703" s="18" t="str">
        <f>_xlfn.LET(_xlpm.doi,IF(C703&lt;&gt;"",C703,_xlfn.TEXTAFTER(A703,"https://doi.org/")),SUBSTITUTE(SUBSTITUTE(SUBSTITUTE(SUBSTITUTE(_xlpm.doi,"/","%2F"),":","%3A"),"&lt;","%3C"),"&gt;","%3E"))</f>
        <v>10.1007%2FBF03394729</v>
      </c>
      <c r="J703" s="18" t="str">
        <f t="shared" si="103"/>
        <v>Schusterman__1981_Table1</v>
      </c>
      <c r="K703" s="17" t="str">
        <f t="shared" si="107"/>
        <v>10.1007%2FBF03394729_Table1</v>
      </c>
      <c r="L703" s="17" t="str">
        <f t="array" ref="L703">IFERROR(INDEX(AUTO_Public_TSV_FileList!$A$1:$A$1000,MATCH(TRUE(),EXACT(K703,IFERROR(_xlfn.TEXTBEFORE(AUTO_Public_TSV_FileList!$A$1:$A$1000,".tsv"),"")),0)),"notfound")</f>
        <v>10.1007%2FBF03394729_Table1.tsv</v>
      </c>
      <c r="M703" s="20" t="s">
        <v>2957</v>
      </c>
      <c r="N703" s="20" t="s">
        <v>88</v>
      </c>
      <c r="O703" s="20" t="s">
        <v>2958</v>
      </c>
      <c r="P703" s="20" t="s">
        <v>55</v>
      </c>
      <c r="Q703" s="20"/>
      <c r="R703" s="20"/>
      <c r="S703" s="20"/>
      <c r="T703" s="20"/>
      <c r="U703" s="20"/>
      <c r="V703" s="20"/>
      <c r="W703" s="20"/>
      <c r="X703" s="20"/>
      <c r="Y703" s="20"/>
      <c r="Z703" s="20"/>
      <c r="AA703" s="20"/>
      <c r="AB703" s="20"/>
      <c r="AC703" s="20"/>
      <c r="AD703" s="20"/>
      <c r="AE703" s="20"/>
      <c r="AF703" s="20"/>
      <c r="AG703" s="20"/>
      <c r="AH703" s="20"/>
    </row>
    <row r="704" spans="1:34" ht="16" customHeight="1" x14ac:dyDescent="0.2">
      <c r="A704" s="20" t="s">
        <v>2959</v>
      </c>
      <c r="B704" s="20"/>
      <c r="C704" s="20"/>
      <c r="D704" s="20" t="s">
        <v>500</v>
      </c>
      <c r="E704" s="18" t="str">
        <f t="shared" si="100"/>
        <v>Schusterman</v>
      </c>
      <c r="F704" s="17" t="str">
        <f t="array" ref="F704">_xlfn.LET(
 _xlpm.authors,_xlfn.TEXTBEFORE(A704," ("&amp;G704&amp;")"),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704" s="17" t="str">
        <f t="shared" si="101"/>
        <v>1980</v>
      </c>
      <c r="H704" s="18" t="str">
        <f t="shared" si="102"/>
        <v>Schusterman_Moore_1980</v>
      </c>
      <c r="I704" s="18" t="str">
        <f>_xlfn.LET(_xlpm.doi,IF(C704&lt;&gt;"",C704,_xlfn.TEXTAFTER(A704,"https://doi.org/")),SUBSTITUTE(SUBSTITUTE(SUBSTITUTE(SUBSTITUTE(_xlpm.doi,"/","%2F"),":","%3A"),"&lt;","%3C"),"&gt;","%3E"))</f>
        <v>10.1121%2F1.2004876</v>
      </c>
      <c r="J704" s="18" t="str">
        <f t="shared" si="103"/>
        <v>Schusterman_Moore_1980_ResultsText</v>
      </c>
      <c r="K704" s="17" t="str">
        <f t="shared" si="107"/>
        <v>10.1121%2F1.2004876_ResultsText</v>
      </c>
      <c r="L704" s="17" t="str">
        <f t="array" ref="L704">IFERROR(INDEX(AUTO_Public_TSV_FileList!$A$1:$A$1000,MATCH(TRUE(),EXACT(K704,IFERROR(_xlfn.TEXTBEFORE(AUTO_Public_TSV_FileList!$A$1:$A$1000,".tsv"),"")),0)),"notfound")</f>
        <v>10.1121%2F1.2004876_ResultsText.tsv</v>
      </c>
      <c r="M704" s="20" t="s">
        <v>2960</v>
      </c>
      <c r="N704" s="20" t="s">
        <v>659</v>
      </c>
      <c r="O704" s="20" t="s">
        <v>2961</v>
      </c>
      <c r="P704" s="20" t="s">
        <v>90</v>
      </c>
      <c r="Q704" s="20"/>
      <c r="R704" s="20"/>
      <c r="S704" s="20"/>
      <c r="T704" s="20"/>
      <c r="U704" s="20"/>
      <c r="V704" s="20"/>
      <c r="W704" s="20"/>
      <c r="X704" s="20"/>
      <c r="Y704" s="20"/>
      <c r="Z704" s="20"/>
      <c r="AA704" s="20"/>
      <c r="AB704" s="20"/>
      <c r="AC704" s="20"/>
      <c r="AD704" s="20"/>
      <c r="AE704" s="20"/>
      <c r="AF704" s="20"/>
      <c r="AG704" s="20"/>
      <c r="AH704" s="20"/>
    </row>
    <row r="705" spans="1:34" ht="16" customHeight="1" x14ac:dyDescent="0.2">
      <c r="A705" s="20" t="s">
        <v>2962</v>
      </c>
      <c r="B705" s="20"/>
      <c r="C705" s="20"/>
      <c r="D705" s="20" t="s">
        <v>86</v>
      </c>
      <c r="E705" s="17" t="str">
        <f t="shared" si="100"/>
        <v>Seelke</v>
      </c>
      <c r="F705" s="17" t="str">
        <f t="array" ref="F705">_xlfn.LET(
 _xlpm.authors,_xlfn.TEXTBEFORE(A705," ("&amp;G705&amp;")"),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5" s="17" t="str">
        <f t="shared" si="101"/>
        <v>2014</v>
      </c>
      <c r="H705" s="17" t="str">
        <f t="shared" si="102"/>
        <v>Seelke_etal_2014</v>
      </c>
      <c r="I705" s="17" t="str">
        <f>_xlfn.LET(
_xlpm.doi,IF(C705&lt;&gt;"",C705,_xlfn.TEXTAFTER(A705,"https://doi.org/")),
SUBSTITUTE(
SUBSTITUTE(
SUBSTITUTE(
SUBSTITUTE(
_xlpm.doi,
"/","%2F"),
":","%3A"),
"&lt;","%3C"),
"&gt;","%3E")
)</f>
        <v>10.1002%2Fcne.23534</v>
      </c>
      <c r="J705" s="17" t="str">
        <f t="shared" si="103"/>
        <v>Seelke_etal_2014_Table1</v>
      </c>
      <c r="K705" s="17" t="str">
        <f t="shared" si="107"/>
        <v>10.1002%2Fcne.23534_Table1</v>
      </c>
      <c r="L705" s="17" t="str">
        <f t="array" ref="L705">IFERROR(INDEX(AUTO_Public_TSV_FileList!$A$1:$A$1000,MATCH(TRUE(),EXACT(K705,IFERROR(_xlfn.TEXTBEFORE(AUTO_Public_TSV_FileList!$A$1:$A$1000,".tsv"),"")),0)),"notfound")</f>
        <v>10.1002%2Fcne.23534_Table1.tsv</v>
      </c>
      <c r="M705" s="20" t="s">
        <v>2963</v>
      </c>
      <c r="N705" s="20" t="s">
        <v>720</v>
      </c>
      <c r="O705" s="20" t="s">
        <v>2964</v>
      </c>
      <c r="P705" s="20" t="s">
        <v>299</v>
      </c>
      <c r="Q705" s="20" t="s">
        <v>2965</v>
      </c>
      <c r="R705" s="20" t="s">
        <v>2966</v>
      </c>
      <c r="S705" s="20"/>
      <c r="T705" s="20"/>
      <c r="U705" s="20"/>
      <c r="V705" s="20"/>
      <c r="W705" s="20" t="s">
        <v>2967</v>
      </c>
      <c r="X705" s="20" t="s">
        <v>2968</v>
      </c>
      <c r="Y705" s="20" t="s">
        <v>2969</v>
      </c>
      <c r="Z705" s="20" t="s">
        <v>2970</v>
      </c>
      <c r="AA705" s="20" t="s">
        <v>2971</v>
      </c>
      <c r="AB705" s="20" t="s">
        <v>2972</v>
      </c>
      <c r="AC705" s="20"/>
      <c r="AD705" s="20"/>
      <c r="AE705" s="20" t="s">
        <v>50</v>
      </c>
      <c r="AF705" s="20"/>
      <c r="AG705" s="20"/>
      <c r="AH705" s="20"/>
    </row>
    <row r="706" spans="1:34" ht="16" customHeight="1" x14ac:dyDescent="0.2">
      <c r="A706" s="20" t="s">
        <v>2962</v>
      </c>
      <c r="B706" s="20"/>
      <c r="C706" s="20"/>
      <c r="D706" s="20" t="s">
        <v>162</v>
      </c>
      <c r="E706" s="17" t="str">
        <f t="shared" ref="E706:E769" si="109">SUBSTITUTE(SUBSTITUTE(_xlfn.TEXTBEFORE(A706,","), "-", ""), " ", "")</f>
        <v>Seelke</v>
      </c>
      <c r="F706" s="17" t="str">
        <f t="array" ref="F706">_xlfn.LET(
 _xlpm.authors,_xlfn.TEXTBEFORE(A706," ("&amp;G706&amp;")"),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6" s="17" t="str">
        <f t="shared" ref="G706:G769" si="110">_xlfn.TEXTBEFORE(_xlfn.TEXTAFTER(A706, "("), ")")</f>
        <v>2014</v>
      </c>
      <c r="H706" s="17" t="str">
        <f t="shared" ref="H706:H769" si="111">SUBSTITUTE(SUBSTITUTE(E706 &amp; IF(F706&lt;&gt;"", "_" &amp; SUBSTITUTE(F706," ",""), "_") &amp; IF(G706&lt;&gt;"", "_" &amp; G706, "_") &amp; IF(B706&lt;&gt;"", "_" &amp; B706, ""),"'",""),"’","")</f>
        <v>Seelke_etal_2014</v>
      </c>
      <c r="I706" s="17" t="str">
        <f>_xlfn.LET(
_xlpm.doi,IF(C706&lt;&gt;"",C706,_xlfn.TEXTAFTER(A706,"https://doi.org/")),
SUBSTITUTE(
SUBSTITUTE(
SUBSTITUTE(
SUBSTITUTE(
_xlpm.doi,
"/","%2F"),
":","%3A"),
"&lt;","%3C"),
"&gt;","%3E")
)</f>
        <v>10.1002%2Fcne.23534</v>
      </c>
      <c r="J706" s="17" t="str">
        <f t="shared" ref="J706:J769" si="112">TRIM(_xlfn.TEXTJOIN("_",FALSE(),H706,(SUBSTITUTE(SUBSTITUTE(D706," ",""), "_", ""))))</f>
        <v>Seelke_etal_2014_Table3</v>
      </c>
      <c r="K706" s="17" t="str">
        <f t="shared" si="107"/>
        <v>10.1002%2Fcne.23534_Table3</v>
      </c>
      <c r="L706" s="17" t="str">
        <f t="array" ref="L706">IFERROR(INDEX(AUTO_Public_TSV_FileList!$A$1:$A$1000,MATCH(TRUE(),EXACT(K706,IFERROR(_xlfn.TEXTBEFORE(AUTO_Public_TSV_FileList!$A$1:$A$1000,".tsv"),"")),0)),"notfound")</f>
        <v>10.1002%2Fcne.23534_Table3.tsv</v>
      </c>
      <c r="M706" s="20" t="s">
        <v>2973</v>
      </c>
      <c r="N706" s="20" t="s">
        <v>720</v>
      </c>
      <c r="O706" s="20" t="s">
        <v>2974</v>
      </c>
      <c r="P706" s="20" t="s">
        <v>299</v>
      </c>
      <c r="Q706" s="20" t="s">
        <v>2975</v>
      </c>
      <c r="R706" s="20" t="s">
        <v>2966</v>
      </c>
      <c r="S706" s="20"/>
      <c r="T706" s="20"/>
      <c r="U706" s="20"/>
      <c r="V706" s="20"/>
      <c r="W706" s="20" t="s">
        <v>2967</v>
      </c>
      <c r="X706" s="20" t="s">
        <v>2976</v>
      </c>
      <c r="Y706" s="20" t="s">
        <v>2977</v>
      </c>
      <c r="Z706" s="20" t="s">
        <v>2978</v>
      </c>
      <c r="AA706" s="20" t="s">
        <v>2979</v>
      </c>
      <c r="AB706" s="20" t="s">
        <v>2980</v>
      </c>
      <c r="AC706" s="20"/>
      <c r="AD706" s="20"/>
      <c r="AE706" s="20" t="s">
        <v>50</v>
      </c>
      <c r="AF706" s="20"/>
      <c r="AG706" s="20"/>
      <c r="AH706" s="20"/>
    </row>
    <row r="707" spans="1:34" ht="16" customHeight="1" x14ac:dyDescent="0.2">
      <c r="A707" s="20" t="s">
        <v>2962</v>
      </c>
      <c r="B707" s="20"/>
      <c r="C707" s="20"/>
      <c r="D707" s="20" t="s">
        <v>53</v>
      </c>
      <c r="E707" s="17" t="str">
        <f t="shared" si="109"/>
        <v>Seelke</v>
      </c>
      <c r="F707" s="17" t="str">
        <f t="array" ref="F707">_xlfn.LET(
 _xlpm.authors,_xlfn.TEXTBEFORE(A707," ("&amp;G707&amp;")"),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7" s="17" t="str">
        <f t="shared" si="110"/>
        <v>2014</v>
      </c>
      <c r="H707" s="17" t="str">
        <f t="shared" si="111"/>
        <v>Seelke_etal_2014</v>
      </c>
      <c r="I707" s="17" t="str">
        <f>_xlfn.LET(
_xlpm.doi,IF(C707&lt;&gt;"",C707,_xlfn.TEXTAFTER(A707,"https://doi.org/")),
SUBSTITUTE(
SUBSTITUTE(
SUBSTITUTE(
SUBSTITUTE(
_xlpm.doi,
"/","%2F"),
":","%3A"),
"&lt;","%3C"),
"&gt;","%3E")
)</f>
        <v>10.1002%2Fcne.23534</v>
      </c>
      <c r="J707" s="17" t="str">
        <f t="shared" si="112"/>
        <v>Seelke_etal_2014_Table4</v>
      </c>
      <c r="K707" s="17" t="str">
        <f t="shared" si="107"/>
        <v>10.1002%2Fcne.23534_Table4</v>
      </c>
      <c r="L707" s="17" t="str">
        <f t="array" ref="L707">IFERROR(INDEX(AUTO_Public_TSV_FileList!$A$1:$A$1000,MATCH(TRUE(),EXACT(K707,IFERROR(_xlfn.TEXTBEFORE(AUTO_Public_TSV_FileList!$A$1:$A$1000,".tsv"),"")),0)),"notfound")</f>
        <v>10.1002%2Fcne.23534_Table4.tsv</v>
      </c>
      <c r="M707" s="20" t="s">
        <v>2981</v>
      </c>
      <c r="N707" s="20" t="s">
        <v>720</v>
      </c>
      <c r="O707" s="20" t="s">
        <v>2982</v>
      </c>
      <c r="P707" s="20" t="s">
        <v>299</v>
      </c>
      <c r="Q707" s="20" t="s">
        <v>2983</v>
      </c>
      <c r="R707" s="20" t="s">
        <v>2966</v>
      </c>
      <c r="S707" s="20"/>
      <c r="T707" s="20"/>
      <c r="U707" s="20"/>
      <c r="V707" s="20"/>
      <c r="W707" s="20" t="s">
        <v>2967</v>
      </c>
      <c r="X707" s="20" t="s">
        <v>2984</v>
      </c>
      <c r="Y707" s="20" t="s">
        <v>2985</v>
      </c>
      <c r="Z707" s="20" t="s">
        <v>2978</v>
      </c>
      <c r="AA707" s="20" t="s">
        <v>2979</v>
      </c>
      <c r="AB707" s="20" t="s">
        <v>2986</v>
      </c>
      <c r="AC707" s="20"/>
      <c r="AD707" s="20"/>
      <c r="AE707" s="20" t="s">
        <v>50</v>
      </c>
      <c r="AF707" s="20"/>
      <c r="AG707" s="20"/>
      <c r="AH707" s="20"/>
    </row>
    <row r="708" spans="1:34" ht="16" customHeight="1" x14ac:dyDescent="0.2">
      <c r="A708" s="20" t="s">
        <v>2962</v>
      </c>
      <c r="B708" s="20"/>
      <c r="C708" s="20"/>
      <c r="D708" s="20" t="s">
        <v>164</v>
      </c>
      <c r="E708" s="17" t="str">
        <f t="shared" si="109"/>
        <v>Seelke</v>
      </c>
      <c r="F708" s="17" t="str">
        <f t="array" ref="F708">_xlfn.LET(
 _xlpm.authors,_xlfn.TEXTBEFORE(A708," ("&amp;G708&amp;")"),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8" s="17" t="str">
        <f t="shared" si="110"/>
        <v>2014</v>
      </c>
      <c r="H708" s="17" t="str">
        <f t="shared" si="111"/>
        <v>Seelke_etal_2014</v>
      </c>
      <c r="I708" s="17" t="str">
        <f>_xlfn.LET(
_xlpm.doi,IF(C708&lt;&gt;"",C708,_xlfn.TEXTAFTER(A708,"https://doi.org/")),
SUBSTITUTE(
SUBSTITUTE(
SUBSTITUTE(
SUBSTITUTE(
_xlpm.doi,
"/","%2F"),
":","%3A"),
"&lt;","%3C"),
"&gt;","%3E")
)</f>
        <v>10.1002%2Fcne.23534</v>
      </c>
      <c r="J708" s="17" t="str">
        <f t="shared" si="112"/>
        <v>Seelke_etal_2014_Table5</v>
      </c>
      <c r="K708" s="17" t="str">
        <f t="shared" si="107"/>
        <v>10.1002%2Fcne.23534_Table5</v>
      </c>
      <c r="L708" s="17" t="str">
        <f t="array" ref="L708">IFERROR(INDEX(AUTO_Public_TSV_FileList!$A$1:$A$1000,MATCH(TRUE(),EXACT(K708,IFERROR(_xlfn.TEXTBEFORE(AUTO_Public_TSV_FileList!$A$1:$A$1000,".tsv"),"")),0)),"notfound")</f>
        <v>10.1002%2Fcne.23534_Table5.tsv</v>
      </c>
      <c r="M708" s="20" t="s">
        <v>2987</v>
      </c>
      <c r="N708" s="20" t="s">
        <v>720</v>
      </c>
      <c r="O708" s="20" t="s">
        <v>2988</v>
      </c>
      <c r="P708" s="20" t="s">
        <v>299</v>
      </c>
      <c r="Q708" s="20" t="s">
        <v>2989</v>
      </c>
      <c r="R708" s="20" t="s">
        <v>2966</v>
      </c>
      <c r="S708" s="20"/>
      <c r="T708" s="20"/>
      <c r="U708" s="20"/>
      <c r="V708" s="20"/>
      <c r="W708" s="20" t="s">
        <v>2967</v>
      </c>
      <c r="X708" s="20" t="s">
        <v>2990</v>
      </c>
      <c r="Y708" s="20" t="s">
        <v>2991</v>
      </c>
      <c r="Z708" s="20" t="s">
        <v>2978</v>
      </c>
      <c r="AA708" s="20" t="s">
        <v>2979</v>
      </c>
      <c r="AB708" s="20" t="s">
        <v>2992</v>
      </c>
      <c r="AC708" s="20"/>
      <c r="AD708" s="20"/>
      <c r="AE708" s="20" t="s">
        <v>50</v>
      </c>
      <c r="AF708" s="20"/>
      <c r="AG708" s="20"/>
      <c r="AH708" s="20"/>
    </row>
    <row r="709" spans="1:34" ht="16" customHeight="1" x14ac:dyDescent="0.2">
      <c r="A709" s="20" t="s">
        <v>2993</v>
      </c>
      <c r="B709" s="20"/>
      <c r="C709" s="20"/>
      <c r="D709" s="20" t="s">
        <v>160</v>
      </c>
      <c r="E709" s="18" t="str">
        <f t="shared" si="109"/>
        <v>Seelke</v>
      </c>
      <c r="F709" s="17" t="str">
        <f t="array" ref="F709">_xlfn.LET(
 _xlpm.authors,_xlfn.TEXTBEFORE(A709," ("&amp;G709&amp;")"),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9" s="17" t="str">
        <f t="shared" si="110"/>
        <v>2016</v>
      </c>
      <c r="H709" s="18" t="str">
        <f t="shared" si="111"/>
        <v>Seelke_etal_2016</v>
      </c>
      <c r="I709" s="18" t="str">
        <f>_xlfn.LET(_xlpm.doi,IF(C709&lt;&gt;"",C709,_xlfn.TEXTAFTER(A709,"https://doi.org/")),SUBSTITUTE(SUBSTITUTE(SUBSTITUTE(SUBSTITUTE(_xlpm.doi,"/","%2F"),":","%3A"),"&lt;","%3C"),"&gt;","%3E"))</f>
        <v>10.1093%2Feep%2Fdvw019</v>
      </c>
      <c r="J709" s="18" t="str">
        <f t="shared" si="112"/>
        <v>Seelke_etal_2016_Table2</v>
      </c>
      <c r="K709" s="17" t="str">
        <f t="shared" si="107"/>
        <v>10.1093%2Feep%2Fdvw019_Table2</v>
      </c>
      <c r="L709" s="17" t="str">
        <f t="array" ref="L709">IFERROR(INDEX(AUTO_Public_TSV_FileList!$A$1:$A$1000,MATCH(TRUE(),EXACT(K709,IFERROR(_xlfn.TEXTBEFORE(AUTO_Public_TSV_FileList!$A$1:$A$1000,".tsv"),"")),0)),"notfound")</f>
        <v>10.1093%2Feep%2Fdvw019_Table2.tsv</v>
      </c>
      <c r="M709" s="20"/>
      <c r="N709" s="20" t="s">
        <v>2994</v>
      </c>
      <c r="O709" s="20" t="s">
        <v>2995</v>
      </c>
      <c r="P709" s="20" t="s">
        <v>503</v>
      </c>
      <c r="Q709" s="20" t="s">
        <v>2996</v>
      </c>
      <c r="R709" s="20" t="s">
        <v>2997</v>
      </c>
      <c r="S709" s="20" t="s">
        <v>2998</v>
      </c>
      <c r="T709" s="20" t="s">
        <v>2999</v>
      </c>
      <c r="U709" s="20"/>
      <c r="V709" s="20" t="s">
        <v>3000</v>
      </c>
      <c r="W709" s="20" t="s">
        <v>3001</v>
      </c>
      <c r="X709" s="20" t="s">
        <v>3002</v>
      </c>
      <c r="Y709" s="20" t="s">
        <v>3003</v>
      </c>
      <c r="Z709" s="20" t="s">
        <v>586</v>
      </c>
      <c r="AA709" s="20" t="s">
        <v>3004</v>
      </c>
      <c r="AB709" s="20" t="s">
        <v>3005</v>
      </c>
      <c r="AC709" s="20" t="s">
        <v>903</v>
      </c>
      <c r="AD709" s="20"/>
      <c r="AE709" s="20" t="s">
        <v>50</v>
      </c>
      <c r="AF709" s="20"/>
      <c r="AG709" s="20"/>
      <c r="AH709" s="20"/>
    </row>
    <row r="710" spans="1:34" ht="16" customHeight="1" x14ac:dyDescent="0.2">
      <c r="A710" s="19" t="s">
        <v>3006</v>
      </c>
      <c r="B710" s="20"/>
      <c r="C710" s="20"/>
      <c r="D710" s="19" t="s">
        <v>160</v>
      </c>
      <c r="E710" s="17" t="str">
        <f t="shared" si="109"/>
        <v>Semendeferi</v>
      </c>
      <c r="F710" s="17" t="str">
        <f t="array" ref="F710">_xlfn.LET(
 _xlpm.authors,_xlfn.TEXTBEFORE(A710," ("&amp;G710&amp;")"),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710" s="17" t="str">
        <f t="shared" si="110"/>
        <v>2000</v>
      </c>
      <c r="H710" s="17" t="str">
        <f t="shared" si="111"/>
        <v>Semendeferi_Damasio_2000</v>
      </c>
      <c r="I710" s="17" t="str">
        <f t="shared" ref="I710:I728" si="113">_xlfn.LET(
_xlpm.doi,IF(C710&lt;&gt;"",C710,_xlfn.TEXTAFTER(A710,"https://doi.org/")),
SUBSTITUTE(
SUBSTITUTE(
SUBSTITUTE(
SUBSTITUTE(
_xlpm.doi,
"/","%2F"),
":","%3A"),
"&lt;","%3C"),
"&gt;","%3E")
)</f>
        <v>10.1006%2Fjhev.1999.0381</v>
      </c>
      <c r="J710" s="17" t="str">
        <f t="shared" si="112"/>
        <v>Semendeferi_Damasio_2000_Table2</v>
      </c>
      <c r="K710" s="17" t="str">
        <f t="shared" si="107"/>
        <v>10.1006%2Fjhev.1999.0381_Table2</v>
      </c>
      <c r="L710" s="17" t="str">
        <f t="array" ref="L710">IFERROR(INDEX(AUTO_Public_TSV_FileList!$A$1:$A$1000,MATCH(TRUE(),EXACT(K710,IFERROR(_xlfn.TEXTBEFORE(AUTO_Public_TSV_FileList!$A$1:$A$1000,".tsv"),"")),0)),"notfound")</f>
        <v>10.1006%2Fjhev.1999.0381_Table2.tsv</v>
      </c>
      <c r="M710" s="20"/>
      <c r="N710" s="20"/>
      <c r="O710" s="20"/>
      <c r="P710" s="19" t="s">
        <v>55</v>
      </c>
      <c r="Q710" s="20"/>
      <c r="R710" s="20"/>
      <c r="S710" s="20"/>
      <c r="T710" s="20"/>
      <c r="U710" s="20"/>
      <c r="V710" s="20"/>
      <c r="W710" s="20"/>
      <c r="X710" s="20"/>
      <c r="Y710" s="20"/>
      <c r="Z710" s="20"/>
      <c r="AA710" s="20"/>
      <c r="AB710" s="20"/>
      <c r="AC710" s="20"/>
      <c r="AD710" s="20"/>
      <c r="AE710" s="20"/>
      <c r="AF710" s="20"/>
      <c r="AG710" s="20"/>
      <c r="AH710" s="20"/>
    </row>
    <row r="711" spans="1:34" ht="16" customHeight="1" x14ac:dyDescent="0.2">
      <c r="A711" s="19" t="s">
        <v>3007</v>
      </c>
      <c r="B711" s="20"/>
      <c r="C711" s="20"/>
      <c r="D711" s="19" t="s">
        <v>145</v>
      </c>
      <c r="E711" s="17" t="str">
        <f t="shared" si="109"/>
        <v>Semendeferi</v>
      </c>
      <c r="F711" s="17" t="str">
        <f t="array" ref="F711">_xlfn.LET(
 _xlpm.authors,_xlfn.TEXTBEFORE(A711," ("&amp;G711&amp;")"),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1" s="17" t="str">
        <f t="shared" si="110"/>
        <v>1998</v>
      </c>
      <c r="H711" s="17" t="str">
        <f t="shared" si="111"/>
        <v>Semendeferi_etal_1998</v>
      </c>
      <c r="I711" s="17" t="str">
        <f t="shared" si="113"/>
        <v>10.1002%2F(SICI)1096-8644(199806)106%3A2%3C129%3A%3AAID-AJPA3%3E3.0.CO;2-L</v>
      </c>
      <c r="J711" s="17" t="str">
        <f t="shared" si="112"/>
        <v>Semendeferi_etal_1998_TABLE2</v>
      </c>
      <c r="K711" s="17" t="str">
        <f t="shared" si="107"/>
        <v>10.1002%2F(SICI)1096-8644(199806)106%3A2%3C129%3A%3AAID-AJPA3%3E3.0.CO;2-L_TABLE2</v>
      </c>
      <c r="L711" s="17" t="str">
        <f t="array" ref="L711">IFERROR(INDEX(AUTO_Public_TSV_FileList!$A$1:$A$1000,MATCH(TRUE(),EXACT(K711,IFERROR(_xlfn.TEXTBEFORE(AUTO_Public_TSV_FileList!$A$1:$A$1000,".tsv"),"")),0)),"notfound")</f>
        <v>10.1002%2F(SICI)1096-8644(199806)106%3A2%3C129%3A%3AAID-AJPA3%3E3.0.CO;2-L_TABLE2.tsv</v>
      </c>
      <c r="M711" s="19" t="s">
        <v>3008</v>
      </c>
      <c r="N711" s="20"/>
      <c r="O711" s="20"/>
      <c r="P711" s="19" t="s">
        <v>55</v>
      </c>
      <c r="Q711" s="20"/>
      <c r="R711" s="20"/>
      <c r="S711" s="20"/>
      <c r="T711" s="20"/>
      <c r="U711" s="20"/>
      <c r="V711" s="20"/>
      <c r="W711" s="19" t="s">
        <v>175</v>
      </c>
      <c r="X711" s="19" t="s">
        <v>3009</v>
      </c>
      <c r="Y711" s="20"/>
      <c r="Z711" s="19" t="s">
        <v>172</v>
      </c>
      <c r="AA711" s="19" t="s">
        <v>216</v>
      </c>
      <c r="AB711" s="19" t="s">
        <v>177</v>
      </c>
      <c r="AC711" s="19" t="s">
        <v>48</v>
      </c>
      <c r="AD711" s="20"/>
      <c r="AE711" s="19" t="s">
        <v>50</v>
      </c>
      <c r="AF711" s="19"/>
      <c r="AG711" s="20"/>
      <c r="AH711" s="20"/>
    </row>
    <row r="712" spans="1:34" ht="16" customHeight="1" x14ac:dyDescent="0.2">
      <c r="A712" s="19" t="s">
        <v>3007</v>
      </c>
      <c r="B712" s="20"/>
      <c r="C712" s="20"/>
      <c r="D712" s="19" t="s">
        <v>149</v>
      </c>
      <c r="E712" s="17" t="str">
        <f t="shared" si="109"/>
        <v>Semendeferi</v>
      </c>
      <c r="F712" s="17" t="str">
        <f t="array" ref="F712">_xlfn.LET(
 _xlpm.authors,_xlfn.TEXTBEFORE(A712," ("&amp;G712&amp;")"),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2" s="17" t="str">
        <f t="shared" si="110"/>
        <v>1998</v>
      </c>
      <c r="H712" s="17" t="str">
        <f t="shared" si="111"/>
        <v>Semendeferi_etal_1998</v>
      </c>
      <c r="I712" s="17" t="str">
        <f t="shared" si="113"/>
        <v>10.1002%2F(SICI)1096-8644(199806)106%3A2%3C129%3A%3AAID-AJPA3%3E3.0.CO;2-L</v>
      </c>
      <c r="J712" s="17" t="str">
        <f t="shared" si="112"/>
        <v>Semendeferi_etal_1998_TABLE4</v>
      </c>
      <c r="K712" s="17" t="str">
        <f t="shared" si="107"/>
        <v>10.1002%2F(SICI)1096-8644(199806)106%3A2%3C129%3A%3AAID-AJPA3%3E3.0.CO;2-L_TABLE4</v>
      </c>
      <c r="L712" s="17" t="str">
        <f t="array" ref="L712">IFERROR(INDEX(AUTO_Public_TSV_FileList!$A$1:$A$1000,MATCH(TRUE(),EXACT(K712,IFERROR(_xlfn.TEXTBEFORE(AUTO_Public_TSV_FileList!$A$1:$A$1000,".tsv"),"")),0)),"notfound")</f>
        <v>10.1002%2F(SICI)1096-8644(199806)106%3A2%3C129%3A%3AAID-AJPA3%3E3.0.CO;2-L_TABLE4.tsv</v>
      </c>
      <c r="M712" s="19" t="s">
        <v>3010</v>
      </c>
      <c r="N712" s="20"/>
      <c r="O712" s="20"/>
      <c r="P712" s="19"/>
      <c r="Q712" s="20"/>
      <c r="R712" s="20"/>
      <c r="S712" s="20"/>
      <c r="T712" s="20"/>
      <c r="U712" s="20"/>
      <c r="V712" s="20"/>
      <c r="W712" s="19" t="s">
        <v>175</v>
      </c>
      <c r="X712" s="19" t="s">
        <v>3009</v>
      </c>
      <c r="Y712" s="20"/>
      <c r="Z712" s="19" t="s">
        <v>172</v>
      </c>
      <c r="AA712" s="19" t="s">
        <v>216</v>
      </c>
      <c r="AB712" s="19" t="s">
        <v>177</v>
      </c>
      <c r="AC712" s="19" t="s">
        <v>48</v>
      </c>
      <c r="AD712" s="20"/>
      <c r="AE712" s="19" t="s">
        <v>50</v>
      </c>
      <c r="AF712" s="19"/>
      <c r="AG712" s="20"/>
      <c r="AH712" s="20"/>
    </row>
    <row r="713" spans="1:34" ht="16" customHeight="1" x14ac:dyDescent="0.2">
      <c r="A713" s="19" t="s">
        <v>3007</v>
      </c>
      <c r="B713" s="20"/>
      <c r="C713" s="20"/>
      <c r="D713" s="19" t="s">
        <v>2574</v>
      </c>
      <c r="E713" s="17" t="str">
        <f t="shared" si="109"/>
        <v>Semendeferi</v>
      </c>
      <c r="F713" s="17" t="str">
        <f t="array" ref="F713">_xlfn.LET(
 _xlpm.authors,_xlfn.TEXTBEFORE(A713," ("&amp;G713&amp;")"),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3" s="17" t="str">
        <f t="shared" si="110"/>
        <v>1998</v>
      </c>
      <c r="H713" s="17" t="str">
        <f t="shared" si="111"/>
        <v>Semendeferi_etal_1998</v>
      </c>
      <c r="I713" s="17" t="str">
        <f t="shared" si="113"/>
        <v>10.1002%2F(SICI)1096-8644(199806)106%3A2%3C129%3A%3AAID-AJPA3%3E3.0.CO;2-L</v>
      </c>
      <c r="J713" s="17" t="str">
        <f t="shared" si="112"/>
        <v>Semendeferi_etal_1998_TABLE5</v>
      </c>
      <c r="K713" s="17" t="str">
        <f t="shared" si="107"/>
        <v>10.1002%2F(SICI)1096-8644(199806)106%3A2%3C129%3A%3AAID-AJPA3%3E3.0.CO;2-L_TABLE5</v>
      </c>
      <c r="L713" s="17" t="str">
        <f t="array" ref="L713">IFERROR(INDEX(AUTO_Public_TSV_FileList!$A$1:$A$1000,MATCH(TRUE(),EXACT(K713,IFERROR(_xlfn.TEXTBEFORE(AUTO_Public_TSV_FileList!$A$1:$A$1000,".tsv"),"")),0)),"notfound")</f>
        <v>10.1002%2F(SICI)1096-8644(199806)106%3A2%3C129%3A%3AAID-AJPA3%3E3.0.CO;2-L_TABLE5.tsv</v>
      </c>
      <c r="M713" s="19" t="s">
        <v>3011</v>
      </c>
      <c r="N713" s="20"/>
      <c r="O713" s="20"/>
      <c r="P713" s="19"/>
      <c r="Q713" s="20"/>
      <c r="R713" s="20"/>
      <c r="S713" s="20"/>
      <c r="T713" s="20"/>
      <c r="U713" s="20"/>
      <c r="V713" s="20"/>
      <c r="W713" s="19" t="s">
        <v>175</v>
      </c>
      <c r="X713" s="19" t="s">
        <v>3009</v>
      </c>
      <c r="Y713" s="20"/>
      <c r="Z713" s="19" t="s">
        <v>172</v>
      </c>
      <c r="AA713" s="19" t="s">
        <v>216</v>
      </c>
      <c r="AB713" s="19" t="s">
        <v>177</v>
      </c>
      <c r="AC713" s="19" t="s">
        <v>48</v>
      </c>
      <c r="AD713" s="20"/>
      <c r="AE713" s="19" t="s">
        <v>50</v>
      </c>
      <c r="AF713" s="19"/>
      <c r="AG713" s="20"/>
      <c r="AH713" s="20"/>
    </row>
    <row r="714" spans="1:34" ht="16" customHeight="1" x14ac:dyDescent="0.2">
      <c r="A714" s="19" t="s">
        <v>3012</v>
      </c>
      <c r="B714" s="20"/>
      <c r="C714" s="20"/>
      <c r="D714" s="19" t="s">
        <v>145</v>
      </c>
      <c r="E714" s="17" t="str">
        <f t="shared" si="109"/>
        <v>Semendeferi</v>
      </c>
      <c r="F714" s="17" t="str">
        <f t="array" ref="F714">_xlfn.LET(
 _xlpm.authors,_xlfn.TEXTBEFORE(A714," ("&amp;G714&amp;")"),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4" s="17" t="str">
        <f t="shared" si="110"/>
        <v>2001</v>
      </c>
      <c r="H714" s="17" t="str">
        <f t="shared" si="111"/>
        <v>Semendeferi_etal_2001</v>
      </c>
      <c r="I714" s="17" t="str">
        <f t="shared" si="113"/>
        <v>10.1002%2F1096-8644(200103)114%3A3%3C224%3A%3AAID-AJPA1022%3E3.0.CO;2-I</v>
      </c>
      <c r="J714" s="17" t="str">
        <f t="shared" si="112"/>
        <v>Semendeferi_etal_2001_TABLE2</v>
      </c>
      <c r="K714" s="17" t="str">
        <f t="shared" si="107"/>
        <v>10.1002%2F1096-8644(200103)114%3A3%3C224%3A%3AAID-AJPA1022%3E3.0.CO;2-I_TABLE2</v>
      </c>
      <c r="L714" s="17" t="str">
        <f t="array" ref="L714">IFERROR(INDEX(AUTO_Public_TSV_FileList!$A$1:$A$1000,MATCH(TRUE(),EXACT(K714,IFERROR(_xlfn.TEXTBEFORE(AUTO_Public_TSV_FileList!$A$1:$A$1000,".tsv"),"")),0)),"notfound")</f>
        <v>10.1002%2F1096-8644(200103)114%3A3%3C224%3A%3AAID-AJPA1022%3E3.0.CO;2-I_TABLE2.tsv</v>
      </c>
      <c r="M714" s="19" t="s">
        <v>3013</v>
      </c>
      <c r="N714" s="20"/>
      <c r="O714" s="20"/>
      <c r="P714" s="19" t="s">
        <v>55</v>
      </c>
      <c r="Q714" s="20"/>
      <c r="R714" s="20"/>
      <c r="S714" s="20"/>
      <c r="T714" s="20"/>
      <c r="U714" s="20"/>
      <c r="V714" s="20"/>
      <c r="W714" s="19" t="s">
        <v>175</v>
      </c>
      <c r="X714" s="19" t="s">
        <v>3014</v>
      </c>
      <c r="Y714" s="20"/>
      <c r="Z714" s="19" t="s">
        <v>172</v>
      </c>
      <c r="AA714" s="19" t="s">
        <v>216</v>
      </c>
      <c r="AB714" s="19" t="s">
        <v>177</v>
      </c>
      <c r="AC714" s="19" t="s">
        <v>48</v>
      </c>
      <c r="AD714" s="20"/>
      <c r="AE714" s="19" t="s">
        <v>50</v>
      </c>
      <c r="AF714" s="19"/>
      <c r="AG714" s="20"/>
      <c r="AH714" s="20"/>
    </row>
    <row r="715" spans="1:34" ht="16" customHeight="1" x14ac:dyDescent="0.2">
      <c r="A715" s="19" t="s">
        <v>3012</v>
      </c>
      <c r="B715" s="20"/>
      <c r="C715" s="20"/>
      <c r="D715" s="19" t="s">
        <v>147</v>
      </c>
      <c r="E715" s="17" t="str">
        <f t="shared" si="109"/>
        <v>Semendeferi</v>
      </c>
      <c r="F715" s="17" t="str">
        <f t="array" ref="F715">_xlfn.LET(
 _xlpm.authors,_xlfn.TEXTBEFORE(A715," ("&amp;G715&amp;")"),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5" s="17" t="str">
        <f t="shared" si="110"/>
        <v>2001</v>
      </c>
      <c r="H715" s="17" t="str">
        <f t="shared" si="111"/>
        <v>Semendeferi_etal_2001</v>
      </c>
      <c r="I715" s="17" t="str">
        <f t="shared" si="113"/>
        <v>10.1002%2F1096-8644(200103)114%3A3%3C224%3A%3AAID-AJPA1022%3E3.0.CO;2-I</v>
      </c>
      <c r="J715" s="17" t="str">
        <f t="shared" si="112"/>
        <v>Semendeferi_etal_2001_TABLE3</v>
      </c>
      <c r="K715" s="17" t="str">
        <f t="shared" si="107"/>
        <v>10.1002%2F1096-8644(200103)114%3A3%3C224%3A%3AAID-AJPA1022%3E3.0.CO;2-I_TABLE3</v>
      </c>
      <c r="L715" s="17" t="str">
        <f t="array" ref="L715">IFERROR(INDEX(AUTO_Public_TSV_FileList!$A$1:$A$1000,MATCH(TRUE(),EXACT(K715,IFERROR(_xlfn.TEXTBEFORE(AUTO_Public_TSV_FileList!$A$1:$A$1000,".tsv"),"")),0)),"notfound")</f>
        <v>10.1002%2F1096-8644(200103)114%3A3%3C224%3A%3AAID-AJPA1022%3E3.0.CO;2-I_TABLE3.tsv</v>
      </c>
      <c r="M715" s="19" t="s">
        <v>3015</v>
      </c>
      <c r="N715" s="20"/>
      <c r="O715" s="20"/>
      <c r="P715" s="19"/>
      <c r="Q715" s="20"/>
      <c r="R715" s="20"/>
      <c r="S715" s="20"/>
      <c r="T715" s="20"/>
      <c r="U715" s="20"/>
      <c r="V715" s="20"/>
      <c r="W715" s="19" t="s">
        <v>175</v>
      </c>
      <c r="X715" s="19" t="s">
        <v>3014</v>
      </c>
      <c r="Y715" s="20"/>
      <c r="Z715" s="19" t="s">
        <v>172</v>
      </c>
      <c r="AA715" s="19"/>
      <c r="AB715" s="19"/>
      <c r="AC715" s="19" t="s">
        <v>48</v>
      </c>
      <c r="AD715" s="20"/>
      <c r="AE715" s="19" t="s">
        <v>50</v>
      </c>
      <c r="AF715" s="19"/>
      <c r="AG715" s="20"/>
      <c r="AH715" s="20"/>
    </row>
    <row r="716" spans="1:34" ht="16" customHeight="1" x14ac:dyDescent="0.2">
      <c r="A716" s="19" t="s">
        <v>3012</v>
      </c>
      <c r="B716" s="20"/>
      <c r="C716" s="20"/>
      <c r="D716" s="19" t="s">
        <v>149</v>
      </c>
      <c r="E716" s="17" t="str">
        <f t="shared" si="109"/>
        <v>Semendeferi</v>
      </c>
      <c r="F716" s="17" t="str">
        <f t="array" ref="F716">_xlfn.LET(
 _xlpm.authors,_xlfn.TEXTBEFORE(A716," ("&amp;G716&amp;")"),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6" s="17" t="str">
        <f t="shared" si="110"/>
        <v>2001</v>
      </c>
      <c r="H716" s="17" t="str">
        <f t="shared" si="111"/>
        <v>Semendeferi_etal_2001</v>
      </c>
      <c r="I716" s="17" t="str">
        <f t="shared" si="113"/>
        <v>10.1002%2F1096-8644(200103)114%3A3%3C224%3A%3AAID-AJPA1022%3E3.0.CO;2-I</v>
      </c>
      <c r="J716" s="17" t="str">
        <f t="shared" si="112"/>
        <v>Semendeferi_etal_2001_TABLE4</v>
      </c>
      <c r="K716" s="17" t="str">
        <f t="shared" ref="K716:K747" si="114">I716 &amp; "_" &amp; SUBSTITUTE(SUBSTITUTE(SUBSTITUTE(D716,CHAR(160),"")," ",""),"_","")</f>
        <v>10.1002%2F1096-8644(200103)114%3A3%3C224%3A%3AAID-AJPA1022%3E3.0.CO;2-I_TABLE4</v>
      </c>
      <c r="L716" s="17" t="str">
        <f t="array" ref="L716">IFERROR(INDEX(AUTO_Public_TSV_FileList!$A$1:$A$1000,MATCH(TRUE(),EXACT(K716,IFERROR(_xlfn.TEXTBEFORE(AUTO_Public_TSV_FileList!$A$1:$A$1000,".tsv"),"")),0)),"notfound")</f>
        <v>10.1002%2F1096-8644(200103)114%3A3%3C224%3A%3AAID-AJPA1022%3E3.0.CO;2-I_TABLE4.tsv</v>
      </c>
      <c r="M716" s="19" t="s">
        <v>3016</v>
      </c>
      <c r="N716" s="20"/>
      <c r="O716" s="20"/>
      <c r="P716" s="19"/>
      <c r="Q716" s="20"/>
      <c r="R716" s="20"/>
      <c r="S716" s="20"/>
      <c r="T716" s="20"/>
      <c r="U716" s="20"/>
      <c r="V716" s="20"/>
      <c r="W716" s="19" t="s">
        <v>175</v>
      </c>
      <c r="X716" s="19" t="s">
        <v>3014</v>
      </c>
      <c r="Y716" s="20"/>
      <c r="Z716" s="19" t="s">
        <v>172</v>
      </c>
      <c r="AA716" s="20"/>
      <c r="AB716" s="20"/>
      <c r="AC716" s="19" t="s">
        <v>48</v>
      </c>
      <c r="AD716" s="20"/>
      <c r="AE716" s="19" t="s">
        <v>50</v>
      </c>
      <c r="AF716" s="19"/>
      <c r="AG716" s="20"/>
      <c r="AH716" s="20"/>
    </row>
    <row r="717" spans="1:34" ht="16" customHeight="1" x14ac:dyDescent="0.2">
      <c r="A717" s="19" t="s">
        <v>3017</v>
      </c>
      <c r="B717" s="20"/>
      <c r="C717" s="20"/>
      <c r="D717" s="19" t="s">
        <v>86</v>
      </c>
      <c r="E717" s="17" t="str">
        <f t="shared" si="109"/>
        <v>Semendeferi</v>
      </c>
      <c r="F717" s="17" t="str">
        <f t="array" ref="F717">_xlfn.LET(
 _xlpm.authors,_xlfn.TEXTBEFORE(A717," ("&amp;G717&amp;")"),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7" s="17" t="str">
        <f t="shared" si="110"/>
        <v>2002</v>
      </c>
      <c r="H717" s="17" t="str">
        <f t="shared" si="111"/>
        <v>Semendeferi_etal_2002</v>
      </c>
      <c r="I717" s="17" t="str">
        <f t="shared" si="113"/>
        <v>10.1038%2Fnn814</v>
      </c>
      <c r="J717" s="17" t="str">
        <f t="shared" si="112"/>
        <v>Semendeferi_etal_2002_Table1</v>
      </c>
      <c r="K717" s="17" t="str">
        <f t="shared" si="114"/>
        <v>10.1038%2Fnn814_Table1</v>
      </c>
      <c r="L717" s="17" t="str">
        <f t="array" ref="L717">IFERROR(INDEX(AUTO_Public_TSV_FileList!$A$1:$A$1000,MATCH(TRUE(),EXACT(K717,IFERROR(_xlfn.TEXTBEFORE(AUTO_Public_TSV_FileList!$A$1:$A$1000,".tsv"),"")),0)),"notfound")</f>
        <v>10.1038%2Fnn814_Table1.tsv</v>
      </c>
      <c r="M717" s="19" t="s">
        <v>3018</v>
      </c>
      <c r="N717" s="20"/>
      <c r="O717" s="20"/>
      <c r="P717" s="19" t="s">
        <v>55</v>
      </c>
      <c r="Q717" s="20"/>
      <c r="R717" s="20"/>
      <c r="S717" s="20"/>
      <c r="T717" s="20"/>
      <c r="U717" s="20"/>
      <c r="V717" s="20"/>
      <c r="W717" s="19" t="s">
        <v>175</v>
      </c>
      <c r="X717" s="19" t="s">
        <v>3019</v>
      </c>
      <c r="Y717" s="20"/>
      <c r="Z717" s="19" t="s">
        <v>172</v>
      </c>
      <c r="AA717" s="19" t="s">
        <v>216</v>
      </c>
      <c r="AB717" s="19" t="s">
        <v>177</v>
      </c>
      <c r="AC717" s="19" t="s">
        <v>48</v>
      </c>
      <c r="AD717" s="20"/>
      <c r="AE717" s="19" t="s">
        <v>50</v>
      </c>
      <c r="AF717" s="19"/>
      <c r="AG717" s="20"/>
      <c r="AH717" s="20"/>
    </row>
    <row r="718" spans="1:34" ht="16" customHeight="1" x14ac:dyDescent="0.2">
      <c r="A718" s="19" t="s">
        <v>3020</v>
      </c>
      <c r="B718" s="20"/>
      <c r="C718" s="20"/>
      <c r="D718" s="19" t="s">
        <v>390</v>
      </c>
      <c r="E718" s="17" t="str">
        <f t="shared" si="109"/>
        <v>Seymour</v>
      </c>
      <c r="F718" s="17" t="str">
        <f t="array" ref="F718">_xlfn.LET(
 _xlpm.authors,_xlfn.TEXTBEFORE(A718," ("&amp;G718&amp;")"),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8" s="17" t="str">
        <f t="shared" si="110"/>
        <v>2015</v>
      </c>
      <c r="H718" s="17" t="str">
        <f t="shared" si="111"/>
        <v>Seymour_etal_2015</v>
      </c>
      <c r="I718" s="17" t="str">
        <f t="shared" si="113"/>
        <v>10.1242%2Fjeb.124826</v>
      </c>
      <c r="J718" s="17" t="str">
        <f t="shared" si="112"/>
        <v>Seymour_etal_2015_TableS1</v>
      </c>
      <c r="K718" s="17" t="str">
        <f t="shared" si="114"/>
        <v>10.1242%2Fjeb.124826_TableS1</v>
      </c>
      <c r="L718" s="17" t="str">
        <f t="array" ref="L718">IFERROR(INDEX(AUTO_Public_TSV_FileList!$A$1:$A$1000,MATCH(TRUE(),EXACT(K718,IFERROR(_xlfn.TEXTBEFORE(AUTO_Public_TSV_FileList!$A$1:$A$1000,".tsv"),"")),0)),"notfound")</f>
        <v>10.1242%2Fjeb.124826_TableS1.tsv</v>
      </c>
      <c r="M718" s="20"/>
      <c r="N718" s="20"/>
      <c r="O718" s="20"/>
      <c r="P718" s="19" t="s">
        <v>55</v>
      </c>
      <c r="Q718" s="20"/>
      <c r="R718" s="20"/>
      <c r="S718" s="20"/>
      <c r="T718" s="20"/>
      <c r="U718" s="20"/>
      <c r="V718" s="20"/>
      <c r="W718" s="20"/>
      <c r="X718" s="20"/>
      <c r="Y718" s="20"/>
      <c r="Z718" s="20"/>
      <c r="AA718" s="20"/>
      <c r="AB718" s="20"/>
      <c r="AC718" s="20"/>
      <c r="AD718" s="20"/>
      <c r="AE718" s="20"/>
      <c r="AF718" s="20"/>
      <c r="AG718" s="20"/>
      <c r="AH718" s="20"/>
    </row>
    <row r="719" spans="1:34" ht="16" x14ac:dyDescent="0.2">
      <c r="A719" s="19" t="s">
        <v>3021</v>
      </c>
      <c r="B719" s="20"/>
      <c r="C719" s="20"/>
      <c r="D719" s="19" t="s">
        <v>390</v>
      </c>
      <c r="E719" s="17" t="str">
        <f t="shared" si="109"/>
        <v>Seymour</v>
      </c>
      <c r="F719" s="17" t="str">
        <f t="array" ref="F719">_xlfn.LET(
 _xlpm.authors,_xlfn.TEXTBEFORE(A719," ("&amp;G719&amp;")"),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9" s="17" t="str">
        <f t="shared" si="110"/>
        <v>2017</v>
      </c>
      <c r="H719" s="17" t="str">
        <f t="shared" si="111"/>
        <v>Seymour_etal_2017</v>
      </c>
      <c r="I719" s="17" t="str">
        <f t="shared" si="113"/>
        <v>10.1098%2Frsos.170846</v>
      </c>
      <c r="J719" s="17" t="str">
        <f t="shared" si="112"/>
        <v>Seymour_etal_2017_TableS1</v>
      </c>
      <c r="K719" s="17" t="str">
        <f t="shared" si="114"/>
        <v>10.1098%2Frsos.170846_TableS1</v>
      </c>
      <c r="L719" s="17" t="str">
        <f t="array" ref="L719">IFERROR(INDEX(AUTO_Public_TSV_FileList!$A$1:$A$1000,MATCH(TRUE(),EXACT(K719,IFERROR(_xlfn.TEXTBEFORE(AUTO_Public_TSV_FileList!$A$1:$A$1000,".tsv"),"")),0)),"notfound")</f>
        <v>10.1098%2Frsos.170846_TableS1.tsv</v>
      </c>
      <c r="M719" s="20"/>
      <c r="N719" s="20"/>
      <c r="O719" s="20"/>
      <c r="P719" s="19" t="s">
        <v>55</v>
      </c>
      <c r="Q719" s="20"/>
      <c r="R719" s="20"/>
      <c r="S719" s="20"/>
      <c r="T719" s="20"/>
      <c r="U719" s="20"/>
      <c r="V719" s="20"/>
      <c r="W719" s="20"/>
      <c r="X719" s="20"/>
      <c r="Y719" s="20"/>
      <c r="Z719" s="20"/>
      <c r="AA719" s="20"/>
      <c r="AB719" s="20"/>
      <c r="AC719" s="20"/>
      <c r="AD719" s="20"/>
      <c r="AE719" s="20"/>
      <c r="AF719" s="20"/>
      <c r="AG719" s="20"/>
      <c r="AH719" s="20"/>
    </row>
    <row r="720" spans="1:34" ht="16" x14ac:dyDescent="0.2">
      <c r="A720" s="19" t="s">
        <v>3022</v>
      </c>
      <c r="B720" s="20"/>
      <c r="C720" s="20"/>
      <c r="D720" s="19" t="s">
        <v>3023</v>
      </c>
      <c r="E720" s="17" t="str">
        <f t="shared" si="109"/>
        <v>Seymour</v>
      </c>
      <c r="F720" s="17" t="str">
        <f t="array" ref="F720">_xlfn.LET(
 _xlpm.authors,_xlfn.TEXTBEFORE(A720," ("&amp;G720&amp;")"),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0" s="17" t="str">
        <f t="shared" si="110"/>
        <v>2019</v>
      </c>
      <c r="H720" s="17" t="str">
        <f t="shared" si="111"/>
        <v>Seymour_etal_2019</v>
      </c>
      <c r="I720" s="17" t="str">
        <f t="shared" si="113"/>
        <v>10.1098%2Frspb.2019.2208</v>
      </c>
      <c r="J720" s="17" t="str">
        <f t="shared" si="112"/>
        <v>Seymour_etal_2019_rspb20192208si002</v>
      </c>
      <c r="K720" s="17" t="str">
        <f t="shared" si="114"/>
        <v>10.1098%2Frspb.2019.2208_rspb20192208si002</v>
      </c>
      <c r="L720" s="17" t="str">
        <f t="array" ref="L720">IFERROR(INDEX(AUTO_Public_TSV_FileList!$A$1:$A$1000,MATCH(TRUE(),EXACT(K720,IFERROR(_xlfn.TEXTBEFORE(AUTO_Public_TSV_FileList!$A$1:$A$1000,".tsv"),"")),0)),"notfound")</f>
        <v>10.1098%2Frspb.2019.2208_rspb20192208si002.tsv</v>
      </c>
      <c r="M720" s="20"/>
      <c r="N720" s="20"/>
      <c r="O720" s="20"/>
      <c r="P720" s="19" t="s">
        <v>55</v>
      </c>
      <c r="Q720" s="20"/>
      <c r="R720" s="20"/>
      <c r="S720" s="20"/>
      <c r="T720" s="20"/>
      <c r="U720" s="20"/>
      <c r="V720" s="20"/>
      <c r="W720" s="20"/>
      <c r="X720" s="20"/>
      <c r="Y720" s="20"/>
      <c r="Z720" s="20"/>
      <c r="AA720" s="20"/>
      <c r="AB720" s="20"/>
      <c r="AC720" s="20"/>
      <c r="AD720" s="20"/>
      <c r="AE720" s="20"/>
      <c r="AF720" s="20"/>
      <c r="AG720" s="20"/>
      <c r="AH720" s="20"/>
    </row>
    <row r="721" spans="1:34" ht="16" x14ac:dyDescent="0.2">
      <c r="A721" s="19" t="s">
        <v>3024</v>
      </c>
      <c r="B721" s="20"/>
      <c r="C721" s="20"/>
      <c r="D721" s="19" t="s">
        <v>369</v>
      </c>
      <c r="E721" s="17" t="str">
        <f t="shared" si="109"/>
        <v>Sherwood</v>
      </c>
      <c r="F721" s="17" t="str">
        <f t="array" ref="F721">_xlfn.LET(
 _xlpm.authors,_xlfn.TEXTBEFORE(A721," ("&amp;G721&amp;")"),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1" s="17" t="str">
        <f t="shared" si="110"/>
        <v>2004</v>
      </c>
      <c r="H721" s="17" t="str">
        <f t="shared" si="111"/>
        <v>Sherwood_etal_2004</v>
      </c>
      <c r="I721" s="17" t="str">
        <f t="shared" si="113"/>
        <v>10.1002%2Fajp.20048</v>
      </c>
      <c r="J721" s="17" t="str">
        <f t="shared" si="112"/>
        <v>Sherwood_etal_2004_TABLEI</v>
      </c>
      <c r="K721" s="17" t="str">
        <f t="shared" si="114"/>
        <v>10.1002%2Fajp.20048_TABLEI</v>
      </c>
      <c r="L721" s="17" t="str">
        <f t="array" ref="L721">IFERROR(INDEX(AUTO_Public_TSV_FileList!$A$1:$A$1000,MATCH(TRUE(),EXACT(K721,IFERROR(_xlfn.TEXTBEFORE(AUTO_Public_TSV_FileList!$A$1:$A$1000,".tsv"),"")),0)),"notfound")</f>
        <v>10.1002%2Fajp.20048_TABLEI.tsv</v>
      </c>
      <c r="M721" s="19" t="s">
        <v>3025</v>
      </c>
      <c r="N721" s="20"/>
      <c r="O721" s="20"/>
      <c r="P721" s="19" t="s">
        <v>55</v>
      </c>
      <c r="Q721" s="20"/>
      <c r="R721" s="20"/>
      <c r="S721" s="20"/>
      <c r="T721" s="20"/>
      <c r="U721" s="20"/>
      <c r="V721" s="20"/>
      <c r="W721" s="20"/>
      <c r="X721" s="20"/>
      <c r="Y721" s="20"/>
      <c r="Z721" s="19" t="s">
        <v>2382</v>
      </c>
      <c r="AA721" s="19" t="s">
        <v>216</v>
      </c>
      <c r="AB721" s="19" t="s">
        <v>177</v>
      </c>
      <c r="AC721" s="19" t="s">
        <v>3026</v>
      </c>
      <c r="AD721" s="19" t="s">
        <v>2281</v>
      </c>
      <c r="AE721" s="19" t="s">
        <v>50</v>
      </c>
      <c r="AF721" s="19"/>
      <c r="AG721" s="20"/>
      <c r="AH721" s="20"/>
    </row>
    <row r="722" spans="1:34" ht="16" x14ac:dyDescent="0.2">
      <c r="A722" s="19" t="s">
        <v>3024</v>
      </c>
      <c r="B722" s="19"/>
      <c r="C722" s="20"/>
      <c r="D722" s="19" t="s">
        <v>198</v>
      </c>
      <c r="E722" s="17" t="str">
        <f t="shared" si="109"/>
        <v>Sherwood</v>
      </c>
      <c r="F722" s="17" t="str">
        <f t="array" ref="F722">_xlfn.LET(
 _xlpm.authors,_xlfn.TEXTBEFORE(A722," ("&amp;G722&amp;")"),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2" s="17" t="str">
        <f t="shared" si="110"/>
        <v>2004</v>
      </c>
      <c r="H722" s="17" t="str">
        <f t="shared" si="111"/>
        <v>Sherwood_etal_2004</v>
      </c>
      <c r="I722" s="17" t="str">
        <f t="shared" si="113"/>
        <v>10.1002%2Fajp.20048</v>
      </c>
      <c r="J722" s="17" t="str">
        <f t="shared" si="112"/>
        <v>Sherwood_etal_2004_unpublishedviaDeCasien</v>
      </c>
      <c r="K722" s="17" t="str">
        <f t="shared" si="114"/>
        <v>10.1002%2Fajp.20048_unpublishedviaDeCasien</v>
      </c>
      <c r="L722" s="17" t="str">
        <f t="array" ref="L722">IFERROR(INDEX(AUTO_Public_TSV_FileList!$A$1:$A$1000,MATCH(TRUE(),EXACT(K722,IFERROR(_xlfn.TEXTBEFORE(AUTO_Public_TSV_FileList!$A$1:$A$1000,".tsv"),"")),0)),"notfound")</f>
        <v>10.1002%2Fajp.20048_unpublishedviaDeCasien.tsv</v>
      </c>
      <c r="M722" s="20"/>
      <c r="N722" s="20"/>
      <c r="O722" s="19" t="s">
        <v>199</v>
      </c>
      <c r="P722" s="19" t="s">
        <v>55</v>
      </c>
      <c r="Q722" s="20"/>
      <c r="R722" s="20"/>
      <c r="S722" s="20"/>
      <c r="T722" s="20"/>
      <c r="U722" s="20"/>
      <c r="V722" s="20"/>
      <c r="W722" s="20"/>
      <c r="X722" s="20"/>
      <c r="Y722" s="20"/>
      <c r="Z722" s="19" t="s">
        <v>2382</v>
      </c>
      <c r="AA722" s="19" t="s">
        <v>216</v>
      </c>
      <c r="AB722" s="19" t="s">
        <v>177</v>
      </c>
      <c r="AC722" s="19" t="s">
        <v>3026</v>
      </c>
      <c r="AD722" s="19" t="s">
        <v>2281</v>
      </c>
      <c r="AE722" s="19" t="s">
        <v>50</v>
      </c>
      <c r="AF722" s="19"/>
      <c r="AG722" s="20"/>
      <c r="AH722" s="20"/>
    </row>
    <row r="723" spans="1:34" ht="16" x14ac:dyDescent="0.2">
      <c r="A723" s="19" t="s">
        <v>3027</v>
      </c>
      <c r="B723" s="19"/>
      <c r="C723" s="20"/>
      <c r="D723" s="19" t="s">
        <v>86</v>
      </c>
      <c r="E723" s="17" t="str">
        <f t="shared" si="109"/>
        <v>Sherwood</v>
      </c>
      <c r="F723" s="17" t="str">
        <f t="array" ref="F723">_xlfn.LET(
 _xlpm.authors,_xlfn.TEXTBEFORE(A723," ("&amp;G723&amp;")"),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3" s="17" t="str">
        <f t="shared" si="110"/>
        <v>2005</v>
      </c>
      <c r="H723" s="17" t="str">
        <f t="shared" si="111"/>
        <v>Sherwood_etal_2005</v>
      </c>
      <c r="I723" s="17" t="str">
        <f t="shared" si="113"/>
        <v>10.1016%2Fj.jhevol.2004.10.003</v>
      </c>
      <c r="J723" s="17" t="str">
        <f t="shared" si="112"/>
        <v>Sherwood_etal_2005_Table1</v>
      </c>
      <c r="K723" s="17" t="str">
        <f t="shared" si="114"/>
        <v>10.1016%2Fj.jhevol.2004.10.003_Table1</v>
      </c>
      <c r="L723" s="17" t="str">
        <f t="array" ref="L723">IFERROR(INDEX(AUTO_Public_TSV_FileList!$A$1:$A$1000,MATCH(TRUE(),EXACT(K723,IFERROR(_xlfn.TEXTBEFORE(AUTO_Public_TSV_FileList!$A$1:$A$1000,".tsv"),"")),0)),"notfound")</f>
        <v>10.1016%2Fj.jhevol.2004.10.003_Table1.tsv</v>
      </c>
      <c r="M723" s="19" t="s">
        <v>3028</v>
      </c>
      <c r="N723" s="19" t="s">
        <v>54</v>
      </c>
      <c r="O723" s="20"/>
      <c r="P723" s="19" t="s">
        <v>55</v>
      </c>
      <c r="Q723" s="20"/>
      <c r="R723" s="20"/>
      <c r="S723" s="20"/>
      <c r="T723" s="20"/>
      <c r="U723" s="20"/>
      <c r="V723" s="20"/>
      <c r="W723" s="19" t="s">
        <v>3029</v>
      </c>
      <c r="X723" s="19" t="s">
        <v>3030</v>
      </c>
      <c r="Y723" s="20"/>
      <c r="Z723" s="19" t="s">
        <v>172</v>
      </c>
      <c r="AA723" s="19" t="s">
        <v>216</v>
      </c>
      <c r="AB723" s="19" t="s">
        <v>177</v>
      </c>
      <c r="AC723" s="19" t="s">
        <v>205</v>
      </c>
      <c r="AD723" s="19" t="s">
        <v>810</v>
      </c>
      <c r="AE723" s="19" t="s">
        <v>50</v>
      </c>
      <c r="AF723" s="19"/>
      <c r="AG723" s="20"/>
      <c r="AH723" s="20"/>
    </row>
    <row r="724" spans="1:34" ht="16" x14ac:dyDescent="0.2">
      <c r="A724" s="19" t="s">
        <v>3031</v>
      </c>
      <c r="B724" s="19" t="s">
        <v>3032</v>
      </c>
      <c r="C724" s="20"/>
      <c r="D724" s="19" t="s">
        <v>53</v>
      </c>
      <c r="E724" s="17" t="str">
        <f t="shared" si="109"/>
        <v>Sherwood</v>
      </c>
      <c r="F724" s="17" t="str">
        <f t="array" ref="F724">_xlfn.LET(
 _xlpm.authors,_xlfn.TEXTBEFORE(A724," ("&amp;G724&amp;")"),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4" s="17" t="str">
        <f t="shared" si="110"/>
        <v>2004</v>
      </c>
      <c r="H724" s="17" t="str">
        <f t="shared" si="111"/>
        <v>Sherwood_etal_2004_I</v>
      </c>
      <c r="I724" s="17" t="str">
        <f t="shared" si="113"/>
        <v>10.1159%2F000075672</v>
      </c>
      <c r="J724" s="17" t="str">
        <f t="shared" si="112"/>
        <v>Sherwood_etal_2004_I_Table4</v>
      </c>
      <c r="K724" s="17" t="str">
        <f t="shared" si="114"/>
        <v>10.1159%2F000075672_Table4</v>
      </c>
      <c r="L724" s="17" t="str">
        <f t="array" ref="L724">IFERROR(INDEX(AUTO_Public_TSV_FileList!$A$1:$A$1000,MATCH(TRUE(),EXACT(K724,IFERROR(_xlfn.TEXTBEFORE(AUTO_Public_TSV_FileList!$A$1:$A$1000,".tsv"),"")),0)),"notfound")</f>
        <v>10.1159%2F000075672_Table4.tsv</v>
      </c>
      <c r="M724" s="19" t="s">
        <v>3033</v>
      </c>
      <c r="N724" s="19" t="s">
        <v>59</v>
      </c>
      <c r="O724" s="20"/>
      <c r="P724" s="19" t="s">
        <v>55</v>
      </c>
      <c r="Q724" s="20"/>
      <c r="R724" s="20"/>
      <c r="S724" s="20"/>
      <c r="T724" s="20"/>
      <c r="U724" s="20"/>
      <c r="V724" s="20"/>
      <c r="W724" s="19" t="s">
        <v>187</v>
      </c>
      <c r="X724" s="19" t="s">
        <v>3034</v>
      </c>
      <c r="Y724" s="20"/>
      <c r="Z724" s="19" t="s">
        <v>172</v>
      </c>
      <c r="AA724" s="20"/>
      <c r="AB724" s="19" t="s">
        <v>3035</v>
      </c>
      <c r="AC724" s="19" t="s">
        <v>48</v>
      </c>
      <c r="AD724" s="19" t="s">
        <v>48</v>
      </c>
      <c r="AE724" s="19" t="s">
        <v>50</v>
      </c>
      <c r="AF724" s="19"/>
      <c r="AG724" s="20"/>
      <c r="AH724" s="20"/>
    </row>
    <row r="725" spans="1:34" ht="16" x14ac:dyDescent="0.2">
      <c r="A725" s="19" t="s">
        <v>3031</v>
      </c>
      <c r="B725" s="19" t="s">
        <v>3032</v>
      </c>
      <c r="C725" s="20"/>
      <c r="D725" s="19" t="s">
        <v>164</v>
      </c>
      <c r="E725" s="17" t="str">
        <f t="shared" si="109"/>
        <v>Sherwood</v>
      </c>
      <c r="F725" s="17" t="str">
        <f t="array" ref="F725">_xlfn.LET(
 _xlpm.authors,_xlfn.TEXTBEFORE(A725," ("&amp;G725&amp;")"),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5" s="17" t="str">
        <f t="shared" si="110"/>
        <v>2004</v>
      </c>
      <c r="H725" s="17" t="str">
        <f t="shared" si="111"/>
        <v>Sherwood_etal_2004_I</v>
      </c>
      <c r="I725" s="17" t="str">
        <f t="shared" si="113"/>
        <v>10.1159%2F000075672</v>
      </c>
      <c r="J725" s="17" t="str">
        <f t="shared" si="112"/>
        <v>Sherwood_etal_2004_I_Table5</v>
      </c>
      <c r="K725" s="17" t="str">
        <f t="shared" si="114"/>
        <v>10.1159%2F000075672_Table5</v>
      </c>
      <c r="L725" s="17" t="str">
        <f t="array" ref="L725">IFERROR(INDEX(AUTO_Public_TSV_FileList!$A$1:$A$1000,MATCH(TRUE(),EXACT(K725,IFERROR(_xlfn.TEXTBEFORE(AUTO_Public_TSV_FileList!$A$1:$A$1000,".tsv"),"")),0)),"notfound")</f>
        <v>10.1159%2F000075672_Table5.tsv</v>
      </c>
      <c r="M725" s="19" t="s">
        <v>3036</v>
      </c>
      <c r="N725" s="19" t="s">
        <v>59</v>
      </c>
      <c r="O725" s="20"/>
      <c r="P725" s="19" t="s">
        <v>55</v>
      </c>
      <c r="Q725" s="20"/>
      <c r="R725" s="20"/>
      <c r="S725" s="20"/>
      <c r="T725" s="20"/>
      <c r="U725" s="20"/>
      <c r="V725" s="20"/>
      <c r="W725" s="19" t="s">
        <v>187</v>
      </c>
      <c r="X725" s="19" t="s">
        <v>3034</v>
      </c>
      <c r="Y725" s="20"/>
      <c r="Z725" s="19" t="s">
        <v>172</v>
      </c>
      <c r="AA725" s="19" t="s">
        <v>216</v>
      </c>
      <c r="AB725" s="19" t="s">
        <v>3035</v>
      </c>
      <c r="AC725" s="20"/>
      <c r="AD725" s="19" t="s">
        <v>810</v>
      </c>
      <c r="AE725" s="19" t="s">
        <v>50</v>
      </c>
      <c r="AF725" s="19"/>
      <c r="AG725" s="20"/>
      <c r="AH725" s="20"/>
    </row>
    <row r="726" spans="1:34" ht="16" x14ac:dyDescent="0.2">
      <c r="A726" s="19" t="s">
        <v>3037</v>
      </c>
      <c r="B726" s="20"/>
      <c r="C726" s="20"/>
      <c r="D726" s="19" t="s">
        <v>86</v>
      </c>
      <c r="E726" s="17" t="str">
        <f t="shared" si="109"/>
        <v>Sherwood</v>
      </c>
      <c r="F726" s="17" t="str">
        <f t="array" ref="F726">_xlfn.LET(
 _xlpm.authors,_xlfn.TEXTBEFORE(A726," ("&amp;G726&amp;")"),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6" s="17" t="str">
        <f t="shared" si="110"/>
        <v>2003</v>
      </c>
      <c r="H726" s="17" t="str">
        <f t="shared" si="111"/>
        <v>Sherwood_etal_2003</v>
      </c>
      <c r="I726" s="17" t="str">
        <f t="shared" si="113"/>
        <v>10.1159%2F000068879</v>
      </c>
      <c r="J726" s="17" t="str">
        <f t="shared" si="112"/>
        <v>Sherwood_etal_2003_Table1</v>
      </c>
      <c r="K726" s="17" t="str">
        <f t="shared" si="114"/>
        <v>10.1159%2F000068879_Table1</v>
      </c>
      <c r="L726" s="17" t="str">
        <f t="array" ref="L726">IFERROR(INDEX(AUTO_Public_TSV_FileList!$A$1:$A$1000,MATCH(TRUE(),EXACT(K726,IFERROR(_xlfn.TEXTBEFORE(AUTO_Public_TSV_FileList!$A$1:$A$1000,".tsv"),"")),0)),"notfound")</f>
        <v>10.1159%2F000068879_Table1.tsv</v>
      </c>
      <c r="M726" s="19" t="s">
        <v>3038</v>
      </c>
      <c r="N726" s="20"/>
      <c r="O726" s="20"/>
      <c r="P726" s="20"/>
      <c r="Q726" s="20"/>
      <c r="R726" s="20"/>
      <c r="S726" s="20"/>
      <c r="T726" s="20"/>
      <c r="U726" s="20"/>
      <c r="V726" s="20"/>
      <c r="W726" s="20"/>
      <c r="X726" s="20"/>
      <c r="Y726" s="20"/>
      <c r="Z726" s="20"/>
      <c r="AA726" s="20"/>
      <c r="AB726" s="20"/>
      <c r="AC726" s="20"/>
      <c r="AD726" s="20"/>
      <c r="AE726" s="20"/>
      <c r="AF726" s="20"/>
      <c r="AG726" s="20"/>
      <c r="AH726" s="20"/>
    </row>
    <row r="727" spans="1:34" ht="16" x14ac:dyDescent="0.2">
      <c r="A727" s="20" t="s">
        <v>3039</v>
      </c>
      <c r="B727" s="20"/>
      <c r="C727" s="20"/>
      <c r="D727" s="20" t="s">
        <v>86</v>
      </c>
      <c r="E727" s="17" t="str">
        <f t="shared" si="109"/>
        <v>Sherwood</v>
      </c>
      <c r="F727" s="17" t="str">
        <f t="array" ref="F727">_xlfn.LET(
 _xlpm.authors,_xlfn.TEXTBEFORE(A727," ("&amp;G727&amp;")"),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7" s="17" t="str">
        <f t="shared" si="110"/>
        <v>2009</v>
      </c>
      <c r="H727" s="17" t="str">
        <f t="shared" si="111"/>
        <v>Sherwood_etal_2009</v>
      </c>
      <c r="I727" s="17" t="str">
        <f t="shared" si="113"/>
        <v>10.1007%2Fs00429-008-0198-9</v>
      </c>
      <c r="J727" s="17" t="str">
        <f t="shared" si="112"/>
        <v>Sherwood_etal_2009_Table1</v>
      </c>
      <c r="K727" s="17" t="str">
        <f t="shared" si="114"/>
        <v>10.1007%2Fs00429-008-0198-9_Table1</v>
      </c>
      <c r="L727" s="17" t="str">
        <f t="array" ref="L727">IFERROR(INDEX(AUTO_Public_TSV_FileList!$A$1:$A$1000,MATCH(TRUE(),EXACT(K727,IFERROR(_xlfn.TEXTBEFORE(AUTO_Public_TSV_FileList!$A$1:$A$1000,".tsv"),"")),0)),"notfound")</f>
        <v>10.1007%2Fs00429-008-0198-9_Table1.tsv</v>
      </c>
      <c r="M727" s="20" t="s">
        <v>3040</v>
      </c>
      <c r="N727" s="20" t="s">
        <v>297</v>
      </c>
      <c r="O727" s="20" t="s">
        <v>3041</v>
      </c>
      <c r="P727" s="20" t="s">
        <v>299</v>
      </c>
      <c r="Q727" s="20" t="s">
        <v>3042</v>
      </c>
      <c r="R727" s="20" t="s">
        <v>3043</v>
      </c>
      <c r="S727" s="20"/>
      <c r="T727" s="20"/>
      <c r="U727" s="20"/>
      <c r="V727" s="20"/>
      <c r="W727" s="20" t="s">
        <v>3044</v>
      </c>
      <c r="X727" s="20" t="s">
        <v>3045</v>
      </c>
      <c r="Y727" s="20" t="s">
        <v>3046</v>
      </c>
      <c r="Z727" s="20" t="s">
        <v>3047</v>
      </c>
      <c r="AA727" s="20" t="s">
        <v>2971</v>
      </c>
      <c r="AB727" s="20" t="s">
        <v>3048</v>
      </c>
      <c r="AC727" s="20"/>
      <c r="AD727" s="20"/>
      <c r="AE727" s="20" t="s">
        <v>50</v>
      </c>
      <c r="AF727" s="20"/>
      <c r="AG727" s="20"/>
      <c r="AH727" s="20"/>
    </row>
    <row r="728" spans="1:34" ht="16" x14ac:dyDescent="0.2">
      <c r="A728" s="20" t="s">
        <v>3039</v>
      </c>
      <c r="B728" s="20"/>
      <c r="C728" s="20"/>
      <c r="D728" s="20" t="s">
        <v>162</v>
      </c>
      <c r="E728" s="17" t="str">
        <f t="shared" si="109"/>
        <v>Sherwood</v>
      </c>
      <c r="F728" s="17" t="str">
        <f t="array" ref="F728">_xlfn.LET(
 _xlpm.authors,_xlfn.TEXTBEFORE(A728," ("&amp;G728&amp;")"),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8" s="17" t="str">
        <f t="shared" si="110"/>
        <v>2009</v>
      </c>
      <c r="H728" s="17" t="str">
        <f t="shared" si="111"/>
        <v>Sherwood_etal_2009</v>
      </c>
      <c r="I728" s="17" t="str">
        <f t="shared" si="113"/>
        <v>10.1007%2Fs00429-008-0198-9</v>
      </c>
      <c r="J728" s="17" t="str">
        <f t="shared" si="112"/>
        <v>Sherwood_etal_2009_Table3</v>
      </c>
      <c r="K728" s="17" t="str">
        <f t="shared" si="114"/>
        <v>10.1007%2Fs00429-008-0198-9_Table3</v>
      </c>
      <c r="L728" s="17" t="str">
        <f t="array" ref="L728">IFERROR(INDEX(AUTO_Public_TSV_FileList!$A$1:$A$1000,MATCH(TRUE(),EXACT(K728,IFERROR(_xlfn.TEXTBEFORE(AUTO_Public_TSV_FileList!$A$1:$A$1000,".tsv"),"")),0)),"notfound")</f>
        <v>10.1007%2Fs00429-008-0198-9_Table3.tsv</v>
      </c>
      <c r="M728" s="20" t="s">
        <v>3049</v>
      </c>
      <c r="N728" s="20" t="s">
        <v>3050</v>
      </c>
      <c r="O728" s="20" t="s">
        <v>3051</v>
      </c>
      <c r="P728" s="20" t="s">
        <v>299</v>
      </c>
      <c r="Q728" s="20" t="s">
        <v>3052</v>
      </c>
      <c r="R728" s="20" t="s">
        <v>3043</v>
      </c>
      <c r="S728" s="20"/>
      <c r="T728" s="20"/>
      <c r="U728" s="20"/>
      <c r="V728" s="20"/>
      <c r="W728" s="20" t="s">
        <v>3044</v>
      </c>
      <c r="X728" s="20" t="s">
        <v>3053</v>
      </c>
      <c r="Y728" s="20" t="s">
        <v>3054</v>
      </c>
      <c r="Z728" s="20" t="s">
        <v>3055</v>
      </c>
      <c r="AA728" s="20" t="s">
        <v>3056</v>
      </c>
      <c r="AB728" s="20" t="s">
        <v>3057</v>
      </c>
      <c r="AC728" s="20"/>
      <c r="AD728" s="20"/>
      <c r="AE728" s="20" t="s">
        <v>50</v>
      </c>
      <c r="AF728" s="20"/>
      <c r="AG728" s="20"/>
      <c r="AH728" s="20"/>
    </row>
    <row r="729" spans="1:34" ht="16" x14ac:dyDescent="0.2">
      <c r="A729" s="21" t="s">
        <v>3058</v>
      </c>
      <c r="B729" s="21"/>
      <c r="C729" s="21"/>
      <c r="D729" s="21" t="s">
        <v>160</v>
      </c>
      <c r="E729" s="18" t="str">
        <f t="shared" si="109"/>
        <v>Sherwood</v>
      </c>
      <c r="F729" s="17" t="str">
        <f t="array" ref="F729">_xlfn.LET(
 _xlpm.authors,_xlfn.TEXTBEFORE(A729," ("&amp;G729&amp;")"),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9" s="17" t="str">
        <f t="shared" si="110"/>
        <v>2006</v>
      </c>
      <c r="H729" s="18" t="str">
        <f t="shared" si="111"/>
        <v>Sherwood_etal_2006</v>
      </c>
      <c r="I729" s="18" t="str">
        <f>_xlfn.LET(_xlpm.doi,IF(C729&lt;&gt;"",C729,_xlfn.TEXTAFTER(A729,"https://doi.org/")),SUBSTITUTE(SUBSTITUTE(SUBSTITUTE(SUBSTITUTE(_xlpm.doi,"/","%2F"),":","%3A"),"&lt;","%3C"),"&gt;","%3E"))</f>
        <v>10.1073%2Fpnas.0605843103</v>
      </c>
      <c r="J729" s="18" t="str">
        <f t="shared" si="112"/>
        <v>Sherwood_etal_2006_Table2</v>
      </c>
      <c r="K729" s="17" t="str">
        <f t="shared" si="114"/>
        <v>10.1073%2Fpnas.0605843103_Table2</v>
      </c>
      <c r="L729" s="17" t="str">
        <f t="array" ref="L729">IFERROR(INDEX(AUTO_Public_TSV_FileList!$A$1:$A$1000,MATCH(TRUE(),EXACT(K729,IFERROR(_xlfn.TEXTBEFORE(AUTO_Public_TSV_FileList!$A$1:$A$1000,".tsv"),"")),0)),"notfound")</f>
        <v>10.1073%2Fpnas.0605843103_Table2.tsv</v>
      </c>
      <c r="M729" s="21" t="s">
        <v>3059</v>
      </c>
      <c r="N729" s="21" t="s">
        <v>88</v>
      </c>
      <c r="O729" s="21" t="s">
        <v>3060</v>
      </c>
      <c r="P729" s="21"/>
      <c r="Q729" s="21" t="s">
        <v>3061</v>
      </c>
      <c r="R729" s="21" t="s">
        <v>3062</v>
      </c>
      <c r="S729" s="21" t="s">
        <v>3063</v>
      </c>
      <c r="T729" s="21" t="s">
        <v>3064</v>
      </c>
      <c r="U729" s="21" t="s">
        <v>3065</v>
      </c>
      <c r="V729" s="21" t="s">
        <v>3066</v>
      </c>
      <c r="W729" s="21" t="s">
        <v>3067</v>
      </c>
      <c r="X729" s="21" t="s">
        <v>3068</v>
      </c>
      <c r="Y729" s="21"/>
      <c r="Z729" s="21" t="s">
        <v>3069</v>
      </c>
      <c r="AA729" s="21" t="s">
        <v>3070</v>
      </c>
      <c r="AB729" s="21" t="s">
        <v>3071</v>
      </c>
      <c r="AC729" s="21" t="s">
        <v>3026</v>
      </c>
      <c r="AD729" s="21" t="s">
        <v>2710</v>
      </c>
      <c r="AE729" s="21" t="s">
        <v>50</v>
      </c>
      <c r="AF729" s="21"/>
      <c r="AG729" s="21"/>
      <c r="AH729" s="20"/>
    </row>
    <row r="730" spans="1:34" ht="16" x14ac:dyDescent="0.2">
      <c r="A730" s="20" t="s">
        <v>3072</v>
      </c>
      <c r="B730" s="20"/>
      <c r="C730" s="20"/>
      <c r="D730" s="20" t="s">
        <v>35</v>
      </c>
      <c r="E730" s="17" t="str">
        <f t="shared" si="109"/>
        <v>Shoshani</v>
      </c>
      <c r="F730" s="17" t="str">
        <f t="array" ref="F730">_xlfn.LET(
 _xlpm.authors,_xlfn.TEXTBEFORE(A730," ("&amp;G730&amp;")"),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0" s="17" t="str">
        <f t="shared" si="110"/>
        <v>2006</v>
      </c>
      <c r="H730" s="17" t="str">
        <f t="shared" si="111"/>
        <v>Shoshani_etal_2006</v>
      </c>
      <c r="I730" s="17" t="str">
        <f t="shared" ref="I730:I735" si="115">_xlfn.LET(
_xlpm.doi,IF(C730&lt;&gt;"",C730,_xlfn.TEXTAFTER(A730,"https://doi.org/")),
SUBSTITUTE(
SUBSTITUTE(
SUBSTITUTE(
SUBSTITUTE(
_xlpm.doi,
"/","%2F"),
":","%3A"),
"&lt;","%3C"),
"&gt;","%3E")
)</f>
        <v>10.1016%2Fj.brainresbull.2006.03.016</v>
      </c>
      <c r="J730" s="17" t="str">
        <f t="shared" si="112"/>
        <v>Shoshani_etal_2006_Table1</v>
      </c>
      <c r="K730" s="17" t="str">
        <f t="shared" si="114"/>
        <v>10.1016%2Fj.brainresbull.2006.03.016_Table1</v>
      </c>
      <c r="L730" s="17" t="str">
        <f t="array" ref="L730">IFERROR(INDEX(AUTO_Public_TSV_FileList!$A$1:$A$1000,MATCH(TRUE(),EXACT(K730,IFERROR(_xlfn.TEXTBEFORE(AUTO_Public_TSV_FileList!$A$1:$A$1000,".tsv"),"")),0)),"notfound")</f>
        <v>10.1016%2Fj.brainresbull.2006.03.016_Table1.tsv</v>
      </c>
      <c r="M730" s="20" t="s">
        <v>3073</v>
      </c>
      <c r="N730" s="20" t="s">
        <v>3074</v>
      </c>
      <c r="O730" s="20" t="s">
        <v>3075</v>
      </c>
      <c r="P730" s="20" t="s">
        <v>299</v>
      </c>
      <c r="Q730" s="20" t="s">
        <v>3076</v>
      </c>
      <c r="R730" s="20" t="s">
        <v>3077</v>
      </c>
      <c r="S730" s="20"/>
      <c r="T730" s="20"/>
      <c r="U730" s="20"/>
      <c r="V730" s="20"/>
      <c r="W730" s="20" t="s">
        <v>3078</v>
      </c>
      <c r="X730" s="20" t="s">
        <v>3079</v>
      </c>
      <c r="Y730" s="20" t="s">
        <v>3080</v>
      </c>
      <c r="Z730" s="20" t="s">
        <v>3081</v>
      </c>
      <c r="AA730" s="20" t="s">
        <v>3082</v>
      </c>
      <c r="AB730" s="20" t="s">
        <v>3083</v>
      </c>
      <c r="AC730" s="20"/>
      <c r="AD730" s="20"/>
      <c r="AE730" s="20" t="s">
        <v>70</v>
      </c>
      <c r="AF730" s="20" t="s">
        <v>3084</v>
      </c>
      <c r="AG730" s="20"/>
      <c r="AH730" s="20"/>
    </row>
    <row r="731" spans="1:34" ht="16" x14ac:dyDescent="0.2">
      <c r="A731" s="19" t="s">
        <v>3085</v>
      </c>
      <c r="B731" s="20"/>
      <c r="C731" s="20"/>
      <c r="D731" s="19" t="s">
        <v>390</v>
      </c>
      <c r="E731" s="17" t="str">
        <f t="shared" si="109"/>
        <v>Shultz</v>
      </c>
      <c r="F731" s="17" t="str">
        <f t="array" ref="F731">_xlfn.LET(
 _xlpm.authors,_xlfn.TEXTBEFORE(A731," ("&amp;G731&amp;")"),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731" s="17" t="str">
        <f t="shared" si="110"/>
        <v>2010</v>
      </c>
      <c r="H731" s="17" t="str">
        <f t="shared" si="111"/>
        <v>Shultz_Dunbar_2010</v>
      </c>
      <c r="I731" s="17" t="str">
        <f t="shared" si="115"/>
        <v>10.1037%2Fa0018894</v>
      </c>
      <c r="J731" s="17" t="str">
        <f t="shared" si="112"/>
        <v>Shultz_Dunbar_2010_TableS1</v>
      </c>
      <c r="K731" s="17" t="str">
        <f t="shared" si="114"/>
        <v>10.1037%2Fa0018894_TableS1</v>
      </c>
      <c r="L731" s="17" t="str">
        <f t="array" ref="L731">IFERROR(INDEX(AUTO_Public_TSV_FileList!$A$1:$A$1000,MATCH(TRUE(),EXACT(K731,IFERROR(_xlfn.TEXTBEFORE(AUTO_Public_TSV_FileList!$A$1:$A$1000,".tsv"),"")),0)),"notfound")</f>
        <v>notfound</v>
      </c>
      <c r="M731" s="21" t="s">
        <v>3086</v>
      </c>
      <c r="N731" s="19" t="s">
        <v>54</v>
      </c>
      <c r="O731" s="21" t="s">
        <v>3087</v>
      </c>
      <c r="P731" s="21"/>
      <c r="Q731" s="21"/>
      <c r="R731" s="21" t="s">
        <v>3088</v>
      </c>
      <c r="S731" s="21" t="s">
        <v>3089</v>
      </c>
      <c r="T731" s="21" t="s">
        <v>3090</v>
      </c>
      <c r="U731" s="21"/>
      <c r="V731" s="21" t="s">
        <v>636</v>
      </c>
      <c r="W731" s="21" t="s">
        <v>187</v>
      </c>
      <c r="X731" s="21" t="s">
        <v>3091</v>
      </c>
      <c r="Y731" s="21" t="s">
        <v>3092</v>
      </c>
      <c r="Z731" s="21"/>
      <c r="AA731" s="21"/>
      <c r="AB731" s="21" t="s">
        <v>3093</v>
      </c>
      <c r="AC731" s="20"/>
      <c r="AD731" s="21"/>
      <c r="AE731" s="21" t="s">
        <v>265</v>
      </c>
      <c r="AF731" s="21"/>
      <c r="AG731" s="21" t="s">
        <v>3094</v>
      </c>
      <c r="AH731" s="20"/>
    </row>
    <row r="732" spans="1:34" ht="16" x14ac:dyDescent="0.2">
      <c r="A732" s="19" t="s">
        <v>3095</v>
      </c>
      <c r="B732" s="20"/>
      <c r="C732" s="20"/>
      <c r="D732" s="19" t="s">
        <v>2880</v>
      </c>
      <c r="E732" s="17" t="str">
        <f t="shared" si="109"/>
        <v>Siegel</v>
      </c>
      <c r="F732" s="17" t="str">
        <f t="array" ref="F732">_xlfn.LET(
 _xlpm.authors,_xlfn.TEXTBEFORE(A732," ("&amp;G732&amp;")"),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2" s="17" t="str">
        <f t="shared" si="110"/>
        <v>2022</v>
      </c>
      <c r="H732" s="17" t="str">
        <f t="shared" si="111"/>
        <v>Siegel__2022</v>
      </c>
      <c r="I732" s="17" t="str">
        <f t="shared" si="115"/>
        <v>10.1016%2FS1474-4422(22)00210-1</v>
      </c>
      <c r="J732" s="17" t="str">
        <f t="shared" si="112"/>
        <v>Siegel__2022_Appendix</v>
      </c>
      <c r="K732" s="17" t="str">
        <f t="shared" si="114"/>
        <v>10.1016%2FS1474-4422(22)00210-1_Appendix</v>
      </c>
      <c r="L732" s="17" t="str">
        <f t="array" ref="L732">IFERROR(INDEX(AUTO_Public_TSV_FileList!$A$1:$A$1000,MATCH(TRUE(),EXACT(K732,IFERROR(_xlfn.TEXTBEFORE(AUTO_Public_TSV_FileList!$A$1:$A$1000,".tsv"),"")),0)),"notfound")</f>
        <v>notfound</v>
      </c>
      <c r="M732" s="21" t="s">
        <v>3096</v>
      </c>
      <c r="N732" s="20" t="s">
        <v>4791</v>
      </c>
      <c r="O732" s="20" t="s">
        <v>4792</v>
      </c>
      <c r="P732" s="20" t="s">
        <v>4793</v>
      </c>
      <c r="Q732" s="20" t="s">
        <v>4794</v>
      </c>
      <c r="R732" s="20" t="s">
        <v>4795</v>
      </c>
      <c r="S732" s="20" t="s">
        <v>4796</v>
      </c>
      <c r="T732" s="20" t="s">
        <v>4797</v>
      </c>
      <c r="U732" s="20" t="s">
        <v>4798</v>
      </c>
      <c r="V732" s="20" t="s">
        <v>4799</v>
      </c>
      <c r="W732" s="20" t="s">
        <v>4800</v>
      </c>
      <c r="X732" s="20" t="s">
        <v>4801</v>
      </c>
      <c r="Y732" s="20"/>
      <c r="Z732" s="20" t="s">
        <v>4802</v>
      </c>
      <c r="AA732" s="20" t="s">
        <v>4803</v>
      </c>
      <c r="AB732" s="20" t="s">
        <v>4804</v>
      </c>
      <c r="AC732" s="20" t="s">
        <v>4805</v>
      </c>
      <c r="AD732" s="20"/>
      <c r="AE732" s="20" t="s">
        <v>265</v>
      </c>
      <c r="AF732" s="20" t="s">
        <v>4806</v>
      </c>
      <c r="AG732" s="20" t="s">
        <v>4807</v>
      </c>
      <c r="AH732" s="20"/>
    </row>
    <row r="733" spans="1:34" ht="16" x14ac:dyDescent="0.2">
      <c r="A733" s="20" t="s">
        <v>3097</v>
      </c>
      <c r="B733" s="20"/>
      <c r="C733" s="20"/>
      <c r="D733" s="20" t="s">
        <v>3098</v>
      </c>
      <c r="E733" s="17" t="str">
        <f t="shared" si="109"/>
        <v>Simmen</v>
      </c>
      <c r="F733" s="17" t="str">
        <f>_xlfn.LET(
_xlpm.authors,_xlfn.TEXTBEFORE(A733," ("&amp;G733&amp;")"),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Charlot</v>
      </c>
      <c r="G733" s="17" t="str">
        <f t="shared" si="110"/>
        <v>2003</v>
      </c>
      <c r="H733" s="17" t="str">
        <f t="shared" si="111"/>
        <v>Simmen_Charlot_2003</v>
      </c>
      <c r="I733" s="17" t="str">
        <f t="shared" si="115"/>
        <v>10.1016%2FS1631-0691(03)00122-7</v>
      </c>
      <c r="J733" s="17" t="str">
        <f t="shared" si="112"/>
        <v>Simmen_Charlot_2003_Figure1</v>
      </c>
      <c r="K733" s="17" t="str">
        <f t="shared" si="114"/>
        <v>10.1016%2FS1631-0691(03)00122-7_Figure1</v>
      </c>
      <c r="L733" s="17" t="str">
        <f>IFERROR(INDEX(AUTO_Public_TSV_FileList!$A$1:$A$1000,MATCH(TRUE(),EXACT(K733,IFERROR(_xlfn.TEXTBEFORE(AUTO_Public_TSV_FileList!$A$1:$A$1000,".tsv"),"")),0)),"notfound")</f>
        <v>notfound</v>
      </c>
      <c r="M733" s="20" t="s">
        <v>3098</v>
      </c>
      <c r="N733" s="20" t="s">
        <v>311</v>
      </c>
      <c r="O733" s="20" t="s">
        <v>3099</v>
      </c>
      <c r="P733" s="20" t="s">
        <v>313</v>
      </c>
      <c r="Q733" s="20" t="s">
        <v>3100</v>
      </c>
      <c r="R733" s="20" t="s">
        <v>3101</v>
      </c>
      <c r="S733" s="20" t="s">
        <v>316</v>
      </c>
      <c r="T733" s="20" t="s">
        <v>317</v>
      </c>
      <c r="U733" s="20"/>
      <c r="V733" s="20" t="s">
        <v>318</v>
      </c>
      <c r="W733" s="20" t="s">
        <v>319</v>
      </c>
      <c r="X733" s="20" t="s">
        <v>3102</v>
      </c>
      <c r="Y733" s="20"/>
      <c r="Z733" s="20"/>
      <c r="AA733" s="20" t="s">
        <v>3103</v>
      </c>
      <c r="AB733" s="20" t="s">
        <v>2224</v>
      </c>
      <c r="AC733" s="20" t="s">
        <v>3104</v>
      </c>
      <c r="AD733" s="20"/>
      <c r="AE733" s="20" t="s">
        <v>50</v>
      </c>
      <c r="AF733" s="20"/>
      <c r="AG733" s="20" t="s">
        <v>324</v>
      </c>
      <c r="AH733" s="20" t="s">
        <v>325</v>
      </c>
    </row>
    <row r="734" spans="1:34" ht="16" x14ac:dyDescent="0.2">
      <c r="A734" s="20" t="s">
        <v>3097</v>
      </c>
      <c r="B734" s="20"/>
      <c r="C734" s="20"/>
      <c r="D734" s="20" t="s">
        <v>604</v>
      </c>
      <c r="E734" s="17" t="str">
        <f t="shared" si="109"/>
        <v>Simmen</v>
      </c>
      <c r="F734" s="17" t="str">
        <f>_xlfn.LET(
_xlpm.authors,_xlfn.TEXTBEFORE(A734," ("&amp;G734&amp;")"),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Charlot</v>
      </c>
      <c r="G734" s="17" t="str">
        <f t="shared" si="110"/>
        <v>2003</v>
      </c>
      <c r="H734" s="17" t="str">
        <f t="shared" si="111"/>
        <v>Simmen_Charlot_2003</v>
      </c>
      <c r="I734" s="17" t="str">
        <f t="shared" si="115"/>
        <v>10.1016%2FS1631-0691(03)00122-7</v>
      </c>
      <c r="J734" s="17" t="str">
        <f t="shared" si="112"/>
        <v>Simmen_Charlot_2003_Figure2</v>
      </c>
      <c r="K734" s="17" t="str">
        <f t="shared" si="114"/>
        <v>10.1016%2FS1631-0691(03)00122-7_Figure2</v>
      </c>
      <c r="L734" s="17" t="str">
        <f>IFERROR(INDEX(AUTO_Public_TSV_FileList!$A$1:$A$1000,MATCH(TRUE(),EXACT(K734,IFERROR(_xlfn.TEXTBEFORE(AUTO_Public_TSV_FileList!$A$1:$A$1000,".tsv"),"")),0)),"notfound")</f>
        <v>notfound</v>
      </c>
      <c r="M734" s="20" t="s">
        <v>604</v>
      </c>
      <c r="N734" s="20" t="s">
        <v>311</v>
      </c>
      <c r="O734" s="20" t="s">
        <v>3099</v>
      </c>
      <c r="P734" s="20" t="s">
        <v>313</v>
      </c>
      <c r="Q734" s="20" t="s">
        <v>3105</v>
      </c>
      <c r="R734" s="20" t="s">
        <v>3101</v>
      </c>
      <c r="S734" s="20" t="s">
        <v>316</v>
      </c>
      <c r="T734" s="20" t="s">
        <v>317</v>
      </c>
      <c r="U734" s="20"/>
      <c r="V734" s="20" t="s">
        <v>318</v>
      </c>
      <c r="W734" s="20" t="s">
        <v>319</v>
      </c>
      <c r="X734" s="20" t="s">
        <v>3106</v>
      </c>
      <c r="Y734" s="20"/>
      <c r="Z734" s="20"/>
      <c r="AA734" s="20" t="s">
        <v>3103</v>
      </c>
      <c r="AB734" s="20" t="s">
        <v>2224</v>
      </c>
      <c r="AC734" s="20" t="s">
        <v>3104</v>
      </c>
      <c r="AD734" s="20"/>
      <c r="AE734" s="20" t="s">
        <v>50</v>
      </c>
      <c r="AF734" s="20"/>
      <c r="AG734" s="20" t="s">
        <v>324</v>
      </c>
      <c r="AH734" s="20" t="s">
        <v>325</v>
      </c>
    </row>
    <row r="735" spans="1:34" ht="16" x14ac:dyDescent="0.2">
      <c r="A735" s="20" t="s">
        <v>3107</v>
      </c>
      <c r="B735" s="20"/>
      <c r="C735" s="20"/>
      <c r="D735" s="20" t="s">
        <v>35</v>
      </c>
      <c r="E735" s="17" t="str">
        <f t="shared" si="109"/>
        <v>Simmen</v>
      </c>
      <c r="F735" s="17" t="str">
        <f>_xlfn.LET(
_xlpm.authors,_xlfn.TEXTBEFORE(A735," ("&amp;G735&amp;")"),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Hladik</v>
      </c>
      <c r="G735" s="17" t="str">
        <f t="shared" si="110"/>
        <v>1998</v>
      </c>
      <c r="H735" s="17" t="str">
        <f t="shared" si="111"/>
        <v>Simmen_Hladik_1998</v>
      </c>
      <c r="I735" s="17" t="str">
        <f t="shared" si="115"/>
        <v>10.1159%2F000021575</v>
      </c>
      <c r="J735" s="17" t="str">
        <f t="shared" si="112"/>
        <v>Simmen_Hladik_1998_Table1</v>
      </c>
      <c r="K735" s="17" t="str">
        <f t="shared" si="114"/>
        <v>10.1159%2F000021575_Table1</v>
      </c>
      <c r="L735" s="17" t="str">
        <f>IFERROR(INDEX(AUTO_Public_TSV_FileList!$A$1:$A$1000,MATCH(TRUE(),EXACT(K735,IFERROR(_xlfn.TEXTBEFORE(AUTO_Public_TSV_FileList!$A$1:$A$1000,".tsv"),"")),0)),"notfound")</f>
        <v>notfound</v>
      </c>
      <c r="M735" s="20" t="s">
        <v>35</v>
      </c>
      <c r="N735" s="20" t="s">
        <v>556</v>
      </c>
      <c r="O735" s="20" t="s">
        <v>3108</v>
      </c>
      <c r="P735" s="20" t="s">
        <v>313</v>
      </c>
      <c r="Q735" s="20" t="s">
        <v>3109</v>
      </c>
      <c r="R735" s="20" t="s">
        <v>3110</v>
      </c>
      <c r="S735" s="20" t="s">
        <v>316</v>
      </c>
      <c r="T735" s="20" t="s">
        <v>317</v>
      </c>
      <c r="U735" s="20"/>
      <c r="V735" s="20" t="s">
        <v>318</v>
      </c>
      <c r="W735" s="20" t="s">
        <v>319</v>
      </c>
      <c r="X735" s="20" t="s">
        <v>3111</v>
      </c>
      <c r="Y735" s="20"/>
      <c r="Z735" s="20"/>
      <c r="AA735" s="20" t="s">
        <v>3112</v>
      </c>
      <c r="AB735" s="20" t="s">
        <v>2224</v>
      </c>
      <c r="AC735" s="20" t="s">
        <v>3113</v>
      </c>
      <c r="AD735" s="20"/>
      <c r="AE735" s="20" t="s">
        <v>70</v>
      </c>
      <c r="AF735" s="20"/>
      <c r="AG735" s="20" t="s">
        <v>324</v>
      </c>
      <c r="AH735" s="20" t="s">
        <v>325</v>
      </c>
    </row>
    <row r="736" spans="1:34" ht="16" x14ac:dyDescent="0.2">
      <c r="A736" s="20" t="s">
        <v>4543</v>
      </c>
      <c r="B736" s="20"/>
      <c r="C736" s="20"/>
      <c r="D736" s="20" t="s">
        <v>2358</v>
      </c>
      <c r="E736" s="18" t="str">
        <f t="shared" si="109"/>
        <v>Sjölin</v>
      </c>
      <c r="F736" s="17" t="str">
        <f t="array" ref="F736">_xlfn.LET(
 _xlpm.authors,_xlfn.TEXTBEFORE(A736," ("&amp;G736&amp;")"),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6" s="17" t="str">
        <f t="shared" si="110"/>
        <v>2022</v>
      </c>
      <c r="H736" s="18" t="str">
        <f t="shared" si="111"/>
        <v>Sjölin_etal_2022</v>
      </c>
      <c r="I736" s="18" t="str">
        <f>_xlfn.LET(_xlpm.doi,IF(C736&lt;&gt;"",C736,_xlfn.TEXTAFTER(A736,"https://doi.org/")),SUBSTITUTE(SUBSTITUTE(SUBSTITUTE(SUBSTITUTE(_xlpm.doi,"/","%2F"),":","%3A"),"&lt;","%3C"),"&gt;","%3E"))</f>
        <v>10.1186%2Fs13041-022-00935-6</v>
      </c>
      <c r="J736" s="18" t="str">
        <f t="shared" si="112"/>
        <v>Sjölin_etal_2022_SupplementaryData</v>
      </c>
      <c r="K736" s="17" t="str">
        <f t="shared" si="114"/>
        <v>10.1186%2Fs13041-022-00935-6_SupplementaryData</v>
      </c>
      <c r="L736" s="17" t="str">
        <f t="array" ref="L736">IFERROR(INDEX(AUTO_Public_TSV_FileList!$A$1:$A$1000,MATCH(TRUE(),EXACT(K736,IFERROR(_xlfn.TEXTBEFORE(AUTO_Public_TSV_FileList!$A$1:$A$1000,".tsv"),"")),0)),"notfound")</f>
        <v>notfound</v>
      </c>
      <c r="M736" s="20"/>
      <c r="N736" s="20" t="s">
        <v>4630</v>
      </c>
      <c r="O736" s="20" t="s">
        <v>4631</v>
      </c>
      <c r="P736" s="20" t="s">
        <v>4632</v>
      </c>
      <c r="Q736" s="20" t="s">
        <v>4633</v>
      </c>
      <c r="R736" s="20" t="s">
        <v>4634</v>
      </c>
      <c r="S736" s="20" t="s">
        <v>4635</v>
      </c>
      <c r="T736" s="20" t="s">
        <v>4636</v>
      </c>
      <c r="U736" s="20"/>
      <c r="V736" s="20" t="s">
        <v>4637</v>
      </c>
      <c r="W736" s="20" t="s">
        <v>1210</v>
      </c>
      <c r="X736" s="20" t="s">
        <v>4638</v>
      </c>
      <c r="Y736" s="20" t="s">
        <v>4639</v>
      </c>
      <c r="Z736" s="20" t="s">
        <v>4640</v>
      </c>
      <c r="AA736" s="20" t="s">
        <v>4641</v>
      </c>
      <c r="AB736" s="20" t="s">
        <v>4642</v>
      </c>
      <c r="AC736" s="20" t="s">
        <v>4643</v>
      </c>
      <c r="AD736" s="20" t="s">
        <v>4644</v>
      </c>
      <c r="AE736" s="20" t="s">
        <v>50</v>
      </c>
      <c r="AF736" s="20"/>
      <c r="AG736" s="20" t="s">
        <v>4645</v>
      </c>
      <c r="AH736" s="20" t="s">
        <v>352</v>
      </c>
    </row>
    <row r="737" spans="1:36" ht="16" x14ac:dyDescent="0.2">
      <c r="A737" s="20" t="s">
        <v>3509</v>
      </c>
      <c r="B737" s="20"/>
      <c r="C737" s="20"/>
      <c r="D737" s="20" t="s">
        <v>35</v>
      </c>
      <c r="E737" s="18" t="str">
        <f t="shared" si="109"/>
        <v>Slomianka</v>
      </c>
      <c r="F737" s="17" t="str">
        <f t="array" ref="F737">_xlfn.LET(
 _xlpm.authors,_xlfn.TEXTBEFORE(A737," ("&amp;G737&amp;")"),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West</v>
      </c>
      <c r="G737" s="17" t="str">
        <f t="shared" si="110"/>
        <v>1989</v>
      </c>
      <c r="H737" s="18" t="str">
        <f t="shared" si="111"/>
        <v>Slomianka_West_1989</v>
      </c>
      <c r="I737" s="18" t="str">
        <f>_xlfn.LET(_xlpm.doi,IF(C737&lt;&gt;"",C737,_xlfn.TEXTAFTER(A737,"https://doi.org/")),SUBSTITUTE(SUBSTITUTE(SUBSTITUTE(SUBSTITUTE(_xlpm.doi,"/","%2F"),":","%3A"),"&lt;","%3C"),"&gt;","%3E"))</f>
        <v>10.1002%2Fcne.902800405</v>
      </c>
      <c r="J737" s="18" t="str">
        <f t="shared" si="112"/>
        <v>Slomianka_West_1989_Table1</v>
      </c>
      <c r="K737" s="17" t="str">
        <f t="shared" si="114"/>
        <v>10.1002%2Fcne.902800405_Table1</v>
      </c>
      <c r="L737" s="17" t="str">
        <f t="array" ref="L737">IFERROR(INDEX(AUTO_Public_TSV_FileList!$A$1:$A$1000,MATCH(TRUE(),EXACT(K737,IFERROR(_xlfn.TEXTBEFORE(AUTO_Public_TSV_FileList!$A$1:$A$1000,".tsv"),"")),0)),"notfound")</f>
        <v>10.1002%2Fcne.902800405_Table1.tsv</v>
      </c>
      <c r="M737" s="20" t="s">
        <v>3510</v>
      </c>
      <c r="N737" s="20" t="s">
        <v>3482</v>
      </c>
      <c r="O737" s="20" t="s">
        <v>3483</v>
      </c>
      <c r="P737" s="20" t="s">
        <v>3484</v>
      </c>
      <c r="Q737" s="20" t="s">
        <v>3511</v>
      </c>
      <c r="R737" s="20" t="s">
        <v>3512</v>
      </c>
      <c r="S737" s="20"/>
      <c r="T737" s="20"/>
      <c r="U737" s="20" t="s">
        <v>3513</v>
      </c>
      <c r="V737" s="20" t="s">
        <v>3514</v>
      </c>
      <c r="W737" s="20" t="s">
        <v>3515</v>
      </c>
      <c r="X737" s="20" t="s">
        <v>3514</v>
      </c>
      <c r="Y737" s="20"/>
      <c r="Z737" s="20"/>
      <c r="AA737" s="20" t="s">
        <v>3516</v>
      </c>
      <c r="AB737" s="20"/>
      <c r="AC737" s="20" t="s">
        <v>3517</v>
      </c>
      <c r="AD737" s="20" t="s">
        <v>3518</v>
      </c>
      <c r="AE737" s="20" t="s">
        <v>50</v>
      </c>
      <c r="AF737" s="20"/>
      <c r="AG737" s="20"/>
      <c r="AH737" s="20" t="s">
        <v>3490</v>
      </c>
    </row>
    <row r="738" spans="1:36" ht="16" x14ac:dyDescent="0.2">
      <c r="A738" s="20" t="s">
        <v>3497</v>
      </c>
      <c r="B738" s="20"/>
      <c r="C738" s="20"/>
      <c r="D738" s="20" t="s">
        <v>2170</v>
      </c>
      <c r="E738" s="18" t="str">
        <f t="shared" si="109"/>
        <v>Slomianka</v>
      </c>
      <c r="F738" s="17" t="str">
        <f t="array" ref="F738">_xlfn.LET(
 _xlpm.authors,_xlfn.TEXTBEFORE(A738," ("&amp;G738&amp;")"),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8" s="17" t="str">
        <f t="shared" si="110"/>
        <v>2013</v>
      </c>
      <c r="H738" s="18" t="str">
        <f t="shared" si="111"/>
        <v>Slomianka_etal_2013</v>
      </c>
      <c r="I738" s="18" t="str">
        <f>_xlfn.LET(_xlpm.doi,IF(C738&lt;&gt;"",C738,_xlfn.TEXTAFTER(A738,"https://doi.org/")),SUBSTITUTE(SUBSTITUTE(SUBSTITUTE(SUBSTITUTE(_xlpm.doi,"/","%2F"),":","%3A"),"&lt;","%3C"),"&gt;","%3E"))</f>
        <v>10.3389%2Ffnana.2013.00034</v>
      </c>
      <c r="J738" s="18" t="str">
        <f t="shared" si="112"/>
        <v>Slomianka_etal_2013_Table2</v>
      </c>
      <c r="K738" s="17" t="str">
        <f t="shared" si="114"/>
        <v>10.3389%2Ffnana.2013.00034_Table2</v>
      </c>
      <c r="L738" s="17" t="str">
        <f t="array" ref="L738">IFERROR(INDEX(AUTO_Public_TSV_FileList!$A$1:$A$1000,MATCH(TRUE(),EXACT(K738,IFERROR(_xlfn.TEXTBEFORE(AUTO_Public_TSV_FileList!$A$1:$A$1000,".tsv"),"")),0)),"notfound")</f>
        <v>10.3389%2Ffnana.2013.00034_Table2.tsv</v>
      </c>
      <c r="M738" s="20" t="s">
        <v>3498</v>
      </c>
      <c r="N738" s="20" t="s">
        <v>3482</v>
      </c>
      <c r="O738" s="20" t="s">
        <v>3483</v>
      </c>
      <c r="P738" s="20" t="s">
        <v>3484</v>
      </c>
      <c r="Q738" s="20" t="s">
        <v>3499</v>
      </c>
      <c r="R738" s="20" t="s">
        <v>3500</v>
      </c>
      <c r="S738" s="20"/>
      <c r="T738" s="20"/>
      <c r="U738" s="20" t="s">
        <v>3501</v>
      </c>
      <c r="V738" s="20" t="s">
        <v>3502</v>
      </c>
      <c r="W738" s="20" t="s">
        <v>3503</v>
      </c>
      <c r="X738" s="20" t="s">
        <v>3502</v>
      </c>
      <c r="Y738" s="20"/>
      <c r="Z738" s="20"/>
      <c r="AA738" s="20" t="s">
        <v>3504</v>
      </c>
      <c r="AB738" s="20"/>
      <c r="AC738" s="20" t="s">
        <v>3505</v>
      </c>
      <c r="AD738" s="20" t="s">
        <v>3506</v>
      </c>
      <c r="AE738" s="20" t="s">
        <v>50</v>
      </c>
      <c r="AF738" s="20"/>
      <c r="AG738" s="20"/>
      <c r="AH738" s="20" t="s">
        <v>3490</v>
      </c>
    </row>
    <row r="739" spans="1:36" ht="16" x14ac:dyDescent="0.2">
      <c r="A739" s="20" t="s">
        <v>3497</v>
      </c>
      <c r="B739" s="20"/>
      <c r="C739" s="20"/>
      <c r="D739" s="20" t="s">
        <v>2262</v>
      </c>
      <c r="E739" s="18" t="str">
        <f t="shared" si="109"/>
        <v>Slomianka</v>
      </c>
      <c r="F739" s="17" t="str">
        <f t="array" ref="F739">_xlfn.LET(
 _xlpm.authors,_xlfn.TEXTBEFORE(A739," ("&amp;G739&amp;")"),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9" s="17" t="str">
        <f t="shared" si="110"/>
        <v>2013</v>
      </c>
      <c r="H739" s="18" t="str">
        <f t="shared" si="111"/>
        <v>Slomianka_etal_2013</v>
      </c>
      <c r="I739" s="18" t="str">
        <f>_xlfn.LET(_xlpm.doi,IF(C739&lt;&gt;"",C739,_xlfn.TEXTAFTER(A739,"https://doi.org/")),SUBSTITUTE(SUBSTITUTE(SUBSTITUTE(SUBSTITUTE(_xlpm.doi,"/","%2F"),":","%3A"),"&lt;","%3C"),"&gt;","%3E"))</f>
        <v>10.3389%2Ffnana.2013.00034</v>
      </c>
      <c r="J739" s="18" t="str">
        <f t="shared" si="112"/>
        <v>Slomianka_etal_2013_Table4</v>
      </c>
      <c r="K739" s="17" t="str">
        <f t="shared" si="114"/>
        <v>10.3389%2Ffnana.2013.00034_Table4</v>
      </c>
      <c r="L739" s="17" t="str">
        <f t="array" ref="L739">IFERROR(INDEX(AUTO_Public_TSV_FileList!$A$1:$A$1000,MATCH(TRUE(),EXACT(K739,IFERROR(_xlfn.TEXTBEFORE(AUTO_Public_TSV_FileList!$A$1:$A$1000,".tsv"),"")),0)),"notfound")</f>
        <v>10.3389%2Ffnana.2013.00034_Table4.tsv</v>
      </c>
      <c r="M739" s="20" t="s">
        <v>3507</v>
      </c>
      <c r="N739" s="20" t="s">
        <v>3482</v>
      </c>
      <c r="O739" s="20" t="s">
        <v>3483</v>
      </c>
      <c r="P739" s="20" t="s">
        <v>3484</v>
      </c>
      <c r="Q739" s="20" t="s">
        <v>3508</v>
      </c>
      <c r="R739" s="20" t="s">
        <v>3500</v>
      </c>
      <c r="S739" s="20"/>
      <c r="T739" s="20"/>
      <c r="U739" s="20" t="s">
        <v>3501</v>
      </c>
      <c r="V739" s="20" t="s">
        <v>3502</v>
      </c>
      <c r="W739" s="20" t="s">
        <v>3503</v>
      </c>
      <c r="X739" s="20" t="s">
        <v>3502</v>
      </c>
      <c r="Y739" s="20"/>
      <c r="Z739" s="20"/>
      <c r="AA739" s="20" t="s">
        <v>3504</v>
      </c>
      <c r="AB739" s="20"/>
      <c r="AC739" s="20" t="s">
        <v>3505</v>
      </c>
      <c r="AD739" s="20" t="s">
        <v>3506</v>
      </c>
      <c r="AE739" s="20" t="s">
        <v>50</v>
      </c>
      <c r="AF739" s="20"/>
      <c r="AG739" s="20"/>
      <c r="AH739" s="20" t="s">
        <v>3490</v>
      </c>
    </row>
    <row r="740" spans="1:36" ht="16" x14ac:dyDescent="0.2">
      <c r="A740" s="19" t="s">
        <v>3114</v>
      </c>
      <c r="B740" s="20"/>
      <c r="C740" s="19"/>
      <c r="D740" s="19" t="s">
        <v>3115</v>
      </c>
      <c r="E740" s="17" t="str">
        <f t="shared" si="109"/>
        <v>Smaers</v>
      </c>
      <c r="F740" s="17" t="str">
        <f t="array" ref="F740">_xlfn.LET(
 _xlpm.authors,_xlfn.TEXTBEFORE(A740," ("&amp;G740&amp;")"),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740" s="17" t="str">
        <f t="shared" si="110"/>
        <v>2013</v>
      </c>
      <c r="H740" s="17" t="str">
        <f t="shared" si="111"/>
        <v>Smaers_Soligo_2013</v>
      </c>
      <c r="I740" s="17" t="str">
        <f t="shared" ref="I740:I748" si="116">_xlfn.LET(
_xlpm.doi,IF(C740&lt;&gt;"",C740,_xlfn.TEXTAFTER(A740,"https://doi.org/")),
SUBSTITUTE(
SUBSTITUTE(
SUBSTITUTE(
SUBSTITUTE(
_xlpm.doi,
"/","%2F"),
":","%3A"),
"&lt;","%3C"),
"&gt;","%3E")
)</f>
        <v>10.1098%2Frspb.2013.0269</v>
      </c>
      <c r="J740" s="17" t="str">
        <f t="shared" si="112"/>
        <v>Smaers_Soligo_2013_Supplement</v>
      </c>
      <c r="K740" s="17" t="str">
        <f t="shared" si="114"/>
        <v>10.1098%2Frspb.2013.0269_Supplement</v>
      </c>
      <c r="L740" s="17" t="str">
        <f t="array" ref="L740">IFERROR(INDEX(AUTO_Public_TSV_FileList!$A$1:$A$1000,MATCH(TRUE(),EXACT(K740,IFERROR(_xlfn.TEXTBEFORE(AUTO_Public_TSV_FileList!$A$1:$A$1000,".tsv"),"")),0)),"notfound")</f>
        <v>notfound</v>
      </c>
      <c r="M740" s="19" t="s">
        <v>3116</v>
      </c>
      <c r="N740" s="20"/>
      <c r="O740" s="20"/>
      <c r="P740" s="20"/>
      <c r="Q740" s="20"/>
      <c r="R740" s="20"/>
      <c r="S740" s="20"/>
      <c r="T740" s="20"/>
      <c r="U740" s="20"/>
      <c r="V740" s="20"/>
      <c r="W740" s="19" t="s">
        <v>2848</v>
      </c>
      <c r="X740" s="19" t="s">
        <v>3117</v>
      </c>
      <c r="Y740" s="20"/>
      <c r="Z740" s="19" t="s">
        <v>172</v>
      </c>
      <c r="AA740" s="19" t="s">
        <v>216</v>
      </c>
      <c r="AB740" s="19" t="s">
        <v>177</v>
      </c>
      <c r="AC740" s="20"/>
      <c r="AD740" s="20"/>
      <c r="AE740" s="19" t="s">
        <v>70</v>
      </c>
      <c r="AF740" s="19"/>
      <c r="AG740" s="20"/>
      <c r="AH740" s="20"/>
    </row>
    <row r="741" spans="1:36" ht="16" x14ac:dyDescent="0.2">
      <c r="A741" s="20" t="s">
        <v>3118</v>
      </c>
      <c r="B741" s="20"/>
      <c r="C741" s="20"/>
      <c r="D741" s="19" t="s">
        <v>3119</v>
      </c>
      <c r="E741" s="17" t="str">
        <f t="shared" si="109"/>
        <v>Smaers</v>
      </c>
      <c r="F741" s="17" t="str">
        <f t="array" ref="F741">_xlfn.LET(
 _xlpm.authors,_xlfn.TEXTBEFORE(A741," ("&amp;G741&amp;")"),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1" s="17" t="str">
        <f t="shared" si="110"/>
        <v>2017</v>
      </c>
      <c r="H741" s="17" t="str">
        <f t="shared" si="111"/>
        <v>Smaers_etal_2017</v>
      </c>
      <c r="I741" s="17" t="str">
        <f t="shared" si="116"/>
        <v>10.1016%2Fj.cub.2017.01.020</v>
      </c>
      <c r="J741" s="17" t="str">
        <f t="shared" si="112"/>
        <v>Smaers_etal_2017_TableS1part1</v>
      </c>
      <c r="K741" s="17" t="str">
        <f t="shared" si="114"/>
        <v>10.1016%2Fj.cub.2017.01.020_TableS1part1</v>
      </c>
      <c r="L741" s="17" t="str">
        <f t="array" ref="L741">IFERROR(INDEX(AUTO_Public_TSV_FileList!$A$1:$A$1000,MATCH(TRUE(),EXACT(K741,IFERROR(_xlfn.TEXTBEFORE(AUTO_Public_TSV_FileList!$A$1:$A$1000,".tsv"),"")),0)),"notfound")</f>
        <v>10.1016%2Fj.cub.2017.01.020_TableS1part1.tsv</v>
      </c>
      <c r="M741" s="19" t="s">
        <v>3120</v>
      </c>
      <c r="N741" s="19" t="s">
        <v>54</v>
      </c>
      <c r="O741" s="19" t="s">
        <v>3121</v>
      </c>
      <c r="P741" s="19" t="s">
        <v>55</v>
      </c>
      <c r="Q741" s="20"/>
      <c r="R741" s="20"/>
      <c r="S741" s="19" t="s">
        <v>3122</v>
      </c>
      <c r="T741" s="20"/>
      <c r="U741" s="20"/>
      <c r="V741" s="20"/>
      <c r="W741" s="19" t="s">
        <v>187</v>
      </c>
      <c r="X741" s="19" t="s">
        <v>3123</v>
      </c>
      <c r="Y741" s="20"/>
      <c r="Z741" s="19" t="s">
        <v>172</v>
      </c>
      <c r="AA741" s="19" t="s">
        <v>216</v>
      </c>
      <c r="AB741" s="19" t="s">
        <v>177</v>
      </c>
      <c r="AC741" s="19" t="s">
        <v>3124</v>
      </c>
      <c r="AD741" s="19" t="s">
        <v>810</v>
      </c>
      <c r="AE741" s="19" t="s">
        <v>70</v>
      </c>
      <c r="AF741" s="19"/>
      <c r="AG741" s="20"/>
      <c r="AH741" s="20"/>
    </row>
    <row r="742" spans="1:36" ht="16" x14ac:dyDescent="0.2">
      <c r="A742" s="20" t="s">
        <v>3118</v>
      </c>
      <c r="B742" s="20"/>
      <c r="C742" s="20"/>
      <c r="D742" s="19" t="s">
        <v>3125</v>
      </c>
      <c r="E742" s="17" t="str">
        <f t="shared" si="109"/>
        <v>Smaers</v>
      </c>
      <c r="F742" s="17" t="str">
        <f t="array" ref="F742">_xlfn.LET(
 _xlpm.authors,_xlfn.TEXTBEFORE(A742," ("&amp;G742&amp;")"),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2" s="17" t="str">
        <f t="shared" si="110"/>
        <v>2017</v>
      </c>
      <c r="H742" s="17" t="str">
        <f t="shared" si="111"/>
        <v>Smaers_etal_2017</v>
      </c>
      <c r="I742" s="17" t="str">
        <f t="shared" si="116"/>
        <v>10.1016%2Fj.cub.2017.01.020</v>
      </c>
      <c r="J742" s="17" t="str">
        <f t="shared" si="112"/>
        <v>Smaers_etal_2017_TableS1part2</v>
      </c>
      <c r="K742" s="17" t="str">
        <f t="shared" si="114"/>
        <v>10.1016%2Fj.cub.2017.01.020_TableS1part2</v>
      </c>
      <c r="L742" s="17" t="str">
        <f t="array" ref="L742">IFERROR(INDEX(AUTO_Public_TSV_FileList!$A$1:$A$1000,MATCH(TRUE(),EXACT(K742,IFERROR(_xlfn.TEXTBEFORE(AUTO_Public_TSV_FileList!$A$1:$A$1000,".tsv"),"")),0)),"notfound")</f>
        <v>10.1016%2Fj.cub.2017.01.020_TableS1part2.tsv</v>
      </c>
      <c r="M742" s="19" t="s">
        <v>3120</v>
      </c>
      <c r="N742" s="19" t="s">
        <v>54</v>
      </c>
      <c r="O742" s="19" t="s">
        <v>3126</v>
      </c>
      <c r="P742" s="19" t="s">
        <v>55</v>
      </c>
      <c r="Q742" s="20"/>
      <c r="R742" s="20"/>
      <c r="S742" s="19" t="s">
        <v>3122</v>
      </c>
      <c r="T742" s="20"/>
      <c r="U742" s="20"/>
      <c r="V742" s="20"/>
      <c r="W742" s="19" t="s">
        <v>187</v>
      </c>
      <c r="X742" s="19" t="s">
        <v>3123</v>
      </c>
      <c r="Y742" s="20"/>
      <c r="Z742" s="19" t="s">
        <v>172</v>
      </c>
      <c r="AA742" s="19" t="s">
        <v>216</v>
      </c>
      <c r="AB742" s="19" t="s">
        <v>177</v>
      </c>
      <c r="AC742" s="19" t="s">
        <v>3124</v>
      </c>
      <c r="AD742" s="19" t="s">
        <v>810</v>
      </c>
      <c r="AE742" s="19" t="s">
        <v>70</v>
      </c>
      <c r="AF742" s="19"/>
      <c r="AG742" s="20"/>
      <c r="AH742" s="20"/>
    </row>
    <row r="743" spans="1:36" ht="16" x14ac:dyDescent="0.2">
      <c r="A743" s="19" t="s">
        <v>3127</v>
      </c>
      <c r="B743" s="20"/>
      <c r="C743" s="20"/>
      <c r="D743" s="19" t="s">
        <v>86</v>
      </c>
      <c r="E743" s="17" t="str">
        <f t="shared" si="109"/>
        <v>Smaers</v>
      </c>
      <c r="F743" s="17" t="str">
        <f t="array" ref="F743">_xlfn.LET(
 _xlpm.authors,_xlfn.TEXTBEFORE(A743," ("&amp;G743&amp;")"),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3" s="17" t="str">
        <f t="shared" si="110"/>
        <v>2010</v>
      </c>
      <c r="H743" s="17" t="str">
        <f t="shared" si="111"/>
        <v>Smaers_etal_2010</v>
      </c>
      <c r="I743" s="17" t="str">
        <f t="shared" si="116"/>
        <v>10.1371%2Fjournal.pone.0009123</v>
      </c>
      <c r="J743" s="17" t="str">
        <f t="shared" si="112"/>
        <v>Smaers_etal_2010_Table1</v>
      </c>
      <c r="K743" s="17" t="str">
        <f t="shared" si="114"/>
        <v>10.1371%2Fjournal.pone.0009123_Table1</v>
      </c>
      <c r="L743" s="17" t="str">
        <f t="array" ref="L743">IFERROR(INDEX(AUTO_Public_TSV_FileList!$A$1:$A$1000,MATCH(TRUE(),EXACT(K743,IFERROR(_xlfn.TEXTBEFORE(AUTO_Public_TSV_FileList!$A$1:$A$1000,".tsv"),"")),0)),"notfound")</f>
        <v>10.1371%2Fjournal.pone.0009123_Table1.tsv</v>
      </c>
      <c r="M743" s="19" t="s">
        <v>3128</v>
      </c>
      <c r="N743" s="20"/>
      <c r="O743" s="20"/>
      <c r="P743" s="20" t="s">
        <v>55</v>
      </c>
      <c r="Q743" s="20"/>
      <c r="R743" s="20"/>
      <c r="S743" s="20"/>
      <c r="T743" s="20"/>
      <c r="U743" s="20"/>
      <c r="V743" s="20"/>
      <c r="W743" s="20"/>
      <c r="X743" s="20"/>
      <c r="Y743" s="20"/>
      <c r="Z743" s="20"/>
      <c r="AA743" s="20"/>
      <c r="AB743" s="20"/>
      <c r="AC743" s="20"/>
      <c r="AD743" s="20"/>
      <c r="AE743" s="20"/>
      <c r="AF743" s="20"/>
      <c r="AG743" s="20"/>
      <c r="AH743" s="20"/>
    </row>
    <row r="744" spans="1:36" ht="16" x14ac:dyDescent="0.2">
      <c r="A744" s="20" t="s">
        <v>3129</v>
      </c>
      <c r="B744" s="20" t="s">
        <v>493</v>
      </c>
      <c r="C744" s="20"/>
      <c r="D744" s="20" t="s">
        <v>2170</v>
      </c>
      <c r="E744" s="17" t="str">
        <f t="shared" si="109"/>
        <v>Smaers</v>
      </c>
      <c r="F744" s="17" t="str">
        <f>_xlfn.LET(
_xlpm.authors,_xlfn.TEXTBEFORE(A744," ("&amp;G744&amp;")"),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744" s="17" t="str">
        <f t="shared" si="110"/>
        <v>2011</v>
      </c>
      <c r="H744" s="17" t="str">
        <f t="shared" si="111"/>
        <v>Smaers_etal_2011_b</v>
      </c>
      <c r="I744" s="17" t="str">
        <f t="shared" si="116"/>
        <v>10.1111%2Fj.1749-6632.2011.06003.x</v>
      </c>
      <c r="J744" s="17" t="str">
        <f t="shared" si="112"/>
        <v>Smaers_etal_2011_b_Table2</v>
      </c>
      <c r="K744" s="17" t="str">
        <f t="shared" si="114"/>
        <v>10.1111%2Fj.1749-6632.2011.06003.x_Table2</v>
      </c>
      <c r="L744" s="17" t="str">
        <f>IFERROR(INDEX(AUTO_Public_TSV_FileList!$A$1:$A$1000,MATCH(TRUE(),EXACT(K744,IFERROR(_xlfn.TEXTBEFORE(AUTO_Public_TSV_FileList!$A$1:$A$1000,".tsv"),"")),0)),"notfound")</f>
        <v>notfound</v>
      </c>
      <c r="M744" s="20" t="s">
        <v>2170</v>
      </c>
      <c r="N744" s="20" t="s">
        <v>556</v>
      </c>
      <c r="O744" s="20" t="s">
        <v>3130</v>
      </c>
      <c r="P744" s="20" t="s">
        <v>313</v>
      </c>
      <c r="Q744" s="20" t="s">
        <v>3131</v>
      </c>
      <c r="R744" s="20" t="s">
        <v>3132</v>
      </c>
      <c r="S744" s="20" t="s">
        <v>316</v>
      </c>
      <c r="T744" s="20" t="s">
        <v>317</v>
      </c>
      <c r="U744" s="20"/>
      <c r="V744" s="20" t="s">
        <v>318</v>
      </c>
      <c r="W744" s="20" t="s">
        <v>319</v>
      </c>
      <c r="X744" s="20" t="s">
        <v>3133</v>
      </c>
      <c r="Y744" s="20"/>
      <c r="Z744" s="20"/>
      <c r="AA744" s="20" t="s">
        <v>3134</v>
      </c>
      <c r="AB744" s="20" t="s">
        <v>2168</v>
      </c>
      <c r="AC744" s="20" t="s">
        <v>3135</v>
      </c>
      <c r="AD744" s="20"/>
      <c r="AE744" s="20" t="s">
        <v>70</v>
      </c>
      <c r="AF744" s="20"/>
      <c r="AG744" s="20" t="s">
        <v>324</v>
      </c>
      <c r="AH744" s="20" t="s">
        <v>325</v>
      </c>
    </row>
    <row r="745" spans="1:36" ht="16" x14ac:dyDescent="0.2">
      <c r="A745" s="20" t="s">
        <v>3136</v>
      </c>
      <c r="B745" s="20"/>
      <c r="C745" s="20"/>
      <c r="D745" s="20" t="s">
        <v>35</v>
      </c>
      <c r="E745" s="17" t="str">
        <f t="shared" si="109"/>
        <v>Smaers</v>
      </c>
      <c r="F745" s="17" t="str">
        <f>_xlfn.LET(
_xlpm.authors,_xlfn.TEXTBEFORE(A745," ("&amp;G745&amp;")"),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745" s="17" t="str">
        <f t="shared" si="110"/>
        <v>2013</v>
      </c>
      <c r="H745" s="17" t="str">
        <f t="shared" si="111"/>
        <v>Smaers_etal_2013</v>
      </c>
      <c r="I745" s="17" t="str">
        <f t="shared" si="116"/>
        <v>10.1111%2Fnyas.12047</v>
      </c>
      <c r="J745" s="17" t="str">
        <f t="shared" si="112"/>
        <v>Smaers_etal_2013_Table1</v>
      </c>
      <c r="K745" s="17" t="str">
        <f t="shared" si="114"/>
        <v>10.1111%2Fnyas.12047_Table1</v>
      </c>
      <c r="L745" s="17" t="str">
        <f>IFERROR(INDEX(AUTO_Public_TSV_FileList!$A$1:$A$1000,MATCH(TRUE(),EXACT(K745,IFERROR(_xlfn.TEXTBEFORE(AUTO_Public_TSV_FileList!$A$1:$A$1000,".tsv"),"")),0)),"notfound")</f>
        <v>notfound</v>
      </c>
      <c r="M745" s="20" t="s">
        <v>35</v>
      </c>
      <c r="N745" s="20" t="s">
        <v>556</v>
      </c>
      <c r="O745" s="20" t="s">
        <v>3137</v>
      </c>
      <c r="P745" s="20" t="s">
        <v>313</v>
      </c>
      <c r="Q745" s="20" t="s">
        <v>3138</v>
      </c>
      <c r="R745" s="20" t="s">
        <v>3139</v>
      </c>
      <c r="S745" s="20" t="s">
        <v>316</v>
      </c>
      <c r="T745" s="20" t="s">
        <v>317</v>
      </c>
      <c r="U745" s="20"/>
      <c r="V745" s="20" t="s">
        <v>318</v>
      </c>
      <c r="W745" s="20" t="s">
        <v>319</v>
      </c>
      <c r="X745" s="20" t="s">
        <v>3140</v>
      </c>
      <c r="Y745" s="20"/>
      <c r="Z745" s="20"/>
      <c r="AA745" s="20" t="s">
        <v>3141</v>
      </c>
      <c r="AB745" s="20" t="s">
        <v>2168</v>
      </c>
      <c r="AC745" s="20" t="s">
        <v>3142</v>
      </c>
      <c r="AD745" s="20"/>
      <c r="AE745" s="20" t="s">
        <v>70</v>
      </c>
      <c r="AF745" s="20" t="s">
        <v>2096</v>
      </c>
      <c r="AG745" s="20" t="s">
        <v>324</v>
      </c>
      <c r="AH745" s="20" t="s">
        <v>325</v>
      </c>
    </row>
    <row r="746" spans="1:36" ht="16" x14ac:dyDescent="0.2">
      <c r="A746" s="19" t="s">
        <v>3143</v>
      </c>
      <c r="B746" s="20"/>
      <c r="C746" s="20"/>
      <c r="D746" s="19" t="s">
        <v>477</v>
      </c>
      <c r="E746" s="17" t="str">
        <f t="shared" si="109"/>
        <v>Smaers</v>
      </c>
      <c r="F746" s="17" t="str">
        <f t="array" ref="F746">_xlfn.LET(
 _xlpm.authors,_xlfn.TEXTBEFORE(A746," ("&amp;G746&amp;")"),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6" s="17" t="str">
        <f t="shared" si="110"/>
        <v>2011</v>
      </c>
      <c r="H746" s="17" t="str">
        <f t="shared" si="111"/>
        <v>Smaers_etal_2011</v>
      </c>
      <c r="I746" s="17" t="str">
        <f t="shared" si="116"/>
        <v>10.1159%2F000323671</v>
      </c>
      <c r="J746" s="17" t="str">
        <f t="shared" si="112"/>
        <v>Smaers_etal_2011_SupplementaryTable1</v>
      </c>
      <c r="K746" s="17" t="str">
        <f t="shared" si="114"/>
        <v>10.1159%2F000323671_SupplementaryTable1</v>
      </c>
      <c r="L746" s="17" t="str">
        <f t="array" ref="L746">IFERROR(INDEX(AUTO_Public_TSV_FileList!$A$1:$A$1000,MATCH(TRUE(),EXACT(K746,IFERROR(_xlfn.TEXTBEFORE(AUTO_Public_TSV_FileList!$A$1:$A$1000,".tsv"),"")),0)),"notfound")</f>
        <v>10.1159%2F000323671_SupplementaryTable1.tsv</v>
      </c>
      <c r="M746" s="20"/>
      <c r="N746" s="19" t="s">
        <v>54</v>
      </c>
      <c r="O746" s="20"/>
      <c r="P746" s="20" t="s">
        <v>55</v>
      </c>
      <c r="Q746" s="20"/>
      <c r="R746" s="20"/>
      <c r="S746" s="20"/>
      <c r="T746" s="20"/>
      <c r="U746" s="20"/>
      <c r="V746" s="20"/>
      <c r="W746" s="19" t="s">
        <v>187</v>
      </c>
      <c r="X746" s="19" t="s">
        <v>3144</v>
      </c>
      <c r="Y746" s="20"/>
      <c r="Z746" s="19" t="s">
        <v>172</v>
      </c>
      <c r="AA746" s="19" t="s">
        <v>216</v>
      </c>
      <c r="AB746" s="19" t="s">
        <v>177</v>
      </c>
      <c r="AC746" s="20"/>
      <c r="AD746" s="19" t="s">
        <v>810</v>
      </c>
      <c r="AE746" s="19" t="s">
        <v>70</v>
      </c>
      <c r="AF746" s="19"/>
      <c r="AG746" s="20"/>
      <c r="AH746" s="20"/>
    </row>
    <row r="747" spans="1:36" ht="16" x14ac:dyDescent="0.2">
      <c r="A747" s="19" t="s">
        <v>3143</v>
      </c>
      <c r="B747" s="20"/>
      <c r="C747" s="20"/>
      <c r="D747" s="19" t="s">
        <v>3145</v>
      </c>
      <c r="E747" s="17" t="str">
        <f t="shared" si="109"/>
        <v>Smaers</v>
      </c>
      <c r="F747" s="17" t="str">
        <f t="array" ref="F747">_xlfn.LET(
 _xlpm.authors,_xlfn.TEXTBEFORE(A747," ("&amp;G747&amp;")"),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7" s="17" t="str">
        <f t="shared" si="110"/>
        <v>2011</v>
      </c>
      <c r="H747" s="17" t="str">
        <f t="shared" si="111"/>
        <v>Smaers_etal_2011</v>
      </c>
      <c r="I747" s="17" t="str">
        <f t="shared" si="116"/>
        <v>10.1159%2F000323671</v>
      </c>
      <c r="J747" s="17" t="str">
        <f t="shared" si="112"/>
        <v>Smaers_etal_2011_SupplementaryTable2</v>
      </c>
      <c r="K747" s="17" t="str">
        <f t="shared" si="114"/>
        <v>10.1159%2F000323671_SupplementaryTable2</v>
      </c>
      <c r="L747" s="17" t="str">
        <f t="array" ref="L747">IFERROR(INDEX(AUTO_Public_TSV_FileList!$A$1:$A$1000,MATCH(TRUE(),EXACT(K747,IFERROR(_xlfn.TEXTBEFORE(AUTO_Public_TSV_FileList!$A$1:$A$1000,".tsv"),"")),0)),"notfound")</f>
        <v>10.1159%2F000323671_SupplementaryTable2.tsv</v>
      </c>
      <c r="M747" s="20"/>
      <c r="N747" s="19" t="s">
        <v>54</v>
      </c>
      <c r="O747" s="20"/>
      <c r="P747" s="20" t="s">
        <v>55</v>
      </c>
      <c r="Q747" s="20"/>
      <c r="R747" s="20"/>
      <c r="S747" s="20"/>
      <c r="T747" s="20"/>
      <c r="U747" s="20"/>
      <c r="V747" s="20"/>
      <c r="W747" s="19" t="s">
        <v>187</v>
      </c>
      <c r="X747" s="19" t="s">
        <v>3144</v>
      </c>
      <c r="Y747" s="20"/>
      <c r="Z747" s="19" t="s">
        <v>172</v>
      </c>
      <c r="AA747" s="19" t="s">
        <v>216</v>
      </c>
      <c r="AB747" s="19" t="s">
        <v>177</v>
      </c>
      <c r="AC747" s="20"/>
      <c r="AD747" s="19" t="s">
        <v>810</v>
      </c>
      <c r="AE747" s="19" t="s">
        <v>70</v>
      </c>
      <c r="AF747" s="19"/>
      <c r="AG747" s="20"/>
      <c r="AH747" s="20"/>
    </row>
    <row r="748" spans="1:36" ht="16" x14ac:dyDescent="0.2">
      <c r="A748" s="19" t="s">
        <v>3146</v>
      </c>
      <c r="B748" s="20"/>
      <c r="C748" s="19"/>
      <c r="D748" s="19" t="s">
        <v>3147</v>
      </c>
      <c r="E748" s="17" t="str">
        <f t="shared" si="109"/>
        <v>Smaers</v>
      </c>
      <c r="F748" s="17" t="str">
        <f t="array" ref="F748">_xlfn.LET(
 _xlpm.authors,_xlfn.TEXTBEFORE(A748," ("&amp;G748&amp;")"),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8" s="17" t="str">
        <f t="shared" si="110"/>
        <v>2018</v>
      </c>
      <c r="H748" s="17" t="str">
        <f t="shared" si="111"/>
        <v>Smaers_etal_2018</v>
      </c>
      <c r="I748" s="17" t="str">
        <f t="shared" si="116"/>
        <v>10.7554%2FeLife.35696</v>
      </c>
      <c r="J748" s="17" t="str">
        <f t="shared" si="112"/>
        <v>Smaers_etal_2018_Figure2-data1</v>
      </c>
      <c r="K748" s="17" t="str">
        <f t="shared" ref="K748:K779" si="117">I748 &amp; "_" &amp; SUBSTITUTE(SUBSTITUTE(SUBSTITUTE(D748,CHAR(160),"")," ",""),"_","")</f>
        <v>10.7554%2FeLife.35696_Figure2-data1</v>
      </c>
      <c r="L748" s="17" t="str">
        <f t="array" ref="L748">IFERROR(INDEX(AUTO_Public_TSV_FileList!$A$1:$A$1000,MATCH(TRUE(),EXACT(K748,IFERROR(_xlfn.TEXTBEFORE(AUTO_Public_TSV_FileList!$A$1:$A$1000,".tsv"),"")),0)),"notfound")</f>
        <v>10.7554%2FeLife.35696_Figure2-data1.tsv</v>
      </c>
      <c r="M748" s="19" t="s">
        <v>3148</v>
      </c>
      <c r="N748" s="20"/>
      <c r="O748" s="20"/>
      <c r="P748" s="20" t="s">
        <v>55</v>
      </c>
      <c r="Q748" s="20"/>
      <c r="R748" s="20"/>
      <c r="S748" s="20"/>
      <c r="T748" s="20"/>
      <c r="U748" s="20"/>
      <c r="V748" s="20"/>
      <c r="W748" s="19" t="s">
        <v>224</v>
      </c>
      <c r="X748" s="19" t="s">
        <v>3149</v>
      </c>
      <c r="Y748" s="20"/>
      <c r="Z748" s="19" t="s">
        <v>172</v>
      </c>
      <c r="AA748" s="19" t="s">
        <v>216</v>
      </c>
      <c r="AB748" s="19" t="s">
        <v>177</v>
      </c>
      <c r="AC748" s="20"/>
      <c r="AD748" s="19" t="s">
        <v>810</v>
      </c>
      <c r="AE748" s="19" t="s">
        <v>70</v>
      </c>
      <c r="AF748" s="19"/>
      <c r="AG748" s="20"/>
      <c r="AH748" s="20"/>
    </row>
    <row r="749" spans="1:36" ht="16" x14ac:dyDescent="0.2">
      <c r="A749" s="20" t="s">
        <v>5357</v>
      </c>
      <c r="B749" s="20"/>
      <c r="C749" s="20"/>
      <c r="D749" s="20" t="s">
        <v>164</v>
      </c>
      <c r="E749" s="18" t="str">
        <f t="shared" si="109"/>
        <v>Smith</v>
      </c>
      <c r="F749" s="17" t="str">
        <f t="array" ref="F749">_xlfn.LET(
 _xlpm.authors,_xlfn.TEXTBEFORE(A749," ("&amp;G749&amp;")"),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Jungers</v>
      </c>
      <c r="G749" s="17" t="str">
        <f t="shared" si="110"/>
        <v>1997</v>
      </c>
      <c r="H749" s="18" t="str">
        <f t="shared" si="111"/>
        <v>Smith_Jungers_1997</v>
      </c>
      <c r="I749" s="18" t="str">
        <f>_xlfn.LET(_xlpm.doi,IF(C749&lt;&gt;"",C749,_xlfn.TEXTAFTER(A749,"https://doi.org/")),SUBSTITUTE(SUBSTITUTE(SUBSTITUTE(SUBSTITUTE(_xlpm.doi,"/","%2F"),":","%3A"),"&lt;","%3C"),"&gt;","%3E"))</f>
        <v>10.1006%2Fjhev.1996.0122</v>
      </c>
      <c r="J749" s="18" t="str">
        <f t="shared" si="112"/>
        <v>Smith_Jungers_1997_Table5</v>
      </c>
      <c r="K749" s="17" t="str">
        <f t="shared" si="117"/>
        <v>10.1006%2Fjhev.1996.0122_Table5</v>
      </c>
      <c r="L749" s="17" t="str">
        <f t="array" ref="L749">IFERROR(INDEX(AUTO_Public_TSV_FileList!$A$1:$A$1000,MATCH(TRUE(),EXACT(K749,IFERROR(_xlfn.TEXTBEFORE(AUTO_Public_TSV_FileList!$A$1:$A$1000,".tsv"),"")),0)),"notfound")</f>
        <v>notfound</v>
      </c>
      <c r="M749" s="20"/>
      <c r="N749" s="20" t="s">
        <v>4851</v>
      </c>
      <c r="O749" s="20" t="s">
        <v>5358</v>
      </c>
      <c r="P749" s="20" t="s">
        <v>5359</v>
      </c>
      <c r="Q749" s="20"/>
      <c r="R749" s="20" t="s">
        <v>5360</v>
      </c>
      <c r="S749" s="20"/>
      <c r="T749" s="20" t="s">
        <v>5361</v>
      </c>
      <c r="U749" s="20"/>
      <c r="V749" s="20" t="s">
        <v>5362</v>
      </c>
      <c r="W749" s="20" t="s">
        <v>187</v>
      </c>
      <c r="X749" s="20" t="s">
        <v>5363</v>
      </c>
      <c r="Y749" s="20"/>
      <c r="Z749" s="20"/>
      <c r="AA749" s="20" t="s">
        <v>5364</v>
      </c>
      <c r="AB749" s="20" t="s">
        <v>322</v>
      </c>
      <c r="AC749" s="20"/>
      <c r="AD749" s="20"/>
      <c r="AE749" s="20" t="s">
        <v>70</v>
      </c>
      <c r="AF749" s="20" t="s">
        <v>2096</v>
      </c>
      <c r="AG749" s="20" t="s">
        <v>5365</v>
      </c>
      <c r="AH749" s="20" t="s">
        <v>4862</v>
      </c>
      <c r="AJ749" t="s">
        <v>5366</v>
      </c>
    </row>
    <row r="750" spans="1:36" ht="16" x14ac:dyDescent="0.2">
      <c r="A750" s="19" t="s">
        <v>3150</v>
      </c>
      <c r="B750" s="20"/>
      <c r="C750" s="19"/>
      <c r="D750" s="19" t="s">
        <v>86</v>
      </c>
      <c r="E750" s="17" t="str">
        <f t="shared" si="109"/>
        <v>Stephan</v>
      </c>
      <c r="F750" s="17" t="str">
        <f t="array" ref="F750">_xlfn.LET(
 _xlpm.authors,_xlfn.TEXTBEFORE(A750," ("&amp;G750&amp;")"),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750" s="17" t="str">
        <f t="shared" si="110"/>
        <v>1970</v>
      </c>
      <c r="H750" s="17" t="str">
        <f t="shared" si="111"/>
        <v>Stephan_Pirlot_1970</v>
      </c>
      <c r="I750" s="17" t="str">
        <f t="shared" ref="I750:I781" si="118">_xlfn.LET(
_xlpm.doi,IF(C750&lt;&gt;"",C750,_xlfn.TEXTAFTER(A750,"https://doi.org/")),
SUBSTITUTE(
SUBSTITUTE(
SUBSTITUTE(
SUBSTITUTE(
_xlpm.doi,
"/","%2F"),
":","%3A"),
"&lt;","%3C"),
"&gt;","%3E")
)</f>
        <v>10.1111%2Fj.1439-0469.1970.tb00876.x</v>
      </c>
      <c r="J750" s="17" t="str">
        <f t="shared" si="112"/>
        <v>Stephan_Pirlot_1970_Table1</v>
      </c>
      <c r="K750" s="17" t="str">
        <f t="shared" si="117"/>
        <v>10.1111%2Fj.1439-0469.1970.tb00876.x_Table1</v>
      </c>
      <c r="L750" s="17" t="str">
        <f t="array" ref="L750">IFERROR(INDEX(AUTO_Public_TSV_FileList!$A$1:$A$1000,MATCH(TRUE(),EXACT(K750,IFERROR(_xlfn.TEXTBEFORE(AUTO_Public_TSV_FileList!$A$1:$A$1000,".tsv"),"")),0)),"notfound")</f>
        <v>10.1111%2Fj.1439-0469.1970.tb00876.x_Table1.tsv</v>
      </c>
      <c r="M750" s="21" t="s">
        <v>3151</v>
      </c>
      <c r="N750" s="19" t="s">
        <v>54</v>
      </c>
      <c r="O750" s="20"/>
      <c r="P750" s="21"/>
      <c r="Q750" s="21"/>
      <c r="R750" s="21" t="s">
        <v>3152</v>
      </c>
      <c r="S750" s="21" t="s">
        <v>3153</v>
      </c>
      <c r="T750" s="21" t="s">
        <v>3154</v>
      </c>
      <c r="U750" s="21"/>
      <c r="V750" s="20"/>
      <c r="W750" s="21" t="s">
        <v>224</v>
      </c>
      <c r="X750" s="21" t="s">
        <v>3155</v>
      </c>
      <c r="Y750" s="21" t="s">
        <v>3156</v>
      </c>
      <c r="Z750" s="21" t="s">
        <v>172</v>
      </c>
      <c r="AA750" s="21" t="s">
        <v>3157</v>
      </c>
      <c r="AB750" s="21" t="s">
        <v>177</v>
      </c>
      <c r="AC750" s="21" t="s">
        <v>205</v>
      </c>
      <c r="AD750" s="21" t="s">
        <v>205</v>
      </c>
      <c r="AE750" s="21" t="s">
        <v>50</v>
      </c>
      <c r="AF750" s="21"/>
      <c r="AG750" s="21" t="s">
        <v>3158</v>
      </c>
      <c r="AH750" s="20"/>
    </row>
    <row r="751" spans="1:36" ht="16" x14ac:dyDescent="0.2">
      <c r="A751" s="19" t="s">
        <v>3159</v>
      </c>
      <c r="B751" s="20"/>
      <c r="C751" s="19" t="s">
        <v>3160</v>
      </c>
      <c r="D751" s="19" t="s">
        <v>86</v>
      </c>
      <c r="E751" s="17" t="str">
        <f t="shared" si="109"/>
        <v>Stephan</v>
      </c>
      <c r="F751" s="17" t="str">
        <f t="array" ref="F751">_xlfn.LET(
 _xlpm.authors,_xlfn.TEXTBEFORE(A751," ("&amp;G751&amp;")"),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1" s="17" t="str">
        <f t="shared" si="110"/>
        <v>1982</v>
      </c>
      <c r="H751" s="17" t="str">
        <f t="shared" si="111"/>
        <v>Stephan_etal_1982</v>
      </c>
      <c r="I751" s="17" t="str">
        <f t="shared" si="118"/>
        <v>PMID%3A7161483</v>
      </c>
      <c r="J751" s="17" t="str">
        <f t="shared" si="112"/>
        <v>Stephan_etal_1982_Table1</v>
      </c>
      <c r="K751" s="17" t="str">
        <f t="shared" si="117"/>
        <v>PMID%3A7161483_Table1</v>
      </c>
      <c r="L751" s="17" t="str">
        <f t="array" ref="L751">IFERROR(INDEX(AUTO_Public_TSV_FileList!$A$1:$A$1000,MATCH(TRUE(),EXACT(K751,IFERROR(_xlfn.TEXTBEFORE(AUTO_Public_TSV_FileList!$A$1:$A$1000,".tsv"),"")),0)),"notfound")</f>
        <v>PMID%3A7161483_Table1.tsv</v>
      </c>
      <c r="M751" s="19" t="s">
        <v>3161</v>
      </c>
      <c r="N751" s="19" t="s">
        <v>54</v>
      </c>
      <c r="O751" s="20"/>
      <c r="P751" s="19" t="s">
        <v>55</v>
      </c>
      <c r="Q751" s="20"/>
      <c r="R751" s="20"/>
      <c r="S751" s="20"/>
      <c r="T751" s="20"/>
      <c r="U751" s="20"/>
      <c r="V751" s="20"/>
      <c r="W751" s="19" t="s">
        <v>203</v>
      </c>
      <c r="X751" s="19" t="s">
        <v>258</v>
      </c>
      <c r="Y751" s="20"/>
      <c r="Z751" s="19" t="s">
        <v>172</v>
      </c>
      <c r="AA751" s="19" t="s">
        <v>216</v>
      </c>
      <c r="AB751" s="19" t="s">
        <v>177</v>
      </c>
      <c r="AC751" s="19" t="s">
        <v>205</v>
      </c>
      <c r="AD751" s="19" t="s">
        <v>205</v>
      </c>
      <c r="AE751" s="19" t="s">
        <v>50</v>
      </c>
      <c r="AF751" s="19"/>
      <c r="AG751" s="20"/>
      <c r="AH751" s="20"/>
    </row>
    <row r="752" spans="1:36" ht="16" x14ac:dyDescent="0.2">
      <c r="A752" s="19" t="s">
        <v>3162</v>
      </c>
      <c r="B752" s="20"/>
      <c r="C752" s="19" t="s">
        <v>3163</v>
      </c>
      <c r="D752" s="19" t="s">
        <v>77</v>
      </c>
      <c r="E752" s="17" t="str">
        <f t="shared" si="109"/>
        <v>Stephan</v>
      </c>
      <c r="F752" s="17" t="str">
        <f t="array" ref="F752">_xlfn.LET(
 _xlpm.authors,_xlfn.TEXTBEFORE(A752," ("&amp;G752&amp;")"),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2" s="17" t="str">
        <f t="shared" si="110"/>
        <v>1988</v>
      </c>
      <c r="H752" s="17" t="str">
        <f t="shared" si="111"/>
        <v>Stephan_etal_1988</v>
      </c>
      <c r="I752" s="17" t="str">
        <f t="shared" si="118"/>
        <v>ISBN%3A0845140000</v>
      </c>
      <c r="J752" s="17" t="str">
        <f t="shared" si="112"/>
        <v>Stephan_etal_1988_TABLE1</v>
      </c>
      <c r="K752" s="17" t="str">
        <f t="shared" si="117"/>
        <v>ISBN%3A0845140000_TABLE1</v>
      </c>
      <c r="L752" s="17" t="str">
        <f t="array" ref="L752">IFERROR(INDEX(AUTO_Public_TSV_FileList!$A$1:$A$1000,MATCH(TRUE(),EXACT(K752,IFERROR(_xlfn.TEXTBEFORE(AUTO_Public_TSV_FileList!$A$1:$A$1000,".tsv"),"")),0)),"notfound")</f>
        <v>ISBN%3A0845140000_TABLE1.tsv</v>
      </c>
      <c r="M752" s="19" t="s">
        <v>3164</v>
      </c>
      <c r="N752" s="20"/>
      <c r="O752" s="20"/>
      <c r="P752" s="20" t="s">
        <v>55</v>
      </c>
      <c r="Q752" s="20"/>
      <c r="R752" s="20"/>
      <c r="S752" s="20"/>
      <c r="T752" s="20"/>
      <c r="U752" s="20"/>
      <c r="V752" s="20"/>
      <c r="W752" s="20"/>
      <c r="X752" s="20"/>
      <c r="Y752" s="20"/>
      <c r="Z752" s="20"/>
      <c r="AA752" s="20"/>
      <c r="AB752" s="20"/>
      <c r="AC752" s="20"/>
      <c r="AD752" s="20"/>
      <c r="AE752" s="20"/>
      <c r="AF752" s="20"/>
      <c r="AG752" s="20"/>
      <c r="AH752" s="20"/>
    </row>
    <row r="753" spans="1:34" ht="16" x14ac:dyDescent="0.2">
      <c r="A753" s="19" t="s">
        <v>3165</v>
      </c>
      <c r="B753" s="20"/>
      <c r="C753" s="19"/>
      <c r="D753" s="19" t="s">
        <v>219</v>
      </c>
      <c r="E753" s="17" t="str">
        <f t="shared" si="109"/>
        <v>Stephan</v>
      </c>
      <c r="F753" s="17" t="str">
        <f t="array" ref="F753">_xlfn.LET(
 _xlpm.authors,_xlfn.TEXTBEFORE(A753," ("&amp;G753&amp;")"),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3" s="17" t="str">
        <f t="shared" si="110"/>
        <v>1991</v>
      </c>
      <c r="H753" s="17" t="str">
        <f t="shared" si="111"/>
        <v>Stephan_etal_1991</v>
      </c>
      <c r="I753" s="17" t="str">
        <f t="shared" si="118"/>
        <v>10.1007%2F978-1-4613-9124-1</v>
      </c>
      <c r="J753" s="17" t="str">
        <f t="shared" si="112"/>
        <v>Stephan_etal_1991_Table10</v>
      </c>
      <c r="K753" s="17" t="str">
        <f t="shared" si="117"/>
        <v>10.1007%2F978-1-4613-9124-1_Table10</v>
      </c>
      <c r="L753" s="17" t="str">
        <f t="array" ref="L753">IFERROR(INDEX(AUTO_Public_TSV_FileList!$A$1:$A$1000,MATCH(TRUE(),EXACT(K753,IFERROR(_xlfn.TEXTBEFORE(AUTO_Public_TSV_FileList!$A$1:$A$1000,".tsv"),"")),0)),"notfound")</f>
        <v>10.1007%2F978-1-4613-9124-1_Table10.tsv</v>
      </c>
      <c r="M753" s="19" t="s">
        <v>3166</v>
      </c>
      <c r="N753" s="20"/>
      <c r="O753" s="20"/>
      <c r="P753" s="20"/>
      <c r="Q753" s="20"/>
      <c r="R753" s="20"/>
      <c r="S753" s="20"/>
      <c r="T753" s="20"/>
      <c r="U753" s="20"/>
      <c r="V753" s="20"/>
      <c r="W753" s="19"/>
      <c r="X753" s="19"/>
      <c r="Y753" s="20"/>
      <c r="Z753" s="19"/>
      <c r="AA753" s="19"/>
      <c r="AB753" s="19"/>
      <c r="AC753" s="20"/>
      <c r="AD753" s="19"/>
      <c r="AE753" s="19"/>
      <c r="AF753" s="19"/>
      <c r="AG753" s="20"/>
      <c r="AH753" s="20"/>
    </row>
    <row r="754" spans="1:34" ht="16" x14ac:dyDescent="0.2">
      <c r="A754" s="19" t="s">
        <v>3165</v>
      </c>
      <c r="B754" s="20"/>
      <c r="C754" s="19"/>
      <c r="D754" s="19" t="s">
        <v>220</v>
      </c>
      <c r="E754" s="17" t="str">
        <f t="shared" si="109"/>
        <v>Stephan</v>
      </c>
      <c r="F754" s="17" t="str">
        <f t="array" ref="F754">_xlfn.LET(
 _xlpm.authors,_xlfn.TEXTBEFORE(A754," ("&amp;G754&amp;")"),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4" s="17" t="str">
        <f t="shared" si="110"/>
        <v>1991</v>
      </c>
      <c r="H754" s="17" t="str">
        <f t="shared" si="111"/>
        <v>Stephan_etal_1991</v>
      </c>
      <c r="I754" s="17" t="str">
        <f t="shared" si="118"/>
        <v>10.1007%2F978-1-4613-9124-1</v>
      </c>
      <c r="J754" s="17" t="str">
        <f t="shared" si="112"/>
        <v>Stephan_etal_1991_Table13</v>
      </c>
      <c r="K754" s="17" t="str">
        <f t="shared" si="117"/>
        <v>10.1007%2F978-1-4613-9124-1_Table13</v>
      </c>
      <c r="L754" s="17" t="str">
        <f t="array" ref="L754">IFERROR(INDEX(AUTO_Public_TSV_FileList!$A$1:$A$1000,MATCH(TRUE(),EXACT(K754,IFERROR(_xlfn.TEXTBEFORE(AUTO_Public_TSV_FileList!$A$1:$A$1000,".tsv"),"")),0)),"notfound")</f>
        <v>10.1007%2F978-1-4613-9124-1_Table13.tsv</v>
      </c>
      <c r="M754" s="19" t="s">
        <v>3167</v>
      </c>
      <c r="N754" s="20"/>
      <c r="O754" s="20"/>
      <c r="P754" s="20"/>
      <c r="Q754" s="20"/>
      <c r="R754" s="20"/>
      <c r="S754" s="20"/>
      <c r="T754" s="20"/>
      <c r="U754" s="20"/>
      <c r="V754" s="20"/>
      <c r="W754" s="19"/>
      <c r="X754" s="19"/>
      <c r="Y754" s="20"/>
      <c r="Z754" s="19"/>
      <c r="AA754" s="19"/>
      <c r="AB754" s="19"/>
      <c r="AC754" s="20"/>
      <c r="AD754" s="19"/>
      <c r="AE754" s="19"/>
      <c r="AF754" s="19"/>
      <c r="AG754" s="20"/>
      <c r="AH754" s="20"/>
    </row>
    <row r="755" spans="1:34" ht="16" x14ac:dyDescent="0.2">
      <c r="A755" s="19" t="s">
        <v>3165</v>
      </c>
      <c r="B755" s="20"/>
      <c r="C755" s="19"/>
      <c r="D755" s="19" t="s">
        <v>227</v>
      </c>
      <c r="E755" s="17" t="str">
        <f t="shared" si="109"/>
        <v>Stephan</v>
      </c>
      <c r="F755" s="17" t="str">
        <f t="array" ref="F755">_xlfn.LET(
 _xlpm.authors,_xlfn.TEXTBEFORE(A755," ("&amp;G755&amp;")"),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5" s="17" t="str">
        <f t="shared" si="110"/>
        <v>1991</v>
      </c>
      <c r="H755" s="17" t="str">
        <f t="shared" si="111"/>
        <v>Stephan_etal_1991</v>
      </c>
      <c r="I755" s="17" t="str">
        <f t="shared" si="118"/>
        <v>10.1007%2F978-1-4613-9124-1</v>
      </c>
      <c r="J755" s="17" t="str">
        <f t="shared" si="112"/>
        <v>Stephan_etal_1991_Table16</v>
      </c>
      <c r="K755" s="17" t="str">
        <f t="shared" si="117"/>
        <v>10.1007%2F978-1-4613-9124-1_Table16</v>
      </c>
      <c r="L755" s="17" t="str">
        <f t="array" ref="L755">IFERROR(INDEX(AUTO_Public_TSV_FileList!$A$1:$A$1000,MATCH(TRUE(),EXACT(K755,IFERROR(_xlfn.TEXTBEFORE(AUTO_Public_TSV_FileList!$A$1:$A$1000,".tsv"),"")),0)),"notfound")</f>
        <v>10.1007%2F978-1-4613-9124-1_Table16.tsv</v>
      </c>
      <c r="M755" s="19" t="s">
        <v>3168</v>
      </c>
      <c r="N755" s="20"/>
      <c r="O755" s="20"/>
      <c r="P755" s="20"/>
      <c r="Q755" s="20"/>
      <c r="R755" s="20"/>
      <c r="S755" s="20"/>
      <c r="T755" s="20"/>
      <c r="U755" s="20"/>
      <c r="V755" s="20"/>
      <c r="W755" s="19"/>
      <c r="X755" s="19"/>
      <c r="Y755" s="20"/>
      <c r="Z755" s="19"/>
      <c r="AA755" s="19"/>
      <c r="AB755" s="19"/>
      <c r="AC755" s="20"/>
      <c r="AD755" s="19"/>
      <c r="AE755" s="19"/>
      <c r="AF755" s="19"/>
      <c r="AG755" s="20"/>
      <c r="AH755" s="20"/>
    </row>
    <row r="756" spans="1:34" ht="16" x14ac:dyDescent="0.2">
      <c r="A756" s="19" t="s">
        <v>3165</v>
      </c>
      <c r="B756" s="20"/>
      <c r="C756" s="19"/>
      <c r="D756" s="19" t="s">
        <v>231</v>
      </c>
      <c r="E756" s="17" t="str">
        <f t="shared" si="109"/>
        <v>Stephan</v>
      </c>
      <c r="F756" s="17" t="str">
        <f t="array" ref="F756">_xlfn.LET(
 _xlpm.authors,_xlfn.TEXTBEFORE(A756," ("&amp;G756&amp;")"),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6" s="17" t="str">
        <f t="shared" si="110"/>
        <v>1991</v>
      </c>
      <c r="H756" s="17" t="str">
        <f t="shared" si="111"/>
        <v>Stephan_etal_1991</v>
      </c>
      <c r="I756" s="17" t="str">
        <f t="shared" si="118"/>
        <v>10.1007%2F978-1-4613-9124-1</v>
      </c>
      <c r="J756" s="17" t="str">
        <f t="shared" si="112"/>
        <v>Stephan_etal_1991_Table19</v>
      </c>
      <c r="K756" s="17" t="str">
        <f t="shared" si="117"/>
        <v>10.1007%2F978-1-4613-9124-1_Table19</v>
      </c>
      <c r="L756" s="17" t="str">
        <f t="array" ref="L756">IFERROR(INDEX(AUTO_Public_TSV_FileList!$A$1:$A$1000,MATCH(TRUE(),EXACT(K756,IFERROR(_xlfn.TEXTBEFORE(AUTO_Public_TSV_FileList!$A$1:$A$1000,".tsv"),"")),0)),"notfound")</f>
        <v>10.1007%2F978-1-4613-9124-1_Table19.tsv</v>
      </c>
      <c r="M756" s="19" t="s">
        <v>3169</v>
      </c>
      <c r="N756" s="20"/>
      <c r="O756" s="20"/>
      <c r="P756" s="20"/>
      <c r="Q756" s="20"/>
      <c r="R756" s="20"/>
      <c r="S756" s="20"/>
      <c r="T756" s="20"/>
      <c r="U756" s="20"/>
      <c r="V756" s="20"/>
      <c r="W756" s="19"/>
      <c r="X756" s="19"/>
      <c r="Y756" s="20"/>
      <c r="Z756" s="19"/>
      <c r="AA756" s="19"/>
      <c r="AB756" s="19"/>
      <c r="AC756" s="20"/>
      <c r="AD756" s="19"/>
      <c r="AE756" s="19"/>
      <c r="AF756" s="19"/>
      <c r="AG756" s="20"/>
      <c r="AH756" s="20"/>
    </row>
    <row r="757" spans="1:34" ht="16" x14ac:dyDescent="0.2">
      <c r="A757" s="19" t="s">
        <v>3165</v>
      </c>
      <c r="B757" s="20"/>
      <c r="C757" s="19"/>
      <c r="D757" s="19" t="s">
        <v>160</v>
      </c>
      <c r="E757" s="17" t="str">
        <f t="shared" si="109"/>
        <v>Stephan</v>
      </c>
      <c r="F757" s="17" t="str">
        <f t="array" ref="F757">_xlfn.LET(
 _xlpm.authors,_xlfn.TEXTBEFORE(A757," ("&amp;G757&amp;")"),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7" s="17" t="str">
        <f t="shared" si="110"/>
        <v>1991</v>
      </c>
      <c r="H757" s="17" t="str">
        <f t="shared" si="111"/>
        <v>Stephan_etal_1991</v>
      </c>
      <c r="I757" s="17" t="str">
        <f t="shared" si="118"/>
        <v>10.1007%2F978-1-4613-9124-1</v>
      </c>
      <c r="J757" s="17" t="str">
        <f t="shared" si="112"/>
        <v>Stephan_etal_1991_Table2</v>
      </c>
      <c r="K757" s="17" t="str">
        <f t="shared" si="117"/>
        <v>10.1007%2F978-1-4613-9124-1_Table2</v>
      </c>
      <c r="L757" s="17" t="str">
        <f t="array" ref="L757">IFERROR(INDEX(AUTO_Public_TSV_FileList!$A$1:$A$1000,MATCH(TRUE(),EXACT(K757,IFERROR(_xlfn.TEXTBEFORE(AUTO_Public_TSV_FileList!$A$1:$A$1000,".tsv"),"")),0)),"notfound")</f>
        <v>10.1007%2F978-1-4613-9124-1_Table2.tsv</v>
      </c>
      <c r="M757" s="19" t="s">
        <v>3170</v>
      </c>
      <c r="N757" s="20"/>
      <c r="O757" s="20"/>
      <c r="P757" s="20"/>
      <c r="Q757" s="20"/>
      <c r="R757" s="20"/>
      <c r="S757" s="20"/>
      <c r="T757" s="20"/>
      <c r="U757" s="20"/>
      <c r="V757" s="20"/>
      <c r="W757" s="19"/>
      <c r="X757" s="19"/>
      <c r="Y757" s="20"/>
      <c r="Z757" s="19"/>
      <c r="AA757" s="19"/>
      <c r="AB757" s="19"/>
      <c r="AC757" s="20"/>
      <c r="AD757" s="19"/>
      <c r="AE757" s="19"/>
      <c r="AF757" s="19"/>
      <c r="AG757" s="20"/>
      <c r="AH757" s="20"/>
    </row>
    <row r="758" spans="1:34" ht="16" x14ac:dyDescent="0.2">
      <c r="A758" s="19" t="s">
        <v>3165</v>
      </c>
      <c r="B758" s="20"/>
      <c r="C758" s="19"/>
      <c r="D758" s="19" t="s">
        <v>239</v>
      </c>
      <c r="E758" s="17" t="str">
        <f t="shared" si="109"/>
        <v>Stephan</v>
      </c>
      <c r="F758" s="17" t="str">
        <f t="array" ref="F758">_xlfn.LET(
 _xlpm.authors,_xlfn.TEXTBEFORE(A758," ("&amp;G758&amp;")"),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8" s="17" t="str">
        <f t="shared" si="110"/>
        <v>1991</v>
      </c>
      <c r="H758" s="17" t="str">
        <f t="shared" si="111"/>
        <v>Stephan_etal_1991</v>
      </c>
      <c r="I758" s="17" t="str">
        <f t="shared" si="118"/>
        <v>10.1007%2F978-1-4613-9124-1</v>
      </c>
      <c r="J758" s="17" t="str">
        <f t="shared" si="112"/>
        <v>Stephan_etal_1991_Table22</v>
      </c>
      <c r="K758" s="17" t="str">
        <f t="shared" si="117"/>
        <v>10.1007%2F978-1-4613-9124-1_Table22</v>
      </c>
      <c r="L758" s="17" t="str">
        <f t="array" ref="L758">IFERROR(INDEX(AUTO_Public_TSV_FileList!$A$1:$A$1000,MATCH(TRUE(),EXACT(K758,IFERROR(_xlfn.TEXTBEFORE(AUTO_Public_TSV_FileList!$A$1:$A$1000,".tsv"),"")),0)),"notfound")</f>
        <v>10.1007%2F978-1-4613-9124-1_Table22.tsv</v>
      </c>
      <c r="M758" s="19" t="s">
        <v>3171</v>
      </c>
      <c r="N758" s="20"/>
      <c r="O758" s="20"/>
      <c r="P758" s="20"/>
      <c r="Q758" s="20"/>
      <c r="R758" s="20"/>
      <c r="S758" s="20"/>
      <c r="T758" s="20"/>
      <c r="U758" s="20"/>
      <c r="V758" s="20"/>
      <c r="W758" s="19"/>
      <c r="X758" s="19"/>
      <c r="Y758" s="20"/>
      <c r="Z758" s="19"/>
      <c r="AA758" s="19"/>
      <c r="AB758" s="19"/>
      <c r="AC758" s="20"/>
      <c r="AD758" s="19"/>
      <c r="AE758" s="19"/>
      <c r="AF758" s="19"/>
      <c r="AG758" s="20"/>
      <c r="AH758" s="20"/>
    </row>
    <row r="759" spans="1:34" ht="16" x14ac:dyDescent="0.2">
      <c r="A759" s="19" t="s">
        <v>3165</v>
      </c>
      <c r="B759" s="20"/>
      <c r="C759" s="19"/>
      <c r="D759" s="19" t="s">
        <v>243</v>
      </c>
      <c r="E759" s="17" t="str">
        <f t="shared" si="109"/>
        <v>Stephan</v>
      </c>
      <c r="F759" s="17" t="str">
        <f t="array" ref="F759">_xlfn.LET(
 _xlpm.authors,_xlfn.TEXTBEFORE(A759," ("&amp;G759&amp;")"),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9" s="17" t="str">
        <f t="shared" si="110"/>
        <v>1991</v>
      </c>
      <c r="H759" s="17" t="str">
        <f t="shared" si="111"/>
        <v>Stephan_etal_1991</v>
      </c>
      <c r="I759" s="17" t="str">
        <f t="shared" si="118"/>
        <v>10.1007%2F978-1-4613-9124-1</v>
      </c>
      <c r="J759" s="17" t="str">
        <f t="shared" si="112"/>
        <v>Stephan_etal_1991_Table25</v>
      </c>
      <c r="K759" s="17" t="str">
        <f t="shared" si="117"/>
        <v>10.1007%2F978-1-4613-9124-1_Table25</v>
      </c>
      <c r="L759" s="17" t="str">
        <f t="array" ref="L759">IFERROR(INDEX(AUTO_Public_TSV_FileList!$A$1:$A$1000,MATCH(TRUE(),EXACT(K759,IFERROR(_xlfn.TEXTBEFORE(AUTO_Public_TSV_FileList!$A$1:$A$1000,".tsv"),"")),0)),"notfound")</f>
        <v>10.1007%2F978-1-4613-9124-1_Table25.tsv</v>
      </c>
      <c r="M759" s="19" t="s">
        <v>3172</v>
      </c>
      <c r="N759" s="20"/>
      <c r="O759" s="20"/>
      <c r="P759" s="20"/>
      <c r="Q759" s="20"/>
      <c r="R759" s="20"/>
      <c r="S759" s="20"/>
      <c r="T759" s="20"/>
      <c r="U759" s="20"/>
      <c r="V759" s="20"/>
      <c r="W759" s="19"/>
      <c r="X759" s="19"/>
      <c r="Y759" s="20"/>
      <c r="Z759" s="19"/>
      <c r="AA759" s="19"/>
      <c r="AB759" s="19"/>
      <c r="AC759" s="20"/>
      <c r="AD759" s="19"/>
      <c r="AE759" s="19"/>
      <c r="AF759" s="19"/>
      <c r="AG759" s="20"/>
      <c r="AH759" s="20"/>
    </row>
    <row r="760" spans="1:34" ht="16" x14ac:dyDescent="0.2">
      <c r="A760" s="19" t="s">
        <v>3165</v>
      </c>
      <c r="B760" s="20"/>
      <c r="C760" s="19"/>
      <c r="D760" s="19" t="s">
        <v>247</v>
      </c>
      <c r="E760" s="17" t="str">
        <f t="shared" si="109"/>
        <v>Stephan</v>
      </c>
      <c r="F760" s="17" t="str">
        <f t="array" ref="F760">_xlfn.LET(
 _xlpm.authors,_xlfn.TEXTBEFORE(A760," ("&amp;G760&amp;")"),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0" s="17" t="str">
        <f t="shared" si="110"/>
        <v>1991</v>
      </c>
      <c r="H760" s="17" t="str">
        <f t="shared" si="111"/>
        <v>Stephan_etal_1991</v>
      </c>
      <c r="I760" s="17" t="str">
        <f t="shared" si="118"/>
        <v>10.1007%2F978-1-4613-9124-1</v>
      </c>
      <c r="J760" s="17" t="str">
        <f t="shared" si="112"/>
        <v>Stephan_etal_1991_Table28</v>
      </c>
      <c r="K760" s="17" t="str">
        <f t="shared" si="117"/>
        <v>10.1007%2F978-1-4613-9124-1_Table28</v>
      </c>
      <c r="L760" s="17" t="str">
        <f t="array" ref="L760">IFERROR(INDEX(AUTO_Public_TSV_FileList!$A$1:$A$1000,MATCH(TRUE(),EXACT(K760,IFERROR(_xlfn.TEXTBEFORE(AUTO_Public_TSV_FileList!$A$1:$A$1000,".tsv"),"")),0)),"notfound")</f>
        <v>10.1007%2F978-1-4613-9124-1_Table28.tsv</v>
      </c>
      <c r="M760" s="19" t="s">
        <v>3173</v>
      </c>
      <c r="N760" s="20"/>
      <c r="O760" s="20"/>
      <c r="P760" s="20"/>
      <c r="Q760" s="20"/>
      <c r="R760" s="20"/>
      <c r="S760" s="20"/>
      <c r="T760" s="20"/>
      <c r="U760" s="20"/>
      <c r="V760" s="20"/>
      <c r="W760" s="19"/>
      <c r="X760" s="19"/>
      <c r="Y760" s="20"/>
      <c r="Z760" s="19"/>
      <c r="AA760" s="19"/>
      <c r="AB760" s="19"/>
      <c r="AC760" s="20"/>
      <c r="AD760" s="19"/>
      <c r="AE760" s="19"/>
      <c r="AF760" s="19"/>
      <c r="AG760" s="20"/>
      <c r="AH760" s="20"/>
    </row>
    <row r="761" spans="1:34" ht="16" x14ac:dyDescent="0.2">
      <c r="A761" s="19" t="s">
        <v>3165</v>
      </c>
      <c r="B761" s="20"/>
      <c r="C761" s="19"/>
      <c r="D761" s="19" t="s">
        <v>3174</v>
      </c>
      <c r="E761" s="17" t="str">
        <f t="shared" si="109"/>
        <v>Stephan</v>
      </c>
      <c r="F761" s="17" t="str">
        <f t="array" ref="F761">_xlfn.LET(
 _xlpm.authors,_xlfn.TEXTBEFORE(A761," ("&amp;G761&amp;")"),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1" s="17" t="str">
        <f t="shared" si="110"/>
        <v>1991</v>
      </c>
      <c r="H761" s="17" t="str">
        <f t="shared" si="111"/>
        <v>Stephan_etal_1991</v>
      </c>
      <c r="I761" s="17" t="str">
        <f t="shared" si="118"/>
        <v>10.1007%2F978-1-4613-9124-1</v>
      </c>
      <c r="J761" s="17" t="str">
        <f t="shared" si="112"/>
        <v>Stephan_etal_1991_Table31</v>
      </c>
      <c r="K761" s="17" t="str">
        <f t="shared" si="117"/>
        <v>10.1007%2F978-1-4613-9124-1_Table31</v>
      </c>
      <c r="L761" s="17" t="str">
        <f t="array" ref="L761">IFERROR(INDEX(AUTO_Public_TSV_FileList!$A$1:$A$1000,MATCH(TRUE(),EXACT(K761,IFERROR(_xlfn.TEXTBEFORE(AUTO_Public_TSV_FileList!$A$1:$A$1000,".tsv"),"")),0)),"notfound")</f>
        <v>10.1007%2F978-1-4613-9124-1_Table31.tsv</v>
      </c>
      <c r="M761" s="19" t="s">
        <v>3175</v>
      </c>
      <c r="N761" s="20"/>
      <c r="O761" s="20"/>
      <c r="P761" s="20"/>
      <c r="Q761" s="20"/>
      <c r="R761" s="20"/>
      <c r="S761" s="20"/>
      <c r="T761" s="20"/>
      <c r="U761" s="20"/>
      <c r="V761" s="20"/>
      <c r="W761" s="19"/>
      <c r="X761" s="19"/>
      <c r="Y761" s="20"/>
      <c r="Z761" s="19"/>
      <c r="AA761" s="19"/>
      <c r="AB761" s="19"/>
      <c r="AC761" s="20"/>
      <c r="AD761" s="19"/>
      <c r="AE761" s="19"/>
      <c r="AF761" s="19"/>
      <c r="AG761" s="20"/>
      <c r="AH761" s="20"/>
    </row>
    <row r="762" spans="1:34" ht="16" x14ac:dyDescent="0.2">
      <c r="A762" s="19" t="s">
        <v>3165</v>
      </c>
      <c r="B762" s="20"/>
      <c r="C762" s="19"/>
      <c r="D762" s="19" t="s">
        <v>3176</v>
      </c>
      <c r="E762" s="17" t="str">
        <f t="shared" si="109"/>
        <v>Stephan</v>
      </c>
      <c r="F762" s="17" t="str">
        <f t="array" ref="F762">_xlfn.LET(
 _xlpm.authors,_xlfn.TEXTBEFORE(A762," ("&amp;G762&amp;")"),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2" s="17" t="str">
        <f t="shared" si="110"/>
        <v>1991</v>
      </c>
      <c r="H762" s="17" t="str">
        <f t="shared" si="111"/>
        <v>Stephan_etal_1991</v>
      </c>
      <c r="I762" s="17" t="str">
        <f t="shared" si="118"/>
        <v>10.1007%2F978-1-4613-9124-1</v>
      </c>
      <c r="J762" s="17" t="str">
        <f t="shared" si="112"/>
        <v>Stephan_etal_1991_Table34</v>
      </c>
      <c r="K762" s="17" t="str">
        <f t="shared" si="117"/>
        <v>10.1007%2F978-1-4613-9124-1_Table34</v>
      </c>
      <c r="L762" s="17" t="str">
        <f t="array" ref="L762">IFERROR(INDEX(AUTO_Public_TSV_FileList!$A$1:$A$1000,MATCH(TRUE(),EXACT(K762,IFERROR(_xlfn.TEXTBEFORE(AUTO_Public_TSV_FileList!$A$1:$A$1000,".tsv"),"")),0)),"notfound")</f>
        <v>10.1007%2F978-1-4613-9124-1_Table34.tsv</v>
      </c>
      <c r="M762" s="19" t="s">
        <v>3177</v>
      </c>
      <c r="N762" s="20"/>
      <c r="O762" s="20"/>
      <c r="P762" s="20"/>
      <c r="Q762" s="20"/>
      <c r="R762" s="20"/>
      <c r="S762" s="20"/>
      <c r="T762" s="20"/>
      <c r="U762" s="20"/>
      <c r="V762" s="20"/>
      <c r="W762" s="19"/>
      <c r="X762" s="19"/>
      <c r="Y762" s="20"/>
      <c r="Z762" s="19"/>
      <c r="AA762" s="19"/>
      <c r="AB762" s="19"/>
      <c r="AC762" s="20"/>
      <c r="AD762" s="19"/>
      <c r="AE762" s="19"/>
      <c r="AF762" s="19"/>
      <c r="AG762" s="20"/>
      <c r="AH762" s="20"/>
    </row>
    <row r="763" spans="1:34" ht="16" x14ac:dyDescent="0.2">
      <c r="A763" s="19" t="s">
        <v>3165</v>
      </c>
      <c r="B763" s="20"/>
      <c r="C763" s="19"/>
      <c r="D763" s="19" t="s">
        <v>3178</v>
      </c>
      <c r="E763" s="17" t="str">
        <f t="shared" si="109"/>
        <v>Stephan</v>
      </c>
      <c r="F763" s="17" t="str">
        <f t="array" ref="F763">_xlfn.LET(
 _xlpm.authors,_xlfn.TEXTBEFORE(A763," ("&amp;G763&amp;")"),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3" s="17" t="str">
        <f t="shared" si="110"/>
        <v>1991</v>
      </c>
      <c r="H763" s="17" t="str">
        <f t="shared" si="111"/>
        <v>Stephan_etal_1991</v>
      </c>
      <c r="I763" s="17" t="str">
        <f t="shared" si="118"/>
        <v>10.1007%2F978-1-4613-9124-1</v>
      </c>
      <c r="J763" s="17" t="str">
        <f t="shared" si="112"/>
        <v>Stephan_etal_1991_Table37</v>
      </c>
      <c r="K763" s="17" t="str">
        <f t="shared" si="117"/>
        <v>10.1007%2F978-1-4613-9124-1_Table37</v>
      </c>
      <c r="L763" s="17" t="str">
        <f t="array" ref="L763">IFERROR(INDEX(AUTO_Public_TSV_FileList!$A$1:$A$1000,MATCH(TRUE(),EXACT(K763,IFERROR(_xlfn.TEXTBEFORE(AUTO_Public_TSV_FileList!$A$1:$A$1000,".tsv"),"")),0)),"notfound")</f>
        <v>10.1007%2F978-1-4613-9124-1_Table37.tsv</v>
      </c>
      <c r="M763" s="19" t="s">
        <v>3179</v>
      </c>
      <c r="N763" s="20"/>
      <c r="O763" s="20"/>
      <c r="P763" s="20"/>
      <c r="Q763" s="20"/>
      <c r="R763" s="20"/>
      <c r="S763" s="20"/>
      <c r="T763" s="20"/>
      <c r="U763" s="20"/>
      <c r="V763" s="20"/>
      <c r="W763" s="19"/>
      <c r="X763" s="19"/>
      <c r="Y763" s="20"/>
      <c r="Z763" s="19"/>
      <c r="AA763" s="19"/>
      <c r="AB763" s="19"/>
      <c r="AC763" s="20"/>
      <c r="AD763" s="19"/>
      <c r="AE763" s="19"/>
      <c r="AF763" s="19"/>
      <c r="AG763" s="20"/>
      <c r="AH763" s="20"/>
    </row>
    <row r="764" spans="1:34" ht="16" x14ac:dyDescent="0.2">
      <c r="A764" s="19" t="s">
        <v>3165</v>
      </c>
      <c r="B764" s="20"/>
      <c r="C764" s="19"/>
      <c r="D764" s="19" t="s">
        <v>3180</v>
      </c>
      <c r="E764" s="17" t="str">
        <f t="shared" si="109"/>
        <v>Stephan</v>
      </c>
      <c r="F764" s="17" t="str">
        <f t="array" ref="F764">_xlfn.LET(
 _xlpm.authors,_xlfn.TEXTBEFORE(A764," ("&amp;G764&amp;")"),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4" s="17" t="str">
        <f t="shared" si="110"/>
        <v>1991</v>
      </c>
      <c r="H764" s="17" t="str">
        <f t="shared" si="111"/>
        <v>Stephan_etal_1991</v>
      </c>
      <c r="I764" s="17" t="str">
        <f t="shared" si="118"/>
        <v>10.1007%2F978-1-4613-9124-1</v>
      </c>
      <c r="J764" s="17" t="str">
        <f t="shared" si="112"/>
        <v>Stephan_etal_1991_Table40</v>
      </c>
      <c r="K764" s="17" t="str">
        <f t="shared" si="117"/>
        <v>10.1007%2F978-1-4613-9124-1_Table40</v>
      </c>
      <c r="L764" s="17" t="str">
        <f t="array" ref="L764">IFERROR(INDEX(AUTO_Public_TSV_FileList!$A$1:$A$1000,MATCH(TRUE(),EXACT(K764,IFERROR(_xlfn.TEXTBEFORE(AUTO_Public_TSV_FileList!$A$1:$A$1000,".tsv"),"")),0)),"notfound")</f>
        <v>10.1007%2F978-1-4613-9124-1_Table40.tsv</v>
      </c>
      <c r="M764" s="19" t="s">
        <v>3181</v>
      </c>
      <c r="N764" s="20"/>
      <c r="O764" s="20"/>
      <c r="P764" s="20"/>
      <c r="Q764" s="20"/>
      <c r="R764" s="20"/>
      <c r="S764" s="20"/>
      <c r="T764" s="20"/>
      <c r="U764" s="20"/>
      <c r="V764" s="20"/>
      <c r="W764" s="19"/>
      <c r="X764" s="19"/>
      <c r="Y764" s="20"/>
      <c r="Z764" s="19"/>
      <c r="AA764" s="19"/>
      <c r="AB764" s="19"/>
      <c r="AC764" s="20"/>
      <c r="AD764" s="19"/>
      <c r="AE764" s="19"/>
      <c r="AF764" s="19"/>
      <c r="AG764" s="20"/>
      <c r="AH764" s="20"/>
    </row>
    <row r="765" spans="1:34" ht="16" x14ac:dyDescent="0.2">
      <c r="A765" s="19" t="s">
        <v>3165</v>
      </c>
      <c r="B765" s="20"/>
      <c r="C765" s="19"/>
      <c r="D765" s="19" t="s">
        <v>3182</v>
      </c>
      <c r="E765" s="17" t="str">
        <f t="shared" si="109"/>
        <v>Stephan</v>
      </c>
      <c r="F765" s="17" t="str">
        <f t="array" ref="F765">_xlfn.LET(
 _xlpm.authors,_xlfn.TEXTBEFORE(A765," ("&amp;G765&amp;")"),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5" s="17" t="str">
        <f t="shared" si="110"/>
        <v>1991</v>
      </c>
      <c r="H765" s="17" t="str">
        <f t="shared" si="111"/>
        <v>Stephan_etal_1991</v>
      </c>
      <c r="I765" s="17" t="str">
        <f t="shared" si="118"/>
        <v>10.1007%2F978-1-4613-9124-1</v>
      </c>
      <c r="J765" s="17" t="str">
        <f t="shared" si="112"/>
        <v>Stephan_etal_1991_Table43</v>
      </c>
      <c r="K765" s="17" t="str">
        <f t="shared" si="117"/>
        <v>10.1007%2F978-1-4613-9124-1_Table43</v>
      </c>
      <c r="L765" s="17" t="str">
        <f t="array" ref="L765">IFERROR(INDEX(AUTO_Public_TSV_FileList!$A$1:$A$1000,MATCH(TRUE(),EXACT(K765,IFERROR(_xlfn.TEXTBEFORE(AUTO_Public_TSV_FileList!$A$1:$A$1000,".tsv"),"")),0)),"notfound")</f>
        <v>10.1007%2F978-1-4613-9124-1_Table43.tsv</v>
      </c>
      <c r="M765" s="19" t="s">
        <v>3183</v>
      </c>
      <c r="N765" s="20"/>
      <c r="O765" s="20"/>
      <c r="P765" s="20"/>
      <c r="Q765" s="20"/>
      <c r="R765" s="20"/>
      <c r="S765" s="20"/>
      <c r="T765" s="20"/>
      <c r="U765" s="20"/>
      <c r="V765" s="20"/>
      <c r="W765" s="19"/>
      <c r="X765" s="19"/>
      <c r="Y765" s="20"/>
      <c r="Z765" s="19"/>
      <c r="AA765" s="19"/>
      <c r="AB765" s="19"/>
      <c r="AC765" s="20"/>
      <c r="AD765" s="19"/>
      <c r="AE765" s="19"/>
      <c r="AF765" s="19"/>
      <c r="AG765" s="20"/>
      <c r="AH765" s="20"/>
    </row>
    <row r="766" spans="1:34" ht="16" x14ac:dyDescent="0.2">
      <c r="A766" s="19" t="s">
        <v>3165</v>
      </c>
      <c r="B766" s="20"/>
      <c r="C766" s="19"/>
      <c r="D766" s="19" t="s">
        <v>3184</v>
      </c>
      <c r="E766" s="17" t="str">
        <f t="shared" si="109"/>
        <v>Stephan</v>
      </c>
      <c r="F766" s="17" t="str">
        <f t="array" ref="F766">_xlfn.LET(
 _xlpm.authors,_xlfn.TEXTBEFORE(A766," ("&amp;G766&amp;")"),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6" s="17" t="str">
        <f t="shared" si="110"/>
        <v>1991</v>
      </c>
      <c r="H766" s="17" t="str">
        <f t="shared" si="111"/>
        <v>Stephan_etal_1991</v>
      </c>
      <c r="I766" s="17" t="str">
        <f t="shared" si="118"/>
        <v>10.1007%2F978-1-4613-9124-1</v>
      </c>
      <c r="J766" s="17" t="str">
        <f t="shared" si="112"/>
        <v>Stephan_etal_1991_Table46</v>
      </c>
      <c r="K766" s="17" t="str">
        <f t="shared" si="117"/>
        <v>10.1007%2F978-1-4613-9124-1_Table46</v>
      </c>
      <c r="L766" s="17" t="str">
        <f t="array" ref="L766">IFERROR(INDEX(AUTO_Public_TSV_FileList!$A$1:$A$1000,MATCH(TRUE(),EXACT(K766,IFERROR(_xlfn.TEXTBEFORE(AUTO_Public_TSV_FileList!$A$1:$A$1000,".tsv"),"")),0)),"notfound")</f>
        <v>10.1007%2F978-1-4613-9124-1_Table46.tsv</v>
      </c>
      <c r="M766" s="19" t="s">
        <v>3185</v>
      </c>
      <c r="N766" s="20"/>
      <c r="O766" s="20"/>
      <c r="P766" s="20"/>
      <c r="Q766" s="20"/>
      <c r="R766" s="20"/>
      <c r="S766" s="20"/>
      <c r="T766" s="20"/>
      <c r="U766" s="20"/>
      <c r="V766" s="20"/>
      <c r="W766" s="19"/>
      <c r="X766" s="19"/>
      <c r="Y766" s="20"/>
      <c r="Z766" s="19"/>
      <c r="AA766" s="19"/>
      <c r="AB766" s="19"/>
      <c r="AC766" s="20"/>
      <c r="AD766" s="19"/>
      <c r="AE766" s="19"/>
      <c r="AF766" s="19"/>
      <c r="AG766" s="20"/>
      <c r="AH766" s="20"/>
    </row>
    <row r="767" spans="1:34" ht="16" x14ac:dyDescent="0.2">
      <c r="A767" s="19" t="s">
        <v>3165</v>
      </c>
      <c r="B767" s="20"/>
      <c r="C767" s="19"/>
      <c r="D767" s="19" t="s">
        <v>3186</v>
      </c>
      <c r="E767" s="17" t="str">
        <f t="shared" si="109"/>
        <v>Stephan</v>
      </c>
      <c r="F767" s="17" t="str">
        <f t="array" ref="F767">_xlfn.LET(
 _xlpm.authors,_xlfn.TEXTBEFORE(A767," ("&amp;G767&amp;")"),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7" s="17" t="str">
        <f t="shared" si="110"/>
        <v>1991</v>
      </c>
      <c r="H767" s="17" t="str">
        <f t="shared" si="111"/>
        <v>Stephan_etal_1991</v>
      </c>
      <c r="I767" s="17" t="str">
        <f t="shared" si="118"/>
        <v>10.1007%2F978-1-4613-9124-1</v>
      </c>
      <c r="J767" s="17" t="str">
        <f t="shared" si="112"/>
        <v>Stephan_etal_1991_Table49</v>
      </c>
      <c r="K767" s="17" t="str">
        <f t="shared" si="117"/>
        <v>10.1007%2F978-1-4613-9124-1_Table49</v>
      </c>
      <c r="L767" s="17" t="str">
        <f t="array" ref="L767">IFERROR(INDEX(AUTO_Public_TSV_FileList!$A$1:$A$1000,MATCH(TRUE(),EXACT(K767,IFERROR(_xlfn.TEXTBEFORE(AUTO_Public_TSV_FileList!$A$1:$A$1000,".tsv"),"")),0)),"notfound")</f>
        <v>10.1007%2F978-1-4613-9124-1_Table49.tsv</v>
      </c>
      <c r="M767" s="19" t="s">
        <v>3187</v>
      </c>
      <c r="N767" s="20"/>
      <c r="O767" s="20"/>
      <c r="P767" s="20"/>
      <c r="Q767" s="20"/>
      <c r="R767" s="20"/>
      <c r="S767" s="20"/>
      <c r="T767" s="20"/>
      <c r="U767" s="20"/>
      <c r="V767" s="20"/>
      <c r="W767" s="19"/>
      <c r="X767" s="19"/>
      <c r="Y767" s="20"/>
      <c r="Z767" s="19"/>
      <c r="AA767" s="19"/>
      <c r="AB767" s="19"/>
      <c r="AC767" s="20"/>
      <c r="AD767" s="19"/>
      <c r="AE767" s="19"/>
      <c r="AF767" s="19"/>
      <c r="AG767" s="20"/>
      <c r="AH767" s="20"/>
    </row>
    <row r="768" spans="1:34" ht="16" x14ac:dyDescent="0.2">
      <c r="A768" s="19" t="s">
        <v>3165</v>
      </c>
      <c r="B768" s="20"/>
      <c r="C768" s="19"/>
      <c r="D768" s="19" t="s">
        <v>164</v>
      </c>
      <c r="E768" s="17" t="str">
        <f t="shared" si="109"/>
        <v>Stephan</v>
      </c>
      <c r="F768" s="17" t="str">
        <f t="array" ref="F768">_xlfn.LET(
 _xlpm.authors,_xlfn.TEXTBEFORE(A768," ("&amp;G768&amp;")"),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8" s="17" t="str">
        <f t="shared" si="110"/>
        <v>1991</v>
      </c>
      <c r="H768" s="17" t="str">
        <f t="shared" si="111"/>
        <v>Stephan_etal_1991</v>
      </c>
      <c r="I768" s="17" t="str">
        <f t="shared" si="118"/>
        <v>10.1007%2F978-1-4613-9124-1</v>
      </c>
      <c r="J768" s="17" t="str">
        <f t="shared" si="112"/>
        <v>Stephan_etal_1991_Table5</v>
      </c>
      <c r="K768" s="17" t="str">
        <f t="shared" si="117"/>
        <v>10.1007%2F978-1-4613-9124-1_Table5</v>
      </c>
      <c r="L768" s="17" t="str">
        <f t="array" ref="L768">IFERROR(INDEX(AUTO_Public_TSV_FileList!$A$1:$A$1000,MATCH(TRUE(),EXACT(K768,IFERROR(_xlfn.TEXTBEFORE(AUTO_Public_TSV_FileList!$A$1:$A$1000,".tsv"),"")),0)),"notfound")</f>
        <v>10.1007%2F978-1-4613-9124-1_Table5.tsv</v>
      </c>
      <c r="M768" s="19" t="s">
        <v>3188</v>
      </c>
      <c r="N768" s="20"/>
      <c r="O768" s="20"/>
      <c r="P768" s="20"/>
      <c r="Q768" s="20"/>
      <c r="R768" s="20"/>
      <c r="S768" s="20"/>
      <c r="T768" s="20"/>
      <c r="U768" s="20"/>
      <c r="V768" s="20"/>
      <c r="W768" s="19"/>
      <c r="X768" s="19"/>
      <c r="Y768" s="20"/>
      <c r="Z768" s="19"/>
      <c r="AA768" s="19"/>
      <c r="AB768" s="19"/>
      <c r="AC768" s="20"/>
      <c r="AD768" s="19"/>
      <c r="AE768" s="19"/>
      <c r="AF768" s="19"/>
      <c r="AG768" s="20"/>
      <c r="AH768" s="20"/>
    </row>
    <row r="769" spans="1:34" ht="16" x14ac:dyDescent="0.2">
      <c r="A769" s="19" t="s">
        <v>3165</v>
      </c>
      <c r="B769" s="20"/>
      <c r="C769" s="19"/>
      <c r="D769" s="19" t="s">
        <v>3189</v>
      </c>
      <c r="E769" s="17" t="str">
        <f t="shared" si="109"/>
        <v>Stephan</v>
      </c>
      <c r="F769" s="17" t="str">
        <f t="array" ref="F769">_xlfn.LET(
 _xlpm.authors,_xlfn.TEXTBEFORE(A769," ("&amp;G769&amp;")"),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9" s="17" t="str">
        <f t="shared" si="110"/>
        <v>1991</v>
      </c>
      <c r="H769" s="17" t="str">
        <f t="shared" si="111"/>
        <v>Stephan_etal_1991</v>
      </c>
      <c r="I769" s="17" t="str">
        <f t="shared" si="118"/>
        <v>10.1007%2F978-1-4613-9124-1</v>
      </c>
      <c r="J769" s="17" t="str">
        <f t="shared" si="112"/>
        <v>Stephan_etal_1991_Table52</v>
      </c>
      <c r="K769" s="17" t="str">
        <f t="shared" si="117"/>
        <v>10.1007%2F978-1-4613-9124-1_Table52</v>
      </c>
      <c r="L769" s="17" t="str">
        <f t="array" ref="L769">IFERROR(INDEX(AUTO_Public_TSV_FileList!$A$1:$A$1000,MATCH(TRUE(),EXACT(K769,IFERROR(_xlfn.TEXTBEFORE(AUTO_Public_TSV_FileList!$A$1:$A$1000,".tsv"),"")),0)),"notfound")</f>
        <v>10.1007%2F978-1-4613-9124-1_Table52.tsv</v>
      </c>
      <c r="M769" s="19" t="s">
        <v>3190</v>
      </c>
      <c r="N769" s="20"/>
      <c r="O769" s="20"/>
      <c r="P769" s="20"/>
      <c r="Q769" s="20"/>
      <c r="R769" s="20"/>
      <c r="S769" s="20"/>
      <c r="T769" s="20"/>
      <c r="U769" s="20"/>
      <c r="V769" s="20"/>
      <c r="W769" s="19"/>
      <c r="X769" s="19"/>
      <c r="Y769" s="20"/>
      <c r="Z769" s="19"/>
      <c r="AA769" s="19"/>
      <c r="AB769" s="19"/>
      <c r="AC769" s="20"/>
      <c r="AD769" s="19"/>
      <c r="AE769" s="19"/>
      <c r="AF769" s="19"/>
      <c r="AG769" s="20"/>
      <c r="AH769" s="20"/>
    </row>
    <row r="770" spans="1:34" ht="16" x14ac:dyDescent="0.2">
      <c r="A770" s="19" t="s">
        <v>3165</v>
      </c>
      <c r="B770" s="20"/>
      <c r="C770" s="19"/>
      <c r="D770" s="19" t="s">
        <v>3191</v>
      </c>
      <c r="E770" s="17" t="str">
        <f t="shared" ref="E770:E833" si="119">SUBSTITUTE(SUBSTITUTE(_xlfn.TEXTBEFORE(A770,","), "-", ""), " ", "")</f>
        <v>Stephan</v>
      </c>
      <c r="F770" s="17" t="str">
        <f t="array" ref="F770">_xlfn.LET(
 _xlpm.authors,_xlfn.TEXTBEFORE(A770," ("&amp;G770&amp;")"),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0" s="17" t="str">
        <f t="shared" ref="G770:G833" si="120">_xlfn.TEXTBEFORE(_xlfn.TEXTAFTER(A770, "("), ")")</f>
        <v>1991</v>
      </c>
      <c r="H770" s="17" t="str">
        <f t="shared" ref="H770:H833" si="121">SUBSTITUTE(SUBSTITUTE(E770 &amp; IF(F770&lt;&gt;"", "_" &amp; SUBSTITUTE(F770," ",""), "_") &amp; IF(G770&lt;&gt;"", "_" &amp; G770, "_") &amp; IF(B770&lt;&gt;"", "_" &amp; B770, ""),"'",""),"’","")</f>
        <v>Stephan_etal_1991</v>
      </c>
      <c r="I770" s="17" t="str">
        <f t="shared" si="118"/>
        <v>10.1007%2F978-1-4613-9124-1</v>
      </c>
      <c r="J770" s="17" t="str">
        <f t="shared" ref="J770:J833" si="122">TRIM(_xlfn.TEXTJOIN("_",FALSE(),H770,(SUBSTITUTE(SUBSTITUTE(D770," ",""), "_", ""))))</f>
        <v>Stephan_etal_1991_Table55</v>
      </c>
      <c r="K770" s="17" t="str">
        <f t="shared" si="117"/>
        <v>10.1007%2F978-1-4613-9124-1_Table55</v>
      </c>
      <c r="L770" s="17" t="str">
        <f t="array" ref="L770">IFERROR(INDEX(AUTO_Public_TSV_FileList!$A$1:$A$1000,MATCH(TRUE(),EXACT(K770,IFERROR(_xlfn.TEXTBEFORE(AUTO_Public_TSV_FileList!$A$1:$A$1000,".tsv"),"")),0)),"notfound")</f>
        <v>10.1007%2F978-1-4613-9124-1_Table55.tsv</v>
      </c>
      <c r="M770" s="19" t="s">
        <v>3192</v>
      </c>
      <c r="N770" s="20"/>
      <c r="O770" s="20"/>
      <c r="P770" s="20"/>
      <c r="Q770" s="20"/>
      <c r="R770" s="20"/>
      <c r="S770" s="20"/>
      <c r="T770" s="20"/>
      <c r="U770" s="20"/>
      <c r="V770" s="20"/>
      <c r="W770" s="19"/>
      <c r="X770" s="19"/>
      <c r="Y770" s="20"/>
      <c r="Z770" s="19"/>
      <c r="AA770" s="19"/>
      <c r="AB770" s="19"/>
      <c r="AC770" s="20"/>
      <c r="AD770" s="19"/>
      <c r="AE770" s="19"/>
      <c r="AF770" s="19"/>
      <c r="AG770" s="20"/>
      <c r="AH770" s="20"/>
    </row>
    <row r="771" spans="1:34" ht="16" x14ac:dyDescent="0.2">
      <c r="A771" s="19" t="s">
        <v>3165</v>
      </c>
      <c r="B771" s="20"/>
      <c r="C771" s="19"/>
      <c r="D771" s="19" t="s">
        <v>3193</v>
      </c>
      <c r="E771" s="17" t="str">
        <f t="shared" si="119"/>
        <v>Stephan</v>
      </c>
      <c r="F771" s="17" t="str">
        <f t="array" ref="F771">_xlfn.LET(
 _xlpm.authors,_xlfn.TEXTBEFORE(A771," ("&amp;G771&amp;")"),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1" s="17" t="str">
        <f t="shared" si="120"/>
        <v>1991</v>
      </c>
      <c r="H771" s="17" t="str">
        <f t="shared" si="121"/>
        <v>Stephan_etal_1991</v>
      </c>
      <c r="I771" s="17" t="str">
        <f t="shared" si="118"/>
        <v>10.1007%2F978-1-4613-9124-1</v>
      </c>
      <c r="J771" s="17" t="str">
        <f t="shared" si="122"/>
        <v>Stephan_etal_1991_Table58</v>
      </c>
      <c r="K771" s="17" t="str">
        <f t="shared" si="117"/>
        <v>10.1007%2F978-1-4613-9124-1_Table58</v>
      </c>
      <c r="L771" s="17" t="str">
        <f t="array" ref="L771">IFERROR(INDEX(AUTO_Public_TSV_FileList!$A$1:$A$1000,MATCH(TRUE(),EXACT(K771,IFERROR(_xlfn.TEXTBEFORE(AUTO_Public_TSV_FileList!$A$1:$A$1000,".tsv"),"")),0)),"notfound")</f>
        <v>10.1007%2F978-1-4613-9124-1_Table58.tsv</v>
      </c>
      <c r="M771" s="19" t="s">
        <v>3194</v>
      </c>
      <c r="N771" s="20"/>
      <c r="O771" s="20"/>
      <c r="P771" s="20"/>
      <c r="Q771" s="20"/>
      <c r="R771" s="20"/>
      <c r="S771" s="20"/>
      <c r="T771" s="20"/>
      <c r="U771" s="20"/>
      <c r="V771" s="20"/>
      <c r="W771" s="19"/>
      <c r="X771" s="19"/>
      <c r="Y771" s="20"/>
      <c r="Z771" s="19"/>
      <c r="AA771" s="19"/>
      <c r="AB771" s="19"/>
      <c r="AC771" s="20"/>
      <c r="AD771" s="19"/>
      <c r="AE771" s="19"/>
      <c r="AF771" s="19"/>
      <c r="AG771" s="20"/>
      <c r="AH771" s="20"/>
    </row>
    <row r="772" spans="1:34" ht="16" x14ac:dyDescent="0.2">
      <c r="A772" s="19" t="s">
        <v>3165</v>
      </c>
      <c r="B772" s="20"/>
      <c r="C772" s="19"/>
      <c r="D772" s="19" t="s">
        <v>3195</v>
      </c>
      <c r="E772" s="17" t="str">
        <f t="shared" si="119"/>
        <v>Stephan</v>
      </c>
      <c r="F772" s="17" t="str">
        <f t="array" ref="F772">_xlfn.LET(
 _xlpm.authors,_xlfn.TEXTBEFORE(A772," ("&amp;G772&amp;")"),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2" s="17" t="str">
        <f t="shared" si="120"/>
        <v>1991</v>
      </c>
      <c r="H772" s="17" t="str">
        <f t="shared" si="121"/>
        <v>Stephan_etal_1991</v>
      </c>
      <c r="I772" s="17" t="str">
        <f t="shared" si="118"/>
        <v>10.1007%2F978-1-4613-9124-1</v>
      </c>
      <c r="J772" s="17" t="str">
        <f t="shared" si="122"/>
        <v>Stephan_etal_1991_Table61</v>
      </c>
      <c r="K772" s="17" t="str">
        <f t="shared" si="117"/>
        <v>10.1007%2F978-1-4613-9124-1_Table61</v>
      </c>
      <c r="L772" s="17" t="str">
        <f t="array" ref="L772">IFERROR(INDEX(AUTO_Public_TSV_FileList!$A$1:$A$1000,MATCH(TRUE(),EXACT(K772,IFERROR(_xlfn.TEXTBEFORE(AUTO_Public_TSV_FileList!$A$1:$A$1000,".tsv"),"")),0)),"notfound")</f>
        <v>10.1007%2F978-1-4613-9124-1_Table61.tsv</v>
      </c>
      <c r="M772" s="19" t="s">
        <v>3196</v>
      </c>
      <c r="N772" s="20"/>
      <c r="O772" s="20"/>
      <c r="P772" s="20"/>
      <c r="Q772" s="20"/>
      <c r="R772" s="20"/>
      <c r="S772" s="20"/>
      <c r="T772" s="20"/>
      <c r="U772" s="20"/>
      <c r="V772" s="20"/>
      <c r="W772" s="19"/>
      <c r="X772" s="19"/>
      <c r="Y772" s="20"/>
      <c r="Z772" s="19"/>
      <c r="AA772" s="19"/>
      <c r="AB772" s="19"/>
      <c r="AC772" s="20"/>
      <c r="AD772" s="19"/>
      <c r="AE772" s="19"/>
      <c r="AF772" s="19"/>
      <c r="AG772" s="20"/>
      <c r="AH772" s="20"/>
    </row>
    <row r="773" spans="1:34" ht="16" x14ac:dyDescent="0.2">
      <c r="A773" s="19" t="s">
        <v>3165</v>
      </c>
      <c r="B773" s="20"/>
      <c r="C773" s="19"/>
      <c r="D773" s="19" t="s">
        <v>3197</v>
      </c>
      <c r="E773" s="17" t="str">
        <f t="shared" si="119"/>
        <v>Stephan</v>
      </c>
      <c r="F773" s="17" t="str">
        <f t="array" ref="F773">_xlfn.LET(
 _xlpm.authors,_xlfn.TEXTBEFORE(A773," ("&amp;G773&amp;")"),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3" s="17" t="str">
        <f t="shared" si="120"/>
        <v>1991</v>
      </c>
      <c r="H773" s="17" t="str">
        <f t="shared" si="121"/>
        <v>Stephan_etal_1991</v>
      </c>
      <c r="I773" s="17" t="str">
        <f t="shared" si="118"/>
        <v>10.1007%2F978-1-4613-9124-1</v>
      </c>
      <c r="J773" s="17" t="str">
        <f t="shared" si="122"/>
        <v>Stephan_etal_1991_Table64</v>
      </c>
      <c r="K773" s="17" t="str">
        <f t="shared" si="117"/>
        <v>10.1007%2F978-1-4613-9124-1_Table64</v>
      </c>
      <c r="L773" s="17" t="str">
        <f t="array" ref="L773">IFERROR(INDEX(AUTO_Public_TSV_FileList!$A$1:$A$1000,MATCH(TRUE(),EXACT(K773,IFERROR(_xlfn.TEXTBEFORE(AUTO_Public_TSV_FileList!$A$1:$A$1000,".tsv"),"")),0)),"notfound")</f>
        <v>10.1007%2F978-1-4613-9124-1_Table64.tsv</v>
      </c>
      <c r="M773" s="19" t="s">
        <v>3198</v>
      </c>
      <c r="N773" s="20"/>
      <c r="O773" s="20"/>
      <c r="P773" s="20"/>
      <c r="Q773" s="20"/>
      <c r="R773" s="20"/>
      <c r="S773" s="20"/>
      <c r="T773" s="20"/>
      <c r="U773" s="20"/>
      <c r="V773" s="20"/>
      <c r="W773" s="19"/>
      <c r="X773" s="19"/>
      <c r="Y773" s="20"/>
      <c r="Z773" s="19"/>
      <c r="AA773" s="19"/>
      <c r="AB773" s="19"/>
      <c r="AC773" s="20"/>
      <c r="AD773" s="19"/>
      <c r="AE773" s="19"/>
      <c r="AF773" s="19"/>
      <c r="AG773" s="20"/>
      <c r="AH773" s="20"/>
    </row>
    <row r="774" spans="1:34" ht="16" x14ac:dyDescent="0.2">
      <c r="A774" s="19" t="s">
        <v>3165</v>
      </c>
      <c r="B774" s="20"/>
      <c r="C774" s="19"/>
      <c r="D774" s="19" t="s">
        <v>3199</v>
      </c>
      <c r="E774" s="17" t="str">
        <f t="shared" si="119"/>
        <v>Stephan</v>
      </c>
      <c r="F774" s="17" t="str">
        <f t="array" ref="F774">_xlfn.LET(
 _xlpm.authors,_xlfn.TEXTBEFORE(A774," ("&amp;G774&amp;")"),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4" s="17" t="str">
        <f t="shared" si="120"/>
        <v>1991</v>
      </c>
      <c r="H774" s="17" t="str">
        <f t="shared" si="121"/>
        <v>Stephan_etal_1991</v>
      </c>
      <c r="I774" s="17" t="str">
        <f t="shared" si="118"/>
        <v>10.1007%2F978-1-4613-9124-1</v>
      </c>
      <c r="J774" s="17" t="str">
        <f t="shared" si="122"/>
        <v>Stephan_etal_1991_Table65</v>
      </c>
      <c r="K774" s="17" t="str">
        <f t="shared" si="117"/>
        <v>10.1007%2F978-1-4613-9124-1_Table65</v>
      </c>
      <c r="L774" s="17" t="str">
        <f t="array" ref="L774">IFERROR(INDEX(AUTO_Public_TSV_FileList!$A$1:$A$1000,MATCH(TRUE(),EXACT(K774,IFERROR(_xlfn.TEXTBEFORE(AUTO_Public_TSV_FileList!$A$1:$A$1000,".tsv"),"")),0)),"notfound")</f>
        <v>10.1007%2F978-1-4613-9124-1_Table65.tsv</v>
      </c>
      <c r="M774" s="19" t="s">
        <v>3200</v>
      </c>
      <c r="N774" s="20"/>
      <c r="O774" s="20"/>
      <c r="P774" s="20"/>
      <c r="Q774" s="20"/>
      <c r="R774" s="20"/>
      <c r="S774" s="20"/>
      <c r="T774" s="20"/>
      <c r="U774" s="20"/>
      <c r="V774" s="20"/>
      <c r="W774" s="19"/>
      <c r="X774" s="19"/>
      <c r="Y774" s="20"/>
      <c r="Z774" s="19"/>
      <c r="AA774" s="19"/>
      <c r="AB774" s="19"/>
      <c r="AC774" s="20"/>
      <c r="AD774" s="19"/>
      <c r="AE774" s="19"/>
      <c r="AF774" s="19"/>
      <c r="AG774" s="20"/>
      <c r="AH774" s="20"/>
    </row>
    <row r="775" spans="1:34" ht="16" x14ac:dyDescent="0.2">
      <c r="A775" s="19" t="s">
        <v>3165</v>
      </c>
      <c r="B775" s="20"/>
      <c r="C775" s="19"/>
      <c r="D775" s="19" t="s">
        <v>3201</v>
      </c>
      <c r="E775" s="17" t="str">
        <f t="shared" si="119"/>
        <v>Stephan</v>
      </c>
      <c r="F775" s="17" t="str">
        <f t="array" ref="F775">_xlfn.LET(
 _xlpm.authors,_xlfn.TEXTBEFORE(A775," ("&amp;G775&amp;")"),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5" s="17" t="str">
        <f t="shared" si="120"/>
        <v>1991</v>
      </c>
      <c r="H775" s="17" t="str">
        <f t="shared" si="121"/>
        <v>Stephan_etal_1991</v>
      </c>
      <c r="I775" s="17" t="str">
        <f t="shared" si="118"/>
        <v>10.1007%2F978-1-4613-9124-1</v>
      </c>
      <c r="J775" s="17" t="str">
        <f t="shared" si="122"/>
        <v>Stephan_etal_1991_Table68</v>
      </c>
      <c r="K775" s="17" t="str">
        <f t="shared" si="117"/>
        <v>10.1007%2F978-1-4613-9124-1_Table68</v>
      </c>
      <c r="L775" s="17" t="str">
        <f t="array" ref="L775">IFERROR(INDEX(AUTO_Public_TSV_FileList!$A$1:$A$1000,MATCH(TRUE(),EXACT(K775,IFERROR(_xlfn.TEXTBEFORE(AUTO_Public_TSV_FileList!$A$1:$A$1000,".tsv"),"")),0)),"notfound")</f>
        <v>10.1007%2F978-1-4613-9124-1_Table68.tsv</v>
      </c>
      <c r="M775" s="19" t="s">
        <v>3202</v>
      </c>
      <c r="N775" s="20"/>
      <c r="O775" s="20"/>
      <c r="P775" s="20"/>
      <c r="Q775" s="20"/>
      <c r="R775" s="20"/>
      <c r="S775" s="20"/>
      <c r="T775" s="20"/>
      <c r="U775" s="20"/>
      <c r="V775" s="20"/>
      <c r="W775" s="19"/>
      <c r="X775" s="19"/>
      <c r="Y775" s="20"/>
      <c r="Z775" s="19"/>
      <c r="AA775" s="19"/>
      <c r="AB775" s="19"/>
      <c r="AC775" s="20"/>
      <c r="AD775" s="19"/>
      <c r="AE775" s="19"/>
      <c r="AF775" s="19"/>
      <c r="AG775" s="20"/>
      <c r="AH775" s="20"/>
    </row>
    <row r="776" spans="1:34" ht="16" x14ac:dyDescent="0.2">
      <c r="A776" s="19" t="s">
        <v>3165</v>
      </c>
      <c r="B776" s="20"/>
      <c r="C776" s="19"/>
      <c r="D776" s="19" t="s">
        <v>3203</v>
      </c>
      <c r="E776" s="17" t="str">
        <f t="shared" si="119"/>
        <v>Stephan</v>
      </c>
      <c r="F776" s="17" t="str">
        <f t="array" ref="F776">_xlfn.LET(
 _xlpm.authors,_xlfn.TEXTBEFORE(A776," ("&amp;G776&amp;")"),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6" s="17" t="str">
        <f t="shared" si="120"/>
        <v>1991</v>
      </c>
      <c r="H776" s="17" t="str">
        <f t="shared" si="121"/>
        <v>Stephan_etal_1991</v>
      </c>
      <c r="I776" s="17" t="str">
        <f t="shared" si="118"/>
        <v>10.1007%2F978-1-4613-9124-1</v>
      </c>
      <c r="J776" s="17" t="str">
        <f t="shared" si="122"/>
        <v>Stephan_etal_1991_Table71</v>
      </c>
      <c r="K776" s="17" t="str">
        <f t="shared" si="117"/>
        <v>10.1007%2F978-1-4613-9124-1_Table71</v>
      </c>
      <c r="L776" s="17" t="str">
        <f t="array" ref="L776">IFERROR(INDEX(AUTO_Public_TSV_FileList!$A$1:$A$1000,MATCH(TRUE(),EXACT(K776,IFERROR(_xlfn.TEXTBEFORE(AUTO_Public_TSV_FileList!$A$1:$A$1000,".tsv"),"")),0)),"notfound")</f>
        <v>notfound</v>
      </c>
      <c r="M776" s="19" t="s">
        <v>3204</v>
      </c>
      <c r="N776" s="20"/>
      <c r="O776" s="20"/>
      <c r="P776" s="20"/>
      <c r="Q776" s="20"/>
      <c r="R776" s="20"/>
      <c r="S776" s="20"/>
      <c r="T776" s="20"/>
      <c r="U776" s="20"/>
      <c r="V776" s="20"/>
      <c r="W776" s="19"/>
      <c r="X776" s="19"/>
      <c r="Y776" s="20"/>
      <c r="Z776" s="19"/>
      <c r="AA776" s="19"/>
      <c r="AB776" s="19"/>
      <c r="AC776" s="20"/>
      <c r="AD776" s="19"/>
      <c r="AE776" s="19"/>
      <c r="AF776" s="19"/>
      <c r="AG776" s="20"/>
      <c r="AH776" s="20"/>
    </row>
    <row r="777" spans="1:34" ht="16" x14ac:dyDescent="0.2">
      <c r="A777" s="19" t="s">
        <v>3165</v>
      </c>
      <c r="B777" s="20"/>
      <c r="C777" s="19"/>
      <c r="D777" s="19" t="s">
        <v>290</v>
      </c>
      <c r="E777" s="17" t="str">
        <f t="shared" si="119"/>
        <v>Stephan</v>
      </c>
      <c r="F777" s="17" t="str">
        <f t="array" ref="F777">_xlfn.LET(
 _xlpm.authors,_xlfn.TEXTBEFORE(A777," ("&amp;G777&amp;")"),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7" s="17" t="str">
        <f t="shared" si="120"/>
        <v>1991</v>
      </c>
      <c r="H777" s="17" t="str">
        <f t="shared" si="121"/>
        <v>Stephan_etal_1991</v>
      </c>
      <c r="I777" s="17" t="str">
        <f t="shared" si="118"/>
        <v>10.1007%2F978-1-4613-9124-1</v>
      </c>
      <c r="J777" s="17" t="str">
        <f t="shared" si="122"/>
        <v>Stephan_etal_1991_Table8</v>
      </c>
      <c r="K777" s="17" t="str">
        <f t="shared" si="117"/>
        <v>10.1007%2F978-1-4613-9124-1_Table8</v>
      </c>
      <c r="L777" s="17" t="str">
        <f t="array" ref="L777">IFERROR(INDEX(AUTO_Public_TSV_FileList!$A$1:$A$1000,MATCH(TRUE(),EXACT(K777,IFERROR(_xlfn.TEXTBEFORE(AUTO_Public_TSV_FileList!$A$1:$A$1000,".tsv"),"")),0)),"notfound")</f>
        <v>10.1007%2F978-1-4613-9124-1_Table8.tsv</v>
      </c>
      <c r="M777" s="19" t="s">
        <v>3205</v>
      </c>
      <c r="N777" s="20"/>
      <c r="O777" s="20"/>
      <c r="P777" s="20"/>
      <c r="Q777" s="20"/>
      <c r="R777" s="20"/>
      <c r="S777" s="20"/>
      <c r="T777" s="20"/>
      <c r="U777" s="20"/>
      <c r="V777" s="20"/>
      <c r="W777" s="19"/>
      <c r="X777" s="19"/>
      <c r="Y777" s="20"/>
      <c r="Z777" s="19"/>
      <c r="AA777" s="19"/>
      <c r="AB777" s="19"/>
      <c r="AC777" s="20"/>
      <c r="AD777" s="19"/>
      <c r="AE777" s="19"/>
      <c r="AF777" s="19"/>
      <c r="AG777" s="20"/>
      <c r="AH777" s="20"/>
    </row>
    <row r="778" spans="1:34" ht="16" x14ac:dyDescent="0.2">
      <c r="A778" s="19" t="s">
        <v>3206</v>
      </c>
      <c r="B778" s="20"/>
      <c r="C778" s="19" t="s">
        <v>3207</v>
      </c>
      <c r="D778" s="19" t="s">
        <v>77</v>
      </c>
      <c r="E778" s="17" t="str">
        <f t="shared" si="119"/>
        <v>Stephan</v>
      </c>
      <c r="F778" s="17" t="str">
        <f t="array" ref="F778">_xlfn.LET(
 _xlpm.authors,_xlfn.TEXTBEFORE(A778," ("&amp;G778&amp;")"),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8" s="17" t="str">
        <f t="shared" si="120"/>
        <v>1970</v>
      </c>
      <c r="H778" s="17" t="str">
        <f t="shared" si="121"/>
        <v>Stephan_etal_1970</v>
      </c>
      <c r="I778" s="17" t="str">
        <f t="shared" si="118"/>
        <v>ISBN%3A0390672505</v>
      </c>
      <c r="J778" s="17" t="str">
        <f t="shared" si="122"/>
        <v>Stephan_etal_1970_TABLE1</v>
      </c>
      <c r="K778" s="17" t="str">
        <f t="shared" si="117"/>
        <v>ISBN%3A0390672505_TABLE1</v>
      </c>
      <c r="L778" s="17" t="str">
        <f t="array" ref="L778">IFERROR(INDEX(AUTO_Public_TSV_FileList!$A$1:$A$1000,MATCH(TRUE(),EXACT(K778,IFERROR(_xlfn.TEXTBEFORE(AUTO_Public_TSV_FileList!$A$1:$A$1000,".tsv"),"")),0)),"notfound")</f>
        <v>ISBN%3A0390672505_TABLE1.tsv</v>
      </c>
      <c r="M778" s="19" t="s">
        <v>3208</v>
      </c>
      <c r="N778" s="19" t="s">
        <v>54</v>
      </c>
      <c r="O778" s="20"/>
      <c r="P778" s="20" t="s">
        <v>55</v>
      </c>
      <c r="Q778" s="20"/>
      <c r="R778" s="20"/>
      <c r="S778" s="20"/>
      <c r="T778" s="20"/>
      <c r="U778" s="20"/>
      <c r="V778" s="20"/>
      <c r="W778" s="19" t="s">
        <v>3209</v>
      </c>
      <c r="X778" s="20"/>
      <c r="Y778" s="20"/>
      <c r="Z778" s="19" t="s">
        <v>172</v>
      </c>
      <c r="AA778" s="19" t="s">
        <v>216</v>
      </c>
      <c r="AB778" s="19" t="s">
        <v>177</v>
      </c>
      <c r="AC778" s="20"/>
      <c r="AD778" s="19" t="s">
        <v>205</v>
      </c>
      <c r="AE778" s="19" t="s">
        <v>50</v>
      </c>
      <c r="AF778" s="19"/>
      <c r="AG778" s="20"/>
      <c r="AH778" s="20"/>
    </row>
    <row r="779" spans="1:34" ht="16" x14ac:dyDescent="0.2">
      <c r="A779" s="19" t="s">
        <v>3206</v>
      </c>
      <c r="B779" s="20"/>
      <c r="C779" s="19" t="s">
        <v>3207</v>
      </c>
      <c r="D779" s="19" t="s">
        <v>145</v>
      </c>
      <c r="E779" s="17" t="str">
        <f t="shared" si="119"/>
        <v>Stephan</v>
      </c>
      <c r="F779" s="17" t="str">
        <f t="array" ref="F779">_xlfn.LET(
 _xlpm.authors,_xlfn.TEXTBEFORE(A779," ("&amp;G779&amp;")"),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9" s="17" t="str">
        <f t="shared" si="120"/>
        <v>1970</v>
      </c>
      <c r="H779" s="17" t="str">
        <f t="shared" si="121"/>
        <v>Stephan_etal_1970</v>
      </c>
      <c r="I779" s="17" t="str">
        <f t="shared" si="118"/>
        <v>ISBN%3A0390672505</v>
      </c>
      <c r="J779" s="17" t="str">
        <f t="shared" si="122"/>
        <v>Stephan_etal_1970_TABLE2</v>
      </c>
      <c r="K779" s="17" t="str">
        <f t="shared" si="117"/>
        <v>ISBN%3A0390672505_TABLE2</v>
      </c>
      <c r="L779" s="17" t="str">
        <f t="array" ref="L779">IFERROR(INDEX(AUTO_Public_TSV_FileList!$A$1:$A$1000,MATCH(TRUE(),EXACT(K779,IFERROR(_xlfn.TEXTBEFORE(AUTO_Public_TSV_FileList!$A$1:$A$1000,".tsv"),"")),0)),"notfound")</f>
        <v>ISBN%3A0390672505_TABLE2.tsv</v>
      </c>
      <c r="M779" s="19" t="s">
        <v>3210</v>
      </c>
      <c r="N779" s="19" t="s">
        <v>54</v>
      </c>
      <c r="O779" s="20"/>
      <c r="P779" s="20" t="s">
        <v>55</v>
      </c>
      <c r="Q779" s="20"/>
      <c r="R779" s="20"/>
      <c r="S779" s="20"/>
      <c r="T779" s="20"/>
      <c r="U779" s="20"/>
      <c r="V779" s="20"/>
      <c r="W779" s="19" t="s">
        <v>187</v>
      </c>
      <c r="X779" s="20"/>
      <c r="Y779" s="20"/>
      <c r="Z779" s="19" t="s">
        <v>172</v>
      </c>
      <c r="AA779" s="19" t="s">
        <v>216</v>
      </c>
      <c r="AB779" s="19" t="s">
        <v>177</v>
      </c>
      <c r="AC779" s="20"/>
      <c r="AD779" s="19" t="s">
        <v>205</v>
      </c>
      <c r="AE779" s="19" t="s">
        <v>50</v>
      </c>
      <c r="AF779" s="19"/>
      <c r="AG779" s="20"/>
      <c r="AH779" s="20"/>
    </row>
    <row r="780" spans="1:34" ht="16" x14ac:dyDescent="0.2">
      <c r="A780" s="19" t="s">
        <v>3206</v>
      </c>
      <c r="B780" s="20"/>
      <c r="C780" s="19" t="s">
        <v>3207</v>
      </c>
      <c r="D780" s="19" t="s">
        <v>147</v>
      </c>
      <c r="E780" s="17" t="str">
        <f t="shared" si="119"/>
        <v>Stephan</v>
      </c>
      <c r="F780" s="17" t="str">
        <f t="array" ref="F780">_xlfn.LET(
 _xlpm.authors,_xlfn.TEXTBEFORE(A780," ("&amp;G780&amp;")"),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0" s="17" t="str">
        <f t="shared" si="120"/>
        <v>1970</v>
      </c>
      <c r="H780" s="17" t="str">
        <f t="shared" si="121"/>
        <v>Stephan_etal_1970</v>
      </c>
      <c r="I780" s="17" t="str">
        <f t="shared" si="118"/>
        <v>ISBN%3A0390672505</v>
      </c>
      <c r="J780" s="17" t="str">
        <f t="shared" si="122"/>
        <v>Stephan_etal_1970_TABLE3</v>
      </c>
      <c r="K780" s="17" t="str">
        <f t="shared" ref="K780:K811" si="123">I780 &amp; "_" &amp; SUBSTITUTE(SUBSTITUTE(SUBSTITUTE(D780,CHAR(160),"")," ",""),"_","")</f>
        <v>ISBN%3A0390672505_TABLE3</v>
      </c>
      <c r="L780" s="17" t="str">
        <f t="array" ref="L780">IFERROR(INDEX(AUTO_Public_TSV_FileList!$A$1:$A$1000,MATCH(TRUE(),EXACT(K780,IFERROR(_xlfn.TEXTBEFORE(AUTO_Public_TSV_FileList!$A$1:$A$1000,".tsv"),"")),0)),"notfound")</f>
        <v>ISBN%3A0390672505_TABLE3.tsv</v>
      </c>
      <c r="M780" s="19" t="s">
        <v>3211</v>
      </c>
      <c r="N780" s="19" t="s">
        <v>54</v>
      </c>
      <c r="O780" s="20"/>
      <c r="P780" s="20" t="s">
        <v>55</v>
      </c>
      <c r="Q780" s="20"/>
      <c r="R780" s="20"/>
      <c r="S780" s="20"/>
      <c r="T780" s="20"/>
      <c r="U780" s="20"/>
      <c r="V780" s="20"/>
      <c r="W780" s="19" t="s">
        <v>187</v>
      </c>
      <c r="X780" s="20"/>
      <c r="Y780" s="20"/>
      <c r="Z780" s="19" t="s">
        <v>172</v>
      </c>
      <c r="AA780" s="19" t="s">
        <v>216</v>
      </c>
      <c r="AB780" s="19" t="s">
        <v>177</v>
      </c>
      <c r="AC780" s="20"/>
      <c r="AD780" s="19" t="s">
        <v>205</v>
      </c>
      <c r="AE780" s="19" t="s">
        <v>50</v>
      </c>
      <c r="AF780" s="19"/>
      <c r="AG780" s="20"/>
      <c r="AH780" s="20"/>
    </row>
    <row r="781" spans="1:34" ht="16" x14ac:dyDescent="0.2">
      <c r="A781" s="19" t="s">
        <v>3206</v>
      </c>
      <c r="B781" s="20"/>
      <c r="C781" s="19" t="s">
        <v>3207</v>
      </c>
      <c r="D781" s="19" t="s">
        <v>149</v>
      </c>
      <c r="E781" s="17" t="str">
        <f t="shared" si="119"/>
        <v>Stephan</v>
      </c>
      <c r="F781" s="17" t="str">
        <f t="array" ref="F781">_xlfn.LET(
 _xlpm.authors,_xlfn.TEXTBEFORE(A781," ("&amp;G781&amp;")"),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1" s="17" t="str">
        <f t="shared" si="120"/>
        <v>1970</v>
      </c>
      <c r="H781" s="17" t="str">
        <f t="shared" si="121"/>
        <v>Stephan_etal_1970</v>
      </c>
      <c r="I781" s="17" t="str">
        <f t="shared" si="118"/>
        <v>ISBN%3A0390672505</v>
      </c>
      <c r="J781" s="17" t="str">
        <f t="shared" si="122"/>
        <v>Stephan_etal_1970_TABLE4</v>
      </c>
      <c r="K781" s="17" t="str">
        <f t="shared" si="123"/>
        <v>ISBN%3A0390672505_TABLE4</v>
      </c>
      <c r="L781" s="17" t="str">
        <f t="array" ref="L781">IFERROR(INDEX(AUTO_Public_TSV_FileList!$A$1:$A$1000,MATCH(TRUE(),EXACT(K781,IFERROR(_xlfn.TEXTBEFORE(AUTO_Public_TSV_FileList!$A$1:$A$1000,".tsv"),"")),0)),"notfound")</f>
        <v>ISBN%3A0390672505_TABLE4.tsv</v>
      </c>
      <c r="M781" s="19" t="s">
        <v>3212</v>
      </c>
      <c r="N781" s="19" t="s">
        <v>54</v>
      </c>
      <c r="O781" s="20"/>
      <c r="P781" s="20" t="s">
        <v>55</v>
      </c>
      <c r="Q781" s="20"/>
      <c r="R781" s="20"/>
      <c r="S781" s="20"/>
      <c r="T781" s="20"/>
      <c r="U781" s="20"/>
      <c r="V781" s="20"/>
      <c r="W781" s="19" t="s">
        <v>3209</v>
      </c>
      <c r="X781" s="20"/>
      <c r="Y781" s="20"/>
      <c r="Z781" s="19" t="s">
        <v>172</v>
      </c>
      <c r="AA781" s="19" t="s">
        <v>216</v>
      </c>
      <c r="AB781" s="19" t="s">
        <v>177</v>
      </c>
      <c r="AC781" s="20"/>
      <c r="AD781" s="19" t="s">
        <v>205</v>
      </c>
      <c r="AE781" s="19" t="s">
        <v>50</v>
      </c>
      <c r="AF781" s="19"/>
      <c r="AG781" s="20"/>
      <c r="AH781" s="20"/>
    </row>
    <row r="782" spans="1:34" ht="16" x14ac:dyDescent="0.2">
      <c r="A782" s="19" t="s">
        <v>3206</v>
      </c>
      <c r="B782" s="20"/>
      <c r="C782" s="19" t="s">
        <v>3207</v>
      </c>
      <c r="D782" s="19" t="s">
        <v>2574</v>
      </c>
      <c r="E782" s="17" t="str">
        <f t="shared" si="119"/>
        <v>Stephan</v>
      </c>
      <c r="F782" s="17" t="str">
        <f t="array" ref="F782">_xlfn.LET(
 _xlpm.authors,_xlfn.TEXTBEFORE(A782," ("&amp;G782&amp;")"),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2" s="17" t="str">
        <f t="shared" si="120"/>
        <v>1970</v>
      </c>
      <c r="H782" s="17" t="str">
        <f t="shared" si="121"/>
        <v>Stephan_etal_1970</v>
      </c>
      <c r="I782" s="17" t="str">
        <f t="shared" ref="I782:I802" si="124">_xlfn.LET(
_xlpm.doi,IF(C782&lt;&gt;"",C782,_xlfn.TEXTAFTER(A782,"https://doi.org/")),
SUBSTITUTE(
SUBSTITUTE(
SUBSTITUTE(
SUBSTITUTE(
_xlpm.doi,
"/","%2F"),
":","%3A"),
"&lt;","%3C"),
"&gt;","%3E")
)</f>
        <v>ISBN%3A0390672505</v>
      </c>
      <c r="J782" s="17" t="str">
        <f t="shared" si="122"/>
        <v>Stephan_etal_1970_TABLE5</v>
      </c>
      <c r="K782" s="17" t="str">
        <f t="shared" si="123"/>
        <v>ISBN%3A0390672505_TABLE5</v>
      </c>
      <c r="L782" s="17" t="str">
        <f t="array" ref="L782">IFERROR(INDEX(AUTO_Public_TSV_FileList!$A$1:$A$1000,MATCH(TRUE(),EXACT(K782,IFERROR(_xlfn.TEXTBEFORE(AUTO_Public_TSV_FileList!$A$1:$A$1000,".tsv"),"")),0)),"notfound")</f>
        <v>ISBN%3A0390672505_TABLE5.tsv</v>
      </c>
      <c r="M782" s="19" t="s">
        <v>3213</v>
      </c>
      <c r="N782" s="19" t="s">
        <v>54</v>
      </c>
      <c r="O782" s="20"/>
      <c r="P782" s="20" t="s">
        <v>55</v>
      </c>
      <c r="Q782" s="20"/>
      <c r="R782" s="20"/>
      <c r="S782" s="20"/>
      <c r="T782" s="20"/>
      <c r="U782" s="20"/>
      <c r="V782" s="20"/>
      <c r="W782" s="19" t="s">
        <v>187</v>
      </c>
      <c r="X782" s="20"/>
      <c r="Y782" s="20"/>
      <c r="Z782" s="19" t="s">
        <v>172</v>
      </c>
      <c r="AA782" s="19" t="s">
        <v>216</v>
      </c>
      <c r="AB782" s="19" t="s">
        <v>177</v>
      </c>
      <c r="AC782" s="20"/>
      <c r="AD782" s="19" t="s">
        <v>205</v>
      </c>
      <c r="AE782" s="19" t="s">
        <v>50</v>
      </c>
      <c r="AF782" s="19"/>
      <c r="AG782" s="20"/>
      <c r="AH782" s="20"/>
    </row>
    <row r="783" spans="1:34" ht="16" x14ac:dyDescent="0.2">
      <c r="A783" s="19" t="s">
        <v>3206</v>
      </c>
      <c r="B783" s="20"/>
      <c r="C783" s="19" t="s">
        <v>3207</v>
      </c>
      <c r="D783" s="19" t="s">
        <v>3214</v>
      </c>
      <c r="E783" s="17" t="str">
        <f t="shared" si="119"/>
        <v>Stephan</v>
      </c>
      <c r="F783" s="17" t="str">
        <f t="array" ref="F783">_xlfn.LET(
 _xlpm.authors,_xlfn.TEXTBEFORE(A783," ("&amp;G783&amp;")"),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3" s="17" t="str">
        <f t="shared" si="120"/>
        <v>1970</v>
      </c>
      <c r="H783" s="17" t="str">
        <f t="shared" si="121"/>
        <v>Stephan_etal_1970</v>
      </c>
      <c r="I783" s="17" t="str">
        <f t="shared" si="124"/>
        <v>ISBN%3A0390672505</v>
      </c>
      <c r="J783" s="17" t="str">
        <f t="shared" si="122"/>
        <v>Stephan_etal_1970_TABLE6</v>
      </c>
      <c r="K783" s="17" t="str">
        <f t="shared" si="123"/>
        <v>ISBN%3A0390672505_TABLE6</v>
      </c>
      <c r="L783" s="17" t="str">
        <f t="array" ref="L783">IFERROR(INDEX(AUTO_Public_TSV_FileList!$A$1:$A$1000,MATCH(TRUE(),EXACT(K783,IFERROR(_xlfn.TEXTBEFORE(AUTO_Public_TSV_FileList!$A$1:$A$1000,".tsv"),"")),0)),"notfound")</f>
        <v>ISBN%3A0390672505_TABLE6.tsv</v>
      </c>
      <c r="M783" s="19" t="s">
        <v>3215</v>
      </c>
      <c r="N783" s="19" t="s">
        <v>54</v>
      </c>
      <c r="O783" s="20"/>
      <c r="P783" s="20" t="s">
        <v>55</v>
      </c>
      <c r="Q783" s="20"/>
      <c r="R783" s="20"/>
      <c r="S783" s="20"/>
      <c r="T783" s="20"/>
      <c r="U783" s="20"/>
      <c r="V783" s="20"/>
      <c r="W783" s="19" t="s">
        <v>187</v>
      </c>
      <c r="X783" s="20"/>
      <c r="Y783" s="20"/>
      <c r="Z783" s="19" t="s">
        <v>172</v>
      </c>
      <c r="AA783" s="19" t="s">
        <v>216</v>
      </c>
      <c r="AB783" s="19" t="s">
        <v>177</v>
      </c>
      <c r="AC783" s="20"/>
      <c r="AD783" s="19" t="s">
        <v>205</v>
      </c>
      <c r="AE783" s="19" t="s">
        <v>50</v>
      </c>
      <c r="AF783" s="19"/>
      <c r="AG783" s="20"/>
      <c r="AH783" s="20"/>
    </row>
    <row r="784" spans="1:34" ht="16" x14ac:dyDescent="0.2">
      <c r="A784" s="19" t="s">
        <v>3206</v>
      </c>
      <c r="B784" s="20"/>
      <c r="C784" s="19" t="s">
        <v>3207</v>
      </c>
      <c r="D784" s="19" t="s">
        <v>3216</v>
      </c>
      <c r="E784" s="17" t="str">
        <f t="shared" si="119"/>
        <v>Stephan</v>
      </c>
      <c r="F784" s="17" t="str">
        <f t="array" ref="F784">_xlfn.LET(
 _xlpm.authors,_xlfn.TEXTBEFORE(A784," ("&amp;G784&amp;")"),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4" s="17" t="str">
        <f t="shared" si="120"/>
        <v>1970</v>
      </c>
      <c r="H784" s="17" t="str">
        <f t="shared" si="121"/>
        <v>Stephan_etal_1970</v>
      </c>
      <c r="I784" s="17" t="str">
        <f t="shared" si="124"/>
        <v>ISBN%3A0390672505</v>
      </c>
      <c r="J784" s="17" t="str">
        <f t="shared" si="122"/>
        <v>Stephan_etal_1970_Tables1-6</v>
      </c>
      <c r="K784" s="17" t="str">
        <f t="shared" si="123"/>
        <v>ISBN%3A0390672505_Tables1-6</v>
      </c>
      <c r="L784" s="17" t="str">
        <f t="array" ref="L784">IFERROR(INDEX(AUTO_Public_TSV_FileList!$A$1:$A$1000,MATCH(TRUE(),EXACT(K784,IFERROR(_xlfn.TEXTBEFORE(AUTO_Public_TSV_FileList!$A$1:$A$1000,".tsv"),"")),0)),"notfound")</f>
        <v>ISBN%3A0390672505_Tables1-6.tsv</v>
      </c>
      <c r="M784" s="20"/>
      <c r="N784" s="19" t="s">
        <v>3217</v>
      </c>
      <c r="O784" s="19" t="s">
        <v>3218</v>
      </c>
      <c r="P784" s="19" t="s">
        <v>55</v>
      </c>
      <c r="Q784" s="20"/>
      <c r="R784" s="20"/>
      <c r="S784" s="20"/>
      <c r="T784" s="20"/>
      <c r="U784" s="20"/>
      <c r="V784" s="20"/>
      <c r="W784" s="19" t="s">
        <v>203</v>
      </c>
      <c r="X784" s="20"/>
      <c r="Y784" s="20"/>
      <c r="Z784" s="19" t="s">
        <v>172</v>
      </c>
      <c r="AA784" s="19" t="s">
        <v>216</v>
      </c>
      <c r="AB784" s="19" t="s">
        <v>177</v>
      </c>
      <c r="AC784" s="19" t="s">
        <v>205</v>
      </c>
      <c r="AD784" s="19" t="s">
        <v>205</v>
      </c>
      <c r="AE784" s="19" t="s">
        <v>50</v>
      </c>
      <c r="AF784" s="19"/>
      <c r="AG784" s="20"/>
      <c r="AH784" s="20"/>
    </row>
    <row r="785" spans="1:34" ht="16" x14ac:dyDescent="0.2">
      <c r="A785" s="19" t="s">
        <v>3219</v>
      </c>
      <c r="B785" s="20"/>
      <c r="C785" s="19" t="s">
        <v>3220</v>
      </c>
      <c r="D785" s="19" t="s">
        <v>86</v>
      </c>
      <c r="E785" s="17" t="str">
        <f t="shared" si="119"/>
        <v>Stephan</v>
      </c>
      <c r="F785" s="17" t="str">
        <f t="array" ref="F785">_xlfn.LET(
 _xlpm.authors,_xlfn.TEXTBEFORE(A785," ("&amp;G785&amp;")"),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5" s="17" t="str">
        <f t="shared" si="120"/>
        <v>1984</v>
      </c>
      <c r="H785" s="17" t="str">
        <f t="shared" si="121"/>
        <v>Stephan_etal_1984</v>
      </c>
      <c r="I785" s="17" t="str">
        <f t="shared" si="124"/>
        <v>PMID%3A6481154</v>
      </c>
      <c r="J785" s="17" t="str">
        <f t="shared" si="122"/>
        <v>Stephan_etal_1984_Table1</v>
      </c>
      <c r="K785" s="17" t="str">
        <f t="shared" si="123"/>
        <v>PMID%3A6481154_Table1</v>
      </c>
      <c r="L785" s="17" t="str">
        <f t="array" ref="L785">IFERROR(INDEX(AUTO_Public_TSV_FileList!$A$1:$A$1000,MATCH(TRUE(),EXACT(K785,IFERROR(_xlfn.TEXTBEFORE(AUTO_Public_TSV_FileList!$A$1:$A$1000,".tsv"),"")),0)),"notfound")</f>
        <v>PMID%3A6481154_Table1.tsv</v>
      </c>
      <c r="M785" s="19" t="s">
        <v>3221</v>
      </c>
      <c r="N785" s="19" t="s">
        <v>54</v>
      </c>
      <c r="O785" s="20"/>
      <c r="P785" s="19" t="s">
        <v>55</v>
      </c>
      <c r="Q785" s="20"/>
      <c r="R785" s="20"/>
      <c r="S785" s="20"/>
      <c r="T785" s="20"/>
      <c r="U785" s="20"/>
      <c r="V785" s="20"/>
      <c r="W785" s="19" t="s">
        <v>203</v>
      </c>
      <c r="X785" s="19" t="s">
        <v>3222</v>
      </c>
      <c r="Y785" s="20"/>
      <c r="Z785" s="19" t="s">
        <v>172</v>
      </c>
      <c r="AA785" s="19" t="s">
        <v>216</v>
      </c>
      <c r="AB785" s="19" t="s">
        <v>177</v>
      </c>
      <c r="AC785" s="19" t="s">
        <v>205</v>
      </c>
      <c r="AD785" s="19" t="s">
        <v>205</v>
      </c>
      <c r="AE785" s="19" t="s">
        <v>50</v>
      </c>
      <c r="AF785" s="19"/>
      <c r="AG785" s="20"/>
      <c r="AH785" s="20"/>
    </row>
    <row r="786" spans="1:34" ht="16" x14ac:dyDescent="0.2">
      <c r="A786" s="19" t="s">
        <v>3223</v>
      </c>
      <c r="B786" s="20"/>
      <c r="C786" s="19" t="s">
        <v>3224</v>
      </c>
      <c r="D786" s="19" t="s">
        <v>86</v>
      </c>
      <c r="E786" s="17" t="str">
        <f t="shared" si="119"/>
        <v>Stephan</v>
      </c>
      <c r="F786" s="17" t="str">
        <f t="array" ref="F786">_xlfn.LET(
 _xlpm.authors,_xlfn.TEXTBEFORE(A786," ("&amp;G786&amp;")"),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6" s="17" t="str">
        <f t="shared" si="120"/>
        <v>1987</v>
      </c>
      <c r="H786" s="17" t="str">
        <f t="shared" si="121"/>
        <v>Stephan_etal_1987</v>
      </c>
      <c r="I786" s="17" t="str">
        <f t="shared" si="124"/>
        <v>PMID%3A3693895</v>
      </c>
      <c r="J786" s="17" t="str">
        <f t="shared" si="122"/>
        <v>Stephan_etal_1987_Table1</v>
      </c>
      <c r="K786" s="17" t="str">
        <f t="shared" si="123"/>
        <v>PMID%3A3693895_Table1</v>
      </c>
      <c r="L786" s="17" t="str">
        <f t="array" ref="L786">IFERROR(INDEX(AUTO_Public_TSV_FileList!$A$1:$A$1000,MATCH(TRUE(),EXACT(K786,IFERROR(_xlfn.TEXTBEFORE(AUTO_Public_TSV_FileList!$A$1:$A$1000,".tsv"),"")),0)),"notfound")</f>
        <v>PMID%3A3693895_Table1.tsv</v>
      </c>
      <c r="M786" s="19" t="s">
        <v>3225</v>
      </c>
      <c r="N786" s="19" t="s">
        <v>54</v>
      </c>
      <c r="O786" s="20"/>
      <c r="P786" s="19" t="s">
        <v>55</v>
      </c>
      <c r="Q786" s="20"/>
      <c r="R786" s="20"/>
      <c r="S786" s="20"/>
      <c r="T786" s="20"/>
      <c r="U786" s="20"/>
      <c r="V786" s="20"/>
      <c r="W786" s="19" t="s">
        <v>203</v>
      </c>
      <c r="X786" s="19" t="s">
        <v>3226</v>
      </c>
      <c r="Y786" s="20"/>
      <c r="Z786" s="19" t="s">
        <v>172</v>
      </c>
      <c r="AA786" s="19" t="s">
        <v>216</v>
      </c>
      <c r="AB786" s="19" t="s">
        <v>177</v>
      </c>
      <c r="AC786" s="19" t="s">
        <v>205</v>
      </c>
      <c r="AD786" s="19" t="s">
        <v>205</v>
      </c>
      <c r="AE786" s="19" t="s">
        <v>50</v>
      </c>
      <c r="AF786" s="19"/>
      <c r="AG786" s="20"/>
      <c r="AH786" s="20"/>
    </row>
    <row r="787" spans="1:34" ht="16" x14ac:dyDescent="0.2">
      <c r="A787" s="19" t="s">
        <v>3227</v>
      </c>
      <c r="B787" s="20"/>
      <c r="C787" s="20"/>
      <c r="D787" s="19" t="s">
        <v>439</v>
      </c>
      <c r="E787" s="17" t="str">
        <f t="shared" si="119"/>
        <v>Stephan</v>
      </c>
      <c r="F787" s="17" t="str">
        <f t="array" ref="F787">_xlfn.LET(
 _xlpm.authors,_xlfn.TEXTBEFORE(A787," ("&amp;G787&amp;")"),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7" s="17" t="str">
        <f t="shared" si="120"/>
        <v>1981</v>
      </c>
      <c r="H787" s="17" t="str">
        <f t="shared" si="121"/>
        <v>Stephan_etal_1981</v>
      </c>
      <c r="I787" s="17" t="str">
        <f t="shared" si="124"/>
        <v>10.1159%2F000155963</v>
      </c>
      <c r="J787" s="17" t="str">
        <f t="shared" si="122"/>
        <v>Stephan_etal_1981_TableI</v>
      </c>
      <c r="K787" s="17" t="str">
        <f t="shared" si="123"/>
        <v>10.1159%2F000155963_TableI</v>
      </c>
      <c r="L787" s="17" t="str">
        <f t="array" ref="L787">IFERROR(INDEX(AUTO_Public_TSV_FileList!$A$1:$A$1000,MATCH(TRUE(),EXACT(K787,IFERROR(_xlfn.TEXTBEFORE(AUTO_Public_TSV_FileList!$A$1:$A$1000,".tsv"),"")),0)),"notfound")</f>
        <v>10.1159%2F000155963_TableI.tsv</v>
      </c>
      <c r="M787" s="19" t="s">
        <v>3228</v>
      </c>
      <c r="N787" s="19" t="s">
        <v>54</v>
      </c>
      <c r="O787" s="20"/>
      <c r="P787" s="19" t="s">
        <v>55</v>
      </c>
      <c r="Q787" s="20"/>
      <c r="R787" s="20"/>
      <c r="S787" s="20"/>
      <c r="T787" s="20"/>
      <c r="U787" s="20"/>
      <c r="V787" s="20"/>
      <c r="W787" s="19" t="s">
        <v>203</v>
      </c>
      <c r="X787" s="19" t="s">
        <v>3229</v>
      </c>
      <c r="Y787" s="20"/>
      <c r="Z787" s="19" t="s">
        <v>172</v>
      </c>
      <c r="AA787" s="19" t="s">
        <v>216</v>
      </c>
      <c r="AB787" s="19" t="s">
        <v>177</v>
      </c>
      <c r="AC787" s="19" t="s">
        <v>205</v>
      </c>
      <c r="AD787" s="19" t="s">
        <v>205</v>
      </c>
      <c r="AE787" s="19" t="s">
        <v>50</v>
      </c>
      <c r="AF787" s="19"/>
      <c r="AG787" s="20"/>
      <c r="AH787" s="20"/>
    </row>
    <row r="788" spans="1:34" ht="16" x14ac:dyDescent="0.2">
      <c r="A788" s="19" t="s">
        <v>3227</v>
      </c>
      <c r="B788" s="20"/>
      <c r="C788" s="20"/>
      <c r="D788" s="19" t="s">
        <v>2455</v>
      </c>
      <c r="E788" s="17" t="str">
        <f t="shared" si="119"/>
        <v>Stephan</v>
      </c>
      <c r="F788" s="17" t="str">
        <f t="array" ref="F788">_xlfn.LET(
 _xlpm.authors,_xlfn.TEXTBEFORE(A788," ("&amp;G788&amp;")"),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8" s="17" t="str">
        <f t="shared" si="120"/>
        <v>1981</v>
      </c>
      <c r="H788" s="17" t="str">
        <f t="shared" si="121"/>
        <v>Stephan_etal_1981</v>
      </c>
      <c r="I788" s="17" t="str">
        <f t="shared" si="124"/>
        <v>10.1159%2F000155963</v>
      </c>
      <c r="J788" s="17" t="str">
        <f t="shared" si="122"/>
        <v>Stephan_etal_1981_TableII</v>
      </c>
      <c r="K788" s="17" t="str">
        <f t="shared" si="123"/>
        <v>10.1159%2F000155963_TableII</v>
      </c>
      <c r="L788" s="17" t="str">
        <f t="array" ref="L788">IFERROR(INDEX(AUTO_Public_TSV_FileList!$A$1:$A$1000,MATCH(TRUE(),EXACT(K788,IFERROR(_xlfn.TEXTBEFORE(AUTO_Public_TSV_FileList!$A$1:$A$1000,".tsv"),"")),0)),"notfound")</f>
        <v>10.1159%2F000155963_TableII.tsv</v>
      </c>
      <c r="M788" s="19" t="s">
        <v>3230</v>
      </c>
      <c r="N788" s="19" t="s">
        <v>54</v>
      </c>
      <c r="O788" s="20"/>
      <c r="P788" s="19" t="s">
        <v>55</v>
      </c>
      <c r="Q788" s="20"/>
      <c r="R788" s="20"/>
      <c r="S788" s="20"/>
      <c r="T788" s="20"/>
      <c r="U788" s="20"/>
      <c r="V788" s="20"/>
      <c r="W788" s="19" t="s">
        <v>203</v>
      </c>
      <c r="X788" s="19" t="s">
        <v>3229</v>
      </c>
      <c r="Y788" s="20"/>
      <c r="Z788" s="19" t="s">
        <v>172</v>
      </c>
      <c r="AA788" s="19" t="s">
        <v>216</v>
      </c>
      <c r="AB788" s="19" t="s">
        <v>177</v>
      </c>
      <c r="AC788" s="19" t="s">
        <v>205</v>
      </c>
      <c r="AD788" s="19" t="s">
        <v>205</v>
      </c>
      <c r="AE788" s="19" t="s">
        <v>50</v>
      </c>
      <c r="AF788" s="19"/>
      <c r="AG788" s="20"/>
      <c r="AH788" s="20"/>
    </row>
    <row r="789" spans="1:34" ht="16" x14ac:dyDescent="0.2">
      <c r="A789" s="19" t="s">
        <v>3227</v>
      </c>
      <c r="B789" s="20"/>
      <c r="C789" s="20"/>
      <c r="D789" s="19" t="s">
        <v>3231</v>
      </c>
      <c r="E789" s="17" t="str">
        <f t="shared" si="119"/>
        <v>Stephan</v>
      </c>
      <c r="F789" s="17" t="str">
        <f t="array" ref="F789">_xlfn.LET(
 _xlpm.authors,_xlfn.TEXTBEFORE(A789," ("&amp;G789&amp;")"),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9" s="17" t="str">
        <f t="shared" si="120"/>
        <v>1981</v>
      </c>
      <c r="H789" s="17" t="str">
        <f t="shared" si="121"/>
        <v>Stephan_etal_1981</v>
      </c>
      <c r="I789" s="17" t="str">
        <f t="shared" si="124"/>
        <v>10.1159%2F000155963</v>
      </c>
      <c r="J789" s="17" t="str">
        <f t="shared" si="122"/>
        <v>Stephan_etal_1981_TableIII</v>
      </c>
      <c r="K789" s="17" t="str">
        <f t="shared" si="123"/>
        <v>10.1159%2F000155963_TableIII</v>
      </c>
      <c r="L789" s="17" t="str">
        <f t="array" ref="L789">IFERROR(INDEX(AUTO_Public_TSV_FileList!$A$1:$A$1000,MATCH(TRUE(),EXACT(K789,IFERROR(_xlfn.TEXTBEFORE(AUTO_Public_TSV_FileList!$A$1:$A$1000,".tsv"),"")),0)),"notfound")</f>
        <v>10.1159%2F000155963_TableIII.tsv</v>
      </c>
      <c r="M789" s="19" t="s">
        <v>3232</v>
      </c>
      <c r="N789" s="19" t="s">
        <v>54</v>
      </c>
      <c r="O789" s="20"/>
      <c r="P789" s="19" t="s">
        <v>55</v>
      </c>
      <c r="Q789" s="20"/>
      <c r="R789" s="20"/>
      <c r="S789" s="20"/>
      <c r="T789" s="20"/>
      <c r="U789" s="20"/>
      <c r="V789" s="20"/>
      <c r="W789" s="19" t="s">
        <v>203</v>
      </c>
      <c r="X789" s="19" t="s">
        <v>3229</v>
      </c>
      <c r="Y789" s="20"/>
      <c r="Z789" s="19" t="s">
        <v>172</v>
      </c>
      <c r="AA789" s="19" t="s">
        <v>216</v>
      </c>
      <c r="AB789" s="19" t="s">
        <v>177</v>
      </c>
      <c r="AC789" s="19" t="s">
        <v>205</v>
      </c>
      <c r="AD789" s="19" t="s">
        <v>205</v>
      </c>
      <c r="AE789" s="19" t="s">
        <v>50</v>
      </c>
      <c r="AF789" s="19"/>
      <c r="AG789" s="20"/>
      <c r="AH789" s="20"/>
    </row>
    <row r="790" spans="1:34" ht="16" x14ac:dyDescent="0.2">
      <c r="A790" s="19" t="s">
        <v>3227</v>
      </c>
      <c r="B790" s="20"/>
      <c r="C790" s="20"/>
      <c r="D790" s="19" t="s">
        <v>450</v>
      </c>
      <c r="E790" s="17" t="str">
        <f t="shared" si="119"/>
        <v>Stephan</v>
      </c>
      <c r="F790" s="17" t="str">
        <f t="array" ref="F790">_xlfn.LET(
 _xlpm.authors,_xlfn.TEXTBEFORE(A790," ("&amp;G790&amp;")"),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0" s="17" t="str">
        <f t="shared" si="120"/>
        <v>1981</v>
      </c>
      <c r="H790" s="17" t="str">
        <f t="shared" si="121"/>
        <v>Stephan_etal_1981</v>
      </c>
      <c r="I790" s="17" t="str">
        <f t="shared" si="124"/>
        <v>10.1159%2F000155963</v>
      </c>
      <c r="J790" s="17" t="str">
        <f t="shared" si="122"/>
        <v>Stephan_etal_1981_TableIV</v>
      </c>
      <c r="K790" s="17" t="str">
        <f t="shared" si="123"/>
        <v>10.1159%2F000155963_TableIV</v>
      </c>
      <c r="L790" s="17" t="str">
        <f t="array" ref="L790">IFERROR(INDEX(AUTO_Public_TSV_FileList!$A$1:$A$1000,MATCH(TRUE(),EXACT(K790,IFERROR(_xlfn.TEXTBEFORE(AUTO_Public_TSV_FileList!$A$1:$A$1000,".tsv"),"")),0)),"notfound")</f>
        <v>10.1159%2F000155963_TableIV.tsv</v>
      </c>
      <c r="M790" s="19" t="s">
        <v>3233</v>
      </c>
      <c r="N790" s="19" t="s">
        <v>54</v>
      </c>
      <c r="O790" s="20"/>
      <c r="P790" s="19" t="s">
        <v>55</v>
      </c>
      <c r="Q790" s="20"/>
      <c r="R790" s="20"/>
      <c r="S790" s="20"/>
      <c r="T790" s="20"/>
      <c r="U790" s="20"/>
      <c r="V790" s="20"/>
      <c r="W790" s="19" t="s">
        <v>203</v>
      </c>
      <c r="X790" s="19" t="s">
        <v>3229</v>
      </c>
      <c r="Y790" s="20"/>
      <c r="Z790" s="19" t="s">
        <v>172</v>
      </c>
      <c r="AA790" s="19" t="s">
        <v>216</v>
      </c>
      <c r="AB790" s="19" t="s">
        <v>177</v>
      </c>
      <c r="AC790" s="19" t="s">
        <v>205</v>
      </c>
      <c r="AD790" s="19" t="s">
        <v>205</v>
      </c>
      <c r="AE790" s="19" t="s">
        <v>50</v>
      </c>
      <c r="AF790" s="19"/>
      <c r="AG790" s="20"/>
      <c r="AH790" s="20"/>
    </row>
    <row r="791" spans="1:34" ht="16" x14ac:dyDescent="0.2">
      <c r="A791" s="19" t="s">
        <v>3227</v>
      </c>
      <c r="B791" s="20"/>
      <c r="C791" s="19"/>
      <c r="D791" s="19" t="s">
        <v>3234</v>
      </c>
      <c r="E791" s="17" t="str">
        <f t="shared" si="119"/>
        <v>Stephan</v>
      </c>
      <c r="F791" s="17" t="str">
        <f t="array" ref="F791">_xlfn.LET(
 _xlpm.authors,_xlfn.TEXTBEFORE(A791," ("&amp;G791&amp;")"),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1" s="17" t="str">
        <f t="shared" si="120"/>
        <v>1981</v>
      </c>
      <c r="H791" s="17" t="str">
        <f t="shared" si="121"/>
        <v>Stephan_etal_1981</v>
      </c>
      <c r="I791" s="17" t="str">
        <f t="shared" si="124"/>
        <v>10.1159%2F000155963</v>
      </c>
      <c r="J791" s="17" t="str">
        <f t="shared" si="122"/>
        <v>Stephan_etal_1981_TableIX</v>
      </c>
      <c r="K791" s="17" t="str">
        <f t="shared" si="123"/>
        <v>10.1159%2F000155963_TableIX</v>
      </c>
      <c r="L791" s="17" t="str">
        <f t="array" ref="L791">IFERROR(INDEX(AUTO_Public_TSV_FileList!$A$1:$A$1000,MATCH(TRUE(),EXACT(K791,IFERROR(_xlfn.TEXTBEFORE(AUTO_Public_TSV_FileList!$A$1:$A$1000,".tsv"),"")),0)),"notfound")</f>
        <v>10.1159%2F000155963_TableIX.tsv</v>
      </c>
      <c r="M791" s="19" t="s">
        <v>3235</v>
      </c>
      <c r="N791" s="20"/>
      <c r="O791" s="20"/>
      <c r="P791" s="19" t="s">
        <v>55</v>
      </c>
      <c r="Q791" s="20"/>
      <c r="R791" s="20"/>
      <c r="S791" s="20"/>
      <c r="T791" s="20"/>
      <c r="U791" s="20"/>
      <c r="V791" s="20"/>
      <c r="W791" s="20"/>
      <c r="X791" s="20"/>
      <c r="Y791" s="20"/>
      <c r="Z791" s="20"/>
      <c r="AA791" s="20"/>
      <c r="AB791" s="20"/>
      <c r="AC791" s="20"/>
      <c r="AD791" s="20"/>
      <c r="AE791" s="20"/>
      <c r="AF791" s="20"/>
      <c r="AG791" s="20"/>
      <c r="AH791" s="20"/>
    </row>
    <row r="792" spans="1:34" ht="16" x14ac:dyDescent="0.2">
      <c r="A792" s="19" t="s">
        <v>3227</v>
      </c>
      <c r="B792" s="20"/>
      <c r="C792" s="20"/>
      <c r="D792" s="19" t="s">
        <v>3236</v>
      </c>
      <c r="E792" s="17" t="str">
        <f t="shared" si="119"/>
        <v>Stephan</v>
      </c>
      <c r="F792" s="17" t="str">
        <f t="array" ref="F792">_xlfn.LET(
 _xlpm.authors,_xlfn.TEXTBEFORE(A792," ("&amp;G792&amp;")"),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2" s="17" t="str">
        <f t="shared" si="120"/>
        <v>1981</v>
      </c>
      <c r="H792" s="17" t="str">
        <f t="shared" si="121"/>
        <v>Stephan_etal_1981</v>
      </c>
      <c r="I792" s="17" t="str">
        <f t="shared" si="124"/>
        <v>10.1159%2F000155963</v>
      </c>
      <c r="J792" s="17" t="str">
        <f t="shared" si="122"/>
        <v>Stephan_etal_1981_TableV</v>
      </c>
      <c r="K792" s="17" t="str">
        <f t="shared" si="123"/>
        <v>10.1159%2F000155963_TableV</v>
      </c>
      <c r="L792" s="17" t="str">
        <f t="array" ref="L792">IFERROR(INDEX(AUTO_Public_TSV_FileList!$A$1:$A$1000,MATCH(TRUE(),EXACT(K792,IFERROR(_xlfn.TEXTBEFORE(AUTO_Public_TSV_FileList!$A$1:$A$1000,".tsv"),"")),0)),"notfound")</f>
        <v>10.1159%2F000155963_TableV.tsv</v>
      </c>
      <c r="M792" s="19" t="s">
        <v>3237</v>
      </c>
      <c r="N792" s="19" t="s">
        <v>54</v>
      </c>
      <c r="O792" s="20"/>
      <c r="P792" s="19" t="s">
        <v>55</v>
      </c>
      <c r="Q792" s="20"/>
      <c r="R792" s="20"/>
      <c r="S792" s="20"/>
      <c r="T792" s="20"/>
      <c r="U792" s="20"/>
      <c r="V792" s="20"/>
      <c r="W792" s="19" t="s">
        <v>203</v>
      </c>
      <c r="X792" s="19" t="s">
        <v>3229</v>
      </c>
      <c r="Y792" s="20"/>
      <c r="Z792" s="19" t="s">
        <v>172</v>
      </c>
      <c r="AA792" s="19" t="s">
        <v>216</v>
      </c>
      <c r="AB792" s="19" t="s">
        <v>177</v>
      </c>
      <c r="AC792" s="19" t="s">
        <v>205</v>
      </c>
      <c r="AD792" s="19" t="s">
        <v>205</v>
      </c>
      <c r="AE792" s="19" t="s">
        <v>50</v>
      </c>
      <c r="AF792" s="19"/>
      <c r="AG792" s="20"/>
      <c r="AH792" s="20"/>
    </row>
    <row r="793" spans="1:34" ht="16" x14ac:dyDescent="0.2">
      <c r="A793" s="19" t="s">
        <v>3227</v>
      </c>
      <c r="B793" s="20"/>
      <c r="C793" s="20"/>
      <c r="D793" s="19" t="s">
        <v>3238</v>
      </c>
      <c r="E793" s="17" t="str">
        <f t="shared" si="119"/>
        <v>Stephan</v>
      </c>
      <c r="F793" s="17" t="str">
        <f t="array" ref="F793">_xlfn.LET(
 _xlpm.authors,_xlfn.TEXTBEFORE(A793," ("&amp;G793&amp;")"),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3" s="17" t="str">
        <f t="shared" si="120"/>
        <v>1981</v>
      </c>
      <c r="H793" s="17" t="str">
        <f t="shared" si="121"/>
        <v>Stephan_etal_1981</v>
      </c>
      <c r="I793" s="17" t="str">
        <f t="shared" si="124"/>
        <v>10.1159%2F000155963</v>
      </c>
      <c r="J793" s="17" t="str">
        <f t="shared" si="122"/>
        <v>Stephan_etal_1981_TableVI</v>
      </c>
      <c r="K793" s="17" t="str">
        <f t="shared" si="123"/>
        <v>10.1159%2F000155963_TableVI</v>
      </c>
      <c r="L793" s="17" t="str">
        <f t="array" ref="L793">IFERROR(INDEX(AUTO_Public_TSV_FileList!$A$1:$A$1000,MATCH(TRUE(),EXACT(K793,IFERROR(_xlfn.TEXTBEFORE(AUTO_Public_TSV_FileList!$A$1:$A$1000,".tsv"),"")),0)),"notfound")</f>
        <v>10.1159%2F000155963_TableVI.tsv</v>
      </c>
      <c r="M793" s="19" t="s">
        <v>3239</v>
      </c>
      <c r="N793" s="19" t="s">
        <v>54</v>
      </c>
      <c r="O793" s="20"/>
      <c r="P793" s="19" t="s">
        <v>55</v>
      </c>
      <c r="Q793" s="20"/>
      <c r="R793" s="20"/>
      <c r="S793" s="20"/>
      <c r="T793" s="20"/>
      <c r="U793" s="20"/>
      <c r="V793" s="20"/>
      <c r="W793" s="19" t="s">
        <v>203</v>
      </c>
      <c r="X793" s="19" t="s">
        <v>3229</v>
      </c>
      <c r="Y793" s="20"/>
      <c r="Z793" s="19" t="s">
        <v>172</v>
      </c>
      <c r="AA793" s="19" t="s">
        <v>216</v>
      </c>
      <c r="AB793" s="19" t="s">
        <v>177</v>
      </c>
      <c r="AC793" s="19" t="s">
        <v>205</v>
      </c>
      <c r="AD793" s="19" t="s">
        <v>205</v>
      </c>
      <c r="AE793" s="19" t="s">
        <v>50</v>
      </c>
      <c r="AF793" s="19"/>
      <c r="AG793" s="20"/>
      <c r="AH793" s="20"/>
    </row>
    <row r="794" spans="1:34" ht="16" x14ac:dyDescent="0.2">
      <c r="A794" s="19" t="s">
        <v>3227</v>
      </c>
      <c r="B794" s="20"/>
      <c r="C794" s="19"/>
      <c r="D794" s="19" t="s">
        <v>3240</v>
      </c>
      <c r="E794" s="17" t="str">
        <f t="shared" si="119"/>
        <v>Stephan</v>
      </c>
      <c r="F794" s="17" t="str">
        <f t="array" ref="F794">_xlfn.LET(
 _xlpm.authors,_xlfn.TEXTBEFORE(A794," ("&amp;G794&amp;")"),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4" s="17" t="str">
        <f t="shared" si="120"/>
        <v>1981</v>
      </c>
      <c r="H794" s="17" t="str">
        <f t="shared" si="121"/>
        <v>Stephan_etal_1981</v>
      </c>
      <c r="I794" s="17" t="str">
        <f t="shared" si="124"/>
        <v>10.1159%2F000155963</v>
      </c>
      <c r="J794" s="17" t="str">
        <f t="shared" si="122"/>
        <v>Stephan_etal_1981_TableVII</v>
      </c>
      <c r="K794" s="17" t="str">
        <f t="shared" si="123"/>
        <v>10.1159%2F000155963_TableVII</v>
      </c>
      <c r="L794" s="17" t="str">
        <f t="array" ref="L794">IFERROR(INDEX(AUTO_Public_TSV_FileList!$A$1:$A$1000,MATCH(TRUE(),EXACT(K794,IFERROR(_xlfn.TEXTBEFORE(AUTO_Public_TSV_FileList!$A$1:$A$1000,".tsv"),"")),0)),"notfound")</f>
        <v>10.1159%2F000155963_TableVII.tsv</v>
      </c>
      <c r="M794" s="19" t="s">
        <v>3241</v>
      </c>
      <c r="N794" s="19" t="s">
        <v>54</v>
      </c>
      <c r="O794" s="20"/>
      <c r="P794" s="19" t="s">
        <v>55</v>
      </c>
      <c r="Q794" s="20"/>
      <c r="R794" s="20"/>
      <c r="S794" s="20"/>
      <c r="T794" s="20"/>
      <c r="U794" s="20"/>
      <c r="V794" s="20"/>
      <c r="W794" s="19" t="s">
        <v>203</v>
      </c>
      <c r="X794" s="19" t="s">
        <v>3229</v>
      </c>
      <c r="Y794" s="20"/>
      <c r="Z794" s="19" t="s">
        <v>172</v>
      </c>
      <c r="AA794" s="19" t="s">
        <v>216</v>
      </c>
      <c r="AB794" s="19" t="s">
        <v>177</v>
      </c>
      <c r="AC794" s="19" t="s">
        <v>205</v>
      </c>
      <c r="AD794" s="19" t="s">
        <v>205</v>
      </c>
      <c r="AE794" s="19" t="s">
        <v>50</v>
      </c>
      <c r="AF794" s="19"/>
      <c r="AG794" s="20"/>
      <c r="AH794" s="20"/>
    </row>
    <row r="795" spans="1:34" ht="16" x14ac:dyDescent="0.2">
      <c r="A795" s="19" t="s">
        <v>3227</v>
      </c>
      <c r="B795" s="20"/>
      <c r="C795" s="19"/>
      <c r="D795" s="19" t="s">
        <v>3242</v>
      </c>
      <c r="E795" s="17" t="str">
        <f t="shared" si="119"/>
        <v>Stephan</v>
      </c>
      <c r="F795" s="17" t="str">
        <f t="array" ref="F795">_xlfn.LET(
 _xlpm.authors,_xlfn.TEXTBEFORE(A795," ("&amp;G795&amp;")"),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5" s="17" t="str">
        <f t="shared" si="120"/>
        <v>1981</v>
      </c>
      <c r="H795" s="17" t="str">
        <f t="shared" si="121"/>
        <v>Stephan_etal_1981</v>
      </c>
      <c r="I795" s="17" t="str">
        <f t="shared" si="124"/>
        <v>10.1159%2F000155963</v>
      </c>
      <c r="J795" s="17" t="str">
        <f t="shared" si="122"/>
        <v>Stephan_etal_1981_TableVIII</v>
      </c>
      <c r="K795" s="17" t="str">
        <f t="shared" si="123"/>
        <v>10.1159%2F000155963_TableVIII</v>
      </c>
      <c r="L795" s="17" t="str">
        <f t="array" ref="L795">IFERROR(INDEX(AUTO_Public_TSV_FileList!$A$1:$A$1000,MATCH(TRUE(),EXACT(K795,IFERROR(_xlfn.TEXTBEFORE(AUTO_Public_TSV_FileList!$A$1:$A$1000,".tsv"),"")),0)),"notfound")</f>
        <v>10.1159%2F000155963_TableVIII.tsv</v>
      </c>
      <c r="M795" s="19" t="s">
        <v>3243</v>
      </c>
      <c r="N795" s="20"/>
      <c r="O795" s="20"/>
      <c r="P795" s="19" t="s">
        <v>55</v>
      </c>
      <c r="Q795" s="20"/>
      <c r="R795" s="20"/>
      <c r="S795" s="20"/>
      <c r="T795" s="20"/>
      <c r="U795" s="20"/>
      <c r="V795" s="20"/>
      <c r="W795" s="20"/>
      <c r="X795" s="20"/>
      <c r="Y795" s="20"/>
      <c r="Z795" s="20"/>
      <c r="AA795" s="20"/>
      <c r="AB795" s="20"/>
      <c r="AC795" s="20"/>
      <c r="AD795" s="20"/>
      <c r="AE795" s="20"/>
      <c r="AF795" s="20"/>
      <c r="AG795" s="20"/>
      <c r="AH795" s="20"/>
    </row>
    <row r="796" spans="1:34" ht="16" x14ac:dyDescent="0.2">
      <c r="A796" s="19" t="s">
        <v>3227</v>
      </c>
      <c r="B796" s="20"/>
      <c r="C796" s="19"/>
      <c r="D796" s="19" t="s">
        <v>3244</v>
      </c>
      <c r="E796" s="17" t="str">
        <f t="shared" si="119"/>
        <v>Stephan</v>
      </c>
      <c r="F796" s="17" t="str">
        <f t="array" ref="F796">_xlfn.LET(
 _xlpm.authors,_xlfn.TEXTBEFORE(A796," ("&amp;G796&amp;")"),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6" s="17" t="str">
        <f t="shared" si="120"/>
        <v>1981</v>
      </c>
      <c r="H796" s="17" t="str">
        <f t="shared" si="121"/>
        <v>Stephan_etal_1981</v>
      </c>
      <c r="I796" s="17" t="str">
        <f t="shared" si="124"/>
        <v>10.1159%2F000155963</v>
      </c>
      <c r="J796" s="17" t="str">
        <f t="shared" si="122"/>
        <v>Stephan_etal_1981_TableX</v>
      </c>
      <c r="K796" s="17" t="str">
        <f t="shared" si="123"/>
        <v>10.1159%2F000155963_TableX</v>
      </c>
      <c r="L796" s="17" t="str">
        <f t="array" ref="L796">IFERROR(INDEX(AUTO_Public_TSV_FileList!$A$1:$A$1000,MATCH(TRUE(),EXACT(K796,IFERROR(_xlfn.TEXTBEFORE(AUTO_Public_TSV_FileList!$A$1:$A$1000,".tsv"),"")),0)),"notfound")</f>
        <v>10.1159%2F000155963_TableX.tsv</v>
      </c>
      <c r="M796" s="19" t="s">
        <v>3245</v>
      </c>
      <c r="N796" s="20"/>
      <c r="O796" s="20"/>
      <c r="P796" s="19" t="s">
        <v>55</v>
      </c>
      <c r="Q796" s="20"/>
      <c r="R796" s="20"/>
      <c r="S796" s="20"/>
      <c r="T796" s="20"/>
      <c r="U796" s="20"/>
      <c r="V796" s="20"/>
      <c r="W796" s="20"/>
      <c r="X796" s="20"/>
      <c r="Y796" s="20"/>
      <c r="Z796" s="20"/>
      <c r="AA796" s="20"/>
      <c r="AB796" s="20"/>
      <c r="AC796" s="20"/>
      <c r="AD796" s="20"/>
      <c r="AE796" s="20"/>
      <c r="AF796" s="20"/>
      <c r="AG796" s="20"/>
      <c r="AH796" s="20"/>
    </row>
    <row r="797" spans="1:34" ht="16" x14ac:dyDescent="0.2">
      <c r="A797" s="19" t="s">
        <v>3227</v>
      </c>
      <c r="B797" s="20"/>
      <c r="C797" s="20"/>
      <c r="D797" s="19" t="s">
        <v>3246</v>
      </c>
      <c r="E797" s="17" t="str">
        <f t="shared" si="119"/>
        <v>Stephan</v>
      </c>
      <c r="F797" s="17" t="str">
        <f t="array" ref="F797">_xlfn.LET(
 _xlpm.authors,_xlfn.TEXTBEFORE(A797," ("&amp;G797&amp;")"),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7" s="17" t="str">
        <f t="shared" si="120"/>
        <v>1981</v>
      </c>
      <c r="H797" s="17" t="str">
        <f t="shared" si="121"/>
        <v>Stephan_etal_1981</v>
      </c>
      <c r="I797" s="17" t="str">
        <f t="shared" si="124"/>
        <v>10.1159%2F000155963</v>
      </c>
      <c r="J797" s="17" t="str">
        <f t="shared" si="122"/>
        <v>Stephan_etal_1981_TableXI</v>
      </c>
      <c r="K797" s="17" t="str">
        <f t="shared" si="123"/>
        <v>10.1159%2F000155963_TableXI</v>
      </c>
      <c r="L797" s="17" t="str">
        <f t="array" ref="L797">IFERROR(INDEX(AUTO_Public_TSV_FileList!$A$1:$A$1000,MATCH(TRUE(),EXACT(K797,IFERROR(_xlfn.TEXTBEFORE(AUTO_Public_TSV_FileList!$A$1:$A$1000,".tsv"),"")),0)),"notfound")</f>
        <v>10.1159%2F000155963_TableXI.tsv</v>
      </c>
      <c r="M797" s="19" t="s">
        <v>3247</v>
      </c>
      <c r="N797" s="19" t="s">
        <v>54</v>
      </c>
      <c r="O797" s="20"/>
      <c r="P797" s="19" t="s">
        <v>55</v>
      </c>
      <c r="Q797" s="20"/>
      <c r="R797" s="20"/>
      <c r="S797" s="20"/>
      <c r="T797" s="20"/>
      <c r="U797" s="20"/>
      <c r="V797" s="20"/>
      <c r="W797" s="19" t="s">
        <v>203</v>
      </c>
      <c r="X797" s="19" t="s">
        <v>3229</v>
      </c>
      <c r="Y797" s="20"/>
      <c r="Z797" s="19" t="s">
        <v>172</v>
      </c>
      <c r="AA797" s="19" t="s">
        <v>216</v>
      </c>
      <c r="AB797" s="19" t="s">
        <v>177</v>
      </c>
      <c r="AC797" s="19" t="s">
        <v>205</v>
      </c>
      <c r="AD797" s="19" t="s">
        <v>205</v>
      </c>
      <c r="AE797" s="19" t="s">
        <v>50</v>
      </c>
      <c r="AF797" s="19"/>
      <c r="AG797" s="20"/>
      <c r="AH797" s="20"/>
    </row>
    <row r="798" spans="1:34" ht="16" x14ac:dyDescent="0.2">
      <c r="A798" s="19" t="s">
        <v>3227</v>
      </c>
      <c r="B798" s="20"/>
      <c r="C798" s="20"/>
      <c r="D798" s="19" t="s">
        <v>3248</v>
      </c>
      <c r="E798" s="17" t="str">
        <f t="shared" si="119"/>
        <v>Stephan</v>
      </c>
      <c r="F798" s="17" t="str">
        <f t="array" ref="F798">_xlfn.LET(
 _xlpm.authors,_xlfn.TEXTBEFORE(A798," ("&amp;G798&amp;")"),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8" s="17" t="str">
        <f t="shared" si="120"/>
        <v>1981</v>
      </c>
      <c r="H798" s="17" t="str">
        <f t="shared" si="121"/>
        <v>Stephan_etal_1981</v>
      </c>
      <c r="I798" s="17" t="str">
        <f t="shared" si="124"/>
        <v>10.1159%2F000155963</v>
      </c>
      <c r="J798" s="17" t="str">
        <f t="shared" si="122"/>
        <v>Stephan_etal_1981_TableXII</v>
      </c>
      <c r="K798" s="17" t="str">
        <f t="shared" si="123"/>
        <v>10.1159%2F000155963_TableXII</v>
      </c>
      <c r="L798" s="17" t="str">
        <f t="array" ref="L798">IFERROR(INDEX(AUTO_Public_TSV_FileList!$A$1:$A$1000,MATCH(TRUE(),EXACT(K798,IFERROR(_xlfn.TEXTBEFORE(AUTO_Public_TSV_FileList!$A$1:$A$1000,".tsv"),"")),0)),"notfound")</f>
        <v>10.1159%2F000155963_TableXII.tsv</v>
      </c>
      <c r="M798" s="19" t="s">
        <v>3249</v>
      </c>
      <c r="N798" s="19" t="s">
        <v>54</v>
      </c>
      <c r="O798" s="20"/>
      <c r="P798" s="19" t="s">
        <v>55</v>
      </c>
      <c r="Q798" s="20"/>
      <c r="R798" s="20"/>
      <c r="S798" s="20"/>
      <c r="T798" s="20"/>
      <c r="U798" s="20"/>
      <c r="V798" s="20"/>
      <c r="W798" s="19" t="s">
        <v>203</v>
      </c>
      <c r="X798" s="19" t="s">
        <v>3229</v>
      </c>
      <c r="Y798" s="20"/>
      <c r="Z798" s="19" t="s">
        <v>172</v>
      </c>
      <c r="AA798" s="19" t="s">
        <v>216</v>
      </c>
      <c r="AB798" s="19" t="s">
        <v>177</v>
      </c>
      <c r="AC798" s="19" t="s">
        <v>205</v>
      </c>
      <c r="AD798" s="19" t="s">
        <v>205</v>
      </c>
      <c r="AE798" s="19" t="s">
        <v>50</v>
      </c>
      <c r="AF798" s="19"/>
      <c r="AG798" s="20"/>
      <c r="AH798" s="20"/>
    </row>
    <row r="799" spans="1:34" ht="16" x14ac:dyDescent="0.2">
      <c r="A799" s="19" t="s">
        <v>3227</v>
      </c>
      <c r="B799" s="20"/>
      <c r="C799" s="20"/>
      <c r="D799" s="19" t="s">
        <v>3250</v>
      </c>
      <c r="E799" s="17" t="str">
        <f t="shared" si="119"/>
        <v>Stephan</v>
      </c>
      <c r="F799" s="17" t="str">
        <f t="array" ref="F799">_xlfn.LET(
 _xlpm.authors,_xlfn.TEXTBEFORE(A799," ("&amp;G799&amp;")"),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9" s="17" t="str">
        <f t="shared" si="120"/>
        <v>1981</v>
      </c>
      <c r="H799" s="17" t="str">
        <f t="shared" si="121"/>
        <v>Stephan_etal_1981</v>
      </c>
      <c r="I799" s="17" t="str">
        <f t="shared" si="124"/>
        <v>10.1159%2F000155963</v>
      </c>
      <c r="J799" s="17" t="str">
        <f t="shared" si="122"/>
        <v>Stephan_etal_1981_TableXIII</v>
      </c>
      <c r="K799" s="17" t="str">
        <f t="shared" si="123"/>
        <v>10.1159%2F000155963_TableXIII</v>
      </c>
      <c r="L799" s="17" t="str">
        <f t="array" ref="L799">IFERROR(INDEX(AUTO_Public_TSV_FileList!$A$1:$A$1000,MATCH(TRUE(),EXACT(K799,IFERROR(_xlfn.TEXTBEFORE(AUTO_Public_TSV_FileList!$A$1:$A$1000,".tsv"),"")),0)),"notfound")</f>
        <v>10.1159%2F000155963_TableXIII.tsv</v>
      </c>
      <c r="M799" s="19" t="s">
        <v>3251</v>
      </c>
      <c r="N799" s="19" t="s">
        <v>54</v>
      </c>
      <c r="O799" s="20"/>
      <c r="P799" s="19" t="s">
        <v>55</v>
      </c>
      <c r="Q799" s="20"/>
      <c r="R799" s="20"/>
      <c r="S799" s="20"/>
      <c r="T799" s="20"/>
      <c r="U799" s="20"/>
      <c r="V799" s="20"/>
      <c r="W799" s="19" t="s">
        <v>203</v>
      </c>
      <c r="X799" s="19" t="s">
        <v>3229</v>
      </c>
      <c r="Y799" s="20"/>
      <c r="Z799" s="19" t="s">
        <v>172</v>
      </c>
      <c r="AA799" s="19" t="s">
        <v>216</v>
      </c>
      <c r="AB799" s="19" t="s">
        <v>177</v>
      </c>
      <c r="AC799" s="19" t="s">
        <v>205</v>
      </c>
      <c r="AD799" s="19" t="s">
        <v>205</v>
      </c>
      <c r="AE799" s="19" t="s">
        <v>50</v>
      </c>
      <c r="AF799" s="19"/>
      <c r="AG799" s="20"/>
      <c r="AH799" s="20"/>
    </row>
    <row r="800" spans="1:34" ht="16" x14ac:dyDescent="0.2">
      <c r="A800" s="19" t="s">
        <v>3227</v>
      </c>
      <c r="B800" s="20"/>
      <c r="C800" s="20"/>
      <c r="D800" s="19" t="s">
        <v>3252</v>
      </c>
      <c r="E800" s="17" t="str">
        <f t="shared" si="119"/>
        <v>Stephan</v>
      </c>
      <c r="F800" s="17" t="str">
        <f t="array" ref="F800">_xlfn.LET(
 _xlpm.authors,_xlfn.TEXTBEFORE(A800," ("&amp;G800&amp;")"),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0" s="17" t="str">
        <f t="shared" si="120"/>
        <v>1981</v>
      </c>
      <c r="H800" s="17" t="str">
        <f t="shared" si="121"/>
        <v>Stephan_etal_1981</v>
      </c>
      <c r="I800" s="17" t="str">
        <f t="shared" si="124"/>
        <v>10.1159%2F000155963</v>
      </c>
      <c r="J800" s="17" t="str">
        <f t="shared" si="122"/>
        <v>Stephan_etal_1981_TableXIV</v>
      </c>
      <c r="K800" s="17" t="str">
        <f t="shared" si="123"/>
        <v>10.1159%2F000155963_TableXIV</v>
      </c>
      <c r="L800" s="17" t="str">
        <f t="array" ref="L800">IFERROR(INDEX(AUTO_Public_TSV_FileList!$A$1:$A$1000,MATCH(TRUE(),EXACT(K800,IFERROR(_xlfn.TEXTBEFORE(AUTO_Public_TSV_FileList!$A$1:$A$1000,".tsv"),"")),0)),"notfound")</f>
        <v>10.1159%2F000155963_TableXIV.tsv</v>
      </c>
      <c r="M800" s="19" t="s">
        <v>3253</v>
      </c>
      <c r="N800" s="19" t="s">
        <v>54</v>
      </c>
      <c r="O800" s="20"/>
      <c r="P800" s="19" t="s">
        <v>55</v>
      </c>
      <c r="Q800" s="20"/>
      <c r="R800" s="20"/>
      <c r="S800" s="20"/>
      <c r="T800" s="20"/>
      <c r="U800" s="20"/>
      <c r="V800" s="20"/>
      <c r="W800" s="19" t="s">
        <v>203</v>
      </c>
      <c r="X800" s="19" t="s">
        <v>3229</v>
      </c>
      <c r="Y800" s="20"/>
      <c r="Z800" s="19" t="s">
        <v>172</v>
      </c>
      <c r="AA800" s="19" t="s">
        <v>216</v>
      </c>
      <c r="AB800" s="19" t="s">
        <v>177</v>
      </c>
      <c r="AC800" s="19" t="s">
        <v>205</v>
      </c>
      <c r="AD800" s="19" t="s">
        <v>205</v>
      </c>
      <c r="AE800" s="19" t="s">
        <v>50</v>
      </c>
      <c r="AF800" s="19"/>
      <c r="AG800" s="20"/>
      <c r="AH800" s="20"/>
    </row>
    <row r="801" spans="1:36" ht="16" x14ac:dyDescent="0.2">
      <c r="A801" s="19" t="s">
        <v>3227</v>
      </c>
      <c r="B801" s="20"/>
      <c r="C801" s="20"/>
      <c r="D801" s="19" t="s">
        <v>3254</v>
      </c>
      <c r="E801" s="17" t="str">
        <f t="shared" si="119"/>
        <v>Stephan</v>
      </c>
      <c r="F801" s="17" t="str">
        <f t="array" ref="F801">_xlfn.LET(
 _xlpm.authors,_xlfn.TEXTBEFORE(A801," ("&amp;G801&amp;")"),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1" s="17" t="str">
        <f t="shared" si="120"/>
        <v>1981</v>
      </c>
      <c r="H801" s="17" t="str">
        <f t="shared" si="121"/>
        <v>Stephan_etal_1981</v>
      </c>
      <c r="I801" s="17" t="str">
        <f t="shared" si="124"/>
        <v>10.1159%2F000155963</v>
      </c>
      <c r="J801" s="17" t="str">
        <f t="shared" si="122"/>
        <v>Stephan_etal_1981_TableXV</v>
      </c>
      <c r="K801" s="17" t="str">
        <f t="shared" si="123"/>
        <v>10.1159%2F000155963_TableXV</v>
      </c>
      <c r="L801" s="17" t="str">
        <f t="array" ref="L801">IFERROR(INDEX(AUTO_Public_TSV_FileList!$A$1:$A$1000,MATCH(TRUE(),EXACT(K801,IFERROR(_xlfn.TEXTBEFORE(AUTO_Public_TSV_FileList!$A$1:$A$1000,".tsv"),"")),0)),"notfound")</f>
        <v>10.1159%2F000155963_TableXV.tsv</v>
      </c>
      <c r="M801" s="19" t="s">
        <v>3255</v>
      </c>
      <c r="N801" s="19" t="s">
        <v>54</v>
      </c>
      <c r="O801" s="20"/>
      <c r="P801" s="19" t="s">
        <v>55</v>
      </c>
      <c r="Q801" s="20"/>
      <c r="R801" s="20"/>
      <c r="S801" s="20"/>
      <c r="T801" s="20"/>
      <c r="U801" s="20"/>
      <c r="V801" s="20"/>
      <c r="W801" s="19" t="s">
        <v>203</v>
      </c>
      <c r="X801" s="19" t="s">
        <v>3229</v>
      </c>
      <c r="Y801" s="20"/>
      <c r="Z801" s="19" t="s">
        <v>172</v>
      </c>
      <c r="AA801" s="19" t="s">
        <v>216</v>
      </c>
      <c r="AB801" s="19" t="s">
        <v>177</v>
      </c>
      <c r="AC801" s="19" t="s">
        <v>205</v>
      </c>
      <c r="AD801" s="19" t="s">
        <v>205</v>
      </c>
      <c r="AE801" s="19" t="s">
        <v>50</v>
      </c>
      <c r="AF801" s="19"/>
      <c r="AG801" s="20"/>
      <c r="AH801" s="20"/>
    </row>
    <row r="802" spans="1:36" ht="16" x14ac:dyDescent="0.2">
      <c r="A802" s="19" t="s">
        <v>3227</v>
      </c>
      <c r="B802" s="20"/>
      <c r="C802" s="20"/>
      <c r="D802" s="19" t="s">
        <v>3256</v>
      </c>
      <c r="E802" s="17" t="str">
        <f t="shared" si="119"/>
        <v>Stephan</v>
      </c>
      <c r="F802" s="17" t="str">
        <f t="array" ref="F802">_xlfn.LET(
 _xlpm.authors,_xlfn.TEXTBEFORE(A802," ("&amp;G802&amp;")"),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2" s="17" t="str">
        <f t="shared" si="120"/>
        <v>1981</v>
      </c>
      <c r="H802" s="17" t="str">
        <f t="shared" si="121"/>
        <v>Stephan_etal_1981</v>
      </c>
      <c r="I802" s="17" t="str">
        <f t="shared" si="124"/>
        <v>10.1159%2F000155963</v>
      </c>
      <c r="J802" s="17" t="str">
        <f t="shared" si="122"/>
        <v>Stephan_etal_1981_TableXVI</v>
      </c>
      <c r="K802" s="17" t="str">
        <f t="shared" si="123"/>
        <v>10.1159%2F000155963_TableXVI</v>
      </c>
      <c r="L802" s="17" t="str">
        <f t="array" ref="L802">IFERROR(INDEX(AUTO_Public_TSV_FileList!$A$1:$A$1000,MATCH(TRUE(),EXACT(K802,IFERROR(_xlfn.TEXTBEFORE(AUTO_Public_TSV_FileList!$A$1:$A$1000,".tsv"),"")),0)),"notfound")</f>
        <v>10.1159%2F000155963_TableXVI.tsv</v>
      </c>
      <c r="M802" s="19" t="s">
        <v>3257</v>
      </c>
      <c r="N802" s="19" t="s">
        <v>54</v>
      </c>
      <c r="O802" s="20"/>
      <c r="P802" s="19" t="s">
        <v>55</v>
      </c>
      <c r="Q802" s="20"/>
      <c r="R802" s="20"/>
      <c r="S802" s="20"/>
      <c r="T802" s="20"/>
      <c r="U802" s="20"/>
      <c r="V802" s="20"/>
      <c r="W802" s="19" t="s">
        <v>203</v>
      </c>
      <c r="X802" s="19" t="s">
        <v>3229</v>
      </c>
      <c r="Y802" s="20"/>
      <c r="Z802" s="19" t="s">
        <v>172</v>
      </c>
      <c r="AA802" s="19" t="s">
        <v>216</v>
      </c>
      <c r="AB802" s="19" t="s">
        <v>177</v>
      </c>
      <c r="AC802" s="19" t="s">
        <v>205</v>
      </c>
      <c r="AD802" s="19" t="s">
        <v>205</v>
      </c>
      <c r="AE802" s="19" t="s">
        <v>50</v>
      </c>
      <c r="AF802" s="19"/>
      <c r="AG802" s="20"/>
      <c r="AH802" s="20"/>
    </row>
    <row r="803" spans="1:36" ht="16" x14ac:dyDescent="0.2">
      <c r="A803" s="20" t="s">
        <v>3539</v>
      </c>
      <c r="B803" s="20"/>
      <c r="C803" s="20"/>
      <c r="D803" s="20" t="s">
        <v>3540</v>
      </c>
      <c r="E803" s="18" t="str">
        <f t="shared" si="119"/>
        <v>Stevens</v>
      </c>
      <c r="F803" s="17" t="str">
        <f t="array" ref="F803">_xlfn.LET(
 _xlpm.authors,_xlfn.TEXTBEFORE(A803," ("&amp;G803&amp;")"),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03" s="17" t="str">
        <f t="shared" si="120"/>
        <v>2014</v>
      </c>
      <c r="H803" s="18" t="str">
        <f t="shared" si="121"/>
        <v>Stevens__2014</v>
      </c>
      <c r="I803" s="18" t="str">
        <f>_xlfn.LET(_xlpm.doi,IF(C803&lt;&gt;"",C803,_xlfn.TEXTAFTER(A803,"https://doi.org/")),SUBSTITUTE(SUBSTITUTE(SUBSTITUTE(SUBSTITUTE(_xlpm.doi,"/","%2F"),":","%3A"),"&lt;","%3C"),"&gt;","%3E"))</f>
        <v>10.1098%2Frspb.2014.0499</v>
      </c>
      <c r="J803" s="18" t="str">
        <f t="shared" si="122"/>
        <v>Stevens__2014_DataS1</v>
      </c>
      <c r="K803" s="17" t="str">
        <f t="shared" si="123"/>
        <v>10.1098%2Frspb.2014.0499_DataS1</v>
      </c>
      <c r="L803" s="17" t="str">
        <f t="array" ref="L803">IFERROR(INDEX(AUTO_Public_TSV_FileList!$A$1:$A$1000,MATCH(TRUE(),EXACT(K803,IFERROR(_xlfn.TEXTBEFORE(AUTO_Public_TSV_FileList!$A$1:$A$1000,".tsv"),"")),0)),"notfound")</f>
        <v>10.1098%2Frspb.2014.0499_DataS1.tsv</v>
      </c>
      <c r="M803" s="20" t="s">
        <v>3541</v>
      </c>
      <c r="N803" s="20" t="s">
        <v>3542</v>
      </c>
      <c r="O803" s="20" t="s">
        <v>3483</v>
      </c>
      <c r="P803" s="20" t="s">
        <v>3484</v>
      </c>
      <c r="Q803" s="20" t="s">
        <v>3543</v>
      </c>
      <c r="R803" s="20" t="s">
        <v>3544</v>
      </c>
      <c r="S803" s="20"/>
      <c r="T803" s="20"/>
      <c r="U803" s="20" t="s">
        <v>3545</v>
      </c>
      <c r="V803" s="20" t="s">
        <v>3546</v>
      </c>
      <c r="W803" s="20" t="s">
        <v>187</v>
      </c>
      <c r="X803" s="20" t="s">
        <v>3546</v>
      </c>
      <c r="Y803" s="20"/>
      <c r="Z803" s="20"/>
      <c r="AA803" s="20" t="s">
        <v>3547</v>
      </c>
      <c r="AB803" s="20"/>
      <c r="AC803" s="20" t="s">
        <v>3548</v>
      </c>
      <c r="AD803" s="20" t="s">
        <v>3548</v>
      </c>
      <c r="AE803" s="20" t="s">
        <v>265</v>
      </c>
      <c r="AF803" s="20" t="s">
        <v>3549</v>
      </c>
      <c r="AG803" s="20"/>
      <c r="AH803" s="20" t="s">
        <v>352</v>
      </c>
    </row>
    <row r="804" spans="1:36" ht="16" x14ac:dyDescent="0.2">
      <c r="A804" s="19" t="s">
        <v>3258</v>
      </c>
      <c r="B804" s="20"/>
      <c r="C804" s="20"/>
      <c r="D804" s="19" t="s">
        <v>3259</v>
      </c>
      <c r="E804" s="17" t="str">
        <f t="shared" si="119"/>
        <v>Stimpson</v>
      </c>
      <c r="F804" s="17" t="str">
        <f t="array" ref="F804">_xlfn.LET(
 _xlpm.authors,_xlfn.TEXTBEFORE(A804," ("&amp;G804&amp;")"),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4" s="17" t="str">
        <f t="shared" si="120"/>
        <v>2015</v>
      </c>
      <c r="H804" s="17" t="str">
        <f t="shared" si="121"/>
        <v>Stimpson_etal_2015</v>
      </c>
      <c r="I804" s="17" t="str">
        <f>_xlfn.LET(
_xlpm.doi,IF(C804&lt;&gt;"",C804,_xlfn.TEXTAFTER(A804,"https://doi.org/")),
SUBSTITUTE(
SUBSTITUTE(
SUBSTITUTE(
SUBSTITUTE(
_xlpm.doi,
"/","%2F"),
":","%3A"),
"&lt;","%3C"),
"&gt;","%3E")
)</f>
        <v>10.1093%2Fscan%2Fnsv128</v>
      </c>
      <c r="J804" s="17" t="str">
        <f t="shared" si="122"/>
        <v>Stimpson_etal_2015_TableS1</v>
      </c>
      <c r="K804" s="17" t="str">
        <f t="shared" si="123"/>
        <v>10.1093%2Fscan%2Fnsv128_TableS1</v>
      </c>
      <c r="L804" s="17" t="str">
        <f t="array" ref="L804">IFERROR(INDEX(AUTO_Public_TSV_FileList!$A$1:$A$1000,MATCH(TRUE(),EXACT(K804,IFERROR(_xlfn.TEXTBEFORE(AUTO_Public_TSV_FileList!$A$1:$A$1000,".tsv"),"")),0)),"notfound")</f>
        <v>10.1093%2Fscan%2Fnsv128_TableS1.tsv</v>
      </c>
      <c r="M804" s="19" t="s">
        <v>3259</v>
      </c>
      <c r="N804" s="19" t="s">
        <v>54</v>
      </c>
      <c r="O804" s="20"/>
      <c r="P804" s="19" t="s">
        <v>55</v>
      </c>
      <c r="Q804" s="20"/>
      <c r="R804" s="20"/>
      <c r="S804" s="20"/>
      <c r="T804" s="20"/>
      <c r="U804" s="20"/>
      <c r="V804" s="20"/>
      <c r="W804" s="20"/>
      <c r="X804" s="20"/>
      <c r="Y804" s="20"/>
      <c r="Z804" s="19" t="s">
        <v>172</v>
      </c>
      <c r="AA804" s="19" t="s">
        <v>216</v>
      </c>
      <c r="AB804" s="19" t="s">
        <v>177</v>
      </c>
      <c r="AC804" s="19" t="s">
        <v>3026</v>
      </c>
      <c r="AD804" s="19" t="s">
        <v>3026</v>
      </c>
      <c r="AE804" s="19" t="s">
        <v>50</v>
      </c>
      <c r="AF804" s="19"/>
      <c r="AG804" s="20"/>
      <c r="AH804" s="20"/>
    </row>
    <row r="805" spans="1:36" ht="16" x14ac:dyDescent="0.2">
      <c r="A805" s="19" t="s">
        <v>3258</v>
      </c>
      <c r="B805" s="20"/>
      <c r="C805" s="20"/>
      <c r="D805" s="19" t="s">
        <v>3260</v>
      </c>
      <c r="E805" s="17" t="str">
        <f t="shared" si="119"/>
        <v>Stimpson</v>
      </c>
      <c r="F805" s="17" t="str">
        <f t="array" ref="F805">_xlfn.LET(
 _xlpm.authors,_xlfn.TEXTBEFORE(A805," ("&amp;G805&amp;")"),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5" s="17" t="str">
        <f t="shared" si="120"/>
        <v>2015</v>
      </c>
      <c r="H805" s="17" t="str">
        <f t="shared" si="121"/>
        <v>Stimpson_etal_2015</v>
      </c>
      <c r="I805" s="17" t="str">
        <f>_xlfn.LET(
_xlpm.doi,IF(C805&lt;&gt;"",C805,_xlfn.TEXTAFTER(A805,"https://doi.org/")),
SUBSTITUTE(
SUBSTITUTE(
SUBSTITUTE(
SUBSTITUTE(
_xlpm.doi,
"/","%2F"),
":","%3A"),
"&lt;","%3C"),
"&gt;","%3E")
)</f>
        <v>10.1093%2Fscan%2Fnsv128</v>
      </c>
      <c r="J805" s="17" t="str">
        <f t="shared" si="122"/>
        <v>Stimpson_etal_2015_TableS2</v>
      </c>
      <c r="K805" s="17" t="str">
        <f t="shared" si="123"/>
        <v>10.1093%2Fscan%2Fnsv128_TableS2</v>
      </c>
      <c r="L805" s="17" t="str">
        <f t="array" ref="L805">IFERROR(INDEX(AUTO_Public_TSV_FileList!$A$1:$A$1000,MATCH(TRUE(),EXACT(K805,IFERROR(_xlfn.TEXTBEFORE(AUTO_Public_TSV_FileList!$A$1:$A$1000,".tsv"),"")),0)),"notfound")</f>
        <v>10.1093%2Fscan%2Fnsv128_TableS2.tsv</v>
      </c>
      <c r="M805" s="19" t="s">
        <v>3260</v>
      </c>
      <c r="N805" s="19" t="s">
        <v>54</v>
      </c>
      <c r="O805" s="20"/>
      <c r="P805" s="19" t="s">
        <v>55</v>
      </c>
      <c r="Q805" s="20"/>
      <c r="R805" s="20"/>
      <c r="S805" s="20"/>
      <c r="T805" s="20"/>
      <c r="U805" s="20"/>
      <c r="V805" s="20"/>
      <c r="W805" s="20"/>
      <c r="X805" s="20"/>
      <c r="Y805" s="20"/>
      <c r="Z805" s="19" t="s">
        <v>172</v>
      </c>
      <c r="AA805" s="19" t="s">
        <v>216</v>
      </c>
      <c r="AB805" s="19" t="s">
        <v>177</v>
      </c>
      <c r="AC805" s="19" t="s">
        <v>3026</v>
      </c>
      <c r="AD805" s="19" t="s">
        <v>3026</v>
      </c>
      <c r="AE805" s="19" t="s">
        <v>50</v>
      </c>
      <c r="AF805" s="19"/>
      <c r="AG805" s="20"/>
      <c r="AH805" s="20"/>
    </row>
    <row r="806" spans="1:36" ht="16" x14ac:dyDescent="0.2">
      <c r="A806" s="20" t="s">
        <v>3641</v>
      </c>
      <c r="B806" s="20"/>
      <c r="C806" s="20"/>
      <c r="D806" s="20" t="s">
        <v>554</v>
      </c>
      <c r="E806" s="18" t="str">
        <f t="shared" si="119"/>
        <v>Strier</v>
      </c>
      <c r="F806" s="17" t="str">
        <f t="array" ref="F806">_xlfn.LET(
 _xlpm.authors,_xlfn.TEXTBEFORE(A806," ("&amp;G806&amp;")"),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6" s="17" t="str">
        <f t="shared" si="120"/>
        <v>2014</v>
      </c>
      <c r="H806" s="18" t="str">
        <f t="shared" si="121"/>
        <v>Strier_etal_2014</v>
      </c>
      <c r="I806" s="18" t="str">
        <f>_xlfn.LET(_xlpm.doi,IF(C806&lt;&gt;"",C806,_xlfn.TEXTAFTER(A806,"https://doi.org/")),SUBSTITUTE(SUBSTITUTE(SUBSTITUTE(SUBSTITUTE(_xlpm.doi,"/","%2F"),":","%3A"),"&lt;","%3C"),"&gt;","%3E"))</f>
        <v>10.1371%2Fjournal.pone.0114099</v>
      </c>
      <c r="J806" s="18" t="str">
        <f t="shared" si="122"/>
        <v>Strier_etal_2014_TableS1</v>
      </c>
      <c r="K806" s="17" t="str">
        <f t="shared" si="123"/>
        <v>10.1371%2Fjournal.pone.0114099_TableS1</v>
      </c>
      <c r="L806" s="17" t="str">
        <f t="array" ref="L806">IFERROR(INDEX(AUTO_Public_TSV_FileList!$A$1:$A$1000,MATCH(TRUE(),EXACT(K806,IFERROR(_xlfn.TEXTBEFORE(AUTO_Public_TSV_FileList!$A$1:$A$1000,".tsv"),"")),0)),"notfound")</f>
        <v>10.1371%2Fjournal.pone.0114099_TableS1.tsv</v>
      </c>
      <c r="M806" s="20" t="s">
        <v>3642</v>
      </c>
      <c r="N806" s="20" t="s">
        <v>3482</v>
      </c>
      <c r="O806" s="20" t="s">
        <v>3626</v>
      </c>
      <c r="P806" s="20" t="s">
        <v>3484</v>
      </c>
      <c r="Q806" s="20" t="s">
        <v>3643</v>
      </c>
      <c r="R806" s="20" t="s">
        <v>3644</v>
      </c>
      <c r="S806" s="20"/>
      <c r="T806" s="20"/>
      <c r="U806" s="20" t="s">
        <v>3645</v>
      </c>
      <c r="V806" s="20" t="s">
        <v>3642</v>
      </c>
      <c r="W806" s="20" t="s">
        <v>187</v>
      </c>
      <c r="X806" s="20" t="s">
        <v>3642</v>
      </c>
      <c r="Y806" s="20"/>
      <c r="Z806" s="20"/>
      <c r="AA806" s="20" t="s">
        <v>3646</v>
      </c>
      <c r="AB806" s="20"/>
      <c r="AC806" s="20" t="s">
        <v>3647</v>
      </c>
      <c r="AD806" s="20" t="s">
        <v>3647</v>
      </c>
      <c r="AE806" s="20" t="s">
        <v>265</v>
      </c>
      <c r="AF806" s="20" t="s">
        <v>3640</v>
      </c>
      <c r="AG806" s="20"/>
      <c r="AH806" s="20" t="s">
        <v>3632</v>
      </c>
    </row>
    <row r="807" spans="1:36" ht="16" x14ac:dyDescent="0.2">
      <c r="A807" s="20" t="s">
        <v>3641</v>
      </c>
      <c r="B807" s="20"/>
      <c r="C807" s="20"/>
      <c r="D807" s="20" t="s">
        <v>2283</v>
      </c>
      <c r="E807" s="18" t="str">
        <f t="shared" si="119"/>
        <v>Strier</v>
      </c>
      <c r="F807" s="17" t="str">
        <f t="array" ref="F807">_xlfn.LET(
 _xlpm.authors,_xlfn.TEXTBEFORE(A807," ("&amp;G807&amp;")"),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7" s="17" t="str">
        <f t="shared" si="120"/>
        <v>2014</v>
      </c>
      <c r="H807" s="18" t="str">
        <f t="shared" si="121"/>
        <v>Strier_etal_2014</v>
      </c>
      <c r="I807" s="18" t="str">
        <f>_xlfn.LET(_xlpm.doi,IF(C807&lt;&gt;"",C807,_xlfn.TEXTAFTER(A807,"https://doi.org/")),SUBSTITUTE(SUBSTITUTE(SUBSTITUTE(SUBSTITUTE(_xlpm.doi,"/","%2F"),":","%3A"),"&lt;","%3C"),"&gt;","%3E"))</f>
        <v>10.1371%2Fjournal.pone.0114099</v>
      </c>
      <c r="J807" s="18" t="str">
        <f t="shared" si="122"/>
        <v>Strier_etal_2014_TableS2</v>
      </c>
      <c r="K807" s="17" t="str">
        <f t="shared" si="123"/>
        <v>10.1371%2Fjournal.pone.0114099_TableS2</v>
      </c>
      <c r="L807" s="17" t="str">
        <f t="array" ref="L807">IFERROR(INDEX(AUTO_Public_TSV_FileList!$A$1:$A$1000,MATCH(TRUE(),EXACT(K807,IFERROR(_xlfn.TEXTBEFORE(AUTO_Public_TSV_FileList!$A$1:$A$1000,".tsv"),"")),0)),"notfound")</f>
        <v>10.1371%2Fjournal.pone.0114099_TableS2.tsv</v>
      </c>
      <c r="M807" s="20" t="s">
        <v>3648</v>
      </c>
      <c r="N807" s="20" t="s">
        <v>3482</v>
      </c>
      <c r="O807" s="20" t="s">
        <v>3626</v>
      </c>
      <c r="P807" s="20" t="s">
        <v>3484</v>
      </c>
      <c r="Q807" s="20" t="s">
        <v>3649</v>
      </c>
      <c r="R807" s="20" t="s">
        <v>3644</v>
      </c>
      <c r="S807" s="20"/>
      <c r="T807" s="20"/>
      <c r="U807" s="20" t="s">
        <v>3645</v>
      </c>
      <c r="V807" s="20" t="s">
        <v>3648</v>
      </c>
      <c r="W807" s="20" t="s">
        <v>187</v>
      </c>
      <c r="X807" s="20" t="s">
        <v>3648</v>
      </c>
      <c r="Y807" s="20"/>
      <c r="Z807" s="20"/>
      <c r="AA807" s="20" t="s">
        <v>3646</v>
      </c>
      <c r="AB807" s="20"/>
      <c r="AC807" s="20" t="s">
        <v>3647</v>
      </c>
      <c r="AD807" s="20" t="s">
        <v>3647</v>
      </c>
      <c r="AE807" s="20" t="s">
        <v>265</v>
      </c>
      <c r="AF807" s="20" t="s">
        <v>3640</v>
      </c>
      <c r="AG807" s="20"/>
      <c r="AH807" s="20" t="s">
        <v>3632</v>
      </c>
    </row>
    <row r="808" spans="1:36" ht="16" x14ac:dyDescent="0.2">
      <c r="A808" s="20" t="s">
        <v>3641</v>
      </c>
      <c r="B808" s="20"/>
      <c r="C808" s="20"/>
      <c r="D808" s="20" t="s">
        <v>2291</v>
      </c>
      <c r="E808" s="18" t="str">
        <f t="shared" si="119"/>
        <v>Strier</v>
      </c>
      <c r="F808" s="17" t="str">
        <f t="array" ref="F808">_xlfn.LET(
 _xlpm.authors,_xlfn.TEXTBEFORE(A808," ("&amp;G808&amp;")"),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8" s="17" t="str">
        <f t="shared" si="120"/>
        <v>2014</v>
      </c>
      <c r="H808" s="18" t="str">
        <f t="shared" si="121"/>
        <v>Strier_etal_2014</v>
      </c>
      <c r="I808" s="18" t="str">
        <f>_xlfn.LET(_xlpm.doi,IF(C808&lt;&gt;"",C808,_xlfn.TEXTAFTER(A808,"https://doi.org/")),SUBSTITUTE(SUBSTITUTE(SUBSTITUTE(SUBSTITUTE(_xlpm.doi,"/","%2F"),":","%3A"),"&lt;","%3C"),"&gt;","%3E"))</f>
        <v>10.1371%2Fjournal.pone.0114099</v>
      </c>
      <c r="J808" s="18" t="str">
        <f t="shared" si="122"/>
        <v>Strier_etal_2014_TableS3</v>
      </c>
      <c r="K808" s="17" t="str">
        <f t="shared" si="123"/>
        <v>10.1371%2Fjournal.pone.0114099_TableS3</v>
      </c>
      <c r="L808" s="17" t="str">
        <f t="array" ref="L808">IFERROR(INDEX(AUTO_Public_TSV_FileList!$A$1:$A$1000,MATCH(TRUE(),EXACT(K808,IFERROR(_xlfn.TEXTBEFORE(AUTO_Public_TSV_FileList!$A$1:$A$1000,".tsv"),"")),0)),"notfound")</f>
        <v>10.1371%2Fjournal.pone.0114099_TableS3.tsv</v>
      </c>
      <c r="M808" s="20" t="s">
        <v>3650</v>
      </c>
      <c r="N808" s="20" t="s">
        <v>3482</v>
      </c>
      <c r="O808" s="20" t="s">
        <v>3626</v>
      </c>
      <c r="P808" s="20" t="s">
        <v>3484</v>
      </c>
      <c r="Q808" s="20" t="s">
        <v>3651</v>
      </c>
      <c r="R808" s="20" t="s">
        <v>3644</v>
      </c>
      <c r="S808" s="20"/>
      <c r="T808" s="20"/>
      <c r="U808" s="20" t="s">
        <v>3645</v>
      </c>
      <c r="V808" s="20" t="s">
        <v>3650</v>
      </c>
      <c r="W808" s="20" t="s">
        <v>187</v>
      </c>
      <c r="X808" s="20" t="s">
        <v>3650</v>
      </c>
      <c r="Y808" s="20"/>
      <c r="Z808" s="20"/>
      <c r="AA808" s="20" t="s">
        <v>3646</v>
      </c>
      <c r="AB808" s="20"/>
      <c r="AC808" s="20" t="s">
        <v>3647</v>
      </c>
      <c r="AD808" s="20" t="s">
        <v>3647</v>
      </c>
      <c r="AE808" s="20" t="s">
        <v>265</v>
      </c>
      <c r="AF808" s="20" t="s">
        <v>3640</v>
      </c>
      <c r="AG808" s="20"/>
      <c r="AH808" s="20" t="s">
        <v>3632</v>
      </c>
    </row>
    <row r="809" spans="1:36" ht="16" x14ac:dyDescent="0.2">
      <c r="A809" s="20" t="s">
        <v>3261</v>
      </c>
      <c r="B809" s="20"/>
      <c r="C809" s="20"/>
      <c r="D809" s="20" t="s">
        <v>3262</v>
      </c>
      <c r="E809" s="17" t="str">
        <f t="shared" si="119"/>
        <v>Suarez</v>
      </c>
      <c r="F809" s="17" t="str">
        <f>_xlfn.LET(
_xlpm.authors,_xlfn.TEXTBEFORE(A809," ("&amp;G809&amp;")"),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809" s="17" t="str">
        <f t="shared" si="120"/>
        <v>1981</v>
      </c>
      <c r="H809" s="17" t="str">
        <f t="shared" si="121"/>
        <v>Suarez_Gallup_1981</v>
      </c>
      <c r="I809" s="17" t="str">
        <f>_xlfn.LET(
_xlpm.doi,IF(C809&lt;&gt;"",C809,_xlfn.TEXTAFTER(A809,"https://doi.org/")),
SUBSTITUTE(
SUBSTITUTE(
SUBSTITUTE(
SUBSTITUTE(
_xlpm.doi,
"/","%2F"),
":","%3A"),
"&lt;","%3C"),
"&gt;","%3E")
)</f>
        <v>10.1016%2FS0047-2484(81)80016-4</v>
      </c>
      <c r="J809" s="17" t="str">
        <f t="shared" si="122"/>
        <v>Suarez_Gallup_1981_Figure11</v>
      </c>
      <c r="K809" s="17" t="str">
        <f t="shared" si="123"/>
        <v>10.1016%2FS0047-2484(81)80016-4_Figure11</v>
      </c>
      <c r="L809" s="17" t="str">
        <f>IFERROR(INDEX(AUTO_Public_TSV_FileList!$A$1:$A$1000,MATCH(TRUE(),EXACT(K809,IFERROR(_xlfn.TEXTBEFORE(AUTO_Public_TSV_FileList!$A$1:$A$1000,".tsv"),"")),0)),"notfound")</f>
        <v>notfound</v>
      </c>
      <c r="M809" s="20" t="s">
        <v>3263</v>
      </c>
      <c r="N809" s="20" t="s">
        <v>311</v>
      </c>
      <c r="O809" s="20" t="s">
        <v>3264</v>
      </c>
      <c r="P809" s="20" t="s">
        <v>313</v>
      </c>
      <c r="Q809" s="20" t="s">
        <v>3265</v>
      </c>
      <c r="R809" s="20" t="s">
        <v>3266</v>
      </c>
      <c r="S809" s="20" t="s">
        <v>316</v>
      </c>
      <c r="T809" s="20" t="s">
        <v>317</v>
      </c>
      <c r="U809" s="20"/>
      <c r="V809" s="20" t="s">
        <v>318</v>
      </c>
      <c r="W809" s="20" t="s">
        <v>319</v>
      </c>
      <c r="X809" s="20"/>
      <c r="Y809" s="20"/>
      <c r="Z809" s="20"/>
      <c r="AA809" s="20" t="s">
        <v>3267</v>
      </c>
      <c r="AB809" s="20" t="s">
        <v>609</v>
      </c>
      <c r="AC809" s="20" t="s">
        <v>3268</v>
      </c>
      <c r="AD809" s="20"/>
      <c r="AE809" s="20" t="s">
        <v>50</v>
      </c>
      <c r="AF809" s="20"/>
      <c r="AG809" s="20" t="s">
        <v>324</v>
      </c>
      <c r="AH809" s="20" t="s">
        <v>325</v>
      </c>
    </row>
    <row r="810" spans="1:36" ht="16" x14ac:dyDescent="0.2">
      <c r="A810" s="20" t="s">
        <v>3261</v>
      </c>
      <c r="B810" s="20"/>
      <c r="C810" s="20"/>
      <c r="D810" s="20" t="s">
        <v>2521</v>
      </c>
      <c r="E810" s="17" t="str">
        <f t="shared" si="119"/>
        <v>Suarez</v>
      </c>
      <c r="F810" s="17" t="str">
        <f>_xlfn.LET(
_xlpm.authors,_xlfn.TEXTBEFORE(A810," ("&amp;G810&amp;")"),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810" s="17" t="str">
        <f t="shared" si="120"/>
        <v>1981</v>
      </c>
      <c r="H810" s="17" t="str">
        <f t="shared" si="121"/>
        <v>Suarez_Gallup_1981</v>
      </c>
      <c r="I810" s="17" t="str">
        <f>_xlfn.LET(
_xlpm.doi,IF(C810&lt;&gt;"",C810,_xlfn.TEXTAFTER(A810,"https://doi.org/")),
SUBSTITUTE(
SUBSTITUTE(
SUBSTITUTE(
SUBSTITUTE(
_xlpm.doi,
"/","%2F"),
":","%3A"),
"&lt;","%3C"),
"&gt;","%3E")
)</f>
        <v>10.1016%2FS0047-2484(81)80016-4</v>
      </c>
      <c r="J810" s="17" t="str">
        <f t="shared" si="122"/>
        <v>Suarez_Gallup_1981_Figure3</v>
      </c>
      <c r="K810" s="17" t="str">
        <f t="shared" si="123"/>
        <v>10.1016%2FS0047-2484(81)80016-4_Figure3</v>
      </c>
      <c r="L810" s="17" t="str">
        <f>IFERROR(INDEX(AUTO_Public_TSV_FileList!$A$1:$A$1000,MATCH(TRUE(),EXACT(K810,IFERROR(_xlfn.TEXTBEFORE(AUTO_Public_TSV_FileList!$A$1:$A$1000,".tsv"),"")),0)),"notfound")</f>
        <v>notfound</v>
      </c>
      <c r="M810" s="20" t="s">
        <v>3269</v>
      </c>
      <c r="N810" s="20" t="s">
        <v>311</v>
      </c>
      <c r="O810" s="20" t="s">
        <v>3270</v>
      </c>
      <c r="P810" s="20" t="s">
        <v>313</v>
      </c>
      <c r="Q810" s="20" t="s">
        <v>3271</v>
      </c>
      <c r="R810" s="20" t="s">
        <v>3266</v>
      </c>
      <c r="S810" s="20" t="s">
        <v>316</v>
      </c>
      <c r="T810" s="20" t="s">
        <v>317</v>
      </c>
      <c r="U810" s="20"/>
      <c r="V810" s="20" t="s">
        <v>318</v>
      </c>
      <c r="W810" s="20" t="s">
        <v>319</v>
      </c>
      <c r="X810" s="20"/>
      <c r="Y810" s="20"/>
      <c r="Z810" s="20"/>
      <c r="AA810" s="20" t="s">
        <v>3267</v>
      </c>
      <c r="AB810" s="20" t="s">
        <v>609</v>
      </c>
      <c r="AC810" s="20" t="s">
        <v>3268</v>
      </c>
      <c r="AD810" s="20"/>
      <c r="AE810" s="20" t="s">
        <v>50</v>
      </c>
      <c r="AF810" s="20"/>
      <c r="AG810" s="20" t="s">
        <v>324</v>
      </c>
      <c r="AH810" s="20" t="s">
        <v>325</v>
      </c>
    </row>
    <row r="811" spans="1:36" ht="16" x14ac:dyDescent="0.2">
      <c r="A811" s="20" t="s">
        <v>3261</v>
      </c>
      <c r="B811" s="20"/>
      <c r="C811" s="20"/>
      <c r="D811" s="20" t="s">
        <v>3272</v>
      </c>
      <c r="E811" s="17" t="str">
        <f t="shared" si="119"/>
        <v>Suarez</v>
      </c>
      <c r="F811" s="17" t="str">
        <f>_xlfn.LET(
_xlpm.authors,_xlfn.TEXTBEFORE(A811," ("&amp;G811&amp;")"),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811" s="17" t="str">
        <f t="shared" si="120"/>
        <v>1981</v>
      </c>
      <c r="H811" s="17" t="str">
        <f t="shared" si="121"/>
        <v>Suarez_Gallup_1981</v>
      </c>
      <c r="I811" s="17" t="str">
        <f>_xlfn.LET(
_xlpm.doi,IF(C811&lt;&gt;"",C811,_xlfn.TEXTAFTER(A811,"https://doi.org/")),
SUBSTITUTE(
SUBSTITUTE(
SUBSTITUTE(
SUBSTITUTE(
_xlpm.doi,
"/","%2F"),
":","%3A"),
"&lt;","%3C"),
"&gt;","%3E")
)</f>
        <v>10.1016%2FS0047-2484(81)80016-4</v>
      </c>
      <c r="J811" s="17" t="str">
        <f t="shared" si="122"/>
        <v>Suarez_Gallup_1981_Figure7</v>
      </c>
      <c r="K811" s="17" t="str">
        <f t="shared" si="123"/>
        <v>10.1016%2FS0047-2484(81)80016-4_Figure7</v>
      </c>
      <c r="L811" s="17" t="str">
        <f>IFERROR(INDEX(AUTO_Public_TSV_FileList!$A$1:$A$1000,MATCH(TRUE(),EXACT(K811,IFERROR(_xlfn.TEXTBEFORE(AUTO_Public_TSV_FileList!$A$1:$A$1000,".tsv"),"")),0)),"notfound")</f>
        <v>notfound</v>
      </c>
      <c r="M811" s="20" t="s">
        <v>3273</v>
      </c>
      <c r="N811" s="20" t="s">
        <v>311</v>
      </c>
      <c r="O811" s="20" t="s">
        <v>3274</v>
      </c>
      <c r="P811" s="20" t="s">
        <v>313</v>
      </c>
      <c r="Q811" s="20" t="s">
        <v>3275</v>
      </c>
      <c r="R811" s="20" t="s">
        <v>3266</v>
      </c>
      <c r="S811" s="20" t="s">
        <v>316</v>
      </c>
      <c r="T811" s="20" t="s">
        <v>317</v>
      </c>
      <c r="U811" s="20"/>
      <c r="V811" s="20" t="s">
        <v>318</v>
      </c>
      <c r="W811" s="20" t="s">
        <v>319</v>
      </c>
      <c r="X811" s="20"/>
      <c r="Y811" s="20"/>
      <c r="Z811" s="20"/>
      <c r="AA811" s="20" t="s">
        <v>3267</v>
      </c>
      <c r="AB811" s="20" t="s">
        <v>609</v>
      </c>
      <c r="AC811" s="20" t="s">
        <v>3268</v>
      </c>
      <c r="AD811" s="20"/>
      <c r="AE811" s="20" t="s">
        <v>50</v>
      </c>
      <c r="AF811" s="20"/>
      <c r="AG811" s="20" t="s">
        <v>324</v>
      </c>
      <c r="AH811" s="20" t="s">
        <v>325</v>
      </c>
    </row>
    <row r="812" spans="1:36" ht="16" x14ac:dyDescent="0.2">
      <c r="A812" s="20" t="s">
        <v>3261</v>
      </c>
      <c r="B812" s="20"/>
      <c r="C812" s="20"/>
      <c r="D812" s="20" t="s">
        <v>2170</v>
      </c>
      <c r="E812" s="17" t="str">
        <f t="shared" si="119"/>
        <v>Suarez</v>
      </c>
      <c r="F812" s="17" t="str">
        <f>_xlfn.LET(
_xlpm.authors,_xlfn.TEXTBEFORE(A812," ("&amp;G812&amp;")"),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812" s="17" t="str">
        <f t="shared" si="120"/>
        <v>1981</v>
      </c>
      <c r="H812" s="17" t="str">
        <f t="shared" si="121"/>
        <v>Suarez_Gallup_1981</v>
      </c>
      <c r="I812" s="17" t="str">
        <f>_xlfn.LET(
_xlpm.doi,IF(C812&lt;&gt;"",C812,_xlfn.TEXTAFTER(A812,"https://doi.org/")),
SUBSTITUTE(
SUBSTITUTE(
SUBSTITUTE(
SUBSTITUTE(
_xlpm.doi,
"/","%2F"),
":","%3A"),
"&lt;","%3C"),
"&gt;","%3E")
)</f>
        <v>10.1016%2FS0047-2484(81)80016-4</v>
      </c>
      <c r="J812" s="17" t="str">
        <f t="shared" si="122"/>
        <v>Suarez_Gallup_1981_Table2</v>
      </c>
      <c r="K812" s="17" t="str">
        <f t="shared" ref="K812:K826" si="125">I812 &amp; "_" &amp; SUBSTITUTE(SUBSTITUTE(SUBSTITUTE(D812,CHAR(160),"")," ",""),"_","")</f>
        <v>10.1016%2FS0047-2484(81)80016-4_Table2</v>
      </c>
      <c r="L812" s="17" t="str">
        <f>IFERROR(INDEX(AUTO_Public_TSV_FileList!$A$1:$A$1000,MATCH(TRUE(),EXACT(K812,IFERROR(_xlfn.TEXTBEFORE(AUTO_Public_TSV_FileList!$A$1:$A$1000,".tsv"),"")),0)),"notfound")</f>
        <v>notfound</v>
      </c>
      <c r="M812" s="20" t="s">
        <v>2170</v>
      </c>
      <c r="N812" s="20" t="s">
        <v>556</v>
      </c>
      <c r="O812" s="20" t="s">
        <v>3276</v>
      </c>
      <c r="P812" s="20" t="s">
        <v>313</v>
      </c>
      <c r="Q812" s="20" t="s">
        <v>3277</v>
      </c>
      <c r="R812" s="20" t="s">
        <v>3266</v>
      </c>
      <c r="S812" s="20" t="s">
        <v>316</v>
      </c>
      <c r="T812" s="20" t="s">
        <v>317</v>
      </c>
      <c r="U812" s="20"/>
      <c r="V812" s="20" t="s">
        <v>318</v>
      </c>
      <c r="W812" s="20" t="s">
        <v>319</v>
      </c>
      <c r="X812" s="20" t="s">
        <v>3278</v>
      </c>
      <c r="Y812" s="20"/>
      <c r="Z812" s="20"/>
      <c r="AA812" s="20" t="s">
        <v>3267</v>
      </c>
      <c r="AB812" s="20" t="s">
        <v>609</v>
      </c>
      <c r="AC812" s="20" t="s">
        <v>3268</v>
      </c>
      <c r="AD812" s="20"/>
      <c r="AE812" s="20" t="s">
        <v>50</v>
      </c>
      <c r="AF812" s="20"/>
      <c r="AG812" s="20" t="s">
        <v>324</v>
      </c>
      <c r="AH812" s="20" t="s">
        <v>325</v>
      </c>
    </row>
    <row r="813" spans="1:36" ht="16" x14ac:dyDescent="0.2">
      <c r="A813" s="20" t="s">
        <v>3279</v>
      </c>
      <c r="B813" s="20"/>
      <c r="C813" s="20"/>
      <c r="D813" s="20" t="s">
        <v>35</v>
      </c>
      <c r="E813" s="17" t="str">
        <f t="shared" si="119"/>
        <v>Suddendorf</v>
      </c>
      <c r="F813" s="17" t="str">
        <f>_xlfn.LET(
_xlpm.authors,_xlfn.TEXTBEFORE(A813," ("&amp;G813&amp;")"),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CollierBaker</v>
      </c>
      <c r="G813" s="17" t="str">
        <f t="shared" si="120"/>
        <v>2009</v>
      </c>
      <c r="H813" s="17" t="str">
        <f t="shared" si="121"/>
        <v>Suddendorf_CollierBaker_2009</v>
      </c>
      <c r="I813" s="17" t="str">
        <f>_xlfn.LET(
_xlpm.doi,IF(C813&lt;&gt;"",C813,_xlfn.TEXTAFTER(A813,"https://doi.org/")),
SUBSTITUTE(
SUBSTITUTE(
SUBSTITUTE(
SUBSTITUTE(
_xlpm.doi,
"/","%2F"),
":","%3A"),
"&lt;","%3C"),
"&gt;","%3E")
)</f>
        <v>10.1098%2Frspb.2008.1754</v>
      </c>
      <c r="J813" s="17" t="str">
        <f t="shared" si="122"/>
        <v>Suddendorf_CollierBaker_2009_Table1</v>
      </c>
      <c r="K813" s="17" t="str">
        <f t="shared" si="125"/>
        <v>10.1098%2Frspb.2008.1754_Table1</v>
      </c>
      <c r="L813" s="17" t="str">
        <f>IFERROR(INDEX(AUTO_Public_TSV_FileList!$A$1:$A$1000,MATCH(TRUE(),EXACT(K813,IFERROR(_xlfn.TEXTBEFORE(AUTO_Public_TSV_FileList!$A$1:$A$1000,".tsv"),"")),0)),"notfound")</f>
        <v>notfound</v>
      </c>
      <c r="M813" s="20" t="s">
        <v>35</v>
      </c>
      <c r="N813" s="20" t="s">
        <v>556</v>
      </c>
      <c r="O813" s="20" t="s">
        <v>3280</v>
      </c>
      <c r="P813" s="20" t="s">
        <v>313</v>
      </c>
      <c r="Q813" s="20" t="s">
        <v>3281</v>
      </c>
      <c r="R813" s="20" t="s">
        <v>3282</v>
      </c>
      <c r="S813" s="20" t="s">
        <v>316</v>
      </c>
      <c r="T813" s="20" t="s">
        <v>317</v>
      </c>
      <c r="U813" s="20"/>
      <c r="V813" s="20" t="s">
        <v>318</v>
      </c>
      <c r="W813" s="20" t="s">
        <v>319</v>
      </c>
      <c r="X813" s="20"/>
      <c r="Y813" s="20"/>
      <c r="Z813" s="20"/>
      <c r="AA813" s="20" t="s">
        <v>3283</v>
      </c>
      <c r="AB813" s="20" t="s">
        <v>609</v>
      </c>
      <c r="AC813" s="20" t="s">
        <v>3284</v>
      </c>
      <c r="AD813" s="20"/>
      <c r="AE813" s="20" t="s">
        <v>50</v>
      </c>
      <c r="AF813" s="20"/>
      <c r="AG813" s="20" t="s">
        <v>324</v>
      </c>
      <c r="AH813" s="20" t="s">
        <v>325</v>
      </c>
    </row>
    <row r="814" spans="1:36" ht="16" x14ac:dyDescent="0.2">
      <c r="A814" s="20" t="s">
        <v>5367</v>
      </c>
      <c r="B814" s="20"/>
      <c r="C814" s="20"/>
      <c r="D814" s="20" t="s">
        <v>86</v>
      </c>
      <c r="E814" s="18" t="str">
        <f t="shared" si="119"/>
        <v>Tan</v>
      </c>
      <c r="F814" s="17" t="str">
        <f t="array" ref="F814">_xlfn.LET(
 _xlpm.authors,_xlfn.TEXTBEFORE(A814," ("&amp;G814&amp;")"),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v>
      </c>
      <c r="G814" s="17" t="str">
        <f t="shared" si="120"/>
        <v>1999</v>
      </c>
      <c r="H814" s="18" t="str">
        <f t="shared" si="121"/>
        <v>Tan_Li_1999</v>
      </c>
      <c r="I814" s="18" t="str">
        <f>_xlfn.LET(_xlpm.doi,IF(C814&lt;&gt;"",C814,_xlfn.TEXTAFTER(A814,"https://doi.org/")),SUBSTITUTE(SUBSTITUTE(SUBSTITUTE(SUBSTITUTE(_xlpm.doi,"/","%2F"),":","%3A"),"&lt;","%3C"),"&gt;","%3E"))</f>
        <v>10.1038%2F46947</v>
      </c>
      <c r="J814" s="18" t="str">
        <f t="shared" si="122"/>
        <v>Tan_Li_1999_Table1</v>
      </c>
      <c r="K814" s="17" t="str">
        <f t="shared" si="125"/>
        <v>10.1038%2F46947_Table1</v>
      </c>
      <c r="L814" s="17" t="str">
        <f t="array" ref="L814">IFERROR(INDEX(AUTO_Public_TSV_FileList!$A$1:$A$1000,MATCH(TRUE(),EXACT(K814,IFERROR(_xlfn.TEXTBEFORE(AUTO_Public_TSV_FileList!$A$1:$A$1000,".tsv"),"")),0)),"notfound")</f>
        <v>10.1038%2F46947_Table1.tsv</v>
      </c>
      <c r="M814" s="20"/>
      <c r="N814" s="20" t="s">
        <v>4864</v>
      </c>
      <c r="O814" s="20" t="s">
        <v>5368</v>
      </c>
      <c r="P814" s="20" t="s">
        <v>4866</v>
      </c>
      <c r="Q814" s="20" t="s">
        <v>5369</v>
      </c>
      <c r="R814" s="20" t="s">
        <v>5370</v>
      </c>
      <c r="S814" s="20" t="s">
        <v>4869</v>
      </c>
      <c r="T814" s="20" t="s">
        <v>4870</v>
      </c>
      <c r="U814" s="20"/>
      <c r="V814" s="20" t="s">
        <v>4871</v>
      </c>
      <c r="W814" s="20" t="s">
        <v>187</v>
      </c>
      <c r="X814" s="20" t="s">
        <v>5371</v>
      </c>
      <c r="Y814" s="20"/>
      <c r="Z814" s="20" t="s">
        <v>4873</v>
      </c>
      <c r="AA814" s="20" t="s">
        <v>4874</v>
      </c>
      <c r="AB814" s="20" t="s">
        <v>4909</v>
      </c>
      <c r="AC814" s="20" t="s">
        <v>5372</v>
      </c>
      <c r="AD814" s="20" t="s">
        <v>689</v>
      </c>
      <c r="AE814" s="20" t="s">
        <v>50</v>
      </c>
      <c r="AF814" s="20" t="s">
        <v>4877</v>
      </c>
      <c r="AG814" s="20" t="s">
        <v>4878</v>
      </c>
      <c r="AH814" s="20" t="s">
        <v>4879</v>
      </c>
      <c r="AJ814" t="s">
        <v>5373</v>
      </c>
    </row>
    <row r="815" spans="1:36" ht="16" x14ac:dyDescent="0.2">
      <c r="A815" s="19" t="s">
        <v>3285</v>
      </c>
      <c r="B815" s="20"/>
      <c r="C815" s="20"/>
      <c r="D815" s="19" t="s">
        <v>3286</v>
      </c>
      <c r="E815" s="17" t="str">
        <f t="shared" si="119"/>
        <v>Taniguchi</v>
      </c>
      <c r="F815" s="17" t="str">
        <f t="array" ref="F815">_xlfn.LET(
 _xlpm.authors,_xlfn.TEXTBEFORE(A815," ("&amp;G815&amp;")"),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15" s="17" t="str">
        <f t="shared" si="120"/>
        <v>2022</v>
      </c>
      <c r="H815" s="17" t="str">
        <f t="shared" si="121"/>
        <v>Taniguchi_etal_2022</v>
      </c>
      <c r="I815" s="17" t="str">
        <f>_xlfn.LET(
_xlpm.doi,IF(C815&lt;&gt;"",C815,_xlfn.TEXTAFTER(A815,"https://doi.org/")),
SUBSTITUTE(
SUBSTITUTE(
SUBSTITUTE(
SUBSTITUTE(
_xlpm.doi,
"/","%2F"),
":","%3A"),
"&lt;","%3C"),
"&gt;","%3E")
)</f>
        <v>10.1371%2Fjournal.pone.0274170</v>
      </c>
      <c r="J815" s="17" t="str">
        <f t="shared" si="122"/>
        <v>Taniguchi_etal_2022_Findings</v>
      </c>
      <c r="K815" s="17" t="str">
        <f t="shared" si="125"/>
        <v>10.1371%2Fjournal.pone.0274170_Findings</v>
      </c>
      <c r="L815" s="17" t="str">
        <f t="array" ref="L815">IFERROR(INDEX(AUTO_Public_TSV_FileList!$A$1:$A$1000,MATCH(TRUE(),EXACT(K815,IFERROR(_xlfn.TEXTBEFORE(AUTO_Public_TSV_FileList!$A$1:$A$1000,".tsv"),"")),0)),"notfound")</f>
        <v>10.1371%2Fjournal.pone.0274170_Findings.tsv</v>
      </c>
      <c r="M815" s="19"/>
      <c r="N815" s="19"/>
      <c r="O815" s="20"/>
      <c r="P815" s="19"/>
      <c r="Q815" s="20"/>
      <c r="R815" s="20"/>
      <c r="S815" s="20"/>
      <c r="T815" s="20"/>
      <c r="U815" s="20"/>
      <c r="V815" s="20"/>
      <c r="W815" s="20"/>
      <c r="X815" s="20"/>
      <c r="Y815" s="20"/>
      <c r="Z815" s="19"/>
      <c r="AA815" s="19"/>
      <c r="AB815" s="19"/>
      <c r="AC815" s="19"/>
      <c r="AD815" s="19"/>
      <c r="AE815" s="19"/>
      <c r="AF815" s="19"/>
      <c r="AG815" s="20"/>
      <c r="AH815" s="20"/>
    </row>
    <row r="816" spans="1:36" ht="16" x14ac:dyDescent="0.2">
      <c r="A816" s="20" t="s">
        <v>3287</v>
      </c>
      <c r="B816" s="20"/>
      <c r="C816" s="20"/>
      <c r="D816" s="20" t="s">
        <v>86</v>
      </c>
      <c r="E816" s="18" t="str">
        <f t="shared" si="119"/>
        <v>Terhune</v>
      </c>
      <c r="F816" s="17" t="str">
        <f t="array" ref="F816">_xlfn.LET(
 _xlpm.authors,_xlfn.TEXTBEFORE(A816," ("&amp;G816&amp;")"),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816" s="17" t="str">
        <f t="shared" si="120"/>
        <v>1972</v>
      </c>
      <c r="H816" s="18" t="str">
        <f t="shared" si="121"/>
        <v>Terhune_Ronald_1972</v>
      </c>
      <c r="I816" s="18" t="str">
        <f>_xlfn.LET(_xlpm.doi,IF(C816&lt;&gt;"",C816,_xlfn.TEXTAFTER(A816,"https://doi.org/")),SUBSTITUTE(SUBSTITUTE(SUBSTITUTE(SUBSTITUTE(_xlpm.doi,"/","%2F"),":","%3A"),"&lt;","%3C"),"&gt;","%3E"))</f>
        <v>10.1139%2Fz72-077</v>
      </c>
      <c r="J816" s="18" t="str">
        <f t="shared" si="122"/>
        <v>Terhune_Ronald_1972_Table1</v>
      </c>
      <c r="K816" s="17" t="str">
        <f t="shared" si="125"/>
        <v>10.1139%2Fz72-077_Table1</v>
      </c>
      <c r="L816" s="17" t="str">
        <f t="array" ref="L816">IFERROR(INDEX(AUTO_Public_TSV_FileList!$A$1:$A$1000,MATCH(TRUE(),EXACT(K816,IFERROR(_xlfn.TEXTBEFORE(AUTO_Public_TSV_FileList!$A$1:$A$1000,".tsv"),"")),0)),"notfound")</f>
        <v>10.1139%2Fz72-077_Table1.tsv</v>
      </c>
      <c r="M816" s="20" t="s">
        <v>3288</v>
      </c>
      <c r="N816" s="20" t="s">
        <v>88</v>
      </c>
      <c r="O816" s="20" t="s">
        <v>1879</v>
      </c>
      <c r="P816" s="20" t="s">
        <v>90</v>
      </c>
      <c r="Q816" s="20"/>
      <c r="R816" s="20"/>
      <c r="S816" s="20"/>
      <c r="T816" s="20"/>
      <c r="U816" s="20"/>
      <c r="V816" s="20"/>
      <c r="W816" s="20"/>
      <c r="X816" s="20"/>
      <c r="Y816" s="20"/>
      <c r="Z816" s="20"/>
      <c r="AA816" s="20"/>
      <c r="AB816" s="20"/>
      <c r="AC816" s="20"/>
      <c r="AD816" s="20"/>
      <c r="AE816" s="20"/>
      <c r="AF816" s="20"/>
      <c r="AG816" s="20"/>
      <c r="AH816" s="20"/>
    </row>
    <row r="817" spans="1:34" ht="16" x14ac:dyDescent="0.2">
      <c r="A817" s="20" t="s">
        <v>3289</v>
      </c>
      <c r="B817" s="20"/>
      <c r="C817" s="20"/>
      <c r="D817" s="20" t="s">
        <v>86</v>
      </c>
      <c r="E817" s="18" t="str">
        <f t="shared" si="119"/>
        <v>Terhune</v>
      </c>
      <c r="F817" s="17" t="str">
        <f t="array" ref="F817">_xlfn.LET(
 _xlpm.authors,_xlfn.TEXTBEFORE(A817," ("&amp;G817&amp;")"),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817" s="17" t="str">
        <f t="shared" si="120"/>
        <v>1975</v>
      </c>
      <c r="H817" s="18" t="str">
        <f t="shared" si="121"/>
        <v>Terhune_Ronald_1975</v>
      </c>
      <c r="I817" s="18" t="str">
        <f>_xlfn.LET(_xlpm.doi,IF(C817&lt;&gt;"",C817,_xlfn.TEXTAFTER(A817,"https://doi.org/")),SUBSTITUTE(SUBSTITUTE(SUBSTITUTE(SUBSTITUTE(_xlpm.doi,"/","%2F"),":","%3A"),"&lt;","%3C"),"&gt;","%3E"))</f>
        <v>10.1139%2Fz75-028</v>
      </c>
      <c r="J817" s="18" t="str">
        <f t="shared" si="122"/>
        <v>Terhune_Ronald_1975_Table1</v>
      </c>
      <c r="K817" s="17" t="str">
        <f t="shared" si="125"/>
        <v>10.1139%2Fz75-028_Table1</v>
      </c>
      <c r="L817" s="17" t="str">
        <f t="array" ref="L817">IFERROR(INDEX(AUTO_Public_TSV_FileList!$A$1:$A$1000,MATCH(TRUE(),EXACT(K817,IFERROR(_xlfn.TEXTBEFORE(AUTO_Public_TSV_FileList!$A$1:$A$1000,".tsv"),"")),0)),"notfound")</f>
        <v>10.1139%2Fz75-028_Table1.tsv</v>
      </c>
      <c r="M817" s="20" t="s">
        <v>3290</v>
      </c>
      <c r="N817" s="20" t="s">
        <v>88</v>
      </c>
      <c r="O817" s="20" t="s">
        <v>3291</v>
      </c>
      <c r="P817" s="20" t="s">
        <v>90</v>
      </c>
      <c r="Q817" s="20"/>
      <c r="R817" s="20"/>
      <c r="S817" s="20"/>
      <c r="T817" s="20"/>
      <c r="U817" s="20"/>
      <c r="V817" s="20"/>
      <c r="W817" s="20"/>
      <c r="X817" s="20"/>
      <c r="Y817" s="20"/>
      <c r="Z817" s="20"/>
      <c r="AA817" s="20"/>
      <c r="AB817" s="20"/>
      <c r="AC817" s="20"/>
      <c r="AD817" s="20"/>
      <c r="AE817" s="20"/>
      <c r="AF817" s="20"/>
      <c r="AG817" s="20"/>
      <c r="AH817" s="20"/>
    </row>
    <row r="818" spans="1:34" ht="16" x14ac:dyDescent="0.2">
      <c r="A818" s="20" t="s">
        <v>3292</v>
      </c>
      <c r="B818" s="20"/>
      <c r="C818" s="20"/>
      <c r="D818" s="20" t="s">
        <v>439</v>
      </c>
      <c r="E818" s="18" t="str">
        <f t="shared" si="119"/>
        <v>Thomas</v>
      </c>
      <c r="F818" s="17" t="str">
        <f t="array" ref="F818">_xlfn.LET(
 _xlpm.authors,_xlfn.TEXTBEFORE(A818," ("&amp;G818&amp;")"),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18" s="17" t="str">
        <f t="shared" si="120"/>
        <v>1988</v>
      </c>
      <c r="H818" s="18" t="str">
        <f t="shared" si="121"/>
        <v>Thomas_etal_1988</v>
      </c>
      <c r="I818" s="18" t="str">
        <f>_xlfn.LET(_xlpm.doi,IF(C818&lt;&gt;"",C818,_xlfn.TEXTAFTER(A818,"https://doi.org/")),SUBSTITUTE(SUBSTITUTE(SUBSTITUTE(SUBSTITUTE(_xlpm.doi,"/","%2F"),":","%3A"),"&lt;","%3C"),"&gt;","%3E"))</f>
        <v>10.1121%2F1.396662</v>
      </c>
      <c r="J818" s="18" t="str">
        <f t="shared" si="122"/>
        <v>Thomas_etal_1988_TableI</v>
      </c>
      <c r="K818" s="17" t="str">
        <f t="shared" si="125"/>
        <v>10.1121%2F1.396662_TableI</v>
      </c>
      <c r="L818" s="17" t="str">
        <f t="array" ref="L818">IFERROR(INDEX(AUTO_Public_TSV_FileList!$A$1:$A$1000,MATCH(TRUE(),EXACT(K818,IFERROR(_xlfn.TEXTBEFORE(AUTO_Public_TSV_FileList!$A$1:$A$1000,".tsv"),"")),0)),"notfound")</f>
        <v>10.1121%2F1.396662_TableI.tsv</v>
      </c>
      <c r="M818" s="20" t="s">
        <v>3293</v>
      </c>
      <c r="N818" s="20" t="s">
        <v>88</v>
      </c>
      <c r="O818" s="20" t="s">
        <v>1879</v>
      </c>
      <c r="P818" s="20" t="s">
        <v>90</v>
      </c>
      <c r="Q818" s="20"/>
      <c r="R818" s="20"/>
      <c r="S818" s="20"/>
      <c r="T818" s="20"/>
      <c r="U818" s="20"/>
      <c r="V818" s="20"/>
      <c r="W818" s="20"/>
      <c r="X818" s="20"/>
      <c r="Y818" s="20"/>
      <c r="Z818" s="20"/>
      <c r="AA818" s="20"/>
      <c r="AB818" s="20"/>
      <c r="AC818" s="20"/>
      <c r="AD818" s="20"/>
      <c r="AE818" s="20"/>
      <c r="AF818" s="20"/>
      <c r="AG818" s="20"/>
      <c r="AH818" s="20"/>
    </row>
    <row r="819" spans="1:34" ht="16" x14ac:dyDescent="0.2">
      <c r="A819" s="19" t="s">
        <v>3294</v>
      </c>
      <c r="B819" s="20"/>
      <c r="C819" s="20"/>
      <c r="D819" s="19" t="s">
        <v>3295</v>
      </c>
      <c r="E819" s="17" t="str">
        <f t="shared" si="119"/>
        <v>Todorov</v>
      </c>
      <c r="F819" s="17" t="str">
        <f t="array" ref="F819">_xlfn.LET(
 _xlpm.authors,_xlfn.TEXTBEFORE(A819," ("&amp;G819&amp;")"),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19" s="17" t="str">
        <f t="shared" si="120"/>
        <v>2019</v>
      </c>
      <c r="H819" s="17" t="str">
        <f t="shared" si="121"/>
        <v>Todorov_etal_2019</v>
      </c>
      <c r="I819" s="17" t="str">
        <f>_xlfn.LET(
_xlpm.doi,IF(C819&lt;&gt;"",C819,_xlfn.TEXTAFTER(A819,"https://doi.org/")),
SUBSTITUTE(
SUBSTITUTE(
SUBSTITUTE(
SUBSTITUTE(
_xlpm.doi,
"/","%2F"),
":","%3A"),
"&lt;","%3C"),
"&gt;","%3E")
)</f>
        <v>10.1098%2Frspb.2019.1712</v>
      </c>
      <c r="J819" s="17" t="str">
        <f t="shared" si="122"/>
        <v>Todorov_etal_2019_rspb20191712si001</v>
      </c>
      <c r="K819" s="17" t="str">
        <f t="shared" si="125"/>
        <v>10.1098%2Frspb.2019.1712_rspb20191712si001</v>
      </c>
      <c r="L819" s="17" t="str">
        <f t="array" ref="L819">IFERROR(INDEX(AUTO_Public_TSV_FileList!$A$1:$A$1000,MATCH(TRUE(),EXACT(K819,IFERROR(_xlfn.TEXTBEFORE(AUTO_Public_TSV_FileList!$A$1:$A$1000,".tsv"),"")),0)),"notfound")</f>
        <v>notfound</v>
      </c>
      <c r="M819" s="19" t="s">
        <v>3296</v>
      </c>
      <c r="N819" s="19"/>
      <c r="O819" s="20"/>
      <c r="P819" s="19"/>
      <c r="Q819" s="20"/>
      <c r="R819" s="20"/>
      <c r="S819" s="20"/>
      <c r="T819" s="20"/>
      <c r="U819" s="20"/>
      <c r="V819" s="20"/>
      <c r="W819" s="20"/>
      <c r="X819" s="20"/>
      <c r="Y819" s="20"/>
      <c r="Z819" s="19"/>
      <c r="AA819" s="19"/>
      <c r="AB819" s="19"/>
      <c r="AC819" s="19"/>
      <c r="AD819" s="19"/>
      <c r="AE819" s="19"/>
      <c r="AF819" s="19"/>
      <c r="AG819" s="20"/>
      <c r="AH819" s="20"/>
    </row>
    <row r="820" spans="1:34" ht="16" x14ac:dyDescent="0.2">
      <c r="A820" s="21" t="s">
        <v>3297</v>
      </c>
      <c r="B820" s="21"/>
      <c r="C820" s="21" t="s">
        <v>3298</v>
      </c>
      <c r="D820" s="21" t="s">
        <v>3299</v>
      </c>
      <c r="E820" s="18" t="str">
        <f t="shared" si="119"/>
        <v>Tschudin</v>
      </c>
      <c r="F820" s="17" t="str">
        <f t="array" ref="F820">_xlfn.LET(
 _xlpm.authors,_xlfn.TEXTBEFORE(A820," ("&amp;G820&amp;")"),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20" s="17" t="str">
        <f t="shared" si="120"/>
        <v>1998</v>
      </c>
      <c r="H820" s="18" t="str">
        <f t="shared" si="121"/>
        <v>Tschudin__1998</v>
      </c>
      <c r="I820" s="18" t="str">
        <f>_xlfn.LET(_xlpm.doi,IF(C820&lt;&gt;"",C820,_xlfn.TEXTAFTER(A820,"https://doi.org/")),SUBSTITUTE(SUBSTITUTE(SUBSTITUTE(SUBSTITUTE(_xlpm.doi,"/","%2F"),":","%3A"),"&lt;","%3C"),"&gt;","%3E"))</f>
        <v>CorpusID%3A142614626</v>
      </c>
      <c r="J820" s="18" t="str">
        <f t="shared" si="122"/>
        <v>Tschudin__1998_Table2.5</v>
      </c>
      <c r="K820" s="18" t="str">
        <f t="shared" si="125"/>
        <v>CorpusID%3A142614626_Table2.5</v>
      </c>
      <c r="L820" s="17" t="str">
        <f t="array" ref="L820">IFERROR(INDEX(AUTO_Public_TSV_FileList!$A$1:$A$1000,MATCH(TRUE(),EXACT(K820,IFERROR(_xlfn.TEXTBEFORE(AUTO_Public_TSV_FileList!$A$1:$A$1000,".tsv"),"")),0)),"notfound")</f>
        <v>CorpusID%3A142614626_Table2.5.tsv</v>
      </c>
      <c r="M820" s="21" t="s">
        <v>3300</v>
      </c>
      <c r="N820" s="19" t="s">
        <v>54</v>
      </c>
      <c r="O820" s="20" t="s">
        <v>3301</v>
      </c>
      <c r="P820" s="21" t="s">
        <v>55</v>
      </c>
      <c r="Q820" s="21"/>
      <c r="R820" s="21"/>
      <c r="S820" s="21" t="s">
        <v>1061</v>
      </c>
      <c r="T820" s="21" t="s">
        <v>1062</v>
      </c>
      <c r="U820" s="21"/>
      <c r="V820" s="21" t="s">
        <v>1063</v>
      </c>
      <c r="W820" s="21" t="s">
        <v>1255</v>
      </c>
      <c r="X820" s="21" t="s">
        <v>3302</v>
      </c>
      <c r="Y820" s="21"/>
      <c r="Z820" s="21"/>
      <c r="AA820" s="21" t="s">
        <v>3303</v>
      </c>
      <c r="AB820" s="21" t="s">
        <v>3304</v>
      </c>
      <c r="AC820" s="20"/>
      <c r="AD820" s="21"/>
      <c r="AE820" s="21" t="s">
        <v>50</v>
      </c>
      <c r="AF820" s="21"/>
      <c r="AG820" s="21" t="s">
        <v>3305</v>
      </c>
      <c r="AH820" s="20"/>
    </row>
    <row r="821" spans="1:34" ht="16" x14ac:dyDescent="0.2">
      <c r="A821" s="19" t="s">
        <v>3306</v>
      </c>
      <c r="B821" s="20"/>
      <c r="C821" s="20"/>
      <c r="D821" s="19" t="s">
        <v>86</v>
      </c>
      <c r="E821" s="17" t="str">
        <f t="shared" si="119"/>
        <v>Turner</v>
      </c>
      <c r="F821" s="17" t="str">
        <f t="array" ref="F821">_xlfn.LET(
 _xlpm.authors,_xlfn.TEXTBEFORE(A821," ("&amp;G821&amp;")"),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1" s="17" t="str">
        <f t="shared" si="120"/>
        <v>2016</v>
      </c>
      <c r="H821" s="17" t="str">
        <f t="shared" si="121"/>
        <v>Turner_etal_2016</v>
      </c>
      <c r="I821" s="17" t="str">
        <f>_xlfn.LET(
_xlpm.doi,IF(C821&lt;&gt;"",C821,_xlfn.TEXTAFTER(A821,"https://doi.org/")),
SUBSTITUTE(
SUBSTITUTE(
SUBSTITUTE(
SUBSTITUTE(
_xlpm.doi,
"/","%2F"),
":","%3A"),
"&lt;","%3C"),
"&gt;","%3E")
)</f>
        <v>10.1159%2F000446762</v>
      </c>
      <c r="J821" s="17" t="str">
        <f t="shared" si="122"/>
        <v>Turner_etal_2016_Table1</v>
      </c>
      <c r="K821" s="17" t="str">
        <f t="shared" si="125"/>
        <v>10.1159%2F000446762_Table1</v>
      </c>
      <c r="L821" s="17" t="str">
        <f t="array" ref="L821">IFERROR(INDEX(AUTO_Public_TSV_FileList!$A$1:$A$1000,MATCH(TRUE(),EXACT(K821,IFERROR(_xlfn.TEXTBEFORE(AUTO_Public_TSV_FileList!$A$1:$A$1000,".tsv"),"")),0)),"notfound")</f>
        <v>10.1159%2F000446762_Table1.tsv</v>
      </c>
      <c r="M821" s="19" t="s">
        <v>3307</v>
      </c>
      <c r="N821" s="20"/>
      <c r="O821" s="20"/>
      <c r="P821" s="20" t="s">
        <v>55</v>
      </c>
      <c r="Q821" s="20"/>
      <c r="R821" s="20"/>
      <c r="S821" s="20"/>
      <c r="T821" s="20"/>
      <c r="U821" s="20"/>
      <c r="V821" s="20"/>
      <c r="W821" s="19" t="s">
        <v>224</v>
      </c>
      <c r="X821" s="19" t="s">
        <v>3308</v>
      </c>
      <c r="Y821" s="20"/>
      <c r="Z821" s="20"/>
      <c r="AA821" s="20"/>
      <c r="AB821" s="19" t="s">
        <v>264</v>
      </c>
      <c r="AC821" s="20"/>
      <c r="AD821" s="20"/>
      <c r="AE821" s="19" t="s">
        <v>50</v>
      </c>
      <c r="AF821" s="19"/>
      <c r="AG821" s="20"/>
      <c r="AH821" s="20"/>
    </row>
    <row r="822" spans="1:34" ht="16" x14ac:dyDescent="0.2">
      <c r="A822" s="20" t="s">
        <v>3309</v>
      </c>
      <c r="B822" s="20"/>
      <c r="C822" s="20"/>
      <c r="D822" s="20" t="s">
        <v>3310</v>
      </c>
      <c r="E822" s="18" t="str">
        <f t="shared" si="119"/>
        <v>Upham</v>
      </c>
      <c r="F822" s="17" t="str">
        <f t="array" ref="F822">_xlfn.LET(
 _xlpm.authors,_xlfn.TEXTBEFORE(A822," ("&amp;G822&amp;")"),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2" s="17" t="str">
        <f t="shared" si="120"/>
        <v>2019</v>
      </c>
      <c r="H822" s="18" t="str">
        <f t="shared" si="121"/>
        <v>Upham_etal_2019</v>
      </c>
      <c r="I822" s="18" t="str">
        <f>_xlfn.LET(_xlpm.doi,IF(C822&lt;&gt;"",C822,_xlfn.TEXTAFTER(A822,"https://doi.org/")),SUBSTITUTE(SUBSTITUTE(SUBSTITUTE(SUBSTITUTE(_xlpm.doi,"/","%2F"),":","%3A"),"&lt;","%3C"),"&gt;","%3E"))</f>
        <v>10.1371%2Fjournal.pbio.3000494</v>
      </c>
      <c r="J822" s="18" t="str">
        <f t="shared" si="122"/>
        <v>Upham_etal_2019_Completed100</v>
      </c>
      <c r="K822" s="17" t="str">
        <f t="shared" si="125"/>
        <v>10.1371%2Fjournal.pbio.3000494_Completed100</v>
      </c>
      <c r="L822" s="17" t="str">
        <f t="array" ref="L822">IFERROR(INDEX(AUTO_Public_TSV_FileList!$A$1:$A$1000,MATCH(TRUE(),EXACT(K822,IFERROR(_xlfn.TEXTBEFORE(AUTO_Public_TSV_FileList!$A$1:$A$1000,".tsv"),"")),0)),"notfound")</f>
        <v>notfound</v>
      </c>
      <c r="M822" s="20" t="s">
        <v>3311</v>
      </c>
      <c r="N822" s="19" t="s">
        <v>1845</v>
      </c>
      <c r="O822" s="20" t="s">
        <v>3312</v>
      </c>
      <c r="P822" s="20"/>
      <c r="Q822" s="20"/>
      <c r="R822" s="20"/>
      <c r="S822" s="20"/>
      <c r="T822" s="20"/>
      <c r="U822" s="20"/>
      <c r="V822" s="20"/>
      <c r="W822" s="20"/>
      <c r="X822" s="20"/>
      <c r="Y822" s="20"/>
      <c r="Z822" s="20"/>
      <c r="AA822" s="20"/>
      <c r="AB822" s="20"/>
      <c r="AC822" s="20"/>
      <c r="AD822" s="20"/>
      <c r="AE822" s="20"/>
      <c r="AF822" s="20"/>
      <c r="AG822" s="20"/>
      <c r="AH822" s="20"/>
    </row>
    <row r="823" spans="1:34" ht="16" x14ac:dyDescent="0.2">
      <c r="A823" s="19" t="s">
        <v>3309</v>
      </c>
      <c r="B823" s="20"/>
      <c r="C823" s="20"/>
      <c r="D823" s="19" t="s">
        <v>3313</v>
      </c>
      <c r="E823" s="18" t="str">
        <f t="shared" si="119"/>
        <v>Upham</v>
      </c>
      <c r="F823" s="17" t="str">
        <f t="array" ref="F823">_xlfn.LET(
 _xlpm.authors,_xlfn.TEXTBEFORE(A823," ("&amp;G823&amp;")"),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3" s="17" t="str">
        <f t="shared" si="120"/>
        <v>2019</v>
      </c>
      <c r="H823" s="18" t="str">
        <f t="shared" si="121"/>
        <v>Upham_etal_2019</v>
      </c>
      <c r="I823" s="18" t="str">
        <f>_xlfn.LET(_xlpm.doi,IF(C823&lt;&gt;"",C823,_xlfn.TEXTAFTER(A823,"https://doi.org/")),SUBSTITUTE(SUBSTITUTE(SUBSTITUTE(SUBSTITUTE(_xlpm.doi,"/","%2F"),":","%3A"),"&lt;","%3C"),"&gt;","%3E"))</f>
        <v>10.1371%2Fjournal.pbio.3000494</v>
      </c>
      <c r="J823" s="18" t="str">
        <f t="shared" si="122"/>
        <v>Upham_etal_2019_DNAonlyMCC</v>
      </c>
      <c r="K823" s="17" t="str">
        <f t="shared" si="125"/>
        <v>10.1371%2Fjournal.pbio.3000494_DNAonlyMCC</v>
      </c>
      <c r="L823" s="17" t="str">
        <f t="array" ref="L823">IFERROR(INDEX(AUTO_Public_TSV_FileList!$A$1:$A$1000,MATCH(TRUE(),EXACT(K823,IFERROR(_xlfn.TEXTBEFORE(AUTO_Public_TSV_FileList!$A$1:$A$1000,".tsv"),"")),0)),"notfound")</f>
        <v>10.1371%2Fjournal.pbio.3000494_DNAonlyMCC.tsv</v>
      </c>
      <c r="M823" s="19" t="s">
        <v>3314</v>
      </c>
      <c r="N823" s="19" t="s">
        <v>1845</v>
      </c>
      <c r="O823" s="20"/>
      <c r="P823" s="20" t="s">
        <v>55</v>
      </c>
      <c r="Q823" s="20"/>
      <c r="R823" s="20"/>
      <c r="S823" s="20"/>
      <c r="T823" s="20"/>
      <c r="U823" s="20"/>
      <c r="V823" s="20"/>
      <c r="W823" s="20"/>
      <c r="X823" s="20"/>
      <c r="Y823" s="20"/>
      <c r="Z823" s="20"/>
      <c r="AA823" s="20"/>
      <c r="AB823" s="20"/>
      <c r="AC823" s="20"/>
      <c r="AD823" s="20"/>
      <c r="AE823" s="20"/>
      <c r="AF823" s="20"/>
      <c r="AG823" s="20"/>
      <c r="AH823" s="20"/>
    </row>
    <row r="824" spans="1:34" ht="16" x14ac:dyDescent="0.2">
      <c r="A824" s="20" t="s">
        <v>3315</v>
      </c>
      <c r="B824" s="20"/>
      <c r="C824" s="20"/>
      <c r="D824" s="20" t="s">
        <v>3316</v>
      </c>
      <c r="E824" s="18" t="str">
        <f t="shared" si="119"/>
        <v>VanEssen</v>
      </c>
      <c r="F824" s="17" t="str">
        <f t="array" ref="F824">_xlfn.LET(
 _xlpm.authors,_xlfn.TEXTBEFORE(A824," ("&amp;G824&amp;")"),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824" s="17" t="str">
        <f t="shared" si="120"/>
        <v>1997</v>
      </c>
      <c r="H824" s="18" t="str">
        <f t="shared" si="121"/>
        <v>VanEssen_Drury_1997</v>
      </c>
      <c r="I824" s="18" t="str">
        <f>_xlfn.LET(_xlpm.doi,IF(C824&lt;&gt;"",C824,_xlfn.TEXTAFTER(A824,"https://doi.org/")),SUBSTITUTE(SUBSTITUTE(SUBSTITUTE(SUBSTITUTE(_xlpm.doi,"/","%2F"),":","%3A"),"&lt;","%3C"),"&gt;","%3E"))</f>
        <v>10.1523%2FJNEUROSCI.17-18-07079.1997</v>
      </c>
      <c r="J824" s="18" t="str">
        <f t="shared" si="122"/>
        <v>VanEssen_Drury_1997_ResultsTextCitedV1Ranges</v>
      </c>
      <c r="K824" s="17" t="str">
        <f t="shared" si="125"/>
        <v>10.1523%2FJNEUROSCI.17-18-07079.1997_ResultsTextCitedV1Ranges</v>
      </c>
      <c r="L824" s="17" t="str">
        <f t="array" ref="L824">IFERROR(INDEX(AUTO_Public_TSV_FileList!$A$1:$A$1000,MATCH(TRUE(),EXACT(K824,IFERROR(_xlfn.TEXTBEFORE(AUTO_Public_TSV_FileList!$A$1:$A$1000,".tsv"),"")),0)),"notfound")</f>
        <v>notfound</v>
      </c>
      <c r="M824" s="20" t="s">
        <v>3317</v>
      </c>
      <c r="N824" s="20" t="s">
        <v>3318</v>
      </c>
      <c r="O824" s="20" t="s">
        <v>3319</v>
      </c>
      <c r="P824" s="20" t="s">
        <v>3320</v>
      </c>
      <c r="Q824" s="20" t="s">
        <v>3321</v>
      </c>
      <c r="R824" s="20" t="s">
        <v>3322</v>
      </c>
      <c r="S824" s="20" t="s">
        <v>3323</v>
      </c>
      <c r="T824" s="20" t="s">
        <v>3324</v>
      </c>
      <c r="U824" s="20"/>
      <c r="V824" s="20" t="s">
        <v>3325</v>
      </c>
      <c r="W824" s="20" t="s">
        <v>43</v>
      </c>
      <c r="X824" s="20" t="s">
        <v>3326</v>
      </c>
      <c r="Y824" s="20"/>
      <c r="Z824" s="20" t="s">
        <v>3327</v>
      </c>
      <c r="AA824" s="20" t="s">
        <v>3328</v>
      </c>
      <c r="AB824" s="20" t="s">
        <v>3329</v>
      </c>
      <c r="AC824" s="20"/>
      <c r="AD824" s="20"/>
      <c r="AE824" s="20" t="s">
        <v>265</v>
      </c>
      <c r="AF824" s="20" t="s">
        <v>3330</v>
      </c>
      <c r="AG824" s="20"/>
      <c r="AH824" s="20"/>
    </row>
    <row r="825" spans="1:34" ht="16" x14ac:dyDescent="0.2">
      <c r="A825" s="20" t="s">
        <v>3315</v>
      </c>
      <c r="B825" s="20"/>
      <c r="C825" s="20"/>
      <c r="D825" s="20" t="s">
        <v>86</v>
      </c>
      <c r="E825" s="17" t="str">
        <f t="shared" si="119"/>
        <v>VanEssen</v>
      </c>
      <c r="F825" s="17" t="str">
        <f t="array" ref="F825">_xlfn.LET(
 _xlpm.authors,_xlfn.TEXTBEFORE(A825," ("&amp;G825&amp;")"),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825" s="17" t="str">
        <f t="shared" si="120"/>
        <v>1997</v>
      </c>
      <c r="H825" s="17" t="str">
        <f t="shared" si="121"/>
        <v>VanEssen_Drury_1997</v>
      </c>
      <c r="I825" s="17" t="str">
        <f t="shared" ref="I825:I833" si="126">_xlfn.LET(
_xlpm.doi,IF(C825&lt;&gt;"",C825,_xlfn.TEXTAFTER(A825,"https://doi.org/")),
SUBSTITUTE(
SUBSTITUTE(
SUBSTITUTE(
SUBSTITUTE(
_xlpm.doi,
"/","%2F"),
":","%3A"),
"&lt;","%3C"),
"&gt;","%3E")
)</f>
        <v>10.1523%2FJNEUROSCI.17-18-07079.1997</v>
      </c>
      <c r="J825" s="17" t="str">
        <f t="shared" si="122"/>
        <v>VanEssen_Drury_1997_Table1</v>
      </c>
      <c r="K825" s="17" t="str">
        <f t="shared" si="125"/>
        <v>10.1523%2FJNEUROSCI.17-18-07079.1997_Table1</v>
      </c>
      <c r="L825" s="17" t="str">
        <f t="array" ref="L825">IFERROR(INDEX(AUTO_Public_TSV_FileList!$A$1:$A$1000,MATCH(TRUE(),EXACT(K825,IFERROR(_xlfn.TEXTBEFORE(AUTO_Public_TSV_FileList!$A$1:$A$1000,".tsv"),"")),0)),"notfound")</f>
        <v>10.1523%2FJNEUROSCI.17-18-07079.1997_Table1.tsv</v>
      </c>
      <c r="M825" s="20" t="s">
        <v>3331</v>
      </c>
      <c r="N825" s="20"/>
      <c r="O825" s="20"/>
      <c r="P825" s="20"/>
      <c r="Q825" s="20"/>
      <c r="R825" s="20"/>
      <c r="S825" s="20"/>
      <c r="T825" s="20"/>
      <c r="U825" s="20"/>
      <c r="V825" s="20"/>
      <c r="W825" s="20"/>
      <c r="X825" s="20"/>
      <c r="Y825" s="20"/>
      <c r="Z825" s="20"/>
      <c r="AA825" s="20"/>
      <c r="AB825" s="20"/>
      <c r="AC825" s="20"/>
      <c r="AD825" s="20"/>
      <c r="AE825" s="20"/>
      <c r="AF825" s="20"/>
      <c r="AG825" s="20"/>
      <c r="AH825" s="20"/>
    </row>
    <row r="826" spans="1:34" ht="16" x14ac:dyDescent="0.2">
      <c r="A826" s="20" t="s">
        <v>3332</v>
      </c>
      <c r="B826" s="20"/>
      <c r="C826" s="20"/>
      <c r="D826" s="20" t="s">
        <v>3333</v>
      </c>
      <c r="E826" s="17" t="str">
        <f t="shared" si="119"/>
        <v>Veilleux</v>
      </c>
      <c r="F826" s="17" t="str">
        <f t="array" ref="F826">_xlfn.LET(
 _xlpm.authors,_xlfn.TEXTBEFORE(A826," ("&amp;G826&amp;")"),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826" s="17" t="str">
        <f t="shared" si="120"/>
        <v>2014</v>
      </c>
      <c r="H826" s="17" t="str">
        <f t="shared" si="121"/>
        <v>Veilleux_Kirk_2014</v>
      </c>
      <c r="I826" s="17" t="str">
        <f t="shared" si="126"/>
        <v>10.1159%2F000357830</v>
      </c>
      <c r="J826" s="17" t="str">
        <f t="shared" si="122"/>
        <v>Veilleux_Kirk_2014_SupplementalTable1</v>
      </c>
      <c r="K826" s="17" t="str">
        <f t="shared" si="125"/>
        <v>10.1159%2F000357830_SupplementalTable1</v>
      </c>
      <c r="L826" s="17" t="str">
        <f t="array" ref="L826">IFERROR(INDEX(AUTO_Public_TSV_FileList!$A$1:$A$1000,MATCH(TRUE(),EXACT(K826,IFERROR(_xlfn.TEXTBEFORE(AUTO_Public_TSV_FileList!$A$1:$A$1000,".tsv"),"")),0)),"notfound")</f>
        <v>10.1159%2F000357830_SupplementalTable1.tsv</v>
      </c>
      <c r="M826" s="20" t="s">
        <v>3334</v>
      </c>
      <c r="N826" s="19" t="s">
        <v>54</v>
      </c>
      <c r="O826" s="21" t="s">
        <v>3335</v>
      </c>
      <c r="P826" s="21"/>
      <c r="Q826" s="21"/>
      <c r="R826" s="21" t="s">
        <v>3336</v>
      </c>
      <c r="S826" s="21" t="s">
        <v>3337</v>
      </c>
      <c r="T826" s="21" t="s">
        <v>3338</v>
      </c>
      <c r="U826" s="21"/>
      <c r="V826" s="21"/>
      <c r="W826" s="21" t="s">
        <v>224</v>
      </c>
      <c r="X826" s="21" t="s">
        <v>3339</v>
      </c>
      <c r="Y826" s="21"/>
      <c r="Z826" s="21"/>
      <c r="AA826" s="21" t="s">
        <v>3340</v>
      </c>
      <c r="AB826" s="21" t="s">
        <v>3341</v>
      </c>
      <c r="AC826" s="21"/>
      <c r="AD826" s="21"/>
      <c r="AE826" s="20" t="s">
        <v>70</v>
      </c>
      <c r="AF826" s="20"/>
      <c r="AG826" s="21" t="s">
        <v>3342</v>
      </c>
      <c r="AH826" s="20"/>
    </row>
    <row r="827" spans="1:34" ht="16" x14ac:dyDescent="0.2">
      <c r="A827" s="20" t="s">
        <v>3343</v>
      </c>
      <c r="B827" s="20"/>
      <c r="C827" s="20"/>
      <c r="D827" s="20" t="s">
        <v>3344</v>
      </c>
      <c r="E827" s="18" t="str">
        <f t="shared" si="119"/>
        <v>Walhovd</v>
      </c>
      <c r="F827" s="18" t="str">
        <f t="array" ref="F827">_xlfn.LET(
 _xlpm.authors,_xlfn.TEXTBEFORE(A827," ("&amp;G827&amp;")"),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7" s="18" t="str">
        <f t="shared" si="120"/>
        <v>2011</v>
      </c>
      <c r="H827" s="18" t="str">
        <f t="shared" si="121"/>
        <v>Walhovd_etal_2011</v>
      </c>
      <c r="I827" s="18" t="str">
        <f t="shared" si="126"/>
        <v>10.1016%2Fj.neurobiolaging.2009.05.013</v>
      </c>
      <c r="J827" s="18" t="str">
        <f t="shared" si="122"/>
        <v>Walhovd_etal_2011_normativevolumes</v>
      </c>
      <c r="K827" s="18" t="str">
        <f>I827 &amp; "_" &amp; SUBSTITUTE(SUBSTITUTE(SUBSTITUTE(D827,CHAR(160),""), " ", ""), "_", "")</f>
        <v>10.1016%2Fj.neurobiolaging.2009.05.013_normativevolumes</v>
      </c>
      <c r="L827" s="17" t="str">
        <f t="array" ref="L827">IFERROR(INDEX(AUTO_Public_TSV_FileList!$A$1:$A$1000,MATCH(TRUE(),EXACT(K827,IFERROR(_xlfn.TEXTBEFORE(AUTO_Public_TSV_FileList!$A$1:$A$1000,".tsv"),"")),0)),"notfound")</f>
        <v>10.1016%2Fj.neurobiolaging.2009.05.013_normativevolumes.tsv</v>
      </c>
      <c r="M827" s="20" t="s">
        <v>3345</v>
      </c>
      <c r="N827" s="20" t="s">
        <v>3346</v>
      </c>
      <c r="O827" s="20"/>
      <c r="P827" s="20" t="s">
        <v>55</v>
      </c>
      <c r="Q827" s="20" t="s">
        <v>3347</v>
      </c>
      <c r="R827" s="20"/>
      <c r="S827" s="20"/>
      <c r="T827" s="20"/>
      <c r="U827" s="20"/>
      <c r="V827" s="20"/>
      <c r="W827" s="20" t="s">
        <v>1210</v>
      </c>
      <c r="X827" s="20"/>
      <c r="Y827" s="20"/>
      <c r="Z827" s="20" t="s">
        <v>3348</v>
      </c>
      <c r="AA827" s="20" t="s">
        <v>1881</v>
      </c>
      <c r="AB827" s="20" t="s">
        <v>177</v>
      </c>
      <c r="AC827" s="20" t="s">
        <v>3349</v>
      </c>
      <c r="AD827" s="20"/>
      <c r="AE827" s="20" t="s">
        <v>265</v>
      </c>
      <c r="AF827" s="20"/>
      <c r="AG827" s="20"/>
      <c r="AH827" s="20"/>
    </row>
    <row r="828" spans="1:34" ht="16" x14ac:dyDescent="0.2">
      <c r="A828" s="20" t="s">
        <v>3350</v>
      </c>
      <c r="B828" s="20"/>
      <c r="C828" s="20"/>
      <c r="D828" s="20" t="s">
        <v>290</v>
      </c>
      <c r="E828" s="17" t="str">
        <f t="shared" si="119"/>
        <v>Walker</v>
      </c>
      <c r="F828" s="17" t="str">
        <f t="array" ref="F828">_xlfn.LET(
 _xlpm.authors,_xlfn.TEXTBEFORE(A828," ("&amp;G828&amp;")"),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8" s="17" t="str">
        <f t="shared" si="120"/>
        <v>2006</v>
      </c>
      <c r="H828" s="17" t="str">
        <f t="shared" si="121"/>
        <v>Walker_etal_2006</v>
      </c>
      <c r="I828" s="17" t="str">
        <f t="shared" si="126"/>
        <v>10.1016%2Fj.jhevol.2006.06.002</v>
      </c>
      <c r="J828" s="17" t="str">
        <f t="shared" si="122"/>
        <v>Walker_etal_2006_Table8</v>
      </c>
      <c r="K828" s="17" t="str">
        <f t="shared" ref="K828:K873" si="127">I828 &amp; "_" &amp; SUBSTITUTE(SUBSTITUTE(SUBSTITUTE(D828,CHAR(160),"")," ",""),"_","")</f>
        <v>10.1016%2Fj.jhevol.2006.06.002_Table8</v>
      </c>
      <c r="L828" s="17" t="str">
        <f t="array" ref="L828">IFERROR(INDEX(AUTO_Public_TSV_FileList!$A$1:$A$1000,MATCH(TRUE(),EXACT(K828,IFERROR(_xlfn.TEXTBEFORE(AUTO_Public_TSV_FileList!$A$1:$A$1000,".tsv"),"")),0)),"notfound")</f>
        <v>10.1016%2Fj.jhevol.2006.06.002_Table8.tsv</v>
      </c>
      <c r="M828" s="20" t="s">
        <v>3351</v>
      </c>
      <c r="N828" s="20" t="s">
        <v>720</v>
      </c>
      <c r="O828" s="20" t="s">
        <v>3352</v>
      </c>
      <c r="P828" s="20" t="s">
        <v>299</v>
      </c>
      <c r="Q828" s="20" t="s">
        <v>3353</v>
      </c>
      <c r="R828" s="20" t="s">
        <v>3354</v>
      </c>
      <c r="S828" s="20"/>
      <c r="T828" s="20"/>
      <c r="U828" s="20"/>
      <c r="V828" s="20"/>
      <c r="W828" s="20" t="s">
        <v>3355</v>
      </c>
      <c r="X828" s="20" t="s">
        <v>3356</v>
      </c>
      <c r="Y828" s="20" t="s">
        <v>3357</v>
      </c>
      <c r="Z828" s="20" t="s">
        <v>3358</v>
      </c>
      <c r="AA828" s="20" t="s">
        <v>3359</v>
      </c>
      <c r="AB828" s="20" t="s">
        <v>3360</v>
      </c>
      <c r="AC828" s="20"/>
      <c r="AD828" s="20"/>
      <c r="AE828" s="20" t="s">
        <v>70</v>
      </c>
      <c r="AF828" s="20" t="s">
        <v>3361</v>
      </c>
      <c r="AG828" s="20"/>
      <c r="AH828" s="20"/>
    </row>
    <row r="829" spans="1:34" ht="16" x14ac:dyDescent="0.2">
      <c r="A829" s="19" t="s">
        <v>3362</v>
      </c>
      <c r="B829" s="20"/>
      <c r="C829" s="19" t="s">
        <v>3363</v>
      </c>
      <c r="D829" s="19" t="s">
        <v>3364</v>
      </c>
      <c r="E829" s="17" t="str">
        <f t="shared" si="119"/>
        <v>Weaver</v>
      </c>
      <c r="F829" s="17" t="str">
        <f t="array" ref="F829">_xlfn.LET(
 _xlpm.authors,_xlfn.TEXTBEFORE(A829," ("&amp;G829&amp;")"),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29" s="17" t="str">
        <f t="shared" si="120"/>
        <v>2001</v>
      </c>
      <c r="H829" s="17" t="str">
        <f t="shared" si="121"/>
        <v>Weaver__2001</v>
      </c>
      <c r="I829" s="17" t="str">
        <f t="shared" si="126"/>
        <v>UMI%3A3017523</v>
      </c>
      <c r="J829" s="17" t="str">
        <f t="shared" si="122"/>
        <v>Weaver__2001_NotesforTableA-15</v>
      </c>
      <c r="K829" s="17" t="str">
        <f t="shared" si="127"/>
        <v>UMI%3A3017523_NotesforTableA-15</v>
      </c>
      <c r="L829" s="17" t="str">
        <f t="array" ref="L829">IFERROR(INDEX(AUTO_Public_TSV_FileList!$A$1:$A$1000,MATCH(TRUE(),EXACT(K829,IFERROR(_xlfn.TEXTBEFORE(AUTO_Public_TSV_FileList!$A$1:$A$1000,".tsv"),"")),0)),"notfound")</f>
        <v>UMI%3A3017523_NotesforTableA-15.tsv</v>
      </c>
      <c r="M829" s="19" t="s">
        <v>3364</v>
      </c>
      <c r="N829" s="20"/>
      <c r="O829" s="20"/>
      <c r="P829" s="19" t="s">
        <v>55</v>
      </c>
      <c r="Q829" s="20"/>
      <c r="R829" s="20"/>
      <c r="S829" s="20"/>
      <c r="T829" s="20"/>
      <c r="U829" s="20"/>
      <c r="V829" s="20"/>
      <c r="W829" s="20"/>
      <c r="X829" s="20"/>
      <c r="Y829" s="20"/>
      <c r="Z829" s="20"/>
      <c r="AA829" s="20"/>
      <c r="AB829" s="20"/>
      <c r="AC829" s="20"/>
      <c r="AD829" s="20"/>
      <c r="AE829" s="20"/>
      <c r="AF829" s="20"/>
      <c r="AG829" s="20"/>
      <c r="AH829" s="20"/>
    </row>
    <row r="830" spans="1:34" ht="16" x14ac:dyDescent="0.2">
      <c r="A830" s="19" t="s">
        <v>3362</v>
      </c>
      <c r="B830" s="20"/>
      <c r="C830" s="19" t="s">
        <v>3363</v>
      </c>
      <c r="D830" s="19" t="s">
        <v>3365</v>
      </c>
      <c r="E830" s="17" t="str">
        <f t="shared" si="119"/>
        <v>Weaver</v>
      </c>
      <c r="F830" s="17" t="str">
        <f t="array" ref="F830">_xlfn.LET(
 _xlpm.authors,_xlfn.TEXTBEFORE(A830," ("&amp;G830&amp;")"),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30" s="17" t="str">
        <f t="shared" si="120"/>
        <v>2001</v>
      </c>
      <c r="H830" s="17" t="str">
        <f t="shared" si="121"/>
        <v>Weaver__2001</v>
      </c>
      <c r="I830" s="17" t="str">
        <f t="shared" si="126"/>
        <v>UMI%3A3017523</v>
      </c>
      <c r="J830" s="17" t="str">
        <f t="shared" si="122"/>
        <v>Weaver__2001_TableA-11</v>
      </c>
      <c r="K830" s="17" t="str">
        <f t="shared" si="127"/>
        <v>UMI%3A3017523_TableA-11</v>
      </c>
      <c r="L830" s="17" t="str">
        <f t="array" ref="L830">IFERROR(INDEX(AUTO_Public_TSV_FileList!$A$1:$A$1000,MATCH(TRUE(),EXACT(K830,IFERROR(_xlfn.TEXTBEFORE(AUTO_Public_TSV_FileList!$A$1:$A$1000,".tsv"),"")),0)),"notfound")</f>
        <v>UMI%3A3017523_TableA-11.tsv</v>
      </c>
      <c r="M830" s="19" t="s">
        <v>3366</v>
      </c>
      <c r="N830" s="20"/>
      <c r="O830" s="20"/>
      <c r="P830" s="19" t="s">
        <v>55</v>
      </c>
      <c r="Q830" s="20"/>
      <c r="R830" s="20"/>
      <c r="S830" s="20"/>
      <c r="T830" s="20"/>
      <c r="U830" s="20"/>
      <c r="V830" s="20"/>
      <c r="W830" s="20"/>
      <c r="X830" s="20"/>
      <c r="Y830" s="20"/>
      <c r="Z830" s="20"/>
      <c r="AA830" s="20"/>
      <c r="AB830" s="20"/>
      <c r="AC830" s="20"/>
      <c r="AD830" s="20"/>
      <c r="AE830" s="20"/>
      <c r="AF830" s="20"/>
      <c r="AG830" s="20"/>
      <c r="AH830" s="20"/>
    </row>
    <row r="831" spans="1:34" ht="16" x14ac:dyDescent="0.2">
      <c r="A831" s="19" t="s">
        <v>3362</v>
      </c>
      <c r="B831" s="20"/>
      <c r="C831" s="19" t="s">
        <v>3363</v>
      </c>
      <c r="D831" s="19" t="s">
        <v>3367</v>
      </c>
      <c r="E831" s="17" t="str">
        <f t="shared" si="119"/>
        <v>Weaver</v>
      </c>
      <c r="F831" s="17" t="str">
        <f t="array" ref="F831">_xlfn.LET(
 _xlpm.authors,_xlfn.TEXTBEFORE(A831," ("&amp;G831&amp;")"),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31" s="17" t="str">
        <f t="shared" si="120"/>
        <v>2001</v>
      </c>
      <c r="H831" s="17" t="str">
        <f t="shared" si="121"/>
        <v>Weaver__2001</v>
      </c>
      <c r="I831" s="17" t="str">
        <f t="shared" si="126"/>
        <v>UMI%3A3017523</v>
      </c>
      <c r="J831" s="17" t="str">
        <f t="shared" si="122"/>
        <v>Weaver__2001_TableA-15</v>
      </c>
      <c r="K831" s="17" t="str">
        <f t="shared" si="127"/>
        <v>UMI%3A3017523_TableA-15</v>
      </c>
      <c r="L831" s="17" t="str">
        <f t="array" ref="L831">IFERROR(INDEX(AUTO_Public_TSV_FileList!$A$1:$A$1000,MATCH(TRUE(),EXACT(K831,IFERROR(_xlfn.TEXTBEFORE(AUTO_Public_TSV_FileList!$A$1:$A$1000,".tsv"),"")),0)),"notfound")</f>
        <v>UMI%3A3017523_TableA-15.tsv</v>
      </c>
      <c r="M831" s="19" t="s">
        <v>3368</v>
      </c>
      <c r="N831" s="20"/>
      <c r="O831" s="20"/>
      <c r="P831" s="19" t="s">
        <v>55</v>
      </c>
      <c r="Q831" s="20"/>
      <c r="R831" s="20"/>
      <c r="S831" s="20"/>
      <c r="T831" s="20"/>
      <c r="U831" s="20"/>
      <c r="V831" s="20"/>
      <c r="W831" s="20"/>
      <c r="X831" s="20"/>
      <c r="Y831" s="20"/>
      <c r="Z831" s="20"/>
      <c r="AA831" s="20"/>
      <c r="AB831" s="20"/>
      <c r="AC831" s="20"/>
      <c r="AD831" s="20"/>
      <c r="AE831" s="20"/>
      <c r="AF831" s="20"/>
      <c r="AG831" s="20"/>
      <c r="AH831" s="20"/>
    </row>
    <row r="832" spans="1:34" ht="16" x14ac:dyDescent="0.2">
      <c r="A832" s="20" t="s">
        <v>3369</v>
      </c>
      <c r="B832" s="20"/>
      <c r="C832" s="20"/>
      <c r="D832" s="20" t="s">
        <v>86</v>
      </c>
      <c r="E832" s="17" t="str">
        <f t="shared" si="119"/>
        <v>Weibel</v>
      </c>
      <c r="F832" s="17" t="str">
        <f t="array" ref="F832">_xlfn.LET(
 _xlpm.authors,_xlfn.TEXTBEFORE(A832," ("&amp;G832&amp;")"),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2" s="17" t="str">
        <f t="shared" si="120"/>
        <v>2004</v>
      </c>
      <c r="H832" s="17" t="str">
        <f t="shared" si="121"/>
        <v>Weibel_etal_2004</v>
      </c>
      <c r="I832" s="17" t="str">
        <f t="shared" si="126"/>
        <v>10.1016%2Fj.resp.2004.01.006</v>
      </c>
      <c r="J832" s="17" t="str">
        <f t="shared" si="122"/>
        <v>Weibel_etal_2004_Table1</v>
      </c>
      <c r="K832" s="17" t="str">
        <f t="shared" si="127"/>
        <v>10.1016%2Fj.resp.2004.01.006_Table1</v>
      </c>
      <c r="L832" s="17" t="str">
        <f t="array" ref="L832">IFERROR(INDEX(AUTO_Public_TSV_FileList!$A$1:$A$1000,MATCH(TRUE(),EXACT(K832,IFERROR(_xlfn.TEXTBEFORE(AUTO_Public_TSV_FileList!$A$1:$A$1000,".tsv"),"")),0)),"notfound")</f>
        <v>10.1016%2Fj.resp.2004.01.006_Table1.tsv</v>
      </c>
      <c r="M832" s="20" t="s">
        <v>3370</v>
      </c>
      <c r="N832" s="20"/>
      <c r="O832" s="20"/>
      <c r="P832" s="20"/>
      <c r="Q832" s="20"/>
      <c r="R832" s="20"/>
      <c r="S832" s="20"/>
      <c r="T832" s="20"/>
      <c r="U832" s="20"/>
      <c r="V832" s="20"/>
      <c r="W832" s="20"/>
      <c r="X832" s="20"/>
      <c r="Y832" s="20"/>
      <c r="Z832" s="20"/>
      <c r="AA832" s="20"/>
      <c r="AB832" s="20"/>
      <c r="AC832" s="20"/>
      <c r="AD832" s="20"/>
      <c r="AE832" s="20"/>
      <c r="AF832" s="20"/>
      <c r="AG832" s="20"/>
      <c r="AH832" s="20"/>
    </row>
    <row r="833" spans="1:37" ht="16" x14ac:dyDescent="0.2">
      <c r="A833" s="20" t="s">
        <v>3369</v>
      </c>
      <c r="B833" s="20"/>
      <c r="C833" s="20"/>
      <c r="D833" s="20" t="s">
        <v>3371</v>
      </c>
      <c r="E833" s="17" t="str">
        <f t="shared" si="119"/>
        <v>Weibel</v>
      </c>
      <c r="F833" s="17" t="str">
        <f t="array" ref="F833">_xlfn.LET(
 _xlpm.authors,_xlfn.TEXTBEFORE(A833," ("&amp;G833&amp;")"),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3" s="17" t="str">
        <f t="shared" si="120"/>
        <v>2004</v>
      </c>
      <c r="H833" s="17" t="str">
        <f t="shared" si="121"/>
        <v>Weibel_etal_2004</v>
      </c>
      <c r="I833" s="17" t="str">
        <f t="shared" si="126"/>
        <v>10.1016%2Fj.resp.2004.01.006</v>
      </c>
      <c r="J833" s="17" t="str">
        <f t="shared" si="122"/>
        <v>Weibel_etal_2004_TableA.1</v>
      </c>
      <c r="K833" s="17" t="str">
        <f t="shared" si="127"/>
        <v>10.1016%2Fj.resp.2004.01.006_TableA.1</v>
      </c>
      <c r="L833" s="17" t="str">
        <f t="array" ref="L833">IFERROR(INDEX(AUTO_Public_TSV_FileList!$A$1:$A$1000,MATCH(TRUE(),EXACT(K833,IFERROR(_xlfn.TEXTBEFORE(AUTO_Public_TSV_FileList!$A$1:$A$1000,".tsv"),"")),0)),"notfound")</f>
        <v>10.1016%2Fj.resp.2004.01.006_TableA.1.tsv</v>
      </c>
      <c r="M833" s="20" t="s">
        <v>3372</v>
      </c>
      <c r="N833" s="20"/>
      <c r="O833" s="20"/>
      <c r="P833" s="20"/>
      <c r="Q833" s="20"/>
      <c r="R833" s="20"/>
      <c r="S833" s="20"/>
      <c r="T833" s="20"/>
      <c r="U833" s="20"/>
      <c r="V833" s="20"/>
      <c r="W833" s="20"/>
      <c r="X833" s="20"/>
      <c r="Y833" s="20"/>
      <c r="Z833" s="20"/>
      <c r="AA833" s="20"/>
      <c r="AB833" s="20"/>
      <c r="AC833" s="20"/>
      <c r="AD833" s="20"/>
      <c r="AE833" s="20"/>
      <c r="AF833" s="20"/>
      <c r="AG833" s="20"/>
      <c r="AH833" s="20"/>
    </row>
    <row r="834" spans="1:37" ht="16" x14ac:dyDescent="0.2">
      <c r="A834" s="20" t="s">
        <v>3373</v>
      </c>
      <c r="B834" s="20"/>
      <c r="C834" s="20" t="s">
        <v>3374</v>
      </c>
      <c r="D834" s="20" t="s">
        <v>3375</v>
      </c>
      <c r="E834" s="18" t="str">
        <f t="shared" ref="E834:E873" si="128">SUBSTITUTE(SUBSTITUTE(_xlfn.TEXTBEFORE(A834,","), "-", ""), " ", "")</f>
        <v>Weigl</v>
      </c>
      <c r="F834" s="17" t="str">
        <f t="array" ref="F834">_xlfn.LET(
 _xlpm.authors,_xlfn.TEXTBEFORE(A834," ("&amp;G834&amp;")"),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34" s="17" t="str">
        <f t="shared" ref="G834:G873" si="129">_xlfn.TEXTBEFORE(_xlfn.TEXTAFTER(A834, "("), ")")</f>
        <v>2005</v>
      </c>
      <c r="H834" s="18" t="str">
        <f t="shared" ref="H834:H873" si="130">SUBSTITUTE(SUBSTITUTE(E834 &amp; IF(F834&lt;&gt;"", "_" &amp; SUBSTITUTE(F834," ",""), "_") &amp; IF(G834&lt;&gt;"", "_" &amp; G834, "_") &amp; IF(B834&lt;&gt;"", "_" &amp; B834, ""),"'",""),"’","")</f>
        <v>Weigl__2005</v>
      </c>
      <c r="I834" s="18" t="str">
        <f>_xlfn.LET(_xlpm.doi,IF(C834&lt;&gt;"",C834,_xlfn.TEXTAFTER(A834,"https://doi.org/")),SUBSTITUTE(SUBSTITUTE(SUBSTITUTE(SUBSTITUTE(_xlpm.doi,"/","%2F"),":","%3A"),"&lt;","%3C"),"&gt;","%3E"))</f>
        <v>ISBN%3A9783510613793</v>
      </c>
      <c r="J834" s="18" t="str">
        <f t="shared" ref="J834:J873" si="131">TRIM(_xlfn.TEXTJOIN("_",FALSE(),H834,(SUBSTITUTE(SUBSTITUTE(D834," ",""), "_", ""))))</f>
        <v>Weigl__2005_Records</v>
      </c>
      <c r="K834" s="17" t="str">
        <f t="shared" si="127"/>
        <v>ISBN%3A9783510613793_Records</v>
      </c>
      <c r="L834" s="17" t="str">
        <f t="array" ref="L834">IFERROR(INDEX(AUTO_Public_TSV_FileList!$A$1:$A$1000,MATCH(TRUE(),EXACT(K834,IFERROR(_xlfn.TEXTBEFORE(AUTO_Public_TSV_FileList!$A$1:$A$1000,".tsv"),"")),0)),"notfound")</f>
        <v>ISBN%3A9783510613793_Records.tsv</v>
      </c>
      <c r="M834" s="20" t="s">
        <v>3376</v>
      </c>
      <c r="N834" s="20" t="s">
        <v>3377</v>
      </c>
      <c r="O834" s="20" t="s">
        <v>3378</v>
      </c>
      <c r="P834" s="20" t="s">
        <v>3379</v>
      </c>
      <c r="Q834" s="20" t="s">
        <v>3380</v>
      </c>
      <c r="R834" s="20"/>
      <c r="S834" s="20"/>
      <c r="T834" s="20"/>
      <c r="U834" s="20" t="s">
        <v>3381</v>
      </c>
      <c r="V834" s="20" t="s">
        <v>3382</v>
      </c>
      <c r="W834" s="20" t="s">
        <v>319</v>
      </c>
      <c r="X834" s="20" t="s">
        <v>3383</v>
      </c>
      <c r="Y834" s="20" t="s">
        <v>3384</v>
      </c>
      <c r="Z834" s="20" t="s">
        <v>3385</v>
      </c>
      <c r="AA834" s="20" t="s">
        <v>3386</v>
      </c>
      <c r="AB834" s="20" t="s">
        <v>3387</v>
      </c>
      <c r="AC834" s="20"/>
      <c r="AD834" s="20"/>
      <c r="AE834" s="20" t="s">
        <v>265</v>
      </c>
      <c r="AF834" s="20" t="s">
        <v>3388</v>
      </c>
      <c r="AG834" s="20" t="s">
        <v>3389</v>
      </c>
      <c r="AH834" s="20"/>
    </row>
    <row r="835" spans="1:37" ht="16" x14ac:dyDescent="0.2">
      <c r="A835" s="20" t="s">
        <v>3390</v>
      </c>
      <c r="B835" s="20"/>
      <c r="C835" s="20"/>
      <c r="D835" s="20" t="s">
        <v>3391</v>
      </c>
      <c r="E835" s="17" t="str">
        <f t="shared" si="128"/>
        <v>Weisbecker</v>
      </c>
      <c r="F835" s="17" t="str">
        <f t="array" ref="F835">_xlfn.LET(
 _xlpm.authors,_xlfn.TEXTBEFORE(A835," ("&amp;G835&amp;")"),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835" s="17" t="str">
        <f t="shared" si="129"/>
        <v>2010</v>
      </c>
      <c r="H835" s="17" t="str">
        <f t="shared" si="130"/>
        <v>Weisbecker_Goswami_2010</v>
      </c>
      <c r="I835" s="17" t="str">
        <f>_xlfn.LET(
_xlpm.doi,IF(C835&lt;&gt;"",C835,_xlfn.TEXTAFTER(A835,"https://doi.org/")),
SUBSTITUTE(
SUBSTITUTE(
SUBSTITUTE(
SUBSTITUTE(
_xlpm.doi,
"/","%2F"),
":","%3A"),
"&lt;","%3C"),
"&gt;","%3E")
)</f>
        <v>10.1073%2Fpnas.0906486107</v>
      </c>
      <c r="J835" s="17" t="str">
        <f t="shared" si="131"/>
        <v>Weisbecker_Goswami_2010_TableS6</v>
      </c>
      <c r="K835" s="17" t="str">
        <f t="shared" si="127"/>
        <v>10.1073%2Fpnas.0906486107_TableS6</v>
      </c>
      <c r="L835" s="17" t="str">
        <f t="array" ref="L835">IFERROR(INDEX(AUTO_Public_TSV_FileList!$A$1:$A$1000,MATCH(TRUE(),EXACT(K835,IFERROR(_xlfn.TEXTBEFORE(AUTO_Public_TSV_FileList!$A$1:$A$1000,".tsv"),"")),0)),"notfound")</f>
        <v>10.1073%2Fpnas.0906486107_TableS6.tsv</v>
      </c>
      <c r="M835" s="20" t="s">
        <v>3392</v>
      </c>
      <c r="N835" s="20" t="s">
        <v>3393</v>
      </c>
      <c r="O835" s="20" t="s">
        <v>3394</v>
      </c>
      <c r="P835" s="20" t="s">
        <v>299</v>
      </c>
      <c r="Q835" s="20" t="s">
        <v>3395</v>
      </c>
      <c r="R835" s="20" t="s">
        <v>3396</v>
      </c>
      <c r="S835" s="20"/>
      <c r="T835" s="20"/>
      <c r="U835" s="20"/>
      <c r="V835" s="20"/>
      <c r="W835" s="20" t="s">
        <v>926</v>
      </c>
      <c r="X835" s="20" t="s">
        <v>3397</v>
      </c>
      <c r="Y835" s="20"/>
      <c r="Z835" s="20" t="s">
        <v>1565</v>
      </c>
      <c r="AA835" s="20" t="s">
        <v>1565</v>
      </c>
      <c r="AB835" s="20" t="s">
        <v>3398</v>
      </c>
      <c r="AC835" s="20"/>
      <c r="AD835" s="20"/>
      <c r="AE835" s="20" t="s">
        <v>265</v>
      </c>
      <c r="AF835" s="20" t="s">
        <v>3399</v>
      </c>
      <c r="AG835" s="20"/>
      <c r="AH835" s="20"/>
    </row>
    <row r="836" spans="1:37" ht="16" x14ac:dyDescent="0.2">
      <c r="A836" s="20" t="s">
        <v>3594</v>
      </c>
      <c r="B836" s="20"/>
      <c r="C836" s="20"/>
      <c r="D836" s="20" t="s">
        <v>554</v>
      </c>
      <c r="E836" s="18" t="str">
        <f t="shared" si="128"/>
        <v>Weisbecker</v>
      </c>
      <c r="F836" s="17" t="str">
        <f t="array" ref="F836">_xlfn.LET(
 _xlpm.authors,_xlfn.TEXTBEFORE(A836," ("&amp;G836&amp;")"),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6" s="17" t="str">
        <f t="shared" si="129"/>
        <v>2013</v>
      </c>
      <c r="H836" s="18" t="str">
        <f t="shared" si="130"/>
        <v>Weisbecker_etal_2013</v>
      </c>
      <c r="I836" s="18" t="str">
        <f t="shared" ref="I836:I845" si="132">_xlfn.LET(_xlpm.doi,IF(C836&lt;&gt;"",C836,_xlfn.TEXTAFTER(A836,"https://doi.org/")),SUBSTITUTE(SUBSTITUTE(SUBSTITUTE(SUBSTITUTE(_xlpm.doi,"/","%2F"),":","%3A"),"&lt;","%3C"),"&gt;","%3E"))</f>
        <v>10.1159%2F000348647</v>
      </c>
      <c r="J836" s="18" t="str">
        <f t="shared" si="131"/>
        <v>Weisbecker_etal_2013_TableS1</v>
      </c>
      <c r="K836" s="17" t="str">
        <f t="shared" si="127"/>
        <v>10.1159%2F000348647_TableS1</v>
      </c>
      <c r="L836" s="17" t="str">
        <f t="array" ref="L836">IFERROR(INDEX(AUTO_Public_TSV_FileList!$A$1:$A$1000,MATCH(TRUE(),EXACT(K836,IFERROR(_xlfn.TEXTBEFORE(AUTO_Public_TSV_FileList!$A$1:$A$1000,".tsv"),"")),0)),"notfound")</f>
        <v>10.1159%2F000348647_TableS1.tsv</v>
      </c>
      <c r="M836" s="20" t="s">
        <v>3595</v>
      </c>
      <c r="N836" s="20" t="s">
        <v>3596</v>
      </c>
      <c r="O836" s="20" t="s">
        <v>3552</v>
      </c>
      <c r="P836" s="20" t="s">
        <v>3484</v>
      </c>
      <c r="Q836" s="20" t="s">
        <v>3597</v>
      </c>
      <c r="R836" s="20" t="s">
        <v>3598</v>
      </c>
      <c r="S836" s="20"/>
      <c r="T836" s="20"/>
      <c r="U836" s="20" t="s">
        <v>3599</v>
      </c>
      <c r="V836" s="20" t="s">
        <v>3600</v>
      </c>
      <c r="W836" s="20" t="s">
        <v>1321</v>
      </c>
      <c r="X836" s="20" t="s">
        <v>3600</v>
      </c>
      <c r="Y836" s="20"/>
      <c r="Z836" s="20"/>
      <c r="AA836" s="20" t="s">
        <v>3601</v>
      </c>
      <c r="AB836" s="20"/>
      <c r="AC836" s="20" t="s">
        <v>3602</v>
      </c>
      <c r="AD836" s="20" t="s">
        <v>75</v>
      </c>
      <c r="AE836" s="20" t="s">
        <v>265</v>
      </c>
      <c r="AF836" s="20" t="s">
        <v>3603</v>
      </c>
      <c r="AG836" s="20"/>
      <c r="AH836" s="20" t="s">
        <v>352</v>
      </c>
    </row>
    <row r="837" spans="1:37" ht="16" x14ac:dyDescent="0.2">
      <c r="A837" s="20" t="s">
        <v>3400</v>
      </c>
      <c r="B837" s="20"/>
      <c r="C837" s="20"/>
      <c r="D837" s="20" t="s">
        <v>2135</v>
      </c>
      <c r="E837" s="18" t="str">
        <f t="shared" si="128"/>
        <v>Wenstrup</v>
      </c>
      <c r="F837" s="17" t="str">
        <f t="array" ref="F837">_xlfn.LET(
 _xlpm.authors,_xlfn.TEXTBEFORE(A837," ("&amp;G837&amp;")"),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37" s="17" t="str">
        <f t="shared" si="129"/>
        <v>1984</v>
      </c>
      <c r="H837" s="18" t="str">
        <f t="shared" si="130"/>
        <v>Wenstrup__1984</v>
      </c>
      <c r="I837" s="18" t="str">
        <f t="shared" si="132"/>
        <v>10.1007%2FBf00610934</v>
      </c>
      <c r="J837" s="18" t="str">
        <f t="shared" si="131"/>
        <v>Wenstrup__1984_Figure8</v>
      </c>
      <c r="K837" s="17" t="str">
        <f t="shared" si="127"/>
        <v>10.1007%2FBf00610934_Figure8</v>
      </c>
      <c r="L837" s="17" t="str">
        <f t="array" ref="L837">IFERROR(INDEX(AUTO_Public_TSV_FileList!$A$1:$A$1000,MATCH(TRUE(),EXACT(K837,IFERROR(_xlfn.TEXTBEFORE(AUTO_Public_TSV_FileList!$A$1:$A$1000,".tsv"),"")),0)),"notfound")</f>
        <v>notfound</v>
      </c>
      <c r="M837" s="20" t="s">
        <v>3401</v>
      </c>
      <c r="N837" s="20" t="s">
        <v>541</v>
      </c>
      <c r="O837" s="20" t="s">
        <v>3402</v>
      </c>
      <c r="P837" s="20" t="s">
        <v>133</v>
      </c>
      <c r="Q837" s="20"/>
      <c r="R837" s="20" t="s">
        <v>3403</v>
      </c>
      <c r="S837" s="20"/>
      <c r="T837" s="20"/>
      <c r="U837" s="20"/>
      <c r="V837" s="20" t="s">
        <v>101</v>
      </c>
      <c r="W837" s="20" t="s">
        <v>3404</v>
      </c>
      <c r="X837" s="20" t="s">
        <v>1095</v>
      </c>
      <c r="Y837" s="20"/>
      <c r="Z837" s="20" t="s">
        <v>1406</v>
      </c>
      <c r="AA837" s="20" t="s">
        <v>1565</v>
      </c>
      <c r="AB837" s="20" t="s">
        <v>3405</v>
      </c>
      <c r="AC837" s="20" t="s">
        <v>3406</v>
      </c>
      <c r="AD837" s="20"/>
      <c r="AE837" s="20" t="s">
        <v>265</v>
      </c>
      <c r="AF837" s="20" t="s">
        <v>3407</v>
      </c>
      <c r="AG837" s="20" t="s">
        <v>1500</v>
      </c>
      <c r="AH837" s="20"/>
    </row>
    <row r="838" spans="1:37" ht="16" x14ac:dyDescent="0.2">
      <c r="A838" s="20" t="s">
        <v>3400</v>
      </c>
      <c r="B838" s="20"/>
      <c r="C838" s="20"/>
      <c r="D838" s="20" t="s">
        <v>3408</v>
      </c>
      <c r="E838" s="18" t="str">
        <f t="shared" si="128"/>
        <v>Wenstrup</v>
      </c>
      <c r="F838" s="17" t="str">
        <f t="array" ref="F838">_xlfn.LET(
 _xlpm.authors,_xlfn.TEXTBEFORE(A838," ("&amp;G838&amp;")"),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38" s="17" t="str">
        <f t="shared" si="129"/>
        <v>1984</v>
      </c>
      <c r="H838" s="18" t="str">
        <f t="shared" si="130"/>
        <v>Wenstrup__1984</v>
      </c>
      <c r="I838" s="18" t="str">
        <f t="shared" si="132"/>
        <v>10.1007%2FBf00610934</v>
      </c>
      <c r="J838" s="18" t="str">
        <f t="shared" si="131"/>
        <v>Wenstrup__1984_Figures3-5</v>
      </c>
      <c r="K838" s="17" t="str">
        <f t="shared" si="127"/>
        <v>10.1007%2FBf00610934_Figures3-5</v>
      </c>
      <c r="L838" s="17" t="str">
        <f t="array" ref="L838">IFERROR(INDEX(AUTO_Public_TSV_FileList!$A$1:$A$1000,MATCH(TRUE(),EXACT(K838,IFERROR(_xlfn.TEXTBEFORE(AUTO_Public_TSV_FileList!$A$1:$A$1000,".tsv"),"")),0)),"notfound")</f>
        <v>10.1007%2FBf00610934_Figures3-5.tsv</v>
      </c>
      <c r="M838" s="20" t="s">
        <v>3409</v>
      </c>
      <c r="N838" s="20" t="s">
        <v>541</v>
      </c>
      <c r="O838" s="20" t="s">
        <v>3410</v>
      </c>
      <c r="P838" s="20" t="s">
        <v>90</v>
      </c>
      <c r="Q838" s="20"/>
      <c r="R838" s="20" t="s">
        <v>3403</v>
      </c>
      <c r="S838" s="20"/>
      <c r="T838" s="20"/>
      <c r="U838" s="20"/>
      <c r="V838" s="20" t="s">
        <v>101</v>
      </c>
      <c r="W838" s="20" t="s">
        <v>3411</v>
      </c>
      <c r="X838" s="20" t="s">
        <v>1095</v>
      </c>
      <c r="Y838" s="20"/>
      <c r="Z838" s="20" t="s">
        <v>445</v>
      </c>
      <c r="AA838" s="20" t="s">
        <v>3412</v>
      </c>
      <c r="AB838" s="20" t="s">
        <v>1097</v>
      </c>
      <c r="AC838" s="20" t="s">
        <v>3406</v>
      </c>
      <c r="AD838" s="20"/>
      <c r="AE838" s="20" t="s">
        <v>50</v>
      </c>
      <c r="AF838" s="20"/>
      <c r="AG838" s="20" t="s">
        <v>449</v>
      </c>
      <c r="AH838" s="20"/>
    </row>
    <row r="839" spans="1:37" ht="16" x14ac:dyDescent="0.2">
      <c r="A839" s="20" t="s">
        <v>3519</v>
      </c>
      <c r="B839" s="20"/>
      <c r="C839" s="20"/>
      <c r="D839" s="20" t="s">
        <v>35</v>
      </c>
      <c r="E839" s="18" t="str">
        <f t="shared" si="128"/>
        <v>West</v>
      </c>
      <c r="F839" s="17" t="str">
        <f t="array" ref="F839">_xlfn.LET(
 _xlpm.authors,_xlfn.TEXTBEFORE(A839," ("&amp;G839&amp;")"),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Gundersen</v>
      </c>
      <c r="G839" s="17" t="str">
        <f t="shared" si="129"/>
        <v>1990</v>
      </c>
      <c r="H839" s="18" t="str">
        <f t="shared" si="130"/>
        <v>West_Gundersen_1990</v>
      </c>
      <c r="I839" s="18" t="str">
        <f t="shared" si="132"/>
        <v>10.1002%2Fcne.902960102</v>
      </c>
      <c r="J839" s="18" t="str">
        <f t="shared" si="131"/>
        <v>West_Gundersen_1990_Table1</v>
      </c>
      <c r="K839" s="17" t="str">
        <f t="shared" si="127"/>
        <v>10.1002%2Fcne.902960102_Table1</v>
      </c>
      <c r="L839" s="17" t="str">
        <f t="array" ref="L839">IFERROR(INDEX(AUTO_Public_TSV_FileList!$A$1:$A$1000,MATCH(TRUE(),EXACT(K839,IFERROR(_xlfn.TEXTBEFORE(AUTO_Public_TSV_FileList!$A$1:$A$1000,".tsv"),"")),0)),"notfound")</f>
        <v>10.1002%2Fcne.902960102_Table1.tsv</v>
      </c>
      <c r="M839" s="20" t="s">
        <v>3520</v>
      </c>
      <c r="N839" s="20" t="s">
        <v>3482</v>
      </c>
      <c r="O839" s="20" t="s">
        <v>3483</v>
      </c>
      <c r="P839" s="20" t="s">
        <v>3484</v>
      </c>
      <c r="Q839" s="20" t="s">
        <v>3521</v>
      </c>
      <c r="R839" s="20" t="s">
        <v>3522</v>
      </c>
      <c r="S839" s="20"/>
      <c r="T839" s="20"/>
      <c r="U839" s="20"/>
      <c r="V839" s="20" t="s">
        <v>3523</v>
      </c>
      <c r="W839" s="20" t="s">
        <v>43</v>
      </c>
      <c r="X839" s="20" t="s">
        <v>3523</v>
      </c>
      <c r="Y839" s="20"/>
      <c r="Z839" s="20"/>
      <c r="AA839" s="20" t="s">
        <v>3524</v>
      </c>
      <c r="AB839" s="20"/>
      <c r="AC839" s="20" t="s">
        <v>3518</v>
      </c>
      <c r="AD839" s="20" t="s">
        <v>3518</v>
      </c>
      <c r="AE839" s="20" t="s">
        <v>50</v>
      </c>
      <c r="AF839" s="20"/>
      <c r="AG839" s="20"/>
      <c r="AH839" s="20" t="s">
        <v>3490</v>
      </c>
    </row>
    <row r="840" spans="1:37" ht="16" x14ac:dyDescent="0.2">
      <c r="A840" s="20" t="s">
        <v>3519</v>
      </c>
      <c r="B840" s="20"/>
      <c r="C840" s="20"/>
      <c r="D840" s="20" t="s">
        <v>2170</v>
      </c>
      <c r="E840" s="18" t="str">
        <f t="shared" si="128"/>
        <v>West</v>
      </c>
      <c r="F840" s="17" t="str">
        <f t="array" ref="F840">_xlfn.LET(
 _xlpm.authors,_xlfn.TEXTBEFORE(A840," ("&amp;G840&amp;")"),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Gundersen</v>
      </c>
      <c r="G840" s="17" t="str">
        <f t="shared" si="129"/>
        <v>1990</v>
      </c>
      <c r="H840" s="18" t="str">
        <f t="shared" si="130"/>
        <v>West_Gundersen_1990</v>
      </c>
      <c r="I840" s="18" t="str">
        <f t="shared" si="132"/>
        <v>10.1002%2Fcne.902960102</v>
      </c>
      <c r="J840" s="18" t="str">
        <f t="shared" si="131"/>
        <v>West_Gundersen_1990_Table2</v>
      </c>
      <c r="K840" s="17" t="str">
        <f t="shared" si="127"/>
        <v>10.1002%2Fcne.902960102_Table2</v>
      </c>
      <c r="L840" s="17" t="str">
        <f t="array" ref="L840">IFERROR(INDEX(AUTO_Public_TSV_FileList!$A$1:$A$1000,MATCH(TRUE(),EXACT(K840,IFERROR(_xlfn.TEXTBEFORE(AUTO_Public_TSV_FileList!$A$1:$A$1000,".tsv"),"")),0)),"notfound")</f>
        <v>10.1002%2Fcne.902960102_Table2.tsv</v>
      </c>
      <c r="M840" s="20" t="s">
        <v>3525</v>
      </c>
      <c r="N840" s="20" t="s">
        <v>3482</v>
      </c>
      <c r="O840" s="20" t="s">
        <v>3483</v>
      </c>
      <c r="P840" s="20" t="s">
        <v>3484</v>
      </c>
      <c r="Q840" s="20" t="s">
        <v>3526</v>
      </c>
      <c r="R840" s="20" t="s">
        <v>3522</v>
      </c>
      <c r="S840" s="20"/>
      <c r="T840" s="20"/>
      <c r="U840" s="20" t="s">
        <v>3527</v>
      </c>
      <c r="V840" s="20" t="s">
        <v>3528</v>
      </c>
      <c r="W840" s="20" t="s">
        <v>43</v>
      </c>
      <c r="X840" s="20" t="s">
        <v>3528</v>
      </c>
      <c r="Y840" s="20"/>
      <c r="Z840" s="20"/>
      <c r="AA840" s="20" t="s">
        <v>3529</v>
      </c>
      <c r="AB840" s="20"/>
      <c r="AC840" s="20" t="s">
        <v>3518</v>
      </c>
      <c r="AD840" s="20" t="s">
        <v>3518</v>
      </c>
      <c r="AE840" s="20" t="s">
        <v>50</v>
      </c>
      <c r="AF840" s="20"/>
      <c r="AG840" s="20"/>
      <c r="AH840" s="20" t="s">
        <v>3490</v>
      </c>
    </row>
    <row r="841" spans="1:37" ht="16" x14ac:dyDescent="0.2">
      <c r="A841" s="20" t="s">
        <v>3550</v>
      </c>
      <c r="B841" s="20"/>
      <c r="C841" s="20"/>
      <c r="D841" s="20" t="s">
        <v>2663</v>
      </c>
      <c r="E841" s="18" t="str">
        <f t="shared" si="128"/>
        <v>West</v>
      </c>
      <c r="F841" s="17" t="str">
        <f t="array" ref="F841">_xlfn.LET(
 _xlpm.authors,_xlfn.TEXTBEFORE(A841," ("&amp;G841&amp;")"),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Schwerdtfeger</v>
      </c>
      <c r="G841" s="17" t="str">
        <f t="shared" si="129"/>
        <v>1985</v>
      </c>
      <c r="H841" s="18" t="str">
        <f t="shared" si="130"/>
        <v>West_Schwerdtfeger_1985</v>
      </c>
      <c r="I841" s="18" t="str">
        <f t="shared" si="132"/>
        <v>10.1159%2F000118723</v>
      </c>
      <c r="J841" s="18" t="str">
        <f t="shared" si="131"/>
        <v>West_Schwerdtfeger_1985_TableI</v>
      </c>
      <c r="K841" s="17" t="str">
        <f t="shared" si="127"/>
        <v>10.1159%2F000118723_TableI</v>
      </c>
      <c r="L841" s="17" t="str">
        <f t="array" ref="L841">IFERROR(INDEX(AUTO_Public_TSV_FileList!$A$1:$A$1000,MATCH(TRUE(),EXACT(K841,IFERROR(_xlfn.TEXTBEFORE(AUTO_Public_TSV_FileList!$A$1:$A$1000,".tsv"),"")),0)),"notfound")</f>
        <v>10.1159%2F000118723_TableI.tsv</v>
      </c>
      <c r="M841" s="20" t="s">
        <v>3551</v>
      </c>
      <c r="N841" s="20" t="s">
        <v>3482</v>
      </c>
      <c r="O841" s="20" t="s">
        <v>3552</v>
      </c>
      <c r="P841" s="20" t="s">
        <v>3484</v>
      </c>
      <c r="Q841" s="20" t="s">
        <v>3553</v>
      </c>
      <c r="R841" s="20" t="s">
        <v>3554</v>
      </c>
      <c r="S841" s="20"/>
      <c r="T841" s="20"/>
      <c r="U841" s="20" t="s">
        <v>3555</v>
      </c>
      <c r="V841" s="20" t="s">
        <v>3556</v>
      </c>
      <c r="W841" s="20" t="s">
        <v>319</v>
      </c>
      <c r="X841" s="20" t="s">
        <v>3556</v>
      </c>
      <c r="Y841" s="20"/>
      <c r="Z841" s="20"/>
      <c r="AA841" s="20" t="s">
        <v>3557</v>
      </c>
      <c r="AB841" s="20"/>
      <c r="AC841" s="20" t="s">
        <v>3518</v>
      </c>
      <c r="AD841" s="20" t="s">
        <v>3518</v>
      </c>
      <c r="AE841" s="20" t="s">
        <v>70</v>
      </c>
      <c r="AF841" s="20" t="s">
        <v>3558</v>
      </c>
      <c r="AG841" s="20"/>
      <c r="AH841" s="20" t="s">
        <v>3490</v>
      </c>
    </row>
    <row r="842" spans="1:37" ht="16" x14ac:dyDescent="0.2">
      <c r="A842" s="20" t="s">
        <v>3550</v>
      </c>
      <c r="B842" s="20"/>
      <c r="C842" s="20"/>
      <c r="D842" s="20" t="s">
        <v>3491</v>
      </c>
      <c r="E842" s="18" t="str">
        <f t="shared" si="128"/>
        <v>West</v>
      </c>
      <c r="F842" s="17" t="str">
        <f t="array" ref="F842">_xlfn.LET(
 _xlpm.authors,_xlfn.TEXTBEFORE(A842," ("&amp;G842&amp;")"),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Schwerdtfeger</v>
      </c>
      <c r="G842" s="17" t="str">
        <f t="shared" si="129"/>
        <v>1985</v>
      </c>
      <c r="H842" s="18" t="str">
        <f t="shared" si="130"/>
        <v>West_Schwerdtfeger_1985</v>
      </c>
      <c r="I842" s="18" t="str">
        <f t="shared" si="132"/>
        <v>10.1159%2F000118723</v>
      </c>
      <c r="J842" s="18" t="str">
        <f t="shared" si="131"/>
        <v>West_Schwerdtfeger_1985_TableII</v>
      </c>
      <c r="K842" s="17" t="str">
        <f t="shared" si="127"/>
        <v>10.1159%2F000118723_TableII</v>
      </c>
      <c r="L842" s="17" t="str">
        <f t="array" ref="L842">IFERROR(INDEX(AUTO_Public_TSV_FileList!$A$1:$A$1000,MATCH(TRUE(),EXACT(K842,IFERROR(_xlfn.TEXTBEFORE(AUTO_Public_TSV_FileList!$A$1:$A$1000,".tsv"),"")),0)),"notfound")</f>
        <v>10.1159%2F000118723_TableII.tsv</v>
      </c>
      <c r="M842" s="20" t="s">
        <v>3559</v>
      </c>
      <c r="N842" s="20" t="s">
        <v>3482</v>
      </c>
      <c r="O842" s="20" t="s">
        <v>3552</v>
      </c>
      <c r="P842" s="20" t="s">
        <v>3484</v>
      </c>
      <c r="Q842" s="20" t="s">
        <v>3560</v>
      </c>
      <c r="R842" s="20" t="s">
        <v>3554</v>
      </c>
      <c r="S842" s="20"/>
      <c r="T842" s="20"/>
      <c r="U842" s="20" t="s">
        <v>3561</v>
      </c>
      <c r="V842" s="20" t="s">
        <v>3562</v>
      </c>
      <c r="W842" s="20" t="s">
        <v>319</v>
      </c>
      <c r="X842" s="20" t="s">
        <v>3562</v>
      </c>
      <c r="Y842" s="20"/>
      <c r="Z842" s="20"/>
      <c r="AA842" s="20" t="s">
        <v>3563</v>
      </c>
      <c r="AB842" s="20"/>
      <c r="AC842" s="20" t="s">
        <v>3518</v>
      </c>
      <c r="AD842" s="20" t="s">
        <v>3518</v>
      </c>
      <c r="AE842" s="20" t="s">
        <v>265</v>
      </c>
      <c r="AF842" s="20" t="s">
        <v>3564</v>
      </c>
      <c r="AG842" s="20"/>
      <c r="AH842" s="20" t="s">
        <v>3490</v>
      </c>
    </row>
    <row r="843" spans="1:37" ht="16" x14ac:dyDescent="0.2">
      <c r="A843" s="20" t="s">
        <v>3550</v>
      </c>
      <c r="B843" s="20"/>
      <c r="C843" s="20"/>
      <c r="D843" s="20" t="s">
        <v>3565</v>
      </c>
      <c r="E843" s="18" t="str">
        <f t="shared" si="128"/>
        <v>West</v>
      </c>
      <c r="F843" s="17" t="str">
        <f t="array" ref="F843">_xlfn.LET(
 _xlpm.authors,_xlfn.TEXTBEFORE(A843," ("&amp;G843&amp;")"),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Schwerdtfeger</v>
      </c>
      <c r="G843" s="17" t="str">
        <f t="shared" si="129"/>
        <v>1985</v>
      </c>
      <c r="H843" s="18" t="str">
        <f t="shared" si="130"/>
        <v>West_Schwerdtfeger_1985</v>
      </c>
      <c r="I843" s="18" t="str">
        <f t="shared" si="132"/>
        <v>10.1159%2F000118723</v>
      </c>
      <c r="J843" s="18" t="str">
        <f t="shared" si="131"/>
        <v>West_Schwerdtfeger_1985_TableIII</v>
      </c>
      <c r="K843" s="17" t="str">
        <f t="shared" si="127"/>
        <v>10.1159%2F000118723_TableIII</v>
      </c>
      <c r="L843" s="17" t="str">
        <f t="array" ref="L843">IFERROR(INDEX(AUTO_Public_TSV_FileList!$A$1:$A$1000,MATCH(TRUE(),EXACT(K843,IFERROR(_xlfn.TEXTBEFORE(AUTO_Public_TSV_FileList!$A$1:$A$1000,".tsv"),"")),0)),"notfound")</f>
        <v>10.1159%2F000118723_TableIII.tsv</v>
      </c>
      <c r="M843" s="20" t="s">
        <v>3566</v>
      </c>
      <c r="N843" s="20" t="s">
        <v>3482</v>
      </c>
      <c r="O843" s="20" t="s">
        <v>3552</v>
      </c>
      <c r="P843" s="20" t="s">
        <v>3484</v>
      </c>
      <c r="Q843" s="20" t="s">
        <v>3567</v>
      </c>
      <c r="R843" s="20" t="s">
        <v>3554</v>
      </c>
      <c r="S843" s="20"/>
      <c r="T843" s="20"/>
      <c r="U843" s="20" t="s">
        <v>3568</v>
      </c>
      <c r="V843" s="20" t="s">
        <v>3562</v>
      </c>
      <c r="W843" s="20" t="s">
        <v>319</v>
      </c>
      <c r="X843" s="20" t="s">
        <v>3562</v>
      </c>
      <c r="Y843" s="20"/>
      <c r="Z843" s="20"/>
      <c r="AA843" s="20" t="s">
        <v>3569</v>
      </c>
      <c r="AB843" s="20"/>
      <c r="AC843" s="20" t="s">
        <v>3518</v>
      </c>
      <c r="AD843" s="20" t="s">
        <v>3518</v>
      </c>
      <c r="AE843" s="20" t="s">
        <v>50</v>
      </c>
      <c r="AF843" s="20"/>
      <c r="AG843" s="20"/>
      <c r="AH843" s="20" t="s">
        <v>3490</v>
      </c>
    </row>
    <row r="844" spans="1:37" ht="16" x14ac:dyDescent="0.2">
      <c r="A844" s="20" t="s">
        <v>3413</v>
      </c>
      <c r="B844" s="20"/>
      <c r="C844" s="20"/>
      <c r="D844" s="20" t="s">
        <v>94</v>
      </c>
      <c r="E844" s="18" t="str">
        <f t="shared" si="128"/>
        <v>Westergaard</v>
      </c>
      <c r="F844" s="17" t="str">
        <f t="array" ref="F844">_xlfn.LET(
 _xlpm.authors,_xlfn.TEXTBEFORE(A844," ("&amp;G844&amp;")"),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Hyatt</v>
      </c>
      <c r="G844" s="17" t="str">
        <f t="shared" si="129"/>
        <v>1994</v>
      </c>
      <c r="H844" s="18" t="str">
        <f t="shared" si="130"/>
        <v>Westergaard_Hyatt_1994</v>
      </c>
      <c r="I844" s="18" t="str">
        <f t="shared" si="132"/>
        <v>10.1007%2FBF02435514</v>
      </c>
      <c r="J844" s="18" t="str">
        <f t="shared" si="131"/>
        <v>Westergaard_Hyatt_1994_Figure1</v>
      </c>
      <c r="K844" s="17" t="str">
        <f t="shared" si="127"/>
        <v>10.1007%2FBF02435514_Figure1</v>
      </c>
      <c r="L844" s="17" t="str">
        <f t="array" ref="L844">IFERROR(INDEX(AUTO_Public_TSV_FileList!$A$1:$A$1000,MATCH(TRUE(),EXACT(K844,IFERROR(_xlfn.TEXTBEFORE(AUTO_Public_TSV_FileList!$A$1:$A$1000,".tsv"),"")),0)),"notfound")</f>
        <v>notfound</v>
      </c>
      <c r="M844" s="20"/>
      <c r="N844" s="20" t="s">
        <v>4851</v>
      </c>
      <c r="O844" s="20" t="s">
        <v>5374</v>
      </c>
      <c r="P844" s="20" t="s">
        <v>5375</v>
      </c>
      <c r="Q844" s="20"/>
      <c r="R844" s="20" t="s">
        <v>3414</v>
      </c>
      <c r="S844" s="20"/>
      <c r="T844" s="20" t="s">
        <v>5376</v>
      </c>
      <c r="U844" s="20"/>
      <c r="V844" s="20" t="s">
        <v>4856</v>
      </c>
      <c r="W844" s="20" t="s">
        <v>187</v>
      </c>
      <c r="X844" s="20" t="s">
        <v>5377</v>
      </c>
      <c r="Y844" s="20"/>
      <c r="Z844" s="20"/>
      <c r="AA844" s="20" t="s">
        <v>3415</v>
      </c>
      <c r="AB844" s="20" t="s">
        <v>609</v>
      </c>
      <c r="AC844" s="20"/>
      <c r="AD844" s="20"/>
      <c r="AE844" s="20" t="s">
        <v>50</v>
      </c>
      <c r="AF844" s="20"/>
      <c r="AG844" s="20" t="s">
        <v>5378</v>
      </c>
      <c r="AH844" s="20" t="s">
        <v>4862</v>
      </c>
      <c r="AJ844" t="s">
        <v>5379</v>
      </c>
      <c r="AK844" t="s">
        <v>5380</v>
      </c>
    </row>
    <row r="845" spans="1:37" ht="16" x14ac:dyDescent="0.2">
      <c r="A845" s="20" t="s">
        <v>3413</v>
      </c>
      <c r="B845" s="20"/>
      <c r="C845" s="20"/>
      <c r="D845" s="20" t="s">
        <v>110</v>
      </c>
      <c r="E845" s="18" t="str">
        <f t="shared" si="128"/>
        <v>Westergaard</v>
      </c>
      <c r="F845" s="17" t="str">
        <f t="array" ref="F845">_xlfn.LET(
 _xlpm.authors,_xlfn.TEXTBEFORE(A845," ("&amp;G845&amp;")"),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Hyatt</v>
      </c>
      <c r="G845" s="17" t="str">
        <f t="shared" si="129"/>
        <v>1994</v>
      </c>
      <c r="H845" s="18" t="str">
        <f t="shared" si="130"/>
        <v>Westergaard_Hyatt_1994</v>
      </c>
      <c r="I845" s="18" t="str">
        <f t="shared" si="132"/>
        <v>10.1007%2FBF02435514</v>
      </c>
      <c r="J845" s="18" t="str">
        <f t="shared" si="131"/>
        <v>Westergaard_Hyatt_1994_Figure2</v>
      </c>
      <c r="K845" s="17" t="str">
        <f t="shared" si="127"/>
        <v>10.1007%2FBF02435514_Figure2</v>
      </c>
      <c r="L845" s="17" t="str">
        <f t="array" ref="L845">IFERROR(INDEX(AUTO_Public_TSV_FileList!$A$1:$A$1000,MATCH(TRUE(),EXACT(K845,IFERROR(_xlfn.TEXTBEFORE(AUTO_Public_TSV_FileList!$A$1:$A$1000,".tsv"),"")),0)),"notfound")</f>
        <v>notfound</v>
      </c>
      <c r="M845" s="20"/>
      <c r="N845" s="20" t="s">
        <v>4851</v>
      </c>
      <c r="O845" s="20" t="s">
        <v>5381</v>
      </c>
      <c r="P845" s="20" t="s">
        <v>5375</v>
      </c>
      <c r="Q845" s="20"/>
      <c r="R845" s="20" t="s">
        <v>3414</v>
      </c>
      <c r="S845" s="20"/>
      <c r="T845" s="20" t="s">
        <v>5376</v>
      </c>
      <c r="U845" s="20"/>
      <c r="V845" s="20" t="s">
        <v>4856</v>
      </c>
      <c r="W845" s="20" t="s">
        <v>187</v>
      </c>
      <c r="X845" s="20" t="s">
        <v>5382</v>
      </c>
      <c r="Y845" s="20"/>
      <c r="Z845" s="20"/>
      <c r="AA845" s="20" t="s">
        <v>3415</v>
      </c>
      <c r="AB845" s="20" t="s">
        <v>609</v>
      </c>
      <c r="AC845" s="20"/>
      <c r="AD845" s="20"/>
      <c r="AE845" s="20" t="s">
        <v>50</v>
      </c>
      <c r="AF845" s="20"/>
      <c r="AG845" s="20" t="s">
        <v>5378</v>
      </c>
      <c r="AH845" s="20" t="s">
        <v>4862</v>
      </c>
      <c r="AJ845" t="s">
        <v>5379</v>
      </c>
      <c r="AK845" t="s">
        <v>5380</v>
      </c>
    </row>
    <row r="846" spans="1:37" ht="16" x14ac:dyDescent="0.2">
      <c r="A846" s="19" t="s">
        <v>3416</v>
      </c>
      <c r="B846" s="20"/>
      <c r="C846" s="20"/>
      <c r="D846" s="19" t="s">
        <v>3417</v>
      </c>
      <c r="E846" s="17" t="str">
        <f t="shared" si="128"/>
        <v>Wilman</v>
      </c>
      <c r="F846" s="17" t="str">
        <f t="array" ref="F846">_xlfn.LET(
 _xlpm.authors,_xlfn.TEXTBEFORE(A846," ("&amp;G846&amp;")"),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6" s="17" t="str">
        <f t="shared" si="129"/>
        <v>2014</v>
      </c>
      <c r="H846" s="17" t="str">
        <f t="shared" si="130"/>
        <v>Wilman_etal_2014</v>
      </c>
      <c r="I846" s="17" t="str">
        <f>_xlfn.LET(
_xlpm.doi,IF(C846&lt;&gt;"",C846,_xlfn.TEXTAFTER(A846,"https://doi.org/")),
SUBSTITUTE(
SUBSTITUTE(
SUBSTITUTE(
SUBSTITUTE(
_xlpm.doi,
"/","%2F"),
":","%3A"),
"&lt;","%3C"),
"&gt;","%3E")
)</f>
        <v>10.1890%2F13-1917.1</v>
      </c>
      <c r="J846" s="17" t="str">
        <f t="shared" si="131"/>
        <v>Wilman_etal_2014_MamFuncDat</v>
      </c>
      <c r="K846" s="17" t="str">
        <f t="shared" si="127"/>
        <v>10.1890%2F13-1917.1_MamFuncDat</v>
      </c>
      <c r="L846" s="17" t="str">
        <f t="array" ref="L846">IFERROR(INDEX(AUTO_Public_TSV_FileList!$A$1:$A$1000,MATCH(TRUE(),EXACT(K846,IFERROR(_xlfn.TEXTBEFORE(AUTO_Public_TSV_FileList!$A$1:$A$1000,".tsv"),"")),0)),"notfound")</f>
        <v>10.1890%2F13-1917.1_MamFuncDat.tsv</v>
      </c>
      <c r="M846" s="20"/>
      <c r="N846" s="20"/>
      <c r="O846" s="20"/>
      <c r="P846" s="20" t="s">
        <v>55</v>
      </c>
      <c r="Q846" s="20"/>
      <c r="R846" s="20"/>
      <c r="S846" s="20"/>
      <c r="T846" s="20"/>
      <c r="U846" s="20"/>
      <c r="V846" s="20"/>
      <c r="W846" s="19" t="s">
        <v>224</v>
      </c>
      <c r="X846" s="19" t="s">
        <v>3418</v>
      </c>
      <c r="Y846" s="20"/>
      <c r="Z846" s="20"/>
      <c r="AA846" s="20"/>
      <c r="AB846" s="19" t="s">
        <v>3419</v>
      </c>
      <c r="AC846" s="20"/>
      <c r="AD846" s="20"/>
      <c r="AE846" s="19" t="s">
        <v>265</v>
      </c>
      <c r="AF846" s="19"/>
      <c r="AG846" s="20"/>
      <c r="AH846" s="20"/>
    </row>
    <row r="847" spans="1:37" ht="16" x14ac:dyDescent="0.2">
      <c r="A847" s="19" t="s">
        <v>3420</v>
      </c>
      <c r="B847" s="20"/>
      <c r="C847" s="20"/>
      <c r="D847" s="19" t="s">
        <v>3421</v>
      </c>
      <c r="E847" s="17" t="str">
        <f t="shared" si="128"/>
        <v>Wimberly</v>
      </c>
      <c r="F847" s="17" t="str">
        <f t="array" ref="F847">_xlfn.LET(
 _xlpm.authors,_xlfn.TEXTBEFORE(A847," ("&amp;G847&amp;")"),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7" s="17" t="str">
        <f t="shared" si="129"/>
        <v>2021</v>
      </c>
      <c r="H847" s="17" t="str">
        <f t="shared" si="130"/>
        <v>Wimberly_etal_2021</v>
      </c>
      <c r="I847" s="17" t="str">
        <f>_xlfn.LET(
_xlpm.doi,IF(C847&lt;&gt;"",C847,_xlfn.TEXTAFTER(A847,"https://doi.org/")),
SUBSTITUTE(
SUBSTITUTE(
SUBSTITUTE(
SUBSTITUTE(
_xlpm.doi,
"/","%2F"),
":","%3A"),
"&lt;","%3C"),
"&gt;","%3E")
)</f>
        <v>10.1098%2Frspb.2021.0937</v>
      </c>
      <c r="J847" s="17" t="str">
        <f t="shared" si="131"/>
        <v>Wimberly_etal_2021_MammalGait</v>
      </c>
      <c r="K847" s="17" t="str">
        <f t="shared" si="127"/>
        <v>10.1098%2Frspb.2021.0937_MammalGait</v>
      </c>
      <c r="L847" s="17" t="str">
        <f t="array" ref="L847">IFERROR(INDEX(AUTO_Public_TSV_FileList!$A$1:$A$1000,MATCH(TRUE(),EXACT(K847,IFERROR(_xlfn.TEXTBEFORE(AUTO_Public_TSV_FileList!$A$1:$A$1000,".tsv"),"")),0)),"notfound")</f>
        <v>10.1098%2Frspb.2021.0937_MammalGait.tsv</v>
      </c>
      <c r="M847" s="20"/>
      <c r="N847" s="20"/>
      <c r="O847" s="20"/>
      <c r="P847" s="19" t="s">
        <v>55</v>
      </c>
      <c r="Q847" s="20"/>
      <c r="R847" s="20"/>
      <c r="S847" s="20"/>
      <c r="T847" s="20"/>
      <c r="U847" s="20"/>
      <c r="V847" s="20"/>
      <c r="W847" s="19"/>
      <c r="X847" s="20"/>
      <c r="Y847" s="20"/>
      <c r="Z847" s="20"/>
      <c r="AA847" s="20"/>
      <c r="AB847" s="19"/>
      <c r="AC847" s="20"/>
      <c r="AD847" s="20"/>
      <c r="AE847" s="19"/>
      <c r="AF847" s="19"/>
      <c r="AG847" s="20"/>
      <c r="AH847" s="20"/>
    </row>
    <row r="848" spans="1:37" ht="16" x14ac:dyDescent="0.2">
      <c r="A848" s="19" t="s">
        <v>3422</v>
      </c>
      <c r="B848" s="20"/>
      <c r="C848" s="20"/>
      <c r="D848" s="19" t="s">
        <v>94</v>
      </c>
      <c r="E848" s="18" t="str">
        <f t="shared" si="128"/>
        <v>Winkler</v>
      </c>
      <c r="F848" s="17" t="str">
        <f t="array" ref="F848">_xlfn.LET(
 _xlpm.authors,_xlfn.TEXTBEFORE(A848," ("&amp;G848&amp;")"),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848" s="17" t="str">
        <f t="shared" si="129"/>
        <v>2021</v>
      </c>
      <c r="H848" s="18" t="str">
        <f t="shared" si="130"/>
        <v>Winkler_Bryant_2021</v>
      </c>
      <c r="I848" s="18" t="str">
        <f t="shared" ref="I848:I873" si="133">_xlfn.LET(_xlpm.doi,IF(C848&lt;&gt;"",C848,_xlfn.TEXTAFTER(A848,"https://doi.org/")),SUBSTITUTE(SUBSTITUTE(SUBSTITUTE(SUBSTITUTE(_xlpm.doi,"/","%2F"),":","%3A"),"&lt;","%3C"),"&gt;","%3E"))</f>
        <v>10.1080%2F09524622.2021.1905065</v>
      </c>
      <c r="J848" s="18" t="str">
        <f t="shared" si="131"/>
        <v>Winkler_Bryant_2021_Figure1</v>
      </c>
      <c r="K848" s="17" t="str">
        <f t="shared" si="127"/>
        <v>10.1080%2F09524622.2021.1905065_Figure1</v>
      </c>
      <c r="L848" s="17" t="str">
        <f t="array" ref="L848">IFERROR(INDEX(AUTO_Public_TSV_FileList!$A$1:$A$1000,MATCH(TRUE(),EXACT(K848,IFERROR(_xlfn.TEXTBEFORE(AUTO_Public_TSV_FileList!$A$1:$A$1000,".tsv"),"")),0)),"notfound")</f>
        <v>10.1080%2F09524622.2021.1905065_Figure1.tsv</v>
      </c>
      <c r="M848" s="19" t="s">
        <v>3423</v>
      </c>
      <c r="N848" s="20" t="s">
        <v>541</v>
      </c>
      <c r="O848" s="20"/>
      <c r="P848" s="20" t="s">
        <v>55</v>
      </c>
      <c r="Q848" s="20"/>
      <c r="R848" s="20"/>
      <c r="S848" s="20"/>
      <c r="T848" s="20"/>
      <c r="U848" s="20"/>
      <c r="V848" s="20"/>
      <c r="W848" s="20"/>
      <c r="X848" s="20"/>
      <c r="Y848" s="20"/>
      <c r="Z848" s="20"/>
      <c r="AA848" s="20"/>
      <c r="AB848" s="20"/>
      <c r="AC848" s="20"/>
      <c r="AD848" s="20"/>
      <c r="AE848" s="20"/>
      <c r="AF848" s="20"/>
      <c r="AG848" s="20"/>
      <c r="AH848" s="20"/>
    </row>
    <row r="849" spans="1:34" ht="16" x14ac:dyDescent="0.2">
      <c r="A849" s="20" t="s">
        <v>4493</v>
      </c>
      <c r="B849" s="20"/>
      <c r="C849" s="20"/>
      <c r="D849" s="20" t="s">
        <v>439</v>
      </c>
      <c r="E849" s="18" t="str">
        <f t="shared" si="128"/>
        <v>Wirz</v>
      </c>
      <c r="F849" s="17" t="str">
        <f t="array" ref="F849">_xlfn.LET(
 _xlpm.authors,_xlfn.TEXTBEFORE(A849," ("&amp;G849&amp;")"),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49" s="17" t="str">
        <f t="shared" si="129"/>
        <v>1950</v>
      </c>
      <c r="H849" s="18" t="str">
        <f t="shared" si="130"/>
        <v>Wirz__1950</v>
      </c>
      <c r="I849" s="18" t="str">
        <f t="shared" si="133"/>
        <v>10.1159%2F000140431</v>
      </c>
      <c r="J849" s="18" t="str">
        <f t="shared" si="131"/>
        <v>Wirz__1950_TableI</v>
      </c>
      <c r="K849" s="17" t="str">
        <f t="shared" si="127"/>
        <v>10.1159%2F000140431_TableI</v>
      </c>
      <c r="L849" s="17" t="str">
        <f t="array" ref="L849">IFERROR(INDEX(AUTO_Public_TSV_FileList!$A$1:$A$1000,MATCH(TRUE(),EXACT(K849,IFERROR(_xlfn.TEXTBEFORE(AUTO_Public_TSV_FileList!$A$1:$A$1000,".tsv"),"")),0)),"notfound")</f>
        <v>10.1159%2F000140431_TableI.tsv</v>
      </c>
      <c r="M849" s="20" t="s">
        <v>4495</v>
      </c>
      <c r="N849" s="20" t="s">
        <v>4496</v>
      </c>
      <c r="O849" s="20"/>
      <c r="P849" s="20" t="s">
        <v>55</v>
      </c>
      <c r="Q849" s="20"/>
      <c r="R849" s="20" t="s">
        <v>4497</v>
      </c>
      <c r="S849" s="20"/>
      <c r="T849" s="20"/>
      <c r="U849" s="20"/>
      <c r="V849" s="20" t="s">
        <v>4498</v>
      </c>
      <c r="W849" s="20" t="s">
        <v>4499</v>
      </c>
      <c r="X849" s="20" t="s">
        <v>4500</v>
      </c>
      <c r="Y849" s="20"/>
      <c r="Z849" s="20"/>
      <c r="AA849" s="20" t="s">
        <v>4501</v>
      </c>
      <c r="AB849" s="20" t="s">
        <v>4502</v>
      </c>
      <c r="AC849" s="20" t="s">
        <v>4503</v>
      </c>
      <c r="AD849" s="20" t="s">
        <v>4504</v>
      </c>
      <c r="AE849" s="20"/>
      <c r="AF849" s="20" t="s">
        <v>4505</v>
      </c>
      <c r="AG849" s="20"/>
      <c r="AH849" s="20" t="s">
        <v>4506</v>
      </c>
    </row>
    <row r="850" spans="1:34" ht="16" x14ac:dyDescent="0.2">
      <c r="A850" s="20" t="s">
        <v>3424</v>
      </c>
      <c r="B850" s="20"/>
      <c r="C850" s="20"/>
      <c r="D850" s="20" t="s">
        <v>3425</v>
      </c>
      <c r="E850" s="18" t="str">
        <f t="shared" si="128"/>
        <v>Young</v>
      </c>
      <c r="F850" s="17" t="str">
        <f t="array" ref="F850">_xlfn.LET(
 _xlpm.authors,_xlfn.TEXTBEFORE(A850," ("&amp;G850&amp;")"),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0" s="17" t="str">
        <f t="shared" si="129"/>
        <v>2013</v>
      </c>
      <c r="H850" s="18" t="str">
        <f t="shared" si="130"/>
        <v>Young_etal_2013</v>
      </c>
      <c r="I850" s="18" t="str">
        <f t="shared" si="133"/>
        <v>10.3389%2Ffncir.2013.00030</v>
      </c>
      <c r="J850" s="18" t="str">
        <f t="shared" si="131"/>
        <v>Young_etal_2013_ResultsTextSurface</v>
      </c>
      <c r="K850" s="17" t="str">
        <f t="shared" si="127"/>
        <v>10.3389%2Ffncir.2013.00030_ResultsTextSurface</v>
      </c>
      <c r="L850" s="17" t="str">
        <f t="array" ref="L850">IFERROR(INDEX(AUTO_Public_TSV_FileList!$A$1:$A$1000,MATCH(TRUE(),EXACT(K850,IFERROR(_xlfn.TEXTBEFORE(AUTO_Public_TSV_FileList!$A$1:$A$1000,".tsv"),"")),0)),"notfound")</f>
        <v>notfound</v>
      </c>
      <c r="M850" s="20" t="s">
        <v>3426</v>
      </c>
      <c r="N850" s="20" t="s">
        <v>3427</v>
      </c>
      <c r="O850" s="20" t="s">
        <v>3428</v>
      </c>
      <c r="P850" s="20" t="s">
        <v>3429</v>
      </c>
      <c r="Q850" s="20" t="s">
        <v>3430</v>
      </c>
      <c r="R850" s="20" t="s">
        <v>3431</v>
      </c>
      <c r="S850" s="20" t="s">
        <v>3432</v>
      </c>
      <c r="T850" s="20" t="s">
        <v>3433</v>
      </c>
      <c r="U850" s="20"/>
      <c r="V850" s="20" t="s">
        <v>3434</v>
      </c>
      <c r="W850" s="20" t="s">
        <v>187</v>
      </c>
      <c r="X850" s="20" t="s">
        <v>3435</v>
      </c>
      <c r="Y850" s="20"/>
      <c r="Z850" s="20" t="s">
        <v>3436</v>
      </c>
      <c r="AA850" s="20" t="s">
        <v>3437</v>
      </c>
      <c r="AB850" s="20" t="s">
        <v>2439</v>
      </c>
      <c r="AC850" s="20" t="s">
        <v>3438</v>
      </c>
      <c r="AD850" s="20"/>
      <c r="AE850" s="20" t="s">
        <v>50</v>
      </c>
      <c r="AF850" s="20"/>
      <c r="AG850" s="20"/>
      <c r="AH850" s="20"/>
    </row>
    <row r="851" spans="1:34" ht="16" x14ac:dyDescent="0.2">
      <c r="A851" s="19" t="s">
        <v>3424</v>
      </c>
      <c r="B851" s="20"/>
      <c r="C851" s="20"/>
      <c r="D851" s="19" t="s">
        <v>86</v>
      </c>
      <c r="E851" s="18" t="str">
        <f t="shared" si="128"/>
        <v>Young</v>
      </c>
      <c r="F851" s="17" t="str">
        <f t="array" ref="F851">_xlfn.LET(
 _xlpm.authors,_xlfn.TEXTBEFORE(A851," ("&amp;G851&amp;")"),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1" s="17" t="str">
        <f t="shared" si="129"/>
        <v>2013</v>
      </c>
      <c r="H851" s="18" t="str">
        <f t="shared" si="130"/>
        <v>Young_etal_2013</v>
      </c>
      <c r="I851" s="18" t="str">
        <f t="shared" si="133"/>
        <v>10.3389%2Ffncir.2013.00030</v>
      </c>
      <c r="J851" s="18" t="str">
        <f t="shared" si="131"/>
        <v>Young_etal_2013_Table1</v>
      </c>
      <c r="K851" s="17" t="str">
        <f t="shared" si="127"/>
        <v>10.3389%2Ffncir.2013.00030_Table1</v>
      </c>
      <c r="L851" s="17" t="str">
        <f t="array" ref="L851">IFERROR(INDEX(AUTO_Public_TSV_FileList!$A$1:$A$1000,MATCH(TRUE(),EXACT(K851,IFERROR(_xlfn.TEXTBEFORE(AUTO_Public_TSV_FileList!$A$1:$A$1000,".tsv"),"")),0)),"notfound")</f>
        <v>10.3389%2Ffncir.2013.00030_Table1.tsv</v>
      </c>
      <c r="M851" s="19" t="s">
        <v>3439</v>
      </c>
      <c r="N851" s="19" t="s">
        <v>54</v>
      </c>
      <c r="O851" s="20"/>
      <c r="P851" s="20" t="s">
        <v>55</v>
      </c>
      <c r="Q851" s="20"/>
      <c r="R851" s="20"/>
      <c r="S851" s="20"/>
      <c r="T851" s="20"/>
      <c r="U851" s="20"/>
      <c r="V851" s="20"/>
      <c r="W851" s="20"/>
      <c r="X851" s="20"/>
      <c r="Y851" s="20"/>
      <c r="Z851" s="20"/>
      <c r="AA851" s="20"/>
      <c r="AB851" s="20"/>
      <c r="AC851" s="20"/>
      <c r="AD851" s="20"/>
      <c r="AE851" s="20"/>
      <c r="AF851" s="20"/>
      <c r="AG851" s="20"/>
      <c r="AH851" s="20"/>
    </row>
    <row r="852" spans="1:34" ht="16" x14ac:dyDescent="0.2">
      <c r="A852" s="20" t="s">
        <v>3424</v>
      </c>
      <c r="B852" s="20"/>
      <c r="C852" s="20"/>
      <c r="D852" s="20" t="s">
        <v>86</v>
      </c>
      <c r="E852" s="18" t="str">
        <f t="shared" si="128"/>
        <v>Young</v>
      </c>
      <c r="F852" s="17" t="str">
        <f t="array" ref="F852">_xlfn.LET(
 _xlpm.authors,_xlfn.TEXTBEFORE(A852," ("&amp;G852&amp;")"),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2" s="17" t="str">
        <f t="shared" si="129"/>
        <v>2013</v>
      </c>
      <c r="H852" s="18" t="str">
        <f t="shared" si="130"/>
        <v>Young_etal_2013</v>
      </c>
      <c r="I852" s="18" t="str">
        <f t="shared" si="133"/>
        <v>10.3389%2Ffncir.2013.00030</v>
      </c>
      <c r="J852" s="18" t="str">
        <f t="shared" si="131"/>
        <v>Young_etal_2013_Table1</v>
      </c>
      <c r="K852" s="17" t="str">
        <f t="shared" si="127"/>
        <v>10.3389%2Ffncir.2013.00030_Table1</v>
      </c>
      <c r="L852" s="17" t="str">
        <f t="array" ref="L852">IFERROR(INDEX(AUTO_Public_TSV_FileList!$A$1:$A$1000,MATCH(TRUE(),EXACT(K852,IFERROR(_xlfn.TEXTBEFORE(AUTO_Public_TSV_FileList!$A$1:$A$1000,".tsv"),"")),0)),"notfound")</f>
        <v>10.3389%2Ffncir.2013.00030_Table1.tsv</v>
      </c>
      <c r="M852" s="20" t="s">
        <v>3439</v>
      </c>
      <c r="N852" s="19" t="s">
        <v>54</v>
      </c>
      <c r="O852" s="20"/>
      <c r="P852" s="20" t="s">
        <v>55</v>
      </c>
      <c r="Q852" s="20"/>
      <c r="R852" s="20"/>
      <c r="S852" s="20"/>
      <c r="T852" s="20"/>
      <c r="U852" s="20"/>
      <c r="V852" s="20"/>
      <c r="W852" s="20"/>
      <c r="X852" s="20"/>
      <c r="Y852" s="20"/>
      <c r="Z852" s="20"/>
      <c r="AA852" s="20"/>
      <c r="AB852" s="20"/>
      <c r="AC852" s="20"/>
      <c r="AD852" s="20"/>
      <c r="AE852" s="20"/>
      <c r="AF852" s="20"/>
      <c r="AG852" s="20"/>
      <c r="AH852" s="20"/>
    </row>
    <row r="853" spans="1:34" ht="16" x14ac:dyDescent="0.2">
      <c r="A853" s="19" t="s">
        <v>3440</v>
      </c>
      <c r="B853" s="19" t="s">
        <v>493</v>
      </c>
      <c r="C853" s="20"/>
      <c r="D853" s="19" t="s">
        <v>86</v>
      </c>
      <c r="E853" s="18" t="str">
        <f t="shared" si="128"/>
        <v>Young</v>
      </c>
      <c r="F853" s="17" t="str">
        <f t="array" ref="F853">_xlfn.LET(
 _xlpm.authors,_xlfn.TEXTBEFORE(A853," ("&amp;G853&amp;")"),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3" s="17" t="str">
        <f t="shared" si="129"/>
        <v>2013</v>
      </c>
      <c r="H853" s="18" t="str">
        <f t="shared" si="130"/>
        <v>Young_etal_2013_b</v>
      </c>
      <c r="I853" s="18" t="str">
        <f t="shared" si="133"/>
        <v>10.1073%2Fpnas.1318894110</v>
      </c>
      <c r="J853" s="18" t="str">
        <f t="shared" si="131"/>
        <v>Young_etal_2013_b_Table1</v>
      </c>
      <c r="K853" s="17" t="str">
        <f t="shared" si="127"/>
        <v>10.1073%2Fpnas.1318894110_Table1</v>
      </c>
      <c r="L853" s="17" t="str">
        <f t="array" ref="L853">IFERROR(INDEX(AUTO_Public_TSV_FileList!$A$1:$A$1000,MATCH(TRUE(),EXACT(K853,IFERROR(_xlfn.TEXTBEFORE(AUTO_Public_TSV_FileList!$A$1:$A$1000,".tsv"),"")),0)),"notfound")</f>
        <v>10.1073%2Fpnas.1318894110_Table1.tsv</v>
      </c>
      <c r="M853" s="19" t="s">
        <v>3441</v>
      </c>
      <c r="N853" s="19" t="s">
        <v>54</v>
      </c>
      <c r="O853" s="20"/>
      <c r="P853" s="20" t="s">
        <v>55</v>
      </c>
      <c r="Q853" s="20"/>
      <c r="R853" s="20"/>
      <c r="S853" s="20"/>
      <c r="T853" s="20"/>
      <c r="U853" s="20"/>
      <c r="V853" s="20"/>
      <c r="W853" s="20"/>
      <c r="X853" s="20"/>
      <c r="Y853" s="20"/>
      <c r="Z853" s="20"/>
      <c r="AA853" s="20"/>
      <c r="AB853" s="20"/>
      <c r="AC853" s="20"/>
      <c r="AD853" s="20"/>
      <c r="AE853" s="20"/>
      <c r="AF853" s="20"/>
      <c r="AG853" s="20"/>
      <c r="AH853" s="20"/>
    </row>
    <row r="854" spans="1:34" ht="16" x14ac:dyDescent="0.2">
      <c r="A854" s="20" t="s">
        <v>3440</v>
      </c>
      <c r="B854" s="20" t="s">
        <v>493</v>
      </c>
      <c r="C854" s="20"/>
      <c r="D854" s="20" t="s">
        <v>86</v>
      </c>
      <c r="E854" s="18" t="str">
        <f t="shared" si="128"/>
        <v>Young</v>
      </c>
      <c r="F854" s="17" t="str">
        <f t="array" ref="F854">_xlfn.LET(
 _xlpm.authors,_xlfn.TEXTBEFORE(A854," ("&amp;G854&amp;")"),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4" s="17" t="str">
        <f t="shared" si="129"/>
        <v>2013</v>
      </c>
      <c r="H854" s="18" t="str">
        <f t="shared" si="130"/>
        <v>Young_etal_2013_b</v>
      </c>
      <c r="I854" s="18" t="str">
        <f t="shared" si="133"/>
        <v>10.1073%2Fpnas.1318894110</v>
      </c>
      <c r="J854" s="18" t="str">
        <f t="shared" si="131"/>
        <v>Young_etal_2013_b_Table1</v>
      </c>
      <c r="K854" s="17" t="str">
        <f t="shared" si="127"/>
        <v>10.1073%2Fpnas.1318894110_Table1</v>
      </c>
      <c r="L854" s="17" t="str">
        <f t="array" ref="L854">IFERROR(INDEX(AUTO_Public_TSV_FileList!$A$1:$A$1000,MATCH(TRUE(),EXACT(K854,IFERROR(_xlfn.TEXTBEFORE(AUTO_Public_TSV_FileList!$A$1:$A$1000,".tsv"),"")),0)),"notfound")</f>
        <v>10.1073%2Fpnas.1318894110_Table1.tsv</v>
      </c>
      <c r="M854" s="20" t="s">
        <v>3441</v>
      </c>
      <c r="N854" s="19" t="s">
        <v>54</v>
      </c>
      <c r="O854" s="20"/>
      <c r="P854" s="20" t="s">
        <v>55</v>
      </c>
      <c r="Q854" s="20"/>
      <c r="R854" s="20"/>
      <c r="S854" s="20"/>
      <c r="T854" s="20"/>
      <c r="U854" s="20"/>
      <c r="V854" s="20"/>
      <c r="W854" s="20"/>
      <c r="X854" s="20"/>
      <c r="Y854" s="20"/>
      <c r="Z854" s="20"/>
      <c r="AA854" s="20"/>
      <c r="AB854" s="20"/>
      <c r="AC854" s="20"/>
      <c r="AD854" s="20"/>
      <c r="AE854" s="20"/>
      <c r="AF854" s="20"/>
      <c r="AG854" s="20"/>
      <c r="AH854" s="20"/>
    </row>
    <row r="855" spans="1:34" ht="16" x14ac:dyDescent="0.2">
      <c r="A855" s="20" t="s">
        <v>3442</v>
      </c>
      <c r="B855" s="20"/>
      <c r="C855" s="20"/>
      <c r="D855" s="20" t="s">
        <v>439</v>
      </c>
      <c r="E855" s="18" t="str">
        <f t="shared" si="128"/>
        <v>Yuen</v>
      </c>
      <c r="F855" s="17" t="str">
        <f t="array" ref="F855">_xlfn.LET(
 _xlpm.authors,_xlfn.TEXTBEFORE(A855," ("&amp;G855&amp;")"),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5" s="17" t="str">
        <f t="shared" si="129"/>
        <v>2005</v>
      </c>
      <c r="H855" s="18" t="str">
        <f t="shared" si="130"/>
        <v>Yuen_etal_2005</v>
      </c>
      <c r="I855" s="18" t="str">
        <f t="shared" si="133"/>
        <v>10.1121%2F1.2010350</v>
      </c>
      <c r="J855" s="18" t="str">
        <f t="shared" si="131"/>
        <v>Yuen_etal_2005_TableI</v>
      </c>
      <c r="K855" s="17" t="str">
        <f t="shared" si="127"/>
        <v>10.1121%2F1.2010350_TableI</v>
      </c>
      <c r="L855" s="17" t="str">
        <f t="array" ref="L855">IFERROR(INDEX(AUTO_Public_TSV_FileList!$A$1:$A$1000,MATCH(TRUE(),EXACT(K855,IFERROR(_xlfn.TEXTBEFORE(AUTO_Public_TSV_FileList!$A$1:$A$1000,".tsv"),"")),0)),"notfound")</f>
        <v>10.1121%2F1.2010350_TableI.tsv</v>
      </c>
      <c r="M855" s="20" t="s">
        <v>3443</v>
      </c>
      <c r="N855" s="20" t="s">
        <v>88</v>
      </c>
      <c r="O855" s="20" t="s">
        <v>1879</v>
      </c>
      <c r="P855" s="20" t="s">
        <v>90</v>
      </c>
      <c r="Q855" s="20"/>
      <c r="R855" s="20"/>
      <c r="S855" s="20"/>
      <c r="T855" s="20"/>
      <c r="U855" s="20"/>
      <c r="V855" s="20"/>
      <c r="W855" s="20"/>
      <c r="X855" s="20"/>
      <c r="Y855" s="20"/>
      <c r="Z855" s="20"/>
      <c r="AA855" s="20"/>
      <c r="AB855" s="20"/>
      <c r="AC855" s="20"/>
      <c r="AD855" s="20"/>
      <c r="AE855" s="20"/>
      <c r="AF855" s="20"/>
      <c r="AG855" s="20"/>
      <c r="AH855" s="20"/>
    </row>
    <row r="856" spans="1:34" ht="16" x14ac:dyDescent="0.2">
      <c r="A856" s="20" t="s">
        <v>3444</v>
      </c>
      <c r="B856" s="20"/>
      <c r="C856" s="20"/>
      <c r="D856" s="20" t="s">
        <v>110</v>
      </c>
      <c r="E856" s="18" t="str">
        <f t="shared" si="128"/>
        <v>Zhang</v>
      </c>
      <c r="F856" s="17" t="str">
        <f t="array" ref="F856">_xlfn.LET(
 _xlpm.authors,_xlfn.TEXTBEFORE(A856," ("&amp;G856&amp;")"),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856" s="17" t="str">
        <f t="shared" si="129"/>
        <v>2000</v>
      </c>
      <c r="H856" s="18" t="str">
        <f t="shared" si="130"/>
        <v>Zhang_Sejnowski_2000</v>
      </c>
      <c r="I856" s="18" t="str">
        <f t="shared" si="133"/>
        <v>10.1073%2Fpnas.090504197</v>
      </c>
      <c r="J856" s="18" t="str">
        <f t="shared" si="131"/>
        <v>Zhang_Sejnowski_2000_Figure2</v>
      </c>
      <c r="K856" s="17" t="str">
        <f t="shared" si="127"/>
        <v>10.1073%2Fpnas.090504197_Figure2</v>
      </c>
      <c r="L856" s="17" t="str">
        <f t="array" ref="L856">IFERROR(INDEX(AUTO_Public_TSV_FileList!$A$1:$A$1000,MATCH(TRUE(),EXACT(K856,IFERROR(_xlfn.TEXTBEFORE(AUTO_Public_TSV_FileList!$A$1:$A$1000,".tsv"),"")),0)),"notfound")</f>
        <v>10.1073%2Fpnas.090504197_Figure2.tsv</v>
      </c>
      <c r="M856" s="20"/>
      <c r="N856" s="19"/>
      <c r="O856" s="20"/>
      <c r="P856" s="20"/>
      <c r="Q856" s="20"/>
      <c r="R856" s="20"/>
      <c r="S856" s="20"/>
      <c r="T856" s="20"/>
      <c r="U856" s="20"/>
      <c r="V856" s="20"/>
      <c r="W856" s="20"/>
      <c r="X856" s="20"/>
      <c r="Y856" s="20"/>
      <c r="Z856" s="20"/>
      <c r="AA856" s="20"/>
      <c r="AB856" s="20"/>
      <c r="AC856" s="20"/>
      <c r="AD856" s="20"/>
      <c r="AE856" s="20"/>
      <c r="AF856" s="20"/>
      <c r="AG856" s="20"/>
      <c r="AH856" s="20"/>
    </row>
    <row r="857" spans="1:34" ht="16" x14ac:dyDescent="0.2">
      <c r="A857" s="20" t="s">
        <v>3444</v>
      </c>
      <c r="B857" s="20"/>
      <c r="C857" s="20"/>
      <c r="D857" s="20" t="s">
        <v>120</v>
      </c>
      <c r="E857" s="18" t="str">
        <f t="shared" si="128"/>
        <v>Zhang</v>
      </c>
      <c r="F857" s="17" t="str">
        <f t="array" ref="F857">_xlfn.LET(
 _xlpm.authors,_xlfn.TEXTBEFORE(A857," ("&amp;G857&amp;")"),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857" s="17" t="str">
        <f t="shared" si="129"/>
        <v>2000</v>
      </c>
      <c r="H857" s="18" t="str">
        <f t="shared" si="130"/>
        <v>Zhang_Sejnowski_2000</v>
      </c>
      <c r="I857" s="18" t="str">
        <f t="shared" si="133"/>
        <v>10.1073%2Fpnas.090504197</v>
      </c>
      <c r="J857" s="18" t="str">
        <f t="shared" si="131"/>
        <v>Zhang_Sejnowski_2000_Figure3</v>
      </c>
      <c r="K857" s="17" t="str">
        <f t="shared" si="127"/>
        <v>10.1073%2Fpnas.090504197_Figure3</v>
      </c>
      <c r="L857" s="17" t="str">
        <f t="array" ref="L857">IFERROR(INDEX(AUTO_Public_TSV_FileList!$A$1:$A$1000,MATCH(TRUE(),EXACT(K857,IFERROR(_xlfn.TEXTBEFORE(AUTO_Public_TSV_FileList!$A$1:$A$1000,".tsv"),"")),0)),"notfound")</f>
        <v>10.1073%2Fpnas.090504197_Figure3.tsv</v>
      </c>
      <c r="M857" s="20"/>
      <c r="N857" s="19"/>
      <c r="O857" s="20"/>
      <c r="P857" s="20"/>
      <c r="Q857" s="20"/>
      <c r="R857" s="20"/>
      <c r="S857" s="20"/>
      <c r="T857" s="20"/>
      <c r="U857" s="20"/>
      <c r="V857" s="20"/>
      <c r="W857" s="20"/>
      <c r="X857" s="20"/>
      <c r="Y857" s="20"/>
      <c r="Z857" s="20"/>
      <c r="AA857" s="20"/>
      <c r="AB857" s="20"/>
      <c r="AC857" s="20"/>
      <c r="AD857" s="20"/>
      <c r="AE857" s="20"/>
      <c r="AF857" s="20"/>
      <c r="AG857" s="20"/>
      <c r="AH857" s="20"/>
    </row>
    <row r="858" spans="1:34" ht="16" x14ac:dyDescent="0.2">
      <c r="A858" s="20" t="s">
        <v>3445</v>
      </c>
      <c r="B858" s="20"/>
      <c r="C858" s="20"/>
      <c r="D858" s="20" t="s">
        <v>152</v>
      </c>
      <c r="E858" s="18" t="str">
        <f t="shared" si="128"/>
        <v>Zhu</v>
      </c>
      <c r="F858" s="17" t="str">
        <f t="array" ref="F858">_xlfn.LET(
 _xlpm.authors,_xlfn.TEXTBEFORE(A858," ("&amp;G858&amp;")"),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8" s="17" t="str">
        <f t="shared" si="129"/>
        <v>2023</v>
      </c>
      <c r="H858" s="18" t="str">
        <f t="shared" si="130"/>
        <v>Zhu_etal_2023</v>
      </c>
      <c r="I858" s="18" t="str">
        <f t="shared" si="133"/>
        <v>10.1038%2Fs41467-023-35869-7</v>
      </c>
      <c r="J858" s="18" t="str">
        <f t="shared" si="131"/>
        <v>Zhu_etal_2023_SupplementaryData1</v>
      </c>
      <c r="K858" s="17" t="str">
        <f t="shared" si="127"/>
        <v>10.1038%2Fs41467-023-35869-7_SupplementaryData1</v>
      </c>
      <c r="L858" s="17" t="str">
        <f t="array" ref="L858">IFERROR(INDEX(AUTO_Public_TSV_FileList!$A$1:$A$1000,MATCH(TRUE(),EXACT(K858,IFERROR(_xlfn.TEXTBEFORE(AUTO_Public_TSV_FileList!$A$1:$A$1000,".tsv"),"")),0)),"notfound")</f>
        <v>10.1038%2Fs41467-023-35869-7_SupplementaryData1.tsv</v>
      </c>
      <c r="M858" s="20" t="s">
        <v>3446</v>
      </c>
      <c r="N858" s="20"/>
      <c r="O858" s="19" t="s">
        <v>3447</v>
      </c>
      <c r="P858" s="20"/>
      <c r="Q858" s="20"/>
      <c r="R858" s="20"/>
      <c r="S858" s="20"/>
      <c r="T858" s="20"/>
      <c r="U858" s="20"/>
      <c r="V858" s="20"/>
      <c r="W858" s="20"/>
      <c r="X858" s="20"/>
      <c r="Y858" s="20"/>
      <c r="Z858" s="20"/>
      <c r="AA858" s="20"/>
      <c r="AB858" s="20"/>
      <c r="AC858" s="20"/>
      <c r="AD858" s="20"/>
      <c r="AE858" s="20"/>
      <c r="AF858" s="20"/>
      <c r="AG858" s="20"/>
      <c r="AH858" s="20"/>
    </row>
    <row r="859" spans="1:34" ht="16" x14ac:dyDescent="0.2">
      <c r="A859" s="20" t="s">
        <v>3445</v>
      </c>
      <c r="B859" s="20"/>
      <c r="C859" s="20"/>
      <c r="D859" s="20" t="s">
        <v>667</v>
      </c>
      <c r="E859" s="18" t="str">
        <f t="shared" si="128"/>
        <v>Zhu</v>
      </c>
      <c r="F859" s="17" t="str">
        <f t="array" ref="F859">_xlfn.LET(
 _xlpm.authors,_xlfn.TEXTBEFORE(A859," ("&amp;G859&amp;")"),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9" s="17" t="str">
        <f t="shared" si="129"/>
        <v>2023</v>
      </c>
      <c r="H859" s="18" t="str">
        <f t="shared" si="130"/>
        <v>Zhu_etal_2023</v>
      </c>
      <c r="I859" s="18" t="str">
        <f t="shared" si="133"/>
        <v>10.1038%2Fs41467-023-35869-7</v>
      </c>
      <c r="J859" s="18" t="str">
        <f t="shared" si="131"/>
        <v>Zhu_etal_2023_SupplementaryData3</v>
      </c>
      <c r="K859" s="17" t="str">
        <f t="shared" si="127"/>
        <v>10.1038%2Fs41467-023-35869-7_SupplementaryData3</v>
      </c>
      <c r="L859" s="17" t="str">
        <f t="array" ref="L859">IFERROR(INDEX(AUTO_Public_TSV_FileList!$A$1:$A$1000,MATCH(TRUE(),EXACT(K859,IFERROR(_xlfn.TEXTBEFORE(AUTO_Public_TSV_FileList!$A$1:$A$1000,".tsv"),"")),0)),"notfound")</f>
        <v>10.1038%2Fs41467-023-35869-7_SupplementaryData3.tsv</v>
      </c>
      <c r="M859" s="20" t="s">
        <v>3448</v>
      </c>
      <c r="N859" s="20"/>
      <c r="O859" s="19" t="s">
        <v>3447</v>
      </c>
      <c r="P859" s="20"/>
      <c r="Q859" s="20"/>
      <c r="R859" s="20"/>
      <c r="S859" s="20"/>
      <c r="T859" s="20"/>
      <c r="U859" s="20"/>
      <c r="V859" s="20"/>
      <c r="W859" s="20"/>
      <c r="X859" s="20"/>
      <c r="Y859" s="20"/>
      <c r="Z859" s="20"/>
      <c r="AA859" s="20"/>
      <c r="AB859" s="20"/>
      <c r="AC859" s="20"/>
      <c r="AD859" s="20"/>
      <c r="AE859" s="20"/>
      <c r="AF859" s="20"/>
      <c r="AG859" s="20"/>
      <c r="AH859" s="20"/>
    </row>
    <row r="860" spans="1:34" ht="16" x14ac:dyDescent="0.2">
      <c r="A860" s="20" t="s">
        <v>3445</v>
      </c>
      <c r="B860" s="20"/>
      <c r="C860" s="20"/>
      <c r="D860" s="20" t="s">
        <v>3449</v>
      </c>
      <c r="E860" s="18" t="str">
        <f t="shared" si="128"/>
        <v>Zhu</v>
      </c>
      <c r="F860" s="17" t="str">
        <f t="array" ref="F860">_xlfn.LET(
 _xlpm.authors,_xlfn.TEXTBEFORE(A860," ("&amp;G860&amp;")"),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0" s="17" t="str">
        <f t="shared" si="129"/>
        <v>2023</v>
      </c>
      <c r="H860" s="18" t="str">
        <f t="shared" si="130"/>
        <v>Zhu_etal_2023</v>
      </c>
      <c r="I860" s="18" t="str">
        <f t="shared" si="133"/>
        <v>10.1038%2Fs41467-023-35869-7</v>
      </c>
      <c r="J860" s="18" t="str">
        <f t="shared" si="131"/>
        <v>Zhu_etal_2023_SupplementaryReferences</v>
      </c>
      <c r="K860" s="17" t="str">
        <f t="shared" si="127"/>
        <v>10.1038%2Fs41467-023-35869-7_SupplementaryReferences</v>
      </c>
      <c r="L860" s="17" t="str">
        <f t="array" ref="L860">IFERROR(INDEX(AUTO_Public_TSV_FileList!$A$1:$A$1000,MATCH(TRUE(),EXACT(K860,IFERROR(_xlfn.TEXTBEFORE(AUTO_Public_TSV_FileList!$A$1:$A$1000,".tsv"),"")),0)),"notfound")</f>
        <v>10.1038%2Fs41467-023-35869-7_SupplementaryReferences.tsv</v>
      </c>
      <c r="M860" s="20" t="s">
        <v>3449</v>
      </c>
      <c r="N860" s="20"/>
      <c r="O860" s="19" t="s">
        <v>3450</v>
      </c>
      <c r="P860" s="20"/>
      <c r="Q860" s="20"/>
      <c r="R860" s="20"/>
      <c r="S860" s="20"/>
      <c r="T860" s="20"/>
      <c r="U860" s="20"/>
      <c r="V860" s="20"/>
      <c r="W860" s="20"/>
      <c r="X860" s="20"/>
      <c r="Y860" s="20"/>
      <c r="Z860" s="20"/>
      <c r="AA860" s="20"/>
      <c r="AB860" s="20"/>
      <c r="AC860" s="20"/>
      <c r="AD860" s="20"/>
      <c r="AE860" s="20"/>
      <c r="AF860" s="20"/>
      <c r="AG860" s="20"/>
      <c r="AH860" s="20"/>
    </row>
    <row r="861" spans="1:34" ht="16" x14ac:dyDescent="0.2">
      <c r="A861" s="20" t="s">
        <v>3451</v>
      </c>
      <c r="B861" s="20"/>
      <c r="C861" s="20" t="s">
        <v>3452</v>
      </c>
      <c r="D861" s="20" t="s">
        <v>3453</v>
      </c>
      <c r="E861" s="18" t="str">
        <f t="shared" si="128"/>
        <v>Zilles</v>
      </c>
      <c r="F861" s="17" t="str">
        <f t="array" ref="F861">_xlfn.LET(
 _xlpm.authors,_xlfn.TEXTBEFORE(A861," ("&amp;G861&amp;")"),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861" s="17" t="str">
        <f t="shared" si="129"/>
        <v>1988</v>
      </c>
      <c r="H861" s="18" t="str">
        <f t="shared" si="130"/>
        <v>Zilles_Rehkämper_1988</v>
      </c>
      <c r="I861" s="18" t="str">
        <f t="shared" si="133"/>
        <v>ISBN%3A9780195043716</v>
      </c>
      <c r="J861" s="18" t="str">
        <f t="shared" si="131"/>
        <v>Zilles_Rehkämper_1988_Table12-1</v>
      </c>
      <c r="K861" s="17" t="str">
        <f t="shared" si="127"/>
        <v>ISBN%3A9780195043716_Table12-1</v>
      </c>
      <c r="L861" s="17" t="str">
        <f t="array" ref="L861">IFERROR(INDEX(AUTO_Public_TSV_FileList!$A$1:$A$1000,MATCH(TRUE(),EXACT(K861,IFERROR(_xlfn.TEXTBEFORE(AUTO_Public_TSV_FileList!$A$1:$A$1000,".tsv"),"")),0)),"notfound")</f>
        <v>ISBN%3A9780195043716_Table12-1.tsv</v>
      </c>
      <c r="M861" s="20" t="s">
        <v>3454</v>
      </c>
      <c r="N861" s="19" t="s">
        <v>54</v>
      </c>
      <c r="O861" s="20"/>
      <c r="P861" s="20"/>
      <c r="Q861" s="20"/>
      <c r="R861" s="20"/>
      <c r="S861" s="20"/>
      <c r="T861" s="20"/>
      <c r="U861" s="20"/>
      <c r="V861" s="20"/>
      <c r="W861" s="20"/>
      <c r="X861" s="20"/>
      <c r="Y861" s="20"/>
      <c r="Z861" s="20"/>
      <c r="AA861" s="20"/>
      <c r="AB861" s="20"/>
      <c r="AC861" s="20"/>
      <c r="AD861" s="20"/>
      <c r="AE861" s="20"/>
      <c r="AF861" s="20"/>
      <c r="AG861" s="20"/>
      <c r="AH861" s="20"/>
    </row>
    <row r="862" spans="1:34" ht="16" x14ac:dyDescent="0.2">
      <c r="A862" s="19" t="s">
        <v>3451</v>
      </c>
      <c r="B862" s="20"/>
      <c r="C862" s="19" t="s">
        <v>3452</v>
      </c>
      <c r="D862" s="19" t="s">
        <v>3455</v>
      </c>
      <c r="E862" s="18" t="str">
        <f t="shared" si="128"/>
        <v>Zilles</v>
      </c>
      <c r="F862" s="17" t="str">
        <f t="array" ref="F862">_xlfn.LET(
 _xlpm.authors,_xlfn.TEXTBEFORE(A862," ("&amp;G862&amp;")"),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862" s="17" t="str">
        <f t="shared" si="129"/>
        <v>1988</v>
      </c>
      <c r="H862" s="18" t="str">
        <f t="shared" si="130"/>
        <v>Zilles_Rehkämper_1988</v>
      </c>
      <c r="I862" s="18" t="str">
        <f t="shared" si="133"/>
        <v>ISBN%3A9780195043716</v>
      </c>
      <c r="J862" s="18" t="str">
        <f t="shared" si="131"/>
        <v>Zilles_Rehkämper_1988_Table12-2</v>
      </c>
      <c r="K862" s="17" t="str">
        <f t="shared" si="127"/>
        <v>ISBN%3A9780195043716_Table12-2</v>
      </c>
      <c r="L862" s="17" t="str">
        <f t="array" ref="L862">IFERROR(INDEX(AUTO_Public_TSV_FileList!$A$1:$A$1000,MATCH(TRUE(),EXACT(K862,IFERROR(_xlfn.TEXTBEFORE(AUTO_Public_TSV_FileList!$A$1:$A$1000,".tsv"),"")),0)),"notfound")</f>
        <v>ISBN%3A9780195043716_Table12-2.tsv</v>
      </c>
      <c r="M862" s="19" t="s">
        <v>3456</v>
      </c>
      <c r="N862" s="19" t="s">
        <v>54</v>
      </c>
      <c r="O862" s="20"/>
      <c r="P862" s="20" t="s">
        <v>55</v>
      </c>
      <c r="Q862" s="20"/>
      <c r="R862" s="20"/>
      <c r="S862" s="20"/>
      <c r="T862" s="20"/>
      <c r="U862" s="20"/>
      <c r="V862" s="20"/>
      <c r="W862" s="20"/>
      <c r="X862" s="20"/>
      <c r="Y862" s="20"/>
      <c r="Z862" s="20"/>
      <c r="AA862" s="20"/>
      <c r="AB862" s="20"/>
      <c r="AC862" s="20"/>
      <c r="AD862" s="20"/>
      <c r="AE862" s="20"/>
      <c r="AF862" s="20"/>
      <c r="AG862" s="20"/>
      <c r="AH862" s="20"/>
    </row>
    <row r="863" spans="1:34" ht="16" x14ac:dyDescent="0.2">
      <c r="A863" s="20" t="s">
        <v>3451</v>
      </c>
      <c r="B863" s="20"/>
      <c r="C863" s="20" t="s">
        <v>3452</v>
      </c>
      <c r="D863" s="20" t="s">
        <v>3457</v>
      </c>
      <c r="E863" s="18" t="str">
        <f t="shared" si="128"/>
        <v>Zilles</v>
      </c>
      <c r="F863" s="17" t="str">
        <f t="array" ref="F863">_xlfn.LET(
 _xlpm.authors,_xlfn.TEXTBEFORE(A863," ("&amp;G863&amp;")"),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863" s="17" t="str">
        <f t="shared" si="129"/>
        <v>1988</v>
      </c>
      <c r="H863" s="18" t="str">
        <f t="shared" si="130"/>
        <v>Zilles_Rehkämper_1988</v>
      </c>
      <c r="I863" s="18" t="str">
        <f t="shared" si="133"/>
        <v>ISBN%3A9780195043716</v>
      </c>
      <c r="J863" s="18" t="str">
        <f t="shared" si="131"/>
        <v>Zilles_Rehkämper_1988_Table12-3</v>
      </c>
      <c r="K863" s="17" t="str">
        <f t="shared" si="127"/>
        <v>ISBN%3A9780195043716_Table12-3</v>
      </c>
      <c r="L863" s="17" t="str">
        <f t="array" ref="L863">IFERROR(INDEX(AUTO_Public_TSV_FileList!$A$1:$A$1000,MATCH(TRUE(),EXACT(K863,IFERROR(_xlfn.TEXTBEFORE(AUTO_Public_TSV_FileList!$A$1:$A$1000,".tsv"),"")),0)),"notfound")</f>
        <v>ISBN%3A9780195043716_Table12-3.tsv</v>
      </c>
      <c r="M863" s="20" t="s">
        <v>3458</v>
      </c>
      <c r="N863" s="19" t="s">
        <v>54</v>
      </c>
      <c r="O863" s="20"/>
      <c r="P863" s="20"/>
      <c r="Q863" s="20"/>
      <c r="R863" s="20"/>
      <c r="S863" s="20"/>
      <c r="T863" s="20"/>
      <c r="U863" s="20"/>
      <c r="V863" s="20"/>
      <c r="W863" s="20"/>
      <c r="X863" s="20"/>
      <c r="Y863" s="20"/>
      <c r="Z863" s="20"/>
      <c r="AA863" s="20"/>
      <c r="AB863" s="20"/>
      <c r="AC863" s="20"/>
      <c r="AD863" s="20"/>
      <c r="AE863" s="20"/>
      <c r="AF863" s="20"/>
      <c r="AG863" s="20"/>
      <c r="AH863" s="20"/>
    </row>
    <row r="864" spans="1:34" ht="16" x14ac:dyDescent="0.2">
      <c r="A864" s="20" t="s">
        <v>3451</v>
      </c>
      <c r="B864" s="20"/>
      <c r="C864" s="20" t="s">
        <v>3452</v>
      </c>
      <c r="D864" s="19" t="s">
        <v>93</v>
      </c>
      <c r="E864" s="18" t="str">
        <f t="shared" si="128"/>
        <v>Zilles</v>
      </c>
      <c r="F864" s="17" t="str">
        <f t="array" ref="F864">_xlfn.LET(
 _xlpm.authors,_xlfn.TEXTBEFORE(A864," ("&amp;G864&amp;")"),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864" s="17" t="str">
        <f t="shared" si="129"/>
        <v>1988</v>
      </c>
      <c r="H864" s="18" t="str">
        <f t="shared" si="130"/>
        <v>Zilles_Rehkämper_1988</v>
      </c>
      <c r="I864" s="18" t="str">
        <f t="shared" si="133"/>
        <v>ISBN%3A9780195043716</v>
      </c>
      <c r="J864" s="18" t="str">
        <f t="shared" si="131"/>
        <v>Zilles_Rehkämper_1988_Text</v>
      </c>
      <c r="K864" s="17" t="str">
        <f t="shared" si="127"/>
        <v>ISBN%3A9780195043716_Text</v>
      </c>
      <c r="L864" s="17" t="str">
        <f t="array" ref="L864">IFERROR(INDEX(AUTO_Public_TSV_FileList!$A$1:$A$1000,MATCH(TRUE(),EXACT(K864,IFERROR(_xlfn.TEXTBEFORE(AUTO_Public_TSV_FileList!$A$1:$A$1000,".tsv"),"")),0)),"notfound")</f>
        <v>ISBN%3A9780195043716_Text.tsv</v>
      </c>
      <c r="M864" s="20"/>
      <c r="N864" s="19"/>
      <c r="O864" s="20"/>
      <c r="P864" s="20"/>
      <c r="Q864" s="20"/>
      <c r="R864" s="20"/>
      <c r="S864" s="20"/>
      <c r="T864" s="20"/>
      <c r="U864" s="20"/>
      <c r="V864" s="20"/>
      <c r="W864" s="20"/>
      <c r="X864" s="20"/>
      <c r="Y864" s="20"/>
      <c r="Z864" s="20"/>
      <c r="AA864" s="20"/>
      <c r="AB864" s="20"/>
      <c r="AC864" s="20"/>
      <c r="AD864" s="20"/>
      <c r="AE864" s="20"/>
      <c r="AF864" s="20"/>
      <c r="AG864" s="20"/>
      <c r="AH864" s="20"/>
    </row>
    <row r="865" spans="1:36" ht="16" x14ac:dyDescent="0.2">
      <c r="A865" s="20" t="s">
        <v>3459</v>
      </c>
      <c r="B865" s="20"/>
      <c r="C865" s="20"/>
      <c r="D865" s="20" t="s">
        <v>390</v>
      </c>
      <c r="E865" s="18" t="str">
        <f t="shared" si="128"/>
        <v>Zilles</v>
      </c>
      <c r="F865" s="17" t="str">
        <f t="array" ref="F865">_xlfn.LET(
 _xlpm.authors,_xlfn.TEXTBEFORE(A865," ("&amp;G865&amp;")"),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5" s="17" t="str">
        <f t="shared" si="129"/>
        <v>2011</v>
      </c>
      <c r="H865" s="18" t="str">
        <f t="shared" si="130"/>
        <v>Zilles_etal_2011</v>
      </c>
      <c r="I865" s="18" t="str">
        <f t="shared" si="133"/>
        <v>10.1111%2Fj.1749-6632.2011.05978.x</v>
      </c>
      <c r="J865" s="18" t="str">
        <f t="shared" si="131"/>
        <v>Zilles_etal_2011_TableS1</v>
      </c>
      <c r="K865" s="17" t="str">
        <f t="shared" si="127"/>
        <v>10.1111%2Fj.1749-6632.2011.05978.x_TableS1</v>
      </c>
      <c r="L865" s="17" t="str">
        <f t="array" ref="L865">IFERROR(INDEX(AUTO_Public_TSV_FileList!$A$1:$A$1000,MATCH(TRUE(),EXACT(K865,IFERROR(_xlfn.TEXTBEFORE(AUTO_Public_TSV_FileList!$A$1:$A$1000,".tsv"),"")),0)),"notfound")</f>
        <v>10.1111%2Fj.1749-6632.2011.05978.x_TableS1.tsv</v>
      </c>
      <c r="M865" s="20" t="s">
        <v>3460</v>
      </c>
      <c r="N865" s="19"/>
      <c r="O865" s="20"/>
      <c r="P865" s="20"/>
      <c r="Q865" s="20"/>
      <c r="R865" s="20"/>
      <c r="S865" s="20"/>
      <c r="T865" s="20"/>
      <c r="U865" s="20"/>
      <c r="V865" s="20"/>
      <c r="W865" s="20"/>
      <c r="X865" s="20"/>
      <c r="Y865" s="20"/>
      <c r="Z865" s="20"/>
      <c r="AA865" s="20"/>
      <c r="AB865" s="20"/>
      <c r="AC865" s="20"/>
      <c r="AD865" s="20"/>
      <c r="AE865" s="20"/>
      <c r="AF865" s="20"/>
      <c r="AG865" s="20"/>
      <c r="AH865" s="20"/>
    </row>
    <row r="866" spans="1:36" ht="16" x14ac:dyDescent="0.2">
      <c r="A866" s="20" t="s">
        <v>3459</v>
      </c>
      <c r="B866" s="20"/>
      <c r="C866" s="20"/>
      <c r="D866" s="20" t="s">
        <v>1051</v>
      </c>
      <c r="E866" s="18" t="str">
        <f t="shared" si="128"/>
        <v>Zilles</v>
      </c>
      <c r="F866" s="17" t="str">
        <f t="array" ref="F866">_xlfn.LET(
 _xlpm.authors,_xlfn.TEXTBEFORE(A866," ("&amp;G866&amp;")"),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6" s="17" t="str">
        <f t="shared" si="129"/>
        <v>2011</v>
      </c>
      <c r="H866" s="18" t="str">
        <f t="shared" si="130"/>
        <v>Zilles_etal_2011</v>
      </c>
      <c r="I866" s="18" t="str">
        <f t="shared" si="133"/>
        <v>10.1111%2Fj.1749-6632.2011.05978.x</v>
      </c>
      <c r="J866" s="18" t="str">
        <f t="shared" si="131"/>
        <v>Zilles_etal_2011_TableS2</v>
      </c>
      <c r="K866" s="17" t="str">
        <f t="shared" si="127"/>
        <v>10.1111%2Fj.1749-6632.2011.05978.x_TableS2</v>
      </c>
      <c r="L866" s="17" t="str">
        <f t="array" ref="L866">IFERROR(INDEX(AUTO_Public_TSV_FileList!$A$1:$A$1000,MATCH(TRUE(),EXACT(K866,IFERROR(_xlfn.TEXTBEFORE(AUTO_Public_TSV_FileList!$A$1:$A$1000,".tsv"),"")),0)),"notfound")</f>
        <v>10.1111%2Fj.1749-6632.2011.05978.x_TableS2.tsv</v>
      </c>
      <c r="M866" s="20" t="s">
        <v>3461</v>
      </c>
      <c r="N866" s="19"/>
      <c r="O866" s="20"/>
      <c r="P866" s="20"/>
      <c r="Q866" s="20"/>
      <c r="R866" s="20"/>
      <c r="S866" s="20"/>
      <c r="T866" s="20"/>
      <c r="U866" s="20"/>
      <c r="V866" s="20"/>
      <c r="W866" s="20"/>
      <c r="X866" s="20"/>
      <c r="Y866" s="20"/>
      <c r="Z866" s="20"/>
      <c r="AA866" s="20"/>
      <c r="AB866" s="20"/>
      <c r="AC866" s="20"/>
      <c r="AD866" s="20"/>
      <c r="AE866" s="20"/>
      <c r="AF866" s="20"/>
      <c r="AG866" s="20"/>
      <c r="AH866" s="20"/>
    </row>
    <row r="867" spans="1:36" ht="16" x14ac:dyDescent="0.2">
      <c r="A867" s="20" t="s">
        <v>3459</v>
      </c>
      <c r="B867" s="20"/>
      <c r="C867" s="20"/>
      <c r="D867" s="20" t="s">
        <v>1053</v>
      </c>
      <c r="E867" s="18" t="str">
        <f t="shared" si="128"/>
        <v>Zilles</v>
      </c>
      <c r="F867" s="17" t="str">
        <f t="array" ref="F867">_xlfn.LET(
 _xlpm.authors,_xlfn.TEXTBEFORE(A867," ("&amp;G867&amp;")"),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7" s="17" t="str">
        <f t="shared" si="129"/>
        <v>2011</v>
      </c>
      <c r="H867" s="18" t="str">
        <f t="shared" si="130"/>
        <v>Zilles_etal_2011</v>
      </c>
      <c r="I867" s="18" t="str">
        <f t="shared" si="133"/>
        <v>10.1111%2Fj.1749-6632.2011.05978.x</v>
      </c>
      <c r="J867" s="18" t="str">
        <f t="shared" si="131"/>
        <v>Zilles_etal_2011_TableS3</v>
      </c>
      <c r="K867" s="17" t="str">
        <f t="shared" si="127"/>
        <v>10.1111%2Fj.1749-6632.2011.05978.x_TableS3</v>
      </c>
      <c r="L867" s="17" t="str">
        <f t="array" ref="L867">IFERROR(INDEX(AUTO_Public_TSV_FileList!$A$1:$A$1000,MATCH(TRUE(),EXACT(K867,IFERROR(_xlfn.TEXTBEFORE(AUTO_Public_TSV_FileList!$A$1:$A$1000,".tsv"),"")),0)),"notfound")</f>
        <v>10.1111%2Fj.1749-6632.2011.05978.x_TableS3.tsv</v>
      </c>
      <c r="M867" s="20" t="s">
        <v>3462</v>
      </c>
      <c r="N867" s="19"/>
      <c r="O867" s="20"/>
      <c r="P867" s="20"/>
      <c r="Q867" s="20"/>
      <c r="R867" s="20"/>
      <c r="S867" s="20"/>
      <c r="T867" s="20"/>
      <c r="U867" s="20"/>
      <c r="V867" s="20"/>
      <c r="W867" s="20"/>
      <c r="X867" s="20"/>
      <c r="Y867" s="20"/>
      <c r="Z867" s="20"/>
      <c r="AA867" s="20"/>
      <c r="AB867" s="20"/>
      <c r="AC867" s="20"/>
      <c r="AD867" s="20"/>
      <c r="AE867" s="20"/>
      <c r="AF867" s="20"/>
      <c r="AG867" s="20"/>
      <c r="AH867" s="20"/>
    </row>
    <row r="868" spans="1:36" ht="16" x14ac:dyDescent="0.2">
      <c r="A868" s="21" t="s">
        <v>3463</v>
      </c>
      <c r="B868" s="21"/>
      <c r="C868" s="21"/>
      <c r="D868" s="21" t="s">
        <v>86</v>
      </c>
      <c r="E868" s="18" t="str">
        <f t="shared" si="128"/>
        <v>Zilles</v>
      </c>
      <c r="F868" s="17" t="str">
        <f t="array" ref="F868">_xlfn.LET(
 _xlpm.authors,_xlfn.TEXTBEFORE(A868," ("&amp;G868&amp;")"),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8" s="17" t="str">
        <f t="shared" si="129"/>
        <v>1989</v>
      </c>
      <c r="H868" s="18" t="str">
        <f t="shared" si="130"/>
        <v>Zilles_etal_1989</v>
      </c>
      <c r="I868" s="18" t="str">
        <f t="shared" si="133"/>
        <v>10.1159%2F000116500</v>
      </c>
      <c r="J868" s="18" t="str">
        <f t="shared" si="131"/>
        <v>Zilles_etal_1989_Table1</v>
      </c>
      <c r="K868" s="17" t="str">
        <f t="shared" si="127"/>
        <v>10.1159%2F000116500_Table1</v>
      </c>
      <c r="L868" s="17" t="str">
        <f t="array" ref="L868">IFERROR(INDEX(AUTO_Public_TSV_FileList!$A$1:$A$1000,MATCH(TRUE(),EXACT(K868,IFERROR(_xlfn.TEXTBEFORE(AUTO_Public_TSV_FileList!$A$1:$A$1000,".tsv"),"")),0)),"notfound")</f>
        <v>10.1159%2F000116500_Table1.tsv</v>
      </c>
      <c r="M868" s="21" t="s">
        <v>3464</v>
      </c>
      <c r="N868" s="21" t="s">
        <v>2242</v>
      </c>
      <c r="O868" s="21" t="s">
        <v>3465</v>
      </c>
      <c r="P868" s="21" t="s">
        <v>2244</v>
      </c>
      <c r="Q868" s="21" t="s">
        <v>3466</v>
      </c>
      <c r="R868" s="21" t="s">
        <v>3467</v>
      </c>
      <c r="S868" s="21"/>
      <c r="T868" s="21" t="s">
        <v>2247</v>
      </c>
      <c r="U868" s="21"/>
      <c r="V868" s="21"/>
      <c r="W868" s="21"/>
      <c r="X868" s="21"/>
      <c r="Y868" s="21"/>
      <c r="Z868" s="21"/>
      <c r="AA868" s="21" t="s">
        <v>3468</v>
      </c>
      <c r="AB868" s="21" t="s">
        <v>3469</v>
      </c>
      <c r="AC868" s="21"/>
      <c r="AD868" s="21"/>
      <c r="AE868" s="21" t="s">
        <v>70</v>
      </c>
      <c r="AF868" s="21"/>
      <c r="AG868" s="21" t="s">
        <v>2250</v>
      </c>
      <c r="AH868" s="21"/>
    </row>
    <row r="869" spans="1:36" ht="16" x14ac:dyDescent="0.2">
      <c r="A869" s="20" t="s">
        <v>3470</v>
      </c>
      <c r="B869" s="20"/>
      <c r="C869" s="20"/>
      <c r="D869" s="20" t="s">
        <v>86</v>
      </c>
      <c r="E869" s="18" t="str">
        <f t="shared" si="128"/>
        <v>Zilles</v>
      </c>
      <c r="F869" s="17" t="str">
        <f t="array" ref="F869">_xlfn.LET(
 _xlpm.authors,_xlfn.TEXTBEFORE(A869," ("&amp;G869&amp;")"),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9" s="17" t="str">
        <f t="shared" si="129"/>
        <v>1986</v>
      </c>
      <c r="H869" s="18" t="str">
        <f t="shared" si="130"/>
        <v>Zilles_etal_1986</v>
      </c>
      <c r="I869" s="18" t="str">
        <f t="shared" si="133"/>
        <v>10.1002%2Fcne.902530408</v>
      </c>
      <c r="J869" s="18" t="str">
        <f t="shared" si="131"/>
        <v>Zilles_etal_1986_Table1</v>
      </c>
      <c r="K869" s="17" t="str">
        <f t="shared" si="127"/>
        <v>10.1002%2Fcne.902530408_Table1</v>
      </c>
      <c r="L869" s="17" t="str">
        <f t="array" ref="L869">IFERROR(INDEX(AUTO_Public_TSV_FileList!$A$1:$A$1000,MATCH(TRUE(),EXACT(K869,IFERROR(_xlfn.TEXTBEFORE(AUTO_Public_TSV_FileList!$A$1:$A$1000,".tsv"),"")),0)),"notfound")</f>
        <v>10.1002%2Fcne.902530408_Table1.tsv</v>
      </c>
      <c r="M869" s="20"/>
      <c r="N869" s="19"/>
      <c r="O869" s="20"/>
      <c r="P869" s="20"/>
      <c r="Q869" s="20"/>
      <c r="R869" s="20"/>
      <c r="S869" s="20"/>
      <c r="T869" s="20"/>
      <c r="U869" s="20"/>
      <c r="V869" s="20"/>
      <c r="W869" s="20"/>
      <c r="X869" s="20"/>
      <c r="Y869" s="20"/>
      <c r="Z869" s="20"/>
      <c r="AA869" s="20"/>
      <c r="AB869" s="20"/>
      <c r="AC869" s="20"/>
      <c r="AD869" s="20"/>
      <c r="AE869" s="20"/>
      <c r="AF869" s="20"/>
      <c r="AG869" s="20"/>
      <c r="AH869" s="20"/>
    </row>
    <row r="870" spans="1:36" ht="16" x14ac:dyDescent="0.2">
      <c r="A870" s="20" t="s">
        <v>3470</v>
      </c>
      <c r="B870" s="20"/>
      <c r="C870" s="20"/>
      <c r="D870" s="20" t="s">
        <v>160</v>
      </c>
      <c r="E870" s="18" t="str">
        <f t="shared" si="128"/>
        <v>Zilles</v>
      </c>
      <c r="F870" s="17" t="str">
        <f t="array" ref="F870">_xlfn.LET(
 _xlpm.authors,_xlfn.TEXTBEFORE(A870," ("&amp;G870&amp;")"),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0" s="17" t="str">
        <f t="shared" si="129"/>
        <v>1986</v>
      </c>
      <c r="H870" s="18" t="str">
        <f t="shared" si="130"/>
        <v>Zilles_etal_1986</v>
      </c>
      <c r="I870" s="18" t="str">
        <f t="shared" si="133"/>
        <v>10.1002%2Fcne.902530408</v>
      </c>
      <c r="J870" s="18" t="str">
        <f t="shared" si="131"/>
        <v>Zilles_etal_1986_Table2</v>
      </c>
      <c r="K870" s="17" t="str">
        <f t="shared" si="127"/>
        <v>10.1002%2Fcne.902530408_Table2</v>
      </c>
      <c r="L870" s="17" t="str">
        <f t="array" ref="L870">IFERROR(INDEX(AUTO_Public_TSV_FileList!$A$1:$A$1000,MATCH(TRUE(),EXACT(K870,IFERROR(_xlfn.TEXTBEFORE(AUTO_Public_TSV_FileList!$A$1:$A$1000,".tsv"),"")),0)),"notfound")</f>
        <v>10.1002%2Fcne.902530408_Table2.tsv</v>
      </c>
      <c r="M870" s="20"/>
      <c r="N870" s="19"/>
      <c r="O870" s="20"/>
      <c r="P870" s="20"/>
      <c r="Q870" s="20"/>
      <c r="R870" s="20"/>
      <c r="S870" s="20"/>
      <c r="T870" s="20"/>
      <c r="U870" s="20"/>
      <c r="V870" s="20"/>
      <c r="W870" s="20"/>
      <c r="X870" s="20"/>
      <c r="Y870" s="20"/>
      <c r="Z870" s="20"/>
      <c r="AA870" s="20"/>
      <c r="AB870" s="20"/>
      <c r="AC870" s="20"/>
      <c r="AD870" s="20"/>
      <c r="AE870" s="20"/>
      <c r="AF870" s="20"/>
      <c r="AG870" s="20"/>
      <c r="AH870" s="20"/>
    </row>
    <row r="871" spans="1:36" ht="16" x14ac:dyDescent="0.2">
      <c r="A871" s="19" t="s">
        <v>3471</v>
      </c>
      <c r="B871" s="20"/>
      <c r="C871" s="20"/>
      <c r="D871" s="19" t="s">
        <v>86</v>
      </c>
      <c r="E871" s="18" t="str">
        <f t="shared" si="128"/>
        <v>Zilles</v>
      </c>
      <c r="F871" s="17" t="str">
        <f t="array" ref="F871">_xlfn.LET(
 _xlpm.authors,_xlfn.TEXTBEFORE(A871," ("&amp;G871&amp;")"),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1" s="17" t="str">
        <f t="shared" si="129"/>
        <v>2013</v>
      </c>
      <c r="H871" s="18" t="str">
        <f t="shared" si="130"/>
        <v>Zilles_etal_2013</v>
      </c>
      <c r="I871" s="18" t="str">
        <f t="shared" si="133"/>
        <v>10.1016%2Fj.tins.2013.01.006</v>
      </c>
      <c r="J871" s="18" t="str">
        <f t="shared" si="131"/>
        <v>Zilles_etal_2013_Table1</v>
      </c>
      <c r="K871" s="17" t="str">
        <f t="shared" si="127"/>
        <v>10.1016%2Fj.tins.2013.01.006_Table1</v>
      </c>
      <c r="L871" s="17" t="str">
        <f t="array" ref="L871">IFERROR(INDEX(AUTO_Public_TSV_FileList!$A$1:$A$1000,MATCH(TRUE(),EXACT(K871,IFERROR(_xlfn.TEXTBEFORE(AUTO_Public_TSV_FileList!$A$1:$A$1000,".tsv"),"")),0)),"notfound")</f>
        <v>10.1016%2Fj.tins.2013.01.006_Table1.tsv</v>
      </c>
      <c r="M871" s="19" t="s">
        <v>3472</v>
      </c>
      <c r="N871" s="19" t="s">
        <v>54</v>
      </c>
      <c r="O871" s="20"/>
      <c r="P871" s="20" t="s">
        <v>55</v>
      </c>
      <c r="Q871" s="20"/>
      <c r="R871" s="20"/>
      <c r="S871" s="20"/>
      <c r="T871" s="20"/>
      <c r="U871" s="20"/>
      <c r="V871" s="20"/>
      <c r="W871" s="20"/>
      <c r="X871" s="20"/>
      <c r="Y871" s="20"/>
      <c r="Z871" s="20"/>
      <c r="AA871" s="20"/>
      <c r="AB871" s="20"/>
      <c r="AC871" s="20"/>
      <c r="AD871" s="20"/>
      <c r="AE871" s="20"/>
      <c r="AF871" s="20"/>
      <c r="AG871" s="20"/>
      <c r="AH871" s="20"/>
    </row>
    <row r="872" spans="1:36" ht="16" x14ac:dyDescent="0.2">
      <c r="A872" s="20" t="s">
        <v>3471</v>
      </c>
      <c r="B872" s="20"/>
      <c r="C872" s="20"/>
      <c r="D872" s="20" t="s">
        <v>86</v>
      </c>
      <c r="E872" s="18" t="str">
        <f t="shared" si="128"/>
        <v>Zilles</v>
      </c>
      <c r="F872" s="17" t="str">
        <f t="array" ref="F872">_xlfn.LET(
 _xlpm.authors,_xlfn.TEXTBEFORE(A872," ("&amp;G872&amp;")"),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2" s="17" t="str">
        <f t="shared" si="129"/>
        <v>2013</v>
      </c>
      <c r="H872" s="18" t="str">
        <f t="shared" si="130"/>
        <v>Zilles_etal_2013</v>
      </c>
      <c r="I872" s="18" t="str">
        <f t="shared" si="133"/>
        <v>10.1016%2Fj.tins.2013.01.006</v>
      </c>
      <c r="J872" s="18" t="str">
        <f t="shared" si="131"/>
        <v>Zilles_etal_2013_Table1</v>
      </c>
      <c r="K872" s="17" t="str">
        <f t="shared" si="127"/>
        <v>10.1016%2Fj.tins.2013.01.006_Table1</v>
      </c>
      <c r="L872" s="17" t="str">
        <f t="array" ref="L872">IFERROR(INDEX(AUTO_Public_TSV_FileList!$A$1:$A$1000,MATCH(TRUE(),EXACT(K872,IFERROR(_xlfn.TEXTBEFORE(AUTO_Public_TSV_FileList!$A$1:$A$1000,".tsv"),"")),0)),"notfound")</f>
        <v>10.1016%2Fj.tins.2013.01.006_Table1.tsv</v>
      </c>
      <c r="M872" s="20" t="s">
        <v>3472</v>
      </c>
      <c r="N872" s="19" t="s">
        <v>54</v>
      </c>
      <c r="O872" s="20"/>
      <c r="P872" s="20" t="s">
        <v>55</v>
      </c>
      <c r="Q872" s="20"/>
      <c r="R872" s="20"/>
      <c r="S872" s="20"/>
      <c r="T872" s="20"/>
      <c r="U872" s="20"/>
      <c r="V872" s="20"/>
      <c r="W872" s="20"/>
      <c r="X872" s="20"/>
      <c r="Y872" s="20"/>
      <c r="Z872" s="20"/>
      <c r="AA872" s="20"/>
      <c r="AB872" s="20"/>
      <c r="AC872" s="20"/>
      <c r="AD872" s="20"/>
      <c r="AE872" s="20"/>
      <c r="AF872" s="20"/>
      <c r="AG872" s="20"/>
      <c r="AH872" s="20"/>
    </row>
    <row r="873" spans="1:36" ht="16" x14ac:dyDescent="0.2">
      <c r="A873" s="20" t="s">
        <v>5393</v>
      </c>
      <c r="B873" s="20"/>
      <c r="C873" s="20"/>
      <c r="D873" s="20" t="s">
        <v>802</v>
      </c>
      <c r="E873" s="18" t="str">
        <f t="shared" si="128"/>
        <v>Zimmermann</v>
      </c>
      <c r="F873" s="17" t="str">
        <f t="array" ref="F873">_xlfn.LET(
 _xlpm.authors,_xlfn.TEXTBEFORE(A873," ("&amp;G873&amp;")"),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73" s="17" t="str">
        <f t="shared" si="129"/>
        <v>2017</v>
      </c>
      <c r="H873" s="18" t="str">
        <f t="shared" si="130"/>
        <v>Zimmermann__2017</v>
      </c>
      <c r="I873" s="18" t="str">
        <f t="shared" si="133"/>
        <v>10.1007%2F978-3-319-59478-1_5</v>
      </c>
      <c r="J873" s="18" t="str">
        <f t="shared" si="131"/>
        <v>Zimmermann__2017_Table5.1</v>
      </c>
      <c r="K873" s="17" t="str">
        <f t="shared" si="127"/>
        <v>10.1007%2F978-3-319-59478-1_5_Table5.1</v>
      </c>
      <c r="L873" s="17" t="str">
        <f t="array" ref="L873">IFERROR(INDEX(AUTO_Public_TSV_FileList!$A$1:$A$1000,MATCH(TRUE(),EXACT(K873,IFERROR(_xlfn.TEXTBEFORE(AUTO_Public_TSV_FileList!$A$1:$A$1000,".tsv"),"")),0)),"notfound")</f>
        <v>10.1007%2F978-3-319-59478-1_5_Table5.1.tsv</v>
      </c>
      <c r="M873" s="20"/>
      <c r="N873" s="20" t="s">
        <v>4864</v>
      </c>
      <c r="O873" s="20" t="s">
        <v>5383</v>
      </c>
      <c r="P873" s="20" t="s">
        <v>4866</v>
      </c>
      <c r="Q873" s="20" t="s">
        <v>5384</v>
      </c>
      <c r="R873" s="20" t="s">
        <v>5385</v>
      </c>
      <c r="S873" s="20" t="s">
        <v>4869</v>
      </c>
      <c r="T873" s="20" t="s">
        <v>4870</v>
      </c>
      <c r="U873" s="20"/>
      <c r="V873" s="20" t="s">
        <v>4871</v>
      </c>
      <c r="W873" s="20" t="s">
        <v>187</v>
      </c>
      <c r="X873" s="20" t="s">
        <v>5386</v>
      </c>
      <c r="Y873" s="20"/>
      <c r="Z873" s="20" t="s">
        <v>4873</v>
      </c>
      <c r="AA873" s="20" t="s">
        <v>4874</v>
      </c>
      <c r="AB873" s="20" t="s">
        <v>4909</v>
      </c>
      <c r="AC873" s="20" t="s">
        <v>5387</v>
      </c>
      <c r="AD873" s="20" t="s">
        <v>689</v>
      </c>
      <c r="AE873" s="20" t="s">
        <v>265</v>
      </c>
      <c r="AF873" s="20" t="s">
        <v>4877</v>
      </c>
      <c r="AG873" s="20" t="s">
        <v>4878</v>
      </c>
      <c r="AH873" s="20" t="s">
        <v>4879</v>
      </c>
      <c r="AJ873" t="s">
        <v>5388</v>
      </c>
    </row>
    <row r="935" spans="1:31" ht="16" customHeight="1" x14ac:dyDescent="0.2">
      <c r="A935" s="5" t="s">
        <v>2488</v>
      </c>
      <c r="D935" s="5" t="s">
        <v>2075</v>
      </c>
      <c r="E935" s="5" t="str">
        <f t="shared" ref="E935:E942" si="134">SUBSTITUTE(SUBSTITUTE(_xlfn.TEXTBEFORE(A935,","), "-", ""), " ", "")</f>
        <v>Morgan</v>
      </c>
      <c r="F935" s="5" t="str">
        <f t="array" ref="F935">_xlfn.LET(
 _xlpm.authors,_xlfn.TEXTBEFORE(A935," ("&amp;G935&amp;")"),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5" s="5" t="str">
        <f t="shared" ref="G935:G942" si="135">_xlfn.TEXTBEFORE(_xlfn.TEXTAFTER(A935, "("), ")")</f>
        <v>2014</v>
      </c>
      <c r="H935" s="5" t="str">
        <f t="shared" ref="H935:H942" si="136">SUBSTITUTE(SUBSTITUTE(E935 &amp; IF(F935&lt;&gt;"", "_" &amp; SUBSTITUTE(F935," ",""), "_") &amp; IF(G935&lt;&gt;"", "_" &amp; G935, "_") &amp; IF(B935&lt;&gt;"", "_" &amp; B935, ""),"'",""),"’","")</f>
        <v>Morgan_etal_2014</v>
      </c>
      <c r="I935" s="5" t="str">
        <f t="shared" ref="I935:I942" si="137">_xlfn.LET(
_xlpm.doi,IF(C935&lt;&gt;"",C935,_xlfn.TEXTAFTER(A935,"https://doi.org/")),
SUBSTITUTE(
SUBSTITUTE(
SUBSTITUTE(
SUBSTITUTE(
_xlpm.doi,
"/","%2F"),
":","%3A"),
"&lt;","%3C"),
"&gt;","%3E")
)</f>
        <v>10.1371%2Fjournal.pone.0110356</v>
      </c>
      <c r="J935" s="5" t="str">
        <f t="shared" ref="J935:J942" si="138">TRIM(_xlfn.TEXTJOIN("_",FALSE(),H935,(SUBSTITUTE(SUBSTITUTE(D935," ",""), "_", ""))))</f>
        <v>Morgan_etal_2014_DataS1</v>
      </c>
      <c r="K935" t="str">
        <f t="shared" ref="K935:K942" si="139">I935 &amp; "_" &amp; SUBSTITUTE(SUBSTITUTE(SUBSTITUTE(D935,CHAR(160),""), " ", ""), "_", "")</f>
        <v>10.1371%2Fjournal.pone.0110356_DataS1</v>
      </c>
      <c r="L935" t="str">
        <f t="array" ref="L935">IFERROR(INDEX(AUTO_Public_TSV_FileList!$A$1:$A$1000,MATCH(TRUE(),EXACT(K935,IFERROR(_xlfn.TEXTBEFORE(AUTO_Public_TSV_FileList!$A$1:$A$1000,".tsv"),"")),0)),"notfound")</f>
        <v>10.1371%2Fjournal.pone.0110356_DataS1.tsv</v>
      </c>
      <c r="N935" s="8" t="s">
        <v>2490</v>
      </c>
      <c r="O935" s="8" t="s">
        <v>2489</v>
      </c>
      <c r="P935" s="8" t="s">
        <v>3473</v>
      </c>
      <c r="Q935" s="8" t="s">
        <v>2491</v>
      </c>
      <c r="W935" s="8" t="s">
        <v>1210</v>
      </c>
      <c r="AA935" s="8" t="s">
        <v>2493</v>
      </c>
      <c r="AB935" s="8" t="s">
        <v>2017</v>
      </c>
      <c r="AC935" s="8" t="s">
        <v>2494</v>
      </c>
      <c r="AE935" s="8" t="s">
        <v>50</v>
      </c>
    </row>
    <row r="936" spans="1:31" ht="16" customHeight="1" x14ac:dyDescent="0.2">
      <c r="A936" s="5" t="s">
        <v>1206</v>
      </c>
      <c r="D936" s="5" t="s">
        <v>160</v>
      </c>
      <c r="E936" s="5" t="str">
        <f t="shared" si="134"/>
        <v>Hanson</v>
      </c>
      <c r="F936" s="5" t="str">
        <f t="array" ref="F936">_xlfn.LET(
 _xlpm.authors,_xlfn.TEXTBEFORE(A936," ("&amp;G936&amp;")"),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6" s="5" t="str">
        <f t="shared" si="135"/>
        <v>2018</v>
      </c>
      <c r="H936" s="5" t="str">
        <f t="shared" si="136"/>
        <v>Hanson_etal_2018</v>
      </c>
      <c r="I936" s="5" t="str">
        <f t="shared" si="137"/>
        <v>10.1002%2Fdneu.22554</v>
      </c>
      <c r="J936" s="5" t="str">
        <f t="shared" si="138"/>
        <v>Hanson_etal_2018_Table2</v>
      </c>
      <c r="K936" t="str">
        <f t="shared" si="139"/>
        <v>10.1002%2Fdneu.22554_Table2</v>
      </c>
      <c r="L936" t="str">
        <f t="array" ref="L936">IFERROR(INDEX(AUTO_Public_TSV_FileList!$A$1:$A$1000,MATCH(TRUE(),EXACT(K936,IFERROR(_xlfn.TEXTBEFORE(AUTO_Public_TSV_FileList!$A$1:$A$1000,".tsv"),"")),0)),"notfound")</f>
        <v>10.1002%2Fdneu.22554_Table2.tsv</v>
      </c>
      <c r="N936" s="8" t="s">
        <v>1208</v>
      </c>
      <c r="O936" s="8" t="s">
        <v>1207</v>
      </c>
      <c r="P936" s="8" t="s">
        <v>3474</v>
      </c>
      <c r="Q936" s="8" t="s">
        <v>1209</v>
      </c>
      <c r="W936" s="8" t="s">
        <v>1210</v>
      </c>
      <c r="AA936" s="8" t="s">
        <v>376</v>
      </c>
      <c r="AB936" s="8" t="s">
        <v>167</v>
      </c>
      <c r="AC936" s="8" t="s">
        <v>1212</v>
      </c>
      <c r="AE936" s="8" t="s">
        <v>50</v>
      </c>
    </row>
    <row r="937" spans="1:31" ht="16" customHeight="1" x14ac:dyDescent="0.2">
      <c r="A937" s="5" t="s">
        <v>1206</v>
      </c>
      <c r="D937" s="5" t="s">
        <v>162</v>
      </c>
      <c r="E937" s="5" t="str">
        <f t="shared" si="134"/>
        <v>Hanson</v>
      </c>
      <c r="F937" s="5" t="str">
        <f t="array" ref="F937">_xlfn.LET(
 _xlpm.authors,_xlfn.TEXTBEFORE(A937," ("&amp;G937&amp;")"),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7" s="5" t="str">
        <f t="shared" si="135"/>
        <v>2018</v>
      </c>
      <c r="H937" s="5" t="str">
        <f t="shared" si="136"/>
        <v>Hanson_etal_2018</v>
      </c>
      <c r="I937" s="5" t="str">
        <f t="shared" si="137"/>
        <v>10.1002%2Fdneu.22554</v>
      </c>
      <c r="J937" s="5" t="str">
        <f t="shared" si="138"/>
        <v>Hanson_etal_2018_Table3</v>
      </c>
      <c r="K937" t="str">
        <f t="shared" si="139"/>
        <v>10.1002%2Fdneu.22554_Table3</v>
      </c>
      <c r="L937" t="str">
        <f t="array" ref="L937">IFERROR(INDEX(AUTO_Public_TSV_FileList!$A$1:$A$1000,MATCH(TRUE(),EXACT(K937,IFERROR(_xlfn.TEXTBEFORE(AUTO_Public_TSV_FileList!$A$1:$A$1000,".tsv"),"")),0)),"notfound")</f>
        <v>10.1002%2Fdneu.22554_Table3.tsv</v>
      </c>
      <c r="N937" s="8" t="s">
        <v>1208</v>
      </c>
      <c r="O937" s="8" t="s">
        <v>1213</v>
      </c>
      <c r="P937" s="8" t="s">
        <v>3474</v>
      </c>
      <c r="Q937" s="8" t="s">
        <v>1214</v>
      </c>
      <c r="W937" s="8" t="s">
        <v>1210</v>
      </c>
      <c r="AA937" s="8" t="s">
        <v>376</v>
      </c>
      <c r="AB937" s="8" t="s">
        <v>167</v>
      </c>
      <c r="AC937" s="8" t="s">
        <v>1212</v>
      </c>
      <c r="AE937" s="8" t="s">
        <v>50</v>
      </c>
    </row>
    <row r="938" spans="1:31" ht="16" customHeight="1" x14ac:dyDescent="0.2">
      <c r="A938" s="5" t="s">
        <v>2011</v>
      </c>
      <c r="D938" s="5" t="s">
        <v>160</v>
      </c>
      <c r="E938" s="5" t="str">
        <f t="shared" si="134"/>
        <v>Karlsen</v>
      </c>
      <c r="F938" s="5" t="str">
        <f t="array" ref="F938">_xlfn.LET(
 _xlpm.authors,_xlfn.TEXTBEFORE(A938," ("&amp;G938&amp;")"),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938" s="5" t="str">
        <f t="shared" si="135"/>
        <v>2011</v>
      </c>
      <c r="H938" s="5" t="str">
        <f t="shared" si="136"/>
        <v>Karlsen_Pakkenberg_2011</v>
      </c>
      <c r="I938" s="5" t="str">
        <f t="shared" si="137"/>
        <v>10.1093%2Fcercor%2Fbhr033</v>
      </c>
      <c r="J938" s="5" t="str">
        <f t="shared" si="138"/>
        <v>Karlsen_Pakkenberg_2011_Table2</v>
      </c>
      <c r="K938" t="str">
        <f t="shared" si="139"/>
        <v>10.1093%2Fcercor%2Fbhr033_Table2</v>
      </c>
      <c r="L938" t="str">
        <f t="array" ref="L938">IFERROR(INDEX(AUTO_Public_TSV_FileList!$A$1:$A$1000,MATCH(TRUE(),EXACT(K938,IFERROR(_xlfn.TEXTBEFORE(AUTO_Public_TSV_FileList!$A$1:$A$1000,".tsv"),"")),0)),"notfound")</f>
        <v>10.1093%2Fcercor%2Fbhr033_Table2.tsv</v>
      </c>
      <c r="N938" s="8" t="s">
        <v>2025</v>
      </c>
      <c r="O938" s="8" t="s">
        <v>2024</v>
      </c>
      <c r="P938" s="8" t="s">
        <v>3475</v>
      </c>
      <c r="Q938" s="8" t="s">
        <v>2026</v>
      </c>
      <c r="W938" s="8" t="s">
        <v>1210</v>
      </c>
      <c r="AA938" s="8" t="s">
        <v>2028</v>
      </c>
      <c r="AB938" s="8" t="s">
        <v>177</v>
      </c>
      <c r="AC938" s="8" t="s">
        <v>2018</v>
      </c>
      <c r="AE938" s="8" t="s">
        <v>50</v>
      </c>
    </row>
    <row r="939" spans="1:31" ht="16" customHeight="1" x14ac:dyDescent="0.2">
      <c r="A939" s="5" t="s">
        <v>2011</v>
      </c>
      <c r="D939" s="5" t="s">
        <v>2012</v>
      </c>
      <c r="E939" s="5" t="str">
        <f t="shared" si="134"/>
        <v>Karlsen</v>
      </c>
      <c r="F939" s="5" t="str">
        <f t="array" ref="F939">_xlfn.LET(
 _xlpm.authors,_xlfn.TEXTBEFORE(A939," ("&amp;G939&amp;")"),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939" s="5" t="str">
        <f t="shared" si="135"/>
        <v>2011</v>
      </c>
      <c r="H939" s="5" t="str">
        <f t="shared" si="136"/>
        <v>Karlsen_Pakkenberg_2011</v>
      </c>
      <c r="I939" s="5" t="str">
        <f t="shared" si="137"/>
        <v>10.1093%2Fcercor%2Fbhr033</v>
      </c>
      <c r="J939" s="5" t="str">
        <f t="shared" si="138"/>
        <v>Karlsen_Pakkenberg_2011_authordata(groupmeans)</v>
      </c>
      <c r="K939" t="str">
        <f t="shared" si="139"/>
        <v>10.1093%2Fcercor%2Fbhr033_authordata(groupmeans)</v>
      </c>
      <c r="L939" t="str">
        <f t="array" ref="L939">IFERROR(INDEX(AUTO_Public_TSV_FileList!$A$1:$A$1000,MATCH(TRUE(),EXACT(K939,IFERROR(_xlfn.TEXTBEFORE(AUTO_Public_TSV_FileList!$A$1:$A$1000,".tsv"),"")),0)),"notfound")</f>
        <v>10.1093%2Fcercor%2Fbhr033_authordata(groupmeans).tsv</v>
      </c>
      <c r="N939" s="8" t="s">
        <v>2014</v>
      </c>
      <c r="O939" s="8" t="s">
        <v>2013</v>
      </c>
      <c r="P939" s="8" t="s">
        <v>3476</v>
      </c>
      <c r="Q939" s="8" t="s">
        <v>2015</v>
      </c>
      <c r="W939" s="8" t="s">
        <v>1210</v>
      </c>
      <c r="AA939" s="8" t="s">
        <v>376</v>
      </c>
      <c r="AB939" s="8" t="s">
        <v>2017</v>
      </c>
      <c r="AC939" s="8" t="s">
        <v>2018</v>
      </c>
      <c r="AE939" s="8" t="s">
        <v>50</v>
      </c>
    </row>
    <row r="940" spans="1:31" ht="16" customHeight="1" x14ac:dyDescent="0.2">
      <c r="A940" s="5" t="s">
        <v>2011</v>
      </c>
      <c r="D940" s="5" t="s">
        <v>2019</v>
      </c>
      <c r="E940" s="5" t="str">
        <f t="shared" si="134"/>
        <v>Karlsen</v>
      </c>
      <c r="F940" s="5" t="str">
        <f t="array" ref="F940">_xlfn.LET(
 _xlpm.authors,_xlfn.TEXTBEFORE(A940," ("&amp;G940&amp;")"),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940" s="5" t="str">
        <f t="shared" si="135"/>
        <v>2011</v>
      </c>
      <c r="H940" s="5" t="str">
        <f t="shared" si="136"/>
        <v>Karlsen_Pakkenberg_2011</v>
      </c>
      <c r="I940" s="5" t="str">
        <f t="shared" si="137"/>
        <v>10.1093%2Fcercor%2Fbhr033</v>
      </c>
      <c r="J940" s="5" t="str">
        <f t="shared" si="138"/>
        <v>Karlsen_Pakkenberg_2011_reportedvalues</v>
      </c>
      <c r="K940" t="str">
        <f t="shared" si="139"/>
        <v>10.1093%2Fcercor%2Fbhr033_reportedvalues</v>
      </c>
      <c r="L940" t="str">
        <f t="array" ref="L940">IFERROR(INDEX(AUTO_Public_TSV_FileList!$A$1:$A$1000,MATCH(TRUE(),EXACT(K940,IFERROR(_xlfn.TEXTBEFORE(AUTO_Public_TSV_FileList!$A$1:$A$1000,".tsv"),"")),0)),"notfound")</f>
        <v>10.1093%2Fcercor%2Fbhr033_reportedvalues.tsv</v>
      </c>
      <c r="N940" s="8" t="s">
        <v>2021</v>
      </c>
      <c r="O940" s="8" t="s">
        <v>2020</v>
      </c>
      <c r="P940" s="8" t="s">
        <v>3477</v>
      </c>
      <c r="Q940" s="8" t="s">
        <v>2022</v>
      </c>
      <c r="W940" s="8" t="s">
        <v>1210</v>
      </c>
      <c r="AA940" s="8" t="s">
        <v>376</v>
      </c>
      <c r="AB940" s="8" t="s">
        <v>2017</v>
      </c>
      <c r="AC940" s="8" t="s">
        <v>2018</v>
      </c>
      <c r="AE940" s="8" t="s">
        <v>50</v>
      </c>
    </row>
    <row r="941" spans="1:31" ht="16" customHeight="1" x14ac:dyDescent="0.2">
      <c r="A941" s="5" t="s">
        <v>3343</v>
      </c>
      <c r="D941" s="5" t="s">
        <v>3344</v>
      </c>
      <c r="E941" s="5" t="str">
        <f t="shared" si="134"/>
        <v>Walhovd</v>
      </c>
      <c r="F941" s="5" t="str">
        <f t="array" ref="F941">_xlfn.LET(
 _xlpm.authors,_xlfn.TEXTBEFORE(A941," ("&amp;G941&amp;")"),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1" s="5" t="str">
        <f t="shared" si="135"/>
        <v>2011</v>
      </c>
      <c r="H941" s="5" t="str">
        <f t="shared" si="136"/>
        <v>Walhovd_etal_2011</v>
      </c>
      <c r="I941" s="5" t="str">
        <f t="shared" si="137"/>
        <v>10.1016%2Fj.neurobiolaging.2009.05.013</v>
      </c>
      <c r="J941" s="5" t="str">
        <f t="shared" si="138"/>
        <v>Walhovd_etal_2011_normativevolumes</v>
      </c>
      <c r="K941" t="str">
        <f t="shared" si="139"/>
        <v>10.1016%2Fj.neurobiolaging.2009.05.013_normativevolumes</v>
      </c>
      <c r="L941" t="str">
        <f t="array" ref="L941">IFERROR(INDEX(AUTO_Public_TSV_FileList!$A$1:$A$1000,MATCH(TRUE(),EXACT(K941,IFERROR(_xlfn.TEXTBEFORE(AUTO_Public_TSV_FileList!$A$1:$A$1000,".tsv"),"")),0)),"notfound")</f>
        <v>10.1016%2Fj.neurobiolaging.2009.05.013_normativevolumes.tsv</v>
      </c>
      <c r="N941" s="8" t="s">
        <v>3346</v>
      </c>
      <c r="O941" s="8" t="s">
        <v>3345</v>
      </c>
      <c r="P941" s="8" t="s">
        <v>3478</v>
      </c>
      <c r="Q941" s="8" t="s">
        <v>3347</v>
      </c>
      <c r="W941" s="8" t="s">
        <v>1210</v>
      </c>
      <c r="AA941" s="8" t="s">
        <v>1881</v>
      </c>
      <c r="AB941" s="8" t="s">
        <v>177</v>
      </c>
      <c r="AC941" s="8" t="s">
        <v>3349</v>
      </c>
      <c r="AE941" s="8" t="s">
        <v>265</v>
      </c>
    </row>
    <row r="942" spans="1:31" ht="16" customHeight="1" x14ac:dyDescent="0.2">
      <c r="A942" s="5" t="s">
        <v>2362</v>
      </c>
      <c r="D942" s="5" t="s">
        <v>2363</v>
      </c>
      <c r="E942" s="5" t="str">
        <f t="shared" si="134"/>
        <v>Mackes</v>
      </c>
      <c r="F942" s="5" t="str">
        <f t="array" ref="F942">_xlfn.LET(
 _xlpm.authors,_xlfn.TEXTBEFORE(A942," ("&amp;G942&amp;")"),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2" s="5" t="str">
        <f t="shared" si="135"/>
        <v>2020</v>
      </c>
      <c r="H942" s="5" t="str">
        <f t="shared" si="136"/>
        <v>Mackes_etal_2020</v>
      </c>
      <c r="I942" s="5" t="str">
        <f t="shared" si="137"/>
        <v>10.1073%2Fpnas.1911264116</v>
      </c>
      <c r="J942" s="5" t="str">
        <f t="shared" si="138"/>
        <v>Mackes_etal_2020_ERABIS(cortical)</v>
      </c>
      <c r="K942" t="str">
        <f t="shared" si="139"/>
        <v>10.1073%2Fpnas.1911264116_ERABIS(cortical)</v>
      </c>
      <c r="L942" t="str">
        <f t="array" ref="L942">IFERROR(INDEX(AUTO_Public_TSV_FileList!$A$1:$A$1000,MATCH(TRUE(),EXACT(K942,IFERROR(_xlfn.TEXTBEFORE(AUTO_Public_TSV_FileList!$A$1:$A$1000,".tsv"),"")),0)),"notfound")</f>
        <v>10.1073%2Fpnas.1911264116_ERABIS(cortical).tsv</v>
      </c>
      <c r="N942" s="8" t="s">
        <v>2014</v>
      </c>
      <c r="O942" s="8" t="s">
        <v>2364</v>
      </c>
      <c r="P942" s="8" t="s">
        <v>3479</v>
      </c>
      <c r="Q942" s="8" t="s">
        <v>2365</v>
      </c>
      <c r="W942" s="8" t="s">
        <v>1210</v>
      </c>
      <c r="AA942" s="8" t="s">
        <v>2367</v>
      </c>
      <c r="AB942" s="8" t="s">
        <v>177</v>
      </c>
      <c r="AC942" s="8" t="s">
        <v>1882</v>
      </c>
      <c r="AE942" s="8" t="s">
        <v>50</v>
      </c>
    </row>
  </sheetData>
  <autoFilter ref="A1:AH922" xr:uid="{00000000-0009-0000-0000-000000000000}"/>
  <sortState xmlns:xlrd2="http://schemas.microsoft.com/office/spreadsheetml/2017/richdata2" ref="A2:AK873">
    <sortCondition ref="A2:A873"/>
    <sortCondition ref="D2:D873"/>
  </sortState>
  <phoneticPr fontId="8" type="noConversion"/>
  <hyperlinks>
    <hyperlink ref="R67" r:id="rId1" xr:uid="{00000000-0004-0000-0000-000000000000}"/>
    <hyperlink ref="R68" r:id="rId2" xr:uid="{00000000-0004-0000-0000-000001000000}"/>
    <hyperlink ref="R83" r:id="rId3" xr:uid="{00000000-0004-0000-0000-000002000000}"/>
    <hyperlink ref="R84" r:id="rId4" xr:uid="{00000000-0004-0000-0000-000003000000}"/>
    <hyperlink ref="R184" r:id="rId5" xr:uid="{00000000-0004-0000-0000-000004000000}"/>
    <hyperlink ref="R185" r:id="rId6" xr:uid="{00000000-0004-0000-0000-000005000000}"/>
    <hyperlink ref="R196" r:id="rId7" xr:uid="{00000000-0004-0000-0000-000006000000}"/>
    <hyperlink ref="R224" r:id="rId8" xr:uid="{00000000-0004-0000-0000-000007000000}"/>
    <hyperlink ref="R225" r:id="rId9" xr:uid="{00000000-0004-0000-0000-000008000000}"/>
    <hyperlink ref="R270" r:id="rId10" xr:uid="{00000000-0004-0000-0000-000009000000}"/>
    <hyperlink ref="R303" r:id="rId11" xr:uid="{00000000-0004-0000-0000-00000A000000}"/>
    <hyperlink ref="R309" r:id="rId12" xr:uid="{00000000-0004-0000-0000-00000B000000}"/>
    <hyperlink ref="R315" r:id="rId13" xr:uid="{00000000-0004-0000-0000-00000C000000}"/>
    <hyperlink ref="R316" r:id="rId14" xr:uid="{00000000-0004-0000-0000-00000D000000}"/>
    <hyperlink ref="R317" r:id="rId15" xr:uid="{00000000-0004-0000-0000-00000E000000}"/>
    <hyperlink ref="R324" r:id="rId16" xr:uid="{00000000-0004-0000-0000-00000F000000}"/>
    <hyperlink ref="R325" r:id="rId17" xr:uid="{00000000-0004-0000-0000-000010000000}"/>
    <hyperlink ref="R326" r:id="rId18" xr:uid="{00000000-0004-0000-0000-000011000000}"/>
    <hyperlink ref="R327" r:id="rId19" xr:uid="{00000000-0004-0000-0000-000012000000}"/>
    <hyperlink ref="R332" r:id="rId20" xr:uid="{00000000-0004-0000-0000-000013000000}"/>
    <hyperlink ref="R333" r:id="rId21" xr:uid="{00000000-0004-0000-0000-000014000000}"/>
    <hyperlink ref="R334" r:id="rId22" xr:uid="{00000000-0004-0000-0000-000015000000}"/>
    <hyperlink ref="R336" r:id="rId23" xr:uid="{00000000-0004-0000-0000-000016000000}"/>
    <hyperlink ref="R337" r:id="rId24" xr:uid="{00000000-0004-0000-0000-000017000000}"/>
    <hyperlink ref="R341" r:id="rId25" xr:uid="{00000000-0004-0000-0000-000018000000}"/>
    <hyperlink ref="R342" r:id="rId26" xr:uid="{00000000-0004-0000-0000-000019000000}"/>
    <hyperlink ref="R343" r:id="rId27" xr:uid="{00000000-0004-0000-0000-00001A000000}"/>
    <hyperlink ref="R344" r:id="rId28" xr:uid="{00000000-0004-0000-0000-00001B000000}"/>
    <hyperlink ref="R345" r:id="rId29" xr:uid="{00000000-0004-0000-0000-00001C000000}"/>
    <hyperlink ref="R346" r:id="rId30" xr:uid="{00000000-0004-0000-0000-00001D000000}"/>
    <hyperlink ref="R347" r:id="rId31" xr:uid="{00000000-0004-0000-0000-00001E000000}"/>
    <hyperlink ref="R351" r:id="rId32" xr:uid="{00000000-0004-0000-0000-00001F000000}"/>
    <hyperlink ref="R421" r:id="rId33" xr:uid="{00000000-0004-0000-0000-000020000000}"/>
    <hyperlink ref="R422" r:id="rId34" xr:uid="{00000000-0004-0000-0000-000021000000}"/>
    <hyperlink ref="R515" r:id="rId35" xr:uid="{00000000-0004-0000-0000-000022000000}"/>
    <hyperlink ref="R516" r:id="rId36" xr:uid="{00000000-0004-0000-0000-000023000000}"/>
    <hyperlink ref="R520" r:id="rId37" xr:uid="{00000000-0004-0000-0000-000024000000}"/>
    <hyperlink ref="R521" r:id="rId38" xr:uid="{00000000-0004-0000-0000-000025000000}"/>
    <hyperlink ref="R522" r:id="rId39" xr:uid="{00000000-0004-0000-0000-000026000000}"/>
    <hyperlink ref="R535" r:id="rId40" xr:uid="{00000000-0004-0000-0000-000027000000}"/>
    <hyperlink ref="R536" r:id="rId41" xr:uid="{00000000-0004-0000-0000-000028000000}"/>
    <hyperlink ref="R594" r:id="rId42" xr:uid="{00000000-0004-0000-0000-000029000000}"/>
    <hyperlink ref="R651" r:id="rId43" xr:uid="{00000000-0004-0000-0000-00002A000000}"/>
    <hyperlink ref="R659" r:id="rId44" xr:uid="{00000000-0004-0000-0000-00002B000000}"/>
    <hyperlink ref="R837" r:id="rId45" xr:uid="{00000000-0004-0000-0000-00002C000000}"/>
    <hyperlink ref="R838"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4"/>
  <sheetViews>
    <sheetView workbookViewId="0">
      <selection activeCell="C2" sqref="C2"/>
    </sheetView>
  </sheetViews>
  <sheetFormatPr baseColWidth="10" defaultColWidth="11.5"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4" ht="17" customHeight="1" x14ac:dyDescent="0.2">
      <c r="A1" s="12" t="s">
        <v>0</v>
      </c>
      <c r="B1" s="12" t="s">
        <v>1</v>
      </c>
      <c r="C1" s="12" t="s">
        <v>2</v>
      </c>
      <c r="D1" s="12" t="s">
        <v>3</v>
      </c>
      <c r="E1" s="6" t="s">
        <v>4</v>
      </c>
      <c r="F1" s="6" t="s">
        <v>5</v>
      </c>
      <c r="G1" s="6" t="s">
        <v>6</v>
      </c>
      <c r="H1" s="6" t="s">
        <v>7</v>
      </c>
      <c r="I1" s="6" t="s">
        <v>8</v>
      </c>
      <c r="J1" s="6" t="s">
        <v>9</v>
      </c>
      <c r="K1" s="6" t="s">
        <v>10</v>
      </c>
      <c r="L1" s="6" t="s">
        <v>11</v>
      </c>
      <c r="M1" s="12" t="s">
        <v>12</v>
      </c>
      <c r="N1" s="12" t="s">
        <v>13</v>
      </c>
      <c r="O1" s="12" t="s">
        <v>14</v>
      </c>
      <c r="P1" s="12" t="s">
        <v>15</v>
      </c>
      <c r="Q1" s="12" t="s">
        <v>16</v>
      </c>
      <c r="R1" s="12" t="s">
        <v>17</v>
      </c>
      <c r="S1" s="12" t="s">
        <v>18</v>
      </c>
      <c r="T1" s="12" t="s">
        <v>19</v>
      </c>
      <c r="U1" s="12" t="s">
        <v>20</v>
      </c>
      <c r="V1" s="12" t="s">
        <v>21</v>
      </c>
      <c r="W1" s="1" t="s">
        <v>22</v>
      </c>
      <c r="X1" s="12" t="s">
        <v>23</v>
      </c>
      <c r="Y1" s="12" t="s">
        <v>24</v>
      </c>
      <c r="Z1" s="1" t="s">
        <v>25</v>
      </c>
      <c r="AA1" s="12" t="s">
        <v>26</v>
      </c>
      <c r="AB1" s="12" t="s">
        <v>27</v>
      </c>
      <c r="AC1" s="12" t="s">
        <v>28</v>
      </c>
      <c r="AD1" s="12" t="s">
        <v>29</v>
      </c>
      <c r="AE1" s="12" t="s">
        <v>30</v>
      </c>
      <c r="AF1" s="1" t="s">
        <v>31</v>
      </c>
      <c r="AG1" s="9" t="s">
        <v>32</v>
      </c>
      <c r="AH1" s="4" t="s">
        <v>33</v>
      </c>
    </row>
    <row r="2" spans="1:34" ht="16" customHeight="1" x14ac:dyDescent="0.2">
      <c r="A2" s="13" t="s">
        <v>3745</v>
      </c>
      <c r="B2" s="13"/>
      <c r="C2" s="13"/>
      <c r="D2" s="13"/>
      <c r="E2" s="2" t="str">
        <f t="shared" ref="E2:E24" si="0">SUBSTITUTE(SUBSTITUTE(_xlfn.TEXTBEFORE(A2,","), "-", ""), " ", "")</f>
        <v>Armstrong</v>
      </c>
      <c r="F2" s="2" t="str">
        <f t="shared" ref="F2:F9"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etal</v>
      </c>
      <c r="G2" s="2" t="str">
        <f t="shared" ref="G2:G24" si="2">_xlfn.TEXTBEFORE(_xlfn.TEXTAFTER(A2, "("), ")")</f>
        <v>1986</v>
      </c>
      <c r="H2" s="2" t="str">
        <f t="shared" ref="H2:H24" si="3">E2 &amp; IF(F2&lt;&gt;"", "_" &amp; F2, "_") &amp; IF(G2&lt;&gt;"", "_" &amp; G2, "_") &amp; IF(B2&lt;&gt;"", "_" &amp; B2, "")</f>
        <v>Armstrong_etal_1986</v>
      </c>
      <c r="I2" s="2" t="e">
        <f t="shared" ref="I2:I9" si="4">_xlfn.LET(
_xlpm.doi,IF(C2&lt;&gt;"",C2,_xlfn.TEXTAFTER(A2,"https://doi.org/")),
SUBSTITUTE(
SUBSTITUTE(
SUBSTITUTE(
SUBSTITUTE(
_xlpm.doi,
"/","%2F"),
":","%3A"),
"&lt;","%3C"),
"&gt;","%3E")
)</f>
        <v>#N/A</v>
      </c>
      <c r="J2" s="2" t="str">
        <f t="shared" ref="J2:J24" si="5">TRIM(_xlfn.TEXTJOIN("_",FALSE(),H2,(SUBSTITUTE(SUBSTITUTE(D2," ",""), "_", ""))))</f>
        <v>Armstrong_etal_1986_</v>
      </c>
      <c r="K2" s="2" t="e">
        <f t="shared" ref="K2:K24" si="6">I2 &amp; "_" &amp; SUBSTITUTE(SUBSTITUTE(SUBSTITUTE(D2,CHAR(160),"")," ",""),"_","")</f>
        <v>#N/A</v>
      </c>
      <c r="L2" s="2" t="str">
        <f t="array" ref="L2">IFERROR(INDEX(AUTO_Public_TSV_FileList!$A$1:$A$1000,MATCH(TRUE(),EXACT(K2,IFERROR(_xlfn.TEXTBEFORE(AUTO_Public_TSV_FileList!$A$1:$A$1000,".tsv"),"")),0)),"notfound")</f>
        <v>notfound</v>
      </c>
      <c r="M2" s="13"/>
      <c r="N2" s="13"/>
      <c r="O2" s="12" t="s">
        <v>3743</v>
      </c>
      <c r="Q2" s="13"/>
      <c r="R2" s="13"/>
      <c r="S2" s="13"/>
      <c r="T2" s="13"/>
      <c r="U2" s="13"/>
      <c r="V2" s="13"/>
      <c r="W2" s="13"/>
      <c r="X2" s="13"/>
      <c r="Y2" s="13"/>
      <c r="Z2" s="13"/>
      <c r="AA2" s="13"/>
      <c r="AB2" s="13"/>
      <c r="AC2" s="13"/>
      <c r="AD2" s="13"/>
      <c r="AE2" s="13"/>
      <c r="AF2" s="13"/>
      <c r="AG2" s="13"/>
    </row>
    <row r="3" spans="1:34" ht="16" customHeight="1" x14ac:dyDescent="0.2">
      <c r="A3" s="10" t="s">
        <v>3664</v>
      </c>
      <c r="B3" s="7"/>
      <c r="C3" s="7"/>
      <c r="D3" s="10" t="s">
        <v>86</v>
      </c>
      <c r="E3" s="6" t="str">
        <f t="shared" si="0"/>
        <v>Changizi</v>
      </c>
      <c r="F3" s="6" t="str">
        <f t="shared" si="1"/>
        <v>He</v>
      </c>
      <c r="G3" s="6" t="str">
        <f t="shared" si="2"/>
        <v>2005</v>
      </c>
      <c r="H3" s="6" t="str">
        <f t="shared" si="3"/>
        <v>Changizi_He_2005</v>
      </c>
      <c r="I3" s="6" t="str">
        <f t="shared" si="4"/>
        <v>10.1002%2Fcplx.20085</v>
      </c>
      <c r="J3" s="6" t="str">
        <f t="shared" si="5"/>
        <v>Changizi_He_2005_Table1</v>
      </c>
      <c r="K3" s="6" t="str">
        <f t="shared" si="6"/>
        <v>10.1002%2Fcplx.20085_Table1</v>
      </c>
      <c r="L3" s="6" t="str">
        <f t="array" ref="L3">IFERROR(INDEX(AUTO_Public_TSV_FileList!$A$1:$A$1000,MATCH(TRUE(),EXACT(K3,IFERROR(_xlfn.TEXTBEFORE(AUTO_Public_TSV_FileList!$A$1:$A$1000,".tsv"),"")),0)),"notfound")</f>
        <v>notfound</v>
      </c>
      <c r="M3" s="7" t="s">
        <v>3665</v>
      </c>
      <c r="N3" s="10" t="s">
        <v>88</v>
      </c>
      <c r="O3" s="7" t="s">
        <v>3666</v>
      </c>
      <c r="Q3" s="7"/>
      <c r="R3" s="7" t="s">
        <v>3667</v>
      </c>
      <c r="S3" s="7" t="s">
        <v>634</v>
      </c>
      <c r="T3" s="7" t="s">
        <v>635</v>
      </c>
      <c r="U3" s="7"/>
      <c r="V3" s="7" t="s">
        <v>1924</v>
      </c>
      <c r="W3" s="10"/>
      <c r="X3" s="7" t="s">
        <v>3668</v>
      </c>
      <c r="Y3" s="7" t="s">
        <v>3668</v>
      </c>
      <c r="Z3" s="7"/>
      <c r="AA3" s="7"/>
      <c r="AB3" s="10" t="s">
        <v>3669</v>
      </c>
      <c r="AC3" s="7"/>
      <c r="AD3" s="7"/>
      <c r="AE3" s="10" t="s">
        <v>265</v>
      </c>
      <c r="AF3" s="10"/>
      <c r="AG3" s="9" t="s">
        <v>3670</v>
      </c>
    </row>
    <row r="4" spans="1:34" ht="16" customHeight="1" x14ac:dyDescent="0.2">
      <c r="A4" s="10" t="s">
        <v>3664</v>
      </c>
      <c r="B4" s="7"/>
      <c r="C4" s="7"/>
      <c r="D4" s="10" t="s">
        <v>160</v>
      </c>
      <c r="E4" s="15" t="str">
        <f t="shared" si="0"/>
        <v>Changizi</v>
      </c>
      <c r="F4" s="15" t="str">
        <f t="shared" si="1"/>
        <v>He</v>
      </c>
      <c r="G4" s="15" t="str">
        <f t="shared" si="2"/>
        <v>2005</v>
      </c>
      <c r="H4" s="15" t="str">
        <f t="shared" si="3"/>
        <v>Changizi_He_2005</v>
      </c>
      <c r="I4" s="15" t="str">
        <f t="shared" si="4"/>
        <v>10.1002%2Fcplx.20085</v>
      </c>
      <c r="J4" s="15" t="str">
        <f t="shared" si="5"/>
        <v>Changizi_He_2005_Table2</v>
      </c>
      <c r="K4" s="15" t="str">
        <f t="shared" si="6"/>
        <v>10.1002%2Fcplx.20085_Table2</v>
      </c>
      <c r="L4" s="15" t="str">
        <f t="array" ref="L4">IFERROR(INDEX(AUTO_Public_TSV_FileList!$A$1:$A$1000,MATCH(TRUE(),EXACT(K4,IFERROR(_xlfn.TEXTBEFORE(AUTO_Public_TSV_FileList!$A$1:$A$1000,".tsv"),"")),0)),"notfound")</f>
        <v>notfound</v>
      </c>
      <c r="M4" s="7" t="s">
        <v>3671</v>
      </c>
      <c r="N4" s="10" t="s">
        <v>88</v>
      </c>
      <c r="O4" s="7" t="s">
        <v>3672</v>
      </c>
      <c r="Q4" s="7"/>
      <c r="R4" s="7" t="s">
        <v>3667</v>
      </c>
      <c r="S4" s="7" t="s">
        <v>634</v>
      </c>
      <c r="T4" s="7" t="s">
        <v>635</v>
      </c>
      <c r="U4" s="7"/>
      <c r="V4" s="7" t="s">
        <v>1924</v>
      </c>
      <c r="W4" s="10"/>
      <c r="X4" s="7" t="s">
        <v>3673</v>
      </c>
      <c r="Y4" s="7" t="s">
        <v>3673</v>
      </c>
      <c r="Z4" s="7"/>
      <c r="AA4" s="7"/>
      <c r="AB4" s="10" t="s">
        <v>3669</v>
      </c>
      <c r="AC4" s="7"/>
      <c r="AD4" s="7"/>
      <c r="AE4" s="10" t="s">
        <v>265</v>
      </c>
      <c r="AF4" s="10"/>
      <c r="AG4" s="9" t="s">
        <v>3674</v>
      </c>
    </row>
    <row r="5" spans="1:34" ht="16" customHeight="1" x14ac:dyDescent="0.2">
      <c r="A5" s="10" t="s">
        <v>3675</v>
      </c>
      <c r="B5" s="7"/>
      <c r="C5" s="7"/>
      <c r="D5" s="10" t="s">
        <v>86</v>
      </c>
      <c r="E5" s="6" t="str">
        <f t="shared" si="0"/>
        <v>Deaner</v>
      </c>
      <c r="F5" s="6" t="str">
        <f t="shared" si="1"/>
        <v>etal</v>
      </c>
      <c r="G5" s="6" t="str">
        <f t="shared" si="2"/>
        <v>2007</v>
      </c>
      <c r="H5" s="6" t="str">
        <f t="shared" si="3"/>
        <v>Deaner_etal_2007</v>
      </c>
      <c r="I5" s="6" t="str">
        <f t="shared" si="4"/>
        <v>10.1159%2F000102973</v>
      </c>
      <c r="J5" s="6" t="str">
        <f t="shared" si="5"/>
        <v>Deaner_etal_2007_Table1</v>
      </c>
      <c r="K5" s="6" t="str">
        <f t="shared" si="6"/>
        <v>10.1159%2F000102973_Table1</v>
      </c>
      <c r="L5" s="6" t="str">
        <f t="array" ref="L5">IFERROR(INDEX(AUTO_Public_TSV_FileList!$A$1:$A$1000,MATCH(TRUE(),EXACT(K5,IFERROR(_xlfn.TEXTBEFORE(AUTO_Public_TSV_FileList!$A$1:$A$1000,".tsv"),"")),0)),"notfound")</f>
        <v>notfound</v>
      </c>
      <c r="M5" s="7" t="s">
        <v>3676</v>
      </c>
      <c r="N5" s="10" t="s">
        <v>88</v>
      </c>
      <c r="O5" s="7" t="s">
        <v>3677</v>
      </c>
      <c r="Q5" s="7"/>
      <c r="R5" s="7" t="s">
        <v>3678</v>
      </c>
      <c r="S5" s="7" t="s">
        <v>634</v>
      </c>
      <c r="T5" s="7" t="s">
        <v>635</v>
      </c>
      <c r="U5" s="7"/>
      <c r="V5" s="7" t="s">
        <v>1924</v>
      </c>
      <c r="W5" s="10" t="s">
        <v>187</v>
      </c>
      <c r="X5" s="7" t="s">
        <v>3679</v>
      </c>
      <c r="Y5" s="7" t="s">
        <v>3679</v>
      </c>
      <c r="Z5" s="7"/>
      <c r="AA5" s="7"/>
      <c r="AB5" s="10" t="s">
        <v>3680</v>
      </c>
      <c r="AC5" s="7"/>
      <c r="AD5" s="7"/>
      <c r="AE5" s="10" t="s">
        <v>265</v>
      </c>
      <c r="AF5" s="10"/>
      <c r="AG5" s="9" t="s">
        <v>3681</v>
      </c>
    </row>
    <row r="6" spans="1:34" ht="16" customHeight="1" x14ac:dyDescent="0.2">
      <c r="A6" s="10" t="s">
        <v>838</v>
      </c>
      <c r="B6" s="7"/>
      <c r="C6" s="7"/>
      <c r="D6" s="10" t="s">
        <v>160</v>
      </c>
      <c r="E6" s="6" t="str">
        <f t="shared" si="0"/>
        <v>Deaner</v>
      </c>
      <c r="F6" s="6" t="str">
        <f t="shared" si="1"/>
        <v>etal</v>
      </c>
      <c r="G6" s="6" t="str">
        <f t="shared" si="2"/>
        <v>2006</v>
      </c>
      <c r="H6" s="6" t="str">
        <f t="shared" si="3"/>
        <v>Deaner_etal_2006</v>
      </c>
      <c r="I6" s="6" t="str">
        <f t="shared" si="4"/>
        <v>10.1177%2F147470490600400114</v>
      </c>
      <c r="J6" s="6" t="str">
        <f t="shared" si="5"/>
        <v>Deaner_etal_2006_Table2</v>
      </c>
      <c r="K6" s="6" t="str">
        <f t="shared" si="6"/>
        <v>10.1177%2F147470490600400114_Table2</v>
      </c>
      <c r="L6" s="6" t="str">
        <f t="array" ref="L6">IFERROR(INDEX(AUTO_Public_TSV_FileList!$A$1:$A$1000,MATCH(TRUE(),EXACT(K6,IFERROR(_xlfn.TEXTBEFORE(AUTO_Public_TSV_FileList!$A$1:$A$1000,".tsv"),"")),0)),"notfound")</f>
        <v>notfound</v>
      </c>
      <c r="M6" s="7" t="s">
        <v>3682</v>
      </c>
      <c r="N6" s="10" t="s">
        <v>88</v>
      </c>
      <c r="O6" s="7" t="s">
        <v>3683</v>
      </c>
      <c r="Q6" s="7"/>
      <c r="R6" s="7"/>
      <c r="S6" s="7" t="s">
        <v>634</v>
      </c>
      <c r="T6" s="7" t="s">
        <v>635</v>
      </c>
      <c r="U6" s="7"/>
      <c r="V6" s="7" t="s">
        <v>1924</v>
      </c>
      <c r="W6" s="10" t="s">
        <v>187</v>
      </c>
      <c r="X6" s="7" t="s">
        <v>3684</v>
      </c>
      <c r="Y6" s="7" t="s">
        <v>3684</v>
      </c>
      <c r="Z6" s="7"/>
      <c r="AA6" s="7"/>
      <c r="AB6" s="10" t="s">
        <v>3685</v>
      </c>
      <c r="AC6" s="7"/>
      <c r="AD6" s="7"/>
      <c r="AE6" s="10" t="s">
        <v>265</v>
      </c>
      <c r="AF6" s="10"/>
      <c r="AG6" s="9" t="s">
        <v>3686</v>
      </c>
    </row>
    <row r="7" spans="1:34" ht="16" customHeight="1" x14ac:dyDescent="0.2">
      <c r="A7" s="10" t="s">
        <v>838</v>
      </c>
      <c r="B7" s="7"/>
      <c r="C7" s="7"/>
      <c r="D7" s="10" t="s">
        <v>162</v>
      </c>
      <c r="E7" s="6" t="str">
        <f t="shared" si="0"/>
        <v>Deaner</v>
      </c>
      <c r="F7" s="6" t="str">
        <f t="shared" si="1"/>
        <v>etal</v>
      </c>
      <c r="G7" s="6" t="str">
        <f t="shared" si="2"/>
        <v>2006</v>
      </c>
      <c r="H7" s="6" t="str">
        <f t="shared" si="3"/>
        <v>Deaner_etal_2006</v>
      </c>
      <c r="I7" s="6" t="str">
        <f t="shared" si="4"/>
        <v>10.1177%2F147470490600400114</v>
      </c>
      <c r="J7" s="6" t="str">
        <f t="shared" si="5"/>
        <v>Deaner_etal_2006_Table3</v>
      </c>
      <c r="K7" s="6" t="str">
        <f t="shared" si="6"/>
        <v>10.1177%2F147470490600400114_Table3</v>
      </c>
      <c r="L7" s="6" t="str">
        <f t="array" ref="L7">IFERROR(INDEX(AUTO_Public_TSV_FileList!$A$1:$A$1000,MATCH(TRUE(),EXACT(K7,IFERROR(_xlfn.TEXTBEFORE(AUTO_Public_TSV_FileList!$A$1:$A$1000,".tsv"),"")),0)),"notfound")</f>
        <v>notfound</v>
      </c>
      <c r="M7" s="7" t="s">
        <v>3687</v>
      </c>
      <c r="N7" s="10" t="s">
        <v>88</v>
      </c>
      <c r="O7" s="7" t="s">
        <v>3688</v>
      </c>
      <c r="Q7" s="7"/>
      <c r="R7" s="7"/>
      <c r="S7" s="7" t="s">
        <v>634</v>
      </c>
      <c r="T7" s="7" t="s">
        <v>635</v>
      </c>
      <c r="U7" s="7"/>
      <c r="V7" s="7" t="s">
        <v>1924</v>
      </c>
      <c r="W7" s="10" t="s">
        <v>187</v>
      </c>
      <c r="X7" s="7" t="s">
        <v>3689</v>
      </c>
      <c r="Y7" s="7" t="s">
        <v>3689</v>
      </c>
      <c r="Z7" s="7"/>
      <c r="AA7" s="7"/>
      <c r="AB7" s="10" t="s">
        <v>3690</v>
      </c>
      <c r="AC7" s="7"/>
      <c r="AD7" s="7"/>
      <c r="AE7" s="10" t="s">
        <v>265</v>
      </c>
      <c r="AF7" s="10"/>
      <c r="AG7" s="9" t="s">
        <v>3691</v>
      </c>
    </row>
    <row r="8" spans="1:34" ht="16" customHeight="1" x14ac:dyDescent="0.2">
      <c r="A8" s="8" t="s">
        <v>3752</v>
      </c>
      <c r="B8" s="13"/>
      <c r="C8" s="13"/>
      <c r="D8" s="8"/>
      <c r="E8" s="2" t="str">
        <f t="shared" si="0"/>
        <v>Dicke</v>
      </c>
      <c r="F8" s="2" t="str">
        <f t="shared" si="1"/>
        <v>Roth</v>
      </c>
      <c r="G8" s="2" t="str">
        <f t="shared" si="2"/>
        <v>2016</v>
      </c>
      <c r="H8" s="2" t="str">
        <f t="shared" si="3"/>
        <v>Dicke_Roth_2016</v>
      </c>
      <c r="I8" s="2" t="str">
        <f t="shared" si="4"/>
        <v>10.1098%2Frstb.2015.0180</v>
      </c>
      <c r="J8" s="2" t="str">
        <f t="shared" si="5"/>
        <v>Dicke_Roth_2016_</v>
      </c>
      <c r="K8" s="2" t="str">
        <f t="shared" si="6"/>
        <v>10.1098%2Frstb.2015.0180_</v>
      </c>
      <c r="L8" s="2" t="str">
        <f t="array" ref="L8">IFERROR(INDEX(AUTO_Public_TSV_FileList!$A$1:$A$1000,MATCH(TRUE(),EXACT(K8,IFERROR(_xlfn.TEXTBEFORE(AUTO_Public_TSV_FileList!$A$1:$A$1000,".tsv"),"")),0)),"notfound")</f>
        <v>notfound</v>
      </c>
      <c r="M8" s="8"/>
      <c r="N8" s="8" t="s">
        <v>3753</v>
      </c>
      <c r="O8" s="8"/>
      <c r="P8" s="14"/>
      <c r="Q8" s="8"/>
      <c r="R8" s="8"/>
      <c r="S8" s="8"/>
      <c r="T8" s="8"/>
      <c r="U8" s="8"/>
      <c r="V8" s="8"/>
      <c r="W8" s="8"/>
      <c r="X8" s="8"/>
      <c r="Y8" s="8"/>
      <c r="Z8" s="8"/>
      <c r="AA8" s="8"/>
      <c r="AB8" s="8"/>
      <c r="AC8" s="8"/>
      <c r="AD8" s="8"/>
      <c r="AE8" s="8"/>
      <c r="AF8" s="8"/>
      <c r="AG8" s="8"/>
    </row>
    <row r="9" spans="1:34" ht="16" customHeight="1" x14ac:dyDescent="0.2">
      <c r="A9" s="13" t="s">
        <v>3751</v>
      </c>
      <c r="B9" s="13"/>
      <c r="C9" s="13"/>
      <c r="D9" s="13"/>
      <c r="E9" s="2" t="str">
        <f t="shared" si="0"/>
        <v>Jolicoeur</v>
      </c>
      <c r="F9" s="2" t="str">
        <f t="shared" si="1"/>
        <v>etal</v>
      </c>
      <c r="G9" s="2" t="str">
        <f t="shared" si="2"/>
        <v>1984</v>
      </c>
      <c r="H9" s="2" t="str">
        <f t="shared" si="3"/>
        <v>Jolicoeur_etal_1984</v>
      </c>
      <c r="I9" s="2" t="e">
        <f t="shared" si="4"/>
        <v>#N/A</v>
      </c>
      <c r="J9" s="2" t="str">
        <f t="shared" si="5"/>
        <v>Jolicoeur_etal_1984_</v>
      </c>
      <c r="K9" s="2" t="e">
        <f t="shared" si="6"/>
        <v>#N/A</v>
      </c>
      <c r="L9" s="2" t="str">
        <f t="array" ref="L9">IFERROR(INDEX(AUTO_Public_TSV_FileList!$A$1:$A$1000,MATCH(TRUE(),EXACT(K9,IFERROR(_xlfn.TEXTBEFORE(AUTO_Public_TSV_FileList!$A$1:$A$1000,".tsv"),"")),0)),"notfound")</f>
        <v>notfound</v>
      </c>
      <c r="M9" s="13"/>
      <c r="N9" s="13"/>
      <c r="O9" s="12" t="s">
        <v>3747</v>
      </c>
      <c r="Q9" s="13"/>
      <c r="R9" s="13"/>
      <c r="S9" s="13"/>
      <c r="T9" s="13"/>
      <c r="U9" s="13"/>
      <c r="V9" s="13"/>
      <c r="W9" s="13"/>
      <c r="X9" s="13"/>
      <c r="Y9" s="13"/>
      <c r="Z9" s="13"/>
      <c r="AA9" s="13"/>
      <c r="AB9" s="13"/>
      <c r="AC9" s="13"/>
      <c r="AD9" s="13"/>
      <c r="AE9" s="13"/>
      <c r="AF9" s="13"/>
      <c r="AG9" s="13"/>
    </row>
    <row r="10" spans="1:34" ht="16" customHeight="1" x14ac:dyDescent="0.2">
      <c r="A10" s="13" t="s">
        <v>3748</v>
      </c>
      <c r="B10" s="13"/>
      <c r="C10" s="13"/>
      <c r="D10" s="13"/>
      <c r="E10" s="3" t="str">
        <f t="shared" si="0"/>
        <v>Kamiya</v>
      </c>
      <c r="F10" s="2"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10" s="2" t="str">
        <f t="shared" si="2"/>
        <v>1988</v>
      </c>
      <c r="H10" s="3" t="str">
        <f t="shared" si="3"/>
        <v>Kamiya_Pirlot_1988</v>
      </c>
      <c r="I10" s="3" t="str">
        <f>_xlfn.LET(_xlpm.doi,IF(C10&lt;&gt;"",C10,_xlfn.TEXTAFTER(A10,"https://doi.org/")),SUBSTITUTE(SUBSTITUTE(SUBSTITUTE(SUBSTITUTE(_xlpm.doi,"/","%2F"),":","%3A"),"&lt;","%3C"),"&gt;","%3E"))</f>
        <v>10.1111%2Fj.1439-0469.1988.tb00312.x</v>
      </c>
      <c r="J10" s="3" t="str">
        <f t="shared" si="5"/>
        <v>Kamiya_Pirlot_1988_</v>
      </c>
      <c r="K10" s="2" t="str">
        <f t="shared" si="6"/>
        <v>10.1111%2Fj.1439-0469.1988.tb00312.x_</v>
      </c>
      <c r="L10" s="2" t="str">
        <f t="array" ref="L10">IFERROR(INDEX(AUTO_Public_TSV_FileList!$A$1:$A$1000,MATCH(TRUE(),EXACT(K10,IFERROR(_xlfn.TEXTBEFORE(AUTO_Public_TSV_FileList!$A$1:$A$1000,".tsv"),"")),0)),"notfound")</f>
        <v>notfound</v>
      </c>
      <c r="M10" s="13"/>
      <c r="N10" s="13"/>
      <c r="O10" s="12" t="s">
        <v>3747</v>
      </c>
      <c r="Q10" s="13"/>
      <c r="R10" s="13"/>
      <c r="S10" s="13"/>
      <c r="T10" s="13"/>
      <c r="U10" s="13"/>
      <c r="V10" s="13"/>
      <c r="W10" s="13"/>
      <c r="X10" s="13"/>
      <c r="Y10" s="13"/>
      <c r="Z10" s="13"/>
      <c r="AA10" s="13"/>
      <c r="AB10" s="13"/>
      <c r="AC10" s="13"/>
      <c r="AD10" s="13"/>
      <c r="AE10" s="13"/>
      <c r="AF10" s="13"/>
      <c r="AG10" s="13"/>
    </row>
    <row r="11" spans="1:34" ht="16" customHeight="1" x14ac:dyDescent="0.2">
      <c r="A11" s="13" t="s">
        <v>3749</v>
      </c>
      <c r="B11" s="13"/>
      <c r="C11" s="13"/>
      <c r="D11" s="13"/>
      <c r="E11" s="3" t="str">
        <f t="shared" si="0"/>
        <v>Pirlot</v>
      </c>
      <c r="F11" s="2"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1" s="2" t="str">
        <f t="shared" si="2"/>
        <v>1974</v>
      </c>
      <c r="H11" s="3" t="str">
        <f t="shared" si="3"/>
        <v>Pirlot__1974</v>
      </c>
      <c r="I11" s="3" t="str">
        <f>_xlfn.LET(_xlpm.doi,IF(C11&lt;&gt;"",C11,_xlfn.TEXTAFTER(A11,"https://doi.org/")),SUBSTITUTE(SUBSTITUTE(SUBSTITUTE(SUBSTITUTE(_xlpm.doi,"/","%2F"),":","%3A"),"&lt;","%3C"),"&gt;","%3E"))</f>
        <v>10.1111%2Fj.1439-0469.1974.tb00162.x</v>
      </c>
      <c r="J11" s="3" t="str">
        <f t="shared" si="5"/>
        <v>Pirlot__1974_</v>
      </c>
      <c r="K11" s="2" t="str">
        <f t="shared" si="6"/>
        <v>10.1111%2Fj.1439-0469.1974.tb00162.x_</v>
      </c>
      <c r="L11" s="2" t="str">
        <f t="array" ref="L11">IFERROR(INDEX(AUTO_Public_TSV_FileList!$A$1:$A$1000,MATCH(TRUE(),EXACT(K11,IFERROR(_xlfn.TEXTBEFORE(AUTO_Public_TSV_FileList!$A$1:$A$1000,".tsv"),"")),0)),"notfound")</f>
        <v>notfound</v>
      </c>
      <c r="M11" s="13"/>
      <c r="N11" s="13"/>
      <c r="O11" s="12" t="s">
        <v>3750</v>
      </c>
      <c r="Q11" s="13"/>
      <c r="R11" s="13"/>
      <c r="S11" s="13"/>
      <c r="T11" s="13"/>
      <c r="U11" s="13"/>
      <c r="V11" s="13"/>
      <c r="W11" s="13"/>
      <c r="X11" s="13"/>
      <c r="Y11" s="13"/>
      <c r="Z11" s="13"/>
      <c r="AA11" s="13"/>
      <c r="AB11" s="13"/>
      <c r="AC11" s="13"/>
      <c r="AD11" s="13"/>
      <c r="AE11" s="13"/>
      <c r="AF11" s="13"/>
      <c r="AG11" s="13"/>
    </row>
    <row r="12" spans="1:34" ht="16" customHeight="1" x14ac:dyDescent="0.2">
      <c r="A12" s="13" t="s">
        <v>3746</v>
      </c>
      <c r="B12" s="13"/>
      <c r="C12" s="13"/>
      <c r="D12" s="13"/>
      <c r="E12" s="2" t="str">
        <f t="shared" si="0"/>
        <v>Pirlot</v>
      </c>
      <c r="F12" s="2" t="str">
        <f t="shared" ref="F12:F24" si="7">_xlfn.LET(
_xlpm.authors,_xlfn.TEXTBEFORE(A12," ("&amp;G12&amp;")"),
_xlpm.hasAmp,ISNUMBER(SEARCH("&amp;",_xlpm.authors)),
_xlpm.commasBeforeAmp,IF(_xlpm.hasAmp,LEN(_xlfn.TEXTBEFORE(_xlpm.authors,"&amp;"))-LEN(SUBSTITUTE(_xlfn.TEXTBEFORE(_xlpm.authors,"&amp;"),",","")),0),
IF(NOT(_xlpm.hasAmp),"",IF(_xlpm.commasBeforeAmp&gt;2,"etal",TRIM(_xlfn.TEXTBEFORE(_xlfn.TEXTAFTER(_xlpm.authors,"&amp; "),","))))
)</f>
        <v/>
      </c>
      <c r="G12" s="2" t="str">
        <f t="shared" si="2"/>
        <v>1987</v>
      </c>
      <c r="H12" s="2" t="str">
        <f t="shared" si="3"/>
        <v>Pirlot__1987</v>
      </c>
      <c r="I12" s="2" t="e">
        <f t="shared" ref="I12:I24" si="8">_xlfn.LET(
_xlpm.doi,IF(C12&lt;&gt;"",C12,_xlfn.TEXTAFTER(A12,"https://doi.org/")),
SUBSTITUTE(
SUBSTITUTE(
SUBSTITUTE(
SUBSTITUTE(
_xlpm.doi,
"/","%2F"),
":","%3A"),
"&lt;","%3C"),
"&gt;","%3E")
)</f>
        <v>#N/A</v>
      </c>
      <c r="J12" s="2" t="str">
        <f t="shared" si="5"/>
        <v>Pirlot__1987_</v>
      </c>
      <c r="K12" s="2" t="e">
        <f t="shared" si="6"/>
        <v>#N/A</v>
      </c>
      <c r="L12" s="2" t="str">
        <f t="array" ref="L12">IFERROR(INDEX(AUTO_Public_TSV_FileList!$A$1:$A$1000,MATCH(TRUE(),EXACT(K12,IFERROR(_xlfn.TEXTBEFORE(AUTO_Public_TSV_FileList!$A$1:$A$1000,".tsv"),"")),0)),"notfound")</f>
        <v>notfound</v>
      </c>
      <c r="M12" s="13"/>
      <c r="N12" s="13"/>
      <c r="O12" s="12" t="s">
        <v>3747</v>
      </c>
      <c r="Q12" s="13"/>
      <c r="R12" s="13"/>
      <c r="S12" s="13"/>
      <c r="T12" s="13"/>
      <c r="U12" s="13"/>
      <c r="V12" s="13"/>
      <c r="W12" s="13"/>
      <c r="X12" s="13"/>
      <c r="Y12" s="13"/>
      <c r="Z12" s="13"/>
      <c r="AA12" s="13"/>
      <c r="AB12" s="13"/>
      <c r="AC12" s="13"/>
      <c r="AD12" s="13"/>
      <c r="AE12" s="13"/>
      <c r="AF12" s="13"/>
      <c r="AG12" s="13"/>
    </row>
    <row r="13" spans="1:34" ht="16" customHeight="1" x14ac:dyDescent="0.2">
      <c r="A13" s="10" t="s">
        <v>3692</v>
      </c>
      <c r="B13" s="7"/>
      <c r="C13" s="7"/>
      <c r="D13" s="10" t="s">
        <v>86</v>
      </c>
      <c r="E13" s="6" t="str">
        <f t="shared" si="0"/>
        <v>Reader</v>
      </c>
      <c r="F13" s="6" t="str">
        <f t="shared" si="7"/>
        <v>Laland</v>
      </c>
      <c r="G13" s="6" t="str">
        <f t="shared" si="2"/>
        <v>2002</v>
      </c>
      <c r="H13" s="6" t="str">
        <f t="shared" si="3"/>
        <v>Reader_Laland_2002</v>
      </c>
      <c r="I13" s="6" t="str">
        <f t="shared" si="8"/>
        <v>10.1073%2Fpnas.062041299</v>
      </c>
      <c r="J13" s="6" t="str">
        <f t="shared" si="5"/>
        <v>Reader_Laland_2002_Table1</v>
      </c>
      <c r="K13" s="6" t="str">
        <f t="shared" si="6"/>
        <v>10.1073%2Fpnas.062041299_Table1</v>
      </c>
      <c r="L13" s="6" t="str">
        <f t="array" ref="L13">IFERROR(INDEX(AUTO_Public_TSV_FileList!$A$1:$A$1000,MATCH(TRUE(),EXACT(K13,IFERROR(_xlfn.TEXTBEFORE(AUTO_Public_TSV_FileList!$A$1:$A$1000,".tsv"),"")),0)),"notfound")</f>
        <v>notfound</v>
      </c>
      <c r="M13" s="7" t="s">
        <v>3693</v>
      </c>
      <c r="N13" s="10" t="s">
        <v>88</v>
      </c>
      <c r="O13" s="7" t="s">
        <v>3694</v>
      </c>
      <c r="Q13" s="7"/>
      <c r="R13" s="7" t="s">
        <v>3695</v>
      </c>
      <c r="S13" s="7" t="s">
        <v>634</v>
      </c>
      <c r="T13" s="7" t="s">
        <v>635</v>
      </c>
      <c r="U13" s="7"/>
      <c r="V13" s="7" t="s">
        <v>1924</v>
      </c>
      <c r="W13" s="10" t="s">
        <v>187</v>
      </c>
      <c r="X13" s="7" t="s">
        <v>3696</v>
      </c>
      <c r="Y13" s="7" t="s">
        <v>3696</v>
      </c>
      <c r="Z13" s="7"/>
      <c r="AA13" s="7"/>
      <c r="AB13" s="10" t="s">
        <v>3697</v>
      </c>
      <c r="AC13" s="7"/>
      <c r="AD13" s="7"/>
      <c r="AE13" s="10" t="s">
        <v>265</v>
      </c>
      <c r="AF13" s="10"/>
      <c r="AG13" s="9" t="s">
        <v>3698</v>
      </c>
    </row>
    <row r="14" spans="1:34" ht="16" customHeight="1" x14ac:dyDescent="0.2">
      <c r="A14" s="10" t="s">
        <v>3699</v>
      </c>
      <c r="B14" s="7"/>
      <c r="C14" s="7"/>
      <c r="D14" s="10" t="s">
        <v>86</v>
      </c>
      <c r="E14" s="6" t="str">
        <f t="shared" si="0"/>
        <v>Reader</v>
      </c>
      <c r="F14" s="6" t="str">
        <f t="shared" si="7"/>
        <v>etal</v>
      </c>
      <c r="G14" s="6" t="str">
        <f t="shared" si="2"/>
        <v>2011</v>
      </c>
      <c r="H14" s="6" t="str">
        <f t="shared" si="3"/>
        <v>Reader_etal_2011</v>
      </c>
      <c r="I14" s="6" t="str">
        <f t="shared" si="8"/>
        <v>10.1098%2Frstb.2010.0342</v>
      </c>
      <c r="J14" s="6" t="str">
        <f t="shared" si="5"/>
        <v>Reader_etal_2011_Table1</v>
      </c>
      <c r="K14" s="6" t="str">
        <f t="shared" si="6"/>
        <v>10.1098%2Frstb.2010.0342_Table1</v>
      </c>
      <c r="L14" s="6" t="str">
        <f t="array" ref="L14">IFERROR(INDEX(AUTO_Public_TSV_FileList!$A$1:$A$1000,MATCH(TRUE(),EXACT(K14,IFERROR(_xlfn.TEXTBEFORE(AUTO_Public_TSV_FileList!$A$1:$A$1000,".tsv"),"")),0)),"notfound")</f>
        <v>notfound</v>
      </c>
      <c r="M14" s="7" t="s">
        <v>3700</v>
      </c>
      <c r="N14" s="10" t="s">
        <v>88</v>
      </c>
      <c r="O14" s="7" t="s">
        <v>3701</v>
      </c>
      <c r="Q14" s="7"/>
      <c r="R14" s="7" t="s">
        <v>3702</v>
      </c>
      <c r="S14" s="7" t="s">
        <v>634</v>
      </c>
      <c r="T14" s="7" t="s">
        <v>635</v>
      </c>
      <c r="U14" s="7"/>
      <c r="V14" s="7" t="s">
        <v>1924</v>
      </c>
      <c r="W14" s="10" t="s">
        <v>187</v>
      </c>
      <c r="X14" s="7" t="s">
        <v>3703</v>
      </c>
      <c r="Y14" s="7" t="s">
        <v>3703</v>
      </c>
      <c r="Z14" s="7"/>
      <c r="AA14" s="7"/>
      <c r="AB14" s="10" t="s">
        <v>3704</v>
      </c>
      <c r="AC14" s="7"/>
      <c r="AD14" s="7"/>
      <c r="AE14" s="10" t="s">
        <v>265</v>
      </c>
      <c r="AF14" s="10"/>
      <c r="AG14" s="9" t="s">
        <v>3705</v>
      </c>
    </row>
    <row r="15" spans="1:34" ht="16" customHeight="1" x14ac:dyDescent="0.2">
      <c r="A15" s="10" t="s">
        <v>3699</v>
      </c>
      <c r="B15" s="7"/>
      <c r="C15" s="7"/>
      <c r="D15" s="10" t="s">
        <v>160</v>
      </c>
      <c r="E15" s="6" t="str">
        <f t="shared" si="0"/>
        <v>Reader</v>
      </c>
      <c r="F15" s="6" t="str">
        <f t="shared" si="7"/>
        <v>etal</v>
      </c>
      <c r="G15" s="6" t="str">
        <f t="shared" si="2"/>
        <v>2011</v>
      </c>
      <c r="H15" s="6" t="str">
        <f t="shared" si="3"/>
        <v>Reader_etal_2011</v>
      </c>
      <c r="I15" s="6" t="str">
        <f t="shared" si="8"/>
        <v>10.1098%2Frstb.2010.0342</v>
      </c>
      <c r="J15" s="6" t="str">
        <f t="shared" si="5"/>
        <v>Reader_etal_2011_Table2</v>
      </c>
      <c r="K15" s="6" t="str">
        <f t="shared" si="6"/>
        <v>10.1098%2Frstb.2010.0342_Table2</v>
      </c>
      <c r="L15" s="6" t="str">
        <f t="array" ref="L15">IFERROR(INDEX(AUTO_Public_TSV_FileList!$A$1:$A$1000,MATCH(TRUE(),EXACT(K15,IFERROR(_xlfn.TEXTBEFORE(AUTO_Public_TSV_FileList!$A$1:$A$1000,".tsv"),"")),0)),"notfound")</f>
        <v>notfound</v>
      </c>
      <c r="M15" s="7" t="s">
        <v>3706</v>
      </c>
      <c r="N15" s="10" t="s">
        <v>88</v>
      </c>
      <c r="O15" s="7" t="s">
        <v>3707</v>
      </c>
      <c r="Q15" s="7"/>
      <c r="R15" s="7" t="s">
        <v>3702</v>
      </c>
      <c r="S15" s="7" t="s">
        <v>634</v>
      </c>
      <c r="T15" s="7" t="s">
        <v>635</v>
      </c>
      <c r="U15" s="7"/>
      <c r="V15" s="7" t="s">
        <v>1924</v>
      </c>
      <c r="W15" s="10" t="s">
        <v>187</v>
      </c>
      <c r="X15" s="7" t="s">
        <v>3708</v>
      </c>
      <c r="Y15" s="7" t="s">
        <v>3708</v>
      </c>
      <c r="Z15" s="7"/>
      <c r="AA15" s="7"/>
      <c r="AB15" s="10" t="s">
        <v>3704</v>
      </c>
      <c r="AC15" s="7"/>
      <c r="AD15" s="7"/>
      <c r="AE15" s="10" t="s">
        <v>265</v>
      </c>
      <c r="AF15" s="10"/>
      <c r="AG15" s="9" t="s">
        <v>3709</v>
      </c>
    </row>
    <row r="16" spans="1:34" ht="16" customHeight="1" x14ac:dyDescent="0.2">
      <c r="A16" s="10" t="s">
        <v>3699</v>
      </c>
      <c r="B16" s="7"/>
      <c r="C16" s="7"/>
      <c r="D16" s="10" t="s">
        <v>162</v>
      </c>
      <c r="E16" s="6" t="str">
        <f t="shared" si="0"/>
        <v>Reader</v>
      </c>
      <c r="F16" s="6" t="str">
        <f t="shared" si="7"/>
        <v>etal</v>
      </c>
      <c r="G16" s="6" t="str">
        <f t="shared" si="2"/>
        <v>2011</v>
      </c>
      <c r="H16" s="6" t="str">
        <f t="shared" si="3"/>
        <v>Reader_etal_2011</v>
      </c>
      <c r="I16" s="6" t="str">
        <f t="shared" si="8"/>
        <v>10.1098%2Frstb.2010.0342</v>
      </c>
      <c r="J16" s="6" t="str">
        <f t="shared" si="5"/>
        <v>Reader_etal_2011_Table3</v>
      </c>
      <c r="K16" s="6" t="str">
        <f t="shared" si="6"/>
        <v>10.1098%2Frstb.2010.0342_Table3</v>
      </c>
      <c r="L16" s="6" t="str">
        <f t="array" ref="L16">IFERROR(INDEX(AUTO_Public_TSV_FileList!$A$1:$A$1000,MATCH(TRUE(),EXACT(K16,IFERROR(_xlfn.TEXTBEFORE(AUTO_Public_TSV_FileList!$A$1:$A$1000,".tsv"),"")),0)),"notfound")</f>
        <v>notfound</v>
      </c>
      <c r="M16" s="7" t="s">
        <v>3710</v>
      </c>
      <c r="N16" s="10" t="s">
        <v>88</v>
      </c>
      <c r="O16" s="7" t="s">
        <v>3711</v>
      </c>
      <c r="Q16" s="7"/>
      <c r="R16" s="7" t="s">
        <v>3702</v>
      </c>
      <c r="S16" s="7" t="s">
        <v>634</v>
      </c>
      <c r="T16" s="7" t="s">
        <v>635</v>
      </c>
      <c r="U16" s="7"/>
      <c r="V16" s="7" t="s">
        <v>1924</v>
      </c>
      <c r="W16" s="10" t="s">
        <v>187</v>
      </c>
      <c r="X16" s="7" t="s">
        <v>3712</v>
      </c>
      <c r="Y16" s="7" t="s">
        <v>3712</v>
      </c>
      <c r="Z16" s="7"/>
      <c r="AA16" s="7"/>
      <c r="AB16" s="10" t="s">
        <v>3713</v>
      </c>
      <c r="AC16" s="7"/>
      <c r="AD16" s="7"/>
      <c r="AE16" s="10" t="s">
        <v>265</v>
      </c>
      <c r="AF16" s="10"/>
      <c r="AG16" s="9" t="s">
        <v>3714</v>
      </c>
    </row>
    <row r="17" spans="1:33" ht="16" customHeight="1" x14ac:dyDescent="0.2">
      <c r="A17" s="10" t="s">
        <v>3699</v>
      </c>
      <c r="B17" s="16"/>
      <c r="C17" s="7"/>
      <c r="D17" s="10" t="s">
        <v>53</v>
      </c>
      <c r="E17" s="6" t="str">
        <f t="shared" si="0"/>
        <v>Reader</v>
      </c>
      <c r="F17" s="6" t="str">
        <f t="shared" si="7"/>
        <v>etal</v>
      </c>
      <c r="G17" s="6" t="str">
        <f t="shared" si="2"/>
        <v>2011</v>
      </c>
      <c r="H17" s="6" t="str">
        <f t="shared" si="3"/>
        <v>Reader_etal_2011</v>
      </c>
      <c r="I17" s="6" t="str">
        <f t="shared" si="8"/>
        <v>10.1098%2Frstb.2010.0342</v>
      </c>
      <c r="J17" s="6" t="str">
        <f t="shared" si="5"/>
        <v>Reader_etal_2011_Table4</v>
      </c>
      <c r="K17" s="6" t="str">
        <f t="shared" si="6"/>
        <v>10.1098%2Frstb.2010.0342_Table4</v>
      </c>
      <c r="L17" s="6" t="str">
        <f t="array" ref="L17">IFERROR(INDEX(AUTO_Public_TSV_FileList!$A$1:$A$1000,MATCH(TRUE(),EXACT(K17,IFERROR(_xlfn.TEXTBEFORE(AUTO_Public_TSV_FileList!$A$1:$A$1000,".tsv"),"")),0)),"notfound")</f>
        <v>notfound</v>
      </c>
      <c r="M17" s="7" t="s">
        <v>3715</v>
      </c>
      <c r="N17" s="24" t="s">
        <v>88</v>
      </c>
      <c r="O17" s="7" t="s">
        <v>3716</v>
      </c>
      <c r="P17" s="13"/>
      <c r="Q17" s="16"/>
      <c r="R17" s="16" t="s">
        <v>3702</v>
      </c>
      <c r="S17" s="16" t="s">
        <v>634</v>
      </c>
      <c r="T17" s="16" t="s">
        <v>635</v>
      </c>
      <c r="U17" s="16"/>
      <c r="V17" s="16" t="s">
        <v>1924</v>
      </c>
      <c r="W17" s="24" t="s">
        <v>187</v>
      </c>
      <c r="X17" s="16" t="s">
        <v>3717</v>
      </c>
      <c r="Y17" s="16" t="s">
        <v>3717</v>
      </c>
      <c r="Z17" s="16"/>
      <c r="AA17" s="16"/>
      <c r="AB17" s="24" t="s">
        <v>3680</v>
      </c>
      <c r="AC17" s="16"/>
      <c r="AD17" s="16"/>
      <c r="AE17" s="24" t="s">
        <v>265</v>
      </c>
      <c r="AF17" s="24"/>
      <c r="AG17" s="27" t="s">
        <v>3718</v>
      </c>
    </row>
    <row r="18" spans="1:33" ht="16" customHeight="1" x14ac:dyDescent="0.2">
      <c r="A18" s="24" t="s">
        <v>3719</v>
      </c>
      <c r="B18" s="16"/>
      <c r="C18" s="16"/>
      <c r="D18" s="24" t="s">
        <v>86</v>
      </c>
      <c r="E18" s="6" t="str">
        <f t="shared" si="0"/>
        <v>Shultz</v>
      </c>
      <c r="F18" s="6" t="str">
        <f t="shared" si="7"/>
        <v>Dunbar</v>
      </c>
      <c r="G18" s="6" t="str">
        <f t="shared" si="2"/>
        <v>2010</v>
      </c>
      <c r="H18" s="6" t="str">
        <f t="shared" si="3"/>
        <v>Shultz_Dunbar_2010</v>
      </c>
      <c r="I18" s="6" t="str">
        <f t="shared" si="8"/>
        <v>10.1037%2Fa0018894</v>
      </c>
      <c r="J18" s="6" t="str">
        <f t="shared" si="5"/>
        <v>Shultz_Dunbar_2010_Table1</v>
      </c>
      <c r="K18" s="6" t="str">
        <f t="shared" si="6"/>
        <v>10.1037%2Fa0018894_Table1</v>
      </c>
      <c r="L18" s="6" t="str">
        <f t="array" ref="L18">IFERROR(INDEX(AUTO_Public_TSV_FileList!$A$1:$A$1000,MATCH(TRUE(),EXACT(K18,IFERROR(_xlfn.TEXTBEFORE(AUTO_Public_TSV_FileList!$A$1:$A$1000,".tsv"),"")),0)),"notfound")</f>
        <v>notfound</v>
      </c>
      <c r="M18" s="16" t="s">
        <v>3720</v>
      </c>
      <c r="N18" s="24" t="s">
        <v>88</v>
      </c>
      <c r="O18" s="7" t="s">
        <v>3721</v>
      </c>
      <c r="Q18" s="16"/>
      <c r="R18" s="16" t="s">
        <v>3722</v>
      </c>
      <c r="S18" s="16" t="s">
        <v>634</v>
      </c>
      <c r="T18" s="16" t="s">
        <v>635</v>
      </c>
      <c r="U18" s="16"/>
      <c r="V18" s="16" t="s">
        <v>1924</v>
      </c>
      <c r="W18" s="24" t="s">
        <v>187</v>
      </c>
      <c r="X18" s="16" t="s">
        <v>3723</v>
      </c>
      <c r="Y18" s="16" t="s">
        <v>3723</v>
      </c>
      <c r="Z18" s="16"/>
      <c r="AA18" s="16"/>
      <c r="AB18" s="24" t="s">
        <v>3724</v>
      </c>
      <c r="AC18" s="16"/>
      <c r="AD18" s="16"/>
      <c r="AE18" s="24" t="s">
        <v>265</v>
      </c>
      <c r="AF18" s="24"/>
      <c r="AG18" s="27" t="s">
        <v>3725</v>
      </c>
    </row>
    <row r="19" spans="1:33" ht="16" customHeight="1" x14ac:dyDescent="0.2">
      <c r="A19" s="24" t="s">
        <v>3719</v>
      </c>
      <c r="B19" s="16"/>
      <c r="C19" s="16"/>
      <c r="D19" s="24" t="s">
        <v>160</v>
      </c>
      <c r="E19" s="6" t="str">
        <f t="shared" si="0"/>
        <v>Shultz</v>
      </c>
      <c r="F19" s="6" t="str">
        <f t="shared" si="7"/>
        <v>Dunbar</v>
      </c>
      <c r="G19" s="6" t="str">
        <f t="shared" si="2"/>
        <v>2010</v>
      </c>
      <c r="H19" s="6" t="str">
        <f t="shared" si="3"/>
        <v>Shultz_Dunbar_2010</v>
      </c>
      <c r="I19" s="6" t="str">
        <f t="shared" si="8"/>
        <v>10.1037%2Fa0018894</v>
      </c>
      <c r="J19" s="6" t="str">
        <f t="shared" si="5"/>
        <v>Shultz_Dunbar_2010_Table2</v>
      </c>
      <c r="K19" s="6" t="str">
        <f t="shared" si="6"/>
        <v>10.1037%2Fa0018894_Table2</v>
      </c>
      <c r="L19" s="6" t="str">
        <f t="array" ref="L19">IFERROR(INDEX(AUTO_Public_TSV_FileList!$A$1:$A$1000,MATCH(TRUE(),EXACT(K19,IFERROR(_xlfn.TEXTBEFORE(AUTO_Public_TSV_FileList!$A$1:$A$1000,".tsv"),"")),0)),"notfound")</f>
        <v>notfound</v>
      </c>
      <c r="M19" s="16" t="s">
        <v>3726</v>
      </c>
      <c r="N19" s="24" t="s">
        <v>88</v>
      </c>
      <c r="O19" s="7" t="s">
        <v>3727</v>
      </c>
      <c r="Q19" s="16"/>
      <c r="R19" s="16" t="s">
        <v>3722</v>
      </c>
      <c r="S19" s="16" t="s">
        <v>634</v>
      </c>
      <c r="T19" s="16" t="s">
        <v>635</v>
      </c>
      <c r="U19" s="16"/>
      <c r="V19" s="16" t="s">
        <v>1924</v>
      </c>
      <c r="W19" s="24" t="s">
        <v>187</v>
      </c>
      <c r="X19" s="16" t="s">
        <v>3728</v>
      </c>
      <c r="Y19" s="16" t="s">
        <v>3728</v>
      </c>
      <c r="Z19" s="16"/>
      <c r="AA19" s="16"/>
      <c r="AB19" s="24" t="s">
        <v>3729</v>
      </c>
      <c r="AC19" s="16"/>
      <c r="AD19" s="16"/>
      <c r="AE19" s="24" t="s">
        <v>265</v>
      </c>
      <c r="AF19" s="24"/>
      <c r="AG19" s="27" t="s">
        <v>3730</v>
      </c>
    </row>
    <row r="20" spans="1:33" ht="16" customHeight="1" x14ac:dyDescent="0.2">
      <c r="A20" s="24" t="s">
        <v>3719</v>
      </c>
      <c r="B20" s="16"/>
      <c r="C20" s="16"/>
      <c r="D20" s="24" t="s">
        <v>162</v>
      </c>
      <c r="E20" s="6" t="str">
        <f t="shared" si="0"/>
        <v>Shultz</v>
      </c>
      <c r="F20" s="6" t="str">
        <f t="shared" si="7"/>
        <v>Dunbar</v>
      </c>
      <c r="G20" s="6" t="str">
        <f t="shared" si="2"/>
        <v>2010</v>
      </c>
      <c r="H20" s="6" t="str">
        <f t="shared" si="3"/>
        <v>Shultz_Dunbar_2010</v>
      </c>
      <c r="I20" s="6" t="str">
        <f t="shared" si="8"/>
        <v>10.1037%2Fa0018894</v>
      </c>
      <c r="J20" s="6" t="str">
        <f t="shared" si="5"/>
        <v>Shultz_Dunbar_2010_Table3</v>
      </c>
      <c r="K20" s="6" t="str">
        <f t="shared" si="6"/>
        <v>10.1037%2Fa0018894_Table3</v>
      </c>
      <c r="L20" s="6" t="str">
        <f t="array" ref="L20">IFERROR(INDEX(AUTO_Public_TSV_FileList!$A$1:$A$1000,MATCH(TRUE(),EXACT(K20,IFERROR(_xlfn.TEXTBEFORE(AUTO_Public_TSV_FileList!$A$1:$A$1000,".tsv"),"")),0)),"notfound")</f>
        <v>notfound</v>
      </c>
      <c r="M20" s="16" t="s">
        <v>3731</v>
      </c>
      <c r="N20" s="24" t="s">
        <v>88</v>
      </c>
      <c r="O20" s="26" t="s">
        <v>3727</v>
      </c>
      <c r="Q20" s="16"/>
      <c r="R20" s="16" t="s">
        <v>3722</v>
      </c>
      <c r="S20" s="16" t="s">
        <v>634</v>
      </c>
      <c r="T20" s="16" t="s">
        <v>635</v>
      </c>
      <c r="U20" s="16"/>
      <c r="V20" s="16" t="s">
        <v>1924</v>
      </c>
      <c r="W20" s="24" t="s">
        <v>187</v>
      </c>
      <c r="X20" s="16" t="s">
        <v>3732</v>
      </c>
      <c r="Y20" s="16" t="s">
        <v>3732</v>
      </c>
      <c r="Z20" s="16"/>
      <c r="AA20" s="16"/>
      <c r="AB20" s="24" t="s">
        <v>3733</v>
      </c>
      <c r="AC20" s="16"/>
      <c r="AD20" s="16"/>
      <c r="AE20" s="24" t="s">
        <v>265</v>
      </c>
      <c r="AF20" s="24"/>
      <c r="AG20" s="27" t="s">
        <v>3734</v>
      </c>
    </row>
    <row r="21" spans="1:33" ht="16" customHeight="1" x14ac:dyDescent="0.2">
      <c r="A21" s="24" t="s">
        <v>3719</v>
      </c>
      <c r="B21" s="16"/>
      <c r="C21" s="16"/>
      <c r="D21" s="24" t="s">
        <v>53</v>
      </c>
      <c r="E21" s="6" t="str">
        <f t="shared" si="0"/>
        <v>Shultz</v>
      </c>
      <c r="F21" s="6" t="str">
        <f t="shared" si="7"/>
        <v>Dunbar</v>
      </c>
      <c r="G21" s="6" t="str">
        <f t="shared" si="2"/>
        <v>2010</v>
      </c>
      <c r="H21" s="6" t="str">
        <f t="shared" si="3"/>
        <v>Shultz_Dunbar_2010</v>
      </c>
      <c r="I21" s="6" t="str">
        <f t="shared" si="8"/>
        <v>10.1037%2Fa0018894</v>
      </c>
      <c r="J21" s="6" t="str">
        <f t="shared" si="5"/>
        <v>Shultz_Dunbar_2010_Table4</v>
      </c>
      <c r="K21" s="6" t="str">
        <f t="shared" si="6"/>
        <v>10.1037%2Fa0018894_Table4</v>
      </c>
      <c r="L21" s="6" t="str">
        <f t="array" ref="L21">IFERROR(INDEX(AUTO_Public_TSV_FileList!$A$1:$A$1000,MATCH(TRUE(),EXACT(K21,IFERROR(_xlfn.TEXTBEFORE(AUTO_Public_TSV_FileList!$A$1:$A$1000,".tsv"),"")),0)),"notfound")</f>
        <v>notfound</v>
      </c>
      <c r="M21" s="16" t="s">
        <v>3735</v>
      </c>
      <c r="N21" s="24" t="s">
        <v>88</v>
      </c>
      <c r="O21" s="26" t="s">
        <v>3736</v>
      </c>
      <c r="Q21" s="16"/>
      <c r="R21" s="16" t="s">
        <v>3722</v>
      </c>
      <c r="S21" s="16" t="s">
        <v>634</v>
      </c>
      <c r="T21" s="16" t="s">
        <v>635</v>
      </c>
      <c r="U21" s="16"/>
      <c r="V21" s="16" t="s">
        <v>1924</v>
      </c>
      <c r="W21" s="24" t="s">
        <v>187</v>
      </c>
      <c r="X21" s="16" t="s">
        <v>3737</v>
      </c>
      <c r="Y21" s="16" t="s">
        <v>3737</v>
      </c>
      <c r="Z21" s="16"/>
      <c r="AA21" s="16"/>
      <c r="AB21" s="24" t="s">
        <v>3713</v>
      </c>
      <c r="AC21" s="16"/>
      <c r="AD21" s="16"/>
      <c r="AE21" s="24" t="s">
        <v>265</v>
      </c>
      <c r="AF21" s="24"/>
      <c r="AG21" s="27" t="s">
        <v>3734</v>
      </c>
    </row>
    <row r="22" spans="1:33" ht="16" customHeight="1" x14ac:dyDescent="0.2">
      <c r="A22" s="24" t="s">
        <v>3719</v>
      </c>
      <c r="B22" s="16"/>
      <c r="C22" s="16"/>
      <c r="D22" s="24" t="s">
        <v>164</v>
      </c>
      <c r="E22" s="6" t="str">
        <f t="shared" si="0"/>
        <v>Shultz</v>
      </c>
      <c r="F22" s="6" t="str">
        <f t="shared" si="7"/>
        <v>Dunbar</v>
      </c>
      <c r="G22" s="6" t="str">
        <f t="shared" si="2"/>
        <v>2010</v>
      </c>
      <c r="H22" s="6" t="str">
        <f t="shared" si="3"/>
        <v>Shultz_Dunbar_2010</v>
      </c>
      <c r="I22" s="6" t="str">
        <f t="shared" si="8"/>
        <v>10.1037%2Fa0018894</v>
      </c>
      <c r="J22" s="6" t="str">
        <f t="shared" si="5"/>
        <v>Shultz_Dunbar_2010_Table5</v>
      </c>
      <c r="K22" s="6" t="str">
        <f t="shared" si="6"/>
        <v>10.1037%2Fa0018894_Table5</v>
      </c>
      <c r="L22" s="6" t="str">
        <f t="array" ref="L22">IFERROR(INDEX(AUTO_Public_TSV_FileList!$A$1:$A$1000,MATCH(TRUE(),EXACT(K22,IFERROR(_xlfn.TEXTBEFORE(AUTO_Public_TSV_FileList!$A$1:$A$1000,".tsv"),"")),0)),"notfound")</f>
        <v>notfound</v>
      </c>
      <c r="M22" s="16" t="s">
        <v>3738</v>
      </c>
      <c r="N22" s="24" t="s">
        <v>88</v>
      </c>
      <c r="O22" s="26" t="s">
        <v>3739</v>
      </c>
      <c r="Q22" s="16"/>
      <c r="R22" s="16" t="s">
        <v>3722</v>
      </c>
      <c r="S22" s="16" t="s">
        <v>634</v>
      </c>
      <c r="T22" s="16" t="s">
        <v>635</v>
      </c>
      <c r="U22" s="16"/>
      <c r="V22" s="16" t="s">
        <v>1924</v>
      </c>
      <c r="W22" s="24" t="s">
        <v>187</v>
      </c>
      <c r="X22" s="16" t="s">
        <v>3737</v>
      </c>
      <c r="Y22" s="16" t="s">
        <v>3737</v>
      </c>
      <c r="Z22" s="16"/>
      <c r="AA22" s="16"/>
      <c r="AB22" s="24" t="s">
        <v>3740</v>
      </c>
      <c r="AC22" s="16"/>
      <c r="AD22" s="16"/>
      <c r="AE22" s="24" t="s">
        <v>265</v>
      </c>
      <c r="AF22" s="24"/>
      <c r="AG22" s="27" t="s">
        <v>3741</v>
      </c>
    </row>
    <row r="23" spans="1:33" ht="16" customHeight="1" x14ac:dyDescent="0.2">
      <c r="A23" t="s">
        <v>3744</v>
      </c>
      <c r="E23" s="2" t="str">
        <f t="shared" si="0"/>
        <v>Smaers</v>
      </c>
      <c r="F23" s="2" t="str">
        <f t="shared" si="7"/>
        <v>etal</v>
      </c>
      <c r="G23" s="2" t="str">
        <f t="shared" si="2"/>
        <v>2012</v>
      </c>
      <c r="H23" s="2" t="str">
        <f t="shared" si="3"/>
        <v>Smaers_etal_2012</v>
      </c>
      <c r="I23" s="2" t="str">
        <f t="shared" si="8"/>
        <v>10.1159%2F000336115</v>
      </c>
      <c r="J23" s="2" t="str">
        <f t="shared" si="5"/>
        <v>Smaers_etal_2012_</v>
      </c>
      <c r="K23" s="2" t="str">
        <f t="shared" si="6"/>
        <v>10.1159%2F000336115_</v>
      </c>
      <c r="L23" s="2" t="str">
        <f t="array" ref="L23">IFERROR(INDEX(AUTO_Public_TSV_FileList!$A$1:$A$1000,MATCH(TRUE(),EXACT(K23,IFERROR(_xlfn.TEXTBEFORE(AUTO_Public_TSV_FileList!$A$1:$A$1000,".tsv"),"")),0)),"notfound")</f>
        <v>notfound</v>
      </c>
      <c r="O23" s="11" t="s">
        <v>3743</v>
      </c>
    </row>
    <row r="24" spans="1:33" ht="15" customHeight="1" x14ac:dyDescent="0.2">
      <c r="A24" s="12" t="s">
        <v>3742</v>
      </c>
      <c r="C24" s="25"/>
      <c r="D24" s="12"/>
      <c r="E24" s="2" t="str">
        <f t="shared" si="0"/>
        <v>Weaver</v>
      </c>
      <c r="F24" s="2" t="str">
        <f t="shared" si="7"/>
        <v/>
      </c>
      <c r="G24" s="2" t="str">
        <f t="shared" si="2"/>
        <v>2005</v>
      </c>
      <c r="H24" s="2" t="str">
        <f t="shared" si="3"/>
        <v>Weaver__2005</v>
      </c>
      <c r="I24" s="2" t="str">
        <f t="shared" si="8"/>
        <v>10.1073%2Fpnas.0500692102</v>
      </c>
      <c r="J24" s="2" t="str">
        <f t="shared" si="5"/>
        <v>Weaver__2005_</v>
      </c>
      <c r="K24" s="2" t="str">
        <f t="shared" si="6"/>
        <v>10.1073%2Fpnas.0500692102_</v>
      </c>
      <c r="L24" s="2" t="str">
        <f t="array" ref="L24">IFERROR(INDEX(AUTO_Public_TSV_FileList!$A$1:$A$1000,MATCH(TRUE(),EXACT(K24,IFERROR(_xlfn.TEXTBEFORE(AUTO_Public_TSV_FileList!$A$1:$A$1000,".tsv"),"")),0)),"notfound")</f>
        <v>notfound</v>
      </c>
      <c r="M24" s="12"/>
      <c r="N24" s="13"/>
      <c r="O24" s="12" t="s">
        <v>3743</v>
      </c>
      <c r="P24" s="9"/>
      <c r="Q24" s="13"/>
      <c r="R24" s="13"/>
      <c r="S24" s="13"/>
      <c r="T24" s="13"/>
      <c r="U24" s="13"/>
      <c r="V24" s="13"/>
      <c r="W24" s="13"/>
      <c r="X24" s="13"/>
      <c r="Y24" s="13"/>
      <c r="Z24" s="13"/>
      <c r="AA24" s="13"/>
      <c r="AB24" s="13"/>
      <c r="AC24" s="13"/>
      <c r="AD24" s="13"/>
      <c r="AE24" s="13"/>
      <c r="AF24" s="13"/>
      <c r="AG24" s="13"/>
    </row>
  </sheetData>
  <sortState xmlns:xlrd2="http://schemas.microsoft.com/office/spreadsheetml/2017/richdata2" ref="A2:AH24">
    <sortCondition ref="A2:A24"/>
    <sortCondition ref="D2:D24"/>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742"/>
  <sheetViews>
    <sheetView workbookViewId="0"/>
  </sheetViews>
  <sheetFormatPr baseColWidth="10" defaultColWidth="11.5" defaultRowHeight="13" x14ac:dyDescent="0.15"/>
  <sheetData>
    <row r="1" spans="1:1" x14ac:dyDescent="0.15">
      <c r="A1" t="s">
        <v>3754</v>
      </c>
    </row>
    <row r="2" spans="1:1" x14ac:dyDescent="0.15">
      <c r="A2" t="s">
        <v>3755</v>
      </c>
    </row>
    <row r="3" spans="1:1" x14ac:dyDescent="0.15">
      <c r="A3" t="s">
        <v>3756</v>
      </c>
    </row>
    <row r="4" spans="1:1" x14ac:dyDescent="0.15">
      <c r="A4" t="s">
        <v>3757</v>
      </c>
    </row>
    <row r="5" spans="1:1" x14ac:dyDescent="0.15">
      <c r="A5" t="s">
        <v>3758</v>
      </c>
    </row>
    <row r="6" spans="1:1" x14ac:dyDescent="0.15">
      <c r="A6" t="s">
        <v>3759</v>
      </c>
    </row>
    <row r="7" spans="1:1" x14ac:dyDescent="0.15">
      <c r="A7" t="s">
        <v>3760</v>
      </c>
    </row>
    <row r="8" spans="1:1" x14ac:dyDescent="0.15">
      <c r="A8" t="s">
        <v>3761</v>
      </c>
    </row>
    <row r="9" spans="1:1" x14ac:dyDescent="0.15">
      <c r="A9" t="s">
        <v>3762</v>
      </c>
    </row>
    <row r="10" spans="1:1" x14ac:dyDescent="0.15">
      <c r="A10" t="s">
        <v>3763</v>
      </c>
    </row>
    <row r="11" spans="1:1" x14ac:dyDescent="0.15">
      <c r="A11" t="s">
        <v>3764</v>
      </c>
    </row>
    <row r="12" spans="1:1" x14ac:dyDescent="0.15">
      <c r="A12" t="s">
        <v>3765</v>
      </c>
    </row>
    <row r="13" spans="1:1" x14ac:dyDescent="0.15">
      <c r="A13" t="s">
        <v>3766</v>
      </c>
    </row>
    <row r="14" spans="1:1" x14ac:dyDescent="0.15">
      <c r="A14" t="s">
        <v>3767</v>
      </c>
    </row>
    <row r="15" spans="1:1" x14ac:dyDescent="0.15">
      <c r="A15" t="s">
        <v>3768</v>
      </c>
    </row>
    <row r="16" spans="1:1" x14ac:dyDescent="0.15">
      <c r="A16" t="s">
        <v>3769</v>
      </c>
    </row>
    <row r="17" spans="1:1" x14ac:dyDescent="0.15">
      <c r="A17" t="s">
        <v>3770</v>
      </c>
    </row>
    <row r="18" spans="1:1" x14ac:dyDescent="0.15">
      <c r="A18" t="s">
        <v>3771</v>
      </c>
    </row>
    <row r="19" spans="1:1" x14ac:dyDescent="0.15">
      <c r="A19" t="s">
        <v>3772</v>
      </c>
    </row>
    <row r="20" spans="1:1" x14ac:dyDescent="0.15">
      <c r="A20" t="s">
        <v>3773</v>
      </c>
    </row>
    <row r="21" spans="1:1" x14ac:dyDescent="0.15">
      <c r="A21" t="s">
        <v>3774</v>
      </c>
    </row>
    <row r="22" spans="1:1" x14ac:dyDescent="0.15">
      <c r="A22" t="s">
        <v>3775</v>
      </c>
    </row>
    <row r="23" spans="1:1" x14ac:dyDescent="0.15">
      <c r="A23" t="s">
        <v>3776</v>
      </c>
    </row>
    <row r="24" spans="1:1" x14ac:dyDescent="0.15">
      <c r="A24" t="s">
        <v>3777</v>
      </c>
    </row>
    <row r="25" spans="1:1" x14ac:dyDescent="0.15">
      <c r="A25" t="s">
        <v>3778</v>
      </c>
    </row>
    <row r="26" spans="1:1" x14ac:dyDescent="0.15">
      <c r="A26" t="s">
        <v>3779</v>
      </c>
    </row>
    <row r="27" spans="1:1" x14ac:dyDescent="0.15">
      <c r="A27" t="s">
        <v>3780</v>
      </c>
    </row>
    <row r="28" spans="1:1" x14ac:dyDescent="0.15">
      <c r="A28" t="s">
        <v>3781</v>
      </c>
    </row>
    <row r="29" spans="1:1" x14ac:dyDescent="0.15">
      <c r="A29" t="s">
        <v>3782</v>
      </c>
    </row>
    <row r="30" spans="1:1" x14ac:dyDescent="0.15">
      <c r="A30" t="s">
        <v>3783</v>
      </c>
    </row>
    <row r="31" spans="1:1" x14ac:dyDescent="0.15">
      <c r="A31" t="s">
        <v>3784</v>
      </c>
    </row>
    <row r="32" spans="1:1" x14ac:dyDescent="0.15">
      <c r="A32" t="s">
        <v>3785</v>
      </c>
    </row>
    <row r="33" spans="1:1" x14ac:dyDescent="0.15">
      <c r="A33" t="s">
        <v>3786</v>
      </c>
    </row>
    <row r="34" spans="1:1" x14ac:dyDescent="0.15">
      <c r="A34" t="s">
        <v>3787</v>
      </c>
    </row>
    <row r="35" spans="1:1" x14ac:dyDescent="0.15">
      <c r="A35" t="s">
        <v>3788</v>
      </c>
    </row>
    <row r="36" spans="1:1" x14ac:dyDescent="0.15">
      <c r="A36" t="s">
        <v>3789</v>
      </c>
    </row>
    <row r="37" spans="1:1" x14ac:dyDescent="0.15">
      <c r="A37" t="s">
        <v>3790</v>
      </c>
    </row>
    <row r="38" spans="1:1" x14ac:dyDescent="0.15">
      <c r="A38" t="s">
        <v>3791</v>
      </c>
    </row>
    <row r="39" spans="1:1" x14ac:dyDescent="0.15">
      <c r="A39" t="s">
        <v>3792</v>
      </c>
    </row>
    <row r="40" spans="1:1" x14ac:dyDescent="0.15">
      <c r="A40" t="s">
        <v>3793</v>
      </c>
    </row>
    <row r="41" spans="1:1" x14ac:dyDescent="0.15">
      <c r="A41" t="s">
        <v>3794</v>
      </c>
    </row>
    <row r="42" spans="1:1" x14ac:dyDescent="0.15">
      <c r="A42" t="s">
        <v>3795</v>
      </c>
    </row>
    <row r="43" spans="1:1" x14ac:dyDescent="0.15">
      <c r="A43" t="s">
        <v>3796</v>
      </c>
    </row>
    <row r="44" spans="1:1" x14ac:dyDescent="0.15">
      <c r="A44" t="s">
        <v>3797</v>
      </c>
    </row>
    <row r="45" spans="1:1" x14ac:dyDescent="0.15">
      <c r="A45" t="s">
        <v>3798</v>
      </c>
    </row>
    <row r="46" spans="1:1" x14ac:dyDescent="0.15">
      <c r="A46" t="s">
        <v>3799</v>
      </c>
    </row>
    <row r="47" spans="1:1" x14ac:dyDescent="0.15">
      <c r="A47" t="s">
        <v>3800</v>
      </c>
    </row>
    <row r="48" spans="1:1" x14ac:dyDescent="0.15">
      <c r="A48" t="s">
        <v>3801</v>
      </c>
    </row>
    <row r="49" spans="1:1" x14ac:dyDescent="0.15">
      <c r="A49" t="s">
        <v>3802</v>
      </c>
    </row>
    <row r="50" spans="1:1" x14ac:dyDescent="0.15">
      <c r="A50" t="s">
        <v>3803</v>
      </c>
    </row>
    <row r="51" spans="1:1" x14ac:dyDescent="0.15">
      <c r="A51" t="s">
        <v>3804</v>
      </c>
    </row>
    <row r="52" spans="1:1" x14ac:dyDescent="0.15">
      <c r="A52" t="s">
        <v>3805</v>
      </c>
    </row>
    <row r="53" spans="1:1" x14ac:dyDescent="0.15">
      <c r="A53" t="s">
        <v>3806</v>
      </c>
    </row>
    <row r="54" spans="1:1" x14ac:dyDescent="0.15">
      <c r="A54" t="s">
        <v>3807</v>
      </c>
    </row>
    <row r="55" spans="1:1" x14ac:dyDescent="0.15">
      <c r="A55" t="s">
        <v>3808</v>
      </c>
    </row>
    <row r="56" spans="1:1" x14ac:dyDescent="0.15">
      <c r="A56" t="s">
        <v>3809</v>
      </c>
    </row>
    <row r="57" spans="1:1" x14ac:dyDescent="0.15">
      <c r="A57" t="s">
        <v>3810</v>
      </c>
    </row>
    <row r="58" spans="1:1" x14ac:dyDescent="0.15">
      <c r="A58" t="s">
        <v>3811</v>
      </c>
    </row>
    <row r="59" spans="1:1" x14ac:dyDescent="0.15">
      <c r="A59" t="s">
        <v>3812</v>
      </c>
    </row>
    <row r="60" spans="1:1" x14ac:dyDescent="0.15">
      <c r="A60" t="s">
        <v>3813</v>
      </c>
    </row>
    <row r="61" spans="1:1" x14ac:dyDescent="0.15">
      <c r="A61" t="s">
        <v>3814</v>
      </c>
    </row>
    <row r="62" spans="1:1" x14ac:dyDescent="0.15">
      <c r="A62" t="s">
        <v>3815</v>
      </c>
    </row>
    <row r="63" spans="1:1" x14ac:dyDescent="0.15">
      <c r="A63" t="s">
        <v>3816</v>
      </c>
    </row>
    <row r="64" spans="1:1" x14ac:dyDescent="0.15">
      <c r="A64" t="s">
        <v>3817</v>
      </c>
    </row>
    <row r="65" spans="1:1" x14ac:dyDescent="0.15">
      <c r="A65" t="s">
        <v>3818</v>
      </c>
    </row>
    <row r="66" spans="1:1" x14ac:dyDescent="0.15">
      <c r="A66" t="s">
        <v>3819</v>
      </c>
    </row>
    <row r="67" spans="1:1" x14ac:dyDescent="0.15">
      <c r="A67" t="s">
        <v>3820</v>
      </c>
    </row>
    <row r="68" spans="1:1" x14ac:dyDescent="0.15">
      <c r="A68" t="s">
        <v>3821</v>
      </c>
    </row>
    <row r="69" spans="1:1" x14ac:dyDescent="0.15">
      <c r="A69" t="s">
        <v>3822</v>
      </c>
    </row>
    <row r="70" spans="1:1" x14ac:dyDescent="0.15">
      <c r="A70" t="s">
        <v>3823</v>
      </c>
    </row>
    <row r="71" spans="1:1" x14ac:dyDescent="0.15">
      <c r="A71" t="s">
        <v>3824</v>
      </c>
    </row>
    <row r="72" spans="1:1" x14ac:dyDescent="0.15">
      <c r="A72" t="s">
        <v>3825</v>
      </c>
    </row>
    <row r="73" spans="1:1" x14ac:dyDescent="0.15">
      <c r="A73" t="s">
        <v>3826</v>
      </c>
    </row>
    <row r="74" spans="1:1" x14ac:dyDescent="0.15">
      <c r="A74" t="s">
        <v>3827</v>
      </c>
    </row>
    <row r="75" spans="1:1" x14ac:dyDescent="0.15">
      <c r="A75" t="s">
        <v>3828</v>
      </c>
    </row>
    <row r="76" spans="1:1" x14ac:dyDescent="0.15">
      <c r="A76" t="s">
        <v>3829</v>
      </c>
    </row>
    <row r="77" spans="1:1" x14ac:dyDescent="0.15">
      <c r="A77" t="s">
        <v>3830</v>
      </c>
    </row>
    <row r="78" spans="1:1" x14ac:dyDescent="0.15">
      <c r="A78" t="s">
        <v>3831</v>
      </c>
    </row>
    <row r="79" spans="1:1" x14ac:dyDescent="0.15">
      <c r="A79" t="s">
        <v>3832</v>
      </c>
    </row>
    <row r="80" spans="1:1" x14ac:dyDescent="0.15">
      <c r="A80" t="s">
        <v>3833</v>
      </c>
    </row>
    <row r="81" spans="1:1" x14ac:dyDescent="0.15">
      <c r="A81" t="s">
        <v>3834</v>
      </c>
    </row>
    <row r="82" spans="1:1" x14ac:dyDescent="0.15">
      <c r="A82" t="s">
        <v>3835</v>
      </c>
    </row>
    <row r="83" spans="1:1" x14ac:dyDescent="0.15">
      <c r="A83" t="s">
        <v>3836</v>
      </c>
    </row>
    <row r="84" spans="1:1" x14ac:dyDescent="0.15">
      <c r="A84" t="s">
        <v>3837</v>
      </c>
    </row>
    <row r="85" spans="1:1" x14ac:dyDescent="0.15">
      <c r="A85" t="s">
        <v>3838</v>
      </c>
    </row>
    <row r="86" spans="1:1" x14ac:dyDescent="0.15">
      <c r="A86" t="s">
        <v>3839</v>
      </c>
    </row>
    <row r="87" spans="1:1" x14ac:dyDescent="0.15">
      <c r="A87" t="s">
        <v>3840</v>
      </c>
    </row>
    <row r="88" spans="1:1" x14ac:dyDescent="0.15">
      <c r="A88" t="s">
        <v>3841</v>
      </c>
    </row>
    <row r="89" spans="1:1" x14ac:dyDescent="0.15">
      <c r="A89" t="s">
        <v>3842</v>
      </c>
    </row>
    <row r="90" spans="1:1" x14ac:dyDescent="0.15">
      <c r="A90" t="s">
        <v>3843</v>
      </c>
    </row>
    <row r="91" spans="1:1" x14ac:dyDescent="0.15">
      <c r="A91" t="s">
        <v>3844</v>
      </c>
    </row>
    <row r="92" spans="1:1" x14ac:dyDescent="0.15">
      <c r="A92" t="s">
        <v>3845</v>
      </c>
    </row>
    <row r="93" spans="1:1" x14ac:dyDescent="0.15">
      <c r="A93" t="s">
        <v>3846</v>
      </c>
    </row>
    <row r="94" spans="1:1" x14ac:dyDescent="0.15">
      <c r="A94" t="s">
        <v>3847</v>
      </c>
    </row>
    <row r="95" spans="1:1" x14ac:dyDescent="0.15">
      <c r="A95" t="s">
        <v>3848</v>
      </c>
    </row>
    <row r="96" spans="1:1" x14ac:dyDescent="0.15">
      <c r="A96" t="s">
        <v>3849</v>
      </c>
    </row>
    <row r="97" spans="1:1" x14ac:dyDescent="0.15">
      <c r="A97" t="s">
        <v>3850</v>
      </c>
    </row>
    <row r="98" spans="1:1" x14ac:dyDescent="0.15">
      <c r="A98" t="s">
        <v>3851</v>
      </c>
    </row>
    <row r="99" spans="1:1" x14ac:dyDescent="0.15">
      <c r="A99" t="s">
        <v>3852</v>
      </c>
    </row>
    <row r="100" spans="1:1" x14ac:dyDescent="0.15">
      <c r="A100" t="s">
        <v>3853</v>
      </c>
    </row>
    <row r="101" spans="1:1" x14ac:dyDescent="0.15">
      <c r="A101" t="s">
        <v>3854</v>
      </c>
    </row>
    <row r="102" spans="1:1" x14ac:dyDescent="0.15">
      <c r="A102" t="s">
        <v>3855</v>
      </c>
    </row>
    <row r="103" spans="1:1" x14ac:dyDescent="0.15">
      <c r="A103" t="s">
        <v>3856</v>
      </c>
    </row>
    <row r="104" spans="1:1" x14ac:dyDescent="0.15">
      <c r="A104" t="s">
        <v>3857</v>
      </c>
    </row>
    <row r="105" spans="1:1" x14ac:dyDescent="0.15">
      <c r="A105" t="s">
        <v>3858</v>
      </c>
    </row>
    <row r="106" spans="1:1" x14ac:dyDescent="0.15">
      <c r="A106" t="s">
        <v>3859</v>
      </c>
    </row>
    <row r="107" spans="1:1" x14ac:dyDescent="0.15">
      <c r="A107" t="s">
        <v>3860</v>
      </c>
    </row>
    <row r="108" spans="1:1" x14ac:dyDescent="0.15">
      <c r="A108" t="s">
        <v>3861</v>
      </c>
    </row>
    <row r="109" spans="1:1" x14ac:dyDescent="0.15">
      <c r="A109" t="s">
        <v>3862</v>
      </c>
    </row>
    <row r="110" spans="1:1" x14ac:dyDescent="0.15">
      <c r="A110" t="s">
        <v>3863</v>
      </c>
    </row>
    <row r="111" spans="1:1" x14ac:dyDescent="0.15">
      <c r="A111" t="s">
        <v>3864</v>
      </c>
    </row>
    <row r="112" spans="1:1" x14ac:dyDescent="0.15">
      <c r="A112" t="s">
        <v>3865</v>
      </c>
    </row>
    <row r="113" spans="1:1" x14ac:dyDescent="0.15">
      <c r="A113" t="s">
        <v>3866</v>
      </c>
    </row>
    <row r="114" spans="1:1" x14ac:dyDescent="0.15">
      <c r="A114" t="s">
        <v>3867</v>
      </c>
    </row>
    <row r="115" spans="1:1" x14ac:dyDescent="0.15">
      <c r="A115" t="s">
        <v>3868</v>
      </c>
    </row>
    <row r="116" spans="1:1" x14ac:dyDescent="0.15">
      <c r="A116" t="s">
        <v>3869</v>
      </c>
    </row>
    <row r="117" spans="1:1" x14ac:dyDescent="0.15">
      <c r="A117" t="s">
        <v>3870</v>
      </c>
    </row>
    <row r="118" spans="1:1" x14ac:dyDescent="0.15">
      <c r="A118" t="s">
        <v>3871</v>
      </c>
    </row>
    <row r="119" spans="1:1" x14ac:dyDescent="0.15">
      <c r="A119" t="s">
        <v>3872</v>
      </c>
    </row>
    <row r="120" spans="1:1" x14ac:dyDescent="0.15">
      <c r="A120" t="s">
        <v>3873</v>
      </c>
    </row>
    <row r="121" spans="1:1" x14ac:dyDescent="0.15">
      <c r="A121" t="s">
        <v>3874</v>
      </c>
    </row>
    <row r="122" spans="1:1" x14ac:dyDescent="0.15">
      <c r="A122" t="s">
        <v>3875</v>
      </c>
    </row>
    <row r="123" spans="1:1" x14ac:dyDescent="0.15">
      <c r="A123" t="s">
        <v>3876</v>
      </c>
    </row>
    <row r="124" spans="1:1" x14ac:dyDescent="0.15">
      <c r="A124" t="s">
        <v>3877</v>
      </c>
    </row>
    <row r="125" spans="1:1" x14ac:dyDescent="0.15">
      <c r="A125" t="s">
        <v>3878</v>
      </c>
    </row>
    <row r="126" spans="1:1" x14ac:dyDescent="0.15">
      <c r="A126" t="s">
        <v>3879</v>
      </c>
    </row>
    <row r="127" spans="1:1" x14ac:dyDescent="0.15">
      <c r="A127" t="s">
        <v>3880</v>
      </c>
    </row>
    <row r="128" spans="1:1" x14ac:dyDescent="0.15">
      <c r="A128" t="s">
        <v>3881</v>
      </c>
    </row>
    <row r="129" spans="1:1" x14ac:dyDescent="0.15">
      <c r="A129" t="s">
        <v>3882</v>
      </c>
    </row>
    <row r="130" spans="1:1" x14ac:dyDescent="0.15">
      <c r="A130" t="s">
        <v>3883</v>
      </c>
    </row>
    <row r="131" spans="1:1" x14ac:dyDescent="0.15">
      <c r="A131" t="s">
        <v>3884</v>
      </c>
    </row>
    <row r="132" spans="1:1" x14ac:dyDescent="0.15">
      <c r="A132" t="s">
        <v>3885</v>
      </c>
    </row>
    <row r="133" spans="1:1" x14ac:dyDescent="0.15">
      <c r="A133" t="s">
        <v>3886</v>
      </c>
    </row>
    <row r="134" spans="1:1" x14ac:dyDescent="0.15">
      <c r="A134" t="s">
        <v>3887</v>
      </c>
    </row>
    <row r="135" spans="1:1" x14ac:dyDescent="0.15">
      <c r="A135" t="s">
        <v>3888</v>
      </c>
    </row>
    <row r="136" spans="1:1" x14ac:dyDescent="0.15">
      <c r="A136" t="s">
        <v>3889</v>
      </c>
    </row>
    <row r="137" spans="1:1" x14ac:dyDescent="0.15">
      <c r="A137" t="s">
        <v>3890</v>
      </c>
    </row>
    <row r="138" spans="1:1" x14ac:dyDescent="0.15">
      <c r="A138" t="s">
        <v>3891</v>
      </c>
    </row>
    <row r="139" spans="1:1" x14ac:dyDescent="0.15">
      <c r="A139" t="s">
        <v>3892</v>
      </c>
    </row>
    <row r="140" spans="1:1" x14ac:dyDescent="0.15">
      <c r="A140" t="s">
        <v>3893</v>
      </c>
    </row>
    <row r="141" spans="1:1" x14ac:dyDescent="0.15">
      <c r="A141" t="s">
        <v>3894</v>
      </c>
    </row>
    <row r="142" spans="1:1" x14ac:dyDescent="0.15">
      <c r="A142" t="s">
        <v>3895</v>
      </c>
    </row>
    <row r="143" spans="1:1" x14ac:dyDescent="0.15">
      <c r="A143" t="s">
        <v>3896</v>
      </c>
    </row>
    <row r="144" spans="1:1" x14ac:dyDescent="0.15">
      <c r="A144" t="s">
        <v>3897</v>
      </c>
    </row>
    <row r="145" spans="1:1" x14ac:dyDescent="0.15">
      <c r="A145" t="s">
        <v>3898</v>
      </c>
    </row>
    <row r="146" spans="1:1" x14ac:dyDescent="0.15">
      <c r="A146" t="s">
        <v>3899</v>
      </c>
    </row>
    <row r="147" spans="1:1" x14ac:dyDescent="0.15">
      <c r="A147" t="s">
        <v>3900</v>
      </c>
    </row>
    <row r="148" spans="1:1" x14ac:dyDescent="0.15">
      <c r="A148" t="s">
        <v>3901</v>
      </c>
    </row>
    <row r="149" spans="1:1" x14ac:dyDescent="0.15">
      <c r="A149" t="s">
        <v>3902</v>
      </c>
    </row>
    <row r="150" spans="1:1" x14ac:dyDescent="0.15">
      <c r="A150" t="s">
        <v>3903</v>
      </c>
    </row>
    <row r="151" spans="1:1" x14ac:dyDescent="0.15">
      <c r="A151" t="s">
        <v>3904</v>
      </c>
    </row>
    <row r="152" spans="1:1" x14ac:dyDescent="0.15">
      <c r="A152" t="s">
        <v>3905</v>
      </c>
    </row>
    <row r="153" spans="1:1" x14ac:dyDescent="0.15">
      <c r="A153" t="s">
        <v>3906</v>
      </c>
    </row>
    <row r="154" spans="1:1" x14ac:dyDescent="0.15">
      <c r="A154" t="s">
        <v>3907</v>
      </c>
    </row>
    <row r="155" spans="1:1" x14ac:dyDescent="0.15">
      <c r="A155" t="s">
        <v>3908</v>
      </c>
    </row>
    <row r="156" spans="1:1" x14ac:dyDescent="0.15">
      <c r="A156" t="s">
        <v>3909</v>
      </c>
    </row>
    <row r="157" spans="1:1" x14ac:dyDescent="0.15">
      <c r="A157" t="s">
        <v>3910</v>
      </c>
    </row>
    <row r="158" spans="1:1" x14ac:dyDescent="0.15">
      <c r="A158" t="s">
        <v>3911</v>
      </c>
    </row>
    <row r="159" spans="1:1" x14ac:dyDescent="0.15">
      <c r="A159" t="s">
        <v>3912</v>
      </c>
    </row>
    <row r="160" spans="1:1" x14ac:dyDescent="0.15">
      <c r="A160" t="s">
        <v>3913</v>
      </c>
    </row>
    <row r="161" spans="1:1" x14ac:dyDescent="0.15">
      <c r="A161" t="s">
        <v>3914</v>
      </c>
    </row>
    <row r="162" spans="1:1" x14ac:dyDescent="0.15">
      <c r="A162" t="s">
        <v>3915</v>
      </c>
    </row>
    <row r="163" spans="1:1" x14ac:dyDescent="0.15">
      <c r="A163" t="s">
        <v>3916</v>
      </c>
    </row>
    <row r="164" spans="1:1" x14ac:dyDescent="0.15">
      <c r="A164" t="s">
        <v>3917</v>
      </c>
    </row>
    <row r="165" spans="1:1" x14ac:dyDescent="0.15">
      <c r="A165" t="s">
        <v>3918</v>
      </c>
    </row>
    <row r="166" spans="1:1" x14ac:dyDescent="0.15">
      <c r="A166" t="s">
        <v>3919</v>
      </c>
    </row>
    <row r="167" spans="1:1" x14ac:dyDescent="0.15">
      <c r="A167" t="s">
        <v>3920</v>
      </c>
    </row>
    <row r="168" spans="1:1" x14ac:dyDescent="0.15">
      <c r="A168" t="s">
        <v>3921</v>
      </c>
    </row>
    <row r="169" spans="1:1" x14ac:dyDescent="0.15">
      <c r="A169" t="s">
        <v>3922</v>
      </c>
    </row>
    <row r="170" spans="1:1" x14ac:dyDescent="0.15">
      <c r="A170" t="s">
        <v>3923</v>
      </c>
    </row>
    <row r="171" spans="1:1" x14ac:dyDescent="0.15">
      <c r="A171" t="s">
        <v>3924</v>
      </c>
    </row>
    <row r="172" spans="1:1" x14ac:dyDescent="0.15">
      <c r="A172" t="s">
        <v>3925</v>
      </c>
    </row>
    <row r="173" spans="1:1" x14ac:dyDescent="0.15">
      <c r="A173" t="s">
        <v>3926</v>
      </c>
    </row>
    <row r="174" spans="1:1" x14ac:dyDescent="0.15">
      <c r="A174" t="s">
        <v>3927</v>
      </c>
    </row>
    <row r="175" spans="1:1" x14ac:dyDescent="0.15">
      <c r="A175" t="s">
        <v>3928</v>
      </c>
    </row>
    <row r="176" spans="1:1" x14ac:dyDescent="0.15">
      <c r="A176" t="s">
        <v>3929</v>
      </c>
    </row>
    <row r="177" spans="1:1" x14ac:dyDescent="0.15">
      <c r="A177" t="s">
        <v>3930</v>
      </c>
    </row>
    <row r="178" spans="1:1" x14ac:dyDescent="0.15">
      <c r="A178" t="s">
        <v>3931</v>
      </c>
    </row>
    <row r="179" spans="1:1" x14ac:dyDescent="0.15">
      <c r="A179" t="s">
        <v>3932</v>
      </c>
    </row>
    <row r="180" spans="1:1" x14ac:dyDescent="0.15">
      <c r="A180" t="s">
        <v>3933</v>
      </c>
    </row>
    <row r="181" spans="1:1" x14ac:dyDescent="0.15">
      <c r="A181" t="s">
        <v>3934</v>
      </c>
    </row>
    <row r="182" spans="1:1" x14ac:dyDescent="0.15">
      <c r="A182" t="s">
        <v>3935</v>
      </c>
    </row>
    <row r="183" spans="1:1" x14ac:dyDescent="0.15">
      <c r="A183" t="s">
        <v>3936</v>
      </c>
    </row>
    <row r="184" spans="1:1" x14ac:dyDescent="0.15">
      <c r="A184" t="s">
        <v>3937</v>
      </c>
    </row>
    <row r="185" spans="1:1" x14ac:dyDescent="0.15">
      <c r="A185" t="s">
        <v>3938</v>
      </c>
    </row>
    <row r="186" spans="1:1" x14ac:dyDescent="0.15">
      <c r="A186" t="s">
        <v>3939</v>
      </c>
    </row>
    <row r="187" spans="1:1" x14ac:dyDescent="0.15">
      <c r="A187" t="s">
        <v>3940</v>
      </c>
    </row>
    <row r="188" spans="1:1" x14ac:dyDescent="0.15">
      <c r="A188" t="s">
        <v>3941</v>
      </c>
    </row>
    <row r="189" spans="1:1" x14ac:dyDescent="0.15">
      <c r="A189" t="s">
        <v>3942</v>
      </c>
    </row>
    <row r="190" spans="1:1" x14ac:dyDescent="0.15">
      <c r="A190" t="s">
        <v>3943</v>
      </c>
    </row>
    <row r="191" spans="1:1" x14ac:dyDescent="0.15">
      <c r="A191" t="s">
        <v>3944</v>
      </c>
    </row>
    <row r="192" spans="1:1" x14ac:dyDescent="0.15">
      <c r="A192" t="s">
        <v>3945</v>
      </c>
    </row>
    <row r="193" spans="1:1" x14ac:dyDescent="0.15">
      <c r="A193" t="s">
        <v>3946</v>
      </c>
    </row>
    <row r="194" spans="1:1" x14ac:dyDescent="0.15">
      <c r="A194" t="s">
        <v>3947</v>
      </c>
    </row>
    <row r="195" spans="1:1" x14ac:dyDescent="0.15">
      <c r="A195" t="s">
        <v>3948</v>
      </c>
    </row>
    <row r="196" spans="1:1" x14ac:dyDescent="0.15">
      <c r="A196" t="s">
        <v>3949</v>
      </c>
    </row>
    <row r="197" spans="1:1" x14ac:dyDescent="0.15">
      <c r="A197" t="s">
        <v>3950</v>
      </c>
    </row>
    <row r="198" spans="1:1" x14ac:dyDescent="0.15">
      <c r="A198" t="s">
        <v>3951</v>
      </c>
    </row>
    <row r="199" spans="1:1" x14ac:dyDescent="0.15">
      <c r="A199" t="s">
        <v>3952</v>
      </c>
    </row>
    <row r="200" spans="1:1" x14ac:dyDescent="0.15">
      <c r="A200" t="s">
        <v>3953</v>
      </c>
    </row>
    <row r="201" spans="1:1" x14ac:dyDescent="0.15">
      <c r="A201" t="s">
        <v>3954</v>
      </c>
    </row>
    <row r="202" spans="1:1" x14ac:dyDescent="0.15">
      <c r="A202" t="s">
        <v>3955</v>
      </c>
    </row>
    <row r="203" spans="1:1" x14ac:dyDescent="0.15">
      <c r="A203" t="s">
        <v>3956</v>
      </c>
    </row>
    <row r="204" spans="1:1" x14ac:dyDescent="0.15">
      <c r="A204" t="s">
        <v>3957</v>
      </c>
    </row>
    <row r="205" spans="1:1" x14ac:dyDescent="0.15">
      <c r="A205" t="s">
        <v>3958</v>
      </c>
    </row>
    <row r="206" spans="1:1" x14ac:dyDescent="0.15">
      <c r="A206" t="s">
        <v>3959</v>
      </c>
    </row>
    <row r="207" spans="1:1" x14ac:dyDescent="0.15">
      <c r="A207" t="s">
        <v>3960</v>
      </c>
    </row>
    <row r="208" spans="1:1" x14ac:dyDescent="0.15">
      <c r="A208" t="s">
        <v>3961</v>
      </c>
    </row>
    <row r="209" spans="1:1" x14ac:dyDescent="0.15">
      <c r="A209" t="s">
        <v>3962</v>
      </c>
    </row>
    <row r="210" spans="1:1" x14ac:dyDescent="0.15">
      <c r="A210" t="s">
        <v>3963</v>
      </c>
    </row>
    <row r="211" spans="1:1" x14ac:dyDescent="0.15">
      <c r="A211" t="s">
        <v>3964</v>
      </c>
    </row>
    <row r="212" spans="1:1" x14ac:dyDescent="0.15">
      <c r="A212" t="s">
        <v>3965</v>
      </c>
    </row>
    <row r="213" spans="1:1" x14ac:dyDescent="0.15">
      <c r="A213" t="s">
        <v>3966</v>
      </c>
    </row>
    <row r="214" spans="1:1" x14ac:dyDescent="0.15">
      <c r="A214" t="s">
        <v>3967</v>
      </c>
    </row>
    <row r="215" spans="1:1" x14ac:dyDescent="0.15">
      <c r="A215" t="s">
        <v>3968</v>
      </c>
    </row>
    <row r="216" spans="1:1" x14ac:dyDescent="0.15">
      <c r="A216" t="s">
        <v>3969</v>
      </c>
    </row>
    <row r="217" spans="1:1" x14ac:dyDescent="0.15">
      <c r="A217" t="s">
        <v>3970</v>
      </c>
    </row>
    <row r="218" spans="1:1" x14ac:dyDescent="0.15">
      <c r="A218" t="s">
        <v>3971</v>
      </c>
    </row>
    <row r="219" spans="1:1" x14ac:dyDescent="0.15">
      <c r="A219" t="s">
        <v>3972</v>
      </c>
    </row>
    <row r="220" spans="1:1" x14ac:dyDescent="0.15">
      <c r="A220" t="s">
        <v>3973</v>
      </c>
    </row>
    <row r="221" spans="1:1" x14ac:dyDescent="0.15">
      <c r="A221" t="s">
        <v>3974</v>
      </c>
    </row>
    <row r="222" spans="1:1" x14ac:dyDescent="0.15">
      <c r="A222" t="s">
        <v>3975</v>
      </c>
    </row>
    <row r="223" spans="1:1" x14ac:dyDescent="0.15">
      <c r="A223" t="s">
        <v>3976</v>
      </c>
    </row>
    <row r="224" spans="1:1" x14ac:dyDescent="0.15">
      <c r="A224" t="s">
        <v>3977</v>
      </c>
    </row>
    <row r="225" spans="1:1" x14ac:dyDescent="0.15">
      <c r="A225" t="s">
        <v>3978</v>
      </c>
    </row>
    <row r="226" spans="1:1" x14ac:dyDescent="0.15">
      <c r="A226" t="s">
        <v>3979</v>
      </c>
    </row>
    <row r="227" spans="1:1" x14ac:dyDescent="0.15">
      <c r="A227" t="s">
        <v>3980</v>
      </c>
    </row>
    <row r="228" spans="1:1" x14ac:dyDescent="0.15">
      <c r="A228" t="s">
        <v>3981</v>
      </c>
    </row>
    <row r="229" spans="1:1" x14ac:dyDescent="0.15">
      <c r="A229" t="s">
        <v>3982</v>
      </c>
    </row>
    <row r="230" spans="1:1" x14ac:dyDescent="0.15">
      <c r="A230" t="s">
        <v>3983</v>
      </c>
    </row>
    <row r="231" spans="1:1" x14ac:dyDescent="0.15">
      <c r="A231" t="s">
        <v>3984</v>
      </c>
    </row>
    <row r="232" spans="1:1" x14ac:dyDescent="0.15">
      <c r="A232" t="s">
        <v>3985</v>
      </c>
    </row>
    <row r="233" spans="1:1" x14ac:dyDescent="0.15">
      <c r="A233" t="s">
        <v>3986</v>
      </c>
    </row>
    <row r="234" spans="1:1" x14ac:dyDescent="0.15">
      <c r="A234" t="s">
        <v>3987</v>
      </c>
    </row>
    <row r="235" spans="1:1" x14ac:dyDescent="0.15">
      <c r="A235" t="s">
        <v>3988</v>
      </c>
    </row>
    <row r="236" spans="1:1" x14ac:dyDescent="0.15">
      <c r="A236" t="s">
        <v>3989</v>
      </c>
    </row>
    <row r="237" spans="1:1" x14ac:dyDescent="0.15">
      <c r="A237" t="s">
        <v>3990</v>
      </c>
    </row>
    <row r="238" spans="1:1" x14ac:dyDescent="0.15">
      <c r="A238" t="s">
        <v>3991</v>
      </c>
    </row>
    <row r="239" spans="1:1" x14ac:dyDescent="0.15">
      <c r="A239" t="s">
        <v>3992</v>
      </c>
    </row>
    <row r="240" spans="1:1" x14ac:dyDescent="0.15">
      <c r="A240" t="s">
        <v>3993</v>
      </c>
    </row>
    <row r="241" spans="1:1" x14ac:dyDescent="0.15">
      <c r="A241" t="s">
        <v>3994</v>
      </c>
    </row>
    <row r="242" spans="1:1" x14ac:dyDescent="0.15">
      <c r="A242" t="s">
        <v>3995</v>
      </c>
    </row>
    <row r="243" spans="1:1" x14ac:dyDescent="0.15">
      <c r="A243" t="s">
        <v>3996</v>
      </c>
    </row>
    <row r="244" spans="1:1" x14ac:dyDescent="0.15">
      <c r="A244" t="s">
        <v>3997</v>
      </c>
    </row>
    <row r="245" spans="1:1" x14ac:dyDescent="0.15">
      <c r="A245" t="s">
        <v>3998</v>
      </c>
    </row>
    <row r="246" spans="1:1" x14ac:dyDescent="0.15">
      <c r="A246" t="s">
        <v>3999</v>
      </c>
    </row>
    <row r="247" spans="1:1" x14ac:dyDescent="0.15">
      <c r="A247" t="s">
        <v>4000</v>
      </c>
    </row>
    <row r="248" spans="1:1" x14ac:dyDescent="0.15">
      <c r="A248" t="s">
        <v>4001</v>
      </c>
    </row>
    <row r="249" spans="1:1" x14ac:dyDescent="0.15">
      <c r="A249" t="s">
        <v>4002</v>
      </c>
    </row>
    <row r="250" spans="1:1" x14ac:dyDescent="0.15">
      <c r="A250" t="s">
        <v>4003</v>
      </c>
    </row>
    <row r="251" spans="1:1" x14ac:dyDescent="0.15">
      <c r="A251" t="s">
        <v>4004</v>
      </c>
    </row>
    <row r="252" spans="1:1" x14ac:dyDescent="0.15">
      <c r="A252" t="s">
        <v>4005</v>
      </c>
    </row>
    <row r="253" spans="1:1" x14ac:dyDescent="0.15">
      <c r="A253" t="s">
        <v>4006</v>
      </c>
    </row>
    <row r="254" spans="1:1" x14ac:dyDescent="0.15">
      <c r="A254" t="s">
        <v>4007</v>
      </c>
    </row>
    <row r="255" spans="1:1" x14ac:dyDescent="0.15">
      <c r="A255" t="s">
        <v>4008</v>
      </c>
    </row>
    <row r="256" spans="1:1" x14ac:dyDescent="0.15">
      <c r="A256" t="s">
        <v>4009</v>
      </c>
    </row>
    <row r="257" spans="1:1" x14ac:dyDescent="0.15">
      <c r="A257" t="s">
        <v>4010</v>
      </c>
    </row>
    <row r="258" spans="1:1" x14ac:dyDescent="0.15">
      <c r="A258" t="s">
        <v>4011</v>
      </c>
    </row>
    <row r="259" spans="1:1" x14ac:dyDescent="0.15">
      <c r="A259" t="s">
        <v>4012</v>
      </c>
    </row>
    <row r="260" spans="1:1" x14ac:dyDescent="0.15">
      <c r="A260" t="s">
        <v>4013</v>
      </c>
    </row>
    <row r="261" spans="1:1" x14ac:dyDescent="0.15">
      <c r="A261" t="s">
        <v>4014</v>
      </c>
    </row>
    <row r="262" spans="1:1" x14ac:dyDescent="0.15">
      <c r="A262" t="s">
        <v>4015</v>
      </c>
    </row>
    <row r="263" spans="1:1" x14ac:dyDescent="0.15">
      <c r="A263" t="s">
        <v>4016</v>
      </c>
    </row>
    <row r="264" spans="1:1" x14ac:dyDescent="0.15">
      <c r="A264" t="s">
        <v>4017</v>
      </c>
    </row>
    <row r="265" spans="1:1" x14ac:dyDescent="0.15">
      <c r="A265" t="s">
        <v>4018</v>
      </c>
    </row>
    <row r="266" spans="1:1" x14ac:dyDescent="0.15">
      <c r="A266" t="s">
        <v>4019</v>
      </c>
    </row>
    <row r="267" spans="1:1" x14ac:dyDescent="0.15">
      <c r="A267" t="s">
        <v>4020</v>
      </c>
    </row>
    <row r="268" spans="1:1" x14ac:dyDescent="0.15">
      <c r="A268" t="s">
        <v>4021</v>
      </c>
    </row>
    <row r="269" spans="1:1" x14ac:dyDescent="0.15">
      <c r="A269" t="s">
        <v>4022</v>
      </c>
    </row>
    <row r="270" spans="1:1" x14ac:dyDescent="0.15">
      <c r="A270" t="s">
        <v>4023</v>
      </c>
    </row>
    <row r="271" spans="1:1" x14ac:dyDescent="0.15">
      <c r="A271" t="s">
        <v>4024</v>
      </c>
    </row>
    <row r="272" spans="1:1" x14ac:dyDescent="0.15">
      <c r="A272" t="s">
        <v>4025</v>
      </c>
    </row>
    <row r="273" spans="1:1" x14ac:dyDescent="0.15">
      <c r="A273" t="s">
        <v>4026</v>
      </c>
    </row>
    <row r="274" spans="1:1" x14ac:dyDescent="0.15">
      <c r="A274" t="s">
        <v>4027</v>
      </c>
    </row>
    <row r="275" spans="1:1" x14ac:dyDescent="0.15">
      <c r="A275" t="s">
        <v>4028</v>
      </c>
    </row>
    <row r="276" spans="1:1" x14ac:dyDescent="0.15">
      <c r="A276" t="s">
        <v>4029</v>
      </c>
    </row>
    <row r="277" spans="1:1" x14ac:dyDescent="0.15">
      <c r="A277" t="s">
        <v>4030</v>
      </c>
    </row>
    <row r="278" spans="1:1" x14ac:dyDescent="0.15">
      <c r="A278" t="s">
        <v>4031</v>
      </c>
    </row>
    <row r="279" spans="1:1" x14ac:dyDescent="0.15">
      <c r="A279" t="s">
        <v>4032</v>
      </c>
    </row>
    <row r="280" spans="1:1" x14ac:dyDescent="0.15">
      <c r="A280" t="s">
        <v>4033</v>
      </c>
    </row>
    <row r="281" spans="1:1" x14ac:dyDescent="0.15">
      <c r="A281" t="s">
        <v>4034</v>
      </c>
    </row>
    <row r="282" spans="1:1" x14ac:dyDescent="0.15">
      <c r="A282" t="s">
        <v>4035</v>
      </c>
    </row>
    <row r="283" spans="1:1" x14ac:dyDescent="0.15">
      <c r="A283" t="s">
        <v>4036</v>
      </c>
    </row>
    <row r="284" spans="1:1" x14ac:dyDescent="0.15">
      <c r="A284" t="s">
        <v>4037</v>
      </c>
    </row>
    <row r="285" spans="1:1" x14ac:dyDescent="0.15">
      <c r="A285" t="s">
        <v>4038</v>
      </c>
    </row>
    <row r="286" spans="1:1" x14ac:dyDescent="0.15">
      <c r="A286" t="s">
        <v>4039</v>
      </c>
    </row>
    <row r="287" spans="1:1" x14ac:dyDescent="0.15">
      <c r="A287" t="s">
        <v>4040</v>
      </c>
    </row>
    <row r="288" spans="1:1" x14ac:dyDescent="0.15">
      <c r="A288" t="s">
        <v>4041</v>
      </c>
    </row>
    <row r="289" spans="1:1" x14ac:dyDescent="0.15">
      <c r="A289" t="s">
        <v>4042</v>
      </c>
    </row>
    <row r="290" spans="1:1" x14ac:dyDescent="0.15">
      <c r="A290" t="s">
        <v>4043</v>
      </c>
    </row>
    <row r="291" spans="1:1" x14ac:dyDescent="0.15">
      <c r="A291" t="s">
        <v>4044</v>
      </c>
    </row>
    <row r="292" spans="1:1" x14ac:dyDescent="0.15">
      <c r="A292" t="s">
        <v>4045</v>
      </c>
    </row>
    <row r="293" spans="1:1" x14ac:dyDescent="0.15">
      <c r="A293" t="s">
        <v>4046</v>
      </c>
    </row>
    <row r="294" spans="1:1" x14ac:dyDescent="0.15">
      <c r="A294" t="s">
        <v>4047</v>
      </c>
    </row>
    <row r="295" spans="1:1" x14ac:dyDescent="0.15">
      <c r="A295" t="s">
        <v>4048</v>
      </c>
    </row>
    <row r="296" spans="1:1" x14ac:dyDescent="0.15">
      <c r="A296" t="s">
        <v>4049</v>
      </c>
    </row>
    <row r="297" spans="1:1" x14ac:dyDescent="0.15">
      <c r="A297" t="s">
        <v>4050</v>
      </c>
    </row>
    <row r="298" spans="1:1" x14ac:dyDescent="0.15">
      <c r="A298" t="s">
        <v>4051</v>
      </c>
    </row>
    <row r="299" spans="1:1" x14ac:dyDescent="0.15">
      <c r="A299" t="s">
        <v>4052</v>
      </c>
    </row>
    <row r="300" spans="1:1" x14ac:dyDescent="0.15">
      <c r="A300" t="s">
        <v>4053</v>
      </c>
    </row>
    <row r="301" spans="1:1" x14ac:dyDescent="0.15">
      <c r="A301" t="s">
        <v>4054</v>
      </c>
    </row>
    <row r="302" spans="1:1" x14ac:dyDescent="0.15">
      <c r="A302" t="s">
        <v>4055</v>
      </c>
    </row>
    <row r="303" spans="1:1" x14ac:dyDescent="0.15">
      <c r="A303" t="s">
        <v>4056</v>
      </c>
    </row>
    <row r="304" spans="1:1" x14ac:dyDescent="0.15">
      <c r="A304" t="s">
        <v>4057</v>
      </c>
    </row>
    <row r="305" spans="1:1" x14ac:dyDescent="0.15">
      <c r="A305" t="s">
        <v>4058</v>
      </c>
    </row>
    <row r="306" spans="1:1" x14ac:dyDescent="0.15">
      <c r="A306" t="s">
        <v>4059</v>
      </c>
    </row>
    <row r="307" spans="1:1" x14ac:dyDescent="0.15">
      <c r="A307" t="s">
        <v>4060</v>
      </c>
    </row>
    <row r="308" spans="1:1" x14ac:dyDescent="0.15">
      <c r="A308" t="s">
        <v>4061</v>
      </c>
    </row>
    <row r="309" spans="1:1" x14ac:dyDescent="0.15">
      <c r="A309" t="s">
        <v>4062</v>
      </c>
    </row>
    <row r="310" spans="1:1" x14ac:dyDescent="0.15">
      <c r="A310" t="s">
        <v>4063</v>
      </c>
    </row>
    <row r="311" spans="1:1" x14ac:dyDescent="0.15">
      <c r="A311" t="s">
        <v>4064</v>
      </c>
    </row>
    <row r="312" spans="1:1" x14ac:dyDescent="0.15">
      <c r="A312" t="s">
        <v>4065</v>
      </c>
    </row>
    <row r="313" spans="1:1" x14ac:dyDescent="0.15">
      <c r="A313" t="s">
        <v>4066</v>
      </c>
    </row>
    <row r="314" spans="1:1" x14ac:dyDescent="0.15">
      <c r="A314" t="s">
        <v>4067</v>
      </c>
    </row>
    <row r="315" spans="1:1" x14ac:dyDescent="0.15">
      <c r="A315" t="s">
        <v>4068</v>
      </c>
    </row>
    <row r="316" spans="1:1" x14ac:dyDescent="0.15">
      <c r="A316" t="s">
        <v>4069</v>
      </c>
    </row>
    <row r="317" spans="1:1" x14ac:dyDescent="0.15">
      <c r="A317" t="s">
        <v>4070</v>
      </c>
    </row>
    <row r="318" spans="1:1" x14ac:dyDescent="0.15">
      <c r="A318" t="s">
        <v>4071</v>
      </c>
    </row>
    <row r="319" spans="1:1" x14ac:dyDescent="0.15">
      <c r="A319" t="s">
        <v>4072</v>
      </c>
    </row>
    <row r="320" spans="1:1" x14ac:dyDescent="0.15">
      <c r="A320" t="s">
        <v>4073</v>
      </c>
    </row>
    <row r="321" spans="1:1" x14ac:dyDescent="0.15">
      <c r="A321" t="s">
        <v>4074</v>
      </c>
    </row>
    <row r="322" spans="1:1" x14ac:dyDescent="0.15">
      <c r="A322" t="s">
        <v>4075</v>
      </c>
    </row>
    <row r="323" spans="1:1" x14ac:dyDescent="0.15">
      <c r="A323" t="s">
        <v>4076</v>
      </c>
    </row>
    <row r="324" spans="1:1" x14ac:dyDescent="0.15">
      <c r="A324" t="s">
        <v>4077</v>
      </c>
    </row>
    <row r="325" spans="1:1" x14ac:dyDescent="0.15">
      <c r="A325" t="s">
        <v>4078</v>
      </c>
    </row>
    <row r="326" spans="1:1" x14ac:dyDescent="0.15">
      <c r="A326" t="s">
        <v>4079</v>
      </c>
    </row>
    <row r="327" spans="1:1" x14ac:dyDescent="0.15">
      <c r="A327" t="s">
        <v>4080</v>
      </c>
    </row>
    <row r="328" spans="1:1" x14ac:dyDescent="0.15">
      <c r="A328" t="s">
        <v>4081</v>
      </c>
    </row>
    <row r="329" spans="1:1" x14ac:dyDescent="0.15">
      <c r="A329" t="s">
        <v>4082</v>
      </c>
    </row>
    <row r="330" spans="1:1" x14ac:dyDescent="0.15">
      <c r="A330" t="s">
        <v>4083</v>
      </c>
    </row>
    <row r="331" spans="1:1" x14ac:dyDescent="0.15">
      <c r="A331" t="s">
        <v>4084</v>
      </c>
    </row>
    <row r="332" spans="1:1" x14ac:dyDescent="0.15">
      <c r="A332" t="s">
        <v>4085</v>
      </c>
    </row>
    <row r="333" spans="1:1" x14ac:dyDescent="0.15">
      <c r="A333" t="s">
        <v>4086</v>
      </c>
    </row>
    <row r="334" spans="1:1" x14ac:dyDescent="0.15">
      <c r="A334" t="s">
        <v>4087</v>
      </c>
    </row>
    <row r="335" spans="1:1" x14ac:dyDescent="0.15">
      <c r="A335" t="s">
        <v>4088</v>
      </c>
    </row>
    <row r="336" spans="1:1" x14ac:dyDescent="0.15">
      <c r="A336" t="s">
        <v>4089</v>
      </c>
    </row>
    <row r="337" spans="1:1" x14ac:dyDescent="0.15">
      <c r="A337" t="s">
        <v>4090</v>
      </c>
    </row>
    <row r="338" spans="1:1" x14ac:dyDescent="0.15">
      <c r="A338" t="s">
        <v>4091</v>
      </c>
    </row>
    <row r="339" spans="1:1" x14ac:dyDescent="0.15">
      <c r="A339" t="s">
        <v>4092</v>
      </c>
    </row>
    <row r="340" spans="1:1" x14ac:dyDescent="0.15">
      <c r="A340" t="s">
        <v>4093</v>
      </c>
    </row>
    <row r="341" spans="1:1" x14ac:dyDescent="0.15">
      <c r="A341" t="s">
        <v>4094</v>
      </c>
    </row>
    <row r="342" spans="1:1" x14ac:dyDescent="0.15">
      <c r="A342" t="s">
        <v>4095</v>
      </c>
    </row>
    <row r="343" spans="1:1" x14ac:dyDescent="0.15">
      <c r="A343" t="s">
        <v>4096</v>
      </c>
    </row>
    <row r="344" spans="1:1" x14ac:dyDescent="0.15">
      <c r="A344" t="s">
        <v>4097</v>
      </c>
    </row>
    <row r="345" spans="1:1" x14ac:dyDescent="0.15">
      <c r="A345" t="s">
        <v>4098</v>
      </c>
    </row>
    <row r="346" spans="1:1" x14ac:dyDescent="0.15">
      <c r="A346" t="s">
        <v>4099</v>
      </c>
    </row>
    <row r="347" spans="1:1" x14ac:dyDescent="0.15">
      <c r="A347" t="s">
        <v>4100</v>
      </c>
    </row>
    <row r="348" spans="1:1" x14ac:dyDescent="0.15">
      <c r="A348" t="s">
        <v>4101</v>
      </c>
    </row>
    <row r="349" spans="1:1" x14ac:dyDescent="0.15">
      <c r="A349" t="s">
        <v>4102</v>
      </c>
    </row>
    <row r="350" spans="1:1" x14ac:dyDescent="0.15">
      <c r="A350" t="s">
        <v>4103</v>
      </c>
    </row>
    <row r="351" spans="1:1" x14ac:dyDescent="0.15">
      <c r="A351" t="s">
        <v>4104</v>
      </c>
    </row>
    <row r="352" spans="1:1" x14ac:dyDescent="0.15">
      <c r="A352" t="s">
        <v>4105</v>
      </c>
    </row>
    <row r="353" spans="1:1" x14ac:dyDescent="0.15">
      <c r="A353" t="s">
        <v>4106</v>
      </c>
    </row>
    <row r="354" spans="1:1" x14ac:dyDescent="0.15">
      <c r="A354" t="s">
        <v>4107</v>
      </c>
    </row>
    <row r="355" spans="1:1" x14ac:dyDescent="0.15">
      <c r="A355" t="s">
        <v>4108</v>
      </c>
    </row>
    <row r="356" spans="1:1" x14ac:dyDescent="0.15">
      <c r="A356" t="s">
        <v>4109</v>
      </c>
    </row>
    <row r="357" spans="1:1" x14ac:dyDescent="0.15">
      <c r="A357" t="s">
        <v>4110</v>
      </c>
    </row>
    <row r="358" spans="1:1" x14ac:dyDescent="0.15">
      <c r="A358" t="s">
        <v>4111</v>
      </c>
    </row>
    <row r="359" spans="1:1" x14ac:dyDescent="0.15">
      <c r="A359" t="s">
        <v>4112</v>
      </c>
    </row>
    <row r="360" spans="1:1" x14ac:dyDescent="0.15">
      <c r="A360" t="s">
        <v>4113</v>
      </c>
    </row>
    <row r="361" spans="1:1" x14ac:dyDescent="0.15">
      <c r="A361" t="s">
        <v>4114</v>
      </c>
    </row>
    <row r="362" spans="1:1" x14ac:dyDescent="0.15">
      <c r="A362" t="s">
        <v>4115</v>
      </c>
    </row>
    <row r="363" spans="1:1" x14ac:dyDescent="0.15">
      <c r="A363" t="s">
        <v>4116</v>
      </c>
    </row>
    <row r="364" spans="1:1" x14ac:dyDescent="0.15">
      <c r="A364" t="s">
        <v>4117</v>
      </c>
    </row>
    <row r="365" spans="1:1" x14ac:dyDescent="0.15">
      <c r="A365" t="s">
        <v>4118</v>
      </c>
    </row>
    <row r="366" spans="1:1" x14ac:dyDescent="0.15">
      <c r="A366" t="s">
        <v>4119</v>
      </c>
    </row>
    <row r="367" spans="1:1" x14ac:dyDescent="0.15">
      <c r="A367" t="s">
        <v>4120</v>
      </c>
    </row>
    <row r="368" spans="1:1" x14ac:dyDescent="0.15">
      <c r="A368" t="s">
        <v>4121</v>
      </c>
    </row>
    <row r="369" spans="1:1" x14ac:dyDescent="0.15">
      <c r="A369" t="s">
        <v>4122</v>
      </c>
    </row>
    <row r="370" spans="1:1" x14ac:dyDescent="0.15">
      <c r="A370" t="s">
        <v>4123</v>
      </c>
    </row>
    <row r="371" spans="1:1" x14ac:dyDescent="0.15">
      <c r="A371" t="s">
        <v>4124</v>
      </c>
    </row>
    <row r="372" spans="1:1" x14ac:dyDescent="0.15">
      <c r="A372" t="s">
        <v>4125</v>
      </c>
    </row>
    <row r="373" spans="1:1" x14ac:dyDescent="0.15">
      <c r="A373" t="s">
        <v>4126</v>
      </c>
    </row>
    <row r="374" spans="1:1" x14ac:dyDescent="0.15">
      <c r="A374" t="s">
        <v>4127</v>
      </c>
    </row>
    <row r="375" spans="1:1" x14ac:dyDescent="0.15">
      <c r="A375" t="s">
        <v>4128</v>
      </c>
    </row>
    <row r="376" spans="1:1" x14ac:dyDescent="0.15">
      <c r="A376" t="s">
        <v>4129</v>
      </c>
    </row>
    <row r="377" spans="1:1" x14ac:dyDescent="0.15">
      <c r="A377" t="s">
        <v>4130</v>
      </c>
    </row>
    <row r="378" spans="1:1" x14ac:dyDescent="0.15">
      <c r="A378" t="s">
        <v>4131</v>
      </c>
    </row>
    <row r="379" spans="1:1" x14ac:dyDescent="0.15">
      <c r="A379" t="s">
        <v>4132</v>
      </c>
    </row>
    <row r="380" spans="1:1" x14ac:dyDescent="0.15">
      <c r="A380" t="s">
        <v>4133</v>
      </c>
    </row>
    <row r="381" spans="1:1" x14ac:dyDescent="0.15">
      <c r="A381" t="s">
        <v>4134</v>
      </c>
    </row>
    <row r="382" spans="1:1" x14ac:dyDescent="0.15">
      <c r="A382" t="s">
        <v>4135</v>
      </c>
    </row>
    <row r="383" spans="1:1" x14ac:dyDescent="0.15">
      <c r="A383" t="s">
        <v>4136</v>
      </c>
    </row>
    <row r="384" spans="1:1" x14ac:dyDescent="0.15">
      <c r="A384" t="s">
        <v>4137</v>
      </c>
    </row>
    <row r="385" spans="1:1" x14ac:dyDescent="0.15">
      <c r="A385" t="s">
        <v>4138</v>
      </c>
    </row>
    <row r="386" spans="1:1" x14ac:dyDescent="0.15">
      <c r="A386" t="s">
        <v>4139</v>
      </c>
    </row>
    <row r="387" spans="1:1" x14ac:dyDescent="0.15">
      <c r="A387" t="s">
        <v>4140</v>
      </c>
    </row>
    <row r="388" spans="1:1" x14ac:dyDescent="0.15">
      <c r="A388" t="s">
        <v>4141</v>
      </c>
    </row>
    <row r="389" spans="1:1" x14ac:dyDescent="0.15">
      <c r="A389" t="s">
        <v>4142</v>
      </c>
    </row>
    <row r="390" spans="1:1" x14ac:dyDescent="0.15">
      <c r="A390" t="s">
        <v>4143</v>
      </c>
    </row>
    <row r="391" spans="1:1" x14ac:dyDescent="0.15">
      <c r="A391" t="s">
        <v>4144</v>
      </c>
    </row>
    <row r="392" spans="1:1" x14ac:dyDescent="0.15">
      <c r="A392" t="s">
        <v>4145</v>
      </c>
    </row>
    <row r="393" spans="1:1" x14ac:dyDescent="0.15">
      <c r="A393" t="s">
        <v>4146</v>
      </c>
    </row>
    <row r="394" spans="1:1" x14ac:dyDescent="0.15">
      <c r="A394" t="s">
        <v>4147</v>
      </c>
    </row>
    <row r="395" spans="1:1" x14ac:dyDescent="0.15">
      <c r="A395" t="s">
        <v>4148</v>
      </c>
    </row>
    <row r="396" spans="1:1" x14ac:dyDescent="0.15">
      <c r="A396" t="s">
        <v>4149</v>
      </c>
    </row>
    <row r="397" spans="1:1" x14ac:dyDescent="0.15">
      <c r="A397" t="s">
        <v>4150</v>
      </c>
    </row>
    <row r="398" spans="1:1" x14ac:dyDescent="0.15">
      <c r="A398" t="s">
        <v>4151</v>
      </c>
    </row>
    <row r="399" spans="1:1" x14ac:dyDescent="0.15">
      <c r="A399" t="s">
        <v>4152</v>
      </c>
    </row>
    <row r="400" spans="1:1" x14ac:dyDescent="0.15">
      <c r="A400" t="s">
        <v>4153</v>
      </c>
    </row>
    <row r="401" spans="1:1" x14ac:dyDescent="0.15">
      <c r="A401" t="s">
        <v>4154</v>
      </c>
    </row>
    <row r="402" spans="1:1" x14ac:dyDescent="0.15">
      <c r="A402" t="s">
        <v>4155</v>
      </c>
    </row>
    <row r="403" spans="1:1" x14ac:dyDescent="0.15">
      <c r="A403" t="s">
        <v>4156</v>
      </c>
    </row>
    <row r="404" spans="1:1" x14ac:dyDescent="0.15">
      <c r="A404" t="s">
        <v>4157</v>
      </c>
    </row>
    <row r="405" spans="1:1" x14ac:dyDescent="0.15">
      <c r="A405" t="s">
        <v>4158</v>
      </c>
    </row>
    <row r="406" spans="1:1" x14ac:dyDescent="0.15">
      <c r="A406" t="s">
        <v>4159</v>
      </c>
    </row>
    <row r="407" spans="1:1" x14ac:dyDescent="0.15">
      <c r="A407" t="s">
        <v>4160</v>
      </c>
    </row>
    <row r="408" spans="1:1" x14ac:dyDescent="0.15">
      <c r="A408" t="s">
        <v>4161</v>
      </c>
    </row>
    <row r="409" spans="1:1" x14ac:dyDescent="0.15">
      <c r="A409" t="s">
        <v>4162</v>
      </c>
    </row>
    <row r="410" spans="1:1" x14ac:dyDescent="0.15">
      <c r="A410" t="s">
        <v>4163</v>
      </c>
    </row>
    <row r="411" spans="1:1" x14ac:dyDescent="0.15">
      <c r="A411" t="s">
        <v>4164</v>
      </c>
    </row>
    <row r="412" spans="1:1" x14ac:dyDescent="0.15">
      <c r="A412" t="s">
        <v>4165</v>
      </c>
    </row>
    <row r="413" spans="1:1" x14ac:dyDescent="0.15">
      <c r="A413" t="s">
        <v>4166</v>
      </c>
    </row>
    <row r="414" spans="1:1" x14ac:dyDescent="0.15">
      <c r="A414" t="s">
        <v>4167</v>
      </c>
    </row>
    <row r="415" spans="1:1" x14ac:dyDescent="0.15">
      <c r="A415" t="s">
        <v>4168</v>
      </c>
    </row>
    <row r="416" spans="1:1" x14ac:dyDescent="0.15">
      <c r="A416" t="s">
        <v>4169</v>
      </c>
    </row>
    <row r="417" spans="1:1" x14ac:dyDescent="0.15">
      <c r="A417" t="s">
        <v>4170</v>
      </c>
    </row>
    <row r="418" spans="1:1" x14ac:dyDescent="0.15">
      <c r="A418" t="s">
        <v>4171</v>
      </c>
    </row>
    <row r="419" spans="1:1" x14ac:dyDescent="0.15">
      <c r="A419" t="s">
        <v>4172</v>
      </c>
    </row>
    <row r="420" spans="1:1" x14ac:dyDescent="0.15">
      <c r="A420" t="s">
        <v>4173</v>
      </c>
    </row>
    <row r="421" spans="1:1" x14ac:dyDescent="0.15">
      <c r="A421" t="s">
        <v>4174</v>
      </c>
    </row>
    <row r="422" spans="1:1" x14ac:dyDescent="0.15">
      <c r="A422" t="s">
        <v>4175</v>
      </c>
    </row>
    <row r="423" spans="1:1" x14ac:dyDescent="0.15">
      <c r="A423" t="s">
        <v>4176</v>
      </c>
    </row>
    <row r="424" spans="1:1" x14ac:dyDescent="0.15">
      <c r="A424" t="s">
        <v>4177</v>
      </c>
    </row>
    <row r="425" spans="1:1" x14ac:dyDescent="0.15">
      <c r="A425" t="s">
        <v>4178</v>
      </c>
    </row>
    <row r="426" spans="1:1" x14ac:dyDescent="0.15">
      <c r="A426" t="s">
        <v>4179</v>
      </c>
    </row>
    <row r="427" spans="1:1" x14ac:dyDescent="0.15">
      <c r="A427" t="s">
        <v>4180</v>
      </c>
    </row>
    <row r="428" spans="1:1" x14ac:dyDescent="0.15">
      <c r="A428" t="s">
        <v>4181</v>
      </c>
    </row>
    <row r="429" spans="1:1" x14ac:dyDescent="0.15">
      <c r="A429" t="s">
        <v>4182</v>
      </c>
    </row>
    <row r="430" spans="1:1" x14ac:dyDescent="0.15">
      <c r="A430" t="s">
        <v>4183</v>
      </c>
    </row>
    <row r="431" spans="1:1" x14ac:dyDescent="0.15">
      <c r="A431" t="s">
        <v>4184</v>
      </c>
    </row>
    <row r="432" spans="1:1" x14ac:dyDescent="0.15">
      <c r="A432" t="s">
        <v>4185</v>
      </c>
    </row>
    <row r="433" spans="1:1" x14ac:dyDescent="0.15">
      <c r="A433" t="s">
        <v>4186</v>
      </c>
    </row>
    <row r="434" spans="1:1" x14ac:dyDescent="0.15">
      <c r="A434" t="s">
        <v>4187</v>
      </c>
    </row>
    <row r="435" spans="1:1" x14ac:dyDescent="0.15">
      <c r="A435" t="s">
        <v>4188</v>
      </c>
    </row>
    <row r="436" spans="1:1" x14ac:dyDescent="0.15">
      <c r="A436" t="s">
        <v>4189</v>
      </c>
    </row>
    <row r="437" spans="1:1" x14ac:dyDescent="0.15">
      <c r="A437" t="s">
        <v>4190</v>
      </c>
    </row>
    <row r="438" spans="1:1" x14ac:dyDescent="0.15">
      <c r="A438" t="s">
        <v>4191</v>
      </c>
    </row>
    <row r="439" spans="1:1" x14ac:dyDescent="0.15">
      <c r="A439" t="s">
        <v>4192</v>
      </c>
    </row>
    <row r="440" spans="1:1" x14ac:dyDescent="0.15">
      <c r="A440" t="s">
        <v>4193</v>
      </c>
    </row>
    <row r="441" spans="1:1" x14ac:dyDescent="0.15">
      <c r="A441" t="s">
        <v>4194</v>
      </c>
    </row>
    <row r="442" spans="1:1" x14ac:dyDescent="0.15">
      <c r="A442" t="s">
        <v>4195</v>
      </c>
    </row>
    <row r="443" spans="1:1" x14ac:dyDescent="0.15">
      <c r="A443" t="s">
        <v>4196</v>
      </c>
    </row>
    <row r="444" spans="1:1" x14ac:dyDescent="0.15">
      <c r="A444" t="s">
        <v>4197</v>
      </c>
    </row>
    <row r="445" spans="1:1" x14ac:dyDescent="0.15">
      <c r="A445" t="s">
        <v>4198</v>
      </c>
    </row>
    <row r="446" spans="1:1" x14ac:dyDescent="0.15">
      <c r="A446" t="s">
        <v>4199</v>
      </c>
    </row>
    <row r="447" spans="1:1" x14ac:dyDescent="0.15">
      <c r="A447" t="s">
        <v>4200</v>
      </c>
    </row>
    <row r="448" spans="1:1" x14ac:dyDescent="0.15">
      <c r="A448" t="s">
        <v>4201</v>
      </c>
    </row>
    <row r="449" spans="1:1" x14ac:dyDescent="0.15">
      <c r="A449" t="s">
        <v>4202</v>
      </c>
    </row>
    <row r="450" spans="1:1" x14ac:dyDescent="0.15">
      <c r="A450" t="s">
        <v>4203</v>
      </c>
    </row>
    <row r="451" spans="1:1" x14ac:dyDescent="0.15">
      <c r="A451" t="s">
        <v>4204</v>
      </c>
    </row>
    <row r="452" spans="1:1" x14ac:dyDescent="0.15">
      <c r="A452" t="s">
        <v>4205</v>
      </c>
    </row>
    <row r="453" spans="1:1" x14ac:dyDescent="0.15">
      <c r="A453" t="s">
        <v>4206</v>
      </c>
    </row>
    <row r="454" spans="1:1" x14ac:dyDescent="0.15">
      <c r="A454" t="s">
        <v>4207</v>
      </c>
    </row>
    <row r="455" spans="1:1" x14ac:dyDescent="0.15">
      <c r="A455" t="s">
        <v>4208</v>
      </c>
    </row>
    <row r="456" spans="1:1" x14ac:dyDescent="0.15">
      <c r="A456" t="s">
        <v>4209</v>
      </c>
    </row>
    <row r="457" spans="1:1" x14ac:dyDescent="0.15">
      <c r="A457" t="s">
        <v>4210</v>
      </c>
    </row>
    <row r="458" spans="1:1" x14ac:dyDescent="0.15">
      <c r="A458" t="s">
        <v>4211</v>
      </c>
    </row>
    <row r="459" spans="1:1" x14ac:dyDescent="0.15">
      <c r="A459" t="s">
        <v>4212</v>
      </c>
    </row>
    <row r="460" spans="1:1" x14ac:dyDescent="0.15">
      <c r="A460" t="s">
        <v>4213</v>
      </c>
    </row>
    <row r="461" spans="1:1" x14ac:dyDescent="0.15">
      <c r="A461" t="s">
        <v>4214</v>
      </c>
    </row>
    <row r="462" spans="1:1" x14ac:dyDescent="0.15">
      <c r="A462" t="s">
        <v>4215</v>
      </c>
    </row>
    <row r="463" spans="1:1" x14ac:dyDescent="0.15">
      <c r="A463" t="s">
        <v>4216</v>
      </c>
    </row>
    <row r="464" spans="1:1" x14ac:dyDescent="0.15">
      <c r="A464" t="s">
        <v>4217</v>
      </c>
    </row>
    <row r="465" spans="1:1" x14ac:dyDescent="0.15">
      <c r="A465" t="s">
        <v>4218</v>
      </c>
    </row>
    <row r="466" spans="1:1" x14ac:dyDescent="0.15">
      <c r="A466" t="s">
        <v>4219</v>
      </c>
    </row>
    <row r="467" spans="1:1" x14ac:dyDescent="0.15">
      <c r="A467" t="s">
        <v>4220</v>
      </c>
    </row>
    <row r="468" spans="1:1" x14ac:dyDescent="0.15">
      <c r="A468" t="s">
        <v>4221</v>
      </c>
    </row>
    <row r="469" spans="1:1" x14ac:dyDescent="0.15">
      <c r="A469" t="s">
        <v>4222</v>
      </c>
    </row>
    <row r="470" spans="1:1" x14ac:dyDescent="0.15">
      <c r="A470" t="s">
        <v>4223</v>
      </c>
    </row>
    <row r="471" spans="1:1" x14ac:dyDescent="0.15">
      <c r="A471" t="s">
        <v>4224</v>
      </c>
    </row>
    <row r="472" spans="1:1" x14ac:dyDescent="0.15">
      <c r="A472" t="s">
        <v>4225</v>
      </c>
    </row>
    <row r="473" spans="1:1" x14ac:dyDescent="0.15">
      <c r="A473" t="s">
        <v>4226</v>
      </c>
    </row>
    <row r="474" spans="1:1" x14ac:dyDescent="0.15">
      <c r="A474" t="s">
        <v>4227</v>
      </c>
    </row>
    <row r="475" spans="1:1" x14ac:dyDescent="0.15">
      <c r="A475" t="s">
        <v>4228</v>
      </c>
    </row>
    <row r="476" spans="1:1" x14ac:dyDescent="0.15">
      <c r="A476" t="s">
        <v>4229</v>
      </c>
    </row>
    <row r="477" spans="1:1" x14ac:dyDescent="0.15">
      <c r="A477" t="s">
        <v>4230</v>
      </c>
    </row>
    <row r="478" spans="1:1" x14ac:dyDescent="0.15">
      <c r="A478" t="s">
        <v>4231</v>
      </c>
    </row>
    <row r="479" spans="1:1" x14ac:dyDescent="0.15">
      <c r="A479" t="s">
        <v>4232</v>
      </c>
    </row>
    <row r="480" spans="1:1" x14ac:dyDescent="0.15">
      <c r="A480" t="s">
        <v>4233</v>
      </c>
    </row>
    <row r="481" spans="1:1" x14ac:dyDescent="0.15">
      <c r="A481" t="s">
        <v>4234</v>
      </c>
    </row>
    <row r="482" spans="1:1" x14ac:dyDescent="0.15">
      <c r="A482" t="s">
        <v>4235</v>
      </c>
    </row>
    <row r="483" spans="1:1" x14ac:dyDescent="0.15">
      <c r="A483" t="s">
        <v>4236</v>
      </c>
    </row>
    <row r="484" spans="1:1" x14ac:dyDescent="0.15">
      <c r="A484" t="s">
        <v>4237</v>
      </c>
    </row>
    <row r="485" spans="1:1" x14ac:dyDescent="0.15">
      <c r="A485" t="s">
        <v>4238</v>
      </c>
    </row>
    <row r="486" spans="1:1" x14ac:dyDescent="0.15">
      <c r="A486" t="s">
        <v>4239</v>
      </c>
    </row>
    <row r="487" spans="1:1" x14ac:dyDescent="0.15">
      <c r="A487" t="s">
        <v>4240</v>
      </c>
    </row>
    <row r="488" spans="1:1" x14ac:dyDescent="0.15">
      <c r="A488" t="s">
        <v>4241</v>
      </c>
    </row>
    <row r="489" spans="1:1" x14ac:dyDescent="0.15">
      <c r="A489" t="s">
        <v>4242</v>
      </c>
    </row>
    <row r="490" spans="1:1" x14ac:dyDescent="0.15">
      <c r="A490" t="s">
        <v>4243</v>
      </c>
    </row>
    <row r="491" spans="1:1" x14ac:dyDescent="0.15">
      <c r="A491" t="s">
        <v>4244</v>
      </c>
    </row>
    <row r="492" spans="1:1" x14ac:dyDescent="0.15">
      <c r="A492" t="s">
        <v>4245</v>
      </c>
    </row>
    <row r="493" spans="1:1" x14ac:dyDescent="0.15">
      <c r="A493" t="s">
        <v>4246</v>
      </c>
    </row>
    <row r="494" spans="1:1" x14ac:dyDescent="0.15">
      <c r="A494" t="s">
        <v>4247</v>
      </c>
    </row>
    <row r="495" spans="1:1" x14ac:dyDescent="0.15">
      <c r="A495" t="s">
        <v>4248</v>
      </c>
    </row>
    <row r="496" spans="1:1" x14ac:dyDescent="0.15">
      <c r="A496" t="s">
        <v>4249</v>
      </c>
    </row>
    <row r="497" spans="1:1" x14ac:dyDescent="0.15">
      <c r="A497" t="s">
        <v>4250</v>
      </c>
    </row>
    <row r="498" spans="1:1" x14ac:dyDescent="0.15">
      <c r="A498" t="s">
        <v>4251</v>
      </c>
    </row>
    <row r="499" spans="1:1" x14ac:dyDescent="0.15">
      <c r="A499" t="s">
        <v>4252</v>
      </c>
    </row>
    <row r="500" spans="1:1" x14ac:dyDescent="0.15">
      <c r="A500" t="s">
        <v>4253</v>
      </c>
    </row>
    <row r="501" spans="1:1" x14ac:dyDescent="0.15">
      <c r="A501" t="s">
        <v>4254</v>
      </c>
    </row>
    <row r="502" spans="1:1" x14ac:dyDescent="0.15">
      <c r="A502" t="s">
        <v>4255</v>
      </c>
    </row>
    <row r="503" spans="1:1" x14ac:dyDescent="0.15">
      <c r="A503" t="s">
        <v>4256</v>
      </c>
    </row>
    <row r="504" spans="1:1" x14ac:dyDescent="0.15">
      <c r="A504" t="s">
        <v>4257</v>
      </c>
    </row>
    <row r="505" spans="1:1" x14ac:dyDescent="0.15">
      <c r="A505" t="s">
        <v>4258</v>
      </c>
    </row>
    <row r="506" spans="1:1" x14ac:dyDescent="0.15">
      <c r="A506" t="s">
        <v>4259</v>
      </c>
    </row>
    <row r="507" spans="1:1" x14ac:dyDescent="0.15">
      <c r="A507" t="s">
        <v>4260</v>
      </c>
    </row>
    <row r="508" spans="1:1" x14ac:dyDescent="0.15">
      <c r="A508" t="s">
        <v>4261</v>
      </c>
    </row>
    <row r="509" spans="1:1" x14ac:dyDescent="0.15">
      <c r="A509" t="s">
        <v>4262</v>
      </c>
    </row>
    <row r="510" spans="1:1" x14ac:dyDescent="0.15">
      <c r="A510" t="s">
        <v>4263</v>
      </c>
    </row>
    <row r="511" spans="1:1" x14ac:dyDescent="0.15">
      <c r="A511" t="s">
        <v>4264</v>
      </c>
    </row>
    <row r="512" spans="1:1" x14ac:dyDescent="0.15">
      <c r="A512" t="s">
        <v>4265</v>
      </c>
    </row>
    <row r="513" spans="1:1" x14ac:dyDescent="0.15">
      <c r="A513" t="s">
        <v>4266</v>
      </c>
    </row>
    <row r="514" spans="1:1" x14ac:dyDescent="0.15">
      <c r="A514" t="s">
        <v>4267</v>
      </c>
    </row>
    <row r="515" spans="1:1" x14ac:dyDescent="0.15">
      <c r="A515" t="s">
        <v>4268</v>
      </c>
    </row>
    <row r="516" spans="1:1" x14ac:dyDescent="0.15">
      <c r="A516" t="s">
        <v>4269</v>
      </c>
    </row>
    <row r="517" spans="1:1" x14ac:dyDescent="0.15">
      <c r="A517" t="s">
        <v>4270</v>
      </c>
    </row>
    <row r="518" spans="1:1" x14ac:dyDescent="0.15">
      <c r="A518" t="s">
        <v>4271</v>
      </c>
    </row>
    <row r="519" spans="1:1" x14ac:dyDescent="0.15">
      <c r="A519" t="s">
        <v>4272</v>
      </c>
    </row>
    <row r="520" spans="1:1" x14ac:dyDescent="0.15">
      <c r="A520" t="s">
        <v>4273</v>
      </c>
    </row>
    <row r="521" spans="1:1" x14ac:dyDescent="0.15">
      <c r="A521" t="s">
        <v>4274</v>
      </c>
    </row>
    <row r="522" spans="1:1" x14ac:dyDescent="0.15">
      <c r="A522" t="s">
        <v>4275</v>
      </c>
    </row>
    <row r="523" spans="1:1" x14ac:dyDescent="0.15">
      <c r="A523" t="s">
        <v>4276</v>
      </c>
    </row>
    <row r="524" spans="1:1" x14ac:dyDescent="0.15">
      <c r="A524" t="s">
        <v>4277</v>
      </c>
    </row>
    <row r="525" spans="1:1" x14ac:dyDescent="0.15">
      <c r="A525" t="s">
        <v>4278</v>
      </c>
    </row>
    <row r="526" spans="1:1" x14ac:dyDescent="0.15">
      <c r="A526" t="s">
        <v>4279</v>
      </c>
    </row>
    <row r="527" spans="1:1" x14ac:dyDescent="0.15">
      <c r="A527" t="s">
        <v>4280</v>
      </c>
    </row>
    <row r="528" spans="1:1" x14ac:dyDescent="0.15">
      <c r="A528" t="s">
        <v>4281</v>
      </c>
    </row>
    <row r="529" spans="1:1" x14ac:dyDescent="0.15">
      <c r="A529" t="s">
        <v>4282</v>
      </c>
    </row>
    <row r="530" spans="1:1" x14ac:dyDescent="0.15">
      <c r="A530" t="s">
        <v>4283</v>
      </c>
    </row>
    <row r="531" spans="1:1" x14ac:dyDescent="0.15">
      <c r="A531" t="s">
        <v>4284</v>
      </c>
    </row>
    <row r="532" spans="1:1" x14ac:dyDescent="0.15">
      <c r="A532" t="s">
        <v>4285</v>
      </c>
    </row>
    <row r="533" spans="1:1" x14ac:dyDescent="0.15">
      <c r="A533" t="s">
        <v>4286</v>
      </c>
    </row>
    <row r="534" spans="1:1" x14ac:dyDescent="0.15">
      <c r="A534" t="s">
        <v>4287</v>
      </c>
    </row>
    <row r="535" spans="1:1" x14ac:dyDescent="0.15">
      <c r="A535" t="s">
        <v>4288</v>
      </c>
    </row>
    <row r="536" spans="1:1" x14ac:dyDescent="0.15">
      <c r="A536" t="s">
        <v>4289</v>
      </c>
    </row>
    <row r="537" spans="1:1" x14ac:dyDescent="0.15">
      <c r="A537" t="s">
        <v>4290</v>
      </c>
    </row>
    <row r="538" spans="1:1" x14ac:dyDescent="0.15">
      <c r="A538" t="s">
        <v>4291</v>
      </c>
    </row>
    <row r="539" spans="1:1" x14ac:dyDescent="0.15">
      <c r="A539" t="s">
        <v>4292</v>
      </c>
    </row>
    <row r="540" spans="1:1" x14ac:dyDescent="0.15">
      <c r="A540" t="s">
        <v>4293</v>
      </c>
    </row>
    <row r="541" spans="1:1" x14ac:dyDescent="0.15">
      <c r="A541" t="s">
        <v>4294</v>
      </c>
    </row>
    <row r="542" spans="1:1" x14ac:dyDescent="0.15">
      <c r="A542" t="s">
        <v>4295</v>
      </c>
    </row>
    <row r="543" spans="1:1" x14ac:dyDescent="0.15">
      <c r="A543" t="s">
        <v>4296</v>
      </c>
    </row>
    <row r="544" spans="1:1" x14ac:dyDescent="0.15">
      <c r="A544" t="s">
        <v>4297</v>
      </c>
    </row>
    <row r="545" spans="1:1" x14ac:dyDescent="0.15">
      <c r="A545" t="s">
        <v>4298</v>
      </c>
    </row>
    <row r="546" spans="1:1" x14ac:dyDescent="0.15">
      <c r="A546" t="s">
        <v>4299</v>
      </c>
    </row>
    <row r="547" spans="1:1" x14ac:dyDescent="0.15">
      <c r="A547" t="s">
        <v>4300</v>
      </c>
    </row>
    <row r="548" spans="1:1" x14ac:dyDescent="0.15">
      <c r="A548" t="s">
        <v>4301</v>
      </c>
    </row>
    <row r="549" spans="1:1" x14ac:dyDescent="0.15">
      <c r="A549" t="s">
        <v>4302</v>
      </c>
    </row>
    <row r="550" spans="1:1" x14ac:dyDescent="0.15">
      <c r="A550" t="s">
        <v>4303</v>
      </c>
    </row>
    <row r="551" spans="1:1" x14ac:dyDescent="0.15">
      <c r="A551" t="s">
        <v>4304</v>
      </c>
    </row>
    <row r="552" spans="1:1" x14ac:dyDescent="0.15">
      <c r="A552" t="s">
        <v>4305</v>
      </c>
    </row>
    <row r="553" spans="1:1" x14ac:dyDescent="0.15">
      <c r="A553" t="s">
        <v>4306</v>
      </c>
    </row>
    <row r="554" spans="1:1" x14ac:dyDescent="0.15">
      <c r="A554" t="s">
        <v>4307</v>
      </c>
    </row>
    <row r="555" spans="1:1" x14ac:dyDescent="0.15">
      <c r="A555" t="s">
        <v>4308</v>
      </c>
    </row>
    <row r="556" spans="1:1" x14ac:dyDescent="0.15">
      <c r="A556" t="s">
        <v>4309</v>
      </c>
    </row>
    <row r="557" spans="1:1" x14ac:dyDescent="0.15">
      <c r="A557" t="s">
        <v>4310</v>
      </c>
    </row>
    <row r="558" spans="1:1" x14ac:dyDescent="0.15">
      <c r="A558" t="s">
        <v>4311</v>
      </c>
    </row>
    <row r="559" spans="1:1" x14ac:dyDescent="0.15">
      <c r="A559" t="s">
        <v>4312</v>
      </c>
    </row>
    <row r="560" spans="1:1" x14ac:dyDescent="0.15">
      <c r="A560" t="s">
        <v>4313</v>
      </c>
    </row>
    <row r="561" spans="1:1" x14ac:dyDescent="0.15">
      <c r="A561" t="s">
        <v>4314</v>
      </c>
    </row>
    <row r="562" spans="1:1" x14ac:dyDescent="0.15">
      <c r="A562" t="s">
        <v>4315</v>
      </c>
    </row>
    <row r="563" spans="1:1" x14ac:dyDescent="0.15">
      <c r="A563" t="s">
        <v>4316</v>
      </c>
    </row>
    <row r="564" spans="1:1" x14ac:dyDescent="0.15">
      <c r="A564" t="s">
        <v>4317</v>
      </c>
    </row>
    <row r="565" spans="1:1" x14ac:dyDescent="0.15">
      <c r="A565" t="s">
        <v>4318</v>
      </c>
    </row>
    <row r="566" spans="1:1" x14ac:dyDescent="0.15">
      <c r="A566" t="s">
        <v>4319</v>
      </c>
    </row>
    <row r="567" spans="1:1" x14ac:dyDescent="0.15">
      <c r="A567" t="s">
        <v>4320</v>
      </c>
    </row>
    <row r="568" spans="1:1" x14ac:dyDescent="0.15">
      <c r="A568" t="s">
        <v>4321</v>
      </c>
    </row>
    <row r="569" spans="1:1" x14ac:dyDescent="0.15">
      <c r="A569" t="s">
        <v>4322</v>
      </c>
    </row>
    <row r="570" spans="1:1" x14ac:dyDescent="0.15">
      <c r="A570" t="s">
        <v>4323</v>
      </c>
    </row>
    <row r="571" spans="1:1" x14ac:dyDescent="0.15">
      <c r="A571" t="s">
        <v>4324</v>
      </c>
    </row>
    <row r="572" spans="1:1" x14ac:dyDescent="0.15">
      <c r="A572" t="s">
        <v>4325</v>
      </c>
    </row>
    <row r="573" spans="1:1" x14ac:dyDescent="0.15">
      <c r="A573" t="s">
        <v>4326</v>
      </c>
    </row>
    <row r="574" spans="1:1" x14ac:dyDescent="0.15">
      <c r="A574" t="s">
        <v>4327</v>
      </c>
    </row>
    <row r="575" spans="1:1" x14ac:dyDescent="0.15">
      <c r="A575" t="s">
        <v>4328</v>
      </c>
    </row>
    <row r="576" spans="1:1" x14ac:dyDescent="0.15">
      <c r="A576" t="s">
        <v>4329</v>
      </c>
    </row>
    <row r="577" spans="1:1" x14ac:dyDescent="0.15">
      <c r="A577" t="s">
        <v>4330</v>
      </c>
    </row>
    <row r="578" spans="1:1" x14ac:dyDescent="0.15">
      <c r="A578" t="s">
        <v>4331</v>
      </c>
    </row>
    <row r="579" spans="1:1" x14ac:dyDescent="0.15">
      <c r="A579" t="s">
        <v>4332</v>
      </c>
    </row>
    <row r="580" spans="1:1" x14ac:dyDescent="0.15">
      <c r="A580" t="s">
        <v>4333</v>
      </c>
    </row>
    <row r="581" spans="1:1" x14ac:dyDescent="0.15">
      <c r="A581" t="s">
        <v>4334</v>
      </c>
    </row>
    <row r="582" spans="1:1" x14ac:dyDescent="0.15">
      <c r="A582" t="s">
        <v>4335</v>
      </c>
    </row>
    <row r="583" spans="1:1" x14ac:dyDescent="0.15">
      <c r="A583" t="s">
        <v>4336</v>
      </c>
    </row>
    <row r="584" spans="1:1" x14ac:dyDescent="0.15">
      <c r="A584" t="s">
        <v>4337</v>
      </c>
    </row>
    <row r="585" spans="1:1" x14ac:dyDescent="0.15">
      <c r="A585" t="s">
        <v>4338</v>
      </c>
    </row>
    <row r="586" spans="1:1" x14ac:dyDescent="0.15">
      <c r="A586" t="s">
        <v>4339</v>
      </c>
    </row>
    <row r="587" spans="1:1" x14ac:dyDescent="0.15">
      <c r="A587" t="s">
        <v>4340</v>
      </c>
    </row>
    <row r="588" spans="1:1" x14ac:dyDescent="0.15">
      <c r="A588" t="s">
        <v>4341</v>
      </c>
    </row>
    <row r="589" spans="1:1" x14ac:dyDescent="0.15">
      <c r="A589" t="s">
        <v>4342</v>
      </c>
    </row>
    <row r="590" spans="1:1" x14ac:dyDescent="0.15">
      <c r="A590" t="s">
        <v>4343</v>
      </c>
    </row>
    <row r="591" spans="1:1" x14ac:dyDescent="0.15">
      <c r="A591" t="s">
        <v>4344</v>
      </c>
    </row>
    <row r="592" spans="1:1" x14ac:dyDescent="0.15">
      <c r="A592" t="s">
        <v>4345</v>
      </c>
    </row>
    <row r="593" spans="1:1" x14ac:dyDescent="0.15">
      <c r="A593" t="s">
        <v>4346</v>
      </c>
    </row>
    <row r="594" spans="1:1" x14ac:dyDescent="0.15">
      <c r="A594" t="s">
        <v>4347</v>
      </c>
    </row>
    <row r="595" spans="1:1" x14ac:dyDescent="0.15">
      <c r="A595" t="s">
        <v>4348</v>
      </c>
    </row>
    <row r="596" spans="1:1" x14ac:dyDescent="0.15">
      <c r="A596" t="s">
        <v>4349</v>
      </c>
    </row>
    <row r="597" spans="1:1" x14ac:dyDescent="0.15">
      <c r="A597" t="s">
        <v>4350</v>
      </c>
    </row>
    <row r="598" spans="1:1" x14ac:dyDescent="0.15">
      <c r="A598" t="s">
        <v>4351</v>
      </c>
    </row>
    <row r="599" spans="1:1" x14ac:dyDescent="0.15">
      <c r="A599" t="s">
        <v>4352</v>
      </c>
    </row>
    <row r="600" spans="1:1" x14ac:dyDescent="0.15">
      <c r="A600" t="s">
        <v>4353</v>
      </c>
    </row>
    <row r="601" spans="1:1" x14ac:dyDescent="0.15">
      <c r="A601" t="s">
        <v>4354</v>
      </c>
    </row>
    <row r="602" spans="1:1" x14ac:dyDescent="0.15">
      <c r="A602" t="s">
        <v>4355</v>
      </c>
    </row>
    <row r="603" spans="1:1" x14ac:dyDescent="0.15">
      <c r="A603" t="s">
        <v>4356</v>
      </c>
    </row>
    <row r="604" spans="1:1" x14ac:dyDescent="0.15">
      <c r="A604" t="s">
        <v>4357</v>
      </c>
    </row>
    <row r="605" spans="1:1" x14ac:dyDescent="0.15">
      <c r="A605" t="s">
        <v>4358</v>
      </c>
    </row>
    <row r="606" spans="1:1" x14ac:dyDescent="0.15">
      <c r="A606" t="s">
        <v>4359</v>
      </c>
    </row>
    <row r="607" spans="1:1" x14ac:dyDescent="0.15">
      <c r="A607" t="s">
        <v>4360</v>
      </c>
    </row>
    <row r="608" spans="1:1" x14ac:dyDescent="0.15">
      <c r="A608" t="s">
        <v>4361</v>
      </c>
    </row>
    <row r="609" spans="1:1" x14ac:dyDescent="0.15">
      <c r="A609" t="s">
        <v>4362</v>
      </c>
    </row>
    <row r="610" spans="1:1" x14ac:dyDescent="0.15">
      <c r="A610" t="s">
        <v>4363</v>
      </c>
    </row>
    <row r="611" spans="1:1" x14ac:dyDescent="0.15">
      <c r="A611" t="s">
        <v>4364</v>
      </c>
    </row>
    <row r="612" spans="1:1" x14ac:dyDescent="0.15">
      <c r="A612" t="s">
        <v>4365</v>
      </c>
    </row>
    <row r="613" spans="1:1" x14ac:dyDescent="0.15">
      <c r="A613" t="s">
        <v>4366</v>
      </c>
    </row>
    <row r="614" spans="1:1" x14ac:dyDescent="0.15">
      <c r="A614" t="s">
        <v>4367</v>
      </c>
    </row>
    <row r="615" spans="1:1" x14ac:dyDescent="0.15">
      <c r="A615" t="s">
        <v>4368</v>
      </c>
    </row>
    <row r="616" spans="1:1" x14ac:dyDescent="0.15">
      <c r="A616" t="s">
        <v>4369</v>
      </c>
    </row>
    <row r="617" spans="1:1" x14ac:dyDescent="0.15">
      <c r="A617" t="s">
        <v>4370</v>
      </c>
    </row>
    <row r="618" spans="1:1" x14ac:dyDescent="0.15">
      <c r="A618" t="s">
        <v>4371</v>
      </c>
    </row>
    <row r="619" spans="1:1" x14ac:dyDescent="0.15">
      <c r="A619" t="s">
        <v>4372</v>
      </c>
    </row>
    <row r="620" spans="1:1" x14ac:dyDescent="0.15">
      <c r="A620" t="s">
        <v>4373</v>
      </c>
    </row>
    <row r="621" spans="1:1" x14ac:dyDescent="0.15">
      <c r="A621" t="s">
        <v>4374</v>
      </c>
    </row>
    <row r="622" spans="1:1" x14ac:dyDescent="0.15">
      <c r="A622" t="s">
        <v>4375</v>
      </c>
    </row>
    <row r="623" spans="1:1" x14ac:dyDescent="0.15">
      <c r="A623" t="s">
        <v>4376</v>
      </c>
    </row>
    <row r="624" spans="1:1" x14ac:dyDescent="0.15">
      <c r="A624" t="s">
        <v>4377</v>
      </c>
    </row>
    <row r="625" spans="1:1" x14ac:dyDescent="0.15">
      <c r="A625" t="s">
        <v>4378</v>
      </c>
    </row>
    <row r="626" spans="1:1" x14ac:dyDescent="0.15">
      <c r="A626" t="s">
        <v>4379</v>
      </c>
    </row>
    <row r="627" spans="1:1" x14ac:dyDescent="0.15">
      <c r="A627" t="s">
        <v>4380</v>
      </c>
    </row>
    <row r="628" spans="1:1" x14ac:dyDescent="0.15">
      <c r="A628" t="s">
        <v>4381</v>
      </c>
    </row>
    <row r="629" spans="1:1" x14ac:dyDescent="0.15">
      <c r="A629" t="s">
        <v>4382</v>
      </c>
    </row>
    <row r="630" spans="1:1" x14ac:dyDescent="0.15">
      <c r="A630" t="s">
        <v>4383</v>
      </c>
    </row>
    <row r="631" spans="1:1" x14ac:dyDescent="0.15">
      <c r="A631" t="s">
        <v>4384</v>
      </c>
    </row>
    <row r="632" spans="1:1" x14ac:dyDescent="0.15">
      <c r="A632" t="s">
        <v>4385</v>
      </c>
    </row>
    <row r="633" spans="1:1" x14ac:dyDescent="0.15">
      <c r="A633" t="s">
        <v>4386</v>
      </c>
    </row>
    <row r="634" spans="1:1" x14ac:dyDescent="0.15">
      <c r="A634" t="s">
        <v>4387</v>
      </c>
    </row>
    <row r="635" spans="1:1" x14ac:dyDescent="0.15">
      <c r="A635" t="s">
        <v>4388</v>
      </c>
    </row>
    <row r="636" spans="1:1" x14ac:dyDescent="0.15">
      <c r="A636" t="s">
        <v>4389</v>
      </c>
    </row>
    <row r="637" spans="1:1" x14ac:dyDescent="0.15">
      <c r="A637" t="s">
        <v>4390</v>
      </c>
    </row>
    <row r="638" spans="1:1" x14ac:dyDescent="0.15">
      <c r="A638" t="s">
        <v>4391</v>
      </c>
    </row>
    <row r="639" spans="1:1" x14ac:dyDescent="0.15">
      <c r="A639" t="s">
        <v>4392</v>
      </c>
    </row>
    <row r="640" spans="1:1" x14ac:dyDescent="0.15">
      <c r="A640" t="s">
        <v>4393</v>
      </c>
    </row>
    <row r="641" spans="1:1" x14ac:dyDescent="0.15">
      <c r="A641" t="s">
        <v>4394</v>
      </c>
    </row>
    <row r="642" spans="1:1" x14ac:dyDescent="0.15">
      <c r="A642" t="s">
        <v>4395</v>
      </c>
    </row>
    <row r="643" spans="1:1" x14ac:dyDescent="0.15">
      <c r="A643" t="s">
        <v>4396</v>
      </c>
    </row>
    <row r="644" spans="1:1" x14ac:dyDescent="0.15">
      <c r="A644" t="s">
        <v>4397</v>
      </c>
    </row>
    <row r="645" spans="1:1" x14ac:dyDescent="0.15">
      <c r="A645" t="s">
        <v>4398</v>
      </c>
    </row>
    <row r="646" spans="1:1" x14ac:dyDescent="0.15">
      <c r="A646" t="s">
        <v>4399</v>
      </c>
    </row>
    <row r="647" spans="1:1" x14ac:dyDescent="0.15">
      <c r="A647" t="s">
        <v>4400</v>
      </c>
    </row>
    <row r="648" spans="1:1" x14ac:dyDescent="0.15">
      <c r="A648" t="s">
        <v>4401</v>
      </c>
    </row>
    <row r="649" spans="1:1" x14ac:dyDescent="0.15">
      <c r="A649" t="s">
        <v>4402</v>
      </c>
    </row>
    <row r="650" spans="1:1" x14ac:dyDescent="0.15">
      <c r="A650" t="s">
        <v>4403</v>
      </c>
    </row>
    <row r="651" spans="1:1" x14ac:dyDescent="0.15">
      <c r="A651" t="s">
        <v>4404</v>
      </c>
    </row>
    <row r="652" spans="1:1" x14ac:dyDescent="0.15">
      <c r="A652" t="s">
        <v>4405</v>
      </c>
    </row>
    <row r="653" spans="1:1" x14ac:dyDescent="0.15">
      <c r="A653" t="s">
        <v>4406</v>
      </c>
    </row>
    <row r="654" spans="1:1" x14ac:dyDescent="0.15">
      <c r="A654" t="s">
        <v>4407</v>
      </c>
    </row>
    <row r="655" spans="1:1" x14ac:dyDescent="0.15">
      <c r="A655" t="s">
        <v>4408</v>
      </c>
    </row>
    <row r="656" spans="1:1" x14ac:dyDescent="0.15">
      <c r="A656" t="s">
        <v>4409</v>
      </c>
    </row>
    <row r="657" spans="1:1" x14ac:dyDescent="0.15">
      <c r="A657" t="s">
        <v>4410</v>
      </c>
    </row>
    <row r="658" spans="1:1" x14ac:dyDescent="0.15">
      <c r="A658" t="s">
        <v>4411</v>
      </c>
    </row>
    <row r="659" spans="1:1" x14ac:dyDescent="0.15">
      <c r="A659" t="s">
        <v>4412</v>
      </c>
    </row>
    <row r="660" spans="1:1" x14ac:dyDescent="0.15">
      <c r="A660" t="s">
        <v>4413</v>
      </c>
    </row>
    <row r="661" spans="1:1" x14ac:dyDescent="0.15">
      <c r="A661" t="s">
        <v>4414</v>
      </c>
    </row>
    <row r="662" spans="1:1" x14ac:dyDescent="0.15">
      <c r="A662" t="s">
        <v>4415</v>
      </c>
    </row>
    <row r="663" spans="1:1" x14ac:dyDescent="0.15">
      <c r="A663" t="s">
        <v>4416</v>
      </c>
    </row>
    <row r="664" spans="1:1" x14ac:dyDescent="0.15">
      <c r="A664" t="s">
        <v>4417</v>
      </c>
    </row>
    <row r="665" spans="1:1" x14ac:dyDescent="0.15">
      <c r="A665" t="s">
        <v>4418</v>
      </c>
    </row>
    <row r="666" spans="1:1" x14ac:dyDescent="0.15">
      <c r="A666" t="s">
        <v>4419</v>
      </c>
    </row>
    <row r="667" spans="1:1" x14ac:dyDescent="0.15">
      <c r="A667" t="s">
        <v>4420</v>
      </c>
    </row>
    <row r="668" spans="1:1" x14ac:dyDescent="0.15">
      <c r="A668" t="s">
        <v>4421</v>
      </c>
    </row>
    <row r="669" spans="1:1" x14ac:dyDescent="0.15">
      <c r="A669" t="s">
        <v>4422</v>
      </c>
    </row>
    <row r="670" spans="1:1" x14ac:dyDescent="0.15">
      <c r="A670" t="s">
        <v>4423</v>
      </c>
    </row>
    <row r="671" spans="1:1" x14ac:dyDescent="0.15">
      <c r="A671" t="s">
        <v>4424</v>
      </c>
    </row>
    <row r="672" spans="1:1" x14ac:dyDescent="0.15">
      <c r="A672" t="s">
        <v>4425</v>
      </c>
    </row>
    <row r="673" spans="1:1" x14ac:dyDescent="0.15">
      <c r="A673" t="s">
        <v>4426</v>
      </c>
    </row>
    <row r="674" spans="1:1" x14ac:dyDescent="0.15">
      <c r="A674" t="s">
        <v>4427</v>
      </c>
    </row>
    <row r="675" spans="1:1" x14ac:dyDescent="0.15">
      <c r="A675" t="s">
        <v>4428</v>
      </c>
    </row>
    <row r="676" spans="1:1" x14ac:dyDescent="0.15">
      <c r="A676" t="s">
        <v>4429</v>
      </c>
    </row>
    <row r="677" spans="1:1" x14ac:dyDescent="0.15">
      <c r="A677" t="s">
        <v>4430</v>
      </c>
    </row>
    <row r="678" spans="1:1" x14ac:dyDescent="0.15">
      <c r="A678" t="s">
        <v>4431</v>
      </c>
    </row>
    <row r="679" spans="1:1" x14ac:dyDescent="0.15">
      <c r="A679" t="s">
        <v>4432</v>
      </c>
    </row>
    <row r="680" spans="1:1" x14ac:dyDescent="0.15">
      <c r="A680" t="s">
        <v>4433</v>
      </c>
    </row>
    <row r="681" spans="1:1" x14ac:dyDescent="0.15">
      <c r="A681" t="s">
        <v>4434</v>
      </c>
    </row>
    <row r="682" spans="1:1" x14ac:dyDescent="0.15">
      <c r="A682" t="s">
        <v>4435</v>
      </c>
    </row>
    <row r="683" spans="1:1" x14ac:dyDescent="0.15">
      <c r="A683" t="s">
        <v>4436</v>
      </c>
    </row>
    <row r="684" spans="1:1" x14ac:dyDescent="0.15">
      <c r="A684" t="s">
        <v>4437</v>
      </c>
    </row>
    <row r="685" spans="1:1" x14ac:dyDescent="0.15">
      <c r="A685" t="s">
        <v>4438</v>
      </c>
    </row>
    <row r="686" spans="1:1" x14ac:dyDescent="0.15">
      <c r="A686" t="s">
        <v>4439</v>
      </c>
    </row>
    <row r="687" spans="1:1" x14ac:dyDescent="0.15">
      <c r="A687" t="s">
        <v>4440</v>
      </c>
    </row>
    <row r="688" spans="1:1" x14ac:dyDescent="0.15">
      <c r="A688" t="s">
        <v>4441</v>
      </c>
    </row>
    <row r="689" spans="1:1" x14ac:dyDescent="0.15">
      <c r="A689" t="s">
        <v>4442</v>
      </c>
    </row>
    <row r="690" spans="1:1" x14ac:dyDescent="0.15">
      <c r="A690" t="s">
        <v>4443</v>
      </c>
    </row>
    <row r="691" spans="1:1" x14ac:dyDescent="0.15">
      <c r="A691" t="s">
        <v>4444</v>
      </c>
    </row>
    <row r="692" spans="1:1" x14ac:dyDescent="0.15">
      <c r="A692" t="s">
        <v>4445</v>
      </c>
    </row>
    <row r="693" spans="1:1" x14ac:dyDescent="0.15">
      <c r="A693" t="s">
        <v>4446</v>
      </c>
    </row>
    <row r="694" spans="1:1" x14ac:dyDescent="0.15">
      <c r="A694" t="s">
        <v>4447</v>
      </c>
    </row>
    <row r="695" spans="1:1" x14ac:dyDescent="0.15">
      <c r="A695" t="s">
        <v>4448</v>
      </c>
    </row>
    <row r="696" spans="1:1" x14ac:dyDescent="0.15">
      <c r="A696" t="s">
        <v>4449</v>
      </c>
    </row>
    <row r="697" spans="1:1" x14ac:dyDescent="0.15">
      <c r="A697" t="s">
        <v>4450</v>
      </c>
    </row>
    <row r="698" spans="1:1" x14ac:dyDescent="0.15">
      <c r="A698" t="s">
        <v>4451</v>
      </c>
    </row>
    <row r="699" spans="1:1" x14ac:dyDescent="0.15">
      <c r="A699" t="s">
        <v>4452</v>
      </c>
    </row>
    <row r="700" spans="1:1" x14ac:dyDescent="0.15">
      <c r="A700" t="s">
        <v>4453</v>
      </c>
    </row>
    <row r="701" spans="1:1" x14ac:dyDescent="0.15">
      <c r="A701" t="s">
        <v>4454</v>
      </c>
    </row>
    <row r="702" spans="1:1" x14ac:dyDescent="0.15">
      <c r="A702" t="s">
        <v>4455</v>
      </c>
    </row>
    <row r="703" spans="1:1" x14ac:dyDescent="0.15">
      <c r="A703" t="s">
        <v>4456</v>
      </c>
    </row>
    <row r="704" spans="1:1" x14ac:dyDescent="0.15">
      <c r="A704" t="s">
        <v>4457</v>
      </c>
    </row>
    <row r="705" spans="1:1" x14ac:dyDescent="0.15">
      <c r="A705" t="s">
        <v>4458</v>
      </c>
    </row>
    <row r="706" spans="1:1" x14ac:dyDescent="0.15">
      <c r="A706" t="s">
        <v>4459</v>
      </c>
    </row>
    <row r="707" spans="1:1" x14ac:dyDescent="0.15">
      <c r="A707" t="s">
        <v>4460</v>
      </c>
    </row>
    <row r="708" spans="1:1" x14ac:dyDescent="0.15">
      <c r="A708" t="s">
        <v>4461</v>
      </c>
    </row>
    <row r="709" spans="1:1" x14ac:dyDescent="0.15">
      <c r="A709" t="s">
        <v>4462</v>
      </c>
    </row>
    <row r="710" spans="1:1" x14ac:dyDescent="0.15">
      <c r="A710" t="s">
        <v>4463</v>
      </c>
    </row>
    <row r="711" spans="1:1" x14ac:dyDescent="0.15">
      <c r="A711" t="s">
        <v>4464</v>
      </c>
    </row>
    <row r="712" spans="1:1" x14ac:dyDescent="0.15">
      <c r="A712" t="s">
        <v>4465</v>
      </c>
    </row>
    <row r="713" spans="1:1" x14ac:dyDescent="0.15">
      <c r="A713" t="s">
        <v>4466</v>
      </c>
    </row>
    <row r="714" spans="1:1" x14ac:dyDescent="0.15">
      <c r="A714" t="s">
        <v>4467</v>
      </c>
    </row>
    <row r="715" spans="1:1" x14ac:dyDescent="0.15">
      <c r="A715" t="s">
        <v>4468</v>
      </c>
    </row>
    <row r="716" spans="1:1" x14ac:dyDescent="0.15">
      <c r="A716" t="s">
        <v>4469</v>
      </c>
    </row>
    <row r="717" spans="1:1" x14ac:dyDescent="0.15">
      <c r="A717" t="s">
        <v>4470</v>
      </c>
    </row>
    <row r="718" spans="1:1" x14ac:dyDescent="0.15">
      <c r="A718" t="s">
        <v>4471</v>
      </c>
    </row>
    <row r="719" spans="1:1" x14ac:dyDescent="0.15">
      <c r="A719" t="s">
        <v>4472</v>
      </c>
    </row>
    <row r="720" spans="1:1" x14ac:dyDescent="0.15">
      <c r="A720" t="s">
        <v>4473</v>
      </c>
    </row>
    <row r="721" spans="1:1" x14ac:dyDescent="0.15">
      <c r="A721" t="s">
        <v>4474</v>
      </c>
    </row>
    <row r="722" spans="1:1" x14ac:dyDescent="0.15">
      <c r="A722" t="s">
        <v>4475</v>
      </c>
    </row>
    <row r="723" spans="1:1" x14ac:dyDescent="0.15">
      <c r="A723" t="s">
        <v>4476</v>
      </c>
    </row>
    <row r="724" spans="1:1" x14ac:dyDescent="0.15">
      <c r="A724" t="s">
        <v>4477</v>
      </c>
    </row>
    <row r="725" spans="1:1" x14ac:dyDescent="0.15">
      <c r="A725" t="s">
        <v>4478</v>
      </c>
    </row>
    <row r="726" spans="1:1" x14ac:dyDescent="0.15">
      <c r="A726" t="s">
        <v>4479</v>
      </c>
    </row>
    <row r="727" spans="1:1" x14ac:dyDescent="0.15">
      <c r="A727" t="s">
        <v>4480</v>
      </c>
    </row>
    <row r="728" spans="1:1" x14ac:dyDescent="0.15">
      <c r="A728" t="s">
        <v>4481</v>
      </c>
    </row>
    <row r="729" spans="1:1" x14ac:dyDescent="0.15">
      <c r="A729" t="s">
        <v>4482</v>
      </c>
    </row>
    <row r="730" spans="1:1" x14ac:dyDescent="0.15">
      <c r="A730" t="s">
        <v>4483</v>
      </c>
    </row>
    <row r="731" spans="1:1" x14ac:dyDescent="0.15">
      <c r="A731" t="s">
        <v>4484</v>
      </c>
    </row>
    <row r="732" spans="1:1" x14ac:dyDescent="0.15">
      <c r="A732" t="s">
        <v>4485</v>
      </c>
    </row>
    <row r="733" spans="1:1" x14ac:dyDescent="0.15">
      <c r="A733" t="s">
        <v>4486</v>
      </c>
    </row>
    <row r="734" spans="1:1" x14ac:dyDescent="0.15">
      <c r="A734" t="s">
        <v>4487</v>
      </c>
    </row>
    <row r="735" spans="1:1" x14ac:dyDescent="0.15">
      <c r="A735" t="s">
        <v>4488</v>
      </c>
    </row>
    <row r="736" spans="1:1" x14ac:dyDescent="0.15">
      <c r="A736" t="s">
        <v>4489</v>
      </c>
    </row>
    <row r="737" spans="1:1" x14ac:dyDescent="0.15">
      <c r="A737" t="s">
        <v>4490</v>
      </c>
    </row>
    <row r="738" spans="1:1" x14ac:dyDescent="0.15">
      <c r="A738" t="s">
        <v>4491</v>
      </c>
    </row>
    <row r="739" spans="1:1" x14ac:dyDescent="0.15">
      <c r="A739" t="s">
        <v>4492</v>
      </c>
    </row>
    <row r="740" spans="1:1" x14ac:dyDescent="0.15">
      <c r="A740" t="s">
        <v>4494</v>
      </c>
    </row>
    <row r="741" spans="1:1" x14ac:dyDescent="0.15">
      <c r="A741" t="s">
        <v>4508</v>
      </c>
    </row>
    <row r="742" spans="1:1" x14ac:dyDescent="0.15">
      <c r="A742" t="s">
        <v>4518</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F5D4B275-024D-4C25-B7B5-4F5790EA4E6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E67D024-F570-413A-B1CE-97F2158D6DBF}">
  <ds:schemaRefs>
    <ds:schemaRef ds:uri="http://schemas.microsoft.com/sharepoint/v3/contenttype/forms"/>
  </ds:schemaRefs>
</ds:datastoreItem>
</file>

<file path=customXml/itemProps3.xml><?xml version="1.0" encoding="utf-8"?>
<ds:datastoreItem xmlns:ds="http://schemas.openxmlformats.org/officeDocument/2006/customXml" ds:itemID="{CB6E2665-079D-4F23-9A40-A93BF35932D1}">
  <ds:schemaRefs>
    <ds:schemaRef ds:uri="http://schemas.microsoft.com/office/2006/metadata/properties"/>
    <ds:schemaRef ds:uri="3bad6c6a-329d-45e9-b8b0-1ebecc8a8764"/>
    <ds:schemaRef ds:uri="http://purl.org/dc/dcmitype/"/>
    <ds:schemaRef ds:uri="http://schemas.openxmlformats.org/package/2006/metadata/core-properties"/>
    <ds:schemaRef ds:uri="http://purl.org/dc/elements/1.1/"/>
    <ds:schemaRef ds:uri="8e1efd23-f4ba-42d2-85fd-6a510437bae6"/>
    <ds:schemaRef ds:uri="http://schemas.microsoft.com/office/2006/documentManagement/types"/>
    <ds:schemaRef ds:uri="http://www.w3.org/XML/1998/namespace"/>
    <ds:schemaRef ds:uri="http://schemas.microsoft.com/office/infopath/2007/PartnerControl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Alexandra de Sousa</cp:lastModifiedBy>
  <cp:revision>0</cp:revision>
  <dcterms:created xsi:type="dcterms:W3CDTF">2026-08-21T05:50:13Z</dcterms:created>
  <dcterms:modified xsi:type="dcterms:W3CDTF">2026-10-30T22:22:57Z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