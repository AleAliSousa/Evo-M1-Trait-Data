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sharedStrings.xml" ContentType="application/vnd.openxmlformats-officedocument.spreadsheetml.sharedStrings+xml"/>
  <Override PartName="/xl/worksheets/sheet1.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600" firstSheet="0" activeTab="0"/>
  </bookViews>
  <sheets>
    <sheet name="Sheet1" sheetId="1" state="visible" r:id="rId3"/>
    <sheet name="FileList"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<sst xmlns="http://schemas.openxmlformats.org/spreadsheetml/2006/main" count="2695" uniqueCount="1038">
  <si>
    <t xml:space="preserve">Citation (APA 7th-Annotated)</t>
  </si>
  <si>
    <t xml:space="preserve">sequence</t>
  </si>
  <si>
    <t xml:space="preserve">xml:space="preserve"&gt;DOI if different from article or doi Alt </t>
  </si>
  <si>
    <t xml:space="preserve">Item number</t>
  </si>
  <si>
    <t xml:space="preserve">end</t>
  </si>
  <si>
    <t xml:space="preserve">Publication name</t>
  </si>
  <si>
    <t xml:space="preserve">1st Author</t>
  </si>
  <si>
    <t xml:space="preserve">other author(s)</t>
  </si>
  <si>
    <t xml:space="preserve">year</t>
  </si>
  <si>
    <t xml:space="preserve">DOI (or Alt)</t>
  </si>
  <si>
    <t xml:space="preserve">Item name</t>
  </si>
  <si>
    <t xml:space="preserve">Item encoded</t>
  </si>
  <si>
    <t xml:space="preserve">Item in directory FileList</t>
  </si>
  <si>
    <t xml:space="preserve">Item full original title</t>
  </si>
  <si>
    <t xml:space="preserve">Note about item</t>
  </si>
  <si>
    <t xml:space="preserve">Progress stage</t>
  </si>
  <si>
    <t xml:space="preserve">Online Database</t>
  </si>
  <si>
    <t xml:space="preserve">Snapshot</t>
  </si>
  <si>
    <t xml:space="preserve">Adjustment made</t>
  </si>
  <si>
    <t xml:space="preserve">Data readable file, can use this</t>
  </si>
  <si>
    <t xml:space="preserve">Source Type</t>
  </si>
  <si>
    <t xml:space="preserve">Source format</t>
  </si>
  <si>
    <t xml:space="preserve">Source URL direct access</t>
  </si>
  <si>
    <t xml:space="preserve">Source URL link</t>
  </si>
  <si>
    <t xml:space="preserve">Team</t>
  </si>
  <si>
    <t xml:space="preserve">Collection</t>
  </si>
  <si>
    <t xml:space="preserve">Possible Traits</t>
  </si>
  <si>
    <t xml:space="preserve">Note</t>
  </si>
  <si>
    <t xml:space="preserve">Flags pre-addressed</t>
  </si>
  <si>
    <t xml:space="preserve">Flags possible</t>
  </si>
  <si>
    <t xml:space="preserve">Flags active (skips)</t>
  </si>
  <si>
    <t xml:space="preserve">Sample type</t>
  </si>
  <si>
    <t xml:space="preserve">Method</t>
  </si>
  <si>
    <t xml:space="preserve">Subcategory</t>
  </si>
  <si>
    <t xml:space="preserve">Main Trait(s)</t>
  </si>
  <si>
    <t xml:space="preserve">Taxon group</t>
  </si>
  <si>
    <t xml:space="preserve">Source type</t>
  </si>
  <si>
    <t xml:space="preserve">Data role (primary/secondary/both)</t>
  </si>
  <si>
    <t xml:space="preserve">Measure type</t>
  </si>
  <si>
    <t xml:space="preserve">Andelin, A. K., Olavarria, J. F., Fine, I., Taber, E. N., Schwartz, D., Kroenke, C. D., &amp; Stevens, A. A. (2019). The Effect of Onset Age of Visual Deprivation on Visual Cortex Surface Area Across-Species. Cereb Cortex, 29(10), 4321-4333. https://doi.org/10.1093/cercor/bhy315</t>
  </si>
  <si>
    <t xml:space="preserve">Table 4</t>
  </si>
  <si>
    <t xml:space="preserve">FINISHED</t>
  </si>
  <si>
    <t xml:space="preserve">table</t>
  </si>
  <si>
    <t xml:space="preserve">review</t>
  </si>
  <si>
    <t xml:space="preserve">Ashwell, K. W. S. (2020). Quantitative analysis of cerebellar morphology in monotreme, metatherian and eutherian mammals. Zoology (Jena), 139, 125753. https://doi.org/10.1016/j.zool.2020.125753</t>
  </si>
  <si>
    <t xml:space="preserve">Supplementary Table</t>
  </si>
  <si>
    <t xml:space="preserve">Supplementary Table.  Cerebellar Morphology Data</t>
  </si>
  <si>
    <t xml:space="preserve">Ashwell</t>
  </si>
  <si>
    <t xml:space="preserve">Avelino-de-Souza, K., Patzke, N., Karlsson, K. A. E., Manger, P. R., &amp; Herculano-Houzel, S. (2025). Cellular Composition of the Brain of a Northern Minke Whale. J Comp Neurol, 533(9), e70089. https://doi.org/10.1002/cne.70089</t>
  </si>
  <si>
    <t xml:space="preserve">TABLE 1</t>
  </si>
  <si>
    <t xml:space="preserve">Table 1. Cellular composition of the brain of a Northern minke whale (Balaenoptera acutorostrata)</t>
  </si>
  <si>
    <t xml:space="preserve">added</t>
  </si>
  <si>
    <t xml:space="preserve">AvelinodeSouza_etal_2025_TABLE1_snapshot.csv</t>
  </si>
  <si>
    <t xml:space="preserve">Y</t>
  </si>
  <si>
    <t xml:space="preserve">AvelinodeSouza_etal_2025_TABLE1.csv</t>
  </si>
  <si>
    <t xml:space="preserve">pdf</t>
  </si>
  <si>
    <t xml:space="preserve">https://onlinelibrary.wiley.com/doi/10.1002/cne.70089</t>
  </si>
  <si>
    <t xml:space="preserve">https://doi.org/10.1002/cne.70089</t>
  </si>
  <si>
    <t xml:space="preserve">HH</t>
  </si>
  <si>
    <t xml:space="preserve">isotropic fractionator</t>
  </si>
  <si>
    <t xml:space="preserve">placental mammals</t>
  </si>
  <si>
    <t xml:space="preserve">neuron number</t>
  </si>
  <si>
    <t xml:space="preserve">Cetaceans &amp; other placental mammals</t>
  </si>
  <si>
    <t xml:space="preserve">primary</t>
  </si>
  <si>
    <t xml:space="preserve">cell count (isotropic fractionator)</t>
  </si>
  <si>
    <t xml:space="preserve">Baker, J., Barton, R. A., &amp; Venditti, C. (2025). Human dexterity and brains evolved hand in hand. Communications Biology, 8(1). https://doi.org/10.1038/s42003-025-08686-5</t>
  </si>
  <si>
    <t xml:space="preserve">Supplementary Data 1</t>
  </si>
  <si>
    <t xml:space="preserve">Balzeau, A., Holloway, R. L., &amp; Grimaud-Herve, D. (2012). Variations and asymmetries in regional brain surface in the genus Homo. J Hum Evol, 62(6), 696-706. https://doi.org/10.1016/j.jhevol.2012.03.007</t>
  </si>
  <si>
    <t xml:space="preserve">Table 3</t>
  </si>
  <si>
    <t xml:space="preserve">Table 3 Size-corrected dimensions for the surface of the frontal, parieto-temporal and occipital lobes in the different analysed samples.</t>
  </si>
  <si>
    <t xml:space="preserve">Table 5</t>
  </si>
  <si>
    <t xml:space="preserve">Table 5 Percentage contribution of frontal, parieto-temporal and occipital lobes to the hemispheres.</t>
  </si>
  <si>
    <t xml:space="preserve">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</si>
  <si>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 xml:space="preserve">cell density</t>
  </si>
  <si>
    <t xml:space="preserve">cell number</t>
  </si>
  <si>
    <t xml:space="preserve">volumes</t>
  </si>
  <si>
    <t xml:space="preserve">Barger, N., Hanson, K. L., Teffer, K., Schenker-Ahmed, N. M., &amp; Semendeferi, K. (2014). Evidence for evolutionary specialization in human limbic structures. Front Hum Neurosci, 8, 277. https://doi.org/10.3389/fnhum.2014.00277</t>
  </si>
  <si>
    <t xml:space="preserve">Table 1</t>
  </si>
  <si>
    <t xml:space="preserve">Table 1 | Volume of amygdala, hippocampus, and striatum in hominoid species collected with stereological methods.</t>
  </si>
  <si>
    <t xml:space="preserve">Zilles</t>
  </si>
  <si>
    <t xml:space="preserve">histological sections</t>
  </si>
  <si>
    <t xml:space="preserve">Barger, N., Stefanacci, L., &amp; Semendeferi, K. (2007). A comparative volumetric analysis of the amygdaloid complex and basolateral division in the human and ape brain. Am J Phys Anthropol, 134(3), 392-403. https://doi.org/10.1002/ajpa.20684</t>
  </si>
  <si>
    <t xml:space="preserve">TABLE 1. Volumetric estimates of the amygdaloid complex and the basolateral division</t>
  </si>
  <si>
    <t xml:space="preserve">xml:space="preserve"&gt; </t>
  </si>
  <si>
    <t xml:space="preserve">amygdala subdivision volumes</t>
  </si>
  <si>
    <t xml:space="preserve">Apes &amp; humans</t>
  </si>
  <si>
    <t xml:space="preserve">volume</t>
  </si>
  <si>
    <t xml:space="preserve">Barks, S. K., Calhoun, M. E., Hopkins, W. D., Cranfield, M. R., Mudakikwa, A., Stoinski, T. S., Patterson, F. G., Erwin, J. M., Hecht, E. E., Hof, P. R., &amp; Sherwood, C. C. (2014). Brain organization of gorillas reflects species differences in ecology. Am J Phys Anthropol. https://doi.org/10.1002/ajpa.22646</t>
  </si>
  <si>
    <t xml:space="preserve">Fig 4 A</t>
  </si>
  <si>
    <t xml:space="preserve">Fig4A_allsubjects_volumes</t>
  </si>
  <si>
    <t xml:space="preserve">Barks</t>
  </si>
  <si>
    <t xml:space="preserve">Fig 5 A</t>
  </si>
  <si>
    <t xml:space="preserve">Fig5A_adultsonly_volumes</t>
  </si>
  <si>
    <t xml:space="preserve">TABLE 1. Individual data</t>
  </si>
  <si>
    <t xml:space="preserve">TABLE 2</t>
  </si>
  <si>
    <t xml:space="preserve">TABLE 2. Stereological sampling of brains</t>
  </si>
  <si>
    <t xml:space="preserve">unpublishedviaDeCasien</t>
  </si>
  <si>
    <t xml:space="preserve">"Sherwood et al.64 and Barks et al.65 provided neocortex, hippocampus, striatum, thalamus, cerebellum, amygdala and insula measures for multiple gorilla species (Gorilla gorilla gorilla, G. g. graueri and G. beringei) from post-mortem MRI scans" (DeCasien and Higham 2019)</t>
  </si>
  <si>
    <t xml:space="preserve">Baron, G., Frahm, H. D., &amp; Stephan, H. (1988). Comparison of brain structure volumes in Insectivora and Primates. VIII. Vestibular complex. J Hirnforsch, 29(5), 509-523. http://www.ncbi.nlm.nih.gov/pubmed/3216099</t>
  </si>
  <si>
    <t xml:space="preserve">PMID:3216099</t>
  </si>
  <si>
    <t xml:space="preserve">Table 1. Volumes and indices of the vestibular complex (VC) and its main components (VM, V1, VL, VS) in Insectivora and Scadentia</t>
  </si>
  <si>
    <t xml:space="preserve">Stephan</t>
  </si>
  <si>
    <t xml:space="preserve">vestibular nuclear complex volume</t>
  </si>
  <si>
    <t xml:space="preserve">Insectivora, Scandentia &amp; Primates</t>
  </si>
  <si>
    <t xml:space="preserve">Baron, G., Frahm, H. D., Bhatnagar, K. P., &amp; Stephan, H. (1983). Comparison of brain structure volumes in Insectivora and Primates. III. Main olfactory bulb (MOB). J Hirnforsch, 24(5), 551-568. https://www.ncbi.nlm.nih.gov/pubmed/6663055</t>
  </si>
  <si>
    <t xml:space="preserve">PMID:6663055</t>
  </si>
  <si>
    <t xml:space="preserve">NO - not digitized</t>
  </si>
  <si>
    <t xml:space="preserve">main olfactory bulb (MOB) volume</t>
  </si>
  <si>
    <t xml:space="preserve">Baron, G., Stephan, H., &amp; Frahm, H. D. (1987). Comparison of brain structure volumes in Insectivora and Primates. VI. Paleocortical components. J Hirnforsch, 28(4), 463-477. http://www.ncbi.nlm.nih.gov/pubmed/3116076</t>
  </si>
  <si>
    <t xml:space="preserve">PMID:3116076</t>
  </si>
  <si>
    <t xml:space="preserve">brain-structure volume (Comparison series, Part)</t>
  </si>
  <si>
    <t xml:space="preserve">Baron, G., Stephan, H., &amp; Frahm, H. D. (1990). Comparison of brain structure volumes in Insectivora and primates. IX. Trigeminal complex. J Hirnforsch, 31(2), 193-200. https://www.ncbi.nlm.nih.gov/pubmed/2358663</t>
  </si>
  <si>
    <t xml:space="preserve">PMID:2358663</t>
  </si>
  <si>
    <t xml:space="preserve">xml:space="preserve"&gt;Table 1 .IX. Trigeminal complex </t>
  </si>
  <si>
    <t xml:space="preserve">volumetry</t>
  </si>
  <si>
    <t xml:space="preserve">trigeminal complex volume</t>
  </si>
  <si>
    <t xml:space="preserve">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</si>
  <si>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 xml:space="preserve">Volumetric comparison of the insular cortex (Table 1)</t>
  </si>
  <si>
    <t xml:space="preserve">Stephan, Sherwood</t>
  </si>
  <si>
    <t xml:space="preserve">insular cortex volumes</t>
  </si>
  <si>
    <t xml:space="preserve">Primates</t>
  </si>
  <si>
    <t xml:space="preserve">Table 2</t>
  </si>
  <si>
    <t xml:space="preserve">Boyer, D. M., &amp; Harrington, A. R. (2018). Scaling of bony canals for encephalic vessels in euarchontans: Implications for the role of the vertebral artery and brain metabolism. J Hum Evol, 114, 85-101. https://doi.org/10.1016/j.jhevol.2017.09.003</t>
  </si>
  <si>
    <t xml:space="preserve">Table 1 Taxon list and species mean values.</t>
  </si>
  <si>
    <t xml:space="preserve">Boyer, D. M., &amp; Harrington, A. R. (2019). New estimates of blood flow rates in the vertebral artery of euarchontans and their implications for encephalic blood flow scaling: A response to Seymour and Snelling (2018). J Hum Evol, 128, 93-98. https://doi.org/10.1016/j.jhevol.2018.10.002</t>
  </si>
  <si>
    <t xml:space="preserve">SOM Table S6</t>
  </si>
  <si>
    <t xml:space="preserve">Brodmann, K. (1913). Neue Forschungsergebnisse der Großhirnrindenanatomie mit besonderer Berücksichtigung anthropologischer Fragen. Verhandlungen der Gesellschaft Deutscher Naturforscher und Ärzte, 85(1), 200-240</t>
  </si>
  <si>
    <t xml:space="preserve">10.0000/placeholder</t>
  </si>
  <si>
    <t xml:space="preserve">Tabelle 1</t>
  </si>
  <si>
    <t xml:space="preserve">cortical surface area</t>
  </si>
  <si>
    <t xml:space="preserve">Mammals (various)</t>
  </si>
  <si>
    <t xml:space="preserve">Burger, J. R., George, M. A., Leadbetter, C., &amp; Shaikh, F. (2019). The allometry of brain size in mammals. J Mammal, 100(2), 276-283. https://doi.org/10.1093/jmammal/gyz043</t>
  </si>
  <si>
    <t xml:space="preserve">Supplementary Data SD1</t>
  </si>
  <si>
    <t xml:space="preserve">Supplementary Data SD2</t>
  </si>
  <si>
    <t xml:space="preserve">already there</t>
  </si>
  <si>
    <t xml:space="preserve">gyz043_suppl_Supplement_Data.csv</t>
  </si>
  <si>
    <t xml:space="preserve">N</t>
  </si>
  <si>
    <t xml:space="preserve">zipped csv</t>
  </si>
  <si>
    <t xml:space="preserve">NO - the article link did not work in R, and goes to a zip</t>
  </si>
  <si>
    <t xml:space="preserve">derived relative brain size data are problematic</t>
  </si>
  <si>
    <t xml:space="preserve">mammals</t>
  </si>
  <si>
    <t xml:space="preserve">Brain and body size</t>
  </si>
  <si>
    <t xml:space="preserve">Mammals</t>
  </si>
  <si>
    <t xml:space="preserve">secondary</t>
  </si>
  <si>
    <t xml:space="preserve">brain &amp; body mass</t>
  </si>
  <si>
    <t xml:space="preserve">Burish, M. J., Peebles, J. K., Baldwin, M. K., Tavares, L., Kaas, J. H., &amp; Herculano-Houzel, S. (2010). Cellular scaling rules for primate spinal cords. Brain Behav Evol, 76(1), 45-59. https://doi.org/10.1159/000319019</t>
  </si>
  <si>
    <t xml:space="preserve">Supplementary Table 1</t>
  </si>
  <si>
    <t xml:space="preserve">Supplementary Table 1: Dataset of individual spinal cord measurements</t>
  </si>
  <si>
    <t xml:space="preserve">Species - binomials need to be added</t>
  </si>
  <si>
    <t xml:space="preserve">Burish_etal_2010_SupplementaryTable1_snapshot.csv</t>
  </si>
  <si>
    <t xml:space="preserve">number spinal cord neurons</t>
  </si>
  <si>
    <t xml:space="preserve">primates and tree shrew</t>
  </si>
  <si>
    <t xml:space="preserve">Primates (+ other mammals)</t>
  </si>
  <si>
    <t xml:space="preserve">primary (individual)</t>
  </si>
  <si>
    <t xml:space="preserve">Table 1. Cellular composition of the spinal cord</t>
  </si>
  <si>
    <t xml:space="preserve">Burish_etal_2010_Table1_snapshot.csv</t>
  </si>
  <si>
    <t xml:space="preserve">Burish_etal_2010_Table1.csv</t>
  </si>
  <si>
    <t xml:space="preserve">https://doi.org/10.1159/000319019</t>
  </si>
  <si>
    <t xml:space="preserve">species-name-error: species-name typo corrected from paper text (in .R script).</t>
  </si>
  <si>
    <t xml:space="preserve">primary (averages)</t>
  </si>
  <si>
    <t xml:space="preserve">Bush, E. C., &amp; Allman, J. M. (2003). The scaling of white matter to gray matter in cerebellum and neocortex. Brain Behav Evol, 61(1), 1-5. https://doi.org/10.1159/000068880</t>
  </si>
  <si>
    <t xml:space="preserve">Table 2. Major axis regression slopes and 95% confidence intervals</t>
  </si>
  <si>
    <t xml:space="preserve">not extracted (regression statistics, not species trait data)</t>
  </si>
  <si>
    <t xml:space="preserve">Allman</t>
  </si>
  <si>
    <t xml:space="preserve">AFIP</t>
  </si>
  <si>
    <t xml:space="preserve">Bush, E. C., &amp; Allman, J. M. (2004). The scaling of frontal cortex in primates and carnivores. Proc Natl Acad Sci U S A, 101(11), 3962-3966. https://doi.org/10.1073/pnas.0305760101</t>
  </si>
  <si>
    <t xml:space="preserve">a</t>
  </si>
  <si>
    <t xml:space="preserve">Table 1. White matter and gray matter volumes (cm3) for neocortex and cerebellum for 45 mammals</t>
  </si>
  <si>
    <t xml:space="preserve">Data readable</t>
  </si>
  <si>
    <t xml:space="preserve">Bush_Allman_2003_Table1_snapshot.csv</t>
  </si>
  <si>
    <t xml:space="preserve">Bush_Allman_2003_Table1.csv</t>
  </si>
  <si>
    <t xml:space="preserve">mammals (incl. primates)</t>
  </si>
  <si>
    <t xml:space="preserve">neocortex &amp; cerebellum grey/white volumes</t>
  </si>
  <si>
    <t xml:space="preserve">Bush, E. C., &amp; Allman, J. M. (2004). Three-dimensional structure and evolution of primate primary visual cortex. Anat Rec (Hoboken), 281(1), 1088-1094. https://doi.org/10.1002/ar.a.20114</t>
  </si>
  <si>
    <t xml:space="preserve">b</t>
  </si>
  <si>
    <t xml:space="preserve">Table 1. Measurements in V1 and the rest of the brain for a sample of primates</t>
  </si>
  <si>
    <t xml:space="preserve">Bush_Allman_2004_Table1_snapshot.csv</t>
  </si>
  <si>
    <t xml:space="preserve">Bush_Allman_2004_Table1.csv</t>
  </si>
  <si>
    <t xml:space="preserve">volumetry/stereology</t>
  </si>
  <si>
    <t xml:space="preserve">primates</t>
  </si>
  <si>
    <t xml:space="preserve">V1 grey, LGN, V1 surface, neocortex GM/WM</t>
  </si>
  <si>
    <t xml:space="preserve">Caspar, K. R., Pallasdies, F., Mader, L., Sartorelli, H., &amp; Begall, S. (2022). The evolution and biological correlates of hand preferences in anthropoid primates. Elife, 11, e77875. https://doi.org/10.7554/eLife.77875</t>
  </si>
  <si>
    <t xml:space="preserve">Supplementary file 3</t>
  </si>
  <si>
    <t xml:space="preserve">part 2: ecological table</t>
  </si>
  <si>
    <t xml:space="preserve">elife-77875-supp3-v1.xlsx</t>
  </si>
  <si>
    <t xml:space="preserve">xlsx</t>
  </si>
  <si>
    <t xml:space="preserve">YES - download link</t>
  </si>
  <si>
    <t xml:space="preserve">https://cdn.elifesciences.org/articles/77875/elife-77875-supp3-v1.xlsx</t>
  </si>
  <si>
    <t xml:space="preserve">Habitual Tool Use, Ecology, Female brain size</t>
  </si>
  <si>
    <t xml:space="preserve">behavioural (handedness, tool use, ecology)</t>
  </si>
  <si>
    <t xml:space="preserve">part 1: handedness summary table</t>
  </si>
  <si>
    <t xml:space="preserve">Caspar_etal_2022_Table1_snapshot.xlsx</t>
  </si>
  <si>
    <t xml:space="preserve">Caspar_etal_2022_Table1.csv</t>
  </si>
  <si>
    <t xml:space="preserve">YES - but formatting issues</t>
  </si>
  <si>
    <t xml:space="preserve">https://elifesciences.org/download/aHR0cHM6Ly9jZG4uZWxpZmVzY2llbmNlcy5vcmcvYXJ0aWNsZXMvNzc4NzUvZWxpZmUtNzc4NzUtdjEucGRmP2Nhbm9uaWNhbFVyaT1odHRwczovL2VsaWZlc2NpZW5jZXMub3JnL2FydGljbGVzLzc3ODc1/elife-77875-v1.pdf?_hash=NStjcL9fTlmy3AQDwSiM0YgMVB3UYjO8nDg0UbwN5gM%3D</t>
  </si>
  <si>
    <t xml:space="preserve">perhaps useful to get raw data as well?</t>
  </si>
  <si>
    <t xml:space="preserve">Handedness derived data</t>
  </si>
  <si>
    <t xml:space="preserve">derived from primary</t>
  </si>
  <si>
    <t xml:space="preserve">behavioural (handedness)</t>
  </si>
  <si>
    <t xml:space="preserve">Caves, E. M., Brandley, N. C., &amp; Johnsen, S. (2018). Visual Acuity and the Evolution of Signals. Trends Ecol Evol, 33(5), 358-372. https://doi.org/10.1016/j.tree.2018.03.001</t>
  </si>
  <si>
    <t xml:space="preserve">Table S1</t>
  </si>
  <si>
    <t xml:space="preserve">Changizi, M. A. (2001). Principles underlying mammalian neocortical scaling. Biol Cybern, 84(3), 207-215. https://doi.org/10.1007/s004220000205</t>
  </si>
  <si>
    <t xml:space="preserve">Figure 3</t>
  </si>
  <si>
    <t xml:space="preserve">Species -- wait for Project Kaskan</t>
  </si>
  <si>
    <t xml:space="preserve">NA</t>
  </si>
  <si>
    <t xml:space="preserve">Changizi__2001_Figure3_snapshot.csv</t>
  </si>
  <si>
    <t xml:space="preserve">Changizi__2001_Figure3.csv</t>
  </si>
  <si>
    <t xml:space="preserve">figure and caption</t>
  </si>
  <si>
    <t xml:space="preserve">NO - paywall</t>
  </si>
  <si>
    <t xml:space="preserve">summary to check more precise areas from ProjectKaskan</t>
  </si>
  <si>
    <t xml:space="preserve">number of cortical areas</t>
  </si>
  <si>
    <t xml:space="preserve">primary (derived from published materials)</t>
  </si>
  <si>
    <t xml:space="preserve">cortical area count / scaling</t>
  </si>
  <si>
    <t xml:space="preserve">Chen, Z., &amp; Wiens, J. J. (2020). The origins of acoustic communication in vertebrates. Nature Communications, 11(1), 369. https://doi.org/10.1038/s41467-020-14356-3</t>
  </si>
  <si>
    <t xml:space="preserve">Supplementary Data 3</t>
  </si>
  <si>
    <t xml:space="preserve">41467_2020_14356_MOESM6_ESM.xlsx</t>
  </si>
  <si>
    <t xml:space="preserve">https://static-content.springer.com/esm/art%3A10.1038%2Fs41467-020-14356-3/MediaObjects/41467_2020_14356_MOESM6_ESM.xlsx</t>
  </si>
  <si>
    <t xml:space="preserve">dial activity (Supp 4)</t>
  </si>
  <si>
    <t xml:space="preserve">maybe delete: not relevent in current dataset, unless for imputations?</t>
  </si>
  <si>
    <t xml:space="preserve">vertebrates</t>
  </si>
  <si>
    <t xml:space="preserve">acoustic communication</t>
  </si>
  <si>
    <t xml:space="preserve">Tetrapod vertebrates</t>
  </si>
  <si>
    <t xml:space="preserve">behavioural (acoustic communication)</t>
  </si>
  <si>
    <t xml:space="preserve">Collins, C. E., Airey, D. C., Young, N. A., Leitch, D. B., &amp; Kaas, J. H. (2010). Neuron densities vary across and within cortical areas in primates. Proc Natl Acad Sci U S A, 107(36), 15927-15932. https://doi.org/10.1073/pnas.1010356107</t>
  </si>
  <si>
    <t xml:space="preserve">Dataset S1</t>
  </si>
  <si>
    <t xml:space="preserve">Kaas</t>
  </si>
  <si>
    <t xml:space="preserve">cortical area surface area, neuron density</t>
  </si>
  <si>
    <t xml:space="preserve">Collins, C. E., Turner, E. C., Sawyer, E. K., Reed, J. L., Young, N. A., Flaherty, D. K., &amp; Kaas, J. H. (2016). Cortical cell and neuron density estimates in one chimpanzee hemisphere. Proc Natl Acad Sci U S A, 113(3), 740-745. https://doi.org/10.1073/pnas.1524208113</t>
  </si>
  <si>
    <t xml:space="preserve">Cortical cell and neuron density in one chimpanzee hemisphere (Table 1)</t>
  </si>
  <si>
    <t xml:space="preserve">cortical neuron/cell density</t>
  </si>
  <si>
    <t xml:space="preserve">neuron/cell density &amp; number</t>
  </si>
  <si>
    <t xml:space="preserve">de Sousa, A. A., Sherwood, C. C., Hof, P. R., &amp; Zilles, K. (2013). Lamination of the lateral geniculate nucleus of catarrhine primates. Brain Behav Evol, 81(2), 93-108. https://doi.org/10.1159/000346495</t>
  </si>
  <si>
    <t xml:space="preserve">Table 1. LGN parvocellular lamination, species mean brain weights and LGN volumes</t>
  </si>
  <si>
    <t xml:space="preserve">deSousa_etal_2013_Table1_snapshot.csv</t>
  </si>
  <si>
    <t xml:space="preserve">deSousa_etal_2013_Table1.csv</t>
  </si>
  <si>
    <t xml:space="preserve">Stephan, Zilles</t>
  </si>
  <si>
    <t xml:space="preserve">Stephan, Zilles, AFIP, Sherwood, Hof</t>
  </si>
  <si>
    <t xml:space="preserve">catarrhine primates</t>
  </si>
  <si>
    <t xml:space="preserve">LGN volume + parvocellular lamination + brain weight</t>
  </si>
  <si>
    <t xml:space="preserve">Primates (+ Insectivora)</t>
  </si>
  <si>
    <t xml:space="preserve">de Sousa, A. A., Sherwood, C. C., Mohlberg, H., Amunts, K., Schleicher, A., MacLeod, C. E., Hof, P. R., Frahm, H., &amp; Zilles, K. (2010). Hominoid visual brain structure volumes and the position of the lunate sulcus. J Hum Evol, 58(4), 281-292. https://doi.org/10.1016/j.jhevol.2009.11.011</t>
  </si>
  <si>
    <t xml:space="preserve">Sup Table 2</t>
  </si>
  <si>
    <t xml:space="preserve">Supplementary Table 2. Primate species mean volumes</t>
  </si>
  <si>
    <t xml:space="preserve">VALUE ERROR — neocortex (kept in snapshot, corrected in data)</t>
  </si>
  <si>
    <t xml:space="preserve">deSousa_etal_2010_SupTable2_snapshot.xlsx</t>
  </si>
  <si>
    <t xml:space="preserve">deSousa_etal_2010_SupTable2.csv</t>
  </si>
  <si>
    <t xml:space="preserve">doc (online supplement, mmc2.doc)</t>
  </si>
  <si>
    <t xml:space="preserve">https://doi.org/10.1016/j.jhevol.2009.11.011</t>
  </si>
  <si>
    <t xml:space="preserve">Stephan,Zilles</t>
  </si>
  <si>
    <t xml:space="preserve">Online supplementary Table 2 (file 1-s2.0-S0047248410000023-mmc2.doc). Snapshot reproduces the published table verbatim incl. the error; cleaned CSV corrects it. See deSousa_etal_2010.ReadMe.md.</t>
  </si>
  <si>
    <t xml:space="preserve">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</si>
  <si>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 xml:space="preserve">units labelled 'g' in source but values are cm3</t>
  </si>
  <si>
    <t xml:space="preserve">value error (transcription) + species-name errors</t>
  </si>
  <si>
    <t xml:space="preserve">brain, neocortex, V1 (area striata), LGN mean volumes</t>
  </si>
  <si>
    <t xml:space="preserve">Hominoid visual brain structure volumes (Table 1)</t>
  </si>
  <si>
    <t xml:space="preserve">histological sections &amp; MRI</t>
  </si>
  <si>
    <t xml:space="preserve">visual brain structure volumes</t>
  </si>
  <si>
    <t xml:space="preserve">DeCasien, A. R., &amp; Higham, J. P. (2019). Primate mosaic brain evolution reflects selection on sensory and cognitive specialization. Nat Ecol Evol, 3(10), 1483-1493. https://doi.org/10.1038/s41559-019-0969-0</t>
  </si>
  <si>
    <t xml:space="preserve">Supplementary Data 1-Activity Period</t>
  </si>
  <si>
    <t xml:space="preserve">Supplementary Data 1 Brain Region Data (mm3)</t>
  </si>
  <si>
    <t xml:space="preserve">table Sheet 1</t>
  </si>
  <si>
    <t xml:space="preserve">https://www.nature.com/articles/s41559-019-0969-0#Sec13</t>
  </si>
  <si>
    <t xml:space="preserve">Activity Period</t>
  </si>
  <si>
    <t xml:space="preserve">ecology (activity period)</t>
  </si>
  <si>
    <t xml:space="preserve">Supplementary Data 1-Brain Region</t>
  </si>
  <si>
    <t xml:space="preserve">mostly Stephan and other Ddorf studies</t>
  </si>
  <si>
    <t xml:space="preserve">Brain Regions Volumes</t>
  </si>
  <si>
    <t xml:space="preserve">Supplementary Data 1-Diet</t>
  </si>
  <si>
    <t xml:space="preserve">Diet</t>
  </si>
  <si>
    <t xml:space="preserve">ecology (diet)</t>
  </si>
  <si>
    <t xml:space="preserve">Supplementary Data 1-Social System</t>
  </si>
  <si>
    <t xml:space="preserve">Social System</t>
  </si>
  <si>
    <t xml:space="preserve">ecology (social system)</t>
  </si>
  <si>
    <t xml:space="preserve">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</si>
  <si>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 xml:space="preserve">VALUE ERROR — cell-count typos (superseded by unpublished)</t>
  </si>
  <si>
    <t xml:space="preserve">DosSantos_etal_2020_Table1_snapshot.csv</t>
  </si>
  <si>
    <t xml:space="preserve">DosSantos_etal_2020_Table1.csv</t>
  </si>
  <si>
    <t xml:space="preserve">pdf online</t>
  </si>
  <si>
    <t xml:space="preserve">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</si>
  <si>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 xml:space="preserve">EXCLUDED from merged cellcounts (cell-count typos); DosSantos_etal_2020_unpublished used instead (commented out in cellcounts_compiled.R).</t>
  </si>
  <si>
    <t xml:space="preserve">microglia</t>
  </si>
  <si>
    <t xml:space="preserve">Cell numbers, region size</t>
  </si>
  <si>
    <t xml:space="preserve">primary; secondary (compiled team data)</t>
  </si>
  <si>
    <t xml:space="preserve">cell count (microglia)</t>
  </si>
  <si>
    <t xml:space="preserve">unpublished</t>
  </si>
  <si>
    <t xml:space="preserve">corrected source used in merge (instead of published Table 1)</t>
  </si>
  <si>
    <t xml:space="preserve">https://doi.org/10.1523/JNEUROSCI.2339-19.2020</t>
  </si>
  <si>
    <t xml:space="preserve">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</si>
  <si>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 xml:space="preserve">Dos Santos, S. E., Porfirio, J., da Cunha, F. B., Manger, P. R., Tavares, W., Pessoa, L., Raghanti, M. A., Sherwood, C. C., &amp; Herculano-Houzel, S. (2017). Cellular Scaling Rules for the Brains of Marsupials: Not as "Primitive" as Expected. Brain Behav Evol. https://doi.org/10.1159/000452856</t>
  </si>
  <si>
    <t xml:space="preserve">ERRATUM !</t>
  </si>
  <si>
    <t xml:space="preserve">DosSantos_etal_2017_TableS1_snapshot.csv</t>
  </si>
  <si>
    <t xml:space="preserve">DosSantos_etal_2017_TableS1.csv</t>
  </si>
  <si>
    <t xml:space="preserve">doc, erratum (on pdf)</t>
  </si>
  <si>
    <t xml:space="preserve">table, erratum</t>
  </si>
  <si>
    <t xml:space="preserve">https://ndownloader.figstatic.com/files/7428211</t>
  </si>
  <si>
    <t xml:space="preserve">erratum</t>
  </si>
  <si>
    <t xml:space="preserve">marsupials</t>
  </si>
  <si>
    <t xml:space="preserve">Marsupials</t>
  </si>
  <si>
    <t xml:space="preserve">Eagleman, D. M., &amp; Vaughn, D. A. (2021). The Defensive Activation Theory: REM Sleep as a Mechanism to Prevent Takeover of the Visual Cortex [Hypothesis and Theory]. Front Neurosci, 15(598), 632853. https://doi.org/10.3389/fnins.2021.632853</t>
  </si>
  <si>
    <t xml:space="preserve">TABLE 1 | Three behavioral correlates of plasticity and the proportion of REM (versus non-REM) sleep in 25 primate species.</t>
  </si>
  <si>
    <t xml:space="preserve">proportion REM and developmental milestones</t>
  </si>
  <si>
    <t xml:space="preserve">behaviour/physiology (REM sleep, development)</t>
  </si>
  <si>
    <t xml:space="preserve">Falcone, C., Wolf-Ochoa, M., Amina, S., Hong, T., Vakilzadeh, G., Hopkins, W. D., Hof, P. R., Sherwood, C. C., Manger, P. R., Noctor, S. C., &amp; Martinez-Cerdeno, V. (2019). Cortical interlaminar astrocytes across the therian mammal radiation. J Comp Neurol, 527(10), 1654-1674. https://doi.org/10.1002/cne.24605</t>
  </si>
  <si>
    <t xml:space="preserve">TABLE 1 Pial and subpial ILA presence in mammalian species analyzed. Highlighted in red are the species where proper subpial ILA are present</t>
  </si>
  <si>
    <t xml:space="preserve">interlaminar astrocyte morphology</t>
  </si>
  <si>
    <t xml:space="preserve">Primates &amp; other mammals</t>
  </si>
  <si>
    <t xml:space="preserve">cell morphology (interlaminar astrocytes)</t>
  </si>
  <si>
    <t xml:space="preserve">TABLE 2 ILA linear density, number of primary processes, number of total processes, total length, and complexity, of mammalian species analyzed</t>
  </si>
  <si>
    <t xml:space="preserve">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</si>
  <si>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 xml:space="preserve">Table 6.1</t>
  </si>
  <si>
    <t xml:space="preserve">Finlay_etal_2006_Table6.1_snapshot.xlsx</t>
  </si>
  <si>
    <t xml:space="preserve">Finlay_etal_2006_Table6.1.csv</t>
  </si>
  <si>
    <t xml:space="preserve">https://www.researchgate.net/publication/299027052_Developmental_constraints_on_or_developmental_structure_in_brain_evolution</t>
  </si>
  <si>
    <t xml:space="preserve">cerebral cortex surface area and number of areas (broadly defined)</t>
  </si>
  <si>
    <t xml:space="preserve">cortical surface area / volume</t>
  </si>
  <si>
    <t xml:space="preserve">Frahm, H. D., &amp; Zilles, K. (1994). Volumetric comparison of hippocampal regions in 44 primate species. J Hirnforsch, 35(3), 343-354. https://www.ncbi.nlm.nih.gov/pubmed/7983368</t>
  </si>
  <si>
    <t xml:space="preserve">PMID:7983368</t>
  </si>
  <si>
    <t xml:space="preserve">Hippocampal regions in 44 primates (Table 1)</t>
  </si>
  <si>
    <t xml:space="preserve">hippocampal region volumes</t>
  </si>
  <si>
    <t xml:space="preserve">Frahm, H. D., Rehkamper, G., &amp; Nevo, E. (1997). Brain structure volumes in the mole rat, Spalax ehrenbergi (Spalacidae, Rodentia) in comparison to the rat and subterrestrial insectivores. J Hirnforsch, 38(2), 209-222. https://www.ncbi.nlm.nih.gov/pubmed/9176733</t>
  </si>
  <si>
    <t xml:space="preserve">PMID:9176733</t>
  </si>
  <si>
    <t xml:space="preserve">Brain structure volumes in Spalax ehrenbergi (Table 1)</t>
  </si>
  <si>
    <t xml:space="preserve">brain structure volumes (Spalax)</t>
  </si>
  <si>
    <t xml:space="preserve">Frahm, H. D., Stephan, H., &amp; Baron, G. (1984). Comparison of brain structure volumes in insectivora and primates. V. Area striata (AS). J Hirnforsch, 25(5), 537-557. https://www.ncbi.nlm.nih.gov/pubmed/6501869</t>
  </si>
  <si>
    <t xml:space="preserve">PMID:6501869</t>
  </si>
  <si>
    <t xml:space="preserve">Table 1. Volumes of area striata and some of its laminar components (in mm3).</t>
  </si>
  <si>
    <t xml:space="preserve">area striata volume</t>
  </si>
  <si>
    <t xml:space="preserve">Frahm, H. D., Stephan, H., &amp; Stephan, M. (1982). Comparison of brain structure volumes in Insectivora and Primates. I. Neocortex. J Hirnforsch, 23(4), 375-389. https://www.ncbi.nlm.nih.gov/pubmed/7161477</t>
  </si>
  <si>
    <t xml:space="preserve">PMID:7161477</t>
  </si>
  <si>
    <t xml:space="preserve">Table 2. Volumes and percentages of total neocortex, white and grey matters, and laminae 1 and 2-6 in Insectivora, Scandentia, and Primates.</t>
  </si>
  <si>
    <t xml:space="preserve">neocortex volume</t>
  </si>
  <si>
    <t xml:space="preserve">Frahm, H. D., Zilles, K., Schleicher, A., &amp; Stephan, H. (1998). The size of the middle temporal area in primates. J Hirnforsch, 39(1), 45-54. https://www.ncbi.nlm.nih.gov/pubmed/9672110</t>
  </si>
  <si>
    <t xml:space="preserve">PMID:9672110</t>
  </si>
  <si>
    <t xml:space="preserve">Size of the middle temporal area in primates (Table 1)</t>
  </si>
  <si>
    <t xml:space="preserve">middle temporal area (MT) size</t>
  </si>
  <si>
    <t xml:space="preserve">Fu, Y., Rusznak, Z., Herculano-Houzel, S., Watson, C., &amp; Paxinos, G. (2013). Cellular composition characterizing postnatal development and maturation of the mouse brain and spinal cord. Brain Struct Funct, 218(5), 1337-1354. https://doi.org/10.1007/s00429-012-0462-x</t>
  </si>
  <si>
    <t xml:space="preserve">Table 1 Age-dependent changes affecting the mouse central nervous system and pituitary</t>
  </si>
  <si>
    <t xml:space="preserve">NOT STARTED</t>
  </si>
  <si>
    <t xml:space="preserve">mouse (developmental)</t>
  </si>
  <si>
    <t xml:space="preserve">Garwicz, M., Christensson, M., &amp; Psouni, E. (2009). A unifying model for timing of walking onset in humans and other mammals. Proc Natl Acad Sci U S A, 106(51), 21889-21893. https://doi.org/10.1073/pnas.0905777106</t>
  </si>
  <si>
    <t xml:space="preserve">Table S1. Taxonomy of species included in the sample</t>
  </si>
  <si>
    <t xml:space="preserve">https://www.pnas.org/doi/suppl/10.1073/pnas.0905777106/suppl_file/0905777106si.pdf</t>
  </si>
  <si>
    <t xml:space="preserve">behavioural/developmental (motor onset)</t>
  </si>
  <si>
    <t xml:space="preserve">Table S2</t>
  </si>
  <si>
    <t xml:space="preserve">Table S2. Database for multiple-regression model</t>
  </si>
  <si>
    <t xml:space="preserve">Genoud, M., Isler, K., &amp; Martin, R. D. (2018). Comparative analyses of basal rate of metabolism in mammals: data selection does matter. Biol Rev Camb Philos Soc, 93(1), 404-438. https://doi.org/10.1111/brv.12350</t>
  </si>
  <si>
    <t xml:space="preserve">Table S2. Basal metabolic rate (BMR) database.</t>
  </si>
  <si>
    <t xml:space="preserve">BMR</t>
  </si>
  <si>
    <t xml:space="preserve">Granatosky, M. C. (2018). A Review of locomotor diversity in mammals with analyses exploring the influence of substrate use, body mass and intermembral index in primates. Journal of Zoology, 306(4), 207-216. https://doi.org/10.1111/jzo.12608</t>
  </si>
  <si>
    <t xml:space="preserve">Table S1. Locomotor profiles for the species used in this
study.</t>
  </si>
  <si>
    <t xml:space="preserve">https://karger.com/bbe/article-pdf/86/3-4/145/2264694/000437413.pdf</t>
  </si>
  <si>
    <t xml:space="preserve">behavioural (locomotion)</t>
  </si>
  <si>
    <t xml:space="preserve">Haarlem, C. S., Hynes, C., Jackson, A. L., Mitchell, K. J., O'Connell, R. G., &amp; Healy, K. (2026). Pace of ecology drives the tempo of visual perception across the animal kingdom. Nat Ecol Evol. https://doi.org/10.1038/s41559-026-02994-7</t>
  </si>
  <si>
    <t xml:space="preserve">CFF dataset</t>
  </si>
  <si>
    <t xml:space="preserve">Heffner, R. S., &amp; Masterton, R. B. (1983). The role of the corticospinal tract in the evolution of human digital dexterity. Brain Behav Evol, 23(3-4), 165-183. https://doi.org/10.1159/000121494</t>
  </si>
  <si>
    <t xml:space="preserve">Table I</t>
  </si>
  <si>
    <t xml:space="preserve">compare to 1975</t>
  </si>
  <si>
    <t xml:space="preserve">digital dexterity</t>
  </si>
  <si>
    <t xml:space="preserve">behavioural (digital dexterity)</t>
  </si>
  <si>
    <t xml:space="preserve">Heffner, R., &amp; Masterton, B. (1975). Variation in form of the pyramidal tract and its relationship to digital dexterity. Brain Behav Evol, 12(3), 161-200. https://doi.org/10.1159/000124401</t>
  </si>
  <si>
    <t xml:space="preserve">Heffner_Masterton_1975_TableI_snapshot.xlsx</t>
  </si>
  <si>
    <t xml:space="preserve">Heffner_Masterton_1975_TableI.csv</t>
  </si>
  <si>
    <t xml:space="preserve">area of pyramidal tract; deepest lamina</t>
  </si>
  <si>
    <t xml:space="preserve">mostly secondary</t>
  </si>
  <si>
    <t xml:space="preserve">both</t>
  </si>
  <si>
    <t xml:space="preserve">behavioural (digital dexterity) + corticospinal tract</t>
  </si>
  <si>
    <t xml:space="preserve">Heiss, W. D., Habedank, B., Klein, J. C., Herholz, K., Wienhard, K., Lenox, M., &amp; Nutt, R. (2004). Metabolic rates in small brain nuclei determined by high-resolution PET. J Nucl Med, 45(11), 1811-1815. https://www.ncbi.nlm.nih.gov/pubmed/15534048</t>
  </si>
  <si>
    <t xml:space="preserve">PMID:15534048</t>
  </si>
  <si>
    <t xml:space="preserve">TABLE 1 rCMRGlc Values</t>
  </si>
  <si>
    <t xml:space="preserve">regional cerebral metabolic rates for glucose</t>
  </si>
  <si>
    <t xml:space="preserve">Humans</t>
  </si>
  <si>
    <t xml:space="preserve">metabolic (regional cerebral glucose, PET)</t>
  </si>
  <si>
    <t xml:space="preserve">Heldstab, S. A., Kosonen, Z. K., Koski, S. E., Burkart, J. M., van Schaik, C. P., &amp; Isler, K. (2016). Manipulation complexity in primates coevolved with brain size and terrestriality. Sci Rep, 6, 24528. https://doi.org/10.1038/srep24528</t>
  </si>
  <si>
    <t xml:space="preserve">manipulation complexity</t>
  </si>
  <si>
    <t xml:space="preserve">behavioural (manipulation complexity)</t>
  </si>
  <si>
    <t xml:space="preserve">Herculano-Houzel, S. (2015). Decreasing sleep requirement with increasing numbers of neurons as a driver for bigger brains and bodies in mammalian evolution. Proc Biol Sci, 282(1816), 20151853. https://doi.org/10.1098/rspb.2015.1853</t>
  </si>
  <si>
    <t xml:space="preserve">sleep time &amp; neuron density</t>
  </si>
  <si>
    <t xml:space="preserve">sleep + neuron density</t>
  </si>
  <si>
    <t xml:space="preserve">Table 2. Dataset on the ontogeny of sleep and cellular composition of the rat brain used in this study.</t>
  </si>
  <si>
    <t xml:space="preserve">Per cent of hours asleep and brain size and composition</t>
  </si>
  <si>
    <t xml:space="preserve">sleep (per cent hours asleep)</t>
  </si>
  <si>
    <t xml:space="preserve">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</si>
  <si>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 xml:space="preserve">Table 1. Cerebral cortex</t>
  </si>
  <si>
    <t xml:space="preserve">HerculanoHouzel_etal_2015_Table1_snapshot.xlsx</t>
  </si>
  <si>
    <t xml:space="preserve">HerculanoHouzel_etal_2015_Table1.csv</t>
  </si>
  <si>
    <t xml:space="preserve">formatting-fix: ' + ' shown for ' ± ' (Rattus norvegicus, col N,n) corrected in .R script.</t>
  </si>
  <si>
    <t xml:space="preserve">Mammals (placental)</t>
  </si>
  <si>
    <t xml:space="preserve">Table 2. Cerebellum</t>
  </si>
  <si>
    <t xml:space="preserve">HerculanoHouzel_etal_2015_Table2_snapshot.xlsx</t>
  </si>
  <si>
    <t xml:space="preserve">HerculanoHouzel_etal_2015_Table2.csv</t>
  </si>
  <si>
    <t xml:space="preserve">Table 3. RoB</t>
  </si>
  <si>
    <t xml:space="preserve">HerculanoHouzel_etal_2015_Table3_snapshot.xlsx</t>
  </si>
  <si>
    <t xml:space="preserve">HerculanoHouzel_etal_2015_Table3.csv</t>
  </si>
  <si>
    <t xml:space="preserve">Table 4. Olfactory bulb</t>
  </si>
  <si>
    <t xml:space="preserve">HerculanoHouzel_etal_2015_Table4_snapshot.xlsx</t>
  </si>
  <si>
    <t xml:space="preserve">HerculanoHouzel_etal_2015_Table4.csv</t>
  </si>
  <si>
    <t xml:space="preserve">Table 5. Whole brain</t>
  </si>
  <si>
    <t xml:space="preserve">HerculanoHouzel_etal_2015_Table5_snapshot.xlsx</t>
  </si>
  <si>
    <t xml:space="preserve">HerculanoHouzel_etal_2015_Table5.csv</t>
  </si>
  <si>
    <t xml:space="preserve">Herculano-Houzel, S., da Cunha, F. B., Reed, J. L., Kaswera-Kyamakya, C., Gillissen, E., &amp; Manger, P. R. (2020). Microchiropterans have a diminutive cerebral cortex, not an enlarged cerebellum, compared to megachiropterans and other mammals. J Comp Neurol, 528(17), 2978-2993. https://doi.org/10.1002/cne.24985</t>
  </si>
  <si>
    <t xml:space="preserve">TABLE 1 Dataset</t>
  </si>
  <si>
    <t xml:space="preserve">HerculanoHouzel_etal_2020_TABLE1_snapshot.csv</t>
  </si>
  <si>
    <t xml:space="preserve">HerculanoHouzel_etal_2020_Table1.csv</t>
  </si>
  <si>
    <t xml:space="preserve">https://doi.org/10.1002/cne.24985</t>
  </si>
  <si>
    <t xml:space="preserve">bats</t>
  </si>
  <si>
    <t xml:space="preserve">region size</t>
  </si>
  <si>
    <t xml:space="preserve">Bats</t>
  </si>
  <si>
    <t xml:space="preserve">volume (region size)</t>
  </si>
  <si>
    <t xml:space="preserve">TABLE 2 Numbers of neurons and neuronal density (neurons/mg)</t>
  </si>
  <si>
    <t xml:space="preserve">HerculanoHouzel_etal_2020_TABLE2_snapshot.csv</t>
  </si>
  <si>
    <t xml:space="preserve">HerculanoHouzel_etal_2020_Table2.csv</t>
  </si>
  <si>
    <t xml:space="preserve">Cell numbers</t>
  </si>
  <si>
    <t xml:space="preserve">Herculano-Houzel, S., Watson, C., &amp; Paxinos, G. (2013). Distribution of neurons in functional areas of the mouse cerebral cortex reveals quantitatively different cortical zones. Front Neuroanat, 7, 35. https://doi.org/10.3389/fnana.2013.00035</t>
  </si>
  <si>
    <t xml:space="preserve">Figure 2 Top Left</t>
  </si>
  <si>
    <t xml:space="preserve">cell numbers</t>
  </si>
  <si>
    <t xml:space="preserve">Table 1-a</t>
  </si>
  <si>
    <t xml:space="preserve">Table 1-b</t>
  </si>
  <si>
    <t xml:space="preserve">Isler, K., Christopher Kirk, E., Miller, J. M. A., Albrecht, G. A., Gelvin, B. R., &amp; Martin, R. D. (2008). Endocranial volumes of primate species: scaling analyses using a comprehensive and reliable data set. J Hum Evol, 55(6), 967. https://doi.org/10.1016/j.jhevol.2008.08.004</t>
  </si>
  <si>
    <t xml:space="preserve">endocranial volume</t>
  </si>
  <si>
    <t xml:space="preserve">endocranial / brain volume</t>
  </si>
  <si>
    <t xml:space="preserve">Table 7</t>
  </si>
  <si>
    <t xml:space="preserve">Table S3</t>
  </si>
  <si>
    <t xml:space="preserve">Tree.nex</t>
  </si>
  <si>
    <t xml:space="preserve">tree</t>
  </si>
  <si>
    <t xml:space="preserve">phylogenetic tree</t>
  </si>
  <si>
    <t xml:space="preserve">phylogeny (tree)</t>
  </si>
  <si>
    <t xml:space="preserve">Iwaniuk, A. N., Nelson, J. E., &amp; Pellis, S. M. (2001). Do big-brained animals play more? Comparative analyses of play and relative brain size in mammals. J Comp Psychol, 115(1), 29-41. https://doi.org/10.1037/0735-7036.115.1.29</t>
  </si>
  <si>
    <t xml:space="preserve">Table 1 Encephalization Quotients (EQs) and Play Scores for 15 Mammalian Orders</t>
  </si>
  <si>
    <t xml:space="preserve">only manually added M1 species; do all species and record steps</t>
  </si>
  <si>
    <t xml:space="preserve">mammal clades</t>
  </si>
  <si>
    <t xml:space="preserve">play</t>
  </si>
  <si>
    <t xml:space="preserve">behavioural (play)</t>
  </si>
  <si>
    <t xml:space="preserve">Table 2 The Five Play Scores and Relative Brain Sizes for the Species of Muroid Rodents Examined</t>
  </si>
  <si>
    <t xml:space="preserve">Table 3 The Play Scores and Relative Brain ( EQ) and Neocortex Sizes for the Marsupials Examined</t>
  </si>
  <si>
    <t xml:space="preserve">Table 4 Play Scores and Relative Brain and Neocortex Sizes for the Primates Examined</t>
  </si>
  <si>
    <t xml:space="preserve">Iwaniuk, A. N., Pellis, S. M., &amp; Whishaw, I. Q. (1999). Is digital dexterity really related to corticospinal projections?: a re-analysis of the Heffner and Masterton data set using modern comparative statistics. Behav Brain Res, 101(2), 173-187. https://doi.org/10.1016/s0166-4328(98)00151-x</t>
  </si>
  <si>
    <t xml:space="preserve">References</t>
  </si>
  <si>
    <t xml:space="preserve">reference list</t>
  </si>
  <si>
    <t xml:space="preserve">forelimb use / dexterity</t>
  </si>
  <si>
    <t xml:space="preserve">behavioural (forelimb use)</t>
  </si>
  <si>
    <t xml:space="preserve">Table 1 The anatomical and behavioural traits used the comparative analysis</t>
  </si>
  <si>
    <t xml:space="preserve">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</si>
  <si>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 xml:space="preserve">TABLE 1 | Summary of the cellular composition of the major brain structures of eight carnivoran species.</t>
  </si>
  <si>
    <t xml:space="preserve">JardimMesseder_etal_2017_Table1_snapshot.csv</t>
  </si>
  <si>
    <t xml:space="preserve">JardimMesseder_etal_2017_Table1.csv</t>
  </si>
  <si>
    <t xml:space="preserve">https://doi.org/10.3389/fnana.2017.00118</t>
  </si>
  <si>
    <t xml:space="preserve">companion animals</t>
  </si>
  <si>
    <t xml:space="preserve">Carnivores &amp; other companion mammals</t>
  </si>
  <si>
    <t xml:space="preserve">Johansen, A., Beliveau, V., Colliander, E., Raval, N. R., Dam, V. H., Gillings, N., Aznar, S., Svarer, C., Plaven-Sigray, P., &amp; Knudsen, G. M. (2024). An In Vivo High-Resolution Human Brain Atlas of Synaptic Density. J Neurosci, 44(33). https://doi.org/10.1523/JNEUROSCI.1750-23.2024</t>
  </si>
  <si>
    <t xml:space="preserve">Table 2. Summary of SV2A Bmax (pmol/mL) in individual regions in the left and right hemisphere and for a weighted average (total)</t>
  </si>
  <si>
    <t xml:space="preserve">the synaptic marker Synaptic Vesicle glycoprotein 2A (SV2A)</t>
  </si>
  <si>
    <t xml:space="preserve">Humans (+ primates)</t>
  </si>
  <si>
    <t xml:space="preserve">synaptic density (SV2A)</t>
  </si>
  <si>
    <t xml:space="preserve">Karbowski, J. (2007). Global and regional brain metabolic scaling and its functional consequences. BMC Biol, 5, 18. https://doi.org/10.1186/1741-7007-5-18</t>
  </si>
  <si>
    <t xml:space="preserve">Global and regional brain metabolic scaling (Table 1)</t>
  </si>
  <si>
    <t xml:space="preserve">meta-analysis</t>
  </si>
  <si>
    <t xml:space="preserve">brain metabolic scaling</t>
  </si>
  <si>
    <t xml:space="preserve">metabolic scaling</t>
  </si>
  <si>
    <t xml:space="preserve">Table S1. Brain oxygen consumption data in adult awake unanesthetized animals.</t>
  </si>
  <si>
    <t xml:space="preserve">brain oxygen metabolism</t>
  </si>
  <si>
    <t xml:space="preserve">secondary compilation</t>
  </si>
  <si>
    <t xml:space="preserve">metabolic rate</t>
  </si>
  <si>
    <t xml:space="preserve">Table S2. Brain glucose utilization data in adult awake unanesthetized animals.</t>
  </si>
  <si>
    <t xml:space="preserve">brain glucose metabolism</t>
  </si>
  <si>
    <t xml:space="preserve">Table S3. Visual cortex glucose utilization rate in mammals.</t>
  </si>
  <si>
    <t xml:space="preserve">Table S4</t>
  </si>
  <si>
    <t xml:space="preserve">Table S4. Prefrontal cortex glucose utilization rate in mammals.</t>
  </si>
  <si>
    <t xml:space="preserve">Table S5</t>
  </si>
  <si>
    <t xml:space="preserve">Table S5. Frontal cortex glucose utilization rate in mammals.</t>
  </si>
  <si>
    <t xml:space="preserve">Table S6</t>
  </si>
  <si>
    <t xml:space="preserve">Table S6. Cingulate cortex glucose utilization rate in mammals.</t>
  </si>
  <si>
    <t xml:space="preserve">Table S7</t>
  </si>
  <si>
    <t xml:space="preserve">Table S7. Temporal cortex glucose utilization rate in mammals.</t>
  </si>
  <si>
    <t xml:space="preserve">Table S8</t>
  </si>
  <si>
    <t xml:space="preserve">Table S8. Sensorimotor cortex glucose utilization rate in mammals.</t>
  </si>
  <si>
    <t xml:space="preserve">Table S9</t>
  </si>
  <si>
    <t xml:space="preserve">Table S9. Occipital cortex glucose utilization rate in mammals.</t>
  </si>
  <si>
    <t xml:space="preserve">Table S10</t>
  </si>
  <si>
    <t xml:space="preserve">Table S10. Parietal cortex glucose utilization rate in mammals.</t>
  </si>
  <si>
    <t xml:space="preserve">Table S11</t>
  </si>
  <si>
    <t xml:space="preserve">Table S11. Cerebral cortex average glucose utilization rate in mammals. Data for Fig. 2E in the main text.</t>
  </si>
  <si>
    <t xml:space="preserve">Table S12</t>
  </si>
  <si>
    <t xml:space="preserve">Table S12. Cerebral cortex average glucose utilization rate in mammals. Data for Fig. S1 in the Supplementary Information.</t>
  </si>
  <si>
    <t xml:space="preserve">Table S13</t>
  </si>
  <si>
    <t xml:space="preserve">Table S13. Thalamus glucose utilization rate in mammals.</t>
  </si>
  <si>
    <t xml:space="preserve">Table S14</t>
  </si>
  <si>
    <t xml:space="preserve">Table S14. Cerebellum glucose utilization rate in mammals.</t>
  </si>
  <si>
    <t xml:space="preserve">Table S15</t>
  </si>
  <si>
    <t xml:space="preserve">Table S15. Hypothalamus glucose utilization rate in mammals.</t>
  </si>
  <si>
    <t xml:space="preserve">Table S16</t>
  </si>
  <si>
    <t xml:space="preserve">Table S16. Hippocampus glucose utilization rate in mammals.</t>
  </si>
  <si>
    <t xml:space="preserve">Table S17</t>
  </si>
  <si>
    <t xml:space="preserve">Table S17. Amygdala glucose utilization rate in mammals.</t>
  </si>
  <si>
    <t xml:space="preserve">Table S18</t>
  </si>
  <si>
    <t xml:space="preserve">Table S18. Septum glucose utilization rate in mammals.</t>
  </si>
  <si>
    <t xml:space="preserve">Table S19</t>
  </si>
  <si>
    <t xml:space="preserve">Table S19. Caudate glucose utilization rate in mammals.</t>
  </si>
  <si>
    <t xml:space="preserve">Table S20</t>
  </si>
  <si>
    <t xml:space="preserve">Table S20. Substantia nigra glucose utilization rate in mammals.</t>
  </si>
  <si>
    <t xml:space="preserve">Table S21</t>
  </si>
  <si>
    <t xml:space="preserve">Table S21. Globus pallidus glucose utilization rate in mammals.</t>
  </si>
  <si>
    <t xml:space="preserve">Table S22</t>
  </si>
  <si>
    <t xml:space="preserve">Table S22. Brainstem glucose utilization rate in mammals.</t>
  </si>
  <si>
    <t xml:space="preserve">Table S23</t>
  </si>
  <si>
    <t xml:space="preserve">Table S23. White matter glucose utilization rate in mammals.</t>
  </si>
  <si>
    <t xml:space="preserve">Karl, M. T., Kim, Y. D., Rajendran, K., Manger, P. R., &amp; Sherwood, C. C. (2024). Invariance of Mitochondria and Synapses in the Primary Visual Cortex of Mammals Provides Insight Into Energetics and Function. J Comp Neurol, 532(9), e25669. https://doi.org/10.1002/cne.25669</t>
  </si>
  <si>
    <t xml:space="preserve">TABLE 1 Dataset used in this study.</t>
  </si>
  <si>
    <t xml:space="preserve">synapse density</t>
  </si>
  <si>
    <t xml:space="preserve">Kaufman, J. A. (2004). Pattern and scaling of regional cerebral glucose metabolism in mammals (Publication No. 3147447) [Doctoral dissertation, Washington University in St. Louis]. ProQuest Dissertations &amp; Theses Global.</t>
  </si>
  <si>
    <t xml:space="preserve">UMI:3147447</t>
  </si>
  <si>
    <t xml:space="preserve">Table A1</t>
  </si>
  <si>
    <t xml:space="preserve">Table A1. Basal Ganglia rCMR and rCBF (units: Glucose &amp; Oxygen umol/lOOg/min, Blood flow ml/lOOg/min)</t>
  </si>
  <si>
    <t xml:space="preserve">Kaufman__2004_TableA1_snapshot.csv</t>
  </si>
  <si>
    <t xml:space="preserve">Kaufman__2004_TableA1.csv</t>
  </si>
  <si>
    <t xml:space="preserve">Doctoral dissertation (not in PubMed; no DOI). Use ProQuest Dissertations &amp; Theses number (or WashU OpenScholarship URI) as the identifier - add the actual number.</t>
  </si>
  <si>
    <t xml:space="preserve">brain/body scaling</t>
  </si>
  <si>
    <t xml:space="preserve">metabolic / brain-body scaling</t>
  </si>
  <si>
    <t xml:space="preserve">Table A2</t>
  </si>
  <si>
    <t xml:space="preserve">Table A2. Hippocampus rCMR and rCBF</t>
  </si>
  <si>
    <t xml:space="preserve">Kaufman__2004_TableA2_snapshot.csv</t>
  </si>
  <si>
    <t xml:space="preserve">Kaufman__2004_TableA2.csv</t>
  </si>
  <si>
    <t xml:space="preserve">Table A3</t>
  </si>
  <si>
    <t xml:space="preserve">Table A3. Thalamus rCMR and rCBF</t>
  </si>
  <si>
    <t xml:space="preserve">Kaufman__2004_TableA3_snapshot.csv</t>
  </si>
  <si>
    <t xml:space="preserve">Kaufman__2004_TableA3.csv</t>
  </si>
  <si>
    <t xml:space="preserve">Table A4</t>
  </si>
  <si>
    <t xml:space="preserve">Table A4. Cerebellum rCMR and rCBF</t>
  </si>
  <si>
    <t xml:space="preserve">Kaufman__2004_TableA4_snapshot.csv</t>
  </si>
  <si>
    <t xml:space="preserve">Kaufman__2004_TableA4.csv</t>
  </si>
  <si>
    <t xml:space="preserve">Table A5</t>
  </si>
  <si>
    <t xml:space="preserve">Table A5. White Matter rCMR and rCBF</t>
  </si>
  <si>
    <t xml:space="preserve">Kaufman__2004_TableA5_snapshot.csv</t>
  </si>
  <si>
    <t xml:space="preserve">Kaufman__2004_TableA5.csv</t>
  </si>
  <si>
    <t xml:space="preserve">Table A6</t>
  </si>
  <si>
    <t xml:space="preserve">Table A6. Neocortex rCMR and rCBF</t>
  </si>
  <si>
    <t xml:space="preserve">Kaufman__2004_TableA6_snapshot.csv</t>
  </si>
  <si>
    <t xml:space="preserve">Kaufman__2004_TableA6.csv</t>
  </si>
  <si>
    <t xml:space="preserve">Table A7</t>
  </si>
  <si>
    <t xml:space="preserve">Table A7. Frontal Cortex rCMR and rCBF</t>
  </si>
  <si>
    <t xml:space="preserve">Kaufman__2004_TableA7_snapshot.csv</t>
  </si>
  <si>
    <t xml:space="preserve">Kaufman__2004_TableA7.csv</t>
  </si>
  <si>
    <t xml:space="preserve">Table A8</t>
  </si>
  <si>
    <t xml:space="preserve">Table A8. Parietal Cortex rCMR and rCBF</t>
  </si>
  <si>
    <t xml:space="preserve">Kaufman__2004_TableA8_snapshot.csv</t>
  </si>
  <si>
    <t xml:space="preserve">Kaufman__2004_TableA8.csv</t>
  </si>
  <si>
    <t xml:space="preserve">Table A9</t>
  </si>
  <si>
    <t xml:space="preserve">Table A9. Temporal Cortex rCMR and rCBF</t>
  </si>
  <si>
    <t xml:space="preserve">Kaufman__2004_TableA9_snapshot.csv</t>
  </si>
  <si>
    <t xml:space="preserve">Kaufman__2004_TableA9.csv</t>
  </si>
  <si>
    <t xml:space="preserve">Table A10</t>
  </si>
  <si>
    <t xml:space="preserve">Table A10. Auditory Cortex rCMR and rCBF</t>
  </si>
  <si>
    <t xml:space="preserve">Kaufman__2004_TableA10_snapshot.csv</t>
  </si>
  <si>
    <t xml:space="preserve">Kaufman__2004_TableA10.csv</t>
  </si>
  <si>
    <t xml:space="preserve">Table A11</t>
  </si>
  <si>
    <t xml:space="preserve">Table A11. Occipital Cortex rCMR and rCBF</t>
  </si>
  <si>
    <t xml:space="preserve">Kaufman__2004_TableA11_snapshot.csv</t>
  </si>
  <si>
    <t xml:space="preserve">Kaufman__2004_TableA11.csv</t>
  </si>
  <si>
    <t xml:space="preserve">Table A12</t>
  </si>
  <si>
    <t xml:space="preserve">Table A12. Sensorimotor Cortex rCMR and rCBF</t>
  </si>
  <si>
    <t xml:space="preserve">Kaufman__2004_TableA12_snapshot.csv</t>
  </si>
  <si>
    <t xml:space="preserve">Kaufman__2004_TableA12.csv</t>
  </si>
  <si>
    <t xml:space="preserve">Table A13</t>
  </si>
  <si>
    <t xml:space="preserve">Table A13. Cingulate Cortex rCMR and rCBF</t>
  </si>
  <si>
    <t xml:space="preserve">Kaufman__2004_TableA13_snapshot.csv</t>
  </si>
  <si>
    <t xml:space="preserve">Kaufman__2004_TableA13.csv</t>
  </si>
  <si>
    <t xml:space="preserve">Table A14</t>
  </si>
  <si>
    <t xml:space="preserve">Table A14. Whole Brain CM R and CBF (direct measurement)</t>
  </si>
  <si>
    <t xml:space="preserve">Kaufman__2004_TableA14_snapshot.csv</t>
  </si>
  <si>
    <t xml:space="preserve">Kaufman__2004_TableA14.csv</t>
  </si>
  <si>
    <t xml:space="preserve">Table A15</t>
  </si>
  <si>
    <t xml:space="preserve">Table A15. Species Means in Conscious Subjects</t>
  </si>
  <si>
    <t xml:space="preserve">Kaufman__2004_TableA15_snapshot.csv</t>
  </si>
  <si>
    <t xml:space="preserve">Kaufman__2004_TableA15.csv</t>
  </si>
  <si>
    <t xml:space="preserve">Kochiyama, T., Ogihara, N., Tanabe, H. C., Kondo, O., Amano, H., Hasegawa, K., Suzuki, H., Ponce de Leon, M. S., Zollikofer, C. P. E., Bastir, M., Stringer, C., Sadato, N., &amp; Akazawa, T. (2018). Reconstructing the Neanderthal brain using computational anatomy. Sci Rep, 8(1), 6296. https://doi.org/10.1038/s41598-018-24331-0</t>
  </si>
  <si>
    <t xml:space="preserve">Extended Data Figure 4</t>
  </si>
  <si>
    <t xml:space="preserve">xml:space="preserve"&gt;Extended Data Figure 4  Comparisons of the relative volumes of the parcellated brain regions among NT, EH and MH, assuming that the variation within NT and EH was equivalent to that of MH. </t>
  </si>
  <si>
    <t xml:space="preserve">data that are extracted from bar plots</t>
  </si>
  <si>
    <t xml:space="preserve">figure</t>
  </si>
  <si>
    <t xml:space="preserve">Extended Data Table 1</t>
  </si>
  <si>
    <t xml:space="preserve">xml:space="preserve"&gt;Extended Data Table 1 Correspondence between the AAL atlas and the parcellated brain regions </t>
  </si>
  <si>
    <t xml:space="preserve">Extended Data Table 3</t>
  </si>
  <si>
    <t xml:space="preserve">xml:space="preserve"&gt;Extended Data Table 3 Statistical test results of differences in the relative volumes of the parcellated brain regions among NT, EH and MH. </t>
  </si>
  <si>
    <t xml:space="preserve">Figure 3 legend</t>
  </si>
  <si>
    <t xml:space="preserve">Figure 3. Comparisons of the relative volumes of the parcellated brain regions among NT, EH and MH.</t>
  </si>
  <si>
    <t xml:space="preserve">data that are written in the legend</t>
  </si>
  <si>
    <t xml:space="preserve">figure legend</t>
  </si>
  <si>
    <t xml:space="preserve">Figure 3A</t>
  </si>
  <si>
    <t xml:space="preserve">Figure 3B</t>
  </si>
  <si>
    <t xml:space="preserve">FossilSpecimensText</t>
  </si>
  <si>
    <t xml:space="preserve">Main text</t>
  </si>
  <si>
    <t xml:space="preserve">Fossil Specimens description in Main text</t>
  </si>
  <si>
    <t xml:space="preserve">Krubitzer, L. A., &amp; Kaas, J. H. (1990). Cortical connections of MT in four species of primates: areal, modular, and retinotopic patterns. Vis Neurosci, 5(2), 165-204. https://doi.org/10.1017/s0952523800000213</t>
  </si>
  <si>
    <t xml:space="preserve">Table 1. Surface areas of cortical fields as a percentage of the total surface of neocortex (See Fig. 1 for visual areas).</t>
  </si>
  <si>
    <t xml:space="preserve">Kverkova, K., Belikova, T., Olkowicz, S., Pavelkova, Z., O'Riain, M. J., Sumbera, R., Burda, H., Bennett, N. C., &amp; Nemec, P. (2018). Sociality does not drive the evolution of large brains in eusocial African mole-rats. Sci Rep, 8(1), 9203. https://doi.org/10.1038/s41598-018-26062-8</t>
  </si>
  <si>
    <t xml:space="preserve">Table 1. Origin and use of the experimental animals.</t>
  </si>
  <si>
    <t xml:space="preserve">Kverkova_etal_2018_Table1_snapshot.xlsx</t>
  </si>
  <si>
    <t xml:space="preserve">Kverkova_etal_2018_TableS1.csv</t>
  </si>
  <si>
    <t xml:space="preserve">docx</t>
  </si>
  <si>
    <t xml:space="preserve">Kverkova</t>
  </si>
  <si>
    <t xml:space="preserve">African mole-rats (Bathyergidae)</t>
  </si>
  <si>
    <t xml:space="preserve">sample size and information</t>
  </si>
  <si>
    <t xml:space="preserve">Rodents (African mole-rats +)</t>
  </si>
  <si>
    <t xml:space="preserve">sample info</t>
  </si>
  <si>
    <t xml:space="preserve">Table S1. Brain mass and brain region volumes</t>
  </si>
  <si>
    <t xml:space="preserve">Kverkova_etal_2018_TableS1_snapshot.xlsx</t>
  </si>
  <si>
    <t xml:space="preserve">https://static-content.springer.com/esm/art%3A10.1038%2Fs41598-018-26062-8/MediaObjects/41598_2018_26062_MOESM1_ESM.docx</t>
  </si>
  <si>
    <t xml:space="preserve">primary; secondary brain and body mass</t>
  </si>
  <si>
    <t xml:space="preserve">Table S5. Numbers of neurons in the whole brain and the major brain divisions</t>
  </si>
  <si>
    <t xml:space="preserve">Kverkova_etal_2018_TableS5_snapshot.csv</t>
  </si>
  <si>
    <t xml:space="preserve">Kverkova_etal_2018_TableS5.csv</t>
  </si>
  <si>
    <t xml:space="preserve">docx online</t>
  </si>
  <si>
    <t xml:space="preserve">Lewitus, E., Kelava, I., &amp; Huttner, W. B. (2013). Conical expansion of the outer subventricular zone and the role of neocortical folding in evolution and development. Front Hum Neurosci, 7, 424. https://doi.org/10.3389/fnhum.2013.00424</t>
  </si>
  <si>
    <t xml:space="preserve">Table S2 partial</t>
  </si>
  <si>
    <t xml:space="preserve">cortical progenitors / oSVZ</t>
  </si>
  <si>
    <t xml:space="preserve">cortical development (outer SVZ)</t>
  </si>
  <si>
    <t xml:space="preserve">Lewitus, E., Kelava, I., Kalinka, A. T., Tomancak, P., &amp; Huttner, W. B. (2014). An adaptive threshold in mammalian neocortical evolution. PLoS Biol, 12(11), e1002000. https://doi.org/10.1371/journal.pbio.1002000</t>
  </si>
  <si>
    <t xml:space="preserve">Table S1 Physiological and life-history variables</t>
  </si>
  <si>
    <t xml:space="preserve">gyrification</t>
  </si>
  <si>
    <t xml:space="preserve">cortical folding (gyrification)</t>
  </si>
  <si>
    <t xml:space="preserve">Table S8: Neocortical neuron number for Figure 3d</t>
  </si>
  <si>
    <t xml:space="preserve">MacLarnon, A. (1996). The scaling of gross dimensions of the spinal cord in primates and other species. J Hum Evol, 30(1), 71-87. https://doi.org/10.1006/jhev.1996.0005</t>
  </si>
  <si>
    <t xml:space="preserve">Table 1 Data</t>
  </si>
  <si>
    <t xml:space="preserve">spinal cord dimensions</t>
  </si>
  <si>
    <t xml:space="preserve">spinal cord morphometry (volume)</t>
  </si>
  <si>
    <t xml:space="preserve">MacLeod, C. E. (2000). The cerebellum and its part in the evolution of the hominoid brain (Publication No. NQ61662) [Doctoral dissertation, Simon Fraser University]. Library and Archives Canada.</t>
  </si>
  <si>
    <t xml:space="preserve">NQ:61662</t>
  </si>
  <si>
    <t xml:space="preserve">APPENDIX I</t>
  </si>
  <si>
    <t xml:space="preserve">APPENDIX I: DUESSELDORF RECORDS OF PRIMATES USED IN HIRNFORSCHUNG VOLUMETRIC STUDY</t>
  </si>
  <si>
    <t xml:space="preserve">MacLeod, C. E., Zilles, K., Schleicher, A., Rilling, J. K., &amp; Gibson, K. R. (2003). Expansion of the neocerebellum in Hominoidea. J Hum Evol, 44(4), 401-429. https://doi.org/10.1016/s0047-2484(03)00028-9</t>
  </si>
  <si>
    <t xml:space="preserve">Table 1 Volumetric data from the Yerkes sample</t>
  </si>
  <si>
    <t xml:space="preserve">Rilling</t>
  </si>
  <si>
    <t xml:space="preserve">MRI</t>
  </si>
  <si>
    <t xml:space="preserve">cerebellum / neocerebellum volume</t>
  </si>
  <si>
    <t xml:space="preserve">Table 2 Volumetric data from the Hirnforschung sample</t>
  </si>
  <si>
    <t xml:space="preserve">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</si>
  <si>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 xml:space="preserve">speciespredictors</t>
  </si>
  <si>
    <t xml:space="preserve">https://github.com/ManyPrimates/mp1_short_term_memory/raw/master/data/species_predictors.xlsx</t>
  </si>
  <si>
    <t xml:space="preserve">various secondary and primary data, e.g., ecology</t>
  </si>
  <si>
    <t xml:space="preserve">number of vocalizations</t>
  </si>
  <si>
    <t xml:space="preserve">behavioural (cognition / vocalization)</t>
  </si>
  <si>
    <t xml:space="preserve">Matano, S. (2001). Brief communication: Proportions of the ventral half of the cerebellar dentate nucleus in humans and great apes. Am J Phys Anthropol, 114(2), 163-165. https://doi.org/10.1002/1096-8644(200102)114:2&lt;163::AID-AJPA1016&gt;3.0.CO;2-F</t>
  </si>
  <si>
    <t xml:space="preserve">TABLE 2. Volume of the dentate nucleus investigated (mm3)</t>
  </si>
  <si>
    <t xml:space="preserve">Matano, S., Baron, G., Stephan, H., &amp; Frahm, H. D. (1985). Volume comparisons in the cerebellar complex of primates. II. Cerebellar nuclei. Folia Primatol (Basel), 44(3-4), 182-203. https://doi.org/10.1159/000156212</t>
  </si>
  <si>
    <t xml:space="preserve">Cerebellar complex II. Cerebellar nuclei (Table 1)</t>
  </si>
  <si>
    <t xml:space="preserve">cerebellar nuclei volume</t>
  </si>
  <si>
    <t xml:space="preserve">Matano, S., Stephan, H., &amp; Baron, G. (1985). Volume comparisons in the cerebellar complex of primates. I. Ventral pons. Folia Primatol (Basel), 44(3-4), 171-181. https://doi.org/10.1159/000156211</t>
  </si>
  <si>
    <t xml:space="preserve">Mota, B., &amp; Herculano-Houzel, S. (2015). Cortical folding scales universally with surface area and thickness, not number of neurons. Science, 349(6243), 74-77. https://doi.org/10.1126/science.aaa9101</t>
  </si>
  <si>
    <t xml:space="preserve">cortical folding</t>
  </si>
  <si>
    <t xml:space="preserve">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</si>
  <si>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 xml:space="preserve">Supplementary Table S1</t>
  </si>
  <si>
    <t xml:space="preserve">Supplementary Table S1. Morphometrical and cell number data used in this study (“our dataset”).</t>
  </si>
  <si>
    <t xml:space="preserve">total and exposed cortical surface area</t>
  </si>
  <si>
    <t xml:space="preserve">white matter &amp; folding</t>
  </si>
  <si>
    <t xml:space="preserve">white matter volume / folding</t>
  </si>
  <si>
    <t xml:space="preserve">Powell, L. E., Isler, K., &amp; Barton, R. A. (2017). Re-evaluating the link between brain size and behavioural ecology in primates. Proc Biol Sci, 284(1865). https://doi.org/10.1098/rspb.2017.1765</t>
  </si>
  <si>
    <t xml:space="preserve">10.6084/m9.figshare.c.3899422.v1</t>
  </si>
  <si>
    <t xml:space="preserve">Dataset 1</t>
  </si>
  <si>
    <t xml:space="preserve">https://figshare.com/ndownloader/files/9479092</t>
  </si>
  <si>
    <t xml:space="preserve">ecology</t>
  </si>
  <si>
    <t xml:space="preserve">Rilling, J. K., &amp; Insel, T. R. (1998). Evolution of the cerebellum in primates: differences in relative volume among monkeys, apes and humans. Brain Behav Evol, 52(6), 308-314. https://doi.org/10.1159/000006575</t>
  </si>
  <si>
    <t xml:space="preserve">Table 1. Mean (±ÛSEM) body weight, brain volume and cerebellum volume in 11 haplorhine primate species</t>
  </si>
  <si>
    <t xml:space="preserve">Rilling, J. K., &amp; Insel, T. R. (1999). The primate neocortex in comparative perspective using magnetic resonance imaging. J Hum Evol, 37(2), 191-223. https://doi.org/10.1006/jhev.1999.0313</t>
  </si>
  <si>
    <t xml:space="preserve">Table 1 Data on 11 species of anthropoid primates</t>
  </si>
  <si>
    <t xml:space="preserve">Schniter, E., &amp; Penaherrera-Aguirre, M. (2026). Evolution of primate vocal repertoires: vocal systems as embodied capital for mediating within-group conflict. Primates. https://doi.org/10.1007/s10329-026-01271-2</t>
  </si>
  <si>
    <t xml:space="preserve">data</t>
  </si>
  <si>
    <t xml:space="preserve">vocal repertoire size</t>
  </si>
  <si>
    <t xml:space="preserve">behavioural (vocal repertoire)</t>
  </si>
  <si>
    <t xml:space="preserve">Semendeferi, K., &amp; Damasio, H. (2000). The brain and its main anatomical subdivisions in living hominoids using magnetic resonance imaging. J Hum Evol, 38(2), 317-332. https://doi.org/10.1006/jhev.1999.0381</t>
  </si>
  <si>
    <t xml:space="preserve">Semendeferi, K., Armstrong, E., Schleicher, A., Zilles, K., &amp; Van Hoesen, G. W. (1998). Limbic frontal cortex in hominoids: a comparative study of area 13. Am J Phys Anthropol, 106(2), 129-155. https://doi.org/10.1002/(SICI)1096-8644(199806)106:2&lt;129::AID-AJPA3&gt;3.0.CO;2-L</t>
  </si>
  <si>
    <t xml:space="preserve">TABLE 2. Volumes of the brain and area 13 in all hominoids</t>
  </si>
  <si>
    <t xml:space="preserve">frontal lobe / limbic volume</t>
  </si>
  <si>
    <t xml:space="preserve">Semendeferi, K., Armstrong, E., Schleicher, A., Zilles, K., &amp; Van Hoesen, G. W. (2001). Prefrontal cortex in humans and apes: a comparative study of area 10. Am J Phys Anthropol, 114(3), 224-241. https://doi.org/10.1002/1096-8644(200103)114:3&lt;224::AID-AJPA1022&gt;3.0.CO;2-I</t>
  </si>
  <si>
    <t xml:space="preserve">TABLE 2. Volumes of the brain and area 10 in all hominoids</t>
  </si>
  <si>
    <t xml:space="preserve">frontal cortex (area 10) volume</t>
  </si>
  <si>
    <t xml:space="preserve">Semendeferi, K., Lu, A., Schenker, N., &amp; Damasio, H. (2002). Humans and great apes share a large frontal cortex. Nat Neurosci, 5(3), 272-276. https://doi.org/10.1038/nn814</t>
  </si>
  <si>
    <t xml:space="preserve">Table 1. The relative size of the frontal cortex</t>
  </si>
  <si>
    <t xml:space="preserve">frontal lobe volume</t>
  </si>
  <si>
    <t xml:space="preserve">Seymour, R. S., Angove, S. E., Snelling, E. P., &amp; Cassey, P. (2015). Scaling of cerebral blood perfusion in primates and marsupials. J Exp Biol, 218(Pt 16), 2631-2640. https://doi.org/10.1242/jeb.124826</t>
  </si>
  <si>
    <t xml:space="preserve">TableS1</t>
  </si>
  <si>
    <t xml:space="preserve">Seymour, R. S., Bosiocic, V., &amp; Snelling, E. P. (2017). Correction to 'Fossil skulls reveal that blood flow rate to the brain increased faster than brain volume during human evolution'. R Soc Open Sci, 4(8), 170846. https://doi.org/10.1098/rsos.170846</t>
  </si>
  <si>
    <t xml:space="preserve">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</si>
  <si>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 xml:space="preserve">rspb20192208_si_002</t>
  </si>
  <si>
    <t xml:space="preserve">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</si>
  <si>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 xml:space="preserve">TABLE I</t>
  </si>
  <si>
    <t xml:space="preserve">TABLE I. Structure Volumes From Formalin-Fixed Brains (Volumes in cm3)</t>
  </si>
  <si>
    <t xml:space="preserve">Sherwood</t>
  </si>
  <si>
    <t xml:space="preserve">Hof</t>
  </si>
  <si>
    <t xml:space="preserve">Sherwood, C. C., Hof, P. R., Holloway, R. L., Semendeferi, K., Gannon, P. J., Frahm, H. D., &amp; Zilles, K. (2005). Evolution of the brainstem orofacial motor system in primates: a comparative study of trigeminal, facial, and hypoglossal nuclei. J Hum Evol, 48(1), 45-84. https://doi.org/10.1016/j.jhevol.2004.10.003</t>
  </si>
  <si>
    <t xml:space="preserve">Brainstem orofacial motor nuclei in primates (Table 1)</t>
  </si>
  <si>
    <t xml:space="preserve">brainstem motor nuclei volumes</t>
  </si>
  <si>
    <t xml:space="preserve">Sherwood, C. C., Holloway, R. L., Erwin, J. M., Schleicher, A., Zilles, K., &amp; Hof, P. R. (2004). Cortical orofacial motor representation in Old World Monkeys, great apes, and humans. I. Quantitative Analysis of Cytoarchitecture. Brain Behav Evol, 63(2), 61-81. https://doi.org/10.1159/000075672</t>
  </si>
  <si>
    <t xml:space="preserve">I</t>
  </si>
  <si>
    <t xml:space="preserve">Table 4. GLI values for each cortical layer</t>
  </si>
  <si>
    <t xml:space="preserve">need to record steps</t>
  </si>
  <si>
    <t xml:space="preserve">tables</t>
  </si>
  <si>
    <t xml:space="preserve">GLI: laminar and profiles</t>
  </si>
  <si>
    <t xml:space="preserve">cytoarchitecture (GLI laminar profiles)</t>
  </si>
  <si>
    <t xml:space="preserve">Table 5. Species mean values for 10 GLI profile feature vectors</t>
  </si>
  <si>
    <t xml:space="preserve">Smaers, J. B., &amp; Soligo, C. (2013). Brain reorganization, not relative brain size, primarily characterizes anthropoid brain evolution. Proceedings of the Royal Society B, 280(1759), 20130269</t>
  </si>
  <si>
    <t xml:space="preserve">10.1098/rspb.2013.0269</t>
  </si>
  <si>
    <t xml:space="preserve">Supplement</t>
  </si>
  <si>
    <t xml:space="preserve">Brain region volumes and phylogenetic reorganization analysis.</t>
  </si>
  <si>
    <t xml:space="preserve">brain region volumes / reorganization</t>
  </si>
  <si>
    <t xml:space="preserve">Anthropoid primates</t>
  </si>
  <si>
    <t xml:space="preserve">Smaers, J. B., Gomez-Robles, A., Parks, A. N., &amp; Sherwood, C. C. (2017). Exceptional Evolutionary Expansion of Prefrontal Cortex in Great Apes and Humans. Curr Biol, 27(5), 714-720. https://doi.org/10.1016/j.cub.2017.01.020</t>
  </si>
  <si>
    <t xml:space="preserve">Table S1 part 1</t>
  </si>
  <si>
    <t xml:space="preserve">Exceptional expansion of prefrontal cortex (Table 1)</t>
  </si>
  <si>
    <t xml:space="preserve">part 1 volumes</t>
  </si>
  <si>
    <t xml:space="preserve">Smaers (compilation)</t>
  </si>
  <si>
    <t xml:space="preserve">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</si>
  <si>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 xml:space="preserve">prefrontal cortex size</t>
  </si>
  <si>
    <t xml:space="preserve">both (compilation)</t>
  </si>
  <si>
    <t xml:space="preserve">Table S1 part 2</t>
  </si>
  <si>
    <t xml:space="preserve">part 2 surface areas</t>
  </si>
  <si>
    <t xml:space="preserve">Smaers, J. B., Steele, J., Case, C. R., Cowper, A., Amunts, K., &amp; Zilles, K. (2011). Primate prefrontal cortex evolution: human brains are the extreme of a lateralized ape trend. Brain Behav Evol, 77(2), 67-78. https://doi.org/10.1159/000323671</t>
  </si>
  <si>
    <t xml:space="preserve">SupplementaryTable1</t>
  </si>
  <si>
    <t xml:space="preserve">prefrontal cortex / cortical reorganization</t>
  </si>
  <si>
    <t xml:space="preserve">SupplementaryTable2</t>
  </si>
  <si>
    <t xml:space="preserve">Smaers, J. B., Turner, A. H., Gómez-Robles, A., &amp; Sherwood, C. C. (2018). A cerebellar substrate for cognition evolved multiple times independently in mammals. eLife, 7, e35696</t>
  </si>
  <si>
    <t xml:space="preserve">10.7554/eLife.35696</t>
  </si>
  <si>
    <t xml:space="preserve">Figure 2 - data 1</t>
  </si>
  <si>
    <t xml:space="preserve">Cerebellum and cerebrotype volumes across mammals.</t>
  </si>
  <si>
    <t xml:space="preserve">cerebellum / cerebrotype volumes</t>
  </si>
  <si>
    <t xml:space="preserve">Stephan, H., Baron, G., &amp; Frahm, H. D. (1982). Comparison of brain structure volumes in Insectivora and Primates. II. Accessory olfactory bulb (AOB). J Hirnforsch, 23(5), 575-591. https://www.ncbi.nlm.nih.gov/pubmed/7161483</t>
  </si>
  <si>
    <t xml:space="preserve">PMID:7161483</t>
  </si>
  <si>
    <t xml:space="preserve">Table 1. Data on AOB and its three measured components in the 61 species. All volumes (columns 2 and 7-9) are in mm3.</t>
  </si>
  <si>
    <t xml:space="preserve">accessory olfactory bulb volume</t>
  </si>
  <si>
    <t xml:space="preserve">Stephan, H., Baron, G., &amp; Frahm, H. D. (1988). Comparative size of brains and brain components. In H. D. Stelis &amp; J. Erwin (Eds.), Neurosciences (Vol. 4, pp. 1-38). Liss.</t>
  </si>
  <si>
    <t xml:space="preserve">ISBN:0845140000</t>
  </si>
  <si>
    <t xml:space="preserve">TABLE I. Body Weights (BoWs in g), Brain Weights (BrWs in mg), and Encephalization Indexes (Els) of Tenrecinae, Scandentia, and the 45 Primate Species Whose Brain Structures Were Measured. Some Ecoethological Characteristics Are Given for the Primate Species</t>
  </si>
  <si>
    <t xml:space="preserve">Stephan, H., Bauchot, R., &amp; Andy, O. J. (1970). Data on the size of the brain and of the various brain parts in insectivores and primates. In C. R. Noback &amp; W. Montagna (Eds.), The Primate Brain (pp. 289-296). Appleton-Century-Crofts</t>
  </si>
  <si>
    <t xml:space="preserve">ISBN:0390672505</t>
  </si>
  <si>
    <t xml:space="preserve">TABLE 1 Data on body and brain weight (in g and mg) and volume of the fundemental brain sections (in mm3) in Insectivores</t>
  </si>
  <si>
    <t xml:space="preserve">Insectivora, Scandentia</t>
  </si>
  <si>
    <t xml:space="preserve">TABLE 2 Data on body and brain weight (in g and mg) and volume of the fundemental brain sections (in mm3) in Prosimians</t>
  </si>
  <si>
    <t xml:space="preserve">TABLE 3</t>
  </si>
  <si>
    <t xml:space="preserve">TABLE 3 Data on body and brain weight (in g and mg) and volume of the fundemental brain sections (in mm3) in Simians</t>
  </si>
  <si>
    <t xml:space="preserve">TABLE 4</t>
  </si>
  <si>
    <t xml:space="preserve">TABLE 4 Volume of the various components of the telencephalon in Insectivores (in mm3)</t>
  </si>
  <si>
    <t xml:space="preserve">TABLE 5</t>
  </si>
  <si>
    <t xml:space="preserve">TABLE 5 Volume of the various components of the telencephalon in Prosimians (in mm3)</t>
  </si>
  <si>
    <t xml:space="preserve">TABLE 6</t>
  </si>
  <si>
    <t xml:space="preserve">TABLE 6 Volume of the various components of the telencephalon in Simians (in mm3)</t>
  </si>
  <si>
    <t xml:space="preserve">Tables 1-6</t>
  </si>
  <si>
    <t xml:space="preserve">Tables 1-6 combined</t>
  </si>
  <si>
    <t xml:space="preserve">Stephan, H., Frahm, H. D., &amp; Baron, G. (1984). Comparison of brain structure volumes in insectivora and primates. IV. Non-cortical visual structures. J Hirnforsch, 25(4), 385-403. https://www.ncbi.nlm.nih.gov/pubmed/6481154</t>
  </si>
  <si>
    <t xml:space="preserve">PMID:6481154</t>
  </si>
  <si>
    <t xml:space="preserve">Table 1. Data on half surface of eyes (HSE), cross-sectional areas of nervus opticus (NOA), and the dorsal lateral geniculate body (CGL).</t>
  </si>
  <si>
    <t xml:space="preserve">non-cortical visual structure volumes</t>
  </si>
  <si>
    <t xml:space="preserve">Stephan, H., Frahm, H. D., &amp; Baron, G. (1987). Comparison of brain structure volumes in Insectivora and primates. VII. Amygdaloid components. J Hirnforsch, 28(5), 571-584. https://www.ncbi.nlm.nih.gov/pubmed/3693895</t>
  </si>
  <si>
    <t xml:space="preserve">PMID:3693895</t>
  </si>
  <si>
    <t xml:space="preserve">Table 1. Volumes and indices of the amygdala (AMY) and amygdaloid components (LAM, MAM, MCB, NTO) in Macroscelidea, Insectivora and Scandentia</t>
  </si>
  <si>
    <t xml:space="preserve">amygdaloid component volumes</t>
  </si>
  <si>
    <t xml:space="preserve">Stephan, H., Frahm, H., &amp; Baron, G. (1981). New and revised data on volumes of brain structures in insectivores and primates. Folia Primatol (Basel), 35(1), 1-29. https://doi.org/10.1159/000155963</t>
  </si>
  <si>
    <t xml:space="preserve">Table I. Data on body weights (g). brain weights (mg). and volumes or total brain and fundamental brain parts (mm3) in insectivores</t>
  </si>
  <si>
    <t xml:space="preserve">brain structure volumes</t>
  </si>
  <si>
    <t xml:space="preserve">Table II</t>
  </si>
  <si>
    <t xml:space="preserve">Table II. Data on body weights (g), brain weights (mg), and volumes of total brain and fundamental brain parts (mm1) in prosimians; for comments on structures see table I</t>
  </si>
  <si>
    <t xml:space="preserve">Table III</t>
  </si>
  <si>
    <t xml:space="preserve">Table III. Data on body weights (g). brain weights (mg), and volumes or total brain and fundamental brain pans (mm&gt;) in simians; for comments on structures see table I</t>
  </si>
  <si>
    <t xml:space="preserve">Table IV</t>
  </si>
  <si>
    <t xml:space="preserve">Table IV: Volumes of the telencephalon and of its components (mm3) in insectivores</t>
  </si>
  <si>
    <t xml:space="preserve">Table V</t>
  </si>
  <si>
    <t xml:space="preserve">Table V. Volumes of the telencephalon and of its components (mm3) in prosimians; for comments on structures see table IV</t>
  </si>
  <si>
    <t xml:space="preserve">Table VI</t>
  </si>
  <si>
    <t xml:space="preserve">Table VI. Volumes of the telencephalon and of its components (mm3) in simians: for comments on structures see table IV</t>
  </si>
  <si>
    <t xml:space="preserve">Table VII</t>
  </si>
  <si>
    <t xml:space="preserve">Table VIl. Volumes of components of the diencephalon (mm3) in insectivores</t>
  </si>
  <si>
    <t xml:space="preserve">Stephan, H., Frahm, H., &amp; Baron, G. (1981). New and revised data on volumes of brain structures in insectivores and primates. Folia Primatol (Basel), 35(1), 1-29. https://doi.org/10.1159/000155964</t>
  </si>
  <si>
    <t xml:space="preserve">Table VIII</t>
  </si>
  <si>
    <t xml:space="preserve">Table VIII. Volumes of components of the diencephalon (mm3) in primates</t>
  </si>
  <si>
    <t xml:space="preserve">Stephan, H., Frahm, H., &amp; Baron, G. (1981). New and revised data on volumes of brain structures in insectivores and primates. Folia Primatol (Basel), 35(1), 1-29. https://doi.org/10.1159/000155965</t>
  </si>
  <si>
    <t xml:space="preserve">Table IX</t>
  </si>
  <si>
    <t xml:space="preserve">Table IX. Volumes of visual cortex (area striata) and lateral geniculate body (mm3) in primates</t>
  </si>
  <si>
    <t xml:space="preserve">Stephan, H., Frahm, H., &amp; Baron, G. (1981). New and revised data on volumes of brain structures in insectivores and primates. Folia Primatol (Basel), 35(1), 1-29. https://doi.org/10.1159/000155966</t>
  </si>
  <si>
    <t xml:space="preserve">Table X</t>
  </si>
  <si>
    <t xml:space="preserve">Table X. Volume of paleocortex, of amygdala and ils various components (mm3) in insectivores</t>
  </si>
  <si>
    <t xml:space="preserve">Table XI</t>
  </si>
  <si>
    <t xml:space="preserve">Table XI. Volumes of paleocortex, of amygdala and its various components (mm3) in primates: for comments on structures see table X</t>
  </si>
  <si>
    <t xml:space="preserve">Table XII</t>
  </si>
  <si>
    <t xml:space="preserve">Table XII. Volumes of vestibular complex and its various components (mm3) in insectivores</t>
  </si>
  <si>
    <t xml:space="preserve">Table XIII</t>
  </si>
  <si>
    <t xml:space="preserve">Table XIII. Volumes of vestibular complex and its various components (mm3) in primates</t>
  </si>
  <si>
    <t xml:space="preserve">Table XIV</t>
  </si>
  <si>
    <t xml:space="preserve">Table XIV. Volumes of various periventricular structures (mm 3) in insectivores</t>
  </si>
  <si>
    <t xml:space="preserve">Table XV</t>
  </si>
  <si>
    <t xml:space="preserve">Table XV. Volumes of various periventricular structures (mm3) in prosimians</t>
  </si>
  <si>
    <t xml:space="preserve">Table XVI</t>
  </si>
  <si>
    <t xml:space="preserve">Table XVI. Volumes of various periventricular structures (mm3) in simians</t>
  </si>
  <si>
    <t xml:space="preserve">TablesI-VI</t>
  </si>
  <si>
    <t xml:space="preserve">Tables I-VI combined. The file name should be changed!</t>
  </si>
  <si>
    <t xml:space="preserve">Stimpson, C. D., Barger, N., Taglialatella, J. P., Gendron-Fitzpatrick, A., Hof, P. R., Hopkins, W. D., &amp; Sherwood, C. C. (2015). Differential serotonergic innervation of the amygdala in bonobos and chimpanzees. Soc Cogn Affect Neurosci. https://doi.org/10.1093/scan/nsv128</t>
  </si>
  <si>
    <t xml:space="preserve">Table_S1</t>
  </si>
  <si>
    <t xml:space="preserve">Table_S2</t>
  </si>
  <si>
    <t xml:space="preserve">Turner, E. C., Young, N. A., Reed, J. L., Collins, C. E., Flaherty, D. K., Gabi, M., &amp; Kaas, J. H. (2016). Distributions of cells and neurons across the cortical sheet in old world macaques. Brain Behav Evol, 88(1), 1-13. https://doi.org/10.1159/000446762</t>
  </si>
  <si>
    <t xml:space="preserve">Table 1. Summary of experimental cases</t>
  </si>
  <si>
    <t xml:space="preserve">Brain surface total area</t>
  </si>
  <si>
    <t xml:space="preserve">Weaver, A. G. H. (2001). The cerebellum and cognitive evolution in Pliocene and Pleistocene hominids (Publication No. 3017523) [Doctoral dissertation, The University of New Mexico]. ProQuest Dissertations &amp; Theses Global.</t>
  </si>
  <si>
    <t xml:space="preserve">UMI:3017523</t>
  </si>
  <si>
    <t xml:space="preserve">Notes for Table A-15</t>
  </si>
  <si>
    <t xml:space="preserve">Table A-15</t>
  </si>
  <si>
    <t xml:space="preserve">Table A-15: Data for Raw and Derived Variables</t>
  </si>
  <si>
    <t xml:space="preserve">Wilman, H., Belmaker, J., Simpson, J., de la Rosa, C., Rivadeneira, M. M., &amp; Jetz, W. (2014). EltonTraits 1.0: Species‐level foraging attributes of the world's birds and mammals. Ecology, 95(7), 2027-2027. https://doi.org/10.1890/13-1917.1</t>
  </si>
  <si>
    <t xml:space="preserve">MamFuncDat</t>
  </si>
  <si>
    <t xml:space="preserve">diet &amp; body mass (functional traits)</t>
  </si>
  <si>
    <t xml:space="preserve">ecological traits (diet, body mass)</t>
  </si>
  <si>
    <t xml:space="preserve">Wimberly, A. N., Slater, G. J., &amp; Granatosky, M. C. (2021). Evolutionary history of quadrupedal walking gaits shows mammalian release from locomotor constraint. Proc Biol Sci, 288(1957), 20210937. https://doi.org/10.1098/rspb.2021.0937</t>
  </si>
  <si>
    <t xml:space="preserve">MammalGait</t>
  </si>
  <si>
    <t xml:space="preserve">Winkler, S. L., &amp; Bryant, G. A. (2021). Play vocalisations and human laughter: a comparative review. Bioacoustics, 1-28. https://doi.org/10.1080/09524622.2021.1905065</t>
  </si>
  <si>
    <t xml:space="preserve">Figure 1</t>
  </si>
  <si>
    <t xml:space="preserve">table and figure</t>
  </si>
  <si>
    <t xml:space="preserve">play vocalizations</t>
  </si>
  <si>
    <t xml:space="preserve">behavioural (play vocalizations)</t>
  </si>
  <si>
    <t xml:space="preserve">Young, N. A., Collins, C. E., &amp; Kaas, J. H. (2013). Cell and neuron densities in the primary motor cortex of primates [Original Research]. Front Neural Circuits, 7(30), 30. https://doi.org/10.3389/fncir.2013.00030</t>
  </si>
  <si>
    <t xml:space="preserve">M1 Cell count, surface area, mass</t>
  </si>
  <si>
    <t xml:space="preserve">cell count + cortical surface area</t>
  </si>
  <si>
    <t xml:space="preserve">Young, N. A., Szabo, C. A., Phelix, C. F., Flaherty, D. K., Balaram, P., Foust-Yeoman, K. B., Collins, C. E., &amp; Kaas, J. H. (2013). Epileptic baboons have lower numbers of neurons in specific areas of cortex. Proc Natl Acad Sci U S A, 110(47), 19107-19112. https://doi.org/10.1073/pnas.1318894110</t>
  </si>
  <si>
    <t xml:space="preserve">Epileptic baboons: cortical neuron numbers (Table 1) [folder _b]</t>
  </si>
  <si>
    <t xml:space="preserve">cortical neuron numbers</t>
  </si>
  <si>
    <t xml:space="preserve">Primates (+ rodents)</t>
  </si>
  <si>
    <t xml:space="preserve">cortical neuron number</t>
  </si>
  <si>
    <t xml:space="preserve">Zilles, K., &amp; Rehkämper, G. (1988). The brain, with special reference to the telencephalon. In J. H. Schwartz (Ed.), Orang-Utan Biology (pp. 157-176). Oxford University Press</t>
  </si>
  <si>
    <t xml:space="preserve">ISBN:9780195043716</t>
  </si>
  <si>
    <t xml:space="preserve">Table 12-2</t>
  </si>
  <si>
    <t xml:space="preserve">Brain structure volumes of great apes (Pan, Gorilla, Pongo).</t>
  </si>
  <si>
    <t xml:space="preserve">telencephalon &amp; brain-structure volumes</t>
  </si>
  <si>
    <t xml:space="preserve">Great apes (Pan, Gorilla, Pongo)</t>
  </si>
  <si>
    <t xml:space="preserve">Zilles, K., Palomero-Gallagher, N., &amp; Amunts, K. (2013). Development of cortical folding during evolution and ontogeny. Trends Neurosci, 36(5), 275-284. https://doi.org/10.1016/j.tins.2013.01.006</t>
  </si>
  <si>
    <t xml:space="preserve">Table1</t>
  </si>
  <si>
    <t xml:space="preserve">Development of cortical folding (review)</t>
  </si>
  <si>
    <t xml:space="preserve">cortical folding / gyrification</t>
  </si>
  <si>
    <t xml:space="preserve">Mammals (+ primates)</t>
  </si>
  <si>
    <t xml:space="preserve">cortical folding (gyrification index)</t>
  </si>
  <si>
    <t xml:space="preserve">Table 2. Regression results for the relationship between endocranial volume and the surface of the frontal, parieto-temporal and occipital lobes.</t>
  </si>
  <si>
    <t xml:space="preserve">Table A-11</t>
  </si>
  <si>
    <t xml:space="preserve">Table A-11: PCF and CBLM Volume from MRI Scans (34 specimens).</t>
  </si>
  <si>
    <t xml:space="preserve">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</si>
  <si>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 xml:space="preserve">Table 3. Average Neuron Number x10^6 (SD) for each nucleus in each species</t>
  </si>
  <si>
    <t xml:space="preserve">amygdala neuron numbers (basolateral + central nuclei)</t>
  </si>
  <si>
    <t xml:space="preserve">neuron count (stereology)</t>
  </si>
  <si>
    <t xml:space="preserve">10.1002%2F(SICI)1096-8644(199806)106%3A2%3C129%3A%3AAID-AJPA3%3E3.0.CO;2-L_TABLE2.tsv</t>
  </si>
  <si>
    <t xml:space="preserve">10.1002%2F1096-8644(200102)114%3A2%3C163%3A%3AAID-AJPA1016%3E3.0.CO;2-F_TABLE2.tsv</t>
  </si>
  <si>
    <t xml:space="preserve">10.1002%2F1096-8644(200103)114%3A3%3C224%3A%3AAID-AJPA1022%3E3.0.CO;2-I_TABLE2.tsv</t>
  </si>
  <si>
    <t xml:space="preserve">10.1002%2Fajp.20048_TABLEI.tsv</t>
  </si>
  <si>
    <t xml:space="preserve">10.1002%2Fajp.20048_unpublishedviaDeCasien.tsv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</si>
  <si>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</si>
  <si>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</si>
  <si>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</si>
  <si>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</si>
  <si>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</si>
  <si>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</si>
  <si>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10.1002%2Far.a.20114_TABLE1.tsv</t>
  </si>
  <si>
    <t xml:space="preserve">10.1002%2Fcne.24605_TABLE1.tsv</t>
  </si>
  <si>
    <t xml:space="preserve">10.1002%2Fcne.24605_TABLE2.tsv</t>
  </si>
  <si>
    <t xml:space="preserve">10.1002%2Fcne.24985_TABLE1.tsv</t>
  </si>
  <si>
    <t xml:space="preserve">10.1002%2Fcne.24985_TABLE2.tsv</t>
  </si>
  <si>
    <t xml:space="preserve">10.1002%2Fcne.25669_TABLE1.tsv</t>
  </si>
  <si>
    <t xml:space="preserve">10.1002%2Fcne.70089_TABLE1.tsv</t>
  </si>
  <si>
    <t xml:space="preserve">10.1006%2Fjhev.1996.0005_Table1.tsv</t>
  </si>
  <si>
    <t xml:space="preserve">10.1006%2Fjhev.1999.0313_Table1.tsv</t>
  </si>
  <si>
    <t xml:space="preserve">10.1007%2Fs004220000205_Figure3.tsv</t>
  </si>
  <si>
    <t xml:space="preserve">10.1007%2Fs10329-026-01271-2_data.tsv</t>
  </si>
  <si>
    <t xml:space="preserve">10.1016%2Fj.cub.2017.01.020_TableS1part1.tsv</t>
  </si>
  <si>
    <t xml:space="preserve">10.1016%2Fj.cub.2017.01.020_TableS1part2.tsv</t>
  </si>
  <si>
    <t xml:space="preserve">10.1016%2Fj.jhevol.2004.10.003_Table1.tsv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</si>
  <si>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</si>
  <si>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</si>
  <si>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</si>
  <si>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</si>
  <si>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</si>
  <si>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</si>
  <si>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</si>
  <si>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</si>
  <si>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</si>
  <si>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</si>
  <si>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</si>
  <si>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</si>
  <si>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10.1016%2Fj.jhevol.2017.09.003_Table1.tsv</t>
  </si>
  <si>
    <t xml:space="preserve">10.1016%2Fj.jhevol.2018.10.002_SOMTableS6.tsv</t>
  </si>
  <si>
    <t xml:space="preserve">10.1016%2Fj.tins.2013.01.006_Table1.tsv</t>
  </si>
  <si>
    <t xml:space="preserve">10.1016%2Fj.zool.2020.125753_SupplementaryTable.tsv</t>
  </si>
  <si>
    <t xml:space="preserve">10.1016%2Fs0047-2484(03)00028-9_Table1.tsv</t>
  </si>
  <si>
    <t xml:space="preserve">10.1016%2Fs0047-2484(03)00028-9_Table2.tsv</t>
  </si>
  <si>
    <t xml:space="preserve">10.1016%2Fs0166-4328(98)00151-x_Table1.tsv</t>
  </si>
  <si>
    <t xml:space="preserve">10.1017%2Fs0952523800000213_Table1.tsv</t>
  </si>
  <si>
    <t xml:space="preserve">10.1037%2F0735-7036.115.1.29_Table1.tsv</t>
  </si>
  <si>
    <t xml:space="preserve">10.1037%2F0735-7036.115.1.29_Table2.tsv</t>
  </si>
  <si>
    <t xml:space="preserve">10.1037%2F0735-7036.115.1.29_Table3.tsv</t>
  </si>
  <si>
    <t xml:space="preserve">10.1037%2F0735-7036.115.1.29_Table4.tsv</t>
  </si>
  <si>
    <t xml:space="preserve">10.1038%2Fs41467-020-14356-3_SupplementaryData3.tsv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</si>
  <si>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</si>
  <si>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</si>
  <si>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</si>
  <si>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</si>
  <si>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</si>
  <si>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</si>
  <si>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</si>
  <si>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</si>
  <si>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</si>
  <si>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</si>
  <si>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</si>
  <si>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10.1038%2Fsrep24528_TableS1.tsv</t>
  </si>
  <si>
    <t xml:space="preserve">10.1073%2Fpnas.0305760101_Table2.tsv</t>
  </si>
  <si>
    <t xml:space="preserve">10.1073%2Fpnas.0905777106_TableS1.tsv</t>
  </si>
  <si>
    <t xml:space="preserve">10.1073%2Fpnas.1010356107_DatasetS1.tsv</t>
  </si>
  <si>
    <t xml:space="preserve">10.1073%2Fpnas.1318894110_Table1.tsv</t>
  </si>
  <si>
    <t xml:space="preserve">10.1073%2Fpnas.1524208113_Table1.tsv</t>
  </si>
  <si>
    <t xml:space="preserve">10.1073%2Fpnas.1716956116_SupplementaryTableS1.tsv</t>
  </si>
  <si>
    <t xml:space="preserve">10.1080%2F09524622.2021.1905065_Figure1.tsv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</si>
  <si>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</si>
  <si>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</si>
  <si>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</si>
  <si>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</si>
  <si>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</si>
  <si>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10.1098%2Frsos.170846_TableS1.tsv</t>
  </si>
  <si>
    <t xml:space="preserve">10.1098%2Frspb.2015.1853_Table1.tsv</t>
  </si>
  <si>
    <t xml:space="preserve">10.1098%2Frspb.2015.1853_Table2.tsv</t>
  </si>
  <si>
    <t xml:space="preserve">10.1098%2Frspb.2019.2208_rspb20192208si002.tsv</t>
  </si>
  <si>
    <t xml:space="preserve">10.1098%2Frspb.2021.0937_MammalGait.tsv</t>
  </si>
  <si>
    <t xml:space="preserve">10.1111%2Fbrv.12350_TableS2.tsv</t>
  </si>
  <si>
    <t xml:space="preserve">10.1111%2Fjzo.12608_TableS1.tsv</t>
  </si>
  <si>
    <t xml:space="preserve">10.1126%2Fscience.aaa9101_TableS1.tsv</t>
  </si>
  <si>
    <t xml:space="preserve">10.1159%2F000006575_Table1.tsv</t>
  </si>
  <si>
    <t xml:space="preserve">10.1159%2F000068880_Table1.tsv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</si>
  <si>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</si>
  <si>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</si>
  <si>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</si>
  <si>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</si>
  <si>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</si>
  <si>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</si>
  <si>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10.1159%2F000155963_TablesI-VI.tsv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</si>
  <si>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</si>
  <si>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</si>
  <si>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</si>
  <si>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</si>
  <si>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</si>
  <si>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</si>
  <si>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</si>
  <si>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</si>
  <si>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</si>
  <si>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</si>
  <si>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</si>
  <si>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</si>
  <si>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</si>
  <si>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</si>
  <si>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</si>
  <si>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</si>
  <si>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</si>
  <si>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</si>
  <si>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</si>
  <si>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</si>
  <si>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</si>
  <si>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</si>
  <si>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</si>
  <si>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10.1159%2F000452856_TableS1.tsv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</si>
  <si>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</si>
  <si>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</si>
  <si>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</si>
  <si>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</si>
  <si>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</si>
  <si>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</si>
  <si>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</si>
  <si>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</si>
  <si>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</si>
  <si>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</si>
  <si>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</si>
  <si>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</si>
  <si>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</si>
  <si>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</si>
  <si>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</si>
  <si>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</si>
  <si>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</si>
  <si>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</si>
  <si>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</si>
  <si>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</si>
  <si>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</si>
  <si>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</si>
  <si>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</si>
  <si>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10.1242%2Fjeb.124826_TableS1.tsv</t>
  </si>
  <si>
    <t xml:space="preserve">10.1371%2Fjournal.pbio.1002000_TableS1.tsv</t>
  </si>
  <si>
    <t xml:space="preserve">10.1371%2Fjournal.pbio.1002000_TableS8.tsv</t>
  </si>
  <si>
    <t xml:space="preserve">10.1523%2FJNEUROSCI.2339-19.2020_Table1.tsv</t>
  </si>
  <si>
    <t xml:space="preserve">10.1523%2FJNEUROSCI.2339-19.2020_unpublished.tsv</t>
  </si>
  <si>
    <t xml:space="preserve">10.1890%2F13-1917.1_MamFuncDat.tsv</t>
  </si>
  <si>
    <t xml:space="preserve">10.26451%2Fabc.09.04.06.2022_speciespredictors.tsv</t>
  </si>
  <si>
    <t xml:space="preserve">10.3389%2Ffnana.2013.00035_Figure2TopLeft.tsv</t>
  </si>
  <si>
    <t xml:space="preserve">10.3389%2Ffnana.2013.00035_Table1-a.tsv</t>
  </si>
  <si>
    <t xml:space="preserve">10.3389%2Ffnana.2013.00035_Table1-b.tsv</t>
  </si>
  <si>
    <t xml:space="preserve">10.3389%2Ffnana.2017.00118_Table1.tsv</t>
  </si>
  <si>
    <t xml:space="preserve">10.3389%2Ffncir.2013.00030_Table1.tsv</t>
  </si>
  <si>
    <t xml:space="preserve">10.3389%2Ffnhum.2013.00424_TableS2partial.tsv</t>
  </si>
  <si>
    <t xml:space="preserve">10.3389%2Ffnhum.2014.00277_Table1.tsv</t>
  </si>
  <si>
    <t xml:space="preserve">10.3389%2Ffnins.2021.632853_TABLE1.tsv</t>
  </si>
  <si>
    <t xml:space="preserve">10.6084%2Fm9.figshare.c.3899422.v1_Dataset1.tsv</t>
  </si>
  <si>
    <t xml:space="preserve">10.7554%2FeLife.77875_Supplementaryfile3.tsv</t>
  </si>
  <si>
    <t xml:space="preserve">10.7554%2FeLife.77875_Table1.tsv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</si>
  <si>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</si>
  <si>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</si>
  <si>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</si>
  <si>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</si>
  <si>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</si>
  <si>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</si>
  <si>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</si>
  <si>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</si>
  <si>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ISBN%3A9780195043716_Table12-2.tsv</t>
  </si>
  <si>
    <t xml:space="preserve">NA.tsv</t>
  </si>
  <si>
    <t xml:space="preserve">NQ%3A61662_APPENDIXI.tsv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</si>
  <si>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</si>
  <si>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</si>
  <si>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</si>
  <si>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</si>
  <si>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</si>
  <si>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</si>
  <si>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</si>
  <si>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PMID%3A6663055_Table1.tsv</t>
  </si>
  <si>
    <t xml:space="preserve">PMID%3A7161477_Table2.tsv</t>
  </si>
  <si>
    <t xml:space="preserve">PMID%3A7161483_Table1.tsv</t>
  </si>
  <si>
    <t xml:space="preserve">PMID%3A7983368_Table1.tsv</t>
  </si>
  <si>
    <t xml:space="preserve">PMID%3A9176733_Table1.tsv</t>
  </si>
  <si>
    <t xml:space="preserve">PMID%3A9672110_Table1.tsv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</si>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</sst>
</file>

<file path=xl/styles.xml><?xml version="1.0" encoding="utf-8"?>
<styleSheet xmlns="http://schemas.openxmlformats.org/spreadsheetml/2006/main">
  <numFmts count="1">
    <numFmt numFmtId="164" formatCode="General"/>
  </numFmts>
  <fonts count="8">
    <font>
      <sz val="12"/>
      <color theme="1"/>
      <name val="Calibri"/>
      <family val="2"/>
      <charset val="1"/>
    </font>
    <font>
      <sz val="10"/>
      <name val="Arial"/>
      <family val="0"/>
    </font>
    <font>
      <sz val="10"/>
      <name val="Arial"/>
      <family val="0"/>
    </font>
    <font>
      <sz val="10"/>
      <name val="Arial"/>
      <family val="0"/>
    </font>
    <font>
      <b val="true"/>
      <sz val="12"/>
      <color rgb="FF3F3F76"/>
      <name val="Calibri"/>
      <family val="0"/>
      <charset val="1"/>
    </font>
    <font>
      <b val="true"/>
      <sz val="12"/>
      <color theme="1"/>
      <name val="Calibri"/>
      <family val="0"/>
      <charset val="1"/>
    </font>
    <font>
      <sz val="12"/>
      <color rgb="FF3F3F76"/>
      <name val="Calibri"/>
      <family val="0"/>
      <charset val="1"/>
    </font>
    <font>
      <sz val="12"/>
      <color theme="1"/>
      <name val="Calibri"/>
      <family val="0"/>
      <charset val="1"/>
    </font>
  </fonts>
  <fills count="3">
    <fill>
      <patternFill patternType="none"/>
    </fill>
    <fill>
      <patternFill patternType="gray125"/>
    </fill>
    <fill>
      <patternFill patternType="solid">
        <fgColor rgb="FFFFCC99"/>
        <bgColor rgb="FFC0C0C0"/>
      </patternFill>
    </fill>
  </fills>
  <borders count="4">
    <border diagonalUp="false" diagonalDown="false">
      <left/>
      <right/>
      <top/>
      <bottom/>
      <diagonal/>
    </border>
    <border diagonalUp="false" diagonalDown="false">
      <left style="thin">
        <color rgb="FF7F7F7F"/>
      </left>
      <right style="thin">
        <color rgb="FF7F7F7F"/>
      </right>
      <top style="thin">
        <color rgb="FF7F7F7F"/>
      </top>
      <bottom style="thin">
        <color rgb="FF7F7F7F"/>
      </bottom>
      <diagonal/>
    </border>
    <border diagonalUp="false" diagonalDown="false">
      <left style="thin">
        <color rgb="FF7F7F7F"/>
      </left>
      <right style="thin">
        <color rgb="FF7F7F7F"/>
      </right>
      <top/>
      <bottom/>
      <diagonal/>
    </border>
    <border diagonalUp="false" diagonalDown="false">
      <left/>
      <right style="thin">
        <color rgb="FF7F7F7F"/>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2"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7" fillId="0" borderId="3"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worksheets/sheet1.xml"/><Relationship Id="rId7" Type="http://schemas.openxmlformats.org/officeDocument/2006/relationships/customXml" Target="../customXml/item2.xml"/><Relationship Id="rId2" Type="http://schemas.openxmlformats.org/officeDocument/2006/relationships/styles" Target="styles.xml"/><Relationship Id="rId1" Type="http://schemas.openxmlformats.org/officeDocument/2006/relationships/theme" Target="theme/theme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worksheet" Target="worksheets/sheet2.xml"/></Relationships>
</file>

<file path=xl/theme/theme1.xml><?xml version="1.0" encoding="utf-8"?>
<a:theme xmlns:a="http://schemas.openxmlformats.org/drawingml/2006/main" xmlns:r="http://schemas.openxmlformats.org/officeDocument/2006/relationships"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225"/>
  <sheetViews>
    <sheetView showFormulas="false" showGridLines="true" showRowColHeaders="true" showZeros="true" rightToLeft="false" tabSelected="true" showOutlineSymbols="true" defaultGridColor="true" view="normal" topLeftCell="A1" colorId="64" zoomScale="111" zoomScaleNormal="111"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C5" activeCellId="0" sqref="C5"/>
    </sheetView>
  </sheetViews>
  <sheetFormatPr defaultColWidth="10.6171875" defaultRowHeight="15" customHeight="false" zeroHeight="false" outlineLevelRow="0" outlineLevelCol="0"/>
  <cols>
    <col collapsed="false" customWidth="true" hidden="false" outlineLevel="0" max="1" min="1" style="1" width="67.16"/>
    <col collapsed="false" customWidth="true" hidden="false" outlineLevel="0" max="2" min="2" style="1" width="1.66"/>
    <col collapsed="false" customWidth="true" hidden="false" outlineLevel="0" max="3" min="3" style="1" width="42.66"/>
    <col collapsed="false" customWidth="true" hidden="false" outlineLevel="0" max="4" min="4" style="1" width="8.5"/>
    <col collapsed="false" customWidth="true" hidden="false" outlineLevel="0" max="5" min="5" style="1" width="1.5"/>
    <col collapsed="false" customWidth="true" hidden="false" outlineLevel="0" max="6" min="6" style="1" width="26"/>
    <col collapsed="false" customWidth="true" hidden="false" outlineLevel="0" max="8" min="7" style="1" width="10.33"/>
    <col collapsed="false" customWidth="true" hidden="false" outlineLevel="0" max="9" min="9" style="1" width="6.16"/>
    <col collapsed="false" customWidth="true" hidden="false" outlineLevel="0" max="10" min="10" style="1" width="37.16"/>
    <col collapsed="false" customWidth="true" hidden="false" outlineLevel="0" max="11" min="11" style="1" width="46.16"/>
    <col collapsed="false" customWidth="true" hidden="false" outlineLevel="0" max="12" min="12" style="1" width="41.33"/>
    <col collapsed="false" customWidth="true" hidden="false" outlineLevel="0" max="13" min="13" style="1" width="48"/>
    <col collapsed="false" customWidth="true" hidden="false" outlineLevel="0" max="17" min="14" style="1" width="7.34"/>
    <col collapsed="false" customWidth="true" hidden="false" outlineLevel="0" max="18" min="18" style="1" width="16.66"/>
    <col collapsed="false" customWidth="true" hidden="false" outlineLevel="0" max="26" min="19" style="1" width="7.34"/>
    <col collapsed="false" customWidth="true" hidden="false" outlineLevel="0" max="39" min="28" style="1" width="7.34"/>
    <col collapsed="false" customWidth="true" hidden="false" outlineLevel="0" max="40" min="40" style="1" width="10.84"/>
  </cols>
  <sheetData>
    <row r="1" customFormat="false" ht="15.75" hidden="false" customHeight="true" outlineLevel="0" collapsed="false">
      <c r="A1" s="2" t="s">
        <v>0</v>
      </c>
      <c r="B1" s="2" t="s">
        <v>1</v>
      </c>
      <c r="C1" s="2" t="s">
        <v>2</v>
      </c>
      <c r="D1" s="2" t="s">
        <v>3</v>
      </c>
      <c r="E1" s="3" t="s">
        <v>4</v>
      </c>
      <c r="F1" s="3" t="s">
        <v>5</v>
      </c>
      <c r="G1" s="3" t="s">
        <v>6</v>
      </c>
      <c r="H1" s="3" t="s">
        <v>7</v>
      </c>
      <c r="I1" s="3" t="s">
        <v>8</v>
      </c>
      <c r="J1" s="3" t="s">
        <v>9</v>
      </c>
      <c r="K1" s="3" t="s">
        <v>10</v>
      </c>
      <c r="L1" s="3" t="s">
        <v>11</v>
      </c>
      <c r="M1" s="3" t="s">
        <v>12</v>
      </c>
      <c r="N1" s="4" t="s">
        <v>13</v>
      </c>
      <c r="O1" s="4" t="s">
        <v>14</v>
      </c>
      <c r="P1" s="4" t="s">
        <v>15</v>
      </c>
      <c r="Q1" s="4" t="s">
        <v>16</v>
      </c>
      <c r="R1" s="4" t="s">
        <v>17</v>
      </c>
      <c r="S1" s="4" t="s">
        <v>18</v>
      </c>
      <c r="T1" s="4" t="s">
        <v>19</v>
      </c>
      <c r="U1" s="4" t="s">
        <v>20</v>
      </c>
      <c r="V1" s="4" t="s">
        <v>21</v>
      </c>
      <c r="W1" s="4" t="s">
        <v>22</v>
      </c>
      <c r="X1" s="4" t="s">
        <v>23</v>
      </c>
      <c r="Y1" s="4" t="s">
        <v>24</v>
      </c>
      <c r="Z1" s="4" t="s">
        <v>25</v>
      </c>
      <c r="AA1" s="4" t="s">
        <v>26</v>
      </c>
      <c r="AB1" s="4" t="s">
        <v>27</v>
      </c>
      <c r="AC1" s="4" t="s">
        <v>28</v>
      </c>
      <c r="AD1" s="4" t="s">
        <v>29</v>
      </c>
      <c r="AE1" s="4" t="s">
        <v>30</v>
      </c>
      <c r="AF1" s="4" t="s">
        <v>31</v>
      </c>
      <c r="AG1" s="4" t="s">
        <v>32</v>
      </c>
      <c r="AH1" s="4" t="s">
        <v>33</v>
      </c>
      <c r="AI1" s="4" t="s">
        <v>34</v>
      </c>
      <c r="AJ1" s="4" t="s">
        <v>35</v>
      </c>
      <c r="AK1" s="4" t="s">
        <v>36</v>
      </c>
      <c r="AL1" s="4" t="s">
        <v>37</v>
      </c>
      <c r="AM1" s="4" t="s">
        <v>38</v>
      </c>
    </row>
    <row r="2" customFormat="false" ht="15.75" hidden="false" customHeight="true" outlineLevel="0" collapsed="false">
      <c r="A2" s="4" t="s">
        <v>39</v>
      </c>
      <c r="D2" s="4" t="s">
        <v>40</v>
      </c>
      <c r="E2" s="1" t="str">
        <f aca="false">RIGHT(A2,1)</f>
        <v>5</v>
      </c>
      <c r="F2" s="1" t="str">
        <f aca="false">G2 &amp; IF(H2&lt;&gt;"", "_" &amp; H2, "_") &amp; IF(I2&lt;&gt;"", "_" &amp; I2, "_") &amp; IF(B2&lt;&gt;"", "_" &amp; B2, "")</f>
        <v>Andelin_etal_2019</v>
      </c>
      <c r="G2" s="1" t="str">
        <f aca="false">SUBSTITUTE(SUBSTITUTE(_xlfn.TEXTBEFORE(A2,","), "-", ""), " ", "")</f>
        <v>Andelin</v>
      </c>
      <c r="H2" s="1" t="str">
        <f aca="false">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s="1" t="str">
        <f aca="false">_xlfn.TEXTBEFORE(_xlfn.TEXTAFTER(A2, "("), ")")</f>
        <v>2019</v>
      </c>
      <c r="J2" s="1" t="str">
        <f aca="false">_xlfn.LET(
_xlpm.doi,IF(C2&lt;&gt;"",C2,_xlfn.TEXTAFTER(A2,"https://doi.org/")),
SUBSTITUTE(
SUBSTITUTE(
SUBSTITUTE(
SUBSTITUTE(
_xlpm.doi,
"/","%2F"),
":","%3A"),
"&lt;","%3C"),
"&gt;","%3E")
)</f>
        <v>10.1093%2Fcercor%2Fbhy315</v>
      </c>
      <c r="K2" s="1" t="str">
        <f aca="false">TRIM(_xlfn.TEXTJOIN("_",FALSE(),F2,(SUBSTITUTE(SUBSTITUTE(D2," ",""), "_", ""))))</f>
        <v>Andelin_etal_2019_Table4</v>
      </c>
      <c r="L2" s="1" t="str">
        <f aca="false">J2 &amp; "_" &amp; SUBSTITUTE(SUBSTITUTE(SUBSTITUTE(D2,CHAR(160),"")," ",""),"_","")</f>
        <v>10.1093%2Fcercor%2Fbhy315_Table4</v>
      </c>
      <c r="M2" s="1" t="str">
        <f aca="false" t="array" ref="M2:M2">IFERROR(INDEX(FileList!$A$1:$A$1000,MATCH(TRUE(),EXACT(L2,IFERROR(_xlfn.TEXTBEFORE(FileList!$A$1:$A$1000,".tsv"),"")),0)),"notfound")</f>
        <v>notfound</v>
      </c>
      <c r="P2" s="4" t="s">
        <v>41</v>
      </c>
      <c r="V2" s="4" t="s">
        <v>42</v>
      </c>
      <c r="AJ2" s="4" t="s">
        <v>43</v>
      </c>
      <c r="AL2" s="4" t="s">
        <v>43</v>
      </c>
      <c r="AM2" s="4" t="s">
        <v>43</v>
      </c>
    </row>
    <row r="3" customFormat="false" ht="15.75" hidden="false" customHeight="true" outlineLevel="0" collapsed="false">
      <c r="A3" s="4" t="s">
        <v>44</v>
      </c>
      <c r="D3" s="4" t="s">
        <v>45</v>
      </c>
      <c r="E3" s="1" t="str">
        <f aca="false">RIGHT(A3,1)</f>
        <v>3</v>
      </c>
      <c r="F3" s="1" t="str">
        <f aca="false">G3 &amp; IF(H3&lt;&gt;"", "_" &amp; H3, "_") &amp; IF(I3&lt;&gt;"", "_" &amp; I3, "_") &amp; IF(B3&lt;&gt;"", "_" &amp; B3, "")</f>
        <v>Ashwell__2020</v>
      </c>
      <c r="G3" s="1" t="str">
        <f aca="false">SUBSTITUTE(SUBSTITUTE(_xlfn.TEXTBEFORE(A3,","), "-", ""), " ", "")</f>
        <v>Ashwell</v>
      </c>
      <c r="H3" s="1" t="str">
        <f aca="false">_xlfn.LET(
_xlpm.authors,_xlfn.TEXTBEFORE(A3," ("&amp;I3&amp;")"),
_xlpm.hasAmp,ISNUMBER(SEARCH("&amp;",_xlpm.authors)),
_xlpm.commasBeforeAmp,IF(_xlpm.hasAmp,LEN(_xlfn.TEXTBEFORE(_xlpm.authors,"&amp;"))-LEN(SUBSTITUTE(_xlfn.TEXTBEFORE(_xlpm.authors,"&amp;"),",","")),0),
IF(NOT(_xlpm.hasAmp),"",IF(_xlpm.commasBeforeAmp&gt;2,"etal",TRIM(_xlfn.TEXTBEFORE(_xlfn.TEXTAFTER(_xlpm.authors,"&amp; "),","))))
)</f>
        <v/>
      </c>
      <c r="I3" s="1" t="str">
        <f aca="false">_xlfn.TEXTBEFORE(_xlfn.TEXTAFTER(A3, "("), ")")</f>
        <v>2020</v>
      </c>
      <c r="J3" s="1" t="str">
        <f aca="false">_xlfn.LET(
_xlpm.doi,IF(C3&lt;&gt;"",C3,_xlfn.TEXTAFTER(A3,"https://doi.org/")),
SUBSTITUTE(
SUBSTITUTE(
SUBSTITUTE(
SUBSTITUTE(
_xlpm.doi,
"/","%2F"),
":","%3A"),
"&lt;","%3C"),
"&gt;","%3E")
)</f>
        <v>10.1016%2Fj.zool.2020.125753</v>
      </c>
      <c r="K3" s="1" t="str">
        <f aca="false">TRIM(_xlfn.TEXTJOIN("_",FALSE(),F3,(SUBSTITUTE(SUBSTITUTE(D3," ",""), "_", ""))))</f>
        <v>Ashwell__2020_SupplementaryTable</v>
      </c>
      <c r="L3" s="1" t="str">
        <f aca="false">J3 &amp; "_" &amp; SUBSTITUTE(SUBSTITUTE(SUBSTITUTE(D3,CHAR(160),"")," ",""),"_","")</f>
        <v>10.1016%2Fj.zool.2020.125753_SupplementaryTable</v>
      </c>
      <c r="M3" s="1" t="str">
        <f aca="false" t="array" ref="M3:M3">IFERROR(INDEX(FileList!$A$1:$A$1000,MATCH(TRUE(),EXACT(L3,IFERROR(_xlfn.TEXTBEFORE(FileList!$A$1:$A$1000,".tsv"),"")),0)),"notfound")</f>
        <v>notfound</v>
      </c>
      <c r="N3" s="4" t="s">
        <v>46</v>
      </c>
      <c r="P3" s="4" t="s">
        <v>41</v>
      </c>
      <c r="Y3" s="4" t="s">
        <v>47</v>
      </c>
    </row>
    <row r="4" customFormat="false" ht="15.75" hidden="false" customHeight="true" outlineLevel="0" collapsed="false">
      <c r="A4" s="4" t="s">
        <v>48</v>
      </c>
      <c r="D4" s="4" t="s">
        <v>49</v>
      </c>
      <c r="E4" s="1" t="str">
        <f aca="false">RIGHT(A4,1)</f>
        <v>9</v>
      </c>
      <c r="F4" s="1" t="str">
        <f aca="false">G4 &amp; IF(H4&lt;&gt;"", "_" &amp; H4, "_") &amp; IF(I4&lt;&gt;"", "_" &amp; I4, "_") &amp; IF(B4&lt;&gt;"", "_" &amp; B4, "")</f>
        <v>AvelinodeSouza_etal_2025</v>
      </c>
      <c r="G4" s="1" t="str">
        <f aca="false">SUBSTITUTE(SUBSTITUTE(_xlfn.TEXTBEFORE(A4,","), "-", ""), " ", "")</f>
        <v>AvelinodeSouza</v>
      </c>
      <c r="H4" s="1" t="str">
        <f aca="false">_xlfn.LET(
_xlpm.authors,_xlfn.TEXTBEFORE(A4," ("&amp;I4&amp;")"),
_xlpm.hasAmp,ISNUMBER(SEARCH("&amp;",_xlpm.authors)),
_xlpm.commasBeforeAmp,IF(_xlpm.hasAmp,LEN(_xlfn.TEXTBEFORE(_xlpm.authors,"&amp;"))-LEN(SUBSTITUTE(_xlfn.TEXTBEFORE(_xlpm.authors,"&amp;"),",","")),0),
IF(NOT(_xlpm.hasAmp),"",IF(_xlpm.commasBeforeAmp&gt;2,"etal",TRIM(_xlfn.TEXTBEFORE(_xlfn.TEXTAFTER(_xlpm.authors,"&amp; "),","))))
)</f>
        <v>etal</v>
      </c>
      <c r="I4" s="1" t="str">
        <f aca="false">_xlfn.TEXTBEFORE(_xlfn.TEXTAFTER(A4, "("), ")")</f>
        <v>2025</v>
      </c>
      <c r="J4" s="1" t="str">
        <f aca="false">_xlfn.LET(
_xlpm.doi,IF(C4&lt;&gt;"",C4,_xlfn.TEXTAFTER(A4,"https://doi.org/")),
SUBSTITUTE(
SUBSTITUTE(
SUBSTITUTE(
SUBSTITUTE(
_xlpm.doi,
"/","%2F"),
":","%3A"),
"&lt;","%3C"),
"&gt;","%3E")
)</f>
        <v>10.1002%2Fcne.70089</v>
      </c>
      <c r="K4" s="1" t="str">
        <f aca="false">TRIM(_xlfn.TEXTJOIN("_",FALSE(),F4,(SUBSTITUTE(SUBSTITUTE(D4," ",""), "_", ""))))</f>
        <v>AvelinodeSouza_etal_2025_TABLE1</v>
      </c>
      <c r="L4" s="1" t="str">
        <f aca="false">J4 &amp; "_" &amp; SUBSTITUTE(SUBSTITUTE(SUBSTITUTE(D4,CHAR(160),"")," ",""),"_","")</f>
        <v>10.1002%2Fcne.70089_TABLE1</v>
      </c>
      <c r="M4" s="1" t="str">
        <f aca="false" t="array" ref="M4:M4">IFERROR(INDEX(FileList!$A$1:$A$1000,MATCH(TRUE(),EXACT(L4,IFERROR(_xlfn.TEXTBEFORE(FileList!$A$1:$A$1000,".tsv"),"")),0)),"notfound")</f>
        <v>notfound</v>
      </c>
      <c r="N4" s="4" t="s">
        <v>50</v>
      </c>
      <c r="P4" s="4" t="s">
        <v>41</v>
      </c>
      <c r="Q4" s="4" t="s">
        <v>51</v>
      </c>
      <c r="R4" s="4" t="s">
        <v>52</v>
      </c>
      <c r="S4" s="4" t="s">
        <v>53</v>
      </c>
      <c r="T4" s="4" t="s">
        <v>54</v>
      </c>
      <c r="U4" s="4" t="s">
        <v>55</v>
      </c>
      <c r="V4" s="4" t="s">
        <v>42</v>
      </c>
      <c r="W4" s="4" t="s">
        <v>56</v>
      </c>
      <c r="X4" s="4" t="s">
        <v>57</v>
      </c>
      <c r="Y4" s="4" t="s">
        <v>58</v>
      </c>
      <c r="AG4" s="4" t="s">
        <v>59</v>
      </c>
      <c r="AH4" s="4" t="s">
        <v>60</v>
      </c>
      <c r="AI4" s="4" t="s">
        <v>61</v>
      </c>
      <c r="AJ4" s="4" t="s">
        <v>62</v>
      </c>
      <c r="AK4" s="4" t="s">
        <v>63</v>
      </c>
      <c r="AL4" s="4" t="s">
        <v>63</v>
      </c>
      <c r="AM4" s="4" t="s">
        <v>64</v>
      </c>
    </row>
    <row r="5" customFormat="false" ht="15.75" hidden="false" customHeight="true" outlineLevel="0" collapsed="false">
      <c r="A5" s="4" t="s">
        <v>65</v>
      </c>
      <c r="D5" s="4" t="s">
        <v>66</v>
      </c>
      <c r="E5" s="1" t="str">
        <f aca="false">RIGHT(A5,1)</f>
        <v>5</v>
      </c>
      <c r="F5" s="1" t="str">
        <f aca="false">G5 &amp; IF(H5&lt;&gt;"", "_" &amp; H5, "_") &amp; IF(I5&lt;&gt;"", "_" &amp; I5, "_") &amp; IF(B5&lt;&gt;"", "_" &amp; B5, "")</f>
        <v>Baker_etal_2025</v>
      </c>
      <c r="G5" s="1" t="str">
        <f aca="false">SUBSTITUTE(SUBSTITUTE(_xlfn.TEXTBEFORE(A5,","), "-", ""), " ", "")</f>
        <v>Baker</v>
      </c>
      <c r="H5" s="1" t="str">
        <f aca="false">_xlfn.LET(
_xlpm.authors,_xlfn.TEXTBEFORE(A5," ("&amp;I5&amp;")"),
_xlpm.hasAmp,ISNUMBER(SEARCH("&amp;",_xlpm.authors)),
_xlpm.commasBeforeAmp,IF(_xlpm.hasAmp,LEN(_xlfn.TEXTBEFORE(_xlpm.authors,"&amp;"))-LEN(SUBSTITUTE(_xlfn.TEXTBEFORE(_xlpm.authors,"&amp;"),",","")),0),
IF(NOT(_xlpm.hasAmp),"",IF(_xlpm.commasBeforeAmp&gt;2,"etal",TRIM(_xlfn.TEXTBEFORE(_xlfn.TEXTAFTER(_xlpm.authors,"&amp; "),","))))
)</f>
        <v>etal</v>
      </c>
      <c r="I5" s="1" t="str">
        <f aca="false">_xlfn.TEXTBEFORE(_xlfn.TEXTAFTER(A5, "("), ")")</f>
        <v>2025</v>
      </c>
      <c r="J5" s="1" t="str">
        <f aca="false">_xlfn.LET(
_xlpm.doi,IF(C5&lt;&gt;"",C5,_xlfn.TEXTAFTER(A5,"https://doi.org/")),
SUBSTITUTE(
SUBSTITUTE(
SUBSTITUTE(
SUBSTITUTE(
_xlpm.doi,
"/","%2F"),
":","%3A"),
"&lt;","%3C"),
"&gt;","%3E")
)</f>
        <v>10.1038%2Fs42003-025-08686-5</v>
      </c>
      <c r="K5" s="1" t="str">
        <f aca="false">TRIM(_xlfn.TEXTJOIN("_",FALSE(),F5,(SUBSTITUTE(SUBSTITUTE(D5," ",""), "_", ""))))</f>
        <v>Baker_etal_2025_SupplementaryData1</v>
      </c>
      <c r="L5" s="1" t="str">
        <f aca="false">J5 &amp; "_" &amp; SUBSTITUTE(SUBSTITUTE(SUBSTITUTE(D5,CHAR(160),"")," ",""),"_","")</f>
        <v>10.1038%2Fs42003-025-08686-5_SupplementaryData1</v>
      </c>
      <c r="M5" s="1" t="str">
        <f aca="false" t="array" ref="M5:M5">IFERROR(INDEX(FileList!$A$1:$A$1000,MATCH(TRUE(),EXACT(L5,IFERROR(_xlfn.TEXTBEFORE(FileList!$A$1:$A$1000,".tsv"),"")),0)),"notfound")</f>
        <v>notfound</v>
      </c>
      <c r="N5" s="4"/>
      <c r="P5" s="5"/>
      <c r="Q5" s="5"/>
      <c r="R5" s="5"/>
      <c r="S5" s="5"/>
      <c r="T5" s="5"/>
      <c r="U5" s="5"/>
      <c r="V5" s="5"/>
      <c r="W5" s="5"/>
      <c r="X5" s="5"/>
      <c r="Y5" s="5"/>
      <c r="AG5" s="5"/>
      <c r="AH5" s="5"/>
      <c r="AI5" s="5"/>
      <c r="AJ5" s="5"/>
      <c r="AK5" s="5"/>
      <c r="AL5" s="5"/>
      <c r="AM5" s="5"/>
    </row>
    <row r="6" customFormat="false" ht="15.75" hidden="false" customHeight="true" outlineLevel="0" collapsed="false">
      <c r="A6" s="4" t="s">
        <v>67</v>
      </c>
      <c r="D6" s="4" t="s">
        <v>68</v>
      </c>
      <c r="E6" s="1" t="str">
        <f aca="false">RIGHT(A6,1)</f>
        <v>7</v>
      </c>
      <c r="F6" s="1" t="str">
        <f aca="false">G6 &amp; IF(H6&lt;&gt;"", "_" &amp; H6, "_") &amp; IF(I6&lt;&gt;"", "_" &amp; I6, "_") &amp; IF(B6&lt;&gt;"", "_" &amp; B6, "")</f>
        <v>Balzeau_etal_2012</v>
      </c>
      <c r="G6" s="1" t="str">
        <f aca="false">SUBSTITUTE(SUBSTITUTE(_xlfn.TEXTBEFORE(A6,","), "-", ""), " ", "")</f>
        <v>Balzeau</v>
      </c>
      <c r="H6" s="1" t="str">
        <f aca="false">_xlfn.LET(
_xlpm.authors,_xlfn.TEXTBEFORE(A6," ("&amp;I6&amp;")"),
_xlpm.hasAmp,ISNUMBER(SEARCH("&amp;",_xlpm.authors)),
_xlpm.commasBeforeAmp,IF(_xlpm.hasAmp,LEN(_xlfn.TEXTBEFORE(_xlpm.authors,"&amp;"))-LEN(SUBSTITUTE(_xlfn.TEXTBEFORE(_xlpm.authors,"&amp;"),",","")),0),
IF(NOT(_xlpm.hasAmp),"",IF(_xlpm.commasBeforeAmp&gt;2,"etal",TRIM(_xlfn.TEXTBEFORE(_xlfn.TEXTAFTER(_xlpm.authors,"&amp; "),","))))
)</f>
        <v>etal</v>
      </c>
      <c r="I6" s="1" t="str">
        <f aca="false">_xlfn.TEXTBEFORE(_xlfn.TEXTAFTER(A6, "("), ")")</f>
        <v>2012</v>
      </c>
      <c r="J6" s="1" t="str">
        <f aca="false">_xlfn.LET(
_xlpm.doi,IF(C6&lt;&gt;"",C6,_xlfn.TEXTAFTER(A6,"https://doi.org/")),
SUBSTITUTE(
SUBSTITUTE(
SUBSTITUTE(
SUBSTITUTE(
_xlpm.doi,
"/","%2F"),
":","%3A"),
"&lt;","%3C"),
"&gt;","%3E")
)</f>
        <v>10.1016%2Fj.jhevol.2012.03.007</v>
      </c>
      <c r="K6" s="1" t="str">
        <f aca="false">TRIM(_xlfn.TEXTJOIN("_",FALSE(),F6,(SUBSTITUTE(SUBSTITUTE(D6," ",""), "_", ""))))</f>
        <v>Balzeau_etal_2012_Table3</v>
      </c>
      <c r="L6" s="1" t="str">
        <f aca="false">J6 &amp; "_" &amp; SUBSTITUTE(SUBSTITUTE(SUBSTITUTE(D6,CHAR(160),"")," ",""),"_","")</f>
        <v>10.1016%2Fj.jhevol.2012.03.007_Table3</v>
      </c>
      <c r="M6" s="1" t="str">
        <f aca="false" t="array" ref="M6:M6">IFERROR(INDEX(FileList!$A$1:$A$1000,MATCH(TRUE(),EXACT(L6,IFERROR(_xlfn.TEXTBEFORE(FileList!$A$1:$A$1000,".tsv"),"")),0)),"notfound")</f>
        <v>notfound</v>
      </c>
      <c r="N6" s="4" t="s">
        <v>69</v>
      </c>
    </row>
    <row r="7" customFormat="false" ht="15.75" hidden="false" customHeight="true" outlineLevel="0" collapsed="false">
      <c r="A7" s="4" t="s">
        <v>67</v>
      </c>
      <c r="D7" s="4" t="s">
        <v>70</v>
      </c>
      <c r="E7" s="1" t="str">
        <f aca="false">RIGHT(A7,1)</f>
        <v>7</v>
      </c>
      <c r="F7" s="1" t="str">
        <f aca="false">G7 &amp; IF(H7&lt;&gt;"", "_" &amp; H7, "_") &amp; IF(I7&lt;&gt;"", "_" &amp; I7, "_") &amp; IF(B7&lt;&gt;"", "_" &amp; B7, "")</f>
        <v>Balzeau_etal_2012</v>
      </c>
      <c r="G7" s="1" t="str">
        <f aca="false">SUBSTITUTE(SUBSTITUTE(_xlfn.TEXTBEFORE(A7,","), "-", ""), " ", "")</f>
        <v>Balzeau</v>
      </c>
      <c r="H7" s="1" t="str">
        <f aca="false">_xlfn.LET(
_xlpm.authors,_xlfn.TEXTBEFORE(A7," ("&amp;I7&amp;")"),
_xlpm.hasAmp,ISNUMBER(SEARCH("&amp;",_xlpm.authors)),
_xlpm.commasBeforeAmp,IF(_xlpm.hasAmp,LEN(_xlfn.TEXTBEFORE(_xlpm.authors,"&amp;"))-LEN(SUBSTITUTE(_xlfn.TEXTBEFORE(_xlpm.authors,"&amp;"),",","")),0),
IF(NOT(_xlpm.hasAmp),"",IF(_xlpm.commasBeforeAmp&gt;2,"etal",TRIM(_xlfn.TEXTBEFORE(_xlfn.TEXTAFTER(_xlpm.authors,"&amp; "),","))))
)</f>
        <v>etal</v>
      </c>
      <c r="I7" s="1" t="str">
        <f aca="false">_xlfn.TEXTBEFORE(_xlfn.TEXTAFTER(A7, "("), ")")</f>
        <v>2012</v>
      </c>
      <c r="J7" s="1" t="str">
        <f aca="false">_xlfn.LET(
_xlpm.doi,IF(C7&lt;&gt;"",C7,_xlfn.TEXTAFTER(A7,"https://doi.org/")),
SUBSTITUTE(
SUBSTITUTE(
SUBSTITUTE(
SUBSTITUTE(
_xlpm.doi,
"/","%2F"),
":","%3A"),
"&lt;","%3C"),
"&gt;","%3E")
)</f>
        <v>10.1016%2Fj.jhevol.2012.03.007</v>
      </c>
      <c r="K7" s="1" t="str">
        <f aca="false">TRIM(_xlfn.TEXTJOIN("_",FALSE(),F7,(SUBSTITUTE(SUBSTITUTE(D7," ",""), "_", ""))))</f>
        <v>Balzeau_etal_2012_Table5</v>
      </c>
      <c r="L7" s="1" t="str">
        <f aca="false">J7 &amp; "_" &amp; SUBSTITUTE(SUBSTITUTE(SUBSTITUTE(D7,CHAR(160),"")," ",""),"_","")</f>
        <v>10.1016%2Fj.jhevol.2012.03.007_Table5</v>
      </c>
      <c r="M7" s="1" t="str">
        <f aca="false" t="array" ref="M7:M7">IFERROR(INDEX(FileList!$A$1:$A$1000,MATCH(TRUE(),EXACT(L7,IFERROR(_xlfn.TEXTBEFORE(FileList!$A$1:$A$1000,".tsv"),"")),0)),"notfound")</f>
        <v>notfound</v>
      </c>
      <c r="N7" s="4" t="s">
        <v>71</v>
      </c>
    </row>
    <row r="8" customFormat="false" ht="15.75" hidden="false" customHeight="true" outlineLevel="0" collapsed="false">
      <c r="A8" s="4" t="s">
        <v>72</v>
      </c>
      <c r="D8" s="4" t="s">
        <v>73</v>
      </c>
      <c r="E8" s="1" t="str">
        <f aca="false">RIGHT(A8,1)</f>
        <v>1</v>
      </c>
      <c r="F8" s="1" t="str">
        <f aca="false">G8 &amp; IF(H8&lt;&gt;"", "_" &amp; H8, "_") &amp; IF(I8&lt;&gt;"", "_" &amp; I8, "_") &amp; IF(B8&lt;&gt;"", "_" &amp; B8, "")</f>
        <v>BarbeitoAndres_etal_2019</v>
      </c>
      <c r="G8" s="1" t="str">
        <f aca="false">SUBSTITUTE(SUBSTITUTE(_xlfn.TEXTBEFORE(A8,","), "-", ""), " ", "")</f>
        <v>BarbeitoAndres</v>
      </c>
      <c r="H8" s="1" t="str">
        <f aca="false">_xlfn.LET(
_xlpm.authors,_xlfn.TEXTBEFORE(A8," ("&amp;I8&amp;")"),
_xlpm.hasAmp,ISNUMBER(SEARCH("&amp;",_xlpm.authors)),
_xlpm.commasBeforeAmp,IF(_xlpm.hasAmp,LEN(_xlfn.TEXTBEFORE(_xlpm.authors,"&amp;"))-LEN(SUBSTITUTE(_xlfn.TEXTBEFORE(_xlpm.authors,"&amp;"),",","")),0),
IF(NOT(_xlpm.hasAmp),"",IF(_xlpm.commasBeforeAmp&gt;2,"etal",TRIM(_xlfn.TEXTBEFORE(_xlfn.TEXTAFTER(_xlpm.authors,"&amp; "),","))))
)</f>
        <v>etal</v>
      </c>
      <c r="I8" s="1" t="str">
        <f aca="false">_xlfn.TEXTBEFORE(_xlfn.TEXTAFTER(A8, "("), ")")</f>
        <v>2019</v>
      </c>
      <c r="J8" s="1" t="str">
        <f aca="false">_xlfn.LET(
_xlpm.doi,IF(C8&lt;&gt;"",C8,_xlfn.TEXTAFTER(A8,"https://doi.org/")),
SUBSTITUTE(
SUBSTITUTE(
SUBSTITUTE(
SUBSTITUTE(
_xlpm.doi,
"/","%2F"),
":","%3A"),
"&lt;","%3C"),
"&gt;","%3E")
)</f>
        <v>10.1242%2Fjeb.204651</v>
      </c>
      <c r="K8" s="1" t="str">
        <f aca="false">TRIM(_xlfn.TEXTJOIN("_",FALSE(),F8,(SUBSTITUTE(SUBSTITUTE(D8," ",""), "_", ""))))</f>
        <v>BarbeitoAndres_etal_2019_celldensity</v>
      </c>
      <c r="L8" s="1" t="str">
        <f aca="false">J8 &amp; "_" &amp; SUBSTITUTE(SUBSTITUTE(SUBSTITUTE(D8,CHAR(160),"")," ",""),"_","")</f>
        <v>10.1242%2Fjeb.204651_celldensity</v>
      </c>
      <c r="M8" s="1" t="str">
        <f aca="false" t="array" ref="M8:M8">IFERROR(INDEX(FileList!$A$1:$A$1000,MATCH(TRUE(),EXACT(L8,IFERROR(_xlfn.TEXTBEFORE(FileList!$A$1:$A$1000,".tsv"),"")),0)),"notfound")</f>
        <v>notfound</v>
      </c>
      <c r="AG8" s="4" t="s">
        <v>59</v>
      </c>
      <c r="AJ8" s="4" t="s">
        <v>43</v>
      </c>
      <c r="AL8" s="4" t="s">
        <v>43</v>
      </c>
      <c r="AM8" s="4" t="s">
        <v>43</v>
      </c>
    </row>
    <row r="9" customFormat="false" ht="15.75" hidden="false" customHeight="true" outlineLevel="0" collapsed="false">
      <c r="A9" s="4" t="s">
        <v>72</v>
      </c>
      <c r="D9" s="4" t="s">
        <v>74</v>
      </c>
      <c r="E9" s="1" t="str">
        <f aca="false">RIGHT(A9,1)</f>
        <v>1</v>
      </c>
      <c r="F9" s="1" t="str">
        <f aca="false">G9 &amp; IF(H9&lt;&gt;"", "_" &amp; H9, "_") &amp; IF(I9&lt;&gt;"", "_" &amp; I9, "_") &amp; IF(B9&lt;&gt;"", "_" &amp; B9, "")</f>
        <v>BarbeitoAndres_etal_2019</v>
      </c>
      <c r="G9" s="1" t="str">
        <f aca="false">SUBSTITUTE(SUBSTITUTE(_xlfn.TEXTBEFORE(A9,","), "-", ""), " ", "")</f>
        <v>BarbeitoAndres</v>
      </c>
      <c r="H9" s="1" t="str">
        <f aca="false">_xlfn.LET(
_xlpm.authors,_xlfn.TEXTBEFORE(A9," ("&amp;I9&amp;")"),
_xlpm.hasAmp,ISNUMBER(SEARCH("&amp;",_xlpm.authors)),
_xlpm.commasBeforeAmp,IF(_xlpm.hasAmp,LEN(_xlfn.TEXTBEFORE(_xlpm.authors,"&amp;"))-LEN(SUBSTITUTE(_xlfn.TEXTBEFORE(_xlpm.authors,"&amp;"),",","")),0),
IF(NOT(_xlpm.hasAmp),"",IF(_xlpm.commasBeforeAmp&gt;2,"etal",TRIM(_xlfn.TEXTBEFORE(_xlfn.TEXTAFTER(_xlpm.authors,"&amp; "),","))))
)</f>
        <v>etal</v>
      </c>
      <c r="I9" s="1" t="str">
        <f aca="false">_xlfn.TEXTBEFORE(_xlfn.TEXTAFTER(A9, "("), ")")</f>
        <v>2019</v>
      </c>
      <c r="J9" s="1" t="str">
        <f aca="false">_xlfn.LET(
_xlpm.doi,IF(C9&lt;&gt;"",C9,_xlfn.TEXTAFTER(A9,"https://doi.org/")),
SUBSTITUTE(
SUBSTITUTE(
SUBSTITUTE(
SUBSTITUTE(
_xlpm.doi,
"/","%2F"),
":","%3A"),
"&lt;","%3C"),
"&gt;","%3E")
)</f>
        <v>10.1242%2Fjeb.204651</v>
      </c>
      <c r="K9" s="1" t="str">
        <f aca="false">TRIM(_xlfn.TEXTJOIN("_",FALSE(),F9,(SUBSTITUTE(SUBSTITUTE(D9," ",""), "_", ""))))</f>
        <v>BarbeitoAndres_etal_2019_cellnumber</v>
      </c>
      <c r="L9" s="1" t="str">
        <f aca="false">J9 &amp; "_" &amp; SUBSTITUTE(SUBSTITUTE(SUBSTITUTE(D9,CHAR(160),"")," ",""),"_","")</f>
        <v>10.1242%2Fjeb.204651_cellnumber</v>
      </c>
      <c r="M9" s="1" t="str">
        <f aca="false" t="array" ref="M9:M9">IFERROR(INDEX(FileList!$A$1:$A$1000,MATCH(TRUE(),EXACT(L9,IFERROR(_xlfn.TEXTBEFORE(FileList!$A$1:$A$1000,".tsv"),"")),0)),"notfound")</f>
        <v>notfound</v>
      </c>
      <c r="AG9" s="4" t="s">
        <v>59</v>
      </c>
      <c r="AJ9" s="4" t="s">
        <v>43</v>
      </c>
      <c r="AL9" s="4" t="s">
        <v>43</v>
      </c>
      <c r="AM9" s="4" t="s">
        <v>43</v>
      </c>
    </row>
    <row r="10" customFormat="false" ht="15.75" hidden="false" customHeight="true" outlineLevel="0" collapsed="false">
      <c r="A10" s="4" t="s">
        <v>72</v>
      </c>
      <c r="D10" s="4" t="s">
        <v>75</v>
      </c>
      <c r="E10" s="1" t="str">
        <f aca="false">RIGHT(A10,1)</f>
        <v>1</v>
      </c>
      <c r="F10" s="1" t="str">
        <f aca="false">G10 &amp; IF(H10&lt;&gt;"", "_" &amp; H10, "_") &amp; IF(I10&lt;&gt;"", "_" &amp; I10, "_") &amp; IF(B10&lt;&gt;"", "_" &amp; B10, "")</f>
        <v>BarbeitoAndres_etal_2019</v>
      </c>
      <c r="G10" s="1" t="str">
        <f aca="false">SUBSTITUTE(SUBSTITUTE(_xlfn.TEXTBEFORE(A10,","), "-", ""), " ", "")</f>
        <v>BarbeitoAndres</v>
      </c>
      <c r="H10" s="1" t="str">
        <f aca="false">_xlfn.LET(
_xlpm.authors,_xlfn.TEXTBEFORE(A10," ("&amp;I10&amp;")"),
_xlpm.hasAmp,ISNUMBER(SEARCH("&amp;",_xlpm.authors)),
_xlpm.commasBeforeAmp,IF(_xlpm.hasAmp,LEN(_xlfn.TEXTBEFORE(_xlpm.authors,"&amp;"))-LEN(SUBSTITUTE(_xlfn.TEXTBEFORE(_xlpm.authors,"&amp;"),",","")),0),
IF(NOT(_xlpm.hasAmp),"",IF(_xlpm.commasBeforeAmp&gt;2,"etal",TRIM(_xlfn.TEXTBEFORE(_xlfn.TEXTAFTER(_xlpm.authors,"&amp; "),","))))
)</f>
        <v>etal</v>
      </c>
      <c r="I10" s="1" t="str">
        <f aca="false">_xlfn.TEXTBEFORE(_xlfn.TEXTAFTER(A10, "("), ")")</f>
        <v>2019</v>
      </c>
      <c r="J10" s="1" t="str">
        <f aca="false">_xlfn.LET(
_xlpm.doi,IF(C10&lt;&gt;"",C10,_xlfn.TEXTAFTER(A10,"https://doi.org/")),
SUBSTITUTE(
SUBSTITUTE(
SUBSTITUTE(
SUBSTITUTE(
_xlpm.doi,
"/","%2F"),
":","%3A"),
"&lt;","%3C"),
"&gt;","%3E")
)</f>
        <v>10.1242%2Fjeb.204651</v>
      </c>
      <c r="K10" s="1" t="str">
        <f aca="false">TRIM(_xlfn.TEXTJOIN("_",FALSE(),F10,(SUBSTITUTE(SUBSTITUTE(D10," ",""), "_", ""))))</f>
        <v>BarbeitoAndres_etal_2019_volumes</v>
      </c>
      <c r="L10" s="1" t="str">
        <f aca="false">J10 &amp; "_" &amp; SUBSTITUTE(SUBSTITUTE(SUBSTITUTE(D10,CHAR(160),"")," ",""),"_","")</f>
        <v>10.1242%2Fjeb.204651_volumes</v>
      </c>
      <c r="M10" s="1" t="str">
        <f aca="false" t="array" ref="M10:M10">IFERROR(INDEX(FileList!$A$1:$A$1000,MATCH(TRUE(),EXACT(L10,IFERROR(_xlfn.TEXTBEFORE(FileList!$A$1:$A$1000,".tsv"),"")),0)),"notfound")</f>
        <v>notfound</v>
      </c>
      <c r="AG10" s="4" t="s">
        <v>59</v>
      </c>
      <c r="AJ10" s="4" t="s">
        <v>43</v>
      </c>
      <c r="AL10" s="4" t="s">
        <v>43</v>
      </c>
      <c r="AM10" s="4" t="s">
        <v>43</v>
      </c>
    </row>
    <row r="11" customFormat="false" ht="15.75" hidden="false" customHeight="true" outlineLevel="0" collapsed="false">
      <c r="A11" s="4" t="s">
        <v>76</v>
      </c>
      <c r="D11" s="4" t="s">
        <v>77</v>
      </c>
      <c r="E11" s="1" t="str">
        <f aca="false">RIGHT(A11,1)</f>
        <v>7</v>
      </c>
      <c r="F11" s="1" t="str">
        <f aca="false">G11 &amp; IF(H11&lt;&gt;"", "_" &amp; H11, "_") &amp; IF(I11&lt;&gt;"", "_" &amp; I11, "_") &amp; IF(B11&lt;&gt;"", "_" &amp; B11, "")</f>
        <v>Barger_etal_2014</v>
      </c>
      <c r="G11" s="1" t="str">
        <f aca="false">SUBSTITUTE(SUBSTITUTE(_xlfn.TEXTBEFORE(A11,","), "-", ""), " ", "")</f>
        <v>Barger</v>
      </c>
      <c r="H11" s="1" t="str">
        <f aca="false">_xlfn.LET(
_xlpm.authors,_xlfn.TEXTBEFORE(A11," ("&amp;I11&amp;")"),
_xlpm.hasAmp,ISNUMBER(SEARCH("&amp;",_xlpm.authors)),
_xlpm.commasBeforeAmp,IF(_xlpm.hasAmp,LEN(_xlfn.TEXTBEFORE(_xlpm.authors,"&amp;"))-LEN(SUBSTITUTE(_xlfn.TEXTBEFORE(_xlpm.authors,"&amp;"),",","")),0),
IF(NOT(_xlpm.hasAmp),"",IF(_xlpm.commasBeforeAmp&gt;2,"etal",TRIM(_xlfn.TEXTBEFORE(_xlfn.TEXTAFTER(_xlpm.authors,"&amp; "),","))))
)</f>
        <v>etal</v>
      </c>
      <c r="I11" s="1" t="str">
        <f aca="false">_xlfn.TEXTBEFORE(_xlfn.TEXTAFTER(A11, "("), ")")</f>
        <v>2014</v>
      </c>
      <c r="J11" s="1" t="str">
        <f aca="false">_xlfn.LET(
_xlpm.doi,IF(C11&lt;&gt;"",C11,_xlfn.TEXTAFTER(A11,"https://doi.org/")),
SUBSTITUTE(
SUBSTITUTE(
SUBSTITUTE(
SUBSTITUTE(
_xlpm.doi,
"/","%2F"),
":","%3A"),
"&lt;","%3C"),
"&gt;","%3E")
)</f>
        <v>10.3389%2Ffnhum.2014.00277</v>
      </c>
      <c r="K11" s="1" t="str">
        <f aca="false">TRIM(_xlfn.TEXTJOIN("_",FALSE(),F11,(SUBSTITUTE(SUBSTITUTE(D11," ",""), "_", ""))))</f>
        <v>Barger_etal_2014_Table1</v>
      </c>
      <c r="L11" s="1" t="str">
        <f aca="false">J11 &amp; "_" &amp; SUBSTITUTE(SUBSTITUTE(SUBSTITUTE(D11,CHAR(160),"")," ",""),"_","")</f>
        <v>10.3389%2Ffnhum.2014.00277_Table1</v>
      </c>
      <c r="M11" s="1" t="str">
        <f aca="false" t="array" ref="M11:M11">IFERROR(INDEX(FileList!$A$1:$A$1000,MATCH(TRUE(),EXACT(L11,IFERROR(_xlfn.TEXTBEFORE(FileList!$A$1:$A$1000,".tsv"),"")),0)),"notfound")</f>
        <v>notfound</v>
      </c>
      <c r="N11" s="4" t="s">
        <v>78</v>
      </c>
      <c r="Z11" s="4" t="s">
        <v>79</v>
      </c>
      <c r="AF11" s="4" t="s">
        <v>80</v>
      </c>
      <c r="AG11" s="4" t="s">
        <v>79</v>
      </c>
    </row>
    <row r="12" customFormat="false" ht="15.75" hidden="false" customHeight="true" outlineLevel="0" collapsed="false">
      <c r="A12" s="4" t="s">
        <v>81</v>
      </c>
      <c r="D12" s="4" t="s">
        <v>49</v>
      </c>
      <c r="E12" s="1" t="str">
        <f aca="false">RIGHT(A12,1)</f>
        <v>4</v>
      </c>
      <c r="F12" s="1" t="str">
        <f aca="false">G12 &amp; IF(H12&lt;&gt;"", "_" &amp; H12, "_") &amp; IF(I12&lt;&gt;"", "_" &amp; I12, "_") &amp; IF(B12&lt;&gt;"", "_" &amp; B12, "")</f>
        <v>Barger_etal_2007</v>
      </c>
      <c r="G12" s="1" t="str">
        <f aca="false">SUBSTITUTE(SUBSTITUTE(_xlfn.TEXTBEFORE(A12,","), "-", ""), " ", "")</f>
        <v>Barger</v>
      </c>
      <c r="H12" s="1" t="str">
        <f aca="false">_xlfn.LET(
_xlpm.authors,_xlfn.TEXTBEFORE(A12," ("&amp;I12&amp;")"),
_xlpm.hasAmp,ISNUMBER(SEARCH("&amp;",_xlpm.authors)),
_xlpm.commasBeforeAmp,IF(_xlpm.hasAmp,LEN(_xlfn.TEXTBEFORE(_xlpm.authors,"&amp;"))-LEN(SUBSTITUTE(_xlfn.TEXTBEFORE(_xlpm.authors,"&amp;"),",","")),0),
IF(NOT(_xlpm.hasAmp),"",IF(_xlpm.commasBeforeAmp&gt;2,"etal",TRIM(_xlfn.TEXTBEFORE(_xlfn.TEXTAFTER(_xlpm.authors,"&amp; "),","))))
)</f>
        <v>etal</v>
      </c>
      <c r="I12" s="1" t="str">
        <f aca="false">_xlfn.TEXTBEFORE(_xlfn.TEXTAFTER(A12, "("), ")")</f>
        <v>2007</v>
      </c>
      <c r="J12" s="1" t="str">
        <f aca="false">_xlfn.LET(
_xlpm.doi,IF(C12&lt;&gt;"",C12,_xlfn.TEXTAFTER(A12,"https://doi.org/")),
SUBSTITUTE(
SUBSTITUTE(
SUBSTITUTE(
SUBSTITUTE(
_xlpm.doi,
"/","%2F"),
":","%3A"),
"&lt;","%3C"),
"&gt;","%3E")
)</f>
        <v>10.1002%2Fajpa.20684</v>
      </c>
      <c r="K12" s="1" t="str">
        <f aca="false">TRIM(_xlfn.TEXTJOIN("_",FALSE(),F12,(SUBSTITUTE(SUBSTITUTE(D12," ",""), "_", ""))))</f>
        <v>Barger_etal_2007_TABLE1</v>
      </c>
      <c r="L12" s="1" t="str">
        <f aca="false">J12 &amp; "_" &amp; SUBSTITUTE(SUBSTITUTE(SUBSTITUTE(D12,CHAR(160),"")," ",""),"_","")</f>
        <v>10.1002%2Fajpa.20684_TABLE1</v>
      </c>
      <c r="M12" s="1" t="str">
        <f aca="false" t="array" ref="M12:M12">IFERROR(INDEX(FileList!$A$1:$A$1000,MATCH(TRUE(),EXACT(L12,IFERROR(_xlfn.TEXTBEFORE(FileList!$A$1:$A$1000,".tsv"),"")),0)),"notfound")</f>
        <v>notfound</v>
      </c>
      <c r="N12" s="4" t="s">
        <v>82</v>
      </c>
      <c r="P12" s="4" t="s">
        <v>41</v>
      </c>
      <c r="Z12" s="4" t="s">
        <v>79</v>
      </c>
      <c r="AF12" s="4" t="s">
        <v>83</v>
      </c>
      <c r="AG12" s="4" t="s">
        <v>79</v>
      </c>
      <c r="AI12" s="4" t="s">
        <v>84</v>
      </c>
      <c r="AJ12" s="4" t="s">
        <v>85</v>
      </c>
      <c r="AL12" s="4" t="s">
        <v>63</v>
      </c>
      <c r="AM12" s="4" t="s">
        <v>86</v>
      </c>
    </row>
    <row r="13" customFormat="false" ht="15.75" hidden="false" customHeight="true" outlineLevel="0" collapsed="false">
      <c r="A13" s="4" t="s">
        <v>87</v>
      </c>
      <c r="D13" s="4" t="s">
        <v>88</v>
      </c>
      <c r="E13" s="1" t="str">
        <f aca="false">RIGHT(A13,1)</f>
        <v>6</v>
      </c>
      <c r="F13" s="1" t="str">
        <f aca="false">G13 &amp; IF(H13&lt;&gt;"", "_" &amp; H13, "_") &amp; IF(I13&lt;&gt;"", "_" &amp; I13, "_") &amp; IF(B13&lt;&gt;"", "_" &amp; B13, "")</f>
        <v>Barks_etal_2014</v>
      </c>
      <c r="G13" s="1" t="str">
        <f aca="false">SUBSTITUTE(SUBSTITUTE(_xlfn.TEXTBEFORE(A13,","), "-", ""), " ", "")</f>
        <v>Barks</v>
      </c>
      <c r="H13" s="1" t="str">
        <f aca="false">_xlfn.LET(
_xlpm.authors,_xlfn.TEXTBEFORE(A13," ("&amp;I13&amp;")"),
_xlpm.hasAmp,ISNUMBER(SEARCH("&amp;",_xlpm.authors)),
_xlpm.commasBeforeAmp,IF(_xlpm.hasAmp,LEN(_xlfn.TEXTBEFORE(_xlpm.authors,"&amp;"))-LEN(SUBSTITUTE(_xlfn.TEXTBEFORE(_xlpm.authors,"&amp;"),",","")),0),
IF(NOT(_xlpm.hasAmp),"",IF(_xlpm.commasBeforeAmp&gt;2,"etal",TRIM(_xlfn.TEXTBEFORE(_xlfn.TEXTAFTER(_xlpm.authors,"&amp; "),","))))
)</f>
        <v>etal</v>
      </c>
      <c r="I13" s="1" t="str">
        <f aca="false">_xlfn.TEXTBEFORE(_xlfn.TEXTAFTER(A13, "("), ")")</f>
        <v>2014</v>
      </c>
      <c r="J13" s="1" t="str">
        <f aca="false">_xlfn.LET(
_xlpm.doi,IF(C13&lt;&gt;"",C13,_xlfn.TEXTAFTER(A13,"https://doi.org/")),
SUBSTITUTE(
SUBSTITUTE(
SUBSTITUTE(
SUBSTITUTE(
_xlpm.doi,
"/","%2F"),
":","%3A"),
"&lt;","%3C"),
"&gt;","%3E")
)</f>
        <v>10.1002%2Fajpa.22646</v>
      </c>
      <c r="K13" s="1" t="str">
        <f aca="false">TRIM(_xlfn.TEXTJOIN("_",FALSE(),F13,(SUBSTITUTE(SUBSTITUTE(D13," ",""), "_", ""))))</f>
        <v>Barks_etal_2014_Fig4A</v>
      </c>
      <c r="L13" s="1" t="str">
        <f aca="false">J13 &amp; "_" &amp; SUBSTITUTE(SUBSTITUTE(SUBSTITUTE(D13,CHAR(160),"")," ",""),"_","")</f>
        <v>10.1002%2Fajpa.22646_Fig4A</v>
      </c>
      <c r="M13" s="1" t="str">
        <f aca="false" t="array" ref="M13:M13">IFERROR(INDEX(FileList!$A$1:$A$1000,MATCH(TRUE(),EXACT(L13,IFERROR(_xlfn.TEXTBEFORE(FileList!$A$1:$A$1000,".tsv"),"")),0)),"notfound")</f>
        <v>notfound</v>
      </c>
      <c r="O13" s="4" t="s">
        <v>89</v>
      </c>
      <c r="P13" s="4" t="s">
        <v>41</v>
      </c>
      <c r="Y13" s="4" t="s">
        <v>90</v>
      </c>
    </row>
    <row r="14" customFormat="false" ht="15.75" hidden="false" customHeight="true" outlineLevel="0" collapsed="false">
      <c r="A14" s="4" t="s">
        <v>87</v>
      </c>
      <c r="D14" s="4" t="s">
        <v>91</v>
      </c>
      <c r="E14" s="1" t="str">
        <f aca="false">RIGHT(A14,1)</f>
        <v>6</v>
      </c>
      <c r="F14" s="1" t="str">
        <f aca="false">G14 &amp; IF(H14&lt;&gt;"", "_" &amp; H14, "_") &amp; IF(I14&lt;&gt;"", "_" &amp; I14, "_") &amp; IF(B14&lt;&gt;"", "_" &amp; B14, "")</f>
        <v>Barks_etal_2014</v>
      </c>
      <c r="G14" s="1" t="str">
        <f aca="false">SUBSTITUTE(SUBSTITUTE(_xlfn.TEXTBEFORE(A14,","), "-", ""), " ", "")</f>
        <v>Barks</v>
      </c>
      <c r="H14" s="1" t="str">
        <f aca="false">_xlfn.LET(
_xlpm.authors,_xlfn.TEXTBEFORE(A14," ("&amp;I14&amp;")"),
_xlpm.hasAmp,ISNUMBER(SEARCH("&amp;",_xlpm.authors)),
_xlpm.commasBeforeAmp,IF(_xlpm.hasAmp,LEN(_xlfn.TEXTBEFORE(_xlpm.authors,"&amp;"))-LEN(SUBSTITUTE(_xlfn.TEXTBEFORE(_xlpm.authors,"&amp;"),",","")),0),
IF(NOT(_xlpm.hasAmp),"",IF(_xlpm.commasBeforeAmp&gt;2,"etal",TRIM(_xlfn.TEXTBEFORE(_xlfn.TEXTAFTER(_xlpm.authors,"&amp; "),","))))
)</f>
        <v>etal</v>
      </c>
      <c r="I14" s="1" t="str">
        <f aca="false">_xlfn.TEXTBEFORE(_xlfn.TEXTAFTER(A14, "("), ")")</f>
        <v>2014</v>
      </c>
      <c r="J14" s="1" t="str">
        <f aca="false">_xlfn.LET(
_xlpm.doi,IF(C14&lt;&gt;"",C14,_xlfn.TEXTAFTER(A14,"https://doi.org/")),
SUBSTITUTE(
SUBSTITUTE(
SUBSTITUTE(
SUBSTITUTE(
_xlpm.doi,
"/","%2F"),
":","%3A"),
"&lt;","%3C"),
"&gt;","%3E")
)</f>
        <v>10.1002%2Fajpa.22646</v>
      </c>
      <c r="K14" s="1" t="str">
        <f aca="false">TRIM(_xlfn.TEXTJOIN("_",FALSE(),F14,(SUBSTITUTE(SUBSTITUTE(D14," ",""), "_", ""))))</f>
        <v>Barks_etal_2014_Fig5A</v>
      </c>
      <c r="L14" s="1" t="str">
        <f aca="false">J14 &amp; "_" &amp; SUBSTITUTE(SUBSTITUTE(SUBSTITUTE(D14,CHAR(160),"")," ",""),"_","")</f>
        <v>10.1002%2Fajpa.22646_Fig5A</v>
      </c>
      <c r="M14" s="1" t="str">
        <f aca="false" t="array" ref="M14:M14">IFERROR(INDEX(FileList!$A$1:$A$1000,MATCH(TRUE(),EXACT(L14,IFERROR(_xlfn.TEXTBEFORE(FileList!$A$1:$A$1000,".tsv"),"")),0)),"notfound")</f>
        <v>notfound</v>
      </c>
      <c r="O14" s="4" t="s">
        <v>92</v>
      </c>
      <c r="P14" s="4" t="s">
        <v>41</v>
      </c>
    </row>
    <row r="15" customFormat="false" ht="15.75" hidden="false" customHeight="true" outlineLevel="0" collapsed="false">
      <c r="A15" s="4" t="s">
        <v>87</v>
      </c>
      <c r="D15" s="4" t="s">
        <v>49</v>
      </c>
      <c r="E15" s="1" t="str">
        <f aca="false">RIGHT(A15,1)</f>
        <v>6</v>
      </c>
      <c r="F15" s="1" t="str">
        <f aca="false">G15 &amp; IF(H15&lt;&gt;"", "_" &amp; H15, "_") &amp; IF(I15&lt;&gt;"", "_" &amp; I15, "_") &amp; IF(B15&lt;&gt;"", "_" &amp; B15, "")</f>
        <v>Barks_etal_2014</v>
      </c>
      <c r="G15" s="1" t="str">
        <f aca="false">SUBSTITUTE(SUBSTITUTE(_xlfn.TEXTBEFORE(A15,","), "-", ""), " ", "")</f>
        <v>Barks</v>
      </c>
      <c r="H15" s="1" t="str">
        <f aca="false">_xlfn.LET(
_xlpm.authors,_xlfn.TEXTBEFORE(A15," ("&amp;I15&amp;")"),
_xlpm.hasAmp,ISNUMBER(SEARCH("&amp;",_xlpm.authors)),
_xlpm.commasBeforeAmp,IF(_xlpm.hasAmp,LEN(_xlfn.TEXTBEFORE(_xlpm.authors,"&amp;"))-LEN(SUBSTITUTE(_xlfn.TEXTBEFORE(_xlpm.authors,"&amp;"),",","")),0),
IF(NOT(_xlpm.hasAmp),"",IF(_xlpm.commasBeforeAmp&gt;2,"etal",TRIM(_xlfn.TEXTBEFORE(_xlfn.TEXTAFTER(_xlpm.authors,"&amp; "),","))))
)</f>
        <v>etal</v>
      </c>
      <c r="I15" s="1" t="str">
        <f aca="false">_xlfn.TEXTBEFORE(_xlfn.TEXTAFTER(A15, "("), ")")</f>
        <v>2014</v>
      </c>
      <c r="J15" s="1" t="str">
        <f aca="false">_xlfn.LET(
_xlpm.doi,IF(C15&lt;&gt;"",C15,_xlfn.TEXTAFTER(A15,"https://doi.org/")),
SUBSTITUTE(
SUBSTITUTE(
SUBSTITUTE(
SUBSTITUTE(
_xlpm.doi,
"/","%2F"),
":","%3A"),
"&lt;","%3C"),
"&gt;","%3E")
)</f>
        <v>10.1002%2Fajpa.22646</v>
      </c>
      <c r="K15" s="1" t="str">
        <f aca="false">TRIM(_xlfn.TEXTJOIN("_",FALSE(),F15,(SUBSTITUTE(SUBSTITUTE(D15," ",""), "_", ""))))</f>
        <v>Barks_etal_2014_TABLE1</v>
      </c>
      <c r="L15" s="1" t="str">
        <f aca="false">J15 &amp; "_" &amp; SUBSTITUTE(SUBSTITUTE(SUBSTITUTE(D15,CHAR(160),"")," ",""),"_","")</f>
        <v>10.1002%2Fajpa.22646_TABLE1</v>
      </c>
      <c r="M15" s="1" t="str">
        <f aca="false" t="array" ref="M15:M15">IFERROR(INDEX(FileList!$A$1:$A$1000,MATCH(TRUE(),EXACT(L15,IFERROR(_xlfn.TEXTBEFORE(FileList!$A$1:$A$1000,".tsv"),"")),0)),"notfound")</f>
        <v>notfound</v>
      </c>
      <c r="N15" s="4" t="s">
        <v>93</v>
      </c>
      <c r="P15" s="4" t="s">
        <v>41</v>
      </c>
      <c r="Y15" s="4" t="s">
        <v>90</v>
      </c>
    </row>
    <row r="16" customFormat="false" ht="15.75" hidden="false" customHeight="true" outlineLevel="0" collapsed="false">
      <c r="A16" s="4" t="s">
        <v>87</v>
      </c>
      <c r="D16" s="4" t="s">
        <v>94</v>
      </c>
      <c r="E16" s="1" t="str">
        <f aca="false">RIGHT(A16,1)</f>
        <v>6</v>
      </c>
      <c r="F16" s="1" t="str">
        <f aca="false">G16 &amp; IF(H16&lt;&gt;"", "_" &amp; H16, "_") &amp; IF(I16&lt;&gt;"", "_" &amp; I16, "_") &amp; IF(B16&lt;&gt;"", "_" &amp; B16, "")</f>
        <v>Barks_etal_2014</v>
      </c>
      <c r="G16" s="1" t="str">
        <f aca="false">SUBSTITUTE(SUBSTITUTE(_xlfn.TEXTBEFORE(A16,","), "-", ""), " ", "")</f>
        <v>Barks</v>
      </c>
      <c r="H16" s="1" t="str">
        <f aca="false">_xlfn.LET(
_xlpm.authors,_xlfn.TEXTBEFORE(A16," ("&amp;I16&amp;")"),
_xlpm.hasAmp,ISNUMBER(SEARCH("&amp;",_xlpm.authors)),
_xlpm.commasBeforeAmp,IF(_xlpm.hasAmp,LEN(_xlfn.TEXTBEFORE(_xlpm.authors,"&amp;"))-LEN(SUBSTITUTE(_xlfn.TEXTBEFORE(_xlpm.authors,"&amp;"),",","")),0),
IF(NOT(_xlpm.hasAmp),"",IF(_xlpm.commasBeforeAmp&gt;2,"etal",TRIM(_xlfn.TEXTBEFORE(_xlfn.TEXTAFTER(_xlpm.authors,"&amp; "),","))))
)</f>
        <v>etal</v>
      </c>
      <c r="I16" s="1" t="str">
        <f aca="false">_xlfn.TEXTBEFORE(_xlfn.TEXTAFTER(A16, "("), ")")</f>
        <v>2014</v>
      </c>
      <c r="J16" s="1" t="str">
        <f aca="false">_xlfn.LET(
_xlpm.doi,IF(C16&lt;&gt;"",C16,_xlfn.TEXTAFTER(A16,"https://doi.org/")),
SUBSTITUTE(
SUBSTITUTE(
SUBSTITUTE(
SUBSTITUTE(
_xlpm.doi,
"/","%2F"),
":","%3A"),
"&lt;","%3C"),
"&gt;","%3E")
)</f>
        <v>10.1002%2Fajpa.22646</v>
      </c>
      <c r="K16" s="1" t="str">
        <f aca="false">TRIM(_xlfn.TEXTJOIN("_",FALSE(),F16,(SUBSTITUTE(SUBSTITUTE(D16," ",""), "_", ""))))</f>
        <v>Barks_etal_2014_TABLE2</v>
      </c>
      <c r="L16" s="1" t="str">
        <f aca="false">J16 &amp; "_" &amp; SUBSTITUTE(SUBSTITUTE(SUBSTITUTE(D16,CHAR(160),"")," ",""),"_","")</f>
        <v>10.1002%2Fajpa.22646_TABLE2</v>
      </c>
      <c r="M16" s="1" t="str">
        <f aca="false" t="array" ref="M16:M16">IFERROR(INDEX(FileList!$A$1:$A$1000,MATCH(TRUE(),EXACT(L16,IFERROR(_xlfn.TEXTBEFORE(FileList!$A$1:$A$1000,".tsv"),"")),0)),"notfound")</f>
        <v>notfound</v>
      </c>
      <c r="N16" s="4" t="s">
        <v>95</v>
      </c>
      <c r="P16" s="4" t="s">
        <v>41</v>
      </c>
    </row>
    <row r="17" customFormat="false" ht="15.75" hidden="false" customHeight="true" outlineLevel="0" collapsed="false">
      <c r="A17" s="4" t="s">
        <v>87</v>
      </c>
      <c r="D17" s="4" t="s">
        <v>96</v>
      </c>
      <c r="E17" s="1" t="str">
        <f aca="false">RIGHT(A17,1)</f>
        <v>6</v>
      </c>
      <c r="F17" s="1" t="str">
        <f aca="false">G17 &amp; IF(H17&lt;&gt;"", "_" &amp; H17, "_") &amp; IF(I17&lt;&gt;"", "_" &amp; I17, "_") &amp; IF(B17&lt;&gt;"", "_" &amp; B17, "")</f>
        <v>Barks_etal_2014</v>
      </c>
      <c r="G17" s="1" t="str">
        <f aca="false">SUBSTITUTE(SUBSTITUTE(_xlfn.TEXTBEFORE(A17,","), "-", ""), " ", "")</f>
        <v>Barks</v>
      </c>
      <c r="H17" s="1" t="str">
        <f aca="false">_xlfn.LET(
_xlpm.authors,_xlfn.TEXTBEFORE(A17," ("&amp;I17&amp;")"),
_xlpm.hasAmp,ISNUMBER(SEARCH("&amp;",_xlpm.authors)),
_xlpm.commasBeforeAmp,IF(_xlpm.hasAmp,LEN(_xlfn.TEXTBEFORE(_xlpm.authors,"&amp;"))-LEN(SUBSTITUTE(_xlfn.TEXTBEFORE(_xlpm.authors,"&amp;"),",","")),0),
IF(NOT(_xlpm.hasAmp),"",IF(_xlpm.commasBeforeAmp&gt;2,"etal",TRIM(_xlfn.TEXTBEFORE(_xlfn.TEXTAFTER(_xlpm.authors,"&amp; "),","))))
)</f>
        <v>etal</v>
      </c>
      <c r="I17" s="1" t="str">
        <f aca="false">_xlfn.TEXTBEFORE(_xlfn.TEXTAFTER(A17, "("), ")")</f>
        <v>2014</v>
      </c>
      <c r="J17" s="1" t="str">
        <f aca="false">_xlfn.LET(
_xlpm.doi,IF(C17&lt;&gt;"",C17,_xlfn.TEXTAFTER(A17,"https://doi.org/")),
SUBSTITUTE(
SUBSTITUTE(
SUBSTITUTE(
SUBSTITUTE(
_xlpm.doi,
"/","%2F"),
":","%3A"),
"&lt;","%3C"),
"&gt;","%3E")
)</f>
        <v>10.1002%2Fajpa.22646</v>
      </c>
      <c r="K17" s="1" t="str">
        <f aca="false">TRIM(_xlfn.TEXTJOIN("_",FALSE(),F17,(SUBSTITUTE(SUBSTITUTE(D17," ",""), "_", ""))))</f>
        <v>Barks_etal_2014_unpublishedviaDeCasien</v>
      </c>
      <c r="L17" s="1" t="str">
        <f aca="false">J17 &amp; "_" &amp; SUBSTITUTE(SUBSTITUTE(SUBSTITUTE(D17,CHAR(160),"")," ",""),"_","")</f>
        <v>10.1002%2Fajpa.22646_unpublishedviaDeCasien</v>
      </c>
      <c r="M17" s="1" t="str">
        <f aca="false" t="array" ref="M17:M17">IFERROR(INDEX(FileList!$A$1:$A$1000,MATCH(TRUE(),EXACT(L17,IFERROR(_xlfn.TEXTBEFORE(FileList!$A$1:$A$1000,".tsv"),"")),0)),"notfound")</f>
        <v>notfound</v>
      </c>
      <c r="O17" s="4" t="s">
        <v>97</v>
      </c>
    </row>
    <row r="18" customFormat="false" ht="15.75" hidden="false" customHeight="true" outlineLevel="0" collapsed="false">
      <c r="A18" s="4" t="s">
        <v>98</v>
      </c>
      <c r="C18" s="4" t="s">
        <v>99</v>
      </c>
      <c r="D18" s="4" t="s">
        <v>77</v>
      </c>
      <c r="E18" s="1" t="str">
        <f aca="false">RIGHT(A18,1)</f>
        <v>9</v>
      </c>
      <c r="F18" s="1" t="str">
        <f aca="false">G18 &amp; IF(H18&lt;&gt;"", "_" &amp; H18, "_") &amp; IF(I18&lt;&gt;"", "_" &amp; I18, "_") &amp; IF(B18&lt;&gt;"", "_" &amp; B18, "")</f>
        <v>Baron_etal_1988</v>
      </c>
      <c r="G18" s="1" t="str">
        <f aca="false">SUBSTITUTE(SUBSTITUTE(_xlfn.TEXTBEFORE(A18,","), "-", ""), " ", "")</f>
        <v>Baron</v>
      </c>
      <c r="H18" s="1" t="str">
        <f aca="false">_xlfn.LET(
_xlpm.authors,_xlfn.TEXTBEFORE(A18," ("&amp;I18&amp;")"),
_xlpm.hasAmp,ISNUMBER(SEARCH("&amp;",_xlpm.authors)),
_xlpm.commasBeforeAmp,IF(_xlpm.hasAmp,LEN(_xlfn.TEXTBEFORE(_xlpm.authors,"&amp;"))-LEN(SUBSTITUTE(_xlfn.TEXTBEFORE(_xlpm.authors,"&amp;"),",","")),0),
IF(NOT(_xlpm.hasAmp),"",IF(_xlpm.commasBeforeAmp&gt;2,"etal",TRIM(_xlfn.TEXTBEFORE(_xlfn.TEXTAFTER(_xlpm.authors,"&amp; "),","))))
)</f>
        <v>etal</v>
      </c>
      <c r="I18" s="1" t="str">
        <f aca="false">_xlfn.TEXTBEFORE(_xlfn.TEXTAFTER(A18, "("), ")")</f>
        <v>1988</v>
      </c>
      <c r="J18" s="1" t="str">
        <f aca="false">_xlfn.LET(
_xlpm.doi,IF(C18&lt;&gt;"",C18,_xlfn.TEXTAFTER(A18,"https://doi.org/")),
SUBSTITUTE(
SUBSTITUTE(
SUBSTITUTE(
SUBSTITUTE(
_xlpm.doi,
"/","%2F"),
":","%3A"),
"&lt;","%3C"),
"&gt;","%3E")
)</f>
        <v>PMID%3A3216099</v>
      </c>
      <c r="K18" s="1" t="str">
        <f aca="false">TRIM(_xlfn.TEXTJOIN("_",FALSE(),F18,(SUBSTITUTE(SUBSTITUTE(D18," ",""), "_", ""))))</f>
        <v>Baron_etal_1988_Table1</v>
      </c>
      <c r="L18" s="1" t="str">
        <f aca="false">J18 &amp; "_" &amp; SUBSTITUTE(SUBSTITUTE(SUBSTITUTE(D18,CHAR(160),"")," ",""),"_","")</f>
        <v>PMID%3A3216099_Table1</v>
      </c>
      <c r="M18" s="1" t="str">
        <f aca="false" t="array" ref="M18:M18">IFERROR(INDEX(FileList!$A$1:$A$1000,MATCH(TRUE(),EXACT(L18,IFERROR(_xlfn.TEXTBEFORE(FileList!$A$1:$A$1000,".tsv"),"")),0)),"notfound")</f>
        <v>notfound</v>
      </c>
      <c r="N18" s="4" t="s">
        <v>100</v>
      </c>
      <c r="P18" s="4" t="s">
        <v>41</v>
      </c>
      <c r="Y18" s="4" t="s">
        <v>101</v>
      </c>
      <c r="Z18" s="4" t="s">
        <v>101</v>
      </c>
      <c r="AF18" s="4" t="s">
        <v>80</v>
      </c>
      <c r="AG18" s="4" t="s">
        <v>101</v>
      </c>
      <c r="AI18" s="4" t="s">
        <v>102</v>
      </c>
      <c r="AJ18" s="4" t="s">
        <v>103</v>
      </c>
      <c r="AL18" s="4" t="s">
        <v>63</v>
      </c>
      <c r="AM18" s="4" t="s">
        <v>86</v>
      </c>
    </row>
    <row r="19" customFormat="false" ht="16.5" hidden="false" customHeight="true" outlineLevel="0" collapsed="false">
      <c r="A19" s="4" t="s">
        <v>104</v>
      </c>
      <c r="C19" s="4" t="s">
        <v>105</v>
      </c>
      <c r="D19" s="4" t="s">
        <v>77</v>
      </c>
      <c r="E19" s="1" t="str">
        <f aca="false">RIGHT(A19,1)</f>
        <v>5</v>
      </c>
      <c r="F19" s="1" t="str">
        <f aca="false">G19 &amp; IF(H19&lt;&gt;"", "_" &amp; H19, "_") &amp; IF(I19&lt;&gt;"", "_" &amp; I19, "_") &amp; IF(B19&lt;&gt;"", "_" &amp; B19, "")</f>
        <v>Baron_etal_1983</v>
      </c>
      <c r="G19" s="1" t="str">
        <f aca="false">SUBSTITUTE(SUBSTITUTE(_xlfn.TEXTBEFORE(A19,","), "-", ""), " ", "")</f>
        <v>Baron</v>
      </c>
      <c r="H19" s="1" t="str">
        <f aca="false">_xlfn.LET(
_xlpm.authors,_xlfn.TEXTBEFORE(A19," ("&amp;I19&amp;")"),
_xlpm.hasAmp,ISNUMBER(SEARCH("&amp;",_xlpm.authors)),
_xlpm.commasBeforeAmp,IF(_xlpm.hasAmp,LEN(_xlfn.TEXTBEFORE(_xlpm.authors,"&amp;"))-LEN(SUBSTITUTE(_xlfn.TEXTBEFORE(_xlpm.authors,"&amp;"),",","")),0),
IF(NOT(_xlpm.hasAmp),"",IF(_xlpm.commasBeforeAmp&gt;2,"etal",TRIM(_xlfn.TEXTBEFORE(_xlfn.TEXTAFTER(_xlpm.authors,"&amp; "),","))))
)</f>
        <v>etal</v>
      </c>
      <c r="I19" s="1" t="str">
        <f aca="false">_xlfn.TEXTBEFORE(_xlfn.TEXTAFTER(A19, "("), ")")</f>
        <v>1983</v>
      </c>
      <c r="J19" s="1" t="str">
        <f aca="false">_xlfn.LET(
_xlpm.doi,IF(C19&lt;&gt;"",C19,_xlfn.TEXTAFTER(A19,"https://doi.org/")),
SUBSTITUTE(
SUBSTITUTE(
SUBSTITUTE(
SUBSTITUTE(
_xlpm.doi,
"/","%2F"),
":","%3A"),
"&lt;","%3C"),
"&gt;","%3E")
)</f>
        <v>PMID%3A6663055</v>
      </c>
      <c r="K19" s="1" t="str">
        <f aca="false">TRIM(_xlfn.TEXTJOIN("_",FALSE(),F19,(SUBSTITUTE(SUBSTITUTE(D19," ",""), "_", ""))))</f>
        <v>Baron_etal_1983_Table1</v>
      </c>
      <c r="L19" s="1" t="str">
        <f aca="false">J19 &amp; "_" &amp; SUBSTITUTE(SUBSTITUTE(SUBSTITUTE(D19,CHAR(160),"")," ",""),"_","")</f>
        <v>PMID%3A6663055_Table1</v>
      </c>
      <c r="M19" s="1" t="str">
        <f aca="false" t="array" ref="M19:M19">IFERROR(INDEX(FileList!$A$1:$A$1000,MATCH(TRUE(),EXACT(L19,IFERROR(_xlfn.TEXTBEFORE(FileList!$A$1:$A$1000,".tsv"),"")),0)),"notfound")</f>
        <v>notfound</v>
      </c>
      <c r="P19" s="4" t="s">
        <v>41</v>
      </c>
      <c r="V19" s="4" t="s">
        <v>42</v>
      </c>
      <c r="W19" s="4" t="s">
        <v>106</v>
      </c>
      <c r="Y19" s="4" t="s">
        <v>101</v>
      </c>
      <c r="Z19" s="4" t="s">
        <v>101</v>
      </c>
      <c r="AF19" s="4" t="s">
        <v>80</v>
      </c>
      <c r="AG19" s="4" t="s">
        <v>101</v>
      </c>
      <c r="AI19" s="4" t="s">
        <v>107</v>
      </c>
      <c r="AJ19" s="4" t="s">
        <v>103</v>
      </c>
      <c r="AK19" s="4" t="s">
        <v>63</v>
      </c>
      <c r="AL19" s="4" t="s">
        <v>63</v>
      </c>
      <c r="AM19" s="4" t="s">
        <v>86</v>
      </c>
    </row>
    <row r="20" customFormat="false" ht="16.5" hidden="false" customHeight="true" outlineLevel="0" collapsed="false">
      <c r="A20" s="4" t="s">
        <v>108</v>
      </c>
      <c r="C20" s="4" t="s">
        <v>109</v>
      </c>
      <c r="D20" s="4" t="s">
        <v>77</v>
      </c>
      <c r="E20" s="1" t="str">
        <f aca="false">RIGHT(A20,1)</f>
        <v>6</v>
      </c>
      <c r="F20" s="1" t="str">
        <f aca="false">G20 &amp; IF(H20&lt;&gt;"", "_" &amp; H20, "_") &amp; IF(I20&lt;&gt;"", "_" &amp; I20, "_") &amp; IF(B20&lt;&gt;"", "_" &amp; B20, "")</f>
        <v>Baron_etal_1987</v>
      </c>
      <c r="G20" s="1" t="str">
        <f aca="false">SUBSTITUTE(SUBSTITUTE(_xlfn.TEXTBEFORE(A20,","), "-", ""), " ", "")</f>
        <v>Baron</v>
      </c>
      <c r="H20" s="1" t="str">
        <f aca="false">_xlfn.LET(
_xlpm.authors,_xlfn.TEXTBEFORE(A20," ("&amp;I20&amp;")"),
_xlpm.hasAmp,ISNUMBER(SEARCH("&amp;",_xlpm.authors)),
_xlpm.commasBeforeAmp,IF(_xlpm.hasAmp,LEN(_xlfn.TEXTBEFORE(_xlpm.authors,"&amp;"))-LEN(SUBSTITUTE(_xlfn.TEXTBEFORE(_xlpm.authors,"&amp;"),",","")),0),
IF(NOT(_xlpm.hasAmp),"",IF(_xlpm.commasBeforeAmp&gt;2,"etal",TRIM(_xlfn.TEXTBEFORE(_xlfn.TEXTAFTER(_xlpm.authors,"&amp; "),","))))
)</f>
        <v>etal</v>
      </c>
      <c r="I20" s="1" t="str">
        <f aca="false">_xlfn.TEXTBEFORE(_xlfn.TEXTAFTER(A20, "("), ")")</f>
        <v>1987</v>
      </c>
      <c r="J20" s="1" t="str">
        <f aca="false">_xlfn.LET(
_xlpm.doi,IF(C20&lt;&gt;"",C20,_xlfn.TEXTAFTER(A20,"https://doi.org/")),
SUBSTITUTE(
SUBSTITUTE(
SUBSTITUTE(
SUBSTITUTE(
_xlpm.doi,
"/","%2F"),
":","%3A"),
"&lt;","%3C"),
"&gt;","%3E")
)</f>
        <v>PMID%3A3116076</v>
      </c>
      <c r="K20" s="1" t="str">
        <f aca="false">TRIM(_xlfn.TEXTJOIN("_",FALSE(),F20,(SUBSTITUTE(SUBSTITUTE(D20," ",""), "_", ""))))</f>
        <v>Baron_etal_1987_Table1</v>
      </c>
      <c r="L20" s="1" t="str">
        <f aca="false">J20 &amp; "_" &amp; SUBSTITUTE(SUBSTITUTE(SUBSTITUTE(D20,CHAR(160),"")," ",""),"_","")</f>
        <v>PMID%3A3116076_Table1</v>
      </c>
      <c r="M20" s="1" t="str">
        <f aca="false" t="array" ref="M20:M20">IFERROR(INDEX(FileList!$A$1:$A$1000,MATCH(TRUE(),EXACT(L20,IFERROR(_xlfn.TEXTBEFORE(FileList!$A$1:$A$1000,".tsv"),"")),0)),"notfound")</f>
        <v>notfound</v>
      </c>
      <c r="P20" s="4" t="s">
        <v>41</v>
      </c>
      <c r="V20" s="4" t="s">
        <v>42</v>
      </c>
      <c r="W20" s="4" t="s">
        <v>106</v>
      </c>
      <c r="Y20" s="4" t="s">
        <v>101</v>
      </c>
      <c r="Z20" s="4" t="s">
        <v>101</v>
      </c>
      <c r="AF20" s="4" t="s">
        <v>80</v>
      </c>
      <c r="AG20" s="4" t="s">
        <v>101</v>
      </c>
      <c r="AI20" s="4" t="s">
        <v>110</v>
      </c>
      <c r="AJ20" s="4" t="s">
        <v>103</v>
      </c>
      <c r="AK20" s="4" t="s">
        <v>63</v>
      </c>
      <c r="AL20" s="4" t="s">
        <v>63</v>
      </c>
      <c r="AM20" s="4" t="s">
        <v>86</v>
      </c>
    </row>
    <row r="21" customFormat="false" ht="15.75" hidden="false" customHeight="true" outlineLevel="0" collapsed="false">
      <c r="A21" s="4" t="s">
        <v>111</v>
      </c>
      <c r="C21" s="4" t="s">
        <v>112</v>
      </c>
      <c r="D21" s="4" t="s">
        <v>77</v>
      </c>
      <c r="E21" s="1" t="str">
        <f aca="false">RIGHT(A21,1)</f>
        <v>3</v>
      </c>
      <c r="F21" s="1" t="str">
        <f aca="false">G21 &amp; IF(H21&lt;&gt;"", "_" &amp; H21, "_") &amp; IF(I21&lt;&gt;"", "_" &amp; I21, "_") &amp; IF(B21&lt;&gt;"", "_" &amp; B21, "")</f>
        <v>Baron_etal_1990</v>
      </c>
      <c r="G21" s="1" t="str">
        <f aca="false">SUBSTITUTE(SUBSTITUTE(_xlfn.TEXTBEFORE(A21,","), "-", ""), " ", "")</f>
        <v>Baron</v>
      </c>
      <c r="H21" s="1" t="str">
        <f aca="false">_xlfn.LET(
_xlpm.authors,_xlfn.TEXTBEFORE(A21," ("&amp;I21&amp;")"),
_xlpm.hasAmp,ISNUMBER(SEARCH("&amp;",_xlpm.authors)),
_xlpm.commasBeforeAmp,IF(_xlpm.hasAmp,LEN(_xlfn.TEXTBEFORE(_xlpm.authors,"&amp;"))-LEN(SUBSTITUTE(_xlfn.TEXTBEFORE(_xlpm.authors,"&amp;"),",","")),0),
IF(NOT(_xlpm.hasAmp),"",IF(_xlpm.commasBeforeAmp&gt;2,"etal",TRIM(_xlfn.TEXTBEFORE(_xlfn.TEXTAFTER(_xlpm.authors,"&amp; "),","))))
)</f>
        <v>etal</v>
      </c>
      <c r="I21" s="1" t="str">
        <f aca="false">_xlfn.TEXTBEFORE(_xlfn.TEXTAFTER(A21, "("), ")")</f>
        <v>1990</v>
      </c>
      <c r="J21" s="1" t="str">
        <f aca="false">_xlfn.LET(
_xlpm.doi,IF(C21&lt;&gt;"",C21,_xlfn.TEXTAFTER(A21,"https://doi.org/")),
SUBSTITUTE(
SUBSTITUTE(
SUBSTITUTE(
SUBSTITUTE(
_xlpm.doi,
"/","%2F"),
":","%3A"),
"&lt;","%3C"),
"&gt;","%3E")
)</f>
        <v>PMID%3A2358663</v>
      </c>
      <c r="K21" s="1" t="str">
        <f aca="false">TRIM(_xlfn.TEXTJOIN("_",FALSE(),F21,(SUBSTITUTE(SUBSTITUTE(D21," ",""), "_", ""))))</f>
        <v>Baron_etal_1990_Table1</v>
      </c>
      <c r="L21" s="1" t="str">
        <f aca="false">J21 &amp; "_" &amp; SUBSTITUTE(SUBSTITUTE(SUBSTITUTE(D21,CHAR(160),"")," ",""),"_","")</f>
        <v>PMID%3A2358663_Table1</v>
      </c>
      <c r="M21" s="1" t="str">
        <f aca="false" t="array" ref="M21:M21">IFERROR(INDEX(FileList!$A$1:$A$1000,MATCH(TRUE(),EXACT(L21,IFERROR(_xlfn.TEXTBEFORE(FileList!$A$1:$A$1000,".tsv"),"")),0)),"notfound")</f>
        <v>notfound</v>
      </c>
      <c r="N21" s="4" t="s">
        <v>113</v>
      </c>
      <c r="P21" s="4" t="s">
        <v>41</v>
      </c>
      <c r="V21" s="4" t="s">
        <v>42</v>
      </c>
      <c r="W21" s="4" t="s">
        <v>106</v>
      </c>
      <c r="Y21" s="4" t="s">
        <v>101</v>
      </c>
      <c r="Z21" s="4" t="s">
        <v>101</v>
      </c>
      <c r="AF21" s="4" t="s">
        <v>80</v>
      </c>
      <c r="AG21" s="4" t="s">
        <v>114</v>
      </c>
      <c r="AI21" s="4" t="s">
        <v>115</v>
      </c>
      <c r="AJ21" s="4" t="s">
        <v>103</v>
      </c>
      <c r="AK21" s="4" t="s">
        <v>63</v>
      </c>
      <c r="AL21" s="4" t="s">
        <v>63</v>
      </c>
      <c r="AM21" s="4" t="s">
        <v>86</v>
      </c>
    </row>
    <row r="22" customFormat="false" ht="15.75" hidden="false" customHeight="true" outlineLevel="0" collapsed="false">
      <c r="A22" s="4" t="s">
        <v>116</v>
      </c>
      <c r="D22" s="4" t="s">
        <v>77</v>
      </c>
      <c r="E22" s="1" t="str">
        <f aca="false">RIGHT(A22,1)</f>
        <v>3</v>
      </c>
      <c r="F22" s="1" t="str">
        <f aca="false">G22 &amp; IF(H22&lt;&gt;"", "_" &amp; H22, "_") &amp; IF(I22&lt;&gt;"", "_" &amp; I22, "_") &amp; IF(B22&lt;&gt;"", "_" &amp; B22, "")</f>
        <v>Bauernfeind_etal_2013</v>
      </c>
      <c r="G22" s="1" t="str">
        <f aca="false">SUBSTITUTE(SUBSTITUTE(_xlfn.TEXTBEFORE(A22,","), "-", ""), " ", "")</f>
        <v>Bauernfeind</v>
      </c>
      <c r="H22" s="1" t="str">
        <f aca="false">_xlfn.LET(
_xlpm.authors,_xlfn.TEXTBEFORE(A22," ("&amp;I22&amp;")"),
_xlpm.hasAmp,ISNUMBER(SEARCH("&amp;",_xlpm.authors)),
_xlpm.commasBeforeAmp,IF(_xlpm.hasAmp,LEN(_xlfn.TEXTBEFORE(_xlpm.authors,"&amp;"))-LEN(SUBSTITUTE(_xlfn.TEXTBEFORE(_xlpm.authors,"&amp;"),",","")),0),
IF(NOT(_xlpm.hasAmp),"",IF(_xlpm.commasBeforeAmp&gt;2,"etal",TRIM(_xlfn.TEXTBEFORE(_xlfn.TEXTAFTER(_xlpm.authors,"&amp; "),","))))
)</f>
        <v>etal</v>
      </c>
      <c r="I22" s="1" t="str">
        <f aca="false">_xlfn.TEXTBEFORE(_xlfn.TEXTAFTER(A22, "("), ")")</f>
        <v>2013</v>
      </c>
      <c r="J22" s="1" t="str">
        <f aca="false">_xlfn.LET(
_xlpm.doi,IF(C22&lt;&gt;"",C22,_xlfn.TEXTAFTER(A22,"https://doi.org/")),
SUBSTITUTE(
SUBSTITUTE(
SUBSTITUTE(
SUBSTITUTE(
_xlpm.doi,
"/","%2F"),
":","%3A"),
"&lt;","%3C"),
"&gt;","%3E")
)</f>
        <v>10.1016%2Fj.jhevol.2012.12.003</v>
      </c>
      <c r="K22" s="1" t="str">
        <f aca="false">TRIM(_xlfn.TEXTJOIN("_",FALSE(),F22,(SUBSTITUTE(SUBSTITUTE(D22," ",""), "_", ""))))</f>
        <v>Bauernfeind_etal_2013_Table1</v>
      </c>
      <c r="L22" s="1" t="str">
        <f aca="false">J22 &amp; "_" &amp; SUBSTITUTE(SUBSTITUTE(SUBSTITUTE(D22,CHAR(160),"")," ",""),"_","")</f>
        <v>10.1016%2Fj.jhevol.2012.12.003_Table1</v>
      </c>
      <c r="M22" s="1" t="str">
        <f aca="false" t="array" ref="M22:M22">IFERROR(INDEX(FileList!$A$1:$A$1000,MATCH(TRUE(),EXACT(L22,IFERROR(_xlfn.TEXTBEFORE(FileList!$A$1:$A$1000,".tsv"),"")),0)),"notfound")</f>
        <v>notfound</v>
      </c>
      <c r="N22" s="4" t="s">
        <v>117</v>
      </c>
      <c r="P22" s="4" t="s">
        <v>41</v>
      </c>
      <c r="V22" s="4" t="s">
        <v>42</v>
      </c>
      <c r="Y22" s="4" t="s">
        <v>118</v>
      </c>
      <c r="AF22" s="4" t="s">
        <v>80</v>
      </c>
      <c r="AG22" s="4" t="s">
        <v>114</v>
      </c>
      <c r="AI22" s="4" t="s">
        <v>119</v>
      </c>
      <c r="AJ22" s="4" t="s">
        <v>120</v>
      </c>
      <c r="AK22" s="4" t="s">
        <v>63</v>
      </c>
      <c r="AL22" s="4" t="s">
        <v>63</v>
      </c>
      <c r="AM22" s="4" t="s">
        <v>86</v>
      </c>
    </row>
    <row r="23" customFormat="false" ht="15.75" hidden="false" customHeight="true" outlineLevel="0" collapsed="false">
      <c r="A23" s="4" t="s">
        <v>116</v>
      </c>
      <c r="D23" s="4" t="s">
        <v>121</v>
      </c>
      <c r="E23" s="1" t="str">
        <f aca="false">RIGHT(A23,1)</f>
        <v>3</v>
      </c>
      <c r="F23" s="1" t="str">
        <f aca="false">G23 &amp; IF(H23&lt;&gt;"", "_" &amp; H23, "_") &amp; IF(I23&lt;&gt;"", "_" &amp; I23, "_") &amp; IF(B23&lt;&gt;"", "_" &amp; B23, "")</f>
        <v>Bauernfeind_etal_2013</v>
      </c>
      <c r="G23" s="1" t="str">
        <f aca="false">SUBSTITUTE(SUBSTITUTE(_xlfn.TEXTBEFORE(A23,","), "-", ""), " ", "")</f>
        <v>Bauernfeind</v>
      </c>
      <c r="H23" s="1" t="str">
        <f aca="false">_xlfn.LET(
_xlpm.authors,_xlfn.TEXTBEFORE(A23," ("&amp;I23&amp;")"),
_xlpm.hasAmp,ISNUMBER(SEARCH("&amp;",_xlpm.authors)),
_xlpm.commasBeforeAmp,IF(_xlpm.hasAmp,LEN(_xlfn.TEXTBEFORE(_xlpm.authors,"&amp;"))-LEN(SUBSTITUTE(_xlfn.TEXTBEFORE(_xlpm.authors,"&amp;"),",","")),0),
IF(NOT(_xlpm.hasAmp),"",IF(_xlpm.commasBeforeAmp&gt;2,"etal",TRIM(_xlfn.TEXTBEFORE(_xlfn.TEXTAFTER(_xlpm.authors,"&amp; "),","))))
)</f>
        <v>etal</v>
      </c>
      <c r="I23" s="1" t="str">
        <f aca="false">_xlfn.TEXTBEFORE(_xlfn.TEXTAFTER(A23, "("), ")")</f>
        <v>2013</v>
      </c>
      <c r="J23" s="1" t="str">
        <f aca="false">_xlfn.LET(
_xlpm.doi,IF(C23&lt;&gt;"",C23,_xlfn.TEXTAFTER(A23,"https://doi.org/")),
SUBSTITUTE(
SUBSTITUTE(
SUBSTITUTE(
SUBSTITUTE(
_xlpm.doi,
"/","%2F"),
":","%3A"),
"&lt;","%3C"),
"&gt;","%3E")
)</f>
        <v>10.1016%2Fj.jhevol.2012.12.003</v>
      </c>
      <c r="K23" s="1" t="str">
        <f aca="false">TRIM(_xlfn.TEXTJOIN("_",FALSE(),F23,(SUBSTITUTE(SUBSTITUTE(D23," ",""), "_", ""))))</f>
        <v>Bauernfeind_etal_2013_Table2</v>
      </c>
      <c r="L23" s="1" t="str">
        <f aca="false">J23 &amp; "_" &amp; SUBSTITUTE(SUBSTITUTE(SUBSTITUTE(D23,CHAR(160),"")," ",""),"_","")</f>
        <v>10.1016%2Fj.jhevol.2012.12.003_Table2</v>
      </c>
      <c r="M23" s="1" t="str">
        <f aca="false" t="array" ref="M23:M23">IFERROR(INDEX(FileList!$A$1:$A$1000,MATCH(TRUE(),EXACT(L23,IFERROR(_xlfn.TEXTBEFORE(FileList!$A$1:$A$1000,".tsv"),"")),0)),"notfound")</f>
        <v>notfound</v>
      </c>
      <c r="P23" s="4" t="s">
        <v>41</v>
      </c>
      <c r="V23" s="4" t="s">
        <v>42</v>
      </c>
      <c r="Y23" s="4" t="s">
        <v>118</v>
      </c>
      <c r="AF23" s="4" t="s">
        <v>80</v>
      </c>
      <c r="AG23" s="4" t="s">
        <v>114</v>
      </c>
      <c r="AI23" s="4" t="s">
        <v>119</v>
      </c>
      <c r="AJ23" s="4" t="s">
        <v>120</v>
      </c>
      <c r="AK23" s="4" t="s">
        <v>63</v>
      </c>
      <c r="AL23" s="4" t="s">
        <v>63</v>
      </c>
      <c r="AM23" s="4" t="s">
        <v>86</v>
      </c>
    </row>
    <row r="24" customFormat="false" ht="15.75" hidden="false" customHeight="true" outlineLevel="0" collapsed="false">
      <c r="A24" s="4" t="s">
        <v>116</v>
      </c>
      <c r="D24" s="4" t="s">
        <v>68</v>
      </c>
      <c r="E24" s="1" t="str">
        <f aca="false">RIGHT(A24,1)</f>
        <v>3</v>
      </c>
      <c r="F24" s="1" t="str">
        <f aca="false">G24 &amp; IF(H24&lt;&gt;"", "_" &amp; H24, "_") &amp; IF(I24&lt;&gt;"", "_" &amp; I24, "_") &amp; IF(B24&lt;&gt;"", "_" &amp; B24, "")</f>
        <v>Bauernfeind_etal_2013</v>
      </c>
      <c r="G24" s="1" t="str">
        <f aca="false">SUBSTITUTE(SUBSTITUTE(_xlfn.TEXTBEFORE(A24,","), "-", ""), " ", "")</f>
        <v>Bauernfeind</v>
      </c>
      <c r="H24" s="1" t="str">
        <f aca="false">_xlfn.LET(
_xlpm.authors,_xlfn.TEXTBEFORE(A24," ("&amp;I24&amp;")"),
_xlpm.hasAmp,ISNUMBER(SEARCH("&amp;",_xlpm.authors)),
_xlpm.commasBeforeAmp,IF(_xlpm.hasAmp,LEN(_xlfn.TEXTBEFORE(_xlpm.authors,"&amp;"))-LEN(SUBSTITUTE(_xlfn.TEXTBEFORE(_xlpm.authors,"&amp;"),",","")),0),
IF(NOT(_xlpm.hasAmp),"",IF(_xlpm.commasBeforeAmp&gt;2,"etal",TRIM(_xlfn.TEXTBEFORE(_xlfn.TEXTAFTER(_xlpm.authors,"&amp; "),","))))
)</f>
        <v>etal</v>
      </c>
      <c r="I24" s="1" t="str">
        <f aca="false">_xlfn.TEXTBEFORE(_xlfn.TEXTAFTER(A24, "("), ")")</f>
        <v>2013</v>
      </c>
      <c r="J24" s="1" t="str">
        <f aca="false">_xlfn.LET(
_xlpm.doi,IF(C24&lt;&gt;"",C24,_xlfn.TEXTAFTER(A24,"https://doi.org/")),
SUBSTITUTE(
SUBSTITUTE(
SUBSTITUTE(
SUBSTITUTE(
_xlpm.doi,
"/","%2F"),
":","%3A"),
"&lt;","%3C"),
"&gt;","%3E")
)</f>
        <v>10.1016%2Fj.jhevol.2012.12.003</v>
      </c>
      <c r="K24" s="1" t="str">
        <f aca="false">TRIM(_xlfn.TEXTJOIN("_",FALSE(),F24,(SUBSTITUTE(SUBSTITUTE(D24," ",""), "_", ""))))</f>
        <v>Bauernfeind_etal_2013_Table3</v>
      </c>
      <c r="L24" s="1" t="str">
        <f aca="false">J24 &amp; "_" &amp; SUBSTITUTE(SUBSTITUTE(SUBSTITUTE(D24,CHAR(160),"")," ",""),"_","")</f>
        <v>10.1016%2Fj.jhevol.2012.12.003_Table3</v>
      </c>
      <c r="M24" s="1" t="str">
        <f aca="false" t="array" ref="M24:M24">IFERROR(INDEX(FileList!$A$1:$A$1000,MATCH(TRUE(),EXACT(L24,IFERROR(_xlfn.TEXTBEFORE(FileList!$A$1:$A$1000,".tsv"),"")),0)),"notfound")</f>
        <v>notfound</v>
      </c>
      <c r="V24" s="4" t="s">
        <v>42</v>
      </c>
      <c r="Y24" s="4" t="s">
        <v>118</v>
      </c>
      <c r="AF24" s="4" t="s">
        <v>80</v>
      </c>
      <c r="AG24" s="4" t="s">
        <v>114</v>
      </c>
      <c r="AI24" s="4" t="s">
        <v>119</v>
      </c>
      <c r="AJ24" s="4" t="s">
        <v>120</v>
      </c>
      <c r="AK24" s="4" t="s">
        <v>63</v>
      </c>
      <c r="AL24" s="4" t="s">
        <v>63</v>
      </c>
      <c r="AM24" s="4" t="s">
        <v>86</v>
      </c>
    </row>
    <row r="25" customFormat="false" ht="15.75" hidden="false" customHeight="true" outlineLevel="0" collapsed="false">
      <c r="A25" s="4" t="s">
        <v>122</v>
      </c>
      <c r="D25" s="4" t="s">
        <v>77</v>
      </c>
      <c r="E25" s="1" t="str">
        <f aca="false">RIGHT(A25,1)</f>
        <v>3</v>
      </c>
      <c r="F25" s="1" t="str">
        <f aca="false">G25 &amp; IF(H25&lt;&gt;"", "_" &amp; H25, "_") &amp; IF(I25&lt;&gt;"", "_" &amp; I25, "_") &amp; IF(B25&lt;&gt;"", "_" &amp; B25, "")</f>
        <v>Boyer_Harrington_2018</v>
      </c>
      <c r="G25" s="1" t="str">
        <f aca="false">SUBSTITUTE(SUBSTITUTE(_xlfn.TEXTBEFORE(A25,","), "-", ""), " ", "")</f>
        <v>Boyer</v>
      </c>
      <c r="H25" s="1" t="str">
        <f aca="false">_xlfn.LET(
_xlpm.authors,_xlfn.TEXTBEFORE(A25," ("&amp;I25&amp;")"),
_xlpm.hasAmp,ISNUMBER(SEARCH("&amp;",_xlpm.authors)),
_xlpm.commasBeforeAmp,IF(_xlpm.hasAmp,LEN(_xlfn.TEXTBEFORE(_xlpm.authors,"&amp;"))-LEN(SUBSTITUTE(_xlfn.TEXTBEFORE(_xlpm.authors,"&amp;"),",","")),0),
IF(NOT(_xlpm.hasAmp),"",IF(_xlpm.commasBeforeAmp&gt;2,"etal",TRIM(_xlfn.TEXTBEFORE(_xlfn.TEXTAFTER(_xlpm.authors,"&amp; "),","))))
)</f>
        <v>Harrington</v>
      </c>
      <c r="I25" s="1" t="str">
        <f aca="false">_xlfn.TEXTBEFORE(_xlfn.TEXTAFTER(A25, "("), ")")</f>
        <v>2018</v>
      </c>
      <c r="J25" s="1" t="str">
        <f aca="false">_xlfn.LET(
_xlpm.doi,IF(C25&lt;&gt;"",C25,_xlfn.TEXTAFTER(A25,"https://doi.org/")),
SUBSTITUTE(
SUBSTITUTE(
SUBSTITUTE(
SUBSTITUTE(
_xlpm.doi,
"/","%2F"),
":","%3A"),
"&lt;","%3C"),
"&gt;","%3E")
)</f>
        <v>10.1016%2Fj.jhevol.2017.09.003</v>
      </c>
      <c r="K25" s="1" t="str">
        <f aca="false">TRIM(_xlfn.TEXTJOIN("_",FALSE(),F25,(SUBSTITUTE(SUBSTITUTE(D25," ",""), "_", ""))))</f>
        <v>Boyer_Harrington_2018_Table1</v>
      </c>
      <c r="L25" s="1" t="str">
        <f aca="false">J25 &amp; "_" &amp; SUBSTITUTE(SUBSTITUTE(SUBSTITUTE(D25,CHAR(160),"")," ",""),"_","")</f>
        <v>10.1016%2Fj.jhevol.2017.09.003_Table1</v>
      </c>
      <c r="M25" s="1" t="str">
        <f aca="false" t="array" ref="M25:M25">IFERROR(INDEX(FileList!$A$1:$A$1000,MATCH(TRUE(),EXACT(L25,IFERROR(_xlfn.TEXTBEFORE(FileList!$A$1:$A$1000,".tsv"),"")),0)),"notfound")</f>
        <v>notfound</v>
      </c>
      <c r="N25" s="4" t="s">
        <v>123</v>
      </c>
    </row>
    <row r="26" customFormat="false" ht="15.75" hidden="false" customHeight="true" outlineLevel="0" collapsed="false">
      <c r="A26" s="4" t="s">
        <v>124</v>
      </c>
      <c r="D26" s="4" t="s">
        <v>125</v>
      </c>
      <c r="E26" s="1" t="str">
        <f aca="false">RIGHT(A26,1)</f>
        <v>2</v>
      </c>
      <c r="F26" s="1" t="str">
        <f aca="false">G26 &amp; IF(H26&lt;&gt;"", "_" &amp; H26, "_") &amp; IF(I26&lt;&gt;"", "_" &amp; I26, "_") &amp; IF(B26&lt;&gt;"", "_" &amp; B26, "")</f>
        <v>Boyer_Harrington_2019</v>
      </c>
      <c r="G26" s="1" t="str">
        <f aca="false">SUBSTITUTE(SUBSTITUTE(_xlfn.TEXTBEFORE(A26,","), "-", ""), " ", "")</f>
        <v>Boyer</v>
      </c>
      <c r="H26" s="1" t="str">
        <f aca="false">_xlfn.LET(
_xlpm.authors,_xlfn.TEXTBEFORE(A26," ("&amp;I26&amp;")"),
_xlpm.hasAmp,ISNUMBER(SEARCH("&amp;",_xlpm.authors)),
_xlpm.commasBeforeAmp,IF(_xlpm.hasAmp,LEN(_xlfn.TEXTBEFORE(_xlpm.authors,"&amp;"))-LEN(SUBSTITUTE(_xlfn.TEXTBEFORE(_xlpm.authors,"&amp;"),",","")),0),
IF(NOT(_xlpm.hasAmp),"",IF(_xlpm.commasBeforeAmp&gt;2,"etal",TRIM(_xlfn.TEXTBEFORE(_xlfn.TEXTAFTER(_xlpm.authors,"&amp; "),","))))
)</f>
        <v>Harrington</v>
      </c>
      <c r="I26" s="1" t="str">
        <f aca="false">_xlfn.TEXTBEFORE(_xlfn.TEXTAFTER(A26, "("), ")")</f>
        <v>2019</v>
      </c>
      <c r="J26" s="1" t="str">
        <f aca="false">_xlfn.LET(
_xlpm.doi,IF(C26&lt;&gt;"",C26,_xlfn.TEXTAFTER(A26,"https://doi.org/")),
SUBSTITUTE(
SUBSTITUTE(
SUBSTITUTE(
SUBSTITUTE(
_xlpm.doi,
"/","%2F"),
":","%3A"),
"&lt;","%3C"),
"&gt;","%3E")
)</f>
        <v>10.1016%2Fj.jhevol.2018.10.002</v>
      </c>
      <c r="K26" s="1" t="str">
        <f aca="false">TRIM(_xlfn.TEXTJOIN("_",FALSE(),F26,(SUBSTITUTE(SUBSTITUTE(D26," ",""), "_", ""))))</f>
        <v>Boyer_Harrington_2019_SOMTableS6</v>
      </c>
      <c r="L26" s="1" t="str">
        <f aca="false">J26 &amp; "_" &amp; SUBSTITUTE(SUBSTITUTE(SUBSTITUTE(D26,CHAR(160),"")," ",""),"_","")</f>
        <v>10.1016%2Fj.jhevol.2018.10.002_SOMTableS6</v>
      </c>
      <c r="M26" s="1" t="str">
        <f aca="false" t="array" ref="M26:M26">IFERROR(INDEX(FileList!$A$1:$A$1000,MATCH(TRUE(),EXACT(L26,IFERROR(_xlfn.TEXTBEFORE(FileList!$A$1:$A$1000,".tsv"),"")),0)),"notfound")</f>
        <v>notfound</v>
      </c>
    </row>
    <row r="27" customFormat="false" ht="15.75" hidden="false" customHeight="true" outlineLevel="0" collapsed="false">
      <c r="A27" s="4" t="s">
        <v>126</v>
      </c>
      <c r="C27" s="4" t="s">
        <v>127</v>
      </c>
      <c r="D27" s="4" t="s">
        <v>128</v>
      </c>
      <c r="E27" s="1" t="str">
        <f aca="false">RIGHT(A27,1)</f>
        <v>0</v>
      </c>
      <c r="F27" s="1" t="str">
        <f aca="false">G27 &amp; IF(H27&lt;&gt;"", "_" &amp; H27, "_") &amp; IF(I27&lt;&gt;"", "_" &amp; I27, "_") &amp; IF(B27&lt;&gt;"", "_" &amp; B27, "")</f>
        <v>Brodmann__1913</v>
      </c>
      <c r="G27" s="1" t="str">
        <f aca="false">SUBSTITUTE(SUBSTITUTE(_xlfn.TEXTBEFORE(A27,","), "-", ""), " ", "")</f>
        <v>Brodmann</v>
      </c>
      <c r="H27" s="1" t="str">
        <f aca="false">_xlfn.LET(
_xlpm.authors,_xlfn.TEXTBEFORE(A27," ("&amp;I27&amp;")"),
_xlpm.hasAmp,ISNUMBER(SEARCH("&amp;",_xlpm.authors)),
_xlpm.commasBeforeAmp,IF(_xlpm.hasAmp,LEN(_xlfn.TEXTBEFORE(_xlpm.authors,"&amp;"))-LEN(SUBSTITUTE(_xlfn.TEXTBEFORE(_xlpm.authors,"&amp;"),",","")),0),
IF(NOT(_xlpm.hasAmp),"",IF(_xlpm.commasBeforeAmp&gt;2,"etal",TRIM(_xlfn.TEXTBEFORE(_xlfn.TEXTAFTER(_xlpm.authors,"&amp; "),","))))
)</f>
        <v/>
      </c>
      <c r="I27" s="1" t="str">
        <f aca="false">_xlfn.TEXTBEFORE(_xlfn.TEXTAFTER(A27, "("), ")")</f>
        <v>1913</v>
      </c>
      <c r="J27" s="1" t="str">
        <f aca="false">_xlfn.LET(
_xlpm.doi,IF(C27&lt;&gt;"",C27,_xlfn.TEXTAFTER(A27,"https://doi.org/")),
SUBSTITUTE(
SUBSTITUTE(
SUBSTITUTE(
SUBSTITUTE(
_xlpm.doi,
"/","%2F"),
":","%3A"),
"&lt;","%3C"),
"&gt;","%3E")
)</f>
        <v>10.0000%2Fplaceholder</v>
      </c>
      <c r="K27" s="1" t="str">
        <f aca="false">TRIM(_xlfn.TEXTJOIN("_",FALSE(),F27,(SUBSTITUTE(SUBSTITUTE(D27," ",""), "_", ""))))</f>
        <v>Brodmann__1913_Tabelle1</v>
      </c>
      <c r="L27" s="1" t="str">
        <f aca="false">J27 &amp; "_" &amp; SUBSTITUTE(SUBSTITUTE(SUBSTITUTE(D27,CHAR(160),"")," ",""),"_","")</f>
        <v>10.0000%2Fplaceholder_Tabelle1</v>
      </c>
      <c r="M27" s="1" t="str">
        <f aca="false" t="array" ref="M27:M27">IFERROR(INDEX(FileList!$A$1:$A$1000,MATCH(TRUE(),EXACT(L27,IFERROR(_xlfn.TEXTBEFORE(FileList!$A$1:$A$1000,".tsv"),"")),0)),"notfound")</f>
        <v>notfound</v>
      </c>
      <c r="AI27" s="4" t="s">
        <v>129</v>
      </c>
      <c r="AJ27" s="4" t="s">
        <v>130</v>
      </c>
      <c r="AL27" s="4" t="s">
        <v>63</v>
      </c>
      <c r="AM27" s="4" t="s">
        <v>129</v>
      </c>
    </row>
    <row r="28" customFormat="false" ht="15.75" hidden="false" customHeight="true" outlineLevel="0" collapsed="false">
      <c r="A28" s="4" t="s">
        <v>131</v>
      </c>
      <c r="D28" s="4" t="s">
        <v>132</v>
      </c>
      <c r="E28" s="1" t="str">
        <f aca="false">RIGHT(A28,1)</f>
        <v>3</v>
      </c>
      <c r="F28" s="1" t="str">
        <f aca="false">G28 &amp; IF(H28&lt;&gt;"", "_" &amp; H28, "_") &amp; IF(I28&lt;&gt;"", "_" &amp; I28, "_") &amp; IF(B28&lt;&gt;"", "_" &amp; B28, "")</f>
        <v>Burger_etal_2019</v>
      </c>
      <c r="G28" s="1" t="str">
        <f aca="false">SUBSTITUTE(SUBSTITUTE(_xlfn.TEXTBEFORE(A28,","), "-", ""), " ", "")</f>
        <v>Burger</v>
      </c>
      <c r="H28" s="1" t="str">
        <f aca="false">_xlfn.LET(
_xlpm.authors,_xlfn.TEXTBEFORE(A28," ("&amp;I28&amp;")"),
_xlpm.hasAmp,ISNUMBER(SEARCH("&amp;",_xlpm.authors)),
_xlpm.commasBeforeAmp,IF(_xlpm.hasAmp,LEN(_xlfn.TEXTBEFORE(_xlpm.authors,"&amp;"))-LEN(SUBSTITUTE(_xlfn.TEXTBEFORE(_xlpm.authors,"&amp;"),",","")),0),
IF(NOT(_xlpm.hasAmp),"",IF(_xlpm.commasBeforeAmp&gt;2,"etal",TRIM(_xlfn.TEXTBEFORE(_xlfn.TEXTAFTER(_xlpm.authors,"&amp; "),","))))
)</f>
        <v>etal</v>
      </c>
      <c r="I28" s="1" t="str">
        <f aca="false">_xlfn.TEXTBEFORE(_xlfn.TEXTAFTER(A28, "("), ")")</f>
        <v>2019</v>
      </c>
      <c r="J28" s="1" t="str">
        <f aca="false">_xlfn.LET(
_xlpm.doi,IF(C28&lt;&gt;"",C28,_xlfn.TEXTAFTER(A28,"https://doi.org/")),
SUBSTITUTE(
SUBSTITUTE(
SUBSTITUTE(
SUBSTITUTE(
_xlpm.doi,
"/","%2F"),
":","%3A"),
"&lt;","%3C"),
"&gt;","%3E")
)</f>
        <v>10.1093%2Fjmammal%2Fgyz043</v>
      </c>
      <c r="K28" s="1" t="str">
        <f aca="false">TRIM(_xlfn.TEXTJOIN("_",FALSE(),F28,(SUBSTITUTE(SUBSTITUTE(D28," ",""), "_", ""))))</f>
        <v>Burger_etal_2019_SupplementaryDataSD1</v>
      </c>
      <c r="L28" s="1" t="str">
        <f aca="false">J28 &amp; "_" &amp; SUBSTITUTE(SUBSTITUTE(SUBSTITUTE(D28,CHAR(160),"")," ",""),"_","")</f>
        <v>10.1093%2Fjmammal%2Fgyz043_SupplementaryDataSD1</v>
      </c>
      <c r="M28" s="1" t="str">
        <f aca="false" t="array" ref="M28:M28">IFERROR(INDEX(FileList!$A$1:$A$1000,MATCH(TRUE(),EXACT(L28,IFERROR(_xlfn.TEXTBEFORE(FileList!$A$1:$A$1000,".tsv"),"")),0)),"notfound")</f>
        <v>notfound</v>
      </c>
      <c r="O28" s="4" t="s">
        <v>133</v>
      </c>
      <c r="P28" s="4" t="s">
        <v>41</v>
      </c>
      <c r="Q28" s="4" t="s">
        <v>134</v>
      </c>
      <c r="R28" s="4" t="s">
        <v>135</v>
      </c>
      <c r="S28" s="4" t="s">
        <v>136</v>
      </c>
      <c r="T28" s="4" t="str">
        <f aca="false">IF(S28="N", R28, "write file name")</f>
        <v>gyz043_suppl_Supplement_Data.csv</v>
      </c>
      <c r="U28" s="4" t="s">
        <v>137</v>
      </c>
      <c r="V28" s="4" t="s">
        <v>42</v>
      </c>
      <c r="W28" s="4" t="s">
        <v>138</v>
      </c>
      <c r="AB28" s="4" t="s">
        <v>139</v>
      </c>
      <c r="AH28" s="4" t="s">
        <v>140</v>
      </c>
      <c r="AI28" s="4" t="s">
        <v>141</v>
      </c>
      <c r="AJ28" s="4" t="s">
        <v>142</v>
      </c>
      <c r="AK28" s="4" t="s">
        <v>143</v>
      </c>
      <c r="AL28" s="4" t="s">
        <v>143</v>
      </c>
      <c r="AM28" s="4" t="s">
        <v>144</v>
      </c>
    </row>
    <row r="29" customFormat="false" ht="15.75" hidden="false" customHeight="true" outlineLevel="0" collapsed="false">
      <c r="A29" s="4" t="s">
        <v>145</v>
      </c>
      <c r="D29" s="4" t="s">
        <v>146</v>
      </c>
      <c r="E29" s="1" t="str">
        <f aca="false">RIGHT(A29,1)</f>
        <v>9</v>
      </c>
      <c r="F29" s="1" t="str">
        <f aca="false">G29 &amp; IF(H29&lt;&gt;"", "_" &amp; H29, "_") &amp; IF(I29&lt;&gt;"", "_" &amp; I29, "_") &amp; IF(B29&lt;&gt;"", "_" &amp; B29, "")</f>
        <v>Burish_etal_2010</v>
      </c>
      <c r="G29" s="1" t="str">
        <f aca="false">SUBSTITUTE(SUBSTITUTE(_xlfn.TEXTBEFORE(A29,","), "-", ""), " ", "")</f>
        <v>Burish</v>
      </c>
      <c r="H29" s="1" t="str">
        <f aca="false">_xlfn.LET(
_xlpm.authors,_xlfn.TEXTBEFORE(A29," ("&amp;I29&amp;")"),
_xlpm.hasAmp,ISNUMBER(SEARCH("&amp;",_xlpm.authors)),
_xlpm.commasBeforeAmp,IF(_xlpm.hasAmp,LEN(_xlfn.TEXTBEFORE(_xlpm.authors,"&amp;"))-LEN(SUBSTITUTE(_xlfn.TEXTBEFORE(_xlpm.authors,"&amp;"),",","")),0),
IF(NOT(_xlpm.hasAmp),"",IF(_xlpm.commasBeforeAmp&gt;2,"etal",TRIM(_xlfn.TEXTBEFORE(_xlfn.TEXTAFTER(_xlpm.authors,"&amp; "),","))))
)</f>
        <v>etal</v>
      </c>
      <c r="I29" s="1" t="str">
        <f aca="false">_xlfn.TEXTBEFORE(_xlfn.TEXTAFTER(A29, "("), ")")</f>
        <v>2010</v>
      </c>
      <c r="J29" s="1" t="str">
        <f aca="false">_xlfn.LET(
_xlpm.doi,IF(C29&lt;&gt;"",C29,_xlfn.TEXTAFTER(A29,"https://doi.org/")),
SUBSTITUTE(
SUBSTITUTE(
SUBSTITUTE(
SUBSTITUTE(
_xlpm.doi,
"/","%2F"),
":","%3A"),
"&lt;","%3C"),
"&gt;","%3E")
)</f>
        <v>10.1159%2F000319019</v>
      </c>
      <c r="K29" s="1" t="str">
        <f aca="false">TRIM(_xlfn.TEXTJOIN("_",FALSE(),F29,(SUBSTITUTE(SUBSTITUTE(D29," ",""), "_", ""))))</f>
        <v>Burish_etal_2010_SupplementaryTable1</v>
      </c>
      <c r="L29" s="1" t="str">
        <f aca="false">J29 &amp; "_" &amp; SUBSTITUTE(SUBSTITUTE(SUBSTITUTE(D29,CHAR(160),"")," ",""),"_","")</f>
        <v>10.1159%2F000319019_SupplementaryTable1</v>
      </c>
      <c r="M29" s="1" t="str">
        <f aca="false" t="array" ref="M29:M29">IFERROR(INDEX(FileList!$A$1:$A$1000,MATCH(TRUE(),EXACT(L29,IFERROR(_xlfn.TEXTBEFORE(FileList!$A$1:$A$1000,".tsv"),"")),0)),"notfound")</f>
        <v>notfound</v>
      </c>
      <c r="N29" s="4" t="s">
        <v>147</v>
      </c>
      <c r="P29" s="4" t="s">
        <v>148</v>
      </c>
      <c r="R29" s="4" t="s">
        <v>149</v>
      </c>
      <c r="Y29" s="4" t="s">
        <v>58</v>
      </c>
      <c r="Z29" s="4" t="s">
        <v>58</v>
      </c>
      <c r="AA29" s="4" t="s">
        <v>150</v>
      </c>
      <c r="AG29" s="4" t="s">
        <v>59</v>
      </c>
      <c r="AH29" s="4" t="s">
        <v>151</v>
      </c>
      <c r="AJ29" s="4" t="s">
        <v>152</v>
      </c>
      <c r="AK29" s="4" t="s">
        <v>153</v>
      </c>
      <c r="AL29" s="4" t="s">
        <v>43</v>
      </c>
      <c r="AM29" s="4" t="s">
        <v>43</v>
      </c>
    </row>
    <row r="30" customFormat="false" ht="15.75" hidden="false" customHeight="true" outlineLevel="0" collapsed="false">
      <c r="A30" s="4" t="s">
        <v>145</v>
      </c>
      <c r="D30" s="4" t="s">
        <v>77</v>
      </c>
      <c r="E30" s="1" t="str">
        <f aca="false">RIGHT(A30,1)</f>
        <v>9</v>
      </c>
      <c r="F30" s="1" t="str">
        <f aca="false">G30 &amp; IF(H30&lt;&gt;"", "_" &amp; H30, "_") &amp; IF(I30&lt;&gt;"", "_" &amp; I30, "_") &amp; IF(B30&lt;&gt;"", "_" &amp; B30, "")</f>
        <v>Burish_etal_2010</v>
      </c>
      <c r="G30" s="1" t="str">
        <f aca="false">SUBSTITUTE(SUBSTITUTE(_xlfn.TEXTBEFORE(A30,","), "-", ""), " ", "")</f>
        <v>Burish</v>
      </c>
      <c r="H30" s="1" t="str">
        <f aca="false">_xlfn.LET(
_xlpm.authors,_xlfn.TEXTBEFORE(A30," ("&amp;I30&amp;")"),
_xlpm.hasAmp,ISNUMBER(SEARCH("&amp;",_xlpm.authors)),
_xlpm.commasBeforeAmp,IF(_xlpm.hasAmp,LEN(_xlfn.TEXTBEFORE(_xlpm.authors,"&amp;"))-LEN(SUBSTITUTE(_xlfn.TEXTBEFORE(_xlpm.authors,"&amp;"),",","")),0),
IF(NOT(_xlpm.hasAmp),"",IF(_xlpm.commasBeforeAmp&gt;2,"etal",TRIM(_xlfn.TEXTBEFORE(_xlfn.TEXTAFTER(_xlpm.authors,"&amp; "),","))))
)</f>
        <v>etal</v>
      </c>
      <c r="I30" s="1" t="str">
        <f aca="false">_xlfn.TEXTBEFORE(_xlfn.TEXTAFTER(A30, "("), ")")</f>
        <v>2010</v>
      </c>
      <c r="J30" s="1" t="str">
        <f aca="false">_xlfn.LET(
_xlpm.doi,IF(C30&lt;&gt;"",C30,_xlfn.TEXTAFTER(A30,"https://doi.org/")),
SUBSTITUTE(
SUBSTITUTE(
SUBSTITUTE(
SUBSTITUTE(
_xlpm.doi,
"/","%2F"),
":","%3A"),
"&lt;","%3C"),
"&gt;","%3E")
)</f>
        <v>10.1159%2F000319019</v>
      </c>
      <c r="K30" s="1" t="str">
        <f aca="false">TRIM(_xlfn.TEXTJOIN("_",FALSE(),F30,(SUBSTITUTE(SUBSTITUTE(D30," ",""), "_", ""))))</f>
        <v>Burish_etal_2010_Table1</v>
      </c>
      <c r="L30" s="1" t="str">
        <f aca="false">J30 &amp; "_" &amp; SUBSTITUTE(SUBSTITUTE(SUBSTITUTE(D30,CHAR(160),"")," ",""),"_","")</f>
        <v>10.1159%2F000319019_Table1</v>
      </c>
      <c r="M30" s="1" t="str">
        <f aca="false" t="array" ref="M30:M30">IFERROR(INDEX(FileList!$A$1:$A$1000,MATCH(TRUE(),EXACT(L30,IFERROR(_xlfn.TEXTBEFORE(FileList!$A$1:$A$1000,".tsv"),"")),0)),"notfound")</f>
        <v>notfound</v>
      </c>
      <c r="N30" s="4" t="s">
        <v>154</v>
      </c>
      <c r="P30" s="4" t="s">
        <v>41</v>
      </c>
      <c r="Q30" s="4" t="s">
        <v>51</v>
      </c>
      <c r="R30" s="4" t="s">
        <v>155</v>
      </c>
      <c r="T30" s="4" t="s">
        <v>156</v>
      </c>
      <c r="U30" s="4" t="s">
        <v>55</v>
      </c>
      <c r="V30" s="4" t="s">
        <v>42</v>
      </c>
      <c r="X30" s="4" t="s">
        <v>157</v>
      </c>
      <c r="Y30" s="4" t="s">
        <v>58</v>
      </c>
      <c r="Z30" s="4" t="s">
        <v>58</v>
      </c>
      <c r="AA30" s="4" t="s">
        <v>150</v>
      </c>
      <c r="AC30" s="4" t="s">
        <v>158</v>
      </c>
      <c r="AG30" s="4" t="s">
        <v>59</v>
      </c>
      <c r="AH30" s="4" t="s">
        <v>151</v>
      </c>
      <c r="AJ30" s="4" t="s">
        <v>152</v>
      </c>
      <c r="AK30" s="4" t="s">
        <v>159</v>
      </c>
      <c r="AL30" s="4" t="s">
        <v>43</v>
      </c>
      <c r="AM30" s="4" t="s">
        <v>43</v>
      </c>
    </row>
    <row r="31" customFormat="false" ht="15.75" hidden="false" customHeight="true" outlineLevel="0" collapsed="false">
      <c r="A31" s="4" t="s">
        <v>160</v>
      </c>
      <c r="D31" s="4" t="s">
        <v>77</v>
      </c>
      <c r="E31" s="1" t="str">
        <f aca="false">RIGHT(A31,1)</f>
        <v>0</v>
      </c>
      <c r="F31" s="1" t="str">
        <f aca="false">G31 &amp; IF(H31&lt;&gt;"", "_" &amp; H31, "_") &amp; IF(I31&lt;&gt;"", "_" &amp; I31, "_") &amp; IF(B31&lt;&gt;"", "_" &amp; B31, "")</f>
        <v>Bush_Allman_2003</v>
      </c>
      <c r="G31" s="1" t="str">
        <f aca="false">SUBSTITUTE(SUBSTITUTE(_xlfn.TEXTBEFORE(A31,","), "-", ""), " ", "")</f>
        <v>Bush</v>
      </c>
      <c r="H31" s="1" t="str">
        <f aca="false">_xlfn.LET(
_xlpm.authors,_xlfn.TEXTBEFORE(A31," ("&amp;I31&amp;")"),
_xlpm.hasAmp,ISNUMBER(SEARCH("&amp;",_xlpm.authors)),
_xlpm.commasBeforeAmp,IF(_xlpm.hasAmp,LEN(_xlfn.TEXTBEFORE(_xlpm.authors,"&amp;"))-LEN(SUBSTITUTE(_xlfn.TEXTBEFORE(_xlpm.authors,"&amp;"),",","")),0),
IF(NOT(_xlpm.hasAmp),"",IF(_xlpm.commasBeforeAmp&gt;2,"etal",TRIM(_xlfn.TEXTBEFORE(_xlfn.TEXTAFTER(_xlpm.authors,"&amp; "),","))))
)</f>
        <v>Allman</v>
      </c>
      <c r="I31" s="1" t="str">
        <f aca="false">_xlfn.TEXTBEFORE(_xlfn.TEXTAFTER(A31, "("), ")")</f>
        <v>2003</v>
      </c>
      <c r="J31" s="1" t="str">
        <f aca="false">_xlfn.LET(
_xlpm.doi,IF(C31&lt;&gt;"",C31,_xlfn.TEXTAFTER(A31,"https://doi.org/")),
SUBSTITUTE(
SUBSTITUTE(
SUBSTITUTE(
SUBSTITUTE(
_xlpm.doi,
"/","%2F"),
":","%3A"),
"&lt;","%3C"),
"&gt;","%3E")
)</f>
        <v>10.1159%2F000068880</v>
      </c>
      <c r="K31" s="1" t="str">
        <f aca="false">TRIM(_xlfn.TEXTJOIN("_",FALSE(),F31,(SUBSTITUTE(SUBSTITUTE(D31," ",""), "_", ""))))</f>
        <v>Bush_Allman_2003_Table1</v>
      </c>
      <c r="L31" s="1" t="str">
        <f aca="false">J31 &amp; "_" &amp; SUBSTITUTE(SUBSTITUTE(SUBSTITUTE(D31,CHAR(160),"")," ",""),"_","")</f>
        <v>10.1159%2F000068880_Table1</v>
      </c>
      <c r="M31" s="1" t="str">
        <f aca="false" t="array" ref="M31:M31">IFERROR(INDEX(FileList!$A$1:$A$1000,MATCH(TRUE(),EXACT(L31,IFERROR(_xlfn.TEXTBEFORE(FileList!$A$1:$A$1000,".tsv"),"")),0)),"notfound")</f>
        <v>notfound</v>
      </c>
      <c r="N31" s="4" t="s">
        <v>161</v>
      </c>
      <c r="P31" s="4" t="s">
        <v>162</v>
      </c>
      <c r="Y31" s="4" t="s">
        <v>163</v>
      </c>
      <c r="Z31" s="4" t="s">
        <v>164</v>
      </c>
    </row>
    <row r="32" customFormat="false" ht="15.75" hidden="false" customHeight="true" outlineLevel="0" collapsed="false">
      <c r="A32" s="4" t="s">
        <v>165</v>
      </c>
      <c r="B32" s="4" t="s">
        <v>166</v>
      </c>
      <c r="D32" s="4" t="s">
        <v>121</v>
      </c>
      <c r="E32" s="1" t="str">
        <f aca="false">RIGHT(A32,1)</f>
        <v>1</v>
      </c>
      <c r="F32" s="1" t="str">
        <f aca="false">G32 &amp; IF(H32&lt;&gt;"", "_" &amp; H32, "_") &amp; IF(I32&lt;&gt;"", "_" &amp; I32, "_") &amp; IF(B32&lt;&gt;"", "_" &amp; B32, "")</f>
        <v>Bush_Allman_2004_a</v>
      </c>
      <c r="G32" s="1" t="str">
        <f aca="false">SUBSTITUTE(SUBSTITUTE(_xlfn.TEXTBEFORE(A32,","), "-", ""), " ", "")</f>
        <v>Bush</v>
      </c>
      <c r="H32" s="1" t="str">
        <f aca="false">_xlfn.LET(
_xlpm.authors,_xlfn.TEXTBEFORE(A32," ("&amp;I32&amp;")"),
_xlpm.hasAmp,ISNUMBER(SEARCH("&amp;",_xlpm.authors)),
_xlpm.commasBeforeAmp,IF(_xlpm.hasAmp,LEN(_xlfn.TEXTBEFORE(_xlpm.authors,"&amp;"))-LEN(SUBSTITUTE(_xlfn.TEXTBEFORE(_xlpm.authors,"&amp;"),",","")),0),
IF(NOT(_xlpm.hasAmp),"",IF(_xlpm.commasBeforeAmp&gt;2,"etal",TRIM(_xlfn.TEXTBEFORE(_xlfn.TEXTAFTER(_xlpm.authors,"&amp; "),","))))
)</f>
        <v>Allman</v>
      </c>
      <c r="I32" s="1" t="str">
        <f aca="false">_xlfn.TEXTBEFORE(_xlfn.TEXTAFTER(A32, "("), ")")</f>
        <v>2004</v>
      </c>
      <c r="J32" s="1" t="str">
        <f aca="false">_xlfn.LET(
_xlpm.doi,IF(C32&lt;&gt;"",C32,_xlfn.TEXTAFTER(A32,"https://doi.org/")),
SUBSTITUTE(
SUBSTITUTE(
SUBSTITUTE(
SUBSTITUTE(
_xlpm.doi,
"/","%2F"),
":","%3A"),
"&lt;","%3C"),
"&gt;","%3E")
)</f>
        <v>10.1073%2Fpnas.0305760101</v>
      </c>
      <c r="K32" s="1" t="str">
        <f aca="false">TRIM(_xlfn.TEXTJOIN("_",FALSE(),F32,(SUBSTITUTE(SUBSTITUTE(D32," ",""), "_", ""))))</f>
        <v>Bush_Allman_2004_a_Table2</v>
      </c>
      <c r="L32" s="1" t="str">
        <f aca="false">J32 &amp; "_" &amp; SUBSTITUTE(SUBSTITUTE(SUBSTITUTE(D32,CHAR(160),"")," ",""),"_","")</f>
        <v>10.1073%2Fpnas.0305760101_Table2</v>
      </c>
      <c r="M32" s="1" t="str">
        <f aca="false" t="array" ref="M32:M32">IFERROR(INDEX(FileList!$A$1:$A$1000,MATCH(TRUE(),EXACT(L32,IFERROR(_xlfn.TEXTBEFORE(FileList!$A$1:$A$1000,".tsv"),"")),0)),"notfound")</f>
        <v>notfound</v>
      </c>
      <c r="N32" s="4" t="s">
        <v>167</v>
      </c>
      <c r="P32" s="4" t="s">
        <v>168</v>
      </c>
      <c r="R32" s="4" t="s">
        <v>169</v>
      </c>
      <c r="S32" s="4" t="s">
        <v>53</v>
      </c>
      <c r="T32" s="4" t="s">
        <v>170</v>
      </c>
      <c r="U32" s="4" t="s">
        <v>55</v>
      </c>
      <c r="V32" s="4" t="s">
        <v>42</v>
      </c>
      <c r="Y32" s="4" t="s">
        <v>163</v>
      </c>
      <c r="Z32" s="4" t="s">
        <v>164</v>
      </c>
      <c r="AF32" s="4" t="s">
        <v>80</v>
      </c>
      <c r="AG32" s="4" t="s">
        <v>114</v>
      </c>
      <c r="AH32" s="4" t="s">
        <v>171</v>
      </c>
      <c r="AI32" s="4" t="s">
        <v>172</v>
      </c>
      <c r="AK32" s="4" t="s">
        <v>63</v>
      </c>
    </row>
    <row r="33" customFormat="false" ht="15.75" hidden="false" customHeight="true" outlineLevel="0" collapsed="false">
      <c r="A33" s="4" t="s">
        <v>173</v>
      </c>
      <c r="B33" s="4" t="s">
        <v>174</v>
      </c>
      <c r="D33" s="4" t="s">
        <v>49</v>
      </c>
      <c r="E33" s="1" t="str">
        <f aca="false">RIGHT(A33,1)</f>
        <v>4</v>
      </c>
      <c r="F33" s="1" t="str">
        <f aca="false">G33 &amp; IF(H33&lt;&gt;"", "_" &amp; H33, "_") &amp; IF(I33&lt;&gt;"", "_" &amp; I33, "_") &amp; IF(B33&lt;&gt;"", "_" &amp; B33, "")</f>
        <v>Bush_Allman_2004_b</v>
      </c>
      <c r="G33" s="1" t="str">
        <f aca="false">SUBSTITUTE(SUBSTITUTE(_xlfn.TEXTBEFORE(A33,","), "-", ""), " ", "")</f>
        <v>Bush</v>
      </c>
      <c r="H33" s="1" t="str">
        <f aca="false">_xlfn.LET(
_xlpm.authors,_xlfn.TEXTBEFORE(A33," ("&amp;I33&amp;")"),
_xlpm.hasAmp,ISNUMBER(SEARCH("&amp;",_xlpm.authors)),
_xlpm.commasBeforeAmp,IF(_xlpm.hasAmp,LEN(_xlfn.TEXTBEFORE(_xlpm.authors,"&amp;"))-LEN(SUBSTITUTE(_xlfn.TEXTBEFORE(_xlpm.authors,"&amp;"),",","")),0),
IF(NOT(_xlpm.hasAmp),"",IF(_xlpm.commasBeforeAmp&gt;2,"etal",TRIM(_xlfn.TEXTBEFORE(_xlfn.TEXTAFTER(_xlpm.authors,"&amp; "),","))))
)</f>
        <v>Allman</v>
      </c>
      <c r="I33" s="1" t="str">
        <f aca="false">_xlfn.TEXTBEFORE(_xlfn.TEXTAFTER(A33, "("), ")")</f>
        <v>2004</v>
      </c>
      <c r="J33" s="1" t="str">
        <f aca="false">_xlfn.LET(
_xlpm.doi,IF(C33&lt;&gt;"",C33,_xlfn.TEXTAFTER(A33,"https://doi.org/")),
SUBSTITUTE(
SUBSTITUTE(
SUBSTITUTE(
SUBSTITUTE(
_xlpm.doi,
"/","%2F"),
":","%3A"),
"&lt;","%3C"),
"&gt;","%3E")
)</f>
        <v>10.1002%2Far.a.20114</v>
      </c>
      <c r="K33" s="1" t="str">
        <f aca="false">TRIM(_xlfn.TEXTJOIN("_",FALSE(),F33,(SUBSTITUTE(SUBSTITUTE(D33," ",""), "_", ""))))</f>
        <v>Bush_Allman_2004_b_TABLE1</v>
      </c>
      <c r="L33" s="1" t="str">
        <f aca="false">J33 &amp; "_" &amp; SUBSTITUTE(SUBSTITUTE(SUBSTITUTE(D33,CHAR(160),"")," ",""),"_","")</f>
        <v>10.1002%2Far.a.20114_TABLE1</v>
      </c>
      <c r="M33" s="1" t="str">
        <f aca="false" t="array" ref="M33:M33">IFERROR(INDEX(FileList!$A$1:$A$1000,MATCH(TRUE(),EXACT(L33,IFERROR(_xlfn.TEXTBEFORE(FileList!$A$1:$A$1000,".tsv"),"")),0)),"notfound")</f>
        <v>notfound</v>
      </c>
      <c r="N33" s="4" t="s">
        <v>175</v>
      </c>
      <c r="P33" s="4" t="s">
        <v>168</v>
      </c>
      <c r="R33" s="4" t="s">
        <v>176</v>
      </c>
      <c r="S33" s="4" t="s">
        <v>53</v>
      </c>
      <c r="T33" s="4" t="s">
        <v>177</v>
      </c>
      <c r="U33" s="4" t="s">
        <v>55</v>
      </c>
      <c r="V33" s="4" t="s">
        <v>42</v>
      </c>
      <c r="Y33" s="4" t="s">
        <v>163</v>
      </c>
      <c r="Z33" s="4" t="s">
        <v>164</v>
      </c>
      <c r="AF33" s="4" t="s">
        <v>80</v>
      </c>
      <c r="AG33" s="4" t="s">
        <v>178</v>
      </c>
      <c r="AH33" s="4" t="s">
        <v>179</v>
      </c>
      <c r="AI33" s="4" t="s">
        <v>180</v>
      </c>
      <c r="AK33" s="4" t="s">
        <v>63</v>
      </c>
    </row>
    <row r="34" customFormat="false" ht="15.75" hidden="false" customHeight="true" outlineLevel="0" collapsed="false">
      <c r="A34" s="4" t="s">
        <v>181</v>
      </c>
      <c r="D34" s="4" t="s">
        <v>182</v>
      </c>
      <c r="E34" s="1" t="str">
        <f aca="false">RIGHT(A34,1)</f>
        <v>5</v>
      </c>
      <c r="F34" s="1" t="str">
        <f aca="false">G34 &amp; IF(H34&lt;&gt;"", "_" &amp; H34, "_") &amp; IF(I34&lt;&gt;"", "_" &amp; I34, "_") &amp; IF(B34&lt;&gt;"", "_" &amp; B34, "")</f>
        <v>Caspar_etal_2022</v>
      </c>
      <c r="G34" s="1" t="str">
        <f aca="false">SUBSTITUTE(SUBSTITUTE(_xlfn.TEXTBEFORE(A34,","), "-", ""), " ", "")</f>
        <v>Caspar</v>
      </c>
      <c r="H34" s="1" t="str">
        <f aca="false">_xlfn.LET(
_xlpm.authors,_xlfn.TEXTBEFORE(A34," ("&amp;I34&amp;")"),
_xlpm.hasAmp,ISNUMBER(SEARCH("&amp;",_xlpm.authors)),
_xlpm.commasBeforeAmp,IF(_xlpm.hasAmp,LEN(_xlfn.TEXTBEFORE(_xlpm.authors,"&amp;"))-LEN(SUBSTITUTE(_xlfn.TEXTBEFORE(_xlpm.authors,"&amp;"),",","")),0),
IF(NOT(_xlpm.hasAmp),"",IF(_xlpm.commasBeforeAmp&gt;2,"etal",TRIM(_xlfn.TEXTBEFORE(_xlfn.TEXTAFTER(_xlpm.authors,"&amp; "),","))))
)</f>
        <v>etal</v>
      </c>
      <c r="I34" s="1" t="str">
        <f aca="false">_xlfn.TEXTBEFORE(_xlfn.TEXTAFTER(A34, "("), ")")</f>
        <v>2022</v>
      </c>
      <c r="J34" s="1" t="str">
        <f aca="false">_xlfn.LET(
_xlpm.doi,IF(C34&lt;&gt;"",C34,_xlfn.TEXTAFTER(A34,"https://doi.org/")),
SUBSTITUTE(
SUBSTITUTE(
SUBSTITUTE(
SUBSTITUTE(
_xlpm.doi,
"/","%2F"),
":","%3A"),
"&lt;","%3C"),
"&gt;","%3E")
)</f>
        <v>10.7554%2FeLife.77875</v>
      </c>
      <c r="K34" s="1" t="str">
        <f aca="false">TRIM(_xlfn.TEXTJOIN("_",FALSE(),F34,(SUBSTITUTE(SUBSTITUTE(D34," ",""), "_", ""))))</f>
        <v>Caspar_etal_2022_Supplementaryfile3</v>
      </c>
      <c r="L34" s="1" t="str">
        <f aca="false">J34 &amp; "_" &amp; SUBSTITUTE(SUBSTITUTE(SUBSTITUTE(D34,CHAR(160),"")," ",""),"_","")</f>
        <v>10.7554%2FeLife.77875_Supplementaryfile3</v>
      </c>
      <c r="M34" s="1" t="str">
        <f aca="false" t="array" ref="M34:M34">IFERROR(INDEX(FileList!$A$1:$A$1000,MATCH(TRUE(),EXACT(L34,IFERROR(_xlfn.TEXTBEFORE(FileList!$A$1:$A$1000,".tsv"),"")),0)),"notfound")</f>
        <v>notfound</v>
      </c>
      <c r="N34" s="4" t="s">
        <v>183</v>
      </c>
      <c r="P34" s="4" t="s">
        <v>41</v>
      </c>
      <c r="Q34" s="4" t="s">
        <v>51</v>
      </c>
      <c r="R34" s="4" t="s">
        <v>184</v>
      </c>
      <c r="S34" s="4" t="s">
        <v>136</v>
      </c>
      <c r="T34" s="4" t="str">
        <f aca="false">IF(S34="N", R34, "write file name")</f>
        <v>elife-77875-supp3-v1.xlsx</v>
      </c>
      <c r="U34" s="4" t="s">
        <v>185</v>
      </c>
      <c r="V34" s="4" t="s">
        <v>42</v>
      </c>
      <c r="W34" s="4" t="s">
        <v>186</v>
      </c>
      <c r="X34" s="4" t="s">
        <v>187</v>
      </c>
      <c r="AH34" s="4" t="s">
        <v>179</v>
      </c>
      <c r="AI34" s="4" t="s">
        <v>188</v>
      </c>
      <c r="AJ34" s="4" t="s">
        <v>120</v>
      </c>
      <c r="AK34" s="4" t="s">
        <v>143</v>
      </c>
      <c r="AL34" s="4" t="s">
        <v>143</v>
      </c>
      <c r="AM34" s="4" t="s">
        <v>189</v>
      </c>
    </row>
    <row r="35" customFormat="false" ht="15.75" hidden="false" customHeight="true" outlineLevel="0" collapsed="false">
      <c r="A35" s="4" t="s">
        <v>181</v>
      </c>
      <c r="D35" s="4" t="s">
        <v>77</v>
      </c>
      <c r="E35" s="1" t="str">
        <f aca="false">RIGHT(A35,1)</f>
        <v>5</v>
      </c>
      <c r="F35" s="1" t="str">
        <f aca="false">G35 &amp; IF(H35&lt;&gt;"", "_" &amp; H35, "_") &amp; IF(I35&lt;&gt;"", "_" &amp; I35, "_") &amp; IF(B35&lt;&gt;"", "_" &amp; B35, "")</f>
        <v>Caspar_etal_2022</v>
      </c>
      <c r="G35" s="1" t="str">
        <f aca="false">SUBSTITUTE(SUBSTITUTE(_xlfn.TEXTBEFORE(A35,","), "-", ""), " ", "")</f>
        <v>Caspar</v>
      </c>
      <c r="H35" s="1" t="str">
        <f aca="false">_xlfn.LET(
_xlpm.authors,_xlfn.TEXTBEFORE(A35," ("&amp;I35&amp;")"),
_xlpm.hasAmp,ISNUMBER(SEARCH("&amp;",_xlpm.authors)),
_xlpm.commasBeforeAmp,IF(_xlpm.hasAmp,LEN(_xlfn.TEXTBEFORE(_xlpm.authors,"&amp;"))-LEN(SUBSTITUTE(_xlfn.TEXTBEFORE(_xlpm.authors,"&amp;"),",","")),0),
IF(NOT(_xlpm.hasAmp),"",IF(_xlpm.commasBeforeAmp&gt;2,"etal",TRIM(_xlfn.TEXTBEFORE(_xlfn.TEXTAFTER(_xlpm.authors,"&amp; "),","))))
)</f>
        <v>etal</v>
      </c>
      <c r="I35" s="1" t="str">
        <f aca="false">_xlfn.TEXTBEFORE(_xlfn.TEXTAFTER(A35, "("), ")")</f>
        <v>2022</v>
      </c>
      <c r="J35" s="1" t="str">
        <f aca="false">_xlfn.LET(
_xlpm.doi,IF(C35&lt;&gt;"",C35,_xlfn.TEXTAFTER(A35,"https://doi.org/")),
SUBSTITUTE(
SUBSTITUTE(
SUBSTITUTE(
SUBSTITUTE(
_xlpm.doi,
"/","%2F"),
":","%3A"),
"&lt;","%3C"),
"&gt;","%3E")
)</f>
        <v>10.7554%2FeLife.77875</v>
      </c>
      <c r="K35" s="1" t="str">
        <f aca="false">TRIM(_xlfn.TEXTJOIN("_",FALSE(),F35,(SUBSTITUTE(SUBSTITUTE(D35," ",""), "_", ""))))</f>
        <v>Caspar_etal_2022_Table1</v>
      </c>
      <c r="L35" s="1" t="str">
        <f aca="false">J35 &amp; "_" &amp; SUBSTITUTE(SUBSTITUTE(SUBSTITUTE(D35,CHAR(160),"")," ",""),"_","")</f>
        <v>10.7554%2FeLife.77875_Table1</v>
      </c>
      <c r="M35" s="1" t="str">
        <f aca="false" t="array" ref="M35:M35">IFERROR(INDEX(FileList!$A$1:$A$1000,MATCH(TRUE(),EXACT(L35,IFERROR(_xlfn.TEXTBEFORE(FileList!$A$1:$A$1000,".tsv"),"")),0)),"notfound")</f>
        <v>notfound</v>
      </c>
      <c r="N35" s="4" t="s">
        <v>190</v>
      </c>
      <c r="P35" s="4" t="s">
        <v>41</v>
      </c>
      <c r="Q35" s="4" t="s">
        <v>51</v>
      </c>
      <c r="R35" s="4" t="s">
        <v>191</v>
      </c>
      <c r="S35" s="4" t="s">
        <v>53</v>
      </c>
      <c r="T35" s="4" t="s">
        <v>192</v>
      </c>
      <c r="U35" s="4" t="s">
        <v>55</v>
      </c>
      <c r="V35" s="4" t="s">
        <v>42</v>
      </c>
      <c r="W35" s="4" t="s">
        <v>193</v>
      </c>
      <c r="X35" s="4" t="s">
        <v>194</v>
      </c>
      <c r="AB35" s="4" t="s">
        <v>195</v>
      </c>
      <c r="AH35" s="4" t="s">
        <v>179</v>
      </c>
      <c r="AI35" s="4" t="s">
        <v>196</v>
      </c>
      <c r="AJ35" s="4" t="s">
        <v>120</v>
      </c>
      <c r="AK35" s="4" t="s">
        <v>197</v>
      </c>
      <c r="AL35" s="4" t="s">
        <v>143</v>
      </c>
      <c r="AM35" s="4" t="s">
        <v>198</v>
      </c>
    </row>
    <row r="36" customFormat="false" ht="15.75" hidden="false" customHeight="true" outlineLevel="0" collapsed="false">
      <c r="A36" s="4" t="s">
        <v>199</v>
      </c>
      <c r="D36" s="4" t="s">
        <v>200</v>
      </c>
      <c r="E36" s="1" t="str">
        <f aca="false">RIGHT(A36,1)</f>
        <v>1</v>
      </c>
      <c r="F36" s="1" t="str">
        <f aca="false">G36 &amp; IF(H36&lt;&gt;"", "_" &amp; H36, "_") &amp; IF(I36&lt;&gt;"", "_" &amp; I36, "_") &amp; IF(B36&lt;&gt;"", "_" &amp; B36, "")</f>
        <v>Caves_etal_2018</v>
      </c>
      <c r="G36" s="1" t="str">
        <f aca="false">SUBSTITUTE(SUBSTITUTE(_xlfn.TEXTBEFORE(A36,","), "-", ""), " ", "")</f>
        <v>Caves</v>
      </c>
      <c r="H36" s="1" t="str">
        <f aca="false">_xlfn.LET(
_xlpm.authors,_xlfn.TEXTBEFORE(A36," ("&amp;I36&amp;")"),
_xlpm.hasAmp,ISNUMBER(SEARCH("&amp;",_xlpm.authors)),
_xlpm.commasBeforeAmp,IF(_xlpm.hasAmp,LEN(_xlfn.TEXTBEFORE(_xlpm.authors,"&amp;"))-LEN(SUBSTITUTE(_xlfn.TEXTBEFORE(_xlpm.authors,"&amp;"),",","")),0),
IF(NOT(_xlpm.hasAmp),"",IF(_xlpm.commasBeforeAmp&gt;2,"etal",TRIM(_xlfn.TEXTBEFORE(_xlfn.TEXTAFTER(_xlpm.authors,"&amp; "),","))))
)</f>
        <v>etal</v>
      </c>
      <c r="I36" s="1" t="str">
        <f aca="false">_xlfn.TEXTBEFORE(_xlfn.TEXTAFTER(A36, "("), ")")</f>
        <v>2018</v>
      </c>
      <c r="J36" s="1" t="str">
        <f aca="false">_xlfn.LET(
_xlpm.doi,IF(C36&lt;&gt;"",C36,_xlfn.TEXTAFTER(A36,"https://doi.org/")),
SUBSTITUTE(
SUBSTITUTE(
SUBSTITUTE(
SUBSTITUTE(
_xlpm.doi,
"/","%2F"),
":","%3A"),
"&lt;","%3C"),
"&gt;","%3E")
)</f>
        <v>10.1016%2Fj.tree.2018.03.001</v>
      </c>
      <c r="K36" s="1" t="str">
        <f aca="false">TRIM(_xlfn.TEXTJOIN("_",FALSE(),F36,(SUBSTITUTE(SUBSTITUTE(D36," ",""), "_", ""))))</f>
        <v>Caves_etal_2018_TableS1</v>
      </c>
      <c r="L36" s="1" t="str">
        <f aca="false">J36 &amp; "_" &amp; SUBSTITUTE(SUBSTITUTE(SUBSTITUTE(D36,CHAR(160),"")," ",""),"_","")</f>
        <v>10.1016%2Fj.tree.2018.03.001_TableS1</v>
      </c>
      <c r="M36" s="1" t="str">
        <f aca="false" t="array" ref="M36:M36">IFERROR(INDEX(FileList!$A$1:$A$1000,MATCH(TRUE(),EXACT(L36,IFERROR(_xlfn.TEXTBEFORE(FileList!$A$1:$A$1000,".tsv"),"")),0)),"notfound")</f>
        <v>notfound</v>
      </c>
    </row>
    <row r="37" customFormat="false" ht="15.75" hidden="false" customHeight="true" outlineLevel="0" collapsed="false">
      <c r="A37" s="4" t="s">
        <v>201</v>
      </c>
      <c r="D37" s="4" t="s">
        <v>202</v>
      </c>
      <c r="E37" s="1" t="str">
        <f aca="false">RIGHT(A37,1)</f>
        <v>5</v>
      </c>
      <c r="F37" s="1" t="str">
        <f aca="false">G37 &amp; IF(H37&lt;&gt;"", "_" &amp; H37, "_") &amp; IF(I37&lt;&gt;"", "_" &amp; I37, "_") &amp; IF(B37&lt;&gt;"", "_" &amp; B37, "")</f>
        <v>Changizi__2001</v>
      </c>
      <c r="G37" s="1" t="str">
        <f aca="false">SUBSTITUTE(SUBSTITUTE(_xlfn.TEXTBEFORE(A37,","), "-", ""), " ", "")</f>
        <v>Changizi</v>
      </c>
      <c r="H37" s="1" t="str">
        <f aca="false">_xlfn.LET(
_xlpm.authors,_xlfn.TEXTBEFORE(A37," ("&amp;I37&amp;")"),
_xlpm.hasAmp,ISNUMBER(SEARCH("&amp;",_xlpm.authors)),
_xlpm.commasBeforeAmp,IF(_xlpm.hasAmp,LEN(_xlfn.TEXTBEFORE(_xlpm.authors,"&amp;"))-LEN(SUBSTITUTE(_xlfn.TEXTBEFORE(_xlpm.authors,"&amp;"),",","")),0),
IF(NOT(_xlpm.hasAmp),"",IF(_xlpm.commasBeforeAmp&gt;2,"etal",TRIM(_xlfn.TEXTBEFORE(_xlfn.TEXTAFTER(_xlpm.authors,"&amp; "),","))))
)</f>
        <v/>
      </c>
      <c r="I37" s="1" t="str">
        <f aca="false">_xlfn.TEXTBEFORE(_xlfn.TEXTAFTER(A37, "("), ")")</f>
        <v>2001</v>
      </c>
      <c r="J37" s="1" t="str">
        <f aca="false">_xlfn.LET(
_xlpm.doi,IF(C37&lt;&gt;"",C37,_xlfn.TEXTAFTER(A37,"https://doi.org/")),
SUBSTITUTE(
SUBSTITUTE(
SUBSTITUTE(
SUBSTITUTE(
_xlpm.doi,
"/","%2F"),
":","%3A"),
"&lt;","%3C"),
"&gt;","%3E")
)</f>
        <v>10.1007%2Fs004220000205</v>
      </c>
      <c r="K37" s="1" t="str">
        <f aca="false">TRIM(_xlfn.TEXTJOIN("_",FALSE(),F37,(SUBSTITUTE(SUBSTITUTE(D37," ",""), "_", ""))))</f>
        <v>Changizi__2001_Figure3</v>
      </c>
      <c r="L37" s="1" t="str">
        <f aca="false">J37 &amp; "_" &amp; SUBSTITUTE(SUBSTITUTE(SUBSTITUTE(D37,CHAR(160),"")," ",""),"_","")</f>
        <v>10.1007%2Fs004220000205_Figure3</v>
      </c>
      <c r="M37" s="1" t="str">
        <f aca="false" t="array" ref="M37:M37">IFERROR(INDEX(FileList!$A$1:$A$1000,MATCH(TRUE(),EXACT(L37,IFERROR(_xlfn.TEXTBEFORE(FileList!$A$1:$A$1000,".tsv"),"")),0)),"notfound")</f>
        <v>notfound</v>
      </c>
      <c r="P37" s="4" t="s">
        <v>203</v>
      </c>
      <c r="Q37" s="4" t="s">
        <v>204</v>
      </c>
      <c r="R37" s="4" t="s">
        <v>205</v>
      </c>
      <c r="S37" s="4" t="s">
        <v>53</v>
      </c>
      <c r="T37" s="4" t="s">
        <v>206</v>
      </c>
      <c r="U37" s="4" t="s">
        <v>55</v>
      </c>
      <c r="V37" s="4" t="s">
        <v>207</v>
      </c>
      <c r="W37" s="4" t="s">
        <v>208</v>
      </c>
      <c r="AB37" s="4" t="s">
        <v>209</v>
      </c>
      <c r="AI37" s="4" t="s">
        <v>210</v>
      </c>
      <c r="AJ37" s="4" t="s">
        <v>142</v>
      </c>
      <c r="AK37" s="4" t="s">
        <v>211</v>
      </c>
      <c r="AL37" s="4" t="s">
        <v>143</v>
      </c>
      <c r="AM37" s="4" t="s">
        <v>212</v>
      </c>
    </row>
    <row r="38" customFormat="false" ht="15.75" hidden="false" customHeight="true" outlineLevel="0" collapsed="false">
      <c r="A38" s="4" t="s">
        <v>213</v>
      </c>
      <c r="D38" s="4" t="s">
        <v>214</v>
      </c>
      <c r="E38" s="1" t="str">
        <f aca="false">RIGHT(A38,1)</f>
        <v>3</v>
      </c>
      <c r="F38" s="1" t="str">
        <f aca="false">G38 &amp; IF(H38&lt;&gt;"", "_" &amp; H38, "_") &amp; IF(I38&lt;&gt;"", "_" &amp; I38, "_") &amp; IF(B38&lt;&gt;"", "_" &amp; B38, "")</f>
        <v>Chen_Wiens_2020</v>
      </c>
      <c r="G38" s="1" t="str">
        <f aca="false">SUBSTITUTE(SUBSTITUTE(_xlfn.TEXTBEFORE(A38,","), "-", ""), " ", "")</f>
        <v>Chen</v>
      </c>
      <c r="H38" s="1" t="str">
        <f aca="false">_xlfn.LET(
_xlpm.authors,_xlfn.TEXTBEFORE(A38," ("&amp;I38&amp;")"),
_xlpm.hasAmp,ISNUMBER(SEARCH("&amp;",_xlpm.authors)),
_xlpm.commasBeforeAmp,IF(_xlpm.hasAmp,LEN(_xlfn.TEXTBEFORE(_xlpm.authors,"&amp;"))-LEN(SUBSTITUTE(_xlfn.TEXTBEFORE(_xlpm.authors,"&amp;"),",","")),0),
IF(NOT(_xlpm.hasAmp),"",IF(_xlpm.commasBeforeAmp&gt;2,"etal",TRIM(_xlfn.TEXTBEFORE(_xlfn.TEXTAFTER(_xlpm.authors,"&amp; "),","))))
)</f>
        <v>Wiens</v>
      </c>
      <c r="I38" s="1" t="str">
        <f aca="false">_xlfn.TEXTBEFORE(_xlfn.TEXTAFTER(A38, "("), ")")</f>
        <v>2020</v>
      </c>
      <c r="J38" s="1" t="str">
        <f aca="false">_xlfn.LET(
_xlpm.doi,IF(C38&lt;&gt;"",C38,_xlfn.TEXTAFTER(A38,"https://doi.org/")),
SUBSTITUTE(
SUBSTITUTE(
SUBSTITUTE(
SUBSTITUTE(
_xlpm.doi,
"/","%2F"),
":","%3A"),
"&lt;","%3C"),
"&gt;","%3E")
)</f>
        <v>10.1038%2Fs41467-020-14356-3</v>
      </c>
      <c r="K38" s="1" t="str">
        <f aca="false">TRIM(_xlfn.TEXTJOIN("_",FALSE(),F38,(SUBSTITUTE(SUBSTITUTE(D38," ",""), "_", ""))))</f>
        <v>Chen_Wiens_2020_SupplementaryData3</v>
      </c>
      <c r="L38" s="1" t="str">
        <f aca="false">J38 &amp; "_" &amp; SUBSTITUTE(SUBSTITUTE(SUBSTITUTE(D38,CHAR(160),"")," ",""),"_","")</f>
        <v>10.1038%2Fs41467-020-14356-3_SupplementaryData3</v>
      </c>
      <c r="M38" s="1" t="str">
        <f aca="false" t="array" ref="M38:M38">IFERROR(INDEX(FileList!$A$1:$A$1000,MATCH(TRUE(),EXACT(L38,IFERROR(_xlfn.TEXTBEFORE(FileList!$A$1:$A$1000,".tsv"),"")),0)),"notfound")</f>
        <v>notfound</v>
      </c>
      <c r="P38" s="4" t="s">
        <v>41</v>
      </c>
      <c r="Q38" s="4" t="s">
        <v>51</v>
      </c>
      <c r="R38" s="4" t="s">
        <v>215</v>
      </c>
      <c r="S38" s="4" t="s">
        <v>136</v>
      </c>
      <c r="T38" s="4" t="str">
        <f aca="false">IF(S38="N", R38, "write file name")</f>
        <v>41467_2020_14356_MOESM6_ESM.xlsx</v>
      </c>
      <c r="U38" s="4" t="s">
        <v>185</v>
      </c>
      <c r="V38" s="4" t="s">
        <v>42</v>
      </c>
      <c r="W38" s="4" t="s">
        <v>186</v>
      </c>
      <c r="X38" s="4" t="s">
        <v>216</v>
      </c>
      <c r="AA38" s="4" t="s">
        <v>217</v>
      </c>
      <c r="AB38" s="4" t="s">
        <v>218</v>
      </c>
      <c r="AH38" s="4" t="s">
        <v>219</v>
      </c>
      <c r="AI38" s="4" t="s">
        <v>220</v>
      </c>
      <c r="AJ38" s="4" t="s">
        <v>221</v>
      </c>
      <c r="AK38" s="4" t="s">
        <v>143</v>
      </c>
      <c r="AL38" s="4" t="s">
        <v>143</v>
      </c>
      <c r="AM38" s="4" t="s">
        <v>222</v>
      </c>
    </row>
    <row r="39" customFormat="false" ht="15.75" hidden="false" customHeight="true" outlineLevel="0" collapsed="false">
      <c r="A39" s="4" t="s">
        <v>223</v>
      </c>
      <c r="D39" s="4" t="s">
        <v>224</v>
      </c>
      <c r="E39" s="1" t="str">
        <f aca="false">RIGHT(A39,1)</f>
        <v>7</v>
      </c>
      <c r="F39" s="1" t="str">
        <f aca="false">G39 &amp; IF(H39&lt;&gt;"", "_" &amp; H39, "_") &amp; IF(I39&lt;&gt;"", "_" &amp; I39, "_") &amp; IF(B39&lt;&gt;"", "_" &amp; B39, "")</f>
        <v>Collins_etal_2010</v>
      </c>
      <c r="G39" s="1" t="str">
        <f aca="false">SUBSTITUTE(SUBSTITUTE(_xlfn.TEXTBEFORE(A39,","), "-", ""), " ", "")</f>
        <v>Collins</v>
      </c>
      <c r="H39" s="1" t="str">
        <f aca="false">_xlfn.LET(
_xlpm.authors,_xlfn.TEXTBEFORE(A39," ("&amp;I39&amp;")"),
_xlpm.hasAmp,ISNUMBER(SEARCH("&amp;",_xlpm.authors)),
_xlpm.commasBeforeAmp,IF(_xlpm.hasAmp,LEN(_xlfn.TEXTBEFORE(_xlpm.authors,"&amp;"))-LEN(SUBSTITUTE(_xlfn.TEXTBEFORE(_xlpm.authors,"&amp;"),",","")),0),
IF(NOT(_xlpm.hasAmp),"",IF(_xlpm.commasBeforeAmp&gt;2,"etal",TRIM(_xlfn.TEXTBEFORE(_xlfn.TEXTAFTER(_xlpm.authors,"&amp; "),","))))
)</f>
        <v>etal</v>
      </c>
      <c r="I39" s="1" t="str">
        <f aca="false">_xlfn.TEXTBEFORE(_xlfn.TEXTAFTER(A39, "("), ")")</f>
        <v>2010</v>
      </c>
      <c r="J39" s="1" t="str">
        <f aca="false">_xlfn.LET(
_xlpm.doi,IF(C39&lt;&gt;"",C39,_xlfn.TEXTAFTER(A39,"https://doi.org/")),
SUBSTITUTE(
SUBSTITUTE(
SUBSTITUTE(
SUBSTITUTE(
_xlpm.doi,
"/","%2F"),
":","%3A"),
"&lt;","%3C"),
"&gt;","%3E")
)</f>
        <v>10.1073%2Fpnas.1010356107</v>
      </c>
      <c r="K39" s="1" t="str">
        <f aca="false">TRIM(_xlfn.TEXTJOIN("_",FALSE(),F39,(SUBSTITUTE(SUBSTITUTE(D39," ",""), "_", ""))))</f>
        <v>Collins_etal_2010_DatasetS1</v>
      </c>
      <c r="L39" s="1" t="str">
        <f aca="false">J39 &amp; "_" &amp; SUBSTITUTE(SUBSTITUTE(SUBSTITUTE(D39,CHAR(160),"")," ",""),"_","")</f>
        <v>10.1073%2Fpnas.1010356107_DatasetS1</v>
      </c>
      <c r="M39" s="1" t="str">
        <f aca="false" t="array" ref="M39:M39">IFERROR(INDEX(FileList!$A$1:$A$1000,MATCH(TRUE(),EXACT(L39,IFERROR(_xlfn.TEXTBEFORE(FileList!$A$1:$A$1000,".tsv"),"")),0)),"notfound")</f>
        <v>notfound</v>
      </c>
      <c r="Y39" s="4" t="s">
        <v>225</v>
      </c>
      <c r="AI39" s="4" t="s">
        <v>226</v>
      </c>
      <c r="AJ39" s="4" t="s">
        <v>120</v>
      </c>
      <c r="AK39" s="4" t="s">
        <v>63</v>
      </c>
      <c r="AL39" s="4" t="s">
        <v>63</v>
      </c>
      <c r="AM39" s="4" t="s">
        <v>129</v>
      </c>
    </row>
    <row r="40" customFormat="false" ht="15.75" hidden="false" customHeight="true" outlineLevel="0" collapsed="false">
      <c r="A40" s="4" t="s">
        <v>227</v>
      </c>
      <c r="D40" s="4" t="s">
        <v>77</v>
      </c>
      <c r="E40" s="1" t="str">
        <f aca="false">RIGHT(A40,1)</f>
        <v>3</v>
      </c>
      <c r="F40" s="1" t="str">
        <f aca="false">G40 &amp; IF(H40&lt;&gt;"", "_" &amp; H40, "_") &amp; IF(I40&lt;&gt;"", "_" &amp; I40, "_") &amp; IF(B40&lt;&gt;"", "_" &amp; B40, "")</f>
        <v>Collins_etal_2016</v>
      </c>
      <c r="G40" s="1" t="str">
        <f aca="false">SUBSTITUTE(SUBSTITUTE(_xlfn.TEXTBEFORE(A40,","), "-", ""), " ", "")</f>
        <v>Collins</v>
      </c>
      <c r="H40" s="1" t="str">
        <f aca="false">_xlfn.LET(
_xlpm.authors,_xlfn.TEXTBEFORE(A40," ("&amp;I40&amp;")"),
_xlpm.hasAmp,ISNUMBER(SEARCH("&amp;",_xlpm.authors)),
_xlpm.commasBeforeAmp,IF(_xlpm.hasAmp,LEN(_xlfn.TEXTBEFORE(_xlpm.authors,"&amp;"))-LEN(SUBSTITUTE(_xlfn.TEXTBEFORE(_xlpm.authors,"&amp;"),",","")),0),
IF(NOT(_xlpm.hasAmp),"",IF(_xlpm.commasBeforeAmp&gt;2,"etal",TRIM(_xlfn.TEXTBEFORE(_xlfn.TEXTAFTER(_xlpm.authors,"&amp; "),","))))
)</f>
        <v>etal</v>
      </c>
      <c r="I40" s="1" t="str">
        <f aca="false">_xlfn.TEXTBEFORE(_xlfn.TEXTAFTER(A40, "("), ")")</f>
        <v>2016</v>
      </c>
      <c r="J40" s="1" t="str">
        <f aca="false">_xlfn.LET(
_xlpm.doi,IF(C40&lt;&gt;"",C40,_xlfn.TEXTAFTER(A40,"https://doi.org/")),
SUBSTITUTE(
SUBSTITUTE(
SUBSTITUTE(
SUBSTITUTE(
_xlpm.doi,
"/","%2F"),
":","%3A"),
"&lt;","%3C"),
"&gt;","%3E")
)</f>
        <v>10.1073%2Fpnas.1524208113</v>
      </c>
      <c r="K40" s="1" t="str">
        <f aca="false">TRIM(_xlfn.TEXTJOIN("_",FALSE(),F40,(SUBSTITUTE(SUBSTITUTE(D40," ",""), "_", ""))))</f>
        <v>Collins_etal_2016_Table1</v>
      </c>
      <c r="L40" s="1" t="str">
        <f aca="false">J40 &amp; "_" &amp; SUBSTITUTE(SUBSTITUTE(SUBSTITUTE(D40,CHAR(160),"")," ",""),"_","")</f>
        <v>10.1073%2Fpnas.1524208113_Table1</v>
      </c>
      <c r="M40" s="1" t="str">
        <f aca="false" t="array" ref="M40:M40">IFERROR(INDEX(FileList!$A$1:$A$1000,MATCH(TRUE(),EXACT(L40,IFERROR(_xlfn.TEXTBEFORE(FileList!$A$1:$A$1000,".tsv"),"")),0)),"notfound")</f>
        <v>notfound</v>
      </c>
      <c r="N40" s="4" t="s">
        <v>228</v>
      </c>
      <c r="V40" s="4" t="s">
        <v>42</v>
      </c>
      <c r="Y40" s="4" t="s">
        <v>225</v>
      </c>
      <c r="Z40" s="4" t="s">
        <v>58</v>
      </c>
      <c r="AG40" s="4" t="s">
        <v>59</v>
      </c>
      <c r="AI40" s="4" t="s">
        <v>229</v>
      </c>
      <c r="AJ40" s="4" t="s">
        <v>120</v>
      </c>
      <c r="AK40" s="4" t="s">
        <v>63</v>
      </c>
      <c r="AL40" s="4" t="s">
        <v>63</v>
      </c>
      <c r="AM40" s="4" t="s">
        <v>230</v>
      </c>
    </row>
    <row r="41" customFormat="false" ht="15.75" hidden="false" customHeight="true" outlineLevel="0" collapsed="false">
      <c r="A41" s="4" t="s">
        <v>231</v>
      </c>
      <c r="D41" s="4" t="s">
        <v>77</v>
      </c>
      <c r="E41" s="1" t="str">
        <f aca="false">RIGHT(A41,1)</f>
        <v>5</v>
      </c>
      <c r="F41" s="1" t="str">
        <f aca="false">G41 &amp; IF(H41&lt;&gt;"", "_" &amp; H41, "_") &amp; IF(I41&lt;&gt;"", "_" &amp; I41, "_") &amp; IF(B41&lt;&gt;"", "_" &amp; B41, "")</f>
        <v>deSousa_etal_2013</v>
      </c>
      <c r="G41" s="1" t="str">
        <f aca="false">SUBSTITUTE(SUBSTITUTE(_xlfn.TEXTBEFORE(A41,","), "-", ""), " ", "")</f>
        <v>deSousa</v>
      </c>
      <c r="H41" s="1" t="str">
        <f aca="false">_xlfn.LET(
_xlpm.authors,_xlfn.TEXTBEFORE(A41," ("&amp;I41&amp;")"),
_xlpm.hasAmp,ISNUMBER(SEARCH("&amp;",_xlpm.authors)),
_xlpm.commasBeforeAmp,IF(_xlpm.hasAmp,LEN(_xlfn.TEXTBEFORE(_xlpm.authors,"&amp;"))-LEN(SUBSTITUTE(_xlfn.TEXTBEFORE(_xlpm.authors,"&amp;"),",","")),0),
IF(NOT(_xlpm.hasAmp),"",IF(_xlpm.commasBeforeAmp&gt;2,"etal",TRIM(_xlfn.TEXTBEFORE(_xlfn.TEXTAFTER(_xlpm.authors,"&amp; "),","))))
)</f>
        <v>etal</v>
      </c>
      <c r="I41" s="1" t="str">
        <f aca="false">_xlfn.TEXTBEFORE(_xlfn.TEXTAFTER(A41, "("), ")")</f>
        <v>2013</v>
      </c>
      <c r="J41" s="1" t="str">
        <f aca="false">_xlfn.LET(
_xlpm.doi,IF(C41&lt;&gt;"",C41,_xlfn.TEXTAFTER(A41,"https://doi.org/")),
SUBSTITUTE(
SUBSTITUTE(
SUBSTITUTE(
SUBSTITUTE(
_xlpm.doi,
"/","%2F"),
":","%3A"),
"&lt;","%3C"),
"&gt;","%3E")
)</f>
        <v>10.1159%2F000346495</v>
      </c>
      <c r="K41" s="1" t="str">
        <f aca="false">TRIM(_xlfn.TEXTJOIN("_",FALSE(),F41,(SUBSTITUTE(SUBSTITUTE(D41," ",""), "_", ""))))</f>
        <v>deSousa_etal_2013_Table1</v>
      </c>
      <c r="L41" s="1" t="str">
        <f aca="false">J41 &amp; "_" &amp; SUBSTITUTE(SUBSTITUTE(SUBSTITUTE(D41,CHAR(160),"")," ",""),"_","")</f>
        <v>10.1159%2F000346495_Table1</v>
      </c>
      <c r="M41" s="1" t="str">
        <f aca="false" t="array" ref="M41:M41">IFERROR(INDEX(FileList!$A$1:$A$1000,MATCH(TRUE(),EXACT(L41,IFERROR(_xlfn.TEXTBEFORE(FileList!$A$1:$A$1000,".tsv"),"")),0)),"notfound")</f>
        <v>notfound</v>
      </c>
      <c r="N41" s="4" t="s">
        <v>232</v>
      </c>
      <c r="P41" s="4" t="s">
        <v>168</v>
      </c>
      <c r="R41" s="4" t="s">
        <v>233</v>
      </c>
      <c r="S41" s="4" t="s">
        <v>53</v>
      </c>
      <c r="T41" s="4" t="s">
        <v>234</v>
      </c>
      <c r="U41" s="4" t="s">
        <v>55</v>
      </c>
      <c r="V41" s="4" t="s">
        <v>42</v>
      </c>
      <c r="Y41" s="4" t="s">
        <v>235</v>
      </c>
      <c r="Z41" s="4" t="s">
        <v>236</v>
      </c>
      <c r="AF41" s="4" t="s">
        <v>80</v>
      </c>
      <c r="AG41" s="4" t="s">
        <v>114</v>
      </c>
      <c r="AH41" s="4" t="s">
        <v>237</v>
      </c>
      <c r="AI41" s="4" t="s">
        <v>238</v>
      </c>
      <c r="AJ41" s="4" t="s">
        <v>239</v>
      </c>
      <c r="AK41" s="4" t="s">
        <v>63</v>
      </c>
      <c r="AL41" s="4" t="s">
        <v>63</v>
      </c>
      <c r="AM41" s="4" t="s">
        <v>86</v>
      </c>
    </row>
    <row r="42" customFormat="false" ht="15.75" hidden="false" customHeight="true" outlineLevel="0" collapsed="false">
      <c r="A42" s="4" t="s">
        <v>240</v>
      </c>
      <c r="D42" s="4" t="s">
        <v>241</v>
      </c>
      <c r="E42" s="1" t="str">
        <f aca="false">RIGHT(A42,1)</f>
        <v>1</v>
      </c>
      <c r="F42" s="1" t="str">
        <f aca="false">G42 &amp; IF(H42&lt;&gt;"", "_" &amp; H42, "_") &amp; IF(I42&lt;&gt;"", "_" &amp; I42, "_") &amp; IF(B42&lt;&gt;"", "_" &amp; B42, "")</f>
        <v>deSousa_etal_2010</v>
      </c>
      <c r="G42" s="1" t="str">
        <f aca="false">SUBSTITUTE(SUBSTITUTE(_xlfn.TEXTBEFORE(A42,","), "-", ""), " ", "")</f>
        <v>deSousa</v>
      </c>
      <c r="H42" s="1" t="str">
        <f aca="false">_xlfn.LET(
_xlpm.authors,_xlfn.TEXTBEFORE(A42," ("&amp;I42&amp;")"),
_xlpm.hasAmp,ISNUMBER(SEARCH("&amp;",_xlpm.authors)),
_xlpm.commasBeforeAmp,IF(_xlpm.hasAmp,LEN(_xlfn.TEXTBEFORE(_xlpm.authors,"&amp;"))-LEN(SUBSTITUTE(_xlfn.TEXTBEFORE(_xlpm.authors,"&amp;"),",","")),0),
IF(NOT(_xlpm.hasAmp),"",IF(_xlpm.commasBeforeAmp&gt;2,"etal",TRIM(_xlfn.TEXTBEFORE(_xlfn.TEXTAFTER(_xlpm.authors,"&amp; "),","))))
)</f>
        <v>etal</v>
      </c>
      <c r="I42" s="1" t="str">
        <f aca="false">_xlfn.TEXTBEFORE(_xlfn.TEXTAFTER(A42, "("), ")")</f>
        <v>2010</v>
      </c>
      <c r="J42" s="1" t="str">
        <f aca="false">_xlfn.LET(
_xlpm.doi,IF(C42&lt;&gt;"",C42,_xlfn.TEXTAFTER(A42,"https://doi.org/")),
SUBSTITUTE(
SUBSTITUTE(
SUBSTITUTE(
SUBSTITUTE(
_xlpm.doi,
"/","%2F"),
":","%3A"),
"&lt;","%3C"),
"&gt;","%3E")
)</f>
        <v>10.1016%2Fj.jhevol.2009.11.011</v>
      </c>
      <c r="K42" s="1" t="str">
        <f aca="false">TRIM(_xlfn.TEXTJOIN("_",FALSE(),F42,(SUBSTITUTE(SUBSTITUTE(D42," ",""), "_", ""))))</f>
        <v>deSousa_etal_2010_SupTable2</v>
      </c>
      <c r="L42" s="1" t="str">
        <f aca="false">J42 &amp; "_" &amp; SUBSTITUTE(SUBSTITUTE(SUBSTITUTE(D42,CHAR(160),"")," ",""),"_","")</f>
        <v>10.1016%2Fj.jhevol.2009.11.011_SupTable2</v>
      </c>
      <c r="M42" s="1" t="str">
        <f aca="false" t="array" ref="M42:M42">IFERROR(INDEX(FileList!$A$1:$A$1000,MATCH(TRUE(),EXACT(L42,IFERROR(_xlfn.TEXTBEFORE(FileList!$A$1:$A$1000,".tsv"),"")),0)),"notfound")</f>
        <v>notfound</v>
      </c>
      <c r="N42" s="4" t="s">
        <v>242</v>
      </c>
      <c r="O42" s="4" t="s">
        <v>243</v>
      </c>
      <c r="P42" s="4" t="s">
        <v>41</v>
      </c>
      <c r="R42" s="4" t="s">
        <v>244</v>
      </c>
      <c r="S42" s="4" t="s">
        <v>53</v>
      </c>
      <c r="T42" s="4" t="s">
        <v>245</v>
      </c>
      <c r="V42" s="4" t="s">
        <v>246</v>
      </c>
      <c r="X42" s="4" t="s">
        <v>247</v>
      </c>
      <c r="Y42" s="4" t="s">
        <v>248</v>
      </c>
      <c r="Z42" s="4" t="s">
        <v>236</v>
      </c>
      <c r="AB42" s="4" t="s">
        <v>249</v>
      </c>
      <c r="AC42" s="4" t="s">
        <v>250</v>
      </c>
      <c r="AD42" s="4" t="s">
        <v>251</v>
      </c>
      <c r="AF42" s="4" t="s">
        <v>80</v>
      </c>
      <c r="AG42" s="4" t="s">
        <v>114</v>
      </c>
      <c r="AH42" s="4" t="s">
        <v>252</v>
      </c>
      <c r="AI42" s="4" t="s">
        <v>253</v>
      </c>
      <c r="AJ42" s="4" t="s">
        <v>239</v>
      </c>
      <c r="AK42" s="4" t="s">
        <v>63</v>
      </c>
      <c r="AL42" s="4" t="s">
        <v>63</v>
      </c>
      <c r="AM42" s="4" t="s">
        <v>86</v>
      </c>
    </row>
    <row r="43" customFormat="false" ht="15.75" hidden="false" customHeight="true" outlineLevel="0" collapsed="false">
      <c r="A43" s="4" t="s">
        <v>240</v>
      </c>
      <c r="D43" s="4" t="s">
        <v>77</v>
      </c>
      <c r="E43" s="1" t="str">
        <f aca="false">RIGHT(A43,1)</f>
        <v>1</v>
      </c>
      <c r="F43" s="1" t="str">
        <f aca="false">G43 &amp; IF(H43&lt;&gt;"", "_" &amp; H43, "_") &amp; IF(I43&lt;&gt;"", "_" &amp; I43, "_") &amp; IF(B43&lt;&gt;"", "_" &amp; B43, "")</f>
        <v>deSousa_etal_2010</v>
      </c>
      <c r="G43" s="1" t="str">
        <f aca="false">SUBSTITUTE(SUBSTITUTE(_xlfn.TEXTBEFORE(A43,","), "-", ""), " ", "")</f>
        <v>deSousa</v>
      </c>
      <c r="H43" s="1" t="str">
        <f aca="false">_xlfn.LET(
_xlpm.authors,_xlfn.TEXTBEFORE(A43," ("&amp;I43&amp;")"),
_xlpm.hasAmp,ISNUMBER(SEARCH("&amp;",_xlpm.authors)),
_xlpm.commasBeforeAmp,IF(_xlpm.hasAmp,LEN(_xlfn.TEXTBEFORE(_xlpm.authors,"&amp;"))-LEN(SUBSTITUTE(_xlfn.TEXTBEFORE(_xlpm.authors,"&amp;"),",","")),0),
IF(NOT(_xlpm.hasAmp),"",IF(_xlpm.commasBeforeAmp&gt;2,"etal",TRIM(_xlfn.TEXTBEFORE(_xlfn.TEXTAFTER(_xlpm.authors,"&amp; "),","))))
)</f>
        <v>etal</v>
      </c>
      <c r="I43" s="1" t="str">
        <f aca="false">_xlfn.TEXTBEFORE(_xlfn.TEXTAFTER(A43, "("), ")")</f>
        <v>2010</v>
      </c>
      <c r="J43" s="1" t="str">
        <f aca="false">_xlfn.LET(
_xlpm.doi,IF(C43&lt;&gt;"",C43,_xlfn.TEXTAFTER(A43,"https://doi.org/")),
SUBSTITUTE(
SUBSTITUTE(
SUBSTITUTE(
SUBSTITUTE(
_xlpm.doi,
"/","%2F"),
":","%3A"),
"&lt;","%3C"),
"&gt;","%3E")
)</f>
        <v>10.1016%2Fj.jhevol.2009.11.011</v>
      </c>
      <c r="K43" s="1" t="str">
        <f aca="false">TRIM(_xlfn.TEXTJOIN("_",FALSE(),F43,(SUBSTITUTE(SUBSTITUTE(D43," ",""), "_", ""))))</f>
        <v>deSousa_etal_2010_Table1</v>
      </c>
      <c r="L43" s="1" t="str">
        <f aca="false">J43 &amp; "_" &amp; SUBSTITUTE(SUBSTITUTE(SUBSTITUTE(D43,CHAR(160),"")," ",""),"_","")</f>
        <v>10.1016%2Fj.jhevol.2009.11.011_Table1</v>
      </c>
      <c r="M43" s="1" t="str">
        <f aca="false" t="array" ref="M43:M43">IFERROR(INDEX(FileList!$A$1:$A$1000,MATCH(TRUE(),EXACT(L43,IFERROR(_xlfn.TEXTBEFORE(FileList!$A$1:$A$1000,".tsv"),"")),0)),"notfound")</f>
        <v>notfound</v>
      </c>
      <c r="N43" s="4" t="s">
        <v>254</v>
      </c>
      <c r="V43" s="4" t="s">
        <v>42</v>
      </c>
      <c r="Y43" s="4" t="s">
        <v>235</v>
      </c>
      <c r="Z43" s="4" t="s">
        <v>236</v>
      </c>
      <c r="AF43" s="4" t="s">
        <v>255</v>
      </c>
      <c r="AG43" s="4" t="s">
        <v>114</v>
      </c>
      <c r="AI43" s="4" t="s">
        <v>256</v>
      </c>
      <c r="AJ43" s="4" t="s">
        <v>239</v>
      </c>
      <c r="AK43" s="4" t="s">
        <v>63</v>
      </c>
      <c r="AL43" s="4" t="s">
        <v>63</v>
      </c>
      <c r="AM43" s="4" t="s">
        <v>86</v>
      </c>
    </row>
    <row r="44" customFormat="false" ht="15.75" hidden="false" customHeight="true" outlineLevel="0" collapsed="false">
      <c r="A44" s="4" t="s">
        <v>257</v>
      </c>
      <c r="D44" s="4" t="s">
        <v>258</v>
      </c>
      <c r="E44" s="1" t="str">
        <f aca="false">RIGHT(A44,1)</f>
        <v>0</v>
      </c>
      <c r="F44" s="1" t="str">
        <f aca="false">G44 &amp; IF(H44&lt;&gt;"", "_" &amp; H44, "_") &amp; IF(I44&lt;&gt;"", "_" &amp; I44, "_") &amp; IF(B44&lt;&gt;"", "_" &amp; B44, "")</f>
        <v>DeCasien_Higham_2019</v>
      </c>
      <c r="G44" s="1" t="str">
        <f aca="false">SUBSTITUTE(SUBSTITUTE(_xlfn.TEXTBEFORE(A44,","), "-", ""), " ", "")</f>
        <v>DeCasien</v>
      </c>
      <c r="H44" s="1" t="str">
        <f aca="false">_xlfn.LET(
_xlpm.authors,_xlfn.TEXTBEFORE(A44," ("&amp;I44&amp;")"),
_xlpm.hasAmp,ISNUMBER(SEARCH("&amp;",_xlpm.authors)),
_xlpm.commasBeforeAmp,IF(_xlpm.hasAmp,LEN(_xlfn.TEXTBEFORE(_xlpm.authors,"&amp;"))-LEN(SUBSTITUTE(_xlfn.TEXTBEFORE(_xlpm.authors,"&amp;"),",","")),0),
IF(NOT(_xlpm.hasAmp),"",IF(_xlpm.commasBeforeAmp&gt;2,"etal",TRIM(_xlfn.TEXTBEFORE(_xlfn.TEXTAFTER(_xlpm.authors,"&amp; "),","))))
)</f>
        <v>Higham</v>
      </c>
      <c r="I44" s="1" t="str">
        <f aca="false">_xlfn.TEXTBEFORE(_xlfn.TEXTAFTER(A44, "("), ")")</f>
        <v>2019</v>
      </c>
      <c r="J44" s="1" t="str">
        <f aca="false">_xlfn.LET(
_xlpm.doi,IF(C44&lt;&gt;"",C44,_xlfn.TEXTAFTER(A44,"https://doi.org/")),
SUBSTITUTE(
SUBSTITUTE(
SUBSTITUTE(
SUBSTITUTE(
_xlpm.doi,
"/","%2F"),
":","%3A"),
"&lt;","%3C"),
"&gt;","%3E")
)</f>
        <v>10.1038%2Fs41559-019-0969-0</v>
      </c>
      <c r="K44" s="1" t="str">
        <f aca="false">TRIM(_xlfn.TEXTJOIN("_",FALSE(),F44,(SUBSTITUTE(SUBSTITUTE(D44," ",""), "_", ""))))</f>
        <v>DeCasien_Higham_2019_SupplementaryData1-ActivityPeriod</v>
      </c>
      <c r="L44" s="1" t="str">
        <f aca="false">J44 &amp; "_" &amp; SUBSTITUTE(SUBSTITUTE(SUBSTITUTE(D44,CHAR(160),"")," ",""),"_","")</f>
        <v>10.1038%2Fs41559-019-0969-0_SupplementaryData1-ActivityPeriod</v>
      </c>
      <c r="M44" s="1" t="str">
        <f aca="false" t="array" ref="M44:M44">IFERROR(INDEX(FileList!$A$1:$A$1000,MATCH(TRUE(),EXACT(L44,IFERROR(_xlfn.TEXTBEFORE(FileList!$A$1:$A$1000,".tsv"),"")),0)),"notfound")</f>
        <v>notfound</v>
      </c>
      <c r="N44" s="4" t="s">
        <v>259</v>
      </c>
      <c r="U44" s="4" t="s">
        <v>185</v>
      </c>
      <c r="V44" s="4" t="s">
        <v>260</v>
      </c>
      <c r="W44" s="4" t="s">
        <v>186</v>
      </c>
      <c r="X44" s="4" t="s">
        <v>261</v>
      </c>
      <c r="AF44" s="4" t="s">
        <v>80</v>
      </c>
      <c r="AH44" s="4" t="s">
        <v>179</v>
      </c>
      <c r="AI44" s="4" t="s">
        <v>262</v>
      </c>
      <c r="AJ44" s="4" t="s">
        <v>120</v>
      </c>
      <c r="AK44" s="4" t="s">
        <v>143</v>
      </c>
      <c r="AL44" s="4" t="s">
        <v>143</v>
      </c>
      <c r="AM44" s="4" t="s">
        <v>263</v>
      </c>
    </row>
    <row r="45" customFormat="false" ht="15.75" hidden="false" customHeight="true" outlineLevel="0" collapsed="false">
      <c r="A45" s="4" t="s">
        <v>257</v>
      </c>
      <c r="D45" s="4" t="s">
        <v>264</v>
      </c>
      <c r="E45" s="1" t="str">
        <f aca="false">RIGHT(A45,1)</f>
        <v>0</v>
      </c>
      <c r="F45" s="1" t="str">
        <f aca="false">G45 &amp; IF(H45&lt;&gt;"", "_" &amp; H45, "_") &amp; IF(I45&lt;&gt;"", "_" &amp; I45, "_") &amp; IF(B45&lt;&gt;"", "_" &amp; B45, "")</f>
        <v>DeCasien_Higham_2019</v>
      </c>
      <c r="G45" s="1" t="str">
        <f aca="false">SUBSTITUTE(SUBSTITUTE(_xlfn.TEXTBEFORE(A45,","), "-", ""), " ", "")</f>
        <v>DeCasien</v>
      </c>
      <c r="H45" s="1" t="str">
        <f aca="false">_xlfn.LET(
_xlpm.authors,_xlfn.TEXTBEFORE(A45," ("&amp;I45&amp;")"),
_xlpm.hasAmp,ISNUMBER(SEARCH("&amp;",_xlpm.authors)),
_xlpm.commasBeforeAmp,IF(_xlpm.hasAmp,LEN(_xlfn.TEXTBEFORE(_xlpm.authors,"&amp;"))-LEN(SUBSTITUTE(_xlfn.TEXTBEFORE(_xlpm.authors,"&amp;"),",","")),0),
IF(NOT(_xlpm.hasAmp),"",IF(_xlpm.commasBeforeAmp&gt;2,"etal",TRIM(_xlfn.TEXTBEFORE(_xlfn.TEXTAFTER(_xlpm.authors,"&amp; "),","))))
)</f>
        <v>Higham</v>
      </c>
      <c r="I45" s="1" t="str">
        <f aca="false">_xlfn.TEXTBEFORE(_xlfn.TEXTAFTER(A45, "("), ")")</f>
        <v>2019</v>
      </c>
      <c r="J45" s="1" t="str">
        <f aca="false">_xlfn.LET(
_xlpm.doi,IF(C45&lt;&gt;"",C45,_xlfn.TEXTAFTER(A45,"https://doi.org/")),
SUBSTITUTE(
SUBSTITUTE(
SUBSTITUTE(
SUBSTITUTE(
_xlpm.doi,
"/","%2F"),
":","%3A"),
"&lt;","%3C"),
"&gt;","%3E")
)</f>
        <v>10.1038%2Fs41559-019-0969-0</v>
      </c>
      <c r="K45" s="1" t="str">
        <f aca="false">TRIM(_xlfn.TEXTJOIN("_",FALSE(),F45,(SUBSTITUTE(SUBSTITUTE(D45," ",""), "_", ""))))</f>
        <v>DeCasien_Higham_2019_SupplementaryData1-BrainRegion</v>
      </c>
      <c r="L45" s="1" t="str">
        <f aca="false">J45 &amp; "_" &amp; SUBSTITUTE(SUBSTITUTE(SUBSTITUTE(D45,CHAR(160),"")," ",""),"_","")</f>
        <v>10.1038%2Fs41559-019-0969-0_SupplementaryData1-BrainRegion</v>
      </c>
      <c r="M45" s="1" t="str">
        <f aca="false" t="array" ref="M45:M45">IFERROR(INDEX(FileList!$A$1:$A$1000,MATCH(TRUE(),EXACT(L45,IFERROR(_xlfn.TEXTBEFORE(FileList!$A$1:$A$1000,".tsv"),"")),0)),"notfound")</f>
        <v>notfound</v>
      </c>
      <c r="N45" s="4" t="s">
        <v>259</v>
      </c>
      <c r="U45" s="4" t="s">
        <v>185</v>
      </c>
      <c r="V45" s="4" t="s">
        <v>260</v>
      </c>
      <c r="W45" s="4" t="s">
        <v>186</v>
      </c>
      <c r="X45" s="4" t="s">
        <v>261</v>
      </c>
      <c r="AB45" s="4" t="s">
        <v>265</v>
      </c>
      <c r="AF45" s="4" t="s">
        <v>80</v>
      </c>
      <c r="AH45" s="4" t="s">
        <v>179</v>
      </c>
      <c r="AI45" s="4" t="s">
        <v>266</v>
      </c>
      <c r="AJ45" s="4" t="s">
        <v>120</v>
      </c>
      <c r="AK45" s="4" t="s">
        <v>143</v>
      </c>
      <c r="AL45" s="4" t="s">
        <v>143</v>
      </c>
      <c r="AM45" s="4" t="s">
        <v>86</v>
      </c>
    </row>
    <row r="46" customFormat="false" ht="15" hidden="false" customHeight="true" outlineLevel="0" collapsed="false">
      <c r="A46" s="4" t="s">
        <v>257</v>
      </c>
      <c r="D46" s="4" t="s">
        <v>267</v>
      </c>
      <c r="E46" s="1" t="str">
        <f aca="false">RIGHT(A46,1)</f>
        <v>0</v>
      </c>
      <c r="F46" s="1" t="str">
        <f aca="false">G46 &amp; IF(H46&lt;&gt;"", "_" &amp; H46, "_") &amp; IF(I46&lt;&gt;"", "_" &amp; I46, "_") &amp; IF(B46&lt;&gt;"", "_" &amp; B46, "")</f>
        <v>DeCasien_Higham_2019</v>
      </c>
      <c r="G46" s="1" t="str">
        <f aca="false">SUBSTITUTE(SUBSTITUTE(_xlfn.TEXTBEFORE(A46,","), "-", ""), " ", "")</f>
        <v>DeCasien</v>
      </c>
      <c r="H46" s="1" t="str">
        <f aca="false">_xlfn.LET(
_xlpm.authors,_xlfn.TEXTBEFORE(A46," ("&amp;I46&amp;")"),
_xlpm.hasAmp,ISNUMBER(SEARCH("&amp;",_xlpm.authors)),
_xlpm.commasBeforeAmp,IF(_xlpm.hasAmp,LEN(_xlfn.TEXTBEFORE(_xlpm.authors,"&amp;"))-LEN(SUBSTITUTE(_xlfn.TEXTBEFORE(_xlpm.authors,"&amp;"),",","")),0),
IF(NOT(_xlpm.hasAmp),"",IF(_xlpm.commasBeforeAmp&gt;2,"etal",TRIM(_xlfn.TEXTBEFORE(_xlfn.TEXTAFTER(_xlpm.authors,"&amp; "),","))))
)</f>
        <v>Higham</v>
      </c>
      <c r="I46" s="1" t="str">
        <f aca="false">_xlfn.TEXTBEFORE(_xlfn.TEXTAFTER(A46, "("), ")")</f>
        <v>2019</v>
      </c>
      <c r="J46" s="1" t="str">
        <f aca="false">_xlfn.LET(
_xlpm.doi,IF(C46&lt;&gt;"",C46,_xlfn.TEXTAFTER(A46,"https://doi.org/")),
SUBSTITUTE(
SUBSTITUTE(
SUBSTITUTE(
SUBSTITUTE(
_xlpm.doi,
"/","%2F"),
":","%3A"),
"&lt;","%3C"),
"&gt;","%3E")
)</f>
        <v>10.1038%2Fs41559-019-0969-0</v>
      </c>
      <c r="K46" s="1" t="str">
        <f aca="false">TRIM(_xlfn.TEXTJOIN("_",FALSE(),F46,(SUBSTITUTE(SUBSTITUTE(D46," ",""), "_", ""))))</f>
        <v>DeCasien_Higham_2019_SupplementaryData1-Diet</v>
      </c>
      <c r="L46" s="1" t="str">
        <f aca="false">J46 &amp; "_" &amp; SUBSTITUTE(SUBSTITUTE(SUBSTITUTE(D46,CHAR(160),"")," ",""),"_","")</f>
        <v>10.1038%2Fs41559-019-0969-0_SupplementaryData1-Diet</v>
      </c>
      <c r="M46" s="1" t="str">
        <f aca="false" t="array" ref="M46:M46">IFERROR(INDEX(FileList!$A$1:$A$1000,MATCH(TRUE(),EXACT(L46,IFERROR(_xlfn.TEXTBEFORE(FileList!$A$1:$A$1000,".tsv"),"")),0)),"notfound")</f>
        <v>notfound</v>
      </c>
      <c r="N46" s="4" t="s">
        <v>259</v>
      </c>
      <c r="U46" s="4" t="s">
        <v>185</v>
      </c>
      <c r="V46" s="4" t="s">
        <v>260</v>
      </c>
      <c r="W46" s="4" t="s">
        <v>186</v>
      </c>
      <c r="X46" s="4" t="s">
        <v>261</v>
      </c>
      <c r="AF46" s="4" t="s">
        <v>80</v>
      </c>
      <c r="AH46" s="4" t="s">
        <v>179</v>
      </c>
      <c r="AI46" s="4" t="s">
        <v>268</v>
      </c>
      <c r="AJ46" s="4" t="s">
        <v>120</v>
      </c>
      <c r="AK46" s="4" t="s">
        <v>143</v>
      </c>
      <c r="AL46" s="4" t="s">
        <v>143</v>
      </c>
      <c r="AM46" s="4" t="s">
        <v>269</v>
      </c>
    </row>
    <row r="47" customFormat="false" ht="15.75" hidden="false" customHeight="true" outlineLevel="0" collapsed="false">
      <c r="A47" s="4" t="s">
        <v>257</v>
      </c>
      <c r="D47" s="4" t="s">
        <v>270</v>
      </c>
      <c r="E47" s="1" t="str">
        <f aca="false">RIGHT(A47,1)</f>
        <v>0</v>
      </c>
      <c r="F47" s="1" t="str">
        <f aca="false">G47 &amp; IF(H47&lt;&gt;"", "_" &amp; H47, "_") &amp; IF(I47&lt;&gt;"", "_" &amp; I47, "_") &amp; IF(B47&lt;&gt;"", "_" &amp; B47, "")</f>
        <v>DeCasien_Higham_2019</v>
      </c>
      <c r="G47" s="1" t="str">
        <f aca="false">SUBSTITUTE(SUBSTITUTE(_xlfn.TEXTBEFORE(A47,","), "-", ""), " ", "")</f>
        <v>DeCasien</v>
      </c>
      <c r="H47" s="1" t="str">
        <f aca="false">_xlfn.LET(
_xlpm.authors,_xlfn.TEXTBEFORE(A47," ("&amp;I47&amp;")"),
_xlpm.hasAmp,ISNUMBER(SEARCH("&amp;",_xlpm.authors)),
_xlpm.commasBeforeAmp,IF(_xlpm.hasAmp,LEN(_xlfn.TEXTBEFORE(_xlpm.authors,"&amp;"))-LEN(SUBSTITUTE(_xlfn.TEXTBEFORE(_xlpm.authors,"&amp;"),",","")),0),
IF(NOT(_xlpm.hasAmp),"",IF(_xlpm.commasBeforeAmp&gt;2,"etal",TRIM(_xlfn.TEXTBEFORE(_xlfn.TEXTAFTER(_xlpm.authors,"&amp; "),","))))
)</f>
        <v>Higham</v>
      </c>
      <c r="I47" s="1" t="str">
        <f aca="false">_xlfn.TEXTBEFORE(_xlfn.TEXTAFTER(A47, "("), ")")</f>
        <v>2019</v>
      </c>
      <c r="J47" s="1" t="str">
        <f aca="false">_xlfn.LET(
_xlpm.doi,IF(C47&lt;&gt;"",C47,_xlfn.TEXTAFTER(A47,"https://doi.org/")),
SUBSTITUTE(
SUBSTITUTE(
SUBSTITUTE(
SUBSTITUTE(
_xlpm.doi,
"/","%2F"),
":","%3A"),
"&lt;","%3C"),
"&gt;","%3E")
)</f>
        <v>10.1038%2Fs41559-019-0969-0</v>
      </c>
      <c r="K47" s="1" t="str">
        <f aca="false">TRIM(_xlfn.TEXTJOIN("_",FALSE(),F47,(SUBSTITUTE(SUBSTITUTE(D47," ",""), "_", ""))))</f>
        <v>DeCasien_Higham_2019_SupplementaryData1-SocialSystem</v>
      </c>
      <c r="L47" s="1" t="str">
        <f aca="false">J47 &amp; "_" &amp; SUBSTITUTE(SUBSTITUTE(SUBSTITUTE(D47,CHAR(160),"")," ",""),"_","")</f>
        <v>10.1038%2Fs41559-019-0969-0_SupplementaryData1-SocialSystem</v>
      </c>
      <c r="M47" s="1" t="str">
        <f aca="false" t="array" ref="M47:M47">IFERROR(INDEX(FileList!$A$1:$A$1000,MATCH(TRUE(),EXACT(L47,IFERROR(_xlfn.TEXTBEFORE(FileList!$A$1:$A$1000,".tsv"),"")),0)),"notfound")</f>
        <v>notfound</v>
      </c>
      <c r="N47" s="4" t="s">
        <v>259</v>
      </c>
      <c r="U47" s="4" t="s">
        <v>185</v>
      </c>
      <c r="V47" s="4" t="s">
        <v>260</v>
      </c>
      <c r="W47" s="4" t="s">
        <v>186</v>
      </c>
      <c r="X47" s="4" t="s">
        <v>261</v>
      </c>
      <c r="AF47" s="4" t="s">
        <v>80</v>
      </c>
      <c r="AH47" s="4" t="s">
        <v>179</v>
      </c>
      <c r="AI47" s="4" t="s">
        <v>271</v>
      </c>
      <c r="AJ47" s="4" t="s">
        <v>120</v>
      </c>
      <c r="AK47" s="4" t="s">
        <v>143</v>
      </c>
      <c r="AL47" s="4" t="s">
        <v>143</v>
      </c>
      <c r="AM47" s="4" t="s">
        <v>272</v>
      </c>
    </row>
    <row r="48" customFormat="false" ht="15.75" hidden="false" customHeight="true" outlineLevel="0" collapsed="false">
      <c r="A48" s="4" t="s">
        <v>273</v>
      </c>
      <c r="D48" s="4" t="s">
        <v>77</v>
      </c>
      <c r="E48" s="1" t="str">
        <f aca="false">RIGHT(A48,1)</f>
        <v>0</v>
      </c>
      <c r="F48" s="1" t="str">
        <f aca="false">G48 &amp; IF(H48&lt;&gt;"", "_" &amp; H48, "_") &amp; IF(I48&lt;&gt;"", "_" &amp; I48, "_") &amp; IF(B48&lt;&gt;"", "_" &amp; B48, "")</f>
        <v>DosSantos_etal_2020</v>
      </c>
      <c r="G48" s="1" t="str">
        <f aca="false">SUBSTITUTE(SUBSTITUTE(_xlfn.TEXTBEFORE(A48,","), "-", ""), " ", "")</f>
        <v>DosSantos</v>
      </c>
      <c r="H48" s="1" t="str">
        <f aca="false">_xlfn.LET(
_xlpm.authors,_xlfn.TEXTBEFORE(A48," ("&amp;I48&amp;")"),
_xlpm.hasAmp,ISNUMBER(SEARCH("&amp;",_xlpm.authors)),
_xlpm.commasBeforeAmp,IF(_xlpm.hasAmp,LEN(_xlfn.TEXTBEFORE(_xlpm.authors,"&amp;"))-LEN(SUBSTITUTE(_xlfn.TEXTBEFORE(_xlpm.authors,"&amp;"),",","")),0),
IF(NOT(_xlpm.hasAmp),"",IF(_xlpm.commasBeforeAmp&gt;2,"etal",TRIM(_xlfn.TEXTBEFORE(_xlfn.TEXTAFTER(_xlpm.authors,"&amp; "),","))))
)</f>
        <v>etal</v>
      </c>
      <c r="I48" s="1" t="str">
        <f aca="false">_xlfn.TEXTBEFORE(_xlfn.TEXTAFTER(A48, "("), ")")</f>
        <v>2020</v>
      </c>
      <c r="J48" s="1" t="str">
        <f aca="false">_xlfn.LET(
_xlpm.doi,IF(C48&lt;&gt;"",C48,_xlfn.TEXTAFTER(A48,"https://doi.org/")),
SUBSTITUTE(
SUBSTITUTE(
SUBSTITUTE(
SUBSTITUTE(
_xlpm.doi,
"/","%2F"),
":","%3A"),
"&lt;","%3C"),
"&gt;","%3E")
)</f>
        <v>10.1523%2FJNEUROSCI.2339-19.2020</v>
      </c>
      <c r="K48" s="1" t="str">
        <f aca="false">TRIM(_xlfn.TEXTJOIN("_",FALSE(),F48,(SUBSTITUTE(SUBSTITUTE(D48," ",""), "_", ""))))</f>
        <v>DosSantos_etal_2020_Table1</v>
      </c>
      <c r="L48" s="1" t="str">
        <f aca="false">J48 &amp; "_" &amp; SUBSTITUTE(SUBSTITUTE(SUBSTITUTE(D48,CHAR(160),"")," ",""),"_","")</f>
        <v>10.1523%2FJNEUROSCI.2339-19.2020_Table1</v>
      </c>
      <c r="M48" s="1" t="str">
        <f aca="false" t="array" ref="M48:M48">IFERROR(INDEX(FileList!$A$1:$A$1000,MATCH(TRUE(),EXACT(L48,IFERROR(_xlfn.TEXTBEFORE(FileList!$A$1:$A$1000,".tsv"),"")),0)),"notfound")</f>
        <v>notfound</v>
      </c>
      <c r="O48" s="4" t="s">
        <v>274</v>
      </c>
      <c r="P48" s="4" t="s">
        <v>41</v>
      </c>
      <c r="Q48" s="4" t="s">
        <v>51</v>
      </c>
      <c r="R48" s="4" t="s">
        <v>275</v>
      </c>
      <c r="S48" s="4" t="s">
        <v>53</v>
      </c>
      <c r="T48" s="4" t="s">
        <v>276</v>
      </c>
      <c r="U48" s="4" t="s">
        <v>277</v>
      </c>
      <c r="V48" s="4" t="s">
        <v>42</v>
      </c>
      <c r="Y48" s="4" t="s">
        <v>58</v>
      </c>
      <c r="Z48" s="4" t="s">
        <v>58</v>
      </c>
      <c r="AC48" s="4" t="s">
        <v>278</v>
      </c>
      <c r="AE48" s="4" t="s">
        <v>279</v>
      </c>
      <c r="AG48" s="4" t="s">
        <v>59</v>
      </c>
      <c r="AH48" s="4" t="s">
        <v>280</v>
      </c>
      <c r="AI48" s="4" t="s">
        <v>281</v>
      </c>
      <c r="AJ48" s="4" t="s">
        <v>142</v>
      </c>
      <c r="AK48" s="4" t="s">
        <v>282</v>
      </c>
      <c r="AL48" s="4" t="s">
        <v>63</v>
      </c>
      <c r="AM48" s="4" t="s">
        <v>283</v>
      </c>
    </row>
    <row r="49" customFormat="false" ht="15.75" hidden="false" customHeight="true" outlineLevel="0" collapsed="false">
      <c r="A49" s="4" t="s">
        <v>273</v>
      </c>
      <c r="D49" s="4" t="s">
        <v>284</v>
      </c>
      <c r="E49" s="1" t="str">
        <f aca="false">RIGHT(A49,1)</f>
        <v>0</v>
      </c>
      <c r="F49" s="1" t="str">
        <f aca="false">G49 &amp; IF(H49&lt;&gt;"", "_" &amp; H49, "_") &amp; IF(I49&lt;&gt;"", "_" &amp; I49, "_") &amp; IF(B49&lt;&gt;"", "_" &amp; B49, "")</f>
        <v>DosSantos_etal_2020</v>
      </c>
      <c r="G49" s="1" t="str">
        <f aca="false">SUBSTITUTE(SUBSTITUTE(_xlfn.TEXTBEFORE(A49,","), "-", ""), " ", "")</f>
        <v>DosSantos</v>
      </c>
      <c r="H49" s="1" t="str">
        <f aca="false">_xlfn.LET(
_xlpm.authors,_xlfn.TEXTBEFORE(A49," ("&amp;I49&amp;")"),
_xlpm.hasAmp,ISNUMBER(SEARCH("&amp;",_xlpm.authors)),
_xlpm.commasBeforeAmp,IF(_xlpm.hasAmp,LEN(_xlfn.TEXTBEFORE(_xlpm.authors,"&amp;"))-LEN(SUBSTITUTE(_xlfn.TEXTBEFORE(_xlpm.authors,"&amp;"),",","")),0),
IF(NOT(_xlpm.hasAmp),"",IF(_xlpm.commasBeforeAmp&gt;2,"etal",TRIM(_xlfn.TEXTBEFORE(_xlfn.TEXTAFTER(_xlpm.authors,"&amp; "),","))))
)</f>
        <v>etal</v>
      </c>
      <c r="I49" s="1" t="str">
        <f aca="false">_xlfn.TEXTBEFORE(_xlfn.TEXTAFTER(A49, "("), ")")</f>
        <v>2020</v>
      </c>
      <c r="J49" s="1" t="str">
        <f aca="false">_xlfn.LET(
_xlpm.doi,IF(C49&lt;&gt;"",C49,_xlfn.TEXTAFTER(A49,"https://doi.org/")),
SUBSTITUTE(
SUBSTITUTE(
SUBSTITUTE(
SUBSTITUTE(
_xlpm.doi,
"/","%2F"),
":","%3A"),
"&lt;","%3C"),
"&gt;","%3E")
)</f>
        <v>10.1523%2FJNEUROSCI.2339-19.2020</v>
      </c>
      <c r="K49" s="1" t="str">
        <f aca="false">TRIM(_xlfn.TEXTJOIN("_",FALSE(),F49,(SUBSTITUTE(SUBSTITUTE(D49," ",""), "_", ""))))</f>
        <v>DosSantos_etal_2020_unpublished</v>
      </c>
      <c r="L49" s="1" t="str">
        <f aca="false">J49 &amp; "_" &amp; SUBSTITUTE(SUBSTITUTE(SUBSTITUTE(D49,CHAR(160),"")," ",""),"_","")</f>
        <v>10.1523%2FJNEUROSCI.2339-19.2020_unpublished</v>
      </c>
      <c r="M49" s="1" t="str">
        <f aca="false" t="array" ref="M49:M49">IFERROR(INDEX(FileList!$A$1:$A$1000,MATCH(TRUE(),EXACT(L49,IFERROR(_xlfn.TEXTBEFORE(FileList!$A$1:$A$1000,".tsv"),"")),0)),"notfound")</f>
        <v>notfound</v>
      </c>
      <c r="O49" s="4" t="s">
        <v>285</v>
      </c>
      <c r="P49" s="4" t="s">
        <v>41</v>
      </c>
      <c r="Q49" s="4" t="s">
        <v>51</v>
      </c>
      <c r="R49" s="4" t="s">
        <v>275</v>
      </c>
      <c r="S49" s="4" t="s">
        <v>53</v>
      </c>
      <c r="T49" s="4" t="s">
        <v>276</v>
      </c>
      <c r="U49" s="4" t="s">
        <v>277</v>
      </c>
      <c r="V49" s="4" t="s">
        <v>42</v>
      </c>
      <c r="X49" s="4" t="s">
        <v>286</v>
      </c>
      <c r="Y49" s="4" t="s">
        <v>58</v>
      </c>
      <c r="Z49" s="4" t="s">
        <v>58</v>
      </c>
      <c r="AC49" s="4" t="s">
        <v>287</v>
      </c>
      <c r="AG49" s="4" t="s">
        <v>59</v>
      </c>
      <c r="AH49" s="4" t="s">
        <v>280</v>
      </c>
      <c r="AI49" s="4" t="s">
        <v>281</v>
      </c>
      <c r="AJ49" s="4" t="s">
        <v>142</v>
      </c>
      <c r="AK49" s="4" t="s">
        <v>282</v>
      </c>
      <c r="AL49" s="4" t="s">
        <v>63</v>
      </c>
      <c r="AM49" s="4" t="s">
        <v>283</v>
      </c>
    </row>
    <row r="50" customFormat="false" ht="15.75" hidden="false" customHeight="true" outlineLevel="0" collapsed="false">
      <c r="A50" s="4" t="s">
        <v>288</v>
      </c>
      <c r="D50" s="4" t="s">
        <v>200</v>
      </c>
      <c r="E50" s="1" t="str">
        <f aca="false">RIGHT(A50,1)</f>
        <v>6</v>
      </c>
      <c r="F50" s="1" t="str">
        <f aca="false">G50 &amp; IF(H50&lt;&gt;"", "_" &amp; H50, "_") &amp; IF(I50&lt;&gt;"", "_" &amp; I50, "_") &amp; IF(B50&lt;&gt;"", "_" &amp; B50, "")</f>
        <v>DosSantos_etal_2017</v>
      </c>
      <c r="G50" s="1" t="str">
        <f aca="false">SUBSTITUTE(SUBSTITUTE(_xlfn.TEXTBEFORE(A50,","), "-", ""), " ", "")</f>
        <v>DosSantos</v>
      </c>
      <c r="H50" s="1" t="str">
        <f aca="false">_xlfn.LET(
_xlpm.authors,_xlfn.TEXTBEFORE(A50," ("&amp;I50&amp;")"),
_xlpm.hasAmp,ISNUMBER(SEARCH("&amp;",_xlpm.authors)),
_xlpm.commasBeforeAmp,IF(_xlpm.hasAmp,LEN(_xlfn.TEXTBEFORE(_xlpm.authors,"&amp;"))-LEN(SUBSTITUTE(_xlfn.TEXTBEFORE(_xlpm.authors,"&amp;"),",","")),0),
IF(NOT(_xlpm.hasAmp),"",IF(_xlpm.commasBeforeAmp&gt;2,"etal",TRIM(_xlfn.TEXTBEFORE(_xlfn.TEXTAFTER(_xlpm.authors,"&amp; "),","))))
)</f>
        <v>etal</v>
      </c>
      <c r="I50" s="1" t="str">
        <f aca="false">_xlfn.TEXTBEFORE(_xlfn.TEXTAFTER(A50, "("), ")")</f>
        <v>2017</v>
      </c>
      <c r="J50" s="1" t="str">
        <f aca="false">_xlfn.LET(
_xlpm.doi,IF(C50&lt;&gt;"",C50,_xlfn.TEXTAFTER(A50,"https://doi.org/")),
SUBSTITUTE(
SUBSTITUTE(
SUBSTITUTE(
SUBSTITUTE(
_xlpm.doi,
"/","%2F"),
":","%3A"),
"&lt;","%3C"),
"&gt;","%3E")
)</f>
        <v>10.1159%2F000452856</v>
      </c>
      <c r="K50" s="1" t="str">
        <f aca="false">TRIM(_xlfn.TEXTJOIN("_",FALSE(),F50,(SUBSTITUTE(SUBSTITUTE(D50," ",""), "_", ""))))</f>
        <v>DosSantos_etal_2017_TableS1</v>
      </c>
      <c r="L50" s="1" t="str">
        <f aca="false">J50 &amp; "_" &amp; SUBSTITUTE(SUBSTITUTE(SUBSTITUTE(D50,CHAR(160),"")," ",""),"_","")</f>
        <v>10.1159%2F000452856_TableS1</v>
      </c>
      <c r="M50" s="1" t="str">
        <f aca="false" t="array" ref="M50:M50">IFERROR(INDEX(FileList!$A$1:$A$1000,MATCH(TRUE(),EXACT(L50,IFERROR(_xlfn.TEXTBEFORE(FileList!$A$1:$A$1000,".tsv"),"")),0)),"notfound")</f>
        <v>notfound</v>
      </c>
      <c r="O50" s="4" t="s">
        <v>289</v>
      </c>
      <c r="P50" s="4" t="s">
        <v>41</v>
      </c>
      <c r="Q50" s="4" t="s">
        <v>51</v>
      </c>
      <c r="R50" s="4" t="s">
        <v>290</v>
      </c>
      <c r="S50" s="4" t="s">
        <v>53</v>
      </c>
      <c r="T50" s="4" t="s">
        <v>291</v>
      </c>
      <c r="U50" s="4" t="s">
        <v>292</v>
      </c>
      <c r="V50" s="4" t="s">
        <v>293</v>
      </c>
      <c r="W50" s="4" t="s">
        <v>186</v>
      </c>
      <c r="X50" s="4" t="s">
        <v>294</v>
      </c>
      <c r="Y50" s="4" t="s">
        <v>58</v>
      </c>
      <c r="Z50" s="4" t="s">
        <v>58</v>
      </c>
      <c r="AC50" s="4" t="s">
        <v>295</v>
      </c>
      <c r="AG50" s="4" t="s">
        <v>59</v>
      </c>
      <c r="AH50" s="4" t="s">
        <v>296</v>
      </c>
      <c r="AI50" s="4" t="s">
        <v>281</v>
      </c>
      <c r="AJ50" s="4" t="s">
        <v>297</v>
      </c>
      <c r="AK50" s="4" t="s">
        <v>63</v>
      </c>
      <c r="AL50" s="4" t="s">
        <v>63</v>
      </c>
      <c r="AM50" s="4" t="s">
        <v>64</v>
      </c>
    </row>
    <row r="51" customFormat="false" ht="15.75" hidden="false" customHeight="true" outlineLevel="0" collapsed="false">
      <c r="A51" s="4" t="s">
        <v>298</v>
      </c>
      <c r="D51" s="4" t="s">
        <v>49</v>
      </c>
      <c r="E51" s="1" t="str">
        <f aca="false">RIGHT(A51,1)</f>
        <v>3</v>
      </c>
      <c r="F51" s="1" t="str">
        <f aca="false">G51 &amp; IF(H51&lt;&gt;"", "_" &amp; H51, "_") &amp; IF(I51&lt;&gt;"", "_" &amp; I51, "_") &amp; IF(B51&lt;&gt;"", "_" &amp; B51, "")</f>
        <v>Eagleman_Vaughn_2021</v>
      </c>
      <c r="G51" s="1" t="str">
        <f aca="false">SUBSTITUTE(SUBSTITUTE(_xlfn.TEXTBEFORE(A51,","), "-", ""), " ", "")</f>
        <v>Eagleman</v>
      </c>
      <c r="H51" s="1" t="str">
        <f aca="false">_xlfn.LET(
_xlpm.authors,_xlfn.TEXTBEFORE(A51," ("&amp;I51&amp;")"),
_xlpm.hasAmp,ISNUMBER(SEARCH("&amp;",_xlpm.authors)),
_xlpm.commasBeforeAmp,IF(_xlpm.hasAmp,LEN(_xlfn.TEXTBEFORE(_xlpm.authors,"&amp;"))-LEN(SUBSTITUTE(_xlfn.TEXTBEFORE(_xlpm.authors,"&amp;"),",","")),0),
IF(NOT(_xlpm.hasAmp),"",IF(_xlpm.commasBeforeAmp&gt;2,"etal",TRIM(_xlfn.TEXTBEFORE(_xlfn.TEXTAFTER(_xlpm.authors,"&amp; "),","))))
)</f>
        <v>Vaughn</v>
      </c>
      <c r="I51" s="1" t="str">
        <f aca="false">_xlfn.TEXTBEFORE(_xlfn.TEXTAFTER(A51, "("), ")")</f>
        <v>2021</v>
      </c>
      <c r="J51" s="1" t="str">
        <f aca="false">_xlfn.LET(
_xlpm.doi,IF(C51&lt;&gt;"",C51,_xlfn.TEXTAFTER(A51,"https://doi.org/")),
SUBSTITUTE(
SUBSTITUTE(
SUBSTITUTE(
SUBSTITUTE(
_xlpm.doi,
"/","%2F"),
":","%3A"),
"&lt;","%3C"),
"&gt;","%3E")
)</f>
        <v>10.3389%2Ffnins.2021.632853</v>
      </c>
      <c r="K51" s="1" t="str">
        <f aca="false">TRIM(_xlfn.TEXTJOIN("_",FALSE(),F51,(SUBSTITUTE(SUBSTITUTE(D51," ",""), "_", ""))))</f>
        <v>Eagleman_Vaughn_2021_TABLE1</v>
      </c>
      <c r="L51" s="1" t="str">
        <f aca="false">J51 &amp; "_" &amp; SUBSTITUTE(SUBSTITUTE(SUBSTITUTE(D51,CHAR(160),"")," ",""),"_","")</f>
        <v>10.3389%2Ffnins.2021.632853_TABLE1</v>
      </c>
      <c r="M51" s="1" t="str">
        <f aca="false" t="array" ref="M51:M51">IFERROR(INDEX(FileList!$A$1:$A$1000,MATCH(TRUE(),EXACT(L51,IFERROR(_xlfn.TEXTBEFORE(FileList!$A$1:$A$1000,".tsv"),"")),0)),"notfound")</f>
        <v>notfound</v>
      </c>
      <c r="N51" s="4" t="s">
        <v>299</v>
      </c>
      <c r="U51" s="4" t="s">
        <v>55</v>
      </c>
      <c r="AI51" s="4" t="s">
        <v>300</v>
      </c>
      <c r="AJ51" s="4" t="s">
        <v>142</v>
      </c>
      <c r="AK51" s="4" t="s">
        <v>143</v>
      </c>
      <c r="AL51" s="4" t="s">
        <v>143</v>
      </c>
      <c r="AM51" s="4" t="s">
        <v>301</v>
      </c>
    </row>
    <row r="52" customFormat="false" ht="15.75" hidden="false" customHeight="true" outlineLevel="0" collapsed="false">
      <c r="A52" s="4" t="s">
        <v>302</v>
      </c>
      <c r="D52" s="4" t="s">
        <v>49</v>
      </c>
      <c r="E52" s="1" t="str">
        <f aca="false">RIGHT(A52,1)</f>
        <v>5</v>
      </c>
      <c r="F52" s="1" t="str">
        <f aca="false">G52 &amp; IF(H52&lt;&gt;"", "_" &amp; H52, "_") &amp; IF(I52&lt;&gt;"", "_" &amp; I52, "_") &amp; IF(B52&lt;&gt;"", "_" &amp; B52, "")</f>
        <v>Falcone_etal_2019</v>
      </c>
      <c r="G52" s="1" t="str">
        <f aca="false">SUBSTITUTE(SUBSTITUTE(_xlfn.TEXTBEFORE(A52,","), "-", ""), " ", "")</f>
        <v>Falcone</v>
      </c>
      <c r="H52" s="1" t="str">
        <f aca="false">_xlfn.LET(
_xlpm.authors,_xlfn.TEXTBEFORE(A52," ("&amp;I52&amp;")"),
_xlpm.hasAmp,ISNUMBER(SEARCH("&amp;",_xlpm.authors)),
_xlpm.commasBeforeAmp,IF(_xlpm.hasAmp,LEN(_xlfn.TEXTBEFORE(_xlpm.authors,"&amp;"))-LEN(SUBSTITUTE(_xlfn.TEXTBEFORE(_xlpm.authors,"&amp;"),",","")),0),
IF(NOT(_xlpm.hasAmp),"",IF(_xlpm.commasBeforeAmp&gt;2,"etal",TRIM(_xlfn.TEXTBEFORE(_xlfn.TEXTAFTER(_xlpm.authors,"&amp; "),","))))
)</f>
        <v>etal</v>
      </c>
      <c r="I52" s="1" t="str">
        <f aca="false">_xlfn.TEXTBEFORE(_xlfn.TEXTAFTER(A52, "("), ")")</f>
        <v>2019</v>
      </c>
      <c r="J52" s="1" t="str">
        <f aca="false">_xlfn.LET(
_xlpm.doi,IF(C52&lt;&gt;"",C52,_xlfn.TEXTAFTER(A52,"https://doi.org/")),
SUBSTITUTE(
SUBSTITUTE(
SUBSTITUTE(
SUBSTITUTE(
_xlpm.doi,
"/","%2F"),
":","%3A"),
"&lt;","%3C"),
"&gt;","%3E")
)</f>
        <v>10.1002%2Fcne.24605</v>
      </c>
      <c r="K52" s="1" t="str">
        <f aca="false">TRIM(_xlfn.TEXTJOIN("_",FALSE(),F52,(SUBSTITUTE(SUBSTITUTE(D52," ",""), "_", ""))))</f>
        <v>Falcone_etal_2019_TABLE1</v>
      </c>
      <c r="L52" s="1" t="str">
        <f aca="false">J52 &amp; "_" &amp; SUBSTITUTE(SUBSTITUTE(SUBSTITUTE(D52,CHAR(160),"")," ",""),"_","")</f>
        <v>10.1002%2Fcne.24605_TABLE1</v>
      </c>
      <c r="M52" s="1" t="str">
        <f aca="false" t="array" ref="M52:M52">IFERROR(INDEX(FileList!$A$1:$A$1000,MATCH(TRUE(),EXACT(L52,IFERROR(_xlfn.TEXTBEFORE(FileList!$A$1:$A$1000,".tsv"),"")),0)),"notfound")</f>
        <v>notfound</v>
      </c>
      <c r="N52" s="4" t="s">
        <v>303</v>
      </c>
      <c r="U52" s="4" t="s">
        <v>55</v>
      </c>
      <c r="AI52" s="4" t="s">
        <v>304</v>
      </c>
      <c r="AJ52" s="4" t="s">
        <v>305</v>
      </c>
      <c r="AK52" s="4" t="s">
        <v>63</v>
      </c>
      <c r="AL52" s="4" t="s">
        <v>63</v>
      </c>
      <c r="AM52" s="4" t="s">
        <v>306</v>
      </c>
    </row>
    <row r="53" customFormat="false" ht="15.75" hidden="false" customHeight="true" outlineLevel="0" collapsed="false">
      <c r="A53" s="4" t="s">
        <v>302</v>
      </c>
      <c r="D53" s="4" t="s">
        <v>94</v>
      </c>
      <c r="E53" s="1" t="str">
        <f aca="false">RIGHT(A53,1)</f>
        <v>5</v>
      </c>
      <c r="F53" s="1" t="str">
        <f aca="false">G53 &amp; IF(H53&lt;&gt;"", "_" &amp; H53, "_") &amp; IF(I53&lt;&gt;"", "_" &amp; I53, "_") &amp; IF(B53&lt;&gt;"", "_" &amp; B53, "")</f>
        <v>Falcone_etal_2019</v>
      </c>
      <c r="G53" s="1" t="str">
        <f aca="false">SUBSTITUTE(SUBSTITUTE(_xlfn.TEXTBEFORE(A53,","), "-", ""), " ", "")</f>
        <v>Falcone</v>
      </c>
      <c r="H53" s="1" t="str">
        <f aca="false">_xlfn.LET(
_xlpm.authors,_xlfn.TEXTBEFORE(A53," ("&amp;I53&amp;")"),
_xlpm.hasAmp,ISNUMBER(SEARCH("&amp;",_xlpm.authors)),
_xlpm.commasBeforeAmp,IF(_xlpm.hasAmp,LEN(_xlfn.TEXTBEFORE(_xlpm.authors,"&amp;"))-LEN(SUBSTITUTE(_xlfn.TEXTBEFORE(_xlpm.authors,"&amp;"),",","")),0),
IF(NOT(_xlpm.hasAmp),"",IF(_xlpm.commasBeforeAmp&gt;2,"etal",TRIM(_xlfn.TEXTBEFORE(_xlfn.TEXTAFTER(_xlpm.authors,"&amp; "),","))))
)</f>
        <v>etal</v>
      </c>
      <c r="I53" s="1" t="str">
        <f aca="false">_xlfn.TEXTBEFORE(_xlfn.TEXTAFTER(A53, "("), ")")</f>
        <v>2019</v>
      </c>
      <c r="J53" s="1" t="str">
        <f aca="false">_xlfn.LET(
_xlpm.doi,IF(C53&lt;&gt;"",C53,_xlfn.TEXTAFTER(A53,"https://doi.org/")),
SUBSTITUTE(
SUBSTITUTE(
SUBSTITUTE(
SUBSTITUTE(
_xlpm.doi,
"/","%2F"),
":","%3A"),
"&lt;","%3C"),
"&gt;","%3E")
)</f>
        <v>10.1002%2Fcne.24605</v>
      </c>
      <c r="K53" s="1" t="str">
        <f aca="false">TRIM(_xlfn.TEXTJOIN("_",FALSE(),F53,(SUBSTITUTE(SUBSTITUTE(D53," ",""), "_", ""))))</f>
        <v>Falcone_etal_2019_TABLE2</v>
      </c>
      <c r="L53" s="1" t="str">
        <f aca="false">J53 &amp; "_" &amp; SUBSTITUTE(SUBSTITUTE(SUBSTITUTE(D53,CHAR(160),"")," ",""),"_","")</f>
        <v>10.1002%2Fcne.24605_TABLE2</v>
      </c>
      <c r="M53" s="1" t="str">
        <f aca="false" t="array" ref="M53:M53">IFERROR(INDEX(FileList!$A$1:$A$1000,MATCH(TRUE(),EXACT(L53,IFERROR(_xlfn.TEXTBEFORE(FileList!$A$1:$A$1000,".tsv"),"")),0)),"notfound")</f>
        <v>notfound</v>
      </c>
      <c r="N53" s="4" t="s">
        <v>307</v>
      </c>
      <c r="U53" s="4" t="s">
        <v>55</v>
      </c>
      <c r="AI53" s="4" t="s">
        <v>304</v>
      </c>
      <c r="AJ53" s="4" t="s">
        <v>305</v>
      </c>
      <c r="AK53" s="4" t="s">
        <v>63</v>
      </c>
      <c r="AL53" s="4" t="s">
        <v>63</v>
      </c>
      <c r="AM53" s="4" t="s">
        <v>306</v>
      </c>
    </row>
    <row r="54" customFormat="false" ht="15.75" hidden="false" customHeight="true" outlineLevel="0" collapsed="false">
      <c r="A54" s="4" t="s">
        <v>308</v>
      </c>
      <c r="D54" s="4" t="s">
        <v>309</v>
      </c>
      <c r="E54" s="1" t="str">
        <f aca="false">RIGHT(A54,1)</f>
        <v>6</v>
      </c>
      <c r="F54" s="1" t="str">
        <f aca="false">G54 &amp; IF(H54&lt;&gt;"", "_" &amp; H54, "_") &amp; IF(I54&lt;&gt;"", "_" &amp; I54, "_") &amp; IF(B54&lt;&gt;"", "_" &amp; B54, "")</f>
        <v>Finlay_etal_2006</v>
      </c>
      <c r="G54" s="1" t="str">
        <f aca="false">SUBSTITUTE(SUBSTITUTE(_xlfn.TEXTBEFORE(A54,","), "-", ""), " ", "")</f>
        <v>Finlay</v>
      </c>
      <c r="H54" s="1" t="str">
        <f aca="false">_xlfn.LET(
_xlpm.authors,_xlfn.TEXTBEFORE(A54," ("&amp;I54&amp;")"),
_xlpm.hasAmp,ISNUMBER(SEARCH("&amp;",_xlpm.authors)),
_xlpm.commasBeforeAmp,IF(_xlpm.hasAmp,LEN(_xlfn.TEXTBEFORE(_xlpm.authors,"&amp;"))-LEN(SUBSTITUTE(_xlfn.TEXTBEFORE(_xlpm.authors,"&amp;"),",","")),0),
IF(NOT(_xlpm.hasAmp),"",IF(_xlpm.commasBeforeAmp&gt;2,"etal",TRIM(_xlfn.TEXTBEFORE(_xlfn.TEXTAFTER(_xlpm.authors,"&amp; "),","))))
)</f>
        <v>etal</v>
      </c>
      <c r="I54" s="1" t="str">
        <f aca="false">_xlfn.TEXTBEFORE(_xlfn.TEXTAFTER(A54, "("), ")")</f>
        <v>2006</v>
      </c>
      <c r="J54" s="1" t="str">
        <f aca="false">_xlfn.LET(
_xlpm.doi,IF(C54&lt;&gt;"",C54,_xlfn.TEXTAFTER(A54,"https://doi.org/")),
SUBSTITUTE(
SUBSTITUTE(
SUBSTITUTE(
SUBSTITUTE(
_xlpm.doi,
"/","%2F"),
":","%3A"),
"&lt;","%3C"),
"&gt;","%3E")
)</f>
        <v>10.1093%2Foso%2F9780198568742.003.0006</v>
      </c>
      <c r="K54" s="1" t="str">
        <f aca="false">TRIM(_xlfn.TEXTJOIN("_",FALSE(),F54,(SUBSTITUTE(SUBSTITUTE(D54," ",""), "_", ""))))</f>
        <v>Finlay_etal_2006_Table6.1</v>
      </c>
      <c r="L54" s="1" t="str">
        <f aca="false">J54 &amp; "_" &amp; SUBSTITUTE(SUBSTITUTE(SUBSTITUTE(D54,CHAR(160),"")," ",""),"_","")</f>
        <v>10.1093%2Foso%2F9780198568742.003.0006_Table6.1</v>
      </c>
      <c r="M54" s="1" t="str">
        <f aca="false" t="array" ref="M54:M54">IFERROR(INDEX(FileList!$A$1:$A$1000,MATCH(TRUE(),EXACT(L54,IFERROR(_xlfn.TEXTBEFORE(FileList!$A$1:$A$1000,".tsv"),"")),0)),"notfound")</f>
        <v>notfound</v>
      </c>
      <c r="P54" s="4" t="s">
        <v>203</v>
      </c>
      <c r="Q54" s="4" t="s">
        <v>204</v>
      </c>
      <c r="R54" s="4" t="s">
        <v>310</v>
      </c>
      <c r="S54" s="4" t="s">
        <v>53</v>
      </c>
      <c r="T54" s="4" t="s">
        <v>311</v>
      </c>
      <c r="U54" s="4" t="s">
        <v>55</v>
      </c>
      <c r="V54" s="4" t="s">
        <v>42</v>
      </c>
      <c r="W54" s="4" t="s">
        <v>193</v>
      </c>
      <c r="X54" s="4" t="s">
        <v>312</v>
      </c>
      <c r="AB54" s="4" t="s">
        <v>209</v>
      </c>
      <c r="AH54" s="4" t="s">
        <v>140</v>
      </c>
      <c r="AI54" s="4" t="s">
        <v>313</v>
      </c>
      <c r="AJ54" s="4" t="s">
        <v>142</v>
      </c>
      <c r="AK54" s="4" t="s">
        <v>211</v>
      </c>
      <c r="AL54" s="4" t="s">
        <v>143</v>
      </c>
      <c r="AM54" s="4" t="s">
        <v>314</v>
      </c>
    </row>
    <row r="55" customFormat="false" ht="15.75" hidden="false" customHeight="true" outlineLevel="0" collapsed="false">
      <c r="A55" s="4" t="s">
        <v>315</v>
      </c>
      <c r="C55" s="4" t="s">
        <v>316</v>
      </c>
      <c r="D55" s="4" t="s">
        <v>77</v>
      </c>
      <c r="E55" s="1" t="str">
        <f aca="false">RIGHT(A55,1)</f>
        <v>8</v>
      </c>
      <c r="F55" s="1" t="str">
        <f aca="false">G55 &amp; IF(H55&lt;&gt;"", "_" &amp; H55, "_") &amp; IF(I55&lt;&gt;"", "_" &amp; I55, "_") &amp; IF(B55&lt;&gt;"", "_" &amp; B55, "")</f>
        <v>Frahm_Zilles_1994</v>
      </c>
      <c r="G55" s="1" t="str">
        <f aca="false">SUBSTITUTE(SUBSTITUTE(_xlfn.TEXTBEFORE(A55,","), "-", ""), " ", "")</f>
        <v>Frahm</v>
      </c>
      <c r="H55" s="1" t="str">
        <f aca="false">_xlfn.LET(
_xlpm.authors,_xlfn.TEXTBEFORE(A55," ("&amp;I55&amp;")"),
_xlpm.hasAmp,ISNUMBER(SEARCH("&amp;",_xlpm.authors)),
_xlpm.commasBeforeAmp,IF(_xlpm.hasAmp,LEN(_xlfn.TEXTBEFORE(_xlpm.authors,"&amp;"))-LEN(SUBSTITUTE(_xlfn.TEXTBEFORE(_xlpm.authors,"&amp;"),",","")),0),
IF(NOT(_xlpm.hasAmp),"",IF(_xlpm.commasBeforeAmp&gt;2,"etal",TRIM(_xlfn.TEXTBEFORE(_xlfn.TEXTAFTER(_xlpm.authors,"&amp; "),","))))
)</f>
        <v>Zilles</v>
      </c>
      <c r="I55" s="1" t="str">
        <f aca="false">_xlfn.TEXTBEFORE(_xlfn.TEXTAFTER(A55, "("), ")")</f>
        <v>1994</v>
      </c>
      <c r="J55" s="1" t="str">
        <f aca="false">_xlfn.LET(
_xlpm.doi,IF(C55&lt;&gt;"",C55,_xlfn.TEXTAFTER(A55,"https://doi.org/")),
SUBSTITUTE(
SUBSTITUTE(
SUBSTITUTE(
SUBSTITUTE(
_xlpm.doi,
"/","%2F"),
":","%3A"),
"&lt;","%3C"),
"&gt;","%3E")
)</f>
        <v>PMID%3A7983368</v>
      </c>
      <c r="K55" s="1" t="str">
        <f aca="false">TRIM(_xlfn.TEXTJOIN("_",FALSE(),F55,(SUBSTITUTE(SUBSTITUTE(D55," ",""), "_", ""))))</f>
        <v>Frahm_Zilles_1994_Table1</v>
      </c>
      <c r="L55" s="1" t="str">
        <f aca="false">J55 &amp; "_" &amp; SUBSTITUTE(SUBSTITUTE(SUBSTITUTE(D55,CHAR(160),"")," ",""),"_","")</f>
        <v>PMID%3A7983368_Table1</v>
      </c>
      <c r="M55" s="1" t="str">
        <f aca="false" t="array" ref="M55:M55">IFERROR(INDEX(FileList!$A$1:$A$1000,MATCH(TRUE(),EXACT(L55,IFERROR(_xlfn.TEXTBEFORE(FileList!$A$1:$A$1000,".tsv"),"")),0)),"notfound")</f>
        <v>notfound</v>
      </c>
      <c r="N55" s="4" t="s">
        <v>317</v>
      </c>
      <c r="V55" s="4" t="s">
        <v>42</v>
      </c>
      <c r="W55" s="4" t="s">
        <v>106</v>
      </c>
      <c r="Y55" s="4" t="s">
        <v>101</v>
      </c>
      <c r="Z55" s="4" t="s">
        <v>101</v>
      </c>
      <c r="AF55" s="4" t="s">
        <v>80</v>
      </c>
      <c r="AG55" s="4" t="s">
        <v>114</v>
      </c>
      <c r="AI55" s="4" t="s">
        <v>318</v>
      </c>
      <c r="AJ55" s="4" t="s">
        <v>103</v>
      </c>
      <c r="AK55" s="4" t="s">
        <v>63</v>
      </c>
      <c r="AL55" s="4" t="s">
        <v>63</v>
      </c>
      <c r="AM55" s="4" t="s">
        <v>86</v>
      </c>
    </row>
    <row r="56" customFormat="false" ht="15.75" hidden="false" customHeight="true" outlineLevel="0" collapsed="false">
      <c r="A56" s="4" t="s">
        <v>315</v>
      </c>
      <c r="C56" s="4" t="s">
        <v>316</v>
      </c>
      <c r="D56" s="4" t="s">
        <v>121</v>
      </c>
      <c r="E56" s="1" t="str">
        <f aca="false">RIGHT(A56,1)</f>
        <v>8</v>
      </c>
      <c r="F56" s="1" t="str">
        <f aca="false">G56 &amp; IF(H56&lt;&gt;"", "_" &amp; H56, "_") &amp; IF(I56&lt;&gt;"", "_" &amp; I56, "_") &amp; IF(B56&lt;&gt;"", "_" &amp; B56, "")</f>
        <v>Frahm_Zilles_1994</v>
      </c>
      <c r="G56" s="1" t="str">
        <f aca="false">SUBSTITUTE(SUBSTITUTE(_xlfn.TEXTBEFORE(A56,","), "-", ""), " ", "")</f>
        <v>Frahm</v>
      </c>
      <c r="H56" s="1" t="str">
        <f aca="false">_xlfn.LET(
_xlpm.authors,_xlfn.TEXTBEFORE(A56," ("&amp;I56&amp;")"),
_xlpm.hasAmp,ISNUMBER(SEARCH("&amp;",_xlpm.authors)),
_xlpm.commasBeforeAmp,IF(_xlpm.hasAmp,LEN(_xlfn.TEXTBEFORE(_xlpm.authors,"&amp;"))-LEN(SUBSTITUTE(_xlfn.TEXTBEFORE(_xlpm.authors,"&amp;"),",","")),0),
IF(NOT(_xlpm.hasAmp),"",IF(_xlpm.commasBeforeAmp&gt;2,"etal",TRIM(_xlfn.TEXTBEFORE(_xlfn.TEXTAFTER(_xlpm.authors,"&amp; "),","))))
)</f>
        <v>Zilles</v>
      </c>
      <c r="I56" s="1" t="str">
        <f aca="false">_xlfn.TEXTBEFORE(_xlfn.TEXTAFTER(A56, "("), ")")</f>
        <v>1994</v>
      </c>
      <c r="J56" s="1" t="str">
        <f aca="false">_xlfn.LET(
_xlpm.doi,IF(C56&lt;&gt;"",C56,_xlfn.TEXTAFTER(A56,"https://doi.org/")),
SUBSTITUTE(
SUBSTITUTE(
SUBSTITUTE(
SUBSTITUTE(
_xlpm.doi,
"/","%2F"),
":","%3A"),
"&lt;","%3C"),
"&gt;","%3E")
)</f>
        <v>PMID%3A7983368</v>
      </c>
      <c r="K56" s="1" t="str">
        <f aca="false">TRIM(_xlfn.TEXTJOIN("_",FALSE(),F56,(SUBSTITUTE(SUBSTITUTE(D56," ",""), "_", ""))))</f>
        <v>Frahm_Zilles_1994_Table2</v>
      </c>
      <c r="L56" s="1" t="str">
        <f aca="false">J56 &amp; "_" &amp; SUBSTITUTE(SUBSTITUTE(SUBSTITUTE(D56,CHAR(160),"")," ",""),"_","")</f>
        <v>PMID%3A7983368_Table2</v>
      </c>
      <c r="M56" s="1" t="str">
        <f aca="false" t="array" ref="M56:M56">IFERROR(INDEX(FileList!$A$1:$A$1000,MATCH(TRUE(),EXACT(L56,IFERROR(_xlfn.TEXTBEFORE(FileList!$A$1:$A$1000,".tsv"),"")),0)),"notfound")</f>
        <v>notfound</v>
      </c>
    </row>
    <row r="57" customFormat="false" ht="15.75" hidden="false" customHeight="true" outlineLevel="0" collapsed="false">
      <c r="A57" s="4" t="s">
        <v>319</v>
      </c>
      <c r="C57" s="4" t="s">
        <v>320</v>
      </c>
      <c r="D57" s="4" t="s">
        <v>77</v>
      </c>
      <c r="E57" s="1" t="str">
        <f aca="false">RIGHT(A57,1)</f>
        <v>3</v>
      </c>
      <c r="F57" s="1" t="str">
        <f aca="false">G57 &amp; IF(H57&lt;&gt;"", "_" &amp; H57, "_") &amp; IF(I57&lt;&gt;"", "_" &amp; I57, "_") &amp; IF(B57&lt;&gt;"", "_" &amp; B57, "")</f>
        <v>Frahm_etal_1997</v>
      </c>
      <c r="G57" s="1" t="str">
        <f aca="false">SUBSTITUTE(SUBSTITUTE(_xlfn.TEXTBEFORE(A57,","), "-", ""), " ", "")</f>
        <v>Frahm</v>
      </c>
      <c r="H57" s="1" t="str">
        <f aca="false">_xlfn.LET(
_xlpm.authors,_xlfn.TEXTBEFORE(A57," ("&amp;I57&amp;")"),
_xlpm.hasAmp,ISNUMBER(SEARCH("&amp;",_xlpm.authors)),
_xlpm.commasBeforeAmp,IF(_xlpm.hasAmp,LEN(_xlfn.TEXTBEFORE(_xlpm.authors,"&amp;"))-LEN(SUBSTITUTE(_xlfn.TEXTBEFORE(_xlpm.authors,"&amp;"),",","")),0),
IF(NOT(_xlpm.hasAmp),"",IF(_xlpm.commasBeforeAmp&gt;2,"etal",TRIM(_xlfn.TEXTBEFORE(_xlfn.TEXTAFTER(_xlpm.authors,"&amp; "),","))))
)</f>
        <v>etal</v>
      </c>
      <c r="I57" s="1" t="str">
        <f aca="false">_xlfn.TEXTBEFORE(_xlfn.TEXTAFTER(A57, "("), ")")</f>
        <v>1997</v>
      </c>
      <c r="J57" s="1" t="str">
        <f aca="false">_xlfn.LET(
_xlpm.doi,IF(C57&lt;&gt;"",C57,_xlfn.TEXTAFTER(A57,"https://doi.org/")),
SUBSTITUTE(
SUBSTITUTE(
SUBSTITUTE(
SUBSTITUTE(
_xlpm.doi,
"/","%2F"),
":","%3A"),
"&lt;","%3C"),
"&gt;","%3E")
)</f>
        <v>PMID%3A9176733</v>
      </c>
      <c r="K57" s="1" t="str">
        <f aca="false">TRIM(_xlfn.TEXTJOIN("_",FALSE(),F57,(SUBSTITUTE(SUBSTITUTE(D57," ",""), "_", ""))))</f>
        <v>Frahm_etal_1997_Table1</v>
      </c>
      <c r="L57" s="1" t="str">
        <f aca="false">J57 &amp; "_" &amp; SUBSTITUTE(SUBSTITUTE(SUBSTITUTE(D57,CHAR(160),"")," ",""),"_","")</f>
        <v>PMID%3A9176733_Table1</v>
      </c>
      <c r="M57" s="1" t="str">
        <f aca="false" t="array" ref="M57:M57">IFERROR(INDEX(FileList!$A$1:$A$1000,MATCH(TRUE(),EXACT(L57,IFERROR(_xlfn.TEXTBEFORE(FileList!$A$1:$A$1000,".tsv"),"")),0)),"notfound")</f>
        <v>notfound</v>
      </c>
      <c r="N57" s="4" t="s">
        <v>321</v>
      </c>
      <c r="V57" s="4" t="s">
        <v>42</v>
      </c>
      <c r="W57" s="4" t="s">
        <v>106</v>
      </c>
      <c r="Y57" s="4" t="s">
        <v>101</v>
      </c>
      <c r="Z57" s="4" t="s">
        <v>101</v>
      </c>
      <c r="AF57" s="4" t="s">
        <v>80</v>
      </c>
      <c r="AG57" s="4" t="s">
        <v>114</v>
      </c>
      <c r="AI57" s="4" t="s">
        <v>322</v>
      </c>
      <c r="AJ57" s="4" t="s">
        <v>103</v>
      </c>
      <c r="AK57" s="4" t="s">
        <v>63</v>
      </c>
      <c r="AL57" s="4" t="s">
        <v>63</v>
      </c>
      <c r="AM57" s="4" t="s">
        <v>86</v>
      </c>
    </row>
    <row r="58" customFormat="false" ht="18.75" hidden="false" customHeight="true" outlineLevel="0" collapsed="false">
      <c r="A58" s="4" t="s">
        <v>323</v>
      </c>
      <c r="C58" s="4" t="s">
        <v>324</v>
      </c>
      <c r="D58" s="4" t="s">
        <v>77</v>
      </c>
      <c r="E58" s="1" t="str">
        <f aca="false">RIGHT(A58,1)</f>
        <v>9</v>
      </c>
      <c r="F58" s="1" t="str">
        <f aca="false">G58 &amp; IF(H58&lt;&gt;"", "_" &amp; H58, "_") &amp; IF(I58&lt;&gt;"", "_" &amp; I58, "_") &amp; IF(B58&lt;&gt;"", "_" &amp; B58, "")</f>
        <v>Frahm_etal_1984</v>
      </c>
      <c r="G58" s="1" t="str">
        <f aca="false">SUBSTITUTE(SUBSTITUTE(_xlfn.TEXTBEFORE(A58,","), "-", ""), " ", "")</f>
        <v>Frahm</v>
      </c>
      <c r="H58" s="1" t="str">
        <f aca="false">_xlfn.LET(
_xlpm.authors,_xlfn.TEXTBEFORE(A58," ("&amp;I58&amp;")"),
_xlpm.hasAmp,ISNUMBER(SEARCH("&amp;",_xlpm.authors)),
_xlpm.commasBeforeAmp,IF(_xlpm.hasAmp,LEN(_xlfn.TEXTBEFORE(_xlpm.authors,"&amp;"))-LEN(SUBSTITUTE(_xlfn.TEXTBEFORE(_xlpm.authors,"&amp;"),",","")),0),
IF(NOT(_xlpm.hasAmp),"",IF(_xlpm.commasBeforeAmp&gt;2,"etal",TRIM(_xlfn.TEXTBEFORE(_xlfn.TEXTAFTER(_xlpm.authors,"&amp; "),","))))
)</f>
        <v>etal</v>
      </c>
      <c r="I58" s="1" t="str">
        <f aca="false">_xlfn.TEXTBEFORE(_xlfn.TEXTAFTER(A58, "("), ")")</f>
        <v>1984</v>
      </c>
      <c r="J58" s="1" t="str">
        <f aca="false">_xlfn.LET(
_xlpm.doi,IF(C58&lt;&gt;"",C58,_xlfn.TEXTAFTER(A58,"https://doi.org/")),
SUBSTITUTE(
SUBSTITUTE(
SUBSTITUTE(
SUBSTITUTE(
_xlpm.doi,
"/","%2F"),
":","%3A"),
"&lt;","%3C"),
"&gt;","%3E")
)</f>
        <v>PMID%3A6501869</v>
      </c>
      <c r="K58" s="1" t="str">
        <f aca="false">TRIM(_xlfn.TEXTJOIN("_",FALSE(),F58,(SUBSTITUTE(SUBSTITUTE(D58," ",""), "_", ""))))</f>
        <v>Frahm_etal_1984_Table1</v>
      </c>
      <c r="L58" s="1" t="str">
        <f aca="false">J58 &amp; "_" &amp; SUBSTITUTE(SUBSTITUTE(SUBSTITUTE(D58,CHAR(160),"")," ",""),"_","")</f>
        <v>PMID%3A6501869_Table1</v>
      </c>
      <c r="M58" s="1" t="str">
        <f aca="false" t="array" ref="M58:M58">IFERROR(INDEX(FileList!$A$1:$A$1000,MATCH(TRUE(),EXACT(L58,IFERROR(_xlfn.TEXTBEFORE(FileList!$A$1:$A$1000,".tsv"),"")),0)),"notfound")</f>
        <v>notfound</v>
      </c>
      <c r="N58" s="4" t="s">
        <v>325</v>
      </c>
      <c r="V58" s="4" t="s">
        <v>42</v>
      </c>
      <c r="W58" s="4" t="s">
        <v>106</v>
      </c>
      <c r="Y58" s="4" t="s">
        <v>101</v>
      </c>
      <c r="Z58" s="4" t="s">
        <v>101</v>
      </c>
      <c r="AF58" s="4" t="s">
        <v>80</v>
      </c>
      <c r="AG58" s="4" t="s">
        <v>114</v>
      </c>
      <c r="AI58" s="4" t="s">
        <v>326</v>
      </c>
      <c r="AJ58" s="4" t="s">
        <v>103</v>
      </c>
      <c r="AK58" s="4" t="s">
        <v>63</v>
      </c>
      <c r="AL58" s="4" t="s">
        <v>63</v>
      </c>
      <c r="AM58" s="4" t="s">
        <v>86</v>
      </c>
    </row>
    <row r="59" customFormat="false" ht="16.5" hidden="false" customHeight="true" outlineLevel="0" collapsed="false">
      <c r="A59" s="4" t="s">
        <v>327</v>
      </c>
      <c r="C59" s="4" t="s">
        <v>328</v>
      </c>
      <c r="D59" s="4" t="s">
        <v>121</v>
      </c>
      <c r="E59" s="1" t="str">
        <f aca="false">RIGHT(A59,1)</f>
        <v>7</v>
      </c>
      <c r="F59" s="1" t="str">
        <f aca="false">G59 &amp; IF(H59&lt;&gt;"", "_" &amp; H59, "_") &amp; IF(I59&lt;&gt;"", "_" &amp; I59, "_") &amp; IF(B59&lt;&gt;"", "_" &amp; B59, "")</f>
        <v>Frahm_etal_1982</v>
      </c>
      <c r="G59" s="1" t="str">
        <f aca="false">SUBSTITUTE(SUBSTITUTE(_xlfn.TEXTBEFORE(A59,","), "-", ""), " ", "")</f>
        <v>Frahm</v>
      </c>
      <c r="H59" s="1" t="str">
        <f aca="false">_xlfn.LET(
_xlpm.authors,_xlfn.TEXTBEFORE(A59," ("&amp;I59&amp;")"),
_xlpm.hasAmp,ISNUMBER(SEARCH("&amp;",_xlpm.authors)),
_xlpm.commasBeforeAmp,IF(_xlpm.hasAmp,LEN(_xlfn.TEXTBEFORE(_xlpm.authors,"&amp;"))-LEN(SUBSTITUTE(_xlfn.TEXTBEFORE(_xlpm.authors,"&amp;"),",","")),0),
IF(NOT(_xlpm.hasAmp),"",IF(_xlpm.commasBeforeAmp&gt;2,"etal",TRIM(_xlfn.TEXTBEFORE(_xlfn.TEXTAFTER(_xlpm.authors,"&amp; "),","))))
)</f>
        <v>etal</v>
      </c>
      <c r="I59" s="1" t="str">
        <f aca="false">_xlfn.TEXTBEFORE(_xlfn.TEXTAFTER(A59, "("), ")")</f>
        <v>1982</v>
      </c>
      <c r="J59" s="1" t="str">
        <f aca="false">_xlfn.LET(
_xlpm.doi,IF(C59&lt;&gt;"",C59,_xlfn.TEXTAFTER(A59,"https://doi.org/")),
SUBSTITUTE(
SUBSTITUTE(
SUBSTITUTE(
SUBSTITUTE(
_xlpm.doi,
"/","%2F"),
":","%3A"),
"&lt;","%3C"),
"&gt;","%3E")
)</f>
        <v>PMID%3A7161477</v>
      </c>
      <c r="K59" s="1" t="str">
        <f aca="false">TRIM(_xlfn.TEXTJOIN("_",FALSE(),F59,(SUBSTITUTE(SUBSTITUTE(D59," ",""), "_", ""))))</f>
        <v>Frahm_etal_1982_Table2</v>
      </c>
      <c r="L59" s="1" t="str">
        <f aca="false">J59 &amp; "_" &amp; SUBSTITUTE(SUBSTITUTE(SUBSTITUTE(D59,CHAR(160),"")," ",""),"_","")</f>
        <v>PMID%3A7161477_Table2</v>
      </c>
      <c r="M59" s="1" t="str">
        <f aca="false" t="array" ref="M59:M59">IFERROR(INDEX(FileList!$A$1:$A$1000,MATCH(TRUE(),EXACT(L59,IFERROR(_xlfn.TEXTBEFORE(FileList!$A$1:$A$1000,".tsv"),"")),0)),"notfound")</f>
        <v>notfound</v>
      </c>
      <c r="N59" s="4" t="s">
        <v>329</v>
      </c>
      <c r="V59" s="4" t="s">
        <v>42</v>
      </c>
      <c r="W59" s="4" t="s">
        <v>106</v>
      </c>
      <c r="Y59" s="4" t="s">
        <v>101</v>
      </c>
      <c r="Z59" s="4" t="s">
        <v>101</v>
      </c>
      <c r="AF59" s="4" t="s">
        <v>80</v>
      </c>
      <c r="AG59" s="4" t="s">
        <v>114</v>
      </c>
      <c r="AI59" s="4" t="s">
        <v>330</v>
      </c>
      <c r="AJ59" s="4" t="s">
        <v>103</v>
      </c>
      <c r="AK59" s="4" t="s">
        <v>63</v>
      </c>
      <c r="AL59" s="4" t="s">
        <v>63</v>
      </c>
      <c r="AM59" s="4" t="s">
        <v>86</v>
      </c>
    </row>
    <row r="60" customFormat="false" ht="16.5" hidden="false" customHeight="true" outlineLevel="0" collapsed="false">
      <c r="A60" s="4" t="s">
        <v>331</v>
      </c>
      <c r="C60" s="4" t="s">
        <v>332</v>
      </c>
      <c r="D60" s="4" t="s">
        <v>77</v>
      </c>
      <c r="E60" s="1" t="str">
        <f aca="false">RIGHT(A60,1)</f>
        <v>0</v>
      </c>
      <c r="F60" s="1" t="str">
        <f aca="false">G60 &amp; IF(H60&lt;&gt;"", "_" &amp; H60, "_") &amp; IF(I60&lt;&gt;"", "_" &amp; I60, "_") &amp; IF(B60&lt;&gt;"", "_" &amp; B60, "")</f>
        <v>Frahm_etal_1998</v>
      </c>
      <c r="G60" s="1" t="str">
        <f aca="false">SUBSTITUTE(SUBSTITUTE(_xlfn.TEXTBEFORE(A60,","), "-", ""), " ", "")</f>
        <v>Frahm</v>
      </c>
      <c r="H60" s="1" t="str">
        <f aca="false">_xlfn.LET(
_xlpm.authors,_xlfn.TEXTBEFORE(A60," ("&amp;I60&amp;")"),
_xlpm.hasAmp,ISNUMBER(SEARCH("&amp;",_xlpm.authors)),
_xlpm.commasBeforeAmp,IF(_xlpm.hasAmp,LEN(_xlfn.TEXTBEFORE(_xlpm.authors,"&amp;"))-LEN(SUBSTITUTE(_xlfn.TEXTBEFORE(_xlpm.authors,"&amp;"),",","")),0),
IF(NOT(_xlpm.hasAmp),"",IF(_xlpm.commasBeforeAmp&gt;2,"etal",TRIM(_xlfn.TEXTBEFORE(_xlfn.TEXTAFTER(_xlpm.authors,"&amp; "),","))))
)</f>
        <v>etal</v>
      </c>
      <c r="I60" s="1" t="str">
        <f aca="false">_xlfn.TEXTBEFORE(_xlfn.TEXTAFTER(A60, "("), ")")</f>
        <v>1998</v>
      </c>
      <c r="J60" s="1" t="str">
        <f aca="false">_xlfn.LET(
_xlpm.doi,IF(C60&lt;&gt;"",C60,_xlfn.TEXTAFTER(A60,"https://doi.org/")),
SUBSTITUTE(
SUBSTITUTE(
SUBSTITUTE(
SUBSTITUTE(
_xlpm.doi,
"/","%2F"),
":","%3A"),
"&lt;","%3C"),
"&gt;","%3E")
)</f>
        <v>PMID%3A9672110</v>
      </c>
      <c r="K60" s="1" t="str">
        <f aca="false">TRIM(_xlfn.TEXTJOIN("_",FALSE(),F60,(SUBSTITUTE(SUBSTITUTE(D60," ",""), "_", ""))))</f>
        <v>Frahm_etal_1998_Table1</v>
      </c>
      <c r="L60" s="1" t="str">
        <f aca="false">J60 &amp; "_" &amp; SUBSTITUTE(SUBSTITUTE(SUBSTITUTE(D60,CHAR(160),"")," ",""),"_","")</f>
        <v>PMID%3A9672110_Table1</v>
      </c>
      <c r="M60" s="1" t="str">
        <f aca="false" t="array" ref="M60:M60">IFERROR(INDEX(FileList!$A$1:$A$1000,MATCH(TRUE(),EXACT(L60,IFERROR(_xlfn.TEXTBEFORE(FileList!$A$1:$A$1000,".tsv"),"")),0)),"notfound")</f>
        <v>notfound</v>
      </c>
      <c r="N60" s="4" t="s">
        <v>333</v>
      </c>
      <c r="V60" s="4" t="s">
        <v>42</v>
      </c>
      <c r="W60" s="4" t="s">
        <v>106</v>
      </c>
      <c r="Y60" s="4" t="s">
        <v>101</v>
      </c>
      <c r="Z60" s="4" t="s">
        <v>101</v>
      </c>
      <c r="AF60" s="4" t="s">
        <v>80</v>
      </c>
      <c r="AG60" s="4" t="s">
        <v>114</v>
      </c>
      <c r="AI60" s="4" t="s">
        <v>334</v>
      </c>
      <c r="AJ60" s="4" t="s">
        <v>103</v>
      </c>
      <c r="AK60" s="4" t="s">
        <v>63</v>
      </c>
      <c r="AL60" s="4" t="s">
        <v>63</v>
      </c>
      <c r="AM60" s="4" t="s">
        <v>86</v>
      </c>
    </row>
    <row r="61" customFormat="false" ht="16.5" hidden="false" customHeight="true" outlineLevel="0" collapsed="false">
      <c r="A61" s="4" t="s">
        <v>335</v>
      </c>
      <c r="D61" s="4" t="s">
        <v>77</v>
      </c>
      <c r="E61" s="1" t="str">
        <f aca="false">RIGHT(A61,1)</f>
        <v>x</v>
      </c>
      <c r="F61" s="1" t="str">
        <f aca="false">G61 &amp; IF(H61&lt;&gt;"", "_" &amp; H61, "_") &amp; IF(I61&lt;&gt;"", "_" &amp; I61, "_") &amp; IF(B61&lt;&gt;"", "_" &amp; B61, "")</f>
        <v>Fu_etal_2013</v>
      </c>
      <c r="G61" s="1" t="str">
        <f aca="false">SUBSTITUTE(SUBSTITUTE(_xlfn.TEXTBEFORE(A61,","), "-", ""), " ", "")</f>
        <v>Fu</v>
      </c>
      <c r="H61" s="1" t="str">
        <f aca="false">_xlfn.LET(
_xlpm.authors,_xlfn.TEXTBEFORE(A61," ("&amp;I61&amp;")"),
_xlpm.hasAmp,ISNUMBER(SEARCH("&amp;",_xlpm.authors)),
_xlpm.commasBeforeAmp,IF(_xlpm.hasAmp,LEN(_xlfn.TEXTBEFORE(_xlpm.authors,"&amp;"))-LEN(SUBSTITUTE(_xlfn.TEXTBEFORE(_xlpm.authors,"&amp;"),",","")),0),
IF(NOT(_xlpm.hasAmp),"",IF(_xlpm.commasBeforeAmp&gt;2,"etal",TRIM(_xlfn.TEXTBEFORE(_xlfn.TEXTAFTER(_xlpm.authors,"&amp; "),","))))
)</f>
        <v>etal</v>
      </c>
      <c r="I61" s="1" t="str">
        <f aca="false">_xlfn.TEXTBEFORE(_xlfn.TEXTAFTER(A61, "("), ")")</f>
        <v>2013</v>
      </c>
      <c r="J61" s="1" t="str">
        <f aca="false">_xlfn.LET(
_xlpm.doi,IF(C61&lt;&gt;"",C61,_xlfn.TEXTAFTER(A61,"https://doi.org/")),
SUBSTITUTE(
SUBSTITUTE(
SUBSTITUTE(
SUBSTITUTE(
_xlpm.doi,
"/","%2F"),
":","%3A"),
"&lt;","%3C"),
"&gt;","%3E")
)</f>
        <v>10.1007%2Fs00429-012-0462-x</v>
      </c>
      <c r="K61" s="1" t="str">
        <f aca="false">TRIM(_xlfn.TEXTJOIN("_",FALSE(),F61,(SUBSTITUTE(SUBSTITUTE(D61," ",""), "_", ""))))</f>
        <v>Fu_etal_2013_Table1</v>
      </c>
      <c r="L61" s="1" t="str">
        <f aca="false">J61 &amp; "_" &amp; SUBSTITUTE(SUBSTITUTE(SUBSTITUTE(D61,CHAR(160),"")," ",""),"_","")</f>
        <v>10.1007%2Fs00429-012-0462-x_Table1</v>
      </c>
      <c r="M61" s="1" t="str">
        <f aca="false" t="array" ref="M61:M61">IFERROR(INDEX(FileList!$A$1:$A$1000,MATCH(TRUE(),EXACT(L61,IFERROR(_xlfn.TEXTBEFORE(FileList!$A$1:$A$1000,".tsv"),"")),0)),"notfound")</f>
        <v>notfound</v>
      </c>
      <c r="N61" s="4" t="s">
        <v>336</v>
      </c>
      <c r="P61" s="4" t="s">
        <v>337</v>
      </c>
      <c r="AA61" s="4" t="s">
        <v>150</v>
      </c>
      <c r="AJ61" s="4" t="s">
        <v>43</v>
      </c>
      <c r="AK61" s="4" t="s">
        <v>338</v>
      </c>
      <c r="AL61" s="4" t="s">
        <v>43</v>
      </c>
      <c r="AM61" s="4" t="s">
        <v>43</v>
      </c>
    </row>
    <row r="62" customFormat="false" ht="16.5" hidden="false" customHeight="true" outlineLevel="0" collapsed="false">
      <c r="A62" s="4" t="s">
        <v>339</v>
      </c>
      <c r="D62" s="4" t="s">
        <v>200</v>
      </c>
      <c r="E62" s="1" t="str">
        <f aca="false">RIGHT(A62,1)</f>
        <v>6</v>
      </c>
      <c r="F62" s="1" t="str">
        <f aca="false">G62 &amp; IF(H62&lt;&gt;"", "_" &amp; H62, "_") &amp; IF(I62&lt;&gt;"", "_" &amp; I62, "_") &amp; IF(B62&lt;&gt;"", "_" &amp; B62, "")</f>
        <v>Garwicz_etal_2009</v>
      </c>
      <c r="G62" s="1" t="str">
        <f aca="false">SUBSTITUTE(SUBSTITUTE(_xlfn.TEXTBEFORE(A62,","), "-", ""), " ", "")</f>
        <v>Garwicz</v>
      </c>
      <c r="H62" s="1" t="str">
        <f aca="false">_xlfn.LET(
_xlpm.authors,_xlfn.TEXTBEFORE(A62," ("&amp;I62&amp;")"),
_xlpm.hasAmp,ISNUMBER(SEARCH("&amp;",_xlpm.authors)),
_xlpm.commasBeforeAmp,IF(_xlpm.hasAmp,LEN(_xlfn.TEXTBEFORE(_xlpm.authors,"&amp;"))-LEN(SUBSTITUTE(_xlfn.TEXTBEFORE(_xlpm.authors,"&amp;"),",","")),0),
IF(NOT(_xlpm.hasAmp),"",IF(_xlpm.commasBeforeAmp&gt;2,"etal",TRIM(_xlfn.TEXTBEFORE(_xlfn.TEXTAFTER(_xlpm.authors,"&amp; "),","))))
)</f>
        <v>etal</v>
      </c>
      <c r="I62" s="1" t="str">
        <f aca="false">_xlfn.TEXTBEFORE(_xlfn.TEXTAFTER(A62, "("), ")")</f>
        <v>2009</v>
      </c>
      <c r="J62" s="1" t="str">
        <f aca="false">_xlfn.LET(
_xlpm.doi,IF(C62&lt;&gt;"",C62,_xlfn.TEXTAFTER(A62,"https://doi.org/")),
SUBSTITUTE(
SUBSTITUTE(
SUBSTITUTE(
SUBSTITUTE(
_xlpm.doi,
"/","%2F"),
":","%3A"),
"&lt;","%3C"),
"&gt;","%3E")
)</f>
        <v>10.1073%2Fpnas.0905777106</v>
      </c>
      <c r="K62" s="1" t="str">
        <f aca="false">TRIM(_xlfn.TEXTJOIN("_",FALSE(),F62,(SUBSTITUTE(SUBSTITUTE(D62," ",""), "_", ""))))</f>
        <v>Garwicz_etal_2009_TableS1</v>
      </c>
      <c r="L62" s="1" t="str">
        <f aca="false">J62 &amp; "_" &amp; SUBSTITUTE(SUBSTITUTE(SUBSTITUTE(D62,CHAR(160),"")," ",""),"_","")</f>
        <v>10.1073%2Fpnas.0905777106_TableS1</v>
      </c>
      <c r="M62" s="1" t="str">
        <f aca="false" t="array" ref="M62:M62">IFERROR(INDEX(FileList!$A$1:$A$1000,MATCH(TRUE(),EXACT(L62,IFERROR(_xlfn.TEXTBEFORE(FileList!$A$1:$A$1000,".tsv"),"")),0)),"notfound")</f>
        <v>notfound</v>
      </c>
      <c r="N62" s="4" t="s">
        <v>340</v>
      </c>
      <c r="U62" s="4" t="s">
        <v>55</v>
      </c>
      <c r="W62" s="4" t="s">
        <v>186</v>
      </c>
      <c r="X62" s="4" t="s">
        <v>341</v>
      </c>
      <c r="AJ62" s="4" t="s">
        <v>142</v>
      </c>
      <c r="AL62" s="4" t="s">
        <v>143</v>
      </c>
      <c r="AM62" s="4" t="s">
        <v>342</v>
      </c>
    </row>
    <row r="63" customFormat="false" ht="16.5" hidden="false" customHeight="true" outlineLevel="0" collapsed="false">
      <c r="A63" s="4" t="s">
        <v>339</v>
      </c>
      <c r="D63" s="4" t="s">
        <v>343</v>
      </c>
      <c r="E63" s="1" t="str">
        <f aca="false">RIGHT(A63,1)</f>
        <v>6</v>
      </c>
      <c r="F63" s="1" t="str">
        <f aca="false">G63 &amp; IF(H63&lt;&gt;"", "_" &amp; H63, "_") &amp; IF(I63&lt;&gt;"", "_" &amp; I63, "_") &amp; IF(B63&lt;&gt;"", "_" &amp; B63, "")</f>
        <v>Garwicz_etal_2009</v>
      </c>
      <c r="G63" s="1" t="str">
        <f aca="false">SUBSTITUTE(SUBSTITUTE(_xlfn.TEXTBEFORE(A63,","), "-", ""), " ", "")</f>
        <v>Garwicz</v>
      </c>
      <c r="H63" s="1" t="str">
        <f aca="false">_xlfn.LET(
_xlpm.authors,_xlfn.TEXTBEFORE(A63," ("&amp;I63&amp;")"),
_xlpm.hasAmp,ISNUMBER(SEARCH("&amp;",_xlpm.authors)),
_xlpm.commasBeforeAmp,IF(_xlpm.hasAmp,LEN(_xlfn.TEXTBEFORE(_xlpm.authors,"&amp;"))-LEN(SUBSTITUTE(_xlfn.TEXTBEFORE(_xlpm.authors,"&amp;"),",","")),0),
IF(NOT(_xlpm.hasAmp),"",IF(_xlpm.commasBeforeAmp&gt;2,"etal",TRIM(_xlfn.TEXTBEFORE(_xlfn.TEXTAFTER(_xlpm.authors,"&amp; "),","))))
)</f>
        <v>etal</v>
      </c>
      <c r="I63" s="1" t="str">
        <f aca="false">_xlfn.TEXTBEFORE(_xlfn.TEXTAFTER(A63, "("), ")")</f>
        <v>2009</v>
      </c>
      <c r="J63" s="1" t="str">
        <f aca="false">_xlfn.LET(
_xlpm.doi,IF(C63&lt;&gt;"",C63,_xlfn.TEXTAFTER(A63,"https://doi.org/")),
SUBSTITUTE(
SUBSTITUTE(
SUBSTITUTE(
SUBSTITUTE(
_xlpm.doi,
"/","%2F"),
":","%3A"),
"&lt;","%3C"),
"&gt;","%3E")
)</f>
        <v>10.1073%2Fpnas.0905777106</v>
      </c>
      <c r="K63" s="1" t="str">
        <f aca="false">TRIM(_xlfn.TEXTJOIN("_",FALSE(),F63,(SUBSTITUTE(SUBSTITUTE(D63," ",""), "_", ""))))</f>
        <v>Garwicz_etal_2009_TableS2</v>
      </c>
      <c r="L63" s="1" t="str">
        <f aca="false">J63 &amp; "_" &amp; SUBSTITUTE(SUBSTITUTE(SUBSTITUTE(D63,CHAR(160),"")," ",""),"_","")</f>
        <v>10.1073%2Fpnas.0905777106_TableS2</v>
      </c>
      <c r="M63" s="1" t="str">
        <f aca="false" t="array" ref="M63:M63">IFERROR(INDEX(FileList!$A$1:$A$1000,MATCH(TRUE(),EXACT(L63,IFERROR(_xlfn.TEXTBEFORE(FileList!$A$1:$A$1000,".tsv"),"")),0)),"notfound")</f>
        <v>notfound</v>
      </c>
      <c r="N63" s="4" t="s">
        <v>344</v>
      </c>
      <c r="U63" s="4" t="s">
        <v>55</v>
      </c>
      <c r="W63" s="4" t="s">
        <v>186</v>
      </c>
      <c r="X63" s="4" t="s">
        <v>341</v>
      </c>
      <c r="AJ63" s="4" t="s">
        <v>142</v>
      </c>
      <c r="AL63" s="4" t="s">
        <v>143</v>
      </c>
      <c r="AM63" s="4" t="s">
        <v>342</v>
      </c>
    </row>
    <row r="64" customFormat="false" ht="15.75" hidden="false" customHeight="true" outlineLevel="0" collapsed="false">
      <c r="A64" s="4" t="s">
        <v>345</v>
      </c>
      <c r="D64" s="4" t="s">
        <v>343</v>
      </c>
      <c r="E64" s="1" t="str">
        <f aca="false">RIGHT(A64,1)</f>
        <v>0</v>
      </c>
      <c r="F64" s="1" t="str">
        <f aca="false">G64 &amp; IF(H64&lt;&gt;"", "_" &amp; H64, "_") &amp; IF(I64&lt;&gt;"", "_" &amp; I64, "_") &amp; IF(B64&lt;&gt;"", "_" &amp; B64, "")</f>
        <v>Genoud_etal_2018</v>
      </c>
      <c r="G64" s="1" t="str">
        <f aca="false">SUBSTITUTE(SUBSTITUTE(_xlfn.TEXTBEFORE(A64,","), "-", ""), " ", "")</f>
        <v>Genoud</v>
      </c>
      <c r="H64" s="1" t="str">
        <f aca="false">_xlfn.LET(
_xlpm.authors,_xlfn.TEXTBEFORE(A64," ("&amp;I64&amp;")"),
_xlpm.hasAmp,ISNUMBER(SEARCH("&amp;",_xlpm.authors)),
_xlpm.commasBeforeAmp,IF(_xlpm.hasAmp,LEN(_xlfn.TEXTBEFORE(_xlpm.authors,"&amp;"))-LEN(SUBSTITUTE(_xlfn.TEXTBEFORE(_xlpm.authors,"&amp;"),",","")),0),
IF(NOT(_xlpm.hasAmp),"",IF(_xlpm.commasBeforeAmp&gt;2,"etal",TRIM(_xlfn.TEXTBEFORE(_xlfn.TEXTAFTER(_xlpm.authors,"&amp; "),","))))
)</f>
        <v>etal</v>
      </c>
      <c r="I64" s="1" t="str">
        <f aca="false">_xlfn.TEXTBEFORE(_xlfn.TEXTAFTER(A64, "("), ")")</f>
        <v>2018</v>
      </c>
      <c r="J64" s="1" t="str">
        <f aca="false">_xlfn.LET(
_xlpm.doi,IF(C64&lt;&gt;"",C64,_xlfn.TEXTAFTER(A64,"https://doi.org/")),
SUBSTITUTE(
SUBSTITUTE(
SUBSTITUTE(
SUBSTITUTE(
_xlpm.doi,
"/","%2F"),
":","%3A"),
"&lt;","%3C"),
"&gt;","%3E")
)</f>
        <v>10.1111%2Fbrv.12350</v>
      </c>
      <c r="K64" s="1" t="str">
        <f aca="false">TRIM(_xlfn.TEXTJOIN("_",FALSE(),F64,(SUBSTITUTE(SUBSTITUTE(D64," ",""), "_", ""))))</f>
        <v>Genoud_etal_2018_TableS2</v>
      </c>
      <c r="L64" s="1" t="str">
        <f aca="false">J64 &amp; "_" &amp; SUBSTITUTE(SUBSTITUTE(SUBSTITUTE(D64,CHAR(160),"")," ",""),"_","")</f>
        <v>10.1111%2Fbrv.12350_TableS2</v>
      </c>
      <c r="M64" s="1" t="str">
        <f aca="false" t="array" ref="M64:M64">IFERROR(INDEX(FileList!$A$1:$A$1000,MATCH(TRUE(),EXACT(L64,IFERROR(_xlfn.TEXTBEFORE(FileList!$A$1:$A$1000,".tsv"),"")),0)),"notfound")</f>
        <v>notfound</v>
      </c>
      <c r="N64" s="4" t="s">
        <v>346</v>
      </c>
      <c r="P64" s="4" t="s">
        <v>337</v>
      </c>
      <c r="AA64" s="4" t="s">
        <v>347</v>
      </c>
      <c r="AJ64" s="4" t="s">
        <v>43</v>
      </c>
      <c r="AL64" s="4" t="s">
        <v>143</v>
      </c>
      <c r="AM64" s="4" t="s">
        <v>43</v>
      </c>
    </row>
    <row r="65" customFormat="false" ht="15.75" hidden="false" customHeight="true" outlineLevel="0" collapsed="false">
      <c r="A65" s="4" t="s">
        <v>348</v>
      </c>
      <c r="D65" s="4" t="s">
        <v>200</v>
      </c>
      <c r="E65" s="1" t="str">
        <f aca="false">RIGHT(A65,1)</f>
        <v>8</v>
      </c>
      <c r="F65" s="1" t="str">
        <f aca="false">G65 &amp; IF(H65&lt;&gt;"", "_" &amp; H65, "_") &amp; IF(I65&lt;&gt;"", "_" &amp; I65, "_") &amp; IF(B65&lt;&gt;"", "_" &amp; B65, "")</f>
        <v>Granatosky__2018</v>
      </c>
      <c r="G65" s="1" t="str">
        <f aca="false">SUBSTITUTE(SUBSTITUTE(_xlfn.TEXTBEFORE(A65,","), "-", ""), " ", "")</f>
        <v>Granatosky</v>
      </c>
      <c r="H65" s="1" t="str">
        <f aca="false">_xlfn.LET(
_xlpm.authors,_xlfn.TEXTBEFORE(A65," ("&amp;I65&amp;")"),
_xlpm.hasAmp,ISNUMBER(SEARCH("&amp;",_xlpm.authors)),
_xlpm.commasBeforeAmp,IF(_xlpm.hasAmp,LEN(_xlfn.TEXTBEFORE(_xlpm.authors,"&amp;"))-LEN(SUBSTITUTE(_xlfn.TEXTBEFORE(_xlpm.authors,"&amp;"),",","")),0),
IF(NOT(_xlpm.hasAmp),"",IF(_xlpm.commasBeforeAmp&gt;2,"etal",TRIM(_xlfn.TEXTBEFORE(_xlfn.TEXTAFTER(_xlpm.authors,"&amp; "),","))))
)</f>
        <v/>
      </c>
      <c r="I65" s="1" t="str">
        <f aca="false">_xlfn.TEXTBEFORE(_xlfn.TEXTAFTER(A65, "("), ")")</f>
        <v>2018</v>
      </c>
      <c r="J65" s="1" t="str">
        <f aca="false">_xlfn.LET(
_xlpm.doi,IF(C65&lt;&gt;"",C65,_xlfn.TEXTAFTER(A65,"https://doi.org/")),
SUBSTITUTE(
SUBSTITUTE(
SUBSTITUTE(
SUBSTITUTE(
_xlpm.doi,
"/","%2F"),
":","%3A"),
"&lt;","%3C"),
"&gt;","%3E")
)</f>
        <v>10.1111%2Fjzo.12608</v>
      </c>
      <c r="K65" s="1" t="str">
        <f aca="false">TRIM(_xlfn.TEXTJOIN("_",FALSE(),F65,(SUBSTITUTE(SUBSTITUTE(D65," ",""), "_", ""))))</f>
        <v>Granatosky__2018_TableS1</v>
      </c>
      <c r="L65" s="1" t="str">
        <f aca="false">J65 &amp; "_" &amp; SUBSTITUTE(SUBSTITUTE(SUBSTITUTE(D65,CHAR(160),"")," ",""),"_","")</f>
        <v>10.1111%2Fjzo.12608_TableS1</v>
      </c>
      <c r="M65" s="1" t="str">
        <f aca="false" t="array" ref="M65:M65">IFERROR(INDEX(FileList!$A$1:$A$1000,MATCH(TRUE(),EXACT(L65,IFERROR(_xlfn.TEXTBEFORE(FileList!$A$1:$A$1000,".tsv"),"")),0)),"notfound")</f>
        <v>notfound</v>
      </c>
      <c r="N65" s="4" t="s">
        <v>349</v>
      </c>
      <c r="P65" s="4" t="s">
        <v>337</v>
      </c>
      <c r="X65" s="4" t="s">
        <v>350</v>
      </c>
      <c r="AJ65" s="4" t="s">
        <v>142</v>
      </c>
      <c r="AL65" s="4" t="s">
        <v>143</v>
      </c>
      <c r="AM65" s="4" t="s">
        <v>351</v>
      </c>
    </row>
    <row r="66" customFormat="false" ht="15.75" hidden="false" customHeight="true" outlineLevel="0" collapsed="false">
      <c r="A66" s="4" t="s">
        <v>352</v>
      </c>
      <c r="D66" s="4" t="s">
        <v>353</v>
      </c>
      <c r="E66" s="1" t="str">
        <f aca="false">RIGHT(A66,1)</f>
        <v>7</v>
      </c>
      <c r="F66" s="1" t="str">
        <f aca="false">G66 &amp; IF(H66&lt;&gt;"", "_" &amp; H66, "_") &amp; IF(I66&lt;&gt;"", "_" &amp; I66, "_") &amp; IF(B66&lt;&gt;"", "_" &amp; B66, "")</f>
        <v>Haarlem_etal_2026</v>
      </c>
      <c r="G66" s="1" t="str">
        <f aca="false">SUBSTITUTE(SUBSTITUTE(_xlfn.TEXTBEFORE(A66,","), "-", ""), " ", "")</f>
        <v>Haarlem</v>
      </c>
      <c r="H66" s="1" t="str">
        <f aca="false">_xlfn.LET(
_xlpm.authors,_xlfn.TEXTBEFORE(A66," ("&amp;I66&amp;")"),
_xlpm.hasAmp,ISNUMBER(SEARCH("&amp;",_xlpm.authors)),
_xlpm.commasBeforeAmp,IF(_xlpm.hasAmp,LEN(_xlfn.TEXTBEFORE(_xlpm.authors,"&amp;"))-LEN(SUBSTITUTE(_xlfn.TEXTBEFORE(_xlpm.authors,"&amp;"),",","")),0),
IF(NOT(_xlpm.hasAmp),"",IF(_xlpm.commasBeforeAmp&gt;2,"etal",TRIM(_xlfn.TEXTBEFORE(_xlfn.TEXTAFTER(_xlpm.authors,"&amp; "),","))))
)</f>
        <v>etal</v>
      </c>
      <c r="I66" s="1" t="str">
        <f aca="false">_xlfn.TEXTBEFORE(_xlfn.TEXTAFTER(A66, "("), ")")</f>
        <v>2026</v>
      </c>
      <c r="J66" s="1" t="str">
        <f aca="false">_xlfn.LET(
_xlpm.doi,IF(C66&lt;&gt;"",C66,_xlfn.TEXTAFTER(A66,"https://doi.org/")),
SUBSTITUTE(
SUBSTITUTE(
SUBSTITUTE(
SUBSTITUTE(
_xlpm.doi,
"/","%2F"),
":","%3A"),
"&lt;","%3C"),
"&gt;","%3E")
)</f>
        <v>10.1038%2Fs41559-026-02994-7</v>
      </c>
      <c r="K66" s="1" t="str">
        <f aca="false">TRIM(_xlfn.TEXTJOIN("_",FALSE(),F66,(SUBSTITUTE(SUBSTITUTE(D66," ",""), "_", ""))))</f>
        <v>Haarlem_etal_2026_CFFdataset</v>
      </c>
      <c r="L66" s="1" t="str">
        <f aca="false">J66 &amp; "_" &amp; SUBSTITUTE(SUBSTITUTE(SUBSTITUTE(D66,CHAR(160),"")," ",""),"_","")</f>
        <v>10.1038%2Fs41559-026-02994-7_CFFdataset</v>
      </c>
      <c r="M66" s="1" t="str">
        <f aca="false" t="array" ref="M66:M66">IFERROR(INDEX(FileList!$A$1:$A$1000,MATCH(TRUE(),EXACT(L66,IFERROR(_xlfn.TEXTBEFORE(FileList!$A$1:$A$1000,".tsv"),"")),0)),"notfound")</f>
        <v>notfound</v>
      </c>
      <c r="N66" s="4" t="s">
        <v>353</v>
      </c>
      <c r="X66" s="4" t="s">
        <v>350</v>
      </c>
      <c r="AJ66" s="4" t="s">
        <v>43</v>
      </c>
      <c r="AL66" s="4" t="s">
        <v>43</v>
      </c>
      <c r="AM66" s="4" t="s">
        <v>43</v>
      </c>
    </row>
    <row r="67" customFormat="false" ht="15.75" hidden="false" customHeight="true" outlineLevel="0" collapsed="false">
      <c r="A67" s="4" t="s">
        <v>354</v>
      </c>
      <c r="D67" s="4" t="s">
        <v>355</v>
      </c>
      <c r="E67" s="1" t="str">
        <f aca="false">RIGHT(A67,1)</f>
        <v>4</v>
      </c>
      <c r="F67" s="1" t="str">
        <f aca="false">G67 &amp; IF(H67&lt;&gt;"", "_" &amp; H67, "_") &amp; IF(I67&lt;&gt;"", "_" &amp; I67, "_") &amp; IF(B67&lt;&gt;"", "_" &amp; B67, "")</f>
        <v>Heffner_Masterton_1983</v>
      </c>
      <c r="G67" s="1" t="str">
        <f aca="false">SUBSTITUTE(SUBSTITUTE(_xlfn.TEXTBEFORE(A67,","), "-", ""), " ", "")</f>
        <v>Heffner</v>
      </c>
      <c r="H67" s="1" t="str">
        <f aca="false">_xlfn.LET(
_xlpm.authors,_xlfn.TEXTBEFORE(A67," ("&amp;I67&amp;")"),
_xlpm.hasAmp,ISNUMBER(SEARCH("&amp;",_xlpm.authors)),
_xlpm.commasBeforeAmp,IF(_xlpm.hasAmp,LEN(_xlfn.TEXTBEFORE(_xlpm.authors,"&amp;"))-LEN(SUBSTITUTE(_xlfn.TEXTBEFORE(_xlpm.authors,"&amp;"),",","")),0),
IF(NOT(_xlpm.hasAmp),"",IF(_xlpm.commasBeforeAmp&gt;2,"etal",TRIM(_xlfn.TEXTBEFORE(_xlfn.TEXTAFTER(_xlpm.authors,"&amp; "),","))))
)</f>
        <v>Masterton</v>
      </c>
      <c r="I67" s="1" t="str">
        <f aca="false">_xlfn.TEXTBEFORE(_xlfn.TEXTAFTER(A67, "("), ")")</f>
        <v>1983</v>
      </c>
      <c r="J67" s="1" t="str">
        <f aca="false">_xlfn.LET(
_xlpm.doi,IF(C67&lt;&gt;"",C67,_xlfn.TEXTAFTER(A67,"https://doi.org/")),
SUBSTITUTE(
SUBSTITUTE(
SUBSTITUTE(
SUBSTITUTE(
_xlpm.doi,
"/","%2F"),
":","%3A"),
"&lt;","%3C"),
"&gt;","%3E")
)</f>
        <v>10.1159%2F000121494</v>
      </c>
      <c r="K67" s="1" t="str">
        <f aca="false">TRIM(_xlfn.TEXTJOIN("_",FALSE(),F67,(SUBSTITUTE(SUBSTITUTE(D67," ",""), "_", ""))))</f>
        <v>Heffner_Masterton_1983_TableI</v>
      </c>
      <c r="L67" s="1" t="str">
        <f aca="false">J67 &amp; "_" &amp; SUBSTITUTE(SUBSTITUTE(SUBSTITUTE(D67,CHAR(160),"")," ",""),"_","")</f>
        <v>10.1159%2F000121494_TableI</v>
      </c>
      <c r="M67" s="1" t="str">
        <f aca="false" t="array" ref="M67:M67">IFERROR(INDEX(FileList!$A$1:$A$1000,MATCH(TRUE(),EXACT(L67,IFERROR(_xlfn.TEXTBEFORE(FileList!$A$1:$A$1000,".tsv"),"")),0)),"notfound")</f>
        <v>notfound</v>
      </c>
      <c r="P67" s="4" t="s">
        <v>337</v>
      </c>
      <c r="Q67" s="4" t="s">
        <v>204</v>
      </c>
      <c r="T67" s="4" t="str">
        <f aca="false">IF(S67="N", R67, "write file name")</f>
        <v>write file name</v>
      </c>
      <c r="U67" s="4" t="s">
        <v>55</v>
      </c>
      <c r="V67" s="4" t="s">
        <v>42</v>
      </c>
      <c r="W67" s="4" t="s">
        <v>208</v>
      </c>
      <c r="X67" s="4" t="s">
        <v>350</v>
      </c>
      <c r="AD67" s="4" t="s">
        <v>356</v>
      </c>
      <c r="AH67" s="4" t="s">
        <v>140</v>
      </c>
      <c r="AI67" s="4" t="s">
        <v>357</v>
      </c>
      <c r="AJ67" s="4" t="s">
        <v>142</v>
      </c>
      <c r="AL67" s="4" t="s">
        <v>143</v>
      </c>
      <c r="AM67" s="4" t="s">
        <v>358</v>
      </c>
    </row>
    <row r="68" customFormat="false" ht="15.75" hidden="false" customHeight="true" outlineLevel="0" collapsed="false">
      <c r="A68" s="4" t="s">
        <v>359</v>
      </c>
      <c r="D68" s="4" t="s">
        <v>355</v>
      </c>
      <c r="E68" s="1" t="str">
        <f aca="false">RIGHT(A68,1)</f>
        <v>1</v>
      </c>
      <c r="F68" s="1" t="str">
        <f aca="false">G68 &amp; IF(H68&lt;&gt;"", "_" &amp; H68, "_") &amp; IF(I68&lt;&gt;"", "_" &amp; I68, "_") &amp; IF(B68&lt;&gt;"", "_" &amp; B68, "")</f>
        <v>Heffner_Masterton_1975</v>
      </c>
      <c r="G68" s="1" t="str">
        <f aca="false">SUBSTITUTE(SUBSTITUTE(_xlfn.TEXTBEFORE(A68,","), "-", ""), " ", "")</f>
        <v>Heffner</v>
      </c>
      <c r="H68" s="1" t="str">
        <f aca="false">_xlfn.LET(
_xlpm.authors,_xlfn.TEXTBEFORE(A68," ("&amp;I68&amp;")"),
_xlpm.hasAmp,ISNUMBER(SEARCH("&amp;",_xlpm.authors)),
_xlpm.commasBeforeAmp,IF(_xlpm.hasAmp,LEN(_xlfn.TEXTBEFORE(_xlpm.authors,"&amp;"))-LEN(SUBSTITUTE(_xlfn.TEXTBEFORE(_xlpm.authors,"&amp;"),",","")),0),
IF(NOT(_xlpm.hasAmp),"",IF(_xlpm.commasBeforeAmp&gt;2,"etal",TRIM(_xlfn.TEXTBEFORE(_xlfn.TEXTAFTER(_xlpm.authors,"&amp; "),","))))
)</f>
        <v>Masterton</v>
      </c>
      <c r="I68" s="1" t="str">
        <f aca="false">_xlfn.TEXTBEFORE(_xlfn.TEXTAFTER(A68, "("), ")")</f>
        <v>1975</v>
      </c>
      <c r="J68" s="1" t="str">
        <f aca="false">_xlfn.LET(
_xlpm.doi,IF(C68&lt;&gt;"",C68,_xlfn.TEXTAFTER(A68,"https://doi.org/")),
SUBSTITUTE(
SUBSTITUTE(
SUBSTITUTE(
SUBSTITUTE(
_xlpm.doi,
"/","%2F"),
":","%3A"),
"&lt;","%3C"),
"&gt;","%3E")
)</f>
        <v>10.1159%2F000124401</v>
      </c>
      <c r="K68" s="1" t="str">
        <f aca="false">TRIM(_xlfn.TEXTJOIN("_",FALSE(),F68,(SUBSTITUTE(SUBSTITUTE(D68," ",""), "_", ""))))</f>
        <v>Heffner_Masterton_1975_TableI</v>
      </c>
      <c r="L68" s="1" t="str">
        <f aca="false">J68 &amp; "_" &amp; SUBSTITUTE(SUBSTITUTE(SUBSTITUTE(D68,CHAR(160),"")," ",""),"_","")</f>
        <v>10.1159%2F000124401_TableI</v>
      </c>
      <c r="M68" s="1" t="str">
        <f aca="false" t="array" ref="M68:M68">IFERROR(INDEX(FileList!$A$1:$A$1000,MATCH(TRUE(),EXACT(L68,IFERROR(_xlfn.TEXTBEFORE(FileList!$A$1:$A$1000,".tsv"),"")),0)),"notfound")</f>
        <v>notfound</v>
      </c>
      <c r="P68" s="4" t="s">
        <v>41</v>
      </c>
      <c r="Q68" s="4" t="s">
        <v>51</v>
      </c>
      <c r="R68" s="4" t="s">
        <v>360</v>
      </c>
      <c r="S68" s="4" t="s">
        <v>53</v>
      </c>
      <c r="T68" s="4" t="s">
        <v>361</v>
      </c>
      <c r="U68" s="4" t="s">
        <v>55</v>
      </c>
      <c r="V68" s="4" t="s">
        <v>42</v>
      </c>
      <c r="W68" s="4" t="s">
        <v>208</v>
      </c>
      <c r="X68" s="4" t="s">
        <v>350</v>
      </c>
      <c r="AA68" s="4" t="s">
        <v>362</v>
      </c>
      <c r="AH68" s="4" t="s">
        <v>140</v>
      </c>
      <c r="AI68" s="4" t="s">
        <v>357</v>
      </c>
      <c r="AJ68" s="4" t="s">
        <v>142</v>
      </c>
      <c r="AK68" s="4" t="s">
        <v>363</v>
      </c>
      <c r="AL68" s="4" t="s">
        <v>364</v>
      </c>
      <c r="AM68" s="4" t="s">
        <v>365</v>
      </c>
    </row>
    <row r="69" customFormat="false" ht="15.75" hidden="false" customHeight="true" outlineLevel="0" collapsed="false">
      <c r="A69" s="4" t="s">
        <v>366</v>
      </c>
      <c r="C69" s="4" t="s">
        <v>367</v>
      </c>
      <c r="D69" s="4" t="s">
        <v>49</v>
      </c>
      <c r="E69" s="1" t="str">
        <f aca="false">RIGHT(A69,1)</f>
        <v>8</v>
      </c>
      <c r="F69" s="1" t="str">
        <f aca="false">G69 &amp; IF(H69&lt;&gt;"", "_" &amp; H69, "_") &amp; IF(I69&lt;&gt;"", "_" &amp; I69, "_") &amp; IF(B69&lt;&gt;"", "_" &amp; B69, "")</f>
        <v>Heiss_etal_2004</v>
      </c>
      <c r="G69" s="1" t="str">
        <f aca="false">SUBSTITUTE(SUBSTITUTE(_xlfn.TEXTBEFORE(A69,","), "-", ""), " ", "")</f>
        <v>Heiss</v>
      </c>
      <c r="H69" s="1" t="str">
        <f aca="false">_xlfn.LET(
_xlpm.authors,_xlfn.TEXTBEFORE(A69," ("&amp;I69&amp;")"),
_xlpm.hasAmp,ISNUMBER(SEARCH("&amp;",_xlpm.authors)),
_xlpm.commasBeforeAmp,IF(_xlpm.hasAmp,LEN(_xlfn.TEXTBEFORE(_xlpm.authors,"&amp;"))-LEN(SUBSTITUTE(_xlfn.TEXTBEFORE(_xlpm.authors,"&amp;"),",","")),0),
IF(NOT(_xlpm.hasAmp),"",IF(_xlpm.commasBeforeAmp&gt;2,"etal",TRIM(_xlfn.TEXTBEFORE(_xlfn.TEXTAFTER(_xlpm.authors,"&amp; "),","))))
)</f>
        <v>etal</v>
      </c>
      <c r="I69" s="1" t="str">
        <f aca="false">_xlfn.TEXTBEFORE(_xlfn.TEXTAFTER(A69, "("), ")")</f>
        <v>2004</v>
      </c>
      <c r="J69" s="1" t="str">
        <f aca="false">_xlfn.LET(
_xlpm.doi,IF(C69&lt;&gt;"",C69,_xlfn.TEXTAFTER(A69,"https://doi.org/")),
SUBSTITUTE(
SUBSTITUTE(
SUBSTITUTE(
SUBSTITUTE(
_xlpm.doi,
"/","%2F"),
":","%3A"),
"&lt;","%3C"),
"&gt;","%3E")
)</f>
        <v>PMID%3A15534048</v>
      </c>
      <c r="K69" s="1" t="str">
        <f aca="false">TRIM(_xlfn.TEXTJOIN("_",FALSE(),F69,(SUBSTITUTE(SUBSTITUTE(D69," ",""), "_", ""))))</f>
        <v>Heiss_etal_2004_TABLE1</v>
      </c>
      <c r="L69" s="1" t="str">
        <f aca="false">J69 &amp; "_" &amp; SUBSTITUTE(SUBSTITUTE(SUBSTITUTE(D69,CHAR(160),"")," ",""),"_","")</f>
        <v>PMID%3A15534048_TABLE1</v>
      </c>
      <c r="M69" s="1" t="str">
        <f aca="false" t="array" ref="M69:M69">IFERROR(INDEX(FileList!$A$1:$A$1000,MATCH(TRUE(),EXACT(L69,IFERROR(_xlfn.TEXTBEFORE(FileList!$A$1:$A$1000,".tsv"),"")),0)),"notfound")</f>
        <v>notfound</v>
      </c>
      <c r="N69" s="4" t="s">
        <v>368</v>
      </c>
      <c r="X69" s="4" t="s">
        <v>350</v>
      </c>
      <c r="AI69" s="4" t="s">
        <v>369</v>
      </c>
      <c r="AJ69" s="4" t="s">
        <v>370</v>
      </c>
      <c r="AL69" s="4" t="s">
        <v>63</v>
      </c>
      <c r="AM69" s="4" t="s">
        <v>371</v>
      </c>
    </row>
    <row r="70" customFormat="false" ht="15.75" hidden="false" customHeight="true" outlineLevel="0" collapsed="false">
      <c r="A70" s="4" t="s">
        <v>372</v>
      </c>
      <c r="D70" s="4" t="s">
        <v>200</v>
      </c>
      <c r="E70" s="1" t="str">
        <f aca="false">RIGHT(A70,1)</f>
        <v>8</v>
      </c>
      <c r="F70" s="1" t="str">
        <f aca="false">G70 &amp; IF(H70&lt;&gt;"", "_" &amp; H70, "_") &amp; IF(I70&lt;&gt;"", "_" &amp; I70, "_") &amp; IF(B70&lt;&gt;"", "_" &amp; B70, "")</f>
        <v>Heldstab_etal_2016</v>
      </c>
      <c r="G70" s="1" t="str">
        <f aca="false">SUBSTITUTE(SUBSTITUTE(_xlfn.TEXTBEFORE(A70,","), "-", ""), " ", "")</f>
        <v>Heldstab</v>
      </c>
      <c r="H70" s="1" t="str">
        <f aca="false">_xlfn.LET(
_xlpm.authors,_xlfn.TEXTBEFORE(A70," ("&amp;I70&amp;")"),
_xlpm.hasAmp,ISNUMBER(SEARCH("&amp;",_xlpm.authors)),
_xlpm.commasBeforeAmp,IF(_xlpm.hasAmp,LEN(_xlfn.TEXTBEFORE(_xlpm.authors,"&amp;"))-LEN(SUBSTITUTE(_xlfn.TEXTBEFORE(_xlpm.authors,"&amp;"),",","")),0),
IF(NOT(_xlpm.hasAmp),"",IF(_xlpm.commasBeforeAmp&gt;2,"etal",TRIM(_xlfn.TEXTBEFORE(_xlfn.TEXTAFTER(_xlpm.authors,"&amp; "),","))))
)</f>
        <v>etal</v>
      </c>
      <c r="I70" s="1" t="str">
        <f aca="false">_xlfn.TEXTBEFORE(_xlfn.TEXTAFTER(A70, "("), ")")</f>
        <v>2016</v>
      </c>
      <c r="J70" s="1" t="str">
        <f aca="false">_xlfn.LET(
_xlpm.doi,IF(C70&lt;&gt;"",C70,_xlfn.TEXTAFTER(A70,"https://doi.org/")),
SUBSTITUTE(
SUBSTITUTE(
SUBSTITUTE(
SUBSTITUTE(
_xlpm.doi,
"/","%2F"),
":","%3A"),
"&lt;","%3C"),
"&gt;","%3E")
)</f>
        <v>10.1038%2Fsrep24528</v>
      </c>
      <c r="K70" s="1" t="str">
        <f aca="false">TRIM(_xlfn.TEXTJOIN("_",FALSE(),F70,(SUBSTITUTE(SUBSTITUTE(D70," ",""), "_", ""))))</f>
        <v>Heldstab_etal_2016_TableS1</v>
      </c>
      <c r="L70" s="1" t="str">
        <f aca="false">J70 &amp; "_" &amp; SUBSTITUTE(SUBSTITUTE(SUBSTITUTE(D70,CHAR(160),"")," ",""),"_","")</f>
        <v>10.1038%2Fsrep24528_TableS1</v>
      </c>
      <c r="M70" s="1" t="str">
        <f aca="false" t="array" ref="M70:M70">IFERROR(INDEX(FileList!$A$1:$A$1000,MATCH(TRUE(),EXACT(L70,IFERROR(_xlfn.TEXTBEFORE(FileList!$A$1:$A$1000,".tsv"),"")),0)),"notfound")</f>
        <v>notfound</v>
      </c>
      <c r="P70" s="4" t="s">
        <v>337</v>
      </c>
      <c r="Q70" s="4" t="s">
        <v>204</v>
      </c>
      <c r="T70" s="4" t="str">
        <f aca="false">IF(S70="N", R70, "write file name")</f>
        <v>write file name</v>
      </c>
      <c r="U70" s="4" t="s">
        <v>55</v>
      </c>
      <c r="V70" s="4" t="s">
        <v>42</v>
      </c>
      <c r="X70" s="4" t="s">
        <v>350</v>
      </c>
      <c r="AH70" s="4" t="s">
        <v>179</v>
      </c>
      <c r="AI70" s="4" t="s">
        <v>373</v>
      </c>
      <c r="AJ70" s="4" t="s">
        <v>120</v>
      </c>
      <c r="AL70" s="4" t="s">
        <v>143</v>
      </c>
      <c r="AM70" s="4" t="s">
        <v>374</v>
      </c>
    </row>
    <row r="71" customFormat="false" ht="15.75" hidden="false" customHeight="true" outlineLevel="0" collapsed="false">
      <c r="A71" s="4" t="s">
        <v>375</v>
      </c>
      <c r="D71" s="4" t="s">
        <v>77</v>
      </c>
      <c r="E71" s="1" t="str">
        <f aca="false">RIGHT(A71,1)</f>
        <v>3</v>
      </c>
      <c r="F71" s="1" t="str">
        <f aca="false">G71 &amp; IF(H71&lt;&gt;"", "_" &amp; H71, "_") &amp; IF(I71&lt;&gt;"", "_" &amp; I71, "_") &amp; IF(B71&lt;&gt;"", "_" &amp; B71, "")</f>
        <v>HerculanoHouzel__2015</v>
      </c>
      <c r="G71" s="1" t="str">
        <f aca="false">SUBSTITUTE(SUBSTITUTE(_xlfn.TEXTBEFORE(A71,","), "-", ""), " ", "")</f>
        <v>HerculanoHouzel</v>
      </c>
      <c r="H71" s="1" t="str">
        <f aca="false">_xlfn.LET(
_xlpm.authors,_xlfn.TEXTBEFORE(A71," ("&amp;I71&amp;")"),
_xlpm.hasAmp,ISNUMBER(SEARCH("&amp;",_xlpm.authors)),
_xlpm.commasBeforeAmp,IF(_xlpm.hasAmp,LEN(_xlfn.TEXTBEFORE(_xlpm.authors,"&amp;"))-LEN(SUBSTITUTE(_xlfn.TEXTBEFORE(_xlpm.authors,"&amp;"),",","")),0),
IF(NOT(_xlpm.hasAmp),"",IF(_xlpm.commasBeforeAmp&gt;2,"etal",TRIM(_xlfn.TEXTBEFORE(_xlfn.TEXTAFTER(_xlpm.authors,"&amp; "),","))))
)</f>
        <v/>
      </c>
      <c r="I71" s="1" t="str">
        <f aca="false">_xlfn.TEXTBEFORE(_xlfn.TEXTAFTER(A71, "("), ")")</f>
        <v>2015</v>
      </c>
      <c r="J71" s="1" t="str">
        <f aca="false">_xlfn.LET(
_xlpm.doi,IF(C71&lt;&gt;"",C71,_xlfn.TEXTAFTER(A71,"https://doi.org/")),
SUBSTITUTE(
SUBSTITUTE(
SUBSTITUTE(
SUBSTITUTE(
_xlpm.doi,
"/","%2F"),
":","%3A"),
"&lt;","%3C"),
"&gt;","%3E")
)</f>
        <v>10.1098%2Frspb.2015.1853</v>
      </c>
      <c r="K71" s="1" t="str">
        <f aca="false">TRIM(_xlfn.TEXTJOIN("_",FALSE(),F71,(SUBSTITUTE(SUBSTITUTE(D71," ",""), "_", ""))))</f>
        <v>HerculanoHouzel__2015_Table1</v>
      </c>
      <c r="L71" s="1" t="str">
        <f aca="false">J71 &amp; "_" &amp; SUBSTITUTE(SUBSTITUTE(SUBSTITUTE(D71,CHAR(160),"")," ",""),"_","")</f>
        <v>10.1098%2Frspb.2015.1853_Table1</v>
      </c>
      <c r="M71" s="1" t="str">
        <f aca="false" t="array" ref="M71:M71">IFERROR(INDEX(FileList!$A$1:$A$1000,MATCH(TRUE(),EXACT(L71,IFERROR(_xlfn.TEXTBEFORE(FileList!$A$1:$A$1000,".tsv"),"")),0)),"notfound")</f>
        <v>notfound</v>
      </c>
      <c r="U71" s="4" t="s">
        <v>55</v>
      </c>
      <c r="V71" s="4" t="s">
        <v>42</v>
      </c>
      <c r="AI71" s="4" t="s">
        <v>376</v>
      </c>
      <c r="AJ71" s="4" t="s">
        <v>142</v>
      </c>
      <c r="AL71" s="4" t="s">
        <v>364</v>
      </c>
      <c r="AM71" s="4" t="s">
        <v>377</v>
      </c>
    </row>
    <row r="72" customFormat="false" ht="15.75" hidden="false" customHeight="true" outlineLevel="0" collapsed="false">
      <c r="A72" s="4" t="s">
        <v>375</v>
      </c>
      <c r="D72" s="4" t="s">
        <v>121</v>
      </c>
      <c r="E72" s="1" t="str">
        <f aca="false">RIGHT(A72,1)</f>
        <v>3</v>
      </c>
      <c r="F72" s="1" t="str">
        <f aca="false">G72 &amp; IF(H72&lt;&gt;"", "_" &amp; H72, "_") &amp; IF(I72&lt;&gt;"", "_" &amp; I72, "_") &amp; IF(B72&lt;&gt;"", "_" &amp; B72, "")</f>
        <v>HerculanoHouzel__2015</v>
      </c>
      <c r="G72" s="1" t="str">
        <f aca="false">SUBSTITUTE(SUBSTITUTE(_xlfn.TEXTBEFORE(A72,","), "-", ""), " ", "")</f>
        <v>HerculanoHouzel</v>
      </c>
      <c r="H72" s="1" t="str">
        <f aca="false">_xlfn.LET(
_xlpm.authors,_xlfn.TEXTBEFORE(A72," ("&amp;I72&amp;")"),
_xlpm.hasAmp,ISNUMBER(SEARCH("&amp;",_xlpm.authors)),
_xlpm.commasBeforeAmp,IF(_xlpm.hasAmp,LEN(_xlfn.TEXTBEFORE(_xlpm.authors,"&amp;"))-LEN(SUBSTITUTE(_xlfn.TEXTBEFORE(_xlpm.authors,"&amp;"),",","")),0),
IF(NOT(_xlpm.hasAmp),"",IF(_xlpm.commasBeforeAmp&gt;2,"etal",TRIM(_xlfn.TEXTBEFORE(_xlfn.TEXTAFTER(_xlpm.authors,"&amp; "),","))))
)</f>
        <v/>
      </c>
      <c r="I72" s="1" t="str">
        <f aca="false">_xlfn.TEXTBEFORE(_xlfn.TEXTAFTER(A72, "("), ")")</f>
        <v>2015</v>
      </c>
      <c r="J72" s="1" t="str">
        <f aca="false">_xlfn.LET(
_xlpm.doi,IF(C72&lt;&gt;"",C72,_xlfn.TEXTAFTER(A72,"https://doi.org/")),
SUBSTITUTE(
SUBSTITUTE(
SUBSTITUTE(
SUBSTITUTE(
_xlpm.doi,
"/","%2F"),
":","%3A"),
"&lt;","%3C"),
"&gt;","%3E")
)</f>
        <v>10.1098%2Frspb.2015.1853</v>
      </c>
      <c r="K72" s="1" t="str">
        <f aca="false">TRIM(_xlfn.TEXTJOIN("_",FALSE(),F72,(SUBSTITUTE(SUBSTITUTE(D72," ",""), "_", ""))))</f>
        <v>HerculanoHouzel__2015_Table2</v>
      </c>
      <c r="L72" s="1" t="str">
        <f aca="false">J72 &amp; "_" &amp; SUBSTITUTE(SUBSTITUTE(SUBSTITUTE(D72,CHAR(160),"")," ",""),"_","")</f>
        <v>10.1098%2Frspb.2015.1853_Table2</v>
      </c>
      <c r="M72" s="1" t="str">
        <f aca="false" t="array" ref="M72:M72">IFERROR(INDEX(FileList!$A$1:$A$1000,MATCH(TRUE(),EXACT(L72,IFERROR(_xlfn.TEXTBEFORE(FileList!$A$1:$A$1000,".tsv"),"")),0)),"notfound")</f>
        <v>notfound</v>
      </c>
      <c r="N72" s="4" t="s">
        <v>378</v>
      </c>
      <c r="U72" s="4" t="s">
        <v>55</v>
      </c>
      <c r="V72" s="4" t="s">
        <v>42</v>
      </c>
      <c r="AI72" s="4" t="s">
        <v>379</v>
      </c>
      <c r="AJ72" s="4" t="s">
        <v>142</v>
      </c>
      <c r="AK72" s="4" t="s">
        <v>143</v>
      </c>
      <c r="AL72" s="4" t="s">
        <v>364</v>
      </c>
      <c r="AM72" s="4" t="s">
        <v>380</v>
      </c>
    </row>
    <row r="73" customFormat="false" ht="15.75" hidden="false" customHeight="true" outlineLevel="0" collapsed="false">
      <c r="A73" s="4" t="s">
        <v>381</v>
      </c>
      <c r="D73" s="4" t="s">
        <v>77</v>
      </c>
      <c r="E73" s="1" t="str">
        <f aca="false">RIGHT(A73,1)</f>
        <v>3</v>
      </c>
      <c r="F73" s="1" t="str">
        <f aca="false">G73 &amp; IF(H73&lt;&gt;"", "_" &amp; H73, "_") &amp; IF(I73&lt;&gt;"", "_" &amp; I73, "_") &amp; IF(B73&lt;&gt;"", "_" &amp; B73, "")</f>
        <v>HerculanoHouzel_etal_2015</v>
      </c>
      <c r="G73" s="1" t="str">
        <f aca="false">SUBSTITUTE(SUBSTITUTE(_xlfn.TEXTBEFORE(A73,","), "-", ""), " ", "")</f>
        <v>HerculanoHouzel</v>
      </c>
      <c r="H73" s="1" t="str">
        <f aca="false">_xlfn.LET(
_xlpm.authors,_xlfn.TEXTBEFORE(A73," ("&amp;I73&amp;")"),
_xlpm.hasAmp,ISNUMBER(SEARCH("&amp;",_xlpm.authors)),
_xlpm.commasBeforeAmp,IF(_xlpm.hasAmp,LEN(_xlfn.TEXTBEFORE(_xlpm.authors,"&amp;"))-LEN(SUBSTITUTE(_xlfn.TEXTBEFORE(_xlpm.authors,"&amp;"),",","")),0),
IF(NOT(_xlpm.hasAmp),"",IF(_xlpm.commasBeforeAmp&gt;2,"etal",TRIM(_xlfn.TEXTBEFORE(_xlfn.TEXTAFTER(_xlpm.authors,"&amp; "),","))))
)</f>
        <v>etal</v>
      </c>
      <c r="I73" s="1" t="str">
        <f aca="false">_xlfn.TEXTBEFORE(_xlfn.TEXTAFTER(A73, "("), ")")</f>
        <v>2015</v>
      </c>
      <c r="J73" s="1" t="str">
        <f aca="false">_xlfn.LET(
_xlpm.doi,IF(C73&lt;&gt;"",C73,_xlfn.TEXTAFTER(A73,"https://doi.org/")),
SUBSTITUTE(
SUBSTITUTE(
SUBSTITUTE(
SUBSTITUTE(
_xlpm.doi,
"/","%2F"),
":","%3A"),
"&lt;","%3C"),
"&gt;","%3E")
)</f>
        <v>10.1159%2F000437413</v>
      </c>
      <c r="K73" s="1" t="str">
        <f aca="false">TRIM(_xlfn.TEXTJOIN("_",FALSE(),F73,(SUBSTITUTE(SUBSTITUTE(D73," ",""), "_", ""))))</f>
        <v>HerculanoHouzel_etal_2015_Table1</v>
      </c>
      <c r="L73" s="1" t="str">
        <f aca="false">J73 &amp; "_" &amp; SUBSTITUTE(SUBSTITUTE(SUBSTITUTE(D73,CHAR(160),"")," ",""),"_","")</f>
        <v>10.1159%2F000437413_Table1</v>
      </c>
      <c r="M73" s="1" t="str">
        <f aca="false" t="array" ref="M73:M73">IFERROR(INDEX(FileList!$A$1:$A$1000,MATCH(TRUE(),EXACT(L73,IFERROR(_xlfn.TEXTBEFORE(FileList!$A$1:$A$1000,".tsv"),"")),0)),"notfound")</f>
        <v>notfound</v>
      </c>
      <c r="N73" s="4" t="s">
        <v>382</v>
      </c>
      <c r="P73" s="4" t="s">
        <v>41</v>
      </c>
      <c r="Q73" s="4" t="s">
        <v>51</v>
      </c>
      <c r="R73" s="4" t="s">
        <v>383</v>
      </c>
      <c r="S73" s="4" t="s">
        <v>53</v>
      </c>
      <c r="T73" s="4" t="s">
        <v>384</v>
      </c>
      <c r="U73" s="4" t="s">
        <v>55</v>
      </c>
      <c r="V73" s="4" t="s">
        <v>42</v>
      </c>
      <c r="W73" s="4" t="s">
        <v>193</v>
      </c>
      <c r="X73" s="4" t="s">
        <v>350</v>
      </c>
      <c r="Y73" s="4" t="s">
        <v>58</v>
      </c>
      <c r="Z73" s="4" t="s">
        <v>58</v>
      </c>
      <c r="AC73" s="4" t="s">
        <v>385</v>
      </c>
      <c r="AG73" s="4" t="s">
        <v>59</v>
      </c>
      <c r="AH73" s="4" t="s">
        <v>60</v>
      </c>
      <c r="AI73" s="4" t="s">
        <v>281</v>
      </c>
      <c r="AJ73" s="4" t="s">
        <v>386</v>
      </c>
      <c r="AL73" s="4" t="s">
        <v>63</v>
      </c>
      <c r="AM73" s="4" t="s">
        <v>64</v>
      </c>
    </row>
    <row r="74" customFormat="false" ht="15.75" hidden="false" customHeight="true" outlineLevel="0" collapsed="false">
      <c r="A74" s="4" t="s">
        <v>381</v>
      </c>
      <c r="D74" s="4" t="s">
        <v>121</v>
      </c>
      <c r="E74" s="1" t="str">
        <f aca="false">RIGHT(A74,1)</f>
        <v>3</v>
      </c>
      <c r="F74" s="1" t="str">
        <f aca="false">G74 &amp; IF(H74&lt;&gt;"", "_" &amp; H74, "_") &amp; IF(I74&lt;&gt;"", "_" &amp; I74, "_") &amp; IF(B74&lt;&gt;"", "_" &amp; B74, "")</f>
        <v>HerculanoHouzel_etal_2015</v>
      </c>
      <c r="G74" s="1" t="str">
        <f aca="false">SUBSTITUTE(SUBSTITUTE(_xlfn.TEXTBEFORE(A74,","), "-", ""), " ", "")</f>
        <v>HerculanoHouzel</v>
      </c>
      <c r="H74" s="1" t="str">
        <f aca="false">_xlfn.LET(
_xlpm.authors,_xlfn.TEXTBEFORE(A74," ("&amp;I74&amp;")"),
_xlpm.hasAmp,ISNUMBER(SEARCH("&amp;",_xlpm.authors)),
_xlpm.commasBeforeAmp,IF(_xlpm.hasAmp,LEN(_xlfn.TEXTBEFORE(_xlpm.authors,"&amp;"))-LEN(SUBSTITUTE(_xlfn.TEXTBEFORE(_xlpm.authors,"&amp;"),",","")),0),
IF(NOT(_xlpm.hasAmp),"",IF(_xlpm.commasBeforeAmp&gt;2,"etal",TRIM(_xlfn.TEXTBEFORE(_xlfn.TEXTAFTER(_xlpm.authors,"&amp; "),","))))
)</f>
        <v>etal</v>
      </c>
      <c r="I74" s="1" t="str">
        <f aca="false">_xlfn.TEXTBEFORE(_xlfn.TEXTAFTER(A74, "("), ")")</f>
        <v>2015</v>
      </c>
      <c r="J74" s="1" t="str">
        <f aca="false">_xlfn.LET(
_xlpm.doi,IF(C74&lt;&gt;"",C74,_xlfn.TEXTAFTER(A74,"https://doi.org/")),
SUBSTITUTE(
SUBSTITUTE(
SUBSTITUTE(
SUBSTITUTE(
_xlpm.doi,
"/","%2F"),
":","%3A"),
"&lt;","%3C"),
"&gt;","%3E")
)</f>
        <v>10.1159%2F000437413</v>
      </c>
      <c r="K74" s="1" t="str">
        <f aca="false">TRIM(_xlfn.TEXTJOIN("_",FALSE(),F74,(SUBSTITUTE(SUBSTITUTE(D74," ",""), "_", ""))))</f>
        <v>HerculanoHouzel_etal_2015_Table2</v>
      </c>
      <c r="L74" s="1" t="str">
        <f aca="false">J74 &amp; "_" &amp; SUBSTITUTE(SUBSTITUTE(SUBSTITUTE(D74,CHAR(160),"")," ",""),"_","")</f>
        <v>10.1159%2F000437413_Table2</v>
      </c>
      <c r="M74" s="1" t="str">
        <f aca="false" t="array" ref="M74:M74">IFERROR(INDEX(FileList!$A$1:$A$1000,MATCH(TRUE(),EXACT(L74,IFERROR(_xlfn.TEXTBEFORE(FileList!$A$1:$A$1000,".tsv"),"")),0)),"notfound")</f>
        <v>notfound</v>
      </c>
      <c r="N74" s="4" t="s">
        <v>387</v>
      </c>
      <c r="P74" s="4" t="s">
        <v>41</v>
      </c>
      <c r="Q74" s="4" t="s">
        <v>51</v>
      </c>
      <c r="R74" s="4" t="s">
        <v>388</v>
      </c>
      <c r="S74" s="4" t="s">
        <v>53</v>
      </c>
      <c r="T74" s="4" t="s">
        <v>389</v>
      </c>
      <c r="U74" s="4" t="s">
        <v>55</v>
      </c>
      <c r="V74" s="4" t="s">
        <v>42</v>
      </c>
      <c r="W74" s="4" t="s">
        <v>193</v>
      </c>
      <c r="X74" s="4" t="s">
        <v>350</v>
      </c>
      <c r="Y74" s="4" t="s">
        <v>58</v>
      </c>
      <c r="Z74" s="4" t="s">
        <v>58</v>
      </c>
      <c r="AG74" s="4" t="s">
        <v>59</v>
      </c>
      <c r="AH74" s="4" t="s">
        <v>60</v>
      </c>
      <c r="AI74" s="4" t="s">
        <v>281</v>
      </c>
      <c r="AJ74" s="4" t="s">
        <v>386</v>
      </c>
      <c r="AL74" s="4" t="s">
        <v>63</v>
      </c>
      <c r="AM74" s="4" t="s">
        <v>64</v>
      </c>
    </row>
    <row r="75" customFormat="false" ht="15.75" hidden="false" customHeight="true" outlineLevel="0" collapsed="false">
      <c r="A75" s="4" t="s">
        <v>381</v>
      </c>
      <c r="D75" s="4" t="s">
        <v>68</v>
      </c>
      <c r="E75" s="1" t="str">
        <f aca="false">RIGHT(A75,1)</f>
        <v>3</v>
      </c>
      <c r="F75" s="1" t="str">
        <f aca="false">G75 &amp; IF(H75&lt;&gt;"", "_" &amp; H75, "_") &amp; IF(I75&lt;&gt;"", "_" &amp; I75, "_") &amp; IF(B75&lt;&gt;"", "_" &amp; B75, "")</f>
        <v>HerculanoHouzel_etal_2015</v>
      </c>
      <c r="G75" s="1" t="str">
        <f aca="false">SUBSTITUTE(SUBSTITUTE(_xlfn.TEXTBEFORE(A75,","), "-", ""), " ", "")</f>
        <v>HerculanoHouzel</v>
      </c>
      <c r="H75" s="1" t="str">
        <f aca="false">_xlfn.LET(
_xlpm.authors,_xlfn.TEXTBEFORE(A75," ("&amp;I75&amp;")"),
_xlpm.hasAmp,ISNUMBER(SEARCH("&amp;",_xlpm.authors)),
_xlpm.commasBeforeAmp,IF(_xlpm.hasAmp,LEN(_xlfn.TEXTBEFORE(_xlpm.authors,"&amp;"))-LEN(SUBSTITUTE(_xlfn.TEXTBEFORE(_xlpm.authors,"&amp;"),",","")),0),
IF(NOT(_xlpm.hasAmp),"",IF(_xlpm.commasBeforeAmp&gt;2,"etal",TRIM(_xlfn.TEXTBEFORE(_xlfn.TEXTAFTER(_xlpm.authors,"&amp; "),","))))
)</f>
        <v>etal</v>
      </c>
      <c r="I75" s="1" t="str">
        <f aca="false">_xlfn.TEXTBEFORE(_xlfn.TEXTAFTER(A75, "("), ")")</f>
        <v>2015</v>
      </c>
      <c r="J75" s="1" t="str">
        <f aca="false">_xlfn.LET(
_xlpm.doi,IF(C75&lt;&gt;"",C75,_xlfn.TEXTAFTER(A75,"https://doi.org/")),
SUBSTITUTE(
SUBSTITUTE(
SUBSTITUTE(
SUBSTITUTE(
_xlpm.doi,
"/","%2F"),
":","%3A"),
"&lt;","%3C"),
"&gt;","%3E")
)</f>
        <v>10.1159%2F000437413</v>
      </c>
      <c r="K75" s="1" t="str">
        <f aca="false">TRIM(_xlfn.TEXTJOIN("_",FALSE(),F75,(SUBSTITUTE(SUBSTITUTE(D75," ",""), "_", ""))))</f>
        <v>HerculanoHouzel_etal_2015_Table3</v>
      </c>
      <c r="L75" s="1" t="str">
        <f aca="false">J75 &amp; "_" &amp; SUBSTITUTE(SUBSTITUTE(SUBSTITUTE(D75,CHAR(160),"")," ",""),"_","")</f>
        <v>10.1159%2F000437413_Table3</v>
      </c>
      <c r="M75" s="1" t="str">
        <f aca="false" t="array" ref="M75:M75">IFERROR(INDEX(FileList!$A$1:$A$1000,MATCH(TRUE(),EXACT(L75,IFERROR(_xlfn.TEXTBEFORE(FileList!$A$1:$A$1000,".tsv"),"")),0)),"notfound")</f>
        <v>notfound</v>
      </c>
      <c r="N75" s="4" t="s">
        <v>390</v>
      </c>
      <c r="P75" s="4" t="s">
        <v>41</v>
      </c>
      <c r="Q75" s="4" t="s">
        <v>51</v>
      </c>
      <c r="R75" s="4" t="s">
        <v>391</v>
      </c>
      <c r="S75" s="4" t="s">
        <v>53</v>
      </c>
      <c r="T75" s="4" t="s">
        <v>392</v>
      </c>
      <c r="U75" s="4" t="s">
        <v>55</v>
      </c>
      <c r="V75" s="4" t="s">
        <v>42</v>
      </c>
      <c r="W75" s="4" t="s">
        <v>193</v>
      </c>
      <c r="X75" s="4" t="s">
        <v>350</v>
      </c>
      <c r="Y75" s="4" t="s">
        <v>58</v>
      </c>
      <c r="Z75" s="4" t="s">
        <v>58</v>
      </c>
      <c r="AG75" s="4" t="s">
        <v>59</v>
      </c>
      <c r="AH75" s="4" t="s">
        <v>60</v>
      </c>
      <c r="AI75" s="4" t="s">
        <v>281</v>
      </c>
      <c r="AJ75" s="4" t="s">
        <v>386</v>
      </c>
      <c r="AL75" s="4" t="s">
        <v>63</v>
      </c>
      <c r="AM75" s="4" t="s">
        <v>64</v>
      </c>
    </row>
    <row r="76" customFormat="false" ht="15.75" hidden="false" customHeight="true" outlineLevel="0" collapsed="false">
      <c r="A76" s="4" t="s">
        <v>381</v>
      </c>
      <c r="D76" s="4" t="s">
        <v>40</v>
      </c>
      <c r="E76" s="1" t="str">
        <f aca="false">RIGHT(A76,1)</f>
        <v>3</v>
      </c>
      <c r="F76" s="1" t="str">
        <f aca="false">G76 &amp; IF(H76&lt;&gt;"", "_" &amp; H76, "_") &amp; IF(I76&lt;&gt;"", "_" &amp; I76, "_") &amp; IF(B76&lt;&gt;"", "_" &amp; B76, "")</f>
        <v>HerculanoHouzel_etal_2015</v>
      </c>
      <c r="G76" s="1" t="str">
        <f aca="false">SUBSTITUTE(SUBSTITUTE(_xlfn.TEXTBEFORE(A76,","), "-", ""), " ", "")</f>
        <v>HerculanoHouzel</v>
      </c>
      <c r="H76" s="1" t="str">
        <f aca="false">_xlfn.LET(
_xlpm.authors,_xlfn.TEXTBEFORE(A76," ("&amp;I76&amp;")"),
_xlpm.hasAmp,ISNUMBER(SEARCH("&amp;",_xlpm.authors)),
_xlpm.commasBeforeAmp,IF(_xlpm.hasAmp,LEN(_xlfn.TEXTBEFORE(_xlpm.authors,"&amp;"))-LEN(SUBSTITUTE(_xlfn.TEXTBEFORE(_xlpm.authors,"&amp;"),",","")),0),
IF(NOT(_xlpm.hasAmp),"",IF(_xlpm.commasBeforeAmp&gt;2,"etal",TRIM(_xlfn.TEXTBEFORE(_xlfn.TEXTAFTER(_xlpm.authors,"&amp; "),","))))
)</f>
        <v>etal</v>
      </c>
      <c r="I76" s="1" t="str">
        <f aca="false">_xlfn.TEXTBEFORE(_xlfn.TEXTAFTER(A76, "("), ")")</f>
        <v>2015</v>
      </c>
      <c r="J76" s="1" t="str">
        <f aca="false">_xlfn.LET(
_xlpm.doi,IF(C76&lt;&gt;"",C76,_xlfn.TEXTAFTER(A76,"https://doi.org/")),
SUBSTITUTE(
SUBSTITUTE(
SUBSTITUTE(
SUBSTITUTE(
_xlpm.doi,
"/","%2F"),
":","%3A"),
"&lt;","%3C"),
"&gt;","%3E")
)</f>
        <v>10.1159%2F000437413</v>
      </c>
      <c r="K76" s="1" t="str">
        <f aca="false">TRIM(_xlfn.TEXTJOIN("_",FALSE(),F76,(SUBSTITUTE(SUBSTITUTE(D76," ",""), "_", ""))))</f>
        <v>HerculanoHouzel_etal_2015_Table4</v>
      </c>
      <c r="L76" s="1" t="str">
        <f aca="false">J76 &amp; "_" &amp; SUBSTITUTE(SUBSTITUTE(SUBSTITUTE(D76,CHAR(160),"")," ",""),"_","")</f>
        <v>10.1159%2F000437413_Table4</v>
      </c>
      <c r="M76" s="1" t="str">
        <f aca="false" t="array" ref="M76:M76">IFERROR(INDEX(FileList!$A$1:$A$1000,MATCH(TRUE(),EXACT(L76,IFERROR(_xlfn.TEXTBEFORE(FileList!$A$1:$A$1000,".tsv"),"")),0)),"notfound")</f>
        <v>notfound</v>
      </c>
      <c r="N76" s="4" t="s">
        <v>393</v>
      </c>
      <c r="P76" s="4" t="s">
        <v>41</v>
      </c>
      <c r="Q76" s="4" t="s">
        <v>51</v>
      </c>
      <c r="R76" s="4" t="s">
        <v>394</v>
      </c>
      <c r="S76" s="4" t="s">
        <v>53</v>
      </c>
      <c r="T76" s="4" t="s">
        <v>395</v>
      </c>
      <c r="U76" s="4" t="s">
        <v>55</v>
      </c>
      <c r="V76" s="4" t="s">
        <v>42</v>
      </c>
      <c r="W76" s="4" t="s">
        <v>193</v>
      </c>
      <c r="X76" s="4" t="s">
        <v>350</v>
      </c>
      <c r="Y76" s="4" t="s">
        <v>58</v>
      </c>
      <c r="Z76" s="4" t="s">
        <v>58</v>
      </c>
      <c r="AG76" s="4" t="s">
        <v>59</v>
      </c>
      <c r="AH76" s="4" t="s">
        <v>60</v>
      </c>
      <c r="AI76" s="4" t="s">
        <v>281</v>
      </c>
      <c r="AJ76" s="4" t="s">
        <v>386</v>
      </c>
      <c r="AL76" s="4" t="s">
        <v>63</v>
      </c>
      <c r="AM76" s="4" t="s">
        <v>64</v>
      </c>
    </row>
    <row r="77" customFormat="false" ht="15.75" hidden="false" customHeight="true" outlineLevel="0" collapsed="false">
      <c r="A77" s="4" t="s">
        <v>381</v>
      </c>
      <c r="D77" s="4" t="s">
        <v>70</v>
      </c>
      <c r="E77" s="1" t="str">
        <f aca="false">RIGHT(A77,1)</f>
        <v>3</v>
      </c>
      <c r="F77" s="1" t="str">
        <f aca="false">G77 &amp; IF(H77&lt;&gt;"", "_" &amp; H77, "_") &amp; IF(I77&lt;&gt;"", "_" &amp; I77, "_") &amp; IF(B77&lt;&gt;"", "_" &amp; B77, "")</f>
        <v>HerculanoHouzel_etal_2015</v>
      </c>
      <c r="G77" s="1" t="str">
        <f aca="false">SUBSTITUTE(SUBSTITUTE(_xlfn.TEXTBEFORE(A77,","), "-", ""), " ", "")</f>
        <v>HerculanoHouzel</v>
      </c>
      <c r="H77" s="1" t="str">
        <f aca="false">_xlfn.LET(
_xlpm.authors,_xlfn.TEXTBEFORE(A77," ("&amp;I77&amp;")"),
_xlpm.hasAmp,ISNUMBER(SEARCH("&amp;",_xlpm.authors)),
_xlpm.commasBeforeAmp,IF(_xlpm.hasAmp,LEN(_xlfn.TEXTBEFORE(_xlpm.authors,"&amp;"))-LEN(SUBSTITUTE(_xlfn.TEXTBEFORE(_xlpm.authors,"&amp;"),",","")),0),
IF(NOT(_xlpm.hasAmp),"",IF(_xlpm.commasBeforeAmp&gt;2,"etal",TRIM(_xlfn.TEXTBEFORE(_xlfn.TEXTAFTER(_xlpm.authors,"&amp; "),","))))
)</f>
        <v>etal</v>
      </c>
      <c r="I77" s="1" t="str">
        <f aca="false">_xlfn.TEXTBEFORE(_xlfn.TEXTAFTER(A77, "("), ")")</f>
        <v>2015</v>
      </c>
      <c r="J77" s="1" t="str">
        <f aca="false">_xlfn.LET(
_xlpm.doi,IF(C77&lt;&gt;"",C77,_xlfn.TEXTAFTER(A77,"https://doi.org/")),
SUBSTITUTE(
SUBSTITUTE(
SUBSTITUTE(
SUBSTITUTE(
_xlpm.doi,
"/","%2F"),
":","%3A"),
"&lt;","%3C"),
"&gt;","%3E")
)</f>
        <v>10.1159%2F000437413</v>
      </c>
      <c r="K77" s="1" t="str">
        <f aca="false">TRIM(_xlfn.TEXTJOIN("_",FALSE(),F77,(SUBSTITUTE(SUBSTITUTE(D77," ",""), "_", ""))))</f>
        <v>HerculanoHouzel_etal_2015_Table5</v>
      </c>
      <c r="L77" s="1" t="str">
        <f aca="false">J77 &amp; "_" &amp; SUBSTITUTE(SUBSTITUTE(SUBSTITUTE(D77,CHAR(160),"")," ",""),"_","")</f>
        <v>10.1159%2F000437413_Table5</v>
      </c>
      <c r="M77" s="1" t="str">
        <f aca="false" t="array" ref="M77:M77">IFERROR(INDEX(FileList!$A$1:$A$1000,MATCH(TRUE(),EXACT(L77,IFERROR(_xlfn.TEXTBEFORE(FileList!$A$1:$A$1000,".tsv"),"")),0)),"notfound")</f>
        <v>notfound</v>
      </c>
      <c r="N77" s="4" t="s">
        <v>396</v>
      </c>
      <c r="P77" s="4" t="s">
        <v>41</v>
      </c>
      <c r="Q77" s="4" t="s">
        <v>51</v>
      </c>
      <c r="R77" s="4" t="s">
        <v>397</v>
      </c>
      <c r="S77" s="4" t="s">
        <v>53</v>
      </c>
      <c r="T77" s="4" t="s">
        <v>398</v>
      </c>
      <c r="U77" s="4" t="s">
        <v>55</v>
      </c>
      <c r="V77" s="4" t="s">
        <v>42</v>
      </c>
      <c r="W77" s="4" t="s">
        <v>193</v>
      </c>
      <c r="X77" s="4" t="s">
        <v>350</v>
      </c>
      <c r="Y77" s="4" t="s">
        <v>58</v>
      </c>
      <c r="Z77" s="4" t="s">
        <v>58</v>
      </c>
      <c r="AG77" s="4" t="s">
        <v>59</v>
      </c>
      <c r="AH77" s="4" t="s">
        <v>60</v>
      </c>
      <c r="AI77" s="4" t="s">
        <v>281</v>
      </c>
      <c r="AJ77" s="4" t="s">
        <v>386</v>
      </c>
      <c r="AL77" s="4" t="s">
        <v>63</v>
      </c>
      <c r="AM77" s="4" t="s">
        <v>64</v>
      </c>
    </row>
    <row r="78" customFormat="false" ht="15.75" hidden="false" customHeight="true" outlineLevel="0" collapsed="false">
      <c r="A78" s="4" t="s">
        <v>399</v>
      </c>
      <c r="D78" s="4" t="s">
        <v>49</v>
      </c>
      <c r="E78" s="1" t="str">
        <f aca="false">RIGHT(A78,1)</f>
        <v>5</v>
      </c>
      <c r="F78" s="1" t="str">
        <f aca="false">G78 &amp; IF(H78&lt;&gt;"", "_" &amp; H78, "_") &amp; IF(I78&lt;&gt;"", "_" &amp; I78, "_") &amp; IF(B78&lt;&gt;"", "_" &amp; B78, "")</f>
        <v>HerculanoHouzel_etal_2020</v>
      </c>
      <c r="G78" s="1" t="str">
        <f aca="false">SUBSTITUTE(SUBSTITUTE(_xlfn.TEXTBEFORE(A78,","), "-", ""), " ", "")</f>
        <v>HerculanoHouzel</v>
      </c>
      <c r="H78" s="1" t="str">
        <f aca="false">_xlfn.LET(
_xlpm.authors,_xlfn.TEXTBEFORE(A78," ("&amp;I78&amp;")"),
_xlpm.hasAmp,ISNUMBER(SEARCH("&amp;",_xlpm.authors)),
_xlpm.commasBeforeAmp,IF(_xlpm.hasAmp,LEN(_xlfn.TEXTBEFORE(_xlpm.authors,"&amp;"))-LEN(SUBSTITUTE(_xlfn.TEXTBEFORE(_xlpm.authors,"&amp;"),",","")),0),
IF(NOT(_xlpm.hasAmp),"",IF(_xlpm.commasBeforeAmp&gt;2,"etal",TRIM(_xlfn.TEXTBEFORE(_xlfn.TEXTAFTER(_xlpm.authors,"&amp; "),","))))
)</f>
        <v>etal</v>
      </c>
      <c r="I78" s="1" t="str">
        <f aca="false">_xlfn.TEXTBEFORE(_xlfn.TEXTAFTER(A78, "("), ")")</f>
        <v>2020</v>
      </c>
      <c r="J78" s="1" t="str">
        <f aca="false">_xlfn.LET(
_xlpm.doi,IF(C78&lt;&gt;"",C78,_xlfn.TEXTAFTER(A78,"https://doi.org/")),
SUBSTITUTE(
SUBSTITUTE(
SUBSTITUTE(
SUBSTITUTE(
_xlpm.doi,
"/","%2F"),
":","%3A"),
"&lt;","%3C"),
"&gt;","%3E")
)</f>
        <v>10.1002%2Fcne.24985</v>
      </c>
      <c r="K78" s="1" t="str">
        <f aca="false">TRIM(_xlfn.TEXTJOIN("_",FALSE(),F78,(SUBSTITUTE(SUBSTITUTE(D78," ",""), "_", ""))))</f>
        <v>HerculanoHouzel_etal_2020_TABLE1</v>
      </c>
      <c r="L78" s="1" t="str">
        <f aca="false">J78 &amp; "_" &amp; SUBSTITUTE(SUBSTITUTE(SUBSTITUTE(D78,CHAR(160),"")," ",""),"_","")</f>
        <v>10.1002%2Fcne.24985_TABLE1</v>
      </c>
      <c r="M78" s="1" t="str">
        <f aca="false" t="array" ref="M78:M78">IFERROR(INDEX(FileList!$A$1:$A$1000,MATCH(TRUE(),EXACT(L78,IFERROR(_xlfn.TEXTBEFORE(FileList!$A$1:$A$1000,".tsv"),"")),0)),"notfound")</f>
        <v>notfound</v>
      </c>
      <c r="N78" s="4" t="s">
        <v>400</v>
      </c>
      <c r="P78" s="4" t="s">
        <v>41</v>
      </c>
      <c r="Q78" s="4" t="s">
        <v>51</v>
      </c>
      <c r="R78" s="4" t="s">
        <v>401</v>
      </c>
      <c r="S78" s="4" t="s">
        <v>53</v>
      </c>
      <c r="T78" s="4" t="s">
        <v>402</v>
      </c>
      <c r="U78" s="4" t="s">
        <v>55</v>
      </c>
      <c r="V78" s="4" t="s">
        <v>42</v>
      </c>
      <c r="W78" s="4" t="s">
        <v>208</v>
      </c>
      <c r="X78" s="4" t="s">
        <v>403</v>
      </c>
      <c r="Y78" s="4" t="s">
        <v>58</v>
      </c>
      <c r="Z78" s="4" t="s">
        <v>58</v>
      </c>
      <c r="AC78" s="4" t="s">
        <v>158</v>
      </c>
      <c r="AG78" s="4" t="s">
        <v>59</v>
      </c>
      <c r="AH78" s="4" t="s">
        <v>404</v>
      </c>
      <c r="AI78" s="4" t="s">
        <v>405</v>
      </c>
      <c r="AJ78" s="4" t="s">
        <v>406</v>
      </c>
      <c r="AL78" s="4" t="s">
        <v>63</v>
      </c>
      <c r="AM78" s="4" t="s">
        <v>407</v>
      </c>
    </row>
    <row r="79" customFormat="false" ht="15.75" hidden="false" customHeight="true" outlineLevel="0" collapsed="false">
      <c r="A79" s="4" t="s">
        <v>399</v>
      </c>
      <c r="D79" s="4" t="s">
        <v>94</v>
      </c>
      <c r="E79" s="1" t="str">
        <f aca="false">RIGHT(A79,1)</f>
        <v>5</v>
      </c>
      <c r="F79" s="1" t="str">
        <f aca="false">G79 &amp; IF(H79&lt;&gt;"", "_" &amp; H79, "_") &amp; IF(I79&lt;&gt;"", "_" &amp; I79, "_") &amp; IF(B79&lt;&gt;"", "_" &amp; B79, "")</f>
        <v>HerculanoHouzel_etal_2020</v>
      </c>
      <c r="G79" s="1" t="str">
        <f aca="false">SUBSTITUTE(SUBSTITUTE(_xlfn.TEXTBEFORE(A79,","), "-", ""), " ", "")</f>
        <v>HerculanoHouzel</v>
      </c>
      <c r="H79" s="1" t="str">
        <f aca="false">_xlfn.LET(
_xlpm.authors,_xlfn.TEXTBEFORE(A79," ("&amp;I79&amp;")"),
_xlpm.hasAmp,ISNUMBER(SEARCH("&amp;",_xlpm.authors)),
_xlpm.commasBeforeAmp,IF(_xlpm.hasAmp,LEN(_xlfn.TEXTBEFORE(_xlpm.authors,"&amp;"))-LEN(SUBSTITUTE(_xlfn.TEXTBEFORE(_xlpm.authors,"&amp;"),",","")),0),
IF(NOT(_xlpm.hasAmp),"",IF(_xlpm.commasBeforeAmp&gt;2,"etal",TRIM(_xlfn.TEXTBEFORE(_xlfn.TEXTAFTER(_xlpm.authors,"&amp; "),","))))
)</f>
        <v>etal</v>
      </c>
      <c r="I79" s="1" t="str">
        <f aca="false">_xlfn.TEXTBEFORE(_xlfn.TEXTAFTER(A79, "("), ")")</f>
        <v>2020</v>
      </c>
      <c r="J79" s="1" t="str">
        <f aca="false">_xlfn.LET(
_xlpm.doi,IF(C79&lt;&gt;"",C79,_xlfn.TEXTAFTER(A79,"https://doi.org/")),
SUBSTITUTE(
SUBSTITUTE(
SUBSTITUTE(
SUBSTITUTE(
_xlpm.doi,
"/","%2F"),
":","%3A"),
"&lt;","%3C"),
"&gt;","%3E")
)</f>
        <v>10.1002%2Fcne.24985</v>
      </c>
      <c r="K79" s="1" t="str">
        <f aca="false">TRIM(_xlfn.TEXTJOIN("_",FALSE(),F79,(SUBSTITUTE(SUBSTITUTE(D79," ",""), "_", ""))))</f>
        <v>HerculanoHouzel_etal_2020_TABLE2</v>
      </c>
      <c r="L79" s="1" t="str">
        <f aca="false">J79 &amp; "_" &amp; SUBSTITUTE(SUBSTITUTE(SUBSTITUTE(D79,CHAR(160),"")," ",""),"_","")</f>
        <v>10.1002%2Fcne.24985_TABLE2</v>
      </c>
      <c r="M79" s="1" t="str">
        <f aca="false" t="array" ref="M79:M79">IFERROR(INDEX(FileList!$A$1:$A$1000,MATCH(TRUE(),EXACT(L79,IFERROR(_xlfn.TEXTBEFORE(FileList!$A$1:$A$1000,".tsv"),"")),0)),"notfound")</f>
        <v>notfound</v>
      </c>
      <c r="N79" s="4" t="s">
        <v>408</v>
      </c>
      <c r="P79" s="4" t="s">
        <v>41</v>
      </c>
      <c r="Q79" s="4" t="s">
        <v>51</v>
      </c>
      <c r="R79" s="4" t="s">
        <v>409</v>
      </c>
      <c r="S79" s="4" t="s">
        <v>53</v>
      </c>
      <c r="T79" s="4" t="s">
        <v>410</v>
      </c>
      <c r="U79" s="4" t="s">
        <v>55</v>
      </c>
      <c r="V79" s="4" t="s">
        <v>42</v>
      </c>
      <c r="W79" s="4" t="s">
        <v>208</v>
      </c>
      <c r="X79" s="4" t="s">
        <v>403</v>
      </c>
      <c r="Y79" s="4" t="s">
        <v>58</v>
      </c>
      <c r="Z79" s="4" t="s">
        <v>58</v>
      </c>
      <c r="AC79" s="4" t="s">
        <v>158</v>
      </c>
      <c r="AG79" s="4" t="s">
        <v>59</v>
      </c>
      <c r="AH79" s="4" t="s">
        <v>404</v>
      </c>
      <c r="AI79" s="4" t="s">
        <v>411</v>
      </c>
      <c r="AJ79" s="4" t="s">
        <v>406</v>
      </c>
      <c r="AL79" s="4" t="s">
        <v>63</v>
      </c>
      <c r="AM79" s="4" t="s">
        <v>64</v>
      </c>
    </row>
    <row r="80" customFormat="false" ht="15.75" hidden="false" customHeight="true" outlineLevel="0" collapsed="false">
      <c r="A80" s="4" t="s">
        <v>412</v>
      </c>
      <c r="D80" s="4" t="s">
        <v>413</v>
      </c>
      <c r="E80" s="1" t="str">
        <f aca="false">RIGHT(A80,1)</f>
        <v>5</v>
      </c>
      <c r="F80" s="1" t="str">
        <f aca="false">G80 &amp; IF(H80&lt;&gt;"", "_" &amp; H80, "_") &amp; IF(I80&lt;&gt;"", "_" &amp; I80, "_") &amp; IF(B80&lt;&gt;"", "_" &amp; B80, "")</f>
        <v>HerculanoHouzel_etal_2013</v>
      </c>
      <c r="G80" s="1" t="str">
        <f aca="false">SUBSTITUTE(SUBSTITUTE(_xlfn.TEXTBEFORE(A80,","), "-", ""), " ", "")</f>
        <v>HerculanoHouzel</v>
      </c>
      <c r="H80" s="1" t="str">
        <f aca="false">_xlfn.LET(
_xlpm.authors,_xlfn.TEXTBEFORE(A80," ("&amp;I80&amp;")"),
_xlpm.hasAmp,ISNUMBER(SEARCH("&amp;",_xlpm.authors)),
_xlpm.commasBeforeAmp,IF(_xlpm.hasAmp,LEN(_xlfn.TEXTBEFORE(_xlpm.authors,"&amp;"))-LEN(SUBSTITUTE(_xlfn.TEXTBEFORE(_xlpm.authors,"&amp;"),",","")),0),
IF(NOT(_xlpm.hasAmp),"",IF(_xlpm.commasBeforeAmp&gt;2,"etal",TRIM(_xlfn.TEXTBEFORE(_xlfn.TEXTAFTER(_xlpm.authors,"&amp; "),","))))
)</f>
        <v>etal</v>
      </c>
      <c r="I80" s="1" t="str">
        <f aca="false">_xlfn.TEXTBEFORE(_xlfn.TEXTAFTER(A80, "("), ")")</f>
        <v>2013</v>
      </c>
      <c r="J80" s="1" t="str">
        <f aca="false">_xlfn.LET(
_xlpm.doi,IF(C80&lt;&gt;"",C80,_xlfn.TEXTAFTER(A80,"https://doi.org/")),
SUBSTITUTE(
SUBSTITUTE(
SUBSTITUTE(
SUBSTITUTE(
_xlpm.doi,
"/","%2F"),
":","%3A"),
"&lt;","%3C"),
"&gt;","%3E")
)</f>
        <v>10.3389%2Ffnana.2013.00035</v>
      </c>
      <c r="K80" s="1" t="str">
        <f aca="false">TRIM(_xlfn.TEXTJOIN("_",FALSE(),F80,(SUBSTITUTE(SUBSTITUTE(D80," ",""), "_", ""))))</f>
        <v>HerculanoHouzel_etal_2013_Figure2TopLeft</v>
      </c>
      <c r="L80" s="1" t="str">
        <f aca="false">J80 &amp; "_" &amp; SUBSTITUTE(SUBSTITUTE(SUBSTITUTE(D80,CHAR(160),"")," ",""),"_","")</f>
        <v>10.3389%2Ffnana.2013.00035_Figure2TopLeft</v>
      </c>
      <c r="M80" s="1" t="str">
        <f aca="false" t="array" ref="M80:M80">IFERROR(INDEX(FileList!$A$1:$A$1000,MATCH(TRUE(),EXACT(L80,IFERROR(_xlfn.TEXTBEFORE(FileList!$A$1:$A$1000,".tsv"),"")),0)),"notfound")</f>
        <v>notfound</v>
      </c>
      <c r="Q80" s="4" t="s">
        <v>134</v>
      </c>
      <c r="Y80" s="4" t="s">
        <v>58</v>
      </c>
      <c r="Z80" s="4" t="s">
        <v>58</v>
      </c>
      <c r="AG80" s="4" t="s">
        <v>59</v>
      </c>
      <c r="AI80" s="4" t="s">
        <v>414</v>
      </c>
      <c r="AJ80" s="4" t="s">
        <v>142</v>
      </c>
      <c r="AL80" s="4" t="s">
        <v>63</v>
      </c>
      <c r="AM80" s="4" t="s">
        <v>64</v>
      </c>
    </row>
    <row r="81" customFormat="false" ht="15.75" hidden="false" customHeight="true" outlineLevel="0" collapsed="false">
      <c r="A81" s="4" t="s">
        <v>412</v>
      </c>
      <c r="D81" s="4" t="s">
        <v>415</v>
      </c>
      <c r="E81" s="1" t="str">
        <f aca="false">RIGHT(A81,1)</f>
        <v>5</v>
      </c>
      <c r="F81" s="1" t="str">
        <f aca="false">G81 &amp; IF(H81&lt;&gt;"", "_" &amp; H81, "_") &amp; IF(I81&lt;&gt;"", "_" &amp; I81, "_") &amp; IF(B81&lt;&gt;"", "_" &amp; B81, "")</f>
        <v>HerculanoHouzel_etal_2013</v>
      </c>
      <c r="G81" s="1" t="str">
        <f aca="false">SUBSTITUTE(SUBSTITUTE(_xlfn.TEXTBEFORE(A81,","), "-", ""), " ", "")</f>
        <v>HerculanoHouzel</v>
      </c>
      <c r="H81" s="1" t="str">
        <f aca="false">_xlfn.LET(
_xlpm.authors,_xlfn.TEXTBEFORE(A81," ("&amp;I81&amp;")"),
_xlpm.hasAmp,ISNUMBER(SEARCH("&amp;",_xlpm.authors)),
_xlpm.commasBeforeAmp,IF(_xlpm.hasAmp,LEN(_xlfn.TEXTBEFORE(_xlpm.authors,"&amp;"))-LEN(SUBSTITUTE(_xlfn.TEXTBEFORE(_xlpm.authors,"&amp;"),",","")),0),
IF(NOT(_xlpm.hasAmp),"",IF(_xlpm.commasBeforeAmp&gt;2,"etal",TRIM(_xlfn.TEXTBEFORE(_xlfn.TEXTAFTER(_xlpm.authors,"&amp; "),","))))
)</f>
        <v>etal</v>
      </c>
      <c r="I81" s="1" t="str">
        <f aca="false">_xlfn.TEXTBEFORE(_xlfn.TEXTAFTER(A81, "("), ")")</f>
        <v>2013</v>
      </c>
      <c r="J81" s="1" t="str">
        <f aca="false">_xlfn.LET(
_xlpm.doi,IF(C81&lt;&gt;"",C81,_xlfn.TEXTAFTER(A81,"https://doi.org/")),
SUBSTITUTE(
SUBSTITUTE(
SUBSTITUTE(
SUBSTITUTE(
_xlpm.doi,
"/","%2F"),
":","%3A"),
"&lt;","%3C"),
"&gt;","%3E")
)</f>
        <v>10.3389%2Ffnana.2013.00035</v>
      </c>
      <c r="K81" s="1" t="str">
        <f aca="false">TRIM(_xlfn.TEXTJOIN("_",FALSE(),F81,(SUBSTITUTE(SUBSTITUTE(D81," ",""), "_", ""))))</f>
        <v>HerculanoHouzel_etal_2013_Table1-a</v>
      </c>
      <c r="L81" s="1" t="str">
        <f aca="false">J81 &amp; "_" &amp; SUBSTITUTE(SUBSTITUTE(SUBSTITUTE(D81,CHAR(160),"")," ",""),"_","")</f>
        <v>10.3389%2Ffnana.2013.00035_Table1-a</v>
      </c>
      <c r="M81" s="1" t="str">
        <f aca="false" t="array" ref="M81:M81">IFERROR(INDEX(FileList!$A$1:$A$1000,MATCH(TRUE(),EXACT(L81,IFERROR(_xlfn.TEXTBEFORE(FileList!$A$1:$A$1000,".tsv"),"")),0)),"notfound")</f>
        <v>notfound</v>
      </c>
      <c r="Q81" s="4" t="s">
        <v>134</v>
      </c>
      <c r="V81" s="4" t="s">
        <v>42</v>
      </c>
      <c r="Y81" s="4" t="s">
        <v>58</v>
      </c>
      <c r="Z81" s="4" t="s">
        <v>58</v>
      </c>
      <c r="AG81" s="4" t="s">
        <v>59</v>
      </c>
      <c r="AI81" s="4" t="s">
        <v>414</v>
      </c>
      <c r="AJ81" s="4" t="s">
        <v>142</v>
      </c>
      <c r="AL81" s="4" t="s">
        <v>63</v>
      </c>
      <c r="AM81" s="4" t="s">
        <v>64</v>
      </c>
    </row>
    <row r="82" customFormat="false" ht="15.75" hidden="false" customHeight="true" outlineLevel="0" collapsed="false">
      <c r="A82" s="4" t="s">
        <v>412</v>
      </c>
      <c r="D82" s="4" t="s">
        <v>416</v>
      </c>
      <c r="E82" s="1" t="str">
        <f aca="false">RIGHT(A82,1)</f>
        <v>5</v>
      </c>
      <c r="F82" s="1" t="str">
        <f aca="false">G82 &amp; IF(H82&lt;&gt;"", "_" &amp; H82, "_") &amp; IF(I82&lt;&gt;"", "_" &amp; I82, "_") &amp; IF(B82&lt;&gt;"", "_" &amp; B82, "")</f>
        <v>HerculanoHouzel_etal_2013</v>
      </c>
      <c r="G82" s="1" t="str">
        <f aca="false">SUBSTITUTE(SUBSTITUTE(_xlfn.TEXTBEFORE(A82,","), "-", ""), " ", "")</f>
        <v>HerculanoHouzel</v>
      </c>
      <c r="H82" s="1" t="str">
        <f aca="false">_xlfn.LET(
_xlpm.authors,_xlfn.TEXTBEFORE(A82," ("&amp;I82&amp;")"),
_xlpm.hasAmp,ISNUMBER(SEARCH("&amp;",_xlpm.authors)),
_xlpm.commasBeforeAmp,IF(_xlpm.hasAmp,LEN(_xlfn.TEXTBEFORE(_xlpm.authors,"&amp;"))-LEN(SUBSTITUTE(_xlfn.TEXTBEFORE(_xlpm.authors,"&amp;"),",","")),0),
IF(NOT(_xlpm.hasAmp),"",IF(_xlpm.commasBeforeAmp&gt;2,"etal",TRIM(_xlfn.TEXTBEFORE(_xlfn.TEXTAFTER(_xlpm.authors,"&amp; "),","))))
)</f>
        <v>etal</v>
      </c>
      <c r="I82" s="1" t="str">
        <f aca="false">_xlfn.TEXTBEFORE(_xlfn.TEXTAFTER(A82, "("), ")")</f>
        <v>2013</v>
      </c>
      <c r="J82" s="1" t="str">
        <f aca="false">_xlfn.LET(
_xlpm.doi,IF(C82&lt;&gt;"",C82,_xlfn.TEXTAFTER(A82,"https://doi.org/")),
SUBSTITUTE(
SUBSTITUTE(
SUBSTITUTE(
SUBSTITUTE(
_xlpm.doi,
"/","%2F"),
":","%3A"),
"&lt;","%3C"),
"&gt;","%3E")
)</f>
        <v>10.3389%2Ffnana.2013.00035</v>
      </c>
      <c r="K82" s="1" t="str">
        <f aca="false">TRIM(_xlfn.TEXTJOIN("_",FALSE(),F82,(SUBSTITUTE(SUBSTITUTE(D82," ",""), "_", ""))))</f>
        <v>HerculanoHouzel_etal_2013_Table1-b</v>
      </c>
      <c r="L82" s="1" t="str">
        <f aca="false">J82 &amp; "_" &amp; SUBSTITUTE(SUBSTITUTE(SUBSTITUTE(D82,CHAR(160),"")," ",""),"_","")</f>
        <v>10.3389%2Ffnana.2013.00035_Table1-b</v>
      </c>
      <c r="M82" s="1" t="str">
        <f aca="false" t="array" ref="M82:M82">IFERROR(INDEX(FileList!$A$1:$A$1000,MATCH(TRUE(),EXACT(L82,IFERROR(_xlfn.TEXTBEFORE(FileList!$A$1:$A$1000,".tsv"),"")),0)),"notfound")</f>
        <v>notfound</v>
      </c>
      <c r="Q82" s="4" t="s">
        <v>134</v>
      </c>
      <c r="V82" s="4" t="s">
        <v>42</v>
      </c>
      <c r="Y82" s="4" t="s">
        <v>58</v>
      </c>
      <c r="Z82" s="4" t="s">
        <v>58</v>
      </c>
      <c r="AG82" s="4" t="s">
        <v>59</v>
      </c>
      <c r="AI82" s="4" t="s">
        <v>414</v>
      </c>
      <c r="AJ82" s="4" t="s">
        <v>142</v>
      </c>
      <c r="AL82" s="4" t="s">
        <v>63</v>
      </c>
      <c r="AM82" s="4" t="s">
        <v>64</v>
      </c>
    </row>
    <row r="83" customFormat="false" ht="15.75" hidden="false" customHeight="true" outlineLevel="0" collapsed="false">
      <c r="A83" s="4" t="s">
        <v>417</v>
      </c>
      <c r="D83" s="4" t="s">
        <v>121</v>
      </c>
      <c r="E83" s="1" t="str">
        <f aca="false">RIGHT(A83,1)</f>
        <v>4</v>
      </c>
      <c r="F83" s="1" t="str">
        <f aca="false">G83 &amp; IF(H83&lt;&gt;"", "_" &amp; H83, "_") &amp; IF(I83&lt;&gt;"", "_" &amp; I83, "_") &amp; IF(B83&lt;&gt;"", "_" &amp; B83, "")</f>
        <v>Isler_etal_2008</v>
      </c>
      <c r="G83" s="1" t="str">
        <f aca="false">SUBSTITUTE(SUBSTITUTE(_xlfn.TEXTBEFORE(A83,","), "-", ""), " ", "")</f>
        <v>Isler</v>
      </c>
      <c r="H83" s="1" t="str">
        <f aca="false">_xlfn.LET(
_xlpm.authors,_xlfn.TEXTBEFORE(A83," ("&amp;I83&amp;")"),
_xlpm.hasAmp,ISNUMBER(SEARCH("&amp;",_xlpm.authors)),
_xlpm.commasBeforeAmp,IF(_xlpm.hasAmp,LEN(_xlfn.TEXTBEFORE(_xlpm.authors,"&amp;"))-LEN(SUBSTITUTE(_xlfn.TEXTBEFORE(_xlpm.authors,"&amp;"),",","")),0),
IF(NOT(_xlpm.hasAmp),"",IF(_xlpm.commasBeforeAmp&gt;2,"etal",TRIM(_xlfn.TEXTBEFORE(_xlfn.TEXTAFTER(_xlpm.authors,"&amp; "),","))))
)</f>
        <v>etal</v>
      </c>
      <c r="I83" s="1" t="str">
        <f aca="false">_xlfn.TEXTBEFORE(_xlfn.TEXTAFTER(A83, "("), ")")</f>
        <v>2008</v>
      </c>
      <c r="J83" s="1" t="str">
        <f aca="false">_xlfn.LET(
_xlpm.doi,IF(C83&lt;&gt;"",C83,_xlfn.TEXTAFTER(A83,"https://doi.org/")),
SUBSTITUTE(
SUBSTITUTE(
SUBSTITUTE(
SUBSTITUTE(
_xlpm.doi,
"/","%2F"),
":","%3A"),
"&lt;","%3C"),
"&gt;","%3E")
)</f>
        <v>10.1016%2Fj.jhevol.2008.08.004</v>
      </c>
      <c r="K83" s="1" t="str">
        <f aca="false">TRIM(_xlfn.TEXTJOIN("_",FALSE(),F83,(SUBSTITUTE(SUBSTITUTE(D83," ",""), "_", ""))))</f>
        <v>Isler_etal_2008_Table2</v>
      </c>
      <c r="L83" s="1" t="str">
        <f aca="false">J83 &amp; "_" &amp; SUBSTITUTE(SUBSTITUTE(SUBSTITUTE(D83,CHAR(160),"")," ",""),"_","")</f>
        <v>10.1016%2Fj.jhevol.2008.08.004_Table2</v>
      </c>
      <c r="M83" s="1" t="str">
        <f aca="false" t="array" ref="M83:M83">IFERROR(INDEX(FileList!$A$1:$A$1000,MATCH(TRUE(),EXACT(L83,IFERROR(_xlfn.TEXTBEFORE(FileList!$A$1:$A$1000,".tsv"),"")),0)),"notfound")</f>
        <v>notfound</v>
      </c>
      <c r="Q83" s="4" t="s">
        <v>134</v>
      </c>
      <c r="V83" s="4" t="s">
        <v>42</v>
      </c>
      <c r="AI83" s="4" t="s">
        <v>418</v>
      </c>
      <c r="AJ83" s="4" t="s">
        <v>120</v>
      </c>
      <c r="AL83" s="4" t="s">
        <v>143</v>
      </c>
      <c r="AM83" s="4" t="s">
        <v>419</v>
      </c>
    </row>
    <row r="84" customFormat="false" ht="15.75" hidden="false" customHeight="true" outlineLevel="0" collapsed="false">
      <c r="A84" s="4" t="s">
        <v>417</v>
      </c>
      <c r="D84" s="4" t="s">
        <v>420</v>
      </c>
      <c r="E84" s="1" t="str">
        <f aca="false">RIGHT(A84,1)</f>
        <v>4</v>
      </c>
      <c r="F84" s="1" t="str">
        <f aca="false">G84 &amp; IF(H84&lt;&gt;"", "_" &amp; H84, "_") &amp; IF(I84&lt;&gt;"", "_" &amp; I84, "_") &amp; IF(B84&lt;&gt;"", "_" &amp; B84, "")</f>
        <v>Isler_etal_2008</v>
      </c>
      <c r="G84" s="1" t="str">
        <f aca="false">SUBSTITUTE(SUBSTITUTE(_xlfn.TEXTBEFORE(A84,","), "-", ""), " ", "")</f>
        <v>Isler</v>
      </c>
      <c r="H84" s="1" t="str">
        <f aca="false">_xlfn.LET(
_xlpm.authors,_xlfn.TEXTBEFORE(A84," ("&amp;I84&amp;")"),
_xlpm.hasAmp,ISNUMBER(SEARCH("&amp;",_xlpm.authors)),
_xlpm.commasBeforeAmp,IF(_xlpm.hasAmp,LEN(_xlfn.TEXTBEFORE(_xlpm.authors,"&amp;"))-LEN(SUBSTITUTE(_xlfn.TEXTBEFORE(_xlpm.authors,"&amp;"),",","")),0),
IF(NOT(_xlpm.hasAmp),"",IF(_xlpm.commasBeforeAmp&gt;2,"etal",TRIM(_xlfn.TEXTBEFORE(_xlfn.TEXTAFTER(_xlpm.authors,"&amp; "),","))))
)</f>
        <v>etal</v>
      </c>
      <c r="I84" s="1" t="str">
        <f aca="false">_xlfn.TEXTBEFORE(_xlfn.TEXTAFTER(A84, "("), ")")</f>
        <v>2008</v>
      </c>
      <c r="J84" s="1" t="str">
        <f aca="false">_xlfn.LET(
_xlpm.doi,IF(C84&lt;&gt;"",C84,_xlfn.TEXTAFTER(A84,"https://doi.org/")),
SUBSTITUTE(
SUBSTITUTE(
SUBSTITUTE(
SUBSTITUTE(
_xlpm.doi,
"/","%2F"),
":","%3A"),
"&lt;","%3C"),
"&gt;","%3E")
)</f>
        <v>10.1016%2Fj.jhevol.2008.08.004</v>
      </c>
      <c r="K84" s="1" t="str">
        <f aca="false">TRIM(_xlfn.TEXTJOIN("_",FALSE(),F84,(SUBSTITUTE(SUBSTITUTE(D84," ",""), "_", ""))))</f>
        <v>Isler_etal_2008_Table7</v>
      </c>
      <c r="L84" s="1" t="str">
        <f aca="false">J84 &amp; "_" &amp; SUBSTITUTE(SUBSTITUTE(SUBSTITUTE(D84,CHAR(160),"")," ",""),"_","")</f>
        <v>10.1016%2Fj.jhevol.2008.08.004_Table7</v>
      </c>
      <c r="M84" s="1" t="str">
        <f aca="false" t="array" ref="M84:M84">IFERROR(INDEX(FileList!$A$1:$A$1000,MATCH(TRUE(),EXACT(L84,IFERROR(_xlfn.TEXTBEFORE(FileList!$A$1:$A$1000,".tsv"),"")),0)),"notfound")</f>
        <v>notfound</v>
      </c>
      <c r="Q84" s="4" t="s">
        <v>134</v>
      </c>
      <c r="V84" s="4" t="s">
        <v>42</v>
      </c>
      <c r="AI84" s="4" t="s">
        <v>418</v>
      </c>
      <c r="AJ84" s="4" t="s">
        <v>120</v>
      </c>
      <c r="AL84" s="4" t="s">
        <v>143</v>
      </c>
      <c r="AM84" s="4" t="s">
        <v>419</v>
      </c>
    </row>
    <row r="85" customFormat="false" ht="15.75" hidden="false" customHeight="true" outlineLevel="0" collapsed="false">
      <c r="A85" s="4" t="s">
        <v>417</v>
      </c>
      <c r="D85" s="4" t="s">
        <v>200</v>
      </c>
      <c r="E85" s="1" t="str">
        <f aca="false">RIGHT(A85,1)</f>
        <v>4</v>
      </c>
      <c r="F85" s="1" t="str">
        <f aca="false">G85 &amp; IF(H85&lt;&gt;"", "_" &amp; H85, "_") &amp; IF(I85&lt;&gt;"", "_" &amp; I85, "_") &amp; IF(B85&lt;&gt;"", "_" &amp; B85, "")</f>
        <v>Isler_etal_2008</v>
      </c>
      <c r="G85" s="1" t="str">
        <f aca="false">SUBSTITUTE(SUBSTITUTE(_xlfn.TEXTBEFORE(A85,","), "-", ""), " ", "")</f>
        <v>Isler</v>
      </c>
      <c r="H85" s="1" t="str">
        <f aca="false">_xlfn.LET(
_xlpm.authors,_xlfn.TEXTBEFORE(A85," ("&amp;I85&amp;")"),
_xlpm.hasAmp,ISNUMBER(SEARCH("&amp;",_xlpm.authors)),
_xlpm.commasBeforeAmp,IF(_xlpm.hasAmp,LEN(_xlfn.TEXTBEFORE(_xlpm.authors,"&amp;"))-LEN(SUBSTITUTE(_xlfn.TEXTBEFORE(_xlpm.authors,"&amp;"),",","")),0),
IF(NOT(_xlpm.hasAmp),"",IF(_xlpm.commasBeforeAmp&gt;2,"etal",TRIM(_xlfn.TEXTBEFORE(_xlfn.TEXTAFTER(_xlpm.authors,"&amp; "),","))))
)</f>
        <v>etal</v>
      </c>
      <c r="I85" s="1" t="str">
        <f aca="false">_xlfn.TEXTBEFORE(_xlfn.TEXTAFTER(A85, "("), ")")</f>
        <v>2008</v>
      </c>
      <c r="J85" s="1" t="str">
        <f aca="false">_xlfn.LET(
_xlpm.doi,IF(C85&lt;&gt;"",C85,_xlfn.TEXTAFTER(A85,"https://doi.org/")),
SUBSTITUTE(
SUBSTITUTE(
SUBSTITUTE(
SUBSTITUTE(
_xlpm.doi,
"/","%2F"),
":","%3A"),
"&lt;","%3C"),
"&gt;","%3E")
)</f>
        <v>10.1016%2Fj.jhevol.2008.08.004</v>
      </c>
      <c r="K85" s="1" t="str">
        <f aca="false">TRIM(_xlfn.TEXTJOIN("_",FALSE(),F85,(SUBSTITUTE(SUBSTITUTE(D85," ",""), "_", ""))))</f>
        <v>Isler_etal_2008_TableS1</v>
      </c>
      <c r="L85" s="1" t="str">
        <f aca="false">J85 &amp; "_" &amp; SUBSTITUTE(SUBSTITUTE(SUBSTITUTE(D85,CHAR(160),"")," ",""),"_","")</f>
        <v>10.1016%2Fj.jhevol.2008.08.004_TableS1</v>
      </c>
      <c r="M85" s="1" t="str">
        <f aca="false" t="array" ref="M85:M85">IFERROR(INDEX(FileList!$A$1:$A$1000,MATCH(TRUE(),EXACT(L85,IFERROR(_xlfn.TEXTBEFORE(FileList!$A$1:$A$1000,".tsv"),"")),0)),"notfound")</f>
        <v>notfound</v>
      </c>
      <c r="Q85" s="4" t="s">
        <v>134</v>
      </c>
      <c r="V85" s="4" t="s">
        <v>42</v>
      </c>
      <c r="AI85" s="4" t="s">
        <v>418</v>
      </c>
      <c r="AJ85" s="4" t="s">
        <v>120</v>
      </c>
      <c r="AL85" s="4" t="s">
        <v>143</v>
      </c>
      <c r="AM85" s="4" t="s">
        <v>419</v>
      </c>
    </row>
    <row r="86" customFormat="false" ht="15.75" hidden="false" customHeight="true" outlineLevel="0" collapsed="false">
      <c r="A86" s="4" t="s">
        <v>417</v>
      </c>
      <c r="D86" s="4" t="s">
        <v>343</v>
      </c>
      <c r="E86" s="1" t="str">
        <f aca="false">RIGHT(A86,1)</f>
        <v>4</v>
      </c>
      <c r="F86" s="1" t="str">
        <f aca="false">G86 &amp; IF(H86&lt;&gt;"", "_" &amp; H86, "_") &amp; IF(I86&lt;&gt;"", "_" &amp; I86, "_") &amp; IF(B86&lt;&gt;"", "_" &amp; B86, "")</f>
        <v>Isler_etal_2008</v>
      </c>
      <c r="G86" s="1" t="str">
        <f aca="false">SUBSTITUTE(SUBSTITUTE(_xlfn.TEXTBEFORE(A86,","), "-", ""), " ", "")</f>
        <v>Isler</v>
      </c>
      <c r="H86" s="1" t="str">
        <f aca="false">_xlfn.LET(
_xlpm.authors,_xlfn.TEXTBEFORE(A86," ("&amp;I86&amp;")"),
_xlpm.hasAmp,ISNUMBER(SEARCH("&amp;",_xlpm.authors)),
_xlpm.commasBeforeAmp,IF(_xlpm.hasAmp,LEN(_xlfn.TEXTBEFORE(_xlpm.authors,"&amp;"))-LEN(SUBSTITUTE(_xlfn.TEXTBEFORE(_xlpm.authors,"&amp;"),",","")),0),
IF(NOT(_xlpm.hasAmp),"",IF(_xlpm.commasBeforeAmp&gt;2,"etal",TRIM(_xlfn.TEXTBEFORE(_xlfn.TEXTAFTER(_xlpm.authors,"&amp; "),","))))
)</f>
        <v>etal</v>
      </c>
      <c r="I86" s="1" t="str">
        <f aca="false">_xlfn.TEXTBEFORE(_xlfn.TEXTAFTER(A86, "("), ")")</f>
        <v>2008</v>
      </c>
      <c r="J86" s="1" t="str">
        <f aca="false">_xlfn.LET(
_xlpm.doi,IF(C86&lt;&gt;"",C86,_xlfn.TEXTAFTER(A86,"https://doi.org/")),
SUBSTITUTE(
SUBSTITUTE(
SUBSTITUTE(
SUBSTITUTE(
_xlpm.doi,
"/","%2F"),
":","%3A"),
"&lt;","%3C"),
"&gt;","%3E")
)</f>
        <v>10.1016%2Fj.jhevol.2008.08.004</v>
      </c>
      <c r="K86" s="1" t="str">
        <f aca="false">TRIM(_xlfn.TEXTJOIN("_",FALSE(),F86,(SUBSTITUTE(SUBSTITUTE(D86," ",""), "_", ""))))</f>
        <v>Isler_etal_2008_TableS2</v>
      </c>
      <c r="L86" s="1" t="str">
        <f aca="false">J86 &amp; "_" &amp; SUBSTITUTE(SUBSTITUTE(SUBSTITUTE(D86,CHAR(160),"")," ",""),"_","")</f>
        <v>10.1016%2Fj.jhevol.2008.08.004_TableS2</v>
      </c>
      <c r="M86" s="1" t="str">
        <f aca="false" t="array" ref="M86:M86">IFERROR(INDEX(FileList!$A$1:$A$1000,MATCH(TRUE(),EXACT(L86,IFERROR(_xlfn.TEXTBEFORE(FileList!$A$1:$A$1000,".tsv"),"")),0)),"notfound")</f>
        <v>notfound</v>
      </c>
      <c r="Q86" s="4" t="s">
        <v>134</v>
      </c>
      <c r="V86" s="4" t="s">
        <v>42</v>
      </c>
      <c r="AI86" s="4" t="s">
        <v>418</v>
      </c>
      <c r="AJ86" s="4" t="s">
        <v>120</v>
      </c>
      <c r="AL86" s="4" t="s">
        <v>143</v>
      </c>
      <c r="AM86" s="4" t="s">
        <v>419</v>
      </c>
    </row>
    <row r="87" customFormat="false" ht="15.75" hidden="false" customHeight="true" outlineLevel="0" collapsed="false">
      <c r="A87" s="4" t="s">
        <v>417</v>
      </c>
      <c r="D87" s="4" t="s">
        <v>421</v>
      </c>
      <c r="E87" s="1" t="str">
        <f aca="false">RIGHT(A87,1)</f>
        <v>4</v>
      </c>
      <c r="F87" s="1" t="str">
        <f aca="false">G87 &amp; IF(H87&lt;&gt;"", "_" &amp; H87, "_") &amp; IF(I87&lt;&gt;"", "_" &amp; I87, "_") &amp; IF(B87&lt;&gt;"", "_" &amp; B87, "")</f>
        <v>Isler_etal_2008</v>
      </c>
      <c r="G87" s="1" t="str">
        <f aca="false">SUBSTITUTE(SUBSTITUTE(_xlfn.TEXTBEFORE(A87,","), "-", ""), " ", "")</f>
        <v>Isler</v>
      </c>
      <c r="H87" s="1" t="str">
        <f aca="false">_xlfn.LET(
_xlpm.authors,_xlfn.TEXTBEFORE(A87," ("&amp;I87&amp;")"),
_xlpm.hasAmp,ISNUMBER(SEARCH("&amp;",_xlpm.authors)),
_xlpm.commasBeforeAmp,IF(_xlpm.hasAmp,LEN(_xlfn.TEXTBEFORE(_xlpm.authors,"&amp;"))-LEN(SUBSTITUTE(_xlfn.TEXTBEFORE(_xlpm.authors,"&amp;"),",","")),0),
IF(NOT(_xlpm.hasAmp),"",IF(_xlpm.commasBeforeAmp&gt;2,"etal",TRIM(_xlfn.TEXTBEFORE(_xlfn.TEXTAFTER(_xlpm.authors,"&amp; "),","))))
)</f>
        <v>etal</v>
      </c>
      <c r="I87" s="1" t="str">
        <f aca="false">_xlfn.TEXTBEFORE(_xlfn.TEXTAFTER(A87, "("), ")")</f>
        <v>2008</v>
      </c>
      <c r="J87" s="1" t="str">
        <f aca="false">_xlfn.LET(
_xlpm.doi,IF(C87&lt;&gt;"",C87,_xlfn.TEXTAFTER(A87,"https://doi.org/")),
SUBSTITUTE(
SUBSTITUTE(
SUBSTITUTE(
SUBSTITUTE(
_xlpm.doi,
"/","%2F"),
":","%3A"),
"&lt;","%3C"),
"&gt;","%3E")
)</f>
        <v>10.1016%2Fj.jhevol.2008.08.004</v>
      </c>
      <c r="K87" s="1" t="str">
        <f aca="false">TRIM(_xlfn.TEXTJOIN("_",FALSE(),F87,(SUBSTITUTE(SUBSTITUTE(D87," ",""), "_", ""))))</f>
        <v>Isler_etal_2008_TableS3</v>
      </c>
      <c r="L87" s="1" t="str">
        <f aca="false">J87 &amp; "_" &amp; SUBSTITUTE(SUBSTITUTE(SUBSTITUTE(D87,CHAR(160),"")," ",""),"_","")</f>
        <v>10.1016%2Fj.jhevol.2008.08.004_TableS3</v>
      </c>
      <c r="M87" s="1" t="str">
        <f aca="false" t="array" ref="M87:M87">IFERROR(INDEX(FileList!$A$1:$A$1000,MATCH(TRUE(),EXACT(L87,IFERROR(_xlfn.TEXTBEFORE(FileList!$A$1:$A$1000,".tsv"),"")),0)),"notfound")</f>
        <v>notfound</v>
      </c>
      <c r="Q87" s="4" t="s">
        <v>134</v>
      </c>
      <c r="V87" s="4" t="s">
        <v>42</v>
      </c>
      <c r="AI87" s="4" t="s">
        <v>418</v>
      </c>
      <c r="AJ87" s="4" t="s">
        <v>120</v>
      </c>
      <c r="AL87" s="4" t="s">
        <v>143</v>
      </c>
      <c r="AM87" s="4" t="s">
        <v>419</v>
      </c>
    </row>
    <row r="88" customFormat="false" ht="15.75" hidden="false" customHeight="true" outlineLevel="0" collapsed="false">
      <c r="A88" s="4" t="s">
        <v>417</v>
      </c>
      <c r="D88" s="4" t="s">
        <v>422</v>
      </c>
      <c r="E88" s="1" t="str">
        <f aca="false">RIGHT(A88,1)</f>
        <v>4</v>
      </c>
      <c r="F88" s="1" t="str">
        <f aca="false">G88 &amp; IF(H88&lt;&gt;"", "_" &amp; H88, "_") &amp; IF(I88&lt;&gt;"", "_" &amp; I88, "_") &amp; IF(B88&lt;&gt;"", "_" &amp; B88, "")</f>
        <v>Isler_etal_2008</v>
      </c>
      <c r="G88" s="1" t="str">
        <f aca="false">SUBSTITUTE(SUBSTITUTE(_xlfn.TEXTBEFORE(A88,","), "-", ""), " ", "")</f>
        <v>Isler</v>
      </c>
      <c r="H88" s="1" t="str">
        <f aca="false">_xlfn.LET(
_xlpm.authors,_xlfn.TEXTBEFORE(A88," ("&amp;I88&amp;")"),
_xlpm.hasAmp,ISNUMBER(SEARCH("&amp;",_xlpm.authors)),
_xlpm.commasBeforeAmp,IF(_xlpm.hasAmp,LEN(_xlfn.TEXTBEFORE(_xlpm.authors,"&amp;"))-LEN(SUBSTITUTE(_xlfn.TEXTBEFORE(_xlpm.authors,"&amp;"),",","")),0),
IF(NOT(_xlpm.hasAmp),"",IF(_xlpm.commasBeforeAmp&gt;2,"etal",TRIM(_xlfn.TEXTBEFORE(_xlfn.TEXTAFTER(_xlpm.authors,"&amp; "),","))))
)</f>
        <v>etal</v>
      </c>
      <c r="I88" s="1" t="str">
        <f aca="false">_xlfn.TEXTBEFORE(_xlfn.TEXTAFTER(A88, "("), ")")</f>
        <v>2008</v>
      </c>
      <c r="J88" s="1" t="str">
        <f aca="false">_xlfn.LET(
_xlpm.doi,IF(C88&lt;&gt;"",C88,_xlfn.TEXTAFTER(A88,"https://doi.org/")),
SUBSTITUTE(
SUBSTITUTE(
SUBSTITUTE(
SUBSTITUTE(
_xlpm.doi,
"/","%2F"),
":","%3A"),
"&lt;","%3C"),
"&gt;","%3E")
)</f>
        <v>10.1016%2Fj.jhevol.2008.08.004</v>
      </c>
      <c r="K88" s="1" t="str">
        <f aca="false">TRIM(_xlfn.TEXTJOIN("_",FALSE(),F88,(SUBSTITUTE(SUBSTITUTE(D88," ",""), "_", ""))))</f>
        <v>Isler_etal_2008_Tree.nex</v>
      </c>
      <c r="L88" s="1" t="str">
        <f aca="false">J88 &amp; "_" &amp; SUBSTITUTE(SUBSTITUTE(SUBSTITUTE(D88,CHAR(160),"")," ",""),"_","")</f>
        <v>10.1016%2Fj.jhevol.2008.08.004_Tree.nex</v>
      </c>
      <c r="M88" s="1" t="str">
        <f aca="false" t="array" ref="M88:M88">IFERROR(INDEX(FileList!$A$1:$A$1000,MATCH(TRUE(),EXACT(L88,IFERROR(_xlfn.TEXTBEFORE(FileList!$A$1:$A$1000,".tsv"),"")),0)),"notfound")</f>
        <v>notfound</v>
      </c>
      <c r="Q88" s="4" t="s">
        <v>134</v>
      </c>
      <c r="V88" s="4" t="s">
        <v>423</v>
      </c>
      <c r="AI88" s="4" t="s">
        <v>424</v>
      </c>
      <c r="AJ88" s="4" t="s">
        <v>120</v>
      </c>
      <c r="AL88" s="4" t="s">
        <v>143</v>
      </c>
      <c r="AM88" s="4" t="s">
        <v>425</v>
      </c>
    </row>
    <row r="89" customFormat="false" ht="15.75" hidden="false" customHeight="true" outlineLevel="0" collapsed="false">
      <c r="A89" s="4" t="s">
        <v>426</v>
      </c>
      <c r="D89" s="4" t="s">
        <v>77</v>
      </c>
      <c r="E89" s="1" t="str">
        <f aca="false">RIGHT(A89,1)</f>
        <v>9</v>
      </c>
      <c r="F89" s="1" t="str">
        <f aca="false">G89 &amp; IF(H89&lt;&gt;"", "_" &amp; H89, "_") &amp; IF(I89&lt;&gt;"", "_" &amp; I89, "_") &amp; IF(B89&lt;&gt;"", "_" &amp; B89, "")</f>
        <v>Iwaniuk_etal_2001</v>
      </c>
      <c r="G89" s="1" t="str">
        <f aca="false">SUBSTITUTE(SUBSTITUTE(_xlfn.TEXTBEFORE(A89,","), "-", ""), " ", "")</f>
        <v>Iwaniuk</v>
      </c>
      <c r="H89" s="1" t="str">
        <f aca="false">_xlfn.LET(
_xlpm.authors,_xlfn.TEXTBEFORE(A89," ("&amp;I89&amp;")"),
_xlpm.hasAmp,ISNUMBER(SEARCH("&amp;",_xlpm.authors)),
_xlpm.commasBeforeAmp,IF(_xlpm.hasAmp,LEN(_xlfn.TEXTBEFORE(_xlpm.authors,"&amp;"))-LEN(SUBSTITUTE(_xlfn.TEXTBEFORE(_xlpm.authors,"&amp;"),",","")),0),
IF(NOT(_xlpm.hasAmp),"",IF(_xlpm.commasBeforeAmp&gt;2,"etal",TRIM(_xlfn.TEXTBEFORE(_xlfn.TEXTAFTER(_xlpm.authors,"&amp; "),","))))
)</f>
        <v>etal</v>
      </c>
      <c r="I89" s="1" t="str">
        <f aca="false">_xlfn.TEXTBEFORE(_xlfn.TEXTAFTER(A89, "("), ")")</f>
        <v>2001</v>
      </c>
      <c r="J89" s="1" t="str">
        <f aca="false">_xlfn.LET(
_xlpm.doi,IF(C89&lt;&gt;"",C89,_xlfn.TEXTAFTER(A89,"https://doi.org/")),
SUBSTITUTE(
SUBSTITUTE(
SUBSTITUTE(
SUBSTITUTE(
_xlpm.doi,
"/","%2F"),
":","%3A"),
"&lt;","%3C"),
"&gt;","%3E")
)</f>
        <v>10.1037%2F0735-7036.115.1.29</v>
      </c>
      <c r="K89" s="1" t="str">
        <f aca="false">TRIM(_xlfn.TEXTJOIN("_",FALSE(),F89,(SUBSTITUTE(SUBSTITUTE(D89," ",""), "_", ""))))</f>
        <v>Iwaniuk_etal_2001_Table1</v>
      </c>
      <c r="L89" s="1" t="str">
        <f aca="false">J89 &amp; "_" &amp; SUBSTITUTE(SUBSTITUTE(SUBSTITUTE(D89,CHAR(160),"")," ",""),"_","")</f>
        <v>10.1037%2F0735-7036.115.1.29_Table1</v>
      </c>
      <c r="M89" s="1" t="str">
        <f aca="false" t="array" ref="M89:M89">IFERROR(INDEX(FileList!$A$1:$A$1000,MATCH(TRUE(),EXACT(L89,IFERROR(_xlfn.TEXTBEFORE(FileList!$A$1:$A$1000,".tsv"),"")),0)),"notfound")</f>
        <v>notfound</v>
      </c>
      <c r="N89" s="4" t="s">
        <v>427</v>
      </c>
      <c r="P89" s="4" t="s">
        <v>428</v>
      </c>
      <c r="Q89" s="4" t="s">
        <v>204</v>
      </c>
      <c r="T89" s="4" t="str">
        <f aca="false">IF(S89="N", R89, "write file name")</f>
        <v>write file name</v>
      </c>
      <c r="U89" s="4" t="s">
        <v>55</v>
      </c>
      <c r="V89" s="4" t="s">
        <v>42</v>
      </c>
      <c r="AH89" s="4" t="s">
        <v>429</v>
      </c>
      <c r="AI89" s="4" t="s">
        <v>430</v>
      </c>
      <c r="AJ89" s="4" t="s">
        <v>142</v>
      </c>
      <c r="AL89" s="4" t="s">
        <v>143</v>
      </c>
      <c r="AM89" s="4" t="s">
        <v>431</v>
      </c>
    </row>
    <row r="90" customFormat="false" ht="15.75" hidden="false" customHeight="true" outlineLevel="0" collapsed="false">
      <c r="A90" s="4" t="s">
        <v>426</v>
      </c>
      <c r="D90" s="4" t="s">
        <v>121</v>
      </c>
      <c r="E90" s="1" t="str">
        <f aca="false">RIGHT(A90,1)</f>
        <v>9</v>
      </c>
      <c r="F90" s="1" t="str">
        <f aca="false">G90 &amp; IF(H90&lt;&gt;"", "_" &amp; H90, "_") &amp; IF(I90&lt;&gt;"", "_" &amp; I90, "_") &amp; IF(B90&lt;&gt;"", "_" &amp; B90, "")</f>
        <v>Iwaniuk_etal_2001</v>
      </c>
      <c r="G90" s="1" t="str">
        <f aca="false">SUBSTITUTE(SUBSTITUTE(_xlfn.TEXTBEFORE(A90,","), "-", ""), " ", "")</f>
        <v>Iwaniuk</v>
      </c>
      <c r="H90" s="1" t="str">
        <f aca="false">_xlfn.LET(
_xlpm.authors,_xlfn.TEXTBEFORE(A90," ("&amp;I90&amp;")"),
_xlpm.hasAmp,ISNUMBER(SEARCH("&amp;",_xlpm.authors)),
_xlpm.commasBeforeAmp,IF(_xlpm.hasAmp,LEN(_xlfn.TEXTBEFORE(_xlpm.authors,"&amp;"))-LEN(SUBSTITUTE(_xlfn.TEXTBEFORE(_xlpm.authors,"&amp;"),",","")),0),
IF(NOT(_xlpm.hasAmp),"",IF(_xlpm.commasBeforeAmp&gt;2,"etal",TRIM(_xlfn.TEXTBEFORE(_xlfn.TEXTAFTER(_xlpm.authors,"&amp; "),","))))
)</f>
        <v>etal</v>
      </c>
      <c r="I90" s="1" t="str">
        <f aca="false">_xlfn.TEXTBEFORE(_xlfn.TEXTAFTER(A90, "("), ")")</f>
        <v>2001</v>
      </c>
      <c r="J90" s="1" t="str">
        <f aca="false">_xlfn.LET(
_xlpm.doi,IF(C90&lt;&gt;"",C90,_xlfn.TEXTAFTER(A90,"https://doi.org/")),
SUBSTITUTE(
SUBSTITUTE(
SUBSTITUTE(
SUBSTITUTE(
_xlpm.doi,
"/","%2F"),
":","%3A"),
"&lt;","%3C"),
"&gt;","%3E")
)</f>
        <v>10.1037%2F0735-7036.115.1.29</v>
      </c>
      <c r="K90" s="1" t="str">
        <f aca="false">TRIM(_xlfn.TEXTJOIN("_",FALSE(),F90,(SUBSTITUTE(SUBSTITUTE(D90," ",""), "_", ""))))</f>
        <v>Iwaniuk_etal_2001_Table2</v>
      </c>
      <c r="L90" s="1" t="str">
        <f aca="false">J90 &amp; "_" &amp; SUBSTITUTE(SUBSTITUTE(SUBSTITUTE(D90,CHAR(160),"")," ",""),"_","")</f>
        <v>10.1037%2F0735-7036.115.1.29_Table2</v>
      </c>
      <c r="M90" s="1" t="str">
        <f aca="false" t="array" ref="M90:M90">IFERROR(INDEX(FileList!$A$1:$A$1000,MATCH(TRUE(),EXACT(L90,IFERROR(_xlfn.TEXTBEFORE(FileList!$A$1:$A$1000,".tsv"),"")),0)),"notfound")</f>
        <v>notfound</v>
      </c>
      <c r="N90" s="4" t="s">
        <v>432</v>
      </c>
      <c r="P90" s="4" t="s">
        <v>428</v>
      </c>
      <c r="Q90" s="4" t="s">
        <v>204</v>
      </c>
      <c r="T90" s="4" t="str">
        <f aca="false">IF(S90="N", R90, "write file name")</f>
        <v>write file name</v>
      </c>
      <c r="U90" s="4" t="s">
        <v>55</v>
      </c>
      <c r="V90" s="4" t="s">
        <v>42</v>
      </c>
      <c r="AH90" s="4" t="s">
        <v>429</v>
      </c>
      <c r="AI90" s="4" t="s">
        <v>430</v>
      </c>
      <c r="AJ90" s="4" t="s">
        <v>142</v>
      </c>
      <c r="AL90" s="4" t="s">
        <v>143</v>
      </c>
      <c r="AM90" s="4" t="s">
        <v>431</v>
      </c>
    </row>
    <row r="91" customFormat="false" ht="15.75" hidden="false" customHeight="true" outlineLevel="0" collapsed="false">
      <c r="A91" s="4" t="s">
        <v>426</v>
      </c>
      <c r="D91" s="4" t="s">
        <v>68</v>
      </c>
      <c r="E91" s="1" t="str">
        <f aca="false">RIGHT(A91,1)</f>
        <v>9</v>
      </c>
      <c r="F91" s="1" t="str">
        <f aca="false">G91 &amp; IF(H91&lt;&gt;"", "_" &amp; H91, "_") &amp; IF(I91&lt;&gt;"", "_" &amp; I91, "_") &amp; IF(B91&lt;&gt;"", "_" &amp; B91, "")</f>
        <v>Iwaniuk_etal_2001</v>
      </c>
      <c r="G91" s="1" t="str">
        <f aca="false">SUBSTITUTE(SUBSTITUTE(_xlfn.TEXTBEFORE(A91,","), "-", ""), " ", "")</f>
        <v>Iwaniuk</v>
      </c>
      <c r="H91" s="1" t="str">
        <f aca="false">_xlfn.LET(
_xlpm.authors,_xlfn.TEXTBEFORE(A91," ("&amp;I91&amp;")"),
_xlpm.hasAmp,ISNUMBER(SEARCH("&amp;",_xlpm.authors)),
_xlpm.commasBeforeAmp,IF(_xlpm.hasAmp,LEN(_xlfn.TEXTBEFORE(_xlpm.authors,"&amp;"))-LEN(SUBSTITUTE(_xlfn.TEXTBEFORE(_xlpm.authors,"&amp;"),",","")),0),
IF(NOT(_xlpm.hasAmp),"",IF(_xlpm.commasBeforeAmp&gt;2,"etal",TRIM(_xlfn.TEXTBEFORE(_xlfn.TEXTAFTER(_xlpm.authors,"&amp; "),","))))
)</f>
        <v>etal</v>
      </c>
      <c r="I91" s="1" t="str">
        <f aca="false">_xlfn.TEXTBEFORE(_xlfn.TEXTAFTER(A91, "("), ")")</f>
        <v>2001</v>
      </c>
      <c r="J91" s="1" t="str">
        <f aca="false">_xlfn.LET(
_xlpm.doi,IF(C91&lt;&gt;"",C91,_xlfn.TEXTAFTER(A91,"https://doi.org/")),
SUBSTITUTE(
SUBSTITUTE(
SUBSTITUTE(
SUBSTITUTE(
_xlpm.doi,
"/","%2F"),
":","%3A"),
"&lt;","%3C"),
"&gt;","%3E")
)</f>
        <v>10.1037%2F0735-7036.115.1.29</v>
      </c>
      <c r="K91" s="1" t="str">
        <f aca="false">TRIM(_xlfn.TEXTJOIN("_",FALSE(),F91,(SUBSTITUTE(SUBSTITUTE(D91," ",""), "_", ""))))</f>
        <v>Iwaniuk_etal_2001_Table3</v>
      </c>
      <c r="L91" s="1" t="str">
        <f aca="false">J91 &amp; "_" &amp; SUBSTITUTE(SUBSTITUTE(SUBSTITUTE(D91,CHAR(160),"")," ",""),"_","")</f>
        <v>10.1037%2F0735-7036.115.1.29_Table3</v>
      </c>
      <c r="M91" s="1" t="str">
        <f aca="false" t="array" ref="M91:M91">IFERROR(INDEX(FileList!$A$1:$A$1000,MATCH(TRUE(),EXACT(L91,IFERROR(_xlfn.TEXTBEFORE(FileList!$A$1:$A$1000,".tsv"),"")),0)),"notfound")</f>
        <v>notfound</v>
      </c>
      <c r="N91" s="4" t="s">
        <v>433</v>
      </c>
      <c r="P91" s="4" t="s">
        <v>428</v>
      </c>
      <c r="Q91" s="4" t="s">
        <v>204</v>
      </c>
      <c r="T91" s="4" t="str">
        <f aca="false">IF(S91="N", R91, "write file name")</f>
        <v>write file name</v>
      </c>
      <c r="U91" s="4" t="s">
        <v>55</v>
      </c>
      <c r="V91" s="4" t="s">
        <v>42</v>
      </c>
      <c r="AH91" s="4" t="s">
        <v>429</v>
      </c>
      <c r="AI91" s="4" t="s">
        <v>430</v>
      </c>
      <c r="AJ91" s="4" t="s">
        <v>142</v>
      </c>
      <c r="AL91" s="4" t="s">
        <v>143</v>
      </c>
      <c r="AM91" s="4" t="s">
        <v>431</v>
      </c>
    </row>
    <row r="92" customFormat="false" ht="15.75" hidden="false" customHeight="true" outlineLevel="0" collapsed="false">
      <c r="A92" s="4" t="s">
        <v>426</v>
      </c>
      <c r="D92" s="4" t="s">
        <v>40</v>
      </c>
      <c r="E92" s="1" t="str">
        <f aca="false">RIGHT(A92,1)</f>
        <v>9</v>
      </c>
      <c r="F92" s="1" t="str">
        <f aca="false">G92 &amp; IF(H92&lt;&gt;"", "_" &amp; H92, "_") &amp; IF(I92&lt;&gt;"", "_" &amp; I92, "_") &amp; IF(B92&lt;&gt;"", "_" &amp; B92, "")</f>
        <v>Iwaniuk_etal_2001</v>
      </c>
      <c r="G92" s="1" t="str">
        <f aca="false">SUBSTITUTE(SUBSTITUTE(_xlfn.TEXTBEFORE(A92,","), "-", ""), " ", "")</f>
        <v>Iwaniuk</v>
      </c>
      <c r="H92" s="1" t="str">
        <f aca="false">_xlfn.LET(
_xlpm.authors,_xlfn.TEXTBEFORE(A92," ("&amp;I92&amp;")"),
_xlpm.hasAmp,ISNUMBER(SEARCH("&amp;",_xlpm.authors)),
_xlpm.commasBeforeAmp,IF(_xlpm.hasAmp,LEN(_xlfn.TEXTBEFORE(_xlpm.authors,"&amp;"))-LEN(SUBSTITUTE(_xlfn.TEXTBEFORE(_xlpm.authors,"&amp;"),",","")),0),
IF(NOT(_xlpm.hasAmp),"",IF(_xlpm.commasBeforeAmp&gt;2,"etal",TRIM(_xlfn.TEXTBEFORE(_xlfn.TEXTAFTER(_xlpm.authors,"&amp; "),","))))
)</f>
        <v>etal</v>
      </c>
      <c r="I92" s="1" t="str">
        <f aca="false">_xlfn.TEXTBEFORE(_xlfn.TEXTAFTER(A92, "("), ")")</f>
        <v>2001</v>
      </c>
      <c r="J92" s="1" t="str">
        <f aca="false">_xlfn.LET(
_xlpm.doi,IF(C92&lt;&gt;"",C92,_xlfn.TEXTAFTER(A92,"https://doi.org/")),
SUBSTITUTE(
SUBSTITUTE(
SUBSTITUTE(
SUBSTITUTE(
_xlpm.doi,
"/","%2F"),
":","%3A"),
"&lt;","%3C"),
"&gt;","%3E")
)</f>
        <v>10.1037%2F0735-7036.115.1.29</v>
      </c>
      <c r="K92" s="1" t="str">
        <f aca="false">TRIM(_xlfn.TEXTJOIN("_",FALSE(),F92,(SUBSTITUTE(SUBSTITUTE(D92," ",""), "_", ""))))</f>
        <v>Iwaniuk_etal_2001_Table4</v>
      </c>
      <c r="L92" s="1" t="str">
        <f aca="false">J92 &amp; "_" &amp; SUBSTITUTE(SUBSTITUTE(SUBSTITUTE(D92,CHAR(160),"")," ",""),"_","")</f>
        <v>10.1037%2F0735-7036.115.1.29_Table4</v>
      </c>
      <c r="M92" s="1" t="str">
        <f aca="false" t="array" ref="M92:M92">IFERROR(INDEX(FileList!$A$1:$A$1000,MATCH(TRUE(),EXACT(L92,IFERROR(_xlfn.TEXTBEFORE(FileList!$A$1:$A$1000,".tsv"),"")),0)),"notfound")</f>
        <v>notfound</v>
      </c>
      <c r="N92" s="4" t="s">
        <v>434</v>
      </c>
      <c r="P92" s="4" t="s">
        <v>428</v>
      </c>
      <c r="Q92" s="4" t="s">
        <v>204</v>
      </c>
      <c r="T92" s="4" t="str">
        <f aca="false">IF(S92="N", R92, "write file name")</f>
        <v>write file name</v>
      </c>
      <c r="U92" s="4" t="s">
        <v>55</v>
      </c>
      <c r="V92" s="4" t="s">
        <v>42</v>
      </c>
      <c r="AH92" s="4" t="s">
        <v>429</v>
      </c>
      <c r="AI92" s="4" t="s">
        <v>430</v>
      </c>
      <c r="AJ92" s="4" t="s">
        <v>142</v>
      </c>
      <c r="AL92" s="4" t="s">
        <v>143</v>
      </c>
      <c r="AM92" s="4" t="s">
        <v>431</v>
      </c>
    </row>
    <row r="93" customFormat="false" ht="15.75" hidden="false" customHeight="true" outlineLevel="0" collapsed="false">
      <c r="A93" s="4" t="s">
        <v>435</v>
      </c>
      <c r="D93" s="4" t="s">
        <v>436</v>
      </c>
      <c r="E93" s="1" t="str">
        <f aca="false">RIGHT(A93,1)</f>
        <v>x</v>
      </c>
      <c r="F93" s="1" t="str">
        <f aca="false">G93 &amp; IF(H93&lt;&gt;"", "_" &amp; H93, "_") &amp; IF(I93&lt;&gt;"", "_" &amp; I93, "_") &amp; IF(B93&lt;&gt;"", "_" &amp; B93, "")</f>
        <v>Iwaniuk_etal_1999</v>
      </c>
      <c r="G93" s="1" t="str">
        <f aca="false">SUBSTITUTE(SUBSTITUTE(_xlfn.TEXTBEFORE(A93,","), "-", ""), " ", "")</f>
        <v>Iwaniuk</v>
      </c>
      <c r="H93" s="1" t="str">
        <f aca="false">_xlfn.LET(
_xlpm.authors,_xlfn.TEXTBEFORE(A93," ("&amp;I93&amp;")"),
_xlpm.hasAmp,ISNUMBER(SEARCH("&amp;",_xlpm.authors)),
_xlpm.commasBeforeAmp,IF(_xlpm.hasAmp,LEN(_xlfn.TEXTBEFORE(_xlpm.authors,"&amp;"))-LEN(SUBSTITUTE(_xlfn.TEXTBEFORE(_xlpm.authors,"&amp;"),",","")),0),
IF(NOT(_xlpm.hasAmp),"",IF(_xlpm.commasBeforeAmp&gt;2,"etal",TRIM(_xlfn.TEXTBEFORE(_xlfn.TEXTAFTER(_xlpm.authors,"&amp; "),","))))
)</f>
        <v>etal</v>
      </c>
      <c r="I93" s="1" t="str">
        <f aca="false">_xlfn.TEXTBEFORE(_xlfn.TEXTAFTER(A93, "("), ")")</f>
        <v>1999</v>
      </c>
      <c r="J93" s="1" t="str">
        <f aca="false">_xlfn.LET(
_xlpm.doi,IF(C93&lt;&gt;"",C93,_xlfn.TEXTAFTER(A93,"https://doi.org/")),
SUBSTITUTE(
SUBSTITUTE(
SUBSTITUTE(
SUBSTITUTE(
_xlpm.doi,
"/","%2F"),
":","%3A"),
"&lt;","%3C"),
"&gt;","%3E")
)</f>
        <v>10.1016%2Fs0166-4328(98)00151-x</v>
      </c>
      <c r="K93" s="1" t="str">
        <f aca="false">TRIM(_xlfn.TEXTJOIN("_",FALSE(),F93,(SUBSTITUTE(SUBSTITUTE(D93," ",""), "_", ""))))</f>
        <v>Iwaniuk_etal_1999_References</v>
      </c>
      <c r="L93" s="1" t="str">
        <f aca="false">J93 &amp; "_" &amp; SUBSTITUTE(SUBSTITUTE(SUBSTITUTE(D93,CHAR(160),"")," ",""),"_","")</f>
        <v>10.1016%2Fs0166-4328(98)00151-x_References</v>
      </c>
      <c r="M93" s="1" t="str">
        <f aca="false" t="array" ref="M93:M93">IFERROR(INDEX(FileList!$A$1:$A$1000,MATCH(TRUE(),EXACT(L93,IFERROR(_xlfn.TEXTBEFORE(FileList!$A$1:$A$1000,".tsv"),"")),0)),"notfound")</f>
        <v>notfound</v>
      </c>
      <c r="N93" s="4" t="s">
        <v>436</v>
      </c>
      <c r="P93" s="4" t="s">
        <v>337</v>
      </c>
      <c r="V93" s="4" t="s">
        <v>437</v>
      </c>
      <c r="W93" s="4" t="s">
        <v>208</v>
      </c>
      <c r="AI93" s="4" t="s">
        <v>438</v>
      </c>
      <c r="AJ93" s="4" t="s">
        <v>142</v>
      </c>
      <c r="AL93" s="4" t="s">
        <v>143</v>
      </c>
      <c r="AM93" s="4" t="s">
        <v>439</v>
      </c>
    </row>
    <row r="94" customFormat="false" ht="15.75" hidden="false" customHeight="true" outlineLevel="0" collapsed="false">
      <c r="A94" s="4" t="s">
        <v>435</v>
      </c>
      <c r="D94" s="4" t="s">
        <v>77</v>
      </c>
      <c r="E94" s="1" t="str">
        <f aca="false">RIGHT(A94,1)</f>
        <v>x</v>
      </c>
      <c r="F94" s="1" t="str">
        <f aca="false">G94 &amp; IF(H94&lt;&gt;"", "_" &amp; H94, "_") &amp; IF(I94&lt;&gt;"", "_" &amp; I94, "_") &amp; IF(B94&lt;&gt;"", "_" &amp; B94, "")</f>
        <v>Iwaniuk_etal_1999</v>
      </c>
      <c r="G94" s="1" t="str">
        <f aca="false">SUBSTITUTE(SUBSTITUTE(_xlfn.TEXTBEFORE(A94,","), "-", ""), " ", "")</f>
        <v>Iwaniuk</v>
      </c>
      <c r="H94" s="1" t="str">
        <f aca="false">_xlfn.LET(
_xlpm.authors,_xlfn.TEXTBEFORE(A94," ("&amp;I94&amp;")"),
_xlpm.hasAmp,ISNUMBER(SEARCH("&amp;",_xlpm.authors)),
_xlpm.commasBeforeAmp,IF(_xlpm.hasAmp,LEN(_xlfn.TEXTBEFORE(_xlpm.authors,"&amp;"))-LEN(SUBSTITUTE(_xlfn.TEXTBEFORE(_xlpm.authors,"&amp;"),",","")),0),
IF(NOT(_xlpm.hasAmp),"",IF(_xlpm.commasBeforeAmp&gt;2,"etal",TRIM(_xlfn.TEXTBEFORE(_xlfn.TEXTAFTER(_xlpm.authors,"&amp; "),","))))
)</f>
        <v>etal</v>
      </c>
      <c r="I94" s="1" t="str">
        <f aca="false">_xlfn.TEXTBEFORE(_xlfn.TEXTAFTER(A94, "("), ")")</f>
        <v>1999</v>
      </c>
      <c r="J94" s="1" t="str">
        <f aca="false">_xlfn.LET(
_xlpm.doi,IF(C94&lt;&gt;"",C94,_xlfn.TEXTAFTER(A94,"https://doi.org/")),
SUBSTITUTE(
SUBSTITUTE(
SUBSTITUTE(
SUBSTITUTE(
_xlpm.doi,
"/","%2F"),
":","%3A"),
"&lt;","%3C"),
"&gt;","%3E")
)</f>
        <v>10.1016%2Fs0166-4328(98)00151-x</v>
      </c>
      <c r="K94" s="1" t="str">
        <f aca="false">TRIM(_xlfn.TEXTJOIN("_",FALSE(),F94,(SUBSTITUTE(SUBSTITUTE(D94," ",""), "_", ""))))</f>
        <v>Iwaniuk_etal_1999_Table1</v>
      </c>
      <c r="L94" s="1" t="str">
        <f aca="false">J94 &amp; "_" &amp; SUBSTITUTE(SUBSTITUTE(SUBSTITUTE(D94,CHAR(160),"")," ",""),"_","")</f>
        <v>10.1016%2Fs0166-4328(98)00151-x_Table1</v>
      </c>
      <c r="M94" s="1" t="str">
        <f aca="false" t="array" ref="M94:M94">IFERROR(INDEX(FileList!$A$1:$A$1000,MATCH(TRUE(),EXACT(L94,IFERROR(_xlfn.TEXTBEFORE(FileList!$A$1:$A$1000,".tsv"),"")),0)),"notfound")</f>
        <v>notfound</v>
      </c>
      <c r="N94" s="4" t="s">
        <v>440</v>
      </c>
      <c r="P94" s="4" t="s">
        <v>337</v>
      </c>
      <c r="V94" s="4" t="s">
        <v>42</v>
      </c>
      <c r="W94" s="4" t="s">
        <v>208</v>
      </c>
      <c r="AI94" s="4" t="s">
        <v>438</v>
      </c>
      <c r="AJ94" s="4" t="s">
        <v>142</v>
      </c>
      <c r="AL94" s="4" t="s">
        <v>143</v>
      </c>
      <c r="AM94" s="4" t="s">
        <v>439</v>
      </c>
    </row>
    <row r="95" customFormat="false" ht="15.75" hidden="false" customHeight="true" outlineLevel="0" collapsed="false">
      <c r="A95" s="4" t="s">
        <v>441</v>
      </c>
      <c r="D95" s="4" t="s">
        <v>77</v>
      </c>
      <c r="E95" s="1" t="str">
        <f aca="false">RIGHT(A95,1)</f>
        <v>8</v>
      </c>
      <c r="F95" s="1" t="str">
        <f aca="false">G95 &amp; IF(H95&lt;&gt;"", "_" &amp; H95, "_") &amp; IF(I95&lt;&gt;"", "_" &amp; I95, "_") &amp; IF(B95&lt;&gt;"", "_" &amp; B95, "")</f>
        <v>JardimMesseder_etal_2017</v>
      </c>
      <c r="G95" s="1" t="str">
        <f aca="false">SUBSTITUTE(SUBSTITUTE(_xlfn.TEXTBEFORE(A95,","), "-", ""), " ", "")</f>
        <v>JardimMesseder</v>
      </c>
      <c r="H95" s="1" t="str">
        <f aca="false">_xlfn.LET(
_xlpm.authors,_xlfn.TEXTBEFORE(A95," ("&amp;I95&amp;")"),
_xlpm.hasAmp,ISNUMBER(SEARCH("&amp;",_xlpm.authors)),
_xlpm.commasBeforeAmp,IF(_xlpm.hasAmp,LEN(_xlfn.TEXTBEFORE(_xlpm.authors,"&amp;"))-LEN(SUBSTITUTE(_xlfn.TEXTBEFORE(_xlpm.authors,"&amp;"),",","")),0),
IF(NOT(_xlpm.hasAmp),"",IF(_xlpm.commasBeforeAmp&gt;2,"etal",TRIM(_xlfn.TEXTBEFORE(_xlfn.TEXTAFTER(_xlpm.authors,"&amp; "),","))))
)</f>
        <v>etal</v>
      </c>
      <c r="I95" s="1" t="str">
        <f aca="false">_xlfn.TEXTBEFORE(_xlfn.TEXTAFTER(A95, "("), ")")</f>
        <v>2017</v>
      </c>
      <c r="J95" s="1" t="str">
        <f aca="false">_xlfn.LET(
_xlpm.doi,IF(C95&lt;&gt;"",C95,_xlfn.TEXTAFTER(A95,"https://doi.org/")),
SUBSTITUTE(
SUBSTITUTE(
SUBSTITUTE(
SUBSTITUTE(
_xlpm.doi,
"/","%2F"),
":","%3A"),
"&lt;","%3C"),
"&gt;","%3E")
)</f>
        <v>10.3389%2Ffnana.2017.00118</v>
      </c>
      <c r="K95" s="1" t="str">
        <f aca="false">TRIM(_xlfn.TEXTJOIN("_",FALSE(),F95,(SUBSTITUTE(SUBSTITUTE(D95," ",""), "_", ""))))</f>
        <v>JardimMesseder_etal_2017_Table1</v>
      </c>
      <c r="L95" s="1" t="str">
        <f aca="false">J95 &amp; "_" &amp; SUBSTITUTE(SUBSTITUTE(SUBSTITUTE(D95,CHAR(160),"")," ",""),"_","")</f>
        <v>10.3389%2Ffnana.2017.00118_Table1</v>
      </c>
      <c r="M95" s="1" t="str">
        <f aca="false" t="array" ref="M95:M95">IFERROR(INDEX(FileList!$A$1:$A$1000,MATCH(TRUE(),EXACT(L95,IFERROR(_xlfn.TEXTBEFORE(FileList!$A$1:$A$1000,".tsv"),"")),0)),"notfound")</f>
        <v>notfound</v>
      </c>
      <c r="N95" s="4" t="s">
        <v>442</v>
      </c>
      <c r="P95" s="4" t="s">
        <v>41</v>
      </c>
      <c r="Q95" s="4" t="s">
        <v>51</v>
      </c>
      <c r="R95" s="4" t="s">
        <v>443</v>
      </c>
      <c r="S95" s="4" t="s">
        <v>53</v>
      </c>
      <c r="T95" s="4" t="s">
        <v>444</v>
      </c>
      <c r="U95" s="4" t="s">
        <v>55</v>
      </c>
      <c r="V95" s="4" t="s">
        <v>42</v>
      </c>
      <c r="W95" s="4" t="s">
        <v>193</v>
      </c>
      <c r="X95" s="4" t="s">
        <v>445</v>
      </c>
      <c r="Y95" s="4" t="s">
        <v>58</v>
      </c>
      <c r="Z95" s="4" t="s">
        <v>58</v>
      </c>
      <c r="AG95" s="4" t="s">
        <v>59</v>
      </c>
      <c r="AH95" s="4" t="s">
        <v>446</v>
      </c>
      <c r="AI95" s="4" t="s">
        <v>281</v>
      </c>
      <c r="AJ95" s="4" t="s">
        <v>447</v>
      </c>
      <c r="AK95" s="4" t="s">
        <v>63</v>
      </c>
      <c r="AL95" s="4" t="s">
        <v>63</v>
      </c>
      <c r="AM95" s="4" t="s">
        <v>64</v>
      </c>
    </row>
    <row r="96" customFormat="false" ht="15.75" hidden="false" customHeight="true" outlineLevel="0" collapsed="false">
      <c r="A96" s="4" t="s">
        <v>448</v>
      </c>
      <c r="D96" s="4" t="s">
        <v>121</v>
      </c>
      <c r="E96" s="1" t="str">
        <f aca="false">RIGHT(A96,1)</f>
        <v>4</v>
      </c>
      <c r="F96" s="1" t="str">
        <f aca="false">G96 &amp; IF(H96&lt;&gt;"", "_" &amp; H96, "_") &amp; IF(I96&lt;&gt;"", "_" &amp; I96, "_") &amp; IF(B96&lt;&gt;"", "_" &amp; B96, "")</f>
        <v>Johansen_etal_2024</v>
      </c>
      <c r="G96" s="1" t="str">
        <f aca="false">SUBSTITUTE(SUBSTITUTE(_xlfn.TEXTBEFORE(A96,","), "-", ""), " ", "")</f>
        <v>Johansen</v>
      </c>
      <c r="H96" s="1" t="str">
        <f aca="false">_xlfn.LET(
_xlpm.authors,_xlfn.TEXTBEFORE(A96," ("&amp;I96&amp;")"),
_xlpm.hasAmp,ISNUMBER(SEARCH("&amp;",_xlpm.authors)),
_xlpm.commasBeforeAmp,IF(_xlpm.hasAmp,LEN(_xlfn.TEXTBEFORE(_xlpm.authors,"&amp;"))-LEN(SUBSTITUTE(_xlfn.TEXTBEFORE(_xlpm.authors,"&amp;"),",","")),0),
IF(NOT(_xlpm.hasAmp),"",IF(_xlpm.commasBeforeAmp&gt;2,"etal",TRIM(_xlfn.TEXTBEFORE(_xlfn.TEXTAFTER(_xlpm.authors,"&amp; "),","))))
)</f>
        <v>etal</v>
      </c>
      <c r="I96" s="1" t="str">
        <f aca="false">_xlfn.TEXTBEFORE(_xlfn.TEXTAFTER(A96, "("), ")")</f>
        <v>2024</v>
      </c>
      <c r="J96" s="1" t="str">
        <f aca="false">_xlfn.LET(
_xlpm.doi,IF(C96&lt;&gt;"",C96,_xlfn.TEXTAFTER(A96,"https://doi.org/")),
SUBSTITUTE(
SUBSTITUTE(
SUBSTITUTE(
SUBSTITUTE(
_xlpm.doi,
"/","%2F"),
":","%3A"),
"&lt;","%3C"),
"&gt;","%3E")
)</f>
        <v>10.1523%2FJNEUROSCI.1750-23.2024</v>
      </c>
      <c r="K96" s="1" t="str">
        <f aca="false">TRIM(_xlfn.TEXTJOIN("_",FALSE(),F96,(SUBSTITUTE(SUBSTITUTE(D96," ",""), "_", ""))))</f>
        <v>Johansen_etal_2024_Table2</v>
      </c>
      <c r="L96" s="1" t="str">
        <f aca="false">J96 &amp; "_" &amp; SUBSTITUTE(SUBSTITUTE(SUBSTITUTE(D96,CHAR(160),"")," ",""),"_","")</f>
        <v>10.1523%2FJNEUROSCI.1750-23.2024_Table2</v>
      </c>
      <c r="M96" s="1" t="str">
        <f aca="false" t="array" ref="M96:M96">IFERROR(INDEX(FileList!$A$1:$A$1000,MATCH(TRUE(),EXACT(L96,IFERROR(_xlfn.TEXTBEFORE(FileList!$A$1:$A$1000,".tsv"),"")),0)),"notfound")</f>
        <v>notfound</v>
      </c>
      <c r="N96" s="4" t="s">
        <v>449</v>
      </c>
      <c r="V96" s="4" t="s">
        <v>42</v>
      </c>
      <c r="AI96" s="4" t="s">
        <v>450</v>
      </c>
      <c r="AJ96" s="4" t="s">
        <v>451</v>
      </c>
      <c r="AL96" s="4" t="s">
        <v>63</v>
      </c>
      <c r="AM96" s="4" t="s">
        <v>452</v>
      </c>
    </row>
    <row r="97" customFormat="false" ht="15.75" hidden="false" customHeight="true" outlineLevel="0" collapsed="false">
      <c r="A97" s="4" t="s">
        <v>453</v>
      </c>
      <c r="D97" s="4" t="s">
        <v>77</v>
      </c>
      <c r="E97" s="1" t="str">
        <f aca="false">RIGHT(A97,1)</f>
        <v>8</v>
      </c>
      <c r="F97" s="1" t="str">
        <f aca="false">G97 &amp; IF(H97&lt;&gt;"", "_" &amp; H97, "_") &amp; IF(I97&lt;&gt;"", "_" &amp; I97, "_") &amp; IF(B97&lt;&gt;"", "_" &amp; B97, "")</f>
        <v>Karbowski__2007</v>
      </c>
      <c r="G97" s="1" t="str">
        <f aca="false">SUBSTITUTE(SUBSTITUTE(_xlfn.TEXTBEFORE(A97,","), "-", ""), " ", "")</f>
        <v>Karbowski</v>
      </c>
      <c r="H97" s="1" t="str">
        <f aca="false">_xlfn.LET(
_xlpm.authors,_xlfn.TEXTBEFORE(A97," ("&amp;I97&amp;")"),
_xlpm.hasAmp,ISNUMBER(SEARCH("&amp;",_xlpm.authors)),
_xlpm.commasBeforeAmp,IF(_xlpm.hasAmp,LEN(_xlfn.TEXTBEFORE(_xlpm.authors,"&amp;"))-LEN(SUBSTITUTE(_xlfn.TEXTBEFORE(_xlpm.authors,"&amp;"),",","")),0),
IF(NOT(_xlpm.hasAmp),"",IF(_xlpm.commasBeforeAmp&gt;2,"etal",TRIM(_xlfn.TEXTBEFORE(_xlfn.TEXTAFTER(_xlpm.authors,"&amp; "),","))))
)</f>
        <v/>
      </c>
      <c r="I97" s="1" t="str">
        <f aca="false">_xlfn.TEXTBEFORE(_xlfn.TEXTAFTER(A97, "("), ")")</f>
        <v>2007</v>
      </c>
      <c r="J97" s="1" t="str">
        <f aca="false">_xlfn.LET(
_xlpm.doi,IF(C97&lt;&gt;"",C97,_xlfn.TEXTAFTER(A97,"https://doi.org/")),
SUBSTITUTE(
SUBSTITUTE(
SUBSTITUTE(
SUBSTITUTE(
_xlpm.doi,
"/","%2F"),
":","%3A"),
"&lt;","%3C"),
"&gt;","%3E")
)</f>
        <v>10.1186%2F1741-7007-5-18</v>
      </c>
      <c r="K97" s="1" t="str">
        <f aca="false">TRIM(_xlfn.TEXTJOIN("_",FALSE(),F97,(SUBSTITUTE(SUBSTITUTE(D97," ",""), "_", ""))))</f>
        <v>Karbowski__2007_Table1</v>
      </c>
      <c r="L97" s="1" t="str">
        <f aca="false">J97 &amp; "_" &amp; SUBSTITUTE(SUBSTITUTE(SUBSTITUTE(D97,CHAR(160),"")," ",""),"_","")</f>
        <v>10.1186%2F1741-7007-5-18_Table1</v>
      </c>
      <c r="M97" s="1" t="str">
        <f aca="false" t="array" ref="M97:M97">IFERROR(INDEX(FileList!$A$1:$A$1000,MATCH(TRUE(),EXACT(L97,IFERROR(_xlfn.TEXTBEFORE(FileList!$A$1:$A$1000,".tsv"),"")),0)),"notfound")</f>
        <v>notfound</v>
      </c>
      <c r="N97" s="4" t="s">
        <v>454</v>
      </c>
      <c r="V97" s="4" t="s">
        <v>42</v>
      </c>
      <c r="AG97" s="4" t="s">
        <v>455</v>
      </c>
      <c r="AI97" s="4" t="s">
        <v>456</v>
      </c>
      <c r="AJ97" s="4" t="s">
        <v>142</v>
      </c>
      <c r="AK97" s="4" t="s">
        <v>63</v>
      </c>
      <c r="AL97" s="4" t="s">
        <v>143</v>
      </c>
      <c r="AM97" s="4" t="s">
        <v>457</v>
      </c>
    </row>
    <row r="98" customFormat="false" ht="15.75" hidden="false" customHeight="true" outlineLevel="0" collapsed="false">
      <c r="A98" s="4" t="s">
        <v>453</v>
      </c>
      <c r="D98" s="4" t="s">
        <v>200</v>
      </c>
      <c r="E98" s="1" t="str">
        <f aca="false">RIGHT(A98,1)</f>
        <v>8</v>
      </c>
      <c r="F98" s="1" t="str">
        <f aca="false">G98 &amp; IF(H98&lt;&gt;"", "_" &amp; H98, "_") &amp; IF(I98&lt;&gt;"", "_" &amp; I98, "_") &amp; IF(B98&lt;&gt;"", "_" &amp; B98, "")</f>
        <v>Karbowski__2007</v>
      </c>
      <c r="G98" s="1" t="str">
        <f aca="false">SUBSTITUTE(SUBSTITUTE(_xlfn.TEXTBEFORE(A98,","), "-", ""), " ", "")</f>
        <v>Karbowski</v>
      </c>
      <c r="H98" s="1" t="str">
        <f aca="false">_xlfn.LET(
_xlpm.authors,_xlfn.TEXTBEFORE(A98," ("&amp;I98&amp;")"),
_xlpm.hasAmp,ISNUMBER(SEARCH("&amp;",_xlpm.authors)),
_xlpm.commasBeforeAmp,IF(_xlpm.hasAmp,LEN(_xlfn.TEXTBEFORE(_xlpm.authors,"&amp;"))-LEN(SUBSTITUTE(_xlfn.TEXTBEFORE(_xlpm.authors,"&amp;"),",","")),0),
IF(NOT(_xlpm.hasAmp),"",IF(_xlpm.commasBeforeAmp&gt;2,"etal",TRIM(_xlfn.TEXTBEFORE(_xlfn.TEXTAFTER(_xlpm.authors,"&amp; "),","))))
)</f>
        <v/>
      </c>
      <c r="I98" s="1" t="str">
        <f aca="false">_xlfn.TEXTBEFORE(_xlfn.TEXTAFTER(A98, "("), ")")</f>
        <v>2007</v>
      </c>
      <c r="J98" s="1" t="str">
        <f aca="false">_xlfn.LET(
_xlpm.doi,IF(C98&lt;&gt;"",C98,_xlfn.TEXTAFTER(A98,"https://doi.org/")),
SUBSTITUTE(
SUBSTITUTE(
SUBSTITUTE(
SUBSTITUTE(
_xlpm.doi,
"/","%2F"),
":","%3A"),
"&lt;","%3C"),
"&gt;","%3E")
)</f>
        <v>10.1186%2F1741-7007-5-18</v>
      </c>
      <c r="K98" s="1" t="str">
        <f aca="false">TRIM(_xlfn.TEXTJOIN("_",FALSE(),F98,(SUBSTITUTE(SUBSTITUTE(D98," ",""), "_", ""))))</f>
        <v>Karbowski__2007_TableS1</v>
      </c>
      <c r="L98" s="1" t="str">
        <f aca="false">J98 &amp; "_" &amp; SUBSTITUTE(SUBSTITUTE(SUBSTITUTE(D98,CHAR(160),"")," ",""),"_","")</f>
        <v>10.1186%2F1741-7007-5-18_TableS1</v>
      </c>
      <c r="M98" s="1" t="str">
        <f aca="false" t="array" ref="M98:M98">IFERROR(INDEX(FileList!$A$1:$A$1000,MATCH(TRUE(),EXACT(L98,IFERROR(_xlfn.TEXTBEFORE(FileList!$A$1:$A$1000,".tsv"),"")),0)),"notfound")</f>
        <v>notfound</v>
      </c>
      <c r="N98" s="4" t="s">
        <v>458</v>
      </c>
      <c r="V98" s="4" t="s">
        <v>42</v>
      </c>
      <c r="AG98" s="4" t="s">
        <v>455</v>
      </c>
      <c r="AI98" s="4" t="s">
        <v>459</v>
      </c>
      <c r="AJ98" s="4" t="s">
        <v>142</v>
      </c>
      <c r="AK98" s="4" t="s">
        <v>460</v>
      </c>
      <c r="AL98" s="4" t="s">
        <v>143</v>
      </c>
      <c r="AM98" s="4" t="s">
        <v>461</v>
      </c>
    </row>
    <row r="99" customFormat="false" ht="15.75" hidden="false" customHeight="true" outlineLevel="0" collapsed="false">
      <c r="A99" s="4" t="s">
        <v>453</v>
      </c>
      <c r="D99" s="4" t="s">
        <v>343</v>
      </c>
      <c r="E99" s="1" t="str">
        <f aca="false">RIGHT(A99,1)</f>
        <v>8</v>
      </c>
      <c r="F99" s="1" t="str">
        <f aca="false">G99 &amp; IF(H99&lt;&gt;"", "_" &amp; H99, "_") &amp; IF(I99&lt;&gt;"", "_" &amp; I99, "_") &amp; IF(B99&lt;&gt;"", "_" &amp; B99, "")</f>
        <v>Karbowski__2007</v>
      </c>
      <c r="G99" s="1" t="str">
        <f aca="false">SUBSTITUTE(SUBSTITUTE(_xlfn.TEXTBEFORE(A99,","), "-", ""), " ", "")</f>
        <v>Karbowski</v>
      </c>
      <c r="H99" s="1" t="str">
        <f aca="false">_xlfn.LET(
_xlpm.authors,_xlfn.TEXTBEFORE(A99," ("&amp;I99&amp;")"),
_xlpm.hasAmp,ISNUMBER(SEARCH("&amp;",_xlpm.authors)),
_xlpm.commasBeforeAmp,IF(_xlpm.hasAmp,LEN(_xlfn.TEXTBEFORE(_xlpm.authors,"&amp;"))-LEN(SUBSTITUTE(_xlfn.TEXTBEFORE(_xlpm.authors,"&amp;"),",","")),0),
IF(NOT(_xlpm.hasAmp),"",IF(_xlpm.commasBeforeAmp&gt;2,"etal",TRIM(_xlfn.TEXTBEFORE(_xlfn.TEXTAFTER(_xlpm.authors,"&amp; "),","))))
)</f>
        <v/>
      </c>
      <c r="I99" s="1" t="str">
        <f aca="false">_xlfn.TEXTBEFORE(_xlfn.TEXTAFTER(A99, "("), ")")</f>
        <v>2007</v>
      </c>
      <c r="J99" s="1" t="str">
        <f aca="false">_xlfn.LET(
_xlpm.doi,IF(C99&lt;&gt;"",C99,_xlfn.TEXTAFTER(A99,"https://doi.org/")),
SUBSTITUTE(
SUBSTITUTE(
SUBSTITUTE(
SUBSTITUTE(
_xlpm.doi,
"/","%2F"),
":","%3A"),
"&lt;","%3C"),
"&gt;","%3E")
)</f>
        <v>10.1186%2F1741-7007-5-18</v>
      </c>
      <c r="K99" s="1" t="str">
        <f aca="false">TRIM(_xlfn.TEXTJOIN("_",FALSE(),F99,(SUBSTITUTE(SUBSTITUTE(D99," ",""), "_", ""))))</f>
        <v>Karbowski__2007_TableS2</v>
      </c>
      <c r="L99" s="1" t="str">
        <f aca="false">J99 &amp; "_" &amp; SUBSTITUTE(SUBSTITUTE(SUBSTITUTE(D99,CHAR(160),"")," ",""),"_","")</f>
        <v>10.1186%2F1741-7007-5-18_TableS2</v>
      </c>
      <c r="M99" s="1" t="str">
        <f aca="false" t="array" ref="M99:M99">IFERROR(INDEX(FileList!$A$1:$A$1000,MATCH(TRUE(),EXACT(L99,IFERROR(_xlfn.TEXTBEFORE(FileList!$A$1:$A$1000,".tsv"),"")),0)),"notfound")</f>
        <v>notfound</v>
      </c>
      <c r="N99" s="4" t="s">
        <v>462</v>
      </c>
      <c r="V99" s="4" t="s">
        <v>42</v>
      </c>
      <c r="AG99" s="4" t="s">
        <v>455</v>
      </c>
      <c r="AI99" s="4" t="s">
        <v>463</v>
      </c>
      <c r="AJ99" s="4" t="s">
        <v>142</v>
      </c>
      <c r="AK99" s="4" t="s">
        <v>460</v>
      </c>
      <c r="AL99" s="4" t="s">
        <v>143</v>
      </c>
      <c r="AM99" s="4" t="s">
        <v>461</v>
      </c>
    </row>
    <row r="100" customFormat="false" ht="15.75" hidden="false" customHeight="true" outlineLevel="0" collapsed="false">
      <c r="A100" s="4" t="s">
        <v>453</v>
      </c>
      <c r="D100" s="4" t="s">
        <v>421</v>
      </c>
      <c r="E100" s="1" t="str">
        <f aca="false">RIGHT(A100,1)</f>
        <v>8</v>
      </c>
      <c r="F100" s="1" t="str">
        <f aca="false">G100 &amp; IF(H100&lt;&gt;"", "_" &amp; H100, "_") &amp; IF(I100&lt;&gt;"", "_" &amp; I100, "_") &amp; IF(B100&lt;&gt;"", "_" &amp; B100, "")</f>
        <v>Karbowski__2007</v>
      </c>
      <c r="G100" s="1" t="str">
        <f aca="false">SUBSTITUTE(SUBSTITUTE(_xlfn.TEXTBEFORE(A100,","), "-", ""), " ", "")</f>
        <v>Karbowski</v>
      </c>
      <c r="H100" s="1" t="str">
        <f aca="false">_xlfn.LET(
_xlpm.authors,_xlfn.TEXTBEFORE(A100," ("&amp;I100&amp;")"),
_xlpm.hasAmp,ISNUMBER(SEARCH("&amp;",_xlpm.authors)),
_xlpm.commasBeforeAmp,IF(_xlpm.hasAmp,LEN(_xlfn.TEXTBEFORE(_xlpm.authors,"&amp;"))-LEN(SUBSTITUTE(_xlfn.TEXTBEFORE(_xlpm.authors,"&amp;"),",","")),0),
IF(NOT(_xlpm.hasAmp),"",IF(_xlpm.commasBeforeAmp&gt;2,"etal",TRIM(_xlfn.TEXTBEFORE(_xlfn.TEXTAFTER(_xlpm.authors,"&amp; "),","))))
)</f>
        <v/>
      </c>
      <c r="I100" s="1" t="str">
        <f aca="false">_xlfn.TEXTBEFORE(_xlfn.TEXTAFTER(A100, "("), ")")</f>
        <v>2007</v>
      </c>
      <c r="J100" s="1" t="str">
        <f aca="false">_xlfn.LET(
_xlpm.doi,IF(C100&lt;&gt;"",C100,_xlfn.TEXTAFTER(A100,"https://doi.org/")),
SUBSTITUTE(
SUBSTITUTE(
SUBSTITUTE(
SUBSTITUTE(
_xlpm.doi,
"/","%2F"),
":","%3A"),
"&lt;","%3C"),
"&gt;","%3E")
)</f>
        <v>10.1186%2F1741-7007-5-18</v>
      </c>
      <c r="K100" s="1" t="str">
        <f aca="false">TRIM(_xlfn.TEXTJOIN("_",FALSE(),F100,(SUBSTITUTE(SUBSTITUTE(D100," ",""), "_", ""))))</f>
        <v>Karbowski__2007_TableS3</v>
      </c>
      <c r="L100" s="1" t="str">
        <f aca="false">J100 &amp; "_" &amp; SUBSTITUTE(SUBSTITUTE(SUBSTITUTE(D100,CHAR(160),"")," ",""),"_","")</f>
        <v>10.1186%2F1741-7007-5-18_TableS3</v>
      </c>
      <c r="M100" s="1" t="str">
        <f aca="false" t="array" ref="M100:M100">IFERROR(INDEX(FileList!$A$1:$A$1000,MATCH(TRUE(),EXACT(L100,IFERROR(_xlfn.TEXTBEFORE(FileList!$A$1:$A$1000,".tsv"),"")),0)),"notfound")</f>
        <v>notfound</v>
      </c>
      <c r="N100" s="4" t="s">
        <v>464</v>
      </c>
      <c r="V100" s="4" t="s">
        <v>42</v>
      </c>
      <c r="AG100" s="4" t="s">
        <v>455</v>
      </c>
      <c r="AI100" s="4" t="s">
        <v>463</v>
      </c>
      <c r="AJ100" s="4" t="s">
        <v>142</v>
      </c>
      <c r="AK100" s="4" t="s">
        <v>460</v>
      </c>
      <c r="AL100" s="4" t="s">
        <v>143</v>
      </c>
      <c r="AM100" s="4" t="s">
        <v>461</v>
      </c>
    </row>
    <row r="101" customFormat="false" ht="15.75" hidden="false" customHeight="true" outlineLevel="0" collapsed="false">
      <c r="A101" s="4" t="s">
        <v>453</v>
      </c>
      <c r="D101" s="4" t="s">
        <v>465</v>
      </c>
      <c r="E101" s="1" t="str">
        <f aca="false">RIGHT(A101,1)</f>
        <v>8</v>
      </c>
      <c r="F101" s="1" t="str">
        <f aca="false">G101 &amp; IF(H101&lt;&gt;"", "_" &amp; H101, "_") &amp; IF(I101&lt;&gt;"", "_" &amp; I101, "_") &amp; IF(B101&lt;&gt;"", "_" &amp; B101, "")</f>
        <v>Karbowski__2007</v>
      </c>
      <c r="G101" s="1" t="str">
        <f aca="false">SUBSTITUTE(SUBSTITUTE(_xlfn.TEXTBEFORE(A101,","), "-", ""), " ", "")</f>
        <v>Karbowski</v>
      </c>
      <c r="H101" s="1" t="str">
        <f aca="false">_xlfn.LET(
_xlpm.authors,_xlfn.TEXTBEFORE(A101," ("&amp;I101&amp;")"),
_xlpm.hasAmp,ISNUMBER(SEARCH("&amp;",_xlpm.authors)),
_xlpm.commasBeforeAmp,IF(_xlpm.hasAmp,LEN(_xlfn.TEXTBEFORE(_xlpm.authors,"&amp;"))-LEN(SUBSTITUTE(_xlfn.TEXTBEFORE(_xlpm.authors,"&amp;"),",","")),0),
IF(NOT(_xlpm.hasAmp),"",IF(_xlpm.commasBeforeAmp&gt;2,"etal",TRIM(_xlfn.TEXTBEFORE(_xlfn.TEXTAFTER(_xlpm.authors,"&amp; "),","))))
)</f>
        <v/>
      </c>
      <c r="I101" s="1" t="str">
        <f aca="false">_xlfn.TEXTBEFORE(_xlfn.TEXTAFTER(A101, "("), ")")</f>
        <v>2007</v>
      </c>
      <c r="J101" s="1" t="str">
        <f aca="false">_xlfn.LET(
_xlpm.doi,IF(C101&lt;&gt;"",C101,_xlfn.TEXTAFTER(A101,"https://doi.org/")),
SUBSTITUTE(
SUBSTITUTE(
SUBSTITUTE(
SUBSTITUTE(
_xlpm.doi,
"/","%2F"),
":","%3A"),
"&lt;","%3C"),
"&gt;","%3E")
)</f>
        <v>10.1186%2F1741-7007-5-18</v>
      </c>
      <c r="K101" s="1" t="str">
        <f aca="false">TRIM(_xlfn.TEXTJOIN("_",FALSE(),F101,(SUBSTITUTE(SUBSTITUTE(D101," ",""), "_", ""))))</f>
        <v>Karbowski__2007_TableS4</v>
      </c>
      <c r="L101" s="1" t="str">
        <f aca="false">J101 &amp; "_" &amp; SUBSTITUTE(SUBSTITUTE(SUBSTITUTE(D101,CHAR(160),"")," ",""),"_","")</f>
        <v>10.1186%2F1741-7007-5-18_TableS4</v>
      </c>
      <c r="M101" s="1" t="str">
        <f aca="false" t="array" ref="M101:M101">IFERROR(INDEX(FileList!$A$1:$A$1000,MATCH(TRUE(),EXACT(L101,IFERROR(_xlfn.TEXTBEFORE(FileList!$A$1:$A$1000,".tsv"),"")),0)),"notfound")</f>
        <v>notfound</v>
      </c>
      <c r="N101" s="4" t="s">
        <v>466</v>
      </c>
      <c r="V101" s="4" t="s">
        <v>42</v>
      </c>
      <c r="AG101" s="4" t="s">
        <v>455</v>
      </c>
      <c r="AI101" s="4" t="s">
        <v>463</v>
      </c>
      <c r="AJ101" s="4" t="s">
        <v>142</v>
      </c>
      <c r="AK101" s="4" t="s">
        <v>460</v>
      </c>
      <c r="AL101" s="4" t="s">
        <v>143</v>
      </c>
      <c r="AM101" s="4" t="s">
        <v>461</v>
      </c>
    </row>
    <row r="102" customFormat="false" ht="15.75" hidden="false" customHeight="true" outlineLevel="0" collapsed="false">
      <c r="A102" s="4" t="s">
        <v>453</v>
      </c>
      <c r="D102" s="4" t="s">
        <v>467</v>
      </c>
      <c r="E102" s="1" t="str">
        <f aca="false">RIGHT(A102,1)</f>
        <v>8</v>
      </c>
      <c r="F102" s="1" t="str">
        <f aca="false">G102 &amp; IF(H102&lt;&gt;"", "_" &amp; H102, "_") &amp; IF(I102&lt;&gt;"", "_" &amp; I102, "_") &amp; IF(B102&lt;&gt;"", "_" &amp; B102, "")</f>
        <v>Karbowski__2007</v>
      </c>
      <c r="G102" s="1" t="str">
        <f aca="false">SUBSTITUTE(SUBSTITUTE(_xlfn.TEXTBEFORE(A102,","), "-", ""), " ", "")</f>
        <v>Karbowski</v>
      </c>
      <c r="H102" s="1" t="str">
        <f aca="false">_xlfn.LET(
_xlpm.authors,_xlfn.TEXTBEFORE(A102," ("&amp;I102&amp;")"),
_xlpm.hasAmp,ISNUMBER(SEARCH("&amp;",_xlpm.authors)),
_xlpm.commasBeforeAmp,IF(_xlpm.hasAmp,LEN(_xlfn.TEXTBEFORE(_xlpm.authors,"&amp;"))-LEN(SUBSTITUTE(_xlfn.TEXTBEFORE(_xlpm.authors,"&amp;"),",","")),0),
IF(NOT(_xlpm.hasAmp),"",IF(_xlpm.commasBeforeAmp&gt;2,"etal",TRIM(_xlfn.TEXTBEFORE(_xlfn.TEXTAFTER(_xlpm.authors,"&amp; "),","))))
)</f>
        <v/>
      </c>
      <c r="I102" s="1" t="str">
        <f aca="false">_xlfn.TEXTBEFORE(_xlfn.TEXTAFTER(A102, "("), ")")</f>
        <v>2007</v>
      </c>
      <c r="J102" s="1" t="str">
        <f aca="false">_xlfn.LET(
_xlpm.doi,IF(C102&lt;&gt;"",C102,_xlfn.TEXTAFTER(A102,"https://doi.org/")),
SUBSTITUTE(
SUBSTITUTE(
SUBSTITUTE(
SUBSTITUTE(
_xlpm.doi,
"/","%2F"),
":","%3A"),
"&lt;","%3C"),
"&gt;","%3E")
)</f>
        <v>10.1186%2F1741-7007-5-18</v>
      </c>
      <c r="K102" s="1" t="str">
        <f aca="false">TRIM(_xlfn.TEXTJOIN("_",FALSE(),F102,(SUBSTITUTE(SUBSTITUTE(D102," ",""), "_", ""))))</f>
        <v>Karbowski__2007_TableS5</v>
      </c>
      <c r="L102" s="1" t="str">
        <f aca="false">J102 &amp; "_" &amp; SUBSTITUTE(SUBSTITUTE(SUBSTITUTE(D102,CHAR(160),"")," ",""),"_","")</f>
        <v>10.1186%2F1741-7007-5-18_TableS5</v>
      </c>
      <c r="M102" s="1" t="str">
        <f aca="false" t="array" ref="M102:M102">IFERROR(INDEX(FileList!$A$1:$A$1000,MATCH(TRUE(),EXACT(L102,IFERROR(_xlfn.TEXTBEFORE(FileList!$A$1:$A$1000,".tsv"),"")),0)),"notfound")</f>
        <v>notfound</v>
      </c>
      <c r="N102" s="4" t="s">
        <v>468</v>
      </c>
      <c r="V102" s="4" t="s">
        <v>42</v>
      </c>
      <c r="AG102" s="4" t="s">
        <v>455</v>
      </c>
      <c r="AI102" s="4" t="s">
        <v>463</v>
      </c>
      <c r="AJ102" s="4" t="s">
        <v>142</v>
      </c>
      <c r="AK102" s="4" t="s">
        <v>460</v>
      </c>
      <c r="AL102" s="4" t="s">
        <v>143</v>
      </c>
      <c r="AM102" s="4" t="s">
        <v>461</v>
      </c>
    </row>
    <row r="103" customFormat="false" ht="15.75" hidden="false" customHeight="true" outlineLevel="0" collapsed="false">
      <c r="A103" s="4" t="s">
        <v>453</v>
      </c>
      <c r="D103" s="4" t="s">
        <v>469</v>
      </c>
      <c r="E103" s="1" t="str">
        <f aca="false">RIGHT(A103,1)</f>
        <v>8</v>
      </c>
      <c r="F103" s="1" t="str">
        <f aca="false">G103 &amp; IF(H103&lt;&gt;"", "_" &amp; H103, "_") &amp; IF(I103&lt;&gt;"", "_" &amp; I103, "_") &amp; IF(B103&lt;&gt;"", "_" &amp; B103, "")</f>
        <v>Karbowski__2007</v>
      </c>
      <c r="G103" s="1" t="str">
        <f aca="false">SUBSTITUTE(SUBSTITUTE(_xlfn.TEXTBEFORE(A103,","), "-", ""), " ", "")</f>
        <v>Karbowski</v>
      </c>
      <c r="H103" s="1" t="str">
        <f aca="false">_xlfn.LET(
_xlpm.authors,_xlfn.TEXTBEFORE(A103," ("&amp;I103&amp;")"),
_xlpm.hasAmp,ISNUMBER(SEARCH("&amp;",_xlpm.authors)),
_xlpm.commasBeforeAmp,IF(_xlpm.hasAmp,LEN(_xlfn.TEXTBEFORE(_xlpm.authors,"&amp;"))-LEN(SUBSTITUTE(_xlfn.TEXTBEFORE(_xlpm.authors,"&amp;"),",","")),0),
IF(NOT(_xlpm.hasAmp),"",IF(_xlpm.commasBeforeAmp&gt;2,"etal",TRIM(_xlfn.TEXTBEFORE(_xlfn.TEXTAFTER(_xlpm.authors,"&amp; "),","))))
)</f>
        <v/>
      </c>
      <c r="I103" s="1" t="str">
        <f aca="false">_xlfn.TEXTBEFORE(_xlfn.TEXTAFTER(A103, "("), ")")</f>
        <v>2007</v>
      </c>
      <c r="J103" s="1" t="str">
        <f aca="false">_xlfn.LET(
_xlpm.doi,IF(C103&lt;&gt;"",C103,_xlfn.TEXTAFTER(A103,"https://doi.org/")),
SUBSTITUTE(
SUBSTITUTE(
SUBSTITUTE(
SUBSTITUTE(
_xlpm.doi,
"/","%2F"),
":","%3A"),
"&lt;","%3C"),
"&gt;","%3E")
)</f>
        <v>10.1186%2F1741-7007-5-18</v>
      </c>
      <c r="K103" s="1" t="str">
        <f aca="false">TRIM(_xlfn.TEXTJOIN("_",FALSE(),F103,(SUBSTITUTE(SUBSTITUTE(D103," ",""), "_", ""))))</f>
        <v>Karbowski__2007_TableS6</v>
      </c>
      <c r="L103" s="1" t="str">
        <f aca="false">J103 &amp; "_" &amp; SUBSTITUTE(SUBSTITUTE(SUBSTITUTE(D103,CHAR(160),"")," ",""),"_","")</f>
        <v>10.1186%2F1741-7007-5-18_TableS6</v>
      </c>
      <c r="M103" s="1" t="str">
        <f aca="false" t="array" ref="M103:M103">IFERROR(INDEX(FileList!$A$1:$A$1000,MATCH(TRUE(),EXACT(L103,IFERROR(_xlfn.TEXTBEFORE(FileList!$A$1:$A$1000,".tsv"),"")),0)),"notfound")</f>
        <v>notfound</v>
      </c>
      <c r="N103" s="4" t="s">
        <v>470</v>
      </c>
      <c r="V103" s="4" t="s">
        <v>42</v>
      </c>
      <c r="AG103" s="4" t="s">
        <v>455</v>
      </c>
      <c r="AI103" s="4" t="s">
        <v>463</v>
      </c>
      <c r="AJ103" s="4" t="s">
        <v>142</v>
      </c>
      <c r="AK103" s="4" t="s">
        <v>460</v>
      </c>
      <c r="AL103" s="4" t="s">
        <v>143</v>
      </c>
      <c r="AM103" s="4" t="s">
        <v>461</v>
      </c>
    </row>
    <row r="104" customFormat="false" ht="15.75" hidden="false" customHeight="true" outlineLevel="0" collapsed="false">
      <c r="A104" s="4" t="s">
        <v>453</v>
      </c>
      <c r="D104" s="4" t="s">
        <v>471</v>
      </c>
      <c r="E104" s="1" t="str">
        <f aca="false">RIGHT(A104,1)</f>
        <v>8</v>
      </c>
      <c r="F104" s="1" t="str">
        <f aca="false">G104 &amp; IF(H104&lt;&gt;"", "_" &amp; H104, "_") &amp; IF(I104&lt;&gt;"", "_" &amp; I104, "_") &amp; IF(B104&lt;&gt;"", "_" &amp; B104, "")</f>
        <v>Karbowski__2007</v>
      </c>
      <c r="G104" s="1" t="str">
        <f aca="false">SUBSTITUTE(SUBSTITUTE(_xlfn.TEXTBEFORE(A104,","), "-", ""), " ", "")</f>
        <v>Karbowski</v>
      </c>
      <c r="H104" s="1" t="str">
        <f aca="false">_xlfn.LET(
_xlpm.authors,_xlfn.TEXTBEFORE(A104," ("&amp;I104&amp;")"),
_xlpm.hasAmp,ISNUMBER(SEARCH("&amp;",_xlpm.authors)),
_xlpm.commasBeforeAmp,IF(_xlpm.hasAmp,LEN(_xlfn.TEXTBEFORE(_xlpm.authors,"&amp;"))-LEN(SUBSTITUTE(_xlfn.TEXTBEFORE(_xlpm.authors,"&amp;"),",","")),0),
IF(NOT(_xlpm.hasAmp),"",IF(_xlpm.commasBeforeAmp&gt;2,"etal",TRIM(_xlfn.TEXTBEFORE(_xlfn.TEXTAFTER(_xlpm.authors,"&amp; "),","))))
)</f>
        <v/>
      </c>
      <c r="I104" s="1" t="str">
        <f aca="false">_xlfn.TEXTBEFORE(_xlfn.TEXTAFTER(A104, "("), ")")</f>
        <v>2007</v>
      </c>
      <c r="J104" s="1" t="str">
        <f aca="false">_xlfn.LET(
_xlpm.doi,IF(C104&lt;&gt;"",C104,_xlfn.TEXTAFTER(A104,"https://doi.org/")),
SUBSTITUTE(
SUBSTITUTE(
SUBSTITUTE(
SUBSTITUTE(
_xlpm.doi,
"/","%2F"),
":","%3A"),
"&lt;","%3C"),
"&gt;","%3E")
)</f>
        <v>10.1186%2F1741-7007-5-18</v>
      </c>
      <c r="K104" s="1" t="str">
        <f aca="false">TRIM(_xlfn.TEXTJOIN("_",FALSE(),F104,(SUBSTITUTE(SUBSTITUTE(D104," ",""), "_", ""))))</f>
        <v>Karbowski__2007_TableS7</v>
      </c>
      <c r="L104" s="1" t="str">
        <f aca="false">J104 &amp; "_" &amp; SUBSTITUTE(SUBSTITUTE(SUBSTITUTE(D104,CHAR(160),"")," ",""),"_","")</f>
        <v>10.1186%2F1741-7007-5-18_TableS7</v>
      </c>
      <c r="M104" s="1" t="str">
        <f aca="false" t="array" ref="M104:M104">IFERROR(INDEX(FileList!$A$1:$A$1000,MATCH(TRUE(),EXACT(L104,IFERROR(_xlfn.TEXTBEFORE(FileList!$A$1:$A$1000,".tsv"),"")),0)),"notfound")</f>
        <v>notfound</v>
      </c>
      <c r="N104" s="4" t="s">
        <v>472</v>
      </c>
      <c r="V104" s="4" t="s">
        <v>42</v>
      </c>
      <c r="AG104" s="4" t="s">
        <v>455</v>
      </c>
      <c r="AI104" s="4" t="s">
        <v>463</v>
      </c>
      <c r="AJ104" s="4" t="s">
        <v>142</v>
      </c>
      <c r="AK104" s="4" t="s">
        <v>460</v>
      </c>
      <c r="AL104" s="4" t="s">
        <v>143</v>
      </c>
      <c r="AM104" s="4" t="s">
        <v>461</v>
      </c>
    </row>
    <row r="105" customFormat="false" ht="15.75" hidden="false" customHeight="true" outlineLevel="0" collapsed="false">
      <c r="A105" s="4" t="s">
        <v>453</v>
      </c>
      <c r="D105" s="4" t="s">
        <v>473</v>
      </c>
      <c r="E105" s="1" t="str">
        <f aca="false">RIGHT(A105,1)</f>
        <v>8</v>
      </c>
      <c r="F105" s="1" t="str">
        <f aca="false">G105 &amp; IF(H105&lt;&gt;"", "_" &amp; H105, "_") &amp; IF(I105&lt;&gt;"", "_" &amp; I105, "_") &amp; IF(B105&lt;&gt;"", "_" &amp; B105, "")</f>
        <v>Karbowski__2007</v>
      </c>
      <c r="G105" s="1" t="str">
        <f aca="false">SUBSTITUTE(SUBSTITUTE(_xlfn.TEXTBEFORE(A105,","), "-", ""), " ", "")</f>
        <v>Karbowski</v>
      </c>
      <c r="H105" s="1" t="str">
        <f aca="false">_xlfn.LET(
_xlpm.authors,_xlfn.TEXTBEFORE(A105," ("&amp;I105&amp;")"),
_xlpm.hasAmp,ISNUMBER(SEARCH("&amp;",_xlpm.authors)),
_xlpm.commasBeforeAmp,IF(_xlpm.hasAmp,LEN(_xlfn.TEXTBEFORE(_xlpm.authors,"&amp;"))-LEN(SUBSTITUTE(_xlfn.TEXTBEFORE(_xlpm.authors,"&amp;"),",","")),0),
IF(NOT(_xlpm.hasAmp),"",IF(_xlpm.commasBeforeAmp&gt;2,"etal",TRIM(_xlfn.TEXTBEFORE(_xlfn.TEXTAFTER(_xlpm.authors,"&amp; "),","))))
)</f>
        <v/>
      </c>
      <c r="I105" s="1" t="str">
        <f aca="false">_xlfn.TEXTBEFORE(_xlfn.TEXTAFTER(A105, "("), ")")</f>
        <v>2007</v>
      </c>
      <c r="J105" s="1" t="str">
        <f aca="false">_xlfn.LET(
_xlpm.doi,IF(C105&lt;&gt;"",C105,_xlfn.TEXTAFTER(A105,"https://doi.org/")),
SUBSTITUTE(
SUBSTITUTE(
SUBSTITUTE(
SUBSTITUTE(
_xlpm.doi,
"/","%2F"),
":","%3A"),
"&lt;","%3C"),
"&gt;","%3E")
)</f>
        <v>10.1186%2F1741-7007-5-18</v>
      </c>
      <c r="K105" s="1" t="str">
        <f aca="false">TRIM(_xlfn.TEXTJOIN("_",FALSE(),F105,(SUBSTITUTE(SUBSTITUTE(D105," ",""), "_", ""))))</f>
        <v>Karbowski__2007_TableS8</v>
      </c>
      <c r="L105" s="1" t="str">
        <f aca="false">J105 &amp; "_" &amp; SUBSTITUTE(SUBSTITUTE(SUBSTITUTE(D105,CHAR(160),"")," ",""),"_","")</f>
        <v>10.1186%2F1741-7007-5-18_TableS8</v>
      </c>
      <c r="M105" s="1" t="str">
        <f aca="false" t="array" ref="M105:M105">IFERROR(INDEX(FileList!$A$1:$A$1000,MATCH(TRUE(),EXACT(L105,IFERROR(_xlfn.TEXTBEFORE(FileList!$A$1:$A$1000,".tsv"),"")),0)),"notfound")</f>
        <v>notfound</v>
      </c>
      <c r="N105" s="4" t="s">
        <v>474</v>
      </c>
      <c r="V105" s="4" t="s">
        <v>42</v>
      </c>
      <c r="AG105" s="4" t="s">
        <v>455</v>
      </c>
      <c r="AI105" s="4" t="s">
        <v>463</v>
      </c>
      <c r="AJ105" s="4" t="s">
        <v>142</v>
      </c>
      <c r="AK105" s="4" t="s">
        <v>460</v>
      </c>
      <c r="AL105" s="4" t="s">
        <v>143</v>
      </c>
      <c r="AM105" s="4" t="s">
        <v>461</v>
      </c>
    </row>
    <row r="106" customFormat="false" ht="15.75" hidden="false" customHeight="true" outlineLevel="0" collapsed="false">
      <c r="A106" s="4" t="s">
        <v>453</v>
      </c>
      <c r="D106" s="4" t="s">
        <v>475</v>
      </c>
      <c r="E106" s="1" t="str">
        <f aca="false">RIGHT(A106,1)</f>
        <v>8</v>
      </c>
      <c r="F106" s="1" t="str">
        <f aca="false">G106 &amp; IF(H106&lt;&gt;"", "_" &amp; H106, "_") &amp; IF(I106&lt;&gt;"", "_" &amp; I106, "_") &amp; IF(B106&lt;&gt;"", "_" &amp; B106, "")</f>
        <v>Karbowski__2007</v>
      </c>
      <c r="G106" s="1" t="str">
        <f aca="false">SUBSTITUTE(SUBSTITUTE(_xlfn.TEXTBEFORE(A106,","), "-", ""), " ", "")</f>
        <v>Karbowski</v>
      </c>
      <c r="H106" s="1" t="str">
        <f aca="false">_xlfn.LET(
_xlpm.authors,_xlfn.TEXTBEFORE(A106," ("&amp;I106&amp;")"),
_xlpm.hasAmp,ISNUMBER(SEARCH("&amp;",_xlpm.authors)),
_xlpm.commasBeforeAmp,IF(_xlpm.hasAmp,LEN(_xlfn.TEXTBEFORE(_xlpm.authors,"&amp;"))-LEN(SUBSTITUTE(_xlfn.TEXTBEFORE(_xlpm.authors,"&amp;"),",","")),0),
IF(NOT(_xlpm.hasAmp),"",IF(_xlpm.commasBeforeAmp&gt;2,"etal",TRIM(_xlfn.TEXTBEFORE(_xlfn.TEXTAFTER(_xlpm.authors,"&amp; "),","))))
)</f>
        <v/>
      </c>
      <c r="I106" s="1" t="str">
        <f aca="false">_xlfn.TEXTBEFORE(_xlfn.TEXTAFTER(A106, "("), ")")</f>
        <v>2007</v>
      </c>
      <c r="J106" s="1" t="str">
        <f aca="false">_xlfn.LET(
_xlpm.doi,IF(C106&lt;&gt;"",C106,_xlfn.TEXTAFTER(A106,"https://doi.org/")),
SUBSTITUTE(
SUBSTITUTE(
SUBSTITUTE(
SUBSTITUTE(
_xlpm.doi,
"/","%2F"),
":","%3A"),
"&lt;","%3C"),
"&gt;","%3E")
)</f>
        <v>10.1186%2F1741-7007-5-18</v>
      </c>
      <c r="K106" s="1" t="str">
        <f aca="false">TRIM(_xlfn.TEXTJOIN("_",FALSE(),F106,(SUBSTITUTE(SUBSTITUTE(D106," ",""), "_", ""))))</f>
        <v>Karbowski__2007_TableS9</v>
      </c>
      <c r="L106" s="1" t="str">
        <f aca="false">J106 &amp; "_" &amp; SUBSTITUTE(SUBSTITUTE(SUBSTITUTE(D106,CHAR(160),"")," ",""),"_","")</f>
        <v>10.1186%2F1741-7007-5-18_TableS9</v>
      </c>
      <c r="M106" s="1" t="str">
        <f aca="false" t="array" ref="M106:M106">IFERROR(INDEX(FileList!$A$1:$A$1000,MATCH(TRUE(),EXACT(L106,IFERROR(_xlfn.TEXTBEFORE(FileList!$A$1:$A$1000,".tsv"),"")),0)),"notfound")</f>
        <v>notfound</v>
      </c>
      <c r="N106" s="4" t="s">
        <v>476</v>
      </c>
      <c r="V106" s="4" t="s">
        <v>42</v>
      </c>
      <c r="AG106" s="4" t="s">
        <v>455</v>
      </c>
      <c r="AI106" s="4" t="s">
        <v>463</v>
      </c>
      <c r="AJ106" s="4" t="s">
        <v>142</v>
      </c>
      <c r="AK106" s="4" t="s">
        <v>460</v>
      </c>
      <c r="AL106" s="4" t="s">
        <v>143</v>
      </c>
      <c r="AM106" s="4" t="s">
        <v>461</v>
      </c>
    </row>
    <row r="107" customFormat="false" ht="15.75" hidden="false" customHeight="true" outlineLevel="0" collapsed="false">
      <c r="A107" s="4" t="s">
        <v>453</v>
      </c>
      <c r="D107" s="4" t="s">
        <v>477</v>
      </c>
      <c r="E107" s="1" t="str">
        <f aca="false">RIGHT(A107,1)</f>
        <v>8</v>
      </c>
      <c r="F107" s="1" t="str">
        <f aca="false">G107 &amp; IF(H107&lt;&gt;"", "_" &amp; H107, "_") &amp; IF(I107&lt;&gt;"", "_" &amp; I107, "_") &amp; IF(B107&lt;&gt;"", "_" &amp; B107, "")</f>
        <v>Karbowski__2007</v>
      </c>
      <c r="G107" s="1" t="str">
        <f aca="false">SUBSTITUTE(SUBSTITUTE(_xlfn.TEXTBEFORE(A107,","), "-", ""), " ", "")</f>
        <v>Karbowski</v>
      </c>
      <c r="H107" s="1" t="str">
        <f aca="false">_xlfn.LET(
_xlpm.authors,_xlfn.TEXTBEFORE(A107," ("&amp;I107&amp;")"),
_xlpm.hasAmp,ISNUMBER(SEARCH("&amp;",_xlpm.authors)),
_xlpm.commasBeforeAmp,IF(_xlpm.hasAmp,LEN(_xlfn.TEXTBEFORE(_xlpm.authors,"&amp;"))-LEN(SUBSTITUTE(_xlfn.TEXTBEFORE(_xlpm.authors,"&amp;"),",","")),0),
IF(NOT(_xlpm.hasAmp),"",IF(_xlpm.commasBeforeAmp&gt;2,"etal",TRIM(_xlfn.TEXTBEFORE(_xlfn.TEXTAFTER(_xlpm.authors,"&amp; "),","))))
)</f>
        <v/>
      </c>
      <c r="I107" s="1" t="str">
        <f aca="false">_xlfn.TEXTBEFORE(_xlfn.TEXTAFTER(A107, "("), ")")</f>
        <v>2007</v>
      </c>
      <c r="J107" s="1" t="str">
        <f aca="false">_xlfn.LET(
_xlpm.doi,IF(C107&lt;&gt;"",C107,_xlfn.TEXTAFTER(A107,"https://doi.org/")),
SUBSTITUTE(
SUBSTITUTE(
SUBSTITUTE(
SUBSTITUTE(
_xlpm.doi,
"/","%2F"),
":","%3A"),
"&lt;","%3C"),
"&gt;","%3E")
)</f>
        <v>10.1186%2F1741-7007-5-18</v>
      </c>
      <c r="K107" s="1" t="str">
        <f aca="false">TRIM(_xlfn.TEXTJOIN("_",FALSE(),F107,(SUBSTITUTE(SUBSTITUTE(D107," ",""), "_", ""))))</f>
        <v>Karbowski__2007_TableS10</v>
      </c>
      <c r="L107" s="1" t="str">
        <f aca="false">J107 &amp; "_" &amp; SUBSTITUTE(SUBSTITUTE(SUBSTITUTE(D107,CHAR(160),"")," ",""),"_","")</f>
        <v>10.1186%2F1741-7007-5-18_TableS10</v>
      </c>
      <c r="M107" s="1" t="str">
        <f aca="false" t="array" ref="M107:M107">IFERROR(INDEX(FileList!$A$1:$A$1000,MATCH(TRUE(),EXACT(L107,IFERROR(_xlfn.TEXTBEFORE(FileList!$A$1:$A$1000,".tsv"),"")),0)),"notfound")</f>
        <v>notfound</v>
      </c>
      <c r="N107" s="4" t="s">
        <v>478</v>
      </c>
      <c r="V107" s="4" t="s">
        <v>42</v>
      </c>
      <c r="AG107" s="4" t="s">
        <v>455</v>
      </c>
      <c r="AI107" s="4" t="s">
        <v>463</v>
      </c>
      <c r="AJ107" s="4" t="s">
        <v>142</v>
      </c>
      <c r="AK107" s="4" t="s">
        <v>460</v>
      </c>
      <c r="AL107" s="4" t="s">
        <v>143</v>
      </c>
      <c r="AM107" s="4" t="s">
        <v>461</v>
      </c>
    </row>
    <row r="108" customFormat="false" ht="15.75" hidden="false" customHeight="true" outlineLevel="0" collapsed="false">
      <c r="A108" s="4" t="s">
        <v>453</v>
      </c>
      <c r="D108" s="4" t="s">
        <v>479</v>
      </c>
      <c r="E108" s="1" t="str">
        <f aca="false">RIGHT(A108,1)</f>
        <v>8</v>
      </c>
      <c r="F108" s="1" t="str">
        <f aca="false">G108 &amp; IF(H108&lt;&gt;"", "_" &amp; H108, "_") &amp; IF(I108&lt;&gt;"", "_" &amp; I108, "_") &amp; IF(B108&lt;&gt;"", "_" &amp; B108, "")</f>
        <v>Karbowski__2007</v>
      </c>
      <c r="G108" s="1" t="str">
        <f aca="false">SUBSTITUTE(SUBSTITUTE(_xlfn.TEXTBEFORE(A108,","), "-", ""), " ", "")</f>
        <v>Karbowski</v>
      </c>
      <c r="H108" s="1" t="str">
        <f aca="false">_xlfn.LET(
_xlpm.authors,_xlfn.TEXTBEFORE(A108," ("&amp;I108&amp;")"),
_xlpm.hasAmp,ISNUMBER(SEARCH("&amp;",_xlpm.authors)),
_xlpm.commasBeforeAmp,IF(_xlpm.hasAmp,LEN(_xlfn.TEXTBEFORE(_xlpm.authors,"&amp;"))-LEN(SUBSTITUTE(_xlfn.TEXTBEFORE(_xlpm.authors,"&amp;"),",","")),0),
IF(NOT(_xlpm.hasAmp),"",IF(_xlpm.commasBeforeAmp&gt;2,"etal",TRIM(_xlfn.TEXTBEFORE(_xlfn.TEXTAFTER(_xlpm.authors,"&amp; "),","))))
)</f>
        <v/>
      </c>
      <c r="I108" s="1" t="str">
        <f aca="false">_xlfn.TEXTBEFORE(_xlfn.TEXTAFTER(A108, "("), ")")</f>
        <v>2007</v>
      </c>
      <c r="J108" s="1" t="str">
        <f aca="false">_xlfn.LET(
_xlpm.doi,IF(C108&lt;&gt;"",C108,_xlfn.TEXTAFTER(A108,"https://doi.org/")),
SUBSTITUTE(
SUBSTITUTE(
SUBSTITUTE(
SUBSTITUTE(
_xlpm.doi,
"/","%2F"),
":","%3A"),
"&lt;","%3C"),
"&gt;","%3E")
)</f>
        <v>10.1186%2F1741-7007-5-18</v>
      </c>
      <c r="K108" s="1" t="str">
        <f aca="false">TRIM(_xlfn.TEXTJOIN("_",FALSE(),F108,(SUBSTITUTE(SUBSTITUTE(D108," ",""), "_", ""))))</f>
        <v>Karbowski__2007_TableS11</v>
      </c>
      <c r="L108" s="1" t="str">
        <f aca="false">J108 &amp; "_" &amp; SUBSTITUTE(SUBSTITUTE(SUBSTITUTE(D108,CHAR(160),"")," ",""),"_","")</f>
        <v>10.1186%2F1741-7007-5-18_TableS11</v>
      </c>
      <c r="M108" s="1" t="str">
        <f aca="false" t="array" ref="M108:M108">IFERROR(INDEX(FileList!$A$1:$A$1000,MATCH(TRUE(),EXACT(L108,IFERROR(_xlfn.TEXTBEFORE(FileList!$A$1:$A$1000,".tsv"),"")),0)),"notfound")</f>
        <v>notfound</v>
      </c>
      <c r="N108" s="4" t="s">
        <v>480</v>
      </c>
      <c r="V108" s="4" t="s">
        <v>42</v>
      </c>
      <c r="AG108" s="4" t="s">
        <v>455</v>
      </c>
      <c r="AI108" s="4" t="s">
        <v>463</v>
      </c>
      <c r="AJ108" s="4" t="s">
        <v>142</v>
      </c>
      <c r="AK108" s="4" t="s">
        <v>460</v>
      </c>
      <c r="AL108" s="4" t="s">
        <v>143</v>
      </c>
      <c r="AM108" s="4" t="s">
        <v>461</v>
      </c>
    </row>
    <row r="109" customFormat="false" ht="15.75" hidden="false" customHeight="true" outlineLevel="0" collapsed="false">
      <c r="A109" s="4" t="s">
        <v>453</v>
      </c>
      <c r="D109" s="4" t="s">
        <v>481</v>
      </c>
      <c r="E109" s="1" t="str">
        <f aca="false">RIGHT(A109,1)</f>
        <v>8</v>
      </c>
      <c r="F109" s="1" t="str">
        <f aca="false">G109 &amp; IF(H109&lt;&gt;"", "_" &amp; H109, "_") &amp; IF(I109&lt;&gt;"", "_" &amp; I109, "_") &amp; IF(B109&lt;&gt;"", "_" &amp; B109, "")</f>
        <v>Karbowski__2007</v>
      </c>
      <c r="G109" s="1" t="str">
        <f aca="false">SUBSTITUTE(SUBSTITUTE(_xlfn.TEXTBEFORE(A109,","), "-", ""), " ", "")</f>
        <v>Karbowski</v>
      </c>
      <c r="H109" s="1" t="str">
        <f aca="false">_xlfn.LET(
_xlpm.authors,_xlfn.TEXTBEFORE(A109," ("&amp;I109&amp;")"),
_xlpm.hasAmp,ISNUMBER(SEARCH("&amp;",_xlpm.authors)),
_xlpm.commasBeforeAmp,IF(_xlpm.hasAmp,LEN(_xlfn.TEXTBEFORE(_xlpm.authors,"&amp;"))-LEN(SUBSTITUTE(_xlfn.TEXTBEFORE(_xlpm.authors,"&amp;"),",","")),0),
IF(NOT(_xlpm.hasAmp),"",IF(_xlpm.commasBeforeAmp&gt;2,"etal",TRIM(_xlfn.TEXTBEFORE(_xlfn.TEXTAFTER(_xlpm.authors,"&amp; "),","))))
)</f>
        <v/>
      </c>
      <c r="I109" s="1" t="str">
        <f aca="false">_xlfn.TEXTBEFORE(_xlfn.TEXTAFTER(A109, "("), ")")</f>
        <v>2007</v>
      </c>
      <c r="J109" s="1" t="str">
        <f aca="false">_xlfn.LET(
_xlpm.doi,IF(C109&lt;&gt;"",C109,_xlfn.TEXTAFTER(A109,"https://doi.org/")),
SUBSTITUTE(
SUBSTITUTE(
SUBSTITUTE(
SUBSTITUTE(
_xlpm.doi,
"/","%2F"),
":","%3A"),
"&lt;","%3C"),
"&gt;","%3E")
)</f>
        <v>10.1186%2F1741-7007-5-18</v>
      </c>
      <c r="K109" s="1" t="str">
        <f aca="false">TRIM(_xlfn.TEXTJOIN("_",FALSE(),F109,(SUBSTITUTE(SUBSTITUTE(D109," ",""), "_", ""))))</f>
        <v>Karbowski__2007_TableS12</v>
      </c>
      <c r="L109" s="1" t="str">
        <f aca="false">J109 &amp; "_" &amp; SUBSTITUTE(SUBSTITUTE(SUBSTITUTE(D109,CHAR(160),"")," ",""),"_","")</f>
        <v>10.1186%2F1741-7007-5-18_TableS12</v>
      </c>
      <c r="M109" s="1" t="str">
        <f aca="false" t="array" ref="M109:M109">IFERROR(INDEX(FileList!$A$1:$A$1000,MATCH(TRUE(),EXACT(L109,IFERROR(_xlfn.TEXTBEFORE(FileList!$A$1:$A$1000,".tsv"),"")),0)),"notfound")</f>
        <v>notfound</v>
      </c>
      <c r="N109" s="4" t="s">
        <v>482</v>
      </c>
      <c r="V109" s="4" t="s">
        <v>42</v>
      </c>
      <c r="AG109" s="4" t="s">
        <v>455</v>
      </c>
      <c r="AI109" s="4" t="s">
        <v>463</v>
      </c>
      <c r="AJ109" s="4" t="s">
        <v>142</v>
      </c>
      <c r="AK109" s="4" t="s">
        <v>460</v>
      </c>
      <c r="AL109" s="4" t="s">
        <v>143</v>
      </c>
      <c r="AM109" s="4" t="s">
        <v>461</v>
      </c>
    </row>
    <row r="110" customFormat="false" ht="15.75" hidden="false" customHeight="true" outlineLevel="0" collapsed="false">
      <c r="A110" s="4" t="s">
        <v>453</v>
      </c>
      <c r="D110" s="4" t="s">
        <v>483</v>
      </c>
      <c r="E110" s="1" t="str">
        <f aca="false">RIGHT(A110,1)</f>
        <v>8</v>
      </c>
      <c r="F110" s="1" t="str">
        <f aca="false">G110 &amp; IF(H110&lt;&gt;"", "_" &amp; H110, "_") &amp; IF(I110&lt;&gt;"", "_" &amp; I110, "_") &amp; IF(B110&lt;&gt;"", "_" &amp; B110, "")</f>
        <v>Karbowski__2007</v>
      </c>
      <c r="G110" s="1" t="str">
        <f aca="false">SUBSTITUTE(SUBSTITUTE(_xlfn.TEXTBEFORE(A110,","), "-", ""), " ", "")</f>
        <v>Karbowski</v>
      </c>
      <c r="H110" s="1" t="str">
        <f aca="false">_xlfn.LET(
_xlpm.authors,_xlfn.TEXTBEFORE(A110," ("&amp;I110&amp;")"),
_xlpm.hasAmp,ISNUMBER(SEARCH("&amp;",_xlpm.authors)),
_xlpm.commasBeforeAmp,IF(_xlpm.hasAmp,LEN(_xlfn.TEXTBEFORE(_xlpm.authors,"&amp;"))-LEN(SUBSTITUTE(_xlfn.TEXTBEFORE(_xlpm.authors,"&amp;"),",","")),0),
IF(NOT(_xlpm.hasAmp),"",IF(_xlpm.commasBeforeAmp&gt;2,"etal",TRIM(_xlfn.TEXTBEFORE(_xlfn.TEXTAFTER(_xlpm.authors,"&amp; "),","))))
)</f>
        <v/>
      </c>
      <c r="I110" s="1" t="str">
        <f aca="false">_xlfn.TEXTBEFORE(_xlfn.TEXTAFTER(A110, "("), ")")</f>
        <v>2007</v>
      </c>
      <c r="J110" s="1" t="str">
        <f aca="false">_xlfn.LET(
_xlpm.doi,IF(C110&lt;&gt;"",C110,_xlfn.TEXTAFTER(A110,"https://doi.org/")),
SUBSTITUTE(
SUBSTITUTE(
SUBSTITUTE(
SUBSTITUTE(
_xlpm.doi,
"/","%2F"),
":","%3A"),
"&lt;","%3C"),
"&gt;","%3E")
)</f>
        <v>10.1186%2F1741-7007-5-18</v>
      </c>
      <c r="K110" s="1" t="str">
        <f aca="false">TRIM(_xlfn.TEXTJOIN("_",FALSE(),F110,(SUBSTITUTE(SUBSTITUTE(D110," ",""), "_", ""))))</f>
        <v>Karbowski__2007_TableS13</v>
      </c>
      <c r="L110" s="1" t="str">
        <f aca="false">J110 &amp; "_" &amp; SUBSTITUTE(SUBSTITUTE(SUBSTITUTE(D110,CHAR(160),"")," ",""),"_","")</f>
        <v>10.1186%2F1741-7007-5-18_TableS13</v>
      </c>
      <c r="M110" s="1" t="str">
        <f aca="false" t="array" ref="M110:M110">IFERROR(INDEX(FileList!$A$1:$A$1000,MATCH(TRUE(),EXACT(L110,IFERROR(_xlfn.TEXTBEFORE(FileList!$A$1:$A$1000,".tsv"),"")),0)),"notfound")</f>
        <v>notfound</v>
      </c>
      <c r="N110" s="4" t="s">
        <v>484</v>
      </c>
      <c r="V110" s="4" t="s">
        <v>42</v>
      </c>
      <c r="AG110" s="4" t="s">
        <v>455</v>
      </c>
      <c r="AI110" s="4" t="s">
        <v>463</v>
      </c>
      <c r="AJ110" s="4" t="s">
        <v>142</v>
      </c>
      <c r="AK110" s="4" t="s">
        <v>460</v>
      </c>
      <c r="AL110" s="4" t="s">
        <v>143</v>
      </c>
      <c r="AM110" s="4" t="s">
        <v>461</v>
      </c>
    </row>
    <row r="111" customFormat="false" ht="15.75" hidden="false" customHeight="true" outlineLevel="0" collapsed="false">
      <c r="A111" s="4" t="s">
        <v>453</v>
      </c>
      <c r="D111" s="4" t="s">
        <v>485</v>
      </c>
      <c r="E111" s="1" t="str">
        <f aca="false">RIGHT(A111,1)</f>
        <v>8</v>
      </c>
      <c r="F111" s="1" t="str">
        <f aca="false">G111 &amp; IF(H111&lt;&gt;"", "_" &amp; H111, "_") &amp; IF(I111&lt;&gt;"", "_" &amp; I111, "_") &amp; IF(B111&lt;&gt;"", "_" &amp; B111, "")</f>
        <v>Karbowski__2007</v>
      </c>
      <c r="G111" s="1" t="str">
        <f aca="false">SUBSTITUTE(SUBSTITUTE(_xlfn.TEXTBEFORE(A111,","), "-", ""), " ", "")</f>
        <v>Karbowski</v>
      </c>
      <c r="H111" s="1" t="str">
        <f aca="false">_xlfn.LET(
_xlpm.authors,_xlfn.TEXTBEFORE(A111," ("&amp;I111&amp;")"),
_xlpm.hasAmp,ISNUMBER(SEARCH("&amp;",_xlpm.authors)),
_xlpm.commasBeforeAmp,IF(_xlpm.hasAmp,LEN(_xlfn.TEXTBEFORE(_xlpm.authors,"&amp;"))-LEN(SUBSTITUTE(_xlfn.TEXTBEFORE(_xlpm.authors,"&amp;"),",","")),0),
IF(NOT(_xlpm.hasAmp),"",IF(_xlpm.commasBeforeAmp&gt;2,"etal",TRIM(_xlfn.TEXTBEFORE(_xlfn.TEXTAFTER(_xlpm.authors,"&amp; "),","))))
)</f>
        <v/>
      </c>
      <c r="I111" s="1" t="str">
        <f aca="false">_xlfn.TEXTBEFORE(_xlfn.TEXTAFTER(A111, "("), ")")</f>
        <v>2007</v>
      </c>
      <c r="J111" s="1" t="str">
        <f aca="false">_xlfn.LET(
_xlpm.doi,IF(C111&lt;&gt;"",C111,_xlfn.TEXTAFTER(A111,"https://doi.org/")),
SUBSTITUTE(
SUBSTITUTE(
SUBSTITUTE(
SUBSTITUTE(
_xlpm.doi,
"/","%2F"),
":","%3A"),
"&lt;","%3C"),
"&gt;","%3E")
)</f>
        <v>10.1186%2F1741-7007-5-18</v>
      </c>
      <c r="K111" s="1" t="str">
        <f aca="false">TRIM(_xlfn.TEXTJOIN("_",FALSE(),F111,(SUBSTITUTE(SUBSTITUTE(D111," ",""), "_", ""))))</f>
        <v>Karbowski__2007_TableS14</v>
      </c>
      <c r="L111" s="1" t="str">
        <f aca="false">J111 &amp; "_" &amp; SUBSTITUTE(SUBSTITUTE(SUBSTITUTE(D111,CHAR(160),"")," ",""),"_","")</f>
        <v>10.1186%2F1741-7007-5-18_TableS14</v>
      </c>
      <c r="M111" s="1" t="str">
        <f aca="false" t="array" ref="M111:M111">IFERROR(INDEX(FileList!$A$1:$A$1000,MATCH(TRUE(),EXACT(L111,IFERROR(_xlfn.TEXTBEFORE(FileList!$A$1:$A$1000,".tsv"),"")),0)),"notfound")</f>
        <v>notfound</v>
      </c>
      <c r="N111" s="4" t="s">
        <v>486</v>
      </c>
      <c r="V111" s="4" t="s">
        <v>42</v>
      </c>
      <c r="AG111" s="4" t="s">
        <v>455</v>
      </c>
      <c r="AI111" s="4" t="s">
        <v>463</v>
      </c>
      <c r="AJ111" s="4" t="s">
        <v>142</v>
      </c>
      <c r="AK111" s="4" t="s">
        <v>460</v>
      </c>
      <c r="AL111" s="4" t="s">
        <v>143</v>
      </c>
      <c r="AM111" s="4" t="s">
        <v>461</v>
      </c>
    </row>
    <row r="112" customFormat="false" ht="15.75" hidden="false" customHeight="true" outlineLevel="0" collapsed="false">
      <c r="A112" s="4" t="s">
        <v>453</v>
      </c>
      <c r="D112" s="4" t="s">
        <v>487</v>
      </c>
      <c r="E112" s="1" t="str">
        <f aca="false">RIGHT(A112,1)</f>
        <v>8</v>
      </c>
      <c r="F112" s="1" t="str">
        <f aca="false">G112 &amp; IF(H112&lt;&gt;"", "_" &amp; H112, "_") &amp; IF(I112&lt;&gt;"", "_" &amp; I112, "_") &amp; IF(B112&lt;&gt;"", "_" &amp; B112, "")</f>
        <v>Karbowski__2007</v>
      </c>
      <c r="G112" s="1" t="str">
        <f aca="false">SUBSTITUTE(SUBSTITUTE(_xlfn.TEXTBEFORE(A112,","), "-", ""), " ", "")</f>
        <v>Karbowski</v>
      </c>
      <c r="H112" s="1" t="str">
        <f aca="false">_xlfn.LET(
_xlpm.authors,_xlfn.TEXTBEFORE(A112," ("&amp;I112&amp;")"),
_xlpm.hasAmp,ISNUMBER(SEARCH("&amp;",_xlpm.authors)),
_xlpm.commasBeforeAmp,IF(_xlpm.hasAmp,LEN(_xlfn.TEXTBEFORE(_xlpm.authors,"&amp;"))-LEN(SUBSTITUTE(_xlfn.TEXTBEFORE(_xlpm.authors,"&amp;"),",","")),0),
IF(NOT(_xlpm.hasAmp),"",IF(_xlpm.commasBeforeAmp&gt;2,"etal",TRIM(_xlfn.TEXTBEFORE(_xlfn.TEXTAFTER(_xlpm.authors,"&amp; "),","))))
)</f>
        <v/>
      </c>
      <c r="I112" s="1" t="str">
        <f aca="false">_xlfn.TEXTBEFORE(_xlfn.TEXTAFTER(A112, "("), ")")</f>
        <v>2007</v>
      </c>
      <c r="J112" s="1" t="str">
        <f aca="false">_xlfn.LET(
_xlpm.doi,IF(C112&lt;&gt;"",C112,_xlfn.TEXTAFTER(A112,"https://doi.org/")),
SUBSTITUTE(
SUBSTITUTE(
SUBSTITUTE(
SUBSTITUTE(
_xlpm.doi,
"/","%2F"),
":","%3A"),
"&lt;","%3C"),
"&gt;","%3E")
)</f>
        <v>10.1186%2F1741-7007-5-18</v>
      </c>
      <c r="K112" s="1" t="str">
        <f aca="false">TRIM(_xlfn.TEXTJOIN("_",FALSE(),F112,(SUBSTITUTE(SUBSTITUTE(D112," ",""), "_", ""))))</f>
        <v>Karbowski__2007_TableS15</v>
      </c>
      <c r="L112" s="1" t="str">
        <f aca="false">J112 &amp; "_" &amp; SUBSTITUTE(SUBSTITUTE(SUBSTITUTE(D112,CHAR(160),"")," ",""),"_","")</f>
        <v>10.1186%2F1741-7007-5-18_TableS15</v>
      </c>
      <c r="M112" s="1" t="str">
        <f aca="false" t="array" ref="M112:M112">IFERROR(INDEX(FileList!$A$1:$A$1000,MATCH(TRUE(),EXACT(L112,IFERROR(_xlfn.TEXTBEFORE(FileList!$A$1:$A$1000,".tsv"),"")),0)),"notfound")</f>
        <v>notfound</v>
      </c>
      <c r="N112" s="4" t="s">
        <v>488</v>
      </c>
      <c r="V112" s="4" t="s">
        <v>42</v>
      </c>
      <c r="AG112" s="4" t="s">
        <v>455</v>
      </c>
      <c r="AI112" s="4" t="s">
        <v>463</v>
      </c>
      <c r="AJ112" s="4" t="s">
        <v>142</v>
      </c>
      <c r="AK112" s="4" t="s">
        <v>460</v>
      </c>
      <c r="AL112" s="4" t="s">
        <v>143</v>
      </c>
      <c r="AM112" s="4" t="s">
        <v>461</v>
      </c>
    </row>
    <row r="113" customFormat="false" ht="15.75" hidden="false" customHeight="true" outlineLevel="0" collapsed="false">
      <c r="A113" s="4" t="s">
        <v>453</v>
      </c>
      <c r="D113" s="4" t="s">
        <v>489</v>
      </c>
      <c r="E113" s="1" t="str">
        <f aca="false">RIGHT(A113,1)</f>
        <v>8</v>
      </c>
      <c r="F113" s="1" t="str">
        <f aca="false">G113 &amp; IF(H113&lt;&gt;"", "_" &amp; H113, "_") &amp; IF(I113&lt;&gt;"", "_" &amp; I113, "_") &amp; IF(B113&lt;&gt;"", "_" &amp; B113, "")</f>
        <v>Karbowski__2007</v>
      </c>
      <c r="G113" s="1" t="str">
        <f aca="false">SUBSTITUTE(SUBSTITUTE(_xlfn.TEXTBEFORE(A113,","), "-", ""), " ", "")</f>
        <v>Karbowski</v>
      </c>
      <c r="H113" s="1" t="str">
        <f aca="false">_xlfn.LET(
_xlpm.authors,_xlfn.TEXTBEFORE(A113," ("&amp;I113&amp;")"),
_xlpm.hasAmp,ISNUMBER(SEARCH("&amp;",_xlpm.authors)),
_xlpm.commasBeforeAmp,IF(_xlpm.hasAmp,LEN(_xlfn.TEXTBEFORE(_xlpm.authors,"&amp;"))-LEN(SUBSTITUTE(_xlfn.TEXTBEFORE(_xlpm.authors,"&amp;"),",","")),0),
IF(NOT(_xlpm.hasAmp),"",IF(_xlpm.commasBeforeAmp&gt;2,"etal",TRIM(_xlfn.TEXTBEFORE(_xlfn.TEXTAFTER(_xlpm.authors,"&amp; "),","))))
)</f>
        <v/>
      </c>
      <c r="I113" s="1" t="str">
        <f aca="false">_xlfn.TEXTBEFORE(_xlfn.TEXTAFTER(A113, "("), ")")</f>
        <v>2007</v>
      </c>
      <c r="J113" s="1" t="str">
        <f aca="false">_xlfn.LET(
_xlpm.doi,IF(C113&lt;&gt;"",C113,_xlfn.TEXTAFTER(A113,"https://doi.org/")),
SUBSTITUTE(
SUBSTITUTE(
SUBSTITUTE(
SUBSTITUTE(
_xlpm.doi,
"/","%2F"),
":","%3A"),
"&lt;","%3C"),
"&gt;","%3E")
)</f>
        <v>10.1186%2F1741-7007-5-18</v>
      </c>
      <c r="K113" s="1" t="str">
        <f aca="false">TRIM(_xlfn.TEXTJOIN("_",FALSE(),F113,(SUBSTITUTE(SUBSTITUTE(D113," ",""), "_", ""))))</f>
        <v>Karbowski__2007_TableS16</v>
      </c>
      <c r="L113" s="1" t="str">
        <f aca="false">J113 &amp; "_" &amp; SUBSTITUTE(SUBSTITUTE(SUBSTITUTE(D113,CHAR(160),"")," ",""),"_","")</f>
        <v>10.1186%2F1741-7007-5-18_TableS16</v>
      </c>
      <c r="M113" s="1" t="str">
        <f aca="false" t="array" ref="M113:M113">IFERROR(INDEX(FileList!$A$1:$A$1000,MATCH(TRUE(),EXACT(L113,IFERROR(_xlfn.TEXTBEFORE(FileList!$A$1:$A$1000,".tsv"),"")),0)),"notfound")</f>
        <v>notfound</v>
      </c>
      <c r="N113" s="4" t="s">
        <v>490</v>
      </c>
      <c r="V113" s="4" t="s">
        <v>42</v>
      </c>
      <c r="AG113" s="4" t="s">
        <v>455</v>
      </c>
      <c r="AI113" s="4" t="s">
        <v>463</v>
      </c>
      <c r="AJ113" s="4" t="s">
        <v>142</v>
      </c>
      <c r="AK113" s="4" t="s">
        <v>460</v>
      </c>
      <c r="AL113" s="4" t="s">
        <v>143</v>
      </c>
      <c r="AM113" s="4" t="s">
        <v>461</v>
      </c>
    </row>
    <row r="114" customFormat="false" ht="15.75" hidden="false" customHeight="true" outlineLevel="0" collapsed="false">
      <c r="A114" s="4" t="s">
        <v>453</v>
      </c>
      <c r="D114" s="4" t="s">
        <v>491</v>
      </c>
      <c r="E114" s="1" t="str">
        <f aca="false">RIGHT(A114,1)</f>
        <v>8</v>
      </c>
      <c r="F114" s="1" t="str">
        <f aca="false">G114 &amp; IF(H114&lt;&gt;"", "_" &amp; H114, "_") &amp; IF(I114&lt;&gt;"", "_" &amp; I114, "_") &amp; IF(B114&lt;&gt;"", "_" &amp; B114, "")</f>
        <v>Karbowski__2007</v>
      </c>
      <c r="G114" s="1" t="str">
        <f aca="false">SUBSTITUTE(SUBSTITUTE(_xlfn.TEXTBEFORE(A114,","), "-", ""), " ", "")</f>
        <v>Karbowski</v>
      </c>
      <c r="H114" s="1" t="str">
        <f aca="false">_xlfn.LET(
_xlpm.authors,_xlfn.TEXTBEFORE(A114," ("&amp;I114&amp;")"),
_xlpm.hasAmp,ISNUMBER(SEARCH("&amp;",_xlpm.authors)),
_xlpm.commasBeforeAmp,IF(_xlpm.hasAmp,LEN(_xlfn.TEXTBEFORE(_xlpm.authors,"&amp;"))-LEN(SUBSTITUTE(_xlfn.TEXTBEFORE(_xlpm.authors,"&amp;"),",","")),0),
IF(NOT(_xlpm.hasAmp),"",IF(_xlpm.commasBeforeAmp&gt;2,"etal",TRIM(_xlfn.TEXTBEFORE(_xlfn.TEXTAFTER(_xlpm.authors,"&amp; "),","))))
)</f>
        <v/>
      </c>
      <c r="I114" s="1" t="str">
        <f aca="false">_xlfn.TEXTBEFORE(_xlfn.TEXTAFTER(A114, "("), ")")</f>
        <v>2007</v>
      </c>
      <c r="J114" s="1" t="str">
        <f aca="false">_xlfn.LET(
_xlpm.doi,IF(C114&lt;&gt;"",C114,_xlfn.TEXTAFTER(A114,"https://doi.org/")),
SUBSTITUTE(
SUBSTITUTE(
SUBSTITUTE(
SUBSTITUTE(
_xlpm.doi,
"/","%2F"),
":","%3A"),
"&lt;","%3C"),
"&gt;","%3E")
)</f>
        <v>10.1186%2F1741-7007-5-18</v>
      </c>
      <c r="K114" s="1" t="str">
        <f aca="false">TRIM(_xlfn.TEXTJOIN("_",FALSE(),F114,(SUBSTITUTE(SUBSTITUTE(D114," ",""), "_", ""))))</f>
        <v>Karbowski__2007_TableS17</v>
      </c>
      <c r="L114" s="1" t="str">
        <f aca="false">J114 &amp; "_" &amp; SUBSTITUTE(SUBSTITUTE(SUBSTITUTE(D114,CHAR(160),"")," ",""),"_","")</f>
        <v>10.1186%2F1741-7007-5-18_TableS17</v>
      </c>
      <c r="M114" s="1" t="str">
        <f aca="false" t="array" ref="M114:M114">IFERROR(INDEX(FileList!$A$1:$A$1000,MATCH(TRUE(),EXACT(L114,IFERROR(_xlfn.TEXTBEFORE(FileList!$A$1:$A$1000,".tsv"),"")),0)),"notfound")</f>
        <v>notfound</v>
      </c>
      <c r="N114" s="4" t="s">
        <v>492</v>
      </c>
      <c r="V114" s="4" t="s">
        <v>42</v>
      </c>
      <c r="AG114" s="4" t="s">
        <v>455</v>
      </c>
      <c r="AI114" s="4" t="s">
        <v>463</v>
      </c>
      <c r="AJ114" s="4" t="s">
        <v>142</v>
      </c>
      <c r="AK114" s="4" t="s">
        <v>460</v>
      </c>
      <c r="AL114" s="4" t="s">
        <v>143</v>
      </c>
      <c r="AM114" s="4" t="s">
        <v>461</v>
      </c>
    </row>
    <row r="115" customFormat="false" ht="15.75" hidden="false" customHeight="true" outlineLevel="0" collapsed="false">
      <c r="A115" s="4" t="s">
        <v>453</v>
      </c>
      <c r="D115" s="4" t="s">
        <v>493</v>
      </c>
      <c r="E115" s="1" t="str">
        <f aca="false">RIGHT(A115,1)</f>
        <v>8</v>
      </c>
      <c r="F115" s="1" t="str">
        <f aca="false">G115 &amp; IF(H115&lt;&gt;"", "_" &amp; H115, "_") &amp; IF(I115&lt;&gt;"", "_" &amp; I115, "_") &amp; IF(B115&lt;&gt;"", "_" &amp; B115, "")</f>
        <v>Karbowski__2007</v>
      </c>
      <c r="G115" s="1" t="str">
        <f aca="false">SUBSTITUTE(SUBSTITUTE(_xlfn.TEXTBEFORE(A115,","), "-", ""), " ", "")</f>
        <v>Karbowski</v>
      </c>
      <c r="H115" s="1" t="str">
        <f aca="false">_xlfn.LET(
_xlpm.authors,_xlfn.TEXTBEFORE(A115," ("&amp;I115&amp;")"),
_xlpm.hasAmp,ISNUMBER(SEARCH("&amp;",_xlpm.authors)),
_xlpm.commasBeforeAmp,IF(_xlpm.hasAmp,LEN(_xlfn.TEXTBEFORE(_xlpm.authors,"&amp;"))-LEN(SUBSTITUTE(_xlfn.TEXTBEFORE(_xlpm.authors,"&amp;"),",","")),0),
IF(NOT(_xlpm.hasAmp),"",IF(_xlpm.commasBeforeAmp&gt;2,"etal",TRIM(_xlfn.TEXTBEFORE(_xlfn.TEXTAFTER(_xlpm.authors,"&amp; "),","))))
)</f>
        <v/>
      </c>
      <c r="I115" s="1" t="str">
        <f aca="false">_xlfn.TEXTBEFORE(_xlfn.TEXTAFTER(A115, "("), ")")</f>
        <v>2007</v>
      </c>
      <c r="J115" s="1" t="str">
        <f aca="false">_xlfn.LET(
_xlpm.doi,IF(C115&lt;&gt;"",C115,_xlfn.TEXTAFTER(A115,"https://doi.org/")),
SUBSTITUTE(
SUBSTITUTE(
SUBSTITUTE(
SUBSTITUTE(
_xlpm.doi,
"/","%2F"),
":","%3A"),
"&lt;","%3C"),
"&gt;","%3E")
)</f>
        <v>10.1186%2F1741-7007-5-18</v>
      </c>
      <c r="K115" s="1" t="str">
        <f aca="false">TRIM(_xlfn.TEXTJOIN("_",FALSE(),F115,(SUBSTITUTE(SUBSTITUTE(D115," ",""), "_", ""))))</f>
        <v>Karbowski__2007_TableS18</v>
      </c>
      <c r="L115" s="1" t="str">
        <f aca="false">J115 &amp; "_" &amp; SUBSTITUTE(SUBSTITUTE(SUBSTITUTE(D115,CHAR(160),"")," ",""),"_","")</f>
        <v>10.1186%2F1741-7007-5-18_TableS18</v>
      </c>
      <c r="M115" s="1" t="str">
        <f aca="false" t="array" ref="M115:M115">IFERROR(INDEX(FileList!$A$1:$A$1000,MATCH(TRUE(),EXACT(L115,IFERROR(_xlfn.TEXTBEFORE(FileList!$A$1:$A$1000,".tsv"),"")),0)),"notfound")</f>
        <v>notfound</v>
      </c>
      <c r="N115" s="4" t="s">
        <v>494</v>
      </c>
      <c r="V115" s="4" t="s">
        <v>42</v>
      </c>
      <c r="AG115" s="4" t="s">
        <v>455</v>
      </c>
      <c r="AI115" s="4" t="s">
        <v>463</v>
      </c>
      <c r="AJ115" s="4" t="s">
        <v>142</v>
      </c>
      <c r="AK115" s="4" t="s">
        <v>460</v>
      </c>
      <c r="AL115" s="4" t="s">
        <v>143</v>
      </c>
      <c r="AM115" s="4" t="s">
        <v>461</v>
      </c>
    </row>
    <row r="116" customFormat="false" ht="15.75" hidden="false" customHeight="true" outlineLevel="0" collapsed="false">
      <c r="A116" s="4" t="s">
        <v>453</v>
      </c>
      <c r="D116" s="4" t="s">
        <v>495</v>
      </c>
      <c r="E116" s="1" t="str">
        <f aca="false">RIGHT(A116,1)</f>
        <v>8</v>
      </c>
      <c r="F116" s="1" t="str">
        <f aca="false">G116 &amp; IF(H116&lt;&gt;"", "_" &amp; H116, "_") &amp; IF(I116&lt;&gt;"", "_" &amp; I116, "_") &amp; IF(B116&lt;&gt;"", "_" &amp; B116, "")</f>
        <v>Karbowski__2007</v>
      </c>
      <c r="G116" s="1" t="str">
        <f aca="false">SUBSTITUTE(SUBSTITUTE(_xlfn.TEXTBEFORE(A116,","), "-", ""), " ", "")</f>
        <v>Karbowski</v>
      </c>
      <c r="H116" s="1" t="str">
        <f aca="false">_xlfn.LET(
_xlpm.authors,_xlfn.TEXTBEFORE(A116," ("&amp;I116&amp;")"),
_xlpm.hasAmp,ISNUMBER(SEARCH("&amp;",_xlpm.authors)),
_xlpm.commasBeforeAmp,IF(_xlpm.hasAmp,LEN(_xlfn.TEXTBEFORE(_xlpm.authors,"&amp;"))-LEN(SUBSTITUTE(_xlfn.TEXTBEFORE(_xlpm.authors,"&amp;"),",","")),0),
IF(NOT(_xlpm.hasAmp),"",IF(_xlpm.commasBeforeAmp&gt;2,"etal",TRIM(_xlfn.TEXTBEFORE(_xlfn.TEXTAFTER(_xlpm.authors,"&amp; "),","))))
)</f>
        <v/>
      </c>
      <c r="I116" s="1" t="str">
        <f aca="false">_xlfn.TEXTBEFORE(_xlfn.TEXTAFTER(A116, "("), ")")</f>
        <v>2007</v>
      </c>
      <c r="J116" s="1" t="str">
        <f aca="false">_xlfn.LET(
_xlpm.doi,IF(C116&lt;&gt;"",C116,_xlfn.TEXTAFTER(A116,"https://doi.org/")),
SUBSTITUTE(
SUBSTITUTE(
SUBSTITUTE(
SUBSTITUTE(
_xlpm.doi,
"/","%2F"),
":","%3A"),
"&lt;","%3C"),
"&gt;","%3E")
)</f>
        <v>10.1186%2F1741-7007-5-18</v>
      </c>
      <c r="K116" s="1" t="str">
        <f aca="false">TRIM(_xlfn.TEXTJOIN("_",FALSE(),F116,(SUBSTITUTE(SUBSTITUTE(D116," ",""), "_", ""))))</f>
        <v>Karbowski__2007_TableS19</v>
      </c>
      <c r="L116" s="1" t="str">
        <f aca="false">J116 &amp; "_" &amp; SUBSTITUTE(SUBSTITUTE(SUBSTITUTE(D116,CHAR(160),"")," ",""),"_","")</f>
        <v>10.1186%2F1741-7007-5-18_TableS19</v>
      </c>
      <c r="M116" s="1" t="str">
        <f aca="false" t="array" ref="M116:M116">IFERROR(INDEX(FileList!$A$1:$A$1000,MATCH(TRUE(),EXACT(L116,IFERROR(_xlfn.TEXTBEFORE(FileList!$A$1:$A$1000,".tsv"),"")),0)),"notfound")</f>
        <v>notfound</v>
      </c>
      <c r="N116" s="4" t="s">
        <v>496</v>
      </c>
      <c r="V116" s="4" t="s">
        <v>42</v>
      </c>
      <c r="AG116" s="4" t="s">
        <v>455</v>
      </c>
      <c r="AI116" s="4" t="s">
        <v>463</v>
      </c>
      <c r="AJ116" s="4" t="s">
        <v>142</v>
      </c>
      <c r="AK116" s="4" t="s">
        <v>460</v>
      </c>
      <c r="AL116" s="4" t="s">
        <v>143</v>
      </c>
      <c r="AM116" s="4" t="s">
        <v>461</v>
      </c>
    </row>
    <row r="117" customFormat="false" ht="15.75" hidden="false" customHeight="true" outlineLevel="0" collapsed="false">
      <c r="A117" s="4" t="s">
        <v>453</v>
      </c>
      <c r="D117" s="4" t="s">
        <v>497</v>
      </c>
      <c r="E117" s="1" t="str">
        <f aca="false">RIGHT(A117,1)</f>
        <v>8</v>
      </c>
      <c r="F117" s="1" t="str">
        <f aca="false">G117 &amp; IF(H117&lt;&gt;"", "_" &amp; H117, "_") &amp; IF(I117&lt;&gt;"", "_" &amp; I117, "_") &amp; IF(B117&lt;&gt;"", "_" &amp; B117, "")</f>
        <v>Karbowski__2007</v>
      </c>
      <c r="G117" s="1" t="str">
        <f aca="false">SUBSTITUTE(SUBSTITUTE(_xlfn.TEXTBEFORE(A117,","), "-", ""), " ", "")</f>
        <v>Karbowski</v>
      </c>
      <c r="H117" s="1" t="str">
        <f aca="false">_xlfn.LET(
_xlpm.authors,_xlfn.TEXTBEFORE(A117," ("&amp;I117&amp;")"),
_xlpm.hasAmp,ISNUMBER(SEARCH("&amp;",_xlpm.authors)),
_xlpm.commasBeforeAmp,IF(_xlpm.hasAmp,LEN(_xlfn.TEXTBEFORE(_xlpm.authors,"&amp;"))-LEN(SUBSTITUTE(_xlfn.TEXTBEFORE(_xlpm.authors,"&amp;"),",","")),0),
IF(NOT(_xlpm.hasAmp),"",IF(_xlpm.commasBeforeAmp&gt;2,"etal",TRIM(_xlfn.TEXTBEFORE(_xlfn.TEXTAFTER(_xlpm.authors,"&amp; "),","))))
)</f>
        <v/>
      </c>
      <c r="I117" s="1" t="str">
        <f aca="false">_xlfn.TEXTBEFORE(_xlfn.TEXTAFTER(A117, "("), ")")</f>
        <v>2007</v>
      </c>
      <c r="J117" s="1" t="str">
        <f aca="false">_xlfn.LET(
_xlpm.doi,IF(C117&lt;&gt;"",C117,_xlfn.TEXTAFTER(A117,"https://doi.org/")),
SUBSTITUTE(
SUBSTITUTE(
SUBSTITUTE(
SUBSTITUTE(
_xlpm.doi,
"/","%2F"),
":","%3A"),
"&lt;","%3C"),
"&gt;","%3E")
)</f>
        <v>10.1186%2F1741-7007-5-18</v>
      </c>
      <c r="K117" s="1" t="str">
        <f aca="false">TRIM(_xlfn.TEXTJOIN("_",FALSE(),F117,(SUBSTITUTE(SUBSTITUTE(D117," ",""), "_", ""))))</f>
        <v>Karbowski__2007_TableS20</v>
      </c>
      <c r="L117" s="1" t="str">
        <f aca="false">J117 &amp; "_" &amp; SUBSTITUTE(SUBSTITUTE(SUBSTITUTE(D117,CHAR(160),"")," ",""),"_","")</f>
        <v>10.1186%2F1741-7007-5-18_TableS20</v>
      </c>
      <c r="M117" s="1" t="str">
        <f aca="false" t="array" ref="M117:M117">IFERROR(INDEX(FileList!$A$1:$A$1000,MATCH(TRUE(),EXACT(L117,IFERROR(_xlfn.TEXTBEFORE(FileList!$A$1:$A$1000,".tsv"),"")),0)),"notfound")</f>
        <v>notfound</v>
      </c>
      <c r="N117" s="4" t="s">
        <v>498</v>
      </c>
      <c r="V117" s="4" t="s">
        <v>42</v>
      </c>
      <c r="AG117" s="4" t="s">
        <v>455</v>
      </c>
      <c r="AI117" s="4" t="s">
        <v>463</v>
      </c>
      <c r="AJ117" s="4" t="s">
        <v>142</v>
      </c>
      <c r="AK117" s="4" t="s">
        <v>460</v>
      </c>
      <c r="AL117" s="4" t="s">
        <v>143</v>
      </c>
      <c r="AM117" s="4" t="s">
        <v>461</v>
      </c>
    </row>
    <row r="118" customFormat="false" ht="15.75" hidden="false" customHeight="true" outlineLevel="0" collapsed="false">
      <c r="A118" s="4" t="s">
        <v>453</v>
      </c>
      <c r="D118" s="4" t="s">
        <v>499</v>
      </c>
      <c r="E118" s="1" t="str">
        <f aca="false">RIGHT(A118,1)</f>
        <v>8</v>
      </c>
      <c r="F118" s="1" t="str">
        <f aca="false">G118 &amp; IF(H118&lt;&gt;"", "_" &amp; H118, "_") &amp; IF(I118&lt;&gt;"", "_" &amp; I118, "_") &amp; IF(B118&lt;&gt;"", "_" &amp; B118, "")</f>
        <v>Karbowski__2007</v>
      </c>
      <c r="G118" s="1" t="str">
        <f aca="false">SUBSTITUTE(SUBSTITUTE(_xlfn.TEXTBEFORE(A118,","), "-", ""), " ", "")</f>
        <v>Karbowski</v>
      </c>
      <c r="H118" s="1" t="str">
        <f aca="false">_xlfn.LET(
_xlpm.authors,_xlfn.TEXTBEFORE(A118," ("&amp;I118&amp;")"),
_xlpm.hasAmp,ISNUMBER(SEARCH("&amp;",_xlpm.authors)),
_xlpm.commasBeforeAmp,IF(_xlpm.hasAmp,LEN(_xlfn.TEXTBEFORE(_xlpm.authors,"&amp;"))-LEN(SUBSTITUTE(_xlfn.TEXTBEFORE(_xlpm.authors,"&amp;"),",","")),0),
IF(NOT(_xlpm.hasAmp),"",IF(_xlpm.commasBeforeAmp&gt;2,"etal",TRIM(_xlfn.TEXTBEFORE(_xlfn.TEXTAFTER(_xlpm.authors,"&amp; "),","))))
)</f>
        <v/>
      </c>
      <c r="I118" s="1" t="str">
        <f aca="false">_xlfn.TEXTBEFORE(_xlfn.TEXTAFTER(A118, "("), ")")</f>
        <v>2007</v>
      </c>
      <c r="J118" s="1" t="str">
        <f aca="false">_xlfn.LET(
_xlpm.doi,IF(C118&lt;&gt;"",C118,_xlfn.TEXTAFTER(A118,"https://doi.org/")),
SUBSTITUTE(
SUBSTITUTE(
SUBSTITUTE(
SUBSTITUTE(
_xlpm.doi,
"/","%2F"),
":","%3A"),
"&lt;","%3C"),
"&gt;","%3E")
)</f>
        <v>10.1186%2F1741-7007-5-18</v>
      </c>
      <c r="K118" s="1" t="str">
        <f aca="false">TRIM(_xlfn.TEXTJOIN("_",FALSE(),F118,(SUBSTITUTE(SUBSTITUTE(D118," ",""), "_", ""))))</f>
        <v>Karbowski__2007_TableS21</v>
      </c>
      <c r="L118" s="1" t="str">
        <f aca="false">J118 &amp; "_" &amp; SUBSTITUTE(SUBSTITUTE(SUBSTITUTE(D118,CHAR(160),"")," ",""),"_","")</f>
        <v>10.1186%2F1741-7007-5-18_TableS21</v>
      </c>
      <c r="M118" s="1" t="str">
        <f aca="false" t="array" ref="M118:M118">IFERROR(INDEX(FileList!$A$1:$A$1000,MATCH(TRUE(),EXACT(L118,IFERROR(_xlfn.TEXTBEFORE(FileList!$A$1:$A$1000,".tsv"),"")),0)),"notfound")</f>
        <v>notfound</v>
      </c>
      <c r="N118" s="4" t="s">
        <v>500</v>
      </c>
      <c r="V118" s="4" t="s">
        <v>42</v>
      </c>
      <c r="AG118" s="4" t="s">
        <v>455</v>
      </c>
      <c r="AI118" s="4" t="s">
        <v>463</v>
      </c>
      <c r="AJ118" s="4" t="s">
        <v>142</v>
      </c>
      <c r="AK118" s="4" t="s">
        <v>460</v>
      </c>
      <c r="AL118" s="4" t="s">
        <v>143</v>
      </c>
      <c r="AM118" s="4" t="s">
        <v>461</v>
      </c>
    </row>
    <row r="119" customFormat="false" ht="15.75" hidden="false" customHeight="true" outlineLevel="0" collapsed="false">
      <c r="A119" s="4" t="s">
        <v>453</v>
      </c>
      <c r="D119" s="4" t="s">
        <v>501</v>
      </c>
      <c r="E119" s="1" t="str">
        <f aca="false">RIGHT(A119,1)</f>
        <v>8</v>
      </c>
      <c r="F119" s="1" t="str">
        <f aca="false">G119 &amp; IF(H119&lt;&gt;"", "_" &amp; H119, "_") &amp; IF(I119&lt;&gt;"", "_" &amp; I119, "_") &amp; IF(B119&lt;&gt;"", "_" &amp; B119, "")</f>
        <v>Karbowski__2007</v>
      </c>
      <c r="G119" s="1" t="str">
        <f aca="false">SUBSTITUTE(SUBSTITUTE(_xlfn.TEXTBEFORE(A119,","), "-", ""), " ", "")</f>
        <v>Karbowski</v>
      </c>
      <c r="H119" s="1" t="str">
        <f aca="false">_xlfn.LET(
_xlpm.authors,_xlfn.TEXTBEFORE(A119," ("&amp;I119&amp;")"),
_xlpm.hasAmp,ISNUMBER(SEARCH("&amp;",_xlpm.authors)),
_xlpm.commasBeforeAmp,IF(_xlpm.hasAmp,LEN(_xlfn.TEXTBEFORE(_xlpm.authors,"&amp;"))-LEN(SUBSTITUTE(_xlfn.TEXTBEFORE(_xlpm.authors,"&amp;"),",","")),0),
IF(NOT(_xlpm.hasAmp),"",IF(_xlpm.commasBeforeAmp&gt;2,"etal",TRIM(_xlfn.TEXTBEFORE(_xlfn.TEXTAFTER(_xlpm.authors,"&amp; "),","))))
)</f>
        <v/>
      </c>
      <c r="I119" s="1" t="str">
        <f aca="false">_xlfn.TEXTBEFORE(_xlfn.TEXTAFTER(A119, "("), ")")</f>
        <v>2007</v>
      </c>
      <c r="J119" s="1" t="str">
        <f aca="false">_xlfn.LET(
_xlpm.doi,IF(C119&lt;&gt;"",C119,_xlfn.TEXTAFTER(A119,"https://doi.org/")),
SUBSTITUTE(
SUBSTITUTE(
SUBSTITUTE(
SUBSTITUTE(
_xlpm.doi,
"/","%2F"),
":","%3A"),
"&lt;","%3C"),
"&gt;","%3E")
)</f>
        <v>10.1186%2F1741-7007-5-18</v>
      </c>
      <c r="K119" s="1" t="str">
        <f aca="false">TRIM(_xlfn.TEXTJOIN("_",FALSE(),F119,(SUBSTITUTE(SUBSTITUTE(D119," ",""), "_", ""))))</f>
        <v>Karbowski__2007_TableS22</v>
      </c>
      <c r="L119" s="1" t="str">
        <f aca="false">J119 &amp; "_" &amp; SUBSTITUTE(SUBSTITUTE(SUBSTITUTE(D119,CHAR(160),"")," ",""),"_","")</f>
        <v>10.1186%2F1741-7007-5-18_TableS22</v>
      </c>
      <c r="M119" s="1" t="str">
        <f aca="false" t="array" ref="M119:M119">IFERROR(INDEX(FileList!$A$1:$A$1000,MATCH(TRUE(),EXACT(L119,IFERROR(_xlfn.TEXTBEFORE(FileList!$A$1:$A$1000,".tsv"),"")),0)),"notfound")</f>
        <v>notfound</v>
      </c>
      <c r="N119" s="4" t="s">
        <v>502</v>
      </c>
      <c r="V119" s="4" t="s">
        <v>42</v>
      </c>
      <c r="AG119" s="4" t="s">
        <v>455</v>
      </c>
      <c r="AI119" s="4" t="s">
        <v>463</v>
      </c>
      <c r="AJ119" s="4" t="s">
        <v>142</v>
      </c>
      <c r="AK119" s="4" t="s">
        <v>460</v>
      </c>
      <c r="AL119" s="4" t="s">
        <v>143</v>
      </c>
      <c r="AM119" s="4" t="s">
        <v>461</v>
      </c>
    </row>
    <row r="120" customFormat="false" ht="15.75" hidden="false" customHeight="true" outlineLevel="0" collapsed="false">
      <c r="A120" s="4" t="s">
        <v>453</v>
      </c>
      <c r="D120" s="4" t="s">
        <v>503</v>
      </c>
      <c r="E120" s="1" t="str">
        <f aca="false">RIGHT(A120,1)</f>
        <v>8</v>
      </c>
      <c r="F120" s="1" t="str">
        <f aca="false">G120 &amp; IF(H120&lt;&gt;"", "_" &amp; H120, "_") &amp; IF(I120&lt;&gt;"", "_" &amp; I120, "_") &amp; IF(B120&lt;&gt;"", "_" &amp; B120, "")</f>
        <v>Karbowski__2007</v>
      </c>
      <c r="G120" s="1" t="str">
        <f aca="false">SUBSTITUTE(SUBSTITUTE(_xlfn.TEXTBEFORE(A120,","), "-", ""), " ", "")</f>
        <v>Karbowski</v>
      </c>
      <c r="H120" s="1" t="str">
        <f aca="false">_xlfn.LET(
_xlpm.authors,_xlfn.TEXTBEFORE(A120," ("&amp;I120&amp;")"),
_xlpm.hasAmp,ISNUMBER(SEARCH("&amp;",_xlpm.authors)),
_xlpm.commasBeforeAmp,IF(_xlpm.hasAmp,LEN(_xlfn.TEXTBEFORE(_xlpm.authors,"&amp;"))-LEN(SUBSTITUTE(_xlfn.TEXTBEFORE(_xlpm.authors,"&amp;"),",","")),0),
IF(NOT(_xlpm.hasAmp),"",IF(_xlpm.commasBeforeAmp&gt;2,"etal",TRIM(_xlfn.TEXTBEFORE(_xlfn.TEXTAFTER(_xlpm.authors,"&amp; "),","))))
)</f>
        <v/>
      </c>
      <c r="I120" s="1" t="str">
        <f aca="false">_xlfn.TEXTBEFORE(_xlfn.TEXTAFTER(A120, "("), ")")</f>
        <v>2007</v>
      </c>
      <c r="J120" s="1" t="str">
        <f aca="false">_xlfn.LET(
_xlpm.doi,IF(C120&lt;&gt;"",C120,_xlfn.TEXTAFTER(A120,"https://doi.org/")),
SUBSTITUTE(
SUBSTITUTE(
SUBSTITUTE(
SUBSTITUTE(
_xlpm.doi,
"/","%2F"),
":","%3A"),
"&lt;","%3C"),
"&gt;","%3E")
)</f>
        <v>10.1186%2F1741-7007-5-18</v>
      </c>
      <c r="K120" s="1" t="str">
        <f aca="false">TRIM(_xlfn.TEXTJOIN("_",FALSE(),F120,(SUBSTITUTE(SUBSTITUTE(D120," ",""), "_", ""))))</f>
        <v>Karbowski__2007_TableS23</v>
      </c>
      <c r="L120" s="1" t="str">
        <f aca="false">J120 &amp; "_" &amp; SUBSTITUTE(SUBSTITUTE(SUBSTITUTE(D120,CHAR(160),"")," ",""),"_","")</f>
        <v>10.1186%2F1741-7007-5-18_TableS23</v>
      </c>
      <c r="M120" s="1" t="str">
        <f aca="false" t="array" ref="M120:M120">IFERROR(INDEX(FileList!$A$1:$A$1000,MATCH(TRUE(),EXACT(L120,IFERROR(_xlfn.TEXTBEFORE(FileList!$A$1:$A$1000,".tsv"),"")),0)),"notfound")</f>
        <v>notfound</v>
      </c>
      <c r="N120" s="4" t="s">
        <v>504</v>
      </c>
      <c r="V120" s="4" t="s">
        <v>42</v>
      </c>
      <c r="AG120" s="4" t="s">
        <v>455</v>
      </c>
      <c r="AI120" s="4" t="s">
        <v>463</v>
      </c>
      <c r="AJ120" s="4" t="s">
        <v>142</v>
      </c>
      <c r="AK120" s="4" t="s">
        <v>460</v>
      </c>
      <c r="AL120" s="4" t="s">
        <v>143</v>
      </c>
      <c r="AM120" s="4" t="s">
        <v>461</v>
      </c>
    </row>
    <row r="121" customFormat="false" ht="15.75" hidden="false" customHeight="true" outlineLevel="0" collapsed="false">
      <c r="A121" s="4" t="s">
        <v>505</v>
      </c>
      <c r="D121" s="4" t="s">
        <v>49</v>
      </c>
      <c r="E121" s="1" t="str">
        <f aca="false">RIGHT(A121,1)</f>
        <v>9</v>
      </c>
      <c r="F121" s="1" t="str">
        <f aca="false">G121 &amp; IF(H121&lt;&gt;"", "_" &amp; H121, "_") &amp; IF(I121&lt;&gt;"", "_" &amp; I121, "_") &amp; IF(B121&lt;&gt;"", "_" &amp; B121, "")</f>
        <v>Karl_etal_2024</v>
      </c>
      <c r="G121" s="1" t="str">
        <f aca="false">SUBSTITUTE(SUBSTITUTE(_xlfn.TEXTBEFORE(A121,","), "-", ""), " ", "")</f>
        <v>Karl</v>
      </c>
      <c r="H121" s="1" t="str">
        <f aca="false">_xlfn.LET(
_xlpm.authors,_xlfn.TEXTBEFORE(A121," ("&amp;I121&amp;")"),
_xlpm.hasAmp,ISNUMBER(SEARCH("&amp;",_xlpm.authors)),
_xlpm.commasBeforeAmp,IF(_xlpm.hasAmp,LEN(_xlfn.TEXTBEFORE(_xlpm.authors,"&amp;"))-LEN(SUBSTITUTE(_xlfn.TEXTBEFORE(_xlpm.authors,"&amp;"),",","")),0),
IF(NOT(_xlpm.hasAmp),"",IF(_xlpm.commasBeforeAmp&gt;2,"etal",TRIM(_xlfn.TEXTBEFORE(_xlfn.TEXTAFTER(_xlpm.authors,"&amp; "),","))))
)</f>
        <v>etal</v>
      </c>
      <c r="I121" s="1" t="str">
        <f aca="false">_xlfn.TEXTBEFORE(_xlfn.TEXTAFTER(A121, "("), ")")</f>
        <v>2024</v>
      </c>
      <c r="J121" s="1" t="str">
        <f aca="false">_xlfn.LET(
_xlpm.doi,IF(C121&lt;&gt;"",C121,_xlfn.TEXTAFTER(A121,"https://doi.org/")),
SUBSTITUTE(
SUBSTITUTE(
SUBSTITUTE(
SUBSTITUTE(
_xlpm.doi,
"/","%2F"),
":","%3A"),
"&lt;","%3C"),
"&gt;","%3E")
)</f>
        <v>10.1002%2Fcne.25669</v>
      </c>
      <c r="K121" s="1" t="str">
        <f aca="false">TRIM(_xlfn.TEXTJOIN("_",FALSE(),F121,(SUBSTITUTE(SUBSTITUTE(D121," ",""), "_", ""))))</f>
        <v>Karl_etal_2024_TABLE1</v>
      </c>
      <c r="L121" s="1" t="str">
        <f aca="false">J121 &amp; "_" &amp; SUBSTITUTE(SUBSTITUTE(SUBSTITUTE(D121,CHAR(160),"")," ",""),"_","")</f>
        <v>10.1002%2Fcne.25669_TABLE1</v>
      </c>
      <c r="M121" s="1" t="str">
        <f aca="false" t="array" ref="M121:M121">IFERROR(INDEX(FileList!$A$1:$A$1000,MATCH(TRUE(),EXACT(L121,IFERROR(_xlfn.TEXTBEFORE(FileList!$A$1:$A$1000,".tsv"),"")),0)),"notfound")</f>
        <v>notfound</v>
      </c>
      <c r="N121" s="4" t="s">
        <v>506</v>
      </c>
      <c r="P121" s="4" t="s">
        <v>41</v>
      </c>
      <c r="U121" s="4" t="s">
        <v>55</v>
      </c>
      <c r="V121" s="4" t="s">
        <v>42</v>
      </c>
      <c r="W121" s="4" t="s">
        <v>208</v>
      </c>
      <c r="AI121" s="4" t="s">
        <v>507</v>
      </c>
      <c r="AJ121" s="4" t="s">
        <v>142</v>
      </c>
      <c r="AK121" s="4" t="s">
        <v>63</v>
      </c>
      <c r="AL121" s="4" t="s">
        <v>63</v>
      </c>
      <c r="AM121" s="4" t="s">
        <v>507</v>
      </c>
    </row>
    <row r="122" customFormat="false" ht="15" hidden="false" customHeight="true" outlineLevel="0" collapsed="false">
      <c r="A122" s="4" t="s">
        <v>508</v>
      </c>
      <c r="C122" s="4" t="s">
        <v>509</v>
      </c>
      <c r="D122" s="4" t="s">
        <v>510</v>
      </c>
      <c r="E122" s="1" t="str">
        <f aca="false">RIGHT(A122,1)</f>
        <v>.</v>
      </c>
      <c r="F122" s="1" t="str">
        <f aca="false">G122 &amp; IF(H122&lt;&gt;"", "_" &amp; H122, "_") &amp; IF(I122&lt;&gt;"", "_" &amp; I122, "_") &amp; IF(B122&lt;&gt;"", "_" &amp; B122, "")</f>
        <v>Kaufman__2004</v>
      </c>
      <c r="G122" s="1" t="str">
        <f aca="false">SUBSTITUTE(SUBSTITUTE(_xlfn.TEXTBEFORE(A122,","), "-", ""), " ", "")</f>
        <v>Kaufman</v>
      </c>
      <c r="H122" s="1" t="str">
        <f aca="false">_xlfn.LET(
_xlpm.authors,_xlfn.TEXTBEFORE(A122," ("&amp;I122&amp;")"),
_xlpm.hasAmp,ISNUMBER(SEARCH("&amp;",_xlpm.authors)),
_xlpm.commasBeforeAmp,IF(_xlpm.hasAmp,LEN(_xlfn.TEXTBEFORE(_xlpm.authors,"&amp;"))-LEN(SUBSTITUTE(_xlfn.TEXTBEFORE(_xlpm.authors,"&amp;"),",","")),0),
IF(NOT(_xlpm.hasAmp),"",IF(_xlpm.commasBeforeAmp&gt;2,"etal",TRIM(_xlfn.TEXTBEFORE(_xlfn.TEXTAFTER(_xlpm.authors,"&amp; "),","))))
)</f>
        <v/>
      </c>
      <c r="I122" s="1" t="str">
        <f aca="false">_xlfn.TEXTBEFORE(_xlfn.TEXTAFTER(A122, "("), ")")</f>
        <v>2004</v>
      </c>
      <c r="J122" s="1" t="str">
        <f aca="false">_xlfn.LET(
_xlpm.doi,IF(C122&lt;&gt;"",C122,_xlfn.TEXTAFTER(A122,"https://doi.org/")),
SUBSTITUTE(
SUBSTITUTE(
SUBSTITUTE(
SUBSTITUTE(
_xlpm.doi,
"/","%2F"),
":","%3A"),
"&lt;","%3C"),
"&gt;","%3E")
)</f>
        <v>UMI%3A3147447</v>
      </c>
      <c r="K122" s="1" t="str">
        <f aca="false">TRIM(_xlfn.TEXTJOIN("_",FALSE(),F122,(SUBSTITUTE(SUBSTITUTE(D122," ",""), "_", ""))))</f>
        <v>Kaufman__2004_TableA1</v>
      </c>
      <c r="L122" s="1" t="str">
        <f aca="false">J122 &amp; "_" &amp; SUBSTITUTE(SUBSTITUTE(SUBSTITUTE(D122,CHAR(160),"")," ",""),"_","")</f>
        <v>UMI%3A3147447_TableA1</v>
      </c>
      <c r="M122" s="1" t="str">
        <f aca="false" t="array" ref="M122:M122">IFERROR(INDEX(FileList!$A$1:$A$1000,MATCH(TRUE(),EXACT(L122,IFERROR(_xlfn.TEXTBEFORE(FileList!$A$1:$A$1000,".tsv"),"")),0)),"notfound")</f>
        <v>notfound</v>
      </c>
      <c r="N122" s="4" t="s">
        <v>511</v>
      </c>
      <c r="P122" s="4" t="s">
        <v>168</v>
      </c>
      <c r="R122" s="4" t="s">
        <v>512</v>
      </c>
      <c r="T122" s="4" t="s">
        <v>513</v>
      </c>
      <c r="V122" s="4" t="s">
        <v>42</v>
      </c>
      <c r="AB122" s="4" t="s">
        <v>514</v>
      </c>
      <c r="AI122" s="4" t="s">
        <v>515</v>
      </c>
      <c r="AJ122" s="4" t="s">
        <v>142</v>
      </c>
      <c r="AK122" s="4" t="s">
        <v>63</v>
      </c>
      <c r="AL122" s="4" t="s">
        <v>143</v>
      </c>
      <c r="AM122" s="4" t="s">
        <v>516</v>
      </c>
    </row>
    <row r="123" customFormat="false" ht="15" hidden="false" customHeight="true" outlineLevel="0" collapsed="false">
      <c r="A123" s="4" t="s">
        <v>508</v>
      </c>
      <c r="C123" s="4" t="s">
        <v>509</v>
      </c>
      <c r="D123" s="4" t="s">
        <v>517</v>
      </c>
      <c r="E123" s="1" t="str">
        <f aca="false">RIGHT(A123,1)</f>
        <v>.</v>
      </c>
      <c r="F123" s="1" t="str">
        <f aca="false">G123 &amp; IF(H123&lt;&gt;"", "_" &amp; H123, "_") &amp; IF(I123&lt;&gt;"", "_" &amp; I123, "_") &amp; IF(B123&lt;&gt;"", "_" &amp; B123, "")</f>
        <v>Kaufman__2004</v>
      </c>
      <c r="G123" s="1" t="str">
        <f aca="false">SUBSTITUTE(SUBSTITUTE(_xlfn.TEXTBEFORE(A123,","), "-", ""), " ", "")</f>
        <v>Kaufman</v>
      </c>
      <c r="H123" s="1" t="str">
        <f aca="false">_xlfn.LET(
_xlpm.authors,_xlfn.TEXTBEFORE(A123," ("&amp;I123&amp;")"),
_xlpm.hasAmp,ISNUMBER(SEARCH("&amp;",_xlpm.authors)),
_xlpm.commasBeforeAmp,IF(_xlpm.hasAmp,LEN(_xlfn.TEXTBEFORE(_xlpm.authors,"&amp;"))-LEN(SUBSTITUTE(_xlfn.TEXTBEFORE(_xlpm.authors,"&amp;"),",","")),0),
IF(NOT(_xlpm.hasAmp),"",IF(_xlpm.commasBeforeAmp&gt;2,"etal",TRIM(_xlfn.TEXTBEFORE(_xlfn.TEXTAFTER(_xlpm.authors,"&amp; "),","))))
)</f>
        <v/>
      </c>
      <c r="I123" s="1" t="str">
        <f aca="false">_xlfn.TEXTBEFORE(_xlfn.TEXTAFTER(A123, "("), ")")</f>
        <v>2004</v>
      </c>
      <c r="J123" s="1" t="str">
        <f aca="false">_xlfn.LET(
_xlpm.doi,IF(C123&lt;&gt;"",C123,_xlfn.TEXTAFTER(A123,"https://doi.org/")),
SUBSTITUTE(
SUBSTITUTE(
SUBSTITUTE(
SUBSTITUTE(
_xlpm.doi,
"/","%2F"),
":","%3A"),
"&lt;","%3C"),
"&gt;","%3E")
)</f>
        <v>UMI%3A3147447</v>
      </c>
      <c r="K123" s="1" t="str">
        <f aca="false">TRIM(_xlfn.TEXTJOIN("_",FALSE(),F123,(SUBSTITUTE(SUBSTITUTE(D123," ",""), "_", ""))))</f>
        <v>Kaufman__2004_TableA2</v>
      </c>
      <c r="L123" s="1" t="str">
        <f aca="false">J123 &amp; "_" &amp; SUBSTITUTE(SUBSTITUTE(SUBSTITUTE(D123,CHAR(160),"")," ",""),"_","")</f>
        <v>UMI%3A3147447_TableA2</v>
      </c>
      <c r="M123" s="1" t="str">
        <f aca="false" t="array" ref="M123:M123">IFERROR(INDEX(FileList!$A$1:$A$1000,MATCH(TRUE(),EXACT(L123,IFERROR(_xlfn.TEXTBEFORE(FileList!$A$1:$A$1000,".tsv"),"")),0)),"notfound")</f>
        <v>notfound</v>
      </c>
      <c r="N123" s="4" t="s">
        <v>518</v>
      </c>
      <c r="P123" s="4" t="s">
        <v>168</v>
      </c>
      <c r="R123" s="4" t="s">
        <v>519</v>
      </c>
      <c r="T123" s="4" t="s">
        <v>520</v>
      </c>
      <c r="V123" s="4" t="s">
        <v>42</v>
      </c>
      <c r="AB123" s="4" t="s">
        <v>514</v>
      </c>
      <c r="AI123" s="4" t="s">
        <v>515</v>
      </c>
      <c r="AJ123" s="4" t="s">
        <v>142</v>
      </c>
      <c r="AK123" s="4" t="s">
        <v>63</v>
      </c>
      <c r="AL123" s="4" t="s">
        <v>143</v>
      </c>
      <c r="AM123" s="4" t="s">
        <v>516</v>
      </c>
    </row>
    <row r="124" customFormat="false" ht="15" hidden="false" customHeight="true" outlineLevel="0" collapsed="false">
      <c r="A124" s="4" t="s">
        <v>508</v>
      </c>
      <c r="C124" s="4" t="s">
        <v>509</v>
      </c>
      <c r="D124" s="4" t="s">
        <v>521</v>
      </c>
      <c r="E124" s="1" t="str">
        <f aca="false">RIGHT(A124,1)</f>
        <v>.</v>
      </c>
      <c r="F124" s="1" t="str">
        <f aca="false">G124 &amp; IF(H124&lt;&gt;"", "_" &amp; H124, "_") &amp; IF(I124&lt;&gt;"", "_" &amp; I124, "_") &amp; IF(B124&lt;&gt;"", "_" &amp; B124, "")</f>
        <v>Kaufman__2004</v>
      </c>
      <c r="G124" s="1" t="str">
        <f aca="false">SUBSTITUTE(SUBSTITUTE(_xlfn.TEXTBEFORE(A124,","), "-", ""), " ", "")</f>
        <v>Kaufman</v>
      </c>
      <c r="H124" s="1" t="str">
        <f aca="false">_xlfn.LET(
_xlpm.authors,_xlfn.TEXTBEFORE(A124," ("&amp;I124&amp;")"),
_xlpm.hasAmp,ISNUMBER(SEARCH("&amp;",_xlpm.authors)),
_xlpm.commasBeforeAmp,IF(_xlpm.hasAmp,LEN(_xlfn.TEXTBEFORE(_xlpm.authors,"&amp;"))-LEN(SUBSTITUTE(_xlfn.TEXTBEFORE(_xlpm.authors,"&amp;"),",","")),0),
IF(NOT(_xlpm.hasAmp),"",IF(_xlpm.commasBeforeAmp&gt;2,"etal",TRIM(_xlfn.TEXTBEFORE(_xlfn.TEXTAFTER(_xlpm.authors,"&amp; "),","))))
)</f>
        <v/>
      </c>
      <c r="I124" s="1" t="str">
        <f aca="false">_xlfn.TEXTBEFORE(_xlfn.TEXTAFTER(A124, "("), ")")</f>
        <v>2004</v>
      </c>
      <c r="J124" s="1" t="str">
        <f aca="false">_xlfn.LET(
_xlpm.doi,IF(C124&lt;&gt;"",C124,_xlfn.TEXTAFTER(A124,"https://doi.org/")),
SUBSTITUTE(
SUBSTITUTE(
SUBSTITUTE(
SUBSTITUTE(
_xlpm.doi,
"/","%2F"),
":","%3A"),
"&lt;","%3C"),
"&gt;","%3E")
)</f>
        <v>UMI%3A3147447</v>
      </c>
      <c r="K124" s="1" t="str">
        <f aca="false">TRIM(_xlfn.TEXTJOIN("_",FALSE(),F124,(SUBSTITUTE(SUBSTITUTE(D124," ",""), "_", ""))))</f>
        <v>Kaufman__2004_TableA3</v>
      </c>
      <c r="L124" s="1" t="str">
        <f aca="false">J124 &amp; "_" &amp; SUBSTITUTE(SUBSTITUTE(SUBSTITUTE(D124,CHAR(160),"")," ",""),"_","")</f>
        <v>UMI%3A3147447_TableA3</v>
      </c>
      <c r="M124" s="1" t="str">
        <f aca="false" t="array" ref="M124:M124">IFERROR(INDEX(FileList!$A$1:$A$1000,MATCH(TRUE(),EXACT(L124,IFERROR(_xlfn.TEXTBEFORE(FileList!$A$1:$A$1000,".tsv"),"")),0)),"notfound")</f>
        <v>notfound</v>
      </c>
      <c r="N124" s="4" t="s">
        <v>522</v>
      </c>
      <c r="P124" s="4" t="s">
        <v>168</v>
      </c>
      <c r="R124" s="4" t="s">
        <v>523</v>
      </c>
      <c r="T124" s="4" t="s">
        <v>524</v>
      </c>
      <c r="V124" s="4" t="s">
        <v>42</v>
      </c>
      <c r="AB124" s="4" t="s">
        <v>514</v>
      </c>
      <c r="AI124" s="4" t="s">
        <v>515</v>
      </c>
      <c r="AJ124" s="4" t="s">
        <v>142</v>
      </c>
      <c r="AK124" s="4" t="s">
        <v>63</v>
      </c>
      <c r="AL124" s="4" t="s">
        <v>143</v>
      </c>
      <c r="AM124" s="4" t="s">
        <v>516</v>
      </c>
    </row>
    <row r="125" customFormat="false" ht="15" hidden="false" customHeight="true" outlineLevel="0" collapsed="false">
      <c r="A125" s="4" t="s">
        <v>508</v>
      </c>
      <c r="C125" s="4" t="s">
        <v>509</v>
      </c>
      <c r="D125" s="4" t="s">
        <v>525</v>
      </c>
      <c r="E125" s="1" t="str">
        <f aca="false">RIGHT(A125,1)</f>
        <v>.</v>
      </c>
      <c r="F125" s="1" t="str">
        <f aca="false">G125 &amp; IF(H125&lt;&gt;"", "_" &amp; H125, "_") &amp; IF(I125&lt;&gt;"", "_" &amp; I125, "_") &amp; IF(B125&lt;&gt;"", "_" &amp; B125, "")</f>
        <v>Kaufman__2004</v>
      </c>
      <c r="G125" s="1" t="str">
        <f aca="false">SUBSTITUTE(SUBSTITUTE(_xlfn.TEXTBEFORE(A125,","), "-", ""), " ", "")</f>
        <v>Kaufman</v>
      </c>
      <c r="H125" s="1" t="str">
        <f aca="false">_xlfn.LET(
_xlpm.authors,_xlfn.TEXTBEFORE(A125," ("&amp;I125&amp;")"),
_xlpm.hasAmp,ISNUMBER(SEARCH("&amp;",_xlpm.authors)),
_xlpm.commasBeforeAmp,IF(_xlpm.hasAmp,LEN(_xlfn.TEXTBEFORE(_xlpm.authors,"&amp;"))-LEN(SUBSTITUTE(_xlfn.TEXTBEFORE(_xlpm.authors,"&amp;"),",","")),0),
IF(NOT(_xlpm.hasAmp),"",IF(_xlpm.commasBeforeAmp&gt;2,"etal",TRIM(_xlfn.TEXTBEFORE(_xlfn.TEXTAFTER(_xlpm.authors,"&amp; "),","))))
)</f>
        <v/>
      </c>
      <c r="I125" s="1" t="str">
        <f aca="false">_xlfn.TEXTBEFORE(_xlfn.TEXTAFTER(A125, "("), ")")</f>
        <v>2004</v>
      </c>
      <c r="J125" s="1" t="str">
        <f aca="false">_xlfn.LET(
_xlpm.doi,IF(C125&lt;&gt;"",C125,_xlfn.TEXTAFTER(A125,"https://doi.org/")),
SUBSTITUTE(
SUBSTITUTE(
SUBSTITUTE(
SUBSTITUTE(
_xlpm.doi,
"/","%2F"),
":","%3A"),
"&lt;","%3C"),
"&gt;","%3E")
)</f>
        <v>UMI%3A3147447</v>
      </c>
      <c r="K125" s="1" t="str">
        <f aca="false">TRIM(_xlfn.TEXTJOIN("_",FALSE(),F125,(SUBSTITUTE(SUBSTITUTE(D125," ",""), "_", ""))))</f>
        <v>Kaufman__2004_TableA4</v>
      </c>
      <c r="L125" s="1" t="str">
        <f aca="false">J125 &amp; "_" &amp; SUBSTITUTE(SUBSTITUTE(SUBSTITUTE(D125,CHAR(160),"")," ",""),"_","")</f>
        <v>UMI%3A3147447_TableA4</v>
      </c>
      <c r="M125" s="1" t="str">
        <f aca="false" t="array" ref="M125:M125">IFERROR(INDEX(FileList!$A$1:$A$1000,MATCH(TRUE(),EXACT(L125,IFERROR(_xlfn.TEXTBEFORE(FileList!$A$1:$A$1000,".tsv"),"")),0)),"notfound")</f>
        <v>notfound</v>
      </c>
      <c r="N125" s="4" t="s">
        <v>526</v>
      </c>
      <c r="P125" s="4" t="s">
        <v>168</v>
      </c>
      <c r="R125" s="4" t="s">
        <v>527</v>
      </c>
      <c r="T125" s="4" t="s">
        <v>528</v>
      </c>
      <c r="V125" s="4" t="s">
        <v>42</v>
      </c>
      <c r="AB125" s="4" t="s">
        <v>514</v>
      </c>
      <c r="AI125" s="4" t="s">
        <v>515</v>
      </c>
      <c r="AJ125" s="4" t="s">
        <v>142</v>
      </c>
      <c r="AK125" s="4" t="s">
        <v>63</v>
      </c>
      <c r="AL125" s="4" t="s">
        <v>143</v>
      </c>
      <c r="AM125" s="4" t="s">
        <v>516</v>
      </c>
    </row>
    <row r="126" customFormat="false" ht="15" hidden="false" customHeight="true" outlineLevel="0" collapsed="false">
      <c r="A126" s="4" t="s">
        <v>508</v>
      </c>
      <c r="C126" s="4" t="s">
        <v>509</v>
      </c>
      <c r="D126" s="4" t="s">
        <v>529</v>
      </c>
      <c r="E126" s="1" t="str">
        <f aca="false">RIGHT(A126,1)</f>
        <v>.</v>
      </c>
      <c r="F126" s="1" t="str">
        <f aca="false">G126 &amp; IF(H126&lt;&gt;"", "_" &amp; H126, "_") &amp; IF(I126&lt;&gt;"", "_" &amp; I126, "_") &amp; IF(B126&lt;&gt;"", "_" &amp; B126, "")</f>
        <v>Kaufman__2004</v>
      </c>
      <c r="G126" s="1" t="str">
        <f aca="false">SUBSTITUTE(SUBSTITUTE(_xlfn.TEXTBEFORE(A126,","), "-", ""), " ", "")</f>
        <v>Kaufman</v>
      </c>
      <c r="H126" s="1" t="str">
        <f aca="false">_xlfn.LET(
_xlpm.authors,_xlfn.TEXTBEFORE(A126," ("&amp;I126&amp;")"),
_xlpm.hasAmp,ISNUMBER(SEARCH("&amp;",_xlpm.authors)),
_xlpm.commasBeforeAmp,IF(_xlpm.hasAmp,LEN(_xlfn.TEXTBEFORE(_xlpm.authors,"&amp;"))-LEN(SUBSTITUTE(_xlfn.TEXTBEFORE(_xlpm.authors,"&amp;"),",","")),0),
IF(NOT(_xlpm.hasAmp),"",IF(_xlpm.commasBeforeAmp&gt;2,"etal",TRIM(_xlfn.TEXTBEFORE(_xlfn.TEXTAFTER(_xlpm.authors,"&amp; "),","))))
)</f>
        <v/>
      </c>
      <c r="I126" s="1" t="str">
        <f aca="false">_xlfn.TEXTBEFORE(_xlfn.TEXTAFTER(A126, "("), ")")</f>
        <v>2004</v>
      </c>
      <c r="J126" s="1" t="str">
        <f aca="false">_xlfn.LET(
_xlpm.doi,IF(C126&lt;&gt;"",C126,_xlfn.TEXTAFTER(A126,"https://doi.org/")),
SUBSTITUTE(
SUBSTITUTE(
SUBSTITUTE(
SUBSTITUTE(
_xlpm.doi,
"/","%2F"),
":","%3A"),
"&lt;","%3C"),
"&gt;","%3E")
)</f>
        <v>UMI%3A3147447</v>
      </c>
      <c r="K126" s="1" t="str">
        <f aca="false">TRIM(_xlfn.TEXTJOIN("_",FALSE(),F126,(SUBSTITUTE(SUBSTITUTE(D126," ",""), "_", ""))))</f>
        <v>Kaufman__2004_TableA5</v>
      </c>
      <c r="L126" s="1" t="str">
        <f aca="false">J126 &amp; "_" &amp; SUBSTITUTE(SUBSTITUTE(SUBSTITUTE(D126,CHAR(160),"")," ",""),"_","")</f>
        <v>UMI%3A3147447_TableA5</v>
      </c>
      <c r="M126" s="1" t="str">
        <f aca="false" t="array" ref="M126:M126">IFERROR(INDEX(FileList!$A$1:$A$1000,MATCH(TRUE(),EXACT(L126,IFERROR(_xlfn.TEXTBEFORE(FileList!$A$1:$A$1000,".tsv"),"")),0)),"notfound")</f>
        <v>notfound</v>
      </c>
      <c r="N126" s="4" t="s">
        <v>530</v>
      </c>
      <c r="P126" s="4" t="s">
        <v>168</v>
      </c>
      <c r="R126" s="4" t="s">
        <v>531</v>
      </c>
      <c r="T126" s="4" t="s">
        <v>532</v>
      </c>
      <c r="V126" s="4" t="s">
        <v>42</v>
      </c>
      <c r="AB126" s="4" t="s">
        <v>514</v>
      </c>
      <c r="AI126" s="4" t="s">
        <v>515</v>
      </c>
      <c r="AJ126" s="4" t="s">
        <v>142</v>
      </c>
      <c r="AK126" s="4" t="s">
        <v>63</v>
      </c>
      <c r="AL126" s="4" t="s">
        <v>143</v>
      </c>
      <c r="AM126" s="4" t="s">
        <v>516</v>
      </c>
    </row>
    <row r="127" customFormat="false" ht="15" hidden="false" customHeight="true" outlineLevel="0" collapsed="false">
      <c r="A127" s="4" t="s">
        <v>508</v>
      </c>
      <c r="C127" s="4" t="s">
        <v>509</v>
      </c>
      <c r="D127" s="4" t="s">
        <v>533</v>
      </c>
      <c r="E127" s="1" t="str">
        <f aca="false">RIGHT(A127,1)</f>
        <v>.</v>
      </c>
      <c r="F127" s="1" t="str">
        <f aca="false">G127 &amp; IF(H127&lt;&gt;"", "_" &amp; H127, "_") &amp; IF(I127&lt;&gt;"", "_" &amp; I127, "_") &amp; IF(B127&lt;&gt;"", "_" &amp; B127, "")</f>
        <v>Kaufman__2004</v>
      </c>
      <c r="G127" s="1" t="str">
        <f aca="false">SUBSTITUTE(SUBSTITUTE(_xlfn.TEXTBEFORE(A127,","), "-", ""), " ", "")</f>
        <v>Kaufman</v>
      </c>
      <c r="H127" s="1" t="str">
        <f aca="false">_xlfn.LET(
_xlpm.authors,_xlfn.TEXTBEFORE(A127," ("&amp;I127&amp;")"),
_xlpm.hasAmp,ISNUMBER(SEARCH("&amp;",_xlpm.authors)),
_xlpm.commasBeforeAmp,IF(_xlpm.hasAmp,LEN(_xlfn.TEXTBEFORE(_xlpm.authors,"&amp;"))-LEN(SUBSTITUTE(_xlfn.TEXTBEFORE(_xlpm.authors,"&amp;"),",","")),0),
IF(NOT(_xlpm.hasAmp),"",IF(_xlpm.commasBeforeAmp&gt;2,"etal",TRIM(_xlfn.TEXTBEFORE(_xlfn.TEXTAFTER(_xlpm.authors,"&amp; "),","))))
)</f>
        <v/>
      </c>
      <c r="I127" s="1" t="str">
        <f aca="false">_xlfn.TEXTBEFORE(_xlfn.TEXTAFTER(A127, "("), ")")</f>
        <v>2004</v>
      </c>
      <c r="J127" s="1" t="str">
        <f aca="false">_xlfn.LET(
_xlpm.doi,IF(C127&lt;&gt;"",C127,_xlfn.TEXTAFTER(A127,"https://doi.org/")),
SUBSTITUTE(
SUBSTITUTE(
SUBSTITUTE(
SUBSTITUTE(
_xlpm.doi,
"/","%2F"),
":","%3A"),
"&lt;","%3C"),
"&gt;","%3E")
)</f>
        <v>UMI%3A3147447</v>
      </c>
      <c r="K127" s="1" t="str">
        <f aca="false">TRIM(_xlfn.TEXTJOIN("_",FALSE(),F127,(SUBSTITUTE(SUBSTITUTE(D127," ",""), "_", ""))))</f>
        <v>Kaufman__2004_TableA6</v>
      </c>
      <c r="L127" s="1" t="str">
        <f aca="false">J127 &amp; "_" &amp; SUBSTITUTE(SUBSTITUTE(SUBSTITUTE(D127,CHAR(160),"")," ",""),"_","")</f>
        <v>UMI%3A3147447_TableA6</v>
      </c>
      <c r="M127" s="1" t="str">
        <f aca="false" t="array" ref="M127:M127">IFERROR(INDEX(FileList!$A$1:$A$1000,MATCH(TRUE(),EXACT(L127,IFERROR(_xlfn.TEXTBEFORE(FileList!$A$1:$A$1000,".tsv"),"")),0)),"notfound")</f>
        <v>notfound</v>
      </c>
      <c r="N127" s="4" t="s">
        <v>534</v>
      </c>
      <c r="P127" s="4" t="s">
        <v>168</v>
      </c>
      <c r="R127" s="4" t="s">
        <v>535</v>
      </c>
      <c r="T127" s="4" t="s">
        <v>536</v>
      </c>
      <c r="V127" s="4" t="s">
        <v>42</v>
      </c>
      <c r="AB127" s="4" t="s">
        <v>514</v>
      </c>
      <c r="AI127" s="4" t="s">
        <v>515</v>
      </c>
      <c r="AJ127" s="4" t="s">
        <v>142</v>
      </c>
      <c r="AK127" s="4" t="s">
        <v>63</v>
      </c>
      <c r="AL127" s="4" t="s">
        <v>143</v>
      </c>
      <c r="AM127" s="4" t="s">
        <v>516</v>
      </c>
    </row>
    <row r="128" customFormat="false" ht="15" hidden="false" customHeight="true" outlineLevel="0" collapsed="false">
      <c r="A128" s="4" t="s">
        <v>508</v>
      </c>
      <c r="C128" s="4" t="s">
        <v>509</v>
      </c>
      <c r="D128" s="4" t="s">
        <v>537</v>
      </c>
      <c r="E128" s="1" t="str">
        <f aca="false">RIGHT(A128,1)</f>
        <v>.</v>
      </c>
      <c r="F128" s="1" t="str">
        <f aca="false">G128 &amp; IF(H128&lt;&gt;"", "_" &amp; H128, "_") &amp; IF(I128&lt;&gt;"", "_" &amp; I128, "_") &amp; IF(B128&lt;&gt;"", "_" &amp; B128, "")</f>
        <v>Kaufman__2004</v>
      </c>
      <c r="G128" s="1" t="str">
        <f aca="false">SUBSTITUTE(SUBSTITUTE(_xlfn.TEXTBEFORE(A128,","), "-", ""), " ", "")</f>
        <v>Kaufman</v>
      </c>
      <c r="H128" s="1" t="str">
        <f aca="false">_xlfn.LET(
_xlpm.authors,_xlfn.TEXTBEFORE(A128," ("&amp;I128&amp;")"),
_xlpm.hasAmp,ISNUMBER(SEARCH("&amp;",_xlpm.authors)),
_xlpm.commasBeforeAmp,IF(_xlpm.hasAmp,LEN(_xlfn.TEXTBEFORE(_xlpm.authors,"&amp;"))-LEN(SUBSTITUTE(_xlfn.TEXTBEFORE(_xlpm.authors,"&amp;"),",","")),0),
IF(NOT(_xlpm.hasAmp),"",IF(_xlpm.commasBeforeAmp&gt;2,"etal",TRIM(_xlfn.TEXTBEFORE(_xlfn.TEXTAFTER(_xlpm.authors,"&amp; "),","))))
)</f>
        <v/>
      </c>
      <c r="I128" s="1" t="str">
        <f aca="false">_xlfn.TEXTBEFORE(_xlfn.TEXTAFTER(A128, "("), ")")</f>
        <v>2004</v>
      </c>
      <c r="J128" s="1" t="str">
        <f aca="false">_xlfn.LET(
_xlpm.doi,IF(C128&lt;&gt;"",C128,_xlfn.TEXTAFTER(A128,"https://doi.org/")),
SUBSTITUTE(
SUBSTITUTE(
SUBSTITUTE(
SUBSTITUTE(
_xlpm.doi,
"/","%2F"),
":","%3A"),
"&lt;","%3C"),
"&gt;","%3E")
)</f>
        <v>UMI%3A3147447</v>
      </c>
      <c r="K128" s="1" t="str">
        <f aca="false">TRIM(_xlfn.TEXTJOIN("_",FALSE(),F128,(SUBSTITUTE(SUBSTITUTE(D128," ",""), "_", ""))))</f>
        <v>Kaufman__2004_TableA7</v>
      </c>
      <c r="L128" s="1" t="str">
        <f aca="false">J128 &amp; "_" &amp; SUBSTITUTE(SUBSTITUTE(SUBSTITUTE(D128,CHAR(160),"")," ",""),"_","")</f>
        <v>UMI%3A3147447_TableA7</v>
      </c>
      <c r="M128" s="1" t="str">
        <f aca="false" t="array" ref="M128:M128">IFERROR(INDEX(FileList!$A$1:$A$1000,MATCH(TRUE(),EXACT(L128,IFERROR(_xlfn.TEXTBEFORE(FileList!$A$1:$A$1000,".tsv"),"")),0)),"notfound")</f>
        <v>notfound</v>
      </c>
      <c r="N128" s="4" t="s">
        <v>538</v>
      </c>
      <c r="P128" s="4" t="s">
        <v>168</v>
      </c>
      <c r="R128" s="4" t="s">
        <v>539</v>
      </c>
      <c r="T128" s="4" t="s">
        <v>540</v>
      </c>
      <c r="V128" s="4" t="s">
        <v>42</v>
      </c>
      <c r="AB128" s="4" t="s">
        <v>514</v>
      </c>
      <c r="AI128" s="4" t="s">
        <v>515</v>
      </c>
      <c r="AJ128" s="4" t="s">
        <v>142</v>
      </c>
      <c r="AK128" s="4" t="s">
        <v>63</v>
      </c>
      <c r="AL128" s="4" t="s">
        <v>143</v>
      </c>
      <c r="AM128" s="4" t="s">
        <v>516</v>
      </c>
    </row>
    <row r="129" customFormat="false" ht="15" hidden="false" customHeight="true" outlineLevel="0" collapsed="false">
      <c r="A129" s="4" t="s">
        <v>508</v>
      </c>
      <c r="C129" s="4" t="s">
        <v>509</v>
      </c>
      <c r="D129" s="4" t="s">
        <v>541</v>
      </c>
      <c r="E129" s="1" t="str">
        <f aca="false">RIGHT(A129,1)</f>
        <v>.</v>
      </c>
      <c r="F129" s="1" t="str">
        <f aca="false">G129 &amp; IF(H129&lt;&gt;"", "_" &amp; H129, "_") &amp; IF(I129&lt;&gt;"", "_" &amp; I129, "_") &amp; IF(B129&lt;&gt;"", "_" &amp; B129, "")</f>
        <v>Kaufman__2004</v>
      </c>
      <c r="G129" s="1" t="str">
        <f aca="false">SUBSTITUTE(SUBSTITUTE(_xlfn.TEXTBEFORE(A129,","), "-", ""), " ", "")</f>
        <v>Kaufman</v>
      </c>
      <c r="H129" s="1" t="str">
        <f aca="false">_xlfn.LET(
_xlpm.authors,_xlfn.TEXTBEFORE(A129," ("&amp;I129&amp;")"),
_xlpm.hasAmp,ISNUMBER(SEARCH("&amp;",_xlpm.authors)),
_xlpm.commasBeforeAmp,IF(_xlpm.hasAmp,LEN(_xlfn.TEXTBEFORE(_xlpm.authors,"&amp;"))-LEN(SUBSTITUTE(_xlfn.TEXTBEFORE(_xlpm.authors,"&amp;"),",","")),0),
IF(NOT(_xlpm.hasAmp),"",IF(_xlpm.commasBeforeAmp&gt;2,"etal",TRIM(_xlfn.TEXTBEFORE(_xlfn.TEXTAFTER(_xlpm.authors,"&amp; "),","))))
)</f>
        <v/>
      </c>
      <c r="I129" s="1" t="str">
        <f aca="false">_xlfn.TEXTBEFORE(_xlfn.TEXTAFTER(A129, "("), ")")</f>
        <v>2004</v>
      </c>
      <c r="J129" s="1" t="str">
        <f aca="false">_xlfn.LET(
_xlpm.doi,IF(C129&lt;&gt;"",C129,_xlfn.TEXTAFTER(A129,"https://doi.org/")),
SUBSTITUTE(
SUBSTITUTE(
SUBSTITUTE(
SUBSTITUTE(
_xlpm.doi,
"/","%2F"),
":","%3A"),
"&lt;","%3C"),
"&gt;","%3E")
)</f>
        <v>UMI%3A3147447</v>
      </c>
      <c r="K129" s="1" t="str">
        <f aca="false">TRIM(_xlfn.TEXTJOIN("_",FALSE(),F129,(SUBSTITUTE(SUBSTITUTE(D129," ",""), "_", ""))))</f>
        <v>Kaufman__2004_TableA8</v>
      </c>
      <c r="L129" s="1" t="str">
        <f aca="false">J129 &amp; "_" &amp; SUBSTITUTE(SUBSTITUTE(SUBSTITUTE(D129,CHAR(160),"")," ",""),"_","")</f>
        <v>UMI%3A3147447_TableA8</v>
      </c>
      <c r="M129" s="1" t="str">
        <f aca="false" t="array" ref="M129:M129">IFERROR(INDEX(FileList!$A$1:$A$1000,MATCH(TRUE(),EXACT(L129,IFERROR(_xlfn.TEXTBEFORE(FileList!$A$1:$A$1000,".tsv"),"")),0)),"notfound")</f>
        <v>notfound</v>
      </c>
      <c r="N129" s="4" t="s">
        <v>542</v>
      </c>
      <c r="P129" s="4" t="s">
        <v>168</v>
      </c>
      <c r="R129" s="4" t="s">
        <v>543</v>
      </c>
      <c r="T129" s="4" t="s">
        <v>544</v>
      </c>
      <c r="V129" s="4" t="s">
        <v>42</v>
      </c>
      <c r="AB129" s="4" t="s">
        <v>514</v>
      </c>
      <c r="AI129" s="4" t="s">
        <v>515</v>
      </c>
      <c r="AJ129" s="4" t="s">
        <v>142</v>
      </c>
      <c r="AK129" s="4" t="s">
        <v>63</v>
      </c>
      <c r="AL129" s="4" t="s">
        <v>143</v>
      </c>
      <c r="AM129" s="4" t="s">
        <v>516</v>
      </c>
    </row>
    <row r="130" customFormat="false" ht="15" hidden="false" customHeight="true" outlineLevel="0" collapsed="false">
      <c r="A130" s="4" t="s">
        <v>508</v>
      </c>
      <c r="C130" s="4" t="s">
        <v>509</v>
      </c>
      <c r="D130" s="4" t="s">
        <v>545</v>
      </c>
      <c r="E130" s="1" t="str">
        <f aca="false">RIGHT(A130,1)</f>
        <v>.</v>
      </c>
      <c r="F130" s="1" t="str">
        <f aca="false">G130 &amp; IF(H130&lt;&gt;"", "_" &amp; H130, "_") &amp; IF(I130&lt;&gt;"", "_" &amp; I130, "_") &amp; IF(B130&lt;&gt;"", "_" &amp; B130, "")</f>
        <v>Kaufman__2004</v>
      </c>
      <c r="G130" s="1" t="str">
        <f aca="false">SUBSTITUTE(SUBSTITUTE(_xlfn.TEXTBEFORE(A130,","), "-", ""), " ", "")</f>
        <v>Kaufman</v>
      </c>
      <c r="H130" s="1" t="str">
        <f aca="false">_xlfn.LET(
_xlpm.authors,_xlfn.TEXTBEFORE(A130," ("&amp;I130&amp;")"),
_xlpm.hasAmp,ISNUMBER(SEARCH("&amp;",_xlpm.authors)),
_xlpm.commasBeforeAmp,IF(_xlpm.hasAmp,LEN(_xlfn.TEXTBEFORE(_xlpm.authors,"&amp;"))-LEN(SUBSTITUTE(_xlfn.TEXTBEFORE(_xlpm.authors,"&amp;"),",","")),0),
IF(NOT(_xlpm.hasAmp),"",IF(_xlpm.commasBeforeAmp&gt;2,"etal",TRIM(_xlfn.TEXTBEFORE(_xlfn.TEXTAFTER(_xlpm.authors,"&amp; "),","))))
)</f>
        <v/>
      </c>
      <c r="I130" s="1" t="str">
        <f aca="false">_xlfn.TEXTBEFORE(_xlfn.TEXTAFTER(A130, "("), ")")</f>
        <v>2004</v>
      </c>
      <c r="J130" s="1" t="str">
        <f aca="false">_xlfn.LET(
_xlpm.doi,IF(C130&lt;&gt;"",C130,_xlfn.TEXTAFTER(A130,"https://doi.org/")),
SUBSTITUTE(
SUBSTITUTE(
SUBSTITUTE(
SUBSTITUTE(
_xlpm.doi,
"/","%2F"),
":","%3A"),
"&lt;","%3C"),
"&gt;","%3E")
)</f>
        <v>UMI%3A3147447</v>
      </c>
      <c r="K130" s="1" t="str">
        <f aca="false">TRIM(_xlfn.TEXTJOIN("_",FALSE(),F130,(SUBSTITUTE(SUBSTITUTE(D130," ",""), "_", ""))))</f>
        <v>Kaufman__2004_TableA9</v>
      </c>
      <c r="L130" s="1" t="str">
        <f aca="false">J130 &amp; "_" &amp; SUBSTITUTE(SUBSTITUTE(SUBSTITUTE(D130,CHAR(160),"")," ",""),"_","")</f>
        <v>UMI%3A3147447_TableA9</v>
      </c>
      <c r="M130" s="1" t="str">
        <f aca="false" t="array" ref="M130:M130">IFERROR(INDEX(FileList!$A$1:$A$1000,MATCH(TRUE(),EXACT(L130,IFERROR(_xlfn.TEXTBEFORE(FileList!$A$1:$A$1000,".tsv"),"")),0)),"notfound")</f>
        <v>notfound</v>
      </c>
      <c r="N130" s="4" t="s">
        <v>546</v>
      </c>
      <c r="P130" s="4" t="s">
        <v>168</v>
      </c>
      <c r="R130" s="4" t="s">
        <v>547</v>
      </c>
      <c r="T130" s="4" t="s">
        <v>548</v>
      </c>
      <c r="V130" s="4" t="s">
        <v>42</v>
      </c>
      <c r="AB130" s="4" t="s">
        <v>514</v>
      </c>
      <c r="AI130" s="4" t="s">
        <v>515</v>
      </c>
      <c r="AJ130" s="4" t="s">
        <v>142</v>
      </c>
      <c r="AK130" s="4" t="s">
        <v>63</v>
      </c>
      <c r="AL130" s="4" t="s">
        <v>143</v>
      </c>
      <c r="AM130" s="4" t="s">
        <v>516</v>
      </c>
    </row>
    <row r="131" customFormat="false" ht="15" hidden="false" customHeight="true" outlineLevel="0" collapsed="false">
      <c r="A131" s="4" t="s">
        <v>508</v>
      </c>
      <c r="C131" s="4" t="s">
        <v>509</v>
      </c>
      <c r="D131" s="4" t="s">
        <v>549</v>
      </c>
      <c r="E131" s="1" t="str">
        <f aca="false">RIGHT(A131,1)</f>
        <v>.</v>
      </c>
      <c r="F131" s="1" t="str">
        <f aca="false">G131 &amp; IF(H131&lt;&gt;"", "_" &amp; H131, "_") &amp; IF(I131&lt;&gt;"", "_" &amp; I131, "_") &amp; IF(B131&lt;&gt;"", "_" &amp; B131, "")</f>
        <v>Kaufman__2004</v>
      </c>
      <c r="G131" s="1" t="str">
        <f aca="false">SUBSTITUTE(SUBSTITUTE(_xlfn.TEXTBEFORE(A131,","), "-", ""), " ", "")</f>
        <v>Kaufman</v>
      </c>
      <c r="H131" s="1" t="str">
        <f aca="false">_xlfn.LET(
_xlpm.authors,_xlfn.TEXTBEFORE(A131," ("&amp;I131&amp;")"),
_xlpm.hasAmp,ISNUMBER(SEARCH("&amp;",_xlpm.authors)),
_xlpm.commasBeforeAmp,IF(_xlpm.hasAmp,LEN(_xlfn.TEXTBEFORE(_xlpm.authors,"&amp;"))-LEN(SUBSTITUTE(_xlfn.TEXTBEFORE(_xlpm.authors,"&amp;"),",","")),0),
IF(NOT(_xlpm.hasAmp),"",IF(_xlpm.commasBeforeAmp&gt;2,"etal",TRIM(_xlfn.TEXTBEFORE(_xlfn.TEXTAFTER(_xlpm.authors,"&amp; "),","))))
)</f>
        <v/>
      </c>
      <c r="I131" s="1" t="str">
        <f aca="false">_xlfn.TEXTBEFORE(_xlfn.TEXTAFTER(A131, "("), ")")</f>
        <v>2004</v>
      </c>
      <c r="J131" s="1" t="str">
        <f aca="false">_xlfn.LET(
_xlpm.doi,IF(C131&lt;&gt;"",C131,_xlfn.TEXTAFTER(A131,"https://doi.org/")),
SUBSTITUTE(
SUBSTITUTE(
SUBSTITUTE(
SUBSTITUTE(
_xlpm.doi,
"/","%2F"),
":","%3A"),
"&lt;","%3C"),
"&gt;","%3E")
)</f>
        <v>UMI%3A3147447</v>
      </c>
      <c r="K131" s="1" t="str">
        <f aca="false">TRIM(_xlfn.TEXTJOIN("_",FALSE(),F131,(SUBSTITUTE(SUBSTITUTE(D131," ",""), "_", ""))))</f>
        <v>Kaufman__2004_TableA10</v>
      </c>
      <c r="L131" s="1" t="str">
        <f aca="false">J131 &amp; "_" &amp; SUBSTITUTE(SUBSTITUTE(SUBSTITUTE(D131,CHAR(160),"")," ",""),"_","")</f>
        <v>UMI%3A3147447_TableA10</v>
      </c>
      <c r="M131" s="1" t="str">
        <f aca="false" t="array" ref="M131:M131">IFERROR(INDEX(FileList!$A$1:$A$1000,MATCH(TRUE(),EXACT(L131,IFERROR(_xlfn.TEXTBEFORE(FileList!$A$1:$A$1000,".tsv"),"")),0)),"notfound")</f>
        <v>notfound</v>
      </c>
      <c r="N131" s="4" t="s">
        <v>550</v>
      </c>
      <c r="P131" s="4" t="s">
        <v>168</v>
      </c>
      <c r="R131" s="4" t="s">
        <v>551</v>
      </c>
      <c r="T131" s="4" t="s">
        <v>552</v>
      </c>
      <c r="V131" s="4" t="s">
        <v>42</v>
      </c>
      <c r="AB131" s="4" t="s">
        <v>514</v>
      </c>
      <c r="AI131" s="4" t="s">
        <v>515</v>
      </c>
      <c r="AJ131" s="4" t="s">
        <v>142</v>
      </c>
      <c r="AK131" s="4" t="s">
        <v>63</v>
      </c>
      <c r="AL131" s="4" t="s">
        <v>143</v>
      </c>
      <c r="AM131" s="4" t="s">
        <v>516</v>
      </c>
    </row>
    <row r="132" customFormat="false" ht="15" hidden="false" customHeight="true" outlineLevel="0" collapsed="false">
      <c r="A132" s="4" t="s">
        <v>508</v>
      </c>
      <c r="C132" s="4" t="s">
        <v>509</v>
      </c>
      <c r="D132" s="4" t="s">
        <v>553</v>
      </c>
      <c r="E132" s="1" t="str">
        <f aca="false">RIGHT(A132,1)</f>
        <v>.</v>
      </c>
      <c r="F132" s="1" t="str">
        <f aca="false">G132 &amp; IF(H132&lt;&gt;"", "_" &amp; H132, "_") &amp; IF(I132&lt;&gt;"", "_" &amp; I132, "_") &amp; IF(B132&lt;&gt;"", "_" &amp; B132, "")</f>
        <v>Kaufman__2004</v>
      </c>
      <c r="G132" s="1" t="str">
        <f aca="false">SUBSTITUTE(SUBSTITUTE(_xlfn.TEXTBEFORE(A132,","), "-", ""), " ", "")</f>
        <v>Kaufman</v>
      </c>
      <c r="H132" s="1" t="str">
        <f aca="false">_xlfn.LET(
_xlpm.authors,_xlfn.TEXTBEFORE(A132," ("&amp;I132&amp;")"),
_xlpm.hasAmp,ISNUMBER(SEARCH("&amp;",_xlpm.authors)),
_xlpm.commasBeforeAmp,IF(_xlpm.hasAmp,LEN(_xlfn.TEXTBEFORE(_xlpm.authors,"&amp;"))-LEN(SUBSTITUTE(_xlfn.TEXTBEFORE(_xlpm.authors,"&amp;"),",","")),0),
IF(NOT(_xlpm.hasAmp),"",IF(_xlpm.commasBeforeAmp&gt;2,"etal",TRIM(_xlfn.TEXTBEFORE(_xlfn.TEXTAFTER(_xlpm.authors,"&amp; "),","))))
)</f>
        <v/>
      </c>
      <c r="I132" s="1" t="str">
        <f aca="false">_xlfn.TEXTBEFORE(_xlfn.TEXTAFTER(A132, "("), ")")</f>
        <v>2004</v>
      </c>
      <c r="J132" s="1" t="str">
        <f aca="false">_xlfn.LET(
_xlpm.doi,IF(C132&lt;&gt;"",C132,_xlfn.TEXTAFTER(A132,"https://doi.org/")),
SUBSTITUTE(
SUBSTITUTE(
SUBSTITUTE(
SUBSTITUTE(
_xlpm.doi,
"/","%2F"),
":","%3A"),
"&lt;","%3C"),
"&gt;","%3E")
)</f>
        <v>UMI%3A3147447</v>
      </c>
      <c r="K132" s="1" t="str">
        <f aca="false">TRIM(_xlfn.TEXTJOIN("_",FALSE(),F132,(SUBSTITUTE(SUBSTITUTE(D132," ",""), "_", ""))))</f>
        <v>Kaufman__2004_TableA11</v>
      </c>
      <c r="L132" s="1" t="str">
        <f aca="false">J132 &amp; "_" &amp; SUBSTITUTE(SUBSTITUTE(SUBSTITUTE(D132,CHAR(160),"")," ",""),"_","")</f>
        <v>UMI%3A3147447_TableA11</v>
      </c>
      <c r="M132" s="1" t="str">
        <f aca="false" t="array" ref="M132:M132">IFERROR(INDEX(FileList!$A$1:$A$1000,MATCH(TRUE(),EXACT(L132,IFERROR(_xlfn.TEXTBEFORE(FileList!$A$1:$A$1000,".tsv"),"")),0)),"notfound")</f>
        <v>notfound</v>
      </c>
      <c r="N132" s="4" t="s">
        <v>554</v>
      </c>
      <c r="P132" s="4" t="s">
        <v>168</v>
      </c>
      <c r="R132" s="4" t="s">
        <v>555</v>
      </c>
      <c r="T132" s="4" t="s">
        <v>556</v>
      </c>
      <c r="V132" s="4" t="s">
        <v>42</v>
      </c>
      <c r="AB132" s="4" t="s">
        <v>514</v>
      </c>
      <c r="AI132" s="4" t="s">
        <v>515</v>
      </c>
      <c r="AJ132" s="4" t="s">
        <v>142</v>
      </c>
      <c r="AK132" s="4" t="s">
        <v>63</v>
      </c>
      <c r="AL132" s="4" t="s">
        <v>143</v>
      </c>
      <c r="AM132" s="4" t="s">
        <v>516</v>
      </c>
    </row>
    <row r="133" customFormat="false" ht="15" hidden="false" customHeight="true" outlineLevel="0" collapsed="false">
      <c r="A133" s="4" t="s">
        <v>508</v>
      </c>
      <c r="C133" s="4" t="s">
        <v>509</v>
      </c>
      <c r="D133" s="4" t="s">
        <v>557</v>
      </c>
      <c r="E133" s="1" t="str">
        <f aca="false">RIGHT(A133,1)</f>
        <v>.</v>
      </c>
      <c r="F133" s="1" t="str">
        <f aca="false">G133 &amp; IF(H133&lt;&gt;"", "_" &amp; H133, "_") &amp; IF(I133&lt;&gt;"", "_" &amp; I133, "_") &amp; IF(B133&lt;&gt;"", "_" &amp; B133, "")</f>
        <v>Kaufman__2004</v>
      </c>
      <c r="G133" s="1" t="str">
        <f aca="false">SUBSTITUTE(SUBSTITUTE(_xlfn.TEXTBEFORE(A133,","), "-", ""), " ", "")</f>
        <v>Kaufman</v>
      </c>
      <c r="H133" s="1" t="str">
        <f aca="false">_xlfn.LET(
_xlpm.authors,_xlfn.TEXTBEFORE(A133," ("&amp;I133&amp;")"),
_xlpm.hasAmp,ISNUMBER(SEARCH("&amp;",_xlpm.authors)),
_xlpm.commasBeforeAmp,IF(_xlpm.hasAmp,LEN(_xlfn.TEXTBEFORE(_xlpm.authors,"&amp;"))-LEN(SUBSTITUTE(_xlfn.TEXTBEFORE(_xlpm.authors,"&amp;"),",","")),0),
IF(NOT(_xlpm.hasAmp),"",IF(_xlpm.commasBeforeAmp&gt;2,"etal",TRIM(_xlfn.TEXTBEFORE(_xlfn.TEXTAFTER(_xlpm.authors,"&amp; "),","))))
)</f>
        <v/>
      </c>
      <c r="I133" s="1" t="str">
        <f aca="false">_xlfn.TEXTBEFORE(_xlfn.TEXTAFTER(A133, "("), ")")</f>
        <v>2004</v>
      </c>
      <c r="J133" s="1" t="str">
        <f aca="false">_xlfn.LET(
_xlpm.doi,IF(C133&lt;&gt;"",C133,_xlfn.TEXTAFTER(A133,"https://doi.org/")),
SUBSTITUTE(
SUBSTITUTE(
SUBSTITUTE(
SUBSTITUTE(
_xlpm.doi,
"/","%2F"),
":","%3A"),
"&lt;","%3C"),
"&gt;","%3E")
)</f>
        <v>UMI%3A3147447</v>
      </c>
      <c r="K133" s="1" t="str">
        <f aca="false">TRIM(_xlfn.TEXTJOIN("_",FALSE(),F133,(SUBSTITUTE(SUBSTITUTE(D133," ",""), "_", ""))))</f>
        <v>Kaufman__2004_TableA12</v>
      </c>
      <c r="L133" s="1" t="str">
        <f aca="false">J133 &amp; "_" &amp; SUBSTITUTE(SUBSTITUTE(SUBSTITUTE(D133,CHAR(160),"")," ",""),"_","")</f>
        <v>UMI%3A3147447_TableA12</v>
      </c>
      <c r="M133" s="1" t="str">
        <f aca="false" t="array" ref="M133:M133">IFERROR(INDEX(FileList!$A$1:$A$1000,MATCH(TRUE(),EXACT(L133,IFERROR(_xlfn.TEXTBEFORE(FileList!$A$1:$A$1000,".tsv"),"")),0)),"notfound")</f>
        <v>notfound</v>
      </c>
      <c r="N133" s="4" t="s">
        <v>558</v>
      </c>
      <c r="P133" s="4" t="s">
        <v>168</v>
      </c>
      <c r="R133" s="4" t="s">
        <v>559</v>
      </c>
      <c r="T133" s="4" t="s">
        <v>560</v>
      </c>
      <c r="V133" s="4" t="s">
        <v>42</v>
      </c>
      <c r="AB133" s="4" t="s">
        <v>514</v>
      </c>
      <c r="AI133" s="4" t="s">
        <v>515</v>
      </c>
      <c r="AJ133" s="4" t="s">
        <v>142</v>
      </c>
      <c r="AK133" s="4" t="s">
        <v>63</v>
      </c>
      <c r="AL133" s="4" t="s">
        <v>143</v>
      </c>
      <c r="AM133" s="4" t="s">
        <v>516</v>
      </c>
    </row>
    <row r="134" customFormat="false" ht="15" hidden="false" customHeight="true" outlineLevel="0" collapsed="false">
      <c r="A134" s="4" t="s">
        <v>508</v>
      </c>
      <c r="C134" s="4" t="s">
        <v>509</v>
      </c>
      <c r="D134" s="4" t="s">
        <v>561</v>
      </c>
      <c r="E134" s="1" t="str">
        <f aca="false">RIGHT(A134,1)</f>
        <v>.</v>
      </c>
      <c r="F134" s="1" t="str">
        <f aca="false">G134 &amp; IF(H134&lt;&gt;"", "_" &amp; H134, "_") &amp; IF(I134&lt;&gt;"", "_" &amp; I134, "_") &amp; IF(B134&lt;&gt;"", "_" &amp; B134, "")</f>
        <v>Kaufman__2004</v>
      </c>
      <c r="G134" s="1" t="str">
        <f aca="false">SUBSTITUTE(SUBSTITUTE(_xlfn.TEXTBEFORE(A134,","), "-", ""), " ", "")</f>
        <v>Kaufman</v>
      </c>
      <c r="H134" s="1" t="str">
        <f aca="false">_xlfn.LET(
_xlpm.authors,_xlfn.TEXTBEFORE(A134," ("&amp;I134&amp;")"),
_xlpm.hasAmp,ISNUMBER(SEARCH("&amp;",_xlpm.authors)),
_xlpm.commasBeforeAmp,IF(_xlpm.hasAmp,LEN(_xlfn.TEXTBEFORE(_xlpm.authors,"&amp;"))-LEN(SUBSTITUTE(_xlfn.TEXTBEFORE(_xlpm.authors,"&amp;"),",","")),0),
IF(NOT(_xlpm.hasAmp),"",IF(_xlpm.commasBeforeAmp&gt;2,"etal",TRIM(_xlfn.TEXTBEFORE(_xlfn.TEXTAFTER(_xlpm.authors,"&amp; "),","))))
)</f>
        <v/>
      </c>
      <c r="I134" s="1" t="str">
        <f aca="false">_xlfn.TEXTBEFORE(_xlfn.TEXTAFTER(A134, "("), ")")</f>
        <v>2004</v>
      </c>
      <c r="J134" s="1" t="str">
        <f aca="false">_xlfn.LET(
_xlpm.doi,IF(C134&lt;&gt;"",C134,_xlfn.TEXTAFTER(A134,"https://doi.org/")),
SUBSTITUTE(
SUBSTITUTE(
SUBSTITUTE(
SUBSTITUTE(
_xlpm.doi,
"/","%2F"),
":","%3A"),
"&lt;","%3C"),
"&gt;","%3E")
)</f>
        <v>UMI%3A3147447</v>
      </c>
      <c r="K134" s="1" t="str">
        <f aca="false">TRIM(_xlfn.TEXTJOIN("_",FALSE(),F134,(SUBSTITUTE(SUBSTITUTE(D134," ",""), "_", ""))))</f>
        <v>Kaufman__2004_TableA13</v>
      </c>
      <c r="L134" s="1" t="str">
        <f aca="false">J134 &amp; "_" &amp; SUBSTITUTE(SUBSTITUTE(SUBSTITUTE(D134,CHAR(160),"")," ",""),"_","")</f>
        <v>UMI%3A3147447_TableA13</v>
      </c>
      <c r="M134" s="1" t="str">
        <f aca="false" t="array" ref="M134:M134">IFERROR(INDEX(FileList!$A$1:$A$1000,MATCH(TRUE(),EXACT(L134,IFERROR(_xlfn.TEXTBEFORE(FileList!$A$1:$A$1000,".tsv"),"")),0)),"notfound")</f>
        <v>notfound</v>
      </c>
      <c r="N134" s="4" t="s">
        <v>562</v>
      </c>
      <c r="P134" s="4" t="s">
        <v>168</v>
      </c>
      <c r="R134" s="4" t="s">
        <v>563</v>
      </c>
      <c r="T134" s="4" t="s">
        <v>564</v>
      </c>
      <c r="V134" s="4" t="s">
        <v>42</v>
      </c>
      <c r="AB134" s="4" t="s">
        <v>514</v>
      </c>
      <c r="AI134" s="4" t="s">
        <v>515</v>
      </c>
      <c r="AJ134" s="4" t="s">
        <v>142</v>
      </c>
      <c r="AK134" s="4" t="s">
        <v>63</v>
      </c>
      <c r="AL134" s="4" t="s">
        <v>143</v>
      </c>
      <c r="AM134" s="4" t="s">
        <v>516</v>
      </c>
    </row>
    <row r="135" customFormat="false" ht="15" hidden="false" customHeight="true" outlineLevel="0" collapsed="false">
      <c r="A135" s="4" t="s">
        <v>508</v>
      </c>
      <c r="C135" s="4" t="s">
        <v>509</v>
      </c>
      <c r="D135" s="4" t="s">
        <v>565</v>
      </c>
      <c r="E135" s="1" t="str">
        <f aca="false">RIGHT(A135,1)</f>
        <v>.</v>
      </c>
      <c r="F135" s="1" t="str">
        <f aca="false">G135 &amp; IF(H135&lt;&gt;"", "_" &amp; H135, "_") &amp; IF(I135&lt;&gt;"", "_" &amp; I135, "_") &amp; IF(B135&lt;&gt;"", "_" &amp; B135, "")</f>
        <v>Kaufman__2004</v>
      </c>
      <c r="G135" s="1" t="str">
        <f aca="false">SUBSTITUTE(SUBSTITUTE(_xlfn.TEXTBEFORE(A135,","), "-", ""), " ", "")</f>
        <v>Kaufman</v>
      </c>
      <c r="H135" s="1" t="str">
        <f aca="false">_xlfn.LET(
_xlpm.authors,_xlfn.TEXTBEFORE(A135," ("&amp;I135&amp;")"),
_xlpm.hasAmp,ISNUMBER(SEARCH("&amp;",_xlpm.authors)),
_xlpm.commasBeforeAmp,IF(_xlpm.hasAmp,LEN(_xlfn.TEXTBEFORE(_xlpm.authors,"&amp;"))-LEN(SUBSTITUTE(_xlfn.TEXTBEFORE(_xlpm.authors,"&amp;"),",","")),0),
IF(NOT(_xlpm.hasAmp),"",IF(_xlpm.commasBeforeAmp&gt;2,"etal",TRIM(_xlfn.TEXTBEFORE(_xlfn.TEXTAFTER(_xlpm.authors,"&amp; "),","))))
)</f>
        <v/>
      </c>
      <c r="I135" s="1" t="str">
        <f aca="false">_xlfn.TEXTBEFORE(_xlfn.TEXTAFTER(A135, "("), ")")</f>
        <v>2004</v>
      </c>
      <c r="J135" s="1" t="str">
        <f aca="false">_xlfn.LET(
_xlpm.doi,IF(C135&lt;&gt;"",C135,_xlfn.TEXTAFTER(A135,"https://doi.org/")),
SUBSTITUTE(
SUBSTITUTE(
SUBSTITUTE(
SUBSTITUTE(
_xlpm.doi,
"/","%2F"),
":","%3A"),
"&lt;","%3C"),
"&gt;","%3E")
)</f>
        <v>UMI%3A3147447</v>
      </c>
      <c r="K135" s="1" t="str">
        <f aca="false">TRIM(_xlfn.TEXTJOIN("_",FALSE(),F135,(SUBSTITUTE(SUBSTITUTE(D135," ",""), "_", ""))))</f>
        <v>Kaufman__2004_TableA14</v>
      </c>
      <c r="L135" s="1" t="str">
        <f aca="false">J135 &amp; "_" &amp; SUBSTITUTE(SUBSTITUTE(SUBSTITUTE(D135,CHAR(160),"")," ",""),"_","")</f>
        <v>UMI%3A3147447_TableA14</v>
      </c>
      <c r="M135" s="1" t="str">
        <f aca="false" t="array" ref="M135:M135">IFERROR(INDEX(FileList!$A$1:$A$1000,MATCH(TRUE(),EXACT(L135,IFERROR(_xlfn.TEXTBEFORE(FileList!$A$1:$A$1000,".tsv"),"")),0)),"notfound")</f>
        <v>notfound</v>
      </c>
      <c r="N135" s="4" t="s">
        <v>566</v>
      </c>
      <c r="P135" s="4" t="s">
        <v>168</v>
      </c>
      <c r="R135" s="4" t="s">
        <v>567</v>
      </c>
      <c r="T135" s="4" t="s">
        <v>568</v>
      </c>
      <c r="V135" s="4" t="s">
        <v>42</v>
      </c>
      <c r="AB135" s="4" t="s">
        <v>514</v>
      </c>
      <c r="AI135" s="4" t="s">
        <v>515</v>
      </c>
      <c r="AJ135" s="4" t="s">
        <v>142</v>
      </c>
      <c r="AK135" s="4" t="s">
        <v>63</v>
      </c>
      <c r="AL135" s="4" t="s">
        <v>143</v>
      </c>
      <c r="AM135" s="4" t="s">
        <v>516</v>
      </c>
    </row>
    <row r="136" customFormat="false" ht="15" hidden="false" customHeight="true" outlineLevel="0" collapsed="false">
      <c r="A136" s="4" t="s">
        <v>508</v>
      </c>
      <c r="C136" s="4" t="s">
        <v>509</v>
      </c>
      <c r="D136" s="4" t="s">
        <v>569</v>
      </c>
      <c r="E136" s="1" t="str">
        <f aca="false">RIGHT(A136,1)</f>
        <v>.</v>
      </c>
      <c r="F136" s="1" t="str">
        <f aca="false">G136 &amp; IF(H136&lt;&gt;"", "_" &amp; H136, "_") &amp; IF(I136&lt;&gt;"", "_" &amp; I136, "_") &amp; IF(B136&lt;&gt;"", "_" &amp; B136, "")</f>
        <v>Kaufman__2004</v>
      </c>
      <c r="G136" s="1" t="str">
        <f aca="false">SUBSTITUTE(SUBSTITUTE(_xlfn.TEXTBEFORE(A136,","), "-", ""), " ", "")</f>
        <v>Kaufman</v>
      </c>
      <c r="H136" s="1" t="str">
        <f aca="false">_xlfn.LET(
_xlpm.authors,_xlfn.TEXTBEFORE(A136," ("&amp;I136&amp;")"),
_xlpm.hasAmp,ISNUMBER(SEARCH("&amp;",_xlpm.authors)),
_xlpm.commasBeforeAmp,IF(_xlpm.hasAmp,LEN(_xlfn.TEXTBEFORE(_xlpm.authors,"&amp;"))-LEN(SUBSTITUTE(_xlfn.TEXTBEFORE(_xlpm.authors,"&amp;"),",","")),0),
IF(NOT(_xlpm.hasAmp),"",IF(_xlpm.commasBeforeAmp&gt;2,"etal",TRIM(_xlfn.TEXTBEFORE(_xlfn.TEXTAFTER(_xlpm.authors,"&amp; "),","))))
)</f>
        <v/>
      </c>
      <c r="I136" s="1" t="str">
        <f aca="false">_xlfn.TEXTBEFORE(_xlfn.TEXTAFTER(A136, "("), ")")</f>
        <v>2004</v>
      </c>
      <c r="J136" s="1" t="str">
        <f aca="false">_xlfn.LET(
_xlpm.doi,IF(C136&lt;&gt;"",C136,_xlfn.TEXTAFTER(A136,"https://doi.org/")),
SUBSTITUTE(
SUBSTITUTE(
SUBSTITUTE(
SUBSTITUTE(
_xlpm.doi,
"/","%2F"),
":","%3A"),
"&lt;","%3C"),
"&gt;","%3E")
)</f>
        <v>UMI%3A3147447</v>
      </c>
      <c r="K136" s="1" t="str">
        <f aca="false">TRIM(_xlfn.TEXTJOIN("_",FALSE(),F136,(SUBSTITUTE(SUBSTITUTE(D136," ",""), "_", ""))))</f>
        <v>Kaufman__2004_TableA15</v>
      </c>
      <c r="L136" s="1" t="str">
        <f aca="false">J136 &amp; "_" &amp; SUBSTITUTE(SUBSTITUTE(SUBSTITUTE(D136,CHAR(160),"")," ",""),"_","")</f>
        <v>UMI%3A3147447_TableA15</v>
      </c>
      <c r="M136" s="1" t="str">
        <f aca="false" t="array" ref="M136:M136">IFERROR(INDEX(FileList!$A$1:$A$1000,MATCH(TRUE(),EXACT(L136,IFERROR(_xlfn.TEXTBEFORE(FileList!$A$1:$A$1000,".tsv"),"")),0)),"notfound")</f>
        <v>notfound</v>
      </c>
      <c r="N136" s="4" t="s">
        <v>570</v>
      </c>
      <c r="P136" s="4" t="s">
        <v>168</v>
      </c>
      <c r="R136" s="4" t="s">
        <v>571</v>
      </c>
      <c r="T136" s="4" t="s">
        <v>572</v>
      </c>
      <c r="V136" s="4" t="s">
        <v>42</v>
      </c>
      <c r="AB136" s="4" t="s">
        <v>514</v>
      </c>
      <c r="AI136" s="4" t="s">
        <v>515</v>
      </c>
      <c r="AJ136" s="4" t="s">
        <v>142</v>
      </c>
      <c r="AK136" s="4" t="s">
        <v>63</v>
      </c>
      <c r="AL136" s="4" t="s">
        <v>143</v>
      </c>
      <c r="AM136" s="4" t="s">
        <v>516</v>
      </c>
    </row>
    <row r="137" customFormat="false" ht="15" hidden="false" customHeight="true" outlineLevel="0" collapsed="false">
      <c r="A137" s="4" t="s">
        <v>573</v>
      </c>
      <c r="C137" s="5"/>
      <c r="D137" s="4" t="s">
        <v>574</v>
      </c>
      <c r="E137" s="1" t="str">
        <f aca="false">RIGHT(A137,1)</f>
        <v>0</v>
      </c>
      <c r="F137" s="1" t="str">
        <f aca="false">G137 &amp; IF(H137&lt;&gt;"", "_" &amp; H137, "_") &amp; IF(I137&lt;&gt;"", "_" &amp; I137, "_") &amp; IF(B137&lt;&gt;"", "_" &amp; B137, "")</f>
        <v>Kochiyama_etal_2018</v>
      </c>
      <c r="G137" s="1" t="str">
        <f aca="false">SUBSTITUTE(SUBSTITUTE(_xlfn.TEXTBEFORE(A137,","), "-", ""), " ", "")</f>
        <v>Kochiyama</v>
      </c>
      <c r="H137" s="1" t="str">
        <f aca="false">_xlfn.LET(
_xlpm.authors,_xlfn.TEXTBEFORE(A137," ("&amp;I137&amp;")"),
_xlpm.hasAmp,ISNUMBER(SEARCH("&amp;",_xlpm.authors)),
_xlpm.commasBeforeAmp,IF(_xlpm.hasAmp,LEN(_xlfn.TEXTBEFORE(_xlpm.authors,"&amp;"))-LEN(SUBSTITUTE(_xlfn.TEXTBEFORE(_xlpm.authors,"&amp;"),",","")),0),
IF(NOT(_xlpm.hasAmp),"",IF(_xlpm.commasBeforeAmp&gt;2,"etal",TRIM(_xlfn.TEXTBEFORE(_xlfn.TEXTAFTER(_xlpm.authors,"&amp; "),","))))
)</f>
        <v>etal</v>
      </c>
      <c r="I137" s="1" t="str">
        <f aca="false">_xlfn.TEXTBEFORE(_xlfn.TEXTAFTER(A137, "("), ")")</f>
        <v>2018</v>
      </c>
      <c r="J137" s="1" t="str">
        <f aca="false">_xlfn.LET(
_xlpm.doi,IF(C137&lt;&gt;"",C137,_xlfn.TEXTAFTER(A137,"https://doi.org/")),
SUBSTITUTE(
SUBSTITUTE(
SUBSTITUTE(
SUBSTITUTE(
_xlpm.doi,
"/","%2F"),
":","%3A"),
"&lt;","%3C"),
"&gt;","%3E")
)</f>
        <v>10.1038%2Fs41598-018-24331-0</v>
      </c>
      <c r="K137" s="1" t="str">
        <f aca="false">TRIM(_xlfn.TEXTJOIN("_",FALSE(),F137,(SUBSTITUTE(SUBSTITUTE(D137," ",""), "_", ""))))</f>
        <v>Kochiyama_etal_2018_ExtendedDataFigure4</v>
      </c>
      <c r="L137" s="1" t="str">
        <f aca="false">J137 &amp; "_" &amp; SUBSTITUTE(SUBSTITUTE(SUBSTITUTE(D137,CHAR(160),"")," ",""),"_","")</f>
        <v>10.1038%2Fs41598-018-24331-0_ExtendedDataFigure4</v>
      </c>
      <c r="M137" s="1" t="str">
        <f aca="false" t="array" ref="M137:M137">IFERROR(INDEX(FileList!$A$1:$A$1000,MATCH(TRUE(),EXACT(L137,IFERROR(_xlfn.TEXTBEFORE(FileList!$A$1:$A$1000,".tsv"),"")),0)),"notfound")</f>
        <v>notfound</v>
      </c>
      <c r="N137" s="4" t="s">
        <v>575</v>
      </c>
      <c r="O137" s="4" t="s">
        <v>576</v>
      </c>
      <c r="V137" s="4" t="s">
        <v>577</v>
      </c>
    </row>
    <row r="138" customFormat="false" ht="15" hidden="false" customHeight="true" outlineLevel="0" collapsed="false">
      <c r="A138" s="4" t="s">
        <v>573</v>
      </c>
      <c r="C138" s="5"/>
      <c r="D138" s="4" t="s">
        <v>578</v>
      </c>
      <c r="E138" s="1" t="str">
        <f aca="false">RIGHT(A138,1)</f>
        <v>0</v>
      </c>
      <c r="F138" s="1" t="str">
        <f aca="false">G138 &amp; IF(H138&lt;&gt;"", "_" &amp; H138, "_") &amp; IF(I138&lt;&gt;"", "_" &amp; I138, "_") &amp; IF(B138&lt;&gt;"", "_" &amp; B138, "")</f>
        <v>Kochiyama_etal_2018</v>
      </c>
      <c r="G138" s="1" t="str">
        <f aca="false">SUBSTITUTE(SUBSTITUTE(_xlfn.TEXTBEFORE(A138,","), "-", ""), " ", "")</f>
        <v>Kochiyama</v>
      </c>
      <c r="H138" s="1" t="str">
        <f aca="false">_xlfn.LET(
_xlpm.authors,_xlfn.TEXTBEFORE(A138," ("&amp;I138&amp;")"),
_xlpm.hasAmp,ISNUMBER(SEARCH("&amp;",_xlpm.authors)),
_xlpm.commasBeforeAmp,IF(_xlpm.hasAmp,LEN(_xlfn.TEXTBEFORE(_xlpm.authors,"&amp;"))-LEN(SUBSTITUTE(_xlfn.TEXTBEFORE(_xlpm.authors,"&amp;"),",","")),0),
IF(NOT(_xlpm.hasAmp),"",IF(_xlpm.commasBeforeAmp&gt;2,"etal",TRIM(_xlfn.TEXTBEFORE(_xlfn.TEXTAFTER(_xlpm.authors,"&amp; "),","))))
)</f>
        <v>etal</v>
      </c>
      <c r="I138" s="1" t="str">
        <f aca="false">_xlfn.TEXTBEFORE(_xlfn.TEXTAFTER(A138, "("), ")")</f>
        <v>2018</v>
      </c>
      <c r="J138" s="1" t="str">
        <f aca="false">_xlfn.LET(
_xlpm.doi,IF(C138&lt;&gt;"",C138,_xlfn.TEXTAFTER(A138,"https://doi.org/")),
SUBSTITUTE(
SUBSTITUTE(
SUBSTITUTE(
SUBSTITUTE(
_xlpm.doi,
"/","%2F"),
":","%3A"),
"&lt;","%3C"),
"&gt;","%3E")
)</f>
        <v>10.1038%2Fs41598-018-24331-0</v>
      </c>
      <c r="K138" s="1" t="str">
        <f aca="false">TRIM(_xlfn.TEXTJOIN("_",FALSE(),F138,(SUBSTITUTE(SUBSTITUTE(D138," ",""), "_", ""))))</f>
        <v>Kochiyama_etal_2018_ExtendedDataTable1</v>
      </c>
      <c r="L138" s="1" t="str">
        <f aca="false">J138 &amp; "_" &amp; SUBSTITUTE(SUBSTITUTE(SUBSTITUTE(D138,CHAR(160),"")," ",""),"_","")</f>
        <v>10.1038%2Fs41598-018-24331-0_ExtendedDataTable1</v>
      </c>
      <c r="M138" s="1" t="str">
        <f aca="false" t="array" ref="M138:M138">IFERROR(INDEX(FileList!$A$1:$A$1000,MATCH(TRUE(),EXACT(L138,IFERROR(_xlfn.TEXTBEFORE(FileList!$A$1:$A$1000,".tsv"),"")),0)),"notfound")</f>
        <v>notfound</v>
      </c>
      <c r="N138" s="4" t="s">
        <v>579</v>
      </c>
      <c r="V138" s="4" t="s">
        <v>42</v>
      </c>
    </row>
    <row r="139" customFormat="false" ht="15" hidden="false" customHeight="true" outlineLevel="0" collapsed="false">
      <c r="A139" s="4" t="s">
        <v>573</v>
      </c>
      <c r="C139" s="5"/>
      <c r="D139" s="4" t="s">
        <v>580</v>
      </c>
      <c r="E139" s="1" t="str">
        <f aca="false">RIGHT(A139,1)</f>
        <v>0</v>
      </c>
      <c r="F139" s="1" t="str">
        <f aca="false">G139 &amp; IF(H139&lt;&gt;"", "_" &amp; H139, "_") &amp; IF(I139&lt;&gt;"", "_" &amp; I139, "_") &amp; IF(B139&lt;&gt;"", "_" &amp; B139, "")</f>
        <v>Kochiyama_etal_2018</v>
      </c>
      <c r="G139" s="1" t="str">
        <f aca="false">SUBSTITUTE(SUBSTITUTE(_xlfn.TEXTBEFORE(A139,","), "-", ""), " ", "")</f>
        <v>Kochiyama</v>
      </c>
      <c r="H139" s="1" t="str">
        <f aca="false">_xlfn.LET(
_xlpm.authors,_xlfn.TEXTBEFORE(A139," ("&amp;I139&amp;")"),
_xlpm.hasAmp,ISNUMBER(SEARCH("&amp;",_xlpm.authors)),
_xlpm.commasBeforeAmp,IF(_xlpm.hasAmp,LEN(_xlfn.TEXTBEFORE(_xlpm.authors,"&amp;"))-LEN(SUBSTITUTE(_xlfn.TEXTBEFORE(_xlpm.authors,"&amp;"),",","")),0),
IF(NOT(_xlpm.hasAmp),"",IF(_xlpm.commasBeforeAmp&gt;2,"etal",TRIM(_xlfn.TEXTBEFORE(_xlfn.TEXTAFTER(_xlpm.authors,"&amp; "),","))))
)</f>
        <v>etal</v>
      </c>
      <c r="I139" s="1" t="str">
        <f aca="false">_xlfn.TEXTBEFORE(_xlfn.TEXTAFTER(A139, "("), ")")</f>
        <v>2018</v>
      </c>
      <c r="J139" s="1" t="str">
        <f aca="false">_xlfn.LET(
_xlpm.doi,IF(C139&lt;&gt;"",C139,_xlfn.TEXTAFTER(A139,"https://doi.org/")),
SUBSTITUTE(
SUBSTITUTE(
SUBSTITUTE(
SUBSTITUTE(
_xlpm.doi,
"/","%2F"),
":","%3A"),
"&lt;","%3C"),
"&gt;","%3E")
)</f>
        <v>10.1038%2Fs41598-018-24331-0</v>
      </c>
      <c r="K139" s="1" t="str">
        <f aca="false">TRIM(_xlfn.TEXTJOIN("_",FALSE(),F139,(SUBSTITUTE(SUBSTITUTE(D139," ",""), "_", ""))))</f>
        <v>Kochiyama_etal_2018_ExtendedDataTable3</v>
      </c>
      <c r="L139" s="1" t="str">
        <f aca="false">J139 &amp; "_" &amp; SUBSTITUTE(SUBSTITUTE(SUBSTITUTE(D139,CHAR(160),"")," ",""),"_","")</f>
        <v>10.1038%2Fs41598-018-24331-0_ExtendedDataTable3</v>
      </c>
      <c r="M139" s="1" t="str">
        <f aca="false" t="array" ref="M139:M139">IFERROR(INDEX(FileList!$A$1:$A$1000,MATCH(TRUE(),EXACT(L139,IFERROR(_xlfn.TEXTBEFORE(FileList!$A$1:$A$1000,".tsv"),"")),0)),"notfound")</f>
        <v>notfound</v>
      </c>
      <c r="N139" s="4" t="s">
        <v>581</v>
      </c>
      <c r="V139" s="4" t="s">
        <v>42</v>
      </c>
    </row>
    <row r="140" customFormat="false" ht="15" hidden="false" customHeight="true" outlineLevel="0" collapsed="false">
      <c r="A140" s="4" t="s">
        <v>573</v>
      </c>
      <c r="C140" s="5"/>
      <c r="D140" s="4" t="s">
        <v>582</v>
      </c>
      <c r="E140" s="1" t="str">
        <f aca="false">RIGHT(A140,1)</f>
        <v>0</v>
      </c>
      <c r="F140" s="1" t="str">
        <f aca="false">G140 &amp; IF(H140&lt;&gt;"", "_" &amp; H140, "_") &amp; IF(I140&lt;&gt;"", "_" &amp; I140, "_") &amp; IF(B140&lt;&gt;"", "_" &amp; B140, "")</f>
        <v>Kochiyama_etal_2018</v>
      </c>
      <c r="G140" s="1" t="str">
        <f aca="false">SUBSTITUTE(SUBSTITUTE(_xlfn.TEXTBEFORE(A140,","), "-", ""), " ", "")</f>
        <v>Kochiyama</v>
      </c>
      <c r="H140" s="1" t="str">
        <f aca="false">_xlfn.LET(
_xlpm.authors,_xlfn.TEXTBEFORE(A140," ("&amp;I140&amp;")"),
_xlpm.hasAmp,ISNUMBER(SEARCH("&amp;",_xlpm.authors)),
_xlpm.commasBeforeAmp,IF(_xlpm.hasAmp,LEN(_xlfn.TEXTBEFORE(_xlpm.authors,"&amp;"))-LEN(SUBSTITUTE(_xlfn.TEXTBEFORE(_xlpm.authors,"&amp;"),",","")),0),
IF(NOT(_xlpm.hasAmp),"",IF(_xlpm.commasBeforeAmp&gt;2,"etal",TRIM(_xlfn.TEXTBEFORE(_xlfn.TEXTAFTER(_xlpm.authors,"&amp; "),","))))
)</f>
        <v>etal</v>
      </c>
      <c r="I140" s="1" t="str">
        <f aca="false">_xlfn.TEXTBEFORE(_xlfn.TEXTAFTER(A140, "("), ")")</f>
        <v>2018</v>
      </c>
      <c r="J140" s="1" t="str">
        <f aca="false">_xlfn.LET(
_xlpm.doi,IF(C140&lt;&gt;"",C140,_xlfn.TEXTAFTER(A140,"https://doi.org/")),
SUBSTITUTE(
SUBSTITUTE(
SUBSTITUTE(
SUBSTITUTE(
_xlpm.doi,
"/","%2F"),
":","%3A"),
"&lt;","%3C"),
"&gt;","%3E")
)</f>
        <v>10.1038%2Fs41598-018-24331-0</v>
      </c>
      <c r="K140" s="1" t="str">
        <f aca="false">TRIM(_xlfn.TEXTJOIN("_",FALSE(),F140,(SUBSTITUTE(SUBSTITUTE(D140," ",""), "_", ""))))</f>
        <v>Kochiyama_etal_2018_Figure3legend</v>
      </c>
      <c r="L140" s="1" t="str">
        <f aca="false">J140 &amp; "_" &amp; SUBSTITUTE(SUBSTITUTE(SUBSTITUTE(D140,CHAR(160),"")," ",""),"_","")</f>
        <v>10.1038%2Fs41598-018-24331-0_Figure3legend</v>
      </c>
      <c r="M140" s="1" t="str">
        <f aca="false" t="array" ref="M140:M140">IFERROR(INDEX(FileList!$A$1:$A$1000,MATCH(TRUE(),EXACT(L140,IFERROR(_xlfn.TEXTBEFORE(FileList!$A$1:$A$1000,".tsv"),"")),0)),"notfound")</f>
        <v>notfound</v>
      </c>
      <c r="N140" s="4" t="s">
        <v>583</v>
      </c>
      <c r="O140" s="4" t="s">
        <v>584</v>
      </c>
      <c r="V140" s="4" t="s">
        <v>585</v>
      </c>
    </row>
    <row r="141" customFormat="false" ht="15" hidden="false" customHeight="true" outlineLevel="0" collapsed="false">
      <c r="A141" s="4" t="s">
        <v>573</v>
      </c>
      <c r="C141" s="5"/>
      <c r="D141" s="4" t="s">
        <v>586</v>
      </c>
      <c r="E141" s="1" t="str">
        <f aca="false">RIGHT(A141,1)</f>
        <v>0</v>
      </c>
      <c r="F141" s="1" t="str">
        <f aca="false">G141 &amp; IF(H141&lt;&gt;"", "_" &amp; H141, "_") &amp; IF(I141&lt;&gt;"", "_" &amp; I141, "_") &amp; IF(B141&lt;&gt;"", "_" &amp; B141, "")</f>
        <v>Kochiyama_etal_2018</v>
      </c>
      <c r="G141" s="1" t="str">
        <f aca="false">SUBSTITUTE(SUBSTITUTE(_xlfn.TEXTBEFORE(A141,","), "-", ""), " ", "")</f>
        <v>Kochiyama</v>
      </c>
      <c r="H141" s="1" t="str">
        <f aca="false">_xlfn.LET(
_xlpm.authors,_xlfn.TEXTBEFORE(A141," ("&amp;I141&amp;")"),
_xlpm.hasAmp,ISNUMBER(SEARCH("&amp;",_xlpm.authors)),
_xlpm.commasBeforeAmp,IF(_xlpm.hasAmp,LEN(_xlfn.TEXTBEFORE(_xlpm.authors,"&amp;"))-LEN(SUBSTITUTE(_xlfn.TEXTBEFORE(_xlpm.authors,"&amp;"),",","")),0),
IF(NOT(_xlpm.hasAmp),"",IF(_xlpm.commasBeforeAmp&gt;2,"etal",TRIM(_xlfn.TEXTBEFORE(_xlfn.TEXTAFTER(_xlpm.authors,"&amp; "),","))))
)</f>
        <v>etal</v>
      </c>
      <c r="I141" s="1" t="str">
        <f aca="false">_xlfn.TEXTBEFORE(_xlfn.TEXTAFTER(A141, "("), ")")</f>
        <v>2018</v>
      </c>
      <c r="J141" s="1" t="str">
        <f aca="false">_xlfn.LET(
_xlpm.doi,IF(C141&lt;&gt;"",C141,_xlfn.TEXTAFTER(A141,"https://doi.org/")),
SUBSTITUTE(
SUBSTITUTE(
SUBSTITUTE(
SUBSTITUTE(
_xlpm.doi,
"/","%2F"),
":","%3A"),
"&lt;","%3C"),
"&gt;","%3E")
)</f>
        <v>10.1038%2Fs41598-018-24331-0</v>
      </c>
      <c r="K141" s="1" t="str">
        <f aca="false">TRIM(_xlfn.TEXTJOIN("_",FALSE(),F141,(SUBSTITUTE(SUBSTITUTE(D141," ",""), "_", ""))))</f>
        <v>Kochiyama_etal_2018_Figure3A</v>
      </c>
      <c r="L141" s="1" t="str">
        <f aca="false">J141 &amp; "_" &amp; SUBSTITUTE(SUBSTITUTE(SUBSTITUTE(D141,CHAR(160),"")," ",""),"_","")</f>
        <v>10.1038%2Fs41598-018-24331-0_Figure3A</v>
      </c>
      <c r="M141" s="1" t="str">
        <f aca="false" t="array" ref="M141:M141">IFERROR(INDEX(FileList!$A$1:$A$1000,MATCH(TRUE(),EXACT(L141,IFERROR(_xlfn.TEXTBEFORE(FileList!$A$1:$A$1000,".tsv"),"")),0)),"notfound")</f>
        <v>notfound</v>
      </c>
      <c r="N141" s="4" t="s">
        <v>583</v>
      </c>
      <c r="O141" s="4" t="s">
        <v>576</v>
      </c>
      <c r="V141" s="4" t="s">
        <v>577</v>
      </c>
    </row>
    <row r="142" customFormat="false" ht="15" hidden="false" customHeight="true" outlineLevel="0" collapsed="false">
      <c r="A142" s="4" t="s">
        <v>573</v>
      </c>
      <c r="C142" s="5"/>
      <c r="D142" s="4" t="s">
        <v>587</v>
      </c>
      <c r="E142" s="1" t="str">
        <f aca="false">RIGHT(A142,1)</f>
        <v>0</v>
      </c>
      <c r="F142" s="1" t="str">
        <f aca="false">G142 &amp; IF(H142&lt;&gt;"", "_" &amp; H142, "_") &amp; IF(I142&lt;&gt;"", "_" &amp; I142, "_") &amp; IF(B142&lt;&gt;"", "_" &amp; B142, "")</f>
        <v>Kochiyama_etal_2018</v>
      </c>
      <c r="G142" s="1" t="str">
        <f aca="false">SUBSTITUTE(SUBSTITUTE(_xlfn.TEXTBEFORE(A142,","), "-", ""), " ", "")</f>
        <v>Kochiyama</v>
      </c>
      <c r="H142" s="1" t="str">
        <f aca="false">_xlfn.LET(
_xlpm.authors,_xlfn.TEXTBEFORE(A142," ("&amp;I142&amp;")"),
_xlpm.hasAmp,ISNUMBER(SEARCH("&amp;",_xlpm.authors)),
_xlpm.commasBeforeAmp,IF(_xlpm.hasAmp,LEN(_xlfn.TEXTBEFORE(_xlpm.authors,"&amp;"))-LEN(SUBSTITUTE(_xlfn.TEXTBEFORE(_xlpm.authors,"&amp;"),",","")),0),
IF(NOT(_xlpm.hasAmp),"",IF(_xlpm.commasBeforeAmp&gt;2,"etal",TRIM(_xlfn.TEXTBEFORE(_xlfn.TEXTAFTER(_xlpm.authors,"&amp; "),","))))
)</f>
        <v>etal</v>
      </c>
      <c r="I142" s="1" t="str">
        <f aca="false">_xlfn.TEXTBEFORE(_xlfn.TEXTAFTER(A142, "("), ")")</f>
        <v>2018</v>
      </c>
      <c r="J142" s="1" t="str">
        <f aca="false">_xlfn.LET(
_xlpm.doi,IF(C142&lt;&gt;"",C142,_xlfn.TEXTAFTER(A142,"https://doi.org/")),
SUBSTITUTE(
SUBSTITUTE(
SUBSTITUTE(
SUBSTITUTE(
_xlpm.doi,
"/","%2F"),
":","%3A"),
"&lt;","%3C"),
"&gt;","%3E")
)</f>
        <v>10.1038%2Fs41598-018-24331-0</v>
      </c>
      <c r="K142" s="1" t="str">
        <f aca="false">TRIM(_xlfn.TEXTJOIN("_",FALSE(),F142,(SUBSTITUTE(SUBSTITUTE(D142," ",""), "_", ""))))</f>
        <v>Kochiyama_etal_2018_Figure3B</v>
      </c>
      <c r="L142" s="1" t="str">
        <f aca="false">J142 &amp; "_" &amp; SUBSTITUTE(SUBSTITUTE(SUBSTITUTE(D142,CHAR(160),"")," ",""),"_","")</f>
        <v>10.1038%2Fs41598-018-24331-0_Figure3B</v>
      </c>
      <c r="M142" s="1" t="str">
        <f aca="false" t="array" ref="M142:M142">IFERROR(INDEX(FileList!$A$1:$A$1000,MATCH(TRUE(),EXACT(L142,IFERROR(_xlfn.TEXTBEFORE(FileList!$A$1:$A$1000,".tsv"),"")),0)),"notfound")</f>
        <v>notfound</v>
      </c>
      <c r="N142" s="4" t="s">
        <v>583</v>
      </c>
      <c r="O142" s="4" t="s">
        <v>576</v>
      </c>
      <c r="V142" s="4" t="s">
        <v>577</v>
      </c>
    </row>
    <row r="143" customFormat="false" ht="15" hidden="false" customHeight="true" outlineLevel="0" collapsed="false">
      <c r="A143" s="4" t="s">
        <v>573</v>
      </c>
      <c r="C143" s="5"/>
      <c r="D143" s="4" t="s">
        <v>588</v>
      </c>
      <c r="E143" s="1" t="str">
        <f aca="false">RIGHT(A143,1)</f>
        <v>0</v>
      </c>
      <c r="F143" s="1" t="str">
        <f aca="false">G143 &amp; IF(H143&lt;&gt;"", "_" &amp; H143, "_") &amp; IF(I143&lt;&gt;"", "_" &amp; I143, "_") &amp; IF(B143&lt;&gt;"", "_" &amp; B143, "")</f>
        <v>Kochiyama_etal_2018</v>
      </c>
      <c r="G143" s="1" t="str">
        <f aca="false">SUBSTITUTE(SUBSTITUTE(_xlfn.TEXTBEFORE(A143,","), "-", ""), " ", "")</f>
        <v>Kochiyama</v>
      </c>
      <c r="H143" s="1" t="str">
        <f aca="false">_xlfn.LET(
_xlpm.authors,_xlfn.TEXTBEFORE(A143," ("&amp;I143&amp;")"),
_xlpm.hasAmp,ISNUMBER(SEARCH("&amp;",_xlpm.authors)),
_xlpm.commasBeforeAmp,IF(_xlpm.hasAmp,LEN(_xlfn.TEXTBEFORE(_xlpm.authors,"&amp;"))-LEN(SUBSTITUTE(_xlfn.TEXTBEFORE(_xlpm.authors,"&amp;"),",","")),0),
IF(NOT(_xlpm.hasAmp),"",IF(_xlpm.commasBeforeAmp&gt;2,"etal",TRIM(_xlfn.TEXTBEFORE(_xlfn.TEXTAFTER(_xlpm.authors,"&amp; "),","))))
)</f>
        <v>etal</v>
      </c>
      <c r="I143" s="1" t="str">
        <f aca="false">_xlfn.TEXTBEFORE(_xlfn.TEXTAFTER(A143, "("), ")")</f>
        <v>2018</v>
      </c>
      <c r="J143" s="1" t="str">
        <f aca="false">_xlfn.LET(
_xlpm.doi,IF(C143&lt;&gt;"",C143,_xlfn.TEXTAFTER(A143,"https://doi.org/")),
SUBSTITUTE(
SUBSTITUTE(
SUBSTITUTE(
SUBSTITUTE(
_xlpm.doi,
"/","%2F"),
":","%3A"),
"&lt;","%3C"),
"&gt;","%3E")
)</f>
        <v>10.1038%2Fs41598-018-24331-0</v>
      </c>
      <c r="K143" s="1" t="str">
        <f aca="false">TRIM(_xlfn.TEXTJOIN("_",FALSE(),F143,(SUBSTITUTE(SUBSTITUTE(D143," ",""), "_", ""))))</f>
        <v>Kochiyama_etal_2018_FossilSpecimensText</v>
      </c>
      <c r="L143" s="1" t="str">
        <f aca="false">J143 &amp; "_" &amp; SUBSTITUTE(SUBSTITUTE(SUBSTITUTE(D143,CHAR(160),"")," ",""),"_","")</f>
        <v>10.1038%2Fs41598-018-24331-0_FossilSpecimensText</v>
      </c>
      <c r="M143" s="1" t="str">
        <f aca="false" t="array" ref="M143:M143">IFERROR(INDEX(FileList!$A$1:$A$1000,MATCH(TRUE(),EXACT(L143,IFERROR(_xlfn.TEXTBEFORE(FileList!$A$1:$A$1000,".tsv"),"")),0)),"notfound")</f>
        <v>notfound</v>
      </c>
      <c r="N143" s="4" t="s">
        <v>589</v>
      </c>
      <c r="O143" s="4" t="s">
        <v>590</v>
      </c>
      <c r="V143" s="4" t="s">
        <v>42</v>
      </c>
    </row>
    <row r="144" customFormat="false" ht="15" hidden="false" customHeight="true" outlineLevel="0" collapsed="false">
      <c r="A144" s="4" t="s">
        <v>591</v>
      </c>
      <c r="C144" s="5"/>
      <c r="D144" s="4" t="s">
        <v>77</v>
      </c>
      <c r="E144" s="1" t="str">
        <f aca="false">RIGHT(A144,1)</f>
        <v>3</v>
      </c>
      <c r="F144" s="1" t="str">
        <f aca="false">G144 &amp; IF(H144&lt;&gt;"", "_" &amp; H144, "_") &amp; IF(I144&lt;&gt;"", "_" &amp; I144, "_") &amp; IF(B144&lt;&gt;"", "_" &amp; B144, "")</f>
        <v>Krubitzer_Kaas_1990</v>
      </c>
      <c r="G144" s="1" t="str">
        <f aca="false">SUBSTITUTE(SUBSTITUTE(_xlfn.TEXTBEFORE(A144,","), "-", ""), " ", "")</f>
        <v>Krubitzer</v>
      </c>
      <c r="H144" s="1" t="str">
        <f aca="false">_xlfn.LET(
_xlpm.authors,_xlfn.TEXTBEFORE(A144," ("&amp;I144&amp;")"),
_xlpm.hasAmp,ISNUMBER(SEARCH("&amp;",_xlpm.authors)),
_xlpm.commasBeforeAmp,IF(_xlpm.hasAmp,LEN(_xlfn.TEXTBEFORE(_xlpm.authors,"&amp;"))-LEN(SUBSTITUTE(_xlfn.TEXTBEFORE(_xlpm.authors,"&amp;"),",","")),0),
IF(NOT(_xlpm.hasAmp),"",IF(_xlpm.commasBeforeAmp&gt;2,"etal",TRIM(_xlfn.TEXTBEFORE(_xlfn.TEXTAFTER(_xlpm.authors,"&amp; "),","))))
)</f>
        <v>Kaas</v>
      </c>
      <c r="I144" s="1" t="str">
        <f aca="false">_xlfn.TEXTBEFORE(_xlfn.TEXTAFTER(A144, "("), ")")</f>
        <v>1990</v>
      </c>
      <c r="J144" s="1" t="str">
        <f aca="false">_xlfn.LET(
_xlpm.doi,IF(C144&lt;&gt;"",C144,_xlfn.TEXTAFTER(A144,"https://doi.org/")),
SUBSTITUTE(
SUBSTITUTE(
SUBSTITUTE(
SUBSTITUTE(
_xlpm.doi,
"/","%2F"),
":","%3A"),
"&lt;","%3C"),
"&gt;","%3E")
)</f>
        <v>10.1017%2Fs0952523800000213</v>
      </c>
      <c r="K144" s="1" t="str">
        <f aca="false">TRIM(_xlfn.TEXTJOIN("_",FALSE(),F144,(SUBSTITUTE(SUBSTITUTE(D144," ",""), "_", ""))))</f>
        <v>Krubitzer_Kaas_1990_Table1</v>
      </c>
      <c r="L144" s="1" t="str">
        <f aca="false">J144 &amp; "_" &amp; SUBSTITUTE(SUBSTITUTE(SUBSTITUTE(D144,CHAR(160),"")," ",""),"_","")</f>
        <v>10.1017%2Fs0952523800000213_Table1</v>
      </c>
      <c r="M144" s="1" t="str">
        <f aca="false" t="array" ref="M144:M144">IFERROR(INDEX(FileList!$A$1:$A$1000,MATCH(TRUE(),EXACT(L144,IFERROR(_xlfn.TEXTBEFORE(FileList!$A$1:$A$1000,".tsv"),"")),0)),"notfound")</f>
        <v>notfound</v>
      </c>
      <c r="N144" s="4" t="s">
        <v>592</v>
      </c>
    </row>
    <row r="145" customFormat="false" ht="15" hidden="false" customHeight="true" outlineLevel="0" collapsed="false">
      <c r="A145" s="4" t="s">
        <v>593</v>
      </c>
      <c r="D145" s="4" t="s">
        <v>77</v>
      </c>
      <c r="E145" s="1" t="str">
        <f aca="false">RIGHT(A145,1)</f>
        <v>8</v>
      </c>
      <c r="F145" s="1" t="str">
        <f aca="false">G145 &amp; IF(H145&lt;&gt;"", "_" &amp; H145, "_") &amp; IF(I145&lt;&gt;"", "_" &amp; I145, "_") &amp; IF(B145&lt;&gt;"", "_" &amp; B145, "")</f>
        <v>Kverkova_etal_2018</v>
      </c>
      <c r="G145" s="1" t="str">
        <f aca="false">SUBSTITUTE(SUBSTITUTE(_xlfn.TEXTBEFORE(A145,","), "-", ""), " ", "")</f>
        <v>Kverkova</v>
      </c>
      <c r="H145" s="1" t="str">
        <f aca="false">_xlfn.LET(
_xlpm.authors,_xlfn.TEXTBEFORE(A145," ("&amp;I145&amp;")"),
_xlpm.hasAmp,ISNUMBER(SEARCH("&amp;",_xlpm.authors)),
_xlpm.commasBeforeAmp,IF(_xlpm.hasAmp,LEN(_xlfn.TEXTBEFORE(_xlpm.authors,"&amp;"))-LEN(SUBSTITUTE(_xlfn.TEXTBEFORE(_xlpm.authors,"&amp;"),",","")),0),
IF(NOT(_xlpm.hasAmp),"",IF(_xlpm.commasBeforeAmp&gt;2,"etal",TRIM(_xlfn.TEXTBEFORE(_xlfn.TEXTAFTER(_xlpm.authors,"&amp; "),","))))
)</f>
        <v>etal</v>
      </c>
      <c r="I145" s="1" t="str">
        <f aca="false">_xlfn.TEXTBEFORE(_xlfn.TEXTAFTER(A145, "("), ")")</f>
        <v>2018</v>
      </c>
      <c r="J145" s="1" t="str">
        <f aca="false">_xlfn.LET(
_xlpm.doi,IF(C145&lt;&gt;"",C145,_xlfn.TEXTAFTER(A145,"https://doi.org/")),
SUBSTITUTE(
SUBSTITUTE(
SUBSTITUTE(
SUBSTITUTE(
_xlpm.doi,
"/","%2F"),
":","%3A"),
"&lt;","%3C"),
"&gt;","%3E")
)</f>
        <v>10.1038%2Fs41598-018-26062-8</v>
      </c>
      <c r="K145" s="1" t="str">
        <f aca="false">TRIM(_xlfn.TEXTJOIN("_",FALSE(),F145,(SUBSTITUTE(SUBSTITUTE(D145," ",""), "_", ""))))</f>
        <v>Kverkova_etal_2018_Table1</v>
      </c>
      <c r="L145" s="1" t="str">
        <f aca="false">J145 &amp; "_" &amp; SUBSTITUTE(SUBSTITUTE(SUBSTITUTE(D145,CHAR(160),"")," ",""),"_","")</f>
        <v>10.1038%2Fs41598-018-26062-8_Table1</v>
      </c>
      <c r="M145" s="1" t="str">
        <f aca="false" t="array" ref="M145:M145">IFERROR(INDEX(FileList!$A$1:$A$1000,MATCH(TRUE(),EXACT(L145,IFERROR(_xlfn.TEXTBEFORE(FileList!$A$1:$A$1000,".tsv"),"")),0)),"notfound")</f>
        <v>notfound</v>
      </c>
      <c r="N145" s="4" t="s">
        <v>594</v>
      </c>
      <c r="P145" s="4" t="s">
        <v>41</v>
      </c>
      <c r="Q145" s="4" t="s">
        <v>51</v>
      </c>
      <c r="R145" s="4" t="s">
        <v>595</v>
      </c>
      <c r="S145" s="4" t="s">
        <v>53</v>
      </c>
      <c r="T145" s="4" t="s">
        <v>596</v>
      </c>
      <c r="U145" s="4" t="s">
        <v>597</v>
      </c>
      <c r="V145" s="4" t="s">
        <v>42</v>
      </c>
      <c r="Y145" s="4" t="s">
        <v>598</v>
      </c>
      <c r="Z145" s="4" t="s">
        <v>598</v>
      </c>
      <c r="AH145" s="4" t="s">
        <v>599</v>
      </c>
      <c r="AI145" s="4" t="s">
        <v>600</v>
      </c>
      <c r="AJ145" s="4" t="s">
        <v>601</v>
      </c>
      <c r="AK145" s="4" t="s">
        <v>63</v>
      </c>
      <c r="AL145" s="4" t="s">
        <v>63</v>
      </c>
      <c r="AM145" s="4" t="s">
        <v>602</v>
      </c>
    </row>
    <row r="146" customFormat="false" ht="15" hidden="false" customHeight="true" outlineLevel="0" collapsed="false">
      <c r="A146" s="4" t="s">
        <v>593</v>
      </c>
      <c r="D146" s="4" t="s">
        <v>200</v>
      </c>
      <c r="E146" s="1" t="str">
        <f aca="false">RIGHT(A146,1)</f>
        <v>8</v>
      </c>
      <c r="F146" s="1" t="str">
        <f aca="false">G146 &amp; IF(H146&lt;&gt;"", "_" &amp; H146, "_") &amp; IF(I146&lt;&gt;"", "_" &amp; I146, "_") &amp; IF(B146&lt;&gt;"", "_" &amp; B146, "")</f>
        <v>Kverkova_etal_2018</v>
      </c>
      <c r="G146" s="1" t="str">
        <f aca="false">SUBSTITUTE(SUBSTITUTE(_xlfn.TEXTBEFORE(A146,","), "-", ""), " ", "")</f>
        <v>Kverkova</v>
      </c>
      <c r="H146" s="1" t="str">
        <f aca="false">_xlfn.LET(
_xlpm.authors,_xlfn.TEXTBEFORE(A146," ("&amp;I146&amp;")"),
_xlpm.hasAmp,ISNUMBER(SEARCH("&amp;",_xlpm.authors)),
_xlpm.commasBeforeAmp,IF(_xlpm.hasAmp,LEN(_xlfn.TEXTBEFORE(_xlpm.authors,"&amp;"))-LEN(SUBSTITUTE(_xlfn.TEXTBEFORE(_xlpm.authors,"&amp;"),",","")),0),
IF(NOT(_xlpm.hasAmp),"",IF(_xlpm.commasBeforeAmp&gt;2,"etal",TRIM(_xlfn.TEXTBEFORE(_xlfn.TEXTAFTER(_xlpm.authors,"&amp; "),","))))
)</f>
        <v>etal</v>
      </c>
      <c r="I146" s="1" t="str">
        <f aca="false">_xlfn.TEXTBEFORE(_xlfn.TEXTAFTER(A146, "("), ")")</f>
        <v>2018</v>
      </c>
      <c r="J146" s="1" t="str">
        <f aca="false">_xlfn.LET(
_xlpm.doi,IF(C146&lt;&gt;"",C146,_xlfn.TEXTAFTER(A146,"https://doi.org/")),
SUBSTITUTE(
SUBSTITUTE(
SUBSTITUTE(
SUBSTITUTE(
_xlpm.doi,
"/","%2F"),
":","%3A"),
"&lt;","%3C"),
"&gt;","%3E")
)</f>
        <v>10.1038%2Fs41598-018-26062-8</v>
      </c>
      <c r="K146" s="1" t="str">
        <f aca="false">TRIM(_xlfn.TEXTJOIN("_",FALSE(),F146,(SUBSTITUTE(SUBSTITUTE(D146," ",""), "_", ""))))</f>
        <v>Kverkova_etal_2018_TableS1</v>
      </c>
      <c r="L146" s="1" t="str">
        <f aca="false">J146 &amp; "_" &amp; SUBSTITUTE(SUBSTITUTE(SUBSTITUTE(D146,CHAR(160),"")," ",""),"_","")</f>
        <v>10.1038%2Fs41598-018-26062-8_TableS1</v>
      </c>
      <c r="M146" s="1" t="str">
        <f aca="false" t="array" ref="M146:M146">IFERROR(INDEX(FileList!$A$1:$A$1000,MATCH(TRUE(),EXACT(L146,IFERROR(_xlfn.TEXTBEFORE(FileList!$A$1:$A$1000,".tsv"),"")),0)),"notfound")</f>
        <v>notfound</v>
      </c>
      <c r="N146" s="4" t="s">
        <v>603</v>
      </c>
      <c r="P146" s="4" t="s">
        <v>41</v>
      </c>
      <c r="Q146" s="4" t="s">
        <v>51</v>
      </c>
      <c r="R146" s="4" t="s">
        <v>604</v>
      </c>
      <c r="S146" s="4" t="s">
        <v>53</v>
      </c>
      <c r="T146" s="4" t="s">
        <v>596</v>
      </c>
      <c r="U146" s="4" t="s">
        <v>597</v>
      </c>
      <c r="V146" s="4" t="s">
        <v>42</v>
      </c>
      <c r="W146" s="4" t="s">
        <v>193</v>
      </c>
      <c r="X146" s="4" t="s">
        <v>605</v>
      </c>
      <c r="Y146" s="4" t="s">
        <v>598</v>
      </c>
      <c r="Z146" s="4" t="s">
        <v>598</v>
      </c>
      <c r="AH146" s="4" t="s">
        <v>599</v>
      </c>
      <c r="AI146" s="4" t="s">
        <v>405</v>
      </c>
      <c r="AJ146" s="4" t="s">
        <v>601</v>
      </c>
      <c r="AK146" s="4" t="s">
        <v>606</v>
      </c>
      <c r="AL146" s="4" t="s">
        <v>63</v>
      </c>
      <c r="AM146" s="4" t="s">
        <v>407</v>
      </c>
    </row>
    <row r="147" customFormat="false" ht="15" hidden="false" customHeight="true" outlineLevel="0" collapsed="false">
      <c r="A147" s="4" t="s">
        <v>593</v>
      </c>
      <c r="D147" s="4" t="s">
        <v>467</v>
      </c>
      <c r="E147" s="1" t="str">
        <f aca="false">RIGHT(A147,1)</f>
        <v>8</v>
      </c>
      <c r="F147" s="1" t="str">
        <f aca="false">G147 &amp; IF(H147&lt;&gt;"", "_" &amp; H147, "_") &amp; IF(I147&lt;&gt;"", "_" &amp; I147, "_") &amp; IF(B147&lt;&gt;"", "_" &amp; B147, "")</f>
        <v>Kverkova_etal_2018</v>
      </c>
      <c r="G147" s="1" t="str">
        <f aca="false">SUBSTITUTE(SUBSTITUTE(_xlfn.TEXTBEFORE(A147,","), "-", ""), " ", "")</f>
        <v>Kverkova</v>
      </c>
      <c r="H147" s="1" t="str">
        <f aca="false">_xlfn.LET(
_xlpm.authors,_xlfn.TEXTBEFORE(A147," ("&amp;I147&amp;")"),
_xlpm.hasAmp,ISNUMBER(SEARCH("&amp;",_xlpm.authors)),
_xlpm.commasBeforeAmp,IF(_xlpm.hasAmp,LEN(_xlfn.TEXTBEFORE(_xlpm.authors,"&amp;"))-LEN(SUBSTITUTE(_xlfn.TEXTBEFORE(_xlpm.authors,"&amp;"),",","")),0),
IF(NOT(_xlpm.hasAmp),"",IF(_xlpm.commasBeforeAmp&gt;2,"etal",TRIM(_xlfn.TEXTBEFORE(_xlfn.TEXTAFTER(_xlpm.authors,"&amp; "),","))))
)</f>
        <v>etal</v>
      </c>
      <c r="I147" s="1" t="str">
        <f aca="false">_xlfn.TEXTBEFORE(_xlfn.TEXTAFTER(A147, "("), ")")</f>
        <v>2018</v>
      </c>
      <c r="J147" s="1" t="str">
        <f aca="false">_xlfn.LET(
_xlpm.doi,IF(C147&lt;&gt;"",C147,_xlfn.TEXTAFTER(A147,"https://doi.org/")),
SUBSTITUTE(
SUBSTITUTE(
SUBSTITUTE(
SUBSTITUTE(
_xlpm.doi,
"/","%2F"),
":","%3A"),
"&lt;","%3C"),
"&gt;","%3E")
)</f>
        <v>10.1038%2Fs41598-018-26062-8</v>
      </c>
      <c r="K147" s="1" t="str">
        <f aca="false">TRIM(_xlfn.TEXTJOIN("_",FALSE(),F147,(SUBSTITUTE(SUBSTITUTE(D147," ",""), "_", ""))))</f>
        <v>Kverkova_etal_2018_TableS5</v>
      </c>
      <c r="L147" s="1" t="str">
        <f aca="false">J147 &amp; "_" &amp; SUBSTITUTE(SUBSTITUTE(SUBSTITUTE(D147,CHAR(160),"")," ",""),"_","")</f>
        <v>10.1038%2Fs41598-018-26062-8_TableS5</v>
      </c>
      <c r="M147" s="1" t="str">
        <f aca="false" t="array" ref="M147:M147">IFERROR(INDEX(FileList!$A$1:$A$1000,MATCH(TRUE(),EXACT(L147,IFERROR(_xlfn.TEXTBEFORE(FileList!$A$1:$A$1000,".tsv"),"")),0)),"notfound")</f>
        <v>notfound</v>
      </c>
      <c r="N147" s="4" t="s">
        <v>607</v>
      </c>
      <c r="P147" s="4" t="s">
        <v>41</v>
      </c>
      <c r="Q147" s="4" t="s">
        <v>51</v>
      </c>
      <c r="R147" s="4" t="s">
        <v>608</v>
      </c>
      <c r="S147" s="4" t="s">
        <v>53</v>
      </c>
      <c r="T147" s="4" t="s">
        <v>609</v>
      </c>
      <c r="U147" s="4" t="s">
        <v>610</v>
      </c>
      <c r="V147" s="4" t="s">
        <v>42</v>
      </c>
      <c r="W147" s="4" t="s">
        <v>193</v>
      </c>
      <c r="X147" s="4" t="s">
        <v>605</v>
      </c>
      <c r="Y147" s="4" t="s">
        <v>598</v>
      </c>
      <c r="Z147" s="4" t="s">
        <v>598</v>
      </c>
      <c r="AG147" s="4" t="s">
        <v>59</v>
      </c>
      <c r="AH147" s="4" t="s">
        <v>599</v>
      </c>
      <c r="AI147" s="4" t="s">
        <v>411</v>
      </c>
      <c r="AJ147" s="4" t="s">
        <v>601</v>
      </c>
      <c r="AK147" s="4" t="s">
        <v>63</v>
      </c>
      <c r="AL147" s="4" t="s">
        <v>63</v>
      </c>
      <c r="AM147" s="4" t="s">
        <v>64</v>
      </c>
    </row>
    <row r="148" customFormat="false" ht="15" hidden="false" customHeight="true" outlineLevel="0" collapsed="false">
      <c r="A148" s="4" t="s">
        <v>611</v>
      </c>
      <c r="D148" s="4" t="s">
        <v>612</v>
      </c>
      <c r="E148" s="1" t="str">
        <f aca="false">RIGHT(A148,1)</f>
        <v>4</v>
      </c>
      <c r="F148" s="1" t="str">
        <f aca="false">G148 &amp; IF(H148&lt;&gt;"", "_" &amp; H148, "_") &amp; IF(I148&lt;&gt;"", "_" &amp; I148, "_") &amp; IF(B148&lt;&gt;"", "_" &amp; B148, "")</f>
        <v>Lewitus_etal_2013</v>
      </c>
      <c r="G148" s="1" t="str">
        <f aca="false">SUBSTITUTE(SUBSTITUTE(_xlfn.TEXTBEFORE(A148,","), "-", ""), " ", "")</f>
        <v>Lewitus</v>
      </c>
      <c r="H148" s="1" t="str">
        <f aca="false">_xlfn.LET(
_xlpm.authors,_xlfn.TEXTBEFORE(A148," ("&amp;I148&amp;")"),
_xlpm.hasAmp,ISNUMBER(SEARCH("&amp;",_xlpm.authors)),
_xlpm.commasBeforeAmp,IF(_xlpm.hasAmp,LEN(_xlfn.TEXTBEFORE(_xlpm.authors,"&amp;"))-LEN(SUBSTITUTE(_xlfn.TEXTBEFORE(_xlpm.authors,"&amp;"),",","")),0),
IF(NOT(_xlpm.hasAmp),"",IF(_xlpm.commasBeforeAmp&gt;2,"etal",TRIM(_xlfn.TEXTBEFORE(_xlfn.TEXTAFTER(_xlpm.authors,"&amp; "),","))))
)</f>
        <v>etal</v>
      </c>
      <c r="I148" s="1" t="str">
        <f aca="false">_xlfn.TEXTBEFORE(_xlfn.TEXTAFTER(A148, "("), ")")</f>
        <v>2013</v>
      </c>
      <c r="J148" s="1" t="str">
        <f aca="false">_xlfn.LET(
_xlpm.doi,IF(C148&lt;&gt;"",C148,_xlfn.TEXTAFTER(A148,"https://doi.org/")),
SUBSTITUTE(
SUBSTITUTE(
SUBSTITUTE(
SUBSTITUTE(
_xlpm.doi,
"/","%2F"),
":","%3A"),
"&lt;","%3C"),
"&gt;","%3E")
)</f>
        <v>10.3389%2Ffnhum.2013.00424</v>
      </c>
      <c r="K148" s="1" t="str">
        <f aca="false">TRIM(_xlfn.TEXTJOIN("_",FALSE(),F148,(SUBSTITUTE(SUBSTITUTE(D148," ",""), "_", ""))))</f>
        <v>Lewitus_etal_2013_TableS2partial</v>
      </c>
      <c r="L148" s="1" t="str">
        <f aca="false">J148 &amp; "_" &amp; SUBSTITUTE(SUBSTITUTE(SUBSTITUTE(D148,CHAR(160),"")," ",""),"_","")</f>
        <v>10.3389%2Ffnhum.2013.00424_TableS2partial</v>
      </c>
      <c r="M148" s="1" t="str">
        <f aca="false" t="array" ref="M148:M148">IFERROR(INDEX(FileList!$A$1:$A$1000,MATCH(TRUE(),EXACT(L148,IFERROR(_xlfn.TEXTBEFORE(FileList!$A$1:$A$1000,".tsv"),"")),0)),"notfound")</f>
        <v>notfound</v>
      </c>
      <c r="Q148" s="4" t="s">
        <v>134</v>
      </c>
      <c r="AI148" s="4" t="s">
        <v>613</v>
      </c>
      <c r="AJ148" s="4" t="s">
        <v>142</v>
      </c>
      <c r="AL148" s="4" t="s">
        <v>63</v>
      </c>
      <c r="AM148" s="4" t="s">
        <v>614</v>
      </c>
    </row>
    <row r="149" customFormat="false" ht="15" hidden="false" customHeight="true" outlineLevel="0" collapsed="false">
      <c r="A149" s="4" t="s">
        <v>615</v>
      </c>
      <c r="D149" s="4" t="s">
        <v>200</v>
      </c>
      <c r="E149" s="1" t="str">
        <f aca="false">RIGHT(A149,1)</f>
        <v>0</v>
      </c>
      <c r="F149" s="1" t="str">
        <f aca="false">G149 &amp; IF(H149&lt;&gt;"", "_" &amp; H149, "_") &amp; IF(I149&lt;&gt;"", "_" &amp; I149, "_") &amp; IF(B149&lt;&gt;"", "_" &amp; B149, "")</f>
        <v>Lewitus_etal_2014</v>
      </c>
      <c r="G149" s="1" t="str">
        <f aca="false">SUBSTITUTE(SUBSTITUTE(_xlfn.TEXTBEFORE(A149,","), "-", ""), " ", "")</f>
        <v>Lewitus</v>
      </c>
      <c r="H149" s="1" t="str">
        <f aca="false">_xlfn.LET(
_xlpm.authors,_xlfn.TEXTBEFORE(A149," ("&amp;I149&amp;")"),
_xlpm.hasAmp,ISNUMBER(SEARCH("&amp;",_xlpm.authors)),
_xlpm.commasBeforeAmp,IF(_xlpm.hasAmp,LEN(_xlfn.TEXTBEFORE(_xlpm.authors,"&amp;"))-LEN(SUBSTITUTE(_xlfn.TEXTBEFORE(_xlpm.authors,"&amp;"),",","")),0),
IF(NOT(_xlpm.hasAmp),"",IF(_xlpm.commasBeforeAmp&gt;2,"etal",TRIM(_xlfn.TEXTBEFORE(_xlfn.TEXTAFTER(_xlpm.authors,"&amp; "),","))))
)</f>
        <v>etal</v>
      </c>
      <c r="I149" s="1" t="str">
        <f aca="false">_xlfn.TEXTBEFORE(_xlfn.TEXTAFTER(A149, "("), ")")</f>
        <v>2014</v>
      </c>
      <c r="J149" s="1" t="str">
        <f aca="false">_xlfn.LET(
_xlpm.doi,IF(C149&lt;&gt;"",C149,_xlfn.TEXTAFTER(A149,"https://doi.org/")),
SUBSTITUTE(
SUBSTITUTE(
SUBSTITUTE(
SUBSTITUTE(
_xlpm.doi,
"/","%2F"),
":","%3A"),
"&lt;","%3C"),
"&gt;","%3E")
)</f>
        <v>10.1371%2Fjournal.pbio.1002000</v>
      </c>
      <c r="K149" s="1" t="str">
        <f aca="false">TRIM(_xlfn.TEXTJOIN("_",FALSE(),F149,(SUBSTITUTE(SUBSTITUTE(D149," ",""), "_", ""))))</f>
        <v>Lewitus_etal_2014_TableS1</v>
      </c>
      <c r="L149" s="1" t="str">
        <f aca="false">J149 &amp; "_" &amp; SUBSTITUTE(SUBSTITUTE(SUBSTITUTE(D149,CHAR(160),"")," ",""),"_","")</f>
        <v>10.1371%2Fjournal.pbio.1002000_TableS1</v>
      </c>
      <c r="M149" s="1" t="str">
        <f aca="false" t="array" ref="M149:M149">IFERROR(INDEX(FileList!$A$1:$A$1000,MATCH(TRUE(),EXACT(L149,IFERROR(_xlfn.TEXTBEFORE(FileList!$A$1:$A$1000,".tsv"),"")),0)),"notfound")</f>
        <v>notfound</v>
      </c>
      <c r="N149" s="4" t="s">
        <v>616</v>
      </c>
      <c r="Q149" s="4" t="s">
        <v>134</v>
      </c>
      <c r="AI149" s="4" t="s">
        <v>617</v>
      </c>
      <c r="AJ149" s="4" t="s">
        <v>142</v>
      </c>
      <c r="AL149" s="4" t="s">
        <v>143</v>
      </c>
      <c r="AM149" s="4" t="s">
        <v>618</v>
      </c>
    </row>
    <row r="150" customFormat="false" ht="15" hidden="false" customHeight="true" outlineLevel="0" collapsed="false">
      <c r="A150" s="4" t="s">
        <v>615</v>
      </c>
      <c r="D150" s="4" t="s">
        <v>473</v>
      </c>
      <c r="E150" s="1" t="str">
        <f aca="false">RIGHT(A150,1)</f>
        <v>0</v>
      </c>
      <c r="F150" s="1" t="str">
        <f aca="false">G150 &amp; IF(H150&lt;&gt;"", "_" &amp; H150, "_") &amp; IF(I150&lt;&gt;"", "_" &amp; I150, "_") &amp; IF(B150&lt;&gt;"", "_" &amp; B150, "")</f>
        <v>Lewitus_etal_2014</v>
      </c>
      <c r="G150" s="1" t="str">
        <f aca="false">SUBSTITUTE(SUBSTITUTE(_xlfn.TEXTBEFORE(A150,","), "-", ""), " ", "")</f>
        <v>Lewitus</v>
      </c>
      <c r="H150" s="1" t="str">
        <f aca="false">_xlfn.LET(
_xlpm.authors,_xlfn.TEXTBEFORE(A150," ("&amp;I150&amp;")"),
_xlpm.hasAmp,ISNUMBER(SEARCH("&amp;",_xlpm.authors)),
_xlpm.commasBeforeAmp,IF(_xlpm.hasAmp,LEN(_xlfn.TEXTBEFORE(_xlpm.authors,"&amp;"))-LEN(SUBSTITUTE(_xlfn.TEXTBEFORE(_xlpm.authors,"&amp;"),",","")),0),
IF(NOT(_xlpm.hasAmp),"",IF(_xlpm.commasBeforeAmp&gt;2,"etal",TRIM(_xlfn.TEXTBEFORE(_xlfn.TEXTAFTER(_xlpm.authors,"&amp; "),","))))
)</f>
        <v>etal</v>
      </c>
      <c r="I150" s="1" t="str">
        <f aca="false">_xlfn.TEXTBEFORE(_xlfn.TEXTAFTER(A150, "("), ")")</f>
        <v>2014</v>
      </c>
      <c r="J150" s="1" t="str">
        <f aca="false">_xlfn.LET(
_xlpm.doi,IF(C150&lt;&gt;"",C150,_xlfn.TEXTAFTER(A150,"https://doi.org/")),
SUBSTITUTE(
SUBSTITUTE(
SUBSTITUTE(
SUBSTITUTE(
_xlpm.doi,
"/","%2F"),
":","%3A"),
"&lt;","%3C"),
"&gt;","%3E")
)</f>
        <v>10.1371%2Fjournal.pbio.1002000</v>
      </c>
      <c r="K150" s="1" t="str">
        <f aca="false">TRIM(_xlfn.TEXTJOIN("_",FALSE(),F150,(SUBSTITUTE(SUBSTITUTE(D150," ",""), "_", ""))))</f>
        <v>Lewitus_etal_2014_TableS8</v>
      </c>
      <c r="L150" s="1" t="str">
        <f aca="false">J150 &amp; "_" &amp; SUBSTITUTE(SUBSTITUTE(SUBSTITUTE(D150,CHAR(160),"")," ",""),"_","")</f>
        <v>10.1371%2Fjournal.pbio.1002000_TableS8</v>
      </c>
      <c r="M150" s="1" t="str">
        <f aca="false" t="array" ref="M150:M150">IFERROR(INDEX(FileList!$A$1:$A$1000,MATCH(TRUE(),EXACT(L150,IFERROR(_xlfn.TEXTBEFORE(FileList!$A$1:$A$1000,".tsv"),"")),0)),"notfound")</f>
        <v>notfound</v>
      </c>
      <c r="N150" s="4" t="s">
        <v>619</v>
      </c>
      <c r="Q150" s="4" t="s">
        <v>134</v>
      </c>
      <c r="AI150" s="4" t="s">
        <v>617</v>
      </c>
      <c r="AJ150" s="4" t="s">
        <v>142</v>
      </c>
      <c r="AL150" s="4" t="s">
        <v>143</v>
      </c>
      <c r="AM150" s="4" t="s">
        <v>618</v>
      </c>
    </row>
    <row r="151" customFormat="false" ht="15" hidden="false" customHeight="true" outlineLevel="0" collapsed="false">
      <c r="A151" s="4" t="s">
        <v>620</v>
      </c>
      <c r="D151" s="4" t="s">
        <v>77</v>
      </c>
      <c r="E151" s="1" t="str">
        <f aca="false">RIGHT(A151,1)</f>
        <v>5</v>
      </c>
      <c r="F151" s="1" t="str">
        <f aca="false">G151 &amp; IF(H151&lt;&gt;"", "_" &amp; H151, "_") &amp; IF(I151&lt;&gt;"", "_" &amp; I151, "_") &amp; IF(B151&lt;&gt;"", "_" &amp; B151, "")</f>
        <v>MacLarnon__1996</v>
      </c>
      <c r="G151" s="1" t="str">
        <f aca="false">SUBSTITUTE(SUBSTITUTE(_xlfn.TEXTBEFORE(A151,","), "-", ""), " ", "")</f>
        <v>MacLarnon</v>
      </c>
      <c r="H151" s="1" t="str">
        <f aca="false">_xlfn.LET(
_xlpm.authors,_xlfn.TEXTBEFORE(A151," ("&amp;I151&amp;")"),
_xlpm.hasAmp,ISNUMBER(SEARCH("&amp;",_xlpm.authors)),
_xlpm.commasBeforeAmp,IF(_xlpm.hasAmp,LEN(_xlfn.TEXTBEFORE(_xlpm.authors,"&amp;"))-LEN(SUBSTITUTE(_xlfn.TEXTBEFORE(_xlpm.authors,"&amp;"),",","")),0),
IF(NOT(_xlpm.hasAmp),"",IF(_xlpm.commasBeforeAmp&gt;2,"etal",TRIM(_xlfn.TEXTBEFORE(_xlfn.TEXTAFTER(_xlpm.authors,"&amp; "),","))))
)</f>
        <v/>
      </c>
      <c r="I151" s="1" t="str">
        <f aca="false">_xlfn.TEXTBEFORE(_xlfn.TEXTAFTER(A151, "("), ")")</f>
        <v>1996</v>
      </c>
      <c r="J151" s="1" t="str">
        <f aca="false">_xlfn.LET(
_xlpm.doi,IF(C151&lt;&gt;"",C151,_xlfn.TEXTAFTER(A151,"https://doi.org/")),
SUBSTITUTE(
SUBSTITUTE(
SUBSTITUTE(
SUBSTITUTE(
_xlpm.doi,
"/","%2F"),
":","%3A"),
"&lt;","%3C"),
"&gt;","%3E")
)</f>
        <v>10.1006%2Fjhev.1996.0005</v>
      </c>
      <c r="K151" s="1" t="str">
        <f aca="false">TRIM(_xlfn.TEXTJOIN("_",FALSE(),F151,(SUBSTITUTE(SUBSTITUTE(D151," ",""), "_", ""))))</f>
        <v>MacLarnon__1996_Table1</v>
      </c>
      <c r="L151" s="1" t="str">
        <f aca="false">J151 &amp; "_" &amp; SUBSTITUTE(SUBSTITUTE(SUBSTITUTE(D151,CHAR(160),"")," ",""),"_","")</f>
        <v>10.1006%2Fjhev.1996.0005_Table1</v>
      </c>
      <c r="M151" s="1" t="str">
        <f aca="false" t="array" ref="M151:M151">IFERROR(INDEX(FileList!$A$1:$A$1000,MATCH(TRUE(),EXACT(L151,IFERROR(_xlfn.TEXTBEFORE(FileList!$A$1:$A$1000,".tsv"),"")),0)),"notfound")</f>
        <v>notfound</v>
      </c>
      <c r="N151" s="4" t="s">
        <v>621</v>
      </c>
      <c r="P151" s="4" t="s">
        <v>41</v>
      </c>
      <c r="AI151" s="4" t="s">
        <v>622</v>
      </c>
      <c r="AJ151" s="4" t="s">
        <v>120</v>
      </c>
      <c r="AL151" s="4" t="s">
        <v>63</v>
      </c>
      <c r="AM151" s="4" t="s">
        <v>623</v>
      </c>
    </row>
    <row r="152" customFormat="false" ht="15" hidden="false" customHeight="true" outlineLevel="0" collapsed="false">
      <c r="A152" s="4" t="s">
        <v>624</v>
      </c>
      <c r="C152" s="1" t="s">
        <v>625</v>
      </c>
      <c r="D152" s="4" t="s">
        <v>626</v>
      </c>
      <c r="E152" s="1" t="str">
        <f aca="false">RIGHT(A152,1)</f>
        <v>.</v>
      </c>
      <c r="F152" s="1" t="str">
        <f aca="false">G152 &amp; IF(H152&lt;&gt;"", "_" &amp; H152, "_") &amp; IF(I152&lt;&gt;"", "_" &amp; I152, "_") &amp; IF(B152&lt;&gt;"", "_" &amp; B152, "")</f>
        <v>MacLeod__2000</v>
      </c>
      <c r="G152" s="1" t="str">
        <f aca="false">SUBSTITUTE(SUBSTITUTE(_xlfn.TEXTBEFORE(A152,","), "-", ""), " ", "")</f>
        <v>MacLeod</v>
      </c>
      <c r="H152" s="1" t="str">
        <f aca="false">_xlfn.LET(
_xlpm.authors,_xlfn.TEXTBEFORE(A152," ("&amp;I152&amp;")"),
_xlpm.hasAmp,ISNUMBER(SEARCH("&amp;",_xlpm.authors)),
_xlpm.commasBeforeAmp,IF(_xlpm.hasAmp,LEN(_xlfn.TEXTBEFORE(_xlpm.authors,"&amp;"))-LEN(SUBSTITUTE(_xlfn.TEXTBEFORE(_xlpm.authors,"&amp;"),",","")),0),
IF(NOT(_xlpm.hasAmp),"",IF(_xlpm.commasBeforeAmp&gt;2,"etal",TRIM(_xlfn.TEXTBEFORE(_xlfn.TEXTAFTER(_xlpm.authors,"&amp; "),","))))
)</f>
        <v/>
      </c>
      <c r="I152" s="1" t="str">
        <f aca="false">_xlfn.TEXTBEFORE(_xlfn.TEXTAFTER(A152, "("), ")")</f>
        <v>2000</v>
      </c>
      <c r="J152" s="1" t="str">
        <f aca="false">_xlfn.LET(
_xlpm.doi,IF(C152&lt;&gt;"",C152,_xlfn.TEXTAFTER(A152,"https://doi.org/")),
SUBSTITUTE(
SUBSTITUTE(
SUBSTITUTE(
SUBSTITUTE(
_xlpm.doi,
"/","%2F"),
":","%3A"),
"&lt;","%3C"),
"&gt;","%3E")
)</f>
        <v>NQ%3A61662</v>
      </c>
      <c r="K152" s="1" t="str">
        <f aca="false">TRIM(_xlfn.TEXTJOIN("_",FALSE(),F152,(SUBSTITUTE(SUBSTITUTE(D152," ",""), "_", ""))))</f>
        <v>MacLeod__2000_APPENDIXI</v>
      </c>
      <c r="L152" s="1" t="str">
        <f aca="false">J152 &amp; "_" &amp; SUBSTITUTE(SUBSTITUTE(SUBSTITUTE(D152,CHAR(160),"")," ",""),"_","")</f>
        <v>NQ%3A61662_APPENDIXI</v>
      </c>
      <c r="M152" s="1" t="str">
        <f aca="false" t="array" ref="M152:M152">IFERROR(INDEX(FileList!$A$1:$A$1000,MATCH(TRUE(),EXACT(L152,IFERROR(_xlfn.TEXTBEFORE(FileList!$A$1:$A$1000,".tsv"),"")),0)),"notfound")</f>
        <v>notfound</v>
      </c>
      <c r="N152" s="4" t="s">
        <v>627</v>
      </c>
    </row>
    <row r="153" customFormat="false" ht="15" hidden="false" customHeight="true" outlineLevel="0" collapsed="false">
      <c r="A153" s="4" t="s">
        <v>628</v>
      </c>
      <c r="D153" s="4" t="s">
        <v>77</v>
      </c>
      <c r="E153" s="1" t="str">
        <f aca="false">RIGHT(A153,1)</f>
        <v>9</v>
      </c>
      <c r="F153" s="1" t="str">
        <f aca="false">G153 &amp; IF(H153&lt;&gt;"", "_" &amp; H153, "_") &amp; IF(I153&lt;&gt;"", "_" &amp; I153, "_") &amp; IF(B153&lt;&gt;"", "_" &amp; B153, "")</f>
        <v>MacLeod_etal_2003</v>
      </c>
      <c r="G153" s="1" t="str">
        <f aca="false">SUBSTITUTE(SUBSTITUTE(_xlfn.TEXTBEFORE(A153,","), "-", ""), " ", "")</f>
        <v>MacLeod</v>
      </c>
      <c r="H153" s="1" t="str">
        <f aca="false">_xlfn.LET(
_xlpm.authors,_xlfn.TEXTBEFORE(A153," ("&amp;I153&amp;")"),
_xlpm.hasAmp,ISNUMBER(SEARCH("&amp;",_xlpm.authors)),
_xlpm.commasBeforeAmp,IF(_xlpm.hasAmp,LEN(_xlfn.TEXTBEFORE(_xlpm.authors,"&amp;"))-LEN(SUBSTITUTE(_xlfn.TEXTBEFORE(_xlpm.authors,"&amp;"),",","")),0),
IF(NOT(_xlpm.hasAmp),"",IF(_xlpm.commasBeforeAmp&gt;2,"etal",TRIM(_xlfn.TEXTBEFORE(_xlfn.TEXTAFTER(_xlpm.authors,"&amp; "),","))))
)</f>
        <v>etal</v>
      </c>
      <c r="I153" s="1" t="str">
        <f aca="false">_xlfn.TEXTBEFORE(_xlfn.TEXTAFTER(A153, "("), ")")</f>
        <v>2003</v>
      </c>
      <c r="J153" s="1" t="str">
        <f aca="false">_xlfn.LET(
_xlpm.doi,IF(C153&lt;&gt;"",C153,_xlfn.TEXTAFTER(A153,"https://doi.org/")),
SUBSTITUTE(
SUBSTITUTE(
SUBSTITUTE(
SUBSTITUTE(
_xlpm.doi,
"/","%2F"),
":","%3A"),
"&lt;","%3C"),
"&gt;","%3E")
)</f>
        <v>10.1016%2Fs0047-2484(03)00028-9</v>
      </c>
      <c r="K153" s="1" t="str">
        <f aca="false">TRIM(_xlfn.TEXTJOIN("_",FALSE(),F153,(SUBSTITUTE(SUBSTITUTE(D153," ",""), "_", ""))))</f>
        <v>MacLeod_etal_2003_Table1</v>
      </c>
      <c r="L153" s="1" t="str">
        <f aca="false">J153 &amp; "_" &amp; SUBSTITUTE(SUBSTITUTE(SUBSTITUTE(D153,CHAR(160),"")," ",""),"_","")</f>
        <v>10.1016%2Fs0047-2484(03)00028-9_Table1</v>
      </c>
      <c r="M153" s="1" t="str">
        <f aca="false" t="array" ref="M153:M153">IFERROR(INDEX(FileList!$A$1:$A$1000,MATCH(TRUE(),EXACT(L153,IFERROR(_xlfn.TEXTBEFORE(FileList!$A$1:$A$1000,".tsv"),"")),0)),"notfound")</f>
        <v>notfound</v>
      </c>
      <c r="N153" s="4" t="s">
        <v>629</v>
      </c>
      <c r="Y153" s="4" t="s">
        <v>630</v>
      </c>
      <c r="Z153" s="4" t="s">
        <v>630</v>
      </c>
      <c r="AF153" s="4" t="s">
        <v>631</v>
      </c>
      <c r="AG153" s="4" t="s">
        <v>114</v>
      </c>
      <c r="AI153" s="4" t="s">
        <v>632</v>
      </c>
      <c r="AJ153" s="4" t="s">
        <v>120</v>
      </c>
      <c r="AK153" s="4" t="s">
        <v>63</v>
      </c>
      <c r="AL153" s="4" t="s">
        <v>63</v>
      </c>
      <c r="AM153" s="4" t="s">
        <v>86</v>
      </c>
    </row>
    <row r="154" customFormat="false" ht="15" hidden="false" customHeight="true" outlineLevel="0" collapsed="false">
      <c r="A154" s="4" t="s">
        <v>628</v>
      </c>
      <c r="D154" s="4" t="s">
        <v>121</v>
      </c>
      <c r="E154" s="1" t="str">
        <f aca="false">RIGHT(A154,1)</f>
        <v>9</v>
      </c>
      <c r="F154" s="1" t="str">
        <f aca="false">G154 &amp; IF(H154&lt;&gt;"", "_" &amp; H154, "_") &amp; IF(I154&lt;&gt;"", "_" &amp; I154, "_") &amp; IF(B154&lt;&gt;"", "_" &amp; B154, "")</f>
        <v>MacLeod_etal_2003</v>
      </c>
      <c r="G154" s="1" t="str">
        <f aca="false">SUBSTITUTE(SUBSTITUTE(_xlfn.TEXTBEFORE(A154,","), "-", ""), " ", "")</f>
        <v>MacLeod</v>
      </c>
      <c r="H154" s="1" t="str">
        <f aca="false">_xlfn.LET(
_xlpm.authors,_xlfn.TEXTBEFORE(A154," ("&amp;I154&amp;")"),
_xlpm.hasAmp,ISNUMBER(SEARCH("&amp;",_xlpm.authors)),
_xlpm.commasBeforeAmp,IF(_xlpm.hasAmp,LEN(_xlfn.TEXTBEFORE(_xlpm.authors,"&amp;"))-LEN(SUBSTITUTE(_xlfn.TEXTBEFORE(_xlpm.authors,"&amp;"),",","")),0),
IF(NOT(_xlpm.hasAmp),"",IF(_xlpm.commasBeforeAmp&gt;2,"etal",TRIM(_xlfn.TEXTBEFORE(_xlfn.TEXTAFTER(_xlpm.authors,"&amp; "),","))))
)</f>
        <v>etal</v>
      </c>
      <c r="I154" s="1" t="str">
        <f aca="false">_xlfn.TEXTBEFORE(_xlfn.TEXTAFTER(A154, "("), ")")</f>
        <v>2003</v>
      </c>
      <c r="J154" s="1" t="str">
        <f aca="false">_xlfn.LET(
_xlpm.doi,IF(C154&lt;&gt;"",C154,_xlfn.TEXTAFTER(A154,"https://doi.org/")),
SUBSTITUTE(
SUBSTITUTE(
SUBSTITUTE(
SUBSTITUTE(
_xlpm.doi,
"/","%2F"),
":","%3A"),
"&lt;","%3C"),
"&gt;","%3E")
)</f>
        <v>10.1016%2Fs0047-2484(03)00028-9</v>
      </c>
      <c r="K154" s="1" t="str">
        <f aca="false">TRIM(_xlfn.TEXTJOIN("_",FALSE(),F154,(SUBSTITUTE(SUBSTITUTE(D154," ",""), "_", ""))))</f>
        <v>MacLeod_etal_2003_Table2</v>
      </c>
      <c r="L154" s="1" t="str">
        <f aca="false">J154 &amp; "_" &amp; SUBSTITUTE(SUBSTITUTE(SUBSTITUTE(D154,CHAR(160),"")," ",""),"_","")</f>
        <v>10.1016%2Fs0047-2484(03)00028-9_Table2</v>
      </c>
      <c r="M154" s="1" t="str">
        <f aca="false" t="array" ref="M154:M154">IFERROR(INDEX(FileList!$A$1:$A$1000,MATCH(TRUE(),EXACT(L154,IFERROR(_xlfn.TEXTBEFORE(FileList!$A$1:$A$1000,".tsv"),"")),0)),"notfound")</f>
        <v>notfound</v>
      </c>
      <c r="N154" s="4" t="s">
        <v>633</v>
      </c>
      <c r="Y154" s="4" t="s">
        <v>235</v>
      </c>
      <c r="Z154" s="4" t="s">
        <v>235</v>
      </c>
      <c r="AF154" s="4" t="s">
        <v>80</v>
      </c>
      <c r="AG154" s="4" t="s">
        <v>114</v>
      </c>
      <c r="AI154" s="4" t="s">
        <v>632</v>
      </c>
      <c r="AJ154" s="4" t="s">
        <v>120</v>
      </c>
      <c r="AK154" s="4" t="s">
        <v>63</v>
      </c>
      <c r="AL154" s="4" t="s">
        <v>63</v>
      </c>
      <c r="AM154" s="4" t="s">
        <v>86</v>
      </c>
    </row>
    <row r="155" customFormat="false" ht="15" hidden="false" customHeight="true" outlineLevel="0" collapsed="false">
      <c r="A155" s="4" t="s">
        <v>634</v>
      </c>
      <c r="D155" s="6" t="s">
        <v>635</v>
      </c>
      <c r="E155" s="1" t="str">
        <f aca="false">RIGHT(A155,1)</f>
        <v>2</v>
      </c>
      <c r="F155" s="1" t="str">
        <f aca="false">G155 &amp; IF(H155&lt;&gt;"", "_" &amp; H155, "_") &amp; IF(I155&lt;&gt;"", "_" &amp; I155, "_") &amp; IF(B155&lt;&gt;"", "_" &amp; B155, "")</f>
        <v>ManyPrimates__2022</v>
      </c>
      <c r="G155" s="1" t="str">
        <f aca="false">SUBSTITUTE(SUBSTITUTE(_xlfn.TEXTBEFORE(A155,","), "-", ""), " ", "")</f>
        <v>ManyPrimates</v>
      </c>
      <c r="H155" s="1" t="str">
        <f aca="false">_xlfn.LET(
_xlpm.authors,_xlfn.TEXTBEFORE(A155," ("&amp;I155&amp;")"),
_xlpm.hasAmp,ISNUMBER(SEARCH("&amp;",_xlpm.authors)),
_xlpm.commasBeforeAmp,IF(_xlpm.hasAmp,LEN(_xlfn.TEXTBEFORE(_xlpm.authors,"&amp;"))-LEN(SUBSTITUTE(_xlfn.TEXTBEFORE(_xlpm.authors,"&amp;"),",","")),0),
IF(NOT(_xlpm.hasAmp),"",IF(_xlpm.commasBeforeAmp&gt;2,"etal",TRIM(_xlfn.TEXTBEFORE(_xlfn.TEXTAFTER(_xlpm.authors,"&amp; "),","))))
)</f>
        <v/>
      </c>
      <c r="I155" s="1" t="str">
        <f aca="false">_xlfn.TEXTBEFORE(_xlfn.TEXTAFTER(A155, "("), ")")</f>
        <v>2022</v>
      </c>
      <c r="J155" s="1" t="str">
        <f aca="false">_xlfn.LET(
_xlpm.doi,IF(C155&lt;&gt;"",C155,_xlfn.TEXTAFTER(A155,"https://doi.org/")),
SUBSTITUTE(
SUBSTITUTE(
SUBSTITUTE(
SUBSTITUTE(
_xlpm.doi,
"/","%2F"),
":","%3A"),
"&lt;","%3C"),
"&gt;","%3E")
)</f>
        <v>10.26451%2Fabc.09.04.06.2022</v>
      </c>
      <c r="K155" s="1" t="str">
        <f aca="false">TRIM(_xlfn.TEXTJOIN("_",FALSE(),F155,(SUBSTITUTE(SUBSTITUTE(D155," ",""), "_", ""))))</f>
        <v>ManyPrimates__2022_speciespredictors</v>
      </c>
      <c r="L155" s="1" t="str">
        <f aca="false">J155 &amp; "_" &amp; SUBSTITUTE(SUBSTITUTE(SUBSTITUTE(D155,CHAR(160),"")," ",""),"_","")</f>
        <v>10.26451%2Fabc.09.04.06.2022_speciespredictors</v>
      </c>
      <c r="M155" s="1" t="str">
        <f aca="false" t="array" ref="M155:M155">IFERROR(INDEX(FileList!$A$1:$A$1000,MATCH(TRUE(),EXACT(L155,IFERROR(_xlfn.TEXTBEFORE(FileList!$A$1:$A$1000,".tsv"),"")),0)),"notfound")</f>
        <v>notfound</v>
      </c>
      <c r="P155" s="4" t="s">
        <v>41</v>
      </c>
      <c r="Q155" s="4" t="s">
        <v>204</v>
      </c>
      <c r="T155" s="4" t="str">
        <f aca="false">IF(S155="N", R155, "write file name")</f>
        <v>write file name</v>
      </c>
      <c r="U155" s="4" t="s">
        <v>185</v>
      </c>
      <c r="V155" s="4" t="s">
        <v>42</v>
      </c>
      <c r="W155" s="4" t="s">
        <v>186</v>
      </c>
      <c r="X155" s="4" t="s">
        <v>636</v>
      </c>
      <c r="AA155" s="4" t="s">
        <v>637</v>
      </c>
      <c r="AH155" s="4" t="s">
        <v>179</v>
      </c>
      <c r="AI155" s="4" t="s">
        <v>638</v>
      </c>
      <c r="AJ155" s="4" t="s">
        <v>120</v>
      </c>
      <c r="AK155" s="4" t="s">
        <v>143</v>
      </c>
      <c r="AL155" s="4" t="s">
        <v>63</v>
      </c>
      <c r="AM155" s="4" t="s">
        <v>639</v>
      </c>
    </row>
    <row r="156" customFormat="false" ht="15" hidden="false" customHeight="true" outlineLevel="0" collapsed="false">
      <c r="A156" s="4" t="s">
        <v>640</v>
      </c>
      <c r="B156" s="7"/>
      <c r="D156" s="4" t="s">
        <v>94</v>
      </c>
      <c r="E156" s="1" t="str">
        <f aca="false">RIGHT(A156,1)</f>
        <v>F</v>
      </c>
      <c r="F156" s="1" t="str">
        <f aca="false">G156 &amp; IF(H156&lt;&gt;"", "_" &amp; H156, "_") &amp; IF(I156&lt;&gt;"", "_" &amp; I156, "_") &amp; IF(B156&lt;&gt;"", "_" &amp; B156, "")</f>
        <v>Matano__2001</v>
      </c>
      <c r="G156" s="1" t="str">
        <f aca="false">SUBSTITUTE(SUBSTITUTE(_xlfn.TEXTBEFORE(A156,","), "-", ""), " ", "")</f>
        <v>Matano</v>
      </c>
      <c r="H156" s="1" t="str">
        <f aca="false">_xlfn.LET(
_xlpm.authors,_xlfn.TEXTBEFORE(A156," ("&amp;I156&amp;")"),
_xlpm.hasAmp,ISNUMBER(SEARCH("&amp;",_xlpm.authors)),
_xlpm.commasBeforeAmp,IF(_xlpm.hasAmp,LEN(_xlfn.TEXTBEFORE(_xlpm.authors,"&amp;"))-LEN(SUBSTITUTE(_xlfn.TEXTBEFORE(_xlpm.authors,"&amp;"),",","")),0),
IF(NOT(_xlpm.hasAmp),"",IF(_xlpm.commasBeforeAmp&gt;2,"etal",TRIM(_xlfn.TEXTBEFORE(_xlfn.TEXTAFTER(_xlpm.authors,"&amp; "),","))))
)</f>
        <v/>
      </c>
      <c r="I156" s="1" t="str">
        <f aca="false">_xlfn.TEXTBEFORE(_xlfn.TEXTAFTER(A156, "("), ")")</f>
        <v>2001</v>
      </c>
      <c r="J156" s="1" t="str">
        <f aca="false">_xlfn.LET(
_xlpm.doi,IF(C156&lt;&gt;"",C156,_xlfn.TEXTAFTER(A156,"https://doi.org/")),
SUBSTITUTE(
SUBSTITUTE(
SUBSTITUTE(
SUBSTITUTE(
_xlpm.doi,
"/","%2F"),
":","%3A"),
"&lt;","%3C"),
"&gt;","%3E")
)</f>
        <v>10.1002%2F1096-8644(200102)114%3A2%3C163%3A%3AAID-AJPA1016%3E3.0.CO;2-F</v>
      </c>
      <c r="K156" s="1" t="str">
        <f aca="false">TRIM(_xlfn.TEXTJOIN("_",FALSE(),F156,(SUBSTITUTE(SUBSTITUTE(D156," ",""), "_", ""))))</f>
        <v>Matano__2001_TABLE2</v>
      </c>
      <c r="L156" s="1" t="str">
        <f aca="false">J156 &amp; "_" &amp; SUBSTITUTE(SUBSTITUTE(SUBSTITUTE(D156,CHAR(160),"")," ",""),"_","")</f>
        <v>10.1002%2F1096-8644(200102)114%3A2%3C163%3A%3AAID-AJPA1016%3E3.0.CO;2-F_TABLE2</v>
      </c>
      <c r="M156" s="1" t="str">
        <f aca="false" t="array" ref="M156:M156">IFERROR(INDEX(FileList!$A$1:$A$1000,MATCH(TRUE(),EXACT(L156,IFERROR(_xlfn.TEXTBEFORE(FileList!$A$1:$A$1000,".tsv"),"")),0)),"notfound")</f>
        <v>notfound</v>
      </c>
      <c r="N156" s="4" t="s">
        <v>641</v>
      </c>
    </row>
    <row r="157" customFormat="false" ht="15" hidden="false" customHeight="true" outlineLevel="0" collapsed="false">
      <c r="A157" s="4" t="s">
        <v>642</v>
      </c>
      <c r="B157" s="4" t="s">
        <v>166</v>
      </c>
      <c r="D157" s="4" t="s">
        <v>77</v>
      </c>
      <c r="E157" s="1" t="str">
        <f aca="false">RIGHT(A157,1)</f>
        <v>2</v>
      </c>
      <c r="F157" s="1" t="str">
        <f aca="false">G157 &amp; IF(H157&lt;&gt;"", "_" &amp; H157, "_") &amp; IF(I157&lt;&gt;"", "_" &amp; I157, "_") &amp; IF(B157&lt;&gt;"", "_" &amp; B157, "")</f>
        <v>Matano_etal_1985_a</v>
      </c>
      <c r="G157" s="1" t="str">
        <f aca="false">SUBSTITUTE(SUBSTITUTE(_xlfn.TEXTBEFORE(A157,","), "-", ""), " ", "")</f>
        <v>Matano</v>
      </c>
      <c r="H157" s="1" t="str">
        <f aca="false">_xlfn.LET(
_xlpm.authors,_xlfn.TEXTBEFORE(A157," ("&amp;I157&amp;")"),
_xlpm.hasAmp,ISNUMBER(SEARCH("&amp;",_xlpm.authors)),
_xlpm.commasBeforeAmp,IF(_xlpm.hasAmp,LEN(_xlfn.TEXTBEFORE(_xlpm.authors,"&amp;"))-LEN(SUBSTITUTE(_xlfn.TEXTBEFORE(_xlpm.authors,"&amp;"),",","")),0),
IF(NOT(_xlpm.hasAmp),"",IF(_xlpm.commasBeforeAmp&gt;2,"etal",TRIM(_xlfn.TEXTBEFORE(_xlfn.TEXTAFTER(_xlpm.authors,"&amp; "),","))))
)</f>
        <v>etal</v>
      </c>
      <c r="I157" s="1" t="str">
        <f aca="false">_xlfn.TEXTBEFORE(_xlfn.TEXTAFTER(A157, "("), ")")</f>
        <v>1985</v>
      </c>
      <c r="J157" s="1" t="str">
        <f aca="false">_xlfn.LET(
_xlpm.doi,IF(C157&lt;&gt;"",C157,_xlfn.TEXTAFTER(A157,"https://doi.org/")),
SUBSTITUTE(
SUBSTITUTE(
SUBSTITUTE(
SUBSTITUTE(
_xlpm.doi,
"/","%2F"),
":","%3A"),
"&lt;","%3C"),
"&gt;","%3E")
)</f>
        <v>10.1159%2F000156212</v>
      </c>
      <c r="K157" s="1" t="str">
        <f aca="false">TRIM(_xlfn.TEXTJOIN("_",FALSE(),F157,(SUBSTITUTE(SUBSTITUTE(D157," ",""), "_", ""))))</f>
        <v>Matano_etal_1985_a_Table1</v>
      </c>
      <c r="L157" s="1" t="str">
        <f aca="false">J157 &amp; "_" &amp; SUBSTITUTE(SUBSTITUTE(SUBSTITUTE(D157,CHAR(160),"")," ",""),"_","")</f>
        <v>10.1159%2F000156212_Table1</v>
      </c>
      <c r="M157" s="1" t="str">
        <f aca="false" t="array" ref="M157:M157">IFERROR(INDEX(FileList!$A$1:$A$1000,MATCH(TRUE(),EXACT(L157,IFERROR(_xlfn.TEXTBEFORE(FileList!$A$1:$A$1000,".tsv"),"")),0)),"notfound")</f>
        <v>notfound</v>
      </c>
      <c r="N157" s="4" t="s">
        <v>643</v>
      </c>
      <c r="P157" s="4" t="s">
        <v>41</v>
      </c>
      <c r="V157" s="4" t="s">
        <v>42</v>
      </c>
      <c r="Y157" s="4" t="s">
        <v>101</v>
      </c>
      <c r="Z157" s="4" t="s">
        <v>101</v>
      </c>
      <c r="AF157" s="4" t="s">
        <v>80</v>
      </c>
      <c r="AG157" s="4" t="s">
        <v>114</v>
      </c>
      <c r="AI157" s="4" t="s">
        <v>644</v>
      </c>
      <c r="AJ157" s="4" t="s">
        <v>103</v>
      </c>
      <c r="AK157" s="4" t="s">
        <v>63</v>
      </c>
      <c r="AL157" s="4" t="s">
        <v>63</v>
      </c>
      <c r="AM157" s="4" t="s">
        <v>86</v>
      </c>
    </row>
    <row r="158" customFormat="false" ht="15" hidden="false" customHeight="true" outlineLevel="0" collapsed="false">
      <c r="A158" s="4" t="s">
        <v>645</v>
      </c>
      <c r="B158" s="5" t="s">
        <v>174</v>
      </c>
      <c r="D158" s="4" t="s">
        <v>77</v>
      </c>
      <c r="E158" s="1" t="str">
        <f aca="false">RIGHT(A158,1)</f>
        <v>1</v>
      </c>
      <c r="F158" s="1" t="str">
        <f aca="false">G158 &amp; IF(H158&lt;&gt;"", "_" &amp; H158, "_") &amp; IF(I158&lt;&gt;"", "_" &amp; I158, "_") &amp; IF(B158&lt;&gt;"", "_" &amp; B158, "")</f>
        <v>Matano_etal_1985_b</v>
      </c>
      <c r="G158" s="1" t="str">
        <f aca="false">SUBSTITUTE(SUBSTITUTE(_xlfn.TEXTBEFORE(A158,","), "-", ""), " ", "")</f>
        <v>Matano</v>
      </c>
      <c r="H158" s="1" t="str">
        <f aca="false">_xlfn.LET(
_xlpm.authors,_xlfn.TEXTBEFORE(A158," ("&amp;I158&amp;")"),
_xlpm.hasAmp,ISNUMBER(SEARCH("&amp;",_xlpm.authors)),
_xlpm.commasBeforeAmp,IF(_xlpm.hasAmp,LEN(_xlfn.TEXTBEFORE(_xlpm.authors,"&amp;"))-LEN(SUBSTITUTE(_xlfn.TEXTBEFORE(_xlpm.authors,"&amp;"),",","")),0),
IF(NOT(_xlpm.hasAmp),"",IF(_xlpm.commasBeforeAmp&gt;2,"etal",TRIM(_xlfn.TEXTBEFORE(_xlfn.TEXTAFTER(_xlpm.authors,"&amp; "),","))))
)</f>
        <v>etal</v>
      </c>
      <c r="I158" s="1" t="str">
        <f aca="false">_xlfn.TEXTBEFORE(_xlfn.TEXTAFTER(A158, "("), ")")</f>
        <v>1985</v>
      </c>
      <c r="J158" s="1" t="str">
        <f aca="false">_xlfn.LET(
_xlpm.doi,IF(C158&lt;&gt;"",C158,_xlfn.TEXTAFTER(A158,"https://doi.org/")),
SUBSTITUTE(
SUBSTITUTE(
SUBSTITUTE(
SUBSTITUTE(
_xlpm.doi,
"/","%2F"),
":","%3A"),
"&lt;","%3C"),
"&gt;","%3E")
)</f>
        <v>10.1159%2F000156211</v>
      </c>
      <c r="K158" s="1" t="str">
        <f aca="false">TRIM(_xlfn.TEXTJOIN("_",FALSE(),F158,(SUBSTITUTE(SUBSTITUTE(D158," ",""), "_", ""))))</f>
        <v>Matano_etal_1985_b_Table1</v>
      </c>
      <c r="L158" s="1" t="str">
        <f aca="false">J158 &amp; "_" &amp; SUBSTITUTE(SUBSTITUTE(SUBSTITUTE(D158,CHAR(160),"")," ",""),"_","")</f>
        <v>10.1159%2F000156211_Table1</v>
      </c>
      <c r="M158" s="1" t="str">
        <f aca="false" t="array" ref="M158:M158">IFERROR(INDEX(FileList!$A$1:$A$1000,MATCH(TRUE(),EXACT(L158,IFERROR(_xlfn.TEXTBEFORE(FileList!$A$1:$A$1000,".tsv"),"")),0)),"notfound")</f>
        <v>notfound</v>
      </c>
      <c r="P158" s="4" t="s">
        <v>41</v>
      </c>
      <c r="Y158" s="4" t="s">
        <v>101</v>
      </c>
      <c r="Z158" s="4" t="s">
        <v>101</v>
      </c>
      <c r="AF158" s="4" t="s">
        <v>80</v>
      </c>
    </row>
    <row r="159" customFormat="false" ht="15" hidden="false" customHeight="true" outlineLevel="0" collapsed="false">
      <c r="A159" s="4" t="s">
        <v>646</v>
      </c>
      <c r="D159" s="4" t="s">
        <v>200</v>
      </c>
      <c r="E159" s="1" t="str">
        <f aca="false">RIGHT(A159,1)</f>
        <v>1</v>
      </c>
      <c r="F159" s="1" t="str">
        <f aca="false">G159 &amp; IF(H159&lt;&gt;"", "_" &amp; H159, "_") &amp; IF(I159&lt;&gt;"", "_" &amp; I159, "_") &amp; IF(B159&lt;&gt;"", "_" &amp; B159, "")</f>
        <v>Mota_Herculano-Houzel_2015</v>
      </c>
      <c r="G159" s="1" t="str">
        <f aca="false">SUBSTITUTE(SUBSTITUTE(_xlfn.TEXTBEFORE(A159,","), "-", ""), " ", "")</f>
        <v>Mota</v>
      </c>
      <c r="H159" s="1" t="str">
        <f aca="false">_xlfn.LET(
_xlpm.authors,_xlfn.TEXTBEFORE(A159," ("&amp;I159&amp;")"),
_xlpm.hasAmp,ISNUMBER(SEARCH("&amp;",_xlpm.authors)),
_xlpm.commasBeforeAmp,IF(_xlpm.hasAmp,LEN(_xlfn.TEXTBEFORE(_xlpm.authors,"&amp;"))-LEN(SUBSTITUTE(_xlfn.TEXTBEFORE(_xlpm.authors,"&amp;"),",","")),0),
IF(NOT(_xlpm.hasAmp),"",IF(_xlpm.commasBeforeAmp&gt;2,"etal",TRIM(_xlfn.TEXTBEFORE(_xlfn.TEXTAFTER(_xlpm.authors,"&amp; "),","))))
)</f>
        <v>Herculano-Houzel</v>
      </c>
      <c r="I159" s="1" t="str">
        <f aca="false">_xlfn.TEXTBEFORE(_xlfn.TEXTAFTER(A159, "("), ")")</f>
        <v>2015</v>
      </c>
      <c r="J159" s="1" t="str">
        <f aca="false">_xlfn.LET(
_xlpm.doi,IF(C159&lt;&gt;"",C159,_xlfn.TEXTAFTER(A159,"https://doi.org/")),
SUBSTITUTE(
SUBSTITUTE(
SUBSTITUTE(
SUBSTITUTE(
_xlpm.doi,
"/","%2F"),
":","%3A"),
"&lt;","%3C"),
"&gt;","%3E")
)</f>
        <v>10.1126%2Fscience.aaa9101</v>
      </c>
      <c r="K159" s="1" t="str">
        <f aca="false">TRIM(_xlfn.TEXTJOIN("_",FALSE(),F159,(SUBSTITUTE(SUBSTITUTE(D159," ",""), "_", ""))))</f>
        <v>Mota_Herculano-Houzel_2015_TableS1</v>
      </c>
      <c r="L159" s="1" t="str">
        <f aca="false">J159 &amp; "_" &amp; SUBSTITUTE(SUBSTITUTE(SUBSTITUTE(D159,CHAR(160),"")," ",""),"_","")</f>
        <v>10.1126%2Fscience.aaa9101_TableS1</v>
      </c>
      <c r="M159" s="1" t="str">
        <f aca="false" t="array" ref="M159:M159">IFERROR(INDEX(FileList!$A$1:$A$1000,MATCH(TRUE(),EXACT(L159,IFERROR(_xlfn.TEXTBEFORE(FileList!$A$1:$A$1000,".tsv"),"")),0)),"notfound")</f>
        <v>notfound</v>
      </c>
      <c r="Q159" s="4" t="s">
        <v>134</v>
      </c>
      <c r="AI159" s="4" t="s">
        <v>647</v>
      </c>
      <c r="AJ159" s="4" t="s">
        <v>142</v>
      </c>
      <c r="AL159" s="4" t="s">
        <v>364</v>
      </c>
      <c r="AM159" s="4" t="s">
        <v>647</v>
      </c>
    </row>
    <row r="160" customFormat="false" ht="15" hidden="false" customHeight="true" outlineLevel="0" collapsed="false">
      <c r="A160" s="4" t="s">
        <v>648</v>
      </c>
      <c r="D160" s="4" t="s">
        <v>649</v>
      </c>
      <c r="E160" s="1" t="str">
        <f aca="false">RIGHT(A160,1)</f>
        <v>6</v>
      </c>
      <c r="F160" s="1" t="str">
        <f aca="false">G160 &amp; IF(H160&lt;&gt;"", "_" &amp; H160, "_") &amp; IF(I160&lt;&gt;"", "_" &amp; I160, "_") &amp; IF(B160&lt;&gt;"", "_" &amp; B160, "")</f>
        <v>Mota_etal_2019</v>
      </c>
      <c r="G160" s="1" t="str">
        <f aca="false">SUBSTITUTE(SUBSTITUTE(_xlfn.TEXTBEFORE(A160,","), "-", ""), " ", "")</f>
        <v>Mota</v>
      </c>
      <c r="H160" s="1" t="str">
        <f aca="false">_xlfn.LET(
_xlpm.authors,_xlfn.TEXTBEFORE(A160," ("&amp;I160&amp;")"),
_xlpm.hasAmp,ISNUMBER(SEARCH("&amp;",_xlpm.authors)),
_xlpm.commasBeforeAmp,IF(_xlpm.hasAmp,LEN(_xlfn.TEXTBEFORE(_xlpm.authors,"&amp;"))-LEN(SUBSTITUTE(_xlfn.TEXTBEFORE(_xlpm.authors,"&amp;"),",","")),0),
IF(NOT(_xlpm.hasAmp),"",IF(_xlpm.commasBeforeAmp&gt;2,"etal",TRIM(_xlfn.TEXTBEFORE(_xlfn.TEXTAFTER(_xlpm.authors,"&amp; "),","))))
)</f>
        <v>etal</v>
      </c>
      <c r="I160" s="1" t="str">
        <f aca="false">_xlfn.TEXTBEFORE(_xlfn.TEXTAFTER(A160, "("), ")")</f>
        <v>2019</v>
      </c>
      <c r="J160" s="1" t="str">
        <f aca="false">_xlfn.LET(
_xlpm.doi,IF(C160&lt;&gt;"",C160,_xlfn.TEXTAFTER(A160,"https://doi.org/")),
SUBSTITUTE(
SUBSTITUTE(
SUBSTITUTE(
SUBSTITUTE(
_xlpm.doi,
"/","%2F"),
":","%3A"),
"&lt;","%3C"),
"&gt;","%3E")
)</f>
        <v>10.1073%2Fpnas.1716956116</v>
      </c>
      <c r="K160" s="1" t="str">
        <f aca="false">TRIM(_xlfn.TEXTJOIN("_",FALSE(),F160,(SUBSTITUTE(SUBSTITUTE(D160," ",""), "_", ""))))</f>
        <v>Mota_etal_2019_SupplementaryTableS1</v>
      </c>
      <c r="L160" s="1" t="str">
        <f aca="false">J160 &amp; "_" &amp; SUBSTITUTE(SUBSTITUTE(SUBSTITUTE(D160,CHAR(160),"")," ",""),"_","")</f>
        <v>10.1073%2Fpnas.1716956116_SupplementaryTableS1</v>
      </c>
      <c r="M160" s="1" t="str">
        <f aca="false" t="array" ref="M160:M160">IFERROR(INDEX(FileList!$A$1:$A$1000,MATCH(TRUE(),EXACT(L160,IFERROR(_xlfn.TEXTBEFORE(FileList!$A$1:$A$1000,".tsv"),"")),0)),"notfound")</f>
        <v>notfound</v>
      </c>
      <c r="N160" s="4" t="s">
        <v>650</v>
      </c>
      <c r="P160" s="4" t="s">
        <v>337</v>
      </c>
      <c r="AA160" s="4" t="s">
        <v>651</v>
      </c>
      <c r="AI160" s="4" t="s">
        <v>652</v>
      </c>
      <c r="AJ160" s="4" t="s">
        <v>142</v>
      </c>
      <c r="AL160" s="4" t="s">
        <v>364</v>
      </c>
      <c r="AM160" s="4" t="s">
        <v>653</v>
      </c>
    </row>
    <row r="161" customFormat="false" ht="15" hidden="false" customHeight="true" outlineLevel="0" collapsed="false">
      <c r="A161" s="4" t="s">
        <v>654</v>
      </c>
      <c r="C161" s="4" t="s">
        <v>655</v>
      </c>
      <c r="D161" s="4" t="s">
        <v>656</v>
      </c>
      <c r="E161" s="1" t="str">
        <f aca="false">RIGHT(A161,1)</f>
        <v>5</v>
      </c>
      <c r="F161" s="1" t="str">
        <f aca="false">G161 &amp; IF(H161&lt;&gt;"", "_" &amp; H161, "_") &amp; IF(I161&lt;&gt;"", "_" &amp; I161, "_") &amp; IF(B161&lt;&gt;"", "_" &amp; B161, "")</f>
        <v>Powell_etal_2017</v>
      </c>
      <c r="G161" s="1" t="str">
        <f aca="false">SUBSTITUTE(SUBSTITUTE(_xlfn.TEXTBEFORE(A161,","), "-", ""), " ", "")</f>
        <v>Powell</v>
      </c>
      <c r="H161" s="1" t="str">
        <f aca="false">_xlfn.LET(
_xlpm.authors,_xlfn.TEXTBEFORE(A161," ("&amp;I161&amp;")"),
_xlpm.hasAmp,ISNUMBER(SEARCH("&amp;",_xlpm.authors)),
_xlpm.commasBeforeAmp,IF(_xlpm.hasAmp,LEN(_xlfn.TEXTBEFORE(_xlpm.authors,"&amp;"))-LEN(SUBSTITUTE(_xlfn.TEXTBEFORE(_xlpm.authors,"&amp;"),",","")),0),
IF(NOT(_xlpm.hasAmp),"",IF(_xlpm.commasBeforeAmp&gt;2,"etal",TRIM(_xlfn.TEXTBEFORE(_xlfn.TEXTAFTER(_xlpm.authors,"&amp; "),","))))
)</f>
        <v>etal</v>
      </c>
      <c r="I161" s="1" t="str">
        <f aca="false">_xlfn.TEXTBEFORE(_xlfn.TEXTAFTER(A161, "("), ")")</f>
        <v>2017</v>
      </c>
      <c r="J161" s="1" t="str">
        <f aca="false">_xlfn.LET(
_xlpm.doi,IF(C161&lt;&gt;"",C161,_xlfn.TEXTAFTER(A161,"https://doi.org/")),
SUBSTITUTE(
SUBSTITUTE(
SUBSTITUTE(
SUBSTITUTE(
_xlpm.doi,
"/","%2F"),
":","%3A"),
"&lt;","%3C"),
"&gt;","%3E")
)</f>
        <v>10.6084%2Fm9.figshare.c.3899422.v1</v>
      </c>
      <c r="K161" s="1" t="str">
        <f aca="false">TRIM(_xlfn.TEXTJOIN("_",FALSE(),F161,(SUBSTITUTE(SUBSTITUTE(D161," ",""), "_", ""))))</f>
        <v>Powell_etal_2017_Dataset1</v>
      </c>
      <c r="L161" s="1" t="str">
        <f aca="false">J161 &amp; "_" &amp; SUBSTITUTE(SUBSTITUTE(SUBSTITUTE(D161,CHAR(160),"")," ",""),"_","")</f>
        <v>10.6084%2Fm9.figshare.c.3899422.v1_Dataset1</v>
      </c>
      <c r="M161" s="1" t="str">
        <f aca="false" t="array" ref="M161:M161">IFERROR(INDEX(FileList!$A$1:$A$1000,MATCH(TRUE(),EXACT(L161,IFERROR(_xlfn.TEXTBEFORE(FileList!$A$1:$A$1000,".tsv"),"")),0)),"notfound")</f>
        <v>notfound</v>
      </c>
      <c r="P161" s="4" t="s">
        <v>337</v>
      </c>
      <c r="Q161" s="4" t="s">
        <v>204</v>
      </c>
      <c r="T161" s="4" t="str">
        <f aca="false">IF(S161="N", R161, "write file name")</f>
        <v>write file name</v>
      </c>
      <c r="U161" s="4" t="s">
        <v>185</v>
      </c>
      <c r="V161" s="4" t="s">
        <v>42</v>
      </c>
      <c r="W161" s="4" t="s">
        <v>186</v>
      </c>
      <c r="X161" s="4" t="s">
        <v>657</v>
      </c>
      <c r="AA161" s="4" t="s">
        <v>141</v>
      </c>
      <c r="AH161" s="4" t="s">
        <v>179</v>
      </c>
      <c r="AI161" s="4" t="s">
        <v>658</v>
      </c>
      <c r="AJ161" s="4" t="s">
        <v>120</v>
      </c>
      <c r="AK161" s="4" t="s">
        <v>143</v>
      </c>
      <c r="AL161" s="4" t="s">
        <v>143</v>
      </c>
      <c r="AM161" s="4" t="s">
        <v>658</v>
      </c>
    </row>
    <row r="162" customFormat="false" ht="15" hidden="false" customHeight="true" outlineLevel="0" collapsed="false">
      <c r="A162" s="4" t="s">
        <v>659</v>
      </c>
      <c r="D162" s="4" t="s">
        <v>77</v>
      </c>
      <c r="E162" s="1" t="str">
        <f aca="false">RIGHT(A162,1)</f>
        <v>5</v>
      </c>
      <c r="F162" s="1" t="str">
        <f aca="false">G162 &amp; IF(H162&lt;&gt;"", "_" &amp; H162, "_") &amp; IF(I162&lt;&gt;"", "_" &amp; I162, "_") &amp; IF(B162&lt;&gt;"", "_" &amp; B162, "")</f>
        <v>Rilling_Insel_1998</v>
      </c>
      <c r="G162" s="1" t="str">
        <f aca="false">SUBSTITUTE(SUBSTITUTE(_xlfn.TEXTBEFORE(A162,","), "-", ""), " ", "")</f>
        <v>Rilling</v>
      </c>
      <c r="H162" s="1" t="str">
        <f aca="false">_xlfn.LET(
_xlpm.authors,_xlfn.TEXTBEFORE(A162," ("&amp;I162&amp;")"),
_xlpm.hasAmp,ISNUMBER(SEARCH("&amp;",_xlpm.authors)),
_xlpm.commasBeforeAmp,IF(_xlpm.hasAmp,LEN(_xlfn.TEXTBEFORE(_xlpm.authors,"&amp;"))-LEN(SUBSTITUTE(_xlfn.TEXTBEFORE(_xlpm.authors,"&amp;"),",","")),0),
IF(NOT(_xlpm.hasAmp),"",IF(_xlpm.commasBeforeAmp&gt;2,"etal",TRIM(_xlfn.TEXTBEFORE(_xlfn.TEXTAFTER(_xlpm.authors,"&amp; "),","))))
)</f>
        <v>Insel</v>
      </c>
      <c r="I162" s="1" t="str">
        <f aca="false">_xlfn.TEXTBEFORE(_xlfn.TEXTAFTER(A162, "("), ")")</f>
        <v>1998</v>
      </c>
      <c r="J162" s="1" t="str">
        <f aca="false">_xlfn.LET(
_xlpm.doi,IF(C162&lt;&gt;"",C162,_xlfn.TEXTAFTER(A162,"https://doi.org/")),
SUBSTITUTE(
SUBSTITUTE(
SUBSTITUTE(
SUBSTITUTE(
_xlpm.doi,
"/","%2F"),
":","%3A"),
"&lt;","%3C"),
"&gt;","%3E")
)</f>
        <v>10.1159%2F000006575</v>
      </c>
      <c r="K162" s="1" t="str">
        <f aca="false">TRIM(_xlfn.TEXTJOIN("_",FALSE(),F162,(SUBSTITUTE(SUBSTITUTE(D162," ",""), "_", ""))))</f>
        <v>Rilling_Insel_1998_Table1</v>
      </c>
      <c r="L162" s="1" t="str">
        <f aca="false">J162 &amp; "_" &amp; SUBSTITUTE(SUBSTITUTE(SUBSTITUTE(D162,CHAR(160),"")," ",""),"_","")</f>
        <v>10.1159%2F000006575_Table1</v>
      </c>
      <c r="M162" s="1" t="str">
        <f aca="false" t="array" ref="M162:M162">IFERROR(INDEX(FileList!$A$1:$A$1000,MATCH(TRUE(),EXACT(L162,IFERROR(_xlfn.TEXTBEFORE(FileList!$A$1:$A$1000,".tsv"),"")),0)),"notfound")</f>
        <v>notfound</v>
      </c>
      <c r="N162" s="4" t="s">
        <v>660</v>
      </c>
      <c r="Y162" s="4" t="s">
        <v>630</v>
      </c>
      <c r="Z162" s="4" t="s">
        <v>630</v>
      </c>
      <c r="AF162" s="4" t="s">
        <v>631</v>
      </c>
      <c r="AG162" s="4" t="s">
        <v>114</v>
      </c>
    </row>
    <row r="163" customFormat="false" ht="15" hidden="false" customHeight="true" outlineLevel="0" collapsed="false">
      <c r="A163" s="4" t="s">
        <v>661</v>
      </c>
      <c r="D163" s="4" t="s">
        <v>77</v>
      </c>
      <c r="E163" s="1" t="str">
        <f aca="false">RIGHT(A163,1)</f>
        <v>3</v>
      </c>
      <c r="F163" s="1" t="str">
        <f aca="false">G163 &amp; IF(H163&lt;&gt;"", "_" &amp; H163, "_") &amp; IF(I163&lt;&gt;"", "_" &amp; I163, "_") &amp; IF(B163&lt;&gt;"", "_" &amp; B163, "")</f>
        <v>Rilling_Insel_1999</v>
      </c>
      <c r="G163" s="1" t="str">
        <f aca="false">SUBSTITUTE(SUBSTITUTE(_xlfn.TEXTBEFORE(A163,","), "-", ""), " ", "")</f>
        <v>Rilling</v>
      </c>
      <c r="H163" s="1" t="str">
        <f aca="false">_xlfn.LET(
_xlpm.authors,_xlfn.TEXTBEFORE(A163," ("&amp;I163&amp;")"),
_xlpm.hasAmp,ISNUMBER(SEARCH("&amp;",_xlpm.authors)),
_xlpm.commasBeforeAmp,IF(_xlpm.hasAmp,LEN(_xlfn.TEXTBEFORE(_xlpm.authors,"&amp;"))-LEN(SUBSTITUTE(_xlfn.TEXTBEFORE(_xlpm.authors,"&amp;"),",","")),0),
IF(NOT(_xlpm.hasAmp),"",IF(_xlpm.commasBeforeAmp&gt;2,"etal",TRIM(_xlfn.TEXTBEFORE(_xlfn.TEXTAFTER(_xlpm.authors,"&amp; "),","))))
)</f>
        <v>Insel</v>
      </c>
      <c r="I163" s="1" t="str">
        <f aca="false">_xlfn.TEXTBEFORE(_xlfn.TEXTAFTER(A163, "("), ")")</f>
        <v>1999</v>
      </c>
      <c r="J163" s="1" t="str">
        <f aca="false">_xlfn.LET(
_xlpm.doi,IF(C163&lt;&gt;"",C163,_xlfn.TEXTAFTER(A163,"https://doi.org/")),
SUBSTITUTE(
SUBSTITUTE(
SUBSTITUTE(
SUBSTITUTE(
_xlpm.doi,
"/","%2F"),
":","%3A"),
"&lt;","%3C"),
"&gt;","%3E")
)</f>
        <v>10.1006%2Fjhev.1999.0313</v>
      </c>
      <c r="K163" s="1" t="str">
        <f aca="false">TRIM(_xlfn.TEXTJOIN("_",FALSE(),F163,(SUBSTITUTE(SUBSTITUTE(D163," ",""), "_", ""))))</f>
        <v>Rilling_Insel_1999_Table1</v>
      </c>
      <c r="L163" s="1" t="str">
        <f aca="false">J163 &amp; "_" &amp; SUBSTITUTE(SUBSTITUTE(SUBSTITUTE(D163,CHAR(160),"")," ",""),"_","")</f>
        <v>10.1006%2Fjhev.1999.0313_Table1</v>
      </c>
      <c r="M163" s="1" t="str">
        <f aca="false" t="array" ref="M163:M163">IFERROR(INDEX(FileList!$A$1:$A$1000,MATCH(TRUE(),EXACT(L163,IFERROR(_xlfn.TEXTBEFORE(FileList!$A$1:$A$1000,".tsv"),"")),0)),"notfound")</f>
        <v>notfound</v>
      </c>
      <c r="N163" s="4" t="s">
        <v>662</v>
      </c>
      <c r="Y163" s="4" t="s">
        <v>630</v>
      </c>
      <c r="Z163" s="4" t="s">
        <v>630</v>
      </c>
    </row>
    <row r="164" customFormat="false" ht="15" hidden="false" customHeight="true" outlineLevel="0" collapsed="false">
      <c r="A164" s="4" t="s">
        <v>663</v>
      </c>
      <c r="D164" s="4" t="s">
        <v>664</v>
      </c>
      <c r="E164" s="1" t="str">
        <f aca="false">RIGHT(A164,1)</f>
        <v>2</v>
      </c>
      <c r="F164" s="1" t="str">
        <f aca="false">G164 &amp; IF(H164&lt;&gt;"", "_" &amp; H164, "_") &amp; IF(I164&lt;&gt;"", "_" &amp; I164, "_") &amp; IF(B164&lt;&gt;"", "_" &amp; B164, "")</f>
        <v>Schniter_Penaherrera-Aguirre_2026</v>
      </c>
      <c r="G164" s="1" t="str">
        <f aca="false">SUBSTITUTE(SUBSTITUTE(_xlfn.TEXTBEFORE(A164,","), "-", ""), " ", "")</f>
        <v>Schniter</v>
      </c>
      <c r="H164" s="1" t="str">
        <f aca="false">_xlfn.LET(
_xlpm.authors,_xlfn.TEXTBEFORE(A164," ("&amp;I164&amp;")"),
_xlpm.hasAmp,ISNUMBER(SEARCH("&amp;",_xlpm.authors)),
_xlpm.commasBeforeAmp,IF(_xlpm.hasAmp,LEN(_xlfn.TEXTBEFORE(_xlpm.authors,"&amp;"))-LEN(SUBSTITUTE(_xlfn.TEXTBEFORE(_xlpm.authors,"&amp;"),",","")),0),
IF(NOT(_xlpm.hasAmp),"",IF(_xlpm.commasBeforeAmp&gt;2,"etal",TRIM(_xlfn.TEXTBEFORE(_xlfn.TEXTAFTER(_xlpm.authors,"&amp; "),","))))
)</f>
        <v>Penaherrera-Aguirre</v>
      </c>
      <c r="I164" s="1" t="str">
        <f aca="false">_xlfn.TEXTBEFORE(_xlfn.TEXTAFTER(A164, "("), ")")</f>
        <v>2026</v>
      </c>
      <c r="J164" s="1" t="str">
        <f aca="false">_xlfn.LET(
_xlpm.doi,IF(C164&lt;&gt;"",C164,_xlfn.TEXTAFTER(A164,"https://doi.org/")),
SUBSTITUTE(
SUBSTITUTE(
SUBSTITUTE(
SUBSTITUTE(
_xlpm.doi,
"/","%2F"),
":","%3A"),
"&lt;","%3C"),
"&gt;","%3E")
)</f>
        <v>10.1007%2Fs10329-026-01271-2</v>
      </c>
      <c r="K164" s="1" t="str">
        <f aca="false">TRIM(_xlfn.TEXTJOIN("_",FALSE(),F164,(SUBSTITUTE(SUBSTITUTE(D164," ",""), "_", ""))))</f>
        <v>Schniter_Penaherrera-Aguirre_2026_data</v>
      </c>
      <c r="L164" s="1" t="str">
        <f aca="false">J164 &amp; "_" &amp; SUBSTITUTE(SUBSTITUTE(SUBSTITUTE(D164,CHAR(160),"")," ",""),"_","")</f>
        <v>10.1007%2Fs10329-026-01271-2_data</v>
      </c>
      <c r="M164" s="1" t="str">
        <f aca="false" t="array" ref="M164:M164">IFERROR(INDEX(FileList!$A$1:$A$1000,MATCH(TRUE(),EXACT(L164,IFERROR(_xlfn.TEXTBEFORE(FileList!$A$1:$A$1000,".tsv"),"")),0)),"notfound")</f>
        <v>notfound</v>
      </c>
      <c r="N164" s="4" t="s">
        <v>664</v>
      </c>
      <c r="P164" s="4" t="s">
        <v>41</v>
      </c>
      <c r="AI164" s="4" t="s">
        <v>665</v>
      </c>
      <c r="AL164" s="4" t="s">
        <v>63</v>
      </c>
      <c r="AM164" s="4" t="s">
        <v>666</v>
      </c>
    </row>
    <row r="165" customFormat="false" ht="15" hidden="false" customHeight="true" outlineLevel="0" collapsed="false">
      <c r="A165" s="4" t="s">
        <v>667</v>
      </c>
      <c r="D165" s="4" t="s">
        <v>121</v>
      </c>
      <c r="E165" s="1" t="str">
        <f aca="false">RIGHT(A165,1)</f>
        <v>1</v>
      </c>
      <c r="F165" s="1" t="str">
        <f aca="false">G165 &amp; IF(H165&lt;&gt;"", "_" &amp; H165, "_") &amp; IF(I165&lt;&gt;"", "_" &amp; I165, "_") &amp; IF(B165&lt;&gt;"", "_" &amp; B165, "")</f>
        <v>Semendeferi_Damasio_2000</v>
      </c>
      <c r="G165" s="1" t="str">
        <f aca="false">SUBSTITUTE(SUBSTITUTE(_xlfn.TEXTBEFORE(A165,","), "-", ""), " ", "")</f>
        <v>Semendeferi</v>
      </c>
      <c r="H165" s="1" t="str">
        <f aca="false">_xlfn.LET(
_xlpm.authors,_xlfn.TEXTBEFORE(A165," ("&amp;I165&amp;")"),
_xlpm.hasAmp,ISNUMBER(SEARCH("&amp;",_xlpm.authors)),
_xlpm.commasBeforeAmp,IF(_xlpm.hasAmp,LEN(_xlfn.TEXTBEFORE(_xlpm.authors,"&amp;"))-LEN(SUBSTITUTE(_xlfn.TEXTBEFORE(_xlpm.authors,"&amp;"),",","")),0),
IF(NOT(_xlpm.hasAmp),"",IF(_xlpm.commasBeforeAmp&gt;2,"etal",TRIM(_xlfn.TEXTBEFORE(_xlfn.TEXTAFTER(_xlpm.authors,"&amp; "),","))))
)</f>
        <v>Damasio</v>
      </c>
      <c r="I165" s="1" t="str">
        <f aca="false">_xlfn.TEXTBEFORE(_xlfn.TEXTAFTER(A165, "("), ")")</f>
        <v>2000</v>
      </c>
      <c r="J165" s="1" t="str">
        <f aca="false">_xlfn.LET(
_xlpm.doi,IF(C165&lt;&gt;"",C165,_xlfn.TEXTAFTER(A165,"https://doi.org/")),
SUBSTITUTE(
SUBSTITUTE(
SUBSTITUTE(
SUBSTITUTE(
_xlpm.doi,
"/","%2F"),
":","%3A"),
"&lt;","%3C"),
"&gt;","%3E")
)</f>
        <v>10.1006%2Fjhev.1999.0381</v>
      </c>
      <c r="K165" s="1" t="str">
        <f aca="false">TRIM(_xlfn.TEXTJOIN("_",FALSE(),F165,(SUBSTITUTE(SUBSTITUTE(D165," ",""), "_", ""))))</f>
        <v>Semendeferi_Damasio_2000_Table2</v>
      </c>
      <c r="L165" s="1" t="str">
        <f aca="false">J165 &amp; "_" &amp; SUBSTITUTE(SUBSTITUTE(SUBSTITUTE(D165,CHAR(160),"")," ",""),"_","")</f>
        <v>10.1006%2Fjhev.1999.0381_Table2</v>
      </c>
      <c r="M165" s="1" t="str">
        <f aca="false" t="array" ref="M165:M165">IFERROR(INDEX(FileList!$A$1:$A$1000,MATCH(TRUE(),EXACT(L165,IFERROR(_xlfn.TEXTBEFORE(FileList!$A$1:$A$1000,".tsv"),"")),0)),"notfound")</f>
        <v>notfound</v>
      </c>
    </row>
    <row r="166" customFormat="false" ht="15" hidden="false" customHeight="true" outlineLevel="0" collapsed="false">
      <c r="A166" s="4" t="s">
        <v>668</v>
      </c>
      <c r="D166" s="4" t="s">
        <v>94</v>
      </c>
      <c r="E166" s="1" t="str">
        <f aca="false">RIGHT(A166,1)</f>
        <v>L</v>
      </c>
      <c r="F166" s="1" t="str">
        <f aca="false">G166 &amp; IF(H166&lt;&gt;"", "_" &amp; H166, "_") &amp; IF(I166&lt;&gt;"", "_" &amp; I166, "_") &amp; IF(B166&lt;&gt;"", "_" &amp; B166, "")</f>
        <v>Semendeferi_etal_1998</v>
      </c>
      <c r="G166" s="1" t="str">
        <f aca="false">SUBSTITUTE(SUBSTITUTE(_xlfn.TEXTBEFORE(A166,","), "-", ""), " ", "")</f>
        <v>Semendeferi</v>
      </c>
      <c r="H166" s="1" t="str">
        <f aca="false">_xlfn.LET(
_xlpm.authors,_xlfn.TEXTBEFORE(A166," ("&amp;I166&amp;")"),
_xlpm.hasAmp,ISNUMBER(SEARCH("&amp;",_xlpm.authors)),
_xlpm.commasBeforeAmp,IF(_xlpm.hasAmp,LEN(_xlfn.TEXTBEFORE(_xlpm.authors,"&amp;"))-LEN(SUBSTITUTE(_xlfn.TEXTBEFORE(_xlpm.authors,"&amp;"),",","")),0),
IF(NOT(_xlpm.hasAmp),"",IF(_xlpm.commasBeforeAmp&gt;2,"etal",TRIM(_xlfn.TEXTBEFORE(_xlfn.TEXTAFTER(_xlpm.authors,"&amp; "),","))))
)</f>
        <v>etal</v>
      </c>
      <c r="I166" s="1" t="str">
        <f aca="false">_xlfn.TEXTBEFORE(_xlfn.TEXTAFTER(A166, "("), ")")</f>
        <v>1998</v>
      </c>
      <c r="J166" s="1" t="str">
        <f aca="false">_xlfn.LET(
_xlpm.doi,IF(C166&lt;&gt;"",C166,_xlfn.TEXTAFTER(A166,"https://doi.org/")),
SUBSTITUTE(
SUBSTITUTE(
SUBSTITUTE(
SUBSTITUTE(
_xlpm.doi,
"/","%2F"),
":","%3A"),
"&lt;","%3C"),
"&gt;","%3E")
)</f>
        <v>10.1002%2F(SICI)1096-8644(199806)106%3A2%3C129%3A%3AAID-AJPA3%3E3.0.CO;2-L</v>
      </c>
      <c r="K166" s="1" t="str">
        <f aca="false">TRIM(_xlfn.TEXTJOIN("_",FALSE(),F166,(SUBSTITUTE(SUBSTITUTE(D166," ",""), "_", ""))))</f>
        <v>Semendeferi_etal_1998_TABLE2</v>
      </c>
      <c r="L166" s="1" t="str">
        <f aca="false">J166 &amp; "_" &amp; SUBSTITUTE(SUBSTITUTE(SUBSTITUTE(D166,CHAR(160),"")," ",""),"_","")</f>
        <v>10.1002%2F(SICI)1096-8644(199806)106%3A2%3C129%3A%3AAID-AJPA3%3E3.0.CO;2-L_TABLE2</v>
      </c>
      <c r="M166" s="1" t="str">
        <f aca="false" t="array" ref="M166:M166">IFERROR(INDEX(FileList!$A$1:$A$1000,MATCH(TRUE(),EXACT(L166,IFERROR(_xlfn.TEXTBEFORE(FileList!$A$1:$A$1000,".tsv"),"")),0)),"notfound")</f>
        <v>notfound</v>
      </c>
      <c r="N166" s="4" t="s">
        <v>669</v>
      </c>
      <c r="P166" s="4" t="s">
        <v>41</v>
      </c>
      <c r="Y166" s="4" t="s">
        <v>79</v>
      </c>
      <c r="AF166" s="4" t="s">
        <v>80</v>
      </c>
      <c r="AG166" s="4" t="s">
        <v>114</v>
      </c>
      <c r="AI166" s="4" t="s">
        <v>670</v>
      </c>
      <c r="AJ166" s="4" t="s">
        <v>85</v>
      </c>
      <c r="AK166" s="4" t="s">
        <v>63</v>
      </c>
      <c r="AL166" s="4" t="s">
        <v>63</v>
      </c>
      <c r="AM166" s="4" t="s">
        <v>86</v>
      </c>
    </row>
    <row r="167" customFormat="false" ht="15" hidden="false" customHeight="true" outlineLevel="0" collapsed="false">
      <c r="A167" s="4" t="s">
        <v>671</v>
      </c>
      <c r="D167" s="4" t="s">
        <v>94</v>
      </c>
      <c r="E167" s="1" t="str">
        <f aca="false">RIGHT(A167,1)</f>
        <v>I</v>
      </c>
      <c r="F167" s="1" t="str">
        <f aca="false">G167 &amp; IF(H167&lt;&gt;"", "_" &amp; H167, "_") &amp; IF(I167&lt;&gt;"", "_" &amp; I167, "_") &amp; IF(B167&lt;&gt;"", "_" &amp; B167, "")</f>
        <v>Semendeferi_etal_2001</v>
      </c>
      <c r="G167" s="1" t="str">
        <f aca="false">SUBSTITUTE(SUBSTITUTE(_xlfn.TEXTBEFORE(A167,","), "-", ""), " ", "")</f>
        <v>Semendeferi</v>
      </c>
      <c r="H167" s="1" t="str">
        <f aca="false">_xlfn.LET(
_xlpm.authors,_xlfn.TEXTBEFORE(A167," ("&amp;I167&amp;")"),
_xlpm.hasAmp,ISNUMBER(SEARCH("&amp;",_xlpm.authors)),
_xlpm.commasBeforeAmp,IF(_xlpm.hasAmp,LEN(_xlfn.TEXTBEFORE(_xlpm.authors,"&amp;"))-LEN(SUBSTITUTE(_xlfn.TEXTBEFORE(_xlpm.authors,"&amp;"),",","")),0),
IF(NOT(_xlpm.hasAmp),"",IF(_xlpm.commasBeforeAmp&gt;2,"etal",TRIM(_xlfn.TEXTBEFORE(_xlfn.TEXTAFTER(_xlpm.authors,"&amp; "),","))))
)</f>
        <v>etal</v>
      </c>
      <c r="I167" s="1" t="str">
        <f aca="false">_xlfn.TEXTBEFORE(_xlfn.TEXTAFTER(A167, "("), ")")</f>
        <v>2001</v>
      </c>
      <c r="J167" s="1" t="str">
        <f aca="false">_xlfn.LET(
_xlpm.doi,IF(C167&lt;&gt;"",C167,_xlfn.TEXTAFTER(A167,"https://doi.org/")),
SUBSTITUTE(
SUBSTITUTE(
SUBSTITUTE(
SUBSTITUTE(
_xlpm.doi,
"/","%2F"),
":","%3A"),
"&lt;","%3C"),
"&gt;","%3E")
)</f>
        <v>10.1002%2F1096-8644(200103)114%3A3%3C224%3A%3AAID-AJPA1022%3E3.0.CO;2-I</v>
      </c>
      <c r="K167" s="1" t="str">
        <f aca="false">TRIM(_xlfn.TEXTJOIN("_",FALSE(),F167,(SUBSTITUTE(SUBSTITUTE(D167," ",""), "_", ""))))</f>
        <v>Semendeferi_etal_2001_TABLE2</v>
      </c>
      <c r="L167" s="1" t="str">
        <f aca="false">J167 &amp; "_" &amp; SUBSTITUTE(SUBSTITUTE(SUBSTITUTE(D167,CHAR(160),"")," ",""),"_","")</f>
        <v>10.1002%2F1096-8644(200103)114%3A3%3C224%3A%3AAID-AJPA1022%3E3.0.CO;2-I_TABLE2</v>
      </c>
      <c r="M167" s="1" t="str">
        <f aca="false" t="array" ref="M167:M167">IFERROR(INDEX(FileList!$A$1:$A$1000,MATCH(TRUE(),EXACT(L167,IFERROR(_xlfn.TEXTBEFORE(FileList!$A$1:$A$1000,".tsv"),"")),0)),"notfound")</f>
        <v>notfound</v>
      </c>
      <c r="N167" s="4" t="s">
        <v>672</v>
      </c>
      <c r="P167" s="4" t="s">
        <v>41</v>
      </c>
      <c r="Y167" s="4" t="s">
        <v>79</v>
      </c>
      <c r="AF167" s="4" t="s">
        <v>80</v>
      </c>
      <c r="AG167" s="4" t="s">
        <v>114</v>
      </c>
      <c r="AI167" s="4" t="s">
        <v>673</v>
      </c>
      <c r="AJ167" s="4" t="s">
        <v>85</v>
      </c>
      <c r="AK167" s="4" t="s">
        <v>63</v>
      </c>
      <c r="AL167" s="4" t="s">
        <v>63</v>
      </c>
      <c r="AM167" s="4" t="s">
        <v>86</v>
      </c>
    </row>
    <row r="168" customFormat="false" ht="15" hidden="false" customHeight="true" outlineLevel="0" collapsed="false">
      <c r="A168" s="4" t="s">
        <v>674</v>
      </c>
      <c r="D168" s="4" t="s">
        <v>77</v>
      </c>
      <c r="E168" s="1" t="str">
        <f aca="false">RIGHT(A168,1)</f>
        <v>4</v>
      </c>
      <c r="F168" s="1" t="str">
        <f aca="false">G168 &amp; IF(H168&lt;&gt;"", "_" &amp; H168, "_") &amp; IF(I168&lt;&gt;"", "_" &amp; I168, "_") &amp; IF(B168&lt;&gt;"", "_" &amp; B168, "")</f>
        <v>Semendeferi_etal_2002</v>
      </c>
      <c r="G168" s="1" t="str">
        <f aca="false">SUBSTITUTE(SUBSTITUTE(_xlfn.TEXTBEFORE(A168,","), "-", ""), " ", "")</f>
        <v>Semendeferi</v>
      </c>
      <c r="H168" s="1" t="str">
        <f aca="false">_xlfn.LET(
_xlpm.authors,_xlfn.TEXTBEFORE(A168," ("&amp;I168&amp;")"),
_xlpm.hasAmp,ISNUMBER(SEARCH("&amp;",_xlpm.authors)),
_xlpm.commasBeforeAmp,IF(_xlpm.hasAmp,LEN(_xlfn.TEXTBEFORE(_xlpm.authors,"&amp;"))-LEN(SUBSTITUTE(_xlfn.TEXTBEFORE(_xlpm.authors,"&amp;"),",","")),0),
IF(NOT(_xlpm.hasAmp),"",IF(_xlpm.commasBeforeAmp&gt;2,"etal",TRIM(_xlfn.TEXTBEFORE(_xlfn.TEXTAFTER(_xlpm.authors,"&amp; "),","))))
)</f>
        <v>etal</v>
      </c>
      <c r="I168" s="1" t="str">
        <f aca="false">_xlfn.TEXTBEFORE(_xlfn.TEXTAFTER(A168, "("), ")")</f>
        <v>2002</v>
      </c>
      <c r="J168" s="1" t="str">
        <f aca="false">_xlfn.LET(
_xlpm.doi,IF(C168&lt;&gt;"",C168,_xlfn.TEXTAFTER(A168,"https://doi.org/")),
SUBSTITUTE(
SUBSTITUTE(
SUBSTITUTE(
SUBSTITUTE(
_xlpm.doi,
"/","%2F"),
":","%3A"),
"&lt;","%3C"),
"&gt;","%3E")
)</f>
        <v>10.1038%2Fnn814</v>
      </c>
      <c r="K168" s="1" t="str">
        <f aca="false">TRIM(_xlfn.TEXTJOIN("_",FALSE(),F168,(SUBSTITUTE(SUBSTITUTE(D168," ",""), "_", ""))))</f>
        <v>Semendeferi_etal_2002_Table1</v>
      </c>
      <c r="L168" s="1" t="str">
        <f aca="false">J168 &amp; "_" &amp; SUBSTITUTE(SUBSTITUTE(SUBSTITUTE(D168,CHAR(160),"")," ",""),"_","")</f>
        <v>10.1038%2Fnn814_Table1</v>
      </c>
      <c r="M168" s="1" t="str">
        <f aca="false" t="array" ref="M168:M168">IFERROR(INDEX(FileList!$A$1:$A$1000,MATCH(TRUE(),EXACT(L168,IFERROR(_xlfn.TEXTBEFORE(FileList!$A$1:$A$1000,".tsv"),"")),0)),"notfound")</f>
        <v>notfound</v>
      </c>
      <c r="N168" s="4" t="s">
        <v>675</v>
      </c>
      <c r="Y168" s="4" t="s">
        <v>79</v>
      </c>
      <c r="AF168" s="4" t="s">
        <v>80</v>
      </c>
      <c r="AG168" s="4" t="s">
        <v>114</v>
      </c>
      <c r="AI168" s="4" t="s">
        <v>676</v>
      </c>
      <c r="AJ168" s="4" t="s">
        <v>85</v>
      </c>
      <c r="AK168" s="4" t="s">
        <v>63</v>
      </c>
      <c r="AL168" s="4" t="s">
        <v>63</v>
      </c>
      <c r="AM168" s="4" t="s">
        <v>86</v>
      </c>
    </row>
    <row r="169" customFormat="false" ht="15" hidden="false" customHeight="true" outlineLevel="0" collapsed="false">
      <c r="A169" s="4" t="s">
        <v>677</v>
      </c>
      <c r="D169" s="4" t="s">
        <v>678</v>
      </c>
      <c r="E169" s="1" t="str">
        <f aca="false">RIGHT(A169,1)</f>
        <v>6</v>
      </c>
      <c r="F169" s="1" t="str">
        <f aca="false">G169 &amp; IF(H169&lt;&gt;"", "_" &amp; H169, "_") &amp; IF(I169&lt;&gt;"", "_" &amp; I169, "_") &amp; IF(B169&lt;&gt;"", "_" &amp; B169, "")</f>
        <v>Seymour_etal_2015</v>
      </c>
      <c r="G169" s="1" t="str">
        <f aca="false">SUBSTITUTE(SUBSTITUTE(_xlfn.TEXTBEFORE(A169,","), "-", ""), " ", "")</f>
        <v>Seymour</v>
      </c>
      <c r="H169" s="1" t="str">
        <f aca="false">_xlfn.LET(
_xlpm.authors,_xlfn.TEXTBEFORE(A169," ("&amp;I169&amp;")"),
_xlpm.hasAmp,ISNUMBER(SEARCH("&amp;",_xlpm.authors)),
_xlpm.commasBeforeAmp,IF(_xlpm.hasAmp,LEN(_xlfn.TEXTBEFORE(_xlpm.authors,"&amp;"))-LEN(SUBSTITUTE(_xlfn.TEXTBEFORE(_xlpm.authors,"&amp;"),",","")),0),
IF(NOT(_xlpm.hasAmp),"",IF(_xlpm.commasBeforeAmp&gt;2,"etal",TRIM(_xlfn.TEXTBEFORE(_xlfn.TEXTAFTER(_xlpm.authors,"&amp; "),","))))
)</f>
        <v>etal</v>
      </c>
      <c r="I169" s="1" t="str">
        <f aca="false">_xlfn.TEXTBEFORE(_xlfn.TEXTAFTER(A169, "("), ")")</f>
        <v>2015</v>
      </c>
      <c r="J169" s="1" t="str">
        <f aca="false">_xlfn.LET(
_xlpm.doi,IF(C169&lt;&gt;"",C169,_xlfn.TEXTAFTER(A169,"https://doi.org/")),
SUBSTITUTE(
SUBSTITUTE(
SUBSTITUTE(
SUBSTITUTE(
_xlpm.doi,
"/","%2F"),
":","%3A"),
"&lt;","%3C"),
"&gt;","%3E")
)</f>
        <v>10.1242%2Fjeb.124826</v>
      </c>
      <c r="K169" s="1" t="str">
        <f aca="false">TRIM(_xlfn.TEXTJOIN("_",FALSE(),F169,(SUBSTITUTE(SUBSTITUTE(D169," ",""), "_", ""))))</f>
        <v>Seymour_etal_2015_TableS1</v>
      </c>
      <c r="L169" s="1" t="str">
        <f aca="false">J169 &amp; "_" &amp; SUBSTITUTE(SUBSTITUTE(SUBSTITUTE(D169,CHAR(160),"")," ",""),"_","")</f>
        <v>10.1242%2Fjeb.124826_TableS1</v>
      </c>
      <c r="M169" s="1" t="str">
        <f aca="false" t="array" ref="M169:M169">IFERROR(INDEX(FileList!$A$1:$A$1000,MATCH(TRUE(),EXACT(L169,IFERROR(_xlfn.TEXTBEFORE(FileList!$A$1:$A$1000,".tsv"),"")),0)),"notfound")</f>
        <v>notfound</v>
      </c>
    </row>
    <row r="170" customFormat="false" ht="15" hidden="false" customHeight="true" outlineLevel="0" collapsed="false">
      <c r="A170" s="4" t="s">
        <v>679</v>
      </c>
      <c r="D170" s="4" t="s">
        <v>200</v>
      </c>
      <c r="E170" s="1" t="str">
        <f aca="false">RIGHT(A170,1)</f>
        <v>6</v>
      </c>
      <c r="F170" s="1" t="str">
        <f aca="false">G170 &amp; IF(H170&lt;&gt;"", "_" &amp; H170, "_") &amp; IF(I170&lt;&gt;"", "_" &amp; I170, "_") &amp; IF(B170&lt;&gt;"", "_" &amp; B170, "")</f>
        <v>Seymour_etal_2017</v>
      </c>
      <c r="G170" s="1" t="str">
        <f aca="false">SUBSTITUTE(SUBSTITUTE(_xlfn.TEXTBEFORE(A170,","), "-", ""), " ", "")</f>
        <v>Seymour</v>
      </c>
      <c r="H170" s="1" t="str">
        <f aca="false">_xlfn.LET(
_xlpm.authors,_xlfn.TEXTBEFORE(A170," ("&amp;I170&amp;")"),
_xlpm.hasAmp,ISNUMBER(SEARCH("&amp;",_xlpm.authors)),
_xlpm.commasBeforeAmp,IF(_xlpm.hasAmp,LEN(_xlfn.TEXTBEFORE(_xlpm.authors,"&amp;"))-LEN(SUBSTITUTE(_xlfn.TEXTBEFORE(_xlpm.authors,"&amp;"),",","")),0),
IF(NOT(_xlpm.hasAmp),"",IF(_xlpm.commasBeforeAmp&gt;2,"etal",TRIM(_xlfn.TEXTBEFORE(_xlfn.TEXTAFTER(_xlpm.authors,"&amp; "),","))))
)</f>
        <v>etal</v>
      </c>
      <c r="I170" s="1" t="str">
        <f aca="false">_xlfn.TEXTBEFORE(_xlfn.TEXTAFTER(A170, "("), ")")</f>
        <v>2017</v>
      </c>
      <c r="J170" s="1" t="str">
        <f aca="false">_xlfn.LET(
_xlpm.doi,IF(C170&lt;&gt;"",C170,_xlfn.TEXTAFTER(A170,"https://doi.org/")),
SUBSTITUTE(
SUBSTITUTE(
SUBSTITUTE(
SUBSTITUTE(
_xlpm.doi,
"/","%2F"),
":","%3A"),
"&lt;","%3C"),
"&gt;","%3E")
)</f>
        <v>10.1098%2Frsos.170846</v>
      </c>
      <c r="K170" s="1" t="str">
        <f aca="false">TRIM(_xlfn.TEXTJOIN("_",FALSE(),F170,(SUBSTITUTE(SUBSTITUTE(D170," ",""), "_", ""))))</f>
        <v>Seymour_etal_2017_TableS1</v>
      </c>
      <c r="L170" s="1" t="str">
        <f aca="false">J170 &amp; "_" &amp; SUBSTITUTE(SUBSTITUTE(SUBSTITUTE(D170,CHAR(160),"")," ",""),"_","")</f>
        <v>10.1098%2Frsos.170846_TableS1</v>
      </c>
      <c r="M170" s="1" t="str">
        <f aca="false" t="array" ref="M170:M170">IFERROR(INDEX(FileList!$A$1:$A$1000,MATCH(TRUE(),EXACT(L170,IFERROR(_xlfn.TEXTBEFORE(FileList!$A$1:$A$1000,".tsv"),"")),0)),"notfound")</f>
        <v>notfound</v>
      </c>
    </row>
    <row r="171" customFormat="false" ht="15" hidden="false" customHeight="true" outlineLevel="0" collapsed="false">
      <c r="A171" s="4" t="s">
        <v>680</v>
      </c>
      <c r="D171" s="4" t="s">
        <v>681</v>
      </c>
      <c r="E171" s="1" t="str">
        <f aca="false">RIGHT(A171,1)</f>
        <v>8</v>
      </c>
      <c r="F171" s="1" t="str">
        <f aca="false">G171 &amp; IF(H171&lt;&gt;"", "_" &amp; H171, "_") &amp; IF(I171&lt;&gt;"", "_" &amp; I171, "_") &amp; IF(B171&lt;&gt;"", "_" &amp; B171, "")</f>
        <v>Seymour_etal_2019</v>
      </c>
      <c r="G171" s="1" t="str">
        <f aca="false">SUBSTITUTE(SUBSTITUTE(_xlfn.TEXTBEFORE(A171,","), "-", ""), " ", "")</f>
        <v>Seymour</v>
      </c>
      <c r="H171" s="1" t="str">
        <f aca="false">_xlfn.LET(
_xlpm.authors,_xlfn.TEXTBEFORE(A171," ("&amp;I171&amp;")"),
_xlpm.hasAmp,ISNUMBER(SEARCH("&amp;",_xlpm.authors)),
_xlpm.commasBeforeAmp,IF(_xlpm.hasAmp,LEN(_xlfn.TEXTBEFORE(_xlpm.authors,"&amp;"))-LEN(SUBSTITUTE(_xlfn.TEXTBEFORE(_xlpm.authors,"&amp;"),",","")),0),
IF(NOT(_xlpm.hasAmp),"",IF(_xlpm.commasBeforeAmp&gt;2,"etal",TRIM(_xlfn.TEXTBEFORE(_xlfn.TEXTAFTER(_xlpm.authors,"&amp; "),","))))
)</f>
        <v>etal</v>
      </c>
      <c r="I171" s="1" t="str">
        <f aca="false">_xlfn.TEXTBEFORE(_xlfn.TEXTAFTER(A171, "("), ")")</f>
        <v>2019</v>
      </c>
      <c r="J171" s="1" t="str">
        <f aca="false">_xlfn.LET(
_xlpm.doi,IF(C171&lt;&gt;"",C171,_xlfn.TEXTAFTER(A171,"https://doi.org/")),
SUBSTITUTE(
SUBSTITUTE(
SUBSTITUTE(
SUBSTITUTE(
_xlpm.doi,
"/","%2F"),
":","%3A"),
"&lt;","%3C"),
"&gt;","%3E")
)</f>
        <v>10.1098%2Frspb.2019.2208</v>
      </c>
      <c r="K171" s="1" t="str">
        <f aca="false">TRIM(_xlfn.TEXTJOIN("_",FALSE(),F171,(SUBSTITUTE(SUBSTITUTE(D171," ",""), "_", ""))))</f>
        <v>Seymour_etal_2019_rspb20192208si002</v>
      </c>
      <c r="L171" s="1" t="str">
        <f aca="false">J171 &amp; "_" &amp; SUBSTITUTE(SUBSTITUTE(SUBSTITUTE(D171,CHAR(160),"")," ",""),"_","")</f>
        <v>10.1098%2Frspb.2019.2208_rspb20192208si002</v>
      </c>
      <c r="M171" s="1" t="str">
        <f aca="false" t="array" ref="M171:M171">IFERROR(INDEX(FileList!$A$1:$A$1000,MATCH(TRUE(),EXACT(L171,IFERROR(_xlfn.TEXTBEFORE(FileList!$A$1:$A$1000,".tsv"),"")),0)),"notfound")</f>
        <v>notfound</v>
      </c>
    </row>
    <row r="172" customFormat="false" ht="15" hidden="false" customHeight="true" outlineLevel="0" collapsed="false">
      <c r="A172" s="4" t="s">
        <v>682</v>
      </c>
      <c r="D172" s="4" t="s">
        <v>683</v>
      </c>
      <c r="E172" s="1" t="str">
        <f aca="false">RIGHT(A172,1)</f>
        <v>8</v>
      </c>
      <c r="F172" s="1" t="str">
        <f aca="false">G172 &amp; IF(H172&lt;&gt;"", "_" &amp; H172, "_") &amp; IF(I172&lt;&gt;"", "_" &amp; I172, "_") &amp; IF(B172&lt;&gt;"", "_" &amp; B172, "")</f>
        <v>Sherwood_etal_2004</v>
      </c>
      <c r="G172" s="1" t="str">
        <f aca="false">SUBSTITUTE(SUBSTITUTE(_xlfn.TEXTBEFORE(A172,","), "-", ""), " ", "")</f>
        <v>Sherwood</v>
      </c>
      <c r="H172" s="1" t="str">
        <f aca="false">_xlfn.LET(
_xlpm.authors,_xlfn.TEXTBEFORE(A172," ("&amp;I172&amp;")"),
_xlpm.hasAmp,ISNUMBER(SEARCH("&amp;",_xlpm.authors)),
_xlpm.commasBeforeAmp,IF(_xlpm.hasAmp,LEN(_xlfn.TEXTBEFORE(_xlpm.authors,"&amp;"))-LEN(SUBSTITUTE(_xlfn.TEXTBEFORE(_xlpm.authors,"&amp;"),",","")),0),
IF(NOT(_xlpm.hasAmp),"",IF(_xlpm.commasBeforeAmp&gt;2,"etal",TRIM(_xlfn.TEXTBEFORE(_xlfn.TEXTAFTER(_xlpm.authors,"&amp; "),","))))
)</f>
        <v>etal</v>
      </c>
      <c r="I172" s="1" t="str">
        <f aca="false">_xlfn.TEXTBEFORE(_xlfn.TEXTAFTER(A172, "("), ")")</f>
        <v>2004</v>
      </c>
      <c r="J172" s="1" t="str">
        <f aca="false">_xlfn.LET(
_xlpm.doi,IF(C172&lt;&gt;"",C172,_xlfn.TEXTAFTER(A172,"https://doi.org/")),
SUBSTITUTE(
SUBSTITUTE(
SUBSTITUTE(
SUBSTITUTE(
_xlpm.doi,
"/","%2F"),
":","%3A"),
"&lt;","%3C"),
"&gt;","%3E")
)</f>
        <v>10.1002%2Fajp.20048</v>
      </c>
      <c r="K172" s="1" t="str">
        <f aca="false">TRIM(_xlfn.TEXTJOIN("_",FALSE(),F172,(SUBSTITUTE(SUBSTITUTE(D172," ",""), "_", ""))))</f>
        <v>Sherwood_etal_2004_TABLEI</v>
      </c>
      <c r="L172" s="1" t="str">
        <f aca="false">J172 &amp; "_" &amp; SUBSTITUTE(SUBSTITUTE(SUBSTITUTE(D172,CHAR(160),"")," ",""),"_","")</f>
        <v>10.1002%2Fajp.20048_TABLEI</v>
      </c>
      <c r="M172" s="1" t="str">
        <f aca="false" t="array" ref="M172:M172">IFERROR(INDEX(FileList!$A$1:$A$1000,MATCH(TRUE(),EXACT(L172,IFERROR(_xlfn.TEXTBEFORE(FileList!$A$1:$A$1000,".tsv"),"")),0)),"notfound")</f>
        <v>notfound</v>
      </c>
      <c r="N172" s="4" t="s">
        <v>684</v>
      </c>
      <c r="Y172" s="4" t="s">
        <v>685</v>
      </c>
      <c r="Z172" s="4" t="s">
        <v>686</v>
      </c>
      <c r="AF172" s="4" t="s">
        <v>631</v>
      </c>
      <c r="AG172" s="4" t="s">
        <v>114</v>
      </c>
      <c r="AK172" s="4" t="s">
        <v>63</v>
      </c>
    </row>
    <row r="173" customFormat="false" ht="15" hidden="false" customHeight="true" outlineLevel="0" collapsed="false">
      <c r="A173" s="4" t="s">
        <v>682</v>
      </c>
      <c r="B173" s="7"/>
      <c r="D173" s="4" t="s">
        <v>96</v>
      </c>
      <c r="E173" s="1" t="str">
        <f aca="false">RIGHT(A173,1)</f>
        <v>8</v>
      </c>
      <c r="F173" s="1" t="str">
        <f aca="false">G173 &amp; IF(H173&lt;&gt;"", "_" &amp; H173, "_") &amp; IF(I173&lt;&gt;"", "_" &amp; I173, "_") &amp; IF(B173&lt;&gt;"", "_" &amp; B173, "")</f>
        <v>Sherwood_etal_2004</v>
      </c>
      <c r="G173" s="1" t="str">
        <f aca="false">SUBSTITUTE(SUBSTITUTE(_xlfn.TEXTBEFORE(A173,","), "-", ""), " ", "")</f>
        <v>Sherwood</v>
      </c>
      <c r="H173" s="1" t="str">
        <f aca="false">_xlfn.LET(
_xlpm.authors,_xlfn.TEXTBEFORE(A173," ("&amp;I173&amp;")"),
_xlpm.hasAmp,ISNUMBER(SEARCH("&amp;",_xlpm.authors)),
_xlpm.commasBeforeAmp,IF(_xlpm.hasAmp,LEN(_xlfn.TEXTBEFORE(_xlpm.authors,"&amp;"))-LEN(SUBSTITUTE(_xlfn.TEXTBEFORE(_xlpm.authors,"&amp;"),",","")),0),
IF(NOT(_xlpm.hasAmp),"",IF(_xlpm.commasBeforeAmp&gt;2,"etal",TRIM(_xlfn.TEXTBEFORE(_xlfn.TEXTAFTER(_xlpm.authors,"&amp; "),","))))
)</f>
        <v>etal</v>
      </c>
      <c r="I173" s="1" t="str">
        <f aca="false">_xlfn.TEXTBEFORE(_xlfn.TEXTAFTER(A173, "("), ")")</f>
        <v>2004</v>
      </c>
      <c r="J173" s="1" t="str">
        <f aca="false">_xlfn.LET(
_xlpm.doi,IF(C173&lt;&gt;"",C173,_xlfn.TEXTAFTER(A173,"https://doi.org/")),
SUBSTITUTE(
SUBSTITUTE(
SUBSTITUTE(
SUBSTITUTE(
_xlpm.doi,
"/","%2F"),
":","%3A"),
"&lt;","%3C"),
"&gt;","%3E")
)</f>
        <v>10.1002%2Fajp.20048</v>
      </c>
      <c r="K173" s="1" t="str">
        <f aca="false">TRIM(_xlfn.TEXTJOIN("_",FALSE(),F173,(SUBSTITUTE(SUBSTITUTE(D173," ",""), "_", ""))))</f>
        <v>Sherwood_etal_2004_unpublishedviaDeCasien</v>
      </c>
      <c r="L173" s="1" t="str">
        <f aca="false">J173 &amp; "_" &amp; SUBSTITUTE(SUBSTITUTE(SUBSTITUTE(D173,CHAR(160),"")," ",""),"_","")</f>
        <v>10.1002%2Fajp.20048_unpublishedviaDeCasien</v>
      </c>
      <c r="M173" s="1" t="str">
        <f aca="false" t="array" ref="M173:M173">IFERROR(INDEX(FileList!$A$1:$A$1000,MATCH(TRUE(),EXACT(L173,IFERROR(_xlfn.TEXTBEFORE(FileList!$A$1:$A$1000,".tsv"),"")),0)),"notfound")</f>
        <v>notfound</v>
      </c>
      <c r="O173" s="4" t="s">
        <v>97</v>
      </c>
      <c r="Y173" s="4" t="s">
        <v>685</v>
      </c>
      <c r="Z173" s="4" t="s">
        <v>686</v>
      </c>
      <c r="AF173" s="4" t="s">
        <v>631</v>
      </c>
      <c r="AG173" s="4" t="s">
        <v>114</v>
      </c>
      <c r="AK173" s="4" t="s">
        <v>63</v>
      </c>
    </row>
    <row r="174" customFormat="false" ht="15" hidden="false" customHeight="true" outlineLevel="0" collapsed="false">
      <c r="A174" s="4" t="s">
        <v>687</v>
      </c>
      <c r="B174" s="7"/>
      <c r="D174" s="4" t="s">
        <v>77</v>
      </c>
      <c r="E174" s="1" t="str">
        <f aca="false">RIGHT(A174,1)</f>
        <v>3</v>
      </c>
      <c r="F174" s="1" t="str">
        <f aca="false">G174 &amp; IF(H174&lt;&gt;"", "_" &amp; H174, "_") &amp; IF(I174&lt;&gt;"", "_" &amp; I174, "_") &amp; IF(B174&lt;&gt;"", "_" &amp; B174, "")</f>
        <v>Sherwood_etal_2005</v>
      </c>
      <c r="G174" s="1" t="str">
        <f aca="false">SUBSTITUTE(SUBSTITUTE(_xlfn.TEXTBEFORE(A174,","), "-", ""), " ", "")</f>
        <v>Sherwood</v>
      </c>
      <c r="H174" s="1" t="str">
        <f aca="false">_xlfn.LET(
_xlpm.authors,_xlfn.TEXTBEFORE(A174," ("&amp;I174&amp;")"),
_xlpm.hasAmp,ISNUMBER(SEARCH("&amp;",_xlpm.authors)),
_xlpm.commasBeforeAmp,IF(_xlpm.hasAmp,LEN(_xlfn.TEXTBEFORE(_xlpm.authors,"&amp;"))-LEN(SUBSTITUTE(_xlfn.TEXTBEFORE(_xlpm.authors,"&amp;"),",","")),0),
IF(NOT(_xlpm.hasAmp),"",IF(_xlpm.commasBeforeAmp&gt;2,"etal",TRIM(_xlfn.TEXTBEFORE(_xlfn.TEXTAFTER(_xlpm.authors,"&amp; "),","))))
)</f>
        <v>etal</v>
      </c>
      <c r="I174" s="1" t="str">
        <f aca="false">_xlfn.TEXTBEFORE(_xlfn.TEXTAFTER(A174, "("), ")")</f>
        <v>2005</v>
      </c>
      <c r="J174" s="1" t="str">
        <f aca="false">_xlfn.LET(
_xlpm.doi,IF(C174&lt;&gt;"",C174,_xlfn.TEXTAFTER(A174,"https://doi.org/")),
SUBSTITUTE(
SUBSTITUTE(
SUBSTITUTE(
SUBSTITUTE(
_xlpm.doi,
"/","%2F"),
":","%3A"),
"&lt;","%3C"),
"&gt;","%3E")
)</f>
        <v>10.1016%2Fj.jhevol.2004.10.003</v>
      </c>
      <c r="K174" s="1" t="str">
        <f aca="false">TRIM(_xlfn.TEXTJOIN("_",FALSE(),F174,(SUBSTITUTE(SUBSTITUTE(D174," ",""), "_", ""))))</f>
        <v>Sherwood_etal_2005_Table1</v>
      </c>
      <c r="L174" s="1" t="str">
        <f aca="false">J174 &amp; "_" &amp; SUBSTITUTE(SUBSTITUTE(SUBSTITUTE(D174,CHAR(160),"")," ",""),"_","")</f>
        <v>10.1016%2Fj.jhevol.2004.10.003_Table1</v>
      </c>
      <c r="M174" s="1" t="str">
        <f aca="false" t="array" ref="M174:M174">IFERROR(INDEX(FileList!$A$1:$A$1000,MATCH(TRUE(),EXACT(L174,IFERROR(_xlfn.TEXTBEFORE(FileList!$A$1:$A$1000,".tsv"),"")),0)),"notfound")</f>
        <v>notfound</v>
      </c>
      <c r="N174" s="4" t="s">
        <v>688</v>
      </c>
      <c r="V174" s="4" t="s">
        <v>42</v>
      </c>
      <c r="Y174" s="4" t="s">
        <v>101</v>
      </c>
      <c r="Z174" s="4" t="s">
        <v>235</v>
      </c>
      <c r="AF174" s="4" t="s">
        <v>80</v>
      </c>
      <c r="AG174" s="4" t="s">
        <v>114</v>
      </c>
      <c r="AI174" s="4" t="s">
        <v>689</v>
      </c>
      <c r="AJ174" s="4" t="s">
        <v>152</v>
      </c>
      <c r="AK174" s="4" t="s">
        <v>63</v>
      </c>
      <c r="AL174" s="4" t="s">
        <v>63</v>
      </c>
      <c r="AM174" s="4" t="s">
        <v>86</v>
      </c>
    </row>
    <row r="175" customFormat="false" ht="15" hidden="false" customHeight="true" outlineLevel="0" collapsed="false">
      <c r="A175" s="4" t="s">
        <v>690</v>
      </c>
      <c r="B175" s="5" t="s">
        <v>691</v>
      </c>
      <c r="D175" s="4" t="s">
        <v>40</v>
      </c>
      <c r="E175" s="1" t="str">
        <f aca="false">RIGHT(A175,1)</f>
        <v>2</v>
      </c>
      <c r="F175" s="1" t="str">
        <f aca="false">G175 &amp; IF(H175&lt;&gt;"", "_" &amp; H175, "_") &amp; IF(I175&lt;&gt;"", "_" &amp; I175, "_") &amp; IF(B175&lt;&gt;"", "_" &amp; B175, "")</f>
        <v>Sherwood_etal_2004_I</v>
      </c>
      <c r="G175" s="1" t="str">
        <f aca="false">SUBSTITUTE(SUBSTITUTE(_xlfn.TEXTBEFORE(A175,","), "-", ""), " ", "")</f>
        <v>Sherwood</v>
      </c>
      <c r="H175" s="1" t="str">
        <f aca="false">_xlfn.LET(
_xlpm.authors,_xlfn.TEXTBEFORE(A175," ("&amp;I175&amp;")"),
_xlpm.hasAmp,ISNUMBER(SEARCH("&amp;",_xlpm.authors)),
_xlpm.commasBeforeAmp,IF(_xlpm.hasAmp,LEN(_xlfn.TEXTBEFORE(_xlpm.authors,"&amp;"))-LEN(SUBSTITUTE(_xlfn.TEXTBEFORE(_xlpm.authors,"&amp;"),",","")),0),
IF(NOT(_xlpm.hasAmp),"",IF(_xlpm.commasBeforeAmp&gt;2,"etal",TRIM(_xlfn.TEXTBEFORE(_xlfn.TEXTAFTER(_xlpm.authors,"&amp; "),","))))
)</f>
        <v>etal</v>
      </c>
      <c r="I175" s="1" t="str">
        <f aca="false">_xlfn.TEXTBEFORE(_xlfn.TEXTAFTER(A175, "("), ")")</f>
        <v>2004</v>
      </c>
      <c r="J175" s="1" t="str">
        <f aca="false">_xlfn.LET(
_xlpm.doi,IF(C175&lt;&gt;"",C175,_xlfn.TEXTAFTER(A175,"https://doi.org/")),
SUBSTITUTE(
SUBSTITUTE(
SUBSTITUTE(
SUBSTITUTE(
_xlpm.doi,
"/","%2F"),
":","%3A"),
"&lt;","%3C"),
"&gt;","%3E")
)</f>
        <v>10.1159%2F000075672</v>
      </c>
      <c r="K175" s="1" t="str">
        <f aca="false">TRIM(_xlfn.TEXTJOIN("_",FALSE(),F175,(SUBSTITUTE(SUBSTITUTE(D175," ",""), "_", ""))))</f>
        <v>Sherwood_etal_2004_I_Table4</v>
      </c>
      <c r="L175" s="1" t="str">
        <f aca="false">J175 &amp; "_" &amp; SUBSTITUTE(SUBSTITUTE(SUBSTITUTE(D175,CHAR(160),"")," ",""),"_","")</f>
        <v>10.1159%2F000075672_Table4</v>
      </c>
      <c r="M175" s="1" t="str">
        <f aca="false" t="array" ref="M175:M175">IFERROR(INDEX(FileList!$A$1:$A$1000,MATCH(TRUE(),EXACT(L175,IFERROR(_xlfn.TEXTBEFORE(FileList!$A$1:$A$1000,".tsv"),"")),0)),"notfound")</f>
        <v>notfound</v>
      </c>
      <c r="N175" s="4" t="s">
        <v>692</v>
      </c>
      <c r="P175" s="4" t="s">
        <v>693</v>
      </c>
      <c r="Q175" s="4" t="s">
        <v>204</v>
      </c>
      <c r="T175" s="4" t="str">
        <f aca="false">IF(S175="N", R175, "write file name")</f>
        <v>write file name</v>
      </c>
      <c r="U175" s="4" t="s">
        <v>55</v>
      </c>
      <c r="V175" s="4" t="s">
        <v>694</v>
      </c>
      <c r="Z175" s="4" t="s">
        <v>79</v>
      </c>
      <c r="AF175" s="4" t="s">
        <v>80</v>
      </c>
      <c r="AH175" s="4" t="s">
        <v>179</v>
      </c>
      <c r="AI175" s="4" t="s">
        <v>695</v>
      </c>
      <c r="AJ175" s="4" t="s">
        <v>120</v>
      </c>
      <c r="AK175" s="4" t="s">
        <v>63</v>
      </c>
      <c r="AL175" s="4" t="s">
        <v>63</v>
      </c>
      <c r="AM175" s="4" t="s">
        <v>696</v>
      </c>
    </row>
    <row r="176" customFormat="false" ht="15" hidden="false" customHeight="true" outlineLevel="0" collapsed="false">
      <c r="A176" s="4" t="s">
        <v>690</v>
      </c>
      <c r="B176" s="5" t="s">
        <v>691</v>
      </c>
      <c r="D176" s="4" t="s">
        <v>70</v>
      </c>
      <c r="E176" s="1" t="str">
        <f aca="false">RIGHT(A176,1)</f>
        <v>2</v>
      </c>
      <c r="F176" s="1" t="str">
        <f aca="false">G176 &amp; IF(H176&lt;&gt;"", "_" &amp; H176, "_") &amp; IF(I176&lt;&gt;"", "_" &amp; I176, "_") &amp; IF(B176&lt;&gt;"", "_" &amp; B176, "")</f>
        <v>Sherwood_etal_2004_I</v>
      </c>
      <c r="G176" s="1" t="str">
        <f aca="false">SUBSTITUTE(SUBSTITUTE(_xlfn.TEXTBEFORE(A176,","), "-", ""), " ", "")</f>
        <v>Sherwood</v>
      </c>
      <c r="H176" s="1" t="str">
        <f aca="false">_xlfn.LET(
_xlpm.authors,_xlfn.TEXTBEFORE(A176," ("&amp;I176&amp;")"),
_xlpm.hasAmp,ISNUMBER(SEARCH("&amp;",_xlpm.authors)),
_xlpm.commasBeforeAmp,IF(_xlpm.hasAmp,LEN(_xlfn.TEXTBEFORE(_xlpm.authors,"&amp;"))-LEN(SUBSTITUTE(_xlfn.TEXTBEFORE(_xlpm.authors,"&amp;"),",","")),0),
IF(NOT(_xlpm.hasAmp),"",IF(_xlpm.commasBeforeAmp&gt;2,"etal",TRIM(_xlfn.TEXTBEFORE(_xlfn.TEXTAFTER(_xlpm.authors,"&amp; "),","))))
)</f>
        <v>etal</v>
      </c>
      <c r="I176" s="1" t="str">
        <f aca="false">_xlfn.TEXTBEFORE(_xlfn.TEXTAFTER(A176, "("), ")")</f>
        <v>2004</v>
      </c>
      <c r="J176" s="1" t="str">
        <f aca="false">_xlfn.LET(
_xlpm.doi,IF(C176&lt;&gt;"",C176,_xlfn.TEXTAFTER(A176,"https://doi.org/")),
SUBSTITUTE(
SUBSTITUTE(
SUBSTITUTE(
SUBSTITUTE(
_xlpm.doi,
"/","%2F"),
":","%3A"),
"&lt;","%3C"),
"&gt;","%3E")
)</f>
        <v>10.1159%2F000075672</v>
      </c>
      <c r="K176" s="1" t="str">
        <f aca="false">TRIM(_xlfn.TEXTJOIN("_",FALSE(),F176,(SUBSTITUTE(SUBSTITUTE(D176," ",""), "_", ""))))</f>
        <v>Sherwood_etal_2004_I_Table5</v>
      </c>
      <c r="L176" s="1" t="str">
        <f aca="false">J176 &amp; "_" &amp; SUBSTITUTE(SUBSTITUTE(SUBSTITUTE(D176,CHAR(160),"")," ",""),"_","")</f>
        <v>10.1159%2F000075672_Table5</v>
      </c>
      <c r="M176" s="1" t="str">
        <f aca="false" t="array" ref="M176:M176">IFERROR(INDEX(FileList!$A$1:$A$1000,MATCH(TRUE(),EXACT(L176,IFERROR(_xlfn.TEXTBEFORE(FileList!$A$1:$A$1000,".tsv"),"")),0)),"notfound")</f>
        <v>notfound</v>
      </c>
      <c r="N176" s="4" t="s">
        <v>697</v>
      </c>
      <c r="P176" s="4" t="s">
        <v>693</v>
      </c>
      <c r="Q176" s="4" t="s">
        <v>204</v>
      </c>
      <c r="T176" s="4" t="str">
        <f aca="false">IF(S176="N", R176, "write file name")</f>
        <v>write file name</v>
      </c>
      <c r="U176" s="4" t="s">
        <v>55</v>
      </c>
      <c r="V176" s="4" t="s">
        <v>694</v>
      </c>
      <c r="Z176" s="4" t="s">
        <v>235</v>
      </c>
      <c r="AF176" s="4" t="s">
        <v>80</v>
      </c>
      <c r="AG176" s="4" t="s">
        <v>114</v>
      </c>
      <c r="AH176" s="4" t="s">
        <v>179</v>
      </c>
      <c r="AI176" s="4" t="s">
        <v>695</v>
      </c>
      <c r="AJ176" s="4" t="s">
        <v>120</v>
      </c>
      <c r="AK176" s="4" t="s">
        <v>63</v>
      </c>
      <c r="AL176" s="4" t="s">
        <v>63</v>
      </c>
      <c r="AM176" s="4" t="s">
        <v>696</v>
      </c>
    </row>
    <row r="177" customFormat="false" ht="15" hidden="false" customHeight="true" outlineLevel="0" collapsed="false">
      <c r="A177" s="4" t="s">
        <v>698</v>
      </c>
      <c r="C177" s="4" t="s">
        <v>699</v>
      </c>
      <c r="D177" s="4" t="s">
        <v>700</v>
      </c>
      <c r="E177" s="1" t="str">
        <f aca="false">RIGHT(A177,1)</f>
        <v>9</v>
      </c>
      <c r="F177" s="1" t="str">
        <f aca="false">G177 &amp; IF(H177&lt;&gt;"", "_" &amp; H177, "_") &amp; IF(I177&lt;&gt;"", "_" &amp; I177, "_") &amp; IF(B177&lt;&gt;"", "_" &amp; B177, "")</f>
        <v>Smaers_Soligo_2013</v>
      </c>
      <c r="G177" s="1" t="str">
        <f aca="false">SUBSTITUTE(SUBSTITUTE(_xlfn.TEXTBEFORE(A177,","), "-", ""), " ", "")</f>
        <v>Smaers</v>
      </c>
      <c r="H177" s="1" t="str">
        <f aca="false">_xlfn.LET(
_xlpm.authors,_xlfn.TEXTBEFORE(A177," ("&amp;I177&amp;")"),
_xlpm.hasAmp,ISNUMBER(SEARCH("&amp;",_xlpm.authors)),
_xlpm.commasBeforeAmp,IF(_xlpm.hasAmp,LEN(_xlfn.TEXTBEFORE(_xlpm.authors,"&amp;"))-LEN(SUBSTITUTE(_xlfn.TEXTBEFORE(_xlpm.authors,"&amp;"),",","")),0),
IF(NOT(_xlpm.hasAmp),"",IF(_xlpm.commasBeforeAmp&gt;2,"etal",TRIM(_xlfn.TEXTBEFORE(_xlfn.TEXTAFTER(_xlpm.authors,"&amp; "),","))))
)</f>
        <v>Soligo</v>
      </c>
      <c r="I177" s="1" t="str">
        <f aca="false">_xlfn.TEXTBEFORE(_xlfn.TEXTAFTER(A177, "("), ")")</f>
        <v>2013</v>
      </c>
      <c r="J177" s="1" t="str">
        <f aca="false">_xlfn.LET(
_xlpm.doi,IF(C177&lt;&gt;"",C177,_xlfn.TEXTAFTER(A177,"https://doi.org/")),
SUBSTITUTE(
SUBSTITUTE(
SUBSTITUTE(
SUBSTITUTE(
_xlpm.doi,
"/","%2F"),
":","%3A"),
"&lt;","%3C"),
"&gt;","%3E")
)</f>
        <v>10.1098%2Frspb.2013.0269</v>
      </c>
      <c r="K177" s="1" t="str">
        <f aca="false">TRIM(_xlfn.TEXTJOIN("_",FALSE(),F177,(SUBSTITUTE(SUBSTITUTE(D177," ",""), "_", ""))))</f>
        <v>Smaers_Soligo_2013_Supplement</v>
      </c>
      <c r="L177" s="1" t="str">
        <f aca="false">J177 &amp; "_" &amp; SUBSTITUTE(SUBSTITUTE(SUBSTITUTE(D177,CHAR(160),"")," ",""),"_","")</f>
        <v>10.1098%2Frspb.2013.0269_Supplement</v>
      </c>
      <c r="M177" s="1" t="str">
        <f aca="false" t="array" ref="M177:M177">IFERROR(INDEX(FileList!$A$1:$A$1000,MATCH(TRUE(),EXACT(L177,IFERROR(_xlfn.TEXTBEFORE(FileList!$A$1:$A$1000,".tsv"),"")),0)),"notfound")</f>
        <v>notfound</v>
      </c>
      <c r="N177" s="4" t="s">
        <v>701</v>
      </c>
      <c r="AF177" s="4" t="s">
        <v>80</v>
      </c>
      <c r="AG177" s="4" t="s">
        <v>114</v>
      </c>
      <c r="AI177" s="4" t="s">
        <v>702</v>
      </c>
      <c r="AJ177" s="4" t="s">
        <v>703</v>
      </c>
      <c r="AL177" s="4" t="s">
        <v>364</v>
      </c>
      <c r="AM177" s="4" t="s">
        <v>86</v>
      </c>
    </row>
    <row r="178" customFormat="false" ht="15" hidden="false" customHeight="true" outlineLevel="0" collapsed="false">
      <c r="A178" s="4" t="s">
        <v>704</v>
      </c>
      <c r="D178" s="4" t="s">
        <v>705</v>
      </c>
      <c r="E178" s="1" t="str">
        <f aca="false">RIGHT(A178,1)</f>
        <v>0</v>
      </c>
      <c r="F178" s="1" t="str">
        <f aca="false">G178 &amp; IF(H178&lt;&gt;"", "_" &amp; H178, "_") &amp; IF(I178&lt;&gt;"", "_" &amp; I178, "_") &amp; IF(B178&lt;&gt;"", "_" &amp; B178, "")</f>
        <v>Smaers_etal_2017</v>
      </c>
      <c r="G178" s="1" t="str">
        <f aca="false">SUBSTITUTE(SUBSTITUTE(_xlfn.TEXTBEFORE(A178,","), "-", ""), " ", "")</f>
        <v>Smaers</v>
      </c>
      <c r="H178" s="1" t="str">
        <f aca="false">_xlfn.LET(
_xlpm.authors,_xlfn.TEXTBEFORE(A178," ("&amp;I178&amp;")"),
_xlpm.hasAmp,ISNUMBER(SEARCH("&amp;",_xlpm.authors)),
_xlpm.commasBeforeAmp,IF(_xlpm.hasAmp,LEN(_xlfn.TEXTBEFORE(_xlpm.authors,"&amp;"))-LEN(SUBSTITUTE(_xlfn.TEXTBEFORE(_xlpm.authors,"&amp;"),",","")),0),
IF(NOT(_xlpm.hasAmp),"",IF(_xlpm.commasBeforeAmp&gt;2,"etal",TRIM(_xlfn.TEXTBEFORE(_xlfn.TEXTAFTER(_xlpm.authors,"&amp; "),","))))
)</f>
        <v>etal</v>
      </c>
      <c r="I178" s="1" t="str">
        <f aca="false">_xlfn.TEXTBEFORE(_xlfn.TEXTAFTER(A178, "("), ")")</f>
        <v>2017</v>
      </c>
      <c r="J178" s="1" t="str">
        <f aca="false">_xlfn.LET(
_xlpm.doi,IF(C178&lt;&gt;"",C178,_xlfn.TEXTAFTER(A178,"https://doi.org/")),
SUBSTITUTE(
SUBSTITUTE(
SUBSTITUTE(
SUBSTITUTE(
_xlpm.doi,
"/","%2F"),
":","%3A"),
"&lt;","%3C"),
"&gt;","%3E")
)</f>
        <v>10.1016%2Fj.cub.2017.01.020</v>
      </c>
      <c r="K178" s="1" t="str">
        <f aca="false">TRIM(_xlfn.TEXTJOIN("_",FALSE(),F178,(SUBSTITUTE(SUBSTITUTE(D178," ",""), "_", ""))))</f>
        <v>Smaers_etal_2017_TableS1part1</v>
      </c>
      <c r="L178" s="1" t="str">
        <f aca="false">J178 &amp; "_" &amp; SUBSTITUTE(SUBSTITUTE(SUBSTITUTE(D178,CHAR(160),"")," ",""),"_","")</f>
        <v>10.1016%2Fj.cub.2017.01.020_TableS1part1</v>
      </c>
      <c r="M178" s="1" t="str">
        <f aca="false" t="array" ref="M178:M178">IFERROR(INDEX(FileList!$A$1:$A$1000,MATCH(TRUE(),EXACT(L178,IFERROR(_xlfn.TEXTBEFORE(FileList!$A$1:$A$1000,".tsv"),"")),0)),"notfound")</f>
        <v>notfound</v>
      </c>
      <c r="N178" s="4" t="s">
        <v>706</v>
      </c>
      <c r="O178" s="4" t="s">
        <v>707</v>
      </c>
      <c r="P178" s="4" t="s">
        <v>41</v>
      </c>
      <c r="V178" s="4" t="s">
        <v>42</v>
      </c>
      <c r="Y178" s="4" t="s">
        <v>708</v>
      </c>
      <c r="Z178" s="4" t="s">
        <v>235</v>
      </c>
      <c r="AC178" s="4" t="s">
        <v>709</v>
      </c>
      <c r="AF178" s="4" t="s">
        <v>80</v>
      </c>
      <c r="AG178" s="4" t="s">
        <v>114</v>
      </c>
      <c r="AI178" s="4" t="s">
        <v>710</v>
      </c>
      <c r="AJ178" s="4" t="s">
        <v>120</v>
      </c>
      <c r="AK178" s="4" t="s">
        <v>711</v>
      </c>
      <c r="AL178" s="4" t="s">
        <v>364</v>
      </c>
      <c r="AM178" s="4" t="s">
        <v>86</v>
      </c>
    </row>
    <row r="179" customFormat="false" ht="15" hidden="false" customHeight="true" outlineLevel="0" collapsed="false">
      <c r="A179" s="4" t="s">
        <v>704</v>
      </c>
      <c r="D179" s="4" t="s">
        <v>712</v>
      </c>
      <c r="E179" s="1" t="str">
        <f aca="false">RIGHT(A179,1)</f>
        <v>0</v>
      </c>
      <c r="F179" s="1" t="str">
        <f aca="false">G179 &amp; IF(H179&lt;&gt;"", "_" &amp; H179, "_") &amp; IF(I179&lt;&gt;"", "_" &amp; I179, "_") &amp; IF(B179&lt;&gt;"", "_" &amp; B179, "")</f>
        <v>Smaers_etal_2017</v>
      </c>
      <c r="G179" s="1" t="str">
        <f aca="false">SUBSTITUTE(SUBSTITUTE(_xlfn.TEXTBEFORE(A179,","), "-", ""), " ", "")</f>
        <v>Smaers</v>
      </c>
      <c r="H179" s="1" t="str">
        <f aca="false">_xlfn.LET(
_xlpm.authors,_xlfn.TEXTBEFORE(A179," ("&amp;I179&amp;")"),
_xlpm.hasAmp,ISNUMBER(SEARCH("&amp;",_xlpm.authors)),
_xlpm.commasBeforeAmp,IF(_xlpm.hasAmp,LEN(_xlfn.TEXTBEFORE(_xlpm.authors,"&amp;"))-LEN(SUBSTITUTE(_xlfn.TEXTBEFORE(_xlpm.authors,"&amp;"),",","")),0),
IF(NOT(_xlpm.hasAmp),"",IF(_xlpm.commasBeforeAmp&gt;2,"etal",TRIM(_xlfn.TEXTBEFORE(_xlfn.TEXTAFTER(_xlpm.authors,"&amp; "),","))))
)</f>
        <v>etal</v>
      </c>
      <c r="I179" s="1" t="str">
        <f aca="false">_xlfn.TEXTBEFORE(_xlfn.TEXTAFTER(A179, "("), ")")</f>
        <v>2017</v>
      </c>
      <c r="J179" s="1" t="str">
        <f aca="false">_xlfn.LET(
_xlpm.doi,IF(C179&lt;&gt;"",C179,_xlfn.TEXTAFTER(A179,"https://doi.org/")),
SUBSTITUTE(
SUBSTITUTE(
SUBSTITUTE(
SUBSTITUTE(
_xlpm.doi,
"/","%2F"),
":","%3A"),
"&lt;","%3C"),
"&gt;","%3E")
)</f>
        <v>10.1016%2Fj.cub.2017.01.020</v>
      </c>
      <c r="K179" s="1" t="str">
        <f aca="false">TRIM(_xlfn.TEXTJOIN("_",FALSE(),F179,(SUBSTITUTE(SUBSTITUTE(D179," ",""), "_", ""))))</f>
        <v>Smaers_etal_2017_TableS1part2</v>
      </c>
      <c r="L179" s="1" t="str">
        <f aca="false">J179 &amp; "_" &amp; SUBSTITUTE(SUBSTITUTE(SUBSTITUTE(D179,CHAR(160),"")," ",""),"_","")</f>
        <v>10.1016%2Fj.cub.2017.01.020_TableS1part2</v>
      </c>
      <c r="M179" s="1" t="str">
        <f aca="false" t="array" ref="M179:M179">IFERROR(INDEX(FileList!$A$1:$A$1000,MATCH(TRUE(),EXACT(L179,IFERROR(_xlfn.TEXTBEFORE(FileList!$A$1:$A$1000,".tsv"),"")),0)),"notfound")</f>
        <v>notfound</v>
      </c>
      <c r="N179" s="4" t="s">
        <v>706</v>
      </c>
      <c r="O179" s="4" t="s">
        <v>713</v>
      </c>
      <c r="P179" s="4" t="s">
        <v>41</v>
      </c>
      <c r="V179" s="4" t="s">
        <v>42</v>
      </c>
      <c r="Y179" s="4" t="s">
        <v>708</v>
      </c>
      <c r="Z179" s="4" t="s">
        <v>235</v>
      </c>
      <c r="AC179" s="4" t="s">
        <v>709</v>
      </c>
      <c r="AF179" s="4" t="s">
        <v>80</v>
      </c>
      <c r="AG179" s="4" t="s">
        <v>114</v>
      </c>
      <c r="AI179" s="4" t="s">
        <v>710</v>
      </c>
      <c r="AJ179" s="4" t="s">
        <v>120</v>
      </c>
      <c r="AK179" s="4" t="s">
        <v>711</v>
      </c>
      <c r="AL179" s="4" t="s">
        <v>364</v>
      </c>
      <c r="AM179" s="4" t="s">
        <v>86</v>
      </c>
    </row>
    <row r="180" customFormat="false" ht="15" hidden="false" customHeight="true" outlineLevel="0" collapsed="false">
      <c r="A180" s="4" t="s">
        <v>714</v>
      </c>
      <c r="D180" s="4" t="s">
        <v>715</v>
      </c>
      <c r="E180" s="1" t="str">
        <f aca="false">RIGHT(A180,1)</f>
        <v>1</v>
      </c>
      <c r="F180" s="1" t="str">
        <f aca="false">G180 &amp; IF(H180&lt;&gt;"", "_" &amp; H180, "_") &amp; IF(I180&lt;&gt;"", "_" &amp; I180, "_") &amp; IF(B180&lt;&gt;"", "_" &amp; B180, "")</f>
        <v>Smaers_etal_2011</v>
      </c>
      <c r="G180" s="1" t="str">
        <f aca="false">SUBSTITUTE(SUBSTITUTE(_xlfn.TEXTBEFORE(A180,","), "-", ""), " ", "")</f>
        <v>Smaers</v>
      </c>
      <c r="H180" s="1" t="str">
        <f aca="false">_xlfn.LET(
_xlpm.authors,_xlfn.TEXTBEFORE(A180," ("&amp;I180&amp;")"),
_xlpm.hasAmp,ISNUMBER(SEARCH("&amp;",_xlpm.authors)),
_xlpm.commasBeforeAmp,IF(_xlpm.hasAmp,LEN(_xlfn.TEXTBEFORE(_xlpm.authors,"&amp;"))-LEN(SUBSTITUTE(_xlfn.TEXTBEFORE(_xlpm.authors,"&amp;"),",","")),0),
IF(NOT(_xlpm.hasAmp),"",IF(_xlpm.commasBeforeAmp&gt;2,"etal",TRIM(_xlfn.TEXTBEFORE(_xlfn.TEXTAFTER(_xlpm.authors,"&amp; "),","))))
)</f>
        <v>etal</v>
      </c>
      <c r="I180" s="1" t="str">
        <f aca="false">_xlfn.TEXTBEFORE(_xlfn.TEXTAFTER(A180, "("), ")")</f>
        <v>2011</v>
      </c>
      <c r="J180" s="1" t="str">
        <f aca="false">_xlfn.LET(
_xlpm.doi,IF(C180&lt;&gt;"",C180,_xlfn.TEXTAFTER(A180,"https://doi.org/")),
SUBSTITUTE(
SUBSTITUTE(
SUBSTITUTE(
SUBSTITUTE(
_xlpm.doi,
"/","%2F"),
":","%3A"),
"&lt;","%3C"),
"&gt;","%3E")
)</f>
        <v>10.1159%2F000323671</v>
      </c>
      <c r="K180" s="1" t="str">
        <f aca="false">TRIM(_xlfn.TEXTJOIN("_",FALSE(),F180,(SUBSTITUTE(SUBSTITUTE(D180," ",""), "_", ""))))</f>
        <v>Smaers_etal_2011_SupplementaryTable1</v>
      </c>
      <c r="L180" s="1" t="str">
        <f aca="false">J180 &amp; "_" &amp; SUBSTITUTE(SUBSTITUTE(SUBSTITUTE(D180,CHAR(160),"")," ",""),"_","")</f>
        <v>10.1159%2F000323671_SupplementaryTable1</v>
      </c>
      <c r="M180" s="1" t="str">
        <f aca="false" t="array" ref="M180:M180">IFERROR(INDEX(FileList!$A$1:$A$1000,MATCH(TRUE(),EXACT(L180,IFERROR(_xlfn.TEXTBEFORE(FileList!$A$1:$A$1000,".tsv"),"")),0)),"notfound")</f>
        <v>notfound</v>
      </c>
      <c r="Q180" s="4" t="s">
        <v>134</v>
      </c>
      <c r="V180" s="4" t="s">
        <v>42</v>
      </c>
      <c r="Z180" s="4" t="s">
        <v>235</v>
      </c>
      <c r="AF180" s="4" t="s">
        <v>80</v>
      </c>
      <c r="AG180" s="4" t="s">
        <v>114</v>
      </c>
      <c r="AI180" s="4" t="s">
        <v>716</v>
      </c>
      <c r="AJ180" s="4" t="s">
        <v>120</v>
      </c>
      <c r="AL180" s="4" t="s">
        <v>364</v>
      </c>
      <c r="AM180" s="4" t="s">
        <v>86</v>
      </c>
    </row>
    <row r="181" customFormat="false" ht="15" hidden="false" customHeight="true" outlineLevel="0" collapsed="false">
      <c r="A181" s="4" t="s">
        <v>714</v>
      </c>
      <c r="D181" s="4" t="s">
        <v>717</v>
      </c>
      <c r="E181" s="1" t="str">
        <f aca="false">RIGHT(A181,1)</f>
        <v>1</v>
      </c>
      <c r="F181" s="1" t="str">
        <f aca="false">G181 &amp; IF(H181&lt;&gt;"", "_" &amp; H181, "_") &amp; IF(I181&lt;&gt;"", "_" &amp; I181, "_") &amp; IF(B181&lt;&gt;"", "_" &amp; B181, "")</f>
        <v>Smaers_etal_2011</v>
      </c>
      <c r="G181" s="1" t="str">
        <f aca="false">SUBSTITUTE(SUBSTITUTE(_xlfn.TEXTBEFORE(A181,","), "-", ""), " ", "")</f>
        <v>Smaers</v>
      </c>
      <c r="H181" s="1" t="str">
        <f aca="false">_xlfn.LET(
_xlpm.authors,_xlfn.TEXTBEFORE(A181," ("&amp;I181&amp;")"),
_xlpm.hasAmp,ISNUMBER(SEARCH("&amp;",_xlpm.authors)),
_xlpm.commasBeforeAmp,IF(_xlpm.hasAmp,LEN(_xlfn.TEXTBEFORE(_xlpm.authors,"&amp;"))-LEN(SUBSTITUTE(_xlfn.TEXTBEFORE(_xlpm.authors,"&amp;"),",","")),0),
IF(NOT(_xlpm.hasAmp),"",IF(_xlpm.commasBeforeAmp&gt;2,"etal",TRIM(_xlfn.TEXTBEFORE(_xlfn.TEXTAFTER(_xlpm.authors,"&amp; "),","))))
)</f>
        <v>etal</v>
      </c>
      <c r="I181" s="1" t="str">
        <f aca="false">_xlfn.TEXTBEFORE(_xlfn.TEXTAFTER(A181, "("), ")")</f>
        <v>2011</v>
      </c>
      <c r="J181" s="1" t="str">
        <f aca="false">_xlfn.LET(
_xlpm.doi,IF(C181&lt;&gt;"",C181,_xlfn.TEXTAFTER(A181,"https://doi.org/")),
SUBSTITUTE(
SUBSTITUTE(
SUBSTITUTE(
SUBSTITUTE(
_xlpm.doi,
"/","%2F"),
":","%3A"),
"&lt;","%3C"),
"&gt;","%3E")
)</f>
        <v>10.1159%2F000323671</v>
      </c>
      <c r="K181" s="1" t="str">
        <f aca="false">TRIM(_xlfn.TEXTJOIN("_",FALSE(),F181,(SUBSTITUTE(SUBSTITUTE(D181," ",""), "_", ""))))</f>
        <v>Smaers_etal_2011_SupplementaryTable2</v>
      </c>
      <c r="L181" s="1" t="str">
        <f aca="false">J181 &amp; "_" &amp; SUBSTITUTE(SUBSTITUTE(SUBSTITUTE(D181,CHAR(160),"")," ",""),"_","")</f>
        <v>10.1159%2F000323671_SupplementaryTable2</v>
      </c>
      <c r="M181" s="1" t="str">
        <f aca="false" t="array" ref="M181:M181">IFERROR(INDEX(FileList!$A$1:$A$1000,MATCH(TRUE(),EXACT(L181,IFERROR(_xlfn.TEXTBEFORE(FileList!$A$1:$A$1000,".tsv"),"")),0)),"notfound")</f>
        <v>notfound</v>
      </c>
      <c r="Q181" s="4" t="s">
        <v>134</v>
      </c>
      <c r="V181" s="4" t="s">
        <v>42</v>
      </c>
      <c r="Z181" s="4" t="s">
        <v>235</v>
      </c>
      <c r="AF181" s="4" t="s">
        <v>80</v>
      </c>
      <c r="AG181" s="4" t="s">
        <v>114</v>
      </c>
      <c r="AI181" s="4" t="s">
        <v>716</v>
      </c>
      <c r="AJ181" s="4" t="s">
        <v>120</v>
      </c>
      <c r="AL181" s="4" t="s">
        <v>364</v>
      </c>
      <c r="AM181" s="4" t="s">
        <v>86</v>
      </c>
    </row>
    <row r="182" customFormat="false" ht="15" hidden="false" customHeight="true" outlineLevel="0" collapsed="false">
      <c r="A182" s="4" t="s">
        <v>718</v>
      </c>
      <c r="C182" s="4" t="s">
        <v>719</v>
      </c>
      <c r="D182" s="4" t="s">
        <v>720</v>
      </c>
      <c r="E182" s="1" t="str">
        <f aca="false">RIGHT(A182,1)</f>
        <v>6</v>
      </c>
      <c r="F182" s="1" t="str">
        <f aca="false">G182 &amp; IF(H182&lt;&gt;"", "_" &amp; H182, "_") &amp; IF(I182&lt;&gt;"", "_" &amp; I182, "_") &amp; IF(B182&lt;&gt;"", "_" &amp; B182, "")</f>
        <v>Smaers_etal_2018</v>
      </c>
      <c r="G182" s="1" t="str">
        <f aca="false">SUBSTITUTE(SUBSTITUTE(_xlfn.TEXTBEFORE(A182,","), "-", ""), " ", "")</f>
        <v>Smaers</v>
      </c>
      <c r="H182" s="1" t="str">
        <f aca="false">_xlfn.LET(
_xlpm.authors,_xlfn.TEXTBEFORE(A182," ("&amp;I182&amp;")"),
_xlpm.hasAmp,ISNUMBER(SEARCH("&amp;",_xlpm.authors)),
_xlpm.commasBeforeAmp,IF(_xlpm.hasAmp,LEN(_xlfn.TEXTBEFORE(_xlpm.authors,"&amp;"))-LEN(SUBSTITUTE(_xlfn.TEXTBEFORE(_xlpm.authors,"&amp;"),",","")),0),
IF(NOT(_xlpm.hasAmp),"",IF(_xlpm.commasBeforeAmp&gt;2,"etal",TRIM(_xlfn.TEXTBEFORE(_xlfn.TEXTAFTER(_xlpm.authors,"&amp; "),","))))
)</f>
        <v>etal</v>
      </c>
      <c r="I182" s="1" t="str">
        <f aca="false">_xlfn.TEXTBEFORE(_xlfn.TEXTAFTER(A182, "("), ")")</f>
        <v>2018</v>
      </c>
      <c r="J182" s="1" t="str">
        <f aca="false">_xlfn.LET(
_xlpm.doi,IF(C182&lt;&gt;"",C182,_xlfn.TEXTAFTER(A182,"https://doi.org/")),
SUBSTITUTE(
SUBSTITUTE(
SUBSTITUTE(
SUBSTITUTE(
_xlpm.doi,
"/","%2F"),
":","%3A"),
"&lt;","%3C"),
"&gt;","%3E")
)</f>
        <v>10.7554%2FeLife.35696</v>
      </c>
      <c r="K182" s="1" t="str">
        <f aca="false">TRIM(_xlfn.TEXTJOIN("_",FALSE(),F182,(SUBSTITUTE(SUBSTITUTE(D182," ",""), "_", ""))))</f>
        <v>Smaers_etal_2018_Figure2-data1</v>
      </c>
      <c r="L182" s="1" t="str">
        <f aca="false">J182 &amp; "_" &amp; SUBSTITUTE(SUBSTITUTE(SUBSTITUTE(D182,CHAR(160),"")," ",""),"_","")</f>
        <v>10.7554%2FeLife.35696_Figure2-data1</v>
      </c>
      <c r="M182" s="1" t="str">
        <f aca="false" t="array" ref="M182:M182">IFERROR(INDEX(FileList!$A$1:$A$1000,MATCH(TRUE(),EXACT(L182,IFERROR(_xlfn.TEXTBEFORE(FileList!$A$1:$A$1000,".tsv"),"")),0)),"notfound")</f>
        <v>notfound</v>
      </c>
      <c r="N182" s="4" t="s">
        <v>721</v>
      </c>
      <c r="Z182" s="4" t="s">
        <v>235</v>
      </c>
      <c r="AF182" s="4" t="s">
        <v>80</v>
      </c>
      <c r="AG182" s="4" t="s">
        <v>114</v>
      </c>
      <c r="AI182" s="4" t="s">
        <v>722</v>
      </c>
      <c r="AJ182" s="4" t="s">
        <v>142</v>
      </c>
      <c r="AL182" s="4" t="s">
        <v>364</v>
      </c>
      <c r="AM182" s="4" t="s">
        <v>86</v>
      </c>
    </row>
    <row r="183" customFormat="false" ht="15" hidden="false" customHeight="true" outlineLevel="0" collapsed="false">
      <c r="A183" s="4" t="s">
        <v>723</v>
      </c>
      <c r="C183" s="4" t="s">
        <v>724</v>
      </c>
      <c r="D183" s="4" t="s">
        <v>77</v>
      </c>
      <c r="E183" s="1" t="str">
        <f aca="false">RIGHT(A183,1)</f>
        <v>3</v>
      </c>
      <c r="F183" s="1" t="str">
        <f aca="false">G183 &amp; IF(H183&lt;&gt;"", "_" &amp; H183, "_") &amp; IF(I183&lt;&gt;"", "_" &amp; I183, "_") &amp; IF(B183&lt;&gt;"", "_" &amp; B183, "")</f>
        <v>Stephan_etal_1982</v>
      </c>
      <c r="G183" s="1" t="str">
        <f aca="false">SUBSTITUTE(SUBSTITUTE(_xlfn.TEXTBEFORE(A183,","), "-", ""), " ", "")</f>
        <v>Stephan</v>
      </c>
      <c r="H183" s="1" t="str">
        <f aca="false">_xlfn.LET(
_xlpm.authors,_xlfn.TEXTBEFORE(A183," ("&amp;I183&amp;")"),
_xlpm.hasAmp,ISNUMBER(SEARCH("&amp;",_xlpm.authors)),
_xlpm.commasBeforeAmp,IF(_xlpm.hasAmp,LEN(_xlfn.TEXTBEFORE(_xlpm.authors,"&amp;"))-LEN(SUBSTITUTE(_xlfn.TEXTBEFORE(_xlpm.authors,"&amp;"),",","")),0),
IF(NOT(_xlpm.hasAmp),"",IF(_xlpm.commasBeforeAmp&gt;2,"etal",TRIM(_xlfn.TEXTBEFORE(_xlfn.TEXTAFTER(_xlpm.authors,"&amp; "),","))))
)</f>
        <v>etal</v>
      </c>
      <c r="I183" s="1" t="str">
        <f aca="false">_xlfn.TEXTBEFORE(_xlfn.TEXTAFTER(A183, "("), ")")</f>
        <v>1982</v>
      </c>
      <c r="J183" s="1" t="str">
        <f aca="false">_xlfn.LET(
_xlpm.doi,IF(C183&lt;&gt;"",C183,_xlfn.TEXTAFTER(A183,"https://doi.org/")),
SUBSTITUTE(
SUBSTITUTE(
SUBSTITUTE(
SUBSTITUTE(
_xlpm.doi,
"/","%2F"),
":","%3A"),
"&lt;","%3C"),
"&gt;","%3E")
)</f>
        <v>PMID%3A7161483</v>
      </c>
      <c r="K183" s="1" t="str">
        <f aca="false">TRIM(_xlfn.TEXTJOIN("_",FALSE(),F183,(SUBSTITUTE(SUBSTITUTE(D183," ",""), "_", ""))))</f>
        <v>Stephan_etal_1982_Table1</v>
      </c>
      <c r="L183" s="1" t="str">
        <f aca="false">J183 &amp; "_" &amp; SUBSTITUTE(SUBSTITUTE(SUBSTITUTE(D183,CHAR(160),"")," ",""),"_","")</f>
        <v>PMID%3A7161483_Table1</v>
      </c>
      <c r="M183" s="1" t="str">
        <f aca="false" t="array" ref="M183:M183">IFERROR(INDEX(FileList!$A$1:$A$1000,MATCH(TRUE(),EXACT(L183,IFERROR(_xlfn.TEXTBEFORE(FileList!$A$1:$A$1000,".tsv"),"")),0)),"notfound")</f>
        <v>notfound</v>
      </c>
      <c r="N183" s="4" t="s">
        <v>725</v>
      </c>
      <c r="P183" s="4" t="s">
        <v>41</v>
      </c>
      <c r="V183" s="4" t="s">
        <v>42</v>
      </c>
      <c r="W183" s="4" t="s">
        <v>106</v>
      </c>
      <c r="Y183" s="4" t="s">
        <v>101</v>
      </c>
      <c r="Z183" s="4" t="s">
        <v>101</v>
      </c>
      <c r="AF183" s="4" t="s">
        <v>80</v>
      </c>
      <c r="AG183" s="4" t="s">
        <v>114</v>
      </c>
      <c r="AI183" s="4" t="s">
        <v>726</v>
      </c>
      <c r="AJ183" s="4" t="s">
        <v>103</v>
      </c>
      <c r="AK183" s="4" t="s">
        <v>63</v>
      </c>
      <c r="AL183" s="4" t="s">
        <v>63</v>
      </c>
      <c r="AM183" s="4" t="s">
        <v>86</v>
      </c>
    </row>
    <row r="184" customFormat="false" ht="15" hidden="false" customHeight="true" outlineLevel="0" collapsed="false">
      <c r="A184" s="4" t="s">
        <v>727</v>
      </c>
      <c r="C184" s="4" t="s">
        <v>728</v>
      </c>
      <c r="D184" s="4" t="s">
        <v>49</v>
      </c>
      <c r="E184" s="1" t="str">
        <f aca="false">RIGHT(A184,1)</f>
        <v>.</v>
      </c>
      <c r="F184" s="1" t="str">
        <f aca="false">G184 &amp; IF(H184&lt;&gt;"", "_" &amp; H184, "_") &amp; IF(I184&lt;&gt;"", "_" &amp; I184, "_") &amp; IF(B184&lt;&gt;"", "_" &amp; B184, "")</f>
        <v>Stephan_etal_1988</v>
      </c>
      <c r="G184" s="1" t="str">
        <f aca="false">SUBSTITUTE(SUBSTITUTE(_xlfn.TEXTBEFORE(A184,","), "-", ""), " ", "")</f>
        <v>Stephan</v>
      </c>
      <c r="H184" s="1" t="str">
        <f aca="false">_xlfn.LET(
_xlpm.authors,_xlfn.TEXTBEFORE(A184," ("&amp;I184&amp;")"),
_xlpm.hasAmp,ISNUMBER(SEARCH("&amp;",_xlpm.authors)),
_xlpm.commasBeforeAmp,IF(_xlpm.hasAmp,LEN(_xlfn.TEXTBEFORE(_xlpm.authors,"&amp;"))-LEN(SUBSTITUTE(_xlfn.TEXTBEFORE(_xlpm.authors,"&amp;"),",","")),0),
IF(NOT(_xlpm.hasAmp),"",IF(_xlpm.commasBeforeAmp&gt;2,"etal",TRIM(_xlfn.TEXTBEFORE(_xlfn.TEXTAFTER(_xlpm.authors,"&amp; "),","))))
)</f>
        <v>etal</v>
      </c>
      <c r="I184" s="1" t="str">
        <f aca="false">_xlfn.TEXTBEFORE(_xlfn.TEXTAFTER(A184, "("), ")")</f>
        <v>1988</v>
      </c>
      <c r="J184" s="1" t="str">
        <f aca="false">_xlfn.LET(
_xlpm.doi,IF(C184&lt;&gt;"",C184,_xlfn.TEXTAFTER(A184,"https://doi.org/")),
SUBSTITUTE(
SUBSTITUTE(
SUBSTITUTE(
SUBSTITUTE(
_xlpm.doi,
"/","%2F"),
":","%3A"),
"&lt;","%3C"),
"&gt;","%3E")
)</f>
        <v>ISBN%3A0845140000</v>
      </c>
      <c r="K184" s="1" t="str">
        <f aca="false">TRIM(_xlfn.TEXTJOIN("_",FALSE(),F184,(SUBSTITUTE(SUBSTITUTE(D184," ",""), "_", ""))))</f>
        <v>Stephan_etal_1988_TABLE1</v>
      </c>
      <c r="L184" s="1" t="str">
        <f aca="false">J184 &amp; "_" &amp; SUBSTITUTE(SUBSTITUTE(SUBSTITUTE(D184,CHAR(160),"")," ",""),"_","")</f>
        <v>ISBN%3A0845140000_TABLE1</v>
      </c>
      <c r="M184" s="1" t="str">
        <f aca="false" t="array" ref="M184:M184">IFERROR(INDEX(FileList!$A$1:$A$1000,MATCH(TRUE(),EXACT(L184,IFERROR(_xlfn.TEXTBEFORE(FileList!$A$1:$A$1000,".tsv"),"")),0)),"notfound")</f>
        <v>notfound</v>
      </c>
      <c r="N184" s="4" t="s">
        <v>729</v>
      </c>
    </row>
    <row r="185" customFormat="false" ht="15" hidden="false" customHeight="true" outlineLevel="0" collapsed="false">
      <c r="A185" s="4" t="s">
        <v>730</v>
      </c>
      <c r="C185" s="4" t="s">
        <v>731</v>
      </c>
      <c r="D185" s="4" t="s">
        <v>49</v>
      </c>
      <c r="E185" s="1" t="str">
        <f aca="false">RIGHT(A185,1)</f>
        <v>s</v>
      </c>
      <c r="F185" s="1" t="str">
        <f aca="false">G185 &amp; IF(H185&lt;&gt;"", "_" &amp; H185, "_") &amp; IF(I185&lt;&gt;"", "_" &amp; I185, "_") &amp; IF(B185&lt;&gt;"", "_" &amp; B185, "")</f>
        <v>Stephan_etal_1970</v>
      </c>
      <c r="G185" s="1" t="str">
        <f aca="false">SUBSTITUTE(SUBSTITUTE(_xlfn.TEXTBEFORE(A185,","), "-", ""), " ", "")</f>
        <v>Stephan</v>
      </c>
      <c r="H185" s="1" t="str">
        <f aca="false">_xlfn.LET(
_xlpm.authors,_xlfn.TEXTBEFORE(A185," ("&amp;I185&amp;")"),
_xlpm.hasAmp,ISNUMBER(SEARCH("&amp;",_xlpm.authors)),
_xlpm.commasBeforeAmp,IF(_xlpm.hasAmp,LEN(_xlfn.TEXTBEFORE(_xlpm.authors,"&amp;"))-LEN(SUBSTITUTE(_xlfn.TEXTBEFORE(_xlpm.authors,"&amp;"),",","")),0),
IF(NOT(_xlpm.hasAmp),"",IF(_xlpm.commasBeforeAmp&gt;2,"etal",TRIM(_xlfn.TEXTBEFORE(_xlfn.TEXTAFTER(_xlpm.authors,"&amp; "),","))))
)</f>
        <v>etal</v>
      </c>
      <c r="I185" s="1" t="str">
        <f aca="false">_xlfn.TEXTBEFORE(_xlfn.TEXTAFTER(A185, "("), ")")</f>
        <v>1970</v>
      </c>
      <c r="J185" s="1" t="str">
        <f aca="false">_xlfn.LET(
_xlpm.doi,IF(C185&lt;&gt;"",C185,_xlfn.TEXTAFTER(A185,"https://doi.org/")),
SUBSTITUTE(
SUBSTITUTE(
SUBSTITUTE(
SUBSTITUTE(
_xlpm.doi,
"/","%2F"),
":","%3A"),
"&lt;","%3C"),
"&gt;","%3E")
)</f>
        <v>ISBN%3A0390672505</v>
      </c>
      <c r="K185" s="1" t="str">
        <f aca="false">TRIM(_xlfn.TEXTJOIN("_",FALSE(),F185,(SUBSTITUTE(SUBSTITUTE(D185," ",""), "_", ""))))</f>
        <v>Stephan_etal_1970_TABLE1</v>
      </c>
      <c r="L185" s="1" t="str">
        <f aca="false">J185 &amp; "_" &amp; SUBSTITUTE(SUBSTITUTE(SUBSTITUTE(D185,CHAR(160),"")," ",""),"_","")</f>
        <v>ISBN%3A0390672505_TABLE1</v>
      </c>
      <c r="M185" s="1" t="str">
        <f aca="false" t="array" ref="M185:M185">IFERROR(INDEX(FileList!$A$1:$A$1000,MATCH(TRUE(),EXACT(L185,IFERROR(_xlfn.TEXTBEFORE(FileList!$A$1:$A$1000,".tsv"),"")),0)),"notfound")</f>
        <v>notfound</v>
      </c>
      <c r="N185" s="4" t="s">
        <v>732</v>
      </c>
      <c r="V185" s="4" t="s">
        <v>42</v>
      </c>
      <c r="Z185" s="4" t="s">
        <v>101</v>
      </c>
      <c r="AF185" s="4" t="s">
        <v>80</v>
      </c>
      <c r="AG185" s="4" t="s">
        <v>114</v>
      </c>
      <c r="AJ185" s="4" t="s">
        <v>733</v>
      </c>
      <c r="AL185" s="4" t="s">
        <v>63</v>
      </c>
      <c r="AM185" s="4" t="s">
        <v>86</v>
      </c>
    </row>
    <row r="186" customFormat="false" ht="15" hidden="false" customHeight="true" outlineLevel="0" collapsed="false">
      <c r="A186" s="4" t="s">
        <v>730</v>
      </c>
      <c r="C186" s="4" t="s">
        <v>731</v>
      </c>
      <c r="D186" s="4" t="s">
        <v>94</v>
      </c>
      <c r="E186" s="1" t="str">
        <f aca="false">RIGHT(A186,1)</f>
        <v>s</v>
      </c>
      <c r="F186" s="1" t="str">
        <f aca="false">G186 &amp; IF(H186&lt;&gt;"", "_" &amp; H186, "_") &amp; IF(I186&lt;&gt;"", "_" &amp; I186, "_") &amp; IF(B186&lt;&gt;"", "_" &amp; B186, "")</f>
        <v>Stephan_etal_1970</v>
      </c>
      <c r="G186" s="1" t="str">
        <f aca="false">SUBSTITUTE(SUBSTITUTE(_xlfn.TEXTBEFORE(A186,","), "-", ""), " ", "")</f>
        <v>Stephan</v>
      </c>
      <c r="H186" s="1" t="str">
        <f aca="false">_xlfn.LET(
_xlpm.authors,_xlfn.TEXTBEFORE(A186," ("&amp;I186&amp;")"),
_xlpm.hasAmp,ISNUMBER(SEARCH("&amp;",_xlpm.authors)),
_xlpm.commasBeforeAmp,IF(_xlpm.hasAmp,LEN(_xlfn.TEXTBEFORE(_xlpm.authors,"&amp;"))-LEN(SUBSTITUTE(_xlfn.TEXTBEFORE(_xlpm.authors,"&amp;"),",","")),0),
IF(NOT(_xlpm.hasAmp),"",IF(_xlpm.commasBeforeAmp&gt;2,"etal",TRIM(_xlfn.TEXTBEFORE(_xlfn.TEXTAFTER(_xlpm.authors,"&amp; "),","))))
)</f>
        <v>etal</v>
      </c>
      <c r="I186" s="1" t="str">
        <f aca="false">_xlfn.TEXTBEFORE(_xlfn.TEXTAFTER(A186, "("), ")")</f>
        <v>1970</v>
      </c>
      <c r="J186" s="1" t="str">
        <f aca="false">_xlfn.LET(
_xlpm.doi,IF(C186&lt;&gt;"",C186,_xlfn.TEXTAFTER(A186,"https://doi.org/")),
SUBSTITUTE(
SUBSTITUTE(
SUBSTITUTE(
SUBSTITUTE(
_xlpm.doi,
"/","%2F"),
":","%3A"),
"&lt;","%3C"),
"&gt;","%3E")
)</f>
        <v>ISBN%3A0390672505</v>
      </c>
      <c r="K186" s="1" t="str">
        <f aca="false">TRIM(_xlfn.TEXTJOIN("_",FALSE(),F186,(SUBSTITUTE(SUBSTITUTE(D186," ",""), "_", ""))))</f>
        <v>Stephan_etal_1970_TABLE2</v>
      </c>
      <c r="L186" s="1" t="str">
        <f aca="false">J186 &amp; "_" &amp; SUBSTITUTE(SUBSTITUTE(SUBSTITUTE(D186,CHAR(160),"")," ",""),"_","")</f>
        <v>ISBN%3A0390672505_TABLE2</v>
      </c>
      <c r="M186" s="1" t="str">
        <f aca="false" t="array" ref="M186:M186">IFERROR(INDEX(FileList!$A$1:$A$1000,MATCH(TRUE(),EXACT(L186,IFERROR(_xlfn.TEXTBEFORE(FileList!$A$1:$A$1000,".tsv"),"")),0)),"notfound")</f>
        <v>notfound</v>
      </c>
      <c r="N186" s="4" t="s">
        <v>734</v>
      </c>
      <c r="V186" s="4" t="s">
        <v>42</v>
      </c>
      <c r="Z186" s="4" t="s">
        <v>101</v>
      </c>
      <c r="AF186" s="4" t="s">
        <v>80</v>
      </c>
      <c r="AG186" s="4" t="s">
        <v>114</v>
      </c>
      <c r="AJ186" s="4" t="s">
        <v>120</v>
      </c>
      <c r="AL186" s="4" t="s">
        <v>63</v>
      </c>
      <c r="AM186" s="4" t="s">
        <v>86</v>
      </c>
    </row>
    <row r="187" customFormat="false" ht="15" hidden="false" customHeight="true" outlineLevel="0" collapsed="false">
      <c r="A187" s="4" t="s">
        <v>730</v>
      </c>
      <c r="C187" s="4" t="s">
        <v>731</v>
      </c>
      <c r="D187" s="4" t="s">
        <v>735</v>
      </c>
      <c r="E187" s="1" t="str">
        <f aca="false">RIGHT(A187,1)</f>
        <v>s</v>
      </c>
      <c r="F187" s="1" t="str">
        <f aca="false">G187 &amp; IF(H187&lt;&gt;"", "_" &amp; H187, "_") &amp; IF(I187&lt;&gt;"", "_" &amp; I187, "_") &amp; IF(B187&lt;&gt;"", "_" &amp; B187, "")</f>
        <v>Stephan_etal_1970</v>
      </c>
      <c r="G187" s="1" t="str">
        <f aca="false">SUBSTITUTE(SUBSTITUTE(_xlfn.TEXTBEFORE(A187,","), "-", ""), " ", "")</f>
        <v>Stephan</v>
      </c>
      <c r="H187" s="1" t="str">
        <f aca="false">_xlfn.LET(
_xlpm.authors,_xlfn.TEXTBEFORE(A187," ("&amp;I187&amp;")"),
_xlpm.hasAmp,ISNUMBER(SEARCH("&amp;",_xlpm.authors)),
_xlpm.commasBeforeAmp,IF(_xlpm.hasAmp,LEN(_xlfn.TEXTBEFORE(_xlpm.authors,"&amp;"))-LEN(SUBSTITUTE(_xlfn.TEXTBEFORE(_xlpm.authors,"&amp;"),",","")),0),
IF(NOT(_xlpm.hasAmp),"",IF(_xlpm.commasBeforeAmp&gt;2,"etal",TRIM(_xlfn.TEXTBEFORE(_xlfn.TEXTAFTER(_xlpm.authors,"&amp; "),","))))
)</f>
        <v>etal</v>
      </c>
      <c r="I187" s="1" t="str">
        <f aca="false">_xlfn.TEXTBEFORE(_xlfn.TEXTAFTER(A187, "("), ")")</f>
        <v>1970</v>
      </c>
      <c r="J187" s="1" t="str">
        <f aca="false">_xlfn.LET(
_xlpm.doi,IF(C187&lt;&gt;"",C187,_xlfn.TEXTAFTER(A187,"https://doi.org/")),
SUBSTITUTE(
SUBSTITUTE(
SUBSTITUTE(
SUBSTITUTE(
_xlpm.doi,
"/","%2F"),
":","%3A"),
"&lt;","%3C"),
"&gt;","%3E")
)</f>
        <v>ISBN%3A0390672505</v>
      </c>
      <c r="K187" s="1" t="str">
        <f aca="false">TRIM(_xlfn.TEXTJOIN("_",FALSE(),F187,(SUBSTITUTE(SUBSTITUTE(D187," ",""), "_", ""))))</f>
        <v>Stephan_etal_1970_TABLE3</v>
      </c>
      <c r="L187" s="1" t="str">
        <f aca="false">J187 &amp; "_" &amp; SUBSTITUTE(SUBSTITUTE(SUBSTITUTE(D187,CHAR(160),"")," ",""),"_","")</f>
        <v>ISBN%3A0390672505_TABLE3</v>
      </c>
      <c r="M187" s="1" t="str">
        <f aca="false" t="array" ref="M187:M187">IFERROR(INDEX(FileList!$A$1:$A$1000,MATCH(TRUE(),EXACT(L187,IFERROR(_xlfn.TEXTBEFORE(FileList!$A$1:$A$1000,".tsv"),"")),0)),"notfound")</f>
        <v>notfound</v>
      </c>
      <c r="N187" s="4" t="s">
        <v>736</v>
      </c>
      <c r="V187" s="4" t="s">
        <v>42</v>
      </c>
      <c r="Z187" s="4" t="s">
        <v>101</v>
      </c>
      <c r="AF187" s="4" t="s">
        <v>80</v>
      </c>
      <c r="AG187" s="4" t="s">
        <v>114</v>
      </c>
      <c r="AJ187" s="4" t="s">
        <v>120</v>
      </c>
      <c r="AL187" s="4" t="s">
        <v>63</v>
      </c>
      <c r="AM187" s="4" t="s">
        <v>86</v>
      </c>
    </row>
    <row r="188" customFormat="false" ht="15" hidden="false" customHeight="true" outlineLevel="0" collapsed="false">
      <c r="A188" s="4" t="s">
        <v>730</v>
      </c>
      <c r="C188" s="4" t="s">
        <v>731</v>
      </c>
      <c r="D188" s="4" t="s">
        <v>737</v>
      </c>
      <c r="E188" s="1" t="str">
        <f aca="false">RIGHT(A188,1)</f>
        <v>s</v>
      </c>
      <c r="F188" s="1" t="str">
        <f aca="false">G188 &amp; IF(H188&lt;&gt;"", "_" &amp; H188, "_") &amp; IF(I188&lt;&gt;"", "_" &amp; I188, "_") &amp; IF(B188&lt;&gt;"", "_" &amp; B188, "")</f>
        <v>Stephan_etal_1970</v>
      </c>
      <c r="G188" s="1" t="str">
        <f aca="false">SUBSTITUTE(SUBSTITUTE(_xlfn.TEXTBEFORE(A188,","), "-", ""), " ", "")</f>
        <v>Stephan</v>
      </c>
      <c r="H188" s="1" t="str">
        <f aca="false">_xlfn.LET(
_xlpm.authors,_xlfn.TEXTBEFORE(A188," ("&amp;I188&amp;")"),
_xlpm.hasAmp,ISNUMBER(SEARCH("&amp;",_xlpm.authors)),
_xlpm.commasBeforeAmp,IF(_xlpm.hasAmp,LEN(_xlfn.TEXTBEFORE(_xlpm.authors,"&amp;"))-LEN(SUBSTITUTE(_xlfn.TEXTBEFORE(_xlpm.authors,"&amp;"),",","")),0),
IF(NOT(_xlpm.hasAmp),"",IF(_xlpm.commasBeforeAmp&gt;2,"etal",TRIM(_xlfn.TEXTBEFORE(_xlfn.TEXTAFTER(_xlpm.authors,"&amp; "),","))))
)</f>
        <v>etal</v>
      </c>
      <c r="I188" s="1" t="str">
        <f aca="false">_xlfn.TEXTBEFORE(_xlfn.TEXTAFTER(A188, "("), ")")</f>
        <v>1970</v>
      </c>
      <c r="J188" s="1" t="str">
        <f aca="false">_xlfn.LET(
_xlpm.doi,IF(C188&lt;&gt;"",C188,_xlfn.TEXTAFTER(A188,"https://doi.org/")),
SUBSTITUTE(
SUBSTITUTE(
SUBSTITUTE(
SUBSTITUTE(
_xlpm.doi,
"/","%2F"),
":","%3A"),
"&lt;","%3C"),
"&gt;","%3E")
)</f>
        <v>ISBN%3A0390672505</v>
      </c>
      <c r="K188" s="1" t="str">
        <f aca="false">TRIM(_xlfn.TEXTJOIN("_",FALSE(),F188,(SUBSTITUTE(SUBSTITUTE(D188," ",""), "_", ""))))</f>
        <v>Stephan_etal_1970_TABLE4</v>
      </c>
      <c r="L188" s="1" t="str">
        <f aca="false">J188 &amp; "_" &amp; SUBSTITUTE(SUBSTITUTE(SUBSTITUTE(D188,CHAR(160),"")," ",""),"_","")</f>
        <v>ISBN%3A0390672505_TABLE4</v>
      </c>
      <c r="M188" s="1" t="str">
        <f aca="false" t="array" ref="M188:M188">IFERROR(INDEX(FileList!$A$1:$A$1000,MATCH(TRUE(),EXACT(L188,IFERROR(_xlfn.TEXTBEFORE(FileList!$A$1:$A$1000,".tsv"),"")),0)),"notfound")</f>
        <v>notfound</v>
      </c>
      <c r="N188" s="4" t="s">
        <v>738</v>
      </c>
      <c r="V188" s="4" t="s">
        <v>42</v>
      </c>
      <c r="Z188" s="4" t="s">
        <v>101</v>
      </c>
      <c r="AF188" s="4" t="s">
        <v>80</v>
      </c>
      <c r="AG188" s="4" t="s">
        <v>114</v>
      </c>
      <c r="AJ188" s="4" t="s">
        <v>733</v>
      </c>
      <c r="AL188" s="4" t="s">
        <v>63</v>
      </c>
      <c r="AM188" s="4" t="s">
        <v>86</v>
      </c>
    </row>
    <row r="189" customFormat="false" ht="15" hidden="false" customHeight="true" outlineLevel="0" collapsed="false">
      <c r="A189" s="4" t="s">
        <v>730</v>
      </c>
      <c r="C189" s="4" t="s">
        <v>731</v>
      </c>
      <c r="D189" s="4" t="s">
        <v>739</v>
      </c>
      <c r="E189" s="1" t="str">
        <f aca="false">RIGHT(A189,1)</f>
        <v>s</v>
      </c>
      <c r="F189" s="1" t="str">
        <f aca="false">G189 &amp; IF(H189&lt;&gt;"", "_" &amp; H189, "_") &amp; IF(I189&lt;&gt;"", "_" &amp; I189, "_") &amp; IF(B189&lt;&gt;"", "_" &amp; B189, "")</f>
        <v>Stephan_etal_1970</v>
      </c>
      <c r="G189" s="1" t="str">
        <f aca="false">SUBSTITUTE(SUBSTITUTE(_xlfn.TEXTBEFORE(A189,","), "-", ""), " ", "")</f>
        <v>Stephan</v>
      </c>
      <c r="H189" s="1" t="str">
        <f aca="false">_xlfn.LET(
_xlpm.authors,_xlfn.TEXTBEFORE(A189," ("&amp;I189&amp;")"),
_xlpm.hasAmp,ISNUMBER(SEARCH("&amp;",_xlpm.authors)),
_xlpm.commasBeforeAmp,IF(_xlpm.hasAmp,LEN(_xlfn.TEXTBEFORE(_xlpm.authors,"&amp;"))-LEN(SUBSTITUTE(_xlfn.TEXTBEFORE(_xlpm.authors,"&amp;"),",","")),0),
IF(NOT(_xlpm.hasAmp),"",IF(_xlpm.commasBeforeAmp&gt;2,"etal",TRIM(_xlfn.TEXTBEFORE(_xlfn.TEXTAFTER(_xlpm.authors,"&amp; "),","))))
)</f>
        <v>etal</v>
      </c>
      <c r="I189" s="1" t="str">
        <f aca="false">_xlfn.TEXTBEFORE(_xlfn.TEXTAFTER(A189, "("), ")")</f>
        <v>1970</v>
      </c>
      <c r="J189" s="1" t="str">
        <f aca="false">_xlfn.LET(
_xlpm.doi,IF(C189&lt;&gt;"",C189,_xlfn.TEXTAFTER(A189,"https://doi.org/")),
SUBSTITUTE(
SUBSTITUTE(
SUBSTITUTE(
SUBSTITUTE(
_xlpm.doi,
"/","%2F"),
":","%3A"),
"&lt;","%3C"),
"&gt;","%3E")
)</f>
        <v>ISBN%3A0390672505</v>
      </c>
      <c r="K189" s="1" t="str">
        <f aca="false">TRIM(_xlfn.TEXTJOIN("_",FALSE(),F189,(SUBSTITUTE(SUBSTITUTE(D189," ",""), "_", ""))))</f>
        <v>Stephan_etal_1970_TABLE5</v>
      </c>
      <c r="L189" s="1" t="str">
        <f aca="false">J189 &amp; "_" &amp; SUBSTITUTE(SUBSTITUTE(SUBSTITUTE(D189,CHAR(160),"")," ",""),"_","")</f>
        <v>ISBN%3A0390672505_TABLE5</v>
      </c>
      <c r="M189" s="1" t="str">
        <f aca="false" t="array" ref="M189:M189">IFERROR(INDEX(FileList!$A$1:$A$1000,MATCH(TRUE(),EXACT(L189,IFERROR(_xlfn.TEXTBEFORE(FileList!$A$1:$A$1000,".tsv"),"")),0)),"notfound")</f>
        <v>notfound</v>
      </c>
      <c r="N189" s="4" t="s">
        <v>740</v>
      </c>
      <c r="V189" s="4" t="s">
        <v>42</v>
      </c>
      <c r="Z189" s="4" t="s">
        <v>101</v>
      </c>
      <c r="AF189" s="4" t="s">
        <v>80</v>
      </c>
      <c r="AG189" s="4" t="s">
        <v>114</v>
      </c>
      <c r="AJ189" s="4" t="s">
        <v>120</v>
      </c>
      <c r="AL189" s="4" t="s">
        <v>63</v>
      </c>
      <c r="AM189" s="4" t="s">
        <v>86</v>
      </c>
    </row>
    <row r="190" customFormat="false" ht="15" hidden="false" customHeight="true" outlineLevel="0" collapsed="false">
      <c r="A190" s="4" t="s">
        <v>730</v>
      </c>
      <c r="C190" s="4" t="s">
        <v>731</v>
      </c>
      <c r="D190" s="4" t="s">
        <v>741</v>
      </c>
      <c r="E190" s="1" t="str">
        <f aca="false">RIGHT(A190,1)</f>
        <v>s</v>
      </c>
      <c r="F190" s="1" t="str">
        <f aca="false">G190 &amp; IF(H190&lt;&gt;"", "_" &amp; H190, "_") &amp; IF(I190&lt;&gt;"", "_" &amp; I190, "_") &amp; IF(B190&lt;&gt;"", "_" &amp; B190, "")</f>
        <v>Stephan_etal_1970</v>
      </c>
      <c r="G190" s="1" t="str">
        <f aca="false">SUBSTITUTE(SUBSTITUTE(_xlfn.TEXTBEFORE(A190,","), "-", ""), " ", "")</f>
        <v>Stephan</v>
      </c>
      <c r="H190" s="1" t="str">
        <f aca="false">_xlfn.LET(
_xlpm.authors,_xlfn.TEXTBEFORE(A190," ("&amp;I190&amp;")"),
_xlpm.hasAmp,ISNUMBER(SEARCH("&amp;",_xlpm.authors)),
_xlpm.commasBeforeAmp,IF(_xlpm.hasAmp,LEN(_xlfn.TEXTBEFORE(_xlpm.authors,"&amp;"))-LEN(SUBSTITUTE(_xlfn.TEXTBEFORE(_xlpm.authors,"&amp;"),",","")),0),
IF(NOT(_xlpm.hasAmp),"",IF(_xlpm.commasBeforeAmp&gt;2,"etal",TRIM(_xlfn.TEXTBEFORE(_xlfn.TEXTAFTER(_xlpm.authors,"&amp; "),","))))
)</f>
        <v>etal</v>
      </c>
      <c r="I190" s="1" t="str">
        <f aca="false">_xlfn.TEXTBEFORE(_xlfn.TEXTAFTER(A190, "("), ")")</f>
        <v>1970</v>
      </c>
      <c r="J190" s="1" t="str">
        <f aca="false">_xlfn.LET(
_xlpm.doi,IF(C190&lt;&gt;"",C190,_xlfn.TEXTAFTER(A190,"https://doi.org/")),
SUBSTITUTE(
SUBSTITUTE(
SUBSTITUTE(
SUBSTITUTE(
_xlpm.doi,
"/","%2F"),
":","%3A"),
"&lt;","%3C"),
"&gt;","%3E")
)</f>
        <v>ISBN%3A0390672505</v>
      </c>
      <c r="K190" s="1" t="str">
        <f aca="false">TRIM(_xlfn.TEXTJOIN("_",FALSE(),F190,(SUBSTITUTE(SUBSTITUTE(D190," ",""), "_", ""))))</f>
        <v>Stephan_etal_1970_TABLE6</v>
      </c>
      <c r="L190" s="1" t="str">
        <f aca="false">J190 &amp; "_" &amp; SUBSTITUTE(SUBSTITUTE(SUBSTITUTE(D190,CHAR(160),"")," ",""),"_","")</f>
        <v>ISBN%3A0390672505_TABLE6</v>
      </c>
      <c r="M190" s="1" t="str">
        <f aca="false" t="array" ref="M190:M190">IFERROR(INDEX(FileList!$A$1:$A$1000,MATCH(TRUE(),EXACT(L190,IFERROR(_xlfn.TEXTBEFORE(FileList!$A$1:$A$1000,".tsv"),"")),0)),"notfound")</f>
        <v>notfound</v>
      </c>
      <c r="N190" s="4" t="s">
        <v>742</v>
      </c>
      <c r="V190" s="4" t="s">
        <v>42</v>
      </c>
      <c r="Z190" s="4" t="s">
        <v>101</v>
      </c>
      <c r="AF190" s="4" t="s">
        <v>80</v>
      </c>
      <c r="AG190" s="4" t="s">
        <v>114</v>
      </c>
      <c r="AJ190" s="4" t="s">
        <v>120</v>
      </c>
      <c r="AL190" s="4" t="s">
        <v>63</v>
      </c>
      <c r="AM190" s="4" t="s">
        <v>86</v>
      </c>
    </row>
    <row r="191" customFormat="false" ht="15" hidden="false" customHeight="true" outlineLevel="0" collapsed="false">
      <c r="A191" s="4" t="s">
        <v>730</v>
      </c>
      <c r="C191" s="4" t="s">
        <v>731</v>
      </c>
      <c r="D191" s="4" t="s">
        <v>743</v>
      </c>
      <c r="E191" s="1" t="str">
        <f aca="false">RIGHT(A191,1)</f>
        <v>s</v>
      </c>
      <c r="F191" s="1" t="str">
        <f aca="false">G191 &amp; IF(H191&lt;&gt;"", "_" &amp; H191, "_") &amp; IF(I191&lt;&gt;"", "_" &amp; I191, "_") &amp; IF(B191&lt;&gt;"", "_" &amp; B191, "")</f>
        <v>Stephan_etal_1970</v>
      </c>
      <c r="G191" s="1" t="str">
        <f aca="false">SUBSTITUTE(SUBSTITUTE(_xlfn.TEXTBEFORE(A191,","), "-", ""), " ", "")</f>
        <v>Stephan</v>
      </c>
      <c r="H191" s="1" t="str">
        <f aca="false">_xlfn.LET(
_xlpm.authors,_xlfn.TEXTBEFORE(A191," ("&amp;I191&amp;")"),
_xlpm.hasAmp,ISNUMBER(SEARCH("&amp;",_xlpm.authors)),
_xlpm.commasBeforeAmp,IF(_xlpm.hasAmp,LEN(_xlfn.TEXTBEFORE(_xlpm.authors,"&amp;"))-LEN(SUBSTITUTE(_xlfn.TEXTBEFORE(_xlpm.authors,"&amp;"),",","")),0),
IF(NOT(_xlpm.hasAmp),"",IF(_xlpm.commasBeforeAmp&gt;2,"etal",TRIM(_xlfn.TEXTBEFORE(_xlfn.TEXTAFTER(_xlpm.authors,"&amp; "),","))))
)</f>
        <v>etal</v>
      </c>
      <c r="I191" s="1" t="str">
        <f aca="false">_xlfn.TEXTBEFORE(_xlfn.TEXTAFTER(A191, "("), ")")</f>
        <v>1970</v>
      </c>
      <c r="J191" s="1" t="str">
        <f aca="false">_xlfn.LET(
_xlpm.doi,IF(C191&lt;&gt;"",C191,_xlfn.TEXTAFTER(A191,"https://doi.org/")),
SUBSTITUTE(
SUBSTITUTE(
SUBSTITUTE(
SUBSTITUTE(
_xlpm.doi,
"/","%2F"),
":","%3A"),
"&lt;","%3C"),
"&gt;","%3E")
)</f>
        <v>ISBN%3A0390672505</v>
      </c>
      <c r="K191" s="1" t="str">
        <f aca="false">TRIM(_xlfn.TEXTJOIN("_",FALSE(),F191,(SUBSTITUTE(SUBSTITUTE(D191," ",""), "_", ""))))</f>
        <v>Stephan_etal_1970_Tables1-6</v>
      </c>
      <c r="L191" s="1" t="str">
        <f aca="false">J191 &amp; "_" &amp; SUBSTITUTE(SUBSTITUTE(SUBSTITUTE(D191,CHAR(160),"")," ",""),"_","")</f>
        <v>ISBN%3A0390672505_Tables1-6</v>
      </c>
      <c r="M191" s="1" t="str">
        <f aca="false" t="array" ref="M191:M191">IFERROR(INDEX(FileList!$A$1:$A$1000,MATCH(TRUE(),EXACT(L191,IFERROR(_xlfn.TEXTBEFORE(FileList!$A$1:$A$1000,".tsv"),"")),0)),"notfound")</f>
        <v>notfound</v>
      </c>
      <c r="O191" s="4" t="s">
        <v>744</v>
      </c>
      <c r="P191" s="4" t="s">
        <v>41</v>
      </c>
      <c r="V191" s="4" t="s">
        <v>694</v>
      </c>
      <c r="Y191" s="4" t="s">
        <v>101</v>
      </c>
      <c r="Z191" s="4" t="s">
        <v>101</v>
      </c>
      <c r="AF191" s="4" t="s">
        <v>80</v>
      </c>
      <c r="AG191" s="4" t="s">
        <v>114</v>
      </c>
      <c r="AJ191" s="4" t="s">
        <v>103</v>
      </c>
      <c r="AL191" s="4" t="s">
        <v>63</v>
      </c>
      <c r="AM191" s="4" t="s">
        <v>86</v>
      </c>
    </row>
    <row r="192" customFormat="false" ht="15" hidden="false" customHeight="true" outlineLevel="0" collapsed="false">
      <c r="A192" s="4" t="s">
        <v>745</v>
      </c>
      <c r="C192" s="4" t="s">
        <v>746</v>
      </c>
      <c r="D192" s="4" t="s">
        <v>77</v>
      </c>
      <c r="E192" s="1" t="str">
        <f aca="false">RIGHT(A192,1)</f>
        <v>4</v>
      </c>
      <c r="F192" s="1" t="str">
        <f aca="false">G192 &amp; IF(H192&lt;&gt;"", "_" &amp; H192, "_") &amp; IF(I192&lt;&gt;"", "_" &amp; I192, "_") &amp; IF(B192&lt;&gt;"", "_" &amp; B192, "")</f>
        <v>Stephan_etal_1984</v>
      </c>
      <c r="G192" s="1" t="str">
        <f aca="false">SUBSTITUTE(SUBSTITUTE(_xlfn.TEXTBEFORE(A192,","), "-", ""), " ", "")</f>
        <v>Stephan</v>
      </c>
      <c r="H192" s="1" t="str">
        <f aca="false">_xlfn.LET(
_xlpm.authors,_xlfn.TEXTBEFORE(A192," ("&amp;I192&amp;")"),
_xlpm.hasAmp,ISNUMBER(SEARCH("&amp;",_xlpm.authors)),
_xlpm.commasBeforeAmp,IF(_xlpm.hasAmp,LEN(_xlfn.TEXTBEFORE(_xlpm.authors,"&amp;"))-LEN(SUBSTITUTE(_xlfn.TEXTBEFORE(_xlpm.authors,"&amp;"),",","")),0),
IF(NOT(_xlpm.hasAmp),"",IF(_xlpm.commasBeforeAmp&gt;2,"etal",TRIM(_xlfn.TEXTBEFORE(_xlfn.TEXTAFTER(_xlpm.authors,"&amp; "),","))))
)</f>
        <v>etal</v>
      </c>
      <c r="I192" s="1" t="str">
        <f aca="false">_xlfn.TEXTBEFORE(_xlfn.TEXTAFTER(A192, "("), ")")</f>
        <v>1984</v>
      </c>
      <c r="J192" s="1" t="str">
        <f aca="false">_xlfn.LET(
_xlpm.doi,IF(C192&lt;&gt;"",C192,_xlfn.TEXTAFTER(A192,"https://doi.org/")),
SUBSTITUTE(
SUBSTITUTE(
SUBSTITUTE(
SUBSTITUTE(
_xlpm.doi,
"/","%2F"),
":","%3A"),
"&lt;","%3C"),
"&gt;","%3E")
)</f>
        <v>PMID%3A6481154</v>
      </c>
      <c r="K192" s="1" t="str">
        <f aca="false">TRIM(_xlfn.TEXTJOIN("_",FALSE(),F192,(SUBSTITUTE(SUBSTITUTE(D192," ",""), "_", ""))))</f>
        <v>Stephan_etal_1984_Table1</v>
      </c>
      <c r="L192" s="1" t="str">
        <f aca="false">J192 &amp; "_" &amp; SUBSTITUTE(SUBSTITUTE(SUBSTITUTE(D192,CHAR(160),"")," ",""),"_","")</f>
        <v>PMID%3A6481154_Table1</v>
      </c>
      <c r="M192" s="1" t="str">
        <f aca="false" t="array" ref="M192:M192">IFERROR(INDEX(FileList!$A$1:$A$1000,MATCH(TRUE(),EXACT(L192,IFERROR(_xlfn.TEXTBEFORE(FileList!$A$1:$A$1000,".tsv"),"")),0)),"notfound")</f>
        <v>notfound</v>
      </c>
      <c r="N192" s="4" t="s">
        <v>747</v>
      </c>
      <c r="P192" s="4" t="s">
        <v>41</v>
      </c>
      <c r="V192" s="4" t="s">
        <v>42</v>
      </c>
      <c r="W192" s="4" t="s">
        <v>106</v>
      </c>
      <c r="Y192" s="4" t="s">
        <v>101</v>
      </c>
      <c r="Z192" s="4" t="s">
        <v>101</v>
      </c>
      <c r="AF192" s="4" t="s">
        <v>80</v>
      </c>
      <c r="AG192" s="4" t="s">
        <v>114</v>
      </c>
      <c r="AI192" s="4" t="s">
        <v>748</v>
      </c>
      <c r="AJ192" s="4" t="s">
        <v>103</v>
      </c>
      <c r="AK192" s="4" t="s">
        <v>63</v>
      </c>
      <c r="AL192" s="4" t="s">
        <v>63</v>
      </c>
      <c r="AM192" s="4" t="s">
        <v>86</v>
      </c>
    </row>
    <row r="193" customFormat="false" ht="15" hidden="false" customHeight="true" outlineLevel="0" collapsed="false">
      <c r="A193" s="4" t="s">
        <v>749</v>
      </c>
      <c r="C193" s="5" t="s">
        <v>750</v>
      </c>
      <c r="D193" s="4" t="s">
        <v>77</v>
      </c>
      <c r="E193" s="1" t="str">
        <f aca="false">RIGHT(A193,1)</f>
        <v>5</v>
      </c>
      <c r="F193" s="1" t="str">
        <f aca="false">G193 &amp; IF(H193&lt;&gt;"", "_" &amp; H193, "_") &amp; IF(I193&lt;&gt;"", "_" &amp; I193, "_") &amp; IF(B193&lt;&gt;"", "_" &amp; B193, "")</f>
        <v>Stephan_etal_1987</v>
      </c>
      <c r="G193" s="1" t="str">
        <f aca="false">SUBSTITUTE(SUBSTITUTE(_xlfn.TEXTBEFORE(A193,","), "-", ""), " ", "")</f>
        <v>Stephan</v>
      </c>
      <c r="H193" s="1" t="str">
        <f aca="false">_xlfn.LET(
_xlpm.authors,_xlfn.TEXTBEFORE(A193," ("&amp;I193&amp;")"),
_xlpm.hasAmp,ISNUMBER(SEARCH("&amp;",_xlpm.authors)),
_xlpm.commasBeforeAmp,IF(_xlpm.hasAmp,LEN(_xlfn.TEXTBEFORE(_xlpm.authors,"&amp;"))-LEN(SUBSTITUTE(_xlfn.TEXTBEFORE(_xlpm.authors,"&amp;"),",","")),0),
IF(NOT(_xlpm.hasAmp),"",IF(_xlpm.commasBeforeAmp&gt;2,"etal",TRIM(_xlfn.TEXTBEFORE(_xlfn.TEXTAFTER(_xlpm.authors,"&amp; "),","))))
)</f>
        <v>etal</v>
      </c>
      <c r="I193" s="1" t="str">
        <f aca="false">_xlfn.TEXTBEFORE(_xlfn.TEXTAFTER(A193, "("), ")")</f>
        <v>1987</v>
      </c>
      <c r="J193" s="1" t="str">
        <f aca="false">_xlfn.LET(
_xlpm.doi,IF(C193&lt;&gt;"",C193,_xlfn.TEXTAFTER(A193,"https://doi.org/")),
SUBSTITUTE(
SUBSTITUTE(
SUBSTITUTE(
SUBSTITUTE(
_xlpm.doi,
"/","%2F"),
":","%3A"),
"&lt;","%3C"),
"&gt;","%3E")
)</f>
        <v>PMID%3A3693895</v>
      </c>
      <c r="K193" s="1" t="str">
        <f aca="false">TRIM(_xlfn.TEXTJOIN("_",FALSE(),F193,(SUBSTITUTE(SUBSTITUTE(D193," ",""), "_", ""))))</f>
        <v>Stephan_etal_1987_Table1</v>
      </c>
      <c r="L193" s="1" t="str">
        <f aca="false">J193 &amp; "_" &amp; SUBSTITUTE(SUBSTITUTE(SUBSTITUTE(D193,CHAR(160),"")," ",""),"_","")</f>
        <v>PMID%3A3693895_Table1</v>
      </c>
      <c r="M193" s="1" t="str">
        <f aca="false" t="array" ref="M193:M193">IFERROR(INDEX(FileList!$A$1:$A$1000,MATCH(TRUE(),EXACT(L193,IFERROR(_xlfn.TEXTBEFORE(FileList!$A$1:$A$1000,".tsv"),"")),0)),"notfound")</f>
        <v>notfound</v>
      </c>
      <c r="N193" s="4" t="s">
        <v>751</v>
      </c>
      <c r="P193" s="4" t="s">
        <v>41</v>
      </c>
      <c r="V193" s="4" t="s">
        <v>42</v>
      </c>
      <c r="W193" s="4" t="s">
        <v>106</v>
      </c>
      <c r="Y193" s="4" t="s">
        <v>101</v>
      </c>
      <c r="Z193" s="4" t="s">
        <v>101</v>
      </c>
      <c r="AF193" s="4" t="s">
        <v>80</v>
      </c>
      <c r="AG193" s="4" t="s">
        <v>114</v>
      </c>
      <c r="AI193" s="4" t="s">
        <v>752</v>
      </c>
      <c r="AJ193" s="4" t="s">
        <v>103</v>
      </c>
      <c r="AK193" s="4" t="s">
        <v>63</v>
      </c>
      <c r="AL193" s="4" t="s">
        <v>63</v>
      </c>
      <c r="AM193" s="4" t="s">
        <v>86</v>
      </c>
    </row>
    <row r="194" customFormat="false" ht="15" hidden="false" customHeight="true" outlineLevel="0" collapsed="false">
      <c r="A194" s="4" t="s">
        <v>753</v>
      </c>
      <c r="D194" s="4" t="s">
        <v>355</v>
      </c>
      <c r="E194" s="1" t="str">
        <f aca="false">RIGHT(A194,1)</f>
        <v>3</v>
      </c>
      <c r="F194" s="1" t="str">
        <f aca="false">G194 &amp; IF(H194&lt;&gt;"", "_" &amp; H194, "_") &amp; IF(I194&lt;&gt;"", "_" &amp; I194, "_") &amp; IF(B194&lt;&gt;"", "_" &amp; B194, "")</f>
        <v>Stephan_etal_1981</v>
      </c>
      <c r="G194" s="1" t="str">
        <f aca="false">SUBSTITUTE(SUBSTITUTE(_xlfn.TEXTBEFORE(A194,","), "-", ""), " ", "")</f>
        <v>Stephan</v>
      </c>
      <c r="H194" s="1" t="str">
        <f aca="false">_xlfn.LET(
_xlpm.authors,_xlfn.TEXTBEFORE(A194," ("&amp;I194&amp;")"),
_xlpm.hasAmp,ISNUMBER(SEARCH("&amp;",_xlpm.authors)),
_xlpm.commasBeforeAmp,IF(_xlpm.hasAmp,LEN(_xlfn.TEXTBEFORE(_xlpm.authors,"&amp;"))-LEN(SUBSTITUTE(_xlfn.TEXTBEFORE(_xlpm.authors,"&amp;"),",","")),0),
IF(NOT(_xlpm.hasAmp),"",IF(_xlpm.commasBeforeAmp&gt;2,"etal",TRIM(_xlfn.TEXTBEFORE(_xlfn.TEXTAFTER(_xlpm.authors,"&amp; "),","))))
)</f>
        <v>etal</v>
      </c>
      <c r="I194" s="1" t="str">
        <f aca="false">_xlfn.TEXTBEFORE(_xlfn.TEXTAFTER(A194, "("), ")")</f>
        <v>1981</v>
      </c>
      <c r="J194" s="1" t="str">
        <f aca="false">_xlfn.LET(
_xlpm.doi,IF(C194&lt;&gt;"",C194,_xlfn.TEXTAFTER(A194,"https://doi.org/")),
SUBSTITUTE(
SUBSTITUTE(
SUBSTITUTE(
SUBSTITUTE(
_xlpm.doi,
"/","%2F"),
":","%3A"),
"&lt;","%3C"),
"&gt;","%3E")
)</f>
        <v>10.1159%2F000155963</v>
      </c>
      <c r="K194" s="1" t="str">
        <f aca="false">TRIM(_xlfn.TEXTJOIN("_",FALSE(),F194,(SUBSTITUTE(SUBSTITUTE(D194," ",""), "_", ""))))</f>
        <v>Stephan_etal_1981_TableI</v>
      </c>
      <c r="L194" s="1" t="str">
        <f aca="false">J194 &amp; "_" &amp; SUBSTITUTE(SUBSTITUTE(SUBSTITUTE(D194,CHAR(160),"")," ",""),"_","")</f>
        <v>10.1159%2F000155963_TableI</v>
      </c>
      <c r="M194" s="1" t="str">
        <f aca="false" t="array" ref="M194:M194">IFERROR(INDEX(FileList!$A$1:$A$1000,MATCH(TRUE(),EXACT(L194,IFERROR(_xlfn.TEXTBEFORE(FileList!$A$1:$A$1000,".tsv"),"")),0)),"notfound")</f>
        <v>notfound</v>
      </c>
      <c r="N194" s="4" t="s">
        <v>754</v>
      </c>
      <c r="V194" s="4" t="s">
        <v>42</v>
      </c>
      <c r="Y194" s="4" t="s">
        <v>101</v>
      </c>
      <c r="Z194" s="4" t="s">
        <v>101</v>
      </c>
      <c r="AF194" s="4" t="s">
        <v>80</v>
      </c>
      <c r="AG194" s="4" t="s">
        <v>114</v>
      </c>
      <c r="AI194" s="4" t="s">
        <v>755</v>
      </c>
      <c r="AJ194" s="4" t="s">
        <v>103</v>
      </c>
      <c r="AK194" s="4" t="s">
        <v>63</v>
      </c>
      <c r="AL194" s="4" t="s">
        <v>63</v>
      </c>
      <c r="AM194" s="4" t="s">
        <v>86</v>
      </c>
    </row>
    <row r="195" customFormat="false" ht="15" hidden="false" customHeight="true" outlineLevel="0" collapsed="false">
      <c r="A195" s="4" t="s">
        <v>753</v>
      </c>
      <c r="D195" s="4" t="s">
        <v>756</v>
      </c>
      <c r="E195" s="1" t="str">
        <f aca="false">RIGHT(A195,1)</f>
        <v>3</v>
      </c>
      <c r="F195" s="1" t="str">
        <f aca="false">G195 &amp; IF(H195&lt;&gt;"", "_" &amp; H195, "_") &amp; IF(I195&lt;&gt;"", "_" &amp; I195, "_") &amp; IF(B195&lt;&gt;"", "_" &amp; B195, "")</f>
        <v>Stephan_etal_1981</v>
      </c>
      <c r="G195" s="1" t="str">
        <f aca="false">SUBSTITUTE(SUBSTITUTE(_xlfn.TEXTBEFORE(A195,","), "-", ""), " ", "")</f>
        <v>Stephan</v>
      </c>
      <c r="H195" s="1" t="str">
        <f aca="false">_xlfn.LET(
_xlpm.authors,_xlfn.TEXTBEFORE(A195," ("&amp;I195&amp;")"),
_xlpm.hasAmp,ISNUMBER(SEARCH("&amp;",_xlpm.authors)),
_xlpm.commasBeforeAmp,IF(_xlpm.hasAmp,LEN(_xlfn.TEXTBEFORE(_xlpm.authors,"&amp;"))-LEN(SUBSTITUTE(_xlfn.TEXTBEFORE(_xlpm.authors,"&amp;"),",","")),0),
IF(NOT(_xlpm.hasAmp),"",IF(_xlpm.commasBeforeAmp&gt;2,"etal",TRIM(_xlfn.TEXTBEFORE(_xlfn.TEXTAFTER(_xlpm.authors,"&amp; "),","))))
)</f>
        <v>etal</v>
      </c>
      <c r="I195" s="1" t="str">
        <f aca="false">_xlfn.TEXTBEFORE(_xlfn.TEXTAFTER(A195, "("), ")")</f>
        <v>1981</v>
      </c>
      <c r="J195" s="1" t="str">
        <f aca="false">_xlfn.LET(
_xlpm.doi,IF(C195&lt;&gt;"",C195,_xlfn.TEXTAFTER(A195,"https://doi.org/")),
SUBSTITUTE(
SUBSTITUTE(
SUBSTITUTE(
SUBSTITUTE(
_xlpm.doi,
"/","%2F"),
":","%3A"),
"&lt;","%3C"),
"&gt;","%3E")
)</f>
        <v>10.1159%2F000155963</v>
      </c>
      <c r="K195" s="1" t="str">
        <f aca="false">TRIM(_xlfn.TEXTJOIN("_",FALSE(),F195,(SUBSTITUTE(SUBSTITUTE(D195," ",""), "_", ""))))</f>
        <v>Stephan_etal_1981_TableII</v>
      </c>
      <c r="L195" s="1" t="str">
        <f aca="false">J195 &amp; "_" &amp; SUBSTITUTE(SUBSTITUTE(SUBSTITUTE(D195,CHAR(160),"")," ",""),"_","")</f>
        <v>10.1159%2F000155963_TableII</v>
      </c>
      <c r="M195" s="1" t="str">
        <f aca="false" t="array" ref="M195:M195">IFERROR(INDEX(FileList!$A$1:$A$1000,MATCH(TRUE(),EXACT(L195,IFERROR(_xlfn.TEXTBEFORE(FileList!$A$1:$A$1000,".tsv"),"")),0)),"notfound")</f>
        <v>notfound</v>
      </c>
      <c r="N195" s="4" t="s">
        <v>757</v>
      </c>
      <c r="V195" s="4" t="s">
        <v>42</v>
      </c>
      <c r="Y195" s="4" t="s">
        <v>101</v>
      </c>
      <c r="Z195" s="4" t="s">
        <v>101</v>
      </c>
      <c r="AF195" s="4" t="s">
        <v>80</v>
      </c>
      <c r="AG195" s="4" t="s">
        <v>114</v>
      </c>
      <c r="AI195" s="4" t="s">
        <v>755</v>
      </c>
      <c r="AJ195" s="4" t="s">
        <v>103</v>
      </c>
      <c r="AK195" s="4" t="s">
        <v>63</v>
      </c>
      <c r="AL195" s="4" t="s">
        <v>63</v>
      </c>
      <c r="AM195" s="4" t="s">
        <v>86</v>
      </c>
    </row>
    <row r="196" customFormat="false" ht="15" hidden="false" customHeight="true" outlineLevel="0" collapsed="false">
      <c r="A196" s="4" t="s">
        <v>753</v>
      </c>
      <c r="D196" s="4" t="s">
        <v>758</v>
      </c>
      <c r="E196" s="1" t="str">
        <f aca="false">RIGHT(A196,1)</f>
        <v>3</v>
      </c>
      <c r="F196" s="1" t="str">
        <f aca="false">G196 &amp; IF(H196&lt;&gt;"", "_" &amp; H196, "_") &amp; IF(I196&lt;&gt;"", "_" &amp; I196, "_") &amp; IF(B196&lt;&gt;"", "_" &amp; B196, "")</f>
        <v>Stephan_etal_1981</v>
      </c>
      <c r="G196" s="1" t="str">
        <f aca="false">SUBSTITUTE(SUBSTITUTE(_xlfn.TEXTBEFORE(A196,","), "-", ""), " ", "")</f>
        <v>Stephan</v>
      </c>
      <c r="H196" s="1" t="str">
        <f aca="false">_xlfn.LET(
_xlpm.authors,_xlfn.TEXTBEFORE(A196," ("&amp;I196&amp;")"),
_xlpm.hasAmp,ISNUMBER(SEARCH("&amp;",_xlpm.authors)),
_xlpm.commasBeforeAmp,IF(_xlpm.hasAmp,LEN(_xlfn.TEXTBEFORE(_xlpm.authors,"&amp;"))-LEN(SUBSTITUTE(_xlfn.TEXTBEFORE(_xlpm.authors,"&amp;"),",","")),0),
IF(NOT(_xlpm.hasAmp),"",IF(_xlpm.commasBeforeAmp&gt;2,"etal",TRIM(_xlfn.TEXTBEFORE(_xlfn.TEXTAFTER(_xlpm.authors,"&amp; "),","))))
)</f>
        <v>etal</v>
      </c>
      <c r="I196" s="1" t="str">
        <f aca="false">_xlfn.TEXTBEFORE(_xlfn.TEXTAFTER(A196, "("), ")")</f>
        <v>1981</v>
      </c>
      <c r="J196" s="1" t="str">
        <f aca="false">_xlfn.LET(
_xlpm.doi,IF(C196&lt;&gt;"",C196,_xlfn.TEXTAFTER(A196,"https://doi.org/")),
SUBSTITUTE(
SUBSTITUTE(
SUBSTITUTE(
SUBSTITUTE(
_xlpm.doi,
"/","%2F"),
":","%3A"),
"&lt;","%3C"),
"&gt;","%3E")
)</f>
        <v>10.1159%2F000155963</v>
      </c>
      <c r="K196" s="1" t="str">
        <f aca="false">TRIM(_xlfn.TEXTJOIN("_",FALSE(),F196,(SUBSTITUTE(SUBSTITUTE(D196," ",""), "_", ""))))</f>
        <v>Stephan_etal_1981_TableIII</v>
      </c>
      <c r="L196" s="1" t="str">
        <f aca="false">J196 &amp; "_" &amp; SUBSTITUTE(SUBSTITUTE(SUBSTITUTE(D196,CHAR(160),"")," ",""),"_","")</f>
        <v>10.1159%2F000155963_TableIII</v>
      </c>
      <c r="M196" s="1" t="str">
        <f aca="false" t="array" ref="M196:M196">IFERROR(INDEX(FileList!$A$1:$A$1000,MATCH(TRUE(),EXACT(L196,IFERROR(_xlfn.TEXTBEFORE(FileList!$A$1:$A$1000,".tsv"),"")),0)),"notfound")</f>
        <v>notfound</v>
      </c>
      <c r="N196" s="4" t="s">
        <v>759</v>
      </c>
      <c r="V196" s="4" t="s">
        <v>42</v>
      </c>
      <c r="Y196" s="4" t="s">
        <v>101</v>
      </c>
      <c r="Z196" s="4" t="s">
        <v>101</v>
      </c>
      <c r="AF196" s="4" t="s">
        <v>80</v>
      </c>
      <c r="AG196" s="4" t="s">
        <v>114</v>
      </c>
      <c r="AI196" s="4" t="s">
        <v>755</v>
      </c>
      <c r="AJ196" s="4" t="s">
        <v>103</v>
      </c>
      <c r="AK196" s="4" t="s">
        <v>63</v>
      </c>
      <c r="AL196" s="4" t="s">
        <v>63</v>
      </c>
      <c r="AM196" s="4" t="s">
        <v>86</v>
      </c>
    </row>
    <row r="197" customFormat="false" ht="15" hidden="false" customHeight="true" outlineLevel="0" collapsed="false">
      <c r="A197" s="4" t="s">
        <v>753</v>
      </c>
      <c r="D197" s="4" t="s">
        <v>760</v>
      </c>
      <c r="E197" s="1" t="str">
        <f aca="false">RIGHT(A197,1)</f>
        <v>3</v>
      </c>
      <c r="F197" s="1" t="str">
        <f aca="false">G197 &amp; IF(H197&lt;&gt;"", "_" &amp; H197, "_") &amp; IF(I197&lt;&gt;"", "_" &amp; I197, "_") &amp; IF(B197&lt;&gt;"", "_" &amp; B197, "")</f>
        <v>Stephan_etal_1981</v>
      </c>
      <c r="G197" s="1" t="str">
        <f aca="false">SUBSTITUTE(SUBSTITUTE(_xlfn.TEXTBEFORE(A197,","), "-", ""), " ", "")</f>
        <v>Stephan</v>
      </c>
      <c r="H197" s="1" t="str">
        <f aca="false">_xlfn.LET(
_xlpm.authors,_xlfn.TEXTBEFORE(A197," ("&amp;I197&amp;")"),
_xlpm.hasAmp,ISNUMBER(SEARCH("&amp;",_xlpm.authors)),
_xlpm.commasBeforeAmp,IF(_xlpm.hasAmp,LEN(_xlfn.TEXTBEFORE(_xlpm.authors,"&amp;"))-LEN(SUBSTITUTE(_xlfn.TEXTBEFORE(_xlpm.authors,"&amp;"),",","")),0),
IF(NOT(_xlpm.hasAmp),"",IF(_xlpm.commasBeforeAmp&gt;2,"etal",TRIM(_xlfn.TEXTBEFORE(_xlfn.TEXTAFTER(_xlpm.authors,"&amp; "),","))))
)</f>
        <v>etal</v>
      </c>
      <c r="I197" s="1" t="str">
        <f aca="false">_xlfn.TEXTBEFORE(_xlfn.TEXTAFTER(A197, "("), ")")</f>
        <v>1981</v>
      </c>
      <c r="J197" s="1" t="str">
        <f aca="false">_xlfn.LET(
_xlpm.doi,IF(C197&lt;&gt;"",C197,_xlfn.TEXTAFTER(A197,"https://doi.org/")),
SUBSTITUTE(
SUBSTITUTE(
SUBSTITUTE(
SUBSTITUTE(
_xlpm.doi,
"/","%2F"),
":","%3A"),
"&lt;","%3C"),
"&gt;","%3E")
)</f>
        <v>10.1159%2F000155963</v>
      </c>
      <c r="K197" s="1" t="str">
        <f aca="false">TRIM(_xlfn.TEXTJOIN("_",FALSE(),F197,(SUBSTITUTE(SUBSTITUTE(D197," ",""), "_", ""))))</f>
        <v>Stephan_etal_1981_TableIV</v>
      </c>
      <c r="L197" s="1" t="str">
        <f aca="false">J197 &amp; "_" &amp; SUBSTITUTE(SUBSTITUTE(SUBSTITUTE(D197,CHAR(160),"")," ",""),"_","")</f>
        <v>10.1159%2F000155963_TableIV</v>
      </c>
      <c r="M197" s="1" t="str">
        <f aca="false" t="array" ref="M197:M197">IFERROR(INDEX(FileList!$A$1:$A$1000,MATCH(TRUE(),EXACT(L197,IFERROR(_xlfn.TEXTBEFORE(FileList!$A$1:$A$1000,".tsv"),"")),0)),"notfound")</f>
        <v>notfound</v>
      </c>
      <c r="N197" s="4" t="s">
        <v>761</v>
      </c>
      <c r="V197" s="4" t="s">
        <v>42</v>
      </c>
      <c r="Y197" s="4" t="s">
        <v>101</v>
      </c>
      <c r="Z197" s="4" t="s">
        <v>101</v>
      </c>
      <c r="AF197" s="4" t="s">
        <v>80</v>
      </c>
      <c r="AG197" s="4" t="s">
        <v>114</v>
      </c>
      <c r="AI197" s="4" t="s">
        <v>755</v>
      </c>
      <c r="AJ197" s="4" t="s">
        <v>103</v>
      </c>
      <c r="AK197" s="4" t="s">
        <v>63</v>
      </c>
      <c r="AL197" s="4" t="s">
        <v>63</v>
      </c>
      <c r="AM197" s="4" t="s">
        <v>86</v>
      </c>
    </row>
    <row r="198" customFormat="false" ht="15" hidden="false" customHeight="true" outlineLevel="0" collapsed="false">
      <c r="A198" s="4" t="s">
        <v>753</v>
      </c>
      <c r="D198" s="4" t="s">
        <v>762</v>
      </c>
      <c r="E198" s="1" t="str">
        <f aca="false">RIGHT(A198,1)</f>
        <v>3</v>
      </c>
      <c r="F198" s="1" t="str">
        <f aca="false">G198 &amp; IF(H198&lt;&gt;"", "_" &amp; H198, "_") &amp; IF(I198&lt;&gt;"", "_" &amp; I198, "_") &amp; IF(B198&lt;&gt;"", "_" &amp; B198, "")</f>
        <v>Stephan_etal_1981</v>
      </c>
      <c r="G198" s="1" t="str">
        <f aca="false">SUBSTITUTE(SUBSTITUTE(_xlfn.TEXTBEFORE(A198,","), "-", ""), " ", "")</f>
        <v>Stephan</v>
      </c>
      <c r="H198" s="1" t="str">
        <f aca="false">_xlfn.LET(
_xlpm.authors,_xlfn.TEXTBEFORE(A198," ("&amp;I198&amp;")"),
_xlpm.hasAmp,ISNUMBER(SEARCH("&amp;",_xlpm.authors)),
_xlpm.commasBeforeAmp,IF(_xlpm.hasAmp,LEN(_xlfn.TEXTBEFORE(_xlpm.authors,"&amp;"))-LEN(SUBSTITUTE(_xlfn.TEXTBEFORE(_xlpm.authors,"&amp;"),",","")),0),
IF(NOT(_xlpm.hasAmp),"",IF(_xlpm.commasBeforeAmp&gt;2,"etal",TRIM(_xlfn.TEXTBEFORE(_xlfn.TEXTAFTER(_xlpm.authors,"&amp; "),","))))
)</f>
        <v>etal</v>
      </c>
      <c r="I198" s="1" t="str">
        <f aca="false">_xlfn.TEXTBEFORE(_xlfn.TEXTAFTER(A198, "("), ")")</f>
        <v>1981</v>
      </c>
      <c r="J198" s="1" t="str">
        <f aca="false">_xlfn.LET(
_xlpm.doi,IF(C198&lt;&gt;"",C198,_xlfn.TEXTAFTER(A198,"https://doi.org/")),
SUBSTITUTE(
SUBSTITUTE(
SUBSTITUTE(
SUBSTITUTE(
_xlpm.doi,
"/","%2F"),
":","%3A"),
"&lt;","%3C"),
"&gt;","%3E")
)</f>
        <v>10.1159%2F000155963</v>
      </c>
      <c r="K198" s="1" t="str">
        <f aca="false">TRIM(_xlfn.TEXTJOIN("_",FALSE(),F198,(SUBSTITUTE(SUBSTITUTE(D198," ",""), "_", ""))))</f>
        <v>Stephan_etal_1981_TableV</v>
      </c>
      <c r="L198" s="1" t="str">
        <f aca="false">J198 &amp; "_" &amp; SUBSTITUTE(SUBSTITUTE(SUBSTITUTE(D198,CHAR(160),"")," ",""),"_","")</f>
        <v>10.1159%2F000155963_TableV</v>
      </c>
      <c r="M198" s="1" t="str">
        <f aca="false" t="array" ref="M198:M198">IFERROR(INDEX(FileList!$A$1:$A$1000,MATCH(TRUE(),EXACT(L198,IFERROR(_xlfn.TEXTBEFORE(FileList!$A$1:$A$1000,".tsv"),"")),0)),"notfound")</f>
        <v>notfound</v>
      </c>
      <c r="N198" s="4" t="s">
        <v>763</v>
      </c>
      <c r="V198" s="4" t="s">
        <v>42</v>
      </c>
      <c r="Y198" s="4" t="s">
        <v>101</v>
      </c>
      <c r="Z198" s="4" t="s">
        <v>101</v>
      </c>
      <c r="AF198" s="4" t="s">
        <v>80</v>
      </c>
      <c r="AG198" s="4" t="s">
        <v>114</v>
      </c>
      <c r="AI198" s="4" t="s">
        <v>755</v>
      </c>
      <c r="AJ198" s="4" t="s">
        <v>103</v>
      </c>
      <c r="AK198" s="4" t="s">
        <v>63</v>
      </c>
      <c r="AL198" s="4" t="s">
        <v>63</v>
      </c>
      <c r="AM198" s="4" t="s">
        <v>86</v>
      </c>
    </row>
    <row r="199" customFormat="false" ht="15" hidden="false" customHeight="true" outlineLevel="0" collapsed="false">
      <c r="A199" s="4" t="s">
        <v>753</v>
      </c>
      <c r="D199" s="4" t="s">
        <v>764</v>
      </c>
      <c r="E199" s="1" t="str">
        <f aca="false">RIGHT(A199,1)</f>
        <v>3</v>
      </c>
      <c r="F199" s="1" t="str">
        <f aca="false">G199 &amp; IF(H199&lt;&gt;"", "_" &amp; H199, "_") &amp; IF(I199&lt;&gt;"", "_" &amp; I199, "_") &amp; IF(B199&lt;&gt;"", "_" &amp; B199, "")</f>
        <v>Stephan_etal_1981</v>
      </c>
      <c r="G199" s="1" t="str">
        <f aca="false">SUBSTITUTE(SUBSTITUTE(_xlfn.TEXTBEFORE(A199,","), "-", ""), " ", "")</f>
        <v>Stephan</v>
      </c>
      <c r="H199" s="1" t="str">
        <f aca="false">_xlfn.LET(
_xlpm.authors,_xlfn.TEXTBEFORE(A199," ("&amp;I199&amp;")"),
_xlpm.hasAmp,ISNUMBER(SEARCH("&amp;",_xlpm.authors)),
_xlpm.commasBeforeAmp,IF(_xlpm.hasAmp,LEN(_xlfn.TEXTBEFORE(_xlpm.authors,"&amp;"))-LEN(SUBSTITUTE(_xlfn.TEXTBEFORE(_xlpm.authors,"&amp;"),",","")),0),
IF(NOT(_xlpm.hasAmp),"",IF(_xlpm.commasBeforeAmp&gt;2,"etal",TRIM(_xlfn.TEXTBEFORE(_xlfn.TEXTAFTER(_xlpm.authors,"&amp; "),","))))
)</f>
        <v>etal</v>
      </c>
      <c r="I199" s="1" t="str">
        <f aca="false">_xlfn.TEXTBEFORE(_xlfn.TEXTAFTER(A199, "("), ")")</f>
        <v>1981</v>
      </c>
      <c r="J199" s="1" t="str">
        <f aca="false">_xlfn.LET(
_xlpm.doi,IF(C199&lt;&gt;"",C199,_xlfn.TEXTAFTER(A199,"https://doi.org/")),
SUBSTITUTE(
SUBSTITUTE(
SUBSTITUTE(
SUBSTITUTE(
_xlpm.doi,
"/","%2F"),
":","%3A"),
"&lt;","%3C"),
"&gt;","%3E")
)</f>
        <v>10.1159%2F000155963</v>
      </c>
      <c r="K199" s="1" t="str">
        <f aca="false">TRIM(_xlfn.TEXTJOIN("_",FALSE(),F199,(SUBSTITUTE(SUBSTITUTE(D199," ",""), "_", ""))))</f>
        <v>Stephan_etal_1981_TableVI</v>
      </c>
      <c r="L199" s="1" t="str">
        <f aca="false">J199 &amp; "_" &amp; SUBSTITUTE(SUBSTITUTE(SUBSTITUTE(D199,CHAR(160),"")," ",""),"_","")</f>
        <v>10.1159%2F000155963_TableVI</v>
      </c>
      <c r="M199" s="1" t="str">
        <f aca="false" t="array" ref="M199:M199">IFERROR(INDEX(FileList!$A$1:$A$1000,MATCH(TRUE(),EXACT(L199,IFERROR(_xlfn.TEXTBEFORE(FileList!$A$1:$A$1000,".tsv"),"")),0)),"notfound")</f>
        <v>notfound</v>
      </c>
      <c r="N199" s="4" t="s">
        <v>765</v>
      </c>
      <c r="V199" s="4" t="s">
        <v>42</v>
      </c>
      <c r="Y199" s="4" t="s">
        <v>101</v>
      </c>
      <c r="Z199" s="4" t="s">
        <v>101</v>
      </c>
      <c r="AF199" s="4" t="s">
        <v>80</v>
      </c>
      <c r="AG199" s="4" t="s">
        <v>114</v>
      </c>
      <c r="AI199" s="4" t="s">
        <v>755</v>
      </c>
      <c r="AJ199" s="4" t="s">
        <v>103</v>
      </c>
      <c r="AK199" s="4" t="s">
        <v>63</v>
      </c>
      <c r="AL199" s="4" t="s">
        <v>63</v>
      </c>
      <c r="AM199" s="4" t="s">
        <v>86</v>
      </c>
    </row>
    <row r="200" customFormat="false" ht="15" hidden="false" customHeight="true" outlineLevel="0" collapsed="false">
      <c r="A200" s="4" t="s">
        <v>753</v>
      </c>
      <c r="C200" s="8"/>
      <c r="D200" s="4" t="s">
        <v>766</v>
      </c>
      <c r="E200" s="1" t="str">
        <f aca="false">RIGHT(A200,1)</f>
        <v>3</v>
      </c>
      <c r="F200" s="1" t="str">
        <f aca="false">G200 &amp; IF(H200&lt;&gt;"", "_" &amp; H200, "_") &amp; IF(I200&lt;&gt;"", "_" &amp; I200, "_") &amp; IF(B200&lt;&gt;"", "_" &amp; B200, "")</f>
        <v>Stephan_etal_1981</v>
      </c>
      <c r="G200" s="1" t="str">
        <f aca="false">SUBSTITUTE(SUBSTITUTE(_xlfn.TEXTBEFORE(A200,","), "-", ""), " ", "")</f>
        <v>Stephan</v>
      </c>
      <c r="H200" s="1" t="str">
        <f aca="false">_xlfn.LET(
_xlpm.authors,_xlfn.TEXTBEFORE(A200," ("&amp;I200&amp;")"),
_xlpm.hasAmp,ISNUMBER(SEARCH("&amp;",_xlpm.authors)),
_xlpm.commasBeforeAmp,IF(_xlpm.hasAmp,LEN(_xlfn.TEXTBEFORE(_xlpm.authors,"&amp;"))-LEN(SUBSTITUTE(_xlfn.TEXTBEFORE(_xlpm.authors,"&amp;"),",","")),0),
IF(NOT(_xlpm.hasAmp),"",IF(_xlpm.commasBeforeAmp&gt;2,"etal",TRIM(_xlfn.TEXTBEFORE(_xlfn.TEXTAFTER(_xlpm.authors,"&amp; "),","))))
)</f>
        <v>etal</v>
      </c>
      <c r="I200" s="1" t="str">
        <f aca="false">_xlfn.TEXTBEFORE(_xlfn.TEXTAFTER(A200, "("), ")")</f>
        <v>1981</v>
      </c>
      <c r="J200" s="1" t="str">
        <f aca="false">_xlfn.LET(
_xlpm.doi,IF(C200&lt;&gt;"",C200,_xlfn.TEXTAFTER(A200,"https://doi.org/")),
SUBSTITUTE(
SUBSTITUTE(
SUBSTITUTE(
SUBSTITUTE(
_xlpm.doi,
"/","%2F"),
":","%3A"),
"&lt;","%3C"),
"&gt;","%3E")
)</f>
        <v>10.1159%2F000155963</v>
      </c>
      <c r="K200" s="1" t="str">
        <f aca="false">TRIM(_xlfn.TEXTJOIN("_",FALSE(),F200,(SUBSTITUTE(SUBSTITUTE(D200," ",""), "_", ""))))</f>
        <v>Stephan_etal_1981_TableVII</v>
      </c>
      <c r="L200" s="1" t="str">
        <f aca="false">J200 &amp; "_" &amp; SUBSTITUTE(SUBSTITUTE(SUBSTITUTE(D200,CHAR(160),"")," ",""),"_","")</f>
        <v>10.1159%2F000155963_TableVII</v>
      </c>
      <c r="M200" s="1" t="str">
        <f aca="false" t="array" ref="M200:M200">IFERROR(INDEX(FileList!$A$1:$A$1000,MATCH(TRUE(),EXACT(L200,IFERROR(_xlfn.TEXTBEFORE(FileList!$A$1:$A$1000,".tsv"),"")),0)),"notfound")</f>
        <v>notfound</v>
      </c>
      <c r="N200" s="4" t="s">
        <v>767</v>
      </c>
      <c r="V200" s="4" t="s">
        <v>42</v>
      </c>
      <c r="Y200" s="4" t="s">
        <v>101</v>
      </c>
      <c r="Z200" s="4" t="s">
        <v>101</v>
      </c>
      <c r="AF200" s="4" t="s">
        <v>80</v>
      </c>
      <c r="AG200" s="4" t="s">
        <v>114</v>
      </c>
      <c r="AI200" s="4" t="s">
        <v>755</v>
      </c>
      <c r="AJ200" s="4" t="s">
        <v>103</v>
      </c>
      <c r="AK200" s="4" t="s">
        <v>63</v>
      </c>
      <c r="AL200" s="4" t="s">
        <v>63</v>
      </c>
      <c r="AM200" s="4" t="s">
        <v>86</v>
      </c>
    </row>
    <row r="201" customFormat="false" ht="15" hidden="false" customHeight="true" outlineLevel="0" collapsed="false">
      <c r="A201" s="4" t="s">
        <v>768</v>
      </c>
      <c r="C201" s="8"/>
      <c r="D201" s="4" t="s">
        <v>769</v>
      </c>
      <c r="E201" s="1" t="str">
        <f aca="false">RIGHT(A201,1)</f>
        <v>4</v>
      </c>
      <c r="F201" s="1" t="str">
        <f aca="false">G201 &amp; IF(H201&lt;&gt;"", "_" &amp; H201, "_") &amp; IF(I201&lt;&gt;"", "_" &amp; I201, "_") &amp; IF(B201&lt;&gt;"", "_" &amp; B201, "")</f>
        <v>Stephan_etal_1981</v>
      </c>
      <c r="G201" s="1" t="str">
        <f aca="false">SUBSTITUTE(SUBSTITUTE(_xlfn.TEXTBEFORE(A201,","), "-", ""), " ", "")</f>
        <v>Stephan</v>
      </c>
      <c r="H201" s="1" t="str">
        <f aca="false">_xlfn.LET(
_xlpm.authors,_xlfn.TEXTBEFORE(A201," ("&amp;I201&amp;")"),
_xlpm.hasAmp,ISNUMBER(SEARCH("&amp;",_xlpm.authors)),
_xlpm.commasBeforeAmp,IF(_xlpm.hasAmp,LEN(_xlfn.TEXTBEFORE(_xlpm.authors,"&amp;"))-LEN(SUBSTITUTE(_xlfn.TEXTBEFORE(_xlpm.authors,"&amp;"),",","")),0),
IF(NOT(_xlpm.hasAmp),"",IF(_xlpm.commasBeforeAmp&gt;2,"etal",TRIM(_xlfn.TEXTBEFORE(_xlfn.TEXTAFTER(_xlpm.authors,"&amp; "),","))))
)</f>
        <v>etal</v>
      </c>
      <c r="I201" s="1" t="str">
        <f aca="false">_xlfn.TEXTBEFORE(_xlfn.TEXTAFTER(A201, "("), ")")</f>
        <v>1981</v>
      </c>
      <c r="J201" s="1" t="str">
        <f aca="false">_xlfn.LET(
_xlpm.doi,IF(C201&lt;&gt;"",C201,_xlfn.TEXTAFTER(A201,"https://doi.org/")),
SUBSTITUTE(
SUBSTITUTE(
SUBSTITUTE(
SUBSTITUTE(
_xlpm.doi,
"/","%2F"),
":","%3A"),
"&lt;","%3C"),
"&gt;","%3E")
)</f>
        <v>10.1159%2F000155964</v>
      </c>
      <c r="K201" s="1" t="str">
        <f aca="false">TRIM(_xlfn.TEXTJOIN("_",FALSE(),F201,(SUBSTITUTE(SUBSTITUTE(D201," ",""), "_", ""))))</f>
        <v>Stephan_etal_1981_TableVIII</v>
      </c>
      <c r="L201" s="1" t="str">
        <f aca="false">J201 &amp; "_" &amp; SUBSTITUTE(SUBSTITUTE(SUBSTITUTE(D201,CHAR(160),"")," ",""),"_","")</f>
        <v>10.1159%2F000155964_TableVIII</v>
      </c>
      <c r="M201" s="1" t="str">
        <f aca="false" t="array" ref="M201:M201">IFERROR(INDEX(FileList!$A$1:$A$1000,MATCH(TRUE(),EXACT(L201,IFERROR(_xlfn.TEXTBEFORE(FileList!$A$1:$A$1000,".tsv"),"")),0)),"notfound")</f>
        <v>notfound</v>
      </c>
      <c r="N201" s="4" t="s">
        <v>770</v>
      </c>
    </row>
    <row r="202" customFormat="false" ht="15" hidden="false" customHeight="true" outlineLevel="0" collapsed="false">
      <c r="A202" s="4" t="s">
        <v>771</v>
      </c>
      <c r="C202" s="8"/>
      <c r="D202" s="4" t="s">
        <v>772</v>
      </c>
      <c r="E202" s="1" t="str">
        <f aca="false">RIGHT(A202,1)</f>
        <v>5</v>
      </c>
      <c r="F202" s="1" t="str">
        <f aca="false">G202 &amp; IF(H202&lt;&gt;"", "_" &amp; H202, "_") &amp; IF(I202&lt;&gt;"", "_" &amp; I202, "_") &amp; IF(B202&lt;&gt;"", "_" &amp; B202, "")</f>
        <v>Stephan_etal_1981</v>
      </c>
      <c r="G202" s="1" t="str">
        <f aca="false">SUBSTITUTE(SUBSTITUTE(_xlfn.TEXTBEFORE(A202,","), "-", ""), " ", "")</f>
        <v>Stephan</v>
      </c>
      <c r="H202" s="1" t="str">
        <f aca="false">_xlfn.LET(
_xlpm.authors,_xlfn.TEXTBEFORE(A202," ("&amp;I202&amp;")"),
_xlpm.hasAmp,ISNUMBER(SEARCH("&amp;",_xlpm.authors)),
_xlpm.commasBeforeAmp,IF(_xlpm.hasAmp,LEN(_xlfn.TEXTBEFORE(_xlpm.authors,"&amp;"))-LEN(SUBSTITUTE(_xlfn.TEXTBEFORE(_xlpm.authors,"&amp;"),",","")),0),
IF(NOT(_xlpm.hasAmp),"",IF(_xlpm.commasBeforeAmp&gt;2,"etal",TRIM(_xlfn.TEXTBEFORE(_xlfn.TEXTAFTER(_xlpm.authors,"&amp; "),","))))
)</f>
        <v>etal</v>
      </c>
      <c r="I202" s="1" t="str">
        <f aca="false">_xlfn.TEXTBEFORE(_xlfn.TEXTAFTER(A202, "("), ")")</f>
        <v>1981</v>
      </c>
      <c r="J202" s="1" t="str">
        <f aca="false">_xlfn.LET(
_xlpm.doi,IF(C202&lt;&gt;"",C202,_xlfn.TEXTAFTER(A202,"https://doi.org/")),
SUBSTITUTE(
SUBSTITUTE(
SUBSTITUTE(
SUBSTITUTE(
_xlpm.doi,
"/","%2F"),
":","%3A"),
"&lt;","%3C"),
"&gt;","%3E")
)</f>
        <v>10.1159%2F000155965</v>
      </c>
      <c r="K202" s="1" t="str">
        <f aca="false">TRIM(_xlfn.TEXTJOIN("_",FALSE(),F202,(SUBSTITUTE(SUBSTITUTE(D202," ",""), "_", ""))))</f>
        <v>Stephan_etal_1981_TableIX</v>
      </c>
      <c r="L202" s="1" t="str">
        <f aca="false">J202 &amp; "_" &amp; SUBSTITUTE(SUBSTITUTE(SUBSTITUTE(D202,CHAR(160),"")," ",""),"_","")</f>
        <v>10.1159%2F000155965_TableIX</v>
      </c>
      <c r="M202" s="1" t="str">
        <f aca="false" t="array" ref="M202:M202">IFERROR(INDEX(FileList!$A$1:$A$1000,MATCH(TRUE(),EXACT(L202,IFERROR(_xlfn.TEXTBEFORE(FileList!$A$1:$A$1000,".tsv"),"")),0)),"notfound")</f>
        <v>notfound</v>
      </c>
      <c r="N202" s="4" t="s">
        <v>773</v>
      </c>
    </row>
    <row r="203" customFormat="false" ht="15" hidden="false" customHeight="true" outlineLevel="0" collapsed="false">
      <c r="A203" s="4" t="s">
        <v>774</v>
      </c>
      <c r="C203" s="8"/>
      <c r="D203" s="4" t="s">
        <v>775</v>
      </c>
      <c r="E203" s="1" t="str">
        <f aca="false">RIGHT(A203,1)</f>
        <v>6</v>
      </c>
      <c r="F203" s="1" t="str">
        <f aca="false">G203 &amp; IF(H203&lt;&gt;"", "_" &amp; H203, "_") &amp; IF(I203&lt;&gt;"", "_" &amp; I203, "_") &amp; IF(B203&lt;&gt;"", "_" &amp; B203, "")</f>
        <v>Stephan_etal_1981</v>
      </c>
      <c r="G203" s="1" t="str">
        <f aca="false">SUBSTITUTE(SUBSTITUTE(_xlfn.TEXTBEFORE(A203,","), "-", ""), " ", "")</f>
        <v>Stephan</v>
      </c>
      <c r="H203" s="1" t="str">
        <f aca="false">_xlfn.LET(
_xlpm.authors,_xlfn.TEXTBEFORE(A203," ("&amp;I203&amp;")"),
_xlpm.hasAmp,ISNUMBER(SEARCH("&amp;",_xlpm.authors)),
_xlpm.commasBeforeAmp,IF(_xlpm.hasAmp,LEN(_xlfn.TEXTBEFORE(_xlpm.authors,"&amp;"))-LEN(SUBSTITUTE(_xlfn.TEXTBEFORE(_xlpm.authors,"&amp;"),",","")),0),
IF(NOT(_xlpm.hasAmp),"",IF(_xlpm.commasBeforeAmp&gt;2,"etal",TRIM(_xlfn.TEXTBEFORE(_xlfn.TEXTAFTER(_xlpm.authors,"&amp; "),","))))
)</f>
        <v>etal</v>
      </c>
      <c r="I203" s="1" t="str">
        <f aca="false">_xlfn.TEXTBEFORE(_xlfn.TEXTAFTER(A203, "("), ")")</f>
        <v>1981</v>
      </c>
      <c r="J203" s="1" t="str">
        <f aca="false">_xlfn.LET(
_xlpm.doi,IF(C203&lt;&gt;"",C203,_xlfn.TEXTAFTER(A203,"https://doi.org/")),
SUBSTITUTE(
SUBSTITUTE(
SUBSTITUTE(
SUBSTITUTE(
_xlpm.doi,
"/","%2F"),
":","%3A"),
"&lt;","%3C"),
"&gt;","%3E")
)</f>
        <v>10.1159%2F000155966</v>
      </c>
      <c r="K203" s="1" t="str">
        <f aca="false">TRIM(_xlfn.TEXTJOIN("_",FALSE(),F203,(SUBSTITUTE(SUBSTITUTE(D203," ",""), "_", ""))))</f>
        <v>Stephan_etal_1981_TableX</v>
      </c>
      <c r="L203" s="1" t="str">
        <f aca="false">J203 &amp; "_" &amp; SUBSTITUTE(SUBSTITUTE(SUBSTITUTE(D203,CHAR(160),"")," ",""),"_","")</f>
        <v>10.1159%2F000155966_TableX</v>
      </c>
      <c r="M203" s="1" t="str">
        <f aca="false" t="array" ref="M203:M203">IFERROR(INDEX(FileList!$A$1:$A$1000,MATCH(TRUE(),EXACT(L203,IFERROR(_xlfn.TEXTBEFORE(FileList!$A$1:$A$1000,".tsv"),"")),0)),"notfound")</f>
        <v>notfound</v>
      </c>
      <c r="N203" s="4" t="s">
        <v>776</v>
      </c>
    </row>
    <row r="204" customFormat="false" ht="15" hidden="false" customHeight="true" outlineLevel="0" collapsed="false">
      <c r="A204" s="4" t="s">
        <v>753</v>
      </c>
      <c r="D204" s="4" t="s">
        <v>777</v>
      </c>
      <c r="E204" s="1" t="str">
        <f aca="false">RIGHT(A204,1)</f>
        <v>3</v>
      </c>
      <c r="F204" s="1" t="str">
        <f aca="false">G204 &amp; IF(H204&lt;&gt;"", "_" &amp; H204, "_") &amp; IF(I204&lt;&gt;"", "_" &amp; I204, "_") &amp; IF(B204&lt;&gt;"", "_" &amp; B204, "")</f>
        <v>Stephan_etal_1981</v>
      </c>
      <c r="G204" s="1" t="str">
        <f aca="false">SUBSTITUTE(SUBSTITUTE(_xlfn.TEXTBEFORE(A204,","), "-", ""), " ", "")</f>
        <v>Stephan</v>
      </c>
      <c r="H204" s="1" t="str">
        <f aca="false">_xlfn.LET(
_xlpm.authors,_xlfn.TEXTBEFORE(A204," ("&amp;I204&amp;")"),
_xlpm.hasAmp,ISNUMBER(SEARCH("&amp;",_xlpm.authors)),
_xlpm.commasBeforeAmp,IF(_xlpm.hasAmp,LEN(_xlfn.TEXTBEFORE(_xlpm.authors,"&amp;"))-LEN(SUBSTITUTE(_xlfn.TEXTBEFORE(_xlpm.authors,"&amp;"),",","")),0),
IF(NOT(_xlpm.hasAmp),"",IF(_xlpm.commasBeforeAmp&gt;2,"etal",TRIM(_xlfn.TEXTBEFORE(_xlfn.TEXTAFTER(_xlpm.authors,"&amp; "),","))))
)</f>
        <v>etal</v>
      </c>
      <c r="I204" s="1" t="str">
        <f aca="false">_xlfn.TEXTBEFORE(_xlfn.TEXTAFTER(A204, "("), ")")</f>
        <v>1981</v>
      </c>
      <c r="J204" s="1" t="str">
        <f aca="false">_xlfn.LET(
_xlpm.doi,IF(C204&lt;&gt;"",C204,_xlfn.TEXTAFTER(A204,"https://doi.org/")),
SUBSTITUTE(
SUBSTITUTE(
SUBSTITUTE(
SUBSTITUTE(
_xlpm.doi,
"/","%2F"),
":","%3A"),
"&lt;","%3C"),
"&gt;","%3E")
)</f>
        <v>10.1159%2F000155963</v>
      </c>
      <c r="K204" s="1" t="str">
        <f aca="false">TRIM(_xlfn.TEXTJOIN("_",FALSE(),F204,(SUBSTITUTE(SUBSTITUTE(D204," ",""), "_", ""))))</f>
        <v>Stephan_etal_1981_TableXI</v>
      </c>
      <c r="L204" s="1" t="str">
        <f aca="false">J204 &amp; "_" &amp; SUBSTITUTE(SUBSTITUTE(SUBSTITUTE(D204,CHAR(160),"")," ",""),"_","")</f>
        <v>10.1159%2F000155963_TableXI</v>
      </c>
      <c r="M204" s="1" t="str">
        <f aca="false" t="array" ref="M204:M204">IFERROR(INDEX(FileList!$A$1:$A$1000,MATCH(TRUE(),EXACT(L204,IFERROR(_xlfn.TEXTBEFORE(FileList!$A$1:$A$1000,".tsv"),"")),0)),"notfound")</f>
        <v>notfound</v>
      </c>
      <c r="N204" s="4" t="s">
        <v>778</v>
      </c>
      <c r="V204" s="4" t="s">
        <v>42</v>
      </c>
      <c r="Y204" s="4" t="s">
        <v>101</v>
      </c>
      <c r="Z204" s="4" t="s">
        <v>101</v>
      </c>
      <c r="AF204" s="4" t="s">
        <v>80</v>
      </c>
      <c r="AG204" s="4" t="s">
        <v>114</v>
      </c>
      <c r="AI204" s="4" t="s">
        <v>755</v>
      </c>
      <c r="AJ204" s="4" t="s">
        <v>103</v>
      </c>
      <c r="AK204" s="4" t="s">
        <v>63</v>
      </c>
      <c r="AL204" s="4" t="s">
        <v>63</v>
      </c>
      <c r="AM204" s="4" t="s">
        <v>86</v>
      </c>
    </row>
    <row r="205" customFormat="false" ht="15" hidden="false" customHeight="true" outlineLevel="0" collapsed="false">
      <c r="A205" s="4" t="s">
        <v>753</v>
      </c>
      <c r="D205" s="4" t="s">
        <v>779</v>
      </c>
      <c r="E205" s="1" t="str">
        <f aca="false">RIGHT(A205,1)</f>
        <v>3</v>
      </c>
      <c r="F205" s="1" t="str">
        <f aca="false">G205 &amp; IF(H205&lt;&gt;"", "_" &amp; H205, "_") &amp; IF(I205&lt;&gt;"", "_" &amp; I205, "_") &amp; IF(B205&lt;&gt;"", "_" &amp; B205, "")</f>
        <v>Stephan_etal_1981</v>
      </c>
      <c r="G205" s="1" t="str">
        <f aca="false">SUBSTITUTE(SUBSTITUTE(_xlfn.TEXTBEFORE(A205,","), "-", ""), " ", "")</f>
        <v>Stephan</v>
      </c>
      <c r="H205" s="1" t="str">
        <f aca="false">_xlfn.LET(
_xlpm.authors,_xlfn.TEXTBEFORE(A205," ("&amp;I205&amp;")"),
_xlpm.hasAmp,ISNUMBER(SEARCH("&amp;",_xlpm.authors)),
_xlpm.commasBeforeAmp,IF(_xlpm.hasAmp,LEN(_xlfn.TEXTBEFORE(_xlpm.authors,"&amp;"))-LEN(SUBSTITUTE(_xlfn.TEXTBEFORE(_xlpm.authors,"&amp;"),",","")),0),
IF(NOT(_xlpm.hasAmp),"",IF(_xlpm.commasBeforeAmp&gt;2,"etal",TRIM(_xlfn.TEXTBEFORE(_xlfn.TEXTAFTER(_xlpm.authors,"&amp; "),","))))
)</f>
        <v>etal</v>
      </c>
      <c r="I205" s="1" t="str">
        <f aca="false">_xlfn.TEXTBEFORE(_xlfn.TEXTAFTER(A205, "("), ")")</f>
        <v>1981</v>
      </c>
      <c r="J205" s="1" t="str">
        <f aca="false">_xlfn.LET(
_xlpm.doi,IF(C205&lt;&gt;"",C205,_xlfn.TEXTAFTER(A205,"https://doi.org/")),
SUBSTITUTE(
SUBSTITUTE(
SUBSTITUTE(
SUBSTITUTE(
_xlpm.doi,
"/","%2F"),
":","%3A"),
"&lt;","%3C"),
"&gt;","%3E")
)</f>
        <v>10.1159%2F000155963</v>
      </c>
      <c r="K205" s="1" t="str">
        <f aca="false">TRIM(_xlfn.TEXTJOIN("_",FALSE(),F205,(SUBSTITUTE(SUBSTITUTE(D205," ",""), "_", ""))))</f>
        <v>Stephan_etal_1981_TableXII</v>
      </c>
      <c r="L205" s="1" t="str">
        <f aca="false">J205 &amp; "_" &amp; SUBSTITUTE(SUBSTITUTE(SUBSTITUTE(D205,CHAR(160),"")," ",""),"_","")</f>
        <v>10.1159%2F000155963_TableXII</v>
      </c>
      <c r="M205" s="1" t="str">
        <f aca="false" t="array" ref="M205:M205">IFERROR(INDEX(FileList!$A$1:$A$1000,MATCH(TRUE(),EXACT(L205,IFERROR(_xlfn.TEXTBEFORE(FileList!$A$1:$A$1000,".tsv"),"")),0)),"notfound")</f>
        <v>notfound</v>
      </c>
      <c r="N205" s="4" t="s">
        <v>780</v>
      </c>
      <c r="V205" s="4" t="s">
        <v>42</v>
      </c>
      <c r="Y205" s="4" t="s">
        <v>101</v>
      </c>
      <c r="Z205" s="4" t="s">
        <v>101</v>
      </c>
      <c r="AF205" s="4" t="s">
        <v>80</v>
      </c>
      <c r="AG205" s="4" t="s">
        <v>114</v>
      </c>
      <c r="AI205" s="4" t="s">
        <v>755</v>
      </c>
      <c r="AJ205" s="4" t="s">
        <v>103</v>
      </c>
      <c r="AK205" s="4" t="s">
        <v>63</v>
      </c>
      <c r="AL205" s="4" t="s">
        <v>63</v>
      </c>
      <c r="AM205" s="4" t="s">
        <v>86</v>
      </c>
    </row>
    <row r="206" customFormat="false" ht="15" hidden="false" customHeight="true" outlineLevel="0" collapsed="false">
      <c r="A206" s="4" t="s">
        <v>753</v>
      </c>
      <c r="D206" s="4" t="s">
        <v>781</v>
      </c>
      <c r="E206" s="1" t="str">
        <f aca="false">RIGHT(A206,1)</f>
        <v>3</v>
      </c>
      <c r="F206" s="1" t="str">
        <f aca="false">G206 &amp; IF(H206&lt;&gt;"", "_" &amp; H206, "_") &amp; IF(I206&lt;&gt;"", "_" &amp; I206, "_") &amp; IF(B206&lt;&gt;"", "_" &amp; B206, "")</f>
        <v>Stephan_etal_1981</v>
      </c>
      <c r="G206" s="1" t="str">
        <f aca="false">SUBSTITUTE(SUBSTITUTE(_xlfn.TEXTBEFORE(A206,","), "-", ""), " ", "")</f>
        <v>Stephan</v>
      </c>
      <c r="H206" s="1" t="str">
        <f aca="false">_xlfn.LET(
_xlpm.authors,_xlfn.TEXTBEFORE(A206," ("&amp;I206&amp;")"),
_xlpm.hasAmp,ISNUMBER(SEARCH("&amp;",_xlpm.authors)),
_xlpm.commasBeforeAmp,IF(_xlpm.hasAmp,LEN(_xlfn.TEXTBEFORE(_xlpm.authors,"&amp;"))-LEN(SUBSTITUTE(_xlfn.TEXTBEFORE(_xlpm.authors,"&amp;"),",","")),0),
IF(NOT(_xlpm.hasAmp),"",IF(_xlpm.commasBeforeAmp&gt;2,"etal",TRIM(_xlfn.TEXTBEFORE(_xlfn.TEXTAFTER(_xlpm.authors,"&amp; "),","))))
)</f>
        <v>etal</v>
      </c>
      <c r="I206" s="1" t="str">
        <f aca="false">_xlfn.TEXTBEFORE(_xlfn.TEXTAFTER(A206, "("), ")")</f>
        <v>1981</v>
      </c>
      <c r="J206" s="1" t="str">
        <f aca="false">_xlfn.LET(
_xlpm.doi,IF(C206&lt;&gt;"",C206,_xlfn.TEXTAFTER(A206,"https://doi.org/")),
SUBSTITUTE(
SUBSTITUTE(
SUBSTITUTE(
SUBSTITUTE(
_xlpm.doi,
"/","%2F"),
":","%3A"),
"&lt;","%3C"),
"&gt;","%3E")
)</f>
        <v>10.1159%2F000155963</v>
      </c>
      <c r="K206" s="1" t="str">
        <f aca="false">TRIM(_xlfn.TEXTJOIN("_",FALSE(),F206,(SUBSTITUTE(SUBSTITUTE(D206," ",""), "_", ""))))</f>
        <v>Stephan_etal_1981_TableXIII</v>
      </c>
      <c r="L206" s="1" t="str">
        <f aca="false">J206 &amp; "_" &amp; SUBSTITUTE(SUBSTITUTE(SUBSTITUTE(D206,CHAR(160),"")," ",""),"_","")</f>
        <v>10.1159%2F000155963_TableXIII</v>
      </c>
      <c r="M206" s="1" t="str">
        <f aca="false" t="array" ref="M206:M206">IFERROR(INDEX(FileList!$A$1:$A$1000,MATCH(TRUE(),EXACT(L206,IFERROR(_xlfn.TEXTBEFORE(FileList!$A$1:$A$1000,".tsv"),"")),0)),"notfound")</f>
        <v>notfound</v>
      </c>
      <c r="N206" s="4" t="s">
        <v>782</v>
      </c>
      <c r="V206" s="4" t="s">
        <v>42</v>
      </c>
      <c r="Y206" s="4" t="s">
        <v>101</v>
      </c>
      <c r="Z206" s="4" t="s">
        <v>101</v>
      </c>
      <c r="AF206" s="4" t="s">
        <v>80</v>
      </c>
      <c r="AG206" s="4" t="s">
        <v>114</v>
      </c>
      <c r="AI206" s="4" t="s">
        <v>755</v>
      </c>
      <c r="AJ206" s="4" t="s">
        <v>103</v>
      </c>
      <c r="AK206" s="4" t="s">
        <v>63</v>
      </c>
      <c r="AL206" s="4" t="s">
        <v>63</v>
      </c>
      <c r="AM206" s="4" t="s">
        <v>86</v>
      </c>
    </row>
    <row r="207" customFormat="false" ht="15" hidden="false" customHeight="true" outlineLevel="0" collapsed="false">
      <c r="A207" s="4" t="s">
        <v>753</v>
      </c>
      <c r="D207" s="4" t="s">
        <v>783</v>
      </c>
      <c r="E207" s="1" t="str">
        <f aca="false">RIGHT(A207,1)</f>
        <v>3</v>
      </c>
      <c r="F207" s="1" t="str">
        <f aca="false">G207 &amp; IF(H207&lt;&gt;"", "_" &amp; H207, "_") &amp; IF(I207&lt;&gt;"", "_" &amp; I207, "_") &amp; IF(B207&lt;&gt;"", "_" &amp; B207, "")</f>
        <v>Stephan_etal_1981</v>
      </c>
      <c r="G207" s="1" t="str">
        <f aca="false">SUBSTITUTE(SUBSTITUTE(_xlfn.TEXTBEFORE(A207,","), "-", ""), " ", "")</f>
        <v>Stephan</v>
      </c>
      <c r="H207" s="1" t="str">
        <f aca="false">_xlfn.LET(
_xlpm.authors,_xlfn.TEXTBEFORE(A207," ("&amp;I207&amp;")"),
_xlpm.hasAmp,ISNUMBER(SEARCH("&amp;",_xlpm.authors)),
_xlpm.commasBeforeAmp,IF(_xlpm.hasAmp,LEN(_xlfn.TEXTBEFORE(_xlpm.authors,"&amp;"))-LEN(SUBSTITUTE(_xlfn.TEXTBEFORE(_xlpm.authors,"&amp;"),",","")),0),
IF(NOT(_xlpm.hasAmp),"",IF(_xlpm.commasBeforeAmp&gt;2,"etal",TRIM(_xlfn.TEXTBEFORE(_xlfn.TEXTAFTER(_xlpm.authors,"&amp; "),","))))
)</f>
        <v>etal</v>
      </c>
      <c r="I207" s="1" t="str">
        <f aca="false">_xlfn.TEXTBEFORE(_xlfn.TEXTAFTER(A207, "("), ")")</f>
        <v>1981</v>
      </c>
      <c r="J207" s="1" t="str">
        <f aca="false">_xlfn.LET(
_xlpm.doi,IF(C207&lt;&gt;"",C207,_xlfn.TEXTAFTER(A207,"https://doi.org/")),
SUBSTITUTE(
SUBSTITUTE(
SUBSTITUTE(
SUBSTITUTE(
_xlpm.doi,
"/","%2F"),
":","%3A"),
"&lt;","%3C"),
"&gt;","%3E")
)</f>
        <v>10.1159%2F000155963</v>
      </c>
      <c r="K207" s="1" t="str">
        <f aca="false">TRIM(_xlfn.TEXTJOIN("_",FALSE(),F207,(SUBSTITUTE(SUBSTITUTE(D207," ",""), "_", ""))))</f>
        <v>Stephan_etal_1981_TableXIV</v>
      </c>
      <c r="L207" s="1" t="str">
        <f aca="false">J207 &amp; "_" &amp; SUBSTITUTE(SUBSTITUTE(SUBSTITUTE(D207,CHAR(160),"")," ",""),"_","")</f>
        <v>10.1159%2F000155963_TableXIV</v>
      </c>
      <c r="M207" s="1" t="str">
        <f aca="false" t="array" ref="M207:M207">IFERROR(INDEX(FileList!$A$1:$A$1000,MATCH(TRUE(),EXACT(L207,IFERROR(_xlfn.TEXTBEFORE(FileList!$A$1:$A$1000,".tsv"),"")),0)),"notfound")</f>
        <v>notfound</v>
      </c>
      <c r="N207" s="4" t="s">
        <v>784</v>
      </c>
      <c r="V207" s="4" t="s">
        <v>42</v>
      </c>
      <c r="Y207" s="4" t="s">
        <v>101</v>
      </c>
      <c r="Z207" s="4" t="s">
        <v>101</v>
      </c>
      <c r="AF207" s="4" t="s">
        <v>80</v>
      </c>
      <c r="AG207" s="4" t="s">
        <v>114</v>
      </c>
      <c r="AI207" s="4" t="s">
        <v>755</v>
      </c>
      <c r="AJ207" s="4" t="s">
        <v>103</v>
      </c>
      <c r="AK207" s="4" t="s">
        <v>63</v>
      </c>
      <c r="AL207" s="4" t="s">
        <v>63</v>
      </c>
      <c r="AM207" s="4" t="s">
        <v>86</v>
      </c>
    </row>
    <row r="208" customFormat="false" ht="15" hidden="false" customHeight="true" outlineLevel="0" collapsed="false">
      <c r="A208" s="4" t="s">
        <v>753</v>
      </c>
      <c r="D208" s="4" t="s">
        <v>785</v>
      </c>
      <c r="E208" s="1" t="str">
        <f aca="false">RIGHT(A208,1)</f>
        <v>3</v>
      </c>
      <c r="F208" s="1" t="str">
        <f aca="false">G208 &amp; IF(H208&lt;&gt;"", "_" &amp; H208, "_") &amp; IF(I208&lt;&gt;"", "_" &amp; I208, "_") &amp; IF(B208&lt;&gt;"", "_" &amp; B208, "")</f>
        <v>Stephan_etal_1981</v>
      </c>
      <c r="G208" s="1" t="str">
        <f aca="false">SUBSTITUTE(SUBSTITUTE(_xlfn.TEXTBEFORE(A208,","), "-", ""), " ", "")</f>
        <v>Stephan</v>
      </c>
      <c r="H208" s="1" t="str">
        <f aca="false">_xlfn.LET(
_xlpm.authors,_xlfn.TEXTBEFORE(A208," ("&amp;I208&amp;")"),
_xlpm.hasAmp,ISNUMBER(SEARCH("&amp;",_xlpm.authors)),
_xlpm.commasBeforeAmp,IF(_xlpm.hasAmp,LEN(_xlfn.TEXTBEFORE(_xlpm.authors,"&amp;"))-LEN(SUBSTITUTE(_xlfn.TEXTBEFORE(_xlpm.authors,"&amp;"),",","")),0),
IF(NOT(_xlpm.hasAmp),"",IF(_xlpm.commasBeforeAmp&gt;2,"etal",TRIM(_xlfn.TEXTBEFORE(_xlfn.TEXTAFTER(_xlpm.authors,"&amp; "),","))))
)</f>
        <v>etal</v>
      </c>
      <c r="I208" s="1" t="str">
        <f aca="false">_xlfn.TEXTBEFORE(_xlfn.TEXTAFTER(A208, "("), ")")</f>
        <v>1981</v>
      </c>
      <c r="J208" s="1" t="str">
        <f aca="false">_xlfn.LET(
_xlpm.doi,IF(C208&lt;&gt;"",C208,_xlfn.TEXTAFTER(A208,"https://doi.org/")),
SUBSTITUTE(
SUBSTITUTE(
SUBSTITUTE(
SUBSTITUTE(
_xlpm.doi,
"/","%2F"),
":","%3A"),
"&lt;","%3C"),
"&gt;","%3E")
)</f>
        <v>10.1159%2F000155963</v>
      </c>
      <c r="K208" s="1" t="str">
        <f aca="false">TRIM(_xlfn.TEXTJOIN("_",FALSE(),F208,(SUBSTITUTE(SUBSTITUTE(D208," ",""), "_", ""))))</f>
        <v>Stephan_etal_1981_TableXV</v>
      </c>
      <c r="L208" s="1" t="str">
        <f aca="false">J208 &amp; "_" &amp; SUBSTITUTE(SUBSTITUTE(SUBSTITUTE(D208,CHAR(160),"")," ",""),"_","")</f>
        <v>10.1159%2F000155963_TableXV</v>
      </c>
      <c r="M208" s="1" t="str">
        <f aca="false" t="array" ref="M208:M208">IFERROR(INDEX(FileList!$A$1:$A$1000,MATCH(TRUE(),EXACT(L208,IFERROR(_xlfn.TEXTBEFORE(FileList!$A$1:$A$1000,".tsv"),"")),0)),"notfound")</f>
        <v>notfound</v>
      </c>
      <c r="N208" s="4" t="s">
        <v>786</v>
      </c>
      <c r="V208" s="4" t="s">
        <v>42</v>
      </c>
      <c r="Y208" s="4" t="s">
        <v>101</v>
      </c>
      <c r="Z208" s="4" t="s">
        <v>101</v>
      </c>
      <c r="AF208" s="4" t="s">
        <v>80</v>
      </c>
      <c r="AG208" s="4" t="s">
        <v>114</v>
      </c>
      <c r="AI208" s="4" t="s">
        <v>755</v>
      </c>
      <c r="AJ208" s="4" t="s">
        <v>103</v>
      </c>
      <c r="AK208" s="4" t="s">
        <v>63</v>
      </c>
      <c r="AL208" s="4" t="s">
        <v>63</v>
      </c>
      <c r="AM208" s="4" t="s">
        <v>86</v>
      </c>
    </row>
    <row r="209" customFormat="false" ht="15" hidden="false" customHeight="true" outlineLevel="0" collapsed="false">
      <c r="A209" s="4" t="s">
        <v>753</v>
      </c>
      <c r="D209" s="4" t="s">
        <v>787</v>
      </c>
      <c r="E209" s="1" t="str">
        <f aca="false">RIGHT(A209,1)</f>
        <v>3</v>
      </c>
      <c r="F209" s="1" t="str">
        <f aca="false">G209 &amp; IF(H209&lt;&gt;"", "_" &amp; H209, "_") &amp; IF(I209&lt;&gt;"", "_" &amp; I209, "_") &amp; IF(B209&lt;&gt;"", "_" &amp; B209, "")</f>
        <v>Stephan_etal_1981</v>
      </c>
      <c r="G209" s="1" t="str">
        <f aca="false">SUBSTITUTE(SUBSTITUTE(_xlfn.TEXTBEFORE(A209,","), "-", ""), " ", "")</f>
        <v>Stephan</v>
      </c>
      <c r="H209" s="1" t="str">
        <f aca="false">_xlfn.LET(
_xlpm.authors,_xlfn.TEXTBEFORE(A209," ("&amp;I209&amp;")"),
_xlpm.hasAmp,ISNUMBER(SEARCH("&amp;",_xlpm.authors)),
_xlpm.commasBeforeAmp,IF(_xlpm.hasAmp,LEN(_xlfn.TEXTBEFORE(_xlpm.authors,"&amp;"))-LEN(SUBSTITUTE(_xlfn.TEXTBEFORE(_xlpm.authors,"&amp;"),",","")),0),
IF(NOT(_xlpm.hasAmp),"",IF(_xlpm.commasBeforeAmp&gt;2,"etal",TRIM(_xlfn.TEXTBEFORE(_xlfn.TEXTAFTER(_xlpm.authors,"&amp; "),","))))
)</f>
        <v>etal</v>
      </c>
      <c r="I209" s="1" t="str">
        <f aca="false">_xlfn.TEXTBEFORE(_xlfn.TEXTAFTER(A209, "("), ")")</f>
        <v>1981</v>
      </c>
      <c r="J209" s="1" t="str">
        <f aca="false">_xlfn.LET(
_xlpm.doi,IF(C209&lt;&gt;"",C209,_xlfn.TEXTAFTER(A209,"https://doi.org/")),
SUBSTITUTE(
SUBSTITUTE(
SUBSTITUTE(
SUBSTITUTE(
_xlpm.doi,
"/","%2F"),
":","%3A"),
"&lt;","%3C"),
"&gt;","%3E")
)</f>
        <v>10.1159%2F000155963</v>
      </c>
      <c r="K209" s="1" t="str">
        <f aca="false">TRIM(_xlfn.TEXTJOIN("_",FALSE(),F209,(SUBSTITUTE(SUBSTITUTE(D209," ",""), "_", ""))))</f>
        <v>Stephan_etal_1981_TableXVI</v>
      </c>
      <c r="L209" s="1" t="str">
        <f aca="false">J209 &amp; "_" &amp; SUBSTITUTE(SUBSTITUTE(SUBSTITUTE(D209,CHAR(160),"")," ",""),"_","")</f>
        <v>10.1159%2F000155963_TableXVI</v>
      </c>
      <c r="M209" s="1" t="str">
        <f aca="false" t="array" ref="M209:M209">IFERROR(INDEX(FileList!$A$1:$A$1000,MATCH(TRUE(),EXACT(L209,IFERROR(_xlfn.TEXTBEFORE(FileList!$A$1:$A$1000,".tsv"),"")),0)),"notfound")</f>
        <v>notfound</v>
      </c>
      <c r="N209" s="4" t="s">
        <v>788</v>
      </c>
      <c r="V209" s="4" t="s">
        <v>42</v>
      </c>
      <c r="Y209" s="4" t="s">
        <v>101</v>
      </c>
      <c r="Z209" s="4" t="s">
        <v>101</v>
      </c>
      <c r="AF209" s="4" t="s">
        <v>80</v>
      </c>
      <c r="AG209" s="4" t="s">
        <v>114</v>
      </c>
      <c r="AI209" s="4" t="s">
        <v>755</v>
      </c>
      <c r="AJ209" s="4" t="s">
        <v>103</v>
      </c>
      <c r="AK209" s="4" t="s">
        <v>63</v>
      </c>
      <c r="AL209" s="4" t="s">
        <v>63</v>
      </c>
      <c r="AM209" s="4" t="s">
        <v>86</v>
      </c>
    </row>
    <row r="210" customFormat="false" ht="15" hidden="false" customHeight="true" outlineLevel="0" collapsed="false">
      <c r="A210" s="4" t="s">
        <v>753</v>
      </c>
      <c r="C210" s="8"/>
      <c r="D210" s="4" t="s">
        <v>789</v>
      </c>
      <c r="E210" s="1" t="str">
        <f aca="false">RIGHT(A210,1)</f>
        <v>3</v>
      </c>
      <c r="F210" s="1" t="str">
        <f aca="false">G210 &amp; IF(H210&lt;&gt;"", "_" &amp; H210, "_") &amp; IF(I210&lt;&gt;"", "_" &amp; I210, "_") &amp; IF(B210&lt;&gt;"", "_" &amp; B210, "")</f>
        <v>Stephan_etal_1981</v>
      </c>
      <c r="G210" s="1" t="str">
        <f aca="false">SUBSTITUTE(SUBSTITUTE(_xlfn.TEXTBEFORE(A210,","), "-", ""), " ", "")</f>
        <v>Stephan</v>
      </c>
      <c r="H210" s="1" t="str">
        <f aca="false">_xlfn.LET(
_xlpm.authors,_xlfn.TEXTBEFORE(A210," ("&amp;I210&amp;")"),
_xlpm.hasAmp,ISNUMBER(SEARCH("&amp;",_xlpm.authors)),
_xlpm.commasBeforeAmp,IF(_xlpm.hasAmp,LEN(_xlfn.TEXTBEFORE(_xlpm.authors,"&amp;"))-LEN(SUBSTITUTE(_xlfn.TEXTBEFORE(_xlpm.authors,"&amp;"),",","")),0),
IF(NOT(_xlpm.hasAmp),"",IF(_xlpm.commasBeforeAmp&gt;2,"etal",TRIM(_xlfn.TEXTBEFORE(_xlfn.TEXTAFTER(_xlpm.authors,"&amp; "),","))))
)</f>
        <v>etal</v>
      </c>
      <c r="I210" s="1" t="str">
        <f aca="false">_xlfn.TEXTBEFORE(_xlfn.TEXTAFTER(A210, "("), ")")</f>
        <v>1981</v>
      </c>
      <c r="J210" s="1" t="str">
        <f aca="false">_xlfn.LET(
_xlpm.doi,IF(C210&lt;&gt;"",C210,_xlfn.TEXTAFTER(A210,"https://doi.org/")),
SUBSTITUTE(
SUBSTITUTE(
SUBSTITUTE(
SUBSTITUTE(
_xlpm.doi,
"/","%2F"),
":","%3A"),
"&lt;","%3C"),
"&gt;","%3E")
)</f>
        <v>10.1159%2F000155963</v>
      </c>
      <c r="K210" s="1" t="str">
        <f aca="false">TRIM(_xlfn.TEXTJOIN("_",FALSE(),F210,(SUBSTITUTE(SUBSTITUTE(D210," ",""), "_", ""))))</f>
        <v>Stephan_etal_1981_TablesI-VI</v>
      </c>
      <c r="L210" s="1" t="str">
        <f aca="false">J210 &amp; "_" &amp; SUBSTITUTE(SUBSTITUTE(SUBSTITUTE(D210,CHAR(160),"")," ",""),"_","")</f>
        <v>10.1159%2F000155963_TablesI-VI</v>
      </c>
      <c r="M210" s="1" t="str">
        <f aca="false" t="array" ref="M210:M210">IFERROR(INDEX(FileList!$A$1:$A$1000,MATCH(TRUE(),EXACT(L210,IFERROR(_xlfn.TEXTBEFORE(FileList!$A$1:$A$1000,".tsv"),"")),0)),"notfound")</f>
        <v>notfound</v>
      </c>
      <c r="O210" s="4" t="s">
        <v>790</v>
      </c>
      <c r="P210" s="4" t="s">
        <v>41</v>
      </c>
      <c r="V210" s="4" t="s">
        <v>42</v>
      </c>
      <c r="Y210" s="4" t="s">
        <v>101</v>
      </c>
      <c r="Z210" s="4" t="s">
        <v>101</v>
      </c>
      <c r="AF210" s="4" t="s">
        <v>80</v>
      </c>
      <c r="AG210" s="4" t="s">
        <v>114</v>
      </c>
      <c r="AI210" s="4" t="s">
        <v>755</v>
      </c>
      <c r="AJ210" s="4" t="s">
        <v>103</v>
      </c>
      <c r="AK210" s="4" t="s">
        <v>63</v>
      </c>
      <c r="AL210" s="4" t="s">
        <v>63</v>
      </c>
      <c r="AM210" s="4" t="s">
        <v>86</v>
      </c>
    </row>
    <row r="211" customFormat="false" ht="15" hidden="false" customHeight="true" outlineLevel="0" collapsed="false">
      <c r="A211" s="4" t="s">
        <v>791</v>
      </c>
      <c r="D211" s="4" t="s">
        <v>792</v>
      </c>
      <c r="E211" s="1" t="str">
        <f aca="false">RIGHT(A211,1)</f>
        <v>8</v>
      </c>
      <c r="F211" s="1" t="str">
        <f aca="false">G211 &amp; IF(H211&lt;&gt;"", "_" &amp; H211, "_") &amp; IF(I211&lt;&gt;"", "_" &amp; I211, "_") &amp; IF(B211&lt;&gt;"", "_" &amp; B211, "")</f>
        <v>Stimpson_etal_2015</v>
      </c>
      <c r="G211" s="1" t="str">
        <f aca="false">SUBSTITUTE(SUBSTITUTE(_xlfn.TEXTBEFORE(A211,","), "-", ""), " ", "")</f>
        <v>Stimpson</v>
      </c>
      <c r="H211" s="1" t="str">
        <f aca="false">_xlfn.LET(
_xlpm.authors,_xlfn.TEXTBEFORE(A211," ("&amp;I211&amp;")"),
_xlpm.hasAmp,ISNUMBER(SEARCH("&amp;",_xlpm.authors)),
_xlpm.commasBeforeAmp,IF(_xlpm.hasAmp,LEN(_xlfn.TEXTBEFORE(_xlpm.authors,"&amp;"))-LEN(SUBSTITUTE(_xlfn.TEXTBEFORE(_xlpm.authors,"&amp;"),",","")),0),
IF(NOT(_xlpm.hasAmp),"",IF(_xlpm.commasBeforeAmp&gt;2,"etal",TRIM(_xlfn.TEXTBEFORE(_xlfn.TEXTAFTER(_xlpm.authors,"&amp; "),","))))
)</f>
        <v>etal</v>
      </c>
      <c r="I211" s="1" t="str">
        <f aca="false">_xlfn.TEXTBEFORE(_xlfn.TEXTAFTER(A211, "("), ")")</f>
        <v>2015</v>
      </c>
      <c r="J211" s="1" t="str">
        <f aca="false">_xlfn.LET(
_xlpm.doi,IF(C211&lt;&gt;"",C211,_xlfn.TEXTAFTER(A211,"https://doi.org/")),
SUBSTITUTE(
SUBSTITUTE(
SUBSTITUTE(
SUBSTITUTE(
_xlpm.doi,
"/","%2F"),
":","%3A"),
"&lt;","%3C"),
"&gt;","%3E")
)</f>
        <v>10.1093%2Fscan%2Fnsv128</v>
      </c>
      <c r="K211" s="1" t="str">
        <f aca="false">TRIM(_xlfn.TEXTJOIN("_",FALSE(),F211,(SUBSTITUTE(SUBSTITUTE(D211," ",""), "_", ""))))</f>
        <v>Stimpson_etal_2015_TableS1</v>
      </c>
      <c r="L211" s="1" t="str">
        <f aca="false">J211 &amp; "_" &amp; SUBSTITUTE(SUBSTITUTE(SUBSTITUTE(D211,CHAR(160),"")," ",""),"_","")</f>
        <v>10.1093%2Fscan%2Fnsv128_TableS1</v>
      </c>
      <c r="M211" s="1" t="str">
        <f aca="false" t="array" ref="M211:M211">IFERROR(INDEX(FileList!$A$1:$A$1000,MATCH(TRUE(),EXACT(L211,IFERROR(_xlfn.TEXTBEFORE(FileList!$A$1:$A$1000,".tsv"),"")),0)),"notfound")</f>
        <v>notfound</v>
      </c>
      <c r="N211" s="4" t="s">
        <v>792</v>
      </c>
      <c r="P211" s="4" t="s">
        <v>41</v>
      </c>
      <c r="V211" s="4" t="s">
        <v>42</v>
      </c>
      <c r="Y211" s="4" t="s">
        <v>685</v>
      </c>
      <c r="Z211" s="4" t="s">
        <v>685</v>
      </c>
      <c r="AF211" s="4" t="s">
        <v>80</v>
      </c>
      <c r="AG211" s="4" t="s">
        <v>114</v>
      </c>
      <c r="AL211" s="4" t="s">
        <v>63</v>
      </c>
      <c r="AM211" s="4" t="s">
        <v>86</v>
      </c>
    </row>
    <row r="212" customFormat="false" ht="15" hidden="false" customHeight="true" outlineLevel="0" collapsed="false">
      <c r="A212" s="4" t="s">
        <v>791</v>
      </c>
      <c r="D212" s="4" t="s">
        <v>793</v>
      </c>
      <c r="E212" s="1" t="str">
        <f aca="false">RIGHT(A212,1)</f>
        <v>8</v>
      </c>
      <c r="F212" s="1" t="str">
        <f aca="false">G212 &amp; IF(H212&lt;&gt;"", "_" &amp; H212, "_") &amp; IF(I212&lt;&gt;"", "_" &amp; I212, "_") &amp; IF(B212&lt;&gt;"", "_" &amp; B212, "")</f>
        <v>Stimpson_etal_2015</v>
      </c>
      <c r="G212" s="1" t="str">
        <f aca="false">SUBSTITUTE(SUBSTITUTE(_xlfn.TEXTBEFORE(A212,","), "-", ""), " ", "")</f>
        <v>Stimpson</v>
      </c>
      <c r="H212" s="1" t="str">
        <f aca="false">_xlfn.LET(
_xlpm.authors,_xlfn.TEXTBEFORE(A212," ("&amp;I212&amp;")"),
_xlpm.hasAmp,ISNUMBER(SEARCH("&amp;",_xlpm.authors)),
_xlpm.commasBeforeAmp,IF(_xlpm.hasAmp,LEN(_xlfn.TEXTBEFORE(_xlpm.authors,"&amp;"))-LEN(SUBSTITUTE(_xlfn.TEXTBEFORE(_xlpm.authors,"&amp;"),",","")),0),
IF(NOT(_xlpm.hasAmp),"",IF(_xlpm.commasBeforeAmp&gt;2,"etal",TRIM(_xlfn.TEXTBEFORE(_xlfn.TEXTAFTER(_xlpm.authors,"&amp; "),","))))
)</f>
        <v>etal</v>
      </c>
      <c r="I212" s="1" t="str">
        <f aca="false">_xlfn.TEXTBEFORE(_xlfn.TEXTAFTER(A212, "("), ")")</f>
        <v>2015</v>
      </c>
      <c r="J212" s="1" t="str">
        <f aca="false">_xlfn.LET(
_xlpm.doi,IF(C212&lt;&gt;"",C212,_xlfn.TEXTAFTER(A212,"https://doi.org/")),
SUBSTITUTE(
SUBSTITUTE(
SUBSTITUTE(
SUBSTITUTE(
_xlpm.doi,
"/","%2F"),
":","%3A"),
"&lt;","%3C"),
"&gt;","%3E")
)</f>
        <v>10.1093%2Fscan%2Fnsv128</v>
      </c>
      <c r="K212" s="1" t="str">
        <f aca="false">TRIM(_xlfn.TEXTJOIN("_",FALSE(),F212,(SUBSTITUTE(SUBSTITUTE(D212," ",""), "_", ""))))</f>
        <v>Stimpson_etal_2015_TableS2</v>
      </c>
      <c r="L212" s="1" t="str">
        <f aca="false">J212 &amp; "_" &amp; SUBSTITUTE(SUBSTITUTE(SUBSTITUTE(D212,CHAR(160),"")," ",""),"_","")</f>
        <v>10.1093%2Fscan%2Fnsv128_TableS2</v>
      </c>
      <c r="M212" s="1" t="str">
        <f aca="false" t="array" ref="M212:M212">IFERROR(INDEX(FileList!$A$1:$A$1000,MATCH(TRUE(),EXACT(L212,IFERROR(_xlfn.TEXTBEFORE(FileList!$A$1:$A$1000,".tsv"),"")),0)),"notfound")</f>
        <v>notfound</v>
      </c>
      <c r="N212" s="4" t="s">
        <v>793</v>
      </c>
      <c r="P212" s="4" t="s">
        <v>41</v>
      </c>
      <c r="V212" s="4" t="s">
        <v>42</v>
      </c>
      <c r="Y212" s="4" t="s">
        <v>685</v>
      </c>
      <c r="Z212" s="4" t="s">
        <v>685</v>
      </c>
      <c r="AF212" s="4" t="s">
        <v>80</v>
      </c>
      <c r="AG212" s="4" t="s">
        <v>114</v>
      </c>
      <c r="AL212" s="4" t="s">
        <v>63</v>
      </c>
      <c r="AM212" s="4" t="s">
        <v>86</v>
      </c>
    </row>
    <row r="213" customFormat="false" ht="15" hidden="false" customHeight="true" outlineLevel="0" collapsed="false">
      <c r="A213" s="4" t="s">
        <v>794</v>
      </c>
      <c r="D213" s="4" t="s">
        <v>77</v>
      </c>
      <c r="E213" s="1" t="str">
        <f aca="false">RIGHT(A213,1)</f>
        <v>2</v>
      </c>
      <c r="F213" s="1" t="str">
        <f aca="false">G213 &amp; IF(H213&lt;&gt;"", "_" &amp; H213, "_") &amp; IF(I213&lt;&gt;"", "_" &amp; I213, "_") &amp; IF(B213&lt;&gt;"", "_" &amp; B213, "")</f>
        <v>Turner_etal_2016</v>
      </c>
      <c r="G213" s="1" t="str">
        <f aca="false">SUBSTITUTE(SUBSTITUTE(_xlfn.TEXTBEFORE(A213,","), "-", ""), " ", "")</f>
        <v>Turner</v>
      </c>
      <c r="H213" s="1" t="str">
        <f aca="false">_xlfn.LET(
_xlpm.authors,_xlfn.TEXTBEFORE(A213," ("&amp;I213&amp;")"),
_xlpm.hasAmp,ISNUMBER(SEARCH("&amp;",_xlpm.authors)),
_xlpm.commasBeforeAmp,IF(_xlpm.hasAmp,LEN(_xlfn.TEXTBEFORE(_xlpm.authors,"&amp;"))-LEN(SUBSTITUTE(_xlfn.TEXTBEFORE(_xlpm.authors,"&amp;"),",","")),0),
IF(NOT(_xlpm.hasAmp),"",IF(_xlpm.commasBeforeAmp&gt;2,"etal",TRIM(_xlfn.TEXTBEFORE(_xlfn.TEXTAFTER(_xlpm.authors,"&amp; "),","))))
)</f>
        <v>etal</v>
      </c>
      <c r="I213" s="1" t="str">
        <f aca="false">_xlfn.TEXTBEFORE(_xlfn.TEXTAFTER(A213, "("), ")")</f>
        <v>2016</v>
      </c>
      <c r="J213" s="1" t="str">
        <f aca="false">_xlfn.LET(
_xlpm.doi,IF(C213&lt;&gt;"",C213,_xlfn.TEXTAFTER(A213,"https://doi.org/")),
SUBSTITUTE(
SUBSTITUTE(
SUBSTITUTE(
SUBSTITUTE(
_xlpm.doi,
"/","%2F"),
":","%3A"),
"&lt;","%3C"),
"&gt;","%3E")
)</f>
        <v>10.1159%2F000446762</v>
      </c>
      <c r="K213" s="1" t="str">
        <f aca="false">TRIM(_xlfn.TEXTJOIN("_",FALSE(),F213,(SUBSTITUTE(SUBSTITUTE(D213," ",""), "_", ""))))</f>
        <v>Turner_etal_2016_Table1</v>
      </c>
      <c r="L213" s="1" t="str">
        <f aca="false">J213 &amp; "_" &amp; SUBSTITUTE(SUBSTITUTE(SUBSTITUTE(D213,CHAR(160),"")," ",""),"_","")</f>
        <v>10.1159%2F000446762_Table1</v>
      </c>
      <c r="M213" s="1" t="str">
        <f aca="false" t="array" ref="M213:M213">IFERROR(INDEX(FileList!$A$1:$A$1000,MATCH(TRUE(),EXACT(L213,IFERROR(_xlfn.TEXTBEFORE(FileList!$A$1:$A$1000,".tsv"),"")),0)),"notfound")</f>
        <v>notfound</v>
      </c>
      <c r="N213" s="4" t="s">
        <v>795</v>
      </c>
      <c r="AI213" s="4" t="s">
        <v>796</v>
      </c>
      <c r="AJ213" s="4" t="s">
        <v>142</v>
      </c>
      <c r="AL213" s="4" t="s">
        <v>63</v>
      </c>
      <c r="AM213" s="4" t="s">
        <v>129</v>
      </c>
    </row>
    <row r="214" customFormat="false" ht="15" hidden="false" customHeight="true" outlineLevel="0" collapsed="false">
      <c r="A214" s="4" t="s">
        <v>797</v>
      </c>
      <c r="C214" s="1" t="s">
        <v>798</v>
      </c>
      <c r="D214" s="4" t="s">
        <v>799</v>
      </c>
      <c r="E214" s="1" t="str">
        <f aca="false">RIGHT(A214,1)</f>
        <v>.</v>
      </c>
      <c r="F214" s="1" t="str">
        <f aca="false">G214 &amp; IF(H214&lt;&gt;"", "_" &amp; H214, "_") &amp; IF(I214&lt;&gt;"", "_" &amp; I214, "_") &amp; IF(B214&lt;&gt;"", "_" &amp; B214, "")</f>
        <v>Weaver__2001</v>
      </c>
      <c r="G214" s="1" t="str">
        <f aca="false">SUBSTITUTE(SUBSTITUTE(_xlfn.TEXTBEFORE(A214,","), "-", ""), " ", "")</f>
        <v>Weaver</v>
      </c>
      <c r="H214" s="1" t="str">
        <f aca="false">_xlfn.LET(
_xlpm.authors,_xlfn.TEXTBEFORE(A214," ("&amp;I214&amp;")"),
_xlpm.hasAmp,ISNUMBER(SEARCH("&amp;",_xlpm.authors)),
_xlpm.commasBeforeAmp,IF(_xlpm.hasAmp,LEN(_xlfn.TEXTBEFORE(_xlpm.authors,"&amp;"))-LEN(SUBSTITUTE(_xlfn.TEXTBEFORE(_xlpm.authors,"&amp;"),",","")),0),
IF(NOT(_xlpm.hasAmp),"",IF(_xlpm.commasBeforeAmp&gt;2,"etal",TRIM(_xlfn.TEXTBEFORE(_xlfn.TEXTAFTER(_xlpm.authors,"&amp; "),","))))
)</f>
        <v/>
      </c>
      <c r="I214" s="1" t="str">
        <f aca="false">_xlfn.TEXTBEFORE(_xlfn.TEXTAFTER(A214, "("), ")")</f>
        <v>2001</v>
      </c>
      <c r="J214" s="1" t="str">
        <f aca="false">_xlfn.LET(
_xlpm.doi,IF(C214&lt;&gt;"",C214,_xlfn.TEXTAFTER(A214,"https://doi.org/")),
SUBSTITUTE(
SUBSTITUTE(
SUBSTITUTE(
SUBSTITUTE(
_xlpm.doi,
"/","%2F"),
":","%3A"),
"&lt;","%3C"),
"&gt;","%3E")
)</f>
        <v>UMI%3A3017523</v>
      </c>
      <c r="K214" s="1" t="str">
        <f aca="false">TRIM(_xlfn.TEXTJOIN("_",FALSE(),F214,(SUBSTITUTE(SUBSTITUTE(D214," ",""), "_", ""))))</f>
        <v>Weaver__2001_NotesforTableA-15</v>
      </c>
      <c r="L214" s="1" t="str">
        <f aca="false">J214 &amp; "_" &amp; SUBSTITUTE(SUBSTITUTE(SUBSTITUTE(D214,CHAR(160),"")," ",""),"_","")</f>
        <v>UMI%3A3017523_NotesforTableA-15</v>
      </c>
      <c r="M214" s="1" t="str">
        <f aca="false" t="array" ref="M214:M214">IFERROR(INDEX(FileList!$A$1:$A$1000,MATCH(TRUE(),EXACT(L214,IFERROR(_xlfn.TEXTBEFORE(FileList!$A$1:$A$1000,".tsv"),"")),0)),"notfound")</f>
        <v>notfound</v>
      </c>
      <c r="N214" s="4" t="s">
        <v>799</v>
      </c>
    </row>
    <row r="215" customFormat="false" ht="15" hidden="false" customHeight="true" outlineLevel="0" collapsed="false">
      <c r="A215" s="4" t="s">
        <v>797</v>
      </c>
      <c r="C215" s="1" t="s">
        <v>798</v>
      </c>
      <c r="D215" s="4" t="s">
        <v>800</v>
      </c>
      <c r="E215" s="1" t="str">
        <f aca="false">RIGHT(A215,1)</f>
        <v>.</v>
      </c>
      <c r="F215" s="1" t="str">
        <f aca="false">G215 &amp; IF(H215&lt;&gt;"", "_" &amp; H215, "_") &amp; IF(I215&lt;&gt;"", "_" &amp; I215, "_") &amp; IF(B215&lt;&gt;"", "_" &amp; B215, "")</f>
        <v>Weaver__2001</v>
      </c>
      <c r="G215" s="1" t="str">
        <f aca="false">SUBSTITUTE(SUBSTITUTE(_xlfn.TEXTBEFORE(A215,","), "-", ""), " ", "")</f>
        <v>Weaver</v>
      </c>
      <c r="H215" s="1" t="str">
        <f aca="false">_xlfn.LET(
_xlpm.authors,_xlfn.TEXTBEFORE(A215," ("&amp;I215&amp;")"),
_xlpm.hasAmp,ISNUMBER(SEARCH("&amp;",_xlpm.authors)),
_xlpm.commasBeforeAmp,IF(_xlpm.hasAmp,LEN(_xlfn.TEXTBEFORE(_xlpm.authors,"&amp;"))-LEN(SUBSTITUTE(_xlfn.TEXTBEFORE(_xlpm.authors,"&amp;"),",","")),0),
IF(NOT(_xlpm.hasAmp),"",IF(_xlpm.commasBeforeAmp&gt;2,"etal",TRIM(_xlfn.TEXTBEFORE(_xlfn.TEXTAFTER(_xlpm.authors,"&amp; "),","))))
)</f>
        <v/>
      </c>
      <c r="I215" s="1" t="str">
        <f aca="false">_xlfn.TEXTBEFORE(_xlfn.TEXTAFTER(A215, "("), ")")</f>
        <v>2001</v>
      </c>
      <c r="J215" s="1" t="str">
        <f aca="false">_xlfn.LET(
_xlpm.doi,IF(C215&lt;&gt;"",C215,_xlfn.TEXTAFTER(A215,"https://doi.org/")),
SUBSTITUTE(
SUBSTITUTE(
SUBSTITUTE(
SUBSTITUTE(
_xlpm.doi,
"/","%2F"),
":","%3A"),
"&lt;","%3C"),
"&gt;","%3E")
)</f>
        <v>UMI%3A3017523</v>
      </c>
      <c r="K215" s="1" t="str">
        <f aca="false">TRIM(_xlfn.TEXTJOIN("_",FALSE(),F215,(SUBSTITUTE(SUBSTITUTE(D215," ",""), "_", ""))))</f>
        <v>Weaver__2001_TableA-15</v>
      </c>
      <c r="L215" s="1" t="str">
        <f aca="false">J215 &amp; "_" &amp; SUBSTITUTE(SUBSTITUTE(SUBSTITUTE(D215,CHAR(160),"")," ",""),"_","")</f>
        <v>UMI%3A3017523_TableA-15</v>
      </c>
      <c r="M215" s="1" t="str">
        <f aca="false" t="array" ref="M215:M215">IFERROR(INDEX(FileList!$A$1:$A$1000,MATCH(TRUE(),EXACT(L215,IFERROR(_xlfn.TEXTBEFORE(FileList!$A$1:$A$1000,".tsv"),"")),0)),"notfound")</f>
        <v>notfound</v>
      </c>
      <c r="N215" s="4" t="s">
        <v>801</v>
      </c>
    </row>
    <row r="216" customFormat="false" ht="15" hidden="false" customHeight="true" outlineLevel="0" collapsed="false">
      <c r="A216" s="4" t="s">
        <v>802</v>
      </c>
      <c r="D216" s="4" t="s">
        <v>803</v>
      </c>
      <c r="E216" s="1" t="str">
        <f aca="false">RIGHT(A216,1)</f>
        <v>1</v>
      </c>
      <c r="F216" s="1" t="str">
        <f aca="false">G216 &amp; IF(H216&lt;&gt;"", "_" &amp; H216, "_") &amp; IF(I216&lt;&gt;"", "_" &amp; I216, "_") &amp; IF(B216&lt;&gt;"", "_" &amp; B216, "")</f>
        <v>Wilman_etal_2014</v>
      </c>
      <c r="G216" s="1" t="str">
        <f aca="false">SUBSTITUTE(SUBSTITUTE(_xlfn.TEXTBEFORE(A216,","), "-", ""), " ", "")</f>
        <v>Wilman</v>
      </c>
      <c r="H216" s="1" t="str">
        <f aca="false">_xlfn.LET(
_xlpm.authors,_xlfn.TEXTBEFORE(A216," ("&amp;I216&amp;")"),
_xlpm.hasAmp,ISNUMBER(SEARCH("&amp;",_xlpm.authors)),
_xlpm.commasBeforeAmp,IF(_xlpm.hasAmp,LEN(_xlfn.TEXTBEFORE(_xlpm.authors,"&amp;"))-LEN(SUBSTITUTE(_xlfn.TEXTBEFORE(_xlpm.authors,"&amp;"),",","")),0),
IF(NOT(_xlpm.hasAmp),"",IF(_xlpm.commasBeforeAmp&gt;2,"etal",TRIM(_xlfn.TEXTBEFORE(_xlfn.TEXTAFTER(_xlpm.authors,"&amp; "),","))))
)</f>
        <v>etal</v>
      </c>
      <c r="I216" s="1" t="str">
        <f aca="false">_xlfn.TEXTBEFORE(_xlfn.TEXTAFTER(A216, "("), ")")</f>
        <v>2014</v>
      </c>
      <c r="J216" s="1" t="str">
        <f aca="false">_xlfn.LET(
_xlpm.doi,IF(C216&lt;&gt;"",C216,_xlfn.TEXTAFTER(A216,"https://doi.org/")),
SUBSTITUTE(
SUBSTITUTE(
SUBSTITUTE(
SUBSTITUTE(
_xlpm.doi,
"/","%2F"),
":","%3A"),
"&lt;","%3C"),
"&gt;","%3E")
)</f>
        <v>10.1890%2F13-1917.1</v>
      </c>
      <c r="K216" s="1" t="str">
        <f aca="false">TRIM(_xlfn.TEXTJOIN("_",FALSE(),F216,(SUBSTITUTE(SUBSTITUTE(D216," ",""), "_", ""))))</f>
        <v>Wilman_etal_2014_MamFuncDat</v>
      </c>
      <c r="L216" s="1" t="str">
        <f aca="false">J216 &amp; "_" &amp; SUBSTITUTE(SUBSTITUTE(SUBSTITUTE(D216,CHAR(160),"")," ",""),"_","")</f>
        <v>10.1890%2F13-1917.1_MamFuncDat</v>
      </c>
      <c r="M216" s="1" t="str">
        <f aca="false" t="array" ref="M216:M216">IFERROR(INDEX(FileList!$A$1:$A$1000,MATCH(TRUE(),EXACT(L216,IFERROR(_xlfn.TEXTBEFORE(FileList!$A$1:$A$1000,".tsv"),"")),0)),"notfound")</f>
        <v>notfound</v>
      </c>
      <c r="AI216" s="4" t="s">
        <v>804</v>
      </c>
      <c r="AJ216" s="4" t="s">
        <v>142</v>
      </c>
      <c r="AL216" s="4" t="s">
        <v>143</v>
      </c>
      <c r="AM216" s="4" t="s">
        <v>805</v>
      </c>
    </row>
    <row r="217" customFormat="false" ht="15" hidden="false" customHeight="true" outlineLevel="0" collapsed="false">
      <c r="A217" s="4" t="s">
        <v>806</v>
      </c>
      <c r="D217" s="4" t="s">
        <v>807</v>
      </c>
      <c r="E217" s="1" t="str">
        <f aca="false">RIGHT(A217,1)</f>
        <v>7</v>
      </c>
      <c r="F217" s="1" t="str">
        <f aca="false">G217 &amp; IF(H217&lt;&gt;"", "_" &amp; H217, "_") &amp; IF(I217&lt;&gt;"", "_" &amp; I217, "_") &amp; IF(B217&lt;&gt;"", "_" &amp; B217, "")</f>
        <v>Wimberly_etal_2021</v>
      </c>
      <c r="G217" s="1" t="str">
        <f aca="false">SUBSTITUTE(SUBSTITUTE(_xlfn.TEXTBEFORE(A217,","), "-", ""), " ", "")</f>
        <v>Wimberly</v>
      </c>
      <c r="H217" s="1" t="str">
        <f aca="false">_xlfn.LET(
_xlpm.authors,_xlfn.TEXTBEFORE(A217," ("&amp;I217&amp;")"),
_xlpm.hasAmp,ISNUMBER(SEARCH("&amp;",_xlpm.authors)),
_xlpm.commasBeforeAmp,IF(_xlpm.hasAmp,LEN(_xlfn.TEXTBEFORE(_xlpm.authors,"&amp;"))-LEN(SUBSTITUTE(_xlfn.TEXTBEFORE(_xlpm.authors,"&amp;"),",","")),0),
IF(NOT(_xlpm.hasAmp),"",IF(_xlpm.commasBeforeAmp&gt;2,"etal",TRIM(_xlfn.TEXTBEFORE(_xlfn.TEXTAFTER(_xlpm.authors,"&amp; "),","))))
)</f>
        <v>etal</v>
      </c>
      <c r="I217" s="1" t="str">
        <f aca="false">_xlfn.TEXTBEFORE(_xlfn.TEXTAFTER(A217, "("), ")")</f>
        <v>2021</v>
      </c>
      <c r="J217" s="1" t="str">
        <f aca="false">_xlfn.LET(
_xlpm.doi,IF(C217&lt;&gt;"",C217,_xlfn.TEXTAFTER(A217,"https://doi.org/")),
SUBSTITUTE(
SUBSTITUTE(
SUBSTITUTE(
SUBSTITUTE(
_xlpm.doi,
"/","%2F"),
":","%3A"),
"&lt;","%3C"),
"&gt;","%3E")
)</f>
        <v>10.1098%2Frspb.2021.0937</v>
      </c>
      <c r="K217" s="1" t="str">
        <f aca="false">TRIM(_xlfn.TEXTJOIN("_",FALSE(),F217,(SUBSTITUTE(SUBSTITUTE(D217," ",""), "_", ""))))</f>
        <v>Wimberly_etal_2021_MammalGait</v>
      </c>
      <c r="L217" s="1" t="str">
        <f aca="false">J217 &amp; "_" &amp; SUBSTITUTE(SUBSTITUTE(SUBSTITUTE(D217,CHAR(160),"")," ",""),"_","")</f>
        <v>10.1098%2Frspb.2021.0937_MammalGait</v>
      </c>
      <c r="M217" s="1" t="str">
        <f aca="false" t="array" ref="M217:M217">IFERROR(INDEX(FileList!$A$1:$A$1000,MATCH(TRUE(),EXACT(L217,IFERROR(_xlfn.TEXTBEFORE(FileList!$A$1:$A$1000,".tsv"),"")),0)),"notfound")</f>
        <v>notfound</v>
      </c>
      <c r="P217" s="4" t="s">
        <v>337</v>
      </c>
      <c r="AJ217" s="4" t="s">
        <v>43</v>
      </c>
      <c r="AL217" s="4" t="s">
        <v>43</v>
      </c>
      <c r="AM217" s="4" t="s">
        <v>43</v>
      </c>
    </row>
    <row r="218" customFormat="false" ht="15" hidden="false" customHeight="true" outlineLevel="0" collapsed="false">
      <c r="A218" s="4" t="s">
        <v>808</v>
      </c>
      <c r="D218" s="4" t="s">
        <v>809</v>
      </c>
      <c r="E218" s="1" t="str">
        <f aca="false">RIGHT(A218,1)</f>
        <v>5</v>
      </c>
      <c r="F218" s="1" t="str">
        <f aca="false">G218 &amp; IF(H218&lt;&gt;"", "_" &amp; H218, "_") &amp; IF(I218&lt;&gt;"", "_" &amp; I218, "_") &amp; IF(B218&lt;&gt;"", "_" &amp; B218, "")</f>
        <v>Winkler_Bryant_2021</v>
      </c>
      <c r="G218" s="1" t="str">
        <f aca="false">SUBSTITUTE(SUBSTITUTE(_xlfn.TEXTBEFORE(A218,","), "-", ""), " ", "")</f>
        <v>Winkler</v>
      </c>
      <c r="H218" s="1" t="str">
        <f aca="false">_xlfn.LET(
_xlpm.authors,_xlfn.TEXTBEFORE(A218," ("&amp;I218&amp;")"),
_xlpm.hasAmp,ISNUMBER(SEARCH("&amp;",_xlpm.authors)),
_xlpm.commasBeforeAmp,IF(_xlpm.hasAmp,LEN(_xlfn.TEXTBEFORE(_xlpm.authors,"&amp;"))-LEN(SUBSTITUTE(_xlfn.TEXTBEFORE(_xlpm.authors,"&amp;"),",","")),0),
IF(NOT(_xlpm.hasAmp),"",IF(_xlpm.commasBeforeAmp&gt;2,"etal",TRIM(_xlfn.TEXTBEFORE(_xlfn.TEXTAFTER(_xlpm.authors,"&amp; "),","))))
)</f>
        <v>Bryant</v>
      </c>
      <c r="I218" s="1" t="str">
        <f aca="false">_xlfn.TEXTBEFORE(_xlfn.TEXTAFTER(A218, "("), ")")</f>
        <v>2021</v>
      </c>
      <c r="J218" s="1" t="str">
        <f aca="false">_xlfn.LET(
_xlpm.doi,IF(C218&lt;&gt;"",C218,_xlfn.TEXTAFTER(A218,"https://doi.org/")),
SUBSTITUTE(
SUBSTITUTE(
SUBSTITUTE(
SUBSTITUTE(
_xlpm.doi,
"/","%2F"),
":","%3A"),
"&lt;","%3C"),
"&gt;","%3E")
)</f>
        <v>10.1080%2F09524622.2021.1905065</v>
      </c>
      <c r="K218" s="1" t="str">
        <f aca="false">TRIM(_xlfn.TEXTJOIN("_",FALSE(),F218,(SUBSTITUTE(SUBSTITUTE(D218," ",""), "_", ""))))</f>
        <v>Winkler_Bryant_2021_Figure1</v>
      </c>
      <c r="L218" s="1" t="str">
        <f aca="false">J218 &amp; "_" &amp; SUBSTITUTE(SUBSTITUTE(SUBSTITUTE(D218,CHAR(160),"")," ",""),"_","")</f>
        <v>10.1080%2F09524622.2021.1905065_Figure1</v>
      </c>
      <c r="M218" s="1" t="str">
        <f aca="false" t="array" ref="M218:M218">IFERROR(INDEX(FileList!$A$1:$A$1000,MATCH(TRUE(),EXACT(L218,IFERROR(_xlfn.TEXTBEFORE(FileList!$A$1:$A$1000,".tsv"),"")),0)),"notfound")</f>
        <v>notfound</v>
      </c>
      <c r="P218" s="4" t="s">
        <v>337</v>
      </c>
      <c r="Q218" s="4" t="s">
        <v>204</v>
      </c>
      <c r="T218" s="4" t="str">
        <f aca="false">IF(S218="N", R218, "write file name")</f>
        <v>write file name</v>
      </c>
      <c r="U218" s="4" t="s">
        <v>55</v>
      </c>
      <c r="V218" s="4" t="s">
        <v>810</v>
      </c>
      <c r="AH218" s="4" t="s">
        <v>140</v>
      </c>
      <c r="AI218" s="4" t="s">
        <v>811</v>
      </c>
      <c r="AJ218" s="4" t="s">
        <v>142</v>
      </c>
      <c r="AL218" s="4" t="s">
        <v>143</v>
      </c>
      <c r="AM218" s="4" t="s">
        <v>812</v>
      </c>
    </row>
    <row r="219" customFormat="false" ht="15" hidden="false" customHeight="true" outlineLevel="0" collapsed="false">
      <c r="A219" s="4" t="s">
        <v>813</v>
      </c>
      <c r="D219" s="4" t="s">
        <v>77</v>
      </c>
      <c r="E219" s="1" t="str">
        <f aca="false">RIGHT(A219,1)</f>
        <v>0</v>
      </c>
      <c r="F219" s="1" t="str">
        <f aca="false">G219 &amp; IF(H219&lt;&gt;"", "_" &amp; H219, "_") &amp; IF(I219&lt;&gt;"", "_" &amp; I219, "_") &amp; IF(B219&lt;&gt;"", "_" &amp; B219, "")</f>
        <v>Young_etal_2013</v>
      </c>
      <c r="G219" s="1" t="str">
        <f aca="false">SUBSTITUTE(SUBSTITUTE(_xlfn.TEXTBEFORE(A219,","), "-", ""), " ", "")</f>
        <v>Young</v>
      </c>
      <c r="H219" s="1" t="str">
        <f aca="false">_xlfn.LET(
_xlpm.authors,_xlfn.TEXTBEFORE(A219," ("&amp;I219&amp;")"),
_xlpm.hasAmp,ISNUMBER(SEARCH("&amp;",_xlpm.authors)),
_xlpm.commasBeforeAmp,IF(_xlpm.hasAmp,LEN(_xlfn.TEXTBEFORE(_xlpm.authors,"&amp;"))-LEN(SUBSTITUTE(_xlfn.TEXTBEFORE(_xlpm.authors,"&amp;"),",","")),0),
IF(NOT(_xlpm.hasAmp),"",IF(_xlpm.commasBeforeAmp&gt;2,"etal",TRIM(_xlfn.TEXTBEFORE(_xlfn.TEXTAFTER(_xlpm.authors,"&amp; "),","))))
)</f>
        <v>etal</v>
      </c>
      <c r="I219" s="1" t="str">
        <f aca="false">_xlfn.TEXTBEFORE(_xlfn.TEXTAFTER(A219, "("), ")")</f>
        <v>2013</v>
      </c>
      <c r="J219" s="1" t="str">
        <f aca="false">_xlfn.LET(
_xlpm.doi,IF(C219&lt;&gt;"",C219,_xlfn.TEXTAFTER(A219,"https://doi.org/")),
SUBSTITUTE(
SUBSTITUTE(
SUBSTITUTE(
SUBSTITUTE(
_xlpm.doi,
"/","%2F"),
":","%3A"),
"&lt;","%3C"),
"&gt;","%3E")
)</f>
        <v>10.3389%2Ffncir.2013.00030</v>
      </c>
      <c r="K219" s="1" t="str">
        <f aca="false">TRIM(_xlfn.TEXTJOIN("_",FALSE(),F219,(SUBSTITUTE(SUBSTITUTE(D219," ",""), "_", ""))))</f>
        <v>Young_etal_2013_Table1</v>
      </c>
      <c r="L219" s="1" t="str">
        <f aca="false">J219 &amp; "_" &amp; SUBSTITUTE(SUBSTITUTE(SUBSTITUTE(D219,CHAR(160),"")," ",""),"_","")</f>
        <v>10.3389%2Ffncir.2013.00030_Table1</v>
      </c>
      <c r="M219" s="1" t="str">
        <f aca="false" t="array" ref="M219:M219">IFERROR(INDEX(FileList!$A$1:$A$1000,MATCH(TRUE(),EXACT(L219,IFERROR(_xlfn.TEXTBEFORE(FileList!$A$1:$A$1000,".tsv"),"")),0)),"notfound")</f>
        <v>notfound</v>
      </c>
      <c r="P219" s="4" t="s">
        <v>693</v>
      </c>
      <c r="Q219" s="4" t="s">
        <v>204</v>
      </c>
      <c r="T219" s="4" t="str">
        <f aca="false">IF(S219="N", R219, "write file name")</f>
        <v>write file name</v>
      </c>
      <c r="U219" s="4" t="s">
        <v>55</v>
      </c>
      <c r="V219" s="4" t="s">
        <v>42</v>
      </c>
      <c r="AH219" s="4" t="s">
        <v>179</v>
      </c>
      <c r="AI219" s="4" t="s">
        <v>814</v>
      </c>
      <c r="AJ219" s="4" t="s">
        <v>120</v>
      </c>
      <c r="AK219" s="4" t="s">
        <v>63</v>
      </c>
      <c r="AL219" s="4" t="s">
        <v>63</v>
      </c>
      <c r="AM219" s="4" t="s">
        <v>815</v>
      </c>
    </row>
    <row r="220" customFormat="false" ht="15" hidden="false" customHeight="true" outlineLevel="0" collapsed="false">
      <c r="A220" s="4" t="s">
        <v>816</v>
      </c>
      <c r="D220" s="4" t="s">
        <v>77</v>
      </c>
      <c r="E220" s="1" t="str">
        <f aca="false">RIGHT(A220,1)</f>
        <v>0</v>
      </c>
      <c r="F220" s="1" t="str">
        <f aca="false">G220 &amp; IF(H220&lt;&gt;"", "_" &amp; H220, "_") &amp; IF(I220&lt;&gt;"", "_" &amp; I220, "_") &amp; IF(B220&lt;&gt;"", "_" &amp; B220, "")</f>
        <v>Young_etal_2013</v>
      </c>
      <c r="G220" s="1" t="str">
        <f aca="false">SUBSTITUTE(SUBSTITUTE(_xlfn.TEXTBEFORE(A220,","), "-", ""), " ", "")</f>
        <v>Young</v>
      </c>
      <c r="H220" s="1" t="str">
        <f aca="false">_xlfn.LET(
_xlpm.authors,_xlfn.TEXTBEFORE(A220," ("&amp;I220&amp;")"),
_xlpm.hasAmp,ISNUMBER(SEARCH("&amp;",_xlpm.authors)),
_xlpm.commasBeforeAmp,IF(_xlpm.hasAmp,LEN(_xlfn.TEXTBEFORE(_xlpm.authors,"&amp;"))-LEN(SUBSTITUTE(_xlfn.TEXTBEFORE(_xlpm.authors,"&amp;"),",","")),0),
IF(NOT(_xlpm.hasAmp),"",IF(_xlpm.commasBeforeAmp&gt;2,"etal",TRIM(_xlfn.TEXTBEFORE(_xlfn.TEXTAFTER(_xlpm.authors,"&amp; "),","))))
)</f>
        <v>etal</v>
      </c>
      <c r="I220" s="1" t="str">
        <f aca="false">_xlfn.TEXTBEFORE(_xlfn.TEXTAFTER(A220, "("), ")")</f>
        <v>2013</v>
      </c>
      <c r="J220" s="1" t="str">
        <f aca="false">_xlfn.LET(
_xlpm.doi,IF(C220&lt;&gt;"",C220,_xlfn.TEXTAFTER(A220,"https://doi.org/")),
SUBSTITUTE(
SUBSTITUTE(
SUBSTITUTE(
SUBSTITUTE(
_xlpm.doi,
"/","%2F"),
":","%3A"),
"&lt;","%3C"),
"&gt;","%3E")
)</f>
        <v>10.1073%2Fpnas.1318894110</v>
      </c>
      <c r="K220" s="1" t="str">
        <f aca="false">TRIM(_xlfn.TEXTJOIN("_",FALSE(),F220,(SUBSTITUTE(SUBSTITUTE(D220," ",""), "_", ""))))</f>
        <v>Young_etal_2013_Table1</v>
      </c>
      <c r="L220" s="1" t="str">
        <f aca="false">J220 &amp; "_" &amp; SUBSTITUTE(SUBSTITUTE(SUBSTITUTE(D220,CHAR(160),"")," ",""),"_","")</f>
        <v>10.1073%2Fpnas.1318894110_Table1</v>
      </c>
      <c r="M220" s="1" t="str">
        <f aca="false" t="array" ref="M220:M220">IFERROR(INDEX(FileList!$A$1:$A$1000,MATCH(TRUE(),EXACT(L220,IFERROR(_xlfn.TEXTBEFORE(FileList!$A$1:$A$1000,".tsv"),"")),0)),"notfound")</f>
        <v>notfound</v>
      </c>
      <c r="N220" s="4" t="s">
        <v>817</v>
      </c>
      <c r="V220" s="4" t="s">
        <v>42</v>
      </c>
      <c r="Y220" s="4" t="s">
        <v>225</v>
      </c>
      <c r="AG220" s="4" t="s">
        <v>59</v>
      </c>
      <c r="AI220" s="4" t="s">
        <v>818</v>
      </c>
      <c r="AJ220" s="4" t="s">
        <v>819</v>
      </c>
      <c r="AK220" s="4" t="s">
        <v>63</v>
      </c>
      <c r="AL220" s="4" t="s">
        <v>63</v>
      </c>
      <c r="AM220" s="4" t="s">
        <v>820</v>
      </c>
    </row>
    <row r="221" customFormat="false" ht="15" hidden="false" customHeight="true" outlineLevel="0" collapsed="false">
      <c r="A221" s="4" t="s">
        <v>821</v>
      </c>
      <c r="C221" s="4" t="s">
        <v>822</v>
      </c>
      <c r="D221" s="4" t="s">
        <v>823</v>
      </c>
      <c r="E221" s="1" t="str">
        <f aca="false">RIGHT(A221,1)</f>
        <v>s</v>
      </c>
      <c r="F221" s="1" t="str">
        <f aca="false">G221 &amp; IF(H221&lt;&gt;"", "_" &amp; H221, "_") &amp; IF(I221&lt;&gt;"", "_" &amp; I221, "_") &amp; IF(B221&lt;&gt;"", "_" &amp; B221, "")</f>
        <v>Zilles_Rehkämper_1988</v>
      </c>
      <c r="G221" s="1" t="str">
        <f aca="false">SUBSTITUTE(SUBSTITUTE(_xlfn.TEXTBEFORE(A221,","), "-", ""), " ", "")</f>
        <v>Zilles</v>
      </c>
      <c r="H221" s="1" t="str">
        <f aca="false">_xlfn.LET(
_xlpm.authors,_xlfn.TEXTBEFORE(A221," ("&amp;I221&amp;")"),
_xlpm.hasAmp,ISNUMBER(SEARCH("&amp;",_xlpm.authors)),
_xlpm.commasBeforeAmp,IF(_xlpm.hasAmp,LEN(_xlfn.TEXTBEFORE(_xlpm.authors,"&amp;"))-LEN(SUBSTITUTE(_xlfn.TEXTBEFORE(_xlpm.authors,"&amp;"),",","")),0),
IF(NOT(_xlpm.hasAmp),"",IF(_xlpm.commasBeforeAmp&gt;2,"etal",TRIM(_xlfn.TEXTBEFORE(_xlfn.TEXTAFTER(_xlpm.authors,"&amp; "),","))))
)</f>
        <v>Rehkämper</v>
      </c>
      <c r="I221" s="1" t="str">
        <f aca="false">_xlfn.TEXTBEFORE(_xlfn.TEXTAFTER(A221, "("), ")")</f>
        <v>1988</v>
      </c>
      <c r="J221" s="1" t="str">
        <f aca="false">_xlfn.LET(
_xlpm.doi,IF(C221&lt;&gt;"",C221,_xlfn.TEXTAFTER(A221,"https://doi.org/")),
SUBSTITUTE(
SUBSTITUTE(
SUBSTITUTE(
SUBSTITUTE(
_xlpm.doi,
"/","%2F"),
":","%3A"),
"&lt;","%3C"),
"&gt;","%3E")
)</f>
        <v>ISBN%3A9780195043716</v>
      </c>
      <c r="K221" s="1" t="str">
        <f aca="false">TRIM(_xlfn.TEXTJOIN("_",FALSE(),F221,(SUBSTITUTE(SUBSTITUTE(D221," ",""), "_", ""))))</f>
        <v>Zilles_Rehkämper_1988_Table12-2</v>
      </c>
      <c r="L221" s="1" t="str">
        <f aca="false">J221 &amp; "_" &amp; SUBSTITUTE(SUBSTITUTE(SUBSTITUTE(D221,CHAR(160),"")," ",""),"_","")</f>
        <v>ISBN%3A9780195043716_Table12-2</v>
      </c>
      <c r="M221" s="1" t="str">
        <f aca="false" t="array" ref="M221:M221">IFERROR(INDEX(FileList!$A$1:$A$1000,MATCH(TRUE(),EXACT(L221,IFERROR(_xlfn.TEXTBEFORE(FileList!$A$1:$A$1000,".tsv"),"")),0)),"notfound")</f>
        <v>notfound</v>
      </c>
      <c r="N221" s="4" t="s">
        <v>824</v>
      </c>
      <c r="Y221" s="4" t="s">
        <v>101</v>
      </c>
      <c r="Z221" s="4" t="s">
        <v>235</v>
      </c>
      <c r="AF221" s="4" t="s">
        <v>80</v>
      </c>
      <c r="AG221" s="4" t="s">
        <v>114</v>
      </c>
      <c r="AI221" s="4" t="s">
        <v>825</v>
      </c>
      <c r="AJ221" s="4" t="s">
        <v>826</v>
      </c>
      <c r="AL221" s="4" t="s">
        <v>63</v>
      </c>
      <c r="AM221" s="4" t="s">
        <v>86</v>
      </c>
    </row>
    <row r="222" customFormat="false" ht="15" hidden="false" customHeight="true" outlineLevel="0" collapsed="false">
      <c r="A222" s="4" t="s">
        <v>827</v>
      </c>
      <c r="D222" s="4" t="s">
        <v>828</v>
      </c>
      <c r="E222" s="1" t="str">
        <f aca="false">RIGHT(A222,1)</f>
        <v>6</v>
      </c>
      <c r="F222" s="1" t="str">
        <f aca="false">G222 &amp; IF(H222&lt;&gt;"", "_" &amp; H222, "_") &amp; IF(I222&lt;&gt;"", "_" &amp; I222, "_") &amp; IF(B222&lt;&gt;"", "_" &amp; B222, "")</f>
        <v>Zilles_etal_2013</v>
      </c>
      <c r="G222" s="1" t="str">
        <f aca="false">SUBSTITUTE(SUBSTITUTE(_xlfn.TEXTBEFORE(A222,","), "-", ""), " ", "")</f>
        <v>Zilles</v>
      </c>
      <c r="H222" s="1" t="str">
        <f aca="false">_xlfn.LET(
_xlpm.authors,_xlfn.TEXTBEFORE(A222," ("&amp;I222&amp;")"),
_xlpm.hasAmp,ISNUMBER(SEARCH("&amp;",_xlpm.authors)),
_xlpm.commasBeforeAmp,IF(_xlpm.hasAmp,LEN(_xlfn.TEXTBEFORE(_xlpm.authors,"&amp;"))-LEN(SUBSTITUTE(_xlfn.TEXTBEFORE(_xlpm.authors,"&amp;"),",","")),0),
IF(NOT(_xlpm.hasAmp),"",IF(_xlpm.commasBeforeAmp&gt;2,"etal",TRIM(_xlfn.TEXTBEFORE(_xlfn.TEXTAFTER(_xlpm.authors,"&amp; "),","))))
)</f>
        <v>etal</v>
      </c>
      <c r="I222" s="1" t="str">
        <f aca="false">_xlfn.TEXTBEFORE(_xlfn.TEXTAFTER(A222, "("), ")")</f>
        <v>2013</v>
      </c>
      <c r="J222" s="1" t="str">
        <f aca="false">_xlfn.LET(
_xlpm.doi,IF(C222&lt;&gt;"",C222,_xlfn.TEXTAFTER(A222,"https://doi.org/")),
SUBSTITUTE(
SUBSTITUTE(
SUBSTITUTE(
SUBSTITUTE(
_xlpm.doi,
"/","%2F"),
":","%3A"),
"&lt;","%3C"),
"&gt;","%3E")
)</f>
        <v>10.1016%2Fj.tins.2013.01.006</v>
      </c>
      <c r="K222" s="1" t="str">
        <f aca="false">TRIM(_xlfn.TEXTJOIN("_",FALSE(),F222,(SUBSTITUTE(SUBSTITUTE(D222," ",""), "_", ""))))</f>
        <v>Zilles_etal_2013_Table1</v>
      </c>
      <c r="L222" s="1" t="str">
        <f aca="false">J222 &amp; "_" &amp; SUBSTITUTE(SUBSTITUTE(SUBSTITUTE(D222,CHAR(160),"")," ",""),"_","")</f>
        <v>10.1016%2Fj.tins.2013.01.006_Table1</v>
      </c>
      <c r="M222" s="1" t="str">
        <f aca="false" t="array" ref="M222:M222">IFERROR(INDEX(FileList!$A$1:$A$1000,MATCH(TRUE(),EXACT(L222,IFERROR(_xlfn.TEXTBEFORE(FileList!$A$1:$A$1000,".tsv"),"")),0)),"notfound")</f>
        <v>notfound</v>
      </c>
      <c r="N222" s="4" t="s">
        <v>829</v>
      </c>
      <c r="V222" s="4" t="s">
        <v>42</v>
      </c>
      <c r="Y222" s="4" t="s">
        <v>79</v>
      </c>
      <c r="AG222" s="4" t="s">
        <v>43</v>
      </c>
      <c r="AI222" s="4" t="s">
        <v>830</v>
      </c>
      <c r="AJ222" s="4" t="s">
        <v>831</v>
      </c>
      <c r="AK222" s="4" t="s">
        <v>63</v>
      </c>
      <c r="AL222" s="4" t="s">
        <v>143</v>
      </c>
      <c r="AM222" s="4" t="s">
        <v>832</v>
      </c>
    </row>
    <row r="223" customFormat="false" ht="15" hidden="false" customHeight="true" outlineLevel="0" collapsed="false">
      <c r="A223" s="1" t="s">
        <v>67</v>
      </c>
      <c r="D223" s="1" t="s">
        <v>121</v>
      </c>
      <c r="E223" s="1" t="str">
        <f aca="false">RIGHT(A223,1)</f>
        <v>7</v>
      </c>
      <c r="F223" s="1" t="str">
        <f aca="false">G223 &amp; IF(H223&lt;&gt;"", "_" &amp; H223, "_") &amp; IF(I223&lt;&gt;"", "_" &amp; I223, "_") &amp; IF(B223&lt;&gt;"", "_" &amp; B223, "")</f>
        <v>Balzeau_etal_2012</v>
      </c>
      <c r="G223" s="1" t="str">
        <f aca="false">SUBSTITUTE(SUBSTITUTE(_xlfn.TEXTBEFORE(A223,","), "-", ""), " ", "")</f>
        <v>Balzeau</v>
      </c>
      <c r="H223" s="1" t="str">
        <f aca="false">_xlfn.LET(
_xlpm.authors,_xlfn.TEXTBEFORE(A223," ("&amp;I223&amp;")"),
_xlpm.hasAmp,ISNUMBER(SEARCH("&amp;",_xlpm.authors)),
_xlpm.commasBeforeAmp,IF(_xlpm.hasAmp,LEN(_xlfn.TEXTBEFORE(_xlpm.authors,"&amp;"))-LEN(SUBSTITUTE(_xlfn.TEXTBEFORE(_xlpm.authors,"&amp;"),",","")),0),
IF(NOT(_xlpm.hasAmp),"",IF(_xlpm.commasBeforeAmp&gt;2,"etal",TRIM(_xlfn.TEXTBEFORE(_xlfn.TEXTAFTER(_xlpm.authors,"&amp; "),","))))
)</f>
        <v>etal</v>
      </c>
      <c r="I223" s="1" t="str">
        <f aca="false">_xlfn.TEXTBEFORE(_xlfn.TEXTAFTER(A223, "("), ")")</f>
        <v>2012</v>
      </c>
      <c r="J223" s="1" t="str">
        <f aca="false">_xlfn.LET(
_xlpm.doi,IF(C223&lt;&gt;"",C223,_xlfn.TEXTAFTER(A223,"https://doi.org/")),
SUBSTITUTE(
SUBSTITUTE(
SUBSTITUTE(
SUBSTITUTE(
_xlpm.doi,
"/","%2F"),
":","%3A"),
"&lt;","%3C"),
"&gt;","%3E")
)</f>
        <v>10.1016%2Fj.jhevol.2012.03.007</v>
      </c>
      <c r="K223" s="1" t="str">
        <f aca="false">TRIM(_xlfn.TEXTJOIN("_",FALSE(),F223,(SUBSTITUTE(SUBSTITUTE(D223," ",""), "_", ""))))</f>
        <v>Balzeau_etal_2012_Table2</v>
      </c>
      <c r="L223" s="1" t="str">
        <f aca="false">J223 &amp; "_" &amp; SUBSTITUTE(SUBSTITUTE(SUBSTITUTE(D223,CHAR(160),"")," ",""),"_","")</f>
        <v>10.1016%2Fj.jhevol.2012.03.007_Table2</v>
      </c>
      <c r="M223" s="1" t="str">
        <f aca="false" t="array" ref="M223:M223">IFERROR(INDEX(FileList!$A$1:$A$1000,MATCH(TRUE(),EXACT(L223,IFERROR(_xlfn.TEXTBEFORE(FileList!$A$1:$A$1000,".tsv"),"")),0)),"notfound")</f>
        <v>notfound</v>
      </c>
      <c r="N223" s="1" t="s">
        <v>833</v>
      </c>
    </row>
    <row r="224" customFormat="false" ht="15" hidden="false" customHeight="true" outlineLevel="0" collapsed="false">
      <c r="A224" s="1" t="s">
        <v>797</v>
      </c>
      <c r="C224" s="1" t="s">
        <v>798</v>
      </c>
      <c r="D224" s="1" t="s">
        <v>834</v>
      </c>
      <c r="E224" s="1" t="str">
        <f aca="false">RIGHT(A224,1)</f>
        <v>.</v>
      </c>
      <c r="F224" s="1" t="str">
        <f aca="false">G224 &amp; IF(H224&lt;&gt;"", "_" &amp; H224, "_") &amp; IF(I224&lt;&gt;"", "_" &amp; I224, "_") &amp; IF(B224&lt;&gt;"", "_" &amp; B224, "")</f>
        <v>Weaver__2001</v>
      </c>
      <c r="G224" s="1" t="str">
        <f aca="false">SUBSTITUTE(SUBSTITUTE(_xlfn.TEXTBEFORE(A224,","), "-", ""), " ", "")</f>
        <v>Weaver</v>
      </c>
      <c r="H224" s="1" t="str">
        <f aca="false">_xlfn.LET(
_xlpm.authors,_xlfn.TEXTBEFORE(A224," ("&amp;I224&amp;")"),
_xlpm.hasAmp,ISNUMBER(SEARCH("&amp;",_xlpm.authors)),
_xlpm.commasBeforeAmp,IF(_xlpm.hasAmp,LEN(_xlfn.TEXTBEFORE(_xlpm.authors,"&amp;"))-LEN(SUBSTITUTE(_xlfn.TEXTBEFORE(_xlpm.authors,"&amp;"),",","")),0),
IF(NOT(_xlpm.hasAmp),"",IF(_xlpm.commasBeforeAmp&gt;2,"etal",TRIM(_xlfn.TEXTBEFORE(_xlfn.TEXTAFTER(_xlpm.authors,"&amp; "),","))))
)</f>
        <v/>
      </c>
      <c r="I224" s="1" t="str">
        <f aca="false">_xlfn.TEXTBEFORE(_xlfn.TEXTAFTER(A224, "("), ")")</f>
        <v>2001</v>
      </c>
      <c r="J224" s="1" t="str">
        <f aca="false">_xlfn.LET(
_xlpm.doi,IF(C224&lt;&gt;"",C224,_xlfn.TEXTAFTER(A224,"https://doi.org/")),
SUBSTITUTE(
SUBSTITUTE(
SUBSTITUTE(
SUBSTITUTE(
_xlpm.doi,
"/","%2F"),
":","%3A"),
"&lt;","%3C"),
"&gt;","%3E")
)</f>
        <v>UMI%3A3017523</v>
      </c>
      <c r="K224" s="1" t="str">
        <f aca="false">TRIM(_xlfn.TEXTJOIN("_",FALSE(),F224,(SUBSTITUTE(SUBSTITUTE(D224," ",""), "_", ""))))</f>
        <v>Weaver__2001_TableA-11</v>
      </c>
      <c r="L224" s="1" t="str">
        <f aca="false">J224 &amp; "_" &amp; SUBSTITUTE(SUBSTITUTE(SUBSTITUTE(D224,CHAR(160),"")," ",""),"_","")</f>
        <v>UMI%3A3017523_TableA-11</v>
      </c>
      <c r="M224" s="1" t="str">
        <f aca="false" t="array" ref="M224:M224">IFERROR(INDEX(FileList!$A$1:$A$1000,MATCH(TRUE(),EXACT(L224,IFERROR(_xlfn.TEXTBEFORE(FileList!$A$1:$A$1000,".tsv"),"")),0)),"notfound")</f>
        <v>notfound</v>
      </c>
      <c r="N224" s="1" t="s">
        <v>835</v>
      </c>
    </row>
    <row r="225" customFormat="false" ht="15" hidden="false" customHeight="false" outlineLevel="0" collapsed="false">
      <c r="A225" s="1" t="s">
        <v>836</v>
      </c>
      <c r="D225" s="1" t="s">
        <v>68</v>
      </c>
      <c r="E225" s="1" t="str">
        <f aca="false">RIGHT(A225,1)</f>
        <v>8</v>
      </c>
      <c r="F225" s="1" t="str">
        <f aca="false">G225 &amp; IF(H225&lt;&gt;"", "_" &amp; H225, "_") &amp; IF(I225&lt;&gt;"", "_" &amp; I225, "_") &amp; IF(B225&lt;&gt;"", "_" &amp; B225, "")</f>
        <v>Barger_etal_2012</v>
      </c>
      <c r="G225" s="1" t="str">
        <f aca="false">SUBSTITUTE(SUBSTITUTE(_xlfn.TEXTBEFORE(A225,","), "-", ""), " ", "")</f>
        <v>Barger</v>
      </c>
      <c r="H225" s="1" t="str">
        <f aca="false">_xlfn.LET(
_xlpm.authors,_xlfn.TEXTBEFORE(A225," ("&amp;I225&amp;")"),
_xlpm.hasAmp,ISNUMBER(SEARCH("&amp;",_xlpm.authors)),
_xlpm.commasBeforeAmp,IF(_xlpm.hasAmp,LEN(_xlfn.TEXTBEFORE(_xlpm.authors,"&amp;"))-LEN(SUBSTITUTE(_xlfn.TEXTBEFORE(_xlpm.authors,"&amp;"),",","")),0),
IF(NOT(_xlpm.hasAmp),"",IF(_xlpm.commasBeforeAmp&gt;2,"etal",TRIM(_xlfn.TEXTBEFORE(_xlfn.TEXTAFTER(_xlpm.authors,"&amp; "),","))))
)</f>
        <v>etal</v>
      </c>
      <c r="I225" s="1" t="str">
        <f aca="false">_xlfn.TEXTBEFORE(_xlfn.TEXTAFTER(A225, "("), ")")</f>
        <v>2012</v>
      </c>
      <c r="J225" s="1" t="str">
        <f aca="false">_xlfn.LET(
_xlpm.doi,IF(C225&lt;&gt;"",C225,_xlfn.TEXTAFTER(A225,"https://doi.org/")),
SUBSTITUTE(
SUBSTITUTE(
SUBSTITUTE(
SUBSTITUTE(
_xlpm.doi,
"/","%2F"),
":","%3A"),
"&lt;","%3C"),
"&gt;","%3E")
)</f>
        <v>10.1002%2Fcne.23118</v>
      </c>
      <c r="K225" s="1" t="str">
        <f aca="false">TRIM(_xlfn.TEXTJOIN("_",FALSE(),F225,(SUBSTITUTE(SUBSTITUTE(D225," ",""), "_", ""))))</f>
        <v>Barger_etal_2012_Table3</v>
      </c>
      <c r="L225" s="1" t="str">
        <f aca="false">J225 &amp; "_" &amp; SUBSTITUTE(SUBSTITUTE(SUBSTITUTE(D225,CHAR(160),"")," ",""),"_","")</f>
        <v>10.1002%2Fcne.23118_Table3</v>
      </c>
      <c r="M225" s="1" t="str">
        <f aca="false" t="array" ref="M225:M225">IFERROR(INDEX(FileList!$A$1:$A$1000,MATCH(TRUE(),EXACT(L225,IFERROR(_xlfn.TEXTBEFORE(FileList!$A$1:$A$1000,".tsv"),"")),0)),"notfound")</f>
        <v>notfound</v>
      </c>
      <c r="N225" s="1" t="s">
        <v>837</v>
      </c>
      <c r="P225" s="1" t="s">
        <v>41</v>
      </c>
      <c r="AI225" s="1" t="s">
        <v>838</v>
      </c>
      <c r="AJ225" s="1" t="s">
        <v>120</v>
      </c>
      <c r="AK225" s="1" t="s">
        <v>63</v>
      </c>
      <c r="AL225" s="1" t="s">
        <v>63</v>
      </c>
      <c r="AM225" s="1" t="s">
        <v>839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171875" defaultRowHeight="15" customHeight="false" zeroHeight="false" outlineLevelRow="0" outlineLevelCol="0"/>
  <sheetData>
    <row r="1" customFormat="false" ht="15" hidden="false" customHeight="true" outlineLevel="0" collapsed="false">
      <c r="A1" s="1" t="s">
        <v>840</v>
      </c>
    </row>
    <row r="2" customFormat="false" ht="15" hidden="false" customHeight="true" outlineLevel="0" collapsed="false">
      <c r="A2" s="1" t="s">
        <v>841</v>
      </c>
    </row>
    <row r="3" customFormat="false" ht="15" hidden="false" customHeight="true" outlineLevel="0" collapsed="false">
      <c r="A3" s="1" t="s">
        <v>842</v>
      </c>
    </row>
    <row r="4" customFormat="false" ht="15" hidden="false" customHeight="true" outlineLevel="0" collapsed="false">
      <c r="A4" s="1" t="s">
        <v>843</v>
      </c>
    </row>
    <row r="5" customFormat="false" ht="15" hidden="false" customHeight="true" outlineLevel="0" collapsed="false">
      <c r="A5" s="1" t="s">
        <v>844</v>
      </c>
    </row>
    <row r="6" customFormat="false" ht="15" hidden="false" customHeight="true" outlineLevel="0" collapsed="false">
      <c r="A6" s="1" t="s">
        <v>845</v>
      </c>
    </row>
    <row r="7" customFormat="false" ht="15" hidden="false" customHeight="true" outlineLevel="0" collapsed="false">
      <c r="A7" s="1" t="s">
        <v>846</v>
      </c>
    </row>
    <row r="8" customFormat="false" ht="15" hidden="false" customHeight="true" outlineLevel="0" collapsed="false">
      <c r="A8" s="1" t="s">
        <v>847</v>
      </c>
    </row>
    <row r="9" customFormat="false" ht="15" hidden="false" customHeight="true" outlineLevel="0" collapsed="false">
      <c r="A9" s="1" t="s">
        <v>848</v>
      </c>
    </row>
    <row r="10" customFormat="false" ht="15" hidden="false" customHeight="true" outlineLevel="0" collapsed="false">
      <c r="A10" s="1" t="s">
        <v>849</v>
      </c>
    </row>
    <row r="11" customFormat="false" ht="15" hidden="false" customHeight="true" outlineLevel="0" collapsed="false">
      <c r="A11" s="1" t="s">
        <v>850</v>
      </c>
    </row>
    <row r="12" customFormat="false" ht="15" hidden="false" customHeight="true" outlineLevel="0" collapsed="false">
      <c r="A12" s="1" t="s">
        <v>851</v>
      </c>
    </row>
    <row r="13" customFormat="false" ht="15" hidden="false" customHeight="true" outlineLevel="0" collapsed="false">
      <c r="A13" s="1" t="s">
        <v>852</v>
      </c>
    </row>
    <row r="14" customFormat="false" ht="15" hidden="false" customHeight="true" outlineLevel="0" collapsed="false">
      <c r="A14" s="1" t="s">
        <v>853</v>
      </c>
    </row>
    <row r="15" customFormat="false" ht="15" hidden="false" customHeight="true" outlineLevel="0" collapsed="false">
      <c r="A15" s="1" t="s">
        <v>854</v>
      </c>
    </row>
    <row r="16" customFormat="false" ht="15" hidden="false" customHeight="true" outlineLevel="0" collapsed="false">
      <c r="A16" s="1" t="s">
        <v>855</v>
      </c>
    </row>
    <row r="17" customFormat="false" ht="15" hidden="false" customHeight="true" outlineLevel="0" collapsed="false">
      <c r="A17" s="1" t="s">
        <v>856</v>
      </c>
    </row>
    <row r="18" customFormat="false" ht="15" hidden="false" customHeight="true" outlineLevel="0" collapsed="false">
      <c r="A18" s="1" t="s">
        <v>857</v>
      </c>
    </row>
    <row r="19" customFormat="false" ht="15" hidden="false" customHeight="true" outlineLevel="0" collapsed="false">
      <c r="A19" s="1" t="s">
        <v>858</v>
      </c>
    </row>
    <row r="20" customFormat="false" ht="15" hidden="false" customHeight="true" outlineLevel="0" collapsed="false">
      <c r="A20" s="1" t="s">
        <v>859</v>
      </c>
    </row>
    <row r="21" customFormat="false" ht="15" hidden="false" customHeight="true" outlineLevel="0" collapsed="false">
      <c r="A21" s="1" t="s">
        <v>860</v>
      </c>
    </row>
    <row r="22" customFormat="false" ht="15" hidden="false" customHeight="true" outlineLevel="0" collapsed="false">
      <c r="A22" s="1" t="s">
        <v>861</v>
      </c>
    </row>
    <row r="23" customFormat="false" ht="15" hidden="false" customHeight="true" outlineLevel="0" collapsed="false">
      <c r="A23" s="1" t="s">
        <v>862</v>
      </c>
    </row>
    <row r="24" customFormat="false" ht="15" hidden="false" customHeight="true" outlineLevel="0" collapsed="false">
      <c r="A24" s="1" t="s">
        <v>863</v>
      </c>
    </row>
    <row r="25" customFormat="false" ht="15" hidden="false" customHeight="true" outlineLevel="0" collapsed="false">
      <c r="A25" s="1" t="s">
        <v>864</v>
      </c>
    </row>
    <row r="26" customFormat="false" ht="15" hidden="false" customHeight="true" outlineLevel="0" collapsed="false">
      <c r="A26" s="1" t="s">
        <v>865</v>
      </c>
    </row>
    <row r="27" customFormat="false" ht="15" hidden="false" customHeight="true" outlineLevel="0" collapsed="false">
      <c r="A27" s="1" t="s">
        <v>866</v>
      </c>
    </row>
    <row r="28" customFormat="false" ht="15" hidden="false" customHeight="true" outlineLevel="0" collapsed="false">
      <c r="A28" s="1" t="s">
        <v>867</v>
      </c>
    </row>
    <row r="29" customFormat="false" ht="15" hidden="false" customHeight="true" outlineLevel="0" collapsed="false">
      <c r="A29" s="1" t="s">
        <v>868</v>
      </c>
    </row>
    <row r="30" customFormat="false" ht="15" hidden="false" customHeight="true" outlineLevel="0" collapsed="false">
      <c r="A30" s="1" t="s">
        <v>869</v>
      </c>
    </row>
    <row r="31" customFormat="false" ht="15" hidden="false" customHeight="true" outlineLevel="0" collapsed="false">
      <c r="A31" s="1" t="s">
        <v>870</v>
      </c>
    </row>
    <row r="32" customFormat="false" ht="15" hidden="false" customHeight="true" outlineLevel="0" collapsed="false">
      <c r="A32" s="1" t="s">
        <v>871</v>
      </c>
    </row>
    <row r="33" customFormat="false" ht="15" hidden="false" customHeight="true" outlineLevel="0" collapsed="false">
      <c r="A33" s="1" t="s">
        <v>872</v>
      </c>
    </row>
    <row r="34" customFormat="false" ht="15" hidden="false" customHeight="true" outlineLevel="0" collapsed="false">
      <c r="A34" s="1" t="s">
        <v>873</v>
      </c>
    </row>
    <row r="35" customFormat="false" ht="15" hidden="false" customHeight="true" outlineLevel="0" collapsed="false">
      <c r="A35" s="1" t="s">
        <v>874</v>
      </c>
    </row>
    <row r="36" customFormat="false" ht="15" hidden="false" customHeight="true" outlineLevel="0" collapsed="false">
      <c r="A36" s="1" t="s">
        <v>875</v>
      </c>
    </row>
    <row r="37" customFormat="false" ht="15" hidden="false" customHeight="true" outlineLevel="0" collapsed="false">
      <c r="A37" s="1" t="s">
        <v>876</v>
      </c>
    </row>
    <row r="38" customFormat="false" ht="15" hidden="false" customHeight="true" outlineLevel="0" collapsed="false">
      <c r="A38" s="1" t="s">
        <v>877</v>
      </c>
    </row>
    <row r="39" customFormat="false" ht="15" hidden="false" customHeight="true" outlineLevel="0" collapsed="false">
      <c r="A39" s="1" t="s">
        <v>878</v>
      </c>
    </row>
    <row r="40" customFormat="false" ht="15" hidden="false" customHeight="true" outlineLevel="0" collapsed="false">
      <c r="A40" s="1" t="s">
        <v>879</v>
      </c>
    </row>
    <row r="41" customFormat="false" ht="15" hidden="false" customHeight="true" outlineLevel="0" collapsed="false">
      <c r="A41" s="1" t="s">
        <v>880</v>
      </c>
    </row>
    <row r="42" customFormat="false" ht="15" hidden="false" customHeight="true" outlineLevel="0" collapsed="false">
      <c r="A42" s="1" t="s">
        <v>881</v>
      </c>
    </row>
    <row r="43" customFormat="false" ht="15" hidden="false" customHeight="true" outlineLevel="0" collapsed="false">
      <c r="A43" s="1" t="s">
        <v>882</v>
      </c>
    </row>
    <row r="44" customFormat="false" ht="15" hidden="false" customHeight="true" outlineLevel="0" collapsed="false">
      <c r="A44" s="1" t="s">
        <v>883</v>
      </c>
    </row>
    <row r="45" customFormat="false" ht="15" hidden="false" customHeight="true" outlineLevel="0" collapsed="false">
      <c r="A45" s="1" t="s">
        <v>884</v>
      </c>
    </row>
    <row r="46" customFormat="false" ht="15" hidden="false" customHeight="true" outlineLevel="0" collapsed="false">
      <c r="A46" s="1" t="s">
        <v>885</v>
      </c>
    </row>
    <row r="47" customFormat="false" ht="15" hidden="false" customHeight="true" outlineLevel="0" collapsed="false">
      <c r="A47" s="1" t="s">
        <v>886</v>
      </c>
    </row>
    <row r="48" customFormat="false" ht="15" hidden="false" customHeight="true" outlineLevel="0" collapsed="false">
      <c r="A48" s="1" t="s">
        <v>887</v>
      </c>
    </row>
    <row r="49" customFormat="false" ht="15" hidden="false" customHeight="true" outlineLevel="0" collapsed="false">
      <c r="A49" s="1" t="s">
        <v>888</v>
      </c>
    </row>
    <row r="50" customFormat="false" ht="15" hidden="false" customHeight="true" outlineLevel="0" collapsed="false">
      <c r="A50" s="1" t="s">
        <v>889</v>
      </c>
    </row>
    <row r="51" customFormat="false" ht="15" hidden="false" customHeight="true" outlineLevel="0" collapsed="false">
      <c r="A51" s="1" t="s">
        <v>890</v>
      </c>
    </row>
    <row r="52" customFormat="false" ht="15" hidden="false" customHeight="true" outlineLevel="0" collapsed="false">
      <c r="A52" s="1" t="s">
        <v>891</v>
      </c>
    </row>
    <row r="53" customFormat="false" ht="15" hidden="false" customHeight="true" outlineLevel="0" collapsed="false">
      <c r="A53" s="1" t="s">
        <v>892</v>
      </c>
    </row>
    <row r="54" customFormat="false" ht="15" hidden="false" customHeight="true" outlineLevel="0" collapsed="false">
      <c r="A54" s="1" t="s">
        <v>893</v>
      </c>
    </row>
    <row r="55" customFormat="false" ht="15" hidden="false" customHeight="true" outlineLevel="0" collapsed="false">
      <c r="A55" s="1" t="s">
        <v>894</v>
      </c>
    </row>
    <row r="56" customFormat="false" ht="15" hidden="false" customHeight="true" outlineLevel="0" collapsed="false">
      <c r="A56" s="1" t="s">
        <v>895</v>
      </c>
    </row>
    <row r="57" customFormat="false" ht="15" hidden="false" customHeight="true" outlineLevel="0" collapsed="false">
      <c r="A57" s="1" t="s">
        <v>896</v>
      </c>
    </row>
    <row r="58" customFormat="false" ht="15" hidden="false" customHeight="true" outlineLevel="0" collapsed="false">
      <c r="A58" s="1" t="s">
        <v>897</v>
      </c>
    </row>
    <row r="59" customFormat="false" ht="15" hidden="false" customHeight="true" outlineLevel="0" collapsed="false">
      <c r="A59" s="1" t="s">
        <v>898</v>
      </c>
    </row>
    <row r="60" customFormat="false" ht="15" hidden="false" customHeight="true" outlineLevel="0" collapsed="false">
      <c r="A60" s="1" t="s">
        <v>899</v>
      </c>
    </row>
    <row r="61" customFormat="false" ht="15" hidden="false" customHeight="true" outlineLevel="0" collapsed="false">
      <c r="A61" s="1" t="s">
        <v>900</v>
      </c>
    </row>
    <row r="62" customFormat="false" ht="15" hidden="false" customHeight="true" outlineLevel="0" collapsed="false">
      <c r="A62" s="1" t="s">
        <v>901</v>
      </c>
    </row>
    <row r="63" customFormat="false" ht="15" hidden="false" customHeight="true" outlineLevel="0" collapsed="false">
      <c r="A63" s="1" t="s">
        <v>902</v>
      </c>
    </row>
    <row r="64" customFormat="false" ht="15" hidden="false" customHeight="true" outlineLevel="0" collapsed="false">
      <c r="A64" s="1" t="s">
        <v>903</v>
      </c>
    </row>
    <row r="65" customFormat="false" ht="15" hidden="false" customHeight="true" outlineLevel="0" collapsed="false">
      <c r="A65" s="1" t="s">
        <v>904</v>
      </c>
    </row>
    <row r="66" customFormat="false" ht="15" hidden="false" customHeight="true" outlineLevel="0" collapsed="false">
      <c r="A66" s="1" t="s">
        <v>905</v>
      </c>
    </row>
    <row r="67" customFormat="false" ht="15" hidden="false" customHeight="true" outlineLevel="0" collapsed="false">
      <c r="A67" s="1" t="s">
        <v>906</v>
      </c>
    </row>
    <row r="68" customFormat="false" ht="15" hidden="false" customHeight="true" outlineLevel="0" collapsed="false">
      <c r="A68" s="1" t="s">
        <v>907</v>
      </c>
    </row>
    <row r="69" customFormat="false" ht="15" hidden="false" customHeight="true" outlineLevel="0" collapsed="false">
      <c r="A69" s="1" t="s">
        <v>908</v>
      </c>
    </row>
    <row r="70" customFormat="false" ht="15" hidden="false" customHeight="true" outlineLevel="0" collapsed="false">
      <c r="A70" s="1" t="s">
        <v>909</v>
      </c>
    </row>
    <row r="71" customFormat="false" ht="15" hidden="false" customHeight="true" outlineLevel="0" collapsed="false">
      <c r="A71" s="1" t="s">
        <v>910</v>
      </c>
    </row>
    <row r="72" customFormat="false" ht="15" hidden="false" customHeight="true" outlineLevel="0" collapsed="false">
      <c r="A72" s="1" t="s">
        <v>911</v>
      </c>
    </row>
    <row r="73" customFormat="false" ht="15" hidden="false" customHeight="true" outlineLevel="0" collapsed="false">
      <c r="A73" s="1" t="s">
        <v>912</v>
      </c>
    </row>
    <row r="74" customFormat="false" ht="15" hidden="false" customHeight="true" outlineLevel="0" collapsed="false">
      <c r="A74" s="1" t="s">
        <v>913</v>
      </c>
    </row>
    <row r="75" customFormat="false" ht="15" hidden="false" customHeight="true" outlineLevel="0" collapsed="false">
      <c r="A75" s="1" t="s">
        <v>914</v>
      </c>
    </row>
    <row r="76" customFormat="false" ht="15" hidden="false" customHeight="true" outlineLevel="0" collapsed="false">
      <c r="A76" s="1" t="s">
        <v>915</v>
      </c>
    </row>
    <row r="77" customFormat="false" ht="15" hidden="false" customHeight="true" outlineLevel="0" collapsed="false">
      <c r="A77" s="1" t="s">
        <v>916</v>
      </c>
    </row>
    <row r="78" customFormat="false" ht="15" hidden="false" customHeight="true" outlineLevel="0" collapsed="false">
      <c r="A78" s="1" t="s">
        <v>917</v>
      </c>
    </row>
    <row r="79" customFormat="false" ht="15" hidden="false" customHeight="true" outlineLevel="0" collapsed="false">
      <c r="A79" s="1" t="s">
        <v>918</v>
      </c>
    </row>
    <row r="80" customFormat="false" ht="15" hidden="false" customHeight="true" outlineLevel="0" collapsed="false">
      <c r="A80" s="1" t="s">
        <v>919</v>
      </c>
    </row>
    <row r="81" customFormat="false" ht="15" hidden="false" customHeight="true" outlineLevel="0" collapsed="false">
      <c r="A81" s="1" t="s">
        <v>920</v>
      </c>
    </row>
    <row r="82" customFormat="false" ht="15" hidden="false" customHeight="true" outlineLevel="0" collapsed="false">
      <c r="A82" s="1" t="s">
        <v>921</v>
      </c>
    </row>
    <row r="83" customFormat="false" ht="15" hidden="false" customHeight="true" outlineLevel="0" collapsed="false">
      <c r="A83" s="1" t="s">
        <v>922</v>
      </c>
    </row>
    <row r="84" customFormat="false" ht="15" hidden="false" customHeight="true" outlineLevel="0" collapsed="false">
      <c r="A84" s="1" t="s">
        <v>923</v>
      </c>
    </row>
    <row r="85" customFormat="false" ht="15" hidden="false" customHeight="true" outlineLevel="0" collapsed="false">
      <c r="A85" s="1" t="s">
        <v>924</v>
      </c>
    </row>
    <row r="86" customFormat="false" ht="15" hidden="false" customHeight="true" outlineLevel="0" collapsed="false">
      <c r="A86" s="1" t="s">
        <v>925</v>
      </c>
    </row>
    <row r="87" customFormat="false" ht="15" hidden="false" customHeight="true" outlineLevel="0" collapsed="false">
      <c r="A87" s="1" t="s">
        <v>926</v>
      </c>
    </row>
    <row r="88" customFormat="false" ht="15" hidden="false" customHeight="true" outlineLevel="0" collapsed="false">
      <c r="A88" s="1" t="s">
        <v>927</v>
      </c>
    </row>
    <row r="89" customFormat="false" ht="15" hidden="false" customHeight="true" outlineLevel="0" collapsed="false">
      <c r="A89" s="1" t="s">
        <v>928</v>
      </c>
    </row>
    <row r="90" customFormat="false" ht="15" hidden="false" customHeight="true" outlineLevel="0" collapsed="false">
      <c r="A90" s="1" t="s">
        <v>929</v>
      </c>
    </row>
    <row r="91" customFormat="false" ht="15" hidden="false" customHeight="true" outlineLevel="0" collapsed="false">
      <c r="A91" s="1" t="s">
        <v>930</v>
      </c>
    </row>
    <row r="92" customFormat="false" ht="15" hidden="false" customHeight="true" outlineLevel="0" collapsed="false">
      <c r="A92" s="1" t="s">
        <v>931</v>
      </c>
    </row>
    <row r="93" customFormat="false" ht="15" hidden="false" customHeight="true" outlineLevel="0" collapsed="false">
      <c r="A93" s="1" t="s">
        <v>932</v>
      </c>
    </row>
    <row r="94" customFormat="false" ht="15" hidden="false" customHeight="true" outlineLevel="0" collapsed="false">
      <c r="A94" s="1" t="s">
        <v>933</v>
      </c>
    </row>
    <row r="95" customFormat="false" ht="15" hidden="false" customHeight="true" outlineLevel="0" collapsed="false">
      <c r="A95" s="1" t="s">
        <v>934</v>
      </c>
    </row>
    <row r="96" customFormat="false" ht="15" hidden="false" customHeight="true" outlineLevel="0" collapsed="false">
      <c r="A96" s="1" t="s">
        <v>935</v>
      </c>
    </row>
    <row r="97" customFormat="false" ht="15" hidden="false" customHeight="true" outlineLevel="0" collapsed="false">
      <c r="A97" s="1" t="s">
        <v>936</v>
      </c>
    </row>
    <row r="98" customFormat="false" ht="15" hidden="false" customHeight="true" outlineLevel="0" collapsed="false">
      <c r="A98" s="1" t="s">
        <v>937</v>
      </c>
    </row>
    <row r="99" customFormat="false" ht="15" hidden="false" customHeight="true" outlineLevel="0" collapsed="false">
      <c r="A99" s="1" t="s">
        <v>938</v>
      </c>
    </row>
    <row r="100" customFormat="false" ht="15" hidden="false" customHeight="true" outlineLevel="0" collapsed="false">
      <c r="A100" s="1" t="s">
        <v>939</v>
      </c>
    </row>
    <row r="101" customFormat="false" ht="15" hidden="false" customHeight="true" outlineLevel="0" collapsed="false">
      <c r="A101" s="1" t="s">
        <v>940</v>
      </c>
    </row>
    <row r="102" customFormat="false" ht="15" hidden="false" customHeight="true" outlineLevel="0" collapsed="false">
      <c r="A102" s="1" t="s">
        <v>941</v>
      </c>
    </row>
    <row r="103" customFormat="false" ht="15" hidden="false" customHeight="true" outlineLevel="0" collapsed="false">
      <c r="A103" s="1" t="s">
        <v>942</v>
      </c>
    </row>
    <row r="104" customFormat="false" ht="15" hidden="false" customHeight="true" outlineLevel="0" collapsed="false">
      <c r="A104" s="1" t="s">
        <v>943</v>
      </c>
    </row>
    <row r="105" customFormat="false" ht="15" hidden="false" customHeight="true" outlineLevel="0" collapsed="false">
      <c r="A105" s="1" t="s">
        <v>944</v>
      </c>
    </row>
    <row r="106" customFormat="false" ht="15" hidden="false" customHeight="true" outlineLevel="0" collapsed="false">
      <c r="A106" s="1" t="s">
        <v>945</v>
      </c>
    </row>
    <row r="107" customFormat="false" ht="15" hidden="false" customHeight="true" outlineLevel="0" collapsed="false">
      <c r="A107" s="1" t="s">
        <v>946</v>
      </c>
    </row>
    <row r="108" customFormat="false" ht="15" hidden="false" customHeight="true" outlineLevel="0" collapsed="false">
      <c r="A108" s="1" t="s">
        <v>947</v>
      </c>
    </row>
    <row r="109" customFormat="false" ht="15" hidden="false" customHeight="true" outlineLevel="0" collapsed="false">
      <c r="A109" s="1" t="s">
        <v>948</v>
      </c>
    </row>
    <row r="110" customFormat="false" ht="15" hidden="false" customHeight="true" outlineLevel="0" collapsed="false">
      <c r="A110" s="1" t="s">
        <v>949</v>
      </c>
    </row>
    <row r="111" customFormat="false" ht="15" hidden="false" customHeight="true" outlineLevel="0" collapsed="false">
      <c r="A111" s="1" t="s">
        <v>950</v>
      </c>
    </row>
    <row r="112" customFormat="false" ht="15" hidden="false" customHeight="true" outlineLevel="0" collapsed="false">
      <c r="A112" s="1" t="s">
        <v>951</v>
      </c>
    </row>
    <row r="113" customFormat="false" ht="15" hidden="false" customHeight="true" outlineLevel="0" collapsed="false">
      <c r="A113" s="1" t="s">
        <v>952</v>
      </c>
    </row>
    <row r="114" customFormat="false" ht="15" hidden="false" customHeight="true" outlineLevel="0" collapsed="false">
      <c r="A114" s="1" t="s">
        <v>953</v>
      </c>
    </row>
    <row r="115" customFormat="false" ht="15" hidden="false" customHeight="true" outlineLevel="0" collapsed="false">
      <c r="A115" s="1" t="s">
        <v>954</v>
      </c>
    </row>
    <row r="116" customFormat="false" ht="15" hidden="false" customHeight="true" outlineLevel="0" collapsed="false">
      <c r="A116" s="1" t="s">
        <v>955</v>
      </c>
    </row>
    <row r="117" customFormat="false" ht="15" hidden="false" customHeight="true" outlineLevel="0" collapsed="false">
      <c r="A117" s="1" t="s">
        <v>956</v>
      </c>
    </row>
    <row r="118" customFormat="false" ht="15" hidden="false" customHeight="true" outlineLevel="0" collapsed="false">
      <c r="A118" s="1" t="s">
        <v>957</v>
      </c>
    </row>
    <row r="119" customFormat="false" ht="15" hidden="false" customHeight="true" outlineLevel="0" collapsed="false">
      <c r="A119" s="1" t="s">
        <v>958</v>
      </c>
    </row>
    <row r="120" customFormat="false" ht="15" hidden="false" customHeight="true" outlineLevel="0" collapsed="false">
      <c r="A120" s="1" t="s">
        <v>959</v>
      </c>
    </row>
    <row r="121" customFormat="false" ht="15" hidden="false" customHeight="true" outlineLevel="0" collapsed="false">
      <c r="A121" s="1" t="s">
        <v>960</v>
      </c>
    </row>
    <row r="122" customFormat="false" ht="15" hidden="false" customHeight="true" outlineLevel="0" collapsed="false">
      <c r="A122" s="1" t="s">
        <v>961</v>
      </c>
    </row>
    <row r="123" customFormat="false" ht="15" hidden="false" customHeight="true" outlineLevel="0" collapsed="false">
      <c r="A123" s="1" t="s">
        <v>962</v>
      </c>
    </row>
    <row r="124" customFormat="false" ht="15" hidden="false" customHeight="true" outlineLevel="0" collapsed="false">
      <c r="A124" s="1" t="s">
        <v>963</v>
      </c>
    </row>
    <row r="125" customFormat="false" ht="15" hidden="false" customHeight="true" outlineLevel="0" collapsed="false">
      <c r="A125" s="1" t="s">
        <v>964</v>
      </c>
    </row>
    <row r="126" customFormat="false" ht="15" hidden="false" customHeight="true" outlineLevel="0" collapsed="false">
      <c r="A126" s="1" t="s">
        <v>965</v>
      </c>
    </row>
    <row r="127" customFormat="false" ht="15" hidden="false" customHeight="true" outlineLevel="0" collapsed="false">
      <c r="A127" s="1" t="s">
        <v>966</v>
      </c>
    </row>
    <row r="128" customFormat="false" ht="15" hidden="false" customHeight="true" outlineLevel="0" collapsed="false">
      <c r="A128" s="1" t="s">
        <v>967</v>
      </c>
    </row>
    <row r="129" customFormat="false" ht="15" hidden="false" customHeight="true" outlineLevel="0" collapsed="false">
      <c r="A129" s="1" t="s">
        <v>968</v>
      </c>
    </row>
    <row r="130" customFormat="false" ht="15" hidden="false" customHeight="true" outlineLevel="0" collapsed="false">
      <c r="A130" s="1" t="s">
        <v>969</v>
      </c>
    </row>
    <row r="131" customFormat="false" ht="15" hidden="false" customHeight="true" outlineLevel="0" collapsed="false">
      <c r="A131" s="1" t="s">
        <v>970</v>
      </c>
    </row>
    <row r="132" customFormat="false" ht="15" hidden="false" customHeight="true" outlineLevel="0" collapsed="false">
      <c r="A132" s="1" t="s">
        <v>971</v>
      </c>
    </row>
    <row r="133" customFormat="false" ht="15" hidden="false" customHeight="true" outlineLevel="0" collapsed="false">
      <c r="A133" s="1" t="s">
        <v>972</v>
      </c>
    </row>
    <row r="134" customFormat="false" ht="15" hidden="false" customHeight="true" outlineLevel="0" collapsed="false">
      <c r="A134" s="1" t="s">
        <v>973</v>
      </c>
    </row>
    <row r="135" customFormat="false" ht="15" hidden="false" customHeight="true" outlineLevel="0" collapsed="false">
      <c r="A135" s="1" t="s">
        <v>974</v>
      </c>
    </row>
    <row r="136" customFormat="false" ht="15" hidden="false" customHeight="true" outlineLevel="0" collapsed="false">
      <c r="A136" s="1" t="s">
        <v>975</v>
      </c>
    </row>
    <row r="137" customFormat="false" ht="15" hidden="false" customHeight="true" outlineLevel="0" collapsed="false">
      <c r="A137" s="1" t="s">
        <v>976</v>
      </c>
    </row>
    <row r="138" customFormat="false" ht="15" hidden="false" customHeight="true" outlineLevel="0" collapsed="false">
      <c r="A138" s="1" t="s">
        <v>977</v>
      </c>
    </row>
    <row r="139" customFormat="false" ht="15" hidden="false" customHeight="true" outlineLevel="0" collapsed="false">
      <c r="A139" s="1" t="s">
        <v>978</v>
      </c>
    </row>
    <row r="140" customFormat="false" ht="15" hidden="false" customHeight="true" outlineLevel="0" collapsed="false">
      <c r="A140" s="1" t="s">
        <v>979</v>
      </c>
    </row>
    <row r="141" customFormat="false" ht="15" hidden="false" customHeight="true" outlineLevel="0" collapsed="false">
      <c r="A141" s="1" t="s">
        <v>980</v>
      </c>
    </row>
    <row r="142" customFormat="false" ht="15" hidden="false" customHeight="true" outlineLevel="0" collapsed="false">
      <c r="A142" s="1" t="s">
        <v>981</v>
      </c>
    </row>
    <row r="143" customFormat="false" ht="15" hidden="false" customHeight="true" outlineLevel="0" collapsed="false">
      <c r="A143" s="1" t="s">
        <v>982</v>
      </c>
    </row>
    <row r="144" customFormat="false" ht="15" hidden="false" customHeight="true" outlineLevel="0" collapsed="false">
      <c r="A144" s="1" t="s">
        <v>983</v>
      </c>
    </row>
    <row r="145" customFormat="false" ht="15" hidden="false" customHeight="true" outlineLevel="0" collapsed="false">
      <c r="A145" s="1" t="s">
        <v>984</v>
      </c>
    </row>
    <row r="146" customFormat="false" ht="15" hidden="false" customHeight="true" outlineLevel="0" collapsed="false">
      <c r="A146" s="1" t="s">
        <v>985</v>
      </c>
    </row>
    <row r="147" customFormat="false" ht="15" hidden="false" customHeight="true" outlineLevel="0" collapsed="false">
      <c r="A147" s="1" t="s">
        <v>986</v>
      </c>
    </row>
    <row r="148" customFormat="false" ht="15" hidden="false" customHeight="true" outlineLevel="0" collapsed="false">
      <c r="A148" s="1" t="s">
        <v>987</v>
      </c>
    </row>
    <row r="149" customFormat="false" ht="15" hidden="false" customHeight="true" outlineLevel="0" collapsed="false">
      <c r="A149" s="1" t="s">
        <v>988</v>
      </c>
    </row>
    <row r="150" customFormat="false" ht="15" hidden="false" customHeight="true" outlineLevel="0" collapsed="false">
      <c r="A150" s="1" t="s">
        <v>989</v>
      </c>
    </row>
    <row r="151" customFormat="false" ht="15" hidden="false" customHeight="true" outlineLevel="0" collapsed="false">
      <c r="A151" s="1" t="s">
        <v>990</v>
      </c>
    </row>
    <row r="152" customFormat="false" ht="15" hidden="false" customHeight="true" outlineLevel="0" collapsed="false">
      <c r="A152" s="1" t="s">
        <v>991</v>
      </c>
    </row>
    <row r="153" customFormat="false" ht="15" hidden="false" customHeight="true" outlineLevel="0" collapsed="false">
      <c r="A153" s="1" t="s">
        <v>992</v>
      </c>
    </row>
    <row r="154" customFormat="false" ht="15" hidden="false" customHeight="true" outlineLevel="0" collapsed="false">
      <c r="A154" s="1" t="s">
        <v>993</v>
      </c>
    </row>
    <row r="155" customFormat="false" ht="15" hidden="false" customHeight="true" outlineLevel="0" collapsed="false">
      <c r="A155" s="1" t="s">
        <v>994</v>
      </c>
    </row>
    <row r="156" customFormat="false" ht="15" hidden="false" customHeight="true" outlineLevel="0" collapsed="false">
      <c r="A156" s="1" t="s">
        <v>995</v>
      </c>
    </row>
    <row r="157" customFormat="false" ht="15" hidden="false" customHeight="true" outlineLevel="0" collapsed="false">
      <c r="A157" s="1" t="s">
        <v>996</v>
      </c>
    </row>
    <row r="158" customFormat="false" ht="15" hidden="false" customHeight="true" outlineLevel="0" collapsed="false">
      <c r="A158" s="1" t="s">
        <v>997</v>
      </c>
    </row>
    <row r="159" customFormat="false" ht="15" hidden="false" customHeight="true" outlineLevel="0" collapsed="false">
      <c r="A159" s="1" t="s">
        <v>998</v>
      </c>
    </row>
    <row r="160" customFormat="false" ht="15" hidden="false" customHeight="true" outlineLevel="0" collapsed="false">
      <c r="A160" s="1" t="s">
        <v>999</v>
      </c>
    </row>
    <row r="161" customFormat="false" ht="15" hidden="false" customHeight="true" outlineLevel="0" collapsed="false">
      <c r="A161" s="1" t="s">
        <v>1000</v>
      </c>
    </row>
    <row r="162" customFormat="false" ht="15" hidden="false" customHeight="true" outlineLevel="0" collapsed="false">
      <c r="A162" s="1" t="s">
        <v>1001</v>
      </c>
    </row>
    <row r="163" customFormat="false" ht="15" hidden="false" customHeight="true" outlineLevel="0" collapsed="false">
      <c r="A163" s="1" t="s">
        <v>1002</v>
      </c>
    </row>
    <row r="164" customFormat="false" ht="15" hidden="false" customHeight="true" outlineLevel="0" collapsed="false">
      <c r="A164" s="1" t="s">
        <v>1003</v>
      </c>
    </row>
    <row r="165" customFormat="false" ht="15" hidden="false" customHeight="true" outlineLevel="0" collapsed="false">
      <c r="A165" s="1" t="s">
        <v>1004</v>
      </c>
    </row>
    <row r="166" customFormat="false" ht="15" hidden="false" customHeight="true" outlineLevel="0" collapsed="false">
      <c r="A166" s="1" t="s">
        <v>1005</v>
      </c>
    </row>
    <row r="167" customFormat="false" ht="15" hidden="false" customHeight="true" outlineLevel="0" collapsed="false">
      <c r="A167" s="1" t="s">
        <v>1006</v>
      </c>
    </row>
    <row r="168" customFormat="false" ht="15" hidden="false" customHeight="true" outlineLevel="0" collapsed="false">
      <c r="A168" s="1" t="s">
        <v>1007</v>
      </c>
    </row>
    <row r="169" customFormat="false" ht="15" hidden="false" customHeight="true" outlineLevel="0" collapsed="false">
      <c r="A169" s="1" t="s">
        <v>1008</v>
      </c>
    </row>
    <row r="170" customFormat="false" ht="15" hidden="false" customHeight="true" outlineLevel="0" collapsed="false">
      <c r="A170" s="1" t="s">
        <v>1009</v>
      </c>
    </row>
    <row r="171" customFormat="false" ht="15" hidden="false" customHeight="true" outlineLevel="0" collapsed="false">
      <c r="A171" s="1" t="s">
        <v>1010</v>
      </c>
    </row>
    <row r="172" customFormat="false" ht="15" hidden="false" customHeight="true" outlineLevel="0" collapsed="false">
      <c r="A172" s="1" t="s">
        <v>1011</v>
      </c>
    </row>
    <row r="173" customFormat="false" ht="15" hidden="false" customHeight="true" outlineLevel="0" collapsed="false">
      <c r="A173" s="1" t="s">
        <v>1012</v>
      </c>
    </row>
    <row r="174" customFormat="false" ht="15" hidden="false" customHeight="true" outlineLevel="0" collapsed="false">
      <c r="A174" s="1" t="s">
        <v>1013</v>
      </c>
    </row>
    <row r="175" customFormat="false" ht="15" hidden="false" customHeight="true" outlineLevel="0" collapsed="false">
      <c r="A175" s="1" t="s">
        <v>1014</v>
      </c>
    </row>
    <row r="176" customFormat="false" ht="15" hidden="false" customHeight="true" outlineLevel="0" collapsed="false">
      <c r="A176" s="1" t="s">
        <v>1015</v>
      </c>
    </row>
    <row r="177" customFormat="false" ht="15" hidden="false" customHeight="true" outlineLevel="0" collapsed="false">
      <c r="A177" s="1" t="s">
        <v>1016</v>
      </c>
    </row>
    <row r="178" customFormat="false" ht="15" hidden="false" customHeight="true" outlineLevel="0" collapsed="false">
      <c r="A178" s="1" t="s">
        <v>1017</v>
      </c>
    </row>
    <row r="179" customFormat="false" ht="15" hidden="false" customHeight="true" outlineLevel="0" collapsed="false">
      <c r="A179" s="1" t="s">
        <v>1018</v>
      </c>
    </row>
    <row r="180" customFormat="false" ht="15" hidden="false" customHeight="true" outlineLevel="0" collapsed="false">
      <c r="A180" s="1" t="s">
        <v>1019</v>
      </c>
    </row>
    <row r="181" customFormat="false" ht="15" hidden="false" customHeight="true" outlineLevel="0" collapsed="false">
      <c r="A181" s="1" t="s">
        <v>1020</v>
      </c>
    </row>
    <row r="182" customFormat="false" ht="15" hidden="false" customHeight="true" outlineLevel="0" collapsed="false">
      <c r="A182" s="1" t="s">
        <v>1021</v>
      </c>
    </row>
    <row r="183" customFormat="false" ht="15" hidden="false" customHeight="true" outlineLevel="0" collapsed="false">
      <c r="A183" s="1" t="s">
        <v>1022</v>
      </c>
    </row>
    <row r="184" customFormat="false" ht="15" hidden="false" customHeight="true" outlineLevel="0" collapsed="false">
      <c r="A184" s="1" t="s">
        <v>1023</v>
      </c>
    </row>
    <row r="185" customFormat="false" ht="15" hidden="false" customHeight="true" outlineLevel="0" collapsed="false">
      <c r="A185" s="1" t="s">
        <v>1024</v>
      </c>
    </row>
    <row r="186" customFormat="false" ht="15" hidden="false" customHeight="true" outlineLevel="0" collapsed="false">
      <c r="A186" s="1" t="s">
        <v>1025</v>
      </c>
    </row>
    <row r="187" customFormat="false" ht="15" hidden="false" customHeight="true" outlineLevel="0" collapsed="false">
      <c r="A187" s="1" t="s">
        <v>1026</v>
      </c>
    </row>
    <row r="188" customFormat="false" ht="15" hidden="false" customHeight="true" outlineLevel="0" collapsed="false">
      <c r="A188" s="1" t="s">
        <v>1027</v>
      </c>
    </row>
    <row r="189" customFormat="false" ht="15" hidden="false" customHeight="true" outlineLevel="0" collapsed="false">
      <c r="A189" s="1" t="s">
        <v>1028</v>
      </c>
    </row>
    <row r="190" customFormat="false" ht="15" hidden="false" customHeight="true" outlineLevel="0" collapsed="false">
      <c r="A190" s="1" t="s">
        <v>1029</v>
      </c>
    </row>
    <row r="191" customFormat="false" ht="15" hidden="false" customHeight="true" outlineLevel="0" collapsed="false">
      <c r="A191" s="1" t="s">
        <v>1030</v>
      </c>
    </row>
    <row r="192" customFormat="false" ht="15" hidden="false" customHeight="true" outlineLevel="0" collapsed="false">
      <c r="A192" s="1" t="s">
        <v>1031</v>
      </c>
    </row>
    <row r="193" customFormat="false" ht="15" hidden="false" customHeight="true" outlineLevel="0" collapsed="false">
      <c r="A193" s="1" t="s">
        <v>1032</v>
      </c>
    </row>
    <row r="194" customFormat="false" ht="15" hidden="false" customHeight="true" outlineLevel="0" collapsed="false">
      <c r="A194" s="1" t="s">
        <v>1033</v>
      </c>
    </row>
    <row r="195" customFormat="false" ht="15" hidden="false" customHeight="true" outlineLevel="0" collapsed="false">
      <c r="A195" s="1" t="s">
        <v>1034</v>
      </c>
    </row>
    <row r="196" customFormat="false" ht="15" hidden="false" customHeight="true" outlineLevel="0" collapsed="false">
      <c r="A196" s="1" t="s">
        <v>1035</v>
      </c>
    </row>
    <row r="197" customFormat="false" ht="15" hidden="false" customHeight="true" outlineLevel="0" collapsed="false">
      <c r="A197" s="1" t="s">
        <v>1036</v>
      </c>
    </row>
    <row r="198" customFormat="false" ht="15" hidden="false" customHeight="true" outlineLevel="0" collapsed="false">
      <c r="A198" s="1" t="s">
        <v>1037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DFB1BA48-6859-40B6-8941-0BE426E75326}"/>
</file>

<file path=customXml/itemProps2.xml><?xml version="1.0" encoding="utf-8"?>
<ds:datastoreItem xmlns:ds="http://schemas.openxmlformats.org/officeDocument/2006/customXml" ds:itemID="{6825743B-A19E-477F-BC63-517BD72B0436}"/>
</file>

<file path=customXml/itemProps3.xml><?xml version="1.0" encoding="utf-8"?>
<ds:datastoreItem xmlns:ds="http://schemas.openxmlformats.org/officeDocument/2006/customXml" ds:itemID="{18FAEDCC-6552-46D6-96EA-E694CD1A4572}"/>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dc:description/>
  <cp:lastModifiedBy>Alexandra de Sousa</cp:lastModifiedBy>
  <cp:revision>0</cp:revision>
  <dcterms:created xsi:type="dcterms:W3CDTF">2023-10-04T18:06:19Z</dcterms:created>
  <dcterms:modified xsi:type="dcterms:W3CDTF">2026-07-28T09:24:01Z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0x0101009B0162F312A93D41AE706303C1572F17</vt:lpwstr>
  </property>
  <property fmtid="{D5CDD505-2E9C-101B-9397-08002B2CF9AE}" pid="3" name="MediaServiceImageTags">
    <vt:lpwstr/>
  </property>
</Properties>
</file>