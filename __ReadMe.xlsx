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 documentId="13_ncr:1_{0FC7810F-34CA-C64C-B96F-ABDAC602D8AF}" xr6:coauthVersionLast="47" xr6:coauthVersionMax="47" xr10:uidLastSave="{A1B0C5D4-7D06-DB44-A210-C6BFA5FA6EB8}"/>
  <bookViews>
    <workbookView xWindow="0" yWindow="760" windowWidth="34560" windowHeight="2014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N26" i="1" a="1"/>
  <c r="N26" i="1" s="1"/>
  <c r="K26" i="1"/>
  <c r="O26" i="1" a="1"/>
  <c r="O26" i="1" s="1"/>
  <c r="G26" i="1"/>
  <c r="E26" i="1"/>
  <c r="D26" i="1"/>
  <c r="C26" i="1"/>
  <c r="B26" i="1"/>
  <c r="J26" i="1"/>
  <c r="K49" i="1"/>
  <c r="E49" i="1"/>
  <c r="D49" i="1"/>
  <c r="C49" i="1"/>
  <c r="B49" i="1"/>
  <c r="J49" i="1"/>
  <c r="C48" i="1"/>
  <c r="D48" i="1"/>
  <c r="E48" i="1"/>
  <c r="K48" i="1"/>
  <c r="G46" i="1"/>
  <c r="K46" i="1"/>
  <c r="E46" i="1"/>
  <c r="D46" i="1"/>
  <c r="C46" i="1"/>
  <c r="B46" i="1"/>
  <c r="J46" i="1"/>
  <c r="G47" i="1"/>
  <c r="K47" i="1"/>
  <c r="E47" i="1"/>
  <c r="D47" i="1"/>
  <c r="C47" i="1"/>
  <c r="B47" i="1"/>
  <c r="J47" i="1"/>
  <c r="G38" i="1"/>
  <c r="K38" i="1"/>
  <c r="E38" i="1"/>
  <c r="D38" i="1"/>
  <c r="C38" i="1"/>
  <c r="B38" i="1"/>
  <c r="J38" i="1"/>
  <c r="G37" i="1"/>
  <c r="K37" i="1"/>
  <c r="E37" i="1"/>
  <c r="D37" i="1"/>
  <c r="C37" i="1"/>
  <c r="B37" i="1"/>
  <c r="J37" i="1"/>
  <c r="G10" i="1"/>
  <c r="K10" i="1"/>
  <c r="N10" i="1" a="1"/>
  <c r="N10" i="1" s="1"/>
  <c r="G43" i="1"/>
  <c r="K43" i="1"/>
  <c r="E43" i="1"/>
  <c r="D43" i="1"/>
  <c r="C43" i="1"/>
  <c r="G42" i="1"/>
  <c r="K42" i="1"/>
  <c r="E42" i="1"/>
  <c r="D42" i="1"/>
  <c r="C42" i="1"/>
  <c r="G41" i="1"/>
  <c r="K41" i="1"/>
  <c r="E41" i="1"/>
  <c r="D41" i="1"/>
  <c r="C41" i="1"/>
  <c r="G44" i="1"/>
  <c r="K44" i="1"/>
  <c r="E44" i="1"/>
  <c r="D44" i="1"/>
  <c r="C44" i="1"/>
  <c r="G39" i="1"/>
  <c r="K39" i="1"/>
  <c r="E39" i="1"/>
  <c r="D39" i="1"/>
  <c r="C39" i="1"/>
  <c r="K30" i="1"/>
  <c r="G4" i="1"/>
  <c r="K4" i="1"/>
  <c r="G5" i="1"/>
  <c r="K5" i="1"/>
  <c r="G6" i="1"/>
  <c r="K6" i="1"/>
  <c r="G7" i="1"/>
  <c r="K7" i="1"/>
  <c r="G8" i="1"/>
  <c r="K8" i="1"/>
  <c r="G9" i="1"/>
  <c r="K9" i="1"/>
  <c r="G11" i="1"/>
  <c r="K11" i="1"/>
  <c r="G12" i="1"/>
  <c r="K12" i="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D4" i="1"/>
  <c r="E4" i="1"/>
  <c r="C5" i="1"/>
  <c r="D5" i="1"/>
  <c r="E5" i="1"/>
  <c r="C6" i="1"/>
  <c r="D6" i="1"/>
  <c r="E6" i="1"/>
  <c r="C7" i="1"/>
  <c r="D7" i="1"/>
  <c r="E7" i="1"/>
  <c r="C8" i="1"/>
  <c r="D8" i="1"/>
  <c r="E8" i="1"/>
  <c r="C9" i="1"/>
  <c r="D9" i="1"/>
  <c r="E9" i="1"/>
  <c r="C10" i="1"/>
  <c r="D10" i="1"/>
  <c r="E10" i="1"/>
  <c r="C11" i="1"/>
  <c r="D11" i="1"/>
  <c r="E11" i="1"/>
  <c r="C12" i="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7" i="1"/>
  <c r="D27" i="1"/>
  <c r="E27" i="1"/>
  <c r="C28" i="1"/>
  <c r="D28" i="1"/>
  <c r="E28" i="1"/>
  <c r="C29" i="1"/>
  <c r="D29" i="1"/>
  <c r="E29" i="1"/>
  <c r="C30" i="1"/>
  <c r="D30" i="1"/>
  <c r="E30" i="1"/>
  <c r="C31" i="1"/>
  <c r="D31" i="1"/>
  <c r="E31" i="1"/>
  <c r="C32" i="1"/>
  <c r="D32" i="1"/>
  <c r="E32" i="1"/>
  <c r="C33" i="1"/>
  <c r="D33" i="1"/>
  <c r="E33" i="1"/>
  <c r="C34" i="1"/>
  <c r="D34" i="1"/>
  <c r="E34" i="1"/>
  <c r="C35" i="1"/>
  <c r="D35" i="1"/>
  <c r="E35" i="1"/>
  <c r="C36" i="1"/>
  <c r="D36" i="1"/>
  <c r="E36" i="1"/>
  <c r="C40" i="1"/>
  <c r="D40" i="1"/>
  <c r="E40" i="1"/>
  <c r="C45" i="1"/>
  <c r="D45" i="1"/>
  <c r="E45" i="1"/>
  <c r="G2" i="1"/>
  <c r="E2" i="1"/>
  <c r="D2" i="1"/>
  <c r="C2" i="1"/>
  <c r="G3" i="1"/>
  <c r="K3" i="1"/>
  <c r="E3" i="1"/>
  <c r="D3" i="1"/>
  <c r="C3" i="1"/>
  <c r="S34" i="1"/>
  <c r="S33" i="1"/>
  <c r="S32" i="1"/>
  <c r="S31" i="1"/>
  <c r="S30" i="1"/>
  <c r="S29" i="1"/>
  <c r="S24" i="1"/>
  <c r="S23" i="1"/>
  <c r="S22" i="1"/>
  <c r="S21" i="1"/>
  <c r="S13" i="1"/>
  <c r="S12" i="1"/>
  <c r="S7" i="1"/>
  <c r="S5" i="1"/>
  <c r="S3" i="1"/>
  <c r="O10" i="1" a="1"/>
  <c r="O10" i="1" s="1"/>
  <c r="B43" i="1"/>
  <c r="J43" i="1"/>
  <c r="N47" i="1" a="1"/>
  <c r="N47" i="1" s="1"/>
  <c r="O47" i="1" a="1"/>
  <c r="O47" i="1" s="1"/>
  <c r="N48" i="1" a="1"/>
  <c r="N48" i="1" s="1"/>
  <c r="O48" i="1" a="1"/>
  <c r="O48" i="1" s="1"/>
  <c r="O49" i="1" a="1"/>
  <c r="O49" i="1"/>
  <c r="N49" i="1" a="1"/>
  <c r="N49" i="1" s="1"/>
  <c r="B48" i="1"/>
  <c r="J48" i="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2" i="1" a="1"/>
  <c r="O12" i="1" s="1"/>
  <c r="N12" i="1" a="1"/>
  <c r="N12"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c r="B42" i="1"/>
  <c r="J42" i="1"/>
  <c r="B41" i="1"/>
  <c r="J41" i="1"/>
  <c r="B13" i="1"/>
  <c r="J13" i="1"/>
  <c r="B27" i="1"/>
  <c r="J27" i="1"/>
  <c r="B16" i="1"/>
  <c r="J16" i="1"/>
  <c r="B22" i="1"/>
  <c r="J22" i="1"/>
  <c r="B11" i="1"/>
  <c r="J11" i="1"/>
  <c r="B17" i="1"/>
  <c r="J17" i="1"/>
  <c r="B39" i="1"/>
  <c r="J39" i="1"/>
  <c r="B3" i="1"/>
  <c r="J3" i="1"/>
  <c r="B8" i="1"/>
  <c r="J8" i="1"/>
  <c r="B34" i="1"/>
  <c r="J34" i="1"/>
  <c r="B40" i="1"/>
  <c r="J40" i="1"/>
  <c r="B23" i="1"/>
  <c r="J23" i="1"/>
  <c r="B4" i="1"/>
  <c r="J4" i="1"/>
  <c r="B30" i="1"/>
  <c r="J30" i="1"/>
  <c r="B19" i="1"/>
  <c r="J19" i="1"/>
  <c r="B29" i="1"/>
  <c r="J29" i="1"/>
  <c r="B32" i="1"/>
  <c r="J32" i="1"/>
  <c r="B12" i="1"/>
  <c r="J12" i="1"/>
  <c r="B24" i="1"/>
  <c r="J24" i="1"/>
  <c r="B18" i="1"/>
  <c r="J18" i="1"/>
  <c r="B36" i="1"/>
  <c r="J36" i="1"/>
  <c r="B33" i="1"/>
  <c r="J33" i="1"/>
  <c r="B9" i="1"/>
  <c r="J9" i="1"/>
  <c r="B6" i="1"/>
  <c r="J6" i="1"/>
  <c r="B14" i="1"/>
  <c r="J14" i="1"/>
  <c r="B45" i="1"/>
  <c r="J45" i="1"/>
  <c r="B35" i="1"/>
  <c r="J35" i="1"/>
  <c r="B20" i="1"/>
  <c r="J20" i="1"/>
  <c r="B5" i="1"/>
  <c r="J5" i="1"/>
  <c r="B25" i="1"/>
  <c r="J25" i="1"/>
  <c r="B31" i="1"/>
  <c r="J31" i="1"/>
  <c r="B28" i="1"/>
  <c r="J28" i="1"/>
  <c r="B10" i="1"/>
  <c r="J10" i="1"/>
  <c r="B7" i="1"/>
  <c r="J7" i="1"/>
  <c r="B15" i="1"/>
  <c r="J15" i="1"/>
  <c r="J2" i="1"/>
  <c r="K2" i="1"/>
  <c r="N2" i="1" a="1"/>
  <c r="N2" i="1"/>
  <c r="O2" i="1" a="1"/>
  <c r="O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<sst xmlns="http://schemas.openxmlformats.org/spreadsheetml/2006/main" count="556" uniqueCount="278">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</sst>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9"/>
  <sheetViews>
    <sheetView tabSelected="1" zoomScale="110" zoomScaleNormal="110" workbookViewId="0">
      <pane xSplit="9" ySplit="1" topLeftCell="X2" activePane="bottomRight" state="frozen"/>
      <selection pane="topRight" activeCell="B1" sqref="B1"/>
      <selection pane="bottomLeft" activeCell="A2" sqref="A2"/>
      <selection pane="bottomRight" activeCell="B3" sqref="B3"/>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3">_xlfn.TEXTBEFORE(_xlfn.TEXTAFTER(A3, "("), ")")</f>
        <v>2019</v>
      </c>
      <c r="G3" t="str">
        <f t="shared" ref="G3:G38" si="4">_xlfn.TEXTAFTER(A3,"https://doi.org/")</f>
        <v>10.1093/jmammal/gyz043</v>
      </c>
      <c r="H3" s="3"/>
      <c r="I3" s="3" t="s">
        <v>46</v>
      </c>
      <c r="J3" s="3" t="str">
        <f t="shared" ref="J3:J45" si="5">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6">C4 &amp; IF(D4&lt;&gt;"", "_" &amp; D4, "_") &amp; IF(E4&lt;&gt;"", "_" &amp; E4, "_") &amp; IF(F4&lt;&gt;"", "_" &amp; F4, "")</f>
        <v>Caspar_etal_2022</v>
      </c>
      <c r="C4" s="9" t="str">
        <f t="shared" ref="C4:C45" si="7">SUBSTITUTE(SUBSTITUTE(_xlfn.TEXTBEFORE(A4,","), "-", ""), " ", "")</f>
        <v>Caspar</v>
      </c>
      <c r="D4" s="9" t="str">
        <f t="shared" ref="D4:D45" si="8">IF(ISNUMBER(FIND("&amp;", A4)),
    IF(LEN(A4)-LEN(SUBSTITUTE(A4, ",", ""))&gt;=3, "etal", MID(A4, SEARCH("&amp; ", A4)+2, SEARCH(",", A4, SEARCH("&amp; ", A4)+2) - SEARCH("&amp; ", A4)-2)),
    ""
)</f>
        <v>etal</v>
      </c>
      <c r="E4" s="9" t="str">
        <f t="shared" ref="E4:E45" si="9">_xlfn.TEXTBEFORE(_xlfn.TEXTAFTER(A4, "("), ")")</f>
        <v>2022</v>
      </c>
      <c r="G4" t="str">
        <f t="shared" si="4"/>
        <v>10.7554/eLife.77875</v>
      </c>
      <c r="H4" s="10"/>
      <c r="I4" s="3" t="s">
        <v>59</v>
      </c>
      <c r="J4" s="3" t="str">
        <f t="shared" si="5"/>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6"/>
        <v>Caspar_etal_2022</v>
      </c>
      <c r="C5" s="9" t="str">
        <f t="shared" si="7"/>
        <v>Caspar</v>
      </c>
      <c r="D5" s="9" t="str">
        <f t="shared" si="8"/>
        <v>etal</v>
      </c>
      <c r="E5" s="9" t="str">
        <f t="shared" si="9"/>
        <v>2022</v>
      </c>
      <c r="G5" t="str">
        <f t="shared" si="4"/>
        <v>10.7554/eLife.77875</v>
      </c>
      <c r="H5" s="12"/>
      <c r="I5" s="12" t="s">
        <v>72</v>
      </c>
      <c r="J5" s="3" t="str">
        <f t="shared" si="5"/>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6"/>
        <v>Changizi__2001</v>
      </c>
      <c r="C6" s="9" t="str">
        <f t="shared" si="7"/>
        <v>Changizi</v>
      </c>
      <c r="D6" s="9" t="str">
        <f t="shared" si="8"/>
        <v/>
      </c>
      <c r="E6" s="9" t="str">
        <f t="shared" si="9"/>
        <v>2001</v>
      </c>
      <c r="G6" t="str">
        <f t="shared" si="4"/>
        <v>10.1007/s004220000205</v>
      </c>
      <c r="H6" s="12"/>
      <c r="I6" s="12" t="s">
        <v>80</v>
      </c>
      <c r="J6" s="3" t="str">
        <f t="shared" si="5"/>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6"/>
        <v>Chen_etal_2020</v>
      </c>
      <c r="C7" s="9" t="str">
        <f t="shared" si="7"/>
        <v>Chen</v>
      </c>
      <c r="D7" s="9" t="str">
        <f t="shared" si="8"/>
        <v>etal</v>
      </c>
      <c r="E7" s="9" t="str">
        <f t="shared" si="9"/>
        <v>2020</v>
      </c>
      <c r="F7" s="7"/>
      <c r="G7" t="str">
        <f t="shared" si="4"/>
        <v>10.1038/s41467-020-14356-3</v>
      </c>
      <c r="H7" s="3"/>
      <c r="I7" s="3" t="s">
        <v>90</v>
      </c>
      <c r="J7" s="3" t="str">
        <f t="shared" si="5"/>
        <v>Chen_etal_2020_SupplementaryData3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6"/>
        <v>DosSantos_etal_2017</v>
      </c>
      <c r="C8" s="9" t="str">
        <f t="shared" si="7"/>
        <v>DosSantos</v>
      </c>
      <c r="D8" s="9" t="str">
        <f t="shared" si="8"/>
        <v>etal</v>
      </c>
      <c r="E8" s="9" t="str">
        <f t="shared" si="9"/>
        <v>2017</v>
      </c>
      <c r="G8" t="str">
        <f t="shared" si="4"/>
        <v>10.1159/000452856</v>
      </c>
      <c r="H8" s="3"/>
      <c r="I8" s="3" t="s">
        <v>98</v>
      </c>
      <c r="J8" s="3" t="str">
        <f t="shared" si="5"/>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6"/>
        <v>DosSantos_etal_2020</v>
      </c>
      <c r="C9" s="9" t="str">
        <f t="shared" si="7"/>
        <v>DosSantos</v>
      </c>
      <c r="D9" s="9" t="str">
        <f t="shared" si="8"/>
        <v>etal</v>
      </c>
      <c r="E9" s="9" t="str">
        <f t="shared" si="9"/>
        <v>2020</v>
      </c>
      <c r="G9" t="str">
        <f t="shared" si="4"/>
        <v>10.1523/JNEUROSCI.2339-19.2020</v>
      </c>
      <c r="H9" s="3"/>
      <c r="I9" s="3" t="s">
        <v>59</v>
      </c>
      <c r="J9" s="3" t="str">
        <f t="shared" si="5"/>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6"/>
        <v>Finlay_etal_2006</v>
      </c>
      <c r="C10" s="9" t="str">
        <f t="shared" si="7"/>
        <v>Finlay</v>
      </c>
      <c r="D10" s="9" t="str">
        <f t="shared" si="8"/>
        <v>etal</v>
      </c>
      <c r="E10" s="9" t="str">
        <f t="shared" si="9"/>
        <v>2006</v>
      </c>
      <c r="F10" s="7"/>
      <c r="G10" t="str">
        <f t="shared" si="4"/>
        <v>10.1093/oso/9780198568742.003.0006</v>
      </c>
      <c r="H10" s="3"/>
      <c r="I10" s="3" t="s">
        <v>117</v>
      </c>
      <c r="J10" s="3" t="str">
        <f t="shared" si="5"/>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6"/>
        <v>Heffner_etal_1975</v>
      </c>
      <c r="C11" s="9" t="str">
        <f t="shared" si="7"/>
        <v>Heffner</v>
      </c>
      <c r="D11" s="9" t="str">
        <f t="shared" si="8"/>
        <v>etal</v>
      </c>
      <c r="E11" s="9" t="str">
        <f t="shared" si="9"/>
        <v>1975</v>
      </c>
      <c r="F11" s="7"/>
      <c r="G11" t="str">
        <f t="shared" si="4"/>
        <v>10.1159/000124401</v>
      </c>
      <c r="H11" s="3"/>
      <c r="I11" s="3" t="s">
        <v>125</v>
      </c>
      <c r="J11" s="3" t="str">
        <f t="shared" si="5"/>
        <v>Heffner_etal_1975_TableI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6"/>
        <v>Heffner_etal_1983</v>
      </c>
      <c r="C12" s="9" t="str">
        <f t="shared" si="7"/>
        <v>Heffner</v>
      </c>
      <c r="D12" s="9" t="str">
        <f t="shared" si="8"/>
        <v>etal</v>
      </c>
      <c r="E12" s="9" t="str">
        <f t="shared" si="9"/>
        <v>1983</v>
      </c>
      <c r="F12" s="7"/>
      <c r="G12" t="str">
        <f t="shared" si="4"/>
        <v>10.1159/000121494</v>
      </c>
      <c r="H12" s="3"/>
      <c r="I12" s="3" t="s">
        <v>125</v>
      </c>
      <c r="J12" s="3" t="str">
        <f t="shared" si="5"/>
        <v>Heffner_etal_1983_TableI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X12" s="7"/>
      <c r="Y12" t="s">
        <v>128</v>
      </c>
      <c r="AE12" t="s">
        <v>44</v>
      </c>
      <c r="AG12" t="s">
        <v>133</v>
      </c>
    </row>
    <row r="13" spans="1:37" ht="16" x14ac:dyDescent="0.2">
      <c r="A13" t="s">
        <v>134</v>
      </c>
      <c r="B13" s="7" t="str">
        <f t="shared" si="6"/>
        <v>Heldstab_etal_2016</v>
      </c>
      <c r="C13" s="9" t="str">
        <f t="shared" si="7"/>
        <v>Heldstab</v>
      </c>
      <c r="D13" s="9" t="str">
        <f t="shared" si="8"/>
        <v>etal</v>
      </c>
      <c r="E13" s="9" t="str">
        <f t="shared" si="9"/>
        <v>2016</v>
      </c>
      <c r="F13" s="7"/>
      <c r="G13" t="str">
        <f t="shared" si="4"/>
        <v>10.1038/srep24528</v>
      </c>
      <c r="H13" s="3"/>
      <c r="I13" s="3" t="s">
        <v>98</v>
      </c>
      <c r="J13" s="3" t="str">
        <f t="shared" si="5"/>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6"/>
        <v>HerculanoHouzel_etal_2015</v>
      </c>
      <c r="C14" s="9" t="str">
        <f t="shared" si="7"/>
        <v>HerculanoHouzel</v>
      </c>
      <c r="D14" s="9" t="str">
        <f t="shared" si="8"/>
        <v>etal</v>
      </c>
      <c r="E14" s="9" t="str">
        <f t="shared" si="9"/>
        <v>2015</v>
      </c>
      <c r="G14" t="str">
        <f t="shared" si="4"/>
        <v>10.1159/000437413</v>
      </c>
      <c r="H14" s="3"/>
      <c r="I14" s="3" t="s">
        <v>59</v>
      </c>
      <c r="J14" s="3" t="str">
        <f t="shared" si="5"/>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6"/>
        <v>HerculanoHouzel_etal_2015</v>
      </c>
      <c r="C15" s="9" t="str">
        <f t="shared" si="7"/>
        <v>HerculanoHouzel</v>
      </c>
      <c r="D15" s="9" t="str">
        <f t="shared" si="8"/>
        <v>etal</v>
      </c>
      <c r="E15" s="9" t="str">
        <f t="shared" si="9"/>
        <v>2015</v>
      </c>
      <c r="F15" s="7"/>
      <c r="G15" t="str">
        <f t="shared" si="4"/>
        <v>10.1159/000437413</v>
      </c>
      <c r="H15" s="3"/>
      <c r="I15" s="3" t="s">
        <v>142</v>
      </c>
      <c r="J15" s="3" t="str">
        <f t="shared" si="5"/>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6"/>
        <v>HerculanoHouzel_etal_2015</v>
      </c>
      <c r="C16" s="9" t="str">
        <f t="shared" si="7"/>
        <v>HerculanoHouzel</v>
      </c>
      <c r="D16" s="9" t="str">
        <f t="shared" si="8"/>
        <v>etal</v>
      </c>
      <c r="E16" s="9" t="str">
        <f t="shared" si="9"/>
        <v>2015</v>
      </c>
      <c r="F16" s="7"/>
      <c r="G16" t="str">
        <f t="shared" si="4"/>
        <v>10.1159/000437413</v>
      </c>
      <c r="H16" s="3"/>
      <c r="I16" s="3" t="s">
        <v>146</v>
      </c>
      <c r="J16" s="3" t="str">
        <f t="shared" si="5"/>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6"/>
        <v>HerculanoHouzel_etal_2015</v>
      </c>
      <c r="C17" s="9" t="str">
        <f t="shared" si="7"/>
        <v>HerculanoHouzel</v>
      </c>
      <c r="D17" s="9" t="str">
        <f t="shared" si="8"/>
        <v>etal</v>
      </c>
      <c r="E17" s="9" t="str">
        <f t="shared" si="9"/>
        <v>2015</v>
      </c>
      <c r="F17" s="7"/>
      <c r="G17" t="str">
        <f t="shared" si="4"/>
        <v>10.1159/000437413</v>
      </c>
      <c r="H17" s="3"/>
      <c r="I17" s="3" t="s">
        <v>150</v>
      </c>
      <c r="J17" s="3" t="str">
        <f t="shared" si="5"/>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6"/>
        <v>HerculanoHouzel_etal_2015</v>
      </c>
      <c r="C18" s="9" t="str">
        <f t="shared" si="7"/>
        <v>HerculanoHouzel</v>
      </c>
      <c r="D18" s="9" t="str">
        <f t="shared" si="8"/>
        <v>etal</v>
      </c>
      <c r="E18" s="9" t="str">
        <f t="shared" si="9"/>
        <v>2015</v>
      </c>
      <c r="F18" s="7"/>
      <c r="G18" t="str">
        <f t="shared" si="4"/>
        <v>10.1159/000437413</v>
      </c>
      <c r="H18" s="3"/>
      <c r="I18" s="3" t="s">
        <v>154</v>
      </c>
      <c r="J18" s="3" t="str">
        <f t="shared" si="5"/>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6"/>
        <v>HerculanoHouzel_etal_2020</v>
      </c>
      <c r="C19" s="9" t="str">
        <f t="shared" si="7"/>
        <v>HerculanoHouzel</v>
      </c>
      <c r="D19" s="9" t="str">
        <f t="shared" si="8"/>
        <v>etal</v>
      </c>
      <c r="E19" s="9" t="str">
        <f t="shared" si="9"/>
        <v>2020</v>
      </c>
      <c r="F19" s="7"/>
      <c r="G19" t="str">
        <f t="shared" si="4"/>
        <v>10.1002/cne.24985</v>
      </c>
      <c r="H19" s="3"/>
      <c r="I19" s="3" t="s">
        <v>159</v>
      </c>
      <c r="J19" s="3" t="str">
        <f t="shared" si="5"/>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6"/>
        <v>HerculanoHouzel_etal_2020</v>
      </c>
      <c r="C20" s="9" t="str">
        <f t="shared" si="7"/>
        <v>HerculanoHouzel</v>
      </c>
      <c r="D20" s="9" t="str">
        <f t="shared" si="8"/>
        <v>etal</v>
      </c>
      <c r="E20" s="9" t="str">
        <f t="shared" si="9"/>
        <v>2020</v>
      </c>
      <c r="F20" s="7"/>
      <c r="G20" t="str">
        <f t="shared" si="4"/>
        <v>10.1002/cne.24985</v>
      </c>
      <c r="H20" s="3"/>
      <c r="I20" s="3" t="s">
        <v>165</v>
      </c>
      <c r="J20" s="3" t="str">
        <f t="shared" si="5"/>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6"/>
        <v>Iwaniuk_etal_2001</v>
      </c>
      <c r="C21" s="9" t="str">
        <f t="shared" si="7"/>
        <v>Iwaniuk</v>
      </c>
      <c r="D21" s="9" t="str">
        <f t="shared" si="8"/>
        <v>etal</v>
      </c>
      <c r="E21" s="9" t="str">
        <f t="shared" si="9"/>
        <v>2001</v>
      </c>
      <c r="G21" t="str">
        <f t="shared" si="4"/>
        <v>10.1037/0735-7036.115.1.29</v>
      </c>
      <c r="H21" s="3"/>
      <c r="I21" s="3" t="s">
        <v>59</v>
      </c>
      <c r="J21" s="3" t="str">
        <f t="shared" si="5"/>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6"/>
        <v>Iwaniuk_etal_2001</v>
      </c>
      <c r="C22" s="9" t="str">
        <f t="shared" si="7"/>
        <v>Iwaniuk</v>
      </c>
      <c r="D22" s="9" t="str">
        <f t="shared" si="8"/>
        <v>etal</v>
      </c>
      <c r="E22" s="9" t="str">
        <f t="shared" si="9"/>
        <v>2001</v>
      </c>
      <c r="G22" t="str">
        <f t="shared" si="4"/>
        <v>10.1037/0735-7036.115.1.29</v>
      </c>
      <c r="H22" s="3"/>
      <c r="I22" s="3" t="s">
        <v>142</v>
      </c>
      <c r="J22" s="3" t="str">
        <f t="shared" si="5"/>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6"/>
        <v>Iwaniuk_etal_2001</v>
      </c>
      <c r="C23" s="9" t="str">
        <f t="shared" si="7"/>
        <v>Iwaniuk</v>
      </c>
      <c r="D23" s="9" t="str">
        <f t="shared" si="8"/>
        <v>etal</v>
      </c>
      <c r="E23" s="9" t="str">
        <f t="shared" si="9"/>
        <v>2001</v>
      </c>
      <c r="G23" t="str">
        <f t="shared" si="4"/>
        <v>10.1037/0735-7036.115.1.29</v>
      </c>
      <c r="H23" s="3"/>
      <c r="I23" s="3" t="s">
        <v>146</v>
      </c>
      <c r="J23" s="3" t="str">
        <f t="shared" si="5"/>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6"/>
        <v>Iwaniuk_etal_2001</v>
      </c>
      <c r="C24" s="9" t="str">
        <f t="shared" si="7"/>
        <v>Iwaniuk</v>
      </c>
      <c r="D24" s="9" t="str">
        <f t="shared" si="8"/>
        <v>etal</v>
      </c>
      <c r="E24" s="9" t="str">
        <f t="shared" si="9"/>
        <v>2001</v>
      </c>
      <c r="G24" t="str">
        <f t="shared" si="4"/>
        <v>10.1037/0735-7036.115.1.29</v>
      </c>
      <c r="H24" s="3"/>
      <c r="I24" s="3" t="s">
        <v>150</v>
      </c>
      <c r="J24" s="3" t="str">
        <f t="shared" si="5"/>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6"/>
        <v>JardimMesseder_etal_2017</v>
      </c>
      <c r="C25" s="9" t="str">
        <f t="shared" si="7"/>
        <v>JardimMesseder</v>
      </c>
      <c r="D25" s="9" t="str">
        <f t="shared" si="8"/>
        <v>etal</v>
      </c>
      <c r="E25" s="9" t="str">
        <f t="shared" si="9"/>
        <v>2017</v>
      </c>
      <c r="G25" t="str">
        <f t="shared" si="4"/>
        <v>10.3389/fnana.2017.00118</v>
      </c>
      <c r="H25" s="3"/>
      <c r="I25" s="3" t="s">
        <v>59</v>
      </c>
      <c r="J25" s="3" t="str">
        <f t="shared" si="5"/>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ref="D26" si="13">IF(ISNUMBER(FIND("&amp;", A26)),
    IF(LEN(A26)-LEN(SUBSTITUTE(A26, ",", ""))&gt;=3, "etal", MID(A26, SEARCH("&amp; ", A26)+2, SEARCH(",", A26, SEARCH("&amp; ", A26)+2) - SEARCH("&amp; ", A26)-2)),
    ""
)</f>
        <v>etal</v>
      </c>
      <c r="E26" s="9" t="str">
        <f t="shared" ref="E26" si="14">_xlfn.TEXTBEFORE(_xlfn.TEXTAFTER(A26, "("), ")")</f>
        <v>2018</v>
      </c>
      <c r="F26" s="7"/>
      <c r="G26" t="str">
        <f t="shared" ref="G26" si="15">_xlfn.TEXTAFTER(A26,"https://doi.org/")</f>
        <v>10.1038/s41598-018-26062-8</v>
      </c>
      <c r="H26" s="3"/>
      <c r="I26" s="3" t="s">
        <v>59</v>
      </c>
      <c r="J26" s="3" t="str">
        <f t="shared" ref="J26" si="16">TRIM(_xlfn.TEXTJOIN("_",FALSE,B26,(SUBSTITUTE(SUBSTITUTE(I26," ",""), "_", ""))))</f>
        <v>Kverkova_etal_2018_Table1</v>
      </c>
      <c r="K26" s="3" t="str">
        <f t="shared" ref="K26" si="17">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6"/>
        <v>Kverkova_etal_2018</v>
      </c>
      <c r="C27" s="9" t="str">
        <f t="shared" si="7"/>
        <v>Kverkova</v>
      </c>
      <c r="D27" s="9" t="str">
        <f t="shared" si="8"/>
        <v>etal</v>
      </c>
      <c r="E27" s="9" t="str">
        <f t="shared" si="9"/>
        <v>2018</v>
      </c>
      <c r="F27" s="7"/>
      <c r="G27" t="str">
        <f t="shared" si="4"/>
        <v>10.1038/s41598-018-26062-8</v>
      </c>
      <c r="H27" s="3"/>
      <c r="I27" s="3" t="s">
        <v>98</v>
      </c>
      <c r="J27" s="3" t="str">
        <f t="shared" si="5"/>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6"/>
        <v>Kverkova_etal_2018</v>
      </c>
      <c r="C28" s="9" t="str">
        <f t="shared" si="7"/>
        <v>Kverkova</v>
      </c>
      <c r="D28" s="9" t="str">
        <f t="shared" si="8"/>
        <v>etal</v>
      </c>
      <c r="E28" s="9" t="str">
        <f t="shared" si="9"/>
        <v>2018</v>
      </c>
      <c r="F28" s="7"/>
      <c r="G28" t="str">
        <f t="shared" si="4"/>
        <v>10.1038/s41598-018-26062-8</v>
      </c>
      <c r="H28" s="3"/>
      <c r="I28" s="3" t="s">
        <v>191</v>
      </c>
      <c r="J28" s="3" t="str">
        <f t="shared" si="5"/>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6"/>
        <v>ManyPrimates__2022</v>
      </c>
      <c r="C29" s="9" t="str">
        <f t="shared" si="7"/>
        <v>ManyPrimates</v>
      </c>
      <c r="D29" s="9" t="str">
        <f t="shared" si="8"/>
        <v/>
      </c>
      <c r="E29" s="9" t="str">
        <f t="shared" si="9"/>
        <v>2022</v>
      </c>
      <c r="F29" s="7"/>
      <c r="G29" t="str">
        <f t="shared" si="4"/>
        <v>10.26451/abc.09.04.06.2022</v>
      </c>
      <c r="H29" s="3"/>
      <c r="I29" s="12" t="s">
        <v>196</v>
      </c>
      <c r="J29" s="3" t="str">
        <f t="shared" si="5"/>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8">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6"/>
        <v>Powell_etal_2017</v>
      </c>
      <c r="C30" s="9" t="str">
        <f t="shared" si="7"/>
        <v>Powell</v>
      </c>
      <c r="D30" s="9" t="str">
        <f t="shared" si="8"/>
        <v>etal</v>
      </c>
      <c r="E30" s="9" t="str">
        <f t="shared" si="9"/>
        <v>2017</v>
      </c>
      <c r="F30" s="7"/>
      <c r="G30" t="str">
        <f t="shared" si="4"/>
        <v>10.1098/rspb.2017.1765</v>
      </c>
      <c r="H30" s="3" t="s">
        <v>202</v>
      </c>
      <c r="I30" s="3" t="s">
        <v>203</v>
      </c>
      <c r="J30" s="3" t="str">
        <f t="shared" si="5"/>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8"/>
        <v>write file name</v>
      </c>
      <c r="T30" t="s">
        <v>74</v>
      </c>
      <c r="U30" t="s">
        <v>53</v>
      </c>
      <c r="V30" t="s">
        <v>75</v>
      </c>
      <c r="W30" s="8" t="s">
        <v>204</v>
      </c>
      <c r="X30" s="7"/>
      <c r="Y30" t="s">
        <v>205</v>
      </c>
      <c r="Z30" t="s">
        <v>56</v>
      </c>
      <c r="AC30" t="s">
        <v>55</v>
      </c>
      <c r="AE30" t="s">
        <v>71</v>
      </c>
    </row>
    <row r="31" spans="1:37" ht="16" x14ac:dyDescent="0.2">
      <c r="A31" t="s">
        <v>206</v>
      </c>
      <c r="B31" s="7" t="str">
        <f t="shared" si="6"/>
        <v>Sherwood_etal_2004_I</v>
      </c>
      <c r="C31" s="9" t="str">
        <f t="shared" si="7"/>
        <v>Sherwood</v>
      </c>
      <c r="D31" s="9" t="str">
        <f t="shared" si="8"/>
        <v>etal</v>
      </c>
      <c r="E31" s="9" t="str">
        <f t="shared" si="9"/>
        <v>2004</v>
      </c>
      <c r="F31" s="7" t="s">
        <v>207</v>
      </c>
      <c r="G31" t="str">
        <f t="shared" si="4"/>
        <v>10.1159/000075672</v>
      </c>
      <c r="H31" s="3"/>
      <c r="I31" s="3" t="s">
        <v>150</v>
      </c>
      <c r="J31" s="3" t="str">
        <f t="shared" si="5"/>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8"/>
        <v>write file name</v>
      </c>
      <c r="T31" t="s">
        <v>64</v>
      </c>
      <c r="U31" t="s">
        <v>208</v>
      </c>
      <c r="X31" s="7" t="s">
        <v>209</v>
      </c>
      <c r="Y31" t="s">
        <v>210</v>
      </c>
      <c r="Z31" t="s">
        <v>106</v>
      </c>
      <c r="AE31" t="s">
        <v>71</v>
      </c>
    </row>
    <row r="32" spans="1:37" ht="16" x14ac:dyDescent="0.2">
      <c r="A32" t="s">
        <v>206</v>
      </c>
      <c r="B32" s="7" t="str">
        <f t="shared" si="6"/>
        <v>Sherwood_etal_2004_I</v>
      </c>
      <c r="C32" s="9" t="str">
        <f t="shared" si="7"/>
        <v>Sherwood</v>
      </c>
      <c r="D32" s="9" t="str">
        <f t="shared" si="8"/>
        <v>etal</v>
      </c>
      <c r="E32" s="9" t="str">
        <f t="shared" si="9"/>
        <v>2004</v>
      </c>
      <c r="F32" s="7" t="s">
        <v>207</v>
      </c>
      <c r="G32" t="str">
        <f t="shared" si="4"/>
        <v>10.1159/000075672</v>
      </c>
      <c r="H32" s="3"/>
      <c r="I32" s="3" t="s">
        <v>154</v>
      </c>
      <c r="J32" s="3" t="str">
        <f t="shared" si="5"/>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8"/>
        <v>write file name</v>
      </c>
      <c r="T32" t="s">
        <v>64</v>
      </c>
      <c r="U32" t="s">
        <v>208</v>
      </c>
      <c r="X32" s="11" t="s">
        <v>211</v>
      </c>
      <c r="Y32" t="s">
        <v>210</v>
      </c>
      <c r="Z32" t="s">
        <v>106</v>
      </c>
      <c r="AE32" t="s">
        <v>71</v>
      </c>
    </row>
    <row r="33" spans="1:37" ht="16" x14ac:dyDescent="0.2">
      <c r="A33" t="s">
        <v>212</v>
      </c>
      <c r="B33" s="7" t="str">
        <f t="shared" si="6"/>
        <v>Winkler_etal_2021</v>
      </c>
      <c r="C33" s="9" t="str">
        <f t="shared" si="7"/>
        <v>Winkler</v>
      </c>
      <c r="D33" s="9" t="str">
        <f t="shared" si="8"/>
        <v>etal</v>
      </c>
      <c r="E33" s="9" t="str">
        <f t="shared" si="9"/>
        <v>2021</v>
      </c>
      <c r="F33" s="7"/>
      <c r="G33" t="str">
        <f t="shared" si="4"/>
        <v>10.1080/09524622.2021.1905065</v>
      </c>
      <c r="H33" s="3"/>
      <c r="I33" s="3" t="s">
        <v>213</v>
      </c>
      <c r="J33" s="3" t="str">
        <f t="shared" si="5"/>
        <v>Winkler_etal_2021_Figure1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8"/>
        <v>write file name</v>
      </c>
      <c r="T33" t="s">
        <v>64</v>
      </c>
      <c r="U33" t="s">
        <v>214</v>
      </c>
      <c r="X33" s="7"/>
      <c r="Y33" t="s">
        <v>215</v>
      </c>
      <c r="AE33" t="s">
        <v>44</v>
      </c>
    </row>
    <row r="34" spans="1:37" ht="16" x14ac:dyDescent="0.2">
      <c r="A34" t="s">
        <v>216</v>
      </c>
      <c r="B34" s="7" t="str">
        <f t="shared" si="6"/>
        <v>Young_etal_2013</v>
      </c>
      <c r="C34" s="9" t="str">
        <f t="shared" si="7"/>
        <v>Young</v>
      </c>
      <c r="D34" s="9" t="str">
        <f t="shared" si="8"/>
        <v>etal</v>
      </c>
      <c r="E34" s="9" t="str">
        <f t="shared" si="9"/>
        <v>2013</v>
      </c>
      <c r="F34" s="7"/>
      <c r="G34" t="str">
        <f t="shared" si="4"/>
        <v>10.3389/fncir.2013.00030</v>
      </c>
      <c r="H34" s="3"/>
      <c r="I34" s="3" t="s">
        <v>59</v>
      </c>
      <c r="J34" s="3" t="str">
        <f t="shared" si="5"/>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8"/>
        <v>write file name</v>
      </c>
      <c r="T34" t="s">
        <v>120</v>
      </c>
      <c r="U34" t="s">
        <v>53</v>
      </c>
      <c r="X34" s="7"/>
      <c r="Y34" t="s">
        <v>217</v>
      </c>
      <c r="AE34" t="s">
        <v>71</v>
      </c>
    </row>
    <row r="35" spans="1:37" ht="16" x14ac:dyDescent="0.2">
      <c r="A35" t="s">
        <v>218</v>
      </c>
      <c r="B35" s="7" t="str">
        <f t="shared" si="6"/>
        <v>Mota_etal_2015</v>
      </c>
      <c r="C35" s="9" t="str">
        <f t="shared" si="7"/>
        <v>Mota</v>
      </c>
      <c r="D35" s="9" t="str">
        <f t="shared" si="8"/>
        <v>etal</v>
      </c>
      <c r="E35" s="9" t="str">
        <f t="shared" si="9"/>
        <v>2015</v>
      </c>
      <c r="G35" t="str">
        <f t="shared" si="4"/>
        <v>10.1126/science.aaa9101</v>
      </c>
      <c r="I35" s="3" t="s">
        <v>98</v>
      </c>
      <c r="J35" s="3" t="str">
        <f t="shared" si="5"/>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6"/>
        <v>HerculanoHouzel_etal_2013</v>
      </c>
      <c r="C36" s="9" t="str">
        <f t="shared" si="7"/>
        <v>HerculanoHouzel</v>
      </c>
      <c r="D36" s="9" t="str">
        <f t="shared" si="8"/>
        <v>etal</v>
      </c>
      <c r="E36" s="9" t="str">
        <f t="shared" si="9"/>
        <v>2013</v>
      </c>
      <c r="G36" t="str">
        <f t="shared" si="4"/>
        <v>10.3389/fnana.2013.00035</v>
      </c>
      <c r="I36" s="3" t="s">
        <v>220</v>
      </c>
      <c r="J36" s="3" t="str">
        <f t="shared" si="5"/>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9">C37 &amp; IF(D37&lt;&gt;"", "_" &amp; D37, "_") &amp; IF(E37&lt;&gt;"", "_" &amp; E37, "_") &amp; IF(F37&lt;&gt;"", "_" &amp; F37, "")</f>
        <v>HerculanoHouzel_etal_2013</v>
      </c>
      <c r="C37" s="9" t="str">
        <f t="shared" ref="C37" si="20">SUBSTITUTE(SUBSTITUTE(_xlfn.TEXTBEFORE(A37,","), "-", ""), " ", "")</f>
        <v>HerculanoHouzel</v>
      </c>
      <c r="D37" s="9" t="str">
        <f t="shared" ref="D37" si="21">IF(ISNUMBER(FIND("&amp;", A37)),
    IF(LEN(A37)-LEN(SUBSTITUTE(A37, ",", ""))&gt;=3, "etal", MID(A37, SEARCH("&amp; ", A37)+2, SEARCH(",", A37, SEARCH("&amp; ", A37)+2) - SEARCH("&amp; ", A37)-2)),
    ""
)</f>
        <v>etal</v>
      </c>
      <c r="E37" s="9" t="str">
        <f t="shared" ref="E37" si="22">_xlfn.TEXTBEFORE(_xlfn.TEXTAFTER(A37, "("), ")")</f>
        <v>2013</v>
      </c>
      <c r="G37" t="str">
        <f t="shared" si="4"/>
        <v>10.3389/fnana.2013.00035</v>
      </c>
      <c r="I37" s="3" t="s">
        <v>222</v>
      </c>
      <c r="J37" s="3" t="str">
        <f t="shared" ref="J37" si="23">TRIM(_xlfn.TEXTJOIN("_",FALSE,B37,(SUBSTITUTE(SUBSTITUTE(I37," ",""), "_", ""))))</f>
        <v>HerculanoHouzel_etal_2013_Table1-a</v>
      </c>
      <c r="K37" s="3" t="str">
        <f t="shared" ref="K37" si="24">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5">C38 &amp; IF(D38&lt;&gt;"", "_" &amp; D38, "_") &amp; IF(E38&lt;&gt;"", "_" &amp; E38, "_") &amp; IF(F38&lt;&gt;"", "_" &amp; F38, "")</f>
        <v>HerculanoHouzel_etal_2013</v>
      </c>
      <c r="C38" s="9" t="str">
        <f t="shared" ref="C38" si="26">SUBSTITUTE(SUBSTITUTE(_xlfn.TEXTBEFORE(A38,","), "-", ""), " ", "")</f>
        <v>HerculanoHouzel</v>
      </c>
      <c r="D38" s="9" t="str">
        <f t="shared" ref="D38" si="27">IF(ISNUMBER(FIND("&amp;", A38)),
    IF(LEN(A38)-LEN(SUBSTITUTE(A38, ",", ""))&gt;=3, "etal", MID(A38, SEARCH("&amp; ", A38)+2, SEARCH(",", A38, SEARCH("&amp; ", A38)+2) - SEARCH("&amp; ", A38)-2)),
    ""
)</f>
        <v>etal</v>
      </c>
      <c r="E38" s="9" t="str">
        <f t="shared" ref="E38" si="28">_xlfn.TEXTBEFORE(_xlfn.TEXTAFTER(A38, "("), ")")</f>
        <v>2013</v>
      </c>
      <c r="G38" t="str">
        <f t="shared" si="4"/>
        <v>10.3389/fnana.2013.00035</v>
      </c>
      <c r="I38" s="3" t="s">
        <v>223</v>
      </c>
      <c r="J38" s="3" t="str">
        <f t="shared" ref="J38" si="29">TRIM(_xlfn.TEXTJOIN("_",FALSE,B38,(SUBSTITUTE(SUBSTITUTE(I38," ",""), "_", ""))))</f>
        <v>HerculanoHouzel_etal_2013_Table1-b</v>
      </c>
      <c r="K38" s="3" t="str">
        <f t="shared" ref="K38" si="30">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31">C39 &amp; IF(D39&lt;&gt;"", "_" &amp; D39, "_") &amp; IF(E39&lt;&gt;"", "_" &amp; E39, "_") &amp; IF(F39&lt;&gt;"", "_" &amp; F39, "")</f>
        <v>Isler_etal_2008</v>
      </c>
      <c r="C39" s="9" t="str">
        <f t="shared" ref="C39" si="32">SUBSTITUTE(SUBSTITUTE(_xlfn.TEXTBEFORE(A39,","), "-", ""), " ", "")</f>
        <v>Isler</v>
      </c>
      <c r="D39" s="9" t="str">
        <f t="shared" ref="D39" si="33">IF(ISNUMBER(FIND("&amp;", A39)),
    IF(LEN(A39)-LEN(SUBSTITUTE(A39, ",", ""))&gt;=3, "etal", MID(A39, SEARCH("&amp; ", A39)+2, SEARCH(",", A39, SEARCH("&amp; ", A39)+2) - SEARCH("&amp; ", A39)-2)),
    ""
)</f>
        <v>etal</v>
      </c>
      <c r="E39" s="9" t="str">
        <f t="shared" ref="E39" si="34">_xlfn.TEXTBEFORE(_xlfn.TEXTAFTER(A39, "("), ")")</f>
        <v>2008</v>
      </c>
      <c r="G39" t="str">
        <f t="shared" ref="G39" si="35">_xlfn.TEXTAFTER(A39,"https://doi.org/")</f>
        <v>10.1016/j.jhevol.2008.08.004</v>
      </c>
      <c r="I39" s="3" t="s">
        <v>142</v>
      </c>
      <c r="J39" s="3" t="str">
        <f t="shared" ref="J39" si="36">TRIM(_xlfn.TEXTJOIN("_",FALSE,B39,(SUBSTITUTE(SUBSTITUTE(I39," ",""), "_", ""))))</f>
        <v>Isler_etal_2008_Table2</v>
      </c>
      <c r="K39" s="3" t="str">
        <f t="shared" ref="K39" si="37">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6"/>
        <v>Isler_etal_2008</v>
      </c>
      <c r="C40" s="9" t="str">
        <f t="shared" si="7"/>
        <v>Isler</v>
      </c>
      <c r="D40" s="9" t="str">
        <f t="shared" si="8"/>
        <v>etal</v>
      </c>
      <c r="E40" s="9" t="str">
        <f t="shared" si="9"/>
        <v>2008</v>
      </c>
      <c r="G40" t="str">
        <f>_xlfn.TEXTAFTER(A40,"https://doi.org/")</f>
        <v>10.1016/j.jhevol.2008.08.004</v>
      </c>
      <c r="I40" s="3" t="s">
        <v>225</v>
      </c>
      <c r="J40" s="3" t="str">
        <f t="shared" si="5"/>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6"/>
        <v>Isler_etal_2008</v>
      </c>
      <c r="C41" s="9" t="str">
        <f t="shared" si="7"/>
        <v>Isler</v>
      </c>
      <c r="D41" s="9" t="str">
        <f t="shared" si="8"/>
        <v>etal</v>
      </c>
      <c r="E41" s="9" t="str">
        <f t="shared" si="9"/>
        <v>2008</v>
      </c>
      <c r="G41" t="str">
        <f>_xlfn.TEXTAFTER(A41,"https://doi.org/")</f>
        <v>10.1016/j.jhevol.2008.08.004</v>
      </c>
      <c r="I41" s="3" t="s">
        <v>98</v>
      </c>
      <c r="J41" s="3" t="str">
        <f t="shared" si="5"/>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8">C42 &amp; IF(D42&lt;&gt;"", "_" &amp; D42, "_") &amp; IF(E42&lt;&gt;"", "_" &amp; E42, "_") &amp; IF(F42&lt;&gt;"", "_" &amp; F42, "")</f>
        <v>Isler_etal_2008</v>
      </c>
      <c r="C42" s="9" t="str">
        <f t="shared" ref="C42" si="39">SUBSTITUTE(SUBSTITUTE(_xlfn.TEXTBEFORE(A42,","), "-", ""), " ", "")</f>
        <v>Isler</v>
      </c>
      <c r="D42" s="9" t="str">
        <f t="shared" ref="D42" si="40">IF(ISNUMBER(FIND("&amp;", A42)),
    IF(LEN(A42)-LEN(SUBSTITUTE(A42, ",", ""))&gt;=3, "etal", MID(A42, SEARCH("&amp; ", A42)+2, SEARCH(",", A42, SEARCH("&amp; ", A42)+2) - SEARCH("&amp; ", A42)-2)),
    ""
)</f>
        <v>etal</v>
      </c>
      <c r="E42" s="9" t="str">
        <f t="shared" ref="E42" si="41">_xlfn.TEXTBEFORE(_xlfn.TEXTAFTER(A42, "("), ")")</f>
        <v>2008</v>
      </c>
      <c r="G42" t="str">
        <f t="shared" ref="G42" si="42">_xlfn.TEXTAFTER(A42,"https://doi.org/")</f>
        <v>10.1016/j.jhevol.2008.08.004</v>
      </c>
      <c r="I42" s="3" t="s">
        <v>227</v>
      </c>
      <c r="J42" s="3" t="str">
        <f t="shared" ref="J42" si="43">TRIM(_xlfn.TEXTJOIN("_",FALSE,B42,(SUBSTITUTE(SUBSTITUTE(I42," ",""), "_", ""))))</f>
        <v>Isler_etal_2008_TableS2</v>
      </c>
      <c r="K42" s="3" t="str">
        <f t="shared" ref="K42" si="44">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5">C43 &amp; IF(D43&lt;&gt;"", "_" &amp; D43, "_") &amp; IF(E43&lt;&gt;"", "_" &amp; E43, "_") &amp; IF(F43&lt;&gt;"", "_" &amp; F43, "")</f>
        <v>Isler_etal_2008</v>
      </c>
      <c r="C43" s="9" t="str">
        <f t="shared" ref="C43" si="46">SUBSTITUTE(SUBSTITUTE(_xlfn.TEXTBEFORE(A43,","), "-", ""), " ", "")</f>
        <v>Isler</v>
      </c>
      <c r="D43" s="9" t="str">
        <f t="shared" ref="D43" si="47">IF(ISNUMBER(FIND("&amp;", A43)),
    IF(LEN(A43)-LEN(SUBSTITUTE(A43, ",", ""))&gt;=3, "etal", MID(A43, SEARCH("&amp; ", A43)+2, SEARCH(",", A43, SEARCH("&amp; ", A43)+2) - SEARCH("&amp; ", A43)-2)),
    ""
)</f>
        <v>etal</v>
      </c>
      <c r="E43" s="9" t="str">
        <f t="shared" ref="E43" si="48">_xlfn.TEXTBEFORE(_xlfn.TEXTAFTER(A43, "("), ")")</f>
        <v>2008</v>
      </c>
      <c r="G43" t="str">
        <f t="shared" ref="G43" si="49">_xlfn.TEXTAFTER(A43,"https://doi.org/")</f>
        <v>10.1016/j.jhevol.2008.08.004</v>
      </c>
      <c r="I43" s="3" t="s">
        <v>228</v>
      </c>
      <c r="J43" s="3" t="str">
        <f t="shared" ref="J43" si="50">TRIM(_xlfn.TEXTJOIN("_",FALSE,B43,(SUBSTITUTE(SUBSTITUTE(I43," ",""), "_", ""))))</f>
        <v>Isler_etal_2008_TableS3</v>
      </c>
      <c r="K43" s="3" t="str">
        <f t="shared" ref="K43" si="51">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52">C44 &amp; IF(D44&lt;&gt;"", "_" &amp; D44, "_") &amp; IF(E44&lt;&gt;"", "_" &amp; E44, "_") &amp; IF(F44&lt;&gt;"", "_" &amp; F44, "")</f>
        <v>Isler_etal_2008</v>
      </c>
      <c r="C44" s="19" t="str">
        <f t="shared" ref="C44" si="53">SUBSTITUTE(SUBSTITUTE(_xlfn.TEXTBEFORE(A44,","), "-", ""), " ", "")</f>
        <v>Isler</v>
      </c>
      <c r="D44" s="19" t="str">
        <f t="shared" ref="D44" si="54">IF(ISNUMBER(FIND("&amp;", A44)),
    IF(LEN(A44)-LEN(SUBSTITUTE(A44, ",", ""))&gt;=3, "etal", MID(A44, SEARCH("&amp; ", A44)+2, SEARCH(",", A44, SEARCH("&amp; ", A44)+2) - SEARCH("&amp; ", A44)-2)),
    ""
)</f>
        <v>etal</v>
      </c>
      <c r="E44" s="19" t="str">
        <f t="shared" ref="E44" si="55">_xlfn.TEXTBEFORE(_xlfn.TEXTAFTER(A44, "("), ")")</f>
        <v>2008</v>
      </c>
      <c r="F44" s="19"/>
      <c r="G44" s="17" t="str">
        <f t="shared" ref="G44" si="56">_xlfn.TEXTAFTER(A44,"https://doi.org/")</f>
        <v>10.1016/j.jhevol.2008.08.004</v>
      </c>
      <c r="I44" s="20" t="s">
        <v>229</v>
      </c>
      <c r="J44" s="20" t="str">
        <f t="shared" ref="J44" si="57">TRIM(_xlfn.TEXTJOIN("_",FALSE,B44,(SUBSTITUTE(SUBSTITUTE(I44," ",""), "_", ""))))</f>
        <v>Isler_etal_2008_Tree.nex</v>
      </c>
      <c r="K44" s="21" t="str">
        <f t="shared" ref="K44" si="58">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6"/>
        <v>Lewitus_etal_2014</v>
      </c>
      <c r="C45" s="9" t="str">
        <f t="shared" si="7"/>
        <v>Lewitus</v>
      </c>
      <c r="D45" s="9" t="str">
        <f t="shared" si="8"/>
        <v>etal</v>
      </c>
      <c r="E45" s="9" t="str">
        <f t="shared" si="9"/>
        <v>2014</v>
      </c>
      <c r="G45" t="str">
        <f>_xlfn.TEXTAFTER(A45,"https://doi.org/")</f>
        <v>10.1371/journal.pbio.1002000</v>
      </c>
      <c r="I45" s="3" t="s">
        <v>98</v>
      </c>
      <c r="J45" s="3" t="str">
        <f t="shared" si="5"/>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AI45">
        <v>9</v>
      </c>
      <c r="AK45">
        <v>20</v>
      </c>
    </row>
    <row r="46" spans="1:37" ht="16" x14ac:dyDescent="0.2">
      <c r="A46" t="s">
        <v>230</v>
      </c>
      <c r="B46" s="7" t="str">
        <f t="shared" ref="B46" si="59">C46 &amp; IF(D46&lt;&gt;"", "_" &amp; D46, "_") &amp; IF(E46&lt;&gt;"", "_" &amp; E46, "_") &amp; IF(F46&lt;&gt;"", "_" &amp; F46, "")</f>
        <v>Lewitus_etal_2014</v>
      </c>
      <c r="C46" s="9" t="str">
        <f t="shared" ref="C46" si="60">SUBSTITUTE(SUBSTITUTE(_xlfn.TEXTBEFORE(A46,","), "-", ""), " ", "")</f>
        <v>Lewitus</v>
      </c>
      <c r="D46" s="9" t="str">
        <f t="shared" ref="D46" si="61">IF(ISNUMBER(FIND("&amp;", A46)),
    IF(LEN(A46)-LEN(SUBSTITUTE(A46, ",", ""))&gt;=3, "etal", MID(A46, SEARCH("&amp; ", A46)+2, SEARCH(",", A46, SEARCH("&amp; ", A46)+2) - SEARCH("&amp; ", A46)-2)),
    ""
)</f>
        <v>etal</v>
      </c>
      <c r="E46" s="9" t="str">
        <f t="shared" ref="E46" si="62">_xlfn.TEXTBEFORE(_xlfn.TEXTAFTER(A46, "("), ")")</f>
        <v>2014</v>
      </c>
      <c r="G46" t="str">
        <f>_xlfn.TEXTAFTER(A46,"https://doi.org/")</f>
        <v>10.1371/journal.pbio.1002000</v>
      </c>
      <c r="I46" s="3" t="s">
        <v>231</v>
      </c>
      <c r="J46" s="3" t="str">
        <f t="shared" ref="J46" si="63">TRIM(_xlfn.TEXTJOIN("_",FALSE,B46,(SUBSTITUTE(SUBSTITUTE(I46," ",""), "_", ""))))</f>
        <v>Lewitus_etal_2014_TableS8</v>
      </c>
      <c r="K46" s="3" t="str">
        <f t="shared" ref="K46" si="64">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I46">
        <v>6</v>
      </c>
      <c r="AK46">
        <v>13</v>
      </c>
    </row>
    <row r="47" spans="1:37" s="17" customFormat="1" ht="16" x14ac:dyDescent="0.2">
      <c r="A47" s="17" t="s">
        <v>233</v>
      </c>
      <c r="B47" s="18" t="str">
        <f t="shared" ref="B47" si="65">C47 &amp; IF(D47&lt;&gt;"", "_" &amp; D47, "_") &amp; IF(E47&lt;&gt;"", "_" &amp; E47, "_") &amp; IF(F47&lt;&gt;"", "_" &amp; F47, "")</f>
        <v>Lewitus_etal_2013</v>
      </c>
      <c r="C47" s="19" t="str">
        <f t="shared" ref="C47" si="66">SUBSTITUTE(SUBSTITUTE(_xlfn.TEXTBEFORE(A47,","), "-", ""), " ", "")</f>
        <v>Lewitus</v>
      </c>
      <c r="D47" s="19" t="str">
        <f t="shared" ref="D47" si="67">IF(ISNUMBER(FIND("&amp;", A47)),
    IF(LEN(A47)-LEN(SUBSTITUTE(A47, ",", ""))&gt;=3, "etal", MID(A47, SEARCH("&amp; ", A47)+2, SEARCH(",", A47, SEARCH("&amp; ", A47)+2) - SEARCH("&amp; ", A47)-2)),
    ""
)</f>
        <v>etal</v>
      </c>
      <c r="E47" s="19" t="str">
        <f t="shared" ref="E47" si="68">_xlfn.TEXTBEFORE(_xlfn.TEXTAFTER(A47, "("), ")")</f>
        <v>2013</v>
      </c>
      <c r="F47" s="19"/>
      <c r="G47" s="17" t="str">
        <f>_xlfn.TEXTAFTER(A47,"https://doi.org/")</f>
        <v>10.3389/fnhum.2013.00424</v>
      </c>
      <c r="I47" s="20" t="s">
        <v>234</v>
      </c>
      <c r="J47" s="20" t="str">
        <f t="shared" ref="J47" si="69">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I47" s="17">
        <v>7</v>
      </c>
      <c r="AK47" s="17">
        <v>14</v>
      </c>
    </row>
    <row r="48" spans="1:37" s="15" customFormat="1" ht="15.75" customHeight="1" x14ac:dyDescent="0.2">
      <c r="A48" s="15" t="s">
        <v>235</v>
      </c>
      <c r="B48" s="22" t="str">
        <f t="shared" ref="B48" si="70">C48 &amp; IF(D48&lt;&gt;"", "_" &amp; D48, "_") &amp; IF(E48&lt;&gt;"", "_" &amp; E48, "_") &amp; IF(F48&lt;&gt;"", "_" &amp; F48, "")</f>
        <v>Smaers_etal_2011</v>
      </c>
      <c r="C48" s="24" t="str">
        <f t="shared" ref="C48" si="71">SUBSTITUTE(SUBSTITUTE(_xlfn.TEXTBEFORE(A48,","), "-", ""), " ", "")</f>
        <v>Smaers</v>
      </c>
      <c r="D48" s="24" t="str">
        <f t="shared" ref="D48" si="72">IF(ISNUMBER(FIND("&amp;", A48)),
    IF(LEN(A48)-LEN(SUBSTITUTE(A48, ",", ""))&gt;=3, "etal", MID(A48, SEARCH("&amp; ", A48)+2, SEARCH(",", A48, SEARCH("&amp; ", A48)+2) - SEARCH("&amp; ", A48)-2)),
    ""
)</f>
        <v>etal</v>
      </c>
      <c r="E48" s="24" t="str">
        <f t="shared" ref="E48" si="73">_xlfn.TEXTBEFORE(_xlfn.TEXTAFTER(A48, "("), ")")</f>
        <v>2011</v>
      </c>
      <c r="F48" s="24"/>
      <c r="G48" s="15" t="s">
        <v>236</v>
      </c>
      <c r="I48" s="15" t="s">
        <v>237</v>
      </c>
      <c r="J48" s="23" t="str">
        <f t="shared" ref="J48" si="7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75">C49 &amp; IF(D49&lt;&gt;"", "_" &amp; D49, "_") &amp; IF(E49&lt;&gt;"", "_" &amp; E49, "_") &amp; IF(F49&lt;&gt;"", "_" &amp; F49, "")</f>
        <v>Smaers_etal_2011</v>
      </c>
      <c r="C49" s="24" t="str">
        <f t="shared" ref="C49" si="76">SUBSTITUTE(SUBSTITUTE(_xlfn.TEXTBEFORE(A49,","), "-", ""), " ", "")</f>
        <v>Smaers</v>
      </c>
      <c r="D49" s="24" t="str">
        <f t="shared" ref="D49" si="77">IF(ISNUMBER(FIND("&amp;", A49)),
    IF(LEN(A49)-LEN(SUBSTITUTE(A49, ",", ""))&gt;=3, "etal", MID(A49, SEARCH("&amp; ", A49)+2, SEARCH(",", A49, SEARCH("&amp; ", A49)+2) - SEARCH("&amp; ", A49)-2)),
    ""
)</f>
        <v>etal</v>
      </c>
      <c r="E49" s="24" t="str">
        <f t="shared" ref="E49" si="78">_xlfn.TEXTBEFORE(_xlfn.TEXTAFTER(A49, "("), ")")</f>
        <v>2011</v>
      </c>
      <c r="F49" s="24"/>
      <c r="G49" s="15" t="s">
        <v>236</v>
      </c>
      <c r="I49" s="15" t="s">
        <v>239</v>
      </c>
      <c r="J49" s="23" t="str">
        <f t="shared" ref="J49" si="7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6DEDC7-93D0-4B5E-BED5-006DF8C890FC}">
  <ds:schemaRefs>
    <ds:schemaRef ds:uri="http://purl.org/dc/terms/"/>
    <ds:schemaRef ds:uri="http://purl.org/dc/dcmitype/"/>
    <ds:schemaRef ds:uri="http://purl.org/dc/elements/1.1/"/>
    <ds:schemaRef ds:uri="http://schemas.microsoft.com/office/2006/metadata/properties"/>
    <ds:schemaRef ds:uri="http://schemas.openxmlformats.org/package/2006/metadata/core-properties"/>
    <ds:schemaRef ds:uri="http://schemas.microsoft.com/office/2006/documentManagement/types"/>
    <ds:schemaRef ds:uri="http://schemas.microsoft.com/office/infopath/2007/PartnerControls"/>
    <ds:schemaRef ds:uri="http://www.w3.org/XML/1998/namespace"/>
    <ds:schemaRef ds:uri="3bad6c6a-329d-45e9-b8b0-1ebecc8a8764"/>
    <ds:schemaRef ds:uri="8e1efd23-f4ba-42d2-85fd-6a510437bae6"/>
  </ds:schemaRefs>
</ds:datastoreItem>
</file>

<file path=customXml/itemProps2.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2024-02-07T21:10:44Z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