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5300" yWindow="-4440" windowWidth="48200" windowHeight="21180" firstSheet="0" activeTab="0"/>
  </bookViews>
  <sheets>
    <sheet name="Sheet1" sheetId="1" state="visible" r:id="rId1"/>
    <sheet name="SOURCE_DISPOSITION" sheetId="2" state="visible" r:id="rId2"/>
    <sheet name="PROPOSED_CHANGES" sheetId="3" state="visible" r:id="rId3"/>
    <sheet name="AUTO_Public_TSV_FileList" sheetId="4" state="visible" r:id="rId4"/>
  </sheets>
  <definedNames>
    <definedName name="_xlnm._FilterDatabase" localSheetId="0" hidden="1">'Sheet1'!$A$1:$AH$711</definedName>
  </definedNames>
  <calcPr calcId="191029" calcMode="auto" fullCalcOnLoad="1" forceFullCalc="1"/>
</workbook>
</file>

<file path=xl/sharedStrings.xml><?xml version="1.0" encoding="utf-8"?>
<sst xmlns="http://schemas.openxmlformats.org/spreadsheetml/2006/main" count="652" uniqueCount="652">
  <si>
    <t xml:space="preserve">IFERROR(INDEX(&amp;apos;AUTO_Public_TSV_FileList&amp;apos;!$A$1:$A$1000,MATCH(TRUE(),EXACT(K212,IFERROR(_xlfn.TEXTBEFORE(&amp;apos;AUTO_Public_TSV_FileList&amp;apos;!$A$1:$A$1000,&amp;quot;.tsv&amp;quot;),&amp;quot;&amp;quot;)),0)),&amp;quot;notfound&amp;quot;)</t>
  </si>
  <si>
    <t xml:space="preserve">IFERROR(INDEX(&amp;apos;AUTO_Public_TSV_FileList&amp;apos;!$A$1:$A$1000,MATCH(TRUE(),EXACT(K750,IFERROR(_xlfn.TEXTBEFORE(&amp;apos;AUTO_Public_TSV_FileList&amp;apos;!$A$1:$A$1000,&amp;quot;.tsv&amp;quot;),&amp;quot;&amp;quot;)),0)),&amp;quot;notfound&amp;quot;)</t>
  </si>
  <si>
    <t xml:space="preserve">IFERROR(INDEX(&amp;apos;AUTO_Public_TSV_FileList&amp;apos;!$A$1:$A$1000,MATCH(TRUE(),EXACT(K751,IFERROR(_xlfn.TEXTBEFORE(&amp;apos;AUTO_Public_TSV_FileList&amp;apos;!$A$1:$A$1000,&amp;quot;.tsv&amp;quot;),&amp;quot;&amp;quot;)),0)),&amp;quot;notfound&amp;quot;)</t>
  </si>
  <si>
    <t xml:space="preserve">10.1002%2F(SICI)1096-8644(199806)106%3A2%3C129%3A%3AAID-AJPA3%3E3.0.CO;2-L_TABLE2.tsv</t>
  </si>
  <si>
    <t xml:space="preserve">10.1002%2F(SICI)1096-8644(199806)106%3A2%3C129%3A%3AAID-AJPA3%3E3.0.CO;2-L_TABLE4.tsv</t>
  </si>
  <si>
    <t xml:space="preserve">10.1002%2F(SICI)1096-8644(199806)106%3A2%3C129%3A%3AAID-AJPA3%3E3.0.CO;2-L_TABLE5.tsv</t>
  </si>
  <si>
    <t xml:space="preserve">10.1002%2F(SICI)1096-9861(19970317)379%3A3%3C399%3A%3AAID-CNE6%3E3.0.CO;2-Z_ResultsText.tsv</t>
  </si>
  <si>
    <t xml:space="preserve">10.1002%2F(SICI)1096-9861(19990719)410%3A1%3C55%3A%3AAID-CNE6%3E3.0.CO;2-2_Table1.tsv</t>
  </si>
  <si>
    <t xml:space="preserve">10.1002%2F(sici)1096-9861(19971006)386%3A4%3C661%3A%3AAid-cne11%3E3.0.Co;2-n_Table1.tsv</t>
  </si>
  <si>
    <t xml:space="preserve">10.1002%2F(sici)1096-9861(19971006)386%3A4%3C661%3A%3AAid-cne11%3E3.0.Co;2-n_Table2.tsv</t>
  </si>
  <si>
    <t xml:space="preserve">10.1002%2F(sici)1096-9861(19990105)403%3A1%3C5%3A%3Aaid-cne2%3E3.0.co;2-f_TABLE2.tsv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</si>
  <si>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</si>
  <si>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</si>
  <si>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</si>
  <si>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10.1002%2F1096-8644(200103)114%3A3%3C224%3A%3AAID-AJPA1022%3E3.0.CO;2-I_TABLE4.tsv</t>
  </si>
  <si>
    <t xml:space="preserve">10.1002%2Fajp.1350300307_TextResults.tsv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</si>
  <si>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</si>
  <si>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</si>
  <si>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</si>
  <si>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</si>
  <si>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</si>
  <si>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10.1002%2Fajpa.21354_Table1.tsv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</si>
  <si>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</si>
  <si>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</si>
  <si>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</si>
  <si>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</si>
  <si>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</si>
  <si>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10.1002%2Fajpa.23427_SupplementaryTable1.tsv</t>
  </si>
  <si>
    <t xml:space="preserve">10.1002%2Fajpa.23427_Table1.tsv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</si>
  <si>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</si>
  <si>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</si>
  <si>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</si>
  <si>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</si>
  <si>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</si>
  <si>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</si>
  <si>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</si>
  <si>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</si>
  <si>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10.1002%2Far.a.20217_TABLE1.tsv</t>
  </si>
  <si>
    <t xml:space="preserve">10.1002%2Far.a.20217_TABLE2.tsv</t>
  </si>
  <si>
    <t xml:space="preserve">10.1002%2Far.a.20217_TABLE3.tsv</t>
  </si>
  <si>
    <t xml:space="preserve">10.1002%2Far.a.20255_Table2.tsv</t>
  </si>
  <si>
    <t xml:space="preserve">10.1002%2Far.a.20278_Table1.tsv</t>
  </si>
  <si>
    <t xml:space="preserve">10.1002%2Fcne.21546_Table2.tsv</t>
  </si>
  <si>
    <t xml:space="preserve">10.1002%2Fcne.22055_Table1.tsv</t>
  </si>
  <si>
    <t xml:space="preserve">10.1002%2Fcne.22055_Table5.tsv</t>
  </si>
  <si>
    <t xml:space="preserve">10.1002%2Fcne.22055_Table6.tsv</t>
  </si>
  <si>
    <t xml:space="preserve">10.1002%2Fcne.22504_ResultsText.tsv</t>
  </si>
  <si>
    <t xml:space="preserve">10.1002%2Fcne.23118_Table1.tsv</t>
  </si>
  <si>
    <t xml:space="preserve">10.1002%2Fcne.23118_Table3.tsv</t>
  </si>
  <si>
    <t xml:space="preserve">10.1002%2Fcne.23534_Table1.tsv</t>
  </si>
  <si>
    <t xml:space="preserve">10.1002%2Fcne.23534_Table3.tsv</t>
  </si>
  <si>
    <t xml:space="preserve">10.1002%2Fcne.23534_Table4.tsv</t>
  </si>
  <si>
    <t xml:space="preserve">10.1002%2Fcne.23534_Table5.tsv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</si>
  <si>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</si>
  <si>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</si>
  <si>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</si>
  <si>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</si>
  <si>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</si>
  <si>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</si>
  <si>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</si>
  <si>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</si>
  <si>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</si>
  <si>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</si>
  <si>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</si>
  <si>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</si>
  <si>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</si>
  <si>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</si>
  <si>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</si>
  <si>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</si>
  <si>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</si>
  <si>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10.1002%2Fcne.900720209_Table1.tsv</t>
  </si>
  <si>
    <t xml:space="preserve">10.1002%2Fcne.901270108_Table2.tsv</t>
  </si>
  <si>
    <t xml:space="preserve">10.1002%2Fcne.902530408_Table1.tsv</t>
  </si>
  <si>
    <t xml:space="preserve">10.1002%2Fcne.902530408_Table2.tsv</t>
  </si>
  <si>
    <t xml:space="preserve">10.1002%2Fcne.902770105_TABLE1.tsv</t>
  </si>
  <si>
    <t xml:space="preserve">10.1002%2Fcne.902960405_ResultsText.tsv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</si>
  <si>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</si>
  <si>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</si>
  <si>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</si>
  <si>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</si>
  <si>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</si>
  <si>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</si>
  <si>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</si>
  <si>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</si>
  <si>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</si>
  <si>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</si>
  <si>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</si>
  <si>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</si>
  <si>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</si>
  <si>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</si>
  <si>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</si>
  <si>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</si>
  <si>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</si>
  <si>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10.1007%2F978-1-4613-9124-1_Table10.tsv</t>
  </si>
  <si>
    <t xml:space="preserve">10.1007%2F978-1-4613-9124-1_Table13.tsv</t>
  </si>
  <si>
    <t xml:space="preserve">10.1007%2F978-1-4613-9124-1_Table16.tsv</t>
  </si>
  <si>
    <t xml:space="preserve">10.1007%2F978-1-4613-9124-1_Table19.tsv</t>
  </si>
  <si>
    <t xml:space="preserve">10.1007%2F978-1-4613-9124-1_Table2.tsv</t>
  </si>
  <si>
    <t xml:space="preserve">10.1007%2F978-1-4613-9124-1_Table22.tsv</t>
  </si>
  <si>
    <t xml:space="preserve">10.1007%2F978-1-4613-9124-1_Table25.tsv</t>
  </si>
  <si>
    <t xml:space="preserve">10.1007%2F978-1-4613-9124-1_Table28.tsv</t>
  </si>
  <si>
    <t xml:space="preserve">10.1007%2F978-1-4613-9124-1_Table31.tsv</t>
  </si>
  <si>
    <t xml:space="preserve">10.1007%2F978-1-4613-9124-1_Table34.tsv</t>
  </si>
  <si>
    <t xml:space="preserve">10.1007%2F978-1-4613-9124-1_Table37.tsv</t>
  </si>
  <si>
    <t xml:space="preserve">10.1007%2F978-1-4613-9124-1_Table40.tsv</t>
  </si>
  <si>
    <t xml:space="preserve">10.1007%2F978-1-4613-9124-1_Table43.tsv</t>
  </si>
  <si>
    <t xml:space="preserve">10.1007%2F978-1-4613-9124-1_Table46.tsv</t>
  </si>
  <si>
    <t xml:space="preserve">10.1007%2F978-1-4613-9124-1_Table49.tsv</t>
  </si>
  <si>
    <t xml:space="preserve">10.1007%2F978-1-4613-9124-1_Table5.tsv</t>
  </si>
  <si>
    <t xml:space="preserve">10.1007%2F978-1-4613-9124-1_Table52.tsv</t>
  </si>
  <si>
    <t xml:space="preserve">10.1007%2F978-1-4613-9124-1_Table55.tsv</t>
  </si>
  <si>
    <t xml:space="preserve">10.1007%2F978-1-4613-9124-1_Table58.tsv</t>
  </si>
  <si>
    <t xml:space="preserve">10.1007%2F978-1-4613-9124-1_Table61.tsv</t>
  </si>
  <si>
    <t xml:space="preserve">10.1007%2F978-1-4613-9124-1_Table64.tsv</t>
  </si>
  <si>
    <t xml:space="preserve">10.1007%2F978-1-4613-9124-1_Table65.tsv</t>
  </si>
  <si>
    <t xml:space="preserve">10.1007%2F978-1-4613-9124-1_Table68.tsv</t>
  </si>
  <si>
    <t xml:space="preserve">10.1007%2F978-1-4613-9124-1_Table8.tsv</t>
  </si>
  <si>
    <t xml:space="preserve">10.1007%2F978-3-319-59478-1_5_Table5.1.tsv</t>
  </si>
  <si>
    <t xml:space="preserve">10.1007%2F978-3-662-03733-1_Figure62.tsv</t>
  </si>
  <si>
    <t xml:space="preserve">10.1007%2F978-3-662-03733-1_Text.tsv</t>
  </si>
  <si>
    <t xml:space="preserve">10.1007%2FBF00519885_Tables1-2.tsv</t>
  </si>
  <si>
    <t xml:space="preserve">10.1007%2FBF00522811_Tables3-4.tsv</t>
  </si>
  <si>
    <t xml:space="preserve">10.1007%2FBF03394729_Table1.tsv</t>
  </si>
  <si>
    <t xml:space="preserve">10.1007%2FBf00610934_Figures3-5.tsv</t>
  </si>
  <si>
    <t xml:space="preserve">10.1007%2Fbf00518633_Table2.tsv</t>
  </si>
  <si>
    <t xml:space="preserve">10.1007%2Fbf00518633_Table3.tsv</t>
  </si>
  <si>
    <t xml:space="preserve">10.1007%2Fs00265-018-2629-9_TableS1.tsv</t>
  </si>
  <si>
    <t xml:space="preserve">10.1007%2Fs00265-018-2629-9_TableS2.tsv</t>
  </si>
  <si>
    <t xml:space="preserve">10.1007%2Fs00359-016-1125-9_Table1.tsv</t>
  </si>
  <si>
    <t xml:space="preserve">10.1007%2Fs00359-020-01424-8_Figure3.tsv</t>
  </si>
  <si>
    <t xml:space="preserve">10.1007%2Fs003590100198_Table2.tsv</t>
  </si>
  <si>
    <t xml:space="preserve">10.1007%2Fs004220000205_Figure3.tsv</t>
  </si>
  <si>
    <t xml:space="preserve">10.1007%2Fs00429-008-0198-9_Table1.tsv</t>
  </si>
  <si>
    <t xml:space="preserve">10.1007%2Fs00429-008-0198-9_Table3.tsv</t>
  </si>
  <si>
    <t xml:space="preserve">10.1007%2Fs00429-011-0338-5_Table1.tsv</t>
  </si>
  <si>
    <t xml:space="preserve">10.1007%2Fs00429-011-0338-5_Table2.tsv</t>
  </si>
  <si>
    <t xml:space="preserve">10.1007%2Fs00429-011-0338-5_Table4.tsv</t>
  </si>
  <si>
    <t xml:space="preserve">10.1007%2Fs00429-011-0338-5_TableS1A.tsv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</si>
  <si>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</si>
  <si>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</si>
  <si>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</si>
  <si>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</si>
  <si>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</si>
  <si>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</si>
  <si>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</si>
  <si>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</si>
  <si>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10.1007%2Fs10764-015-9861-1_TableI.tsv</t>
  </si>
  <si>
    <t xml:space="preserve">10.1007%2Fs10764-015-9861-1_TableSII.tsv</t>
  </si>
  <si>
    <t xml:space="preserve">10.1007%2Fs10764-015-9861-1_TableSIII.tsv</t>
  </si>
  <si>
    <t xml:space="preserve">10.1007%2Fs10764-015-9861-1_TableSIV.tsv</t>
  </si>
  <si>
    <t xml:space="preserve">10.1007%2Fs10764-015-9861-1_TableSV.tsv</t>
  </si>
  <si>
    <t xml:space="preserve">10.1007%2Fs10764-015-9861-1_TableSVI.tsv</t>
  </si>
  <si>
    <t xml:space="preserve">10.1007%2Fs10764-015-9861-1_TableSVII.tsv</t>
  </si>
  <si>
    <t xml:space="preserve">10.1007%2Fs10764-015-9861-1_TableSVIII.tsv</t>
  </si>
  <si>
    <t xml:space="preserve">10.1016%2F0006-8993(93)90744-8_TABLEI.tsv</t>
  </si>
  <si>
    <t xml:space="preserve">10.1016%2F0006-8993(93)90744-8_TABLEII.tsv</t>
  </si>
  <si>
    <t xml:space="preserve">10.1016%2F0006-8993(93)90744-8_TABLEIV.tsv</t>
  </si>
  <si>
    <t xml:space="preserve">10.1016%2F0006-8993(93)90744-8_TABLEV.tsv</t>
  </si>
  <si>
    <t xml:space="preserve">10.1016%2F0042-6989(87)90202-1_Table1.tsv</t>
  </si>
  <si>
    <t xml:space="preserve">10.1016%2F0047-2484(92)90081-J_Table1.tsv</t>
  </si>
  <si>
    <t xml:space="preserve">10.1016%2F0149-7634(84)90054-X_Table1.tsv</t>
  </si>
  <si>
    <t xml:space="preserve">10.1016%2F0378-5955(86)90025-0_ResultsText.tsv</t>
  </si>
  <si>
    <t xml:space="preserve">10.1016%2F0378-5955(92)90188-S_ResultsText.tsv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</si>
  <si>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</si>
  <si>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</si>
  <si>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</si>
  <si>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</si>
  <si>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</si>
  <si>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</si>
  <si>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</si>
  <si>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10.1016%2FB978-0-12-394282-1.00004-1_Text.tsv</t>
  </si>
  <si>
    <t xml:space="preserve">10.1016%2FB978-0-12-440280-5.50008-1_Table1.tsv</t>
  </si>
  <si>
    <t xml:space="preserve">10.1016%2FB978-012370880-9.00004-9_ResultsText.tsv</t>
  </si>
  <si>
    <t xml:space="preserve">10.1016%2FS0042-6989(01)00264-4_Table1.tsv</t>
  </si>
  <si>
    <t xml:space="preserve">10.1016%2FS0042-6989(02)00565-5_Table1.tsv</t>
  </si>
  <si>
    <t xml:space="preserve">10.1016%2FS0168-1591(98)00101-4_Table1.tsv</t>
  </si>
  <si>
    <t xml:space="preserve">10.1016%2FS0378-5955(01)00298-2_ResultsText.tsv</t>
  </si>
  <si>
    <t xml:space="preserve">10.1016%2FS0378-5955(03)00025-X_ResultsText.tsv</t>
  </si>
  <si>
    <t xml:space="preserve">10.1016%2Fj.brainres.2005.06.015_Figure3.tsv</t>
  </si>
  <si>
    <t xml:space="preserve">10.1016%2Fj.brainres.2005.06.015_Figure6.tsv</t>
  </si>
  <si>
    <t xml:space="preserve">10.1016%2Fj.brainres.2005.06.015_ReportedValues.tsv</t>
  </si>
  <si>
    <t xml:space="preserve">10.1016%2Fj.brainres.2005.06.015_Table1.tsv</t>
  </si>
  <si>
    <t xml:space="preserve">10.1016%2Fj.brainresbull.2006.03.016_Table1.tsv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</si>
  <si>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</si>
  <si>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</si>
  <si>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</si>
  <si>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</si>
  <si>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</si>
  <si>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</si>
  <si>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10.1016%2Fj.evolhumbehav.2012.09.004_Table1.tsv</t>
  </si>
  <si>
    <t xml:space="preserve">10.1016%2Fj.evolhumbehav.2012.09.004_TableS1.tsv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</si>
  <si>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</si>
  <si>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</si>
  <si>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</si>
  <si>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</si>
  <si>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</si>
  <si>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</si>
  <si>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</si>
  <si>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10.1016%2Fj.jhevol.2006.06.002_Table8.tsv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</si>
  <si>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</si>
  <si>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</si>
  <si>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</si>
  <si>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</si>
  <si>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</si>
  <si>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</si>
  <si>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</si>
  <si>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</si>
  <si>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</si>
  <si>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</si>
  <si>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</si>
  <si>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</si>
  <si>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</si>
  <si>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</si>
  <si>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</si>
  <si>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10.1016%2Fj.mambio.2013.12.005_Table2.tsv</t>
  </si>
  <si>
    <t xml:space="preserve">10.1016%2Fj.mambio.2013.12.005_Table3.tsv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</si>
  <si>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</si>
  <si>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</si>
  <si>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</si>
  <si>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</si>
  <si>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</si>
  <si>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10.1016%2Fj.neuroscience.2005.04.054_Table1.tsv</t>
  </si>
  <si>
    <t xml:space="preserve">10.1016%2Fj.neuroscience.2005.04.054_Table2.tsv</t>
  </si>
  <si>
    <t xml:space="preserve">10.1016%2Fj.neuroscience.2005.04.054_Table3.tsv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</si>
  <si>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</si>
  <si>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</si>
  <si>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</si>
  <si>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</si>
  <si>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10.1016%2Fj.neuroscience.2008.05.008_Table2.tsv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</si>
  <si>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</si>
  <si>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</si>
  <si>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</si>
  <si>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</si>
  <si>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</si>
  <si>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</si>
  <si>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</si>
  <si>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</si>
  <si>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</si>
  <si>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</si>
  <si>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</si>
  <si>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10.1016%2Fs0306-4522(01)00171-3_Table1.tsv</t>
  </si>
  <si>
    <t xml:space="preserve">10.1016%2Fs0306-4522(01)00171-3_Table2.tsv</t>
  </si>
  <si>
    <t xml:space="preserve">10.1016%2Fs0378-5955(02)00458-6_ResultsText.tsv</t>
  </si>
  <si>
    <t xml:space="preserve">10.1016%2Fs0378-5955(03)00233-8_ResultsText.tsv</t>
  </si>
  <si>
    <t xml:space="preserve">10.1016%2Fs0378-5955(98)00037-9_ResultsText.tsv</t>
  </si>
  <si>
    <t xml:space="preserve">10.1017%2FS0952523808080760_Table1.tsv</t>
  </si>
  <si>
    <t xml:space="preserve">10.1017%2FS0952523808080760_Table2.tsv</t>
  </si>
  <si>
    <t xml:space="preserve">10.1017%2FS1464793106007019_Table1.tsv</t>
  </si>
  <si>
    <t xml:space="preserve">10.1017%2Fs0952523800000213_Table1.tsv</t>
  </si>
  <si>
    <t xml:space="preserve">10.1037%2F0735-7036.102.2.99_Table1+Table3.tsv</t>
  </si>
  <si>
    <t xml:space="preserve">10.1037%2F0735-7036.102.2.99_Table1.tsv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</si>
  <si>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</si>
  <si>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</si>
  <si>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</si>
  <si>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</si>
  <si>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</si>
  <si>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</si>
  <si>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</si>
  <si>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10.1038%2F46947_Table1.tsv</t>
  </si>
  <si>
    <t xml:space="preserve">10.1038%2Fnn814_Table1.tsv</t>
  </si>
  <si>
    <t xml:space="preserve">10.1038%2Fs41467-020-14356-3_SupplementaryData3.tsv</t>
  </si>
  <si>
    <t xml:space="preserve">10.1038%2Fs41467-023-35869-7_SupplementaryData1.tsv</t>
  </si>
  <si>
    <t xml:space="preserve">10.1038%2Fs41467-023-35869-7_SupplementaryData3.tsv</t>
  </si>
  <si>
    <t xml:space="preserve">10.1038%2Fs41467-023-35869-7_SupplementaryReferences.tsv</t>
  </si>
  <si>
    <t xml:space="preserve">10.1038%2Fs41559-017-0112_BrainData.tsv</t>
  </si>
  <si>
    <t xml:space="preserve">10.1038%2Fs41559-017-0112_referencesbraindata.tsv</t>
  </si>
  <si>
    <t xml:space="preserve">10.1038%2Fs41559-019-0969-0_ActivityPeriodData.tsv</t>
  </si>
  <si>
    <t xml:space="preserve">10.1038%2Fs41559-019-0969-0_BrainRegionDataNotes.tsv</t>
  </si>
  <si>
    <t xml:space="preserve">10.1038%2Fs41559-019-0969-0_BrainRegionDatamm3.tsv</t>
  </si>
  <si>
    <t xml:space="preserve">10.1038%2Fs41559-019-0969-0_DQIdata.tsv</t>
  </si>
  <si>
    <t xml:space="preserve">10.1038%2Fs41559-019-0969-0_DietData.tsv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</si>
  <si>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</si>
  <si>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</si>
  <si>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</si>
  <si>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</si>
  <si>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10.1038%2Fs41559-019-0969-0_referencesbraindata.tsv</t>
  </si>
  <si>
    <t xml:space="preserve">10.1038%2Fs41559-026-02994-7_CFFdataset.tsv</t>
  </si>
  <si>
    <t xml:space="preserve">10.1038%2Fs41597-019-0059-9_BodyMass.tsv</t>
  </si>
  <si>
    <t xml:space="preserve">10.1038%2Fs41597-019-0059-9_DielActivity.tsv</t>
  </si>
  <si>
    <t xml:space="preserve">10.1038%2Fs41597-019-0059-9_Habitat.tsv</t>
  </si>
  <si>
    <t xml:space="preserve">10.1038%2Fs41597-019-0059-9_HomeRange.tsv</t>
  </si>
  <si>
    <t xml:space="preserve">10.1038%2Fs41597-019-0059-9_IUCN_Poptrend_Realm.tsv</t>
  </si>
  <si>
    <t xml:space="preserve">10.1038%2Fs41597-019-0059-9_Locomotion.tsv</t>
  </si>
  <si>
    <t xml:space="preserve">10.1038%2Fs41597-019-0059-9_TrophicGuild.tsv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</si>
  <si>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</si>
  <si>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</si>
  <si>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</si>
  <si>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</si>
  <si>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</si>
  <si>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</si>
  <si>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</si>
  <si>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</si>
  <si>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</si>
  <si>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</si>
  <si>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</si>
  <si>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10.1038%2Fsrep07600_Extendeddatatable5.tsv</t>
  </si>
  <si>
    <t xml:space="preserve">10.1038%2Fsrep24528_TableS1.tsv</t>
  </si>
  <si>
    <t xml:space="preserve">10.1073%2Fpnas.0305760101_Table2.tsv</t>
  </si>
  <si>
    <t xml:space="preserve">10.1073%2Fpnas.0605843103_Table2.tsv</t>
  </si>
  <si>
    <t xml:space="preserve">10.1073%2Fpnas.072097999_Table1.tsv</t>
  </si>
  <si>
    <t xml:space="preserve">10.1073%2Fpnas.090504197_Figure2.tsv</t>
  </si>
  <si>
    <t xml:space="preserve">10.1073%2Fpnas.090504197_Figure3.tsv</t>
  </si>
  <si>
    <t xml:space="preserve">10.1073%2Fpnas.0905777106_TableS1.tsv</t>
  </si>
  <si>
    <t xml:space="preserve">10.1073%2Fpnas.0905777106_TableS2.tsv</t>
  </si>
  <si>
    <t xml:space="preserve">10.1073%2Fpnas.0906486107_TableS6.tsv</t>
  </si>
  <si>
    <t xml:space="preserve">10.1073%2Fpnas.1005862107_Appendix4.tsv</t>
  </si>
  <si>
    <t xml:space="preserve">10.1073%2Fpnas.1005862107_Appendix6.tsv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</si>
  <si>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</si>
  <si>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</si>
  <si>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</si>
  <si>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</si>
  <si>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</si>
  <si>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</si>
  <si>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</si>
  <si>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</si>
  <si>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</si>
  <si>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</si>
  <si>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</si>
  <si>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</si>
  <si>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10.1086%2F282938_Appendix.tsv</t>
  </si>
  <si>
    <t xml:space="preserve">10.1093%2Facprof:oso%2F9780199213276.003.0004_Table4.1.tsv</t>
  </si>
  <si>
    <t xml:space="preserve">10.1093%2Facprof:oso%2F9780199213276.003.0004_Table4.2.tsv</t>
  </si>
  <si>
    <t xml:space="preserve">10.1093%2Facprof:oso%2F9780199213276.003.0004_Table4.3.tsv</t>
  </si>
  <si>
    <t xml:space="preserve">10.1093%2Facprof:oso%2F9780199213276.003.0004_Table4.4.tsv</t>
  </si>
  <si>
    <t xml:space="preserve">10.1093%2Facprof:oso%2F9780199213276.003.0008_Figure8.1.tsv</t>
  </si>
  <si>
    <t xml:space="preserve">10.1093%2Facprof:oso%2F9780199213276.003.0008_Figure8.2.tsv</t>
  </si>
  <si>
    <t xml:space="preserve">10.1093%2Facprof:oso%2F9780199213276.003.0008_Table8.2.tsv</t>
  </si>
  <si>
    <t xml:space="preserve">10.1093%2Facprof:oso%2F9780199213276.003.0008_Table8.3.tsv</t>
  </si>
  <si>
    <t xml:space="preserve">10.1093%2Facprof:oso%2F9780199213276.003.0008_Table8.5.tsv</t>
  </si>
  <si>
    <t xml:space="preserve">10.1093%2Facprof:oso%2F9780199213276.003.0008_Table8.6.tsv</t>
  </si>
  <si>
    <t xml:space="preserve">10.1093%2Fbrain%2F103.2.221_TABLE3.tsv</t>
  </si>
  <si>
    <t xml:space="preserve">10.1093%2Fcercor%2F1.1.1_Table2.tsv</t>
  </si>
  <si>
    <t xml:space="preserve">10.1093%2Fcercor%2F1.1.1_Table3.tsv</t>
  </si>
  <si>
    <t xml:space="preserve">10.1093%2Fcercor%2F1.1.1_Table5.tsv</t>
  </si>
  <si>
    <t xml:space="preserve">10.1093%2Fcercor%2F11.6.558_Table1.tsv</t>
  </si>
  <si>
    <t xml:space="preserve">10.1093%2Fcercor%2F11.6.558_Table2.tsv</t>
  </si>
  <si>
    <t xml:space="preserve">10.1093%2Fcercor%2Fbhm089_Table2.tsv</t>
  </si>
  <si>
    <t xml:space="preserve">10.1093%2Fcercor%2Fbhp158_Table1.tsv</t>
  </si>
  <si>
    <t xml:space="preserve">10.1093%2Fcercor%2Fbhp158_Table2.tsv</t>
  </si>
  <si>
    <t xml:space="preserve">10.1093%2Fcercor%2Fbhr033_Table2.tsv</t>
  </si>
  <si>
    <t xml:space="preserve">10.1093%2Fcercor%2Fbhr033_authordata(groupmeans).tsv</t>
  </si>
  <si>
    <t xml:space="preserve">10.1093%2Fcercor%2Fbhr033_reportedvalues.tsv</t>
  </si>
  <si>
    <t xml:space="preserve">10.1093%2Fcercor%2Fbhs239_Table1.tsv</t>
  </si>
  <si>
    <t xml:space="preserve">10.1093%2Fcercor%2Fbhs239_Table2.tsv</t>
  </si>
  <si>
    <t xml:space="preserve">10.1093%2Fcercor%2Fbhy315_Table4.tsv</t>
  </si>
  <si>
    <t xml:space="preserve">10.1093%2Feep%2Fdvw019_Table2.tsv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</si>
  <si>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</si>
  <si>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</si>
  <si>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</si>
  <si>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</si>
  <si>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</si>
  <si>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10.1098%2Frsbl.2005.0366_Table1.tsv</t>
  </si>
  <si>
    <t xml:space="preserve">10.1098%2Frsos.170846_TableS1.tsv</t>
  </si>
  <si>
    <t xml:space="preserve">10.1098%2Frspb.2000.1421_TextResults.tsv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</si>
  <si>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</si>
  <si>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</si>
  <si>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</si>
  <si>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</si>
  <si>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</si>
  <si>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</si>
  <si>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</si>
  <si>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10.1098%2Frstb.1998.0276_Table1.tsv</t>
  </si>
  <si>
    <t xml:space="preserve">10.1098%2Frstb.1998.0276_Table2.tsv</t>
  </si>
  <si>
    <t xml:space="preserve">10.1098%2Frstb.1998.0276_Text.tsv</t>
  </si>
  <si>
    <t xml:space="preserve">10.1098%2Frstb.2009.0039_Table1.tsv</t>
  </si>
  <si>
    <t xml:space="preserve">10.1098%2Frstb.2010.0342_Data.tsv</t>
  </si>
  <si>
    <t xml:space="preserve">10.1098%2Frstb.2012.0341_S2.tsv</t>
  </si>
  <si>
    <t xml:space="preserve">10.1098%2Frstb.2015.0186_Data.tsv</t>
  </si>
  <si>
    <t xml:space="preserve">10.1111%2Fbrv.12137_Table1.tsv</t>
  </si>
  <si>
    <t xml:space="preserve">10.1111%2Fbrv.12350_TableS2.tsv</t>
  </si>
  <si>
    <t xml:space="preserve">10.1111%2Fj.0269-8463.2004.00856.x_Appendix1.tsv</t>
  </si>
  <si>
    <t xml:space="preserve">10.1111%2Fj.1420-9101.2012.02491.x_TableS1.tsv</t>
  </si>
  <si>
    <t xml:space="preserve">10.1111%2Fj.1439-0469.1970.tb00876.x_Table1.tsv</t>
  </si>
  <si>
    <t xml:space="preserve">10.1111%2Fj.1439-0469.1985.tb00577.x_Table1.tsv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</si>
  <si>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</si>
  <si>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</si>
  <si>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</si>
  <si>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</si>
  <si>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</si>
  <si>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</si>
  <si>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</si>
  <si>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</si>
  <si>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</si>
  <si>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</si>
  <si>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</si>
  <si>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</si>
  <si>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</si>
  <si>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</si>
  <si>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</si>
  <si>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</si>
  <si>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</si>
  <si>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</si>
  <si>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</si>
  <si>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</si>
  <si>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</si>
  <si>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</si>
  <si>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</si>
  <si>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</si>
  <si>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</si>
  <si>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</si>
  <si>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</si>
  <si>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</si>
  <si>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</si>
  <si>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</si>
  <si>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10.1126%2Fscience.1238677_ReferencesforSupplementaryTable.tsv</t>
  </si>
  <si>
    <t xml:space="preserve">10.1126%2Fscience.1238677_SupplementaryData.tsv</t>
  </si>
  <si>
    <t xml:space="preserve">10.1126%2Fscience.150.3700.1185_ResultsText.tsv</t>
  </si>
  <si>
    <t xml:space="preserve">10.1126%2Fscience.aaa9101_TableS1.tsv</t>
  </si>
  <si>
    <t xml:space="preserve">10.1139%2FZ82-084_Table1.tsv</t>
  </si>
  <si>
    <t xml:space="preserve">10.1139%2Fz72-077_Table1.tsv</t>
  </si>
  <si>
    <t xml:space="preserve">10.1139%2Fz75-028_Table1.tsv</t>
  </si>
  <si>
    <t xml:space="preserve">10.1139%2Fz99-151_ResultsText.tsv</t>
  </si>
  <si>
    <t xml:space="preserve">10.1152%2Fjn.1972.35.3.344_ResultsText.tsv</t>
  </si>
  <si>
    <t xml:space="preserve">10.1159%2F000006575_Table1.tsv</t>
  </si>
  <si>
    <t xml:space="preserve">10.1159%2F000049915_TextResults.tsv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</si>
  <si>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</si>
  <si>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</si>
  <si>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</si>
  <si>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</si>
  <si>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</si>
  <si>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</si>
  <si>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</si>
  <si>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</si>
  <si>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</si>
  <si>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</si>
  <si>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10.1159%2F000113231_ResultsText.tsv</t>
  </si>
  <si>
    <t xml:space="preserve">10.1159%2F000116500_Table1.tsv</t>
  </si>
  <si>
    <t xml:space="preserve">10.1159%2F000116540_Appendix.tsv</t>
  </si>
  <si>
    <t xml:space="preserve">10.1159%2F000118700_TableI.tsv</t>
  </si>
  <si>
    <t xml:space="preserve">10.1159%2F000121494_TableI.tsv</t>
  </si>
  <si>
    <t xml:space="preserve">10.1159%2F000123814_ResultsText.tsv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</si>
  <si>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</si>
  <si>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</si>
  <si>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</si>
  <si>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</si>
  <si>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</si>
  <si>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</si>
  <si>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</si>
  <si>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</si>
  <si>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</si>
  <si>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</si>
  <si>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</si>
  <si>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</si>
  <si>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</si>
  <si>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</si>
  <si>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</si>
  <si>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</si>
  <si>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</si>
  <si>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</si>
  <si>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</si>
  <si>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</si>
  <si>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</si>
  <si>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10.1159%2F000156538_Table10.tsv</t>
  </si>
  <si>
    <t xml:space="preserve">10.1159%2F000156538_Table11.tsv</t>
  </si>
  <si>
    <t xml:space="preserve">10.1159%2F000156538_Table12.tsv</t>
  </si>
  <si>
    <t xml:space="preserve">10.1159%2F000156538_Table3.tsv</t>
  </si>
  <si>
    <t xml:space="preserve">10.1159%2F000156538_Table4.tsv</t>
  </si>
  <si>
    <t xml:space="preserve">10.1159%2F000156538_Table5.tsv</t>
  </si>
  <si>
    <t xml:space="preserve">10.1159%2F000156538_Table6.tsv</t>
  </si>
  <si>
    <t xml:space="preserve">10.1159%2F000156538_Table7.tsv</t>
  </si>
  <si>
    <t xml:space="preserve">10.1159%2F000156538_Table8.tsv</t>
  </si>
  <si>
    <t xml:space="preserve">10.1159%2F000156538_Table9.tsv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</si>
  <si>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</si>
  <si>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</si>
  <si>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</si>
  <si>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</si>
  <si>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</si>
  <si>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</si>
  <si>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</si>
  <si>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</si>
  <si>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</si>
  <si>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</si>
  <si>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</si>
  <si>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10.1159%2F000445495_Table1.tsv</t>
  </si>
  <si>
    <t xml:space="preserve">10.1159%2F000445495_Table2.tsv</t>
  </si>
  <si>
    <t xml:space="preserve">10.1159%2F000445495_Table3.tsv</t>
  </si>
  <si>
    <t xml:space="preserve">10.1159%2F000446762_Table1.tsv</t>
  </si>
  <si>
    <t xml:space="preserve">10.1159%2F000452856_TableS1.tsv</t>
  </si>
  <si>
    <t xml:space="preserve">10.1177%2F147470490600400114_Table1.tsv</t>
  </si>
  <si>
    <t xml:space="preserve">10.1186%2F1471-2148-11-312_TextResults.tsv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</si>
  <si>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</si>
  <si>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</si>
  <si>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</si>
  <si>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</si>
  <si>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</si>
  <si>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</si>
  <si>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</si>
  <si>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</si>
  <si>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</si>
  <si>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</si>
  <si>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</si>
  <si>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</si>
  <si>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</si>
  <si>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</si>
  <si>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</si>
  <si>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</si>
  <si>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</si>
  <si>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</si>
  <si>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</si>
  <si>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</si>
  <si>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</si>
  <si>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</si>
  <si>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</si>
  <si>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</si>
  <si>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</si>
  <si>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10.1242%2Fjeb.156.1.1_Table1.tsv</t>
  </si>
  <si>
    <t xml:space="preserve">10.1242%2Fjeb.156.1.1_Table2.tsv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</si>
  <si>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</si>
  <si>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</si>
  <si>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</si>
  <si>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</si>
  <si>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</si>
  <si>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</si>
  <si>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</si>
  <si>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</si>
  <si>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</si>
  <si>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</si>
  <si>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</si>
  <si>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</si>
  <si>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</si>
  <si>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</si>
  <si>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</si>
  <si>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</si>
  <si>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</si>
  <si>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</si>
  <si>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</si>
  <si>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</si>
  <si>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</si>
  <si>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</si>
  <si>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</si>
  <si>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10.1890%2F02-9002_Mammallifehistoriesv2.txt.tsv</t>
  </si>
  <si>
    <t xml:space="preserve">10.1890%2F13-1917.1_MamFuncDat.tsv</t>
  </si>
  <si>
    <t xml:space="preserve">10.1890%2F15-0846r.1_AmnioteDatabaseAug2015.csv.tsv</t>
  </si>
  <si>
    <t xml:space="preserve">10.2307%2F1380801_ResultsText.tsv</t>
  </si>
  <si>
    <t xml:space="preserve">10.2307%2F3626308_Table2.tsv</t>
  </si>
  <si>
    <t xml:space="preserve">10.26451%2Fabc.09.04.06.2022_STMperformance.tsv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</si>
  <si>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</si>
  <si>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</si>
  <si>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</si>
  <si>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</si>
  <si>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</si>
  <si>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</si>
  <si>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</si>
  <si>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</si>
  <si>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</si>
  <si>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</si>
  <si>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</si>
  <si>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10.3389%2Ffnins.2018.00534_TableS1.tsv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</si>
  <si>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</si>
  <si>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</si>
  <si>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</si>
  <si>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</si>
  <si>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</si>
  <si>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</si>
  <si>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</si>
  <si>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</si>
  <si>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</si>
  <si>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</si>
  <si>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Growth%3A6%3A39-57_TABLEI.tsv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</si>
  <si>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</si>
  <si>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</si>
  <si>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</si>
  <si>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</si>
  <si>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</si>
  <si>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</si>
  <si>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</si>
  <si>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</si>
  <si>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</si>
  <si>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</si>
  <si>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</si>
  <si>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</si>
  <si>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ISBN%3A9780387269177_Table3.tsv</t>
  </si>
  <si>
    <t xml:space="preserve">ISBN%3A9780387269177_Table4.tsv</t>
  </si>
  <si>
    <t xml:space="preserve">ISBN%3A9780387269177_Table5.tsv</t>
  </si>
  <si>
    <t xml:space="preserve">ISBN%3A9780387269177_Table6.tsv</t>
  </si>
  <si>
    <t xml:space="preserve">ISBN%3A9780521335232_Table12.1.tsv</t>
  </si>
  <si>
    <t xml:space="preserve">ISBN%3A9780521335232_Table12.2.tsv</t>
  </si>
  <si>
    <t xml:space="preserve">ISBN%3A9780521335232_Table12.3.tsv</t>
  </si>
  <si>
    <t xml:space="preserve">ISBN%3A9780631226499_Table19.1.tsv</t>
  </si>
  <si>
    <t xml:space="preserve">ISBN%3A9780801417535_Primates.tsv</t>
  </si>
  <si>
    <t xml:space="preserve">ISBN%3A9780852244487_Table24.1.tsv</t>
  </si>
  <si>
    <t xml:space="preserve">ISBN%3A9780852244487_Table24.2.tsv</t>
  </si>
  <si>
    <t xml:space="preserve">ISBN%3A9780852244487_Table24.3.tsv</t>
  </si>
  <si>
    <t xml:space="preserve">ISBN%3A9780852244487_Table24.4.tsv</t>
  </si>
  <si>
    <t xml:space="preserve">ISBN%3A9783510613793_Records.tsv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</si>
  <si>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</si>
  <si>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</si>
  <si>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</si>
  <si>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</si>
  <si>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</si>
  <si>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</si>
  <si>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</si>
  <si>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</si>
  <si>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</si>
  <si>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</si>
  <si>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</si>
  <si>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</si>
  <si>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</si>
  <si>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</si>
  <si>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</si>
  <si>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</si>
  <si>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</si>
  <si>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</si>
  <si>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</si>
  <si>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Myotis%3A21-22%3A62-66_Text.tsv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</si>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</sst>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name val="Arial"/>
      <family val="2"/>
      <sz val="10"/>
    </font>
    <font>
      <sz val="11"/>
      <color rgb="FF3F3F76"/>
      <name val="Calibri"/>
    </font>
    <font>
      <sz val="12"/>
      <color rgb="FF3F3F3F"/>
      <name val="Calibri"/>
      <b/>
    </font>
    <font>
      <sz val="10"/>
      <color rgb="FF000000"/>
      <name val="Arial"/>
    </font>
    <font>
      <sz val="12"/>
      <color rgb="FF000000"/>
      <name val="Aptos Narrow"/>
    </font>
    <font>
      <sz val="12"/>
      <color rgb="FF3F3F76"/>
      <name val="Calibri"/>
    </font>
    <font>
      <sz val="11"/>
      <color rgb="FF3F3F3F"/>
      <name val="Calibri"/>
      <b/>
    </font>
    <font>
      <sz val="10"/>
      <color rgb="#000000"/>
      <name val="Arial"/>
    </font>
    <font>
      <sz val="10"/>
      <color theme="10"/>
      <name val="Arial"/>
      <u val="single"/>
    </font>
    <font>
      <sz val="11"/>
      <color rgb="FF243A35"/>
      <name val="Aptos"/>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FFCC99"/>
        <bgColor indexed="64"/>
      </patternFill>
    </fill>
    <fill>
      <patternFill patternType="solid">
        <fgColor rgb="FFD9D9D9"/>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top style="thin">
        <color rgb="FF7F7F7F"/>
      </top>
      <bottom style="thin">
        <color rgb="FF7F7F7F"/>
      </bottom>
    </border>
    <border>
      <left style="thin">
        <color rgb="FF7F7F7F"/>
      </left>
      <right style="thin">
        <color rgb="FF7F7F7F"/>
      </right>
    </border>
  </borders>
  <cellStyleXfs count="1">
    <xf numFmtId="0" fontId="0" fillId="0" borderId="0"/>
  </cellStyleXfs>
  <cellXfs count="40">
    <xf numFmtId="0" fontId="0" fillId="0" borderId="0" xfId="0"/>
    <xf numFmtId="0" fontId="1" fillId="2" borderId="1" xfId="0" applyFont="1" applyFill="1" applyBorder="1" applyProtection="1">
      <protection hidden="0" locked="0"/>
    </xf>
    <xf numFmtId="0" fontId="2" fillId="3" borderId="2" xfId="0" applyFont="1" applyFill="1" applyBorder="1"/>
    <xf numFmtId="0" fontId="1" fillId="2" borderId="3" xfId="0" applyFont="1" applyFill="1" applyBorder="1"/>
    <xf numFmtId="0" fontId="1" fillId="4" borderId="1" xfId="0" applyFont="1" applyFill="1" applyBorder="1"/>
    <xf numFmtId="0" fontId="3" fillId="0" borderId="4" xfId="0" applyFont="1" applyBorder="1"/>
    <xf numFmtId="0" fontId="4" fillId="0" borderId="0" xfId="0" applyFont="1"/>
    <xf numFmtId="0" fontId="2" fillId="3" borderId="2" xfId="0" applyFont="1" applyFill="1" applyBorder="1" applyProtection="1">
      <protection hidden="0" locked="0"/>
    </xf>
    <xf numFmtId="0" fontId="5" fillId="2" borderId="1" xfId="0" applyFont="1" applyFill="1" applyBorder="1" applyAlignment="1">
      <alignment vertical="top"/>
    </xf>
    <xf numFmtId="0" fontId="3" fillId="0" borderId="1" xfId="0" applyFont="1" applyBorder="1"/>
    <xf numFmtId="0" fontId="6" fillId="3" borderId="2" xfId="0" applyFont="1" applyFill="1" applyBorder="1" applyProtection="1">
      <protection hidden="0" locked="0"/>
    </xf>
    <xf numFmtId="0" fontId="6" fillId="3" borderId="2" xfId="0" applyFont="1" applyFill="1" applyBorder="1"/>
    <xf numFmtId="0" fontId="5" fillId="2" borderId="0" xfId="0" applyFont="1" applyFill="1"/>
    <xf numFmtId="0" fontId="1" fillId="2" borderId="1" xfId="0" applyFont="1" applyFill="1" applyBorder="1"/>
    <xf numFmtId="0" fontId="7" fillId="0" borderId="1" xfId="0" applyFont="1" applyBorder="1"/>
    <xf numFmtId="0" fontId="1" fillId="2" borderId="0" xfId="0" applyFont="1" applyFill="1" applyProtection="1">
      <protection hidden="0" locked="0"/>
    </xf>
    <xf numFmtId="0" fontId="5" fillId="2" borderId="0" xfId="0" applyFont="1" applyFill="1" applyAlignment="1">
      <alignment vertical="top"/>
    </xf>
    <xf numFmtId="0" fontId="1" fillId="2" borderId="1" xfId="0" applyFont="1" applyFill="1" applyBorder="1" applyAlignment="1">
      <alignment vertical="top"/>
    </xf>
    <xf numFmtId="0" fontId="3" fillId="0" borderId="0" xfId="0" applyFont="1"/>
    <xf numFmtId="0" fontId="1" fillId="2" borderId="0" xfId="0" applyFont="1" applyFill="1"/>
    <xf numFmtId="0" fontId="3" fillId="5" borderId="0" xfId="0" applyFont="1" applyFill="1"/>
    <xf numFmtId="0" fontId="1" fillId="2" borderId="0" xfId="0" applyFont="1" applyFill="1" applyAlignment="1">
      <alignment vertical="top"/>
    </xf>
    <xf numFmtId="0" fontId="6" fillId="3" borderId="0" xfId="0" applyFont="1" applyFill="1"/>
    <xf numFmtId="0" fontId="8" fillId="0" borderId="0" xfId="0" applyFont="1"/>
    <xf numFmtId="0" fontId="6" fillId="3" borderId="0" xfId="0" applyFont="1" applyFill="1" applyProtection="1">
      <protection hidden="0" locked="0"/>
    </xf>
    <xf numFmtId="0" fontId="2" fillId="3" borderId="0" xfId="0" applyFont="1" applyFill="1" applyProtection="1">
      <protection hidden="0" locked="0"/>
    </xf>
    <xf numFmtId="0" fontId="7" fillId="0" borderId="4" xfId="0" applyFont="1" applyBorder="1"/>
    <xf numFmtId="0" fontId="3" fillId="0" borderId="1" xfId="0" applyFont="1" applyBorder="1" applyAlignment="1">
      <alignment vertical="top"/>
    </xf>
    <xf numFmtId="0" fontId="3" fillId="5" borderId="1" xfId="0" applyFont="1" applyFill="1" applyBorder="1"/>
    <xf numFmtId="0" fontId="1" fillId="2" borderId="1" xfId="0" applyFont="1" applyFill="1" applyBorder="1" applyAlignment="1" applyProtection="1">
      <alignment vertical="top"/>
      <protection hidden="0" locked="0"/>
    </xf>
    <xf numFmtId="0" fontId="5" fillId="2" borderId="0" xfId="0" applyFont="1" applyFill="1" applyProtection="1">
      <protection hidden="0" locked="0"/>
    </xf>
    <xf numFmtId="0" fontId="3" fillId="0" borderId="0" xfId="0" applyFont="1" applyAlignment="1">
      <alignment vertical="top"/>
    </xf>
    <xf numFmtId="0" fontId="8" fillId="0" borderId="1" xfId="0" applyFont="1" applyBorder="1"/>
    <xf numFmtId="0" fontId="3" fillId="0" borderId="1" xfId="0" applyFont="1" applyBorder="1" applyAlignment="1">
      <alignment wrapText="1"/>
    </xf>
    <xf numFmtId="0" fontId="9" fillId="0" borderId="1" xfId="0" applyFont="1" applyBorder="1" applyAlignment="1">
      <alignment vertical="top"/>
    </xf>
    <xf numFmtId="0" fontId="4" fillId="0" borderId="1" xfId="0" applyFont="1" applyBorder="1"/>
    <xf numFmtId="0" fontId="5" fillId="2" borderId="1" xfId="0" applyFont="1" applyFill="1" applyBorder="1"/>
    <xf numFmtId="0" fontId="5" fillId="2" borderId="1" xfId="0" applyFont="1" applyFill="1" applyBorder="1" applyAlignment="1" applyProtection="1">
      <alignment vertical="top"/>
      <protection hidden="0" locked="0"/>
    </xf>
    <xf numFmtId="0" fontId="5" fillId="2" borderId="4" xfId="0" applyFont="1" applyFill="1" applyBorder="1" applyProtection="1">
      <protection hidden="0" locked="0"/>
    </xf>
    <xf numFmtId="0" fontId="5" fillId="2" borderId="1" xfId="0" applyFont="1" applyFill="1" applyBorder="1" applyProtection="1">
      <protection hidden="0"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93/cercor/bhs239" TargetMode="External"/><Relationship Id="rId2h" Type="http://schemas.openxmlformats.org/officeDocument/2006/relationships/hyperlink" Target="https://doi.org/10.1093/cercor/bhs239" TargetMode="External"/><Relationship Id="rId3h" Type="http://schemas.openxmlformats.org/officeDocument/2006/relationships/hyperlink" Target="https://doi.org/10.1121/1.4979116" TargetMode="External"/><Relationship Id="rId4h" Type="http://schemas.openxmlformats.org/officeDocument/2006/relationships/hyperlink" Target="https://doi.org/10.1121/1.4979116" TargetMode="External"/><Relationship Id="rId5h" Type="http://schemas.openxmlformats.org/officeDocument/2006/relationships/hyperlink" Target="https://doi.org/10.1523/JNEUROSCI.20-18-j0002.2000" TargetMode="External"/><Relationship Id="rId6h" Type="http://schemas.openxmlformats.org/officeDocument/2006/relationships/hyperlink" Target="https://doi.org/10.1523/JNEUROSCI.21-17-j0002.2001" TargetMode="External"/><Relationship Id="rId7h" Type="http://schemas.openxmlformats.org/officeDocument/2006/relationships/hyperlink" Target="https://doi.org/10.1002/ar.a.20278" TargetMode="External"/><Relationship Id="rId8h" Type="http://schemas.openxmlformats.org/officeDocument/2006/relationships/hyperlink" Target="https://doi.org/10.1016/0378-5955(94)90088-4" TargetMode="External"/><Relationship Id="rId9h" Type="http://schemas.openxmlformats.org/officeDocument/2006/relationships/hyperlink" Target="https://doi.org/10.1016/0378-5955(94)90088-4" TargetMode="External"/><Relationship Id="rId10h" Type="http://schemas.openxmlformats.org/officeDocument/2006/relationships/hyperlink" Target="https://doi.org/10.1002/ar.a.20255"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16/0378-5955(94)90240-2" TargetMode="External"/><Relationship Id="rId13h" Type="http://schemas.openxmlformats.org/officeDocument/2006/relationships/hyperlink" Target="https://doi.org/10.2307/1380801" TargetMode="External"/><Relationship Id="rId14h" Type="http://schemas.openxmlformats.org/officeDocument/2006/relationships/hyperlink" Target="https://doi.org/10.2307/1380801" TargetMode="External"/><Relationship Id="rId15h" Type="http://schemas.openxmlformats.org/officeDocument/2006/relationships/hyperlink" Target="https://doi.org/10.2307/1380801" TargetMode="External"/><Relationship Id="rId16h" Type="http://schemas.openxmlformats.org/officeDocument/2006/relationships/hyperlink" Target="https://doi.org/10.1016/0378-5955(94)90233-x" TargetMode="External"/><Relationship Id="rId17h" Type="http://schemas.openxmlformats.org/officeDocument/2006/relationships/hyperlink" Target="https://doi.org/10.1016/0378-5955(94)90233-x" TargetMode="External"/><Relationship Id="rId18h" Type="http://schemas.openxmlformats.org/officeDocument/2006/relationships/hyperlink" Target="https://doi.org/10.1016/0378-5955(94)90116-3" TargetMode="External"/><Relationship Id="rId19h" Type="http://schemas.openxmlformats.org/officeDocument/2006/relationships/hyperlink" Target="https://doi.org/10.1016/0378-5955(94)90116-3" TargetMode="External"/><Relationship Id="rId20h" Type="http://schemas.openxmlformats.org/officeDocument/2006/relationships/hyperlink" Target="https://doi.org/10.1016/s0378-5955(03)00233-8" TargetMode="External"/><Relationship Id="rId21h" Type="http://schemas.openxmlformats.org/officeDocument/2006/relationships/hyperlink" Target="https://doi.org/10.1016/s0378-5955(03)00233-8" TargetMode="External"/><Relationship Id="rId22h" Type="http://schemas.openxmlformats.org/officeDocument/2006/relationships/hyperlink" Target="https://doi.org/10.1016/s0378-5955(03)00233-8" TargetMode="External"/><Relationship Id="rId23h" Type="http://schemas.openxmlformats.org/officeDocument/2006/relationships/hyperlink" Target="https://doi.org/10.1016/j.heares.2007.06.001" TargetMode="External"/><Relationship Id="rId24h" Type="http://schemas.openxmlformats.org/officeDocument/2006/relationships/hyperlink" Target="https://doi.org/10.1016/j.heares.2007.06.001" TargetMode="External"/><Relationship Id="rId25h" Type="http://schemas.openxmlformats.org/officeDocument/2006/relationships/hyperlink" Target="https://doi.org/10.1016/j.heares.2012.09.011" TargetMode="External"/><Relationship Id="rId26h" Type="http://schemas.openxmlformats.org/officeDocument/2006/relationships/hyperlink" Target="https://doi.org/10.1016/j.heares.2012.09.011" TargetMode="External"/><Relationship Id="rId27h" Type="http://schemas.openxmlformats.org/officeDocument/2006/relationships/hyperlink" Target="https://doi.org/10.1016/j.heares.2012.09.011" TargetMode="External"/><Relationship Id="rId28h" Type="http://schemas.openxmlformats.org/officeDocument/2006/relationships/hyperlink" Target="https://doi.org/10.1121/1.4861344" TargetMode="External"/><Relationship Id="rId29h" Type="http://schemas.openxmlformats.org/officeDocument/2006/relationships/hyperlink" Target="https://doi.org/10.1121/1.4861344" TargetMode="External"/><Relationship Id="rId30h" Type="http://schemas.openxmlformats.org/officeDocument/2006/relationships/hyperlink" Target="https://doi.org/10.1121/1.4861344" TargetMode="External"/><Relationship Id="rId31h" Type="http://schemas.openxmlformats.org/officeDocument/2006/relationships/hyperlink" Target="https://doi.org/10.1121/1.4861344" TargetMode="External"/><Relationship Id="rId32h" Type="http://schemas.openxmlformats.org/officeDocument/2006/relationships/hyperlink" Target="https://doi.org/10.1002/ar.21292" TargetMode="External"/><Relationship Id="rId33h" Type="http://schemas.openxmlformats.org/officeDocument/2006/relationships/hyperlink" Target="https://doi.org/10.1093/cercor/11.6.558" TargetMode="External"/><Relationship Id="rId34h" Type="http://schemas.openxmlformats.org/officeDocument/2006/relationships/hyperlink" Target="https://doi.org/10.1093/cercor/11.6.558" TargetMode="External"/><Relationship Id="rId35h" Type="http://schemas.openxmlformats.org/officeDocument/2006/relationships/hyperlink" Target="https://doi.org/10.1016/s0378-5955(02)00458-6" TargetMode="External"/><Relationship Id="rId36h" Type="http://schemas.openxmlformats.org/officeDocument/2006/relationships/hyperlink" Target="https://doi.org/10.1016/s0378-5955(02)00458-6" TargetMode="External"/><Relationship Id="rId37h" Type="http://schemas.openxmlformats.org/officeDocument/2006/relationships/hyperlink" Target="https://doi.org/10.1016/s0378-5955(98)00037-9" TargetMode="External"/><Relationship Id="rId38h" Type="http://schemas.openxmlformats.org/officeDocument/2006/relationships/hyperlink" Target="https://doi.org/10.1016/s0378-5955(98)00037-9" TargetMode="External"/><Relationship Id="rId39h" Type="http://schemas.openxmlformats.org/officeDocument/2006/relationships/hyperlink" Target="https://doi.org/10.1016/s0378-5955(98)00037-9" TargetMode="External"/><Relationship Id="rId40h" Type="http://schemas.openxmlformats.org/officeDocument/2006/relationships/hyperlink" Target="https://doi.org/10.1016/j.mambio.2013.12.005" TargetMode="External"/><Relationship Id="rId41h" Type="http://schemas.openxmlformats.org/officeDocument/2006/relationships/hyperlink" Target="https://doi.org/10.1016/j.mambio.2013.12.005" TargetMode="External"/><Relationship Id="rId42h" Type="http://schemas.openxmlformats.org/officeDocument/2006/relationships/hyperlink" Target="https://doi.org/10.1098/rsbl.2010.0744" TargetMode="External"/><Relationship Id="rId43h" Type="http://schemas.openxmlformats.org/officeDocument/2006/relationships/hyperlink" Target="https://doi.org/10.1002/(SICI)1096-9861(19971006)386:4%3C661::AID-CNE11%3E3.0.CO;2-N" TargetMode="External"/><Relationship Id="rId44h" Type="http://schemas.openxmlformats.org/officeDocument/2006/relationships/hyperlink" Target="https://doi.org/10.1111/j.1439-0469.1985.tb00577.x"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1" summaryRight="1"/>
    <pageSetUpPr/>
  </sheetPr>
  <dimension ref="A1"/>
  <sheetViews>
    <sheetView tabSelected="true" zoomScaleNormal="100" workbookViewId="0">
      <pane ySplit="1" topLeftCell="A2" activePane="bottomLeft" state="frozen"/>
      <selection pane="bottomLeft" activeCell="A89" sqref="A89"/>
    </sheetView>
  </sheetViews>
  <sheetFormatPr defaultRowHeight="15.0" baseColWidth="10"/>
  <cols>
    <col min="1" max="1" width="174" hidden="0" customWidth="1"/>
    <col min="2" max="2" width="5.83203125" hidden="0" customWidth="1"/>
    <col min="3" max="3" width="30.5" hidden="0" customWidth="1"/>
    <col min="4" max="4" width="23.6640625" hidden="0" customWidth="1"/>
    <col min="5" max="5" width="1" hidden="0" customWidth="1"/>
    <col min="6" max="6" width="1" hidden="0" customWidth="1"/>
    <col min="7" max="7" width="1" hidden="0" customWidth="1"/>
    <col min="8" max="8" width="22.33203125" hidden="0" customWidth="1"/>
    <col min="9" max="9" width="5.1640625" hidden="0" customWidth="1"/>
    <col min="10" max="10" width="23.6640625" hidden="0" customWidth="1"/>
    <col min="11" max="11" width="22.332031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 min="34" max="34" width="27.5" hidden="0" customWidth="1"/>
  </cols>
  <sheetData>
    <row r="1" ht="17" customHeight="1">
      <c r="A1" s="1" t="inlineStr">
        <is>
          <t>Citation (APA 7th-Annotated)</t>
        </is>
      </c>
      <c r="B1" s="1" t="inlineStr">
        <is>
          <t>sequence</t>
        </is>
      </c>
      <c r="C1" s="1" t="inlineStr">
        <is>
          <t>xml:space="preserve"&gt;DOI if different from article or doi Alt </t>
        </is>
      </c>
      <c r="D1" s="1" t="inlineStr">
        <is>
          <t>Item number</t>
        </is>
      </c>
      <c r="E1" s="10" t="inlineStr">
        <is>
          <t>1st Author</t>
        </is>
      </c>
      <c r="F1" s="10" t="inlineStr">
        <is>
          <t>other author(s)</t>
        </is>
      </c>
      <c r="G1" s="10" t="inlineStr">
        <is>
          <t>year</t>
        </is>
      </c>
      <c r="H1" s="10" t="inlineStr">
        <is>
          <t>Publication name</t>
        </is>
      </c>
      <c r="I1" s="10" t="inlineStr">
        <is>
          <t>DOI (or Alt)</t>
        </is>
      </c>
      <c r="J1" s="10" t="inlineStr">
        <is>
          <t>Item name</t>
        </is>
      </c>
      <c r="K1" s="10" t="inlineStr">
        <is>
          <t>Item encoded</t>
        </is>
      </c>
      <c r="L1" s="10" t="s">
        <v>651</v>
      </c>
      <c r="M1" s="1" t="inlineStr">
        <is>
          <t>Item full original title</t>
        </is>
      </c>
      <c r="N1" s="1" t="inlineStr">
        <is>
          <t>Source format</t>
        </is>
      </c>
      <c r="O1" s="1" t="inlineStr">
        <is>
          <t>N.B.</t>
        </is>
      </c>
      <c r="P1" s="1" t="inlineStr">
        <is>
          <t>Progress stage</t>
        </is>
      </c>
      <c r="Q1" s="1" t="inlineStr">
        <is>
          <t>Snapshot name if unchanged</t>
        </is>
      </c>
      <c r="R1" s="1" t="inlineStr">
        <is>
          <t>Source URL link</t>
        </is>
      </c>
      <c r="S1" s="1" t="inlineStr">
        <is>
          <t>Flags pre-addressed</t>
        </is>
      </c>
      <c r="T1" s="1" t="inlineStr">
        <is>
          <t>Flags possible</t>
        </is>
      </c>
      <c r="U1" s="1" t="inlineStr">
        <is>
          <t>Flags active (skips)</t>
        </is>
      </c>
      <c r="V1" s="1" t="inlineStr">
        <is>
          <t>Topic</t>
        </is>
      </c>
      <c r="W1" s="1" t="inlineStr">
        <is>
          <t>Taxon</t>
        </is>
      </c>
      <c r="X1" s="1" t="inlineStr">
        <is>
          <t>Main Trait(s)</t>
        </is>
      </c>
      <c r="Y1" s="1" t="inlineStr">
        <is>
          <t>Other Trait(s)</t>
        </is>
      </c>
      <c r="Z1" s="1" t="inlineStr">
        <is>
          <t>Material type (e.g. histological, MRI)</t>
        </is>
      </c>
      <c r="AA1" s="1" t="inlineStr">
        <is>
          <t>Method</t>
        </is>
      </c>
      <c r="AB1" s="1" t="inlineStr">
        <is>
          <t>Measure type</t>
        </is>
      </c>
      <c r="AC1" s="1" t="inlineStr">
        <is>
          <t>Team</t>
        </is>
      </c>
      <c r="AD1" s="1" t="inlineStr">
        <is>
          <t>Collection</t>
        </is>
      </c>
      <c r="AE1" s="1" t="inlineStr">
        <is>
          <t>Data role (primary/secondary/both)</t>
        </is>
      </c>
      <c r="AF1" s="1" t="inlineStr">
        <is>
          <t>Source (if secondary)</t>
        </is>
      </c>
      <c r="AG1" s="3" t="inlineStr">
        <is>
          <t>recommendation</t>
        </is>
      </c>
      <c r="AH1" s="4" t="inlineStr">
        <is>
          <t>Human visual check of snapshot</t>
        </is>
      </c>
    </row>
    <row r="2" ht="17" customHeight="1">
      <c r="A2" s="1" t="inlineStr">
        <is>
          <t>Andelin, A. K., Olavarria, J. F., Fine, I., Taber, E. N., Schwartz, D., Kroenke, C. D., &amp; Stevens, A. A. (2019). The Effect of Onset Age of Visual Deprivation on Visual Cortex Surface Area Across-Species. Cereb Cortex, 29(10), 4321-4333. https://doi.org/10.1093/cercor/bhy315</t>
        </is>
      </c>
      <c r="D2" s="1" t="inlineStr">
        <is>
          <t>Table 4</t>
        </is>
      </c>
      <c r="E2" s="10" t="str">
        <f>SUBSTITUTE(SUBSTITUTE(_xlfn.TEXTBEFORE(A2,","), "-", ""), " ", "")</f>
        <v>Andelin</v>
      </c>
      <c r="F2" s="10"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10" t="str">
        <f>_xlfn.TEXTBEFORE(_xlfn.TEXTAFTER(A2, "("), ")")</f>
        <v>2019</v>
      </c>
      <c r="H2" s="10" t="str">
        <f>E2 &amp; IF(F2&lt;&gt;"", "_" &amp; SUBSTITUTE(F2," ",""), "_") &amp; IF(G2&lt;&gt;"", "_" &amp; G2, "_") &amp; IF(B2&lt;&gt;"", "_" &amp; B2, "")</f>
        <v>Andelin_etal_2019</v>
      </c>
      <c r="I2" s="10" t="str">
        <f>_xlfn.LET(
_xlpm.doi,IF(C2&lt;&gt;"",C2,_xlfn.TEXTAFTER(A2,"https://doi.org/")),
SUBSTITUTE(
SUBSTITUTE(
SUBSTITUTE(
SUBSTITUTE(
_xlpm.doi,
"/","%2F"),
":","%3A"),
"&lt;","%3C"),
"&gt;","%3E")
)</f>
        <v>10.1093%2Fcercor%2Fbhy315</v>
      </c>
      <c r="J2" s="10" t="str">
        <f>TRIM(_xlfn.TEXTJOIN("_",FALSE(),H2,(SUBSTITUTE(SUBSTITUTE(D2," ",""), "_", ""))))</f>
        <v>Andelin_etal_2019_Table4</v>
      </c>
      <c r="K2" s="10" t="str">
        <f>I2 &amp; "_" &amp; SUBSTITUTE(SUBSTITUTE(SUBSTITUTE(D2,CHAR(160),"")," ",""),"_","")</f>
        <v>10.1093%2Fcercor%2Fbhy315_Table4</v>
      </c>
      <c r="L2" s="10" t="str">
        <f t="array" ref="L2">IFERROR(INDEX(AUTO_Public_TSV_FileList!$A$1:$A$1000,MATCH(TRUE(),EXACT(K2,IFERROR(_xlfn.TEXTBEFORE(AUTO_Public_TSV_FileList!$A$1:$A$1000,".tsv"),"")),0)),"notfound")</f>
        <v>10.1093%2Fcercor%2Fbhy315_Table4.tsv</v>
      </c>
      <c r="M2" s="13"/>
      <c r="N2" s="1" t="inlineStr">
        <is>
          <t>table</t>
        </is>
      </c>
      <c r="O2" s="13"/>
      <c r="P2" s="1" t="inlineStr">
        <is>
          <t>FINISHED</t>
        </is>
      </c>
      <c r="Q2" s="13"/>
      <c r="R2" s="13"/>
      <c r="S2" s="13"/>
      <c r="T2" s="13"/>
      <c r="U2" s="13"/>
      <c r="V2" s="13"/>
      <c r="W2" s="1"/>
      <c r="X2" s="13"/>
      <c r="Y2" s="13"/>
      <c r="Z2" s="13"/>
      <c r="AA2" s="13"/>
      <c r="AB2" s="1"/>
      <c r="AC2" s="13"/>
      <c r="AD2" s="13"/>
      <c r="AE2" s="1"/>
      <c r="AF2" s="1"/>
      <c r="AG2" s="13"/>
    </row>
    <row r="3" ht="17" customHeight="1">
      <c r="A3" s="13" t="inlineStr">
        <is>
          <t>Armstrong, E. (1979). Quantitative comparison of the hominoid thalamus. I. Specific sensory relay nuclei. Am J Phys Anthropol, 51(3), 365-382. https://doi.org/10.1002/ajpa.1330510308</t>
        </is>
      </c>
      <c r="D3" s="13" t="inlineStr">
        <is>
          <t>Tables 1-9</t>
        </is>
      </c>
      <c r="E3" s="11" t="str">
        <f>SUBSTITUTE(SUBSTITUTE(_xlfn.TEXTBEFORE(A3,","), "-", ""), " ", "")</f>
        <v>Armstrong</v>
      </c>
      <c r="F3" s="10"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10" t="str">
        <f>_xlfn.TEXTBEFORE(_xlfn.TEXTAFTER(A3, "("), ")")</f>
        <v>1979</v>
      </c>
      <c r="H3" s="11" t="str">
        <f>E3 &amp; IF(F3&lt;&gt;"", "_" &amp; SUBSTITUTE(F3," ",""), "_") &amp; IF(G3&lt;&gt;"", "_" &amp; G3, "_") &amp; IF(B3&lt;&gt;"", "_" &amp; B3, "")</f>
        <v>Armstrong__1979</v>
      </c>
      <c r="I3" s="11" t="str">
        <f>_xlfn.LET(_xlpm.doi,IF(C3&lt;&gt;"",C3,_xlfn.TEXTAFTER(A3,"https://doi.org/")),SUBSTITUTE(SUBSTITUTE(SUBSTITUTE(SUBSTITUTE(_xlpm.doi,"/","%2F"),":","%3A"),"&lt;","%3C"),"&gt;","%3E"))</f>
        <v>10.1002%2Fajpa.1330510308</v>
      </c>
      <c r="J3" s="11" t="str">
        <f>TRIM(_xlfn.TEXTJOIN("_",FALSE(),H3,(SUBSTITUTE(SUBSTITUTE(D3," ",""), "_", ""))))</f>
        <v>Armstrong__1979_Tables1-9</v>
      </c>
      <c r="K3" s="10" t="str">
        <f>I3 &amp; "_" &amp; SUBSTITUTE(SUBSTITUTE(SUBSTITUTE(D3,CHAR(160),"")," ",""),"_","")</f>
        <v>10.1002%2Fajpa.1330510308_Tables1-9</v>
      </c>
      <c r="L3" s="10" t="str">
        <f t="array" ref="L3">IFERROR(INDEX(AUTO_Public_TSV_FileList!$A$1:$A$1000,MATCH(TRUE(),EXACT(K3,IFERROR(_xlfn.TEXTBEFORE(AUTO_Public_TSV_FileList!$A$1:$A$1000,".tsv"),"")),0)),"notfound")</f>
        <v>10.1002%2Fajpa.1330510308_Tables1-9.tsv</v>
      </c>
      <c r="M3" s="13" t="inlineStr">
        <is>
          <t>Tables 1-9. Hominoid thalamic sensory-relay nucleus volumes, neuronal densities and numbers, and neuronal-volume distributions</t>
        </is>
      </c>
      <c r="N3" s="13" t="inlineStr">
        <is>
          <t>tables</t>
        </is>
      </c>
      <c r="O3" s="13" t="inlineStr">
        <is>
          <t>Primary mixed-datatype series. Table 1 provides LGB, MGBp and VB volumes plus percent of dorsal thalamus; Tables 2-4 density; Table 5 LGB subcomponent volumes; Table 6 neuron counts; Tables 7-9 neuronal perikaryal-volume distributions. Split during build.</t>
        </is>
      </c>
      <c r="P3" s="1" t="inlineStr">
        <is>
          <t>FINISHED</t>
        </is>
      </c>
      <c r="Q3" s="13"/>
      <c r="R3" s="13" t="inlineStr">
        <is>
          <t>https://doi.org/10.1002/ajpa.1330510308</t>
        </is>
      </c>
      <c r="S3" s="13"/>
      <c r="T3" s="13" t="inlineStr">
        <is>
          <t>mixed datatypes; specimen abbreviations require a specimen crosswalk; some literature-comparison rows are secondary</t>
        </is>
      </c>
      <c r="U3" s="13"/>
      <c r="V3" s="13" t="inlineStr">
        <is>
          <t>thalamic sensory relay nuclei</t>
        </is>
      </c>
      <c r="W3" s="13" t="inlineStr">
        <is>
          <t>Hominoids</t>
        </is>
      </c>
      <c r="X3" s="13" t="inlineStr">
        <is>
          <t>regional volumes; neuronal density and number; neuronal size</t>
        </is>
      </c>
      <c r="Y3" s="13" t="inlineStr">
        <is>
          <t>LGB/LGBd; MGB parvocellular; ventrobasal complex; dorsal thalamus proportion; neuronal density; neuron number; neuronal perikaryal volume</t>
        </is>
      </c>
      <c r="Z3" s="13"/>
      <c r="AA3" s="13" t="inlineStr">
        <is>
          <t>histological volumetry; neuronal density/count estimation; neuronal perikaryal morphometry</t>
        </is>
      </c>
      <c r="AB3" s="13" t="inlineStr">
        <is>
          <t>volume + cell density/count + neuronal perikaryal volume</t>
        </is>
      </c>
      <c r="AC3" s="13" t="inlineStr">
        <is>
          <t>Armstrong</t>
        </is>
      </c>
      <c r="AD3" s="13"/>
      <c r="AE3" s="13" t="inlineStr">
        <is>
          <t>both</t>
        </is>
      </c>
      <c r="AF3" s="13"/>
      <c r="AG3" s="13" t="inlineStr">
        <is>
          <t>Keep specimen-level records and separate regional volume, cell density/count, and cell-size outputs.</t>
        </is>
      </c>
    </row>
    <row r="4" ht="17" customHeight="1">
      <c r="A4" s="1" t="inlineStr">
        <is>
          <t>Ashwell, K. W. S. (2020). Quantitative analysis of cerebellar morphology in monotreme, metatherian and eutherian mammals. Zoology (Jena), 139, 125753. https://doi.org/10.1016/j.zool.2020.125753</t>
        </is>
      </c>
      <c r="D4" s="1" t="inlineStr">
        <is>
          <t>Supplementary Table</t>
        </is>
      </c>
      <c r="E4" s="10" t="str">
        <f>SUBSTITUTE(SUBSTITUTE(_xlfn.TEXTBEFORE(A4,","), "-", ""), " ", "")</f>
        <v>Ashwell</v>
      </c>
      <c r="F4" s="10"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10" t="str">
        <f>_xlfn.TEXTBEFORE(_xlfn.TEXTAFTER(A4, "("), ")")</f>
        <v>2020</v>
      </c>
      <c r="H4" s="10" t="str">
        <f>E4 &amp; IF(F4&lt;&gt;"", "_" &amp; SUBSTITUTE(F4," ",""), "_") &amp; IF(G4&lt;&gt;"", "_" &amp; G4, "_") &amp; IF(B4&lt;&gt;"", "_" &amp; B4, "")</f>
        <v>Ashwell__2020</v>
      </c>
      <c r="I4" s="10" t="str">
        <f>_xlfn.LET(
_xlpm.doi,IF(C4&lt;&gt;"",C4,_xlfn.TEXTAFTER(A4,"https://doi.org/")),
SUBSTITUTE(
SUBSTITUTE(
SUBSTITUTE(
SUBSTITUTE(
_xlpm.doi,
"/","%2F"),
":","%3A"),
"&lt;","%3C"),
"&gt;","%3E")
)</f>
        <v>10.1016%2Fj.zool.2020.125753</v>
      </c>
      <c r="J4" s="10" t="str">
        <f>TRIM(_xlfn.TEXTJOIN("_",FALSE(),H4,(SUBSTITUTE(SUBSTITUTE(D4," ",""), "_", ""))))</f>
        <v>Ashwell__2020_SupplementaryTable</v>
      </c>
      <c r="K4" s="10" t="str">
        <f>I4 &amp; "_" &amp; SUBSTITUTE(SUBSTITUTE(SUBSTITUTE(D4,CHAR(160),"")," ",""),"_","")</f>
        <v>10.1016%2Fj.zool.2020.125753_SupplementaryTable</v>
      </c>
      <c r="L4" s="10" t="str">
        <f t="array" ref="L4">IFERROR(INDEX(AUTO_Public_TSV_FileList!$A$1:$A$1000,MATCH(TRUE(),EXACT(K4,IFERROR(_xlfn.TEXTBEFORE(AUTO_Public_TSV_FileList!$A$1:$A$1000,".tsv"),"")),0)),"notfound")</f>
        <v>10.1016%2Fj.zool.2020.125753_SupplementaryTable.tsv</v>
      </c>
      <c r="M4" s="1" t="inlineStr">
        <is>
          <t>Supplementary Table.  Cerebellar Morphology Data</t>
        </is>
      </c>
      <c r="N4" s="13"/>
      <c r="O4" s="13"/>
      <c r="P4" s="1" t="inlineStr">
        <is>
          <t>FINISHED</t>
        </is>
      </c>
      <c r="Q4" s="13"/>
      <c r="R4" s="13"/>
      <c r="S4" s="13"/>
      <c r="T4" s="13"/>
      <c r="U4" s="13"/>
      <c r="V4" s="13"/>
      <c r="W4" s="13"/>
      <c r="X4" s="13"/>
      <c r="Y4" s="13"/>
      <c r="Z4" s="13"/>
      <c r="AA4" s="13"/>
      <c r="AB4" s="13"/>
      <c r="AC4" s="1" t="inlineStr">
        <is>
          <t>Ashwell</t>
        </is>
      </c>
      <c r="AD4" s="13"/>
      <c r="AE4" s="13"/>
      <c r="AF4" s="13"/>
      <c r="AG4" s="13"/>
    </row>
    <row r="5" ht="17" customHeight="1">
      <c r="A5" s="1" t="inlineStr">
        <is>
          <t>Avelino-de-Souza, K., Patzke, N., Karlsson, K. A. E., Manger, P. R., &amp; Herculano-Houzel, S. (2025). Cellular Composition of the Brain of a Northern Minke Whale. J Comp Neurol, 533(9), e70089. https://doi.org/10.1002/cne.70089</t>
        </is>
      </c>
      <c r="D5" s="1" t="inlineStr">
        <is>
          <t>TABLE 1</t>
        </is>
      </c>
      <c r="E5" s="10" t="str">
        <f>SUBSTITUTE(SUBSTITUTE(_xlfn.TEXTBEFORE(A5,","), "-", ""), " ", "")</f>
        <v>AvelinodeSouza</v>
      </c>
      <c r="F5" s="10"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10" t="str">
        <f>_xlfn.TEXTBEFORE(_xlfn.TEXTAFTER(A5, "("), ")")</f>
        <v>2025</v>
      </c>
      <c r="H5" s="10" t="str">
        <f>E5 &amp; IF(F5&lt;&gt;"", "_" &amp; SUBSTITUTE(F5," ",""), "_") &amp; IF(G5&lt;&gt;"", "_" &amp; G5, "_") &amp; IF(B5&lt;&gt;"", "_" &amp; B5, "")</f>
        <v>AvelinodeSouza_etal_2025</v>
      </c>
      <c r="I5" s="10" t="str">
        <f>_xlfn.LET(
_xlpm.doi,IF(C5&lt;&gt;"",C5,_xlfn.TEXTAFTER(A5,"https://doi.org/")),
SUBSTITUTE(
SUBSTITUTE(
SUBSTITUTE(
SUBSTITUTE(
_xlpm.doi,
"/","%2F"),
":","%3A"),
"&lt;","%3C"),
"&gt;","%3E")
)</f>
        <v>10.1002%2Fcne.70089</v>
      </c>
      <c r="J5" s="10" t="str">
        <f>TRIM(_xlfn.TEXTJOIN("_",FALSE(),H5,(SUBSTITUTE(SUBSTITUTE(D5," ",""), "_", ""))))</f>
        <v>AvelinodeSouza_etal_2025_TABLE1</v>
      </c>
      <c r="K5" s="10" t="str">
        <f>I5 &amp; "_" &amp; SUBSTITUTE(SUBSTITUTE(SUBSTITUTE(D5,CHAR(160),"")," ",""),"_","")</f>
        <v>10.1002%2Fcne.70089_TABLE1</v>
      </c>
      <c r="L5" s="10" t="str">
        <f t="array" ref="L5">IFERROR(INDEX(AUTO_Public_TSV_FileList!$A$1:$A$1000,MATCH(TRUE(),EXACT(K5,IFERROR(_xlfn.TEXTBEFORE(AUTO_Public_TSV_FileList!$A$1:$A$1000,".tsv"),"")),0)),"notfound")</f>
        <v>10.1002%2Fcne.70089_TABLE1.tsv</v>
      </c>
      <c r="M5" s="1" t="inlineStr">
        <is>
          <t>Table 1. Cellular composition of the brain of a Northern minke whale (Balaenoptera acutorostrata)</t>
        </is>
      </c>
      <c r="N5" s="1" t="inlineStr">
        <is>
          <t>table</t>
        </is>
      </c>
      <c r="O5" s="13"/>
      <c r="P5" s="1" t="inlineStr">
        <is>
          <t>FINISHED</t>
        </is>
      </c>
      <c r="Q5" s="1"/>
      <c r="R5" s="1" t="inlineStr">
        <is>
          <t>https://doi.org/10.1002/cne.70089</t>
        </is>
      </c>
      <c r="S5" s="13"/>
      <c r="T5" s="13"/>
      <c r="U5" s="13"/>
      <c r="V5" s="1"/>
      <c r="W5" s="13" t="inlineStr">
        <is>
          <t>Cetaceans &amp; others</t>
        </is>
      </c>
      <c r="X5" s="1" t="inlineStr">
        <is>
          <t>neuron number</t>
        </is>
      </c>
      <c r="Y5" s="13"/>
      <c r="Z5" s="13"/>
      <c r="AA5" s="1" t="inlineStr">
        <is>
          <t>isotropic fractionator</t>
        </is>
      </c>
      <c r="AB5" s="1" t="inlineStr">
        <is>
          <t>cell count</t>
        </is>
      </c>
      <c r="AC5" s="1" t="inlineStr">
        <is>
          <t>HH</t>
        </is>
      </c>
      <c r="AD5" s="13"/>
      <c r="AE5" s="1" t="inlineStr">
        <is>
          <t>primary</t>
        </is>
      </c>
      <c r="AF5" s="1"/>
      <c r="AG5" s="13"/>
    </row>
    <row r="6" ht="17" customHeight="1">
      <c r="A6" s="9" t="inlineStr">
        <is>
          <t>Awbrey, F. T., Thomas, J. A., &amp; Kastelein, R. A. (1988). Low-frequency underwater hearing sensitivity in belugas, Delphinapterus leucas. J Acoust Soc Am, 84(6), 2273-2275. https://doi.org/10.1121/1.397022</t>
        </is>
      </c>
      <c r="D6" s="9" t="inlineStr">
        <is>
          <t>Table 1</t>
        </is>
      </c>
      <c r="E6" s="11" t="str">
        <f>SUBSTITUTE(SUBSTITUTE(_xlfn.TEXTBEFORE(A6,","), "-", ""), " ", "")</f>
        <v>Awbrey</v>
      </c>
      <c r="F6" s="10"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10" t="str">
        <f>_xlfn.TEXTBEFORE(_xlfn.TEXTAFTER(A6, "("), ")")</f>
        <v>1988</v>
      </c>
      <c r="H6" s="11" t="str">
        <f>E6 &amp; IF(F6&lt;&gt;"", "_" &amp; SUBSTITUTE(F6," ",""), "_") &amp; IF(G6&lt;&gt;"", "_" &amp; G6, "_") &amp; IF(B6&lt;&gt;"", "_" &amp; B6, "")</f>
        <v>Awbrey_etal_1988</v>
      </c>
      <c r="I6" s="11" t="str">
        <f>_xlfn.LET(_xlpm.doi,IF(C6&lt;&gt;"",C6,_xlfn.TEXTAFTER(A6,"https://doi.org/")),SUBSTITUTE(SUBSTITUTE(SUBSTITUTE(SUBSTITUTE(_xlpm.doi,"/","%2F"),":","%3A"),"&lt;","%3C"),"&gt;","%3E"))</f>
        <v>10.1121%2F1.397022</v>
      </c>
      <c r="J6" s="11" t="str">
        <f>TRIM(_xlfn.TEXTJOIN("_",FALSE(),H6,(SUBSTITUTE(SUBSTITUTE(D6," ",""), "_", ""))))</f>
        <v>Awbrey_etal_1988_Table1</v>
      </c>
      <c r="K6" s="10" t="str">
        <f>I6 &amp; "_" &amp; SUBSTITUTE(SUBSTITUTE(SUBSTITUTE(D6,CHAR(160),"")," ",""),"_","")</f>
        <v>10.1121%2F1.397022_Table1</v>
      </c>
      <c r="L6" s="10" t="str">
        <f t="array" ref="L6">IFERROR(INDEX(AUTO_Public_TSV_FileList!$A$1:$A$1000,MATCH(TRUE(),EXACT(K6,IFERROR(_xlfn.TEXTBEFORE(AUTO_Public_TSV_FileList!$A$1:$A$1000,".tsv"),"")),0)),"notfound")</f>
        <v>10.1121%2F1.397022_Table1.tsv</v>
      </c>
      <c r="M6" s="9" t="inlineStr">
        <is>
          <t>Beluga hearing threshold data in decibels (3 captive belugas, 125 Hz-8 kHz)</t>
        </is>
      </c>
      <c r="N6" s="9" t="inlineStr">
        <is>
          <t>PDF table</t>
        </is>
      </c>
      <c r="O6" s="9" t="inlineStr">
        <is>
          <t>Registry row added 2026-09-27. Built same day: snapshot/CSV/R/README/definitions uploaded; public TSV upload pending (connector timeout on __Public/comparative-data folder, retry later).</t>
        </is>
      </c>
      <c r="P6" s="9" t="inlineStr">
        <is>
          <t>BUILT (TSV upload pending)</t>
        </is>
      </c>
      <c r="Q6" s="9"/>
      <c r="R6" s="9"/>
      <c r="S6" s="9"/>
      <c r="T6" s="9"/>
      <c r="U6" s="9"/>
      <c r="V6" s="9"/>
      <c r="W6" s="9"/>
      <c r="X6" s="9"/>
      <c r="Y6" s="9"/>
      <c r="Z6" s="9"/>
      <c r="AA6" s="9"/>
      <c r="AB6" s="9"/>
      <c r="AC6" s="9"/>
      <c r="AD6" s="9"/>
      <c r="AE6" s="9"/>
      <c r="AF6" s="9"/>
      <c r="AG6" s="9"/>
    </row>
    <row r="7" ht="17" customHeight="1">
      <c r="A7" s="9" t="inlineStr">
        <is>
          <t>Babushina, Y. S., Zaslavskii, G., &amp; Yurkevich, L. (1991). Air and underwater hearing characteristics of the northern fur seal: audiograms, frequency and differential thresholds. Biophysics, 36(5), 909-913.</t>
        </is>
      </c>
      <c r="C7" t="inlineStr">
        <is>
          <t>Biophysics:36:909-913</t>
        </is>
      </c>
      <c r="D7" s="9"/>
      <c r="E7" s="11" t="str">
        <f>SUBSTITUTE(SUBSTITUTE(_xlfn.TEXTBEFORE(A7,","), "-", ""), " ", "")</f>
        <v>Babushina</v>
      </c>
      <c r="F7" s="10"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10" t="str">
        <f>_xlfn.TEXTBEFORE(_xlfn.TEXTAFTER(A7, "("), ")")</f>
        <v>1991</v>
      </c>
      <c r="H7" s="11" t="str">
        <f>E7 &amp; IF(F7&lt;&gt;"", "_" &amp; SUBSTITUTE(F7," ",""), "_") &amp; IF(G7&lt;&gt;"", "_" &amp; G7, "_") &amp; IF(B7&lt;&gt;"", "_" &amp; B7, "")</f>
        <v>Babushina_etal_1991</v>
      </c>
      <c r="I7" s="11" t="str">
        <f>_xlfn.LET(
_xlpm.doi,IF(C7&lt;&gt;"",C7,_xlfn.TEXTAFTER(A7,"https://doi.org/")),
SUBSTITUTE(
SUBSTITUTE(
SUBSTITUTE(
SUBSTITUTE(
_xlpm.doi,
"/","%2F"),
":","%3A"),
"&lt;","%3C"),
"&gt;","%3E")
)</f>
        <v>Biophysics%3A36%3A909-913</v>
      </c>
      <c r="J7" s="11" t="str">
        <f>TRIM(_xlfn.TEXTJOIN("_",FALSE(),H7,(SUBSTITUTE(SUBSTITUTE(D7," ",""), "_", ""))))</f>
        <v>Babushina_etal_1991_</v>
      </c>
      <c r="K7" s="10" t="str">
        <f>I7 &amp; "_" &amp; SUBSTITUTE(SUBSTITUTE(SUBSTITUTE(D7,CHAR(160),""), " ", ""), "_", "")</f>
        <v>Biophysics%3A36%3A909-913_</v>
      </c>
      <c r="L7" s="10" t="str">
        <f t="array" ref="L7">IFERROR(INDEX(AUTO_Public_TSV_FileList!$A$1:$A$1000,MATCH(TRUE(),EXACT(K7,IFERROR(_xlfn.TEXTBEFORE(AUTO_Public_TSV_FileList!$A$1:$A$1000,".tsv"),"")),0)),"notfound")</f>
        <v>notfound</v>
      </c>
      <c r="M7" s="9"/>
      <c r="N7" s="9"/>
      <c r="O7" s="9"/>
      <c r="P7" s="9"/>
      <c r="Q7" s="9"/>
      <c r="R7" s="9"/>
      <c r="S7" s="9"/>
      <c r="T7" s="9"/>
      <c r="U7" s="9"/>
      <c r="V7" s="9"/>
      <c r="W7" s="9"/>
      <c r="X7" s="9"/>
      <c r="Y7" s="9"/>
      <c r="Z7" s="9"/>
      <c r="AA7" s="9"/>
      <c r="AB7" s="9"/>
      <c r="AC7" s="9"/>
      <c r="AD7" s="9"/>
      <c r="AE7" s="9"/>
      <c r="AF7" s="9"/>
      <c r="AG7" s="9"/>
    </row>
    <row r="8" ht="17" customHeight="1">
      <c r="A8" s="9" t="inlineStr">
        <is>
          <t>Bahney, J., &amp; von Bartheld, C. S. (2018). The cellular composition and glia–neuron ratio in the spinal cord of a human and a nonhuman primate: Comparison with other species and brain regions. Anatomical Record, 301(4), 697–710. https://doi.org/10.1002/ar.23728</t>
        </is>
      </c>
      <c r="D8" s="9" t="inlineStr">
        <is>
          <t>TABLE 1</t>
        </is>
      </c>
      <c r="E8" s="11" t="str">
        <f>SUBSTITUTE(SUBSTITUTE(_xlfn.TEXTBEFORE(A8,","), "-", ""), " ", "")</f>
        <v>Bahney</v>
      </c>
      <c r="F8" s="10"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 s="10" t="str">
        <f>_xlfn.TEXTBEFORE(_xlfn.TEXTAFTER(A8, "("), ")")</f>
        <v>2018</v>
      </c>
      <c r="H8" s="11" t="str">
        <f>E8 &amp; IF(F8&lt;&gt;"", "_" &amp; SUBSTITUTE(F8," ",""), "_") &amp; IF(G8&lt;&gt;"", "_" &amp; G8, "_") &amp; IF(B8&lt;&gt;"", "_" &amp; B8, "")</f>
        <v>Bahney__2018</v>
      </c>
      <c r="I8" s="11" t="str">
        <f>_xlfn.LET(_xlpm.doi,IF(C8&lt;&gt;"",C8,_xlfn.TEXTAFTER(A8,"https://doi.org/")),SUBSTITUTE(SUBSTITUTE(SUBSTITUTE(SUBSTITUTE(_xlpm.doi,"/","%2F"),":","%3A"),"&lt;","%3C"),"&gt;","%3E"))</f>
        <v>10.1002%2Far.23728</v>
      </c>
      <c r="J8" s="11" t="str">
        <f>TRIM(_xlfn.TEXTJOIN("_",FALSE(),H8,(SUBSTITUTE(SUBSTITUTE(D8," ",""), "_", ""))))</f>
        <v>Bahney__2018_TABLE1</v>
      </c>
      <c r="K8" s="10" t="str">
        <f>I8 &amp; "_" &amp; SUBSTITUTE(SUBSTITUTE(SUBSTITUTE(D8,CHAR(160),"")," ",""),"_","")</f>
        <v>10.1002%2Far.23728_TABLE1</v>
      </c>
      <c r="L8" s="10" t="str">
        <f t="array" ref="L8">IFERROR(INDEX(AUTO_Public_TSV_FileList!$A$1:$A$1000,MATCH(TRUE(),EXACT(K8,IFERROR(_xlfn.TEXTBEFORE(AUTO_Public_TSV_FileList!$A$1:$A$1000,".tsv"),"")),0)),"notfound")</f>
        <v>notfound</v>
      </c>
      <c r="M8" s="9" t="inlineStr">
        <is>
          <t>TABLE 1. Estimates of cell numbers and ratios in the cynomolgus monkey spinal cord</t>
        </is>
      </c>
      <c r="N8" s="9" t="inlineStr">
        <is>
          <t>PDF table</t>
        </is>
      </c>
      <c r="O8" s="9" t="inlineStr">
        <is>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is>
      </c>
      <c r="P8" s="9" t="inlineStr">
        <is>
          <t>candidate</t>
        </is>
      </c>
      <c r="Q8" s="9"/>
      <c r="R8" s="9" t="inlineStr">
        <is>
          <t>https://doi.org/10.1002/ar.23728</t>
        </is>
      </c>
      <c r="S8" s="9" t="inlineStr">
        <is>
          <t>Citation and DOI confirmed via CrossRef (2026-09-30); not yet built.</t>
        </is>
      </c>
      <c r="T8" s="9" t="inlineStr">
        <is>
          <t>Keep as a separate team from Burish 2010 (registered).</t>
        </is>
      </c>
      <c r="U8" s="9"/>
      <c r="V8" s="9" t="inlineStr">
        <is>
          <t>spinal cord</t>
        </is>
      </c>
      <c r="W8" s="9" t="inlineStr">
        <is>
          <t>Human and cynomolgus macaque.</t>
        </is>
      </c>
      <c r="X8" s="9" t="inlineStr">
        <is>
          <t>spinal cord: neurons, glia, endothelial cells by segment; glia–neuron ratio</t>
        </is>
      </c>
      <c r="Y8" s="9"/>
      <c r="Z8" s="9" t="inlineStr">
        <is>
          <t>tissue homogenate &amp; histological sections</t>
        </is>
      </c>
      <c r="AA8" s="9" t="inlineStr">
        <is>
          <t>isotropic fractionator &amp; stereology</t>
        </is>
      </c>
      <c r="AB8" s="9" t="inlineStr">
        <is>
          <t>cell count; glia–neuron ratio</t>
        </is>
      </c>
      <c r="AC8" s="9" t="inlineStr">
        <is>
          <t>von Bartheld</t>
        </is>
      </c>
      <c r="AD8" s="9"/>
      <c r="AE8" s="9" t="inlineStr">
        <is>
          <t>primary</t>
        </is>
      </c>
      <c r="AF8" s="9"/>
      <c r="AG8" s="9" t="inlineStr">
        <is>
          <t>Priority 1. Access: Open (PMC5845477). Suggested home: __merging_cellcounts (spinal cord). Registry/roadmap status at scouting: Not registered.</t>
        </is>
      </c>
    </row>
    <row r="9" ht="17" customHeight="1">
      <c r="A9" s="9" t="inlineStr">
        <is>
          <t>Bahney, J., &amp; von Bartheld, C. S. (2018). The cellular composition and glia–neuron ratio in the spinal cord of a human and a nonhuman primate: Comparison with other species and brain regions. Anatomical Record, 301(4), 697–710. https://doi.org/10.1002/ar.23729</t>
        </is>
      </c>
      <c r="D9" s="9" t="inlineStr">
        <is>
          <t>TABLE 2</t>
        </is>
      </c>
      <c r="E9" s="11" t="str">
        <f>SUBSTITUTE(SUBSTITUTE(_xlfn.TEXTBEFORE(A9,","), "-", ""), " ", "")</f>
        <v>Bahney</v>
      </c>
      <c r="F9" s="10"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 s="10" t="str">
        <f>_xlfn.TEXTBEFORE(_xlfn.TEXTAFTER(A9, "("), ")")</f>
        <v>2018</v>
      </c>
      <c r="H9" s="11" t="str">
        <f>E9 &amp; IF(F9&lt;&gt;"", "_" &amp; SUBSTITUTE(F9," ",""), "_") &amp; IF(G9&lt;&gt;"", "_" &amp; G9, "_") &amp; IF(B9&lt;&gt;"", "_" &amp; B9, "")</f>
        <v>Bahney__2018</v>
      </c>
      <c r="I9" s="11" t="str">
        <f>_xlfn.LET(_xlpm.doi,IF(C9&lt;&gt;"",C9,_xlfn.TEXTAFTER(A9,"https://doi.org/")),SUBSTITUTE(SUBSTITUTE(SUBSTITUTE(SUBSTITUTE(_xlpm.doi,"/","%2F"),":","%3A"),"&lt;","%3C"),"&gt;","%3E"))</f>
        <v>10.1002%2Far.23729</v>
      </c>
      <c r="J9" s="11" t="str">
        <f>TRIM(_xlfn.TEXTJOIN("_",FALSE(),H9,(SUBSTITUTE(SUBSTITUTE(D9," ",""), "_", ""))))</f>
        <v>Bahney__2018_TABLE2</v>
      </c>
      <c r="K9" s="10" t="str">
        <f>I9 &amp; "_" &amp; SUBSTITUTE(SUBSTITUTE(SUBSTITUTE(D9,CHAR(160),"")," ",""),"_","")</f>
        <v>10.1002%2Far.23729_TABLE2</v>
      </c>
      <c r="L9" s="10" t="str">
        <f t="array" ref="L9">IFERROR(INDEX(AUTO_Public_TSV_FileList!$A$1:$A$1000,MATCH(TRUE(),EXACT(K9,IFERROR(_xlfn.TEXTBEFORE(AUTO_Public_TSV_FileList!$A$1:$A$1000,".tsv"),"")),0)),"notfound")</f>
        <v>notfound</v>
      </c>
      <c r="M9" s="9" t="inlineStr">
        <is>
          <t>TABLE 2. Estimates of cell numbers and ratios in the human spinal cord</t>
        </is>
      </c>
      <c r="N9" s="9"/>
      <c r="O9" s="9"/>
      <c r="P9" s="9"/>
      <c r="Q9" s="9"/>
      <c r="R9" s="9"/>
      <c r="S9" s="9"/>
      <c r="T9" s="9"/>
      <c r="U9" s="9"/>
      <c r="V9" s="9"/>
      <c r="W9" s="9"/>
      <c r="X9" s="9"/>
      <c r="Y9" s="9"/>
      <c r="Z9" s="9"/>
      <c r="AA9" s="9"/>
      <c r="AB9" s="9"/>
      <c r="AC9" s="9"/>
      <c r="AD9" s="9"/>
      <c r="AE9" s="9"/>
      <c r="AF9" s="9"/>
      <c r="AG9" s="9"/>
    </row>
    <row r="10" ht="17" customHeight="1">
      <c r="A10" s="9" t="inlineStr">
        <is>
          <t>Bahney, J., &amp; von Bartheld, C. S. (2018). The cellular composition and glia–neuron ratio in the spinal cord of a human and a nonhuman primate: Comparison with other species and brain regions. Anatomical Record, 301(4), 697–710. https://doi.org/10.1002/ar.23730</t>
        </is>
      </c>
      <c r="D10" s="9" t="inlineStr">
        <is>
          <t>TABLE 3</t>
        </is>
      </c>
      <c r="E10" s="11" t="str">
        <f>SUBSTITUTE(SUBSTITUTE(_xlfn.TEXTBEFORE(A10,","), "-", ""), " ", "")</f>
        <v>Bahney</v>
      </c>
      <c r="F10" s="10"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 s="10" t="str">
        <f>_xlfn.TEXTBEFORE(_xlfn.TEXTAFTER(A10, "("), ")")</f>
        <v>2018</v>
      </c>
      <c r="H10" s="11" t="str">
        <f>E10 &amp; IF(F10&lt;&gt;"", "_" &amp; SUBSTITUTE(F10," ",""), "_") &amp; IF(G10&lt;&gt;"", "_" &amp; G10, "_") &amp; IF(B10&lt;&gt;"", "_" &amp; B10, "")</f>
        <v>Bahney__2018</v>
      </c>
      <c r="I10" s="11" t="str">
        <f>_xlfn.LET(_xlpm.doi,IF(C10&lt;&gt;"",C10,_xlfn.TEXTAFTER(A10,"https://doi.org/")),SUBSTITUTE(SUBSTITUTE(SUBSTITUTE(SUBSTITUTE(_xlpm.doi,"/","%2F"),":","%3A"),"&lt;","%3C"),"&gt;","%3E"))</f>
        <v>10.1002%2Far.23730</v>
      </c>
      <c r="J10" s="11" t="str">
        <f>TRIM(_xlfn.TEXTJOIN("_",FALSE(),H10,(SUBSTITUTE(SUBSTITUTE(D10," ",""), "_", ""))))</f>
        <v>Bahney__2018_TABLE3</v>
      </c>
      <c r="K10" s="10" t="str">
        <f>I10 &amp; "_" &amp; SUBSTITUTE(SUBSTITUTE(SUBSTITUTE(D10,CHAR(160),"")," ",""),"_","")</f>
        <v>10.1002%2Far.23730_TABLE3</v>
      </c>
      <c r="L10" s="10" t="str">
        <f t="array" ref="L10">IFERROR(INDEX(AUTO_Public_TSV_FileList!$A$1:$A$1000,MATCH(TRUE(),EXACT(K10,IFERROR(_xlfn.TEXTBEFORE(AUTO_Public_TSV_FileList!$A$1:$A$1000,".tsv"),"")),0)),"notfound")</f>
        <v>notfound</v>
      </c>
      <c r="M10" s="9" t="inlineStr">
        <is>
          <t>TABLE 3. Glia–neuron ratios (GNRs) for cerebral cortex, cerebellum, and spinal cord in different vertebrate species</t>
        </is>
      </c>
      <c r="N10" s="9"/>
      <c r="O10" s="9"/>
      <c r="P10" s="9"/>
      <c r="Q10" s="9"/>
      <c r="R10" s="9"/>
      <c r="S10" s="9"/>
      <c r="T10" s="9"/>
      <c r="U10" s="9"/>
      <c r="V10" s="9"/>
      <c r="W10" s="9"/>
      <c r="X10" s="9"/>
      <c r="Y10" s="9"/>
      <c r="Z10" s="9"/>
      <c r="AA10" s="9"/>
      <c r="AB10" s="9"/>
      <c r="AC10" s="9"/>
      <c r="AD10" s="9"/>
      <c r="AE10" s="9"/>
      <c r="AF10" s="9"/>
      <c r="AG10" s="9"/>
    </row>
    <row r="11" ht="17" customHeight="1">
      <c r="A11" s="9" t="inlineStr">
        <is>
          <t>Bahney, J., &amp; von Bartheld, C. S. (2018). The cellular composition and glia–neuron ratio in the spinal cord of a human and a nonhuman primate: Comparison with other species and brain regions. Anatomical Record, 301(4), 697–710. https://doi.org/10.1002/ar.23731</t>
        </is>
      </c>
      <c r="D11" s="9" t="inlineStr">
        <is>
          <t>TABLE 4</t>
        </is>
      </c>
      <c r="E11" s="11" t="str">
        <f>SUBSTITUTE(SUBSTITUTE(_xlfn.TEXTBEFORE(A11,","), "-", ""), " ", "")</f>
        <v>Bahney</v>
      </c>
      <c r="F11" s="10"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 s="10" t="str">
        <f>_xlfn.TEXTBEFORE(_xlfn.TEXTAFTER(A11, "("), ")")</f>
        <v>2018</v>
      </c>
      <c r="H11" s="11" t="str">
        <f>E11 &amp; IF(F11&lt;&gt;"", "_" &amp; SUBSTITUTE(F11," ",""), "_") &amp; IF(G11&lt;&gt;"", "_" &amp; G11, "_") &amp; IF(B11&lt;&gt;"", "_" &amp; B11, "")</f>
        <v>Bahney__2018</v>
      </c>
      <c r="I11" s="11" t="str">
        <f>_xlfn.LET(_xlpm.doi,IF(C11&lt;&gt;"",C11,_xlfn.TEXTAFTER(A11,"https://doi.org/")),SUBSTITUTE(SUBSTITUTE(SUBSTITUTE(SUBSTITUTE(_xlpm.doi,"/","%2F"),":","%3A"),"&lt;","%3C"),"&gt;","%3E"))</f>
        <v>10.1002%2Far.23731</v>
      </c>
      <c r="J11" s="11" t="str">
        <f>TRIM(_xlfn.TEXTJOIN("_",FALSE(),H11,(SUBSTITUTE(SUBSTITUTE(D11," ",""), "_", ""))))</f>
        <v>Bahney__2018_TABLE4</v>
      </c>
      <c r="K11" s="10" t="str">
        <f>I11 &amp; "_" &amp; SUBSTITUTE(SUBSTITUTE(SUBSTITUTE(D11,CHAR(160),"")," ",""),"_","")</f>
        <v>10.1002%2Far.23731_TABLE4</v>
      </c>
      <c r="L11" s="10" t="str">
        <f t="array" ref="L11">IFERROR(INDEX(AUTO_Public_TSV_FileList!$A$1:$A$1000,MATCH(TRUE(),EXACT(K11,IFERROR(_xlfn.TEXTBEFORE(AUTO_Public_TSV_FileList!$A$1:$A$1000,".tsv"),"")),0)),"notfound")</f>
        <v>notfound</v>
      </c>
      <c r="M11" s="9" t="inlineStr">
        <is>
          <t>TABLE 4. Non-neuron to neuron ratios (nNNRs) of different CNS parts among vertebrate species</t>
        </is>
      </c>
      <c r="N11" s="9"/>
      <c r="O11" s="9"/>
      <c r="P11" s="9"/>
      <c r="Q11" s="9"/>
      <c r="R11" s="9"/>
      <c r="S11" s="9"/>
      <c r="T11" s="9"/>
      <c r="U11" s="9"/>
      <c r="V11" s="9"/>
      <c r="W11" s="9"/>
      <c r="X11" s="9"/>
      <c r="Y11" s="9"/>
      <c r="Z11" s="9"/>
      <c r="AA11" s="9"/>
      <c r="AB11" s="9"/>
      <c r="AC11" s="9"/>
      <c r="AD11" s="9"/>
      <c r="AE11" s="9"/>
      <c r="AF11" s="9"/>
      <c r="AG11" s="9"/>
    </row>
    <row r="12" ht="17" customHeight="1">
      <c r="A12" s="1" t="inlineStr">
        <is>
          <t>Baker, J., Barton, R. A., &amp; Venditti, C. (2025). Human dexterity and brains evolved hand in hand. Communications Biology, 8(1). https://doi.org/10.1038/s42003-025-08686-5</t>
        </is>
      </c>
      <c r="D12" s="1" t="inlineStr">
        <is>
          <t>Supplementary Data 1</t>
        </is>
      </c>
      <c r="E12" s="10" t="str">
        <f>SUBSTITUTE(SUBSTITUTE(_xlfn.TEXTBEFORE(A12,","), "-", ""), " ", "")</f>
        <v>Baker</v>
      </c>
      <c r="F12" s="10"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10" t="str">
        <f>_xlfn.TEXTBEFORE(_xlfn.TEXTAFTER(A12, "("), ")")</f>
        <v>2025</v>
      </c>
      <c r="H12" s="10" t="str">
        <f>E12 &amp; IF(F12&lt;&gt;"", "_" &amp; SUBSTITUTE(F12," ",""), "_") &amp; IF(G12&lt;&gt;"", "_" &amp; G12, "_") &amp; IF(B12&lt;&gt;"", "_" &amp; B12, "")</f>
        <v>Baker_etal_2025</v>
      </c>
      <c r="I12" s="10" t="str">
        <f>_xlfn.LET(
_xlpm.doi,IF(C12&lt;&gt;"",C12,_xlfn.TEXTAFTER(A12,"https://doi.org/")),
SUBSTITUTE(
SUBSTITUTE(
SUBSTITUTE(
SUBSTITUTE(
_xlpm.doi,
"/","%2F"),
":","%3A"),
"&lt;","%3C"),
"&gt;","%3E")
)</f>
        <v>10.1038%2Fs42003-025-08686-5</v>
      </c>
      <c r="J12" s="10" t="str">
        <f>TRIM(_xlfn.TEXTJOIN("_",FALSE(),H12,(SUBSTITUTE(SUBSTITUTE(D12," ",""), "_", ""))))</f>
        <v>Baker_etal_2025_SupplementaryData1</v>
      </c>
      <c r="K12" s="10" t="str">
        <f>I12 &amp; "_" &amp; SUBSTITUTE(SUBSTITUTE(SUBSTITUTE(D12,CHAR(160),"")," ",""),"_","")</f>
        <v>10.1038%2Fs42003-025-08686-5_SupplementaryData1</v>
      </c>
      <c r="L12" s="10" t="str">
        <f t="array" ref="L12">IFERROR(INDEX(AUTO_Public_TSV_FileList!$A$1:$A$1000,MATCH(TRUE(),EXACT(K12,IFERROR(_xlfn.TEXTBEFORE(AUTO_Public_TSV_FileList!$A$1:$A$1000,".tsv"),"")),0)),"notfound")</f>
        <v>10.1038%2Fs42003-025-08686-5_SupplementaryData1.tsv</v>
      </c>
      <c r="M12" s="1"/>
      <c r="N12" s="1"/>
      <c r="O12" s="13"/>
      <c r="P12" s="1" t="inlineStr">
        <is>
          <t>FINISHED</t>
        </is>
      </c>
      <c r="Q12" s="1"/>
      <c r="R12" s="1"/>
      <c r="S12" s="13"/>
      <c r="T12" s="13"/>
      <c r="U12" s="13"/>
      <c r="V12" s="1"/>
      <c r="W12" s="1"/>
      <c r="X12" s="1"/>
      <c r="Y12" s="13"/>
      <c r="Z12" s="13"/>
      <c r="AA12" s="1"/>
      <c r="AB12" s="1"/>
      <c r="AC12" s="1"/>
      <c r="AD12" s="13"/>
      <c r="AE12" s="1"/>
      <c r="AF12" s="1"/>
      <c r="AG12" s="13"/>
    </row>
    <row r="13" ht="17" customHeight="1">
      <c r="A13" s="1" t="inlineStr">
        <is>
          <t>Ballesteros-Yáñez, I., Benavides-Piccione, R., Elston, G. N., Yuste, R., &amp; DeFelipe, J. (2006). Density and morphology of dendritic spines in mouse neocortex. Neuroscience, 138(2), 403-409. https://doi.org/10.1016/j.neuroscience.2005.11.038</t>
        </is>
      </c>
      <c r="D13" s="1" t="inlineStr">
        <is>
          <t>Figure 3A</t>
        </is>
      </c>
      <c r="E13" s="10" t="str">
        <f>SUBSTITUTE(SUBSTITUTE(_xlfn.TEXTBEFORE(A13,","), "-", ""), " ", "")</f>
        <v>BallesterosYáñez</v>
      </c>
      <c r="F13" s="10"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 s="10" t="str">
        <f>_xlfn.TEXTBEFORE(_xlfn.TEXTAFTER(A13, "("), ")")</f>
        <v>2006</v>
      </c>
      <c r="H13" s="10" t="str">
        <f>E13 &amp; IF(F13&lt;&gt;"", "_" &amp; SUBSTITUTE(F13," ",""), "_") &amp; IF(G13&lt;&gt;"", "_" &amp; G13, "_") &amp; IF(B13&lt;&gt;"", "_" &amp; B13, "")</f>
        <v>BallesterosYáñez__2006</v>
      </c>
      <c r="I13" s="10" t="str">
        <f>_xlfn.LET(
_xlpm.doi,IF(C13&lt;&gt;"",C13,_xlfn.TEXTAFTER(A13,"https://doi.org/")),
SUBSTITUTE(
SUBSTITUTE(
SUBSTITUTE(
SUBSTITUTE(
_xlpm.doi,
"/","%2F"),
":","%3A"),
"&lt;","%3C"),
"&gt;","%3E")
)</f>
        <v>10.1016%2Fj.neuroscience.2005.11.038</v>
      </c>
      <c r="J13" s="10" t="str">
        <f>TRIM(_xlfn.TEXTJOIN("_",FALSE(),H13,(SUBSTITUTE(SUBSTITUTE(D13," ",""), "_", ""))))</f>
        <v>BallesterosYáñez__2006_Figure3A</v>
      </c>
      <c r="K13" s="10" t="str">
        <f>I13 &amp; "_" &amp; SUBSTITUTE(SUBSTITUTE(SUBSTITUTE(D13,CHAR(160),"")," ",""),"_","")</f>
        <v>10.1016%2Fj.neuroscience.2005.11.038_Figure3A</v>
      </c>
      <c r="L13" s="10" t="str">
        <f t="array" ref="L13">IFERROR(INDEX(AUTO_Public_TSV_FileList!$A$1:$A$1000,MATCH(TRUE(),EXACT(K13,IFERROR(_xlfn.TEXTBEFORE(AUTO_Public_TSV_FileList!$A$1:$A$1000,".tsv"),"")),0)),"notfound")</f>
        <v>10.1016%2Fj.neuroscience.2005.11.038_Figure3A.tsv</v>
      </c>
      <c r="M13" s="1"/>
      <c r="N13" s="1"/>
      <c r="O13" s="13"/>
      <c r="P13" s="1"/>
      <c r="Q13" s="1"/>
      <c r="R13" s="1"/>
      <c r="S13" s="13"/>
      <c r="T13" s="13"/>
      <c r="U13" s="13"/>
      <c r="V13" s="1"/>
      <c r="W13" s="1"/>
      <c r="X13" s="1"/>
      <c r="Y13" s="13"/>
      <c r="Z13" s="13"/>
      <c r="AA13" s="1"/>
      <c r="AB13" s="1"/>
      <c r="AC13" s="1"/>
      <c r="AD13" s="13"/>
      <c r="AE13" s="1"/>
      <c r="AF13" s="1"/>
      <c r="AG13" s="13"/>
    </row>
    <row r="14" ht="17" customHeight="1">
      <c r="A14" s="1" t="inlineStr">
        <is>
          <t>Ballesteros-Yáñez, I., Benavides-Piccione, R., Elston, G. N., Yuste, R., &amp; DeFelipe, J. (2006). Density and morphology of dendritic spines in mouse neocortex. Neuroscience, 138(2), 403-409. https://doi.org/10.1016/j.neuroscience.2005.11.038</t>
        </is>
      </c>
      <c r="D14" s="1" t="inlineStr">
        <is>
          <t>Figure 3B</t>
        </is>
      </c>
      <c r="E14" s="10" t="str">
        <f>SUBSTITUTE(SUBSTITUTE(_xlfn.TEXTBEFORE(A14,","), "-", ""), " ", "")</f>
        <v>BallesterosYáñez</v>
      </c>
      <c r="F14" s="10"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 s="10" t="str">
        <f>_xlfn.TEXTBEFORE(_xlfn.TEXTAFTER(A14, "("), ")")</f>
        <v>2006</v>
      </c>
      <c r="H14" s="10" t="str">
        <f>E14 &amp; IF(F14&lt;&gt;"", "_" &amp; SUBSTITUTE(F14," ",""), "_") &amp; IF(G14&lt;&gt;"", "_" &amp; G14, "_") &amp; IF(B14&lt;&gt;"", "_" &amp; B14, "")</f>
        <v>BallesterosYáñez__2006</v>
      </c>
      <c r="I14" s="10" t="str">
        <f>_xlfn.LET(
_xlpm.doi,IF(C14&lt;&gt;"",C14,_xlfn.TEXTAFTER(A14,"https://doi.org/")),
SUBSTITUTE(
SUBSTITUTE(
SUBSTITUTE(
SUBSTITUTE(
_xlpm.doi,
"/","%2F"),
":","%3A"),
"&lt;","%3C"),
"&gt;","%3E")
)</f>
        <v>10.1016%2Fj.neuroscience.2005.11.038</v>
      </c>
      <c r="J14" s="10" t="str">
        <f>TRIM(_xlfn.TEXTJOIN("_",FALSE(),H14,(SUBSTITUTE(SUBSTITUTE(D14," ",""), "_", ""))))</f>
        <v>BallesterosYáñez__2006_Figure3B</v>
      </c>
      <c r="K14" s="10" t="str">
        <f>I14 &amp; "_" &amp; SUBSTITUTE(SUBSTITUTE(SUBSTITUTE(D14,CHAR(160),"")," ",""),"_","")</f>
        <v>10.1016%2Fj.neuroscience.2005.11.038_Figure3B</v>
      </c>
      <c r="L14" s="10" t="str">
        <f t="array" ref="L14">IFERROR(INDEX(AUTO_Public_TSV_FileList!$A$1:$A$1000,MATCH(TRUE(),EXACT(K14,IFERROR(_xlfn.TEXTBEFORE(AUTO_Public_TSV_FileList!$A$1:$A$1000,".tsv"),"")),0)),"notfound")</f>
        <v>10.1016%2Fj.neuroscience.2005.11.038_Figure3B.tsv</v>
      </c>
      <c r="M14" s="1"/>
      <c r="N14" s="1"/>
      <c r="O14" s="13"/>
      <c r="P14" s="1"/>
      <c r="Q14" s="1"/>
      <c r="R14" s="1"/>
      <c r="S14" s="13"/>
      <c r="T14" s="13"/>
      <c r="U14" s="13"/>
      <c r="V14" s="1"/>
      <c r="W14" s="1"/>
      <c r="X14" s="1"/>
      <c r="Y14" s="13"/>
      <c r="Z14" s="13"/>
      <c r="AA14" s="1"/>
      <c r="AB14" s="1"/>
      <c r="AC14" s="1"/>
      <c r="AD14" s="13"/>
      <c r="AE14" s="1"/>
      <c r="AF14" s="1"/>
      <c r="AG14" s="13"/>
    </row>
    <row r="15" ht="17" customHeight="1">
      <c r="A15" s="1" t="inlineStr">
        <is>
          <t>Ballesteros-Yáñez, I., Benavides-Piccione, R., Elston, G. N., Yuste, R., &amp; DeFelipe, J. (2006). Density and morphology of dendritic spines in mouse neocortex. Neuroscience, 138(2), 403-409. https://doi.org/10.1016/j.neuroscience.2005.11.038</t>
        </is>
      </c>
      <c r="D15" s="1" t="inlineStr">
        <is>
          <t>Figure 3C</t>
        </is>
      </c>
      <c r="E15" s="10" t="str">
        <f>SUBSTITUTE(SUBSTITUTE(_xlfn.TEXTBEFORE(A15,","), "-", ""), " ", "")</f>
        <v>BallesterosYáñez</v>
      </c>
      <c r="F15" s="10"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 s="10" t="str">
        <f>_xlfn.TEXTBEFORE(_xlfn.TEXTAFTER(A15, "("), ")")</f>
        <v>2006</v>
      </c>
      <c r="H15" s="10" t="str">
        <f>E15 &amp; IF(F15&lt;&gt;"", "_" &amp; SUBSTITUTE(F15," ",""), "_") &amp; IF(G15&lt;&gt;"", "_" &amp; G15, "_") &amp; IF(B15&lt;&gt;"", "_" &amp; B15, "")</f>
        <v>BallesterosYáñez__2006</v>
      </c>
      <c r="I15" s="10" t="str">
        <f>_xlfn.LET(
_xlpm.doi,IF(C15&lt;&gt;"",C15,_xlfn.TEXTAFTER(A15,"https://doi.org/")),
SUBSTITUTE(
SUBSTITUTE(
SUBSTITUTE(
SUBSTITUTE(
_xlpm.doi,
"/","%2F"),
":","%3A"),
"&lt;","%3C"),
"&gt;","%3E")
)</f>
        <v>10.1016%2Fj.neuroscience.2005.11.038</v>
      </c>
      <c r="J15" s="10" t="str">
        <f>TRIM(_xlfn.TEXTJOIN("_",FALSE(),H15,(SUBSTITUTE(SUBSTITUTE(D15," ",""), "_", ""))))</f>
        <v>BallesterosYáñez__2006_Figure3C</v>
      </c>
      <c r="K15" s="10" t="str">
        <f>I15 &amp; "_" &amp; SUBSTITUTE(SUBSTITUTE(SUBSTITUTE(D15,CHAR(160),"")," ",""),"_","")</f>
        <v>10.1016%2Fj.neuroscience.2005.11.038_Figure3C</v>
      </c>
      <c r="L15" s="10" t="str">
        <f t="array" ref="L15">IFERROR(INDEX(AUTO_Public_TSV_FileList!$A$1:$A$1000,MATCH(TRUE(),EXACT(K15,IFERROR(_xlfn.TEXTBEFORE(AUTO_Public_TSV_FileList!$A$1:$A$1000,".tsv"),"")),0)),"notfound")</f>
        <v>10.1016%2Fj.neuroscience.2005.11.038_Figure3C.tsv</v>
      </c>
      <c r="M15" s="1"/>
      <c r="N15" s="1" t="inlineStr">
        <is>
          <t>the text is written on the figure so no image analysis required, just take the numbers for the regions</t>
        </is>
      </c>
      <c r="O15" s="13"/>
      <c r="P15" s="1"/>
      <c r="Q15" s="1"/>
      <c r="R15" s="1"/>
      <c r="S15" s="13"/>
      <c r="T15" s="13"/>
      <c r="U15" s="13"/>
      <c r="V15" s="1"/>
      <c r="W15" s="1"/>
      <c r="X15" s="1"/>
      <c r="Y15" s="13"/>
      <c r="Z15" s="13"/>
      <c r="AA15" s="1"/>
      <c r="AB15" s="1"/>
      <c r="AC15" s="1"/>
      <c r="AD15" s="13"/>
      <c r="AE15" s="1"/>
      <c r="AF15" s="1"/>
      <c r="AG15" s="13"/>
    </row>
    <row r="16" ht="17" customHeight="1">
      <c r="A16" s="1" t="inlineStr">
        <is>
          <t>Ballesteros-Yáñez, I., Benavides-Piccione, R., Elston, G. N., Yuste, R., &amp; DeFelipe, J. (2006). Density and morphology of dendritic spines in mouse neocortex. Neuroscience, 138(2), 403-409. https://doi.org/10.1016/j.neuroscience.2005.11.038</t>
        </is>
      </c>
      <c r="D16" s="1" t="inlineStr">
        <is>
          <t>Table 1</t>
        </is>
      </c>
      <c r="E16" s="10" t="str">
        <f>SUBSTITUTE(SUBSTITUTE(_xlfn.TEXTBEFORE(A16,","), "-", ""), " ", "")</f>
        <v>BallesterosYáñez</v>
      </c>
      <c r="F16" s="10"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 s="10" t="str">
        <f>_xlfn.TEXTBEFORE(_xlfn.TEXTAFTER(A16, "("), ")")</f>
        <v>2006</v>
      </c>
      <c r="H16" s="10" t="str">
        <f>E16 &amp; IF(F16&lt;&gt;"", "_" &amp; SUBSTITUTE(F16," ",""), "_") &amp; IF(G16&lt;&gt;"", "_" &amp; G16, "_") &amp; IF(B16&lt;&gt;"", "_" &amp; B16, "")</f>
        <v>BallesterosYáñez__2006</v>
      </c>
      <c r="I16" s="10" t="str">
        <f>_xlfn.LET(
_xlpm.doi,IF(C16&lt;&gt;"",C16,_xlfn.TEXTAFTER(A16,"https://doi.org/")),
SUBSTITUTE(
SUBSTITUTE(
SUBSTITUTE(
SUBSTITUTE(
_xlpm.doi,
"/","%2F"),
":","%3A"),
"&lt;","%3C"),
"&gt;","%3E")
)</f>
        <v>10.1016%2Fj.neuroscience.2005.11.038</v>
      </c>
      <c r="J16" s="10" t="str">
        <f>TRIM(_xlfn.TEXTJOIN("_",FALSE(),H16,(SUBSTITUTE(SUBSTITUTE(D16," ",""), "_", ""))))</f>
        <v>BallesterosYáñez__2006_Table1</v>
      </c>
      <c r="K16" s="10" t="str">
        <f>I16 &amp; "_" &amp; SUBSTITUTE(SUBSTITUTE(SUBSTITUTE(D16,CHAR(160),"")," ",""),"_","")</f>
        <v>10.1016%2Fj.neuroscience.2005.11.038_Table1</v>
      </c>
      <c r="L16" s="10" t="str">
        <f t="array" ref="L16">IFERROR(INDEX(AUTO_Public_TSV_FileList!$A$1:$A$1000,MATCH(TRUE(),EXACT(K16,IFERROR(_xlfn.TEXTBEFORE(AUTO_Public_TSV_FileList!$A$1:$A$1000,".tsv"),"")),0)),"notfound")</f>
        <v>10.1016%2Fj.neuroscience.2005.11.038_Table1.tsv</v>
      </c>
      <c r="M16" s="1" t="inlineStr">
        <is>
          <t>Table 1. Morphometric values (means S.E.M.) of dendritic spines of layer III pyramidal cells sampled in mouse M2, S2 and V2L/TeA</t>
        </is>
      </c>
      <c r="N16" s="1"/>
      <c r="O16" s="13"/>
      <c r="P16" s="1"/>
      <c r="Q16" s="1"/>
      <c r="R16" s="1"/>
      <c r="S16" s="13"/>
      <c r="T16" s="13"/>
      <c r="U16" s="13"/>
      <c r="V16" s="1"/>
      <c r="W16" s="1"/>
      <c r="X16" s="1"/>
      <c r="Y16" s="13"/>
      <c r="Z16" s="13"/>
      <c r="AA16" s="1"/>
      <c r="AB16" s="1"/>
      <c r="AC16" s="1"/>
      <c r="AD16" s="13"/>
      <c r="AE16" s="1"/>
      <c r="AF16" s="1"/>
      <c r="AG16" s="13"/>
    </row>
    <row r="17" ht="17" customHeight="1">
      <c r="A17" s="13" t="inlineStr">
        <is>
          <t>Balzeau, A., Holloway, R. L., &amp; Grimaud-Hervé, D. (2012). Variations and asymmetries in regional brain surface in the genus Homo. J Hum Evol, 62(6), 696-706. https://doi.org/10.1016/j.jhevol.2012.03.007</t>
        </is>
      </c>
      <c r="D17" s="1" t="inlineStr">
        <is>
          <t>Table 2</t>
        </is>
      </c>
      <c r="E17" s="10" t="str">
        <f>SUBSTITUTE(SUBSTITUTE(_xlfn.TEXTBEFORE(A17,","), "-", ""), " ", "")</f>
        <v>Balzeau</v>
      </c>
      <c r="F17" s="10"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0" t="str">
        <f>_xlfn.TEXTBEFORE(_xlfn.TEXTAFTER(A17, "("), ")")</f>
        <v>2012</v>
      </c>
      <c r="H17" s="10" t="str">
        <f>E17 &amp; IF(F17&lt;&gt;"", "_" &amp; SUBSTITUTE(F17," ",""), "_") &amp; IF(G17&lt;&gt;"", "_" &amp; G17, "_") &amp; IF(B17&lt;&gt;"", "_" &amp; B17, "")</f>
        <v>Balzeau_etal_2012</v>
      </c>
      <c r="I17" s="10" t="str">
        <f>_xlfn.LET(
_xlpm.doi,IF(C17&lt;&gt;"",C17,_xlfn.TEXTAFTER(A17,"https://doi.org/")),
SUBSTITUTE(
SUBSTITUTE(
SUBSTITUTE(
SUBSTITUTE(
_xlpm.doi,
"/","%2F"),
":","%3A"),
"&lt;","%3C"),
"&gt;","%3E")
)</f>
        <v>10.1016%2Fj.jhevol.2012.03.007</v>
      </c>
      <c r="J17" s="10" t="str">
        <f>TRIM(_xlfn.TEXTJOIN("_",FALSE(),H17,(SUBSTITUTE(SUBSTITUTE(D17," ",""), "_", ""))))</f>
        <v>Balzeau_etal_2012_Table2</v>
      </c>
      <c r="K17" s="10" t="str">
        <f>I17 &amp; "_" &amp; SUBSTITUTE(SUBSTITUTE(SUBSTITUTE(D17,CHAR(160),"")," ",""),"_","")</f>
        <v>10.1016%2Fj.jhevol.2012.03.007_Table2</v>
      </c>
      <c r="L17" s="10" t="str">
        <f t="array" ref="L17">IFERROR(INDEX(AUTO_Public_TSV_FileList!$A$1:$A$1000,MATCH(TRUE(),EXACT(K17,IFERROR(_xlfn.TEXTBEFORE(AUTO_Public_TSV_FileList!$A$1:$A$1000,".tsv"),"")),0)),"notfound")</f>
        <v>10.1016%2Fj.jhevol.2012.03.007_Table2.tsv</v>
      </c>
      <c r="M17" s="1" t="inlineStr">
        <is>
          <t>Table 2. Regression results for the relationship between endocranial volume and the surface of the frontal, parieto-temporal and occipital lobes.</t>
        </is>
      </c>
      <c r="N17" s="13"/>
      <c r="O17" s="13"/>
      <c r="P17" s="1" t="inlineStr">
        <is>
          <t>FINISHED</t>
        </is>
      </c>
      <c r="Q17" s="13"/>
      <c r="R17" s="13"/>
      <c r="S17" s="13"/>
      <c r="T17" s="13"/>
      <c r="U17" s="13"/>
      <c r="V17" s="13"/>
      <c r="W17" s="13"/>
      <c r="X17" s="13"/>
      <c r="Y17" s="13"/>
      <c r="Z17" s="13"/>
      <c r="AA17" s="13"/>
      <c r="AB17" s="13"/>
      <c r="AC17" s="13"/>
      <c r="AD17" s="13"/>
      <c r="AE17" s="13"/>
      <c r="AF17" s="13"/>
      <c r="AG17" s="13"/>
    </row>
    <row r="18" ht="17" customHeight="1">
      <c r="A18" s="13" t="inlineStr">
        <is>
          <t>Balzeau, A., Holloway, R. L., &amp; Grimaud-Hervé, D. (2012). Variations and asymmetries in regional brain surface in the genus Homo. J Hum Evol, 62(6), 696-706. https://doi.org/10.1016/j.jhevol.2012.03.007</t>
        </is>
      </c>
      <c r="D18" s="1" t="inlineStr">
        <is>
          <t>Table 3</t>
        </is>
      </c>
      <c r="E18" s="10" t="str">
        <f>SUBSTITUTE(SUBSTITUTE(_xlfn.TEXTBEFORE(A18,","), "-", ""), " ", "")</f>
        <v>Balzeau</v>
      </c>
      <c r="F18" s="10"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0" t="str">
        <f>_xlfn.TEXTBEFORE(_xlfn.TEXTAFTER(A18, "("), ")")</f>
        <v>2012</v>
      </c>
      <c r="H18" s="10" t="str">
        <f>E18 &amp; IF(F18&lt;&gt;"", "_" &amp; SUBSTITUTE(F18," ",""), "_") &amp; IF(G18&lt;&gt;"", "_" &amp; G18, "_") &amp; IF(B18&lt;&gt;"", "_" &amp; B18, "")</f>
        <v>Balzeau_etal_2012</v>
      </c>
      <c r="I18" s="10" t="str">
        <f>_xlfn.LET(
_xlpm.doi,IF(C18&lt;&gt;"",C18,_xlfn.TEXTAFTER(A18,"https://doi.org/")),
SUBSTITUTE(
SUBSTITUTE(
SUBSTITUTE(
SUBSTITUTE(
_xlpm.doi,
"/","%2F"),
":","%3A"),
"&lt;","%3C"),
"&gt;","%3E")
)</f>
        <v>10.1016%2Fj.jhevol.2012.03.007</v>
      </c>
      <c r="J18" s="10" t="str">
        <f>TRIM(_xlfn.TEXTJOIN("_",FALSE(),H18,(SUBSTITUTE(SUBSTITUTE(D18," ",""), "_", ""))))</f>
        <v>Balzeau_etal_2012_Table3</v>
      </c>
      <c r="K18" s="10" t="str">
        <f>I18 &amp; "_" &amp; SUBSTITUTE(SUBSTITUTE(SUBSTITUTE(D18,CHAR(160),"")," ",""),"_","")</f>
        <v>10.1016%2Fj.jhevol.2012.03.007_Table3</v>
      </c>
      <c r="L18" s="10" t="str">
        <f t="array" ref="L18">IFERROR(INDEX(AUTO_Public_TSV_FileList!$A$1:$A$1000,MATCH(TRUE(),EXACT(K18,IFERROR(_xlfn.TEXTBEFORE(AUTO_Public_TSV_FileList!$A$1:$A$1000,".tsv"),"")),0)),"notfound")</f>
        <v>10.1016%2Fj.jhevol.2012.03.007_Table3.tsv</v>
      </c>
      <c r="M18" s="1" t="inlineStr">
        <is>
          <t>Table 3 Size-corrected dimensions for the surface of the frontal, parieto-temporal and occipital lobes in the different analysed samples.</t>
        </is>
      </c>
      <c r="N18" s="13"/>
      <c r="O18" s="13"/>
      <c r="P18" s="1" t="inlineStr">
        <is>
          <t>FINISHED</t>
        </is>
      </c>
      <c r="Q18" s="13"/>
      <c r="R18" s="13"/>
      <c r="S18" s="13"/>
      <c r="T18" s="13"/>
      <c r="U18" s="13"/>
      <c r="V18" s="13"/>
      <c r="W18" s="13"/>
      <c r="X18" s="13"/>
      <c r="Y18" s="13"/>
      <c r="Z18" s="13"/>
      <c r="AA18" s="13"/>
      <c r="AB18" s="13"/>
      <c r="AC18" s="13"/>
      <c r="AD18" s="13"/>
      <c r="AE18" s="13"/>
      <c r="AF18" s="13"/>
      <c r="AG18" s="13"/>
    </row>
    <row r="19" ht="17" customHeight="1">
      <c r="A19" s="13" t="inlineStr">
        <is>
          <t>Balzeau, A., Holloway, R. L., &amp; Grimaud-Hervé, D. (2012). Variations and asymmetries in regional brain surface in the genus Homo. J Hum Evol, 62(6), 696-706. https://doi.org/10.1016/j.jhevol.2012.03.007</t>
        </is>
      </c>
      <c r="D19" s="1" t="inlineStr">
        <is>
          <t>Table 5</t>
        </is>
      </c>
      <c r="E19" s="10" t="str">
        <f>SUBSTITUTE(SUBSTITUTE(_xlfn.TEXTBEFORE(A19,","), "-", ""), " ", "")</f>
        <v>Balzeau</v>
      </c>
      <c r="F19" s="10"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0" t="str">
        <f>_xlfn.TEXTBEFORE(_xlfn.TEXTAFTER(A19, "("), ")")</f>
        <v>2012</v>
      </c>
      <c r="H19" s="10" t="str">
        <f>E19 &amp; IF(F19&lt;&gt;"", "_" &amp; SUBSTITUTE(F19," ",""), "_") &amp; IF(G19&lt;&gt;"", "_" &amp; G19, "_") &amp; IF(B19&lt;&gt;"", "_" &amp; B19, "")</f>
        <v>Balzeau_etal_2012</v>
      </c>
      <c r="I19" s="10" t="str">
        <f>_xlfn.LET(
_xlpm.doi,IF(C19&lt;&gt;"",C19,_xlfn.TEXTAFTER(A19,"https://doi.org/")),
SUBSTITUTE(
SUBSTITUTE(
SUBSTITUTE(
SUBSTITUTE(
_xlpm.doi,
"/","%2F"),
":","%3A"),
"&lt;","%3C"),
"&gt;","%3E")
)</f>
        <v>10.1016%2Fj.jhevol.2012.03.007</v>
      </c>
      <c r="J19" s="10" t="str">
        <f>TRIM(_xlfn.TEXTJOIN("_",FALSE(),H19,(SUBSTITUTE(SUBSTITUTE(D19," ",""), "_", ""))))</f>
        <v>Balzeau_etal_2012_Table5</v>
      </c>
      <c r="K19" s="10" t="str">
        <f>I19 &amp; "_" &amp; SUBSTITUTE(SUBSTITUTE(SUBSTITUTE(D19,CHAR(160),"")," ",""),"_","")</f>
        <v>10.1016%2Fj.jhevol.2012.03.007_Table5</v>
      </c>
      <c r="L19" s="10" t="str">
        <f t="array" ref="L19">IFERROR(INDEX(AUTO_Public_TSV_FileList!$A$1:$A$1000,MATCH(TRUE(),EXACT(K19,IFERROR(_xlfn.TEXTBEFORE(AUTO_Public_TSV_FileList!$A$1:$A$1000,".tsv"),"")),0)),"notfound")</f>
        <v>10.1016%2Fj.jhevol.2012.03.007_Table5.tsv</v>
      </c>
      <c r="M19" s="1" t="inlineStr">
        <is>
          <t>Table 5 Percentage contribution of frontal, parieto-temporal and occipital lobes to the hemispheres.</t>
        </is>
      </c>
      <c r="N19" s="13"/>
      <c r="O19" s="13"/>
      <c r="P19" s="1" t="inlineStr">
        <is>
          <t>FINISHED</t>
        </is>
      </c>
      <c r="Q19" s="13"/>
      <c r="R19" s="13"/>
      <c r="S19" s="13"/>
      <c r="T19" s="13"/>
      <c r="U19" s="13"/>
      <c r="V19" s="13"/>
      <c r="W19" s="13"/>
      <c r="X19" s="13"/>
      <c r="Y19" s="13"/>
      <c r="Z19" s="13"/>
      <c r="AA19" s="13"/>
      <c r="AB19" s="13"/>
      <c r="AC19" s="13"/>
      <c r="AD19" s="13"/>
      <c r="AE19" s="13"/>
      <c r="AF19" s="13"/>
      <c r="AG19" s="13"/>
    </row>
    <row r="20" ht="17" customHeight="1">
      <c r="A20" s="13" t="inlineStr">
        <is>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is>
      </c>
      <c r="D20" s="1" t="inlineStr">
        <is>
          <t>cell density</t>
        </is>
      </c>
      <c r="E20" s="10" t="str">
        <f>SUBSTITUTE(SUBSTITUTE(_xlfn.TEXTBEFORE(A20,","), "-", ""), " ", "")</f>
        <v>BarbeitoAndrés</v>
      </c>
      <c r="F20" s="10"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 s="10" t="str">
        <f>_xlfn.TEXTBEFORE(_xlfn.TEXTAFTER(A20, "("), ")")</f>
        <v>2019</v>
      </c>
      <c r="H20" s="10" t="str">
        <f>E20 &amp; IF(F20&lt;&gt;"", "_" &amp; SUBSTITUTE(F20," ",""), "_") &amp; IF(G20&lt;&gt;"", "_" &amp; G20, "_") &amp; IF(B20&lt;&gt;"", "_" &amp; B20, "")</f>
        <v>BarbeitoAndrés__2019</v>
      </c>
      <c r="I20" s="10" t="str">
        <f>_xlfn.LET(
_xlpm.doi,IF(C20&lt;&gt;"",C20,_xlfn.TEXTAFTER(A20,"https://doi.org/")),
SUBSTITUTE(
SUBSTITUTE(
SUBSTITUTE(
SUBSTITUTE(
_xlpm.doi,
"/","%2F"),
":","%3A"),
"&lt;","%3C"),
"&gt;","%3E")
)</f>
        <v>10.1242%2Fjeb.204651</v>
      </c>
      <c r="J20" s="10" t="str">
        <f>TRIM(_xlfn.TEXTJOIN("_",FALSE(),H20,(SUBSTITUTE(SUBSTITUTE(D20," ",""), "_", ""))))</f>
        <v>BarbeitoAndrés__2019_celldensity</v>
      </c>
      <c r="K20" s="10" t="str">
        <f>I20 &amp; "_" &amp; SUBSTITUTE(SUBSTITUTE(SUBSTITUTE(D20,CHAR(160),"")," ",""),"_","")</f>
        <v>10.1242%2Fjeb.204651_celldensity</v>
      </c>
      <c r="L20" s="10" t="str">
        <f t="array" ref="L20">IFERROR(INDEX(AUTO_Public_TSV_FileList!$A$1:$A$1000,MATCH(TRUE(),EXACT(K20,IFERROR(_xlfn.TEXTBEFORE(AUTO_Public_TSV_FileList!$A$1:$A$1000,".tsv"),"")),0)),"notfound")</f>
        <v>10.1242%2Fjeb.204651_celldensity.tsv</v>
      </c>
      <c r="M20" s="13"/>
      <c r="N20" s="13"/>
      <c r="O20" s="13"/>
      <c r="P20" s="1" t="inlineStr">
        <is>
          <t>FINISHED</t>
        </is>
      </c>
      <c r="Q20" s="13"/>
      <c r="R20" s="13"/>
      <c r="S20" s="13"/>
      <c r="T20" s="13"/>
      <c r="U20" s="13"/>
      <c r="V20" s="13"/>
      <c r="W20" s="1"/>
      <c r="X20" s="13"/>
      <c r="Y20" s="13"/>
      <c r="Z20" s="13"/>
      <c r="AA20" s="1" t="inlineStr">
        <is>
          <t>isotropic fractionator</t>
        </is>
      </c>
      <c r="AB20" s="1" t="inlineStr">
        <is>
          <t>cell count</t>
        </is>
      </c>
      <c r="AC20" s="13"/>
      <c r="AD20" s="13"/>
      <c r="AE20" s="1"/>
      <c r="AF20" s="1"/>
      <c r="AG20" s="13"/>
    </row>
    <row r="21" ht="17" customHeight="1">
      <c r="A21" s="13" t="inlineStr">
        <is>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is>
      </c>
      <c r="D21" s="1" t="inlineStr">
        <is>
          <t>cell number</t>
        </is>
      </c>
      <c r="E21" s="10" t="str">
        <f>SUBSTITUTE(SUBSTITUTE(_xlfn.TEXTBEFORE(A21,","), "-", ""), " ", "")</f>
        <v>BarbeitoAndrés</v>
      </c>
      <c r="F21" s="10"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 s="10" t="str">
        <f>_xlfn.TEXTBEFORE(_xlfn.TEXTAFTER(A21, "("), ")")</f>
        <v>2019</v>
      </c>
      <c r="H21" s="10" t="str">
        <f>E21 &amp; IF(F21&lt;&gt;"", "_" &amp; SUBSTITUTE(F21," ",""), "_") &amp; IF(G21&lt;&gt;"", "_" &amp; G21, "_") &amp; IF(B21&lt;&gt;"", "_" &amp; B21, "")</f>
        <v>BarbeitoAndrés__2019</v>
      </c>
      <c r="I21" s="10" t="str">
        <f>_xlfn.LET(
_xlpm.doi,IF(C21&lt;&gt;"",C21,_xlfn.TEXTAFTER(A21,"https://doi.org/")),
SUBSTITUTE(
SUBSTITUTE(
SUBSTITUTE(
SUBSTITUTE(
_xlpm.doi,
"/","%2F"),
":","%3A"),
"&lt;","%3C"),
"&gt;","%3E")
)</f>
        <v>10.1242%2Fjeb.204651</v>
      </c>
      <c r="J21" s="10" t="str">
        <f>TRIM(_xlfn.TEXTJOIN("_",FALSE(),H21,(SUBSTITUTE(SUBSTITUTE(D21," ",""), "_", ""))))</f>
        <v>BarbeitoAndrés__2019_cellnumber</v>
      </c>
      <c r="K21" s="10" t="str">
        <f>I21 &amp; "_" &amp; SUBSTITUTE(SUBSTITUTE(SUBSTITUTE(D21,CHAR(160),"")," ",""),"_","")</f>
        <v>10.1242%2Fjeb.204651_cellnumber</v>
      </c>
      <c r="L21" s="10" t="str">
        <f t="array" ref="L21">IFERROR(INDEX(AUTO_Public_TSV_FileList!$A$1:$A$1000,MATCH(TRUE(),EXACT(K21,IFERROR(_xlfn.TEXTBEFORE(AUTO_Public_TSV_FileList!$A$1:$A$1000,".tsv"),"")),0)),"notfound")</f>
        <v>10.1242%2Fjeb.204651_cellnumber.tsv</v>
      </c>
      <c r="M21" s="13"/>
      <c r="N21" s="13"/>
      <c r="O21" s="13"/>
      <c r="P21" s="1" t="inlineStr">
        <is>
          <t>FINISHED</t>
        </is>
      </c>
      <c r="Q21" s="13"/>
      <c r="R21" s="13"/>
      <c r="S21" s="13"/>
      <c r="T21" s="13"/>
      <c r="U21" s="13"/>
      <c r="V21" s="13"/>
      <c r="W21" s="1"/>
      <c r="X21" s="13"/>
      <c r="Y21" s="13"/>
      <c r="Z21" s="13"/>
      <c r="AA21" s="1" t="inlineStr">
        <is>
          <t>isotropic fractionator</t>
        </is>
      </c>
      <c r="AB21" s="1" t="inlineStr">
        <is>
          <t>cell count</t>
        </is>
      </c>
      <c r="AC21" s="13"/>
      <c r="AD21" s="13"/>
      <c r="AE21" s="1"/>
      <c r="AF21" s="1"/>
      <c r="AG21" s="13"/>
    </row>
    <row r="22" ht="17" customHeight="1">
      <c r="A22" s="13" t="inlineStr">
        <is>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is>
      </c>
      <c r="D22" s="1" t="inlineStr">
        <is>
          <t>volumes</t>
        </is>
      </c>
      <c r="E22" s="10" t="str">
        <f>SUBSTITUTE(SUBSTITUTE(_xlfn.TEXTBEFORE(A22,","), "-", ""), " ", "")</f>
        <v>BarbeitoAndrés</v>
      </c>
      <c r="F22" s="10"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 s="10" t="str">
        <f>_xlfn.TEXTBEFORE(_xlfn.TEXTAFTER(A22, "("), ")")</f>
        <v>2019</v>
      </c>
      <c r="H22" s="10" t="str">
        <f>E22 &amp; IF(F22&lt;&gt;"", "_" &amp; SUBSTITUTE(F22," ",""), "_") &amp; IF(G22&lt;&gt;"", "_" &amp; G22, "_") &amp; IF(B22&lt;&gt;"", "_" &amp; B22, "")</f>
        <v>BarbeitoAndrés__2019</v>
      </c>
      <c r="I22" s="10" t="str">
        <f>_xlfn.LET(
_xlpm.doi,IF(C22&lt;&gt;"",C22,_xlfn.TEXTAFTER(A22,"https://doi.org/")),
SUBSTITUTE(
SUBSTITUTE(
SUBSTITUTE(
SUBSTITUTE(
_xlpm.doi,
"/","%2F"),
":","%3A"),
"&lt;","%3C"),
"&gt;","%3E")
)</f>
        <v>10.1242%2Fjeb.204651</v>
      </c>
      <c r="J22" s="10" t="str">
        <f>TRIM(_xlfn.TEXTJOIN("_",FALSE(),H22,(SUBSTITUTE(SUBSTITUTE(D22," ",""), "_", ""))))</f>
        <v>BarbeitoAndrés__2019_volumes</v>
      </c>
      <c r="K22" s="10" t="str">
        <f>I22 &amp; "_" &amp; SUBSTITUTE(SUBSTITUTE(SUBSTITUTE(D22,CHAR(160),"")," ",""),"_","")</f>
        <v>10.1242%2Fjeb.204651_volumes</v>
      </c>
      <c r="L22" s="10" t="str">
        <f t="array" ref="L22">IFERROR(INDEX(AUTO_Public_TSV_FileList!$A$1:$A$1000,MATCH(TRUE(),EXACT(K22,IFERROR(_xlfn.TEXTBEFORE(AUTO_Public_TSV_FileList!$A$1:$A$1000,".tsv"),"")),0)),"notfound")</f>
        <v>10.1242%2Fjeb.204651_volumes.tsv</v>
      </c>
      <c r="M22" s="13"/>
      <c r="N22" s="13"/>
      <c r="O22" s="13"/>
      <c r="P22" s="1" t="inlineStr">
        <is>
          <t>FINISHED</t>
        </is>
      </c>
      <c r="Q22" s="13"/>
      <c r="R22" s="13"/>
      <c r="S22" s="13"/>
      <c r="T22" s="13"/>
      <c r="U22" s="13"/>
      <c r="V22" s="13"/>
      <c r="W22" s="1"/>
      <c r="X22" s="13"/>
      <c r="Y22" s="13"/>
      <c r="Z22" s="13"/>
      <c r="AA22" s="1" t="inlineStr">
        <is>
          <t>isotropic fractionator</t>
        </is>
      </c>
      <c r="AB22" s="1" t="inlineStr">
        <is>
          <t>cell count</t>
        </is>
      </c>
      <c r="AC22" s="13"/>
      <c r="AD22" s="13"/>
      <c r="AE22" s="1"/>
      <c r="AF22" s="1"/>
      <c r="AG22" s="13"/>
    </row>
    <row r="23" ht="17" customHeight="1">
      <c r="A23" s="1" t="inlineStr">
        <is>
          <t>Barger, N., Hanson, K. L., Teffer, K., Schenker-Ahmed, N. M., &amp; Semendeferi, K. (2014). Evidence for evolutionary specialization in human limbic structures. Front Hum Neurosci, 8, 277. https://doi.org/10.3389/fnhum.2014.00277</t>
        </is>
      </c>
      <c r="D23" s="1" t="inlineStr">
        <is>
          <t>Table 1</t>
        </is>
      </c>
      <c r="E23" s="10" t="str">
        <f>SUBSTITUTE(SUBSTITUTE(_xlfn.TEXTBEFORE(A23,","), "-", ""), " ", "")</f>
        <v>Barger</v>
      </c>
      <c r="F23" s="10"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0" t="str">
        <f>_xlfn.TEXTBEFORE(_xlfn.TEXTAFTER(A23, "("), ")")</f>
        <v>2014</v>
      </c>
      <c r="H23" s="10" t="str">
        <f>E23 &amp; IF(F23&lt;&gt;"", "_" &amp; SUBSTITUTE(F23," ",""), "_") &amp; IF(G23&lt;&gt;"", "_" &amp; G23, "_") &amp; IF(B23&lt;&gt;"", "_" &amp; B23, "")</f>
        <v>Barger_etal_2014</v>
      </c>
      <c r="I23" s="10" t="str">
        <f>_xlfn.LET(
_xlpm.doi,IF(C23&lt;&gt;"",C23,_xlfn.TEXTAFTER(A23,"https://doi.org/")),
SUBSTITUTE(
SUBSTITUTE(
SUBSTITUTE(
SUBSTITUTE(
_xlpm.doi,
"/","%2F"),
":","%3A"),
"&lt;","%3C"),
"&gt;","%3E")
)</f>
        <v>10.3389%2Ffnhum.2014.00277</v>
      </c>
      <c r="J23" s="10" t="str">
        <f>TRIM(_xlfn.TEXTJOIN("_",FALSE(),H23,(SUBSTITUTE(SUBSTITUTE(D23," ",""), "_", ""))))</f>
        <v>Barger_etal_2014_Table1</v>
      </c>
      <c r="K23" s="10" t="str">
        <f>I23 &amp; "_" &amp; SUBSTITUTE(SUBSTITUTE(SUBSTITUTE(D23,CHAR(160),"")," ",""),"_","")</f>
        <v>10.3389%2Ffnhum.2014.00277_Table1</v>
      </c>
      <c r="L23" s="10" t="str">
        <f t="array" ref="L23">IFERROR(INDEX(AUTO_Public_TSV_FileList!$A$1:$A$1000,MATCH(TRUE(),EXACT(K23,IFERROR(_xlfn.TEXTBEFORE(AUTO_Public_TSV_FileList!$A$1:$A$1000,".tsv"),"")),0)),"notfound")</f>
        <v>10.3389%2Ffnhum.2014.00277_Table1.tsv</v>
      </c>
      <c r="M23" s="1" t="inlineStr">
        <is>
          <t>Table 1 | Volume of amygdala, hippocampus, and striatum in hominoid species collected with stereological methods.</t>
        </is>
      </c>
      <c r="N23" s="13"/>
      <c r="O23" s="13"/>
      <c r="P23" s="1" t="inlineStr">
        <is>
          <t>FINISHED</t>
        </is>
      </c>
      <c r="Q23" s="13"/>
      <c r="R23" s="13"/>
      <c r="S23" s="13"/>
      <c r="T23" s="13"/>
      <c r="U23" s="13"/>
      <c r="V23" s="13"/>
      <c r="W23" s="13"/>
      <c r="X23" s="13"/>
      <c r="Y23" s="13"/>
      <c r="Z23" s="1" t="inlineStr">
        <is>
          <t>histological sections</t>
        </is>
      </c>
      <c r="AA23" s="13"/>
      <c r="AB23" s="13"/>
      <c r="AC23" s="1" t="inlineStr">
        <is>
          <t>Zilles</t>
        </is>
      </c>
      <c r="AD23" s="1" t="inlineStr">
        <is>
          <t>Zilles</t>
        </is>
      </c>
      <c r="AE23" s="13"/>
      <c r="AF23" s="13"/>
      <c r="AG23" s="13"/>
    </row>
    <row r="24" ht="17" customHeight="1">
      <c r="A24" s="1" t="inlineStr">
        <is>
          <t>Barger, N., Stefanacci, L., &amp; Semendeferi, K. (2007). A comparative volumetric analysis of the amygdaloid complex and basolateral division in the human and ape brain. Am J Phys Anthropol, 134(3), 392-403. https://doi.org/10.1002/ajpa.20684</t>
        </is>
      </c>
      <c r="D24" s="1" t="inlineStr">
        <is>
          <t>TABLE 1</t>
        </is>
      </c>
      <c r="E24" s="10" t="str">
        <f>SUBSTITUTE(SUBSTITUTE(_xlfn.TEXTBEFORE(A24,","), "-", ""), " ", "")</f>
        <v>Barger</v>
      </c>
      <c r="F24" s="10"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0" t="str">
        <f>_xlfn.TEXTBEFORE(_xlfn.TEXTAFTER(A24, "("), ")")</f>
        <v>2007</v>
      </c>
      <c r="H24" s="10" t="str">
        <f>E24 &amp; IF(F24&lt;&gt;"", "_" &amp; SUBSTITUTE(F24," ",""), "_") &amp; IF(G24&lt;&gt;"", "_" &amp; G24, "_") &amp; IF(B24&lt;&gt;"", "_" &amp; B24, "")</f>
        <v>Barger_etal_2007</v>
      </c>
      <c r="I24" s="10" t="str">
        <f>_xlfn.LET(
_xlpm.doi,IF(C24&lt;&gt;"",C24,_xlfn.TEXTAFTER(A24,"https://doi.org/")),
SUBSTITUTE(
SUBSTITUTE(
SUBSTITUTE(
SUBSTITUTE(
_xlpm.doi,
"/","%2F"),
":","%3A"),
"&lt;","%3C"),
"&gt;","%3E")
)</f>
        <v>10.1002%2Fajpa.20684</v>
      </c>
      <c r="J24" s="10" t="str">
        <f>TRIM(_xlfn.TEXTJOIN("_",FALSE(),H24,(SUBSTITUTE(SUBSTITUTE(D24," ",""), "_", ""))))</f>
        <v>Barger_etal_2007_TABLE1</v>
      </c>
      <c r="K24" s="10" t="str">
        <f>I24 &amp; "_" &amp; SUBSTITUTE(SUBSTITUTE(SUBSTITUTE(D24,CHAR(160),"")," ",""),"_","")</f>
        <v>10.1002%2Fajpa.20684_TABLE1</v>
      </c>
      <c r="L24" s="10" t="str">
        <f t="array" ref="L24">IFERROR(INDEX(AUTO_Public_TSV_FileList!$A$1:$A$1000,MATCH(TRUE(),EXACT(K24,IFERROR(_xlfn.TEXTBEFORE(AUTO_Public_TSV_FileList!$A$1:$A$1000,".tsv"),"")),0)),"notfound")</f>
        <v>10.1002%2Fajpa.20684_TABLE1.tsv</v>
      </c>
      <c r="M24" s="1" t="inlineStr">
        <is>
          <t>TABLE 1. Volumetric estimates of the amygdaloid complex and the basolateral division</t>
        </is>
      </c>
      <c r="N24" s="13"/>
      <c r="O24" s="13"/>
      <c r="P24" s="1" t="inlineStr">
        <is>
          <t>FINISHED</t>
        </is>
      </c>
      <c r="Q24" s="13"/>
      <c r="R24" s="13"/>
      <c r="S24" s="13"/>
      <c r="T24" s="13"/>
      <c r="U24" s="13"/>
      <c r="V24" s="13"/>
      <c r="W24" s="1" t="inlineStr">
        <is>
          <t>Apes &amp; humans</t>
        </is>
      </c>
      <c r="X24" s="1" t="inlineStr">
        <is>
          <t>amygdala subdivision volumes</t>
        </is>
      </c>
      <c r="Y24" s="13"/>
      <c r="Z24" s="1" t="inlineStr">
        <is>
          <t>xml:space="preserve"&gt; </t>
        </is>
      </c>
      <c r="AA24" s="13"/>
      <c r="AB24" s="1" t="inlineStr">
        <is>
          <t>volume</t>
        </is>
      </c>
      <c r="AC24" s="1" t="inlineStr">
        <is>
          <t>Zilles</t>
        </is>
      </c>
      <c r="AD24" s="1" t="inlineStr">
        <is>
          <t>Zilles</t>
        </is>
      </c>
      <c r="AE24" s="1" t="inlineStr">
        <is>
          <t>primary</t>
        </is>
      </c>
      <c r="AF24" s="1"/>
      <c r="AG24" s="13"/>
    </row>
    <row r="25" ht="17" customHeight="1">
      <c r="A25" s="1" t="inlineStr">
        <is>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is>
      </c>
      <c r="D25" s="1" t="inlineStr">
        <is>
          <t>Table 1</t>
        </is>
      </c>
      <c r="E25" s="10" t="str">
        <f>SUBSTITUTE(SUBSTITUTE(_xlfn.TEXTBEFORE(A25,","), "-", ""), " ", "")</f>
        <v>Barger</v>
      </c>
      <c r="F25" s="10"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0" t="str">
        <f>_xlfn.TEXTBEFORE(_xlfn.TEXTAFTER(A25, "("), ")")</f>
        <v>2012</v>
      </c>
      <c r="H25" s="10" t="str">
        <f>E25 &amp; IF(F25&lt;&gt;"", "_" &amp; SUBSTITUTE(F25," ",""), "_") &amp; IF(G25&lt;&gt;"", "_" &amp; G25, "_") &amp; IF(B25&lt;&gt;"", "_" &amp; B25, "")</f>
        <v>Barger_etal_2012</v>
      </c>
      <c r="I25" s="10" t="str">
        <f>_xlfn.LET(
_xlpm.doi,IF(C25&lt;&gt;"",C25,_xlfn.TEXTAFTER(A25,"https://doi.org/")),
SUBSTITUTE(
SUBSTITUTE(
SUBSTITUTE(
SUBSTITUTE(
_xlpm.doi,
"/","%2F"),
":","%3A"),
"&lt;","%3C"),
"&gt;","%3E")
)</f>
        <v>10.1002%2Fcne.23118</v>
      </c>
      <c r="J25" s="10" t="str">
        <f>TRIM(_xlfn.TEXTJOIN("_",FALSE(),H25,(SUBSTITUTE(SUBSTITUTE(D25," ",""), "_", ""))))</f>
        <v>Barger_etal_2012_Table1</v>
      </c>
      <c r="K25" s="10" t="str">
        <f>I25 &amp; "_" &amp; SUBSTITUTE(SUBSTITUTE(SUBSTITUTE(D25,CHAR(160),"")," ",""),"_","")</f>
        <v>10.1002%2Fcne.23118_Table1</v>
      </c>
      <c r="L25" s="10" t="str">
        <f t="array" ref="L25">IFERROR(INDEX(AUTO_Public_TSV_FileList!$A$1:$A$1000,MATCH(TRUE(),EXACT(K25,IFERROR(_xlfn.TEXTBEFORE(AUTO_Public_TSV_FileList!$A$1:$A$1000,".tsv"),"")),0)),"notfound")</f>
        <v>10.1002%2Fcne.23118_Table1.tsv</v>
      </c>
      <c r="M25" s="1" t="inlineStr">
        <is>
          <t>Table 1. Specimens in Sample</t>
        </is>
      </c>
      <c r="N25" s="13" t="inlineStr">
        <is>
          <t>PDF (printed table)</t>
        </is>
      </c>
      <c r="O25" s="13"/>
      <c r="P25" s="1" t="inlineStr">
        <is>
          <t>FINISHED</t>
        </is>
      </c>
      <c r="Q25" s="13"/>
      <c r="R25" s="13"/>
      <c r="S25" s="13"/>
      <c r="T25" s="13"/>
      <c r="U25" s="13"/>
      <c r="V25" s="13" t="inlineStr">
        <is>
          <t>Amygdala neuron number (specimen sample)</t>
        </is>
      </c>
      <c r="W25" s="1" t="inlineStr">
        <is>
          <t>Apes &amp; humans; Old World monkey</t>
        </is>
      </c>
      <c r="X25" s="1" t="inlineStr">
        <is>
          <t>specimen sample: species, sex, age, hemisphere, collection provenance</t>
        </is>
      </c>
      <c r="Y25" s="13"/>
      <c r="Z25" s="1" t="inlineStr">
        <is>
          <t>histological sections</t>
        </is>
      </c>
      <c r="AA25" s="13"/>
      <c r="AB25" s="1" t="inlineStr">
        <is>
          <t>specimen metadata (not a volumetric/neuron measure)</t>
        </is>
      </c>
      <c r="AC25" s="1"/>
      <c r="AD25" s="1" t="inlineStr">
        <is>
          <t>Multiple (Semendeferi lab + contributed collections; see item note)</t>
        </is>
      </c>
      <c r="AE25" s="1" t="inlineStr">
        <is>
          <t>primary</t>
        </is>
      </c>
      <c r="AF25" s="1"/>
      <c r="AG25" s="13"/>
    </row>
    <row r="26" ht="17" customHeight="1">
      <c r="A26" s="1" t="inlineStr">
        <is>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is>
      </c>
      <c r="D26" s="1" t="inlineStr">
        <is>
          <t>Table 3</t>
        </is>
      </c>
      <c r="E26" s="10" t="str">
        <f>SUBSTITUTE(SUBSTITUTE(_xlfn.TEXTBEFORE(A26,","), "-", ""), " ", "")</f>
        <v>Barger</v>
      </c>
      <c r="F26" s="10"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0" t="str">
        <f>_xlfn.TEXTBEFORE(_xlfn.TEXTAFTER(A26, "("), ")")</f>
        <v>2012</v>
      </c>
      <c r="H26" s="10" t="str">
        <f>E26 &amp; IF(F26&lt;&gt;"", "_" &amp; SUBSTITUTE(F26," ",""), "_") &amp; IF(G26&lt;&gt;"", "_" &amp; G26, "_") &amp; IF(B26&lt;&gt;"", "_" &amp; B26, "")</f>
        <v>Barger_etal_2012</v>
      </c>
      <c r="I26" s="10" t="str">
        <f>_xlfn.LET(
_xlpm.doi,IF(C26&lt;&gt;"",C26,_xlfn.TEXTAFTER(A26,"https://doi.org/")),
SUBSTITUTE(
SUBSTITUTE(
SUBSTITUTE(
SUBSTITUTE(
_xlpm.doi,
"/","%2F"),
":","%3A"),
"&lt;","%3C"),
"&gt;","%3E")
)</f>
        <v>10.1002%2Fcne.23118</v>
      </c>
      <c r="J26" s="10" t="str">
        <f>TRIM(_xlfn.TEXTJOIN("_",FALSE(),H26,(SUBSTITUTE(SUBSTITUTE(D26," ",""), "_", ""))))</f>
        <v>Barger_etal_2012_Table3</v>
      </c>
      <c r="K26" s="10" t="str">
        <f>I26 &amp; "_" &amp; SUBSTITUTE(SUBSTITUTE(SUBSTITUTE(D26,CHAR(160),"")," ",""),"_","")</f>
        <v>10.1002%2Fcne.23118_Table3</v>
      </c>
      <c r="L26" s="10" t="str">
        <f t="array" ref="L26">IFERROR(INDEX(AUTO_Public_TSV_FileList!$A$1:$A$1000,MATCH(TRUE(),EXACT(K26,IFERROR(_xlfn.TEXTBEFORE(AUTO_Public_TSV_FileList!$A$1:$A$1000,".tsv"),"")),0)),"notfound")</f>
        <v>10.1002%2Fcne.23118_Table3.tsv</v>
      </c>
      <c r="M26" s="1" t="inlineStr">
        <is>
          <t>Table 3. Average Neuron Number x10^6 (SD) for each nucleus in each species</t>
        </is>
      </c>
      <c r="N26" s="13"/>
      <c r="O26" s="13"/>
      <c r="P26" s="1" t="inlineStr">
        <is>
          <t>FINISHED</t>
        </is>
      </c>
      <c r="Q26" s="13"/>
      <c r="R26" s="13"/>
      <c r="S26" s="13"/>
      <c r="T26" s="13"/>
      <c r="U26" s="13"/>
      <c r="V26" s="13"/>
      <c r="W26" s="1" t="inlineStr">
        <is>
          <t>Primates</t>
        </is>
      </c>
      <c r="X26" s="1" t="inlineStr">
        <is>
          <t>amygdala neuron numbers (basolateral + central nuclei)</t>
        </is>
      </c>
      <c r="Y26" s="13"/>
      <c r="Z26" s="13"/>
      <c r="AA26" s="13"/>
      <c r="AB26" s="1" t="inlineStr">
        <is>
          <t>neuron count (stereology)</t>
        </is>
      </c>
      <c r="AC26" s="13"/>
      <c r="AD26" s="13"/>
      <c r="AE26" s="1" t="inlineStr">
        <is>
          <t>primary</t>
        </is>
      </c>
      <c r="AF26" s="1"/>
      <c r="AG26" s="13"/>
    </row>
    <row r="27" ht="17" customHeight="1">
      <c r="A27"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27" s="9"/>
      <c r="D27" s="1" t="inlineStr">
        <is>
          <t>Fig 4 A</t>
        </is>
      </c>
      <c r="E27" s="10" t="str">
        <f>SUBSTITUTE(SUBSTITUTE(_xlfn.TEXTBEFORE(A27,","), "-", ""), " ", "")</f>
        <v>Barks</v>
      </c>
      <c r="F27" s="10"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0" t="str">
        <f>_xlfn.TEXTBEFORE(_xlfn.TEXTAFTER(A27, "("), ")")</f>
        <v>2014</v>
      </c>
      <c r="H27" s="10" t="str">
        <f>E27 &amp; IF(F27&lt;&gt;"", "_" &amp; SUBSTITUTE(F27," ",""), "_") &amp; IF(G27&lt;&gt;"", "_" &amp; G27, "_") &amp; IF(B27&lt;&gt;"", "_" &amp; B27, "")</f>
        <v>Barks_etal_2014</v>
      </c>
      <c r="I27" s="10" t="str">
        <f>_xlfn.LET(
_xlpm.doi,IF(C27&lt;&gt;"",C27,_xlfn.TEXTAFTER(A27,"https://doi.org/")),
SUBSTITUTE(
SUBSTITUTE(
SUBSTITUTE(
SUBSTITUTE(
_xlpm.doi,
"/","%2F"),
":","%3A"),
"&lt;","%3C"),
"&gt;","%3E")
)</f>
        <v>10.1002%2Fajpa.22646</v>
      </c>
      <c r="J27" s="10" t="str">
        <f>TRIM(_xlfn.TEXTJOIN("_",FALSE(),H27,(SUBSTITUTE(SUBSTITUTE(D27," ",""), "_", ""))))</f>
        <v>Barks_etal_2014_Fig4A</v>
      </c>
      <c r="K27" s="10" t="str">
        <f>I27 &amp; "_" &amp; SUBSTITUTE(SUBSTITUTE(SUBSTITUTE(D27,CHAR(160),"")," ",""),"_","")</f>
        <v>10.1002%2Fajpa.22646_Fig4A</v>
      </c>
      <c r="L27" s="10" t="str">
        <f t="array" ref="L27">IFERROR(INDEX(AUTO_Public_TSV_FileList!$A$1:$A$1000,MATCH(TRUE(),EXACT(K27,IFERROR(_xlfn.TEXTBEFORE(AUTO_Public_TSV_FileList!$A$1:$A$1000,".tsv"),"")),0)),"notfound")</f>
        <v>10.1002%2Fajpa.22646_Fig4A.tsv</v>
      </c>
      <c r="M27" s="1" t="inlineStr">
        <is>
          <t>Fig4A_allsubjects_volumes</t>
        </is>
      </c>
      <c r="N27" s="13"/>
      <c r="O27" s="1"/>
      <c r="P27" s="1" t="inlineStr">
        <is>
          <t>FINISHED</t>
        </is>
      </c>
      <c r="Q27" s="13"/>
      <c r="R27" s="13"/>
      <c r="S27" s="13"/>
      <c r="T27" s="13"/>
      <c r="U27" s="13"/>
      <c r="V27" s="13"/>
      <c r="W27" s="13"/>
      <c r="X27" s="13"/>
      <c r="Y27" s="13"/>
      <c r="Z27" s="13"/>
      <c r="AA27" s="13"/>
      <c r="AB27" s="13"/>
      <c r="AC27" s="1" t="inlineStr">
        <is>
          <t>Barks</t>
        </is>
      </c>
      <c r="AD27" s="13"/>
      <c r="AE27" s="13"/>
      <c r="AF27" s="13"/>
      <c r="AG27" s="13"/>
    </row>
    <row r="28" ht="17" customHeight="1">
      <c r="A28"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28" s="9"/>
      <c r="D28" s="1" t="inlineStr">
        <is>
          <t>Fig 5 A</t>
        </is>
      </c>
      <c r="E28" s="10" t="str">
        <f>SUBSTITUTE(SUBSTITUTE(_xlfn.TEXTBEFORE(A28,","), "-", ""), " ", "")</f>
        <v>Barks</v>
      </c>
      <c r="F28" s="10"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0" t="str">
        <f>_xlfn.TEXTBEFORE(_xlfn.TEXTAFTER(A28, "("), ")")</f>
        <v>2014</v>
      </c>
      <c r="H28" s="10" t="str">
        <f>E28 &amp; IF(F28&lt;&gt;"", "_" &amp; SUBSTITUTE(F28," ",""), "_") &amp; IF(G28&lt;&gt;"", "_" &amp; G28, "_") &amp; IF(B28&lt;&gt;"", "_" &amp; B28, "")</f>
        <v>Barks_etal_2014</v>
      </c>
      <c r="I28" s="10" t="str">
        <f>_xlfn.LET(
_xlpm.doi,IF(C28&lt;&gt;"",C28,_xlfn.TEXTAFTER(A28,"https://doi.org/")),
SUBSTITUTE(
SUBSTITUTE(
SUBSTITUTE(
SUBSTITUTE(
_xlpm.doi,
"/","%2F"),
":","%3A"),
"&lt;","%3C"),
"&gt;","%3E")
)</f>
        <v>10.1002%2Fajpa.22646</v>
      </c>
      <c r="J28" s="10" t="str">
        <f>TRIM(_xlfn.TEXTJOIN("_",FALSE(),H28,(SUBSTITUTE(SUBSTITUTE(D28," ",""), "_", ""))))</f>
        <v>Barks_etal_2014_Fig5A</v>
      </c>
      <c r="K28" s="10" t="str">
        <f>I28 &amp; "_" &amp; SUBSTITUTE(SUBSTITUTE(SUBSTITUTE(D28,CHAR(160),"")," ",""),"_","")</f>
        <v>10.1002%2Fajpa.22646_Fig5A</v>
      </c>
      <c r="L28" s="10" t="str">
        <f t="array" ref="L28">IFERROR(INDEX(AUTO_Public_TSV_FileList!$A$1:$A$1000,MATCH(TRUE(),EXACT(K28,IFERROR(_xlfn.TEXTBEFORE(AUTO_Public_TSV_FileList!$A$1:$A$1000,".tsv"),"")),0)),"notfound")</f>
        <v>10.1002%2Fajpa.22646_Fig5A.tsv</v>
      </c>
      <c r="M28" s="1" t="inlineStr">
        <is>
          <t>Fig5A_adultsonly_volumes</t>
        </is>
      </c>
      <c r="N28" s="13"/>
      <c r="O28" s="1"/>
      <c r="P28" s="1" t="inlineStr">
        <is>
          <t>FINISHED</t>
        </is>
      </c>
      <c r="Q28" s="13"/>
      <c r="R28" s="13"/>
      <c r="S28" s="13"/>
      <c r="T28" s="13"/>
      <c r="U28" s="13"/>
      <c r="V28" s="13"/>
      <c r="W28" s="13"/>
      <c r="X28" s="13"/>
      <c r="Y28" s="13"/>
      <c r="Z28" s="13"/>
      <c r="AA28" s="13"/>
      <c r="AB28" s="13"/>
      <c r="AC28" s="13"/>
      <c r="AD28" s="13"/>
      <c r="AE28" s="13"/>
      <c r="AF28" s="13"/>
      <c r="AG28" s="13"/>
    </row>
    <row r="29" ht="17" customHeight="1">
      <c r="A29"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29" s="9"/>
      <c r="D29" s="1" t="inlineStr">
        <is>
          <t>TABLE 1</t>
        </is>
      </c>
      <c r="E29" s="10" t="str">
        <f>SUBSTITUTE(SUBSTITUTE(_xlfn.TEXTBEFORE(A29,","), "-", ""), " ", "")</f>
        <v>Barks</v>
      </c>
      <c r="F29" s="10"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0" t="str">
        <f>_xlfn.TEXTBEFORE(_xlfn.TEXTAFTER(A29, "("), ")")</f>
        <v>2014</v>
      </c>
      <c r="H29" s="10" t="str">
        <f>E29 &amp; IF(F29&lt;&gt;"", "_" &amp; SUBSTITUTE(F29," ",""), "_") &amp; IF(G29&lt;&gt;"", "_" &amp; G29, "_") &amp; IF(B29&lt;&gt;"", "_" &amp; B29, "")</f>
        <v>Barks_etal_2014</v>
      </c>
      <c r="I29" s="10" t="str">
        <f>_xlfn.LET(
_xlpm.doi,IF(C29&lt;&gt;"",C29,_xlfn.TEXTAFTER(A29,"https://doi.org/")),
SUBSTITUTE(
SUBSTITUTE(
SUBSTITUTE(
SUBSTITUTE(
_xlpm.doi,
"/","%2F"),
":","%3A"),
"&lt;","%3C"),
"&gt;","%3E")
)</f>
        <v>10.1002%2Fajpa.22646</v>
      </c>
      <c r="J29" s="10" t="str">
        <f>TRIM(_xlfn.TEXTJOIN("_",FALSE(),H29,(SUBSTITUTE(SUBSTITUTE(D29," ",""), "_", ""))))</f>
        <v>Barks_etal_2014_TABLE1</v>
      </c>
      <c r="K29" s="10" t="str">
        <f>I29 &amp; "_" &amp; SUBSTITUTE(SUBSTITUTE(SUBSTITUTE(D29,CHAR(160),"")," ",""),"_","")</f>
        <v>10.1002%2Fajpa.22646_TABLE1</v>
      </c>
      <c r="L29" s="10" t="str">
        <f t="array" ref="L29">IFERROR(INDEX(AUTO_Public_TSV_FileList!$A$1:$A$1000,MATCH(TRUE(),EXACT(K29,IFERROR(_xlfn.TEXTBEFORE(AUTO_Public_TSV_FileList!$A$1:$A$1000,".tsv"),"")),0)),"notfound")</f>
        <v>10.1002%2Fajpa.22646_TABLE1.tsv</v>
      </c>
      <c r="M29" s="1" t="inlineStr">
        <is>
          <t>TABLE 1. Individual data</t>
        </is>
      </c>
      <c r="N29" s="13"/>
      <c r="O29" s="13"/>
      <c r="P29" s="1" t="inlineStr">
        <is>
          <t>FINISHED</t>
        </is>
      </c>
      <c r="Q29" s="13"/>
      <c r="R29" s="13"/>
      <c r="S29" s="13"/>
      <c r="T29" s="13"/>
      <c r="U29" s="13"/>
      <c r="V29" s="13"/>
      <c r="W29" s="13"/>
      <c r="X29" s="13"/>
      <c r="Y29" s="13"/>
      <c r="Z29" s="13"/>
      <c r="AA29" s="13"/>
      <c r="AB29" s="13"/>
      <c r="AC29" s="1" t="inlineStr">
        <is>
          <t>Barks</t>
        </is>
      </c>
      <c r="AD29" s="13"/>
      <c r="AE29" s="13"/>
      <c r="AF29" s="13"/>
      <c r="AG29" s="13"/>
    </row>
    <row r="30" ht="17" customHeight="1">
      <c r="A30"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30" s="9"/>
      <c r="D30" s="1" t="inlineStr">
        <is>
          <t>TABLE 2</t>
        </is>
      </c>
      <c r="E30" s="10" t="str">
        <f>SUBSTITUTE(SUBSTITUTE(_xlfn.TEXTBEFORE(A30,","), "-", ""), " ", "")</f>
        <v>Barks</v>
      </c>
      <c r="F30" s="10"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0" t="str">
        <f>_xlfn.TEXTBEFORE(_xlfn.TEXTAFTER(A30, "("), ")")</f>
        <v>2014</v>
      </c>
      <c r="H30" s="10" t="str">
        <f>E30 &amp; IF(F30&lt;&gt;"", "_" &amp; SUBSTITUTE(F30," ",""), "_") &amp; IF(G30&lt;&gt;"", "_" &amp; G30, "_") &amp; IF(B30&lt;&gt;"", "_" &amp; B30, "")</f>
        <v>Barks_etal_2014</v>
      </c>
      <c r="I30" s="10" t="str">
        <f>_xlfn.LET(
_xlpm.doi,IF(C30&lt;&gt;"",C30,_xlfn.TEXTAFTER(A30,"https://doi.org/")),
SUBSTITUTE(
SUBSTITUTE(
SUBSTITUTE(
SUBSTITUTE(
_xlpm.doi,
"/","%2F"),
":","%3A"),
"&lt;","%3C"),
"&gt;","%3E")
)</f>
        <v>10.1002%2Fajpa.22646</v>
      </c>
      <c r="J30" s="10" t="str">
        <f>TRIM(_xlfn.TEXTJOIN("_",FALSE(),H30,(SUBSTITUTE(SUBSTITUTE(D30," ",""), "_", ""))))</f>
        <v>Barks_etal_2014_TABLE2</v>
      </c>
      <c r="K30" s="10" t="str">
        <f>I30 &amp; "_" &amp; SUBSTITUTE(SUBSTITUTE(SUBSTITUTE(D30,CHAR(160),"")," ",""),"_","")</f>
        <v>10.1002%2Fajpa.22646_TABLE2</v>
      </c>
      <c r="L30" s="10" t="str">
        <f t="array" ref="L30">IFERROR(INDEX(AUTO_Public_TSV_FileList!$A$1:$A$1000,MATCH(TRUE(),EXACT(K30,IFERROR(_xlfn.TEXTBEFORE(AUTO_Public_TSV_FileList!$A$1:$A$1000,".tsv"),"")),0)),"notfound")</f>
        <v>10.1002%2Fajpa.22646_TABLE2.tsv</v>
      </c>
      <c r="M30" s="1" t="inlineStr">
        <is>
          <t>TABLE 2. Stereological sampling of brains</t>
        </is>
      </c>
      <c r="N30" s="13"/>
      <c r="O30" s="13"/>
      <c r="P30" s="1" t="inlineStr">
        <is>
          <t>FINISHED</t>
        </is>
      </c>
      <c r="Q30" s="13"/>
      <c r="R30" s="13"/>
      <c r="S30" s="13"/>
      <c r="T30" s="13"/>
      <c r="U30" s="13"/>
      <c r="V30" s="13"/>
      <c r="W30" s="13"/>
      <c r="X30" s="13"/>
      <c r="Y30" s="13"/>
      <c r="Z30" s="13"/>
      <c r="AA30" s="13"/>
      <c r="AB30" s="13"/>
      <c r="AC30" s="13"/>
      <c r="AD30" s="13"/>
      <c r="AE30" s="13"/>
      <c r="AF30" s="13"/>
      <c r="AG30" s="13"/>
    </row>
    <row r="31" ht="17" customHeight="1">
      <c r="A31" s="1" t="inlineStr">
        <is>
          <t>Barks, S. K., Calhoun, M. E., Hopkins, W. D., Cranfield, M. R., Mudakikwa, A., Stoinski, T. S., Patterson, F. G., Erwin, J. M., Hecht, E. E., Hof, P. R., &amp; Sherwood, C. C. (2014). Brain organization of gorillas reflects species differences in ecology. Am J Phys Anthropol. https://doi.org/10.1002/ajpa.22646</t>
        </is>
      </c>
      <c r="C31" s="9"/>
      <c r="D31" s="1" t="inlineStr">
        <is>
          <t>unpublishedviaDeCasien</t>
        </is>
      </c>
      <c r="E31" s="10" t="str">
        <f>SUBSTITUTE(SUBSTITUTE(_xlfn.TEXTBEFORE(A31,","), "-", ""), " ", "")</f>
        <v>Barks</v>
      </c>
      <c r="F31" s="10"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0" t="str">
        <f>_xlfn.TEXTBEFORE(_xlfn.TEXTAFTER(A31, "("), ")")</f>
        <v>2014</v>
      </c>
      <c r="H31" s="10" t="str">
        <f>E31 &amp; IF(F31&lt;&gt;"", "_" &amp; SUBSTITUTE(F31," ",""), "_") &amp; IF(G31&lt;&gt;"", "_" &amp; G31, "_") &amp; IF(B31&lt;&gt;"", "_" &amp; B31, "")</f>
        <v>Barks_etal_2014</v>
      </c>
      <c r="I31" s="10" t="str">
        <f>_xlfn.LET(
_xlpm.doi,IF(C31&lt;&gt;"",C31,_xlfn.TEXTAFTER(A31,"https://doi.org/")),
SUBSTITUTE(
SUBSTITUTE(
SUBSTITUTE(
SUBSTITUTE(
_xlpm.doi,
"/","%2F"),
":","%3A"),
"&lt;","%3C"),
"&gt;","%3E")
)</f>
        <v>10.1002%2Fajpa.22646</v>
      </c>
      <c r="J31" s="10" t="str">
        <f>TRIM(_xlfn.TEXTJOIN("_",FALSE(),H31,(SUBSTITUTE(SUBSTITUTE(D31," ",""), "_", ""))))</f>
        <v>Barks_etal_2014_unpublishedviaDeCasien</v>
      </c>
      <c r="K31" s="10" t="str">
        <f>I31 &amp; "_" &amp; SUBSTITUTE(SUBSTITUTE(SUBSTITUTE(D31,CHAR(160),"")," ",""),"_","")</f>
        <v>10.1002%2Fajpa.22646_unpublishedviaDeCasien</v>
      </c>
      <c r="L31" s="10" t="str">
        <f t="array" ref="L31">IFERROR(INDEX(AUTO_Public_TSV_FileList!$A$1:$A$1000,MATCH(TRUE(),EXACT(K31,IFERROR(_xlfn.TEXTBEFORE(AUTO_Public_TSV_FileList!$A$1:$A$1000,".tsv"),"")),0)),"notfound")</f>
        <v>10.1002%2Fajpa.22646_unpublishedviaDeCasien.tsv</v>
      </c>
      <c r="M31" s="13"/>
      <c r="N31" s="13"/>
      <c r="O31" s="1" t="inlineStr">
        <is>
          <t>"Sherwood et al.64 and Barks et al.65 provided neocortex, hippocampus, striatum, thalamus, cerebellum, amygdala and insula measures for multiple gorilla species (Gorilla gorilla gorilla, G. g. graueri and G. beringei) from post-mortem MRI scans" (DeCasien and Higham 2019)</t>
        </is>
      </c>
      <c r="P31" s="1" t="inlineStr">
        <is>
          <t>FINISHED</t>
        </is>
      </c>
      <c r="Q31" s="13"/>
      <c r="R31" s="13"/>
      <c r="S31" s="13"/>
      <c r="T31" s="13"/>
      <c r="U31" s="13"/>
      <c r="V31" s="13"/>
      <c r="W31" s="13"/>
      <c r="X31" s="13"/>
      <c r="Y31" s="13"/>
      <c r="Z31" s="13"/>
      <c r="AA31" s="13"/>
      <c r="AB31" s="13"/>
      <c r="AC31" s="13"/>
      <c r="AD31" s="13"/>
      <c r="AE31" s="13"/>
      <c r="AF31" s="13"/>
      <c r="AG31" s="13"/>
    </row>
    <row r="32" ht="17" customHeight="1">
      <c r="A32" s="1" t="inlineStr">
        <is>
          <t>Baron, G., Frahm, H. D., &amp; Stephan, H. (1988). Comparison of brain structure volumes in Insectivora and Primates. VIII. Vestibular complex. J Hirnforsch, 29(5), 509-523. http://www.ncbi.nlm.nih.gov/pubmed/3216099</t>
        </is>
      </c>
      <c r="C32" s="1" t="inlineStr">
        <is>
          <t>PMID:3216099</t>
        </is>
      </c>
      <c r="D32" s="1" t="inlineStr">
        <is>
          <t>Table 1</t>
        </is>
      </c>
      <c r="E32" s="10" t="str">
        <f>SUBSTITUTE(SUBSTITUTE(_xlfn.TEXTBEFORE(A32,","), "-", ""), " ", "")</f>
        <v>Baron</v>
      </c>
      <c r="F32" s="10"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0" t="str">
        <f>_xlfn.TEXTBEFORE(_xlfn.TEXTAFTER(A32, "("), ")")</f>
        <v>1988</v>
      </c>
      <c r="H32" s="10" t="str">
        <f>E32 &amp; IF(F32&lt;&gt;"", "_" &amp; SUBSTITUTE(F32," ",""), "_") &amp; IF(G32&lt;&gt;"", "_" &amp; G32, "_") &amp; IF(B32&lt;&gt;"", "_" &amp; B32, "")</f>
        <v>Baron_etal_1988</v>
      </c>
      <c r="I32" s="10" t="str">
        <f>_xlfn.LET(
_xlpm.doi,IF(C32&lt;&gt;"",C32,_xlfn.TEXTAFTER(A32,"https://doi.org/")),
SUBSTITUTE(
SUBSTITUTE(
SUBSTITUTE(
SUBSTITUTE(
_xlpm.doi,
"/","%2F"),
":","%3A"),
"&lt;","%3C"),
"&gt;","%3E")
)</f>
        <v>PMID%3A3216099</v>
      </c>
      <c r="J32" s="10" t="str">
        <f>TRIM(_xlfn.TEXTJOIN("_",FALSE(),H32,(SUBSTITUTE(SUBSTITUTE(D32," ",""), "_", ""))))</f>
        <v>Baron_etal_1988_Table1</v>
      </c>
      <c r="K32" s="10" t="str">
        <f>I32 &amp; "_" &amp; SUBSTITUTE(SUBSTITUTE(SUBSTITUTE(D32,CHAR(160),"")," ",""),"_","")</f>
        <v>PMID%3A3216099_Table1</v>
      </c>
      <c r="L32" s="10" t="str">
        <f t="array" ref="L32">IFERROR(INDEX(AUTO_Public_TSV_FileList!$A$1:$A$1000,MATCH(TRUE(),EXACT(K32,IFERROR(_xlfn.TEXTBEFORE(AUTO_Public_TSV_FileList!$A$1:$A$1000,".tsv"),"")),0)),"notfound")</f>
        <v>PMID%3A3216099_Table1.tsv</v>
      </c>
      <c r="M32" s="1" t="inlineStr">
        <is>
          <t>Table 1. Volumes and indices of the vestibular complex (VC) and its main components (VM, V1, VL, VS) in Insectivora and Scadentia</t>
        </is>
      </c>
      <c r="N32" s="13"/>
      <c r="O32" s="13"/>
      <c r="P32" s="1" t="inlineStr">
        <is>
          <t>FINISHED</t>
        </is>
      </c>
      <c r="Q32" s="13"/>
      <c r="R32" s="13"/>
      <c r="S32" s="13"/>
      <c r="T32" s="13"/>
      <c r="U32" s="13"/>
      <c r="V32" s="13"/>
      <c r="W32" s="1" t="inlineStr">
        <is>
          <t>Insectivora, Scandentia &amp; Primates</t>
        </is>
      </c>
      <c r="X32" s="1" t="inlineStr">
        <is>
          <t>vestibular nuclear complex volume</t>
        </is>
      </c>
      <c r="Y32" s="13"/>
      <c r="Z32" s="1" t="inlineStr">
        <is>
          <t>histological sections</t>
        </is>
      </c>
      <c r="AA32" s="1"/>
      <c r="AB32" s="1" t="inlineStr">
        <is>
          <t>volume</t>
        </is>
      </c>
      <c r="AC32" s="1" t="inlineStr">
        <is>
          <t>Stephan</t>
        </is>
      </c>
      <c r="AD32" s="1" t="inlineStr">
        <is>
          <t>Stephan</t>
        </is>
      </c>
      <c r="AE32" s="1" t="inlineStr">
        <is>
          <t>primary</t>
        </is>
      </c>
      <c r="AF32" s="1"/>
      <c r="AG32" s="13"/>
    </row>
    <row r="33" ht="17" customHeight="1">
      <c r="A33" s="1" t="inlineStr">
        <is>
          <t>Baron, G., Frahm, H. D., Bhatnagar, K. P., &amp; Stephan, H. (1983). Comparison of brain structure volumes in Insectivora and Primates. III. Main olfactory bulb (MOB). J Hirnforsch, 24(5), 551-568. https://www.ncbi.nlm.nih.gov/pubmed/6663055</t>
        </is>
      </c>
      <c r="C33" s="1" t="inlineStr">
        <is>
          <t>PMID:6663055</t>
        </is>
      </c>
      <c r="D33" s="1" t="inlineStr">
        <is>
          <t>Table 1</t>
        </is>
      </c>
      <c r="E33" s="10" t="str">
        <f>SUBSTITUTE(SUBSTITUTE(_xlfn.TEXTBEFORE(A33,","), "-", ""), " ", "")</f>
        <v>Baron</v>
      </c>
      <c r="F33" s="10"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0" t="str">
        <f>_xlfn.TEXTBEFORE(_xlfn.TEXTAFTER(A33, "("), ")")</f>
        <v>1983</v>
      </c>
      <c r="H33" s="10" t="str">
        <f>E33 &amp; IF(F33&lt;&gt;"", "_" &amp; SUBSTITUTE(F33," ",""), "_") &amp; IF(G33&lt;&gt;"", "_" &amp; G33, "_") &amp; IF(B33&lt;&gt;"", "_" &amp; B33, "")</f>
        <v>Baron_etal_1983</v>
      </c>
      <c r="I33" s="10" t="str">
        <f>_xlfn.LET(
_xlpm.doi,IF(C33&lt;&gt;"",C33,_xlfn.TEXTAFTER(A33,"https://doi.org/")),
SUBSTITUTE(
SUBSTITUTE(
SUBSTITUTE(
SUBSTITUTE(
_xlpm.doi,
"/","%2F"),
":","%3A"),
"&lt;","%3C"),
"&gt;","%3E")
)</f>
        <v>PMID%3A6663055</v>
      </c>
      <c r="J33" s="10" t="str">
        <f>TRIM(_xlfn.TEXTJOIN("_",FALSE(),H33,(SUBSTITUTE(SUBSTITUTE(D33," ",""), "_", ""))))</f>
        <v>Baron_etal_1983_Table1</v>
      </c>
      <c r="K33" s="10" t="str">
        <f>I33 &amp; "_" &amp; SUBSTITUTE(SUBSTITUTE(SUBSTITUTE(D33,CHAR(160),"")," ",""),"_","")</f>
        <v>PMID%3A6663055_Table1</v>
      </c>
      <c r="L33" s="10" t="str">
        <f t="array" ref="L33">IFERROR(INDEX(AUTO_Public_TSV_FileList!$A$1:$A$1000,MATCH(TRUE(),EXACT(K33,IFERROR(_xlfn.TEXTBEFORE(AUTO_Public_TSV_FileList!$A$1:$A$1000,".tsv"),"")),0)),"notfound")</f>
        <v>PMID%3A6663055_Table1.tsv</v>
      </c>
      <c r="M33" s="13"/>
      <c r="N33" s="1" t="inlineStr">
        <is>
          <t>table</t>
        </is>
      </c>
      <c r="O33" s="13"/>
      <c r="P33" s="1" t="inlineStr">
        <is>
          <t>FINISHED</t>
        </is>
      </c>
      <c r="Q33" s="13"/>
      <c r="R33" s="13"/>
      <c r="S33" s="13"/>
      <c r="T33" s="13"/>
      <c r="U33" s="13"/>
      <c r="V33" s="13"/>
      <c r="W33" s="1" t="inlineStr">
        <is>
          <t>Insectivora, Scandentia &amp; Primates</t>
        </is>
      </c>
      <c r="X33" s="1" t="inlineStr">
        <is>
          <t>main olfactory bulb (MOB) volume</t>
        </is>
      </c>
      <c r="Y33" s="13"/>
      <c r="Z33" s="1" t="inlineStr">
        <is>
          <t>histological sections</t>
        </is>
      </c>
      <c r="AA33" s="1"/>
      <c r="AB33" s="1" t="inlineStr">
        <is>
          <t>volume</t>
        </is>
      </c>
      <c r="AC33" s="1" t="inlineStr">
        <is>
          <t>Stephan</t>
        </is>
      </c>
      <c r="AD33" s="1" t="inlineStr">
        <is>
          <t>Stephan</t>
        </is>
      </c>
      <c r="AE33" s="1" t="inlineStr">
        <is>
          <t>primary</t>
        </is>
      </c>
      <c r="AF33" s="1"/>
      <c r="AG33" s="13"/>
    </row>
    <row r="34" ht="17" customHeight="1">
      <c r="A34" s="1" t="inlineStr">
        <is>
          <t>Baron, G., Stephan, H., &amp; Frahm, H. D. (1987). Comparison of brain structure volumes in Insectivora and Primates. VI. Paleocortical components. J Hirnforsch, 28(4), 463-477. http://www.ncbi.nlm.nih.gov/pubmed/3116076</t>
        </is>
      </c>
      <c r="C34" s="1" t="inlineStr">
        <is>
          <t>PMID:3116076</t>
        </is>
      </c>
      <c r="D34" s="1" t="inlineStr">
        <is>
          <t>Table 1</t>
        </is>
      </c>
      <c r="E34" s="10" t="str">
        <f>SUBSTITUTE(SUBSTITUTE(_xlfn.TEXTBEFORE(A34,","), "-", ""), " ", "")</f>
        <v>Baron</v>
      </c>
      <c r="F34" s="10"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0" t="str">
        <f>_xlfn.TEXTBEFORE(_xlfn.TEXTAFTER(A34, "("), ")")</f>
        <v>1987</v>
      </c>
      <c r="H34" s="10" t="str">
        <f>E34 &amp; IF(F34&lt;&gt;"", "_" &amp; SUBSTITUTE(F34," ",""), "_") &amp; IF(G34&lt;&gt;"", "_" &amp; G34, "_") &amp; IF(B34&lt;&gt;"", "_" &amp; B34, "")</f>
        <v>Baron_etal_1987</v>
      </c>
      <c r="I34" s="10" t="str">
        <f>_xlfn.LET(
_xlpm.doi,IF(C34&lt;&gt;"",C34,_xlfn.TEXTAFTER(A34,"https://doi.org/")),
SUBSTITUTE(
SUBSTITUTE(
SUBSTITUTE(
SUBSTITUTE(
_xlpm.doi,
"/","%2F"),
":","%3A"),
"&lt;","%3C"),
"&gt;","%3E")
)</f>
        <v>PMID%3A3116076</v>
      </c>
      <c r="J34" s="10" t="str">
        <f>TRIM(_xlfn.TEXTJOIN("_",FALSE(),H34,(SUBSTITUTE(SUBSTITUTE(D34," ",""), "_", ""))))</f>
        <v>Baron_etal_1987_Table1</v>
      </c>
      <c r="K34" s="10" t="str">
        <f>I34 &amp; "_" &amp; SUBSTITUTE(SUBSTITUTE(SUBSTITUTE(D34,CHAR(160),"")," ",""),"_","")</f>
        <v>PMID%3A3116076_Table1</v>
      </c>
      <c r="L34" s="10" t="str">
        <f t="array" ref="L34">IFERROR(INDEX(AUTO_Public_TSV_FileList!$A$1:$A$1000,MATCH(TRUE(),EXACT(K34,IFERROR(_xlfn.TEXTBEFORE(AUTO_Public_TSV_FileList!$A$1:$A$1000,".tsv"),"")),0)),"notfound")</f>
        <v>PMID%3A3116076_Table1.tsv</v>
      </c>
      <c r="M34" s="13"/>
      <c r="N34" s="1" t="inlineStr">
        <is>
          <t>table</t>
        </is>
      </c>
      <c r="O34" s="13"/>
      <c r="P34" s="1" t="inlineStr">
        <is>
          <t>FINISHED</t>
        </is>
      </c>
      <c r="Q34" s="13"/>
      <c r="R34" s="13"/>
      <c r="S34" s="13"/>
      <c r="T34" s="13"/>
      <c r="U34" s="13"/>
      <c r="V34" s="13"/>
      <c r="W34" s="1" t="inlineStr">
        <is>
          <t>Insectivora, Scandentia &amp; Primates</t>
        </is>
      </c>
      <c r="X34" s="1" t="inlineStr">
        <is>
          <t>brain-structure volume (Comparison series, Part)</t>
        </is>
      </c>
      <c r="Y34" s="13"/>
      <c r="Z34" s="1" t="inlineStr">
        <is>
          <t>histological sections</t>
        </is>
      </c>
      <c r="AA34" s="1"/>
      <c r="AB34" s="1" t="inlineStr">
        <is>
          <t>volume</t>
        </is>
      </c>
      <c r="AC34" s="1" t="inlineStr">
        <is>
          <t>Stephan</t>
        </is>
      </c>
      <c r="AD34" s="1" t="inlineStr">
        <is>
          <t>Stephan</t>
        </is>
      </c>
      <c r="AE34" s="1" t="inlineStr">
        <is>
          <t>primary</t>
        </is>
      </c>
      <c r="AF34" s="1"/>
      <c r="AG34" s="13"/>
    </row>
    <row r="35" ht="17" customHeight="1">
      <c r="A35" s="1" t="inlineStr">
        <is>
          <t>Baron, G., Stephan, H., &amp; Frahm, H. D. (1990). Comparison of brain structure volumes in Insectivora and primates. IX. Trigeminal complex. J Hirnforsch, 31(2), 193-200. https://www.ncbi.nlm.nih.gov/pubmed/2358663</t>
        </is>
      </c>
      <c r="C35" s="1" t="inlineStr">
        <is>
          <t>PMID:2358663</t>
        </is>
      </c>
      <c r="D35" s="1" t="inlineStr">
        <is>
          <t>Table 1</t>
        </is>
      </c>
      <c r="E35" s="10" t="str">
        <f>SUBSTITUTE(SUBSTITUTE(_xlfn.TEXTBEFORE(A35,","), "-", ""), " ", "")</f>
        <v>Baron</v>
      </c>
      <c r="F35" s="10"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0" t="str">
        <f>_xlfn.TEXTBEFORE(_xlfn.TEXTAFTER(A35, "("), ")")</f>
        <v>1990</v>
      </c>
      <c r="H35" s="10" t="str">
        <f>E35 &amp; IF(F35&lt;&gt;"", "_" &amp; SUBSTITUTE(F35," ",""), "_") &amp; IF(G35&lt;&gt;"", "_" &amp; G35, "_") &amp; IF(B35&lt;&gt;"", "_" &amp; B35, "")</f>
        <v>Baron_etal_1990</v>
      </c>
      <c r="I35" s="10" t="str">
        <f>_xlfn.LET(
_xlpm.doi,IF(C35&lt;&gt;"",C35,_xlfn.TEXTAFTER(A35,"https://doi.org/")),
SUBSTITUTE(
SUBSTITUTE(
SUBSTITUTE(
SUBSTITUTE(
_xlpm.doi,
"/","%2F"),
":","%3A"),
"&lt;","%3C"),
"&gt;","%3E")
)</f>
        <v>PMID%3A2358663</v>
      </c>
      <c r="J35" s="10" t="str">
        <f>TRIM(_xlfn.TEXTJOIN("_",FALSE(),H35,(SUBSTITUTE(SUBSTITUTE(D35," ",""), "_", ""))))</f>
        <v>Baron_etal_1990_Table1</v>
      </c>
      <c r="K35" s="10" t="str">
        <f>I35 &amp; "_" &amp; SUBSTITUTE(SUBSTITUTE(SUBSTITUTE(D35,CHAR(160),"")," ",""),"_","")</f>
        <v>PMID%3A2358663_Table1</v>
      </c>
      <c r="L35" s="10" t="str">
        <f t="array" ref="L35">IFERROR(INDEX(AUTO_Public_TSV_FileList!$A$1:$A$1000,MATCH(TRUE(),EXACT(K35,IFERROR(_xlfn.TEXTBEFORE(AUTO_Public_TSV_FileList!$A$1:$A$1000,".tsv"),"")),0)),"notfound")</f>
        <v>PMID%3A2358663_Table1.tsv</v>
      </c>
      <c r="M35" s="1" t="inlineStr">
        <is>
          <t>xml:space="preserve"&gt;Table 1 .IX. Trigeminal complex </t>
        </is>
      </c>
      <c r="N35" s="1" t="inlineStr">
        <is>
          <t>table</t>
        </is>
      </c>
      <c r="O35" s="13"/>
      <c r="P35" s="1" t="inlineStr">
        <is>
          <t>FINISHED</t>
        </is>
      </c>
      <c r="Q35" s="13"/>
      <c r="R35" s="13"/>
      <c r="S35" s="13"/>
      <c r="T35" s="13"/>
      <c r="U35" s="13"/>
      <c r="V35" s="13"/>
      <c r="W35" s="1" t="inlineStr">
        <is>
          <t>Insectivora, Scandentia &amp; Primates</t>
        </is>
      </c>
      <c r="X35" s="1" t="inlineStr">
        <is>
          <t>trigeminal complex volume</t>
        </is>
      </c>
      <c r="Y35" s="13"/>
      <c r="Z35" s="1" t="inlineStr">
        <is>
          <t>histological sections</t>
        </is>
      </c>
      <c r="AA35" s="1" t="inlineStr">
        <is>
          <t>volumetry</t>
        </is>
      </c>
      <c r="AB35" s="1" t="inlineStr">
        <is>
          <t>volume</t>
        </is>
      </c>
      <c r="AC35" s="1" t="inlineStr">
        <is>
          <t>Stephan</t>
        </is>
      </c>
      <c r="AD35" s="1" t="inlineStr">
        <is>
          <t>Stephan</t>
        </is>
      </c>
      <c r="AE35" s="1" t="inlineStr">
        <is>
          <t>primary</t>
        </is>
      </c>
      <c r="AF35" s="1"/>
      <c r="AG35" s="13"/>
    </row>
    <row r="36" ht="17" customHeight="1">
      <c r="A36" s="13" t="inlineStr">
        <is>
          <t>Baron, G., Stephan, H., &amp; Frahm, H. D. (1996). Comparative Neurobiology in Chiroptera: Macromorphology, Brain Structures, Tables, and Atlases. Birkhäuser.</t>
        </is>
      </c>
      <c r="C36" s="1" t="inlineStr">
        <is>
          <t>ISBN:9783764353704</t>
        </is>
      </c>
      <c r="D36" s="1" t="inlineStr">
        <is>
          <t>Table 10</t>
        </is>
      </c>
      <c r="E36" s="10" t="str">
        <f>SUBSTITUTE(SUBSTITUTE(_xlfn.TEXTBEFORE(A36,","), "-", ""), " ", "")</f>
        <v>Baron</v>
      </c>
      <c r="F36" s="10"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0" t="str">
        <f>_xlfn.TEXTBEFORE(_xlfn.TEXTAFTER(A36, "("), ")")</f>
        <v>1996</v>
      </c>
      <c r="H36" s="10" t="str">
        <f>E36 &amp; IF(F36&lt;&gt;"", "_" &amp; SUBSTITUTE(F36," ",""), "_") &amp; IF(G36&lt;&gt;"", "_" &amp; G36, "_") &amp; IF(B36&lt;&gt;"", "_" &amp; B36, "")</f>
        <v>Baron_etal_1996</v>
      </c>
      <c r="I36" s="10" t="str">
        <f>_xlfn.LET(
_xlpm.doi,IF(C36&lt;&gt;"",C36,_xlfn.TEXTAFTER(A36,"https://doi.org/")),
SUBSTITUTE(
SUBSTITUTE(
SUBSTITUTE(
SUBSTITUTE(
_xlpm.doi,
"/","%2F"),
":","%3A"),
"&lt;","%3C"),
"&gt;","%3E")
)</f>
        <v>ISBN%3A9783764353704</v>
      </c>
      <c r="J36" s="10" t="str">
        <f>TRIM(_xlfn.TEXTJOIN("_",FALSE(),H36,(SUBSTITUTE(SUBSTITUTE(D36," ",""), "_", ""))))</f>
        <v>Baron_etal_1996_Table10</v>
      </c>
      <c r="K36" s="10" t="str">
        <f>I36 &amp; "_" &amp; SUBSTITUTE(SUBSTITUTE(SUBSTITUTE(D36,CHAR(160),"")," ",""),"_","")</f>
        <v>ISBN%3A9783764353704_Table10</v>
      </c>
      <c r="L36" s="10" t="str">
        <f t="array" ref="L36">IFERROR(INDEX(AUTO_Public_TSV_FileList!$A$1:$A$1000,MATCH(TRUE(),EXACT(K36,IFERROR(_xlfn.TEXTBEFORE(AUTO_Public_TSV_FileList!$A$1:$A$1000,".tsv"),"")),0)),"notfound")</f>
        <v>ISBN%3A9783764353704_Table10.tsv</v>
      </c>
      <c r="M36" s="13"/>
      <c r="N36" s="1"/>
      <c r="O36" s="13"/>
      <c r="P36" s="1" t="inlineStr">
        <is>
          <t>FINISHED</t>
        </is>
      </c>
      <c r="Q36" s="13"/>
      <c r="R36" s="13"/>
      <c r="S36" s="13"/>
      <c r="T36" s="13"/>
      <c r="U36" s="13"/>
      <c r="V36" s="13"/>
      <c r="W36" s="1"/>
      <c r="X36" s="13"/>
      <c r="Y36" s="13"/>
      <c r="Z36" s="1"/>
      <c r="AA36" s="1"/>
      <c r="AB36" s="1"/>
      <c r="AC36" s="1"/>
      <c r="AD36" s="1"/>
      <c r="AE36" s="1" t="inlineStr">
        <is>
          <t>primary</t>
        </is>
      </c>
      <c r="AF36" s="1"/>
      <c r="AG36" s="13"/>
    </row>
    <row r="37" ht="17" customHeight="1">
      <c r="A37" s="13" t="inlineStr">
        <is>
          <t>Baron, G., Stephan, H., &amp; Frahm, H. D. (1996). Comparative Neurobiology in Chiroptera: Macromorphology, Brain Structures, Tables, and Atlases. Birkhäuser.</t>
        </is>
      </c>
      <c r="C37" s="1" t="inlineStr">
        <is>
          <t>ISBN:9783764353704</t>
        </is>
      </c>
      <c r="D37" s="17" t="inlineStr">
        <is>
          <t>Table 13</t>
        </is>
      </c>
      <c r="E37" s="10" t="str">
        <f>SUBSTITUTE(SUBSTITUTE(_xlfn.TEXTBEFORE(A37,","), "-", ""), " ", "")</f>
        <v>Baron</v>
      </c>
      <c r="F37" s="10"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0" t="str">
        <f>_xlfn.TEXTBEFORE(_xlfn.TEXTAFTER(A37, "("), ")")</f>
        <v>1996</v>
      </c>
      <c r="H37" s="10" t="str">
        <f>E37 &amp; IF(F37&lt;&gt;"", "_" &amp; SUBSTITUTE(F37," ",""), "_") &amp; IF(G37&lt;&gt;"", "_" &amp; G37, "_") &amp; IF(B37&lt;&gt;"", "_" &amp; B37, "")</f>
        <v>Baron_etal_1996</v>
      </c>
      <c r="I37" s="10" t="str">
        <f>_xlfn.LET(
_xlpm.doi,IF(C37&lt;&gt;"",C37,_xlfn.TEXTAFTER(A37,"https://doi.org/")),
SUBSTITUTE(
SUBSTITUTE(
SUBSTITUTE(
SUBSTITUTE(
_xlpm.doi,
"/","%2F"),
":","%3A"),
"&lt;","%3C"),
"&gt;","%3E")
)</f>
        <v>ISBN%3A9783764353704</v>
      </c>
      <c r="J37" s="10" t="str">
        <f>TRIM(_xlfn.TEXTJOIN("_",FALSE(),H37,(SUBSTITUTE(SUBSTITUTE(D37," ",""), "_", ""))))</f>
        <v>Baron_etal_1996_Table13</v>
      </c>
      <c r="K37" s="10" t="str">
        <f>I37 &amp; "_" &amp; SUBSTITUTE(SUBSTITUTE(SUBSTITUTE(D37,CHAR(160),"")," ",""),"_","")</f>
        <v>ISBN%3A9783764353704_Table13</v>
      </c>
      <c r="L37" s="10" t="str">
        <f t="array" ref="L37">IFERROR(INDEX(AUTO_Public_TSV_FileList!$A$1:$A$1000,MATCH(TRUE(),EXACT(K37,IFERROR(_xlfn.TEXTBEFORE(AUTO_Public_TSV_FileList!$A$1:$A$1000,".tsv"),"")),0)),"notfound")</f>
        <v>ISBN%3A9783764353704_Table13.tsv</v>
      </c>
      <c r="M37" s="17" t="inlineStr">
        <is>
          <t>Volumes (in mm3) of the sensory trigeminal complex and of the tractus solitarii and funicular nuclei of the medulla oblongata</t>
        </is>
      </c>
      <c r="N37" s="1" t="inlineStr">
        <is>
          <t>table</t>
        </is>
      </c>
      <c r="O37" s="13"/>
      <c r="P37" s="17" t="inlineStr">
        <is>
          <t>FINISHED</t>
        </is>
      </c>
      <c r="Q37" s="17"/>
      <c r="R37" s="17"/>
      <c r="S37" s="17" t="inlineStr">
        <is>
          <t>Structure list, species count and the table's size/index role confirmed against the book's own Table 1 key (PDF pp. 264-265) and the printed column header, 2026-08-31.</t>
        </is>
      </c>
      <c r="T37"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37" s="17"/>
      <c r="V37" s="13"/>
      <c r="W37" s="17" t="inlineStr">
        <is>
          <t>Mammals</t>
        </is>
      </c>
      <c r="X37" s="17" t="inlineStr">
        <is>
          <t>trigeminal and somatosensory brainstem nucleus volumes</t>
        </is>
      </c>
      <c r="Y37" s="17" t="inlineStr">
        <is>
          <t>trigeminal and somatosensory brainstem nucleus volumes</t>
        </is>
      </c>
      <c r="Z37" s="17" t="inlineStr">
        <is>
          <t>histological sections</t>
        </is>
      </c>
      <c r="AA37" s="17"/>
      <c r="AB37" s="17" t="inlineStr">
        <is>
          <t>volume</t>
        </is>
      </c>
      <c r="AC37" s="17" t="inlineStr">
        <is>
          <t>Stephan</t>
        </is>
      </c>
      <c r="AD37" s="17" t="inlineStr">
        <is>
          <t>Stephan</t>
        </is>
      </c>
      <c r="AE37" s="17" t="inlineStr">
        <is>
          <t>primary</t>
        </is>
      </c>
      <c r="AF37" s="17"/>
      <c r="AG37" s="17" t="inlineStr">
        <is>
          <t>Not yet transcribed. PDF pages 74-78; N = 150 printed rows. Extend Baron_etal_1996_extract_snapshots.py, which already reads this PDF's text layer for Tables 10 and 32 with an explicit literal OCR-repair table.</t>
        </is>
      </c>
    </row>
    <row r="38" ht="17" customHeight="1">
      <c r="A38" s="13" t="inlineStr">
        <is>
          <t>Baron, G., Stephan, H., &amp; Frahm, H. D. (1996). Comparative Neurobiology in Chiroptera: Macromorphology, Brain Structures, Tables, and Atlases. Birkhäuser.</t>
        </is>
      </c>
      <c r="C38" s="1" t="inlineStr">
        <is>
          <t>ISBN:9783764353704</t>
        </is>
      </c>
      <c r="D38" s="17" t="inlineStr">
        <is>
          <t>Table 16</t>
        </is>
      </c>
      <c r="E38" s="10" t="str">
        <f>SUBSTITUTE(SUBSTITUTE(_xlfn.TEXTBEFORE(A38,","), "-", ""), " ", "")</f>
        <v>Baron</v>
      </c>
      <c r="F38" s="10"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0" t="str">
        <f>_xlfn.TEXTBEFORE(_xlfn.TEXTAFTER(A38, "("), ")")</f>
        <v>1996</v>
      </c>
      <c r="H38" s="10" t="str">
        <f>E38 &amp; IF(F38&lt;&gt;"", "_" &amp; SUBSTITUTE(F38," ",""), "_") &amp; IF(G38&lt;&gt;"", "_" &amp; G38, "_") &amp; IF(B38&lt;&gt;"", "_" &amp; B38, "")</f>
        <v>Baron_etal_1996</v>
      </c>
      <c r="I38" s="10" t="str">
        <f>_xlfn.LET(
_xlpm.doi,IF(C38&lt;&gt;"",C38,_xlfn.TEXTAFTER(A38,"https://doi.org/")),
SUBSTITUTE(
SUBSTITUTE(
SUBSTITUTE(
SUBSTITUTE(
_xlpm.doi,
"/","%2F"),
":","%3A"),
"&lt;","%3C"),
"&gt;","%3E")
)</f>
        <v>ISBN%3A9783764353704</v>
      </c>
      <c r="J38" s="10" t="str">
        <f>TRIM(_xlfn.TEXTJOIN("_",FALSE(),H38,(SUBSTITUTE(SUBSTITUTE(D38," ",""), "_", ""))))</f>
        <v>Baron_etal_1996_Table16</v>
      </c>
      <c r="K38" s="10" t="str">
        <f>I38 &amp; "_" &amp; SUBSTITUTE(SUBSTITUTE(SUBSTITUTE(D38,CHAR(160),"")," ",""),"_","")</f>
        <v>ISBN%3A9783764353704_Table16</v>
      </c>
      <c r="L38" s="10" t="str">
        <f t="array" ref="L38">IFERROR(INDEX(AUTO_Public_TSV_FileList!$A$1:$A$1000,MATCH(TRUE(),EXACT(K38,IFERROR(_xlfn.TEXTBEFORE(AUTO_Public_TSV_FileList!$A$1:$A$1000,".tsv"),"")),0)),"notfound")</f>
        <v>ISBN%3A9783764353704_Table16.tsv</v>
      </c>
      <c r="M38" s="17" t="inlineStr">
        <is>
          <t>Volumes of some motor and relay nuclei of the medulla oblongata</t>
        </is>
      </c>
      <c r="N38" s="1" t="inlineStr">
        <is>
          <t>table</t>
        </is>
      </c>
      <c r="O38" s="13"/>
      <c r="P38" s="17" t="inlineStr">
        <is>
          <t>FINISHED</t>
        </is>
      </c>
      <c r="Q38" s="17"/>
      <c r="R38" s="17"/>
      <c r="S38" s="17" t="inlineStr">
        <is>
          <t>Structure list, species count and the table's size/index role confirmed against the book's own Table 1 key (PDF pp. 264-265) and the printed column header, 2026-08-31.</t>
        </is>
      </c>
      <c r="T38"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38" s="17"/>
      <c r="V38" s="13"/>
      <c r="W38" s="17" t="inlineStr">
        <is>
          <t>Mammals</t>
        </is>
      </c>
      <c r="X38" s="17" t="inlineStr">
        <is>
          <t>medullary motor and relay nucleus volumes</t>
        </is>
      </c>
      <c r="Y38" s="17" t="inlineStr">
        <is>
          <t>medullary motor and relay nucleus volumes</t>
        </is>
      </c>
      <c r="Z38" s="17" t="inlineStr">
        <is>
          <t>histological sections</t>
        </is>
      </c>
      <c r="AA38" s="17"/>
      <c r="AB38" s="17" t="inlineStr">
        <is>
          <t>volume</t>
        </is>
      </c>
      <c r="AC38" s="17" t="inlineStr">
        <is>
          <t>Stephan</t>
        </is>
      </c>
      <c r="AD38" s="17" t="inlineStr">
        <is>
          <t>Stephan</t>
        </is>
      </c>
      <c r="AE38" s="17" t="inlineStr">
        <is>
          <t>primary</t>
        </is>
      </c>
      <c r="AF38" s="17"/>
      <c r="AG38" s="17" t="inlineStr">
        <is>
          <t>Not yet transcribed. PDF pages 86-90; N = 150 printed rows. Extend Baron_etal_1996_extract_snapshots.py, which already reads this PDF's text layer for Tables 10 and 32 with an explicit literal OCR-repair table.</t>
        </is>
      </c>
    </row>
    <row r="39" ht="17" customHeight="1">
      <c r="A39" s="13" t="inlineStr">
        <is>
          <t>Baron, G., Stephan, H., &amp; Frahm, H. D. (1996). Comparative Neurobiology in Chiroptera: Macromorphology, Brain Structures, Tables, and Atlases. Birkhäuser.</t>
        </is>
      </c>
      <c r="C39" s="1" t="inlineStr">
        <is>
          <t>ISBN:9783764353704</t>
        </is>
      </c>
      <c r="D39" s="17" t="inlineStr">
        <is>
          <t>Table 19</t>
        </is>
      </c>
      <c r="E39" s="10" t="str">
        <f>SUBSTITUTE(SUBSTITUTE(_xlfn.TEXTBEFORE(A39,","), "-", ""), " ", "")</f>
        <v>Baron</v>
      </c>
      <c r="F39" s="10"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0" t="str">
        <f>_xlfn.TEXTBEFORE(_xlfn.TEXTAFTER(A39, "("), ")")</f>
        <v>1996</v>
      </c>
      <c r="H39" s="10" t="str">
        <f>E39 &amp; IF(F39&lt;&gt;"", "_" &amp; SUBSTITUTE(F39," ",""), "_") &amp; IF(G39&lt;&gt;"", "_" &amp; G39, "_") &amp; IF(B39&lt;&gt;"", "_" &amp; B39, "")</f>
        <v>Baron_etal_1996</v>
      </c>
      <c r="I39" s="10" t="str">
        <f>_xlfn.LET(
_xlpm.doi,IF(C39&lt;&gt;"",C39,_xlfn.TEXTAFTER(A39,"https://doi.org/")),
SUBSTITUTE(
SUBSTITUTE(
SUBSTITUTE(
SUBSTITUTE(
_xlpm.doi,
"/","%2F"),
":","%3A"),
"&lt;","%3C"),
"&gt;","%3E")
)</f>
        <v>ISBN%3A9783764353704</v>
      </c>
      <c r="J39" s="10" t="str">
        <f>TRIM(_xlfn.TEXTJOIN("_",FALSE(),H39,(SUBSTITUTE(SUBSTITUTE(D39," ",""), "_", ""))))</f>
        <v>Baron_etal_1996_Table19</v>
      </c>
      <c r="K39" s="10" t="str">
        <f>I39 &amp; "_" &amp; SUBSTITUTE(SUBSTITUTE(SUBSTITUTE(D39,CHAR(160),"")," ",""),"_","")</f>
        <v>ISBN%3A9783764353704_Table19</v>
      </c>
      <c r="L39" s="10" t="str">
        <f t="array" ref="L39">IFERROR(INDEX(AUTO_Public_TSV_FileList!$A$1:$A$1000,MATCH(TRUE(),EXACT(K39,IFERROR(_xlfn.TEXTBEFORE(AUTO_Public_TSV_FileList!$A$1:$A$1000,".tsv"),"")),0)),"notfound")</f>
        <v>ISBN%3A9783764353704_Table19.tsv</v>
      </c>
      <c r="M39" s="17" t="inlineStr">
        <is>
          <t>Volumes of the vestibular nuclei of the medulla oblongata</t>
        </is>
      </c>
      <c r="N39" s="1" t="inlineStr">
        <is>
          <t>table</t>
        </is>
      </c>
      <c r="O39" s="13"/>
      <c r="P39" s="17" t="inlineStr">
        <is>
          <t>FINISHED</t>
        </is>
      </c>
      <c r="Q39" s="17"/>
      <c r="R39" s="17"/>
      <c r="S39" s="17" t="inlineStr">
        <is>
          <t>Structure list, species count and the table's size/index role confirmed against the book's own Table 1 key (PDF pp. 264-265) and the printed column header, 2026-08-31.</t>
        </is>
      </c>
      <c r="T39"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39" s="17"/>
      <c r="V39" s="13"/>
      <c r="W39" s="17" t="inlineStr">
        <is>
          <t>Mammals</t>
        </is>
      </c>
      <c r="X39" s="17" t="inlineStr">
        <is>
          <t>vestibular nucleus volumes</t>
        </is>
      </c>
      <c r="Y39" s="17" t="inlineStr">
        <is>
          <t>vestibular nucleus volumes</t>
        </is>
      </c>
      <c r="Z39" s="17" t="inlineStr">
        <is>
          <t>histological sections</t>
        </is>
      </c>
      <c r="AA39" s="17"/>
      <c r="AB39" s="17" t="inlineStr">
        <is>
          <t>volume</t>
        </is>
      </c>
      <c r="AC39" s="17" t="inlineStr">
        <is>
          <t>Stephan</t>
        </is>
      </c>
      <c r="AD39" s="17" t="inlineStr">
        <is>
          <t>Stephan</t>
        </is>
      </c>
      <c r="AE39" s="17" t="inlineStr">
        <is>
          <t>primary</t>
        </is>
      </c>
      <c r="AF39" s="17"/>
      <c r="AG39" s="17" t="inlineStr">
        <is>
          <t>Not yet transcribed. PDF pages 98-102; N = 150 printed rows. Extend Baron_etal_1996_extract_snapshots.py, which already reads this PDF's text layer for Tables 10 and 32 with an explicit literal OCR-repair table.</t>
        </is>
      </c>
    </row>
    <row r="40" ht="17" customHeight="1">
      <c r="A40" s="13" t="inlineStr">
        <is>
          <t>Baron, G., Stephan, H., &amp; Frahm, H. D. (1996). Comparative Neurobiology in Chiroptera: Macromorphology, Brain Structures, Tables, and Atlases. Birkhäuser.</t>
        </is>
      </c>
      <c r="C40" s="1" t="inlineStr">
        <is>
          <t>ISBN:9783764353704</t>
        </is>
      </c>
      <c r="D40" s="17" t="inlineStr">
        <is>
          <t>Table 2</t>
        </is>
      </c>
      <c r="E40" s="10" t="str">
        <f>SUBSTITUTE(SUBSTITUTE(_xlfn.TEXTBEFORE(A40,","), "-", ""), " ", "")</f>
        <v>Baron</v>
      </c>
      <c r="F40" s="10"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0" t="str">
        <f>_xlfn.TEXTBEFORE(_xlfn.TEXTAFTER(A40, "("), ")")</f>
        <v>1996</v>
      </c>
      <c r="H40" s="10" t="str">
        <f>E40 &amp; IF(F40&lt;&gt;"", "_" &amp; SUBSTITUTE(F40," ",""), "_") &amp; IF(G40&lt;&gt;"", "_" &amp; G40, "_") &amp; IF(B40&lt;&gt;"", "_" &amp; B40, "")</f>
        <v>Baron_etal_1996</v>
      </c>
      <c r="I40" s="10" t="str">
        <f>_xlfn.LET(
_xlpm.doi,IF(C40&lt;&gt;"",C40,_xlfn.TEXTAFTER(A40,"https://doi.org/")),
SUBSTITUTE(
SUBSTITUTE(
SUBSTITUTE(
SUBSTITUTE(
_xlpm.doi,
"/","%2F"),
":","%3A"),
"&lt;","%3C"),
"&gt;","%3E")
)</f>
        <v>ISBN%3A9783764353704</v>
      </c>
      <c r="J40" s="10" t="str">
        <f>TRIM(_xlfn.TEXTJOIN("_",FALSE(),H40,(SUBSTITUTE(SUBSTITUTE(D40," ",""), "_", ""))))</f>
        <v>Baron_etal_1996_Table2</v>
      </c>
      <c r="K40" s="10" t="str">
        <f>I40 &amp; "_" &amp; SUBSTITUTE(SUBSTITUTE(SUBSTITUTE(D40,CHAR(160),"")," ",""),"_","")</f>
        <v>ISBN%3A9783764353704_Table2</v>
      </c>
      <c r="L40" s="10" t="str">
        <f t="array" ref="L40">IFERROR(INDEX(AUTO_Public_TSV_FileList!$A$1:$A$1000,MATCH(TRUE(),EXACT(K40,IFERROR(_xlfn.TEXTBEFORE(AUTO_Public_TSV_FileList!$A$1:$A$1000,".tsv"),"")),0)),"notfound")</f>
        <v>ISBN%3A9783764353704_Table2.tsv</v>
      </c>
      <c r="M40" s="17" t="inlineStr">
        <is>
          <t>Linear measures of brains in mm</t>
        </is>
      </c>
      <c r="N40" s="1" t="inlineStr">
        <is>
          <t>table</t>
        </is>
      </c>
      <c r="O40" s="13"/>
      <c r="P40" s="17" t="inlineStr">
        <is>
          <t>FINISHED</t>
        </is>
      </c>
      <c r="Q40" s="17"/>
      <c r="R40" s="17"/>
      <c r="S40" s="17" t="inlineStr">
        <is>
          <t>Structure list, species count and the table's size/index role confirmed against the book's own Table 1 key (PDF pp. 264-265) and the printed column header, 2026-08-31.</t>
        </is>
      </c>
      <c r="T40"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0" s="17"/>
      <c r="V40" s="13"/>
      <c r="W40" s="17" t="inlineStr">
        <is>
          <t>Mammals</t>
        </is>
      </c>
      <c r="X40" s="17" t="inlineStr">
        <is>
          <t>linear brain measures (mm); corpus callosum length</t>
        </is>
      </c>
      <c r="Y40" s="17" t="inlineStr">
        <is>
          <t>linear brain measures (mm); corpus callosum length</t>
        </is>
      </c>
      <c r="Z40" s="17" t="inlineStr">
        <is>
          <t>histological sections</t>
        </is>
      </c>
      <c r="AA40" s="17"/>
      <c r="AB40" s="17" t="inlineStr">
        <is>
          <t>linear measure (mm)</t>
        </is>
      </c>
      <c r="AC40" s="17" t="inlineStr">
        <is>
          <t>Stephan</t>
        </is>
      </c>
      <c r="AD40" s="17" t="inlineStr">
        <is>
          <t>Stephan</t>
        </is>
      </c>
      <c r="AE40" s="17" t="inlineStr">
        <is>
          <t>primary</t>
        </is>
      </c>
      <c r="AF40" s="17"/>
      <c r="AG40" s="17" t="inlineStr">
        <is>
          <t>Not yet transcribed. PDF pages 4-11; N = 303 printed rows. Extend Baron_etal_1996_extract_snapshots.py, which already reads this PDF's text layer for Tables 10 and 32 with an explicit literal OCR-repair table.</t>
        </is>
      </c>
    </row>
    <row r="41" ht="17" customHeight="1">
      <c r="A41" s="13" t="inlineStr">
        <is>
          <t>Baron, G., Stephan, H., &amp; Frahm, H. D. (1996). Comparative Neurobiology in Chiroptera: Macromorphology, Brain Structures, Tables, and Atlases. Birkhäuser.</t>
        </is>
      </c>
      <c r="C41" s="1" t="inlineStr">
        <is>
          <t>ISBN:9783764353704</t>
        </is>
      </c>
      <c r="D41" s="17" t="inlineStr">
        <is>
          <t>Table 22</t>
        </is>
      </c>
      <c r="E41" s="10" t="str">
        <f>SUBSTITUTE(SUBSTITUTE(_xlfn.TEXTBEFORE(A41,","), "-", ""), " ", "")</f>
        <v>Baron</v>
      </c>
      <c r="F41" s="10"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0" t="str">
        <f>_xlfn.TEXTBEFORE(_xlfn.TEXTAFTER(A41, "("), ")")</f>
        <v>1996</v>
      </c>
      <c r="H41" s="10" t="str">
        <f>E41 &amp; IF(F41&lt;&gt;"", "_" &amp; SUBSTITUTE(F41," ",""), "_") &amp; IF(G41&lt;&gt;"", "_" &amp; G41, "_") &amp; IF(B41&lt;&gt;"", "_" &amp; B41, "")</f>
        <v>Baron_etal_1996</v>
      </c>
      <c r="I41" s="10" t="str">
        <f>_xlfn.LET(
_xlpm.doi,IF(C41&lt;&gt;"",C41,_xlfn.TEXTAFTER(A41,"https://doi.org/")),
SUBSTITUTE(
SUBSTITUTE(
SUBSTITUTE(
SUBSTITUTE(
_xlpm.doi,
"/","%2F"),
":","%3A"),
"&lt;","%3C"),
"&gt;","%3E")
)</f>
        <v>ISBN%3A9783764353704</v>
      </c>
      <c r="J41" s="10" t="str">
        <f>TRIM(_xlfn.TEXTJOIN("_",FALSE(),H41,(SUBSTITUTE(SUBSTITUTE(D41," ",""), "_", ""))))</f>
        <v>Baron_etal_1996_Table22</v>
      </c>
      <c r="K41" s="10" t="str">
        <f>I41 &amp; "_" &amp; SUBSTITUTE(SUBSTITUTE(SUBSTITUTE(D41,CHAR(160),"")," ",""),"_","")</f>
        <v>ISBN%3A9783764353704_Table22</v>
      </c>
      <c r="L41" s="10" t="str">
        <f t="array" ref="L41">IFERROR(INDEX(AUTO_Public_TSV_FileList!$A$1:$A$1000,MATCH(TRUE(),EXACT(K41,IFERROR(_xlfn.TEXTBEFORE(AUTO_Public_TSV_FileList!$A$1:$A$1000,".tsv"),"")),0)),"notfound")</f>
        <v>ISBN%3A9783764353704_Table22.tsv</v>
      </c>
      <c r="M41" s="17" t="inlineStr">
        <is>
          <t>Volumes of the auditory nuclei of the medulla oblongata</t>
        </is>
      </c>
      <c r="N41" s="1" t="inlineStr">
        <is>
          <t>table</t>
        </is>
      </c>
      <c r="O41" s="13"/>
      <c r="P41" s="17" t="inlineStr">
        <is>
          <t>FINISHED</t>
        </is>
      </c>
      <c r="Q41" s="17"/>
      <c r="R41" s="17"/>
      <c r="S41" s="17" t="inlineStr">
        <is>
          <t>Structure list, species count and the table's size/index role confirmed against the book's own Table 1 key (PDF pp. 264-265) and the printed column header, 2026-08-31.</t>
        </is>
      </c>
      <c r="T41"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1" s="17"/>
      <c r="V41" s="13"/>
      <c r="W41" s="17" t="inlineStr">
        <is>
          <t>Mammals</t>
        </is>
      </c>
      <c r="X41" s="17" t="inlineStr">
        <is>
          <t>auditory brainstem nucleus volumes</t>
        </is>
      </c>
      <c r="Y41" s="17" t="inlineStr">
        <is>
          <t>auditory brainstem nucleus volumes</t>
        </is>
      </c>
      <c r="Z41" s="17" t="inlineStr">
        <is>
          <t>histological sections</t>
        </is>
      </c>
      <c r="AA41" s="17"/>
      <c r="AB41" s="17" t="inlineStr">
        <is>
          <t>volume</t>
        </is>
      </c>
      <c r="AC41" s="17" t="inlineStr">
        <is>
          <t>Stephan</t>
        </is>
      </c>
      <c r="AD41" s="17" t="inlineStr">
        <is>
          <t>Stephan</t>
        </is>
      </c>
      <c r="AE41" s="17" t="inlineStr">
        <is>
          <t>primary</t>
        </is>
      </c>
      <c r="AF41" s="17"/>
      <c r="AG41" s="17" t="inlineStr">
        <is>
          <t>Not yet transcribed. PDF pages 110-114; N = 150 printed rows. Extend Baron_etal_1996_extract_snapshots.py, which already reads this PDF's text layer for Tables 10 and 32 with an explicit literal OCR-repair table.</t>
        </is>
      </c>
    </row>
    <row r="42" ht="17" customHeight="1">
      <c r="A42" s="13" t="inlineStr">
        <is>
          <t>Baron, G., Stephan, H., &amp; Frahm, H. D. (1996). Comparative Neurobiology in Chiroptera: Macromorphology, Brain Structures, Tables, and Atlases. Birkhäuser.</t>
        </is>
      </c>
      <c r="C42" s="1" t="inlineStr">
        <is>
          <t>ISBN:9783764353704</t>
        </is>
      </c>
      <c r="D42" s="17" t="inlineStr">
        <is>
          <t>Table 25</t>
        </is>
      </c>
      <c r="E42" s="10" t="str">
        <f>SUBSTITUTE(SUBSTITUTE(_xlfn.TEXTBEFORE(A42,","), "-", ""), " ", "")</f>
        <v>Baron</v>
      </c>
      <c r="F42" s="10"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0" t="str">
        <f>_xlfn.TEXTBEFORE(_xlfn.TEXTAFTER(A42, "("), ")")</f>
        <v>1996</v>
      </c>
      <c r="H42" s="10" t="str">
        <f>E42 &amp; IF(F42&lt;&gt;"", "_" &amp; SUBSTITUTE(F42," ",""), "_") &amp; IF(G42&lt;&gt;"", "_" &amp; G42, "_") &amp; IF(B42&lt;&gt;"", "_" &amp; B42, "")</f>
        <v>Baron_etal_1996</v>
      </c>
      <c r="I42" s="10" t="str">
        <f>_xlfn.LET(
_xlpm.doi,IF(C42&lt;&gt;"",C42,_xlfn.TEXTAFTER(A42,"https://doi.org/")),
SUBSTITUTE(
SUBSTITUTE(
SUBSTITUTE(
SUBSTITUTE(
_xlpm.doi,
"/","%2F"),
":","%3A"),
"&lt;","%3C"),
"&gt;","%3E")
)</f>
        <v>ISBN%3A9783764353704</v>
      </c>
      <c r="J42" s="10" t="str">
        <f>TRIM(_xlfn.TEXTJOIN("_",FALSE(),H42,(SUBSTITUTE(SUBSTITUTE(D42," ",""), "_", ""))))</f>
        <v>Baron_etal_1996_Table25</v>
      </c>
      <c r="K42" s="10" t="str">
        <f>I42 &amp; "_" &amp; SUBSTITUTE(SUBSTITUTE(SUBSTITUTE(D42,CHAR(160),"")," ",""),"_","")</f>
        <v>ISBN%3A9783764353704_Table25</v>
      </c>
      <c r="L42" s="10" t="str">
        <f t="array" ref="L42">IFERROR(INDEX(AUTO_Public_TSV_FileList!$A$1:$A$1000,MATCH(TRUE(),EXACT(K42,IFERROR(_xlfn.TEXTBEFORE(AUTO_Public_TSV_FileList!$A$1:$A$1000,".tsv"),"")),0)),"notfound")</f>
        <v>ISBN%3A9783764353704_Table25.tsv</v>
      </c>
      <c r="M42" s="17" t="inlineStr">
        <is>
          <t>Volumes of mesencephalic components</t>
        </is>
      </c>
      <c r="N42" s="1" t="inlineStr">
        <is>
          <t>table</t>
        </is>
      </c>
      <c r="O42" s="13"/>
      <c r="P42" s="17" t="inlineStr">
        <is>
          <t>FINISHED</t>
        </is>
      </c>
      <c r="Q42" s="17"/>
      <c r="R42" s="17"/>
      <c r="S42" s="17" t="inlineStr">
        <is>
          <t>Structure list, species count and the table's size/index role confirmed against the book's own Table 1 key (PDF pp. 264-265) and the printed column header, 2026-08-31.</t>
        </is>
      </c>
      <c r="T42"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2" s="17"/>
      <c r="V42" s="13"/>
      <c r="W42" s="17" t="inlineStr">
        <is>
          <t>Mammals</t>
        </is>
      </c>
      <c r="X42" s="17" t="inlineStr">
        <is>
          <t>mesencephalic component volumes; inferior and superior colliculus</t>
        </is>
      </c>
      <c r="Y42" s="17" t="inlineStr">
        <is>
          <t>mesencephalic component volumes; inferior and superior colliculus</t>
        </is>
      </c>
      <c r="Z42" s="17" t="inlineStr">
        <is>
          <t>histological sections</t>
        </is>
      </c>
      <c r="AA42" s="17"/>
      <c r="AB42" s="17" t="inlineStr">
        <is>
          <t>volume</t>
        </is>
      </c>
      <c r="AC42" s="17" t="inlineStr">
        <is>
          <t>Stephan</t>
        </is>
      </c>
      <c r="AD42" s="17" t="inlineStr">
        <is>
          <t>Stephan</t>
        </is>
      </c>
      <c r="AE42" s="17" t="inlineStr">
        <is>
          <t>primary</t>
        </is>
      </c>
      <c r="AF42" s="17"/>
      <c r="AG42" s="17" t="inlineStr">
        <is>
          <t>Not yet transcribed. PDF pages 122-126; N = 150 printed rows. Extend Baron_etal_1996_extract_snapshots.py, which already reads this PDF's text layer for Tables 10 and 32 with an explicit literal OCR-repair table.</t>
        </is>
      </c>
    </row>
    <row r="43" ht="17" customHeight="1">
      <c r="A43" s="13" t="inlineStr">
        <is>
          <t>Baron, G., Stephan, H., &amp; Frahm, H. D. (1996). Comparative Neurobiology in Chiroptera: Macromorphology, Brain Structures, Tables, and Atlases. Birkhäuser.</t>
        </is>
      </c>
      <c r="C43" s="1" t="inlineStr">
        <is>
          <t>ISBN:9783764353704</t>
        </is>
      </c>
      <c r="D43" s="17" t="inlineStr">
        <is>
          <t>Table 28</t>
        </is>
      </c>
      <c r="E43" s="10" t="str">
        <f>SUBSTITUTE(SUBSTITUTE(_xlfn.TEXTBEFORE(A43,","), "-", ""), " ", "")</f>
        <v>Baron</v>
      </c>
      <c r="F43" s="10"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0" t="str">
        <f>_xlfn.TEXTBEFORE(_xlfn.TEXTAFTER(A43, "("), ")")</f>
        <v>1996</v>
      </c>
      <c r="H43" s="10" t="str">
        <f>E43 &amp; IF(F43&lt;&gt;"", "_" &amp; SUBSTITUTE(F43," ",""), "_") &amp; IF(G43&lt;&gt;"", "_" &amp; G43, "_") &amp; IF(B43&lt;&gt;"", "_" &amp; B43, "")</f>
        <v>Baron_etal_1996</v>
      </c>
      <c r="I43" s="10" t="str">
        <f>_xlfn.LET(
_xlpm.doi,IF(C43&lt;&gt;"",C43,_xlfn.TEXTAFTER(A43,"https://doi.org/")),
SUBSTITUTE(
SUBSTITUTE(
SUBSTITUTE(
SUBSTITUTE(
_xlpm.doi,
"/","%2F"),
":","%3A"),
"&lt;","%3C"),
"&gt;","%3E")
)</f>
        <v>ISBN%3A9783764353704</v>
      </c>
      <c r="J43" s="10" t="str">
        <f>TRIM(_xlfn.TEXTJOIN("_",FALSE(),H43,(SUBSTITUTE(SUBSTITUTE(D43," ",""), "_", ""))))</f>
        <v>Baron_etal_1996_Table28</v>
      </c>
      <c r="K43" s="10" t="str">
        <f>I43 &amp; "_" &amp; SUBSTITUTE(SUBSTITUTE(SUBSTITUTE(D43,CHAR(160),"")," ",""),"_","")</f>
        <v>ISBN%3A9783764353704_Table28</v>
      </c>
      <c r="L43" s="10" t="str">
        <f t="array" ref="L43">IFERROR(INDEX(AUTO_Public_TSV_FileList!$A$1:$A$1000,MATCH(TRUE(),EXACT(K43,IFERROR(_xlfn.TEXTBEFORE(AUTO_Public_TSV_FileList!$A$1:$A$1000,".tsv"),"")),0)),"notfound")</f>
        <v>ISBN%3A9783764353704_Table28.tsv</v>
      </c>
      <c r="M43" s="17" t="inlineStr">
        <is>
          <t>Volumes of cerebellar nuclei in mm3</t>
        </is>
      </c>
      <c r="N43" s="1" t="inlineStr">
        <is>
          <t>table</t>
        </is>
      </c>
      <c r="O43" s="13"/>
      <c r="P43" s="17" t="inlineStr">
        <is>
          <t>FINISHED</t>
        </is>
      </c>
      <c r="Q43" s="17"/>
      <c r="R43" s="17"/>
      <c r="S43" s="17" t="inlineStr">
        <is>
          <t>Structure list, species count and the table's size/index role confirmed against the book's own Table 1 key (PDF pp. 264-265) and the printed column header, 2026-08-31.</t>
        </is>
      </c>
      <c r="T43"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3" s="17"/>
      <c r="V43" s="13"/>
      <c r="W43" s="17" t="inlineStr">
        <is>
          <t>Mammals</t>
        </is>
      </c>
      <c r="X43" s="17" t="inlineStr">
        <is>
          <t>cerebellar nucleus volumes</t>
        </is>
      </c>
      <c r="Y43" s="17" t="inlineStr">
        <is>
          <t>cerebellar nucleus volumes</t>
        </is>
      </c>
      <c r="Z43" s="17" t="inlineStr">
        <is>
          <t>histological sections</t>
        </is>
      </c>
      <c r="AA43" s="17"/>
      <c r="AB43" s="17" t="inlineStr">
        <is>
          <t>volume</t>
        </is>
      </c>
      <c r="AC43" s="17" t="inlineStr">
        <is>
          <t>Stephan</t>
        </is>
      </c>
      <c r="AD43" s="17" t="inlineStr">
        <is>
          <t>Stephan</t>
        </is>
      </c>
      <c r="AE43" s="17" t="inlineStr">
        <is>
          <t>primary</t>
        </is>
      </c>
      <c r="AF43" s="17"/>
      <c r="AG43" s="17" t="inlineStr">
        <is>
          <t>Not yet transcribed. PDF pages 134; N = 18 printed rows. Extend Baron_etal_1996_extract_snapshots.py, which already reads this PDF's text layer for Tables 10 and 32 with an explicit literal OCR-repair table.</t>
        </is>
      </c>
    </row>
    <row r="44" ht="17" customHeight="1">
      <c r="A44" s="13" t="inlineStr">
        <is>
          <t>Baron, G., Stephan, H., &amp; Frahm, H. D. (1996). Comparative Neurobiology in Chiroptera: Macromorphology, Brain Structures, Tables, and Atlases. Birkhäuser.</t>
        </is>
      </c>
      <c r="C44" s="1" t="inlineStr">
        <is>
          <t>ISBN:9783764353704</t>
        </is>
      </c>
      <c r="D44" s="17" t="inlineStr">
        <is>
          <t>Table 30</t>
        </is>
      </c>
      <c r="E44" s="10" t="str">
        <f>SUBSTITUTE(SUBSTITUTE(_xlfn.TEXTBEFORE(A44,","), "-", ""), " ", "")</f>
        <v>Baron</v>
      </c>
      <c r="F44" s="10"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0" t="str">
        <f>_xlfn.TEXTBEFORE(_xlfn.TEXTAFTER(A44, "("), ")")</f>
        <v>1996</v>
      </c>
      <c r="H44" s="10" t="str">
        <f>E44 &amp; IF(F44&lt;&gt;"", "_" &amp; SUBSTITUTE(F44," ",""), "_") &amp; IF(G44&lt;&gt;"", "_" &amp; G44, "_") &amp; IF(B44&lt;&gt;"", "_" &amp; B44, "")</f>
        <v>Baron_etal_1996</v>
      </c>
      <c r="I44" s="10" t="str">
        <f>_xlfn.LET(
_xlpm.doi,IF(C44&lt;&gt;"",C44,_xlfn.TEXTAFTER(A44,"https://doi.org/")),
SUBSTITUTE(
SUBSTITUTE(
SUBSTITUTE(
SUBSTITUTE(
_xlpm.doi,
"/","%2F"),
":","%3A"),
"&lt;","%3C"),
"&gt;","%3E")
)</f>
        <v>ISBN%3A9783764353704</v>
      </c>
      <c r="J44" s="10" t="str">
        <f>TRIM(_xlfn.TEXTJOIN("_",FALSE(),H44,(SUBSTITUTE(SUBSTITUTE(D44," ",""), "_", ""))))</f>
        <v>Baron_etal_1996_Table30</v>
      </c>
      <c r="K44" s="10" t="str">
        <f>I44 &amp; "_" &amp; SUBSTITUTE(SUBSTITUTE(SUBSTITUTE(D44,CHAR(160),"")," ",""),"_","")</f>
        <v>ISBN%3A9783764353704_Table30</v>
      </c>
      <c r="L44" s="10" t="str">
        <f t="array" ref="L44">IFERROR(INDEX(AUTO_Public_TSV_FileList!$A$1:$A$1000,MATCH(TRUE(),EXACT(K44,IFERROR(_xlfn.TEXTBEFORE(AUTO_Public_TSV_FileList!$A$1:$A$1000,".tsv"),"")),0)),"notfound")</f>
        <v>ISBN%3A9783764353704_Table30.tsv</v>
      </c>
      <c r="M44" s="17" t="inlineStr">
        <is>
          <t>Volumes of some mesencephalic and diencephalic components in mm3</t>
        </is>
      </c>
      <c r="N44" s="1" t="inlineStr">
        <is>
          <t>table</t>
        </is>
      </c>
      <c r="O44" s="13"/>
      <c r="P44" s="17" t="inlineStr">
        <is>
          <t>FINISHED</t>
        </is>
      </c>
      <c r="Q44" s="17"/>
      <c r="R44" s="17"/>
      <c r="S44" s="17" t="inlineStr">
        <is>
          <t>Structure list, species count and the table's size/index role confirmed against the book's own Table 1 key (PDF pp. 264-265) and the printed column header, 2026-08-31.</t>
        </is>
      </c>
      <c r="T44"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4" s="17"/>
      <c r="V44" s="13"/>
      <c r="W44" s="17" t="inlineStr">
        <is>
          <t>Mammals</t>
        </is>
      </c>
      <c r="X44" s="17" t="inlineStr">
        <is>
          <t>lateral lemniscus and geniculate nucleus volumes</t>
        </is>
      </c>
      <c r="Y44" s="17" t="inlineStr">
        <is>
          <t>lateral lemniscus and geniculate nucleus volumes</t>
        </is>
      </c>
      <c r="Z44" s="17" t="inlineStr">
        <is>
          <t>histological sections</t>
        </is>
      </c>
      <c r="AA44" s="17"/>
      <c r="AB44" s="17" t="inlineStr">
        <is>
          <t>volume</t>
        </is>
      </c>
      <c r="AC44" s="17" t="inlineStr">
        <is>
          <t>Stephan</t>
        </is>
      </c>
      <c r="AD44" s="17" t="inlineStr">
        <is>
          <t>Stephan</t>
        </is>
      </c>
      <c r="AE44" s="17" t="inlineStr">
        <is>
          <t>primary</t>
        </is>
      </c>
      <c r="AF44" s="17"/>
      <c r="AG44" s="17" t="inlineStr">
        <is>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is>
      </c>
    </row>
    <row r="45" ht="17" customHeight="1">
      <c r="A45" s="13" t="inlineStr">
        <is>
          <t>Baron, G., Stephan, H., &amp; Frahm, H. D. (1996). Comparative Neurobiology in Chiroptera: Macromorphology, Brain Structures, Tables, and Atlases. Birkhäuser.</t>
        </is>
      </c>
      <c r="C45" s="1" t="inlineStr">
        <is>
          <t>ISBN:9783764353704</t>
        </is>
      </c>
      <c r="D45" s="1" t="inlineStr">
        <is>
          <t>Table 32</t>
        </is>
      </c>
      <c r="E45" s="10" t="str">
        <f>SUBSTITUTE(SUBSTITUTE(_xlfn.TEXTBEFORE(A45,","), "-", ""), " ", "")</f>
        <v>Baron</v>
      </c>
      <c r="F45" s="10"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0" t="str">
        <f>_xlfn.TEXTBEFORE(_xlfn.TEXTAFTER(A45, "("), ")")</f>
        <v>1996</v>
      </c>
      <c r="H45" s="10" t="str">
        <f>E45 &amp; IF(F45&lt;&gt;"", "_" &amp; SUBSTITUTE(F45," ",""), "_") &amp; IF(G45&lt;&gt;"", "_" &amp; G45, "_") &amp; IF(B45&lt;&gt;"", "_" &amp; B45, "")</f>
        <v>Baron_etal_1996</v>
      </c>
      <c r="I45" s="10" t="str">
        <f>_xlfn.LET(
_xlpm.doi,IF(C45&lt;&gt;"",C45,_xlfn.TEXTAFTER(A45,"https://doi.org/")),
SUBSTITUTE(
SUBSTITUTE(
SUBSTITUTE(
SUBSTITUTE(
_xlpm.doi,
"/","%2F"),
":","%3A"),
"&lt;","%3C"),
"&gt;","%3E")
)</f>
        <v>ISBN%3A9783764353704</v>
      </c>
      <c r="J45" s="10" t="str">
        <f>TRIM(_xlfn.TEXTJOIN("_",FALSE(),H45,(SUBSTITUTE(SUBSTITUTE(D45," ",""), "_", ""))))</f>
        <v>Baron_etal_1996_Table32</v>
      </c>
      <c r="K45" s="10" t="str">
        <f>I45 &amp; "_" &amp; SUBSTITUTE(SUBSTITUTE(SUBSTITUTE(D45,CHAR(160),"")," ",""),"_","")</f>
        <v>ISBN%3A9783764353704_Table32</v>
      </c>
      <c r="L45" s="10" t="str">
        <f t="array" ref="L45">IFERROR(INDEX(AUTO_Public_TSV_FileList!$A$1:$A$1000,MATCH(TRUE(),EXACT(K45,IFERROR(_xlfn.TEXTBEFORE(AUTO_Public_TSV_FileList!$A$1:$A$1000,".tsv"),"")),0)),"notfound")</f>
        <v>ISBN%3A9783764353704_Table32.tsv</v>
      </c>
      <c r="M45" s="13"/>
      <c r="N45" s="1"/>
      <c r="O45" s="13"/>
      <c r="P45" s="1" t="inlineStr">
        <is>
          <t>FINISHED</t>
        </is>
      </c>
      <c r="Q45" s="1"/>
      <c r="R45" s="1"/>
      <c r="S45" s="1"/>
      <c r="T45" s="1"/>
      <c r="U45" s="1"/>
      <c r="V45" s="13"/>
      <c r="W45" s="1"/>
      <c r="X45" s="13"/>
      <c r="Y45" s="1"/>
      <c r="Z45" s="1"/>
      <c r="AA45" s="1"/>
      <c r="AB45" s="1"/>
      <c r="AC45" s="1"/>
      <c r="AD45" s="1"/>
      <c r="AE45" s="1" t="inlineStr">
        <is>
          <t>primary</t>
        </is>
      </c>
      <c r="AF45" s="1"/>
      <c r="AG45" s="13"/>
    </row>
    <row r="46" ht="17" customHeight="1">
      <c r="A46" s="13" t="inlineStr">
        <is>
          <t>Baron, G., Stephan, H., &amp; Frahm, H. D. (1996). Comparative Neurobiology in Chiroptera: Macromorphology, Brain Structures, Tables, and Atlases. Birkhäuser.</t>
        </is>
      </c>
      <c r="C46" s="1" t="inlineStr">
        <is>
          <t>ISBN:9783764353704</t>
        </is>
      </c>
      <c r="D46" s="17" t="inlineStr">
        <is>
          <t>Table 35</t>
        </is>
      </c>
      <c r="E46" s="10" t="str">
        <f>SUBSTITUTE(SUBSTITUTE(_xlfn.TEXTBEFORE(A46,","), "-", ""), " ", "")</f>
        <v>Baron</v>
      </c>
      <c r="F46" s="10"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0" t="str">
        <f>_xlfn.TEXTBEFORE(_xlfn.TEXTAFTER(A46, "("), ")")</f>
        <v>1996</v>
      </c>
      <c r="H46" s="10" t="str">
        <f>E46 &amp; IF(F46&lt;&gt;"", "_" &amp; SUBSTITUTE(F46," ",""), "_") &amp; IF(G46&lt;&gt;"", "_" &amp; G46, "_") &amp; IF(B46&lt;&gt;"", "_" &amp; B46, "")</f>
        <v>Baron_etal_1996</v>
      </c>
      <c r="I46" s="10" t="str">
        <f>_xlfn.LET(
_xlpm.doi,IF(C46&lt;&gt;"",C46,_xlfn.TEXTAFTER(A46,"https://doi.org/")),
SUBSTITUTE(
SUBSTITUTE(
SUBSTITUTE(
SUBSTITUTE(
_xlpm.doi,
"/","%2F"),
":","%3A"),
"&lt;","%3C"),
"&gt;","%3E")
)</f>
        <v>ISBN%3A9783764353704</v>
      </c>
      <c r="J46" s="10" t="str">
        <f>TRIM(_xlfn.TEXTJOIN("_",FALSE(),H46,(SUBSTITUTE(SUBSTITUTE(D46," ",""), "_", ""))))</f>
        <v>Baron_etal_1996_Table35</v>
      </c>
      <c r="K46" s="10" t="str">
        <f>I46 &amp; "_" &amp; SUBSTITUTE(SUBSTITUTE(SUBSTITUTE(D46,CHAR(160),"")," ",""),"_","")</f>
        <v>ISBN%3A9783764353704_Table35</v>
      </c>
      <c r="L46" s="10" t="str">
        <f t="array" ref="L46">IFERROR(INDEX(AUTO_Public_TSV_FileList!$A$1:$A$1000,MATCH(TRUE(),EXACT(K46,IFERROR(_xlfn.TEXTBEFORE(AUTO_Public_TSV_FileList!$A$1:$A$1000,".tsv"),"")),0)),"notfound")</f>
        <v>ISBN%3A9783764353704_Table35.tsv</v>
      </c>
      <c r="M46" s="17" t="inlineStr">
        <is>
          <t>Volumes, size indices, average size indices of the accessory olfactory bulb, and percentage of AOB relative to the BOL complex</t>
        </is>
      </c>
      <c r="N46" s="1" t="inlineStr">
        <is>
          <t>table</t>
        </is>
      </c>
      <c r="O46" s="13"/>
      <c r="P46" s="17" t="inlineStr">
        <is>
          <t>FINISHED</t>
        </is>
      </c>
      <c r="Q46" s="17"/>
      <c r="R46" s="17"/>
      <c r="S46" s="17" t="inlineStr">
        <is>
          <t>Structure list, species count and the table's size/index role confirmed against the book's own Table 1 key (PDF pp. 264-265) and the printed column header, 2026-08-31.</t>
        </is>
      </c>
      <c r="T46"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6" s="17"/>
      <c r="V46" s="13"/>
      <c r="W46" s="17" t="inlineStr">
        <is>
          <t>Mammals</t>
        </is>
      </c>
      <c r="X46" s="17" t="inlineStr">
        <is>
          <t>accessory olfactory bulb volume</t>
        </is>
      </c>
      <c r="Y46" s="17" t="inlineStr">
        <is>
          <t>accessory olfactory bulb volume</t>
        </is>
      </c>
      <c r="Z46" s="17" t="inlineStr">
        <is>
          <t>histological sections</t>
        </is>
      </c>
      <c r="AA46" s="17"/>
      <c r="AB46" s="17" t="inlineStr">
        <is>
          <t>volume</t>
        </is>
      </c>
      <c r="AC46" s="17" t="inlineStr">
        <is>
          <t>Stephan</t>
        </is>
      </c>
      <c r="AD46" s="17" t="inlineStr">
        <is>
          <t>Stephan</t>
        </is>
      </c>
      <c r="AE46" s="17" t="inlineStr">
        <is>
          <t>primary</t>
        </is>
      </c>
      <c r="AF46" s="17"/>
      <c r="AG46" s="17" t="inlineStr">
        <is>
          <t>Build the volume column only. AOB is not separated in Table 32, whose BOL is the whole olfactory bulb complex, so this is the only route to an MOB/AOB split for bats.</t>
        </is>
      </c>
    </row>
    <row r="47" ht="17" customHeight="1">
      <c r="A47" s="13" t="inlineStr">
        <is>
          <t>Baron, G., Stephan, H., &amp; Frahm, H. D. (1996). Comparative Neurobiology in Chiroptera: Macromorphology, Brain Structures, Tables, and Atlases. Birkhäuser.</t>
        </is>
      </c>
      <c r="C47" s="1" t="inlineStr">
        <is>
          <t>ISBN:9783764353704</t>
        </is>
      </c>
      <c r="D47" s="17" t="inlineStr">
        <is>
          <t>Table 36</t>
        </is>
      </c>
      <c r="E47" s="10" t="str">
        <f>SUBSTITUTE(SUBSTITUTE(_xlfn.TEXTBEFORE(A47,","), "-", ""), " ", "")</f>
        <v>Baron</v>
      </c>
      <c r="F47" s="10"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0" t="str">
        <f>_xlfn.TEXTBEFORE(_xlfn.TEXTAFTER(A47, "("), ")")</f>
        <v>1996</v>
      </c>
      <c r="H47" s="10" t="str">
        <f>E47 &amp; IF(F47&lt;&gt;"", "_" &amp; SUBSTITUTE(F47," ",""), "_") &amp; IF(G47&lt;&gt;"", "_" &amp; G47, "_") &amp; IF(B47&lt;&gt;"", "_" &amp; B47, "")</f>
        <v>Baron_etal_1996</v>
      </c>
      <c r="I47" s="10" t="str">
        <f>_xlfn.LET(
_xlpm.doi,IF(C47&lt;&gt;"",C47,_xlfn.TEXTAFTER(A47,"https://doi.org/")),
SUBSTITUTE(
SUBSTITUTE(
SUBSTITUTE(
SUBSTITUTE(
_xlpm.doi,
"/","%2F"),
":","%3A"),
"&lt;","%3C"),
"&gt;","%3E")
)</f>
        <v>ISBN%3A9783764353704</v>
      </c>
      <c r="J47" s="10" t="str">
        <f>TRIM(_xlfn.TEXTJOIN("_",FALSE(),H47,(SUBSTITUTE(SUBSTITUTE(D47," ",""), "_", ""))))</f>
        <v>Baron_etal_1996_Table36</v>
      </c>
      <c r="K47" s="10" t="str">
        <f>I47 &amp; "_" &amp; SUBSTITUTE(SUBSTITUTE(SUBSTITUTE(D47,CHAR(160),"")," ",""),"_","")</f>
        <v>ISBN%3A9783764353704_Table36</v>
      </c>
      <c r="L47" s="10" t="str">
        <f t="array" ref="L47">IFERROR(INDEX(AUTO_Public_TSV_FileList!$A$1:$A$1000,MATCH(TRUE(),EXACT(K47,IFERROR(_xlfn.TEXTBEFORE(AUTO_Public_TSV_FileList!$A$1:$A$1000,".tsv"),"")),0)),"notfound")</f>
        <v>ISBN%3A9783764353704_Table36.tsv</v>
      </c>
      <c r="M47" s="17" t="inlineStr">
        <is>
          <t>Schneider's area measurements of cortical regions (mm2)</t>
        </is>
      </c>
      <c r="N47" s="1" t="inlineStr">
        <is>
          <t>table</t>
        </is>
      </c>
      <c r="O47" s="13"/>
      <c r="P47" s="17" t="inlineStr">
        <is>
          <t>FINISHED</t>
        </is>
      </c>
      <c r="Q47" s="17"/>
      <c r="R47" s="17"/>
      <c r="S47" s="17" t="inlineStr">
        <is>
          <t>Structure list, species count and the table's size/index role confirmed against the book's own Table 1 key (PDF pp. 264-265) and the printed column header, 2026-08-31.</t>
        </is>
      </c>
      <c r="T47" s="1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7" s="17"/>
      <c r="V47" s="13"/>
      <c r="W47" s="17" t="inlineStr">
        <is>
          <t>Mammals</t>
        </is>
      </c>
      <c r="X47" s="17" t="inlineStr">
        <is>
          <t>cortical surface areas (mm2)</t>
        </is>
      </c>
      <c r="Y47" s="17" t="inlineStr">
        <is>
          <t>cortical surface areas (mm2)</t>
        </is>
      </c>
      <c r="Z47" s="17" t="inlineStr">
        <is>
          <t>histological sections</t>
        </is>
      </c>
      <c r="AA47" s="13"/>
      <c r="AB47" s="17" t="inlineStr">
        <is>
          <t>cortical surface area</t>
        </is>
      </c>
      <c r="AC47" s="13"/>
      <c r="AD47" s="17"/>
      <c r="AE47" s="17" t="inlineStr">
        <is>
          <t>secondary</t>
        </is>
      </c>
      <c r="AF47" s="17" t="inlineStr">
        <is>
          <t>Schneider (1957b) planimetry of cortical regions</t>
        </is>
      </c>
      <c r="AG47" s="17" t="inlineStr">
        <is>
          <t>Build only if bat cortical surface areas are wanted for __merging_cortical_areas. Secondary: the measurements are Schneider's (1957b), and Stephan &amp; Pirlot 1970 cite Schneider's cortical surface work directly, so prefer the original if it can be obtained.</t>
        </is>
      </c>
    </row>
    <row r="48" ht="17" customHeight="1">
      <c r="A48" s="13" t="inlineStr">
        <is>
          <t>Baron, G., Stephan, H., &amp; Frahm, H. D. (1996). Comparative Neurobiology in Chiroptera: Macromorphology, Brain Structures, Tables, and Atlases. Birkhäuser.</t>
        </is>
      </c>
      <c r="C48" s="1" t="inlineStr">
        <is>
          <t>ISBN:9783764353704</t>
        </is>
      </c>
      <c r="D48" s="17" t="inlineStr">
        <is>
          <t>Table 39</t>
        </is>
      </c>
      <c r="E48" s="10" t="str">
        <f>SUBSTITUTE(SUBSTITUTE(_xlfn.TEXTBEFORE(A48,","), "-", ""), " ", "")</f>
        <v>Baron</v>
      </c>
      <c r="F48" s="10"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0" t="str">
        <f>_xlfn.TEXTBEFORE(_xlfn.TEXTAFTER(A48, "("), ")")</f>
        <v>1996</v>
      </c>
      <c r="H48" s="10" t="str">
        <f>E48 &amp; IF(F48&lt;&gt;"", "_" &amp; SUBSTITUTE(F48," ",""), "_") &amp; IF(G48&lt;&gt;"", "_" &amp; G48, "_") &amp; IF(B48&lt;&gt;"", "_" &amp; B48, "")</f>
        <v>Baron_etal_1996</v>
      </c>
      <c r="I48" s="10" t="str">
        <f>_xlfn.LET(
_xlpm.doi,IF(C48&lt;&gt;"",C48,_xlfn.TEXTAFTER(A48,"https://doi.org/")),
SUBSTITUTE(
SUBSTITUTE(
SUBSTITUTE(
SUBSTITUTE(
_xlpm.doi,
"/","%2F"),
":","%3A"),
"&lt;","%3C"),
"&gt;","%3E")
)</f>
        <v>ISBN%3A9783764353704</v>
      </c>
      <c r="J48" s="10" t="str">
        <f>TRIM(_xlfn.TEXTJOIN("_",FALSE(),H48,(SUBSTITUTE(SUBSTITUTE(D48," ",""), "_", ""))))</f>
        <v>Baron_etal_1996_Table39</v>
      </c>
      <c r="K48" s="10" t="str">
        <f>I48 &amp; "_" &amp; SUBSTITUTE(SUBSTITUTE(SUBSTITUTE(D48,CHAR(160),"")," ",""),"_","")</f>
        <v>ISBN%3A9783764353704_Table39</v>
      </c>
      <c r="L48" s="10" t="str">
        <f t="array" ref="L48">IFERROR(INDEX(AUTO_Public_TSV_FileList!$A$1:$A$1000,MATCH(TRUE(),EXACT(K48,IFERROR(_xlfn.TEXTBEFORE(AUTO_Public_TSV_FileList!$A$1:$A$1000,".tsv"),"")),0)),"notfound")</f>
        <v>ISBN%3A9783764353704_Table39.tsv</v>
      </c>
      <c r="M48" s="17" t="inlineStr">
        <is>
          <t>Lütgemeier's area measurements of cortical regions (in mm2)</t>
        </is>
      </c>
      <c r="N48" s="1" t="inlineStr">
        <is>
          <t>table</t>
        </is>
      </c>
      <c r="O48" s="13"/>
      <c r="P48" s="17" t="inlineStr">
        <is>
          <t>FINISHED</t>
        </is>
      </c>
      <c r="Q48" s="17"/>
      <c r="R48" s="17"/>
      <c r="S48" s="17" t="inlineStr">
        <is>
          <t>Structure list, species count and the table's size/index role confirmed against the book's own Table 1 key (PDF pp. 264-265) and the printed column header, 2026-08-31.</t>
        </is>
      </c>
      <c r="T48" s="1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8" s="17"/>
      <c r="V48" s="13"/>
      <c r="W48" s="17" t="inlineStr">
        <is>
          <t>Mammals</t>
        </is>
      </c>
      <c r="X48" s="17" t="inlineStr">
        <is>
          <t>cortical surface areas (mm2)</t>
        </is>
      </c>
      <c r="Y48" s="17"/>
      <c r="Z48" s="17" t="inlineStr">
        <is>
          <t>histological sections</t>
        </is>
      </c>
      <c r="AA48" s="17" t="inlineStr">
        <is>
          <t>Lütgemeier (1962) planimetry of cortical regions</t>
        </is>
      </c>
      <c r="AB48" s="17" t="inlineStr">
        <is>
          <t>cortical surface area</t>
        </is>
      </c>
      <c r="AC48" s="17"/>
      <c r="AD48" s="17"/>
      <c r="AE48" s="17" t="inlineStr">
        <is>
          <t>secondary</t>
        </is>
      </c>
      <c r="AF48" s="17"/>
      <c r="AG48" s="13"/>
    </row>
    <row r="49" ht="17" customHeight="1">
      <c r="A49" s="13" t="inlineStr">
        <is>
          <t>Baron, G., Stephan, H., &amp; Frahm, H. D. (1996). Comparative Neurobiology in Chiroptera: Macromorphology, Brain Structures, Tables, and Atlases. Birkhäuser.</t>
        </is>
      </c>
      <c r="C49" s="1" t="inlineStr">
        <is>
          <t>ISBN:9783764353704</t>
        </is>
      </c>
      <c r="D49" s="17" t="inlineStr">
        <is>
          <t>Table 42</t>
        </is>
      </c>
      <c r="E49" s="10" t="str">
        <f>SUBSTITUTE(SUBSTITUTE(_xlfn.TEXTBEFORE(A49,","), "-", ""), " ", "")</f>
        <v>Baron</v>
      </c>
      <c r="F49" s="10"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0" t="str">
        <f>_xlfn.TEXTBEFORE(_xlfn.TEXTAFTER(A49, "("), ")")</f>
        <v>1996</v>
      </c>
      <c r="H49" s="10" t="str">
        <f>E49 &amp; IF(F49&lt;&gt;"", "_" &amp; SUBSTITUTE(F49," ",""), "_") &amp; IF(G49&lt;&gt;"", "_" &amp; G49, "_") &amp; IF(B49&lt;&gt;"", "_" &amp; B49, "")</f>
        <v>Baron_etal_1996</v>
      </c>
      <c r="I49" s="10" t="str">
        <f>_xlfn.LET(
_xlpm.doi,IF(C49&lt;&gt;"",C49,_xlfn.TEXTAFTER(A49,"https://doi.org/")),
SUBSTITUTE(
SUBSTITUTE(
SUBSTITUTE(
SUBSTITUTE(
_xlpm.doi,
"/","%2F"),
":","%3A"),
"&lt;","%3C"),
"&gt;","%3E")
)</f>
        <v>ISBN%3A9783764353704</v>
      </c>
      <c r="J49" s="10" t="str">
        <f>TRIM(_xlfn.TEXTJOIN("_",FALSE(),H49,(SUBSTITUTE(SUBSTITUTE(D49," ",""), "_", ""))))</f>
        <v>Baron_etal_1996_Table42</v>
      </c>
      <c r="K49" s="10" t="str">
        <f>I49 &amp; "_" &amp; SUBSTITUTE(SUBSTITUTE(SUBSTITUTE(D49,CHAR(160),"")," ",""),"_","")</f>
        <v>ISBN%3A9783764353704_Table42</v>
      </c>
      <c r="L49" s="10" t="str">
        <f t="array" ref="L49">IFERROR(INDEX(AUTO_Public_TSV_FileList!$A$1:$A$1000,MATCH(TRUE(),EXACT(K49,IFERROR(_xlfn.TEXTBEFORE(AUTO_Public_TSV_FileList!$A$1:$A$1000,".tsv"),"")),0)),"notfound")</f>
        <v>ISBN%3A9783764353704_Table42.tsv</v>
      </c>
      <c r="M49" s="17" t="inlineStr">
        <is>
          <t>Lütgemeier's area measurements of the semicortex (in mm2)</t>
        </is>
      </c>
      <c r="N49" s="1" t="inlineStr">
        <is>
          <t>table</t>
        </is>
      </c>
      <c r="O49" s="17" t="inlineStr">
        <is>
          <t>Build only with Tables 39 and 45. Secondary (Lütgemeier 1962).</t>
        </is>
      </c>
      <c r="P49" s="17" t="inlineStr">
        <is>
          <t>FINISHED</t>
        </is>
      </c>
      <c r="Q49" s="17"/>
      <c r="R49" s="17"/>
      <c r="S49" s="17" t="inlineStr">
        <is>
          <t>Structure list, species count and the table's size/index role confirmed against the book's own Table 1 key (PDF pp. 264-265) and the printed column header, 2026-08-31.</t>
        </is>
      </c>
      <c r="T49" s="1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49" s="17"/>
      <c r="V49" s="13"/>
      <c r="W49" s="17" t="inlineStr">
        <is>
          <t>Mammals</t>
        </is>
      </c>
      <c r="X49" s="17" t="inlineStr">
        <is>
          <t>semicortex surface areas (mm2)</t>
        </is>
      </c>
      <c r="Y49" s="17"/>
      <c r="Z49" s="17" t="inlineStr">
        <is>
          <t>histological sections</t>
        </is>
      </c>
      <c r="AA49" s="17" t="inlineStr">
        <is>
          <t>Lütgemeier (1962) planimetry of cortical regions</t>
        </is>
      </c>
      <c r="AB49" s="17" t="inlineStr">
        <is>
          <t>cortical surface area</t>
        </is>
      </c>
      <c r="AC49" s="17"/>
      <c r="AD49" s="17"/>
      <c r="AE49" s="17" t="inlineStr">
        <is>
          <t>secondary</t>
        </is>
      </c>
      <c r="AF49" s="17"/>
      <c r="AG49" s="13"/>
    </row>
    <row r="50" ht="17" customHeight="1">
      <c r="A50" s="13" t="inlineStr">
        <is>
          <t>Baron, G., Stephan, H., &amp; Frahm, H. D. (1996). Comparative Neurobiology in Chiroptera: Macromorphology, Brain Structures, Tables, and Atlases. Birkhäuser.</t>
        </is>
      </c>
      <c r="C50" s="15" t="inlineStr">
        <is>
          <t>ISBN:9783764353704</t>
        </is>
      </c>
      <c r="D50" s="17" t="inlineStr">
        <is>
          <t>Table 45</t>
        </is>
      </c>
      <c r="E50" s="10" t="str">
        <f>SUBSTITUTE(SUBSTITUTE(_xlfn.TEXTBEFORE(A50,","), "-", ""), " ", "")</f>
        <v>Baron</v>
      </c>
      <c r="F50" s="10"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0" t="str">
        <f>_xlfn.TEXTBEFORE(_xlfn.TEXTAFTER(A50, "("), ")")</f>
        <v>1996</v>
      </c>
      <c r="H50" s="10" t="str">
        <f>E50 &amp; IF(F50&lt;&gt;"", "_" &amp; SUBSTITUTE(F50," ",""), "_") &amp; IF(G50&lt;&gt;"", "_" &amp; G50, "_") &amp; IF(B50&lt;&gt;"", "_" &amp; B50, "")</f>
        <v>Baron_etal_1996</v>
      </c>
      <c r="I50" s="10" t="str">
        <f>_xlfn.LET(
_xlpm.doi,IF(C50&lt;&gt;"",C50,_xlfn.TEXTAFTER(A50,"https://doi.org/")),
SUBSTITUTE(
SUBSTITUTE(
SUBSTITUTE(
SUBSTITUTE(
_xlpm.doi,
"/","%2F"),
":","%3A"),
"&lt;","%3C"),
"&gt;","%3E")
)</f>
        <v>ISBN%3A9783764353704</v>
      </c>
      <c r="J50" s="10" t="str">
        <f>TRIM(_xlfn.TEXTJOIN("_",FALSE(),H50,(SUBSTITUTE(SUBSTITUTE(D50," ",""), "_", ""))))</f>
        <v>Baron_etal_1996_Table45</v>
      </c>
      <c r="K50" s="10" t="str">
        <f>I50 &amp; "_" &amp; SUBSTITUTE(SUBSTITUTE(SUBSTITUTE(D50,CHAR(160),"")," ",""),"_","")</f>
        <v>ISBN%3A9783764353704_Table45</v>
      </c>
      <c r="L50" s="10" t="str">
        <f t="array" ref="L50">IFERROR(INDEX(AUTO_Public_TSV_FileList!$A$1:$A$1000,MATCH(TRUE(),EXACT(K50,IFERROR(_xlfn.TEXTBEFORE(AUTO_Public_TSV_FileList!$A$1:$A$1000,".tsv"),"")),0)),"notfound")</f>
        <v>ISBN%3A9783764353704_Table45.tsv</v>
      </c>
      <c r="M50" s="17" t="inlineStr">
        <is>
          <t>Lütgemeier's area measurements of the "bicortex" (in mm2)</t>
        </is>
      </c>
      <c r="N50" s="1" t="inlineStr">
        <is>
          <t>table</t>
        </is>
      </c>
      <c r="O50" s="17" t="inlineStr">
        <is>
          <t>Build only with Tables 39 and 42. Secondary (Lütgemeier 1962).</t>
        </is>
      </c>
      <c r="P50" s="17" t="inlineStr">
        <is>
          <t>FINISHED</t>
        </is>
      </c>
      <c r="Q50" s="17"/>
      <c r="R50" s="17"/>
      <c r="S50" s="17" t="inlineStr">
        <is>
          <t>Structure list, species count and the table's size/index role confirmed against the book's own Table 1 key (PDF pp. 264-265) and the printed column header, 2026-08-31.</t>
        </is>
      </c>
      <c r="T50" s="1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0" s="17"/>
      <c r="V50" s="13"/>
      <c r="W50" s="17" t="inlineStr">
        <is>
          <t>Mammals</t>
        </is>
      </c>
      <c r="X50" s="17" t="inlineStr">
        <is>
          <t>bicortex surface areas (mm2)</t>
        </is>
      </c>
      <c r="Y50" s="17"/>
      <c r="Z50" s="17" t="inlineStr">
        <is>
          <t>histological sections</t>
        </is>
      </c>
      <c r="AA50" s="17" t="inlineStr">
        <is>
          <t>Lütgemeier (1962) planimetry of cortical regions</t>
        </is>
      </c>
      <c r="AB50" s="17" t="inlineStr">
        <is>
          <t>cortical surface area</t>
        </is>
      </c>
      <c r="AC50" s="17"/>
      <c r="AD50" s="17"/>
      <c r="AE50" s="17" t="inlineStr">
        <is>
          <t>secondary</t>
        </is>
      </c>
      <c r="AF50" s="17"/>
      <c r="AG50" s="13"/>
    </row>
    <row r="51" ht="17" customHeight="1">
      <c r="A51" s="13" t="inlineStr">
        <is>
          <t>Baron, G., Stephan, H., &amp; Frahm, H. D. (1996). Comparative Neurobiology in Chiroptera: Macromorphology, Brain Structures, Tables, and Atlases. Birkhäuser.</t>
        </is>
      </c>
      <c r="C51" s="15" t="inlineStr">
        <is>
          <t>ISBN:9783764353704</t>
        </is>
      </c>
      <c r="D51" s="17" t="inlineStr">
        <is>
          <t>Table 48</t>
        </is>
      </c>
      <c r="E51" s="10" t="str">
        <f>SUBSTITUTE(SUBSTITUTE(_xlfn.TEXTBEFORE(A51,","), "-", ""), " ", "")</f>
        <v>Baron</v>
      </c>
      <c r="F51" s="10"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0" t="str">
        <f>_xlfn.TEXTBEFORE(_xlfn.TEXTAFTER(A51, "("), ")")</f>
        <v>1996</v>
      </c>
      <c r="H51" s="10" t="str">
        <f>E51 &amp; IF(F51&lt;&gt;"", "_" &amp; SUBSTITUTE(F51," ",""), "_") &amp; IF(G51&lt;&gt;"", "_" &amp; G51, "_") &amp; IF(B51&lt;&gt;"", "_" &amp; B51, "")</f>
        <v>Baron_etal_1996</v>
      </c>
      <c r="I51" s="10" t="str">
        <f>_xlfn.LET(
_xlpm.doi,IF(C51&lt;&gt;"",C51,_xlfn.TEXTAFTER(A51,"https://doi.org/")),
SUBSTITUTE(
SUBSTITUTE(
SUBSTITUTE(
SUBSTITUTE(
_xlpm.doi,
"/","%2F"),
":","%3A"),
"&lt;","%3C"),
"&gt;","%3E")
)</f>
        <v>ISBN%3A9783764353704</v>
      </c>
      <c r="J51" s="10" t="str">
        <f>TRIM(_xlfn.TEXTJOIN("_",FALSE(),H51,(SUBSTITUTE(SUBSTITUTE(D51," ",""), "_", ""))))</f>
        <v>Baron_etal_1996_Table48</v>
      </c>
      <c r="K51" s="10" t="str">
        <f>I51 &amp; "_" &amp; SUBSTITUTE(SUBSTITUTE(SUBSTITUTE(D51,CHAR(160),"")," ",""),"_","")</f>
        <v>ISBN%3A9783764353704_Table48</v>
      </c>
      <c r="L51" s="10" t="str">
        <f t="array" ref="L51">IFERROR(INDEX(AUTO_Public_TSV_FileList!$A$1:$A$1000,MATCH(TRUE(),EXACT(K51,IFERROR(_xlfn.TEXTBEFORE(AUTO_Public_TSV_FileList!$A$1:$A$1000,".tsv"),"")),0)),"notfound")</f>
        <v>ISBN%3A9783764353704_Table48.tsv</v>
      </c>
      <c r="M51" s="17" t="inlineStr">
        <is>
          <t>Brodmann's area measurements of cortical regions (in mm2)</t>
        </is>
      </c>
      <c r="N51" s="1" t="inlineStr">
        <is>
          <t>table</t>
        </is>
      </c>
      <c r="O51" s="13"/>
      <c r="P51" s="17" t="inlineStr">
        <is>
          <t>FINISHED</t>
        </is>
      </c>
      <c r="Q51" s="17"/>
      <c r="R51" s="17"/>
      <c r="S51" s="17" t="inlineStr">
        <is>
          <t>Structure list, species count and the table's size/index role confirmed against the book's own Table 1 key (PDF pp. 264-265) and the printed column header, 2026-08-31.</t>
        </is>
      </c>
      <c r="T51" s="1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1" s="17"/>
      <c r="V51" s="13"/>
      <c r="W51" s="17" t="inlineStr">
        <is>
          <t>Mammals</t>
        </is>
      </c>
      <c r="X51" s="17" t="inlineStr">
        <is>
          <t>cortical surface areas (mm2)</t>
        </is>
      </c>
      <c r="Y51" s="17" t="inlineStr">
        <is>
          <t>cortical surface areas (mm2)</t>
        </is>
      </c>
      <c r="Z51" s="17" t="inlineStr">
        <is>
          <t>histological sections</t>
        </is>
      </c>
      <c r="AA51" s="13"/>
      <c r="AB51" s="17" t="inlineStr">
        <is>
          <t>cortical surface area</t>
        </is>
      </c>
      <c r="AC51" s="13"/>
      <c r="AD51" s="17"/>
      <c r="AE51" s="17" t="inlineStr">
        <is>
          <t>secondary</t>
        </is>
      </c>
      <c r="AF51" s="17" t="inlineStr">
        <is>
          <t>Brodmann (1913) planimetry of cortical regions</t>
        </is>
      </c>
      <c r="AG51" s="13"/>
    </row>
    <row r="52" ht="17" customHeight="1">
      <c r="A52" s="13" t="inlineStr">
        <is>
          <t>Baron, G., Stephan, H., &amp; Frahm, H. D. (1996). Comparative Neurobiology in Chiroptera: Macromorphology, Brain Structures, Tables, and Atlases. Birkhäuser.</t>
        </is>
      </c>
      <c r="C52" s="15" t="inlineStr">
        <is>
          <t>ISBN:9783764353704</t>
        </is>
      </c>
      <c r="D52" s="17" t="inlineStr">
        <is>
          <t>Table 5</t>
        </is>
      </c>
      <c r="E52" s="10" t="str">
        <f>SUBSTITUTE(SUBSTITUTE(_xlfn.TEXTBEFORE(A52,","), "-", ""), " ", "")</f>
        <v>Baron</v>
      </c>
      <c r="F52" s="10"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10" t="str">
        <f>_xlfn.TEXTBEFORE(_xlfn.TEXTAFTER(A52, "("), ")")</f>
        <v>1996</v>
      </c>
      <c r="H52" s="10" t="str">
        <f>E52 &amp; IF(F52&lt;&gt;"", "_" &amp; SUBSTITUTE(F52," ",""), "_") &amp; IF(G52&lt;&gt;"", "_" &amp; G52, "_") &amp; IF(B52&lt;&gt;"", "_" &amp; B52, "")</f>
        <v>Baron_etal_1996</v>
      </c>
      <c r="I52" s="10" t="str">
        <f>_xlfn.LET(
_xlpm.doi,IF(C52&lt;&gt;"",C52,_xlfn.TEXTAFTER(A52,"https://doi.org/")),
SUBSTITUTE(
SUBSTITUTE(
SUBSTITUTE(
SUBSTITUTE(
_xlpm.doi,
"/","%2F"),
":","%3A"),
"&lt;","%3C"),
"&gt;","%3E")
)</f>
        <v>ISBN%3A9783764353704</v>
      </c>
      <c r="J52" s="10" t="str">
        <f>TRIM(_xlfn.TEXTJOIN("_",FALSE(),H52,(SUBSTITUTE(SUBSTITUTE(D52," ",""), "_", ""))))</f>
        <v>Baron_etal_1996_Table5</v>
      </c>
      <c r="K52" s="10" t="str">
        <f>I52 &amp; "_" &amp; SUBSTITUTE(SUBSTITUTE(SUBSTITUTE(D52,CHAR(160),"")," ",""),"_","")</f>
        <v>ISBN%3A9783764353704_Table5</v>
      </c>
      <c r="L52" s="10" t="str">
        <f t="array" ref="L52">IFERROR(INDEX(AUTO_Public_TSV_FileList!$A$1:$A$1000,MATCH(TRUE(),EXACT(K52,IFERROR(_xlfn.TEXTBEFORE(AUTO_Public_TSV_FileList!$A$1:$A$1000,".tsv"),"")),0)),"notfound")</f>
        <v>ISBN%3A9783764353704_Table5.tsv</v>
      </c>
      <c r="M52" s="17" t="inlineStr">
        <is>
          <t>Average body weights (BoW) and brain weights (BrW) of 342 species and/or subspecies of bats</t>
        </is>
      </c>
      <c r="N52" s="1" t="inlineStr">
        <is>
          <t>table</t>
        </is>
      </c>
      <c r="O52" s="13"/>
      <c r="P52" s="17" t="inlineStr">
        <is>
          <t>FINISHED</t>
        </is>
      </c>
      <c r="Q52" s="17"/>
      <c r="R52" s="17"/>
      <c r="S52" s="17" t="inlineStr">
        <is>
          <t>Structure list, species count and the table's size/index role confirmed against the book's own Table 1 key (PDF pp. 264-265) and the printed column header, 2026-08-31.</t>
        </is>
      </c>
      <c r="T52"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2" s="17"/>
      <c r="V52" s="13"/>
      <c r="W52" s="17" t="inlineStr">
        <is>
          <t>Mammals</t>
        </is>
      </c>
      <c r="X52" s="17" t="inlineStr">
        <is>
          <t>body mass (g); brain mass (mg)</t>
        </is>
      </c>
      <c r="Y52" s="17" t="inlineStr">
        <is>
          <t>body mass (g); brain mass (mg)</t>
        </is>
      </c>
      <c r="Z52" s="17"/>
      <c r="AA52" s="17"/>
      <c r="AB52" s="17" t="inlineStr">
        <is>
          <t>body mass; brain mass</t>
        </is>
      </c>
      <c r="AC52" s="17" t="inlineStr">
        <is>
          <t>Stephan</t>
        </is>
      </c>
      <c r="AD52" s="17" t="inlineStr">
        <is>
          <t>Stephan</t>
        </is>
      </c>
      <c r="AE52" s="17" t="inlineStr">
        <is>
          <t>primary</t>
        </is>
      </c>
      <c r="AF52" s="17"/>
      <c r="AG52" s="17" t="inlineStr">
        <is>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is>
      </c>
    </row>
    <row r="53" ht="17" customHeight="1">
      <c r="A53" s="13" t="inlineStr">
        <is>
          <t>Baron, G., Stephan, H., &amp; Frahm, H. D. (1996). Comparative Neurobiology in Chiroptera: Macromorphology, Brain Structures, Tables, and Atlases. Birkhäuser.</t>
        </is>
      </c>
      <c r="B53" s="9"/>
      <c r="C53" s="1" t="inlineStr">
        <is>
          <t>ISBN:9783764353704</t>
        </is>
      </c>
      <c r="D53" s="17" t="inlineStr">
        <is>
          <t>Table 51</t>
        </is>
      </c>
      <c r="E53" s="10" t="str">
        <f>SUBSTITUTE(SUBSTITUTE(_xlfn.TEXTBEFORE(A53,","), "-", ""), " ", "")</f>
        <v>Baron</v>
      </c>
      <c r="F53" s="10"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10" t="str">
        <f>_xlfn.TEXTBEFORE(_xlfn.TEXTAFTER(A53, "("), ")")</f>
        <v>1996</v>
      </c>
      <c r="H53" s="10" t="str">
        <f>E53 &amp; IF(F53&lt;&gt;"", "_" &amp; SUBSTITUTE(F53," ",""), "_") &amp; IF(G53&lt;&gt;"", "_" &amp; G53, "_") &amp; IF(B53&lt;&gt;"", "_" &amp; B53, "")</f>
        <v>Baron_etal_1996</v>
      </c>
      <c r="I53" s="10" t="str">
        <f>_xlfn.LET(
_xlpm.doi,IF(C53&lt;&gt;"",C53,_xlfn.TEXTAFTER(A53,"https://doi.org/")),
SUBSTITUTE(
SUBSTITUTE(
SUBSTITUTE(
SUBSTITUTE(
_xlpm.doi,
"/","%2F"),
":","%3A"),
"&lt;","%3C"),
"&gt;","%3E")
)</f>
        <v>ISBN%3A9783764353704</v>
      </c>
      <c r="J53" s="10" t="str">
        <f>TRIM(_xlfn.TEXTJOIN("_",FALSE(),H53,(SUBSTITUTE(SUBSTITUTE(D53," ",""), "_", ""))))</f>
        <v>Baron_etal_1996_Table51</v>
      </c>
      <c r="K53" s="10" t="str">
        <f>I53 &amp; "_" &amp; SUBSTITUTE(SUBSTITUTE(SUBSTITUTE(D53,CHAR(160),"")," ",""),"_","")</f>
        <v>ISBN%3A9783764353704_Table51</v>
      </c>
      <c r="L53" s="10" t="str">
        <f t="array" ref="L53">IFERROR(INDEX(AUTO_Public_TSV_FileList!$A$1:$A$1000,MATCH(TRUE(),EXACT(K53,IFERROR(_xlfn.TEXTBEFORE(AUTO_Public_TSV_FileList!$A$1:$A$1000,".tsv"),"")),0)),"notfound")</f>
        <v>ISBN%3A9783764353704_Table51.tsv</v>
      </c>
      <c r="M53" s="17" t="inlineStr">
        <is>
          <t>Pirlot's data of body and brain weights and of the volumes of the five fundamental brain parts and seven telencephalon components in mm3</t>
        </is>
      </c>
      <c r="N53" s="1" t="inlineStr">
        <is>
          <t>table</t>
        </is>
      </c>
      <c r="O53" s="13"/>
      <c r="P53" s="17" t="inlineStr">
        <is>
          <t>FINISHED</t>
        </is>
      </c>
      <c r="Q53" s="17"/>
      <c r="R53" s="17"/>
      <c r="S53" s="17" t="inlineStr">
        <is>
          <t>Structure list, species count and the table's size/index role confirmed against the book's own Table 1 key (PDF pp. 264-265) and the printed column header, 2026-08-31.</t>
        </is>
      </c>
      <c r="T53" s="17" t="inlineStr">
        <is>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3" s="17"/>
      <c r="V53" s="13"/>
      <c r="W53" s="17" t="inlineStr">
        <is>
          <t>Mammals</t>
        </is>
      </c>
      <c r="X53" s="17" t="inlineStr">
        <is>
          <t>brain structure volumes (mm3); body and brain weight</t>
        </is>
      </c>
      <c r="Y53" s="17"/>
      <c r="Z53" s="17" t="inlineStr">
        <is>
          <t>histological sections</t>
        </is>
      </c>
      <c r="AA53" s="17" t="inlineStr">
        <is>
          <t>volumetry</t>
        </is>
      </c>
      <c r="AB53" s="17" t="inlineStr">
        <is>
          <t>volume</t>
        </is>
      </c>
      <c r="AC53" s="13"/>
      <c r="AD53" s="17"/>
      <c r="AE53" s="17" t="inlineStr">
        <is>
          <t>secondary</t>
        </is>
      </c>
      <c r="AF53" s="17"/>
      <c r="AG53" s="17" t="inlineStr">
        <is>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is>
      </c>
    </row>
    <row r="54" ht="17" customHeight="1">
      <c r="A54" s="13" t="inlineStr">
        <is>
          <t>Baron, G., Stephan, H., &amp; Frahm, H. D. (1996). Comparative Neurobiology in Chiroptera: Macromorphology, Brain Structures, Tables, and Atlases. Birkhäuser.</t>
        </is>
      </c>
      <c r="B54" s="9"/>
      <c r="C54" s="1" t="inlineStr">
        <is>
          <t>ISBN:9783764353704</t>
        </is>
      </c>
      <c r="D54" s="17" t="inlineStr">
        <is>
          <t>Table 8</t>
        </is>
      </c>
      <c r="E54" s="10" t="str">
        <f>SUBSTITUTE(SUBSTITUTE(_xlfn.TEXTBEFORE(A54,","), "-", ""), " ", "")</f>
        <v>Baron</v>
      </c>
      <c r="F54" s="10"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10" t="str">
        <f>_xlfn.TEXTBEFORE(_xlfn.TEXTAFTER(A54, "("), ")")</f>
        <v>1996</v>
      </c>
      <c r="H54" s="10" t="str">
        <f>E54 &amp; IF(F54&lt;&gt;"", "_" &amp; SUBSTITUTE(F54," ",""), "_") &amp; IF(G54&lt;&gt;"", "_" &amp; G54, "_") &amp; IF(B54&lt;&gt;"", "_" &amp; B54, "")</f>
        <v>Baron_etal_1996</v>
      </c>
      <c r="I54" s="10" t="str">
        <f>_xlfn.LET(
_xlpm.doi,IF(C54&lt;&gt;"",C54,_xlfn.TEXTAFTER(A54,"https://doi.org/")),
SUBSTITUTE(
SUBSTITUTE(
SUBSTITUTE(
SUBSTITUTE(
_xlpm.doi,
"/","%2F"),
":","%3A"),
"&lt;","%3C"),
"&gt;","%3E")
)</f>
        <v>ISBN%3A9783764353704</v>
      </c>
      <c r="J54" s="10" t="str">
        <f>TRIM(_xlfn.TEXTJOIN("_",FALSE(),H54,(SUBSTITUTE(SUBSTITUTE(D54," ",""), "_", ""))))</f>
        <v>Baron_etal_1996_Table8</v>
      </c>
      <c r="K54" s="10" t="str">
        <f>I54 &amp; "_" &amp; SUBSTITUTE(SUBSTITUTE(SUBSTITUTE(D54,CHAR(160),"")," ",""),"_","")</f>
        <v>ISBN%3A9783764353704_Table8</v>
      </c>
      <c r="L54" s="10" t="str">
        <f t="array" ref="L54">IFERROR(INDEX(AUTO_Public_TSV_FileList!$A$1:$A$1000,MATCH(TRUE(),EXACT(K54,IFERROR(_xlfn.TEXTBEFORE(AUTO_Public_TSV_FileList!$A$1:$A$1000,".tsv"),"")),0)),"notfound")</f>
        <v>ISBN%3A9783764353704_Table8.tsv</v>
      </c>
      <c r="M54" s="17" t="inlineStr">
        <is>
          <t>Volumes of net brain (NET), ventricles (VENT) and rests (REST) and their percentages relative to standard brain volumes</t>
        </is>
      </c>
      <c r="N54" s="1" t="inlineStr">
        <is>
          <t>table</t>
        </is>
      </c>
      <c r="O54" s="17" t="inlineStr">
        <is>
          <t>Printed columns: n, then mm3 and % for each of NET, VENT and REST. Only the three mm3 columns are raw; the three percentage columns are derived from them against the standard brain volume and should not be carried as measurements. Average percentages are Table 9 — do not transcribe.</t>
        </is>
      </c>
      <c r="P54" s="17" t="inlineStr">
        <is>
          <t>FINISHED</t>
        </is>
      </c>
      <c r="Q54" s="17"/>
      <c r="R54" s="17"/>
      <c r="S54" s="17" t="inlineStr">
        <is>
          <t>Structure list, species count and the table's size/index role confirmed against the book's own Table 1 key (PDF pp. 264-265) and the printed column header, 2026-08-31.</t>
        </is>
      </c>
      <c r="T54" s="17" t="inlineStr">
        <is>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is>
      </c>
      <c r="U54" s="17"/>
      <c r="V54" s="13"/>
      <c r="W54" s="17" t="inlineStr">
        <is>
          <t>Mammals</t>
        </is>
      </c>
      <c r="X54" s="17" t="inlineStr">
        <is>
          <t>net brain volume; ventricle volume; rest volume</t>
        </is>
      </c>
      <c r="Y54" s="17" t="inlineStr">
        <is>
          <t>net brain volume; ventricle volume; rest volume</t>
        </is>
      </c>
      <c r="Z54" s="17" t="inlineStr">
        <is>
          <t>histological sections</t>
        </is>
      </c>
      <c r="AA54" s="17"/>
      <c r="AB54" s="17" t="inlineStr">
        <is>
          <t>volume</t>
        </is>
      </c>
      <c r="AC54" s="17" t="inlineStr">
        <is>
          <t>Stephan</t>
        </is>
      </c>
      <c r="AD54" s="17" t="inlineStr">
        <is>
          <t>Stephan</t>
        </is>
      </c>
      <c r="AE54" s="17" t="inlineStr">
        <is>
          <t>primary</t>
        </is>
      </c>
      <c r="AF54" s="17"/>
      <c r="AG54" s="17" t="inlineStr">
        <is>
          <t>Build. NET brain volume is the denominator the rest of the book's indices are built on, and the ventricle volumes are not available from any other held source. Transcribe the mm3 columns only.</t>
        </is>
      </c>
    </row>
    <row r="55" ht="17" customHeight="1">
      <c r="A55" s="9" t="inlineStr">
        <is>
          <t>Barrickman, N. L., &amp; Lin, M. J. (2010). Encephalization, expensive tissues, and energetics: An examination of the relative costs of brain size in strepsirrhines. American Journal of Physical Anthropology, 143(4), 579-590. https://doi.org/10.1002/ajpa.21354</t>
        </is>
      </c>
      <c r="B55" s="20"/>
      <c r="D55" s="9" t="inlineStr">
        <is>
          <t>Table 1</t>
        </is>
      </c>
      <c r="E55" s="10" t="str">
        <f>SUBSTITUTE(SUBSTITUTE(_xlfn.TEXTBEFORE(A55,","), "-", ""), " ", "")</f>
        <v>Barrickman</v>
      </c>
      <c r="F55" s="10"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 s="10" t="str">
        <f>_xlfn.TEXTBEFORE(_xlfn.TEXTAFTER(A55, "("), ")")</f>
        <v>2010</v>
      </c>
      <c r="H55" s="10" t="str">
        <f>E55 &amp; IF(F55&lt;&gt;"", "_" &amp; SUBSTITUTE(F55," ",""), "_") &amp; IF(G55&lt;&gt;"", "_" &amp; G55, "_") &amp; IF(B55&lt;&gt;"", "_" &amp; B55, "")</f>
        <v>Barrickman__2010</v>
      </c>
      <c r="I55" s="10" t="str">
        <f>_xlfn.LET(
_xlpm.doi,IF(C55&lt;&gt;"",C55,_xlfn.TEXTAFTER(A55,"https://doi.org/")),
SUBSTITUTE(
SUBSTITUTE(
SUBSTITUTE(
SUBSTITUTE(
_xlpm.doi,
"/","%2F"),
":","%3A"),
"&lt;","%3C"),
"&gt;","%3E")
)</f>
        <v>10.1002%2Fajpa.21354</v>
      </c>
      <c r="J55" s="10" t="str">
        <f>TRIM(_xlfn.TEXTJOIN("_",FALSE(),H55,(SUBSTITUTE(SUBSTITUTE(D55," ",""), "_", ""))))</f>
        <v>Barrickman__2010_Table1</v>
      </c>
      <c r="K55" s="10" t="str">
        <f>I55 &amp; "_" &amp; SUBSTITUTE(SUBSTITUTE(SUBSTITUTE(D55,CHAR(160),"")," ",""),"_","")</f>
        <v>10.1002%2Fajpa.21354_Table1</v>
      </c>
      <c r="L55" s="10" t="str">
        <f t="array" ref="L55">IFERROR(INDEX(AUTO_Public_TSV_FileList!$A$1:$A$1000,MATCH(TRUE(),EXACT(K55,IFERROR(_xlfn.TEXTBEFORE(AUTO_Public_TSV_FileList!$A$1:$A$1000,".tsv"),"")),0)),"notfound")</f>
        <v>10.1002%2Fajpa.21354_Table1.tsv</v>
      </c>
      <c r="M55" s="9" t="inlineStr">
        <is>
          <t>Table 1. Averages of brain mass, resting metabolic rate, intestinal mass, and intestinal surface area (26 strepsirrhines)</t>
        </is>
      </c>
      <c r="N55" s="9" t="inlineStr">
        <is>
          <t>PDF table (constructed transcribed snapshot; text layer scrambled)</t>
        </is>
      </c>
      <c r="O55" s="9" t="inlineStr">
        <is>
          <t>Gestation and weaning are divided by 2 for 7 twinning species (do not pool with raw values). RMR is primary for D. madagascariensis, L. catta, P. coquereli (measured by this study). Added because Lewitus et al. 2014 cites it (ref 28) for 12 species RMR.</t>
        </is>
      </c>
      <c r="P55" s="9" t="inlineStr">
        <is>
          <t>PREPARED (CSV built; owner registry paste / public TSV pending; RA side-by-side check pending)</t>
        </is>
      </c>
      <c r="Q55" s="9" t="inlineStr">
        <is>
          <t>Barrickman_Lin_2010_Table1_snapshot.csv</t>
        </is>
      </c>
      <c r="R55" s="9" t="inlineStr">
        <is>
          <t>https://doi.org/10.1002/ajpa.21354</t>
        </is>
      </c>
      <c r="S55" s="9"/>
      <c r="T55" s="9"/>
      <c r="U55" s="9"/>
      <c r="V55" s="9"/>
      <c r="W55" s="9" t="inlineStr">
        <is>
          <t>Strepsirrhine primates</t>
        </is>
      </c>
      <c r="X55" s="9" t="inlineStr">
        <is>
          <t>resting metabolic rate; brain and body mass; gestation; weaning age; intestinal size</t>
        </is>
      </c>
      <c r="Y55" s="9" t="inlineStr">
        <is>
          <t>intestinal mass and surface area</t>
        </is>
      </c>
      <c r="Z55" s="9" t="inlineStr">
        <is>
          <t>live animals (Duke Lemur Center) and literature</t>
        </is>
      </c>
      <c r="AA55" s="9" t="inlineStr">
        <is>
          <t>literature compilation plus respirometry (Sable Systems TR-1)</t>
        </is>
      </c>
      <c r="AB55" s="9" t="inlineStr">
        <is>
          <t>metabolic / brain-body scaling</t>
        </is>
      </c>
      <c r="AC55" s="9"/>
      <c r="AD55" s="9"/>
      <c r="AE55" s="9" t="inlineStr">
        <is>
          <t>both</t>
        </is>
      </c>
      <c r="AF55" s="9" t="inlineStr">
        <is>
          <t>Isler et al. 2008; Gordon 2006; Kappeler &amp; Pereira 2003; Isler &amp; van Schaik 2006b; Hanna 2006; Campbell et al. 2000/2003</t>
        </is>
      </c>
      <c r="AG55" s="9"/>
    </row>
    <row r="56" ht="17" customHeight="1">
      <c r="A56" s="1"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D56" s="1" t="inlineStr">
        <is>
          <t>Table 1</t>
        </is>
      </c>
      <c r="E56" s="10" t="str">
        <f>SUBSTITUTE(SUBSTITUTE(_xlfn.TEXTBEFORE(A56,","), "-", ""), " ", "")</f>
        <v>Bauernfeind</v>
      </c>
      <c r="F56" s="10"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10" t="str">
        <f>_xlfn.TEXTBEFORE(_xlfn.TEXTAFTER(A56, "("), ")")</f>
        <v>2013</v>
      </c>
      <c r="H56" s="10" t="str">
        <f>E56 &amp; IF(F56&lt;&gt;"", "_" &amp; SUBSTITUTE(F56," ",""), "_") &amp; IF(G56&lt;&gt;"", "_" &amp; G56, "_") &amp; IF(B56&lt;&gt;"", "_" &amp; B56, "")</f>
        <v>Bauernfeind_etal_2013</v>
      </c>
      <c r="I56" s="10" t="str">
        <f>_xlfn.LET(
_xlpm.doi,IF(C56&lt;&gt;"",C56,_xlfn.TEXTAFTER(A56,"https://doi.org/")),
SUBSTITUTE(
SUBSTITUTE(
SUBSTITUTE(
SUBSTITUTE(
_xlpm.doi,
"/","%2F"),
":","%3A"),
"&lt;","%3C"),
"&gt;","%3E")
)</f>
        <v>10.1016%2Fj.jhevol.2012.12.003</v>
      </c>
      <c r="J56" s="10" t="str">
        <f>TRIM(_xlfn.TEXTJOIN("_",FALSE(),H56,(SUBSTITUTE(SUBSTITUTE(D56," ",""), "_", ""))))</f>
        <v>Bauernfeind_etal_2013_Table1</v>
      </c>
      <c r="K56" s="10" t="str">
        <f>I56 &amp; "_" &amp; SUBSTITUTE(SUBSTITUTE(SUBSTITUTE(D56,CHAR(160),"")," ",""),"_","")</f>
        <v>10.1016%2Fj.jhevol.2012.12.003_Table1</v>
      </c>
      <c r="L56" s="10" t="str">
        <f t="array" ref="L56">IFERROR(INDEX(AUTO_Public_TSV_FileList!$A$1:$A$1000,MATCH(TRUE(),EXACT(K56,IFERROR(_xlfn.TEXTBEFORE(AUTO_Public_TSV_FileList!$A$1:$A$1000,".tsv"),"")),0)),"notfound")</f>
        <v>10.1016%2Fj.jhevol.2012.12.003_Table1.tsv</v>
      </c>
      <c r="M56" s="1" t="inlineStr">
        <is>
          <t>Volumetric comparison of the insular cortex (Table 1)</t>
        </is>
      </c>
      <c r="N56" s="1" t="inlineStr">
        <is>
          <t>table</t>
        </is>
      </c>
      <c r="O56" s="13"/>
      <c r="P56" s="1" t="inlineStr">
        <is>
          <t>FINISHED</t>
        </is>
      </c>
      <c r="Q56" s="13"/>
      <c r="R56" s="13"/>
      <c r="S56" s="13"/>
      <c r="T56" s="13"/>
      <c r="U56" s="13"/>
      <c r="V56" s="13"/>
      <c r="W56" s="1" t="inlineStr">
        <is>
          <t>Primates</t>
        </is>
      </c>
      <c r="X56" s="1" t="inlineStr">
        <is>
          <t>insular cortex volumes</t>
        </is>
      </c>
      <c r="Y56" s="13"/>
      <c r="Z56" s="1" t="inlineStr">
        <is>
          <t>histological sections</t>
        </is>
      </c>
      <c r="AA56" s="1" t="inlineStr">
        <is>
          <t>volumetry</t>
        </is>
      </c>
      <c r="AB56" s="1" t="inlineStr">
        <is>
          <t>volume</t>
        </is>
      </c>
      <c r="AC56" s="1" t="inlineStr">
        <is>
          <t>Stephan, Sherwood</t>
        </is>
      </c>
      <c r="AD56" s="13"/>
      <c r="AE56" s="1" t="inlineStr">
        <is>
          <t>primary</t>
        </is>
      </c>
      <c r="AF56" s="1"/>
      <c r="AG56" s="13"/>
    </row>
    <row r="57" ht="17" customHeight="1">
      <c r="A57" s="1"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D57" s="1" t="inlineStr">
        <is>
          <t>Table 2</t>
        </is>
      </c>
      <c r="E57" s="10" t="str">
        <f>SUBSTITUTE(SUBSTITUTE(_xlfn.TEXTBEFORE(A57,","), "-", ""), " ", "")</f>
        <v>Bauernfeind</v>
      </c>
      <c r="F57" s="10"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0" t="str">
        <f>_xlfn.TEXTBEFORE(_xlfn.TEXTAFTER(A57, "("), ")")</f>
        <v>2013</v>
      </c>
      <c r="H57" s="10" t="str">
        <f>E57 &amp; IF(F57&lt;&gt;"", "_" &amp; SUBSTITUTE(F57," ",""), "_") &amp; IF(G57&lt;&gt;"", "_" &amp; G57, "_") &amp; IF(B57&lt;&gt;"", "_" &amp; B57, "")</f>
        <v>Bauernfeind_etal_2013</v>
      </c>
      <c r="I57" s="10" t="str">
        <f>_xlfn.LET(
_xlpm.doi,IF(C57&lt;&gt;"",C57,_xlfn.TEXTAFTER(A57,"https://doi.org/")),
SUBSTITUTE(
SUBSTITUTE(
SUBSTITUTE(
SUBSTITUTE(
_xlpm.doi,
"/","%2F"),
":","%3A"),
"&lt;","%3C"),
"&gt;","%3E")
)</f>
        <v>10.1016%2Fj.jhevol.2012.12.003</v>
      </c>
      <c r="J57" s="10" t="str">
        <f>TRIM(_xlfn.TEXTJOIN("_",FALSE(),H57,(SUBSTITUTE(SUBSTITUTE(D57," ",""), "_", ""))))</f>
        <v>Bauernfeind_etal_2013_Table2</v>
      </c>
      <c r="K57" s="10" t="str">
        <f>I57 &amp; "_" &amp; SUBSTITUTE(SUBSTITUTE(SUBSTITUTE(D57,CHAR(160),"")," ",""),"_","")</f>
        <v>10.1016%2Fj.jhevol.2012.12.003_Table2</v>
      </c>
      <c r="L57" s="10" t="str">
        <f t="array" ref="L57">IFERROR(INDEX(AUTO_Public_TSV_FileList!$A$1:$A$1000,MATCH(TRUE(),EXACT(K57,IFERROR(_xlfn.TEXTBEFORE(AUTO_Public_TSV_FileList!$A$1:$A$1000,".tsv"),"")),0)),"notfound")</f>
        <v>10.1016%2Fj.jhevol.2012.12.003_Table2.tsv</v>
      </c>
      <c r="M57" s="13"/>
      <c r="N57" s="1" t="inlineStr">
        <is>
          <t>table</t>
        </is>
      </c>
      <c r="O57" s="13"/>
      <c r="P57" s="1" t="inlineStr">
        <is>
          <t>FINISHED</t>
        </is>
      </c>
      <c r="Q57" s="13"/>
      <c r="R57" s="13"/>
      <c r="S57" s="13"/>
      <c r="T57" s="13"/>
      <c r="U57" s="13"/>
      <c r="V57" s="13"/>
      <c r="W57" s="1" t="inlineStr">
        <is>
          <t>Primates</t>
        </is>
      </c>
      <c r="X57" s="1" t="inlineStr">
        <is>
          <t>insular cortex volumes</t>
        </is>
      </c>
      <c r="Y57" s="13"/>
      <c r="Z57" s="1" t="inlineStr">
        <is>
          <t>histological sections</t>
        </is>
      </c>
      <c r="AA57" s="1" t="inlineStr">
        <is>
          <t>volumetry</t>
        </is>
      </c>
      <c r="AB57" s="1" t="inlineStr">
        <is>
          <t>volume</t>
        </is>
      </c>
      <c r="AC57" s="1" t="inlineStr">
        <is>
          <t>Stephan, Sherwood</t>
        </is>
      </c>
      <c r="AD57" s="13"/>
      <c r="AE57" s="1" t="inlineStr">
        <is>
          <t>primary</t>
        </is>
      </c>
      <c r="AF57" s="1"/>
      <c r="AG57" s="13"/>
    </row>
    <row r="58" ht="17" customHeight="1">
      <c r="A58" s="1"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B58" s="18"/>
      <c r="C58" s="18"/>
      <c r="D58" s="1" t="inlineStr">
        <is>
          <t>Table 3</t>
        </is>
      </c>
      <c r="E58" s="10" t="str">
        <f>SUBSTITUTE(SUBSTITUTE(_xlfn.TEXTBEFORE(A58,","), "-", ""), " ", "")</f>
        <v>Bauernfeind</v>
      </c>
      <c r="F58" s="10"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10" t="str">
        <f>_xlfn.TEXTBEFORE(_xlfn.TEXTAFTER(A58, "("), ")")</f>
        <v>2013</v>
      </c>
      <c r="H58" s="10" t="str">
        <f>E58 &amp; IF(F58&lt;&gt;"", "_" &amp; SUBSTITUTE(F58," ",""), "_") &amp; IF(G58&lt;&gt;"", "_" &amp; G58, "_") &amp; IF(B58&lt;&gt;"", "_" &amp; B58, "")</f>
        <v>Bauernfeind_etal_2013</v>
      </c>
      <c r="I58" s="10" t="str">
        <f>_xlfn.LET(
_xlpm.doi,IF(C58&lt;&gt;"",C58,_xlfn.TEXTAFTER(A58,"https://doi.org/")),
SUBSTITUTE(
SUBSTITUTE(
SUBSTITUTE(
SUBSTITUTE(
_xlpm.doi,
"/","%2F"),
":","%3A"),
"&lt;","%3C"),
"&gt;","%3E")
)</f>
        <v>10.1016%2Fj.jhevol.2012.12.003</v>
      </c>
      <c r="J58" s="10" t="str">
        <f>TRIM(_xlfn.TEXTJOIN("_",FALSE(),H58,(SUBSTITUTE(SUBSTITUTE(D58," ",""), "_", ""))))</f>
        <v>Bauernfeind_etal_2013_Table3</v>
      </c>
      <c r="K58" s="10" t="str">
        <f>I58 &amp; "_" &amp; SUBSTITUTE(SUBSTITUTE(SUBSTITUTE(D58,CHAR(160),"")," ",""),"_","")</f>
        <v>10.1016%2Fj.jhevol.2012.12.003_Table3</v>
      </c>
      <c r="L58" s="10" t="str">
        <f t="array" ref="L58">IFERROR(INDEX(AUTO_Public_TSV_FileList!$A$1:$A$1000,MATCH(TRUE(),EXACT(K58,IFERROR(_xlfn.TEXTBEFORE(AUTO_Public_TSV_FileList!$A$1:$A$1000,".tsv"),"")),0)),"notfound")</f>
        <v>10.1016%2Fj.jhevol.2012.12.003_Table3.tsv</v>
      </c>
      <c r="M58" s="13"/>
      <c r="N58" s="1" t="inlineStr">
        <is>
          <t>table</t>
        </is>
      </c>
      <c r="O58" s="13"/>
      <c r="P58" s="1" t="inlineStr">
        <is>
          <t>FINISHED</t>
        </is>
      </c>
      <c r="Q58" s="13"/>
      <c r="R58" s="13"/>
      <c r="S58" s="13"/>
      <c r="T58" s="13"/>
      <c r="U58" s="13"/>
      <c r="V58" s="13"/>
      <c r="W58" s="1" t="inlineStr">
        <is>
          <t>Primates</t>
        </is>
      </c>
      <c r="X58" s="1" t="inlineStr">
        <is>
          <t>insular cortex volumes</t>
        </is>
      </c>
      <c r="Y58" s="13"/>
      <c r="Z58" s="1" t="inlineStr">
        <is>
          <t>histological sections</t>
        </is>
      </c>
      <c r="AA58" s="1" t="inlineStr">
        <is>
          <t>volumetry</t>
        </is>
      </c>
      <c r="AB58" s="1" t="inlineStr">
        <is>
          <t>volume</t>
        </is>
      </c>
      <c r="AC58" s="1" t="inlineStr">
        <is>
          <t>Stephan, Sherwood</t>
        </is>
      </c>
      <c r="AD58" s="13"/>
      <c r="AE58" s="1" t="inlineStr">
        <is>
          <t>primary</t>
        </is>
      </c>
      <c r="AF58" s="1"/>
      <c r="AG58" s="13"/>
    </row>
    <row r="59" ht="17" customHeight="1">
      <c r="A59" s="17" t="inlineStr">
        <is>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is>
      </c>
      <c r="B59" s="21"/>
      <c r="C59" s="21"/>
      <c r="D59" s="17" t="inlineStr">
        <is>
          <t>Table 1</t>
        </is>
      </c>
      <c r="E59" s="10" t="str">
        <f>SUBSTITUTE(SUBSTITUTE(_xlfn.TEXTBEFORE(A59,","), "-", ""), " ", "")</f>
        <v>Bianchi</v>
      </c>
      <c r="F59" s="10"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10" t="str">
        <f>_xlfn.TEXTBEFORE(_xlfn.TEXTAFTER(A59, "("), ")")</f>
        <v>2012</v>
      </c>
      <c r="H59" s="10" t="str">
        <f>E59 &amp; IF(F59&lt;&gt;"", "_" &amp; SUBSTITUTE(F59," ",""), "_") &amp; IF(G59&lt;&gt;"", "_" &amp; G59, "_") &amp; IF(B59&lt;&gt;"", "_" &amp; B59, "")</f>
        <v>Bianchi_etal_2012</v>
      </c>
      <c r="I59" s="10" t="str">
        <f>_xlfn.LET(
_xlpm.doi,IF(C59&lt;&gt;"",C59,_xlfn.TEXTAFTER(A59,"https://doi.org/")),
SUBSTITUTE(
SUBSTITUTE(
SUBSTITUTE(
SUBSTITUTE(
_xlpm.doi,
"/","%2F"),
":","%3A"),
"&lt;","%3C"),
"&gt;","%3E")
)</f>
        <v>10.1093%2Fcercor%2Fbhs239</v>
      </c>
      <c r="J59" s="10" t="str">
        <f>TRIM(_xlfn.TEXTJOIN("_",FALSE(),H59,(SUBSTITUTE(SUBSTITUTE(D59," ",""), "_", ""))))</f>
        <v>Bianchi_etal_2012_Table1</v>
      </c>
      <c r="K59" s="10" t="str">
        <f>I59 &amp; "_" &amp; SUBSTITUTE(SUBSTITUTE(SUBSTITUTE(D59,CHAR(160),"")," ",""),"_","")</f>
        <v>10.1093%2Fcercor%2Fbhs239_Table1</v>
      </c>
      <c r="L59" s="10" t="str">
        <f t="array" ref="L59">IFERROR(INDEX(AUTO_Public_TSV_FileList!$A$1:$A$1000,MATCH(TRUE(),EXACT(K59,IFERROR(_xlfn.TEXTBEFORE(AUTO_Public_TSV_FileList!$A$1:$A$1000,".tsv"),"")),0)),"notfound")</f>
        <v>10.1093%2Fcercor%2Fbhs239_Table1.tsv</v>
      </c>
      <c r="M59" s="17" t="inlineStr">
        <is>
          <t>Demographic information for chimpanzee (N=7) and human samples (N=8)</t>
        </is>
      </c>
      <c r="N59" s="17" t="inlineStr">
        <is>
          <t>PDF; table/figure</t>
        </is>
      </c>
      <c r="O59" s="13"/>
      <c r="P59" s="17" t="inlineStr">
        <is>
          <t>FINISHED</t>
        </is>
      </c>
      <c r="Q59" s="17"/>
      <c r="R59" s="17" t="inlineStr">
        <is>
          <t>https://doi.org/10.1093/cercor/bhs239</t>
        </is>
      </c>
      <c r="S59" s="17"/>
      <c r="T59" s="17" t="inlineStr">
        <is>
          <t>overlapping publication lineage; retain specimen and source-level provenance</t>
        </is>
      </c>
      <c r="U59" s="17"/>
      <c r="V59" s="17" t="inlineStr">
        <is>
          <t>cortical pyramidal-neuron morphology</t>
        </is>
      </c>
      <c r="W59" s="17" t="inlineStr">
        <is>
          <t>Primates</t>
        </is>
      </c>
      <c r="X59" s="17" t="inlineStr">
        <is>
          <t>dendritic morphology; spine measures; sample metadata</t>
        </is>
      </c>
      <c r="Y59" s="17" t="inlineStr">
        <is>
          <t>Sample metadata: age, sex, post-mortem interval, fixation length</t>
        </is>
      </c>
      <c r="Z59" s="17"/>
      <c r="AA59" s="17" t="inlineStr">
        <is>
          <t>Golgi or intracellular Lucifer Yellow morphology, as specified in source</t>
        </is>
      </c>
      <c r="AB59" s="17" t="inlineStr">
        <is>
          <t>cell morphology / metadata</t>
        </is>
      </c>
      <c r="AC59" s="17"/>
      <c r="AD59" s="17"/>
      <c r="AE59" s="17" t="inlineStr">
        <is>
          <t>primary</t>
        </is>
      </c>
      <c r="AF59" s="17"/>
      <c r="AG59" s="17" t="inlineStr">
        <is>
          <t>Add; essential specimen provenance.</t>
        </is>
      </c>
    </row>
    <row r="60" ht="17" customHeight="1">
      <c r="A60" s="17" t="inlineStr">
        <is>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is>
      </c>
      <c r="B60" s="21"/>
      <c r="C60" s="17"/>
      <c r="D60" s="17" t="inlineStr">
        <is>
          <t>Table 2</t>
        </is>
      </c>
      <c r="E60" s="10" t="str">
        <f>SUBSTITUTE(SUBSTITUTE(_xlfn.TEXTBEFORE(A60,","), "-", ""), " ", "")</f>
        <v>Bianchi</v>
      </c>
      <c r="F60" s="10"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10" t="str">
        <f>_xlfn.TEXTBEFORE(_xlfn.TEXTAFTER(A60, "("), ")")</f>
        <v>2012</v>
      </c>
      <c r="H60" s="10" t="str">
        <f>E60 &amp; IF(F60&lt;&gt;"", "_" &amp; SUBSTITUTE(F60," ",""), "_") &amp; IF(G60&lt;&gt;"", "_" &amp; G60, "_") &amp; IF(B60&lt;&gt;"", "_" &amp; B60, "")</f>
        <v>Bianchi_etal_2012</v>
      </c>
      <c r="I60" s="10" t="str">
        <f>_xlfn.LET(
_xlpm.doi,IF(C60&lt;&gt;"",C60,_xlfn.TEXTAFTER(A60,"https://doi.org/")),
SUBSTITUTE(
SUBSTITUTE(
SUBSTITUTE(
SUBSTITUTE(
_xlpm.doi,
"/","%2F"),
":","%3A"),
"&lt;","%3C"),
"&gt;","%3E")
)</f>
        <v>10.1093%2Fcercor%2Fbhs239</v>
      </c>
      <c r="J60" s="10" t="str">
        <f>TRIM(_xlfn.TEXTJOIN("_",FALSE(),H60,(SUBSTITUTE(SUBSTITUTE(D60," ",""), "_", ""))))</f>
        <v>Bianchi_etal_2012_Table2</v>
      </c>
      <c r="K60" s="10" t="str">
        <f>I60 &amp; "_" &amp; SUBSTITUTE(SUBSTITUTE(SUBSTITUTE(D60,CHAR(160),"")," ",""),"_","")</f>
        <v>10.1093%2Fcercor%2Fbhs239_Table2</v>
      </c>
      <c r="L60" s="10" t="str">
        <f t="array" ref="L60">IFERROR(INDEX(AUTO_Public_TSV_FileList!$A$1:$A$1000,MATCH(TRUE(),EXACT(K60,IFERROR(_xlfn.TEXTBEFORE(AUTO_Public_TSV_FileList!$A$1:$A$1000,".tsv"),"")),0)),"notfound")</f>
        <v>10.1093%2Fcercor%2Fbhs239_Table2.tsv</v>
      </c>
      <c r="M60" s="17" t="inlineStr">
        <is>
          <t>Dependent measures in areas 3b, 4, 18, and 10 in chimpanzees and humans</t>
        </is>
      </c>
      <c r="N60" s="17" t="inlineStr">
        <is>
          <t>PDF; table/figure</t>
        </is>
      </c>
      <c r="O60" s="13"/>
      <c r="P60" s="17" t="inlineStr">
        <is>
          <t>FINISHED</t>
        </is>
      </c>
      <c r="Q60" s="17"/>
      <c r="R60" s="17" t="inlineStr">
        <is>
          <t>https://doi.org/10.1093/cercor/bhs239</t>
        </is>
      </c>
      <c r="S60" s="17"/>
      <c r="T60" s="17" t="inlineStr">
        <is>
          <t>overlapping publication lineage; retain specimen and source-level provenance</t>
        </is>
      </c>
      <c r="U60" s="17"/>
      <c r="V60" s="17" t="inlineStr">
        <is>
          <t>cortical pyramidal-neuron morphology</t>
        </is>
      </c>
      <c r="W60" s="17" t="inlineStr">
        <is>
          <t>Primates</t>
        </is>
      </c>
      <c r="X60" s="17" t="inlineStr">
        <is>
          <t>dendritic morphology; spine measures; sample metadata</t>
        </is>
      </c>
      <c r="Y60" s="17" t="inlineStr">
        <is>
          <t>Cell soma area/depth, TDL, MSL, DSC, DSN, DSD, dendritic tree count by species and cortical area</t>
        </is>
      </c>
      <c r="Z60" s="17"/>
      <c r="AA60" s="17" t="inlineStr">
        <is>
          <t>Golgi or intracellular Lucifer Yellow morphology, as specified in source</t>
        </is>
      </c>
      <c r="AB60" s="17" t="inlineStr">
        <is>
          <t>cell morphology / metadata</t>
        </is>
      </c>
      <c r="AC60" s="17"/>
      <c r="AD60" s="17"/>
      <c r="AE60" s="17" t="inlineStr">
        <is>
          <t>primary quantitative table; human values reuse Jacobs 1997/2001</t>
        </is>
      </c>
      <c r="AF60" s="17"/>
      <c r="AG60" s="17" t="inlineStr">
        <is>
          <t>Add; core trait table. Flag human values as reused source lineage.</t>
        </is>
      </c>
    </row>
    <row r="61" ht="17" customHeight="1">
      <c r="A61" s="9" t="inlineStr">
        <is>
          <t>Bjugn, R. (1993). The use of the optical disector to estimate the number of neurons, glial and endothelial cells in the spinal cord of the mouse — with a comparative note on the rat spinal cord. Brain Research, 627(1), 25–33. https://doi.org/10.1016/0006-8993(93)90744-8</t>
        </is>
      </c>
      <c r="C61" s="9"/>
      <c r="D61" s="33" t="inlineStr">
        <is>
          <t>TABLE I</t>
        </is>
      </c>
      <c r="E61" s="11" t="str">
        <f>SUBSTITUTE(SUBSTITUTE(_xlfn.TEXTBEFORE(A61,","), "-", ""), " ", "")</f>
        <v>Bjugn</v>
      </c>
      <c r="F61" s="10"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10" t="str">
        <f>_xlfn.TEXTBEFORE(_xlfn.TEXTAFTER(A61, "("), ")")</f>
        <v>1993</v>
      </c>
      <c r="H61" s="11" t="str">
        <f>E61 &amp; IF(F61&lt;&gt;"", "_" &amp; SUBSTITUTE(F61," ",""), "_") &amp; IF(G61&lt;&gt;"", "_" &amp; G61, "_") &amp; IF(B61&lt;&gt;"", "_" &amp; B61, "")</f>
        <v>Bjugn__1993</v>
      </c>
      <c r="I61" s="11" t="str">
        <f>_xlfn.LET(_xlpm.doi,IF(C61&lt;&gt;"",C61,_xlfn.TEXTAFTER(A61,"https://doi.org/")),SUBSTITUTE(SUBSTITUTE(SUBSTITUTE(SUBSTITUTE(_xlpm.doi,"/","%2F"),":","%3A"),"&lt;","%3C"),"&gt;","%3E"))</f>
        <v>10.1016%2F0006-8993(93)90744-8</v>
      </c>
      <c r="J61" s="11" t="str">
        <f>TRIM(_xlfn.TEXTJOIN("_",FALSE(),H61,(SUBSTITUTE(SUBSTITUTE(D61," ",""), "_", ""))))</f>
        <v>Bjugn__1993_TABLEI</v>
      </c>
      <c r="K61" s="10" t="str">
        <f>I61 &amp; "_" &amp; SUBSTITUTE(SUBSTITUTE(SUBSTITUTE(D61,CHAR(160),"")," ",""),"_","")</f>
        <v>10.1016%2F0006-8993(93)90744-8_TABLEI</v>
      </c>
      <c r="L61" s="10" t="str">
        <f t="array" ref="L61">IFERROR(INDEX(AUTO_Public_TSV_FileList!$A$1:$A$1000,MATCH(TRUE(),EXACT(K61,IFERROR(_xlfn.TEXTBEFORE(AUTO_Public_TSV_FileList!$A$1:$A$1000,".tsv"),"")),0)),"notfound")</f>
        <v>10.1016%2F0006-8993(93)90744-8_TABLEI.tsv</v>
      </c>
      <c r="M61" s="9" t="inlineStr">
        <is>
          <t>TABLE I Data on the five mice used and their spinal cords</t>
        </is>
      </c>
      <c r="N61" s="9" t="inlineStr">
        <is>
          <t>PDF table</t>
        </is>
      </c>
      <c r="O61" s="9" t="inlineStr">
        <is>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is>
      </c>
      <c r="P61" s="9" t="inlineStr">
        <is>
          <t>candidate</t>
        </is>
      </c>
      <c r="Q61" s="9"/>
      <c r="R61" s="9" t="inlineStr">
        <is>
          <t>https://doi.org/10.1016/0006-8993(93)90744-8</t>
        </is>
      </c>
      <c r="S61" s="9" t="inlineStr">
        <is>
          <t>Citation and DOI confirmed via CrossRef (2026-09-30); not yet built.</t>
        </is>
      </c>
      <c r="T61" s="9" t="inlineStr">
        <is>
          <t>Fu et al. 2013 (registered) also counts mouse cord by isotropic fractionator: separate method teams.</t>
        </is>
      </c>
      <c r="U61" s="9"/>
      <c r="V61" s="9" t="inlineStr">
        <is>
          <t>spinal cord</t>
        </is>
      </c>
      <c r="W61" s="9" t="inlineStr">
        <is>
          <t>5 albino mice (+ rat comparison).</t>
        </is>
      </c>
      <c r="X61" s="9" t="inlineStr">
        <is>
          <t>spinal cord: total neurons, glia, endothelial cells by region; ventral-horn share of neurons</t>
        </is>
      </c>
      <c r="Y61" s="9"/>
      <c r="Z61" s="9" t="inlineStr">
        <is>
          <t>histological sections</t>
        </is>
      </c>
      <c r="AA61" s="9" t="inlineStr">
        <is>
          <t>stereology (optical disector)</t>
        </is>
      </c>
      <c r="AB61" s="9" t="inlineStr">
        <is>
          <t>cell count</t>
        </is>
      </c>
      <c r="AC61" s="9" t="inlineStr">
        <is>
          <t>Bjugn</t>
        </is>
      </c>
      <c r="AD61" s="9"/>
      <c r="AE61" s="9" t="inlineStr">
        <is>
          <t>primary</t>
        </is>
      </c>
      <c r="AF61" s="9"/>
      <c r="AG61" s="9" t="inlineStr">
        <is>
          <t>Priority 1. Access: Subscription (Elsevier). Suggested home: __merging_cellcounts (spinal cord). Registry/roadmap status at scouting: Not registered — may match your spinal-cord TODO.</t>
        </is>
      </c>
    </row>
    <row r="62" ht="17" customHeight="1">
      <c r="A62" s="9" t="inlineStr">
        <is>
          <t>Bjugn, R. (1993). The use of the optical disector to estimate the number of neurons, glial and endothelial cells in the spinal cord of the mouse — with a comparative note on the rat spinal cord. Brain Research, 627(1), 25–33. https://doi.org/10.1016/0006-8993(93)90744-8</t>
        </is>
      </c>
      <c r="C62" s="18"/>
      <c r="D62" s="33" t="inlineStr">
        <is>
          <t>TABLE II</t>
        </is>
      </c>
      <c r="E62" s="11" t="str">
        <f>SUBSTITUTE(SUBSTITUTE(_xlfn.TEXTBEFORE(A62,","), "-", ""), " ", "")</f>
        <v>Bjugn</v>
      </c>
      <c r="F62" s="10"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10" t="str">
        <f>_xlfn.TEXTBEFORE(_xlfn.TEXTAFTER(A62, "("), ")")</f>
        <v>1993</v>
      </c>
      <c r="H62" s="11" t="str">
        <f>E62 &amp; IF(F62&lt;&gt;"", "_" &amp; SUBSTITUTE(F62," ",""), "_") &amp; IF(G62&lt;&gt;"", "_" &amp; G62, "_") &amp; IF(B62&lt;&gt;"", "_" &amp; B62, "")</f>
        <v>Bjugn__1993</v>
      </c>
      <c r="I62" s="11" t="str">
        <f>_xlfn.LET(_xlpm.doi,IF(C62&lt;&gt;"",C62,_xlfn.TEXTAFTER(A62,"https://doi.org/")),SUBSTITUTE(SUBSTITUTE(SUBSTITUTE(SUBSTITUTE(_xlpm.doi,"/","%2F"),":","%3A"),"&lt;","%3C"),"&gt;","%3E"))</f>
        <v>10.1016%2F0006-8993(93)90744-8</v>
      </c>
      <c r="J62" s="11" t="str">
        <f>TRIM(_xlfn.TEXTJOIN("_",FALSE(),H62,(SUBSTITUTE(SUBSTITUTE(D62," ",""), "_", ""))))</f>
        <v>Bjugn__1993_TABLEII</v>
      </c>
      <c r="K62" s="10" t="str">
        <f>I62 &amp; "_" &amp; SUBSTITUTE(SUBSTITUTE(SUBSTITUTE(D62,CHAR(160),"")," ",""),"_","")</f>
        <v>10.1016%2F0006-8993(93)90744-8_TABLEII</v>
      </c>
      <c r="L62" s="10" t="str">
        <f t="array" ref="L62">IFERROR(INDEX(AUTO_Public_TSV_FileList!$A$1:$A$1000,MATCH(TRUE(),EXACT(K62,IFERROR(_xlfn.TEXTBEFORE(AUTO_Public_TSV_FileList!$A$1:$A$1000,".tsv"),"")),0)),"notfound")</f>
        <v>10.1016%2F0006-8993(93)90744-8_TABLEII.tsv</v>
      </c>
      <c r="M62" s="9" t="inlineStr">
        <is>
          <t>TABLE II Number of neurons (N), glial (G), endothelial (E) and unidentified (U) cells (10 6) in gray and white matter of five mouse spinal cords</t>
        </is>
      </c>
      <c r="N62" s="9"/>
      <c r="O62" s="9"/>
      <c r="P62" s="9"/>
      <c r="Q62" s="9"/>
      <c r="R62" s="9"/>
      <c r="S62" s="9"/>
      <c r="T62" s="9"/>
      <c r="U62" s="9"/>
      <c r="V62" s="9"/>
      <c r="W62" s="9"/>
      <c r="X62" s="9"/>
      <c r="Y62" s="9"/>
      <c r="Z62" s="9"/>
      <c r="AA62" s="9"/>
      <c r="AB62" s="9"/>
      <c r="AC62" s="9"/>
      <c r="AD62" s="9"/>
      <c r="AE62" s="9"/>
      <c r="AF62" s="9"/>
      <c r="AG62" s="9"/>
    </row>
    <row r="63" ht="17" customHeight="1">
      <c r="A63" s="9" t="inlineStr">
        <is>
          <t>Bjugn, R. (1993). The use of the optical disector to estimate the number of neurons, glial and endothelial cells in the spinal cord of the mouse — with a comparative note on the rat spinal cord. Brain Research, 627(1), 25–33. https://doi.org/10.1016/0006-8993(93)90744-8</t>
        </is>
      </c>
      <c r="D63" s="33" t="inlineStr">
        <is>
          <t>TABLE III</t>
        </is>
      </c>
      <c r="E63" s="11" t="str">
        <f>SUBSTITUTE(SUBSTITUTE(_xlfn.TEXTBEFORE(A63,","), "-", ""), " ", "")</f>
        <v>Bjugn</v>
      </c>
      <c r="F63" s="10"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10" t="str">
        <f>_xlfn.TEXTBEFORE(_xlfn.TEXTAFTER(A63, "("), ")")</f>
        <v>1993</v>
      </c>
      <c r="H63" s="11" t="str">
        <f>E63 &amp; IF(F63&lt;&gt;"", "_" &amp; SUBSTITUTE(F63," ",""), "_") &amp; IF(G63&lt;&gt;"", "_" &amp; G63, "_") &amp; IF(B63&lt;&gt;"", "_" &amp; B63, "")</f>
        <v>Bjugn__1993</v>
      </c>
      <c r="I63" s="11" t="str">
        <f>_xlfn.LET(_xlpm.doi,IF(C63&lt;&gt;"",C63,_xlfn.TEXTAFTER(A63,"https://doi.org/")),SUBSTITUTE(SUBSTITUTE(SUBSTITUTE(SUBSTITUTE(_xlpm.doi,"/","%2F"),":","%3A"),"&lt;","%3C"),"&gt;","%3E"))</f>
        <v>10.1016%2F0006-8993(93)90744-8</v>
      </c>
      <c r="J63" s="11" t="str">
        <f>TRIM(_xlfn.TEXTJOIN("_",FALSE(),H63,(SUBSTITUTE(SUBSTITUTE(D63," ",""), "_", ""))))</f>
        <v>Bjugn__1993_TABLEIII</v>
      </c>
      <c r="K63" s="10" t="str">
        <f>I63 &amp; "_" &amp; SUBSTITUTE(SUBSTITUTE(SUBSTITUTE(D63,CHAR(160),"")," ",""),"_","")</f>
        <v>10.1016%2F0006-8993(93)90744-8_TABLEIII</v>
      </c>
      <c r="L63" s="10" t="str">
        <f t="array" ref="L63">IFERROR(INDEX(AUTO_Public_TSV_FileList!$A$1:$A$1000,MATCH(TRUE(),EXACT(K63,IFERROR(_xlfn.TEXTBEFORE(AUTO_Public_TSV_FileList!$A$1:$A$1000,".tsv"),"")),0)),"notfound")</f>
        <v>notfound</v>
      </c>
      <c r="M63" s="9" t="inlineStr">
        <is>
          <t>TABLE III Data from animal 1 showing how the coefficient of error (CE) for the estimate of cell number in gray matter was calculated</t>
        </is>
      </c>
      <c r="N63" s="9"/>
      <c r="O63" s="9"/>
      <c r="P63" s="9"/>
      <c r="Q63" s="9"/>
      <c r="R63" s="9"/>
      <c r="S63" s="9"/>
      <c r="T63" s="9"/>
      <c r="U63" s="9"/>
      <c r="V63" s="9"/>
      <c r="W63" s="9"/>
      <c r="X63" s="9"/>
      <c r="Y63" s="9"/>
      <c r="Z63" s="9"/>
      <c r="AA63" s="9"/>
      <c r="AB63" s="9"/>
      <c r="AC63" s="9"/>
      <c r="AD63" s="9"/>
      <c r="AE63" s="9"/>
      <c r="AF63" s="9"/>
      <c r="AG63" s="9"/>
    </row>
    <row r="64" ht="17" customHeight="1">
      <c r="A64" s="9" t="inlineStr">
        <is>
          <t>Bjugn, R. (1993). The use of the optical disector to estimate the number of neurons, glial and endothelial cells in the spinal cord of the mouse — with a comparative note on the rat spinal cord. Brain Research, 627(1), 25–33. https://doi.org/10.1016/0006-8993(93)90744-8</t>
        </is>
      </c>
      <c r="D64" s="33" t="inlineStr">
        <is>
          <t>TABLE IV</t>
        </is>
      </c>
      <c r="E64" s="11" t="str">
        <f>SUBSTITUTE(SUBSTITUTE(_xlfn.TEXTBEFORE(A64,","), "-", ""), " ", "")</f>
        <v>Bjugn</v>
      </c>
      <c r="F64" s="10"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10" t="str">
        <f>_xlfn.TEXTBEFORE(_xlfn.TEXTAFTER(A64, "("), ")")</f>
        <v>1993</v>
      </c>
      <c r="H64" s="11" t="str">
        <f>E64 &amp; IF(F64&lt;&gt;"", "_" &amp; SUBSTITUTE(F64," ",""), "_") &amp; IF(G64&lt;&gt;"", "_" &amp; G64, "_") &amp; IF(B64&lt;&gt;"", "_" &amp; B64, "")</f>
        <v>Bjugn__1993</v>
      </c>
      <c r="I64" s="11" t="str">
        <f>_xlfn.LET(_xlpm.doi,IF(C64&lt;&gt;"",C64,_xlfn.TEXTAFTER(A64,"https://doi.org/")),SUBSTITUTE(SUBSTITUTE(SUBSTITUTE(SUBSTITUTE(_xlpm.doi,"/","%2F"),":","%3A"),"&lt;","%3C"),"&gt;","%3E"))</f>
        <v>10.1016%2F0006-8993(93)90744-8</v>
      </c>
      <c r="J64" s="11" t="str">
        <f>TRIM(_xlfn.TEXTJOIN("_",FALSE(),H64,(SUBSTITUTE(SUBSTITUTE(D64," ",""), "_", ""))))</f>
        <v>Bjugn__1993_TABLEIV</v>
      </c>
      <c r="K64" s="10" t="str">
        <f>I64 &amp; "_" &amp; SUBSTITUTE(SUBSTITUTE(SUBSTITUTE(D64,CHAR(160),"")," ",""),"_","")</f>
        <v>10.1016%2F0006-8993(93)90744-8_TABLEIV</v>
      </c>
      <c r="L64" s="10" t="str">
        <f t="array" ref="L64">IFERROR(INDEX(AUTO_Public_TSV_FileList!$A$1:$A$1000,MATCH(TRUE(),EXACT(K64,IFERROR(_xlfn.TEXTBEFORE(AUTO_Public_TSV_FileList!$A$1:$A$1000,".tsv"),"")),0)),"notfound")</f>
        <v>10.1016%2F0006-8993(93)90744-8_TABLEIV.tsv</v>
      </c>
      <c r="M64" s="9" t="inlineStr">
        <is>
          <t>TABLE IV The mean number (106) of neurons, glial, endothelial and unidentified cells in gray matter of various regions of the mouse spinal cord</t>
        </is>
      </c>
      <c r="N64" s="9"/>
      <c r="O64" s="9"/>
      <c r="P64" s="9"/>
      <c r="Q64" s="9"/>
      <c r="R64" s="9"/>
      <c r="S64" s="9"/>
      <c r="T64" s="9"/>
      <c r="U64" s="9"/>
      <c r="V64" s="9"/>
      <c r="W64" s="9"/>
      <c r="X64" s="9"/>
      <c r="Y64" s="9"/>
      <c r="Z64" s="9"/>
      <c r="AA64" s="9"/>
      <c r="AB64" s="9"/>
      <c r="AC64" s="9"/>
      <c r="AD64" s="9"/>
      <c r="AE64" s="9"/>
      <c r="AF64" s="9"/>
      <c r="AG64" s="9"/>
    </row>
    <row r="65" ht="17" customHeight="1">
      <c r="A65" s="9" t="inlineStr">
        <is>
          <t>Bjugn, R. (1993). The use of the optical disector to estimate the number of neurons, glial and endothelial cells in the spinal cord of the mouse — with a comparative note on the rat spinal cord. Brain Research, 627(1), 25–33. https://doi.org/10.1016/0006-8993(93)90744-8</t>
        </is>
      </c>
      <c r="D65" s="33" t="inlineStr">
        <is>
          <t>TABLE V</t>
        </is>
      </c>
      <c r="E65" s="11" t="str">
        <f>SUBSTITUTE(SUBSTITUTE(_xlfn.TEXTBEFORE(A65,","), "-", ""), " ", "")</f>
        <v>Bjugn</v>
      </c>
      <c r="F65" s="10"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 s="10" t="str">
        <f>_xlfn.TEXTBEFORE(_xlfn.TEXTAFTER(A65, "("), ")")</f>
        <v>1993</v>
      </c>
      <c r="H65" s="11" t="str">
        <f>E65 &amp; IF(F65&lt;&gt;"", "_" &amp; SUBSTITUTE(F65," ",""), "_") &amp; IF(G65&lt;&gt;"", "_" &amp; G65, "_") &amp; IF(B65&lt;&gt;"", "_" &amp; B65, "")</f>
        <v>Bjugn__1993</v>
      </c>
      <c r="I65" s="11" t="str">
        <f>_xlfn.LET(_xlpm.doi,IF(C65&lt;&gt;"",C65,_xlfn.TEXTAFTER(A65,"https://doi.org/")),SUBSTITUTE(SUBSTITUTE(SUBSTITUTE(SUBSTITUTE(_xlpm.doi,"/","%2F"),":","%3A"),"&lt;","%3C"),"&gt;","%3E"))</f>
        <v>10.1016%2F0006-8993(93)90744-8</v>
      </c>
      <c r="J65" s="11" t="str">
        <f>TRIM(_xlfn.TEXTJOIN("_",FALSE(),H65,(SUBSTITUTE(SUBSTITUTE(D65," ",""), "_", ""))))</f>
        <v>Bjugn__1993_TABLEV</v>
      </c>
      <c r="K65" s="10" t="str">
        <f>I65 &amp; "_" &amp; SUBSTITUTE(SUBSTITUTE(SUBSTITUTE(D65,CHAR(160),"")," ",""),"_","")</f>
        <v>10.1016%2F0006-8993(93)90744-8_TABLEV</v>
      </c>
      <c r="L65" s="10" t="str">
        <f t="array" ref="L65">IFERROR(INDEX(AUTO_Public_TSV_FileList!$A$1:$A$1000,MATCH(TRUE(),EXACT(K65,IFERROR(_xlfn.TEXTBEFORE(AUTO_Public_TSV_FileList!$A$1:$A$1000,".tsv"),"")),0)),"notfound")</f>
        <v>10.1016%2F0006-8993(93)90744-8_TABLEV.tsv</v>
      </c>
      <c r="M65" s="9" t="inlineStr">
        <is>
          <t>TABLE V Volumes (mm 3) of the ventral horns, the middle portion and the dorsal horns, together with the corresponding number of cells (10% in gray matter of one mouse spinal cord (animal 2) down to the upper sacral segments</t>
        </is>
      </c>
      <c r="N65" s="9"/>
      <c r="O65" s="9"/>
      <c r="P65" s="9"/>
      <c r="Q65" s="9"/>
      <c r="R65" s="9"/>
      <c r="S65" s="9"/>
      <c r="T65" s="9"/>
      <c r="U65" s="9"/>
      <c r="V65" s="9"/>
      <c r="W65" s="9"/>
      <c r="X65" s="9"/>
      <c r="Y65" s="9"/>
      <c r="Z65" s="9"/>
      <c r="AA65" s="9"/>
      <c r="AB65" s="9"/>
      <c r="AC65" s="9"/>
      <c r="AD65" s="9"/>
      <c r="AE65" s="9"/>
      <c r="AF65" s="9"/>
      <c r="AG65" s="9"/>
    </row>
    <row r="66" ht="17" customHeight="1">
      <c r="A66" s="17" t="inlineStr">
        <is>
          <t>Boddy, A. M., McGowen, M. R., Sherwood, C. C., Grossman, L. I., Goodman, M., &amp; Wildman, D. E. (2012). Comparative analysis of encephalization in mammals reveals relaxed constraints on anthropoid primate and cetacean brain scaling. J Evol Biol, 25(5), 981-994. https://doi.org/10.1111/j.1420-9101.2012.02491.x</t>
        </is>
      </c>
      <c r="B66" s="17"/>
      <c r="C66" s="21"/>
      <c r="D66" s="17" t="inlineStr">
        <is>
          <t>brain_body_database_v2.txt</t>
        </is>
      </c>
      <c r="E66" s="10" t="str">
        <f>SUBSTITUTE(SUBSTITUTE(_xlfn.TEXTBEFORE(A66,","), "-", ""), " ", "")</f>
        <v>Boddy</v>
      </c>
      <c r="F66" s="10"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10" t="str">
        <f>_xlfn.TEXTBEFORE(_xlfn.TEXTAFTER(A66, "("), ")")</f>
        <v>2012</v>
      </c>
      <c r="H66" s="10" t="str">
        <f>E66 &amp; IF(F66&lt;&gt;"", "_" &amp; SUBSTITUTE(F66," ",""), "_") &amp; IF(G66&lt;&gt;"", "_" &amp; G66, "_") &amp; IF(B66&lt;&gt;"", "_" &amp; B66, "")</f>
        <v>Boddy_etal_2012</v>
      </c>
      <c r="I66" s="10" t="str">
        <f>_xlfn.LET(
_xlpm.doi,IF(C66&lt;&gt;"",C66,_xlfn.TEXTAFTER(A66,"https://doi.org/")),
SUBSTITUTE(
SUBSTITUTE(
SUBSTITUTE(
SUBSTITUTE(
_xlpm.doi,
"/","%2F"),
":","%3A"),
"&lt;","%3C"),
"&gt;","%3E")
)</f>
        <v>10.1111%2Fj.1420-9101.2012.02491.x</v>
      </c>
      <c r="J66" s="10" t="str">
        <f>TRIM(_xlfn.TEXTJOIN("_",FALSE(),H66,(SUBSTITUTE(SUBSTITUTE(D66," ",""), "_", ""))))</f>
        <v>Boddy_etal_2012_brainbodydatabasev2.txt</v>
      </c>
      <c r="K66" s="10" t="str">
        <f>I66 &amp; "_" &amp; SUBSTITUTE(SUBSTITUTE(SUBSTITUTE(D66,CHAR(160),"")," ",""),"_","")</f>
        <v>10.1111%2Fj.1420-9101.2012.02491.x_brainbodydatabasev2.txt</v>
      </c>
      <c r="L66" s="10" t="str">
        <f t="array" ref="L66">IFERROR(INDEX(AUTO_Public_TSV_FileList!$A$1:$A$1000,MATCH(TRUE(),EXACT(K66,IFERROR(_xlfn.TEXTBEFORE(AUTO_Public_TSV_FileList!$A$1:$A$1000,".tsv"),"")),0)),"notfound")</f>
        <v>notfound</v>
      </c>
      <c r="M66" s="17"/>
      <c r="N66" s="17" t="inlineStr">
        <is>
          <t>the individuals values</t>
        </is>
      </c>
      <c r="O66" s="13"/>
      <c r="P66" s="17" t="inlineStr">
        <is>
          <t>FINISHED</t>
        </is>
      </c>
      <c r="Q66" s="17"/>
      <c r="R66" s="17"/>
      <c r="S66" s="17"/>
      <c r="T66" s="17"/>
      <c r="U66" s="17"/>
      <c r="V66" s="17"/>
      <c r="W66" s="17"/>
      <c r="X66" s="17"/>
      <c r="Y66" s="17"/>
      <c r="Z66" s="17"/>
      <c r="AA66" s="17"/>
      <c r="AB66" s="17"/>
      <c r="AC66" s="17"/>
      <c r="AD66" s="17"/>
      <c r="AE66" s="17"/>
      <c r="AF66" s="17"/>
      <c r="AG66" s="17"/>
    </row>
    <row r="67" ht="17" customHeight="1">
      <c r="A67" s="17" t="inlineStr">
        <is>
          <t>Boddy, A. M., McGowen, M. R., Sherwood, C. C., Grossman, L. I., Goodman, M., &amp; Wildman, D. E. (2012). Comparative analysis of encephalization in mammals reveals relaxed constraints on anthropoid primate and cetacean brain scaling. J Evol Biol, 25(5), 981-994. https://doi.org/10.1111/j.1420-9101.2012.02491.x</t>
        </is>
      </c>
      <c r="B67" s="17"/>
      <c r="C67" s="21"/>
      <c r="D67" s="17" t="inlineStr">
        <is>
          <t>Table S1</t>
        </is>
      </c>
      <c r="E67" s="10" t="str">
        <f>SUBSTITUTE(SUBSTITUTE(_xlfn.TEXTBEFORE(A67,","), "-", ""), " ", "")</f>
        <v>Boddy</v>
      </c>
      <c r="F67" s="10"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10" t="str">
        <f>_xlfn.TEXTBEFORE(_xlfn.TEXTAFTER(A67, "("), ")")</f>
        <v>2012</v>
      </c>
      <c r="H67" s="10" t="str">
        <f>E67 &amp; IF(F67&lt;&gt;"", "_" &amp; SUBSTITUTE(F67," ",""), "_") &amp; IF(G67&lt;&gt;"", "_" &amp; G67, "_") &amp; IF(B67&lt;&gt;"", "_" &amp; B67, "")</f>
        <v>Boddy_etal_2012</v>
      </c>
      <c r="I67" s="10" t="str">
        <f>_xlfn.LET(
_xlpm.doi,IF(C67&lt;&gt;"",C67,_xlfn.TEXTAFTER(A67,"https://doi.org/")),
SUBSTITUTE(
SUBSTITUTE(
SUBSTITUTE(
SUBSTITUTE(
_xlpm.doi,
"/","%2F"),
":","%3A"),
"&lt;","%3C"),
"&gt;","%3E")
)</f>
        <v>10.1111%2Fj.1420-9101.2012.02491.x</v>
      </c>
      <c r="J67" s="10" t="str">
        <f>TRIM(_xlfn.TEXTJOIN("_",FALSE(),H67,(SUBSTITUTE(SUBSTITUTE(D67," ",""), "_", ""))))</f>
        <v>Boddy_etal_2012_TableS1</v>
      </c>
      <c r="K67" s="10" t="str">
        <f>I67 &amp; "_" &amp; SUBSTITUTE(SUBSTITUTE(SUBSTITUTE(D67,CHAR(160),"")," ",""),"_","")</f>
        <v>10.1111%2Fj.1420-9101.2012.02491.x_TableS1</v>
      </c>
      <c r="L67" s="10" t="str">
        <f t="array" ref="L67">IFERROR(INDEX(AUTO_Public_TSV_FileList!$A$1:$A$1000,MATCH(TRUE(),EXACT(K67,IFERROR(_xlfn.TEXTBEFORE(AUTO_Public_TSV_FileList!$A$1:$A$1000,".tsv"),"")),0)),"notfound")</f>
        <v>10.1111%2Fj.1420-9101.2012.02491.x_TableS1.tsv</v>
      </c>
      <c r="M67" s="17"/>
      <c r="N67" s="17" t="inlineStr">
        <is>
          <t>means</t>
        </is>
      </c>
      <c r="O67" s="13"/>
      <c r="P67" s="17" t="inlineStr">
        <is>
          <t>FINISHED</t>
        </is>
      </c>
      <c r="Q67" s="17"/>
      <c r="R67" s="17"/>
      <c r="S67" s="17"/>
      <c r="T67" s="17"/>
      <c r="U67" s="17"/>
      <c r="V67" s="17"/>
      <c r="W67" s="17"/>
      <c r="X67" s="17"/>
      <c r="Y67" s="17"/>
      <c r="Z67" s="17"/>
      <c r="AA67" s="17"/>
      <c r="AB67" s="17"/>
      <c r="AC67" s="17"/>
      <c r="AD67" s="17"/>
      <c r="AE67" s="17"/>
      <c r="AF67" s="17"/>
      <c r="AG67" s="17"/>
    </row>
    <row r="68" ht="17" customHeight="1">
      <c r="A68" s="1" t="inlineStr">
        <is>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is>
      </c>
      <c r="B68" s="9"/>
      <c r="D68" s="1" t="inlineStr">
        <is>
          <t>Table 1</t>
        </is>
      </c>
      <c r="E68" s="10" t="str">
        <f>SUBSTITUTE(SUBSTITUTE(_xlfn.TEXTBEFORE(A68,","), "-", ""), " ", "")</f>
        <v>Bortoff</v>
      </c>
      <c r="F68" s="10"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8" s="10" t="str">
        <f>_xlfn.TEXTBEFORE(_xlfn.TEXTAFTER(A68, "("), ")")</f>
        <v>1993</v>
      </c>
      <c r="H68" s="10" t="str">
        <f>E68 &amp; IF(F68&lt;&gt;"", "_" &amp; SUBSTITUTE(F68," ",""), "_") &amp; IF(G68&lt;&gt;"", "_" &amp; G68, "_") &amp; IF(B68&lt;&gt;"", "_" &amp; B68, "")</f>
        <v>Bortoff__1993</v>
      </c>
      <c r="I68" s="10" t="str">
        <f>_xlfn.LET(
_xlpm.doi,IF(C68&lt;&gt;"",C68,_xlfn.TEXTAFTER(A68,"https://doi.org/")),
SUBSTITUTE(
SUBSTITUTE(
SUBSTITUTE(
SUBSTITUTE(
_xlpm.doi,
"/","%2F"),
":","%3A"),
"&lt;","%3C"),
"&gt;","%3E")
)</f>
        <v>10.1523%2FJNEUROSCI.13-12-05105.1993</v>
      </c>
      <c r="J68" s="10" t="str">
        <f>TRIM(_xlfn.TEXTJOIN("_",FALSE(),H68,(SUBSTITUTE(SUBSTITUTE(D68," ",""), "_", ""))))</f>
        <v>Bortoff__1993_Table1</v>
      </c>
      <c r="K68" s="10" t="str">
        <f>I68 &amp; "_" &amp; SUBSTITUTE(SUBSTITUTE(SUBSTITUTE(D68,CHAR(160),"")," ",""),"_","")</f>
        <v>10.1523%2FJNEUROSCI.13-12-05105.1993_Table1</v>
      </c>
      <c r="L68" s="10" t="str">
        <f t="array" ref="L68">IFERROR(INDEX(AUTO_Public_TSV_FileList!$A$1:$A$1000,MATCH(TRUE(),EXACT(K68,IFERROR(_xlfn.TEXTBEFORE(AUTO_Public_TSV_FileList!$A$1:$A$1000,".tsv"),"")),0)),"notfound")</f>
        <v>10.1523%2FJNEUROSCI.13-12-05105.1993_Table1.tsv</v>
      </c>
      <c r="M68" s="1" t="inlineStr">
        <is>
          <t>Curated Table 1. Species-specific corticospinal termination extent and CM-connection inference</t>
        </is>
      </c>
      <c r="N68" s="1" t="inlineStr">
        <is>
          <t>table</t>
        </is>
      </c>
      <c r="O68" s="13"/>
      <c r="P68" s="1" t="inlineStr">
        <is>
          <t>FINISHED</t>
        </is>
      </c>
      <c r="Q68" s="1"/>
      <c r="R68" s="1" t="inlineStr">
        <is>
          <t>https://doi.org/10.1523/JNEUROSCI.13-12-05105.1993</t>
        </is>
      </c>
      <c r="S68" s="13"/>
      <c r="T68" s="13"/>
      <c r="U68" s="13"/>
      <c r="V68" s="1" t="inlineStr">
        <is>
          <t>spinal cord / M1 output</t>
        </is>
      </c>
      <c r="W68" s="1" t="inlineStr">
        <is>
          <t>two New-World primate species</t>
        </is>
      </c>
      <c r="X68" s="1" t="inlineStr">
        <is>
          <t>corticospinal termination extent and corticomotoneuronal inference</t>
        </is>
      </c>
      <c r="Y68" s="1" t="inlineStr">
        <is>
          <t>CST ventral-horn / lamina IX termination extent; CM-connection inference</t>
        </is>
      </c>
      <c r="Z68" s="13"/>
      <c r="AA68" s="1" t="inlineStr">
        <is>
          <t>WGA-HRP anterograde tract tracing from primary motor cortex</t>
        </is>
      </c>
      <c r="AB68" s="1" t="inlineStr">
        <is>
          <t>ordinal anatomical grade + qualitative inference</t>
        </is>
      </c>
      <c r="AC68" s="1" t="inlineStr">
        <is>
          <t>Bortoff/Strick</t>
        </is>
      </c>
      <c r="AD68" s="13"/>
      <c r="AE68" s="1" t="inlineStr">
        <is>
          <t>primary</t>
        </is>
      </c>
      <c r="AF68" s="1"/>
      <c r="AG68" s="1" t="inlineStr">
        <is>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is>
      </c>
    </row>
    <row r="69" ht="17" customHeight="1">
      <c r="A69" s="1" t="inlineStr">
        <is>
          <t>Boyer, D. M., &amp; Harrington, A. R. (2018). Scaling of bony canals for encephalic vessels in euarchontans: Implications for the role of the vertebral artery and brain metabolism. J Hum Evol, 114, 85-101. https://doi.org/10.1016/j.jhevol.2017.09.003</t>
        </is>
      </c>
      <c r="B69" s="9"/>
      <c r="D69" s="1" t="inlineStr">
        <is>
          <t>Table 1</t>
        </is>
      </c>
      <c r="E69" s="10" t="str">
        <f>SUBSTITUTE(SUBSTITUTE(_xlfn.TEXTBEFORE(A69,","), "-", ""), " ", "")</f>
        <v>Boyer</v>
      </c>
      <c r="F69" s="10"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9" s="10" t="str">
        <f>_xlfn.TEXTBEFORE(_xlfn.TEXTAFTER(A69, "("), ")")</f>
        <v>2018</v>
      </c>
      <c r="H69" s="10" t="str">
        <f>E69 &amp; IF(F69&lt;&gt;"", "_" &amp; SUBSTITUTE(F69," ",""), "_") &amp; IF(G69&lt;&gt;"", "_" &amp; G69, "_") &amp; IF(B69&lt;&gt;"", "_" &amp; B69, "")</f>
        <v>Boyer__2018</v>
      </c>
      <c r="I69" s="10" t="str">
        <f>_xlfn.LET(
_xlpm.doi,IF(C69&lt;&gt;"",C69,_xlfn.TEXTAFTER(A69,"https://doi.org/")),
SUBSTITUTE(
SUBSTITUTE(
SUBSTITUTE(
SUBSTITUTE(
_xlpm.doi,
"/","%2F"),
":","%3A"),
"&lt;","%3C"),
"&gt;","%3E")
)</f>
        <v>10.1016%2Fj.jhevol.2017.09.003</v>
      </c>
      <c r="J69" s="10" t="str">
        <f>TRIM(_xlfn.TEXTJOIN("_",FALSE(),H69,(SUBSTITUTE(SUBSTITUTE(D69," ",""), "_", ""))))</f>
        <v>Boyer__2018_Table1</v>
      </c>
      <c r="K69" s="10" t="str">
        <f>I69 &amp; "_" &amp; SUBSTITUTE(SUBSTITUTE(SUBSTITUTE(D69,CHAR(160),"")," ",""),"_","")</f>
        <v>10.1016%2Fj.jhevol.2017.09.003_Table1</v>
      </c>
      <c r="L69" s="10" t="str">
        <f t="array" ref="L69">IFERROR(INDEX(AUTO_Public_TSV_FileList!$A$1:$A$1000,MATCH(TRUE(),EXACT(K69,IFERROR(_xlfn.TEXTBEFORE(AUTO_Public_TSV_FileList!$A$1:$A$1000,".tsv"),"")),0)),"notfound")</f>
        <v>10.1016%2Fj.jhevol.2017.09.003_Table1.tsv</v>
      </c>
      <c r="M69" s="1" t="inlineStr">
        <is>
          <t>Table 1 Taxon list and species mean values.</t>
        </is>
      </c>
      <c r="N69" s="13"/>
      <c r="O69" s="13"/>
      <c r="P69" s="1" t="inlineStr">
        <is>
          <t>FINISHED</t>
        </is>
      </c>
      <c r="Q69" s="13"/>
      <c r="R69" s="13"/>
      <c r="S69" s="13"/>
      <c r="T69" s="13"/>
      <c r="U69" s="13"/>
      <c r="V69" s="13"/>
      <c r="W69" s="13"/>
      <c r="X69" s="13"/>
      <c r="Y69" s="13"/>
      <c r="Z69" s="13"/>
      <c r="AA69" s="13"/>
      <c r="AB69" s="13"/>
      <c r="AC69" s="13"/>
      <c r="AD69" s="13"/>
      <c r="AE69" s="13"/>
      <c r="AF69" s="13"/>
      <c r="AG69" s="13"/>
    </row>
    <row r="70" ht="17" customHeight="1">
      <c r="A70" s="1" t="inlineStr">
        <is>
          <t>Boyer, D. M., &amp; Harrington, A. R. (2019). New estimates of blood flow rates in the vertebral artery of euarchontans and their implications for encephalic blood flow scaling: A response to Seymour and Snelling (2018). J Hum Evol, 128, 93-98. https://doi.org/10.1016/j.jhevol.2018.10.002</t>
        </is>
      </c>
      <c r="B70" s="18"/>
      <c r="C70" s="18"/>
      <c r="D70" s="1" t="inlineStr">
        <is>
          <t>SOM Table S6</t>
        </is>
      </c>
      <c r="E70" s="10" t="str">
        <f>SUBSTITUTE(SUBSTITUTE(_xlfn.TEXTBEFORE(A70,","), "-", ""), " ", "")</f>
        <v>Boyer</v>
      </c>
      <c r="F70" s="10"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0" s="10" t="str">
        <f>_xlfn.TEXTBEFORE(_xlfn.TEXTAFTER(A70, "("), ")")</f>
        <v>2019</v>
      </c>
      <c r="H70" s="10" t="str">
        <f>E70 &amp; IF(F70&lt;&gt;"", "_" &amp; SUBSTITUTE(F70," ",""), "_") &amp; IF(G70&lt;&gt;"", "_" &amp; G70, "_") &amp; IF(B70&lt;&gt;"", "_" &amp; B70, "")</f>
        <v>Boyer__2019</v>
      </c>
      <c r="I70" s="10" t="str">
        <f>_xlfn.LET(
_xlpm.doi,IF(C70&lt;&gt;"",C70,_xlfn.TEXTAFTER(A70,"https://doi.org/")),
SUBSTITUTE(
SUBSTITUTE(
SUBSTITUTE(
SUBSTITUTE(
_xlpm.doi,
"/","%2F"),
":","%3A"),
"&lt;","%3C"),
"&gt;","%3E")
)</f>
        <v>10.1016%2Fj.jhevol.2018.10.002</v>
      </c>
      <c r="J70" s="10" t="str">
        <f>TRIM(_xlfn.TEXTJOIN("_",FALSE(),H70,(SUBSTITUTE(SUBSTITUTE(D70," ",""), "_", ""))))</f>
        <v>Boyer__2019_SOMTableS6</v>
      </c>
      <c r="K70" s="10" t="str">
        <f>I70 &amp; "_" &amp; SUBSTITUTE(SUBSTITUTE(SUBSTITUTE(D70,CHAR(160),"")," ",""),"_","")</f>
        <v>10.1016%2Fj.jhevol.2018.10.002_SOMTableS6</v>
      </c>
      <c r="L70" s="10" t="str">
        <f t="array" ref="L70">IFERROR(INDEX(AUTO_Public_TSV_FileList!$A$1:$A$1000,MATCH(TRUE(),EXACT(K70,IFERROR(_xlfn.TEXTBEFORE(AUTO_Public_TSV_FileList!$A$1:$A$1000,".tsv"),"")),0)),"notfound")</f>
        <v>10.1016%2Fj.jhevol.2018.10.002_SOMTableS6.tsv</v>
      </c>
      <c r="M70" s="13"/>
      <c r="N70" s="13"/>
      <c r="O70" s="13"/>
      <c r="P70" s="1" t="inlineStr">
        <is>
          <t>FINISHED</t>
        </is>
      </c>
      <c r="Q70" s="13"/>
      <c r="R70" s="13"/>
      <c r="S70" s="13"/>
      <c r="T70" s="13"/>
      <c r="U70" s="13"/>
      <c r="V70" s="13"/>
      <c r="W70" s="13"/>
      <c r="X70" s="13"/>
      <c r="Y70" s="13"/>
      <c r="Z70" s="13"/>
      <c r="AA70" s="13"/>
      <c r="AB70" s="13"/>
      <c r="AC70" s="13"/>
      <c r="AD70" s="13"/>
      <c r="AE70" s="13"/>
      <c r="AF70" s="13"/>
      <c r="AG70" s="13"/>
    </row>
    <row r="71" ht="17" customHeight="1">
      <c r="A71" s="9" t="inlineStr">
        <is>
          <t>Braitenberg, V., &amp; Schüz, A. (1998). Cortex: Statistics and geometry of neuronal connectivity (2nd ed.). Springer. https://doi.org/10.1007/978-3-662-03733-1</t>
        </is>
      </c>
      <c r="D71" s="9" t="inlineStr">
        <is>
          <t>Figure 62</t>
        </is>
      </c>
      <c r="E71" s="10" t="str">
        <f>SUBSTITUTE(SUBSTITUTE(_xlfn.TEXTBEFORE(A71,","), "-", ""), " ", "")</f>
        <v>Braitenberg</v>
      </c>
      <c r="F71" s="10"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1" s="10" t="str">
        <f>_xlfn.TEXTBEFORE(_xlfn.TEXTAFTER(A71, "("), ")")</f>
        <v>1998</v>
      </c>
      <c r="H71" s="10" t="str">
        <f>E71 &amp; IF(F71&lt;&gt;"", "_" &amp; SUBSTITUTE(F71," ",""), "_") &amp; IF(G71&lt;&gt;"", "_" &amp; G71, "_") &amp; IF(B71&lt;&gt;"", "_" &amp; B71, "")</f>
        <v>Braitenberg__1998</v>
      </c>
      <c r="I71" s="10" t="str">
        <f>_xlfn.LET(
_xlpm.doi,IF(C71&lt;&gt;"",C71,_xlfn.TEXTAFTER(A71,"https://doi.org/")),
SUBSTITUTE(
SUBSTITUTE(
SUBSTITUTE(
SUBSTITUTE(
_xlpm.doi,
"/","%2F"),
":","%3A"),
"&lt;","%3C"),
"&gt;","%3E")
)</f>
        <v>10.1007%2F978-3-662-03733-1</v>
      </c>
      <c r="J71" s="10" t="str">
        <f>TRIM(_xlfn.TEXTJOIN("_",FALSE(),H71,(SUBSTITUTE(SUBSTITUTE(D71," ",""), "_", ""))))</f>
        <v>Braitenberg__1998_Figure62</v>
      </c>
      <c r="K71" s="10" t="str">
        <f>I71 &amp; "_" &amp; SUBSTITUTE(SUBSTITUTE(SUBSTITUTE(D71,CHAR(160),""), " ", ""), "_", "")</f>
        <v>10.1007%2F978-3-662-03733-1_Figure62</v>
      </c>
      <c r="L71" s="10" t="str">
        <f t="array" ref="L71">IFERROR(INDEX(AUTO_Public_TSV_FileList!$A$1:$A$1000,MATCH(TRUE(),EXACT(K71,IFERROR(_xlfn.TEXTBEFORE(AUTO_Public_TSV_FileList!$A$1:$A$1000,".tsv"),"")),0)),"notfound")</f>
        <v>10.1007%2F978-3-662-03733-1_Figure62.tsv</v>
      </c>
      <c r="M71" s="9" t="inlineStr">
        <is>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is>
      </c>
      <c r="N71" s="9" t="inlineStr">
        <is>
          <t>figure (histogram) in book PDF, p. 133 (PDF p. 131); embedded 553 × 389 px 150-ppi greyscale image; bars, ticks and labels clearly legible; digitized</t>
        </is>
      </c>
      <c r="O71" s="9" t="inlineStr">
        <is>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is>
      </c>
      <c r="P71" s="9" t="inlineStr">
        <is>
          <t>BUILT (R run 2026-10-22; public TSV written; human visual check of the digitization pending)</t>
        </is>
      </c>
      <c r="Q71" s="9"/>
      <c r="R71" s="9" t="inlineStr">
        <is>
          <t>https://doi.org/10.1007/978-3-662-03733-1</t>
        </is>
      </c>
      <c r="S71" s="9" t="inlineStr">
        <is>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is>
      </c>
      <c r="T71" s="9" t="inlineStr">
        <is>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is>
      </c>
      <c r="U71" s="9"/>
      <c r="V71" s="9" t="inlineStr">
        <is>
          <t>cortico-cortical connectivity (white matter)</t>
        </is>
      </c>
      <c r="W71" s="9" t="inlineStr">
        <is>
          <t>Mus musculus (mouse)</t>
        </is>
      </c>
      <c r="X71" s="9" t="inlineStr">
        <is>
          <t>cortico-cortical connection distance (white-matter fibre length) distribution</t>
        </is>
      </c>
      <c r="Y71" s="9" t="inlineStr">
        <is>
          <t>mean white-matter axon length (L), as estimated by Zhang &amp; Sejnowski 2000</t>
        </is>
      </c>
      <c r="Z71" s="9" t="inlineStr">
        <is>
          <t>histological sections (HRP retrograde labelling)</t>
        </is>
      </c>
      <c r="AA71" s="9" t="inlineStr">
        <is>
          <t>HRP retrograde tracing, 21 mice; distance from labelled cells to injection site; figure digitization</t>
        </is>
      </c>
      <c r="AB71" s="9" t="inlineStr">
        <is>
          <t>count of labelled neurons per 0.1-mm distance bin; distance (mm)</t>
        </is>
      </c>
      <c r="AC71" s="9" t="inlineStr">
        <is>
          <t>Braitenberg/Schüz</t>
        </is>
      </c>
      <c r="AD71" s="9"/>
      <c r="AE71" s="9" t="inlineStr">
        <is>
          <t>primary (first publication of Greilich 1984 unpublished thesis data)</t>
        </is>
      </c>
      <c r="AG71" s="9" t="inlineStr">
        <is>
          <t>Human visual check of the digitization (reference_tables/Braitenberg_Schüz_1998_Figure62_digitization_check.png, or snapshot vs. Fig. 62).</t>
        </is>
      </c>
    </row>
    <row r="72" ht="17" customHeight="1">
      <c r="A72" s="9" t="inlineStr">
        <is>
          <t>Braitenberg, V., &amp; Schüz, A. (1998). Cortex: Statistics and geometry of neuronal connectivity (2nd ed.). Springer. https://doi.org/10.1007/978-3-662-03733-1</t>
        </is>
      </c>
      <c r="D72" s="9" t="inlineStr">
        <is>
          <t>Text</t>
        </is>
      </c>
      <c r="E72" s="10" t="str">
        <f>SUBSTITUTE(SUBSTITUTE(_xlfn.TEXTBEFORE(A72,","), "-", ""), " ", "")</f>
        <v>Braitenberg</v>
      </c>
      <c r="F72" s="10"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2" s="10" t="str">
        <f>_xlfn.TEXTBEFORE(_xlfn.TEXTAFTER(A72, "("), ")")</f>
        <v>1998</v>
      </c>
      <c r="H72" s="10" t="str">
        <f>E72 &amp; IF(F72&lt;&gt;"", "_" &amp; SUBSTITUTE(F72," ",""), "_") &amp; IF(G72&lt;&gt;"", "_" &amp; G72, "_") &amp; IF(B72&lt;&gt;"", "_" &amp; B72, "")</f>
        <v>Braitenberg__1998</v>
      </c>
      <c r="I72" s="10" t="str">
        <f>_xlfn.LET(
_xlpm.doi,IF(C72&lt;&gt;"",C72,_xlfn.TEXTAFTER(A72,"https://doi.org/")),
SUBSTITUTE(
SUBSTITUTE(
SUBSTITUTE(
SUBSTITUTE(
_xlpm.doi,
"/","%2F"),
":","%3A"),
"&lt;","%3C"),
"&gt;","%3E")
)</f>
        <v>10.1007%2F978-3-662-03733-1</v>
      </c>
      <c r="J72" s="10" t="str">
        <f>TRIM(_xlfn.TEXTJOIN("_",FALSE(),H72,(SUBSTITUTE(SUBSTITUTE(D72," ",""), "_", ""))))</f>
        <v>Braitenberg__1998_Text</v>
      </c>
      <c r="K72" s="10" t="str">
        <f>I72 &amp; "_" &amp; SUBSTITUTE(SUBSTITUTE(SUBSTITUTE(D72,CHAR(160),""), " ", ""), "_", "")</f>
        <v>10.1007%2F978-3-662-03733-1_Text</v>
      </c>
      <c r="L72" s="10" t="str">
        <f t="array" ref="L72">IFERROR(INDEX(AUTO_Public_TSV_FileList!$A$1:$A$1000,MATCH(TRUE(),EXACT(K72,IFERROR(_xlfn.TEXTBEFORE(AUTO_Public_TSV_FileList!$A$1:$A$1000,".tsv"),"")),0)),"notfound")</f>
        <v>10.1007%2F978-3-662-03733-1_Text.tsv</v>
      </c>
      <c r="M72" s="9" t="inlineStr">
        <is>
          <t>Text. Mouse cortex and neocortex volume per hemisphere (p. 27), average cortical thickness (p. 169) and neurons per mm² of cortical surface (pp. 25/27): the book statements behind Zhang &amp; Sejnowski 2000 ref. 30</t>
        </is>
      </c>
      <c r="N72" s="9" t="inlineStr">
        <is>
          <t>text in book PDF (pp. 25, 27, 169); 600-dpi page scans, clearly legible; OCR text layer has errors, so values were confirmed on the rendered pages</t>
        </is>
      </c>
      <c r="O72" s="9" t="inlineStr">
        <is>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is>
      </c>
      <c r="P72" s="9" t="inlineStr">
        <is>
          <t>BUILT (R run 2026-10-22; public TSV written; re-run R after the same-day context revision; human visual check pending)</t>
        </is>
      </c>
      <c r="Q72" s="9"/>
      <c r="R72" s="9" t="inlineStr">
        <is>
          <t>https://doi.org/10.1007/978-3-662-03733-1</t>
        </is>
      </c>
      <c r="S72" s="9" t="inlineStr">
        <is>
          <t>Loci found 2026-10-22: p. 27 (PDF 36) volumes; p. 169 (PDF 166) thickness; pp. 25/27 (PDF 34/36) neurons per mm². Values confirmed on rendered pages, not only the OCR layer.</t>
        </is>
      </c>
      <c r="T72" s="9" t="inlineStr">
        <is>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is>
      </c>
      <c r="U72" s="9"/>
      <c r="V72" s="9" t="inlineStr">
        <is>
          <t>comparative brain volumes; cortical thickness</t>
        </is>
      </c>
      <c r="W72" s="9" t="inlineStr">
        <is>
          <t>Mus musculus (mouse)</t>
        </is>
      </c>
      <c r="X72" s="9" t="inlineStr">
        <is>
          <t>cortex and neocortex volume (one hemisphere); average cortical thickness</t>
        </is>
      </c>
      <c r="Y72" s="9" t="inlineStr">
        <is>
          <t>neurons per mm² of cortical surface (order of magnitude)</t>
        </is>
      </c>
      <c r="Z72" s="9" t="inlineStr">
        <is>
          <t>histological sections</t>
        </is>
      </c>
      <c r="AA72" s="9"/>
      <c r="AB72" s="9" t="inlineStr">
        <is>
          <t>volume (mm³); thickness (mm); neurons per mm²</t>
        </is>
      </c>
      <c r="AC72" s="9" t="inlineStr">
        <is>
          <t>Braitenberg/Schüz</t>
        </is>
      </c>
      <c r="AD72" s="9"/>
      <c r="AE72" s="9" t="inlineStr">
        <is>
          <t>primary (volumes, thickness); secondary (neurons per mm², from Schüz &amp; Palm 1989); per-record roles in the item context table</t>
        </is>
      </c>
      <c r="AF72" s="9"/>
      <c r="AG72" s="9" t="inlineStr">
        <is>
          <t>Re-run R to carry the revised context into the CSV and public TSV, then human visual check of the snapshot against pp. 25, 27 and 169.</t>
        </is>
      </c>
    </row>
    <row r="73" ht="17" customHeight="1">
      <c r="A73" s="9" t="inlineStr">
        <is>
          <t>Branstetter, B. K., St Leger, J., Acton, D., Stewart, J., Houser, D., Finneran, J. J., &amp; Jenkins, K. (2017). Killer whale (Orcinus orca) behavioral audiograms. J Acoust Soc Am, 141, 2387. https://doi.org/10.1121/1.4979116</t>
        </is>
      </c>
      <c r="C73" s="18"/>
      <c r="D73" s="9" t="inlineStr">
        <is>
          <t>Table I</t>
        </is>
      </c>
      <c r="E73" s="11" t="str">
        <f>SUBSTITUTE(SUBSTITUTE(_xlfn.TEXTBEFORE(A73,","), "-", ""), " ", "")</f>
        <v>Branstetter</v>
      </c>
      <c r="F73" s="10"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10" t="str">
        <f>_xlfn.TEXTBEFORE(_xlfn.TEXTAFTER(A73, "("), ")")</f>
        <v>2017</v>
      </c>
      <c r="H73" s="11" t="str">
        <f>E73 &amp; IF(F73&lt;&gt;"", "_" &amp; SUBSTITUTE(F73," ",""), "_") &amp; IF(G73&lt;&gt;"", "_" &amp; G73, "_") &amp; IF(B73&lt;&gt;"", "_" &amp; B73, "")</f>
        <v>Branstetter_etal_2017</v>
      </c>
      <c r="I73" s="11" t="str">
        <f>_xlfn.LET(_xlpm.doi,IF(C73&lt;&gt;"",C73,_xlfn.TEXTAFTER(A73,"https://doi.org/")),SUBSTITUTE(SUBSTITUTE(SUBSTITUTE(SUBSTITUTE(_xlpm.doi,"/","%2F"),":","%3A"),"&lt;","%3C"),"&gt;","%3E"))</f>
        <v>10.1121%2F1.4979116</v>
      </c>
      <c r="J73" s="11" t="str">
        <f>TRIM(_xlfn.TEXTJOIN("_",FALSE(),H73,(SUBSTITUTE(SUBSTITUTE(D73," ",""), "_", ""))))</f>
        <v>Branstetter_etal_2017_TableI</v>
      </c>
      <c r="K73" s="10" t="str">
        <f>I73 &amp; "_" &amp; SUBSTITUTE(SUBSTITUTE(SUBSTITUTE(D73,CHAR(160),"")," ",""),"_","")</f>
        <v>10.1121%2F1.4979116_TableI</v>
      </c>
      <c r="L73" s="10" t="str">
        <f t="array" ref="L73">IFERROR(INDEX(AUTO_Public_TSV_FileList!$A$1:$A$1000,MATCH(TRUE(),EXACT(K73,IFERROR(_xlfn.TEXTBEFORE(AUTO_Public_TSV_FileList!$A$1:$A$1000,".tsv"),"")),0)),"notfound")</f>
        <v>notfound</v>
      </c>
      <c r="M73" s="9" t="inlineStr">
        <is>
          <t>Average threshold levels for each killer whale (individual behavioral audiograms)</t>
        </is>
      </c>
      <c r="N73" s="9" t="inlineStr">
        <is>
          <t>PDF table</t>
        </is>
      </c>
      <c r="O73" s="9" t="inlineStr">
        <is>
          <t>Not built -- see TableIV item for this folder's built data (both were priority 1; TableIV alone cleanly supplied the 4 traits used).</t>
        </is>
      </c>
      <c r="P73" s="9" t="inlineStr">
        <is>
          <t>candidate</t>
        </is>
      </c>
      <c r="Q73" s="9"/>
      <c r="R73" s="32" t="inlineStr">
        <is>
          <t>https://doi.org/10.1121/1.4979116</t>
        </is>
      </c>
      <c r="S73" s="9"/>
      <c r="T73" s="9"/>
      <c r="U73" s="9"/>
      <c r="V73" s="9" t="inlineStr">
        <is>
          <t>sensory hearing</t>
        </is>
      </c>
      <c r="W73" s="9" t="inlineStr">
        <is>
          <t>Orcinus orca (8 individuals)</t>
        </is>
      </c>
      <c r="X73" s="9" t="inlineStr">
        <is>
          <t>audiogram thresholds by frequency</t>
        </is>
      </c>
      <c r="Y73" s="9"/>
      <c r="Z73" s="9" t="inlineStr">
        <is>
          <t>behavioral (conditioned suppression/avoidance)</t>
        </is>
      </c>
      <c r="AA73" s="9" t="inlineStr">
        <is>
          <t>psychoacoustic testing (behavioral, underwater)</t>
        </is>
      </c>
      <c r="AB73" s="9" t="inlineStr">
        <is>
          <t>threshold (dB re 1 µPa) by frequency (kHz)</t>
        </is>
      </c>
      <c r="AC73" s="9" t="inlineStr">
        <is>
          <t>Branstetter/Finneran</t>
        </is>
      </c>
      <c r="AD73" s="9"/>
      <c r="AE73" s="9" t="inlineStr">
        <is>
          <t>primary</t>
        </is>
      </c>
      <c r="AF73" s="9"/>
      <c r="AG73" s="9" t="inlineStr">
        <is>
          <t>extract first — direct source of values already used in SensoryData</t>
        </is>
      </c>
    </row>
    <row r="74" ht="17" customHeight="1">
      <c r="A74" s="9" t="inlineStr">
        <is>
          <t>Branstetter, B. K., St Leger, J., Acton, D., Stewart, J., Houser, D., Finneran, J. J., &amp; Jenkins, K. (2017). Killer whale (Orcinus orca) behavioral audiograms. J Acoust Soc Am, 141, 2387. https://doi.org/10.1121/1.4979116</t>
        </is>
      </c>
      <c r="D74" s="9" t="inlineStr">
        <is>
          <t>Table IV</t>
        </is>
      </c>
      <c r="E74" s="11" t="str">
        <f>SUBSTITUTE(SUBSTITUTE(_xlfn.TEXTBEFORE(A74,","), "-", ""), " ", "")</f>
        <v>Branstetter</v>
      </c>
      <c r="F74" s="10"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10" t="str">
        <f>_xlfn.TEXTBEFORE(_xlfn.TEXTAFTER(A74, "("), ")")</f>
        <v>2017</v>
      </c>
      <c r="H74" s="11" t="str">
        <f>E74 &amp; IF(F74&lt;&gt;"", "_" &amp; SUBSTITUTE(F74," ",""), "_") &amp; IF(G74&lt;&gt;"", "_" &amp; G74, "_") &amp; IF(B74&lt;&gt;"", "_" &amp; B74, "")</f>
        <v>Branstetter_etal_2017</v>
      </c>
      <c r="I74" s="11" t="str">
        <f>_xlfn.LET(_xlpm.doi,IF(C74&lt;&gt;"",C74,_xlfn.TEXTAFTER(A74,"https://doi.org/")),SUBSTITUTE(SUBSTITUTE(SUBSTITUTE(SUBSTITUTE(_xlpm.doi,"/","%2F"),":","%3A"),"&lt;","%3C"),"&gt;","%3E"))</f>
        <v>10.1121%2F1.4979116</v>
      </c>
      <c r="J74" s="11" t="str">
        <f>TRIM(_xlfn.TEXTJOIN("_",FALSE(),H74,(SUBSTITUTE(SUBSTITUTE(D74," ",""), "_", ""))))</f>
        <v>Branstetter_etal_2017_TableIV</v>
      </c>
      <c r="K74" s="10" t="str">
        <f>I74 &amp; "_" &amp; SUBSTITUTE(SUBSTITUTE(SUBSTITUTE(D74,CHAR(160),"")," ",""),"_","")</f>
        <v>10.1121%2F1.4979116_TableIV</v>
      </c>
      <c r="L74" s="10" t="str">
        <f t="array" ref="L74">IFERROR(INDEX(AUTO_Public_TSV_FileList!$A$1:$A$1000,MATCH(TRUE(),EXACT(K74,IFERROR(_xlfn.TEXTBEFORE(AUTO_Public_TSV_FileList!$A$1:$A$1000,".tsv"),"")),0)),"notfound")</f>
        <v>10.1121%2F1.4979116_TableIV.tsv</v>
      </c>
      <c r="M74" s="9" t="inlineStr">
        <is>
          <t>Species average mass and metrics derived from species composite audiograms (four odontocetes)</t>
        </is>
      </c>
      <c r="N74" s="9" t="inlineStr">
        <is>
          <t>PDF table</t>
        </is>
      </c>
      <c r="O74" s="9" t="inlineStr">
        <is>
          <t>Built 2026-09-27: transcribed O. orca row (low 0.6 kHz / high 114 kHz / best sensitivity 49 dB / best frequency 34 kHz).</t>
        </is>
      </c>
      <c r="P74" s="9" t="inlineStr">
        <is>
          <t>FINISHED</t>
        </is>
      </c>
      <c r="Q74" s="9"/>
      <c r="R74" s="32" t="inlineStr">
        <is>
          <t>https://doi.org/10.1121/1.4979116</t>
        </is>
      </c>
      <c r="S74" s="9"/>
      <c r="T74" s="9"/>
      <c r="U74" s="9"/>
      <c r="V74" s="9" t="inlineStr">
        <is>
          <t>sensory hearing</t>
        </is>
      </c>
      <c r="W74" s="9" t="inlineStr">
        <is>
          <t>Odontoceti (4 spp: O. orca, T. truncatus, D. leucas, P. phocoena)</t>
        </is>
      </c>
      <c r="X74" s="9" t="inlineStr">
        <is>
          <t>hearing range limits; best frequency; best sensitivity; body mass</t>
        </is>
      </c>
      <c r="Y74" s="9"/>
      <c r="Z74" s="9" t="inlineStr">
        <is>
          <t>behavioral (conditioned suppression/avoidance)</t>
        </is>
      </c>
      <c r="AA74" s="9" t="inlineStr">
        <is>
          <t>composite behavioral audiograms (compiled)</t>
        </is>
      </c>
      <c r="AB74" s="9" t="inlineStr">
        <is>
          <t>frequency (kHz); threshold (dB re 1 µPa); mass (kg)</t>
        </is>
      </c>
      <c r="AC74" s="9" t="inlineStr">
        <is>
          <t>Branstetter/Finneran</t>
        </is>
      </c>
      <c r="AD74" s="9"/>
      <c r="AE74" s="9" t="inlineStr">
        <is>
          <t>both</t>
        </is>
      </c>
      <c r="AF74" s="9" t="inlineStr">
        <is>
          <t>Table III lists the source audiograms</t>
        </is>
      </c>
      <c r="AG74" s="9" t="inlineStr">
        <is>
          <t>extract first — direct source of values already used in SensoryData</t>
        </is>
      </c>
    </row>
    <row r="75" ht="17" customHeight="1">
      <c r="A75" s="13" t="inlineStr">
        <is>
          <t>Brodmann, K. (1913). Neue Ergebnisse über die vergleichende histologische Lokalisation der Großhirnrinde mit besonderer Berücksichtigung des Stirnhirns. Verhandlungen der Anatomischen Gesellschaft, 41, 157-216.</t>
        </is>
      </c>
      <c r="C75" s="15" t="inlineStr">
        <is>
          <t>OCLC:8777719</t>
        </is>
      </c>
      <c r="D75" s="1" t="inlineStr">
        <is>
          <t>Table 1</t>
        </is>
      </c>
      <c r="E75" s="10" t="str">
        <f>SUBSTITUTE(SUBSTITUTE(_xlfn.TEXTBEFORE(A75,","), "-", ""), " ", "")</f>
        <v>Brodmann</v>
      </c>
      <c r="F75" s="10"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10" t="str">
        <f>_xlfn.TEXTBEFORE(_xlfn.TEXTAFTER(A75, "("), ")")</f>
        <v>1913</v>
      </c>
      <c r="H75" s="10" t="str">
        <f>E75 &amp; IF(F75&lt;&gt;"", "_" &amp; SUBSTITUTE(F75," ",""), "_") &amp; IF(G75&lt;&gt;"", "_" &amp; G75, "_") &amp; IF(B75&lt;&gt;"", "_" &amp; B75, "")</f>
        <v>Brodmann__1913</v>
      </c>
      <c r="I75" s="10" t="str">
        <f>_xlfn.LET(
_xlpm.doi,IF(C75&lt;&gt;"",C75,_xlfn.TEXTAFTER(A75,"https://doi.org/")),
SUBSTITUTE(
SUBSTITUTE(
SUBSTITUTE(
SUBSTITUTE(
_xlpm.doi,
"/","%2F"),
":","%3A"),
"&lt;","%3C"),
"&gt;","%3E")
)</f>
        <v>OCLC%3A8777719</v>
      </c>
      <c r="J75" s="10" t="str">
        <f>TRIM(_xlfn.TEXTJOIN("_",FALSE(),H75,(SUBSTITUTE(SUBSTITUTE(D75," ",""), "_", ""))))</f>
        <v>Brodmann__1913_Table1</v>
      </c>
      <c r="K75" s="10" t="str">
        <f>I75 &amp; "_" &amp; SUBSTITUTE(SUBSTITUTE(SUBSTITUTE(D75,CHAR(160),"")," ",""),"_","")</f>
        <v>OCLC%3A8777719_Table1</v>
      </c>
      <c r="L75" s="10" t="str">
        <f t="array" ref="L75">IFERROR(INDEX(AUTO_Public_TSV_FileList!$A$1:$A$1000,MATCH(TRUE(),EXACT(K75,IFERROR(_xlfn.TEXTBEFORE(AUTO_Public_TSV_FileList!$A$1:$A$1000,".tsv"),"")),0)),"notfound")</f>
        <v>OCLC%3A8777719_Table1.tsv</v>
      </c>
      <c r="M75" s="1" t="inlineStr">
        <is>
          <t>Tabelle 1. Gesamtrindenfläche, Furchenrinde und Hirngewicht bei verschiedenen Säugetieren</t>
        </is>
      </c>
      <c r="N75" s="13"/>
      <c r="O75" s="13"/>
      <c r="P75" s="1" t="inlineStr">
        <is>
          <t>FINISHED</t>
        </is>
      </c>
      <c r="Q75" s="13"/>
      <c r="R75" s="13"/>
      <c r="S75" s="13"/>
      <c r="T75" s="13"/>
      <c r="U75" s="13"/>
      <c r="V75" s="13"/>
      <c r="W75" s="1" t="inlineStr">
        <is>
          <t>Mammalia (all orders)</t>
        </is>
      </c>
      <c r="X75" s="1" t="inlineStr">
        <is>
          <t>total cortical surface area; sulcal cortex; brain weight</t>
        </is>
      </c>
      <c r="Y75" s="13"/>
      <c r="Z75" s="13"/>
      <c r="AA75" s="13"/>
      <c r="AB75" s="1" t="inlineStr">
        <is>
          <t>surface area (mm2) + mass (g)</t>
        </is>
      </c>
      <c r="AC75" s="13"/>
      <c r="AD75" s="13"/>
      <c r="AE75" s="1" t="inlineStr">
        <is>
          <t>primary</t>
        </is>
      </c>
      <c r="AF75" s="1"/>
      <c r="AG75" s="13"/>
    </row>
    <row r="76" ht="17" customHeight="1">
      <c r="A76" s="1" t="inlineStr">
        <is>
          <t>Brodmann, K. (1913). Neue Forschungsergebnisse der Großhirnrindenanatomie mit besonderer Berücksichtigung anthropologischer Fragen. Verhandlungen der Gesellschaft Deutscher Naturforscher und Ärzte, 85(1), 200-240</t>
        </is>
      </c>
      <c r="C76" s="15" t="inlineStr">
        <is>
          <t>Verhandlungen:85:200-240</t>
        </is>
      </c>
      <c r="D76" s="1" t="inlineStr">
        <is>
          <t>Tabelle 1</t>
        </is>
      </c>
      <c r="E76" s="10" t="str">
        <f>SUBSTITUTE(SUBSTITUTE(_xlfn.TEXTBEFORE(A76,","), "-", ""), " ", "")</f>
        <v>Brodmann</v>
      </c>
      <c r="F76" s="10"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10" t="str">
        <f>_xlfn.TEXTBEFORE(_xlfn.TEXTAFTER(A76, "("), ")")</f>
        <v>1913</v>
      </c>
      <c r="H76" s="10" t="str">
        <f>E76 &amp; IF(F76&lt;&gt;"", "_" &amp; SUBSTITUTE(F76," ",""), "_") &amp; IF(G76&lt;&gt;"", "_" &amp; G76, "_") &amp; IF(B76&lt;&gt;"", "_" &amp; B76, "")</f>
        <v>Brodmann__1913</v>
      </c>
      <c r="I76" s="10" t="str">
        <f>_xlfn.LET(
_xlpm.doi,IF(C76&lt;&gt;"",C76,_xlfn.TEXTAFTER(A76,"https://doi.org/")),
SUBSTITUTE(
SUBSTITUTE(
SUBSTITUTE(
SUBSTITUTE(
_xlpm.doi,
"/","%2F"),
":","%3A"),
"&lt;","%3C"),
"&gt;","%3E")
)</f>
        <v>Verhandlungen%3A85%3A200-240</v>
      </c>
      <c r="J76" s="10" t="str">
        <f>TRIM(_xlfn.TEXTJOIN("_",FALSE(),H76,(SUBSTITUTE(SUBSTITUTE(D76," ",""), "_", ""))))</f>
        <v>Brodmann__1913_Tabelle1</v>
      </c>
      <c r="K76" s="10" t="str">
        <f>I76 &amp; "_" &amp; SUBSTITUTE(SUBSTITUTE(SUBSTITUTE(D76,CHAR(160),"")," ",""),"_","")</f>
        <v>Verhandlungen%3A85%3A200-240_Tabelle1</v>
      </c>
      <c r="L76" s="10" t="str">
        <f t="array" ref="L76">IFERROR(INDEX(AUTO_Public_TSV_FileList!$A$1:$A$1000,MATCH(TRUE(),EXACT(K76,IFERROR(_xlfn.TEXTBEFORE(AUTO_Public_TSV_FileList!$A$1:$A$1000,".tsv"),"")),0)),"notfound")</f>
        <v>notfound</v>
      </c>
      <c r="M76" s="13"/>
      <c r="N76" s="13"/>
      <c r="O76" s="13" t="inlineStr">
        <is>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is>
      </c>
      <c r="P76" s="13" t="inlineStr">
        <is>
          <t>FINISHED</t>
        </is>
      </c>
      <c r="Q76" s="13"/>
      <c r="R76" s="13"/>
      <c r="S76" s="13"/>
      <c r="T76" s="13"/>
      <c r="U76" s="13"/>
      <c r="V76" s="13"/>
      <c r="W76" s="1" t="inlineStr">
        <is>
          <t>Mammals (various)</t>
        </is>
      </c>
      <c r="X76" s="1" t="inlineStr">
        <is>
          <t>cortical surface area</t>
        </is>
      </c>
      <c r="Y76" s="13"/>
      <c r="Z76" s="13"/>
      <c r="AA76" s="13"/>
      <c r="AB76" s="1" t="inlineStr">
        <is>
          <t>cortical surface area</t>
        </is>
      </c>
      <c r="AC76" s="13"/>
      <c r="AD76" s="13"/>
      <c r="AE76" s="1" t="inlineStr">
        <is>
          <t>primary</t>
        </is>
      </c>
      <c r="AF76" s="1"/>
      <c r="AG76" s="13"/>
    </row>
    <row r="77" ht="17" customHeight="1">
      <c r="A77" s="1" t="inlineStr">
        <is>
          <t>Burger, J. R., George, M. A., Leadbetter, C., &amp; Shaikh, F. (2019). The allometry of brain size in mammals. J Mammal, 100(2), 276-283. https://doi.org/10.1093/jmammal/gyz043</t>
        </is>
      </c>
      <c r="D77" s="1" t="inlineStr">
        <is>
          <t>Supplementary Data SD1</t>
        </is>
      </c>
      <c r="E77" s="10" t="str">
        <f>SUBSTITUTE(SUBSTITUTE(_xlfn.TEXTBEFORE(A77,","), "-", ""), " ", "")</f>
        <v>Burger</v>
      </c>
      <c r="F77" s="10"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10" t="str">
        <f>_xlfn.TEXTBEFORE(_xlfn.TEXTAFTER(A77, "("), ")")</f>
        <v>2019</v>
      </c>
      <c r="H77" s="10" t="str">
        <f>E77 &amp; IF(F77&lt;&gt;"", "_" &amp; SUBSTITUTE(F77," ",""), "_") &amp; IF(G77&lt;&gt;"", "_" &amp; G77, "_") &amp; IF(B77&lt;&gt;"", "_" &amp; B77, "")</f>
        <v>Burger_etal_2019</v>
      </c>
      <c r="I77" s="10" t="str">
        <f>_xlfn.LET(
_xlpm.doi,IF(C77&lt;&gt;"",C77,_xlfn.TEXTAFTER(A77,"https://doi.org/")),
SUBSTITUTE(
SUBSTITUTE(
SUBSTITUTE(
SUBSTITUTE(
_xlpm.doi,
"/","%2F"),
":","%3A"),
"&lt;","%3C"),
"&gt;","%3E")
)</f>
        <v>10.1093%2Fjmammal%2Fgyz043</v>
      </c>
      <c r="J77" s="10" t="str">
        <f>TRIM(_xlfn.TEXTJOIN("_",FALSE(),H77,(SUBSTITUTE(SUBSTITUTE(D77," ",""), "_", ""))))</f>
        <v>Burger_etal_2019_SupplementaryDataSD1</v>
      </c>
      <c r="K77" s="10" t="str">
        <f>I77 &amp; "_" &amp; SUBSTITUTE(SUBSTITUTE(SUBSTITUTE(D77,CHAR(160),"")," ",""),"_","")</f>
        <v>10.1093%2Fjmammal%2Fgyz043_SupplementaryDataSD1</v>
      </c>
      <c r="L77" s="10" t="str">
        <f t="array" ref="L77">IFERROR(INDEX(AUTO_Public_TSV_FileList!$A$1:$A$1000,MATCH(TRUE(),EXACT(K77,IFERROR(_xlfn.TEXTBEFORE(AUTO_Public_TSV_FileList!$A$1:$A$1000,".tsv"),"")),0)),"notfound")</f>
        <v>10.1093%2Fjmammal%2Fgyz043_SupplementaryDataSD1.tsv</v>
      </c>
      <c r="M77" s="1" t="inlineStr">
        <is>
          <t>Supplementary Data SD2</t>
        </is>
      </c>
      <c r="N77" s="1" t="inlineStr">
        <is>
          <t>table</t>
        </is>
      </c>
      <c r="O77" s="13"/>
      <c r="P77" s="1" t="inlineStr">
        <is>
          <t>FINISHED</t>
        </is>
      </c>
      <c r="Q77" s="1" t="inlineStr">
        <is>
          <t>gyz043_suppl_Supplement_Data.csv</t>
        </is>
      </c>
      <c r="R77" s="13"/>
      <c r="S77" s="13"/>
      <c r="T77" s="13"/>
      <c r="U77" s="13"/>
      <c r="V77" s="1"/>
      <c r="W77" s="1" t="inlineStr">
        <is>
          <t>Mammals</t>
        </is>
      </c>
      <c r="X77" s="1" t="inlineStr">
        <is>
          <t>brain and body size</t>
        </is>
      </c>
      <c r="Y77" s="13"/>
      <c r="Z77" s="13"/>
      <c r="AA77" s="13"/>
      <c r="AB77" s="1" t="inlineStr">
        <is>
          <t>brain &amp; body mass</t>
        </is>
      </c>
      <c r="AC77" s="13"/>
      <c r="AD77" s="13"/>
      <c r="AE77" s="1" t="inlineStr">
        <is>
          <t>secondary</t>
        </is>
      </c>
      <c r="AF77" s="1"/>
      <c r="AG77" s="1" t="inlineStr">
        <is>
          <t>derived relative brain size data are problematic</t>
        </is>
      </c>
    </row>
    <row r="78" ht="17" customHeight="1">
      <c r="A78" s="1" t="inlineStr">
        <is>
          <t>Burish, M. J., Peebles, J. K., Baldwin, M. K., Tavares, L., Kaas, J. H., &amp; Herculano-Houzel, S. (2010). Cellular scaling rules for primate spinal cords. Brain Behav Evol, 76(1), 45-59. https://doi.org/10.1159/000319019</t>
        </is>
      </c>
      <c r="B78" s="18"/>
      <c r="D78" s="1" t="inlineStr">
        <is>
          <t>Supplementary Table 1</t>
        </is>
      </c>
      <c r="E78" s="10" t="str">
        <f>SUBSTITUTE(SUBSTITUTE(_xlfn.TEXTBEFORE(A78,","), "-", ""), " ", "")</f>
        <v>Burish</v>
      </c>
      <c r="F78" s="10"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10" t="str">
        <f>_xlfn.TEXTBEFORE(_xlfn.TEXTAFTER(A78, "("), ")")</f>
        <v>2010</v>
      </c>
      <c r="H78" s="10" t="str">
        <f>E78 &amp; IF(F78&lt;&gt;"", "_" &amp; SUBSTITUTE(F78," ",""), "_") &amp; IF(G78&lt;&gt;"", "_" &amp; G78, "_") &amp; IF(B78&lt;&gt;"", "_" &amp; B78, "")</f>
        <v>Burish_etal_2010</v>
      </c>
      <c r="I78" s="10" t="str">
        <f>_xlfn.LET(
_xlpm.doi,IF(C78&lt;&gt;"",C78,_xlfn.TEXTAFTER(A78,"https://doi.org/")),
SUBSTITUTE(
SUBSTITUTE(
SUBSTITUTE(
SUBSTITUTE(
_xlpm.doi,
"/","%2F"),
":","%3A"),
"&lt;","%3C"),
"&gt;","%3E")
)</f>
        <v>10.1159%2F000319019</v>
      </c>
      <c r="J78" s="10" t="str">
        <f>TRIM(_xlfn.TEXTJOIN("_",FALSE(),H78,(SUBSTITUTE(SUBSTITUTE(D78," ",""), "_", ""))))</f>
        <v>Burish_etal_2010_SupplementaryTable1</v>
      </c>
      <c r="K78" s="10" t="str">
        <f>I78 &amp; "_" &amp; SUBSTITUTE(SUBSTITUTE(SUBSTITUTE(D78,CHAR(160),"")," ",""),"_","")</f>
        <v>10.1159%2F000319019_SupplementaryTable1</v>
      </c>
      <c r="L78" s="10" t="str">
        <f t="array" ref="L78">IFERROR(INDEX(AUTO_Public_TSV_FileList!$A$1:$A$1000,MATCH(TRUE(),EXACT(K78,IFERROR(_xlfn.TEXTBEFORE(AUTO_Public_TSV_FileList!$A$1:$A$1000,".tsv"),"")),0)),"notfound")</f>
        <v>10.1159%2F000319019_SupplementaryTable1.tsv</v>
      </c>
      <c r="M78" s="1" t="inlineStr">
        <is>
          <t>Supplementary Table 1: Dataset of individual spinal cord measurements</t>
        </is>
      </c>
      <c r="N78" s="13"/>
      <c r="O78" s="13"/>
      <c r="P78" s="1" t="inlineStr">
        <is>
          <t>FINISHED</t>
        </is>
      </c>
      <c r="Q78" s="1"/>
      <c r="R78" s="13"/>
      <c r="S78" s="13"/>
      <c r="T78" s="13"/>
      <c r="U78" s="13"/>
      <c r="V78" s="1"/>
      <c r="W78" s="13" t="inlineStr">
        <is>
          <t>primates and tree shrew</t>
        </is>
      </c>
      <c r="X78" s="1" t="inlineStr">
        <is>
          <t>number spinal cord neurons</t>
        </is>
      </c>
      <c r="Y78" s="13"/>
      <c r="Z78" s="13"/>
      <c r="AA78" s="1" t="inlineStr">
        <is>
          <t>isotropic fractionator</t>
        </is>
      </c>
      <c r="AB78" s="1"/>
      <c r="AC78" s="1" t="inlineStr">
        <is>
          <t>HH</t>
        </is>
      </c>
      <c r="AD78" s="1" t="inlineStr">
        <is>
          <t>HH</t>
        </is>
      </c>
      <c r="AE78" s="1"/>
      <c r="AF78" s="1"/>
      <c r="AG78" s="13"/>
    </row>
    <row r="79" ht="17" customHeight="1">
      <c r="A79" s="1" t="inlineStr">
        <is>
          <t>Burish, M. J., Peebles, J. K., Baldwin, M. K., Tavares, L., Kaas, J. H., &amp; Herculano-Houzel, S. (2010). Cellular scaling rules for primate spinal cords. Brain Behav Evol, 76(1), 45-59. https://doi.org/10.1159/000319019</t>
        </is>
      </c>
      <c r="B79" s="18"/>
      <c r="D79" s="1" t="inlineStr">
        <is>
          <t>Table 1</t>
        </is>
      </c>
      <c r="E79" s="10" t="str">
        <f>SUBSTITUTE(SUBSTITUTE(_xlfn.TEXTBEFORE(A79,","), "-", ""), " ", "")</f>
        <v>Burish</v>
      </c>
      <c r="F79" s="10"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10" t="str">
        <f>_xlfn.TEXTBEFORE(_xlfn.TEXTAFTER(A79, "("), ")")</f>
        <v>2010</v>
      </c>
      <c r="H79" s="10" t="str">
        <f>E79 &amp; IF(F79&lt;&gt;"", "_" &amp; SUBSTITUTE(F79," ",""), "_") &amp; IF(G79&lt;&gt;"", "_" &amp; G79, "_") &amp; IF(B79&lt;&gt;"", "_" &amp; B79, "")</f>
        <v>Burish_etal_2010</v>
      </c>
      <c r="I79" s="10" t="str">
        <f>_xlfn.LET(
_xlpm.doi,IF(C79&lt;&gt;"",C79,_xlfn.TEXTAFTER(A79,"https://doi.org/")),
SUBSTITUTE(
SUBSTITUTE(
SUBSTITUTE(
SUBSTITUTE(
_xlpm.doi,
"/","%2F"),
":","%3A"),
"&lt;","%3C"),
"&gt;","%3E")
)</f>
        <v>10.1159%2F000319019</v>
      </c>
      <c r="J79" s="10" t="str">
        <f>TRIM(_xlfn.TEXTJOIN("_",FALSE(),H79,(SUBSTITUTE(SUBSTITUTE(D79," ",""), "_", ""))))</f>
        <v>Burish_etal_2010_Table1</v>
      </c>
      <c r="K79" s="10" t="str">
        <f>I79 &amp; "_" &amp; SUBSTITUTE(SUBSTITUTE(SUBSTITUTE(D79,CHAR(160),"")," ",""),"_","")</f>
        <v>10.1159%2F000319019_Table1</v>
      </c>
      <c r="L79" s="10" t="str">
        <f t="array" ref="L79">IFERROR(INDEX(AUTO_Public_TSV_FileList!$A$1:$A$1000,MATCH(TRUE(),EXACT(K79,IFERROR(_xlfn.TEXTBEFORE(AUTO_Public_TSV_FileList!$A$1:$A$1000,".tsv"),"")),0)),"notfound")</f>
        <v>10.1159%2F000319019_Table1.tsv</v>
      </c>
      <c r="M79" s="1" t="inlineStr">
        <is>
          <t>Table 1. Cellular composition of the spinal cord</t>
        </is>
      </c>
      <c r="N79" s="1" t="inlineStr">
        <is>
          <t>table</t>
        </is>
      </c>
      <c r="O79" s="13"/>
      <c r="P79" s="1" t="inlineStr">
        <is>
          <t>FINISHED</t>
        </is>
      </c>
      <c r="Q79" s="1"/>
      <c r="R79" s="1" t="inlineStr">
        <is>
          <t>https://doi.org/10.1159/000319019</t>
        </is>
      </c>
      <c r="S79" s="1" t="inlineStr">
        <is>
          <t>species-name-error: species-name typo corrected from paper text (in .R script).</t>
        </is>
      </c>
      <c r="T79" s="13"/>
      <c r="U79" s="13"/>
      <c r="V79" s="13"/>
      <c r="W79" s="1" t="inlineStr">
        <is>
          <t>primates and tree shrew</t>
        </is>
      </c>
      <c r="X79" s="1" t="inlineStr">
        <is>
          <t>number spinal cord neurons</t>
        </is>
      </c>
      <c r="Y79" s="13"/>
      <c r="Z79" s="13"/>
      <c r="AA79" s="1" t="inlineStr">
        <is>
          <t>isotropic fractionator</t>
        </is>
      </c>
      <c r="AB79" s="1"/>
      <c r="AC79" s="1" t="inlineStr">
        <is>
          <t>HH</t>
        </is>
      </c>
      <c r="AD79" s="1" t="inlineStr">
        <is>
          <t>HH</t>
        </is>
      </c>
      <c r="AE79" s="1"/>
      <c r="AF79" s="1"/>
      <c r="AG79" s="13"/>
    </row>
    <row r="80" ht="17" customHeight="1">
      <c r="A80" s="1" t="inlineStr">
        <is>
          <t>Bush, E. C., &amp; Allman, J. M. (2003). The scaling of white matter to gray matter in cerebellum and neocortex. Brain Behav Evol, 61(1), 1-5. https://doi.org/10.1159/000068880</t>
        </is>
      </c>
      <c r="B80" s="18"/>
      <c r="D80" s="1" t="inlineStr">
        <is>
          <t>Table 1</t>
        </is>
      </c>
      <c r="E80" s="10" t="str">
        <f>SUBSTITUTE(SUBSTITUTE(_xlfn.TEXTBEFORE(A80,","), "-", ""), " ", "")</f>
        <v>Bush</v>
      </c>
      <c r="F80" s="10"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0" s="10" t="str">
        <f>_xlfn.TEXTBEFORE(_xlfn.TEXTAFTER(A80, "("), ")")</f>
        <v>2003</v>
      </c>
      <c r="H80" s="10" t="str">
        <f>E80 &amp; IF(F80&lt;&gt;"", "_" &amp; SUBSTITUTE(F80," ",""), "_") &amp; IF(G80&lt;&gt;"", "_" &amp; G80, "_") &amp; IF(B80&lt;&gt;"", "_" &amp; B80, "")</f>
        <v>Bush__2003</v>
      </c>
      <c r="I80" s="10" t="str">
        <f>_xlfn.LET(
_xlpm.doi,IF(C80&lt;&gt;"",C80,_xlfn.TEXTAFTER(A80,"https://doi.org/")),
SUBSTITUTE(
SUBSTITUTE(
SUBSTITUTE(
SUBSTITUTE(
_xlpm.doi,
"/","%2F"),
":","%3A"),
"&lt;","%3C"),
"&gt;","%3E")
)</f>
        <v>10.1159%2F000068880</v>
      </c>
      <c r="J80" s="10" t="str">
        <f>TRIM(_xlfn.TEXTJOIN("_",FALSE(),H80,(SUBSTITUTE(SUBSTITUTE(D80," ",""), "_", ""))))</f>
        <v>Bush__2003_Table1</v>
      </c>
      <c r="K80" s="10" t="str">
        <f>I80 &amp; "_" &amp; SUBSTITUTE(SUBSTITUTE(SUBSTITUTE(D80,CHAR(160),"")," ",""),"_","")</f>
        <v>10.1159%2F000068880_Table1</v>
      </c>
      <c r="L80" s="10" t="str">
        <f t="array" ref="L80">IFERROR(INDEX(AUTO_Public_TSV_FileList!$A$1:$A$1000,MATCH(TRUE(),EXACT(K80,IFERROR(_xlfn.TEXTBEFORE(AUTO_Public_TSV_FileList!$A$1:$A$1000,".tsv"),"")),0)),"notfound")</f>
        <v>10.1159%2F000068880_Table1.tsv</v>
      </c>
      <c r="M80" s="1"/>
      <c r="N80" s="13"/>
      <c r="O80" s="13"/>
      <c r="P80" s="1" t="inlineStr">
        <is>
          <t>FINISHED</t>
        </is>
      </c>
      <c r="Q80" s="13"/>
      <c r="R80" s="13"/>
      <c r="S80" s="13"/>
      <c r="T80" s="13"/>
      <c r="U80" s="13"/>
      <c r="V80" s="13"/>
      <c r="W80" s="13"/>
      <c r="X80" s="13"/>
      <c r="Y80" s="13"/>
      <c r="Z80" s="13"/>
      <c r="AA80" s="13"/>
      <c r="AB80" s="13"/>
      <c r="AC80" s="1" t="inlineStr">
        <is>
          <t>Allman</t>
        </is>
      </c>
      <c r="AD80" s="1" t="inlineStr">
        <is>
          <t>AFIP</t>
        </is>
      </c>
      <c r="AE80" s="13"/>
      <c r="AF80" s="13"/>
      <c r="AG80" s="13"/>
    </row>
    <row r="81" ht="17" customHeight="1">
      <c r="A81" s="1" t="inlineStr">
        <is>
          <t>Bush, E. C., &amp; Allman, J. M. (2004). The scaling of frontal cortex in primates and carnivores. Proc Natl Acad Sci U S A, 101(11), 3962-3966. https://doi.org/10.1073/pnas.0305760101</t>
        </is>
      </c>
      <c r="B81" s="15" t="inlineStr">
        <is>
          <t>a</t>
        </is>
      </c>
      <c r="D81" s="1" t="inlineStr">
        <is>
          <t>Table 2</t>
        </is>
      </c>
      <c r="E81" s="10" t="str">
        <f>SUBSTITUTE(SUBSTITUTE(_xlfn.TEXTBEFORE(A81,","), "-", ""), " ", "")</f>
        <v>Bush</v>
      </c>
      <c r="F81" s="10"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1" s="10" t="str">
        <f>_xlfn.TEXTBEFORE(_xlfn.TEXTAFTER(A81, "("), ")")</f>
        <v>2004</v>
      </c>
      <c r="H81" s="10" t="str">
        <f>E81 &amp; IF(F81&lt;&gt;"", "_" &amp; SUBSTITUTE(F81," ",""), "_") &amp; IF(G81&lt;&gt;"", "_" &amp; G81, "_") &amp; IF(B81&lt;&gt;"", "_" &amp; B81, "")</f>
        <v>Bush__2004_a</v>
      </c>
      <c r="I81" s="10" t="str">
        <f>_xlfn.LET(
_xlpm.doi,IF(C81&lt;&gt;"",C81,_xlfn.TEXTAFTER(A81,"https://doi.org/")),
SUBSTITUTE(
SUBSTITUTE(
SUBSTITUTE(
SUBSTITUTE(
_xlpm.doi,
"/","%2F"),
":","%3A"),
"&lt;","%3C"),
"&gt;","%3E")
)</f>
        <v>10.1073%2Fpnas.0305760101</v>
      </c>
      <c r="J81" s="10" t="str">
        <f>TRIM(_xlfn.TEXTJOIN("_",FALSE(),H81,(SUBSTITUTE(SUBSTITUTE(D81," ",""), "_", ""))))</f>
        <v>Bush__2004_a_Table2</v>
      </c>
      <c r="K81" s="10" t="str">
        <f>I81 &amp; "_" &amp; SUBSTITUTE(SUBSTITUTE(SUBSTITUTE(D81,CHAR(160),"")," ",""),"_","")</f>
        <v>10.1073%2Fpnas.0305760101_Table2</v>
      </c>
      <c r="L81" s="10" t="str">
        <f t="array" ref="L81">IFERROR(INDEX(AUTO_Public_TSV_FileList!$A$1:$A$1000,MATCH(TRUE(),EXACT(K81,IFERROR(_xlfn.TEXTBEFORE(AUTO_Public_TSV_FileList!$A$1:$A$1000,".tsv"),"")),0)),"notfound")</f>
        <v>10.1073%2Fpnas.0305760101_Table2.tsv</v>
      </c>
      <c r="M81" s="1" t="inlineStr">
        <is>
          <t>Table 1. White matter and gray matter volumes (cm3) for neocortex and cerebellum for 45 mammals</t>
        </is>
      </c>
      <c r="N81" s="1" t="inlineStr">
        <is>
          <t>table</t>
        </is>
      </c>
      <c r="O81" s="13"/>
      <c r="P81" s="1" t="inlineStr">
        <is>
          <t>FINISHED</t>
        </is>
      </c>
      <c r="Q81" s="1"/>
      <c r="R81" s="13"/>
      <c r="S81" s="13"/>
      <c r="T81" s="13"/>
      <c r="U81" s="13"/>
      <c r="V81" s="13"/>
      <c r="W81" s="1" t="inlineStr">
        <is>
          <t>Mammals (incl. primates)</t>
        </is>
      </c>
      <c r="X81" s="1" t="inlineStr">
        <is>
          <t>neocortex &amp; cerebellum grey/white volumes</t>
        </is>
      </c>
      <c r="Y81" s="13"/>
      <c r="Z81" s="1" t="inlineStr">
        <is>
          <t>histological sections</t>
        </is>
      </c>
      <c r="AA81" s="1" t="inlineStr">
        <is>
          <t>volumetry</t>
        </is>
      </c>
      <c r="AB81" s="13"/>
      <c r="AC81" s="1" t="inlineStr">
        <is>
          <t>Allman</t>
        </is>
      </c>
      <c r="AD81" s="1" t="inlineStr">
        <is>
          <t>AFIP</t>
        </is>
      </c>
      <c r="AE81" s="13"/>
      <c r="AF81" s="13"/>
      <c r="AG81" s="13"/>
    </row>
    <row r="82" ht="17" customHeight="1">
      <c r="A82" s="1" t="inlineStr">
        <is>
          <t>Bush, E. C., &amp; Allman, J. M. (2004). Three-dimensional structure and evolution of primate primary visual cortex. Anat Rec (Hoboken), 281(1), 1088-1094. https://doi.org/10.1002/ar.a.20114</t>
        </is>
      </c>
      <c r="B82" s="1" t="inlineStr">
        <is>
          <t>b</t>
        </is>
      </c>
      <c r="C82" s="9"/>
      <c r="D82" s="1" t="inlineStr">
        <is>
          <t>TABLE 1</t>
        </is>
      </c>
      <c r="E82" s="10" t="str">
        <f>SUBSTITUTE(SUBSTITUTE(_xlfn.TEXTBEFORE(A82,","), "-", ""), " ", "")</f>
        <v>Bush</v>
      </c>
      <c r="F82" s="10"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2" s="10" t="str">
        <f>_xlfn.TEXTBEFORE(_xlfn.TEXTAFTER(A82, "("), ")")</f>
        <v>2004</v>
      </c>
      <c r="H82" s="10" t="str">
        <f>E82 &amp; IF(F82&lt;&gt;"", "_" &amp; SUBSTITUTE(F82," ",""), "_") &amp; IF(G82&lt;&gt;"", "_" &amp; G82, "_") &amp; IF(B82&lt;&gt;"", "_" &amp; B82, "")</f>
        <v>Bush__2004_b</v>
      </c>
      <c r="I82" s="10" t="str">
        <f>_xlfn.LET(
_xlpm.doi,IF(C82&lt;&gt;"",C82,_xlfn.TEXTAFTER(A82,"https://doi.org/")),
SUBSTITUTE(
SUBSTITUTE(
SUBSTITUTE(
SUBSTITUTE(
_xlpm.doi,
"/","%2F"),
":","%3A"),
"&lt;","%3C"),
"&gt;","%3E")
)</f>
        <v>10.1002%2Far.a.20114</v>
      </c>
      <c r="J82" s="10" t="str">
        <f>TRIM(_xlfn.TEXTJOIN("_",FALSE(),H82,(SUBSTITUTE(SUBSTITUTE(D82," ",""), "_", ""))))</f>
        <v>Bush__2004_b_TABLE1</v>
      </c>
      <c r="K82" s="10" t="str">
        <f>I82 &amp; "_" &amp; SUBSTITUTE(SUBSTITUTE(SUBSTITUTE(D82,CHAR(160),"")," ",""),"_","")</f>
        <v>10.1002%2Far.a.20114_TABLE1</v>
      </c>
      <c r="L82" s="10" t="str">
        <f t="array" ref="L82">IFERROR(INDEX(AUTO_Public_TSV_FileList!$A$1:$A$1000,MATCH(TRUE(),EXACT(K82,IFERROR(_xlfn.TEXTBEFORE(AUTO_Public_TSV_FileList!$A$1:$A$1000,".tsv"),"")),0)),"notfound")</f>
        <v>10.1002%2Far.a.20114_TABLE1.tsv</v>
      </c>
      <c r="M82" s="1" t="inlineStr">
        <is>
          <t>Table 1. Measurements in V1 and the rest of the brain for a sample of primates</t>
        </is>
      </c>
      <c r="N82" s="1" t="inlineStr">
        <is>
          <t>table</t>
        </is>
      </c>
      <c r="O82" s="13"/>
      <c r="P82" s="1" t="inlineStr">
        <is>
          <t>FINISHED</t>
        </is>
      </c>
      <c r="Q82" s="1"/>
      <c r="R82" s="13"/>
      <c r="S82" s="13"/>
      <c r="T82" s="13"/>
      <c r="U82" s="13"/>
      <c r="V82" s="13"/>
      <c r="W82" s="1" t="inlineStr">
        <is>
          <t>Primates</t>
        </is>
      </c>
      <c r="X82" s="1" t="inlineStr">
        <is>
          <t>V1 grey, LGN, V1 surface, neocortex GM/WM</t>
        </is>
      </c>
      <c r="Y82" s="13"/>
      <c r="Z82" s="1" t="inlineStr">
        <is>
          <t>histological sections</t>
        </is>
      </c>
      <c r="AA82" s="1" t="inlineStr">
        <is>
          <t>volumetry/stereology</t>
        </is>
      </c>
      <c r="AB82" s="13"/>
      <c r="AC82" s="1" t="inlineStr">
        <is>
          <t>Allman</t>
        </is>
      </c>
      <c r="AD82" s="1" t="inlineStr">
        <is>
          <t>AFIP</t>
        </is>
      </c>
      <c r="AE82" s="13"/>
      <c r="AF82" s="13"/>
      <c r="AG82" s="13"/>
    </row>
    <row r="83" ht="17" customHeight="1">
      <c r="A83" s="1" t="inlineStr">
        <is>
          <t>Bush, E. C., &amp; Allman, J. M. (2004). Three-dimensional structure and evolution of primate primary visual cortex. Anat Rec (Hoboken), 281(1), 1088-1094. https://doi.org/10.1002/ar.a.20114</t>
        </is>
      </c>
      <c r="B83" s="15" t="inlineStr">
        <is>
          <t>b</t>
        </is>
      </c>
      <c r="C83" s="18"/>
      <c r="D83" s="1" t="inlineStr">
        <is>
          <t>TABLE 2</t>
        </is>
      </c>
      <c r="E83" s="10" t="str">
        <f>SUBSTITUTE(SUBSTITUTE(_xlfn.TEXTBEFORE(A83,","), "-", ""), " ", "")</f>
        <v>Bush</v>
      </c>
      <c r="F83" s="10"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3" s="10" t="str">
        <f>_xlfn.TEXTBEFORE(_xlfn.TEXTAFTER(A83, "("), ")")</f>
        <v>2004</v>
      </c>
      <c r="H83" s="10" t="str">
        <f>E83 &amp; IF(F83&lt;&gt;"", "_" &amp; SUBSTITUTE(F83," ",""), "_") &amp; IF(G83&lt;&gt;"", "_" &amp; G83, "_") &amp; IF(B83&lt;&gt;"", "_" &amp; B83, "")</f>
        <v>Bush__2004_b</v>
      </c>
      <c r="I83" s="10" t="str">
        <f>_xlfn.LET(
_xlpm.doi,IF(C83&lt;&gt;"",C83,_xlfn.TEXTAFTER(A83,"https://doi.org/")),
SUBSTITUTE(
SUBSTITUTE(
SUBSTITUTE(
SUBSTITUTE(
_xlpm.doi,
"/","%2F"),
":","%3A"),
"&lt;","%3C"),
"&gt;","%3E")
)</f>
        <v>10.1002%2Far.a.20114</v>
      </c>
      <c r="J83" s="10" t="str">
        <f>TRIM(_xlfn.TEXTJOIN("_",FALSE(),H83,(SUBSTITUTE(SUBSTITUTE(D83," ",""), "_", ""))))</f>
        <v>Bush__2004_b_TABLE2</v>
      </c>
      <c r="K83" s="10" t="str">
        <f>I83 &amp; "_" &amp; SUBSTITUTE(SUBSTITUTE(SUBSTITUTE(D83,CHAR(160),"")," ",""),"_","")</f>
        <v>10.1002%2Far.a.20114_TABLE2</v>
      </c>
      <c r="L83" s="10" t="str">
        <f t="array" ref="L83">IFERROR(INDEX(AUTO_Public_TSV_FileList!$A$1:$A$1000,MATCH(TRUE(),EXACT(K83,IFERROR(_xlfn.TEXTBEFORE(AUTO_Public_TSV_FileList!$A$1:$A$1000,".tsv"),"")),0)),"notfound")</f>
        <v>10.1002%2Far.a.20114_TABLE2.tsv</v>
      </c>
      <c r="M83" s="1"/>
      <c r="N83" s="1"/>
      <c r="O83" s="13"/>
      <c r="P83" s="1" t="inlineStr">
        <is>
          <t>FINISHED</t>
        </is>
      </c>
      <c r="Q83" s="1"/>
      <c r="R83" s="13"/>
      <c r="S83" s="13"/>
      <c r="T83" s="13"/>
      <c r="U83" s="13"/>
      <c r="V83" s="13"/>
      <c r="W83" s="1"/>
      <c r="X83" s="1"/>
      <c r="Y83" s="13"/>
      <c r="Z83" s="1"/>
      <c r="AA83" s="1"/>
      <c r="AB83" s="13"/>
      <c r="AC83" s="1"/>
      <c r="AD83" s="1"/>
      <c r="AE83" s="13"/>
      <c r="AF83" s="13"/>
      <c r="AG83" s="13"/>
    </row>
    <row r="84" ht="17" customHeight="1">
      <c r="A84" s="1" t="inlineStr">
        <is>
          <t>Bush, E. C., &amp; Allman, J. M. (2004). Three-dimensional structure and evolution of primate primary visual cortex. Anat Rec (Hoboken), 281(1), 1088-1094. https://doi.org/10.1002/ar.a.20114</t>
        </is>
      </c>
      <c r="B84" s="15" t="inlineStr">
        <is>
          <t>b</t>
        </is>
      </c>
      <c r="D84" s="1" t="inlineStr">
        <is>
          <t>TABLE 3</t>
        </is>
      </c>
      <c r="E84" s="10" t="str">
        <f>SUBSTITUTE(SUBSTITUTE(_xlfn.TEXTBEFORE(A84,","), "-", ""), " ", "")</f>
        <v>Bush</v>
      </c>
      <c r="F84" s="10"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4" s="10" t="str">
        <f>_xlfn.TEXTBEFORE(_xlfn.TEXTAFTER(A84, "("), ")")</f>
        <v>2004</v>
      </c>
      <c r="H84" s="10" t="str">
        <f>E84 &amp; IF(F84&lt;&gt;"", "_" &amp; SUBSTITUTE(F84," ",""), "_") &amp; IF(G84&lt;&gt;"", "_" &amp; G84, "_") &amp; IF(B84&lt;&gt;"", "_" &amp; B84, "")</f>
        <v>Bush__2004_b</v>
      </c>
      <c r="I84" s="10" t="str">
        <f>_xlfn.LET(
_xlpm.doi,IF(C84&lt;&gt;"",C84,_xlfn.TEXTAFTER(A84,"https://doi.org/")),
SUBSTITUTE(
SUBSTITUTE(
SUBSTITUTE(
SUBSTITUTE(
_xlpm.doi,
"/","%2F"),
":","%3A"),
"&lt;","%3C"),
"&gt;","%3E")
)</f>
        <v>10.1002%2Far.a.20114</v>
      </c>
      <c r="J84" s="10" t="str">
        <f>TRIM(_xlfn.TEXTJOIN("_",FALSE(),H84,(SUBSTITUTE(SUBSTITUTE(D84," ",""), "_", ""))))</f>
        <v>Bush__2004_b_TABLE3</v>
      </c>
      <c r="K84" s="10" t="str">
        <f>I84 &amp; "_" &amp; SUBSTITUTE(SUBSTITUTE(SUBSTITUTE(D84,CHAR(160),"")," ",""),"_","")</f>
        <v>10.1002%2Far.a.20114_TABLE3</v>
      </c>
      <c r="L84" s="10" t="str">
        <f t="array" ref="L84">IFERROR(INDEX(AUTO_Public_TSV_FileList!$A$1:$A$1000,MATCH(TRUE(),EXACT(K84,IFERROR(_xlfn.TEXTBEFORE(AUTO_Public_TSV_FileList!$A$1:$A$1000,".tsv"),"")),0)),"notfound")</f>
        <v>10.1002%2Far.a.20114_TABLE3.tsv</v>
      </c>
      <c r="M84" s="1"/>
      <c r="N84" s="1"/>
      <c r="O84" s="13"/>
      <c r="P84" s="1" t="inlineStr">
        <is>
          <t>FINISHED</t>
        </is>
      </c>
      <c r="Q84" s="1"/>
      <c r="R84" s="13"/>
      <c r="S84" s="13"/>
      <c r="T84" s="13"/>
      <c r="U84" s="13"/>
      <c r="V84" s="13"/>
      <c r="W84" s="1"/>
      <c r="X84" s="1"/>
      <c r="Y84" s="13"/>
      <c r="Z84" s="1"/>
      <c r="AA84" s="1"/>
      <c r="AB84" s="13"/>
      <c r="AC84" s="1"/>
      <c r="AD84" s="1"/>
      <c r="AE84" s="13"/>
      <c r="AF84" s="13"/>
      <c r="AG84" s="13"/>
    </row>
    <row r="85" ht="17" customHeight="1">
      <c r="A85" s="1" t="inlineStr">
        <is>
          <t>Butti, C., Sherwood, C. C., Hakeem, A. Y., Allman, J. M., &amp; Hof, P. R. (2009). Total number and volume of Von Economo neurons in the cerebral cortex of cetaceans. J Comp Neurol, 515(2), 243-259. https://doi.org/10.1002/cne.22055</t>
        </is>
      </c>
      <c r="B85" s="15"/>
      <c r="D85" s="1" t="inlineStr">
        <is>
          <t>Table 1</t>
        </is>
      </c>
      <c r="E85" s="10" t="str">
        <f>SUBSTITUTE(SUBSTITUTE(_xlfn.TEXTBEFORE(A85,","), "-", ""), " ", "")</f>
        <v>Butti</v>
      </c>
      <c r="F85" s="10"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10" t="str">
        <f>_xlfn.TEXTBEFORE(_xlfn.TEXTAFTER(A85, "("), ")")</f>
        <v>2009</v>
      </c>
      <c r="H85" s="10" t="str">
        <f>E85 &amp; IF(F85&lt;&gt;"", "_" &amp; SUBSTITUTE(F85," ",""), "_") &amp; IF(G85&lt;&gt;"", "_" &amp; G85, "_") &amp; IF(B85&lt;&gt;"", "_" &amp; B85, "")</f>
        <v>Butti_etal_2009</v>
      </c>
      <c r="I85" s="10" t="str">
        <f>_xlfn.LET(
_xlpm.doi,IF(C85&lt;&gt;"",C85,_xlfn.TEXTAFTER(A85,"https://doi.org/")),
SUBSTITUTE(
SUBSTITUTE(
SUBSTITUTE(
SUBSTITUTE(
_xlpm.doi,
"/","%2F"),
":","%3A"),
"&lt;","%3C"),
"&gt;","%3E")
)</f>
        <v>10.1002%2Fcne.22055</v>
      </c>
      <c r="J85" s="10" t="str">
        <f>TRIM(_xlfn.TEXTJOIN("_",FALSE(),H85,(SUBSTITUTE(SUBSTITUTE(D85," ",""), "_", ""))))</f>
        <v>Butti_etal_2009_Table1</v>
      </c>
      <c r="K85" s="10" t="str">
        <f>I85 &amp; "_" &amp; SUBSTITUTE(SUBSTITUTE(SUBSTITUTE(D85,CHAR(160),"")," ",""),"_","")</f>
        <v>10.1002%2Fcne.22055_Table1</v>
      </c>
      <c r="L85" s="10" t="str">
        <f t="array" ref="L85">IFERROR(INDEX(AUTO_Public_TSV_FileList!$A$1:$A$1000,MATCH(TRUE(),EXACT(K85,IFERROR(_xlfn.TEXTBEFORE(AUTO_Public_TSV_FileList!$A$1:$A$1000,".tsv"),"")),0)),"notfound")</f>
        <v>10.1002%2Fcne.22055_Table1.tsv</v>
      </c>
      <c r="M85" s="1"/>
      <c r="N85" s="1"/>
      <c r="O85" s="13"/>
      <c r="P85" s="1" t="inlineStr">
        <is>
          <t>FINISHED</t>
        </is>
      </c>
      <c r="Q85" s="1"/>
      <c r="R85" s="13"/>
      <c r="S85" s="13"/>
      <c r="T85" s="13"/>
      <c r="U85" s="13"/>
      <c r="V85" s="13"/>
      <c r="W85" s="1"/>
      <c r="X85" s="1"/>
      <c r="Y85" s="13"/>
      <c r="Z85" s="1"/>
      <c r="AA85" s="1"/>
      <c r="AB85" s="13"/>
      <c r="AC85" s="1"/>
      <c r="AD85" s="1"/>
      <c r="AE85" s="13"/>
      <c r="AF85" s="13"/>
      <c r="AG85" s="13"/>
    </row>
    <row r="86" ht="17" customHeight="1">
      <c r="A86" s="1" t="inlineStr">
        <is>
          <t>Butti, C., Sherwood, C. C., Hakeem, A. Y., Allman, J. M., &amp; Hof, P. R. (2009). Total number and volume of Von Economo neurons in the cerebral cortex of cetaceans. J Comp Neurol, 515(2), 243-259. https://doi.org/10.1002/cne.22055</t>
        </is>
      </c>
      <c r="B86" s="15"/>
      <c r="D86" s="1" t="inlineStr">
        <is>
          <t>Table 5</t>
        </is>
      </c>
      <c r="E86" s="10" t="str">
        <f>SUBSTITUTE(SUBSTITUTE(_xlfn.TEXTBEFORE(A86,","), "-", ""), " ", "")</f>
        <v>Butti</v>
      </c>
      <c r="F86" s="10"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10" t="str">
        <f>_xlfn.TEXTBEFORE(_xlfn.TEXTAFTER(A86, "("), ")")</f>
        <v>2009</v>
      </c>
      <c r="H86" s="10" t="str">
        <f>E86 &amp; IF(F86&lt;&gt;"", "_" &amp; SUBSTITUTE(F86," ",""), "_") &amp; IF(G86&lt;&gt;"", "_" &amp; G86, "_") &amp; IF(B86&lt;&gt;"", "_" &amp; B86, "")</f>
        <v>Butti_etal_2009</v>
      </c>
      <c r="I86" s="10" t="str">
        <f>_xlfn.LET(
_xlpm.doi,IF(C86&lt;&gt;"",C86,_xlfn.TEXTAFTER(A86,"https://doi.org/")),
SUBSTITUTE(
SUBSTITUTE(
SUBSTITUTE(
SUBSTITUTE(
_xlpm.doi,
"/","%2F"),
":","%3A"),
"&lt;","%3C"),
"&gt;","%3E")
)</f>
        <v>10.1002%2Fcne.22055</v>
      </c>
      <c r="J86" s="10" t="str">
        <f>TRIM(_xlfn.TEXTJOIN("_",FALSE(),H86,(SUBSTITUTE(SUBSTITUTE(D86," ",""), "_", ""))))</f>
        <v>Butti_etal_2009_Table5</v>
      </c>
      <c r="K86" s="10" t="str">
        <f>I86 &amp; "_" &amp; SUBSTITUTE(SUBSTITUTE(SUBSTITUTE(D86,CHAR(160),"")," ",""),"_","")</f>
        <v>10.1002%2Fcne.22055_Table5</v>
      </c>
      <c r="L86" s="10" t="str">
        <f t="array" ref="L86">IFERROR(INDEX(AUTO_Public_TSV_FileList!$A$1:$A$1000,MATCH(TRUE(),EXACT(K86,IFERROR(_xlfn.TEXTBEFORE(AUTO_Public_TSV_FileList!$A$1:$A$1000,".tsv"),"")),0)),"notfound")</f>
        <v>10.1002%2Fcne.22055_Table5.tsv</v>
      </c>
      <c r="M86" s="1"/>
      <c r="N86" s="1"/>
      <c r="O86" s="13"/>
      <c r="P86" s="1" t="inlineStr">
        <is>
          <t>FINISHED</t>
        </is>
      </c>
      <c r="Q86" s="1"/>
      <c r="R86" s="13"/>
      <c r="S86" s="13"/>
      <c r="T86" s="13"/>
      <c r="U86" s="13"/>
      <c r="V86" s="13"/>
      <c r="W86" s="1"/>
      <c r="X86" s="1"/>
      <c r="Y86" s="13"/>
      <c r="Z86" s="1"/>
      <c r="AA86" s="1"/>
      <c r="AB86" s="13"/>
      <c r="AC86" s="1"/>
      <c r="AD86" s="1"/>
      <c r="AE86" s="13"/>
      <c r="AF86" s="13"/>
      <c r="AG86" s="13"/>
    </row>
    <row r="87" ht="17" customHeight="1">
      <c r="A87" s="1" t="inlineStr">
        <is>
          <t>Butti, C., Sherwood, C. C., Hakeem, A. Y., Allman, J. M., &amp; Hof, P. R. (2009). Total number and volume of Von Economo neurons in the cerebral cortex of cetaceans. J Comp Neurol, 515(2), 243-259. https://doi.org/10.1002/cne.22055</t>
        </is>
      </c>
      <c r="B87" s="15"/>
      <c r="D87" s="1" t="inlineStr">
        <is>
          <t>Table 6</t>
        </is>
      </c>
      <c r="E87" s="10" t="str">
        <f>SUBSTITUTE(SUBSTITUTE(_xlfn.TEXTBEFORE(A87,","), "-", ""), " ", "")</f>
        <v>Butti</v>
      </c>
      <c r="F87" s="10"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10" t="str">
        <f>_xlfn.TEXTBEFORE(_xlfn.TEXTAFTER(A87, "("), ")")</f>
        <v>2009</v>
      </c>
      <c r="H87" s="10" t="str">
        <f>E87 &amp; IF(F87&lt;&gt;"", "_" &amp; SUBSTITUTE(F87," ",""), "_") &amp; IF(G87&lt;&gt;"", "_" &amp; G87, "_") &amp; IF(B87&lt;&gt;"", "_" &amp; B87, "")</f>
        <v>Butti_etal_2009</v>
      </c>
      <c r="I87" s="10" t="str">
        <f>_xlfn.LET(
_xlpm.doi,IF(C87&lt;&gt;"",C87,_xlfn.TEXTAFTER(A87,"https://doi.org/")),
SUBSTITUTE(
SUBSTITUTE(
SUBSTITUTE(
SUBSTITUTE(
_xlpm.doi,
"/","%2F"),
":","%3A"),
"&lt;","%3C"),
"&gt;","%3E")
)</f>
        <v>10.1002%2Fcne.22055</v>
      </c>
      <c r="J87" s="10" t="str">
        <f>TRIM(_xlfn.TEXTJOIN("_",FALSE(),H87,(SUBSTITUTE(SUBSTITUTE(D87," ",""), "_", ""))))</f>
        <v>Butti_etal_2009_Table6</v>
      </c>
      <c r="K87" s="10" t="str">
        <f>I87 &amp; "_" &amp; SUBSTITUTE(SUBSTITUTE(SUBSTITUTE(D87,CHAR(160),"")," ",""),"_","")</f>
        <v>10.1002%2Fcne.22055_Table6</v>
      </c>
      <c r="L87" s="10" t="str">
        <f t="array" ref="L87">IFERROR(INDEX(AUTO_Public_TSV_FileList!$A$1:$A$1000,MATCH(TRUE(),EXACT(K87,IFERROR(_xlfn.TEXTBEFORE(AUTO_Public_TSV_FileList!$A$1:$A$1000,".tsv"),"")),0)),"notfound")</f>
        <v>10.1002%2Fcne.22055_Table6.tsv</v>
      </c>
      <c r="M87" s="1"/>
      <c r="N87" s="1"/>
      <c r="O87" s="13"/>
      <c r="P87" s="1" t="inlineStr">
        <is>
          <t>FINISHED</t>
        </is>
      </c>
      <c r="Q87" s="1"/>
      <c r="R87" s="13"/>
      <c r="S87" s="13"/>
      <c r="T87" s="13"/>
      <c r="U87" s="13"/>
      <c r="V87" s="13"/>
      <c r="W87" s="1"/>
      <c r="X87" s="1"/>
      <c r="Y87" s="13"/>
      <c r="Z87" s="1"/>
      <c r="AA87" s="1"/>
      <c r="AB87" s="13"/>
      <c r="AC87" s="1"/>
      <c r="AD87" s="1"/>
      <c r="AE87" s="13"/>
      <c r="AF87" s="13"/>
      <c r="AG87" s="13"/>
    </row>
    <row r="88" ht="17" customHeight="1">
      <c r="A88" s="13" t="inlineStr">
        <is>
          <t>Campos, G. B., &amp; Welker, W. I. (1976). Comparisons between brains of a large and a small hystricomorph rodent: capybara, Hydrochoerus and guinea pig, Cavia; neocortical projection regions and measurements of brain subdivisions. Brain Behav Evol, 13(4), 243-266. https://doi.org/10.1159/000123814</t>
        </is>
      </c>
      <c r="D88" s="13" t="inlineStr">
        <is>
          <t>Table 1</t>
        </is>
      </c>
      <c r="E88" s="11" t="str">
        <f>SUBSTITUTE(SUBSTITUTE(_xlfn.TEXTBEFORE(A88,","), "-", ""), " ", "")</f>
        <v>Campos</v>
      </c>
      <c r="F88" s="10"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8" s="10" t="str">
        <f>_xlfn.TEXTBEFORE(_xlfn.TEXTAFTER(A88, "("), ")")</f>
        <v>1976</v>
      </c>
      <c r="H88" s="11" t="str">
        <f>E88 &amp; IF(F88&lt;&gt;"", "_" &amp; SUBSTITUTE(F88," ",""), "_") &amp; IF(G88&lt;&gt;"", "_" &amp; G88, "_") &amp; IF(B88&lt;&gt;"", "_" &amp; B88, "")</f>
        <v>Campos__1976</v>
      </c>
      <c r="I88" s="11" t="str">
        <f>_xlfn.LET(_xlpm.doi,IF(C88&lt;&gt;"",C88,_xlfn.TEXTAFTER(A88,"https://doi.org/")),SUBSTITUTE(SUBSTITUTE(SUBSTITUTE(SUBSTITUTE(_xlpm.doi,"/","%2F"),":","%3A"),"&lt;","%3C"),"&gt;","%3E"))</f>
        <v>10.1159%2F000123814</v>
      </c>
      <c r="J88" s="11" t="str">
        <f>TRIM(_xlfn.TEXTJOIN("_",FALSE(),H88,(SUBSTITUTE(SUBSTITUTE(D88," ",""), "_", ""))))</f>
        <v>Campos__1976_Table1</v>
      </c>
      <c r="K88" s="11" t="str">
        <f>I88 &amp; "_" &amp; SUBSTITUTE(SUBSTITUTE(SUBSTITUTE(D88,CHAR(160),"")," ",""),"_","")</f>
        <v>10.1159%2F000123814_Table1</v>
      </c>
      <c r="L88" s="10" t="str">
        <f t="array" ref="L88">IFERROR(INDEX(AUTO_Public_TSV_FileList!$A$1:$A$1000,MATCH(TRUE(),EXACT(K88,IFERROR(_xlfn.TEXTBEFORE(AUTO_Public_TSV_FileList!$A$1:$A$1000,".tsv"),"")),0)),"notfound")</f>
        <v>10.1159%2F000123814_Table1.tsv</v>
      </c>
      <c r="M88" s="13" t="inlineStr">
        <is>
          <t>Table 1. Quantitative comparisons of brains of capybara and guinea pig</t>
        </is>
      </c>
      <c r="N88" s="13" t="inlineStr">
        <is>
          <t>table</t>
        </is>
      </c>
      <c r="O88" s="13"/>
      <c r="P88" s="13" t="inlineStr">
        <is>
          <t>FINISHED</t>
        </is>
      </c>
      <c r="Q88" s="13"/>
      <c r="R88" s="13" t="inlineStr">
        <is>
          <t>https://doi.org/10.1159/000123814</t>
        </is>
      </c>
      <c r="S88" s="13"/>
      <c r="T88" s="13" t="inlineStr">
        <is>
          <t>mixed-datatype table; n=1 per species; derived multiplication-factor rows</t>
        </is>
      </c>
      <c r="U88" s="13"/>
      <c r="V88" s="13" t="inlineStr">
        <is>
          <t>brain subdivisions / cortex / cell counts</t>
        </is>
      </c>
      <c r="W88" s="13" t="inlineStr">
        <is>
          <t>Rodents</t>
        </is>
      </c>
      <c r="X88" s="13" t="inlineStr">
        <is>
          <t>regional volumes; cortical morphometry; cell density and number</t>
        </is>
      </c>
      <c r="Y88" s="13" t="inlineStr">
        <is>
          <t>prosencephalon; neocortex; white matter; thalamus; caudate; globus pallidus; basal forebrain; hippocampus; hypothalamus; cortical surface/fissures/thickness; cell density and number</t>
        </is>
      </c>
      <c r="Z88" s="13"/>
      <c r="AA88" s="13" t="inlineStr">
        <is>
          <t>histological volumetry; cortical surface measurement; cell-density sampling and counts</t>
        </is>
      </c>
      <c r="AB88" s="13" t="inlineStr">
        <is>
          <t>volume + area + thickness + cell density/count</t>
        </is>
      </c>
      <c r="AC88" s="13" t="inlineStr">
        <is>
          <t>Welker/Wisconsin</t>
        </is>
      </c>
      <c r="AD88" s="13" t="inlineStr">
        <is>
          <t>University of Wisconsin Comparative Mammalian Brain Collection</t>
        </is>
      </c>
      <c r="AE88" s="13" t="inlineStr">
        <is>
          <t>primary</t>
        </is>
      </c>
      <c r="AF88" s="13"/>
      <c r="AG88" s="13"/>
    </row>
    <row r="89" ht="17" customHeight="1">
      <c r="A89" s="13" t="inlineStr">
        <is>
          <t>Campos, G. B., &amp; Welker, W. I. (1976). Comparisons between brains of a large and a small hystricomorph rodent: capybara, Hydrochoerus and guinea pig, Cavia; neocortical projection regions and measurements of brain subdivisions. Brain Behav Evol, 13(4), 243-266. https://doi.org/10.1159/000123814</t>
        </is>
      </c>
      <c r="D89" s="9" t="inlineStr">
        <is>
          <t>Results Text</t>
        </is>
      </c>
      <c r="E89" s="2" t="str">
        <f>SUBSTITUTE(SUBSTITUTE(_xlfn.TEXTBEFORE(A89,","), "-", ""), " ", "")</f>
        <v>Campos</v>
      </c>
      <c r="F89" s="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9" s="7" t="str">
        <f>_xlfn.TEXTBEFORE(_xlfn.TEXTAFTER(A89, "("), ")")</f>
        <v>1976</v>
      </c>
      <c r="H89" s="2" t="str">
        <f>E89 &amp; IF(F89&lt;&gt;"", "_" &amp; SUBSTITUTE(F89," ",""), "_") &amp; IF(G89&lt;&gt;"", "_" &amp; G89, "_") &amp; IF(B89&lt;&gt;"", "_" &amp; B89, "")</f>
        <v>Campos__1976</v>
      </c>
      <c r="I89" s="2" t="str">
        <f>_xlfn.LET(_xlpm.doi,IF(C89&lt;&gt;"",C89,_xlfn.TEXTAFTER(A89,"https://doi.org/")),SUBSTITUTE(SUBSTITUTE(SUBSTITUTE(SUBSTITUTE(_xlpm.doi,"/","%2F"),":","%3A"),"&lt;","%3C"),"&gt;","%3E"))</f>
        <v>10.1159%2F000123814</v>
      </c>
      <c r="J89" s="2" t="str">
        <f>TRIM(_xlfn.TEXTJOIN("_",FALSE(),H89,(SUBSTITUTE(SUBSTITUTE(D89," ",""), "_", ""))))</f>
        <v>Campos__1976_ResultsText</v>
      </c>
      <c r="K89" s="7" t="str">
        <f>I89 &amp; "_" &amp; SUBSTITUTE(SUBSTITUTE(SUBSTITUTE(D89,CHAR(160),"")," ",""),"_","")</f>
        <v>10.1159%2F000123814_ResultsText</v>
      </c>
      <c r="L89" s="7" t="str">
        <f t="array" ref="L89">IFERROR(INDEX(AUTO_Public_TSV_FileList!$A$1:$A$1000,MATCH(TRUE(),EXACT(K89,IFERROR(_xlfn.TEXTBEFORE(AUTO_Public_TSV_FileList!$A$1:$A$1000,".tsv"),"")),0)),"notfound")</f>
        <v>10.1159%2F000123814_ResultsText.tsv</v>
      </c>
      <c r="M89" s="9"/>
      <c r="N89" s="9" t="inlineStr">
        <is>
          <t>PDF; constructed snapshot from Results text</t>
        </is>
      </c>
      <c r="O89" s="9" t="inlineStr">
        <is>
          <t>Approximate shared percentage reported for mapped brains of both capybara and guinea pig; no per-animal values.</t>
        </is>
      </c>
      <c r="P89" s="9" t="inlineStr">
        <is>
          <t>PREPARED (CSV built; owner registry paste / public TSV pending)</t>
        </is>
      </c>
      <c r="Q89" s="9" t="inlineStr">
        <is>
          <t>Campos_Welker_1976_ResultsText_snapshot.csv</t>
        </is>
      </c>
      <c r="R89" s="9" t="inlineStr">
        <is>
          <t>https://doi.org/10.1159/000123814</t>
        </is>
      </c>
      <c r="S89" s="9" t="inlineStr">
        <is>
          <t>Modern accepted species names mapped while published common labels are retained.</t>
        </is>
      </c>
      <c r="T89" s="9" t="inlineStr">
        <is>
          <t>Approximate statement; source does not provide per-species or per-animal estimates.</t>
        </is>
      </c>
      <c r="U89" s="9"/>
      <c r="V89" s="9" t="inlineStr">
        <is>
          <t>somatosensory cortical representation</t>
        </is>
      </c>
      <c r="W89" s="9" t="inlineStr">
        <is>
          <t>Hydrochoerus hydrochaeris; Cavia porcellus</t>
        </is>
      </c>
      <c r="X89" s="9" t="inlineStr">
        <is>
          <t>head representation as about 80% of SI surface</t>
        </is>
      </c>
      <c r="Y89" s="9" t="inlineStr">
        <is>
          <t>common-name provenance</t>
        </is>
      </c>
      <c r="Z89" s="9" t="inlineStr">
        <is>
          <t>electrophysiological cortical mapping</t>
        </is>
      </c>
      <c r="AA89" s="9" t="inlineStr">
        <is>
          <t>surface evoked-potential mapping of SI</t>
        </is>
      </c>
      <c r="AB89" s="9" t="inlineStr">
        <is>
          <t>approximate percent</t>
        </is>
      </c>
      <c r="AC89" s="9" t="inlineStr">
        <is>
          <t>Welker/Wisconsin</t>
        </is>
      </c>
      <c r="AD89" s="9"/>
      <c r="AE89" s="9" t="inlineStr">
        <is>
          <t>primary</t>
        </is>
      </c>
      <c r="AF89" s="9"/>
      <c r="AG89" s="9"/>
    </row>
    <row r="90" ht="17" customHeight="1">
      <c r="A90" s="1" t="inlineStr">
        <is>
          <t>Capellini, I., Barton, R. A., McNamara, P., Preston, B. T., &amp; Nunn, C. L. (2008). Phylogenetic analysis of the ecology and evolution of mammalian sleep. Evolution, 62(7), 1764-1776. https://doi.org/10.1111/j.1558-5646.2008.00392.x</t>
        </is>
      </c>
      <c r="D90" s="1" t="inlineStr">
        <is>
          <t>sleep-data_Female</t>
        </is>
      </c>
      <c r="E90" s="10" t="str">
        <f>SUBSTITUTE(SUBSTITUTE(_xlfn.TEXTBEFORE(A90,","), "-", ""), " ", "")</f>
        <v>Capellini</v>
      </c>
      <c r="F90" s="10"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10" t="str">
        <f>_xlfn.TEXTBEFORE(_xlfn.TEXTAFTER(A90, "("), ")")</f>
        <v>2008</v>
      </c>
      <c r="H90" s="10" t="str">
        <f>E90 &amp; IF(F90&lt;&gt;"", "_" &amp; SUBSTITUTE(F90," ",""), "_") &amp; IF(G90&lt;&gt;"", "_" &amp; G90, "_") &amp; IF(B90&lt;&gt;"", "_" &amp; B90, "")</f>
        <v>Capellini_etal_2008</v>
      </c>
      <c r="I90" s="10" t="str">
        <f>_xlfn.LET(
_xlpm.doi,IF(C90&lt;&gt;"",C90,_xlfn.TEXTAFTER(A90,"https://doi.org/")),
SUBSTITUTE(
SUBSTITUTE(
SUBSTITUTE(
SUBSTITUTE(
_xlpm.doi,
"/","%2F"),
":","%3A"),
"&lt;","%3C"),
"&gt;","%3E")
)</f>
        <v>10.1111%2Fj.1558-5646.2008.00392.x</v>
      </c>
      <c r="J90" s="10" t="str">
        <f>TRIM(_xlfn.TEXTJOIN("_",FALSE(),H90,(SUBSTITUTE(SUBSTITUTE(D90," ",""), "_", ""))))</f>
        <v>Capellini_etal_2008_sleep-dataFemale</v>
      </c>
      <c r="K90" s="10" t="str">
        <f>I90 &amp; "_" &amp; SUBSTITUTE(SUBSTITUTE(SUBSTITUTE(D90,CHAR(160),"")," ",""),"_","")</f>
        <v>10.1111%2Fj.1558-5646.2008.00392.x_sleep-dataFemale</v>
      </c>
      <c r="L90" s="10" t="str">
        <f t="array" ref="L90">IFERROR(INDEX(AUTO_Public_TSV_FileList!$A$1:$A$1000,MATCH(TRUE(),EXACT(K90,IFERROR(_xlfn.TEXTBEFORE(AUTO_Public_TSV_FileList!$A$1:$A$1000,".tsv"),"")),0)),"notfound")</f>
        <v>10.1111%2Fj.1558-5646.2008.00392.x_sleep-dataFemale.tsv</v>
      </c>
      <c r="M90" s="13"/>
      <c r="N90" s="1" t="inlineStr">
        <is>
          <t>table</t>
        </is>
      </c>
      <c r="O90" s="1" t="inlineStr">
        <is>
          <t>all data downloaded from database cited in paper with search term Sex = Female</t>
        </is>
      </c>
      <c r="P90" s="1" t="inlineStr">
        <is>
          <t>FINISHED</t>
        </is>
      </c>
      <c r="Q90" s="1" t="inlineStr">
        <is>
          <t>none - digital-native (sleep-data_Female.csv IS the frozen source)</t>
        </is>
      </c>
      <c r="R90" s="13"/>
      <c r="S90" s="13"/>
      <c r="T90" s="13"/>
      <c r="U90" s="13"/>
      <c r="V90" s="13"/>
      <c r="W90" s="1" t="inlineStr">
        <is>
          <t>Mammals</t>
        </is>
      </c>
      <c r="X90" s="1" t="inlineStr">
        <is>
          <t>sleep (total sleep time, REM, NREM)</t>
        </is>
      </c>
      <c r="Y90" s="13"/>
      <c r="Z90" s="13"/>
      <c r="AA90" s="13"/>
      <c r="AB90" s="1" t="inlineStr">
        <is>
          <t>sleep (h/day, REM %)</t>
        </is>
      </c>
      <c r="AC90" s="1" t="inlineStr">
        <is>
          <t>Capellini</t>
        </is>
      </c>
      <c r="AD90" s="13"/>
      <c r="AE90" s="1" t="inlineStr">
        <is>
          <t>secondary</t>
        </is>
      </c>
      <c r="AF90" s="1"/>
      <c r="AG90" s="1" t="inlineStr">
        <is>
          <t>one row per primary study x species x sex class, not per species - aggregate at the merge. Citation-dependent with HerculanoHouzel__2015_Table1 for daily sleep (both descend from Zepelin / Campbell &amp; Tobler) - resolve, never average.</t>
        </is>
      </c>
    </row>
    <row r="91" ht="17" customHeight="1">
      <c r="A91" s="1" t="inlineStr">
        <is>
          <t>Capellini, I., Barton, R. A., McNamara, P., Preston, B. T., &amp; Nunn, C. L. (2008). Phylogenetic analysis of the ecology and evolution of mammalian sleep. Evolution, 62(7), 1764-1776. https://doi.org/10.1111/j.1558-5646.2008.00392.x</t>
        </is>
      </c>
      <c r="D91" s="1" t="inlineStr">
        <is>
          <t>sleep-data_Male</t>
        </is>
      </c>
      <c r="E91" s="10" t="str">
        <f>SUBSTITUTE(SUBSTITUTE(_xlfn.TEXTBEFORE(A91,","), "-", ""), " ", "")</f>
        <v>Capellini</v>
      </c>
      <c r="F91" s="10"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10" t="str">
        <f>_xlfn.TEXTBEFORE(_xlfn.TEXTAFTER(A91, "("), ")")</f>
        <v>2008</v>
      </c>
      <c r="H91" s="10" t="str">
        <f>E91 &amp; IF(F91&lt;&gt;"", "_" &amp; SUBSTITUTE(F91," ",""), "_") &amp; IF(G91&lt;&gt;"", "_" &amp; G91, "_") &amp; IF(B91&lt;&gt;"", "_" &amp; B91, "")</f>
        <v>Capellini_etal_2008</v>
      </c>
      <c r="I91" s="10" t="str">
        <f>_xlfn.LET(
_xlpm.doi,IF(C91&lt;&gt;"",C91,_xlfn.TEXTAFTER(A91,"https://doi.org/")),
SUBSTITUTE(
SUBSTITUTE(
SUBSTITUTE(
SUBSTITUTE(
_xlpm.doi,
"/","%2F"),
":","%3A"),
"&lt;","%3C"),
"&gt;","%3E")
)</f>
        <v>10.1111%2Fj.1558-5646.2008.00392.x</v>
      </c>
      <c r="J91" s="10" t="str">
        <f>TRIM(_xlfn.TEXTJOIN("_",FALSE(),H91,(SUBSTITUTE(SUBSTITUTE(D91," ",""), "_", ""))))</f>
        <v>Capellini_etal_2008_sleep-dataMale</v>
      </c>
      <c r="K91" s="10" t="str">
        <f>I91 &amp; "_" &amp; SUBSTITUTE(SUBSTITUTE(SUBSTITUTE(D91,CHAR(160),"")," ",""),"_","")</f>
        <v>10.1111%2Fj.1558-5646.2008.00392.x_sleep-dataMale</v>
      </c>
      <c r="L91" s="10" t="str">
        <f t="array" ref="L91">IFERROR(INDEX(AUTO_Public_TSV_FileList!$A$1:$A$1000,MATCH(TRUE(),EXACT(K91,IFERROR(_xlfn.TEXTBEFORE(AUTO_Public_TSV_FileList!$A$1:$A$1000,".tsv"),"")),0)),"notfound")</f>
        <v>10.1111%2Fj.1558-5646.2008.00392.x_sleep-dataMale.tsv</v>
      </c>
      <c r="M91" s="13"/>
      <c r="N91" s="1" t="inlineStr">
        <is>
          <t>table</t>
        </is>
      </c>
      <c r="O91" s="1" t="inlineStr">
        <is>
          <t>all data downloaded from database cited in paper with search term Sex = Male</t>
        </is>
      </c>
      <c r="P91" s="1" t="inlineStr">
        <is>
          <t>FINISHED</t>
        </is>
      </c>
      <c r="Q91" s="1" t="inlineStr">
        <is>
          <t>none - digital-native (sleep-data_Male.csv IS the frozen source)</t>
        </is>
      </c>
      <c r="R91" s="13"/>
      <c r="S91" s="13"/>
      <c r="T91" s="13"/>
      <c r="U91" s="13"/>
      <c r="V91" s="13"/>
      <c r="W91" s="1" t="inlineStr">
        <is>
          <t>Mammals</t>
        </is>
      </c>
      <c r="X91" s="1" t="inlineStr">
        <is>
          <t>sleep (total sleep time, REM, NREM)</t>
        </is>
      </c>
      <c r="Y91" s="13"/>
      <c r="Z91" s="13"/>
      <c r="AA91" s="13"/>
      <c r="AB91" s="1" t="inlineStr">
        <is>
          <t>sleep (h/day, REM %)</t>
        </is>
      </c>
      <c r="AC91" s="1" t="inlineStr">
        <is>
          <t>Capellini</t>
        </is>
      </c>
      <c r="AD91" s="13"/>
      <c r="AE91" s="1" t="inlineStr">
        <is>
          <t>secondary</t>
        </is>
      </c>
      <c r="AF91" s="1"/>
      <c r="AG91" s="1" t="inlineStr">
        <is>
          <t>one row per primary study x species x sex class, not per species - aggregate at the merge. Citation-dependent with HerculanoHouzel__2015_Table1 for daily sleep (both descend from Zepelin / Campbell &amp; Tobler) - resolve, never average.</t>
        </is>
      </c>
    </row>
    <row r="92" ht="17" customHeight="1">
      <c r="A92" s="1" t="inlineStr">
        <is>
          <t>Capellini, I., Barton, R. A., McNamara, P., Preston, B. T., &amp; Nunn, C. L. (2008). Phylogenetic analysis of the ecology and evolution of mammalian sleep. Evolution, 62(7), 1764-1776. https://doi.org/10.1111/j.1558-5646.2008.00392.x</t>
        </is>
      </c>
      <c r="D92" s="1" t="inlineStr">
        <is>
          <t>sleep-data_Mixed</t>
        </is>
      </c>
      <c r="E92" s="10" t="str">
        <f>SUBSTITUTE(SUBSTITUTE(_xlfn.TEXTBEFORE(A92,","), "-", ""), " ", "")</f>
        <v>Capellini</v>
      </c>
      <c r="F92" s="10"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10" t="str">
        <f>_xlfn.TEXTBEFORE(_xlfn.TEXTAFTER(A92, "("), ")")</f>
        <v>2008</v>
      </c>
      <c r="H92" s="10" t="str">
        <f>E92 &amp; IF(F92&lt;&gt;"", "_" &amp; SUBSTITUTE(F92," ",""), "_") &amp; IF(G92&lt;&gt;"", "_" &amp; G92, "_") &amp; IF(B92&lt;&gt;"", "_" &amp; B92, "")</f>
        <v>Capellini_etal_2008</v>
      </c>
      <c r="I92" s="10" t="str">
        <f>_xlfn.LET(
_xlpm.doi,IF(C92&lt;&gt;"",C92,_xlfn.TEXTAFTER(A92,"https://doi.org/")),
SUBSTITUTE(
SUBSTITUTE(
SUBSTITUTE(
SUBSTITUTE(
_xlpm.doi,
"/","%2F"),
":","%3A"),
"&lt;","%3C"),
"&gt;","%3E")
)</f>
        <v>10.1111%2Fj.1558-5646.2008.00392.x</v>
      </c>
      <c r="J92" s="10" t="str">
        <f>TRIM(_xlfn.TEXTJOIN("_",FALSE(),H92,(SUBSTITUTE(SUBSTITUTE(D92," ",""), "_", ""))))</f>
        <v>Capellini_etal_2008_sleep-dataMixed</v>
      </c>
      <c r="K92" s="10" t="str">
        <f>I92 &amp; "_" &amp; SUBSTITUTE(SUBSTITUTE(SUBSTITUTE(D92,CHAR(160),"")," ",""),"_","")</f>
        <v>10.1111%2Fj.1558-5646.2008.00392.x_sleep-dataMixed</v>
      </c>
      <c r="L92" s="10" t="str">
        <f t="array" ref="L92">IFERROR(INDEX(AUTO_Public_TSV_FileList!$A$1:$A$1000,MATCH(TRUE(),EXACT(K92,IFERROR(_xlfn.TEXTBEFORE(AUTO_Public_TSV_FileList!$A$1:$A$1000,".tsv"),"")),0)),"notfound")</f>
        <v>10.1111%2Fj.1558-5646.2008.00392.x_sleep-dataMixed.tsv</v>
      </c>
      <c r="M92" s="13"/>
      <c r="N92" s="1" t="inlineStr">
        <is>
          <t>table</t>
        </is>
      </c>
      <c r="O92" s="1" t="inlineStr">
        <is>
          <t>all data downloaded from database cited in paper with search term Sex = Mixed</t>
        </is>
      </c>
      <c r="P92" s="1" t="inlineStr">
        <is>
          <t>FINISHED</t>
        </is>
      </c>
      <c r="Q92" s="1" t="inlineStr">
        <is>
          <t>none - digital-native (sleep-data_Mixed.csv IS the frozen source)</t>
        </is>
      </c>
      <c r="R92" s="13"/>
      <c r="S92" s="13"/>
      <c r="T92" s="13"/>
      <c r="U92" s="13"/>
      <c r="V92" s="13"/>
      <c r="W92" s="1" t="inlineStr">
        <is>
          <t>Mammals</t>
        </is>
      </c>
      <c r="X92" s="1" t="inlineStr">
        <is>
          <t>sleep (total sleep time, REM, NREM)</t>
        </is>
      </c>
      <c r="Y92" s="13"/>
      <c r="Z92" s="13"/>
      <c r="AA92" s="13"/>
      <c r="AB92" s="1" t="inlineStr">
        <is>
          <t>sleep (h/day, REM %)</t>
        </is>
      </c>
      <c r="AC92" s="1" t="inlineStr">
        <is>
          <t>Capellini</t>
        </is>
      </c>
      <c r="AD92" s="13"/>
      <c r="AE92" s="1" t="inlineStr">
        <is>
          <t>secondary</t>
        </is>
      </c>
      <c r="AF92" s="1"/>
      <c r="AG92" s="1" t="inlineStr">
        <is>
          <t>one row per primary study x species x sex class, not per species - aggregate at the merge. Citation-dependent with HerculanoHouzel__2015_Table1 for daily sleep (both descend from Zepelin / Campbell &amp; Tobler) - resolve, never average.</t>
        </is>
      </c>
    </row>
    <row r="93" ht="17" customHeight="1">
      <c r="A93" s="9" t="inlineStr">
        <is>
          <t>Carlo, C. N., &amp; Stevens, C. F. (2013). Structural uniformity of neocortex, revisited. Proceedings of the National Academy of Sciences USA, 110(4), 1488–1493. https://doi.org/10.1073/pnas.1221398110</t>
        </is>
      </c>
      <c r="D93" s="9" t="inlineStr">
        <is>
          <t>Figure 2</t>
        </is>
      </c>
      <c r="E93" s="11" t="str">
        <f>SUBSTITUTE(SUBSTITUTE(_xlfn.TEXTBEFORE(A93,","), "-", ""), " ", "")</f>
        <v>Carlo</v>
      </c>
      <c r="F93" s="10"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3" s="10" t="str">
        <f>_xlfn.TEXTBEFORE(_xlfn.TEXTAFTER(A93, "("), ")")</f>
        <v>2013</v>
      </c>
      <c r="H93" s="11" t="str">
        <f>E93 &amp; IF(F93&lt;&gt;"", "_" &amp; SUBSTITUTE(F93," ",""), "_") &amp; IF(G93&lt;&gt;"", "_" &amp; G93, "_") &amp; IF(B93&lt;&gt;"", "_" &amp; B93, "")</f>
        <v>Carlo__2013</v>
      </c>
      <c r="I93" s="11" t="str">
        <f>_xlfn.LET(_xlpm.doi,IF(C93&lt;&gt;"",C93,_xlfn.TEXTAFTER(A93,"https://doi.org/")),SUBSTITUTE(SUBSTITUTE(SUBSTITUTE(SUBSTITUTE(_xlpm.doi,"/","%2F"),":","%3A"),"&lt;","%3C"),"&gt;","%3E"))</f>
        <v>10.1073%2Fpnas.1221398110</v>
      </c>
      <c r="J93" s="11" t="str">
        <f>TRIM(_xlfn.TEXTJOIN("_",FALSE(),H93,(SUBSTITUTE(SUBSTITUTE(D93," ",""), "_", ""))))</f>
        <v>Carlo__2013_Figure2</v>
      </c>
      <c r="K93" s="10" t="str">
        <f>I93 &amp; "_" &amp; SUBSTITUTE(SUBSTITUTE(SUBSTITUTE(D93,CHAR(160),"")," ",""),"_","")</f>
        <v>10.1073%2Fpnas.1221398110_Figure2</v>
      </c>
      <c r="L93" s="10" t="str">
        <f t="array" ref="L93">IFERROR(INDEX(AUTO_Public_TSV_FileList!$A$1:$A$1000,MATCH(TRUE(),EXACT(K93,IFERROR(_xlfn.TEXTBEFORE(AUTO_Public_TSV_FileList!$A$1:$A$1000,".tsv"),"")),0)),"notfound")</f>
        <v>notfound</v>
      </c>
      <c r="M93" s="9" t="inlineStr">
        <is>
          <t>Fig. 2. Cell numbers under 1 mm2 of cortical surface as a function of cortical thickness (A all cells, B neurons, C glia) for four cortical areas in mouse, rat, cat, monkey</t>
        </is>
      </c>
      <c r="N93" s="9" t="inlineStr">
        <is>
          <t>figure</t>
        </is>
      </c>
      <c r="O93" s="9" t="inlineStr">
        <is>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is>
      </c>
      <c r="P93" s="9" t="inlineStr">
        <is>
          <t>candidate</t>
        </is>
      </c>
      <c r="Q93" s="9"/>
      <c r="R93" s="9" t="inlineStr">
        <is>
          <t>https://doi.org/10.1073/pnas.1221398110</t>
        </is>
      </c>
      <c r="S93" s="9" t="inlineStr">
        <is>
          <t>Citation and DOI confirmed via CrossRef (2026-09-30); not yet built.</t>
        </is>
      </c>
      <c r="T93" s="9" t="inlineStr">
        <is>
          <t>Independent team from B01, so values can sit side by side under your team rules.</t>
        </is>
      </c>
      <c r="U93" s="9"/>
      <c r="V93" s="9" t="inlineStr">
        <is>
          <t>cortical cell counts</t>
        </is>
      </c>
      <c r="W93" s="9" t="inlineStr">
        <is>
          <t>Mouse, rat, cat, macaque.</t>
        </is>
      </c>
      <c r="X93" s="9" t="inlineStr">
        <is>
          <t>M1 &amp; V1 (Rockel areas): neurons &amp; glia under 1 mm² cortical surface; cortical thickness</t>
        </is>
      </c>
      <c r="Y93" s="9"/>
      <c r="Z93" s="9" t="inlineStr">
        <is>
          <t>histological sections</t>
        </is>
      </c>
      <c r="AA93" s="9" t="inlineStr">
        <is>
          <t>stereology</t>
        </is>
      </c>
      <c r="AB93" s="9" t="inlineStr">
        <is>
          <t>cell count per mm² &amp; density</t>
        </is>
      </c>
      <c r="AC93" s="9" t="inlineStr">
        <is>
          <t>Carlo/Stevens</t>
        </is>
      </c>
      <c r="AD93" s="9"/>
      <c r="AE93" s="9" t="inlineStr">
        <is>
          <t>primary</t>
        </is>
      </c>
      <c r="AF93" s="9"/>
      <c r="AG93" s="9" t="inlineStr">
        <is>
          <t>Priority 1. Access: Open (PMC3557031). Suggested home: __merging_cellcounts (regional M1/V1). Registry/roadmap status at scouting: Not registered.</t>
        </is>
      </c>
    </row>
    <row r="94" ht="17" customHeight="1">
      <c r="A94" s="9" t="inlineStr">
        <is>
          <t>Carlo, C. N., &amp; Stevens, C. F. (2013). Structural uniformity of neocortex, revisited. Proceedings of the National Academy of Sciences USA, 110(4), 1488–1493. https://doi.org/10.1073/pnas.1221398110</t>
        </is>
      </c>
      <c r="D94" s="9" t="inlineStr">
        <is>
          <t>Table S1</t>
        </is>
      </c>
      <c r="E94" s="11" t="str">
        <f>SUBSTITUTE(SUBSTITUTE(_xlfn.TEXTBEFORE(A94,","), "-", ""), " ", "")</f>
        <v>Carlo</v>
      </c>
      <c r="F94" s="10"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4" s="10" t="str">
        <f>_xlfn.TEXTBEFORE(_xlfn.TEXTAFTER(A94, "("), ")")</f>
        <v>2013</v>
      </c>
      <c r="H94" s="11" t="str">
        <f>E94 &amp; IF(F94&lt;&gt;"", "_" &amp; SUBSTITUTE(F94," ",""), "_") &amp; IF(G94&lt;&gt;"", "_" &amp; G94, "_") &amp; IF(B94&lt;&gt;"", "_" &amp; B94, "")</f>
        <v>Carlo__2013</v>
      </c>
      <c r="I94" s="11" t="str">
        <f>_xlfn.LET(_xlpm.doi,IF(C94&lt;&gt;"",C94,_xlfn.TEXTAFTER(A94,"https://doi.org/")),SUBSTITUTE(SUBSTITUTE(SUBSTITUTE(SUBSTITUTE(_xlpm.doi,"/","%2F"),":","%3A"),"&lt;","%3C"),"&gt;","%3E"))</f>
        <v>10.1073%2Fpnas.1221398110</v>
      </c>
      <c r="J94" s="11" t="str">
        <f>TRIM(_xlfn.TEXTJOIN("_",FALSE(),H94,(SUBSTITUTE(SUBSTITUTE(D94," ",""), "_", ""))))</f>
        <v>Carlo__2013_TableS1</v>
      </c>
      <c r="K94" s="10" t="str">
        <f>I94 &amp; "_" &amp; SUBSTITUTE(SUBSTITUTE(SUBSTITUTE(D94,CHAR(160),"")," ",""),"_","")</f>
        <v>10.1073%2Fpnas.1221398110_TableS1</v>
      </c>
      <c r="L94" s="10" t="str">
        <f t="array" ref="L94">IFERROR(INDEX(AUTO_Public_TSV_FileList!$A$1:$A$1000,MATCH(TRUE(),EXACT(K94,IFERROR(_xlfn.TEXTBEFORE(AUTO_Public_TSV_FileList!$A$1:$A$1000,".tsv"),"")),0)),"notfound")</f>
        <v>notfound</v>
      </c>
      <c r="M94" s="9" t="inlineStr">
        <is>
          <t>Table S1. Species characteristics</t>
        </is>
      </c>
      <c r="N94" s="9"/>
      <c r="O94" s="9"/>
      <c r="P94" s="9"/>
      <c r="Q94" s="9"/>
      <c r="R94" s="9"/>
      <c r="S94" s="9"/>
      <c r="T94" s="9"/>
      <c r="U94" s="9"/>
      <c r="V94" s="9"/>
      <c r="W94" s="9"/>
      <c r="X94" s="9"/>
      <c r="Y94" s="9"/>
      <c r="Z94" s="9"/>
      <c r="AA94" s="9"/>
      <c r="AB94" s="9"/>
      <c r="AC94" s="9"/>
      <c r="AD94" s="9"/>
      <c r="AE94" s="9"/>
      <c r="AF94" s="9"/>
      <c r="AG94" s="9"/>
    </row>
    <row r="95" ht="17" customHeight="1">
      <c r="A95" s="1" t="inlineStr">
        <is>
          <t>Caspar, K. R., Pallasdies, F., Mader, L., Sartorelli, H., &amp; Begall, S. (2022). The evolution and biological correlates of hand preferences in anthropoid primates. Elife, 11, e77875. https://doi.org/10.7554/eLife.77875</t>
        </is>
      </c>
      <c r="D95" s="1" t="inlineStr">
        <is>
          <t>Supplementary file 3</t>
        </is>
      </c>
      <c r="E95" s="10" t="str">
        <f>SUBSTITUTE(SUBSTITUTE(_xlfn.TEXTBEFORE(A95,","), "-", ""), " ", "")</f>
        <v>Caspar</v>
      </c>
      <c r="F95" s="10"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10" t="str">
        <f>_xlfn.TEXTBEFORE(_xlfn.TEXTAFTER(A95, "("), ")")</f>
        <v>2022</v>
      </c>
      <c r="H95" s="10" t="str">
        <f>E95 &amp; IF(F95&lt;&gt;"", "_" &amp; SUBSTITUTE(F95," ",""), "_") &amp; IF(G95&lt;&gt;"", "_" &amp; G95, "_") &amp; IF(B95&lt;&gt;"", "_" &amp; B95, "")</f>
        <v>Caspar_etal_2022</v>
      </c>
      <c r="I95" s="10" t="str">
        <f>_xlfn.LET(
_xlpm.doi,IF(C95&lt;&gt;"",C95,_xlfn.TEXTAFTER(A95,"https://doi.org/")),
SUBSTITUTE(
SUBSTITUTE(
SUBSTITUTE(
SUBSTITUTE(
_xlpm.doi,
"/","%2F"),
":","%3A"),
"&lt;","%3C"),
"&gt;","%3E")
)</f>
        <v>10.7554%2FeLife.77875</v>
      </c>
      <c r="J95" s="10" t="str">
        <f>TRIM(_xlfn.TEXTJOIN("_",FALSE(),H95,(SUBSTITUTE(SUBSTITUTE(D95," ",""), "_", ""))))</f>
        <v>Caspar_etal_2022_Supplementaryfile3</v>
      </c>
      <c r="K95" s="10" t="str">
        <f>I95 &amp; "_" &amp; SUBSTITUTE(SUBSTITUTE(SUBSTITUTE(D95,CHAR(160),"")," ",""),"_","")</f>
        <v>10.7554%2FeLife.77875_Supplementaryfile3</v>
      </c>
      <c r="L95" s="10" t="str">
        <f t="array" ref="L95">IFERROR(INDEX(AUTO_Public_TSV_FileList!$A$1:$A$1000,MATCH(TRUE(),EXACT(K95,IFERROR(_xlfn.TEXTBEFORE(AUTO_Public_TSV_FileList!$A$1:$A$1000,".tsv"),"")),0)),"notfound")</f>
        <v>10.7554%2FeLife.77875_Supplementaryfile3.tsv</v>
      </c>
      <c r="M95" s="1" t="inlineStr">
        <is>
          <t>part 2: ecological table</t>
        </is>
      </c>
      <c r="N95" s="1" t="inlineStr">
        <is>
          <t>table</t>
        </is>
      </c>
      <c r="O95" s="13"/>
      <c r="P95" s="1" t="inlineStr">
        <is>
          <t>FINISHED</t>
        </is>
      </c>
      <c r="Q95" s="1" t="inlineStr">
        <is>
          <t>elife-77875-supp3-v1.xlsx</t>
        </is>
      </c>
      <c r="R95" s="1" t="inlineStr">
        <is>
          <t>https://cdn.elifesciences.org/articles/77875/elife-77875-supp3-v1.xlsx</t>
        </is>
      </c>
      <c r="S95" s="13"/>
      <c r="T95" s="13"/>
      <c r="U95" s="13"/>
      <c r="V95" s="13"/>
      <c r="W95" s="1" t="inlineStr">
        <is>
          <t>Primates</t>
        </is>
      </c>
      <c r="X95" s="1" t="inlineStr">
        <is>
          <t>Habitual Tool Use, Ecology, Female brain size</t>
        </is>
      </c>
      <c r="Y95" s="13"/>
      <c r="Z95" s="13"/>
      <c r="AA95" s="13"/>
      <c r="AB95" s="1" t="inlineStr">
        <is>
          <t>behavioural (handedness, tool use, ecology)</t>
        </is>
      </c>
      <c r="AC95" s="13"/>
      <c r="AD95" s="13"/>
      <c r="AE95" s="1" t="inlineStr">
        <is>
          <t>secondary</t>
        </is>
      </c>
      <c r="AF95" s="1"/>
      <c r="AG95" s="13"/>
    </row>
    <row r="96" ht="17" customHeight="1">
      <c r="A96" s="1" t="inlineStr">
        <is>
          <t>Caspar, K. R., Pallasdies, F., Mader, L., Sartorelli, H., &amp; Begall, S. (2022). The evolution and biological correlates of hand preferences in anthropoid primates. Elife, 11, e77875. https://doi.org/10.7554/eLife.77875</t>
        </is>
      </c>
      <c r="B96" s="18"/>
      <c r="C96" s="18"/>
      <c r="D96" s="1" t="inlineStr">
        <is>
          <t>Table 1</t>
        </is>
      </c>
      <c r="E96" s="10" t="str">
        <f>SUBSTITUTE(SUBSTITUTE(_xlfn.TEXTBEFORE(A96,","), "-", ""), " ", "")</f>
        <v>Caspar</v>
      </c>
      <c r="F96" s="10"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10" t="str">
        <f>_xlfn.TEXTBEFORE(_xlfn.TEXTAFTER(A96, "("), ")")</f>
        <v>2022</v>
      </c>
      <c r="H96" s="10" t="str">
        <f>E96 &amp; IF(F96&lt;&gt;"", "_" &amp; SUBSTITUTE(F96," ",""), "_") &amp; IF(G96&lt;&gt;"", "_" &amp; G96, "_") &amp; IF(B96&lt;&gt;"", "_" &amp; B96, "")</f>
        <v>Caspar_etal_2022</v>
      </c>
      <c r="I96" s="10" t="str">
        <f>_xlfn.LET(
_xlpm.doi,IF(C96&lt;&gt;"",C96,_xlfn.TEXTAFTER(A96,"https://doi.org/")),
SUBSTITUTE(
SUBSTITUTE(
SUBSTITUTE(
SUBSTITUTE(
_xlpm.doi,
"/","%2F"),
":","%3A"),
"&lt;","%3C"),
"&gt;","%3E")
)</f>
        <v>10.7554%2FeLife.77875</v>
      </c>
      <c r="J96" s="10" t="str">
        <f>TRIM(_xlfn.TEXTJOIN("_",FALSE(),H96,(SUBSTITUTE(SUBSTITUTE(D96," ",""), "_", ""))))</f>
        <v>Caspar_etal_2022_Table1</v>
      </c>
      <c r="K96" s="10" t="str">
        <f>I96 &amp; "_" &amp; SUBSTITUTE(SUBSTITUTE(SUBSTITUTE(D96,CHAR(160),"")," ",""),"_","")</f>
        <v>10.7554%2FeLife.77875_Table1</v>
      </c>
      <c r="L96" s="10" t="str">
        <f t="array" ref="L96">IFERROR(INDEX(AUTO_Public_TSV_FileList!$A$1:$A$1000,MATCH(TRUE(),EXACT(K96,IFERROR(_xlfn.TEXTBEFORE(AUTO_Public_TSV_FileList!$A$1:$A$1000,".tsv"),"")),0)),"notfound")</f>
        <v>10.7554%2FeLife.77875_Table1.tsv</v>
      </c>
      <c r="M96" s="1" t="inlineStr">
        <is>
          <t>part 1: handedness summary table</t>
        </is>
      </c>
      <c r="N96" s="1" t="inlineStr">
        <is>
          <t>table</t>
        </is>
      </c>
      <c r="O96" s="13"/>
      <c r="P96" s="1" t="inlineStr">
        <is>
          <t>FINISHED</t>
        </is>
      </c>
      <c r="Q96" s="1"/>
      <c r="R96" s="1" t="inlineStr">
        <is>
          <t>https://elifesciences.org/download/aHR0cHM6Ly9jZG4uZWxpZmVzY2llbmNlcy5vcmcvYXJ0aWNsZXMvNzc4NzUvZWxpZmUtNzc4NzUtdjEucGRmP2Nhbm9uaWNhbFVyaT1odHRwczovL2VsaWZlc2NpZW5jZXMub3JnL2FydGljbGVzLzc3ODc1/elife-77875-v1.pdf?_hash=NStjcL9fTlmy3AQDwSiM0YgMVB3UYjO8nDg0UbwN5gM%3D</t>
        </is>
      </c>
      <c r="S96" s="13"/>
      <c r="T96" s="13"/>
      <c r="U96" s="13"/>
      <c r="V96" s="13"/>
      <c r="W96" s="1" t="inlineStr">
        <is>
          <t>Primates</t>
        </is>
      </c>
      <c r="X96" s="1" t="inlineStr">
        <is>
          <t>Handedness derived data</t>
        </is>
      </c>
      <c r="Y96" s="13"/>
      <c r="Z96" s="13"/>
      <c r="AA96" s="13"/>
      <c r="AB96" s="1" t="inlineStr">
        <is>
          <t>behavioural (handedness)</t>
        </is>
      </c>
      <c r="AC96" s="13"/>
      <c r="AD96" s="13"/>
      <c r="AE96" s="1" t="inlineStr">
        <is>
          <t>secondary</t>
        </is>
      </c>
      <c r="AF96" s="1"/>
      <c r="AG96" s="1" t="inlineStr">
        <is>
          <t>perhaps useful to get raw data as well?</t>
        </is>
      </c>
    </row>
    <row r="97" ht="17" customHeight="1">
      <c r="A97" s="9" t="inlineStr">
        <is>
          <t>Catania, K. C., &amp; Remple, M. S. (2002). Somatosensory cortex dominated by the representation of teeth in the naked mole-rat brain. Proceedings of the National Academy of Sciences, 99(8), 5692-5697. https://doi.org/10.1073/pnas.072097999</t>
        </is>
      </c>
      <c r="D97" s="9" t="inlineStr">
        <is>
          <t>Table 1</t>
        </is>
      </c>
      <c r="E97" s="2" t="str">
        <f>SUBSTITUTE(SUBSTITUTE(_xlfn.TEXTBEFORE(A97,","), "-", ""), " ", "")</f>
        <v>Catania</v>
      </c>
      <c r="F97" s="7"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7" s="7" t="str">
        <f>_xlfn.TEXTBEFORE(_xlfn.TEXTAFTER(A97, "("), ")")</f>
        <v>2002</v>
      </c>
      <c r="H97" s="2" t="str">
        <f>E97 &amp; IF(F97&lt;&gt;"", "_" &amp; SUBSTITUTE(F97," ",""), "_") &amp; IF(G97&lt;&gt;"", "_" &amp; G97, "_") &amp; IF(B97&lt;&gt;"", "_" &amp; B97, "")</f>
        <v>Catania__2002</v>
      </c>
      <c r="I97" s="2" t="str">
        <f>_xlfn.LET(_xlpm.doi,IF(C97&lt;&gt;"",C97,_xlfn.TEXTAFTER(A97,"https://doi.org/")),SUBSTITUTE(SUBSTITUTE(SUBSTITUTE(SUBSTITUTE(_xlpm.doi,"/","%2F"),":","%3A"),"&lt;","%3C"),"&gt;","%3E"))</f>
        <v>10.1073%2Fpnas.072097999</v>
      </c>
      <c r="J97" s="2" t="str">
        <f>TRIM(_xlfn.TEXTJOIN("_",FALSE(),H97,(SUBSTITUTE(SUBSTITUTE(D97," ",""), "_", ""))))</f>
        <v>Catania__2002_Table1</v>
      </c>
      <c r="K97" s="7" t="str">
        <f>I97 &amp; "_" &amp; SUBSTITUTE(SUBSTITUTE(SUBSTITUTE(D97,CHAR(160),"")," ",""),"_","")</f>
        <v>10.1073%2Fpnas.072097999_Table1</v>
      </c>
      <c r="L97" s="7" t="str">
        <f t="array" ref="L97">IFERROR(INDEX(AUTO_Public_TSV_FileList!$A$1:$A$1000,MATCH(TRUE(),EXACT(K97,IFERROR(_xlfn.TEXTBEFORE(AUTO_Public_TSV_FileList!$A$1:$A$1000,".tsv"),"")),0)),"notfound")</f>
        <v>10.1073%2Fpnas.072097999_Table1.tsv</v>
      </c>
      <c r="M97" s="9"/>
      <c r="N97" s="9" t="inlineStr">
        <is>
          <t>PDF; manually transcribed printed table and associated text</t>
        </is>
      </c>
      <c r="O97" s="9" t="inlineStr">
        <is>
          <t>Four naked mole-rats with per-case mm² and % S1, plus source-reported means/SD and same-study Long-Evans rat percentage comparison.</t>
        </is>
      </c>
      <c r="P97" s="9" t="inlineStr">
        <is>
          <t>PREPARED (CSV built; owner registry paste / public TSV pending)</t>
        </is>
      </c>
      <c r="Q97" s="9" t="inlineStr">
        <is>
          <t>Catania_Remple_2002_Table1_snapshot.csv; Catania_Remple_2002_Table1_text_snapshot.csv</t>
        </is>
      </c>
      <c r="R97" s="9" t="inlineStr">
        <is>
          <t>https://doi.org/10.1073/pnas.072097999</t>
        </is>
      </c>
      <c r="S97" s="9" t="inlineStr">
        <is>
          <t>Percent denominators kept explicit (S1 vs total neocortex); no rat absolute area inferred.</t>
        </is>
      </c>
      <c r="T97" s="9" t="inlineStr">
        <is>
          <t>Rat comparator is approximate and reported only as percent neocortex.</t>
        </is>
      </c>
      <c r="U97" s="9"/>
      <c r="V97" s="9" t="inlineStr">
        <is>
          <t>somatosensory cortical surface area</t>
        </is>
      </c>
      <c r="W97" s="9" t="inlineStr">
        <is>
          <t>Heterocephalus glaber; Rattus norvegicus</t>
        </is>
      </c>
      <c r="X97" s="9" t="inlineStr">
        <is>
          <t>S1 body-part representations; total S1; total neocortex (mm² and percentages)</t>
        </is>
      </c>
      <c r="Y97" s="9" t="inlineStr">
        <is>
          <t>mean; SD; same-study rat comparator</t>
        </is>
      </c>
      <c r="Z97" s="9" t="inlineStr">
        <is>
          <t>histological; flattened cortex</t>
        </is>
      </c>
      <c r="AA97" s="9" t="inlineStr">
        <is>
          <t>microelectrode mapping aligned to cytochrome-oxidase histology</t>
        </is>
      </c>
      <c r="AB97" s="9" t="inlineStr">
        <is>
          <t>surface area mm2; percent</t>
        </is>
      </c>
      <c r="AC97" s="9" t="inlineStr">
        <is>
          <t>Kaas</t>
        </is>
      </c>
      <c r="AD97" s="9"/>
      <c r="AE97" s="9" t="inlineStr">
        <is>
          <t>primary</t>
        </is>
      </c>
      <c r="AF97" s="9"/>
      <c r="AG97" s="9"/>
    </row>
    <row r="98" ht="17" customHeight="1">
      <c r="A98" s="9" t="inlineStr">
        <is>
          <t>Catania, K. C., Lyon, D. C., Mock, O. B., &amp; Kaas, J. H. (1999). Cortical organization in shrews: Evidence from five species. Journal of Comparative Neurology, 410(1), 55-72. https://doi.org/10.1002/(SICI)1096-9861(19990719)410:1&lt;55::AID-CNE6&gt;3.0.CO;2-2</t>
        </is>
      </c>
      <c r="D98" s="9" t="inlineStr">
        <is>
          <t>Table 1</t>
        </is>
      </c>
      <c r="E98" s="2" t="str">
        <f>SUBSTITUTE(SUBSTITUTE(_xlfn.TEXTBEFORE(A98,","), "-", ""), " ", "")</f>
        <v>Catania</v>
      </c>
      <c r="F98" s="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7" t="str">
        <f>_xlfn.TEXTBEFORE(_xlfn.TEXTAFTER(A98, "("), ")")</f>
        <v>1999</v>
      </c>
      <c r="H98" s="2" t="str">
        <f>E98 &amp; IF(F98&lt;&gt;"", "_" &amp; SUBSTITUTE(F98," ",""), "_") &amp; IF(G98&lt;&gt;"", "_" &amp; G98, "_") &amp; IF(B98&lt;&gt;"", "_" &amp; B98, "")</f>
        <v>Catania_etal_1999</v>
      </c>
      <c r="I98" s="2" t="str">
        <f>_xlfn.LET(_xlpm.doi,IF(C98&lt;&gt;"",C98,_xlfn.TEXTAFTER(A98,"https://doi.org/")),SUBSTITUTE(SUBSTITUTE(SUBSTITUTE(SUBSTITUTE(_xlpm.doi,"/","%2F"),":","%3A"),"&lt;","%3C"),"&gt;","%3E"))</f>
        <v>10.1002%2F(SICI)1096-9861(19990719)410%3A1&lt;55%3A%3AAID-CNE6&gt;3.0.CO;2-2</v>
      </c>
      <c r="J98" s="2" t="str">
        <f>TRIM(_xlfn.TEXTJOIN("_",FALSE(),H98,(SUBSTITUTE(SUBSTITUTE(D98," ",""), "_", ""))))</f>
        <v>Catania_etal_1999_Table1</v>
      </c>
      <c r="K98" s="7" t="str">
        <f>I98 &amp; "_" &amp; SUBSTITUTE(SUBSTITUTE(SUBSTITUTE(D98,CHAR(160),"")," ",""),"_","")</f>
        <v>10.1002%2F(SICI)1096-9861(19990719)410%3A1&lt;55%3A%3AAID-CNE6&gt;3.0.CO;2-2_Table1</v>
      </c>
      <c r="L98" s="7" t="str">
        <f t="array" ref="L98">IFERROR(INDEX(AUTO_Public_TSV_FileList!$A$1:$A$1000,MATCH(TRUE(),EXACT(K98,IFERROR(_xlfn.TEXTBEFORE(AUTO_Public_TSV_FileList!$A$1:$A$1000,".tsv"),"")),0)),"notfound")</f>
        <v>notfound</v>
      </c>
      <c r="M98" s="9"/>
      <c r="N98" s="9" t="inlineStr">
        <is>
          <t>PDF; manually transcribed printed table</t>
        </is>
      </c>
      <c r="O98" s="9" t="inlineStr">
        <is>
          <t>Seven hemispheres from three shrew species; absolute areas and percent of total neocortex.</t>
        </is>
      </c>
      <c r="P98" s="9" t="inlineStr">
        <is>
          <t>PREPARED (CSV built; owner registry paste / public TSV pending)</t>
        </is>
      </c>
      <c r="Q98" s="9" t="inlineStr">
        <is>
          <t>Catania_etal_1999_Table1_snapshot.csv</t>
        </is>
      </c>
      <c r="R98" s="9" t="inlineStr">
        <is>
          <t>https://doi.org/10.1002/(SICI)1096-9861(19990719)410:1%3C55::AID-CNE6%3E3.0.CO;2-2</t>
        </is>
      </c>
      <c r="S98" s="9" t="inlineStr">
        <is>
          <t>Species and case IDs verified against table; printed dashes preserved in snapshot.</t>
        </is>
      </c>
      <c r="T98" s="9" t="inlineStr">
        <is>
          <t>Small source-rounding differences in component sums.</t>
        </is>
      </c>
      <c r="U98" s="9"/>
      <c r="V98" s="9" t="inlineStr">
        <is>
          <t>cortical surface area; sensory cortex</t>
        </is>
      </c>
      <c r="W98" s="9" t="inlineStr">
        <is>
          <t>Sorex cinereus; Blarina brevicauda; Cryptotis parva</t>
        </is>
      </c>
      <c r="X98" s="9" t="inlineStr">
        <is>
          <t>total neocortex; S1+S2; A1; V1; body-part representation area (mm² and % neocortex)</t>
        </is>
      </c>
      <c r="Y98" s="9" t="inlineStr">
        <is>
          <t>case/hemisphere identifiers</t>
        </is>
      </c>
      <c r="Z98" s="9" t="inlineStr">
        <is>
          <t>histological; flattened cortex</t>
        </is>
      </c>
      <c r="AA98" s="9" t="inlineStr">
        <is>
          <t>chemoarchitecture with electrophysiological mapping where available</t>
        </is>
      </c>
      <c r="AB98" s="9" t="inlineStr">
        <is>
          <t>surface area mm2; percent</t>
        </is>
      </c>
      <c r="AC98" s="9" t="inlineStr">
        <is>
          <t>Kaas</t>
        </is>
      </c>
      <c r="AD98" s="9"/>
      <c r="AE98" s="9" t="inlineStr">
        <is>
          <t>primary</t>
        </is>
      </c>
      <c r="AF98" s="9"/>
      <c r="AG98" s="9"/>
    </row>
    <row r="99" ht="17" customHeight="1">
      <c r="A99" s="1" t="inlineStr">
        <is>
          <t>Caves, E. M., Brandley, N. C., &amp; Johnsen, S. (2018). Visual Acuity and the Evolution of Signals. Trends Ecol Evol, 33(5), 358-372. https://doi.org/10.1016/j.tree.2018.03.001</t>
        </is>
      </c>
      <c r="D99" s="1" t="inlineStr">
        <is>
          <t>Table S1</t>
        </is>
      </c>
      <c r="E99" s="10" t="str">
        <f>SUBSTITUTE(SUBSTITUTE(_xlfn.TEXTBEFORE(A99,","), "-", ""), " ", "")</f>
        <v>Caves</v>
      </c>
      <c r="F99" s="10"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10" t="str">
        <f>_xlfn.TEXTBEFORE(_xlfn.TEXTAFTER(A99, "("), ")")</f>
        <v>2018</v>
      </c>
      <c r="H99" s="10" t="str">
        <f>E99 &amp; IF(F99&lt;&gt;"", "_" &amp; SUBSTITUTE(F99," ",""), "_") &amp; IF(G99&lt;&gt;"", "_" &amp; G99, "_") &amp; IF(B99&lt;&gt;"", "_" &amp; B99, "")</f>
        <v>Caves_etal_2018</v>
      </c>
      <c r="I99" s="10" t="str">
        <f>_xlfn.LET(
_xlpm.doi,IF(C99&lt;&gt;"",C99,_xlfn.TEXTAFTER(A99,"https://doi.org/")),
SUBSTITUTE(
SUBSTITUTE(
SUBSTITUTE(
SUBSTITUTE(
_xlpm.doi,
"/","%2F"),
":","%3A"),
"&lt;","%3C"),
"&gt;","%3E")
)</f>
        <v>10.1016%2Fj.tree.2018.03.001</v>
      </c>
      <c r="J99" s="10" t="str">
        <f>TRIM(_xlfn.TEXTJOIN("_",FALSE(),H99,(SUBSTITUTE(SUBSTITUTE(D99," ",""), "_", ""))))</f>
        <v>Caves_etal_2018_TableS1</v>
      </c>
      <c r="K99" s="10" t="str">
        <f>I99 &amp; "_" &amp; SUBSTITUTE(SUBSTITUTE(SUBSTITUTE(D99,CHAR(160),"")," ",""),"_","")</f>
        <v>10.1016%2Fj.tree.2018.03.001_TableS1</v>
      </c>
      <c r="L99" s="10" t="str">
        <f t="array" ref="L99">IFERROR(INDEX(AUTO_Public_TSV_FileList!$A$1:$A$1000,MATCH(TRUE(),EXACT(K99,IFERROR(_xlfn.TEXTBEFORE(AUTO_Public_TSV_FileList!$A$1:$A$1000,".tsv"),"")),0)),"notfound")</f>
        <v>10.1016%2Fj.tree.2018.03.001_TableS1.tsv</v>
      </c>
      <c r="M99" s="13"/>
      <c r="N99" s="13"/>
      <c r="O99" s="13"/>
      <c r="P99" s="1" t="inlineStr">
        <is>
          <t>FINISHED</t>
        </is>
      </c>
      <c r="Q99" s="13"/>
      <c r="R99" s="13"/>
      <c r="S99" s="13"/>
      <c r="T99" s="13"/>
      <c r="U99" s="13"/>
      <c r="V99" s="13"/>
      <c r="W99" s="13"/>
      <c r="X99" s="13"/>
      <c r="Y99" s="13"/>
      <c r="Z99" s="13"/>
      <c r="AA99" s="13"/>
      <c r="AB99" s="13"/>
      <c r="AC99" s="13"/>
      <c r="AD99" s="13"/>
      <c r="AE99" s="13"/>
      <c r="AF99" s="13"/>
      <c r="AG99" s="13"/>
    </row>
    <row r="100" ht="17" customHeight="1">
      <c r="A100" s="1" t="inlineStr">
        <is>
          <t>Changizi, M. A. (2001). Principles underlying mammalian neocortical scaling. Biol Cybern, 84(3), 207-215. https://doi.org/10.1007/s004220000205</t>
        </is>
      </c>
      <c r="D100" s="1" t="inlineStr">
        <is>
          <t>Figure 3</t>
        </is>
      </c>
      <c r="E100" s="10" t="str">
        <f>SUBSTITUTE(SUBSTITUTE(_xlfn.TEXTBEFORE(A100,","), "-", ""), " ", "")</f>
        <v>Changizi</v>
      </c>
      <c r="F100" s="10"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0" s="10" t="str">
        <f>_xlfn.TEXTBEFORE(_xlfn.TEXTAFTER(A100, "("), ")")</f>
        <v>2001</v>
      </c>
      <c r="H100" s="10" t="str">
        <f>E100 &amp; IF(F100&lt;&gt;"", "_" &amp; SUBSTITUTE(F100," ",""), "_") &amp; IF(G100&lt;&gt;"", "_" &amp; G100, "_") &amp; IF(B100&lt;&gt;"", "_" &amp; B100, "")</f>
        <v>Changizi__2001</v>
      </c>
      <c r="I100" s="10" t="str">
        <f>_xlfn.LET(
_xlpm.doi,IF(C100&lt;&gt;"",C100,_xlfn.TEXTAFTER(A100,"https://doi.org/")),
SUBSTITUTE(
SUBSTITUTE(
SUBSTITUTE(
SUBSTITUTE(
_xlpm.doi,
"/","%2F"),
":","%3A"),
"&lt;","%3C"),
"&gt;","%3E")
)</f>
        <v>10.1007%2Fs004220000205</v>
      </c>
      <c r="J100" s="10" t="str">
        <f>TRIM(_xlfn.TEXTJOIN("_",FALSE(),H100,(SUBSTITUTE(SUBSTITUTE(D100," ",""), "_", ""))))</f>
        <v>Changizi__2001_Figure3</v>
      </c>
      <c r="K100" s="10" t="str">
        <f>I100 &amp; "_" &amp; SUBSTITUTE(SUBSTITUTE(SUBSTITUTE(D100,CHAR(160),"")," ",""),"_","")</f>
        <v>10.1007%2Fs004220000205_Figure3</v>
      </c>
      <c r="L100" s="10" t="str">
        <f t="array" ref="L100">IFERROR(INDEX(AUTO_Public_TSV_FileList!$A$1:$A$1000,MATCH(TRUE(),EXACT(K100,IFERROR(_xlfn.TEXTBEFORE(AUTO_Public_TSV_FileList!$A$1:$A$1000,".tsv"),"")),0)),"notfound")</f>
        <v>10.1007%2Fs004220000205_Figure3.tsv</v>
      </c>
      <c r="M100" s="13"/>
      <c r="N100" s="1" t="inlineStr">
        <is>
          <t>figure and caption</t>
        </is>
      </c>
      <c r="O100" s="13"/>
      <c r="P100" s="1" t="inlineStr">
        <is>
          <t>FINISHED</t>
        </is>
      </c>
      <c r="Q100" s="1"/>
      <c r="R100" s="13"/>
      <c r="S100" s="13"/>
      <c r="T100" s="13"/>
      <c r="U100" s="13"/>
      <c r="V100" s="13"/>
      <c r="W100" s="1" t="inlineStr">
        <is>
          <t>Mammals</t>
        </is>
      </c>
      <c r="X100" s="1" t="inlineStr">
        <is>
          <t>number of cortical areas</t>
        </is>
      </c>
      <c r="Y100" s="13"/>
      <c r="Z100" s="13"/>
      <c r="AA100" s="13"/>
      <c r="AB100" s="1" t="inlineStr">
        <is>
          <t>cortical area count / scaling</t>
        </is>
      </c>
      <c r="AC100" s="13"/>
      <c r="AD100" s="13"/>
      <c r="AE100" s="1" t="inlineStr">
        <is>
          <t>secondary</t>
        </is>
      </c>
      <c r="AF100" s="1"/>
      <c r="AG100" s="1" t="inlineStr">
        <is>
          <t>summary to check more precise areas from ProjectKaskan</t>
        </is>
      </c>
    </row>
    <row r="101" ht="17" customHeight="1">
      <c r="A101" s="29" t="inlineStr">
        <is>
          <t>Changizi, M. A. (2003). Relationship between number of muscles, behavioral repertoire size, and encephalization in mammals. Journal of Theoretical Biology, 220(2), 157–168. https://doi.org/10.1006/jtbi.2003.3125</t>
        </is>
      </c>
      <c r="B101" s="21"/>
      <c r="C101" s="21"/>
      <c r="D101" s="29" t="inlineStr">
        <is>
          <t>Table 1</t>
        </is>
      </c>
      <c r="E101" s="10" t="str">
        <f>SUBSTITUTE(SUBSTITUTE(_xlfn.TEXTBEFORE(A101,","), "-", ""), " ", "")</f>
        <v>Changizi</v>
      </c>
      <c r="F101" s="10"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1" s="10" t="str">
        <f>_xlfn.TEXTBEFORE(_xlfn.TEXTAFTER(A101, "("), ")")</f>
        <v>2003</v>
      </c>
      <c r="H101" s="10" t="str">
        <f>E101 &amp; IF(F101&lt;&gt;"", "_" &amp; SUBSTITUTE(F101," ",""), "_") &amp; IF(G101&lt;&gt;"", "_" &amp; G101, "_") &amp; IF(B101&lt;&gt;"", "_" &amp; B101, "")</f>
        <v>Changizi__2003</v>
      </c>
      <c r="I101" s="10" t="str">
        <f>_xlfn.LET(
_xlpm.doi,IF(C101&lt;&gt;"",C101,_xlfn.TEXTAFTER(A101,"https://doi.org/")),
SUBSTITUTE(
SUBSTITUTE(
SUBSTITUTE(
SUBSTITUTE(
_xlpm.doi,
"/","%2F"),
":","%3A"),
"&lt;","%3C"),
"&gt;","%3E")
)</f>
        <v>10.1006%2Fjtbi.2003.3125</v>
      </c>
      <c r="J101" s="10" t="str">
        <f>TRIM(_xlfn.TEXTJOIN("_",FALSE(),H101,(SUBSTITUTE(SUBSTITUTE(D101," ",""), "_", ""))))</f>
        <v>Changizi__2003_Table1</v>
      </c>
      <c r="K101" s="10" t="str">
        <f>I101 &amp; "_" &amp; SUBSTITUTE(SUBSTITUTE(SUBSTITUTE(D101,CHAR(160),"")," ",""),"_","")</f>
        <v>10.1006%2Fjtbi.2003.3125_Table1</v>
      </c>
      <c r="L101" s="10" t="str">
        <f t="array" ref="L101">IFERROR(INDEX(AUTO_Public_TSV_FileList!$A$1:$A$1000,MATCH(TRUE(),EXACT(K101,IFERROR(_xlfn.TEXTBEFORE(AUTO_Public_TSV_FileList!$A$1:$A$1000,".tsv"),"")),0)),"notfound")</f>
        <v>10.1006%2Fjtbi.2003.3125_Table1.tsv</v>
      </c>
      <c r="M101" s="17" t="inlineStr">
        <is>
          <t>Estimates for number of ethobehavior types, encephalization index, and number of muscle types for mammalian orders and species.</t>
        </is>
      </c>
      <c r="N101" s="1" t="inlineStr">
        <is>
          <t>table</t>
        </is>
      </c>
      <c r="O101" s="17"/>
      <c r="P101" s="13" t="inlineStr">
        <is>
          <t>FINISHED</t>
        </is>
      </c>
      <c r="Q101" s="17"/>
      <c r="R101" s="17" t="inlineStr">
        <is>
          <t>https://doi.org/10.1006/jtbi.2003.3125</t>
        </is>
      </c>
      <c r="S101" s="17" t="inlineStr">
        <is>
          <t>Source table and interpretation checked against attached PDF</t>
        </is>
      </c>
      <c r="T101" s="17" t="inlineStr">
        <is>
          <t>Verify taxon names and whether values are raw, derived, or model summaries before merge</t>
        </is>
      </c>
      <c r="U101" s="17"/>
      <c r="V101" s="17" t="inlineStr">
        <is>
          <t>comparative intelligence</t>
        </is>
      </c>
      <c r="W101" s="29" t="inlineStr">
        <is>
          <t>Mammals</t>
        </is>
      </c>
      <c r="X101" s="17" t="inlineStr">
        <is>
          <t>Behavioral repertoire size; encephalization; muscle types</t>
        </is>
      </c>
      <c r="Y101" s="17" t="inlineStr">
        <is>
          <t>Behavioral repertoire size; encephalization; muscle types</t>
        </is>
      </c>
      <c r="Z101" s="17"/>
      <c r="AA101" s="17"/>
      <c r="AB101" s="29" t="inlineStr">
        <is>
          <t>observed counts / derived index</t>
        </is>
      </c>
      <c r="AC101" s="13"/>
      <c r="AD101" s="17"/>
      <c r="AE101" s="29" t="inlineStr">
        <is>
          <t>both</t>
        </is>
      </c>
      <c r="AF101" s="29"/>
      <c r="AG101" s="13" t="inlineStr">
        <is>
          <t>Ingest this rather than averaging it with Johnson Table 1; use Johnson as provenance/cross-check.</t>
        </is>
      </c>
    </row>
    <row r="102" ht="17" customHeight="1">
      <c r="A102" s="1" t="inlineStr">
        <is>
          <t>Changizi, M. A., &amp; Shimojo, S. (2005). Parcellation and area-area connectivity as a function of neocortex size. Brain Behavior and Evolution, 66(2), 88-98. https://doi.org/10.1159/000085942</t>
        </is>
      </c>
      <c r="D102" s="1" t="inlineStr">
        <is>
          <t>Table 1</t>
        </is>
      </c>
      <c r="E102" s="10" t="str">
        <f>SUBSTITUTE(SUBSTITUTE(_xlfn.TEXTBEFORE(A102,","), "-", ""), " ", "")</f>
        <v>Changizi</v>
      </c>
      <c r="F102" s="10"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2" s="10" t="str">
        <f>_xlfn.TEXTBEFORE(_xlfn.TEXTAFTER(A102, "("), ")")</f>
        <v>2005</v>
      </c>
      <c r="H102" s="10" t="str">
        <f>E102 &amp; IF(F102&lt;&gt;"", "_" &amp; SUBSTITUTE(F102," ",""), "_") &amp; IF(G102&lt;&gt;"", "_" &amp; G102, "_") &amp; IF(B102&lt;&gt;"", "_" &amp; B102, "")</f>
        <v>Changizi__2005</v>
      </c>
      <c r="I102" s="10" t="str">
        <f>_xlfn.LET(
_xlpm.doi,IF(C102&lt;&gt;"",C102,_xlfn.TEXTAFTER(A102,"https://doi.org/")),
SUBSTITUTE(
SUBSTITUTE(
SUBSTITUTE(
SUBSTITUTE(
_xlpm.doi,
"/","%2F"),
":","%3A"),
"&lt;","%3C"),
"&gt;","%3E")
)</f>
        <v>10.1159%2F000085942</v>
      </c>
      <c r="J102" s="10" t="str">
        <f>TRIM(_xlfn.TEXTJOIN("_",FALSE(),H102,(SUBSTITUTE(SUBSTITUTE(D102," ",""), "_", ""))))</f>
        <v>Changizi__2005_Table1</v>
      </c>
      <c r="K102" s="10" t="str">
        <f>I102 &amp; "_" &amp; SUBSTITUTE(SUBSTITUTE(SUBSTITUTE(D102,CHAR(160),"")," ",""),"_","")</f>
        <v>10.1159%2F000085942_Table1</v>
      </c>
      <c r="L102" s="10" t="str">
        <f t="array" ref="L102">IFERROR(INDEX(AUTO_Public_TSV_FileList!$A$1:$A$1000,MATCH(TRUE(),EXACT(K102,IFERROR(_xlfn.TEXTBEFORE(AUTO_Public_TSV_FileList!$A$1:$A$1000,".tsv"),"")),0)),"notfound")</f>
        <v>10.1159%2F000085942_Table1.tsv</v>
      </c>
      <c r="M102" s="13"/>
      <c r="N102" s="1" t="inlineStr">
        <is>
          <t>table</t>
        </is>
      </c>
      <c r="O102" s="13"/>
      <c r="P102" s="1" t="inlineStr">
        <is>
          <t>FINISHED</t>
        </is>
      </c>
      <c r="Q102" s="1"/>
      <c r="R102" s="13"/>
      <c r="S102" s="13"/>
      <c r="T102" s="13"/>
      <c r="U102" s="13"/>
      <c r="V102" s="13"/>
      <c r="W102" s="1" t="inlineStr">
        <is>
          <t>Mammals</t>
        </is>
      </c>
      <c r="X102" s="1" t="inlineStr">
        <is>
          <t>average relative size of cortical areas; brain mass; EQ</t>
        </is>
      </c>
      <c r="Y102" s="13"/>
      <c r="Z102" s="13"/>
      <c r="AA102" s="13"/>
      <c r="AB102" s="1" t="inlineStr">
        <is>
          <t>cortical parcellation (mean relative area size)</t>
        </is>
      </c>
      <c r="AC102" s="1" t="inlineStr">
        <is>
          <t>Changizi</t>
        </is>
      </c>
      <c r="AD102" s="13"/>
      <c r="AE102" s="1" t="inlineStr">
        <is>
          <t>both</t>
        </is>
      </c>
      <c r="AF102" s="1"/>
      <c r="AG102" s="1" t="inlineStr">
        <is>
          <t>19 animals. The 4 rows with no SD (mouse, rat, ferret, cat) were COUNTED from unflattened maps, not measured - avg = 100/(2 x areas shown) reproduces all four exactly; recorded in rel_size_basis. brain_mass_g is kept in grams as printed (project unit is mg - convert x1000 at merge time).</t>
        </is>
      </c>
    </row>
    <row r="103" ht="17" customHeight="1">
      <c r="A103" s="1" t="inlineStr">
        <is>
          <t>Changizi, M. A., &amp; Shimojo, S. (2005). Parcellation and area-area connectivity as a function of neocortex size. Brain Behavior and Evolution, 66(2), 88-98. https://doi.org/10.1159/000085942</t>
        </is>
      </c>
      <c r="D103" s="1" t="inlineStr">
        <is>
          <t>Table 2</t>
        </is>
      </c>
      <c r="E103" s="10" t="str">
        <f>SUBSTITUTE(SUBSTITUTE(_xlfn.TEXTBEFORE(A103,","), "-", ""), " ", "")</f>
        <v>Changizi</v>
      </c>
      <c r="F103" s="10"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3" s="10" t="str">
        <f>_xlfn.TEXTBEFORE(_xlfn.TEXTAFTER(A103, "("), ")")</f>
        <v>2005</v>
      </c>
      <c r="H103" s="10" t="str">
        <f>E103 &amp; IF(F103&lt;&gt;"", "_" &amp; SUBSTITUTE(F103," ",""), "_") &amp; IF(G103&lt;&gt;"", "_" &amp; G103, "_") &amp; IF(B103&lt;&gt;"", "_" &amp; B103, "")</f>
        <v>Changizi__2005</v>
      </c>
      <c r="I103" s="10" t="str">
        <f>_xlfn.LET(
_xlpm.doi,IF(C103&lt;&gt;"",C103,_xlfn.TEXTAFTER(A103,"https://doi.org/")),
SUBSTITUTE(
SUBSTITUTE(
SUBSTITUTE(
SUBSTITUTE(
_xlpm.doi,
"/","%2F"),
":","%3A"),
"&lt;","%3C"),
"&gt;","%3E")
)</f>
        <v>10.1159%2F000085942</v>
      </c>
      <c r="J103" s="10" t="str">
        <f>TRIM(_xlfn.TEXTJOIN("_",FALSE(),H103,(SUBSTITUTE(SUBSTITUTE(D103," ",""), "_", ""))))</f>
        <v>Changizi__2005_Table2</v>
      </c>
      <c r="K103" s="10" t="str">
        <f>I103 &amp; "_" &amp; SUBSTITUTE(SUBSTITUTE(SUBSTITUTE(D103,CHAR(160),"")," ",""),"_","")</f>
        <v>10.1159%2F000085942_Table2</v>
      </c>
      <c r="L103" s="10" t="str">
        <f t="array" ref="L103">IFERROR(INDEX(AUTO_Public_TSV_FileList!$A$1:$A$1000,MATCH(TRUE(),EXACT(K103,IFERROR(_xlfn.TEXTBEFORE(AUTO_Public_TSV_FileList!$A$1:$A$1000,".tsv"),"")),0)),"notfound")</f>
        <v>10.1159%2F000085942_Table2.tsv</v>
      </c>
      <c r="M103" s="13"/>
      <c r="N103" s="1" t="inlineStr">
        <is>
          <t>table</t>
        </is>
      </c>
      <c r="O103" s="13"/>
      <c r="P103" s="1" t="inlineStr">
        <is>
          <t>FINISHED</t>
        </is>
      </c>
      <c r="Q103" s="1"/>
      <c r="R103" s="13"/>
      <c r="S103" s="13"/>
      <c r="T103" s="13"/>
      <c r="U103" s="13"/>
      <c r="V103" s="13"/>
      <c r="W103" s="1" t="inlineStr">
        <is>
          <t>Mammals</t>
        </is>
      </c>
      <c r="X103" s="1" t="inlineStr">
        <is>
          <t>relative size of V1, V2, A1, S1 and M1 (% of neocortex)</t>
        </is>
      </c>
      <c r="Y103" s="13"/>
      <c r="Z103" s="13"/>
      <c r="AA103" s="13"/>
      <c r="AB103" s="1" t="inlineStr">
        <is>
          <t>cortical area relative size (pct neocortex)</t>
        </is>
      </c>
      <c r="AC103" s="1" t="inlineStr">
        <is>
          <t>Changizi</t>
        </is>
      </c>
      <c r="AD103" s="13"/>
      <c r="AE103" s="1" t="inlineStr">
        <is>
          <t>primary</t>
        </is>
      </c>
      <c r="AF103" s="1"/>
      <c r="AG103" s="1" t="inlineStr">
        <is>
          <t>16 animals; blanks are 'not measured', NEVER zero, and are the main hazard in this table - a shifted row misassigns M1. Mouse's row is entirely blank and is kept as printed. V2, A1, S1 and M1 are not yet in _keys/anatomy_reference.csv.</t>
        </is>
      </c>
    </row>
    <row r="104" ht="17" customHeight="1">
      <c r="A104" s="1" t="inlineStr">
        <is>
          <t>Changizi, M. A., &amp; Shimojo, S. (2005). Parcellation and area-area connectivity as a function of neocortex size. Brain Behavior and Evolution, 66(2), 88-98. https://doi.org/10.1159/000085942</t>
        </is>
      </c>
      <c r="D104" s="1" t="inlineStr">
        <is>
          <t>Table 3</t>
        </is>
      </c>
      <c r="E104" s="10" t="str">
        <f>SUBSTITUTE(SUBSTITUTE(_xlfn.TEXTBEFORE(A104,","), "-", ""), " ", "")</f>
        <v>Changizi</v>
      </c>
      <c r="F104" s="10"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4" s="10" t="str">
        <f>_xlfn.TEXTBEFORE(_xlfn.TEXTAFTER(A104, "("), ")")</f>
        <v>2005</v>
      </c>
      <c r="H104" s="10" t="str">
        <f>E104 &amp; IF(F104&lt;&gt;"", "_" &amp; SUBSTITUTE(F104," ",""), "_") &amp; IF(G104&lt;&gt;"", "_" &amp; G104, "_") &amp; IF(B104&lt;&gt;"", "_" &amp; B104, "")</f>
        <v>Changizi__2005</v>
      </c>
      <c r="I104" s="10" t="str">
        <f>_xlfn.LET(
_xlpm.doi,IF(C104&lt;&gt;"",C104,_xlfn.TEXTAFTER(A104,"https://doi.org/")),
SUBSTITUTE(
SUBSTITUTE(
SUBSTITUTE(
SUBSTITUTE(
_xlpm.doi,
"/","%2F"),
":","%3A"),
"&lt;","%3C"),
"&gt;","%3E")
)</f>
        <v>10.1159%2F000085942</v>
      </c>
      <c r="J104" s="10" t="str">
        <f>TRIM(_xlfn.TEXTJOIN("_",FALSE(),H104,(SUBSTITUTE(SUBSTITUTE(D104," ",""), "_", ""))))</f>
        <v>Changizi__2005_Table3</v>
      </c>
      <c r="K104" s="10" t="str">
        <f>I104 &amp; "_" &amp; SUBSTITUTE(SUBSTITUTE(SUBSTITUTE(D104,CHAR(160),"")," ",""),"_","")</f>
        <v>10.1159%2F000085942_Table3</v>
      </c>
      <c r="L104" s="10" t="str">
        <f t="array" ref="L104">IFERROR(INDEX(AUTO_Public_TSV_FileList!$A$1:$A$1000,MATCH(TRUE(),EXACT(K104,IFERROR(_xlfn.TEXTBEFORE(AUTO_Public_TSV_FileList!$A$1:$A$1000,".tsv"),"")),0)),"notfound")</f>
        <v>10.1159%2F000085942_Table3.tsv</v>
      </c>
      <c r="M104" s="13"/>
      <c r="N104" s="1" t="inlineStr">
        <is>
          <t>table</t>
        </is>
      </c>
      <c r="O104" s="13"/>
      <c r="P104" s="1" t="inlineStr">
        <is>
          <t>FINISHED</t>
        </is>
      </c>
      <c r="Q104" s="1"/>
      <c r="R104" s="13"/>
      <c r="S104" s="13"/>
      <c r="T104" s="13"/>
      <c r="U104" s="13"/>
      <c r="V104" s="13"/>
      <c r="W104" s="1" t="inlineStr">
        <is>
          <t>Mammals</t>
        </is>
      </c>
      <c r="X104" s="1" t="inlineStr">
        <is>
          <t>number of cortical areas and area-area connections per subnetwork</t>
        </is>
      </c>
      <c r="Y104" s="13"/>
      <c r="Z104" s="13"/>
      <c r="AA104" s="13"/>
      <c r="AB104" s="1" t="inlineStr">
        <is>
          <t>cortical connectivity (areas, edges)</t>
        </is>
      </c>
      <c r="AC104" s="1" t="inlineStr">
        <is>
          <t>Changizi</t>
        </is>
      </c>
      <c r="AD104" s="13"/>
      <c r="AE104" s="1" t="inlineStr">
        <is>
          <t>secondary</t>
        </is>
      </c>
      <c r="AF104" s="1"/>
      <c r="AG104" s="1" t="inlineStr">
        <is>
          <t>10 sensory / somato-motor subnetworks compiled from other groups' connectivity matrices.</t>
        </is>
      </c>
    </row>
    <row r="105" ht="17" customHeight="1">
      <c r="A105" s="1" t="inlineStr">
        <is>
          <t>Changizi, M. A., &amp; Shimojo, S. (2005). Parcellation and area-area connectivity as a function of neocortex size. Brain Behavior and Evolution, 66(2), 88-98. https://doi.org/10.1159/000085942</t>
        </is>
      </c>
      <c r="B105" s="9"/>
      <c r="C105" s="9"/>
      <c r="D105" s="1" t="inlineStr">
        <is>
          <t>Table 4</t>
        </is>
      </c>
      <c r="E105" s="10" t="str">
        <f>SUBSTITUTE(SUBSTITUTE(_xlfn.TEXTBEFORE(A105,","), "-", ""), " ", "")</f>
        <v>Changizi</v>
      </c>
      <c r="F105" s="10"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5" s="10" t="str">
        <f>_xlfn.TEXTBEFORE(_xlfn.TEXTAFTER(A105, "("), ")")</f>
        <v>2005</v>
      </c>
      <c r="H105" s="10" t="str">
        <f>E105 &amp; IF(F105&lt;&gt;"", "_" &amp; SUBSTITUTE(F105," ",""), "_") &amp; IF(G105&lt;&gt;"", "_" &amp; G105, "_") &amp; IF(B105&lt;&gt;"", "_" &amp; B105, "")</f>
        <v>Changizi__2005</v>
      </c>
      <c r="I105" s="10" t="str">
        <f>_xlfn.LET(
_xlpm.doi,IF(C105&lt;&gt;"",C105,_xlfn.TEXTAFTER(A105,"https://doi.org/")),
SUBSTITUTE(
SUBSTITUTE(
SUBSTITUTE(
SUBSTITUTE(
_xlpm.doi,
"/","%2F"),
":","%3A"),
"&lt;","%3C"),
"&gt;","%3E")
)</f>
        <v>10.1159%2F000085942</v>
      </c>
      <c r="J105" s="10" t="str">
        <f>TRIM(_xlfn.TEXTJOIN("_",FALSE(),H105,(SUBSTITUTE(SUBSTITUTE(D105," ",""), "_", ""))))</f>
        <v>Changizi__2005_Table4</v>
      </c>
      <c r="K105" s="10" t="str">
        <f>I105 &amp; "_" &amp; SUBSTITUTE(SUBSTITUTE(SUBSTITUTE(D105,CHAR(160),"")," ",""),"_","")</f>
        <v>10.1159%2F000085942_Table4</v>
      </c>
      <c r="L105" s="10" t="str">
        <f t="array" ref="L105">IFERROR(INDEX(AUTO_Public_TSV_FileList!$A$1:$A$1000,MATCH(TRUE(),EXACT(K105,IFERROR(_xlfn.TEXTBEFORE(AUTO_Public_TSV_FileList!$A$1:$A$1000,".tsv"),"")),0)),"notfound")</f>
        <v>10.1159%2F000085942_Table4.tsv</v>
      </c>
      <c r="M105" s="13"/>
      <c r="N105" s="1" t="inlineStr">
        <is>
          <t>table</t>
        </is>
      </c>
      <c r="O105" s="13"/>
      <c r="P105" s="1" t="inlineStr">
        <is>
          <t>FINISHED</t>
        </is>
      </c>
      <c r="Q105" s="1"/>
      <c r="R105" s="13"/>
      <c r="S105" s="13"/>
      <c r="T105" s="13"/>
      <c r="U105" s="13"/>
      <c r="V105" s="13"/>
      <c r="W105" s="1" t="inlineStr">
        <is>
          <t>Mammals</t>
        </is>
      </c>
      <c r="X105" s="1" t="inlineStr">
        <is>
          <t>area-area connections per cortical area</t>
        </is>
      </c>
      <c r="Y105" s="13"/>
      <c r="Z105" s="13"/>
      <c r="AA105" s="13"/>
      <c r="AB105" s="1" t="inlineStr">
        <is>
          <t>cortical connectivity (connections per area)</t>
        </is>
      </c>
      <c r="AC105" s="1" t="inlineStr">
        <is>
          <t>Changizi</t>
        </is>
      </c>
      <c r="AD105" s="13"/>
      <c r="AE105" s="1" t="inlineStr">
        <is>
          <t>secondary</t>
        </is>
      </c>
      <c r="AF105" s="1"/>
      <c r="AG105" s="1" t="inlineStr">
        <is>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is>
      </c>
    </row>
    <row r="106" ht="17" customHeight="1">
      <c r="A106" s="1" t="inlineStr">
        <is>
          <t>Changizi, M. A., &amp; Shimojo, S. (2005). Parcellation and area-area connectivity as a function of neocortex size. Brain Behavior and Evolution, 66(2), 88-98. https://doi.org/10.1159/000085942</t>
        </is>
      </c>
      <c r="D106" s="1" t="inlineStr">
        <is>
          <t>Table 5</t>
        </is>
      </c>
      <c r="E106" s="10" t="str">
        <f>SUBSTITUTE(SUBSTITUTE(_xlfn.TEXTBEFORE(A106,","), "-", ""), " ", "")</f>
        <v>Changizi</v>
      </c>
      <c r="F106" s="10"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6" s="10" t="str">
        <f>_xlfn.TEXTBEFORE(_xlfn.TEXTAFTER(A106, "("), ")")</f>
        <v>2005</v>
      </c>
      <c r="H106" s="10" t="str">
        <f>E106 &amp; IF(F106&lt;&gt;"", "_" &amp; SUBSTITUTE(F106," ",""), "_") &amp; IF(G106&lt;&gt;"", "_" &amp; G106, "_") &amp; IF(B106&lt;&gt;"", "_" &amp; B106, "")</f>
        <v>Changizi__2005</v>
      </c>
      <c r="I106" s="10" t="str">
        <f>_xlfn.LET(
_xlpm.doi,IF(C106&lt;&gt;"",C106,_xlfn.TEXTAFTER(A106,"https://doi.org/")),
SUBSTITUTE(
SUBSTITUTE(
SUBSTITUTE(
SUBSTITUTE(
_xlpm.doi,
"/","%2F"),
":","%3A"),
"&lt;","%3C"),
"&gt;","%3E")
)</f>
        <v>10.1159%2F000085942</v>
      </c>
      <c r="J106" s="10" t="str">
        <f>TRIM(_xlfn.TEXTJOIN("_",FALSE(),H106,(SUBSTITUTE(SUBSTITUTE(D106," ",""), "_", ""))))</f>
        <v>Changizi__2005_Table5</v>
      </c>
      <c r="K106" s="10" t="str">
        <f>I106 &amp; "_" &amp; SUBSTITUTE(SUBSTITUTE(SUBSTITUTE(D106,CHAR(160),"")," ",""),"_","")</f>
        <v>10.1159%2F000085942_Table5</v>
      </c>
      <c r="L106" s="10" t="str">
        <f t="array" ref="L106">IFERROR(INDEX(AUTO_Public_TSV_FileList!$A$1:$A$1000,MATCH(TRUE(),EXACT(K106,IFERROR(_xlfn.TEXTBEFORE(AUTO_Public_TSV_FileList!$A$1:$A$1000,".tsv"),"")),0)),"notfound")</f>
        <v>10.1159%2F000085942_Table5.tsv</v>
      </c>
      <c r="M106" s="13"/>
      <c r="N106" s="1" t="inlineStr">
        <is>
          <t>table</t>
        </is>
      </c>
      <c r="O106" s="13"/>
      <c r="P106" s="1" t="inlineStr">
        <is>
          <t>FINISHED</t>
        </is>
      </c>
      <c r="Q106" s="1"/>
      <c r="R106" s="13"/>
      <c r="S106" s="13"/>
      <c r="T106" s="13"/>
      <c r="U106" s="13"/>
      <c r="V106" s="13"/>
      <c r="W106" s="1" t="inlineStr">
        <is>
          <t>Mammals</t>
        </is>
      </c>
      <c r="X106" s="1" t="inlineStr">
        <is>
          <t>average number of area connections per area</t>
        </is>
      </c>
      <c r="Y106" s="13"/>
      <c r="Z106" s="13"/>
      <c r="AA106" s="13"/>
      <c r="AB106" s="1" t="inlineStr">
        <is>
          <t>cortical connectivity (mean connections per area)</t>
        </is>
      </c>
      <c r="AC106" s="1" t="inlineStr">
        <is>
          <t>Changizi</t>
        </is>
      </c>
      <c r="AD106" s="13"/>
      <c r="AE106" s="1" t="inlineStr">
        <is>
          <t>secondary</t>
        </is>
      </c>
      <c r="AF106" s="1"/>
      <c r="AG106" s="1" t="inlineStr">
        <is>
          <t>11 rows, derived from Table 4: 10^mean(log10 x) and the sample SD of log10 x reproduce Table 5's mean AND SD to 2 dp for all 9 recomputable animals. Rat SD = 0 is a true zero (n = 1).</t>
        </is>
      </c>
    </row>
    <row r="107" ht="17" customHeight="1">
      <c r="A107" s="13" t="inlineStr">
        <is>
          <t>Chaplin, T. A., Yu, H. H., Soares, J. G., Gattass, R., &amp; Rosa, M. G. (2013). A conserved pattern of differential expansion of cortical areas in simian primates. J Neurosci, 33(38), 15120-15125. https://doi.org/10.1523/JNEUROSCI.2909-13.2013</t>
        </is>
      </c>
      <c r="D107" s="13" t="inlineStr">
        <is>
          <t>Results Text</t>
        </is>
      </c>
      <c r="E107" s="10" t="str">
        <f>SUBSTITUTE(SUBSTITUTE(_xlfn.TEXTBEFORE(A107,","), "-", ""), " ", "")</f>
        <v>Chaplin</v>
      </c>
      <c r="F107" s="10"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10" t="str">
        <f>_xlfn.TEXTBEFORE(_xlfn.TEXTAFTER(A107, "("), ")")</f>
        <v>2013</v>
      </c>
      <c r="H107" s="10" t="str">
        <f>E107 &amp; IF(F107&lt;&gt;"", "_" &amp; SUBSTITUTE(F107," ",""), "_") &amp; IF(G107&lt;&gt;"", "_" &amp; G107, "_") &amp; IF(B107&lt;&gt;"", "_" &amp; B107, "")</f>
        <v>Chaplin_etal_2013</v>
      </c>
      <c r="I107" s="10" t="str">
        <f>_xlfn.LET(
_xlpm.doi,IF(C107&lt;&gt;"",C107,_xlfn.TEXTAFTER(A107,"https://doi.org/")),
SUBSTITUTE(
SUBSTITUTE(
SUBSTITUTE(
SUBSTITUTE(
_xlpm.doi,
"/","%2F"),
":","%3A"),
"&lt;","%3C"),
"&gt;","%3E")
)</f>
        <v>10.1523%2FJNEUROSCI.2909-13.2013</v>
      </c>
      <c r="J107" s="10" t="str">
        <f>TRIM(_xlfn.TEXTJOIN("_",FALSE(),H107,(SUBSTITUTE(SUBSTITUTE(D107," ",""), "_", ""))))</f>
        <v>Chaplin_etal_2013_ResultsText</v>
      </c>
      <c r="K107" s="10" t="str">
        <f>I107 &amp; "_" &amp; SUBSTITUTE(SUBSTITUTE(SUBSTITUTE(D107,CHAR(160),"")," ",""),"_","")</f>
        <v>10.1523%2FJNEUROSCI.2909-13.2013_ResultsText</v>
      </c>
      <c r="L107" s="10" t="str">
        <f t="array" ref="L107">IFERROR(INDEX(AUTO_Public_TSV_FileList!$A$1:$A$1000,MATCH(TRUE(),EXACT(K107,IFERROR(_xlfn.TEXTBEFORE(AUTO_Public_TSV_FileList!$A$1:$A$1000,".tsv"),"")),0)),"notfound")</f>
        <v>10.1523%2FJNEUROSCI.2909-13.2013_ResultsText.tsv</v>
      </c>
      <c r="M107" s="17" t="inlineStr">
        <is>
          <t>Results, first paragraph — cortical surface areas of the three monkey models</t>
        </is>
      </c>
      <c r="N107" s="17" t="inlineStr">
        <is>
          <t>text</t>
        </is>
      </c>
      <c r="O107" s="13"/>
      <c r="P107" s="17" t="inlineStr">
        <is>
          <t>FINISHED</t>
        </is>
      </c>
      <c r="Q107" s="17"/>
      <c r="R107" s="17" t="inlineStr">
        <is>
          <t>https://doi.org/10.1523/JNEUROSCI.2909-13.2013</t>
        </is>
      </c>
      <c r="S107" s="17" t="inlineStr">
        <is>
          <t>Values, species, sexes and body masses read directly from the PDF Results text on 2026-08-31; confirmed the paper carries Figures 1-4 only and no data tables, and that the supplemental material is a video. Citation and DOI confirmed via CrossRef.</t>
        </is>
      </c>
      <c r="T107" s="17" t="inlineStr">
        <is>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is>
      </c>
      <c r="U107" s="17"/>
      <c r="V107" s="13"/>
      <c r="W107" s="17" t="inlineStr">
        <is>
          <t>Primates</t>
        </is>
      </c>
      <c r="X107" s="17" t="inlineStr">
        <is>
          <t>cortical surface area</t>
        </is>
      </c>
      <c r="Y107" s="17" t="inlineStr">
        <is>
          <t>Total cortical surface area (mm2)</t>
        </is>
      </c>
      <c r="Z107" s="17"/>
      <c r="AA107" s="17" t="inlineStr">
        <is>
          <t>MRI using reference landmark registration</t>
        </is>
      </c>
      <c r="AB107" s="17" t="inlineStr">
        <is>
          <t>cortical surface area</t>
        </is>
      </c>
      <c r="AC107" s="17"/>
      <c r="AD107" s="17"/>
      <c r="AE107" s="17" t="inlineStr">
        <is>
          <t>primary</t>
        </is>
      </c>
      <c r="AF107" s="17"/>
      <c r="AG107" s="17" t="inlineStr">
        <is>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is>
      </c>
    </row>
    <row r="108" ht="17" customHeight="1">
      <c r="A108" s="1" t="inlineStr">
        <is>
          <t>Chen, Z., &amp; Wiens, J. J. (2020). The origins of acoustic communication in vertebrates. Nature Communications, 11(1), 369. https://doi.org/10.1038/s41467-020-14356-3</t>
        </is>
      </c>
      <c r="D108" s="1" t="inlineStr">
        <is>
          <t>Supplementary Data 3</t>
        </is>
      </c>
      <c r="E108" s="10" t="str">
        <f>SUBSTITUTE(SUBSTITUTE(_xlfn.TEXTBEFORE(A108,","), "-", ""), " ", "")</f>
        <v>Chen</v>
      </c>
      <c r="F108" s="10"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8" s="10" t="str">
        <f>_xlfn.TEXTBEFORE(_xlfn.TEXTAFTER(A108, "("), ")")</f>
        <v>2020</v>
      </c>
      <c r="H108" s="10" t="str">
        <f>E108 &amp; IF(F108&lt;&gt;"", "_" &amp; SUBSTITUTE(F108," ",""), "_") &amp; IF(G108&lt;&gt;"", "_" &amp; G108, "_") &amp; IF(B108&lt;&gt;"", "_" &amp; B108, "")</f>
        <v>Chen__2020</v>
      </c>
      <c r="I108" s="10" t="str">
        <f>_xlfn.LET(
_xlpm.doi,IF(C108&lt;&gt;"",C108,_xlfn.TEXTAFTER(A108,"https://doi.org/")),
SUBSTITUTE(
SUBSTITUTE(
SUBSTITUTE(
SUBSTITUTE(
_xlpm.doi,
"/","%2F"),
":","%3A"),
"&lt;","%3C"),
"&gt;","%3E")
)</f>
        <v>10.1038%2Fs41467-020-14356-3</v>
      </c>
      <c r="J108" s="10" t="str">
        <f>TRIM(_xlfn.TEXTJOIN("_",FALSE(),H108,(SUBSTITUTE(SUBSTITUTE(D108," ",""), "_", ""))))</f>
        <v>Chen__2020_SupplementaryData3</v>
      </c>
      <c r="K108" s="10" t="str">
        <f>I108 &amp; "_" &amp; SUBSTITUTE(SUBSTITUTE(SUBSTITUTE(D108,CHAR(160),"")," ",""),"_","")</f>
        <v>10.1038%2Fs41467-020-14356-3_SupplementaryData3</v>
      </c>
      <c r="L108" s="10" t="str">
        <f t="array" ref="L108">IFERROR(INDEX(AUTO_Public_TSV_FileList!$A$1:$A$1000,MATCH(TRUE(),EXACT(K108,IFERROR(_xlfn.TEXTBEFORE(AUTO_Public_TSV_FileList!$A$1:$A$1000,".tsv"),"")),0)),"notfound")</f>
        <v>10.1038%2Fs41467-020-14356-3_SupplementaryData3.tsv</v>
      </c>
      <c r="M108" s="13"/>
      <c r="N108" s="1" t="inlineStr">
        <is>
          <t>table</t>
        </is>
      </c>
      <c r="O108" s="13"/>
      <c r="P108" s="1" t="inlineStr">
        <is>
          <t>FINISHED</t>
        </is>
      </c>
      <c r="Q108" s="1" t="inlineStr">
        <is>
          <t>41467_2020_14356_MOESM6_ESM.xlsx</t>
        </is>
      </c>
      <c r="R108" s="1" t="inlineStr">
        <is>
          <t>https://static-content.springer.com/esm/art%3A10.1038%2Fs41467-020-14356-3/MediaObjects/41467_2020_14356_MOESM6_ESM.xlsx</t>
        </is>
      </c>
      <c r="S108" s="13"/>
      <c r="T108" s="13"/>
      <c r="U108" s="13"/>
      <c r="V108" s="13"/>
      <c r="W108" s="1" t="inlineStr">
        <is>
          <t>Tetrapod vertebrates</t>
        </is>
      </c>
      <c r="X108" s="1" t="inlineStr">
        <is>
          <t>acoustic communication</t>
        </is>
      </c>
      <c r="Y108" s="1" t="inlineStr">
        <is>
          <t>dial activity (Supp 4)</t>
        </is>
      </c>
      <c r="Z108" s="13"/>
      <c r="AA108" s="13"/>
      <c r="AB108" s="1" t="inlineStr">
        <is>
          <t>behavioural (acoustic communication)</t>
        </is>
      </c>
      <c r="AC108" s="13"/>
      <c r="AD108" s="13"/>
      <c r="AE108" s="1" t="inlineStr">
        <is>
          <t>secondary</t>
        </is>
      </c>
      <c r="AF108" s="1"/>
      <c r="AG108" s="13"/>
    </row>
    <row r="109" ht="17" customHeight="1">
      <c r="A109" s="9" t="inlineStr">
        <is>
          <t>Clancy, B., Darlington, R. B., &amp; Finlay, B. L. (2001). Translating developmental time across mammalian species. Neuroscience, 105(1), 7-17. https://doi.org/10.1016/s0306-4522(01)00171-3</t>
        </is>
      </c>
      <c r="B109" s="20"/>
      <c r="D109" s="9" t="inlineStr">
        <is>
          <t>Table 1</t>
        </is>
      </c>
      <c r="E109" s="10" t="str">
        <f>SUBSTITUTE(SUBSTITUTE(_xlfn.TEXTBEFORE(A109,","), "-", ""), " ", "")</f>
        <v>Clancy</v>
      </c>
      <c r="F109" s="10"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10" t="str">
        <f>_xlfn.TEXTBEFORE(_xlfn.TEXTAFTER(A109, "("), ")")</f>
        <v>2001</v>
      </c>
      <c r="H109" s="10" t="str">
        <f>E109 &amp; IF(F109&lt;&gt;"", "_" &amp; SUBSTITUTE(F109," ",""), "_") &amp; IF(G109&lt;&gt;"", "_" &amp; G109, "_") &amp; IF(B109&lt;&gt;"", "_" &amp; B109, "")</f>
        <v>Clancy_etal_2001</v>
      </c>
      <c r="I109" s="10" t="str">
        <f>_xlfn.LET(
_xlpm.doi,IF(C109&lt;&gt;"",C109,_xlfn.TEXTAFTER(A109,"https://doi.org/")),
SUBSTITUTE(
SUBSTITUTE(
SUBSTITUTE(
SUBSTITUTE(
_xlpm.doi,
"/","%2F"),
":","%3A"),
"&lt;","%3C"),
"&gt;","%3E")
)</f>
        <v>10.1016%2Fs0306-4522(01)00171-3</v>
      </c>
      <c r="J109" s="10" t="str">
        <f>TRIM(_xlfn.TEXTJOIN("_",FALSE(),H109,(SUBSTITUTE(SUBSTITUTE(D109," ",""), "_", ""))))</f>
        <v>Clancy_etal_2001_Table1</v>
      </c>
      <c r="K109" s="10" t="str">
        <f>I109 &amp; "_" &amp; SUBSTITUTE(SUBSTITUTE(SUBSTITUTE(D109,CHAR(160),"")," ",""),"_","")</f>
        <v>10.1016%2Fs0306-4522(01)00171-3_Table1</v>
      </c>
      <c r="L109" s="10" t="str">
        <f t="array" ref="L109">IFERROR(INDEX(AUTO_Public_TSV_FileList!$A$1:$A$1000,MATCH(TRUE(),EXACT(K109,IFERROR(_xlfn.TEXTBEFORE(AUTO_Public_TSV_FileList!$A$1:$A$1000,".tsv"),"")),0)),"notfound")</f>
        <v>10.1016%2Fs0306-4522(01)00171-3_Table1.tsv</v>
      </c>
      <c r="M109" s="9" t="inlineStr">
        <is>
          <t>Table 1. Predicted dates of neural events in post-conception days (model and empirical) for 95 events in nine species</t>
        </is>
      </c>
      <c r="N109" s="9" t="inlineStr">
        <is>
          <t>PDF table (rotated; constructed transcribed snapshot)</t>
        </is>
      </c>
      <c r="O109" s="9" t="inlineStr">
        <is>
          <t>Predicted (model, all cells) and empirical (362 cells, letter-coded literature sources) timing; includes neurogenesis start/peak/end events and event/species model scores. Added because Lewitus et al. 2014 cites it (ref 43) for neurogenic period of 4 species.</t>
        </is>
      </c>
      <c r="P109" s="9" t="inlineStr">
        <is>
          <t>PREPARED (CSV built; owner registry paste / public TSV pending; RA side-by-side check pending)</t>
        </is>
      </c>
      <c r="Q109" s="9" t="inlineStr">
        <is>
          <t>Clancy_etal_2001_Table1_snapshot.csv</t>
        </is>
      </c>
      <c r="R109" s="9" t="inlineStr">
        <is>
          <t>https://doi.org/10.1016/s0306-4522(01)00171-3</t>
        </is>
      </c>
      <c r="S109" s="9"/>
      <c r="T109" s="9"/>
      <c r="U109" s="9"/>
      <c r="V109" s="9"/>
      <c r="W109" s="9" t="inlineStr">
        <is>
          <t>Mammals (hamster, mouse, rat, rabbit, spiny mouse, ferret, cat, macaque, human)</t>
        </is>
      </c>
      <c r="X109" s="9" t="inlineStr">
        <is>
          <t>timing of neural events (neurogenesis start/peak/end, axon/tract appearance) in post-conception days</t>
        </is>
      </c>
      <c r="Y109" s="9" t="inlineStr">
        <is>
          <t>event and species model scores</t>
        </is>
      </c>
      <c r="Z109" s="9" t="inlineStr">
        <is>
          <t>literature compilation of developmental timing (histology/autoradiography)</t>
        </is>
      </c>
      <c r="AA109" s="9" t="inlineStr">
        <is>
          <t>regression model of event order across species fitted to literature dates</t>
        </is>
      </c>
      <c r="AB109" s="9" t="inlineStr">
        <is>
          <t>developmental timing</t>
        </is>
      </c>
      <c r="AC109" s="9"/>
      <c r="AD109" s="9"/>
      <c r="AE109" s="9" t="inlineStr">
        <is>
          <t>both</t>
        </is>
      </c>
      <c r="AF109" s="9" t="inlineStr">
        <is>
          <t>empirical dates from Ashwell 1996; Bayer &amp; Altman 1990/1991; Brunjes 1989; Caviness 1982; Darlington 1999; Dunlop 1997; Finlay &amp; Darlington 1995; Kostovic &amp; Rakic 1980; Luskin &amp; Shatz 1985; Rakic 1974; Robinson &amp; Dreher 1990; Woo 1991</t>
        </is>
      </c>
      <c r="AG109" s="9"/>
    </row>
    <row r="110" ht="17" customHeight="1">
      <c r="A110" s="9" t="inlineStr">
        <is>
          <t>Clancy, B., Darlington, R. B., &amp; Finlay, B. L. (2001). Translating developmental time across mammalian species. Neuroscience, 105(1), 7-17. https://doi.org/10.1016/s0306-4522(01)00171-3</t>
        </is>
      </c>
      <c r="B110" s="20"/>
      <c r="D110" s="9" t="inlineStr">
        <is>
          <t>Table 2</t>
        </is>
      </c>
      <c r="E110" s="10" t="str">
        <f>SUBSTITUTE(SUBSTITUTE(_xlfn.TEXTBEFORE(A110,","), "-", ""), " ", "")</f>
        <v>Clancy</v>
      </c>
      <c r="F110" s="10"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10" t="str">
        <f>_xlfn.TEXTBEFORE(_xlfn.TEXTAFTER(A110, "("), ")")</f>
        <v>2001</v>
      </c>
      <c r="H110" s="10" t="str">
        <f>E110 &amp; IF(F110&lt;&gt;"", "_" &amp; SUBSTITUTE(F110," ",""), "_") &amp; IF(G110&lt;&gt;"", "_" &amp; G110, "_") &amp; IF(B110&lt;&gt;"", "_" &amp; B110, "")</f>
        <v>Clancy_etal_2001</v>
      </c>
      <c r="I110" s="10" t="str">
        <f>_xlfn.LET(
_xlpm.doi,IF(C110&lt;&gt;"",C110,_xlfn.TEXTAFTER(A110,"https://doi.org/")),
SUBSTITUTE(
SUBSTITUTE(
SUBSTITUTE(
SUBSTITUTE(
_xlpm.doi,
"/","%2F"),
":","%3A"),
"&lt;","%3C"),
"&gt;","%3E")
)</f>
        <v>10.1016%2Fs0306-4522(01)00171-3</v>
      </c>
      <c r="J110" s="10" t="str">
        <f>TRIM(_xlfn.TEXTJOIN("_",FALSE(),H110,(SUBSTITUTE(SUBSTITUTE(D110," ",""), "_", ""))))</f>
        <v>Clancy_etal_2001_Table2</v>
      </c>
      <c r="K110" s="10" t="str">
        <f>I110 &amp; "_" &amp; SUBSTITUTE(SUBSTITUTE(SUBSTITUTE(D110,CHAR(160),"")," ",""),"_","")</f>
        <v>10.1016%2Fs0306-4522(01)00171-3_Table2</v>
      </c>
      <c r="L110" s="10" t="str">
        <f t="array" ref="L110">IFERROR(INDEX(AUTO_Public_TSV_FileList!$A$1:$A$1000,MATCH(TRUE(),EXACT(K110,IFERROR(_xlfn.TEXTBEFORE(AUTO_Public_TSV_FileList!$A$1:$A$1000,".tsv"),"")),0)),"notfound")</f>
        <v>10.1016%2Fs0306-4522(01)00171-3_Table2.tsv</v>
      </c>
      <c r="M110" s="9" t="inlineStr">
        <is>
          <t>Table 2. Translating time across species (rat days to equivalent post-conception / postnatal days in eight other species)</t>
        </is>
      </c>
      <c r="N110" s="9" t="inlineStr">
        <is>
          <t>PDF table (constructed transcribed snapshot)</t>
        </is>
      </c>
      <c r="O110" s="9" t="inlineStr">
        <is>
          <t>Model-derived translation table, not observations; macaque and human have limbic/other/cortex columns; gestation times in headings.</t>
        </is>
      </c>
      <c r="P110" s="9" t="inlineStr">
        <is>
          <t>PREPARED (CSV built; owner registry paste / public TSV pending; RA side-by-side check pending)</t>
        </is>
      </c>
      <c r="Q110" s="9" t="inlineStr">
        <is>
          <t>Clancy_etal_2001_Table2_snapshot.csv</t>
        </is>
      </c>
      <c r="R110" s="9" t="inlineStr">
        <is>
          <t>https://doi.org/10.1016/s0306-4522(01)00171-3</t>
        </is>
      </c>
      <c r="S110" s="9"/>
      <c r="T110" s="9"/>
      <c r="U110" s="9"/>
      <c r="V110" s="9"/>
      <c r="W110" s="9" t="inlineStr">
        <is>
          <t>Mammals (hamster, mouse, rat, rabbit, spiny mouse, ferret, cat, macaque, human)</t>
        </is>
      </c>
      <c r="X110" s="9" t="inlineStr">
        <is>
          <t>cross-species translation of neural developmental time; gestation length</t>
        </is>
      </c>
      <c r="Y110" s="9" t="inlineStr">
        <is>
          <t>birth stage across species</t>
        </is>
      </c>
      <c r="Z110" s="9" t="inlineStr">
        <is>
          <t>model predictions</t>
        </is>
      </c>
      <c r="AA110" s="9" t="inlineStr">
        <is>
          <t>regression model (Table 1)</t>
        </is>
      </c>
      <c r="AB110" s="9" t="inlineStr">
        <is>
          <t>developmental timing</t>
        </is>
      </c>
      <c r="AC110" s="9"/>
      <c r="AD110" s="9"/>
      <c r="AE110" s="9" t="inlineStr">
        <is>
          <t>derived</t>
        </is>
      </c>
      <c r="AF110" s="9"/>
      <c r="AG110" s="9"/>
    </row>
    <row r="111" ht="17" customHeight="1">
      <c r="A111" s="1" t="inlineStr">
        <is>
          <t>Collins, C. E., Airey, D. C., Young, N. A., Leitch, D. B., &amp; Kaas, J. H. (2010). Neuron densities vary across and within cortical areas in primates. Proc Natl Acad Sci U S A, 107(36), 15927-15932. https://doi.org/10.1073/pnas.1010356107</t>
        </is>
      </c>
      <c r="B111" s="18"/>
      <c r="C111" s="18"/>
      <c r="D111" s="1" t="inlineStr">
        <is>
          <t>Dataset S1</t>
        </is>
      </c>
      <c r="E111" s="10" t="str">
        <f>SUBSTITUTE(SUBSTITUTE(_xlfn.TEXTBEFORE(A111,","), "-", ""), " ", "")</f>
        <v>Collins</v>
      </c>
      <c r="F111" s="10"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10" t="str">
        <f>_xlfn.TEXTBEFORE(_xlfn.TEXTAFTER(A111, "("), ")")</f>
        <v>2010</v>
      </c>
      <c r="H111" s="10" t="str">
        <f>E111 &amp; IF(F111&lt;&gt;"", "_" &amp; SUBSTITUTE(F111," ",""), "_") &amp; IF(G111&lt;&gt;"", "_" &amp; G111, "_") &amp; IF(B111&lt;&gt;"", "_" &amp; B111, "")</f>
        <v>Collins_etal_2010</v>
      </c>
      <c r="I111" s="10" t="str">
        <f>_xlfn.LET(
_xlpm.doi,IF(C111&lt;&gt;"",C111,_xlfn.TEXTAFTER(A111,"https://doi.org/")),
SUBSTITUTE(
SUBSTITUTE(
SUBSTITUTE(
SUBSTITUTE(
_xlpm.doi,
"/","%2F"),
":","%3A"),
"&lt;","%3C"),
"&gt;","%3E")
)</f>
        <v>10.1073%2Fpnas.1010356107</v>
      </c>
      <c r="J111" s="10" t="str">
        <f>TRIM(_xlfn.TEXTJOIN("_",FALSE(),H111,(SUBSTITUTE(SUBSTITUTE(D111," ",""), "_", ""))))</f>
        <v>Collins_etal_2010_DatasetS1</v>
      </c>
      <c r="K111" s="10" t="str">
        <f>I111 &amp; "_" &amp; SUBSTITUTE(SUBSTITUTE(SUBSTITUTE(D111,CHAR(160),"")," ",""),"_","")</f>
        <v>10.1073%2Fpnas.1010356107_DatasetS1</v>
      </c>
      <c r="L111" s="10" t="str">
        <f t="array" ref="L111">IFERROR(INDEX(AUTO_Public_TSV_FileList!$A$1:$A$1000,MATCH(TRUE(),EXACT(K111,IFERROR(_xlfn.TEXTBEFORE(AUTO_Public_TSV_FileList!$A$1:$A$1000,".tsv"),"")),0)),"notfound")</f>
        <v>10.1073%2Fpnas.1010356107_DatasetS1.tsv</v>
      </c>
      <c r="M111" s="13"/>
      <c r="N111" s="13"/>
      <c r="O111" s="13"/>
      <c r="P111" s="1" t="inlineStr">
        <is>
          <t>FINISHED</t>
        </is>
      </c>
      <c r="Q111" s="13"/>
      <c r="R111" s="13"/>
      <c r="S111" s="13"/>
      <c r="T111" s="13"/>
      <c r="U111" s="13"/>
      <c r="V111" s="13"/>
      <c r="W111" s="1" t="inlineStr">
        <is>
          <t>Primates</t>
        </is>
      </c>
      <c r="X111" s="1" t="inlineStr">
        <is>
          <t>cortical area surface area, neuron density</t>
        </is>
      </c>
      <c r="Y111" s="13"/>
      <c r="Z111" s="13"/>
      <c r="AA111" s="13"/>
      <c r="AB111" s="1" t="inlineStr">
        <is>
          <t>cortical surface area</t>
        </is>
      </c>
      <c r="AC111" s="1" t="inlineStr">
        <is>
          <t>Kaas</t>
        </is>
      </c>
      <c r="AD111" s="13"/>
      <c r="AE111" s="1" t="inlineStr">
        <is>
          <t>primary</t>
        </is>
      </c>
      <c r="AF111" s="1"/>
      <c r="AG111" s="13"/>
    </row>
    <row r="112" ht="17" customHeight="1">
      <c r="A112" s="1" t="inlineStr">
        <is>
          <t>Collins, C. E., Turner, E. C., Sawyer, E. K., Reed, J. L., Young, N. A., Flaherty, D. K., &amp; Kaas, J. H. (2016). Cortical cell and neuron density estimates in one chimpanzee hemisphere. Proc Natl Acad Sci U S A, 113(3), 740-745. https://doi.org/10.1073/pnas.1524208113</t>
        </is>
      </c>
      <c r="D112" s="1" t="inlineStr">
        <is>
          <t>Table 1</t>
        </is>
      </c>
      <c r="E112" s="10" t="str">
        <f>SUBSTITUTE(SUBSTITUTE(_xlfn.TEXTBEFORE(A112,","), "-", ""), " ", "")</f>
        <v>Collins</v>
      </c>
      <c r="F112" s="10"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10" t="str">
        <f>_xlfn.TEXTBEFORE(_xlfn.TEXTAFTER(A112, "("), ")")</f>
        <v>2016</v>
      </c>
      <c r="H112" s="10" t="str">
        <f>E112 &amp; IF(F112&lt;&gt;"", "_" &amp; SUBSTITUTE(F112," ",""), "_") &amp; IF(G112&lt;&gt;"", "_" &amp; G112, "_") &amp; IF(B112&lt;&gt;"", "_" &amp; B112, "")</f>
        <v>Collins_etal_2016</v>
      </c>
      <c r="I112" s="10" t="str">
        <f>_xlfn.LET(
_xlpm.doi,IF(C112&lt;&gt;"",C112,_xlfn.TEXTAFTER(A112,"https://doi.org/")),
SUBSTITUTE(
SUBSTITUTE(
SUBSTITUTE(
SUBSTITUTE(
_xlpm.doi,
"/","%2F"),
":","%3A"),
"&lt;","%3C"),
"&gt;","%3E")
)</f>
        <v>10.1073%2Fpnas.1524208113</v>
      </c>
      <c r="J112" s="10" t="str">
        <f>TRIM(_xlfn.TEXTJOIN("_",FALSE(),H112,(SUBSTITUTE(SUBSTITUTE(D112," ",""), "_", ""))))</f>
        <v>Collins_etal_2016_Table1</v>
      </c>
      <c r="K112" s="10" t="str">
        <f>I112 &amp; "_" &amp; SUBSTITUTE(SUBSTITUTE(SUBSTITUTE(D112,CHAR(160),"")," ",""),"_","")</f>
        <v>10.1073%2Fpnas.1524208113_Table1</v>
      </c>
      <c r="L112" s="10" t="str">
        <f t="array" ref="L112">IFERROR(INDEX(AUTO_Public_TSV_FileList!$A$1:$A$1000,MATCH(TRUE(),EXACT(K112,IFERROR(_xlfn.TEXTBEFORE(AUTO_Public_TSV_FileList!$A$1:$A$1000,".tsv"),"")),0)),"notfound")</f>
        <v>10.1073%2Fpnas.1524208113_Table1.tsv</v>
      </c>
      <c r="M112" s="1" t="inlineStr">
        <is>
          <t>Cortical cell and neuron density in one chimpanzee hemisphere (Table 1)</t>
        </is>
      </c>
      <c r="N112" s="1" t="inlineStr">
        <is>
          <t>table</t>
        </is>
      </c>
      <c r="O112" s="13"/>
      <c r="P112" s="1" t="inlineStr">
        <is>
          <t>FINISHED</t>
        </is>
      </c>
      <c r="Q112" s="13"/>
      <c r="R112" s="13"/>
      <c r="S112" s="13"/>
      <c r="T112" s="13"/>
      <c r="U112" s="13"/>
      <c r="V112" s="13"/>
      <c r="W112" s="1" t="inlineStr">
        <is>
          <t>Primates</t>
        </is>
      </c>
      <c r="X112" s="1" t="inlineStr">
        <is>
          <t>cortical neuron/cell density</t>
        </is>
      </c>
      <c r="Y112" s="13"/>
      <c r="Z112" s="13"/>
      <c r="AA112" s="1" t="inlineStr">
        <is>
          <t>isotropic fractionator</t>
        </is>
      </c>
      <c r="AB112" s="1" t="inlineStr">
        <is>
          <t>neuron/cell density &amp; number</t>
        </is>
      </c>
      <c r="AC112" s="1" t="inlineStr">
        <is>
          <t>Kaas</t>
        </is>
      </c>
      <c r="AD112" s="1" t="inlineStr">
        <is>
          <t>HH</t>
        </is>
      </c>
      <c r="AE112" s="1" t="inlineStr">
        <is>
          <t>primary</t>
        </is>
      </c>
      <c r="AF112" s="1"/>
      <c r="AG112" s="13"/>
    </row>
    <row r="113" ht="17" customHeight="1">
      <c r="A113" s="1" t="inlineStr">
        <is>
          <t>Conesa, J., Heffner, R. S., &amp; Heffner, H. E. (1991). Hearing in large rodents: Groundhogs Marmota monax. Association for Research in Otolaryngology Abstracts, abstract 83, p. 24.</t>
        </is>
      </c>
      <c r="C113" t="inlineStr">
        <is>
          <t>ARO:1991:83</t>
        </is>
      </c>
      <c r="D113" s="1" t="inlineStr">
        <is>
          <t>Text</t>
        </is>
      </c>
      <c r="E113" s="10" t="str">
        <f>SUBSTITUTE(SUBSTITUTE(_xlfn.TEXTBEFORE(A113,","), "-", ""), " ", "")</f>
        <v>Conesa</v>
      </c>
      <c r="F113" s="10"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10" t="str">
        <f>_xlfn.TEXTBEFORE(_xlfn.TEXTAFTER(A113, "("), ")")</f>
        <v>1991</v>
      </c>
      <c r="H113" s="10" t="str">
        <f>E113 &amp; IF(F113&lt;&gt;"", "_" &amp; SUBSTITUTE(F113," ",""), "_") &amp; IF(G113&lt;&gt;"", "_" &amp; G113, "_") &amp; IF(B113&lt;&gt;"", "_" &amp; B113, "")</f>
        <v>Conesa_etal_1991</v>
      </c>
      <c r="I113" s="10" t="str">
        <f>_xlfn.LET(
_xlpm.doi,IF(C113&lt;&gt;"",C113,_xlfn.TEXTAFTER(A113,"https://doi.org/")),
SUBSTITUTE(
SUBSTITUTE(
SUBSTITUTE(
SUBSTITUTE(
_xlpm.doi,
"/","%2F"),
":","%3A"),
"&lt;","%3C"),
"&gt;","%3E")
)</f>
        <v>ARO%3A1991%3A83</v>
      </c>
      <c r="J113" s="10" t="str">
        <f>TRIM(_xlfn.TEXTJOIN("_",FALSE(),H113,(SUBSTITUTE(SUBSTITUTE(D113," ",""), "_", ""))))</f>
        <v>Conesa_etal_1991_Text</v>
      </c>
      <c r="K113" s="10" t="str">
        <f>I113 &amp; "_" &amp; SUBSTITUTE(SUBSTITUTE(SUBSTITUTE(D113,CHAR(160),"")," ",""),"_","")</f>
        <v>ARO%3A1991%3A83_Text</v>
      </c>
      <c r="L113" s="10" t="str">
        <f t="array" ref="L113">IFERROR(INDEX(AUTO_Public_TSV_FileList!$A$1:$A$1000,MATCH(TRUE(),EXACT(K113,IFERROR(_xlfn.TEXTBEFORE(AUTO_Public_TSV_FileList!$A$1:$A$1000,".tsv"),"")),0)),"notfound")</f>
        <v>ARO%3A1991%3A83_Text.tsv</v>
      </c>
      <c r="M113" s="1" t="inlineStr">
        <is>
          <t>Abstract 83 (printed p. 24): hearing in large rodents—groundhogs (Marmota monax); text-reported findings</t>
        </is>
      </c>
      <c r="N113" s="1" t="inlineStr">
        <is>
          <t>Scanned PDF — meeting abstract; poor legibility; OCR unreliable</t>
        </is>
      </c>
      <c r="O113" s="13" t="inlineStr">
        <is>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is>
      </c>
      <c r="P113" s="1"/>
      <c r="Q113" s="13"/>
      <c r="R113" s="13" t="inlineStr">
        <is>
          <t>https://alleninstitute.sharepoint.com/sites/MammalianM1/Shared%20Documents/General/Species/Evo-M1-Trait-Data/Conesa_etal_1991/conesa_etal_1991.pdf</t>
        </is>
      </c>
      <c r="S113" s="13"/>
      <c r="T113" s="13" t="inlineStr">
        <is>
          <t>Abstract-only source; scan has poor legibility and unreliable OCR. Human visual comparison is needed before relying on extracted numbers. Reported 32 Hz–32 kHz responses are not the 60-dB SPL hearing range.</t>
        </is>
      </c>
      <c r="U113" s="13"/>
      <c r="V113" s="13" t="inlineStr">
        <is>
          <t>Sensory hearing</t>
        </is>
      </c>
      <c r="W113" s="1" t="inlineStr">
        <is>
          <t>Marmota monax</t>
        </is>
      </c>
      <c r="X113" s="1" t="inlineStr">
        <is>
          <t>Hearing-frequency limits and sensitivity</t>
        </is>
      </c>
      <c r="Y113" s="13" t="inlineStr">
        <is>
          <t>Responses 32 Hz–32 kHz; 60-dB SPL hearing range 40 Hz–27.5 kHz; best hearing at 2 and 4 kHz.</t>
        </is>
      </c>
      <c r="Z113" s="13" t="inlineStr">
        <is>
          <t>Behavioural hearing responses to acoustic stimuli</t>
        </is>
      </c>
      <c r="AA113" s="1" t="inlineStr">
        <is>
          <t>Conditioned avoidance with water reward; four groundhogs tested</t>
        </is>
      </c>
      <c r="AB113" s="1" t="inlineStr">
        <is>
          <t>Frequency (Hz/kHz) and hearing level (dB SPL)</t>
        </is>
      </c>
      <c r="AC113" s="1"/>
      <c r="AD113" s="1"/>
      <c r="AE113" s="1" t="inlineStr">
        <is>
          <t>primary</t>
        </is>
      </c>
      <c r="AF113" s="1"/>
      <c r="AG113" s="13" t="inlineStr">
        <is>
          <t>Build and validate from the existing text snapshot, preserving response versus 60-dB SPL distinctions; then add reproducible script, analysis CSV, README and definitions before any public TSV.</t>
        </is>
      </c>
    </row>
    <row r="114" ht="17" customHeight="1">
      <c r="A114" s="9" t="inlineStr">
        <is>
          <t>Crile G, Quiring DP (1940). A record of the body weight and certain organ and gland weights of 3690 animals. Ohio J Sci 40(5):219-259.</t>
        </is>
      </c>
      <c r="B114" s="20"/>
      <c r="C114" t="inlineStr">
        <is>
          <t>HDL:1811/3110</t>
        </is>
      </c>
      <c r="D114" s="9" t="inlineStr">
        <is>
          <t>Table 1</t>
        </is>
      </c>
      <c r="E114" s="10" t="str">
        <f>SUBSTITUTE(SUBSTITUTE(_xlfn.TEXTBEFORE(A114,","), "-", ""), " ", "")</f>
        <v>CrileG</v>
      </c>
      <c r="F114" s="10"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4" s="10" t="str">
        <f>_xlfn.TEXTBEFORE(_xlfn.TEXTAFTER(A114, "("), ")")</f>
        <v>1940</v>
      </c>
      <c r="H114" s="10" t="str">
        <f>E114 &amp; IF(F114&lt;&gt;"", "_" &amp; SUBSTITUTE(F114," ",""), "_") &amp; IF(G114&lt;&gt;"", "_" &amp; G114, "_") &amp; IF(B114&lt;&gt;"", "_" &amp; B114, "")</f>
        <v>CrileG__1940</v>
      </c>
      <c r="I114" s="10" t="str">
        <f>_xlfn.LET(
_xlpm.doi,IF(C114&lt;&gt;"",C114,_xlfn.TEXTAFTER(A114,"https://doi.org/")),
SUBSTITUTE(
SUBSTITUTE(
SUBSTITUTE(
SUBSTITUTE(
_xlpm.doi,
"/","%2F"),
":","%3A"),
"&lt;","%3C"),
"&gt;","%3E")
)</f>
        <v>HDL%3A1811%2F3110</v>
      </c>
      <c r="J114" s="10" t="str">
        <f>TRIM(_xlfn.TEXTJOIN("_",FALSE(),H114,(SUBSTITUTE(SUBSTITUTE(D114," ",""), "_", ""))))</f>
        <v>CrileG__1940_Table1</v>
      </c>
      <c r="K114" s="10" t="str">
        <f>I114 &amp; "_" &amp; SUBSTITUTE(SUBSTITUTE(SUBSTITUTE(D114,CHAR(160),"")," ",""),"_","")</f>
        <v>HDL%3A1811%2F3110_Table1</v>
      </c>
      <c r="L114" s="10" t="str">
        <f t="array" ref="L114">IFERROR(INDEX(AUTO_Public_TSV_FileList!$A$1:$A$1000,MATCH(TRUE(),EXACT(K114,IFERROR(_xlfn.TEXTBEFORE(AUTO_Public_TSV_FileList!$A$1:$A$1000,".tsv"),"")),0)),"notfound")</f>
        <v>notfound</v>
      </c>
      <c r="M114" s="9" t="inlineStr">
        <is>
          <t>A record of the body weight and certain organ and gland weights of 3690 animals - main table, all mammal sections (pp. 227-233, 238-243, 245-259)</t>
        </is>
      </c>
      <c r="N114" s="9" t="inlineStr">
        <is>
          <t>PDF (scan/print) -&gt; hand-transcribed CSV</t>
        </is>
      </c>
      <c r="O114" s="9" t="inlineStr">
        <is>
          <t>All MAMMAL sections transcribed (453 printed data rows, all kept: exact duplicates are flagged, not dropped; owner ruling 2026-10-21); non-mammal pages not built. Per-lot rows, not species means. species_assigned fills blank scientific names from a reference table (118 of 120).</t>
        </is>
      </c>
      <c r="P114" s="9" t="inlineStr">
        <is>
          <t>PREPARED (CSV built; owner registry paste / public TSV pending; RA side-by-side check pending)</t>
        </is>
      </c>
      <c r="Q114" s="9" t="inlineStr">
        <is>
          <t>Crile_Quiring_1940_Table1_snapshot.csv</t>
        </is>
      </c>
      <c r="R114" s="9"/>
      <c r="S114" s="9"/>
      <c r="T114" s="9"/>
      <c r="U114" s="9"/>
      <c r="V114" s="9"/>
      <c r="W114" s="9" t="inlineStr">
        <is>
          <t>Primates</t>
        </is>
      </c>
      <c r="X114" s="9" t="inlineStr">
        <is>
          <t>Brain weight; organ weights (thyroid, adrenal, heart, liver, eyes, kidney, lung, spleen, gut); body weight</t>
        </is>
      </c>
      <c r="Y114" s="9" t="inlineStr">
        <is>
          <t>Sex; age class; locality</t>
        </is>
      </c>
      <c r="Z114" s="9" t="inlineStr">
        <is>
          <t>Fresh organ weights</t>
        </is>
      </c>
      <c r="AA114" s="9" t="inlineStr">
        <is>
          <t>Dissection weights</t>
        </is>
      </c>
      <c r="AB114" s="9" t="inlineStr">
        <is>
          <t>Mean</t>
        </is>
      </c>
      <c r="AC114" s="9"/>
      <c r="AD114" s="9"/>
      <c r="AE114" s="9" t="inlineStr">
        <is>
          <t>secondary</t>
        </is>
      </c>
      <c r="AF114" s="9"/>
      <c r="AG114" s="9"/>
    </row>
    <row r="115" ht="17" customHeight="1">
      <c r="A115" s="9" t="inlineStr">
        <is>
          <t>Dalland, J. I. (1965). Hearing sensitivity in bats. Science, 150(3700), 1185-1186. https://doi.org/10.1126/science.150.3700.1185</t>
        </is>
      </c>
      <c r="D115" s="9" t="inlineStr">
        <is>
          <t>Results Text</t>
        </is>
      </c>
      <c r="E115" s="11" t="str">
        <f>SUBSTITUTE(SUBSTITUTE(_xlfn.TEXTBEFORE(A115,","), "-", ""), " ", "")</f>
        <v>Dalland</v>
      </c>
      <c r="F115" s="10"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5" s="10" t="str">
        <f>_xlfn.TEXTBEFORE(_xlfn.TEXTAFTER(A115, "("), ")")</f>
        <v>1965</v>
      </c>
      <c r="H115" s="11" t="str">
        <f>E115 &amp; IF(F115&lt;&gt;"", "_" &amp; SUBSTITUTE(F115," ",""), "_") &amp; IF(G115&lt;&gt;"", "_" &amp; G115, "_") &amp; IF(B115&lt;&gt;"", "_" &amp; B115, "")</f>
        <v>Dalland__1965</v>
      </c>
      <c r="I115" s="11" t="str">
        <f>_xlfn.LET(_xlpm.doi,IF(C115&lt;&gt;"",C115,_xlfn.TEXTAFTER(A115,"https://doi.org/")),SUBSTITUTE(SUBSTITUTE(SUBSTITUTE(SUBSTITUTE(_xlpm.doi,"/","%2F"),":","%3A"),"&lt;","%3C"),"&gt;","%3E"))</f>
        <v>10.1126%2Fscience.150.3700.1185</v>
      </c>
      <c r="J115" s="11" t="str">
        <f>TRIM(_xlfn.TEXTJOIN("_",FALSE(),H115,(SUBSTITUTE(SUBSTITUTE(D115," ",""), "_", ""))))</f>
        <v>Dalland__1965_ResultsText</v>
      </c>
      <c r="K115" s="10" t="str">
        <f>I115 &amp; "_" &amp; SUBSTITUTE(SUBSTITUTE(SUBSTITUTE(D115,CHAR(160),"")," ",""),"_","")</f>
        <v>10.1126%2Fscience.150.3700.1185_ResultsText</v>
      </c>
      <c r="L115" s="10" t="str">
        <f t="array" ref="L115">IFERROR(INDEX(AUTO_Public_TSV_FileList!$A$1:$A$1000,MATCH(TRUE(),EXACT(K115,IFERROR(_xlfn.TEXTBEFORE(AUTO_Public_TSV_FileList!$A$1:$A$1000,".tsv"),"")),0)),"notfound")</f>
        <v>10.1126%2Fscience.150.3700.1185_ResultsText.tsv</v>
      </c>
      <c r="M115" s="9" t="inlineStr">
        <is>
          <t>Absolute pure-tone hearing thresholds for Eptesicus fuscus and Myotis lucifugus</t>
        </is>
      </c>
      <c r="N115" s="9" t="inlineStr">
        <is>
          <t>text</t>
        </is>
      </c>
      <c r="O115" s="9" t="inlineStr">
        <is>
          <t>Registry row added 2026-09-27. Built same day: snapshot/CSV/R/README/definitions uploaded; public TSV upload pending (connector timeout, retry later).</t>
        </is>
      </c>
      <c r="P115" s="9" t="inlineStr">
        <is>
          <t>BUILT (TSV upload pending)</t>
        </is>
      </c>
      <c r="Q115" s="9"/>
      <c r="R115" s="9"/>
      <c r="S115" s="9"/>
      <c r="T115" s="9"/>
      <c r="U115" s="9"/>
      <c r="V115" s="9"/>
      <c r="W115" s="9"/>
      <c r="X115" s="9"/>
      <c r="Y115" s="9"/>
      <c r="Z115" s="9"/>
      <c r="AA115" s="9"/>
      <c r="AB115" s="9"/>
      <c r="AC115" s="9"/>
      <c r="AD115" s="9"/>
      <c r="AE115" s="9"/>
      <c r="AF115" s="9"/>
      <c r="AG115" s="9"/>
    </row>
    <row r="116" ht="17" customHeight="1">
      <c r="A116" s="1" t="inlineStr">
        <is>
          <t>de Jager, E., Prigge, L., Amod, N., Oettle, A., &amp; Beaudet, A. (2022). Exploring the relationship between soft and hard tissues: The example of vertebral arteries and transverse foramina. J Anat, 241(2), 447-452. https://doi.org/10.1111/joa.13681</t>
        </is>
      </c>
      <c r="D116" s="1" t="inlineStr">
        <is>
          <t>Table 1</t>
        </is>
      </c>
      <c r="E116" s="10" t="str">
        <f>SUBSTITUTE(SUBSTITUTE(_xlfn.TEXTBEFORE(A116,","), "-", ""), " ", "")</f>
        <v>deJager</v>
      </c>
      <c r="F116" s="10"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10" t="str">
        <f>_xlfn.TEXTBEFORE(_xlfn.TEXTAFTER(A116, "("), ")")</f>
        <v>2022</v>
      </c>
      <c r="H116" s="10" t="str">
        <f>E116 &amp; IF(F116&lt;&gt;"", "_" &amp; SUBSTITUTE(F116," ",""), "_") &amp; IF(G116&lt;&gt;"", "_" &amp; G116, "_") &amp; IF(B116&lt;&gt;"", "_" &amp; B116, "")</f>
        <v>deJager_etal_2022</v>
      </c>
      <c r="I116" s="10" t="str">
        <f>_xlfn.LET(
_xlpm.doi,IF(C116&lt;&gt;"",C116,_xlfn.TEXTAFTER(A116,"https://doi.org/")),
SUBSTITUTE(
SUBSTITUTE(
SUBSTITUTE(
SUBSTITUTE(
_xlpm.doi,
"/","%2F"),
":","%3A"),
"&lt;","%3C"),
"&gt;","%3E")
)</f>
        <v>10.1111%2Fjoa.13681</v>
      </c>
      <c r="J116" s="10" t="str">
        <f>TRIM(_xlfn.TEXTJOIN("_",FALSE(),H116,(SUBSTITUTE(SUBSTITUTE(D116," ",""), "_", ""))))</f>
        <v>deJager_etal_2022_Table1</v>
      </c>
      <c r="K116" s="10" t="str">
        <f>I116 &amp; "_" &amp; SUBSTITUTE(SUBSTITUTE(SUBSTITUTE(D116,CHAR(160),"")," ",""),"_","")</f>
        <v>10.1111%2Fjoa.13681_Table1</v>
      </c>
      <c r="L116" s="10" t="str">
        <f t="array" ref="L116">IFERROR(INDEX(AUTO_Public_TSV_FileList!$A$1:$A$1000,MATCH(TRUE(),EXACT(K116,IFERROR(_xlfn.TEXTBEFORE(AUTO_Public_TSV_FileList!$A$1:$A$1000,".tsv"),"")),0)),"notfound")</f>
        <v>10.1111%2Fjoa.13681_Table1.tsv</v>
      </c>
      <c r="M116" s="13"/>
      <c r="N116" s="13"/>
      <c r="O116" s="13"/>
      <c r="P116" s="1" t="inlineStr">
        <is>
          <t>FINISHED</t>
        </is>
      </c>
      <c r="Q116" s="13"/>
      <c r="R116" s="13"/>
      <c r="S116" s="13"/>
      <c r="T116" s="13"/>
      <c r="U116" s="13"/>
      <c r="V116" s="13"/>
      <c r="W116" s="13"/>
      <c r="X116" s="13"/>
      <c r="Y116" s="13"/>
      <c r="Z116" s="13"/>
      <c r="AA116" s="13"/>
      <c r="AB116" s="13"/>
      <c r="AC116" s="13"/>
      <c r="AD116" s="13"/>
      <c r="AE116" s="13"/>
      <c r="AF116" s="13"/>
      <c r="AG116" s="13"/>
    </row>
    <row r="117" ht="17" customHeight="1">
      <c r="A117" s="14" t="inlineStr">
        <is>
          <t>de Magalhães, J. P., &amp; Costa, J. (2009). A database of vertebrate longevity records and their relation to other life-history traits. Journal of Evolutionary Biology, 22(8), 1770–1774. https://doi.org/10.1111/j.1420-9101.2009.01783.x</t>
        </is>
      </c>
      <c r="D117" s="14" t="inlineStr">
        <is>
          <t>AnAge build 2009</t>
        </is>
      </c>
      <c r="E117" s="2" t="str">
        <f>SUBSTITUTE(SUBSTITUTE(_xlfn.TEXTBEFORE(A117,","), "-", ""), " ", "")</f>
        <v>deMagalhães</v>
      </c>
      <c r="F117" s="7"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7" s="7" t="str">
        <f>_xlfn.TEXTBEFORE(_xlfn.TEXTAFTER(A117, "("), ")")</f>
        <v>2009</v>
      </c>
      <c r="H117" s="2" t="str">
        <f>E117 &amp; IF(F117&lt;&gt;"", "_" &amp; SUBSTITUTE(F117," ",""), "_") &amp; IF(G117&lt;&gt;"", "_" &amp; G117, "_") &amp; IF(B117&lt;&gt;"", "_" &amp; B117, "")</f>
        <v>deMagalhães__2009</v>
      </c>
      <c r="I117" s="2" t="str">
        <f>_xlfn.LET(_xlpm.doi,IF(C117&lt;&gt;"",C117,_xlfn.TEXTAFTER(A117,"https://doi.org/")),SUBSTITUTE(SUBSTITUTE(SUBSTITUTE(SUBSTITUTE(_xlpm.doi,"/","%2F"),":","%3A"),"&lt;","%3C"),"&gt;","%3E"))</f>
        <v>10.1111%2Fj.1420-9101.2009.01783.x</v>
      </c>
      <c r="J117" s="2" t="str">
        <f>TRIM(_xlfn.TEXTJOIN("_",FALSE(),H117,(SUBSTITUTE(SUBSTITUTE(D117," ",""), "_", ""))))</f>
        <v>deMagalhães__2009_AnAgebuild2009</v>
      </c>
      <c r="K117" s="7" t="str">
        <f>I117 &amp; "_" &amp; SUBSTITUTE(SUBSTITUTE(SUBSTITUTE(D117,CHAR(160),"")," ",""),"_","")</f>
        <v>10.1111%2Fj.1420-9101.2009.01783.x_AnAgebuild2009</v>
      </c>
      <c r="L117" s="7" t="str">
        <f t="array" ref="L117">IFERROR(INDEX(AUTO_Public_TSV_FileList!$A$1:$A$1000,MATCH(TRUE(),EXACT(K117,IFERROR(_xlfn.TEXTBEFORE(AUTO_Public_TSV_FileList!$A$1:$A$1000,".tsv"),"")),0)),"notfound")</f>
        <v>notfound</v>
      </c>
      <c r="M117" s="14" t="inlineStr">
        <is>
          <t>AnAge: The Animal Ageing and Longevity Database (build described in the 2009 paper; 4,122 entries)</t>
        </is>
      </c>
      <c r="N117" s="14" t="inlineStr">
        <is>
          <t>online database (historical build not distributed); paper prints no data table</t>
        </is>
      </c>
      <c r="O117" s="14" t="inlineStr">
        <is>
          <t>Citation-only row: the paper prints no species data. Use deMagalhães_etal_2024_anagedata.txt (Build 15) for AnAge values; obtain a historical build only if it becomes necessary. Largest Amniote feeder ("de Magalhaes and Costa, 2009", ~23,400 records).</t>
        </is>
      </c>
      <c r="P117" s="14" t="inlineStr">
        <is>
          <t>NOT NEEDED (citation only; AnAge = deMagalhães_etal_2024 Build 15)</t>
        </is>
      </c>
      <c r="Q117" s="14"/>
      <c r="R117" s="14" t="inlineStr">
        <is>
          <t>https://genomics.senescence.info/species/</t>
        </is>
      </c>
      <c r="S117" s="14"/>
      <c r="T117" s="14"/>
      <c r="U117" s="14"/>
      <c r="V117" s="14" t="inlineStr">
        <is>
          <t>life history / longevity</t>
        </is>
      </c>
      <c r="W117" s="14" t="inlineStr">
        <is>
          <t>vertebrates (4,122 entries in 2009)</t>
        </is>
      </c>
      <c r="X117" s="14" t="inlineStr">
        <is>
          <t>maximum longevity; sexual maturity; gestation/incubation; litter size; body mass</t>
        </is>
      </c>
      <c r="Y117" s="14"/>
      <c r="Z117" s="14"/>
      <c r="AA117" s="14"/>
      <c r="AB117" s="14"/>
      <c r="AC117" s="14"/>
      <c r="AD117" s="14"/>
      <c r="AE117" s="14" t="inlineStr">
        <is>
          <t>secondary</t>
        </is>
      </c>
      <c r="AF117" s="14"/>
      <c r="AG117" s="14" t="inlineStr">
        <is>
          <t>Use deMagalhães_etal_2024 for AnAge values until a dated build is obtained</t>
        </is>
      </c>
    </row>
    <row r="118" ht="17" customHeight="1">
      <c r="A118" s="13" t="inlineStr">
        <is>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is>
      </c>
      <c r="D118" s="13" t="inlineStr">
        <is>
          <t>anage_data.txt</t>
        </is>
      </c>
      <c r="E118" s="11" t="str">
        <f>SUBSTITUTE(SUBSTITUTE(_xlfn.TEXTBEFORE(A118,","), "-", ""), " ", "")</f>
        <v>deMagalhães</v>
      </c>
      <c r="F118" s="10"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10" t="str">
        <f>_xlfn.TEXTBEFORE(_xlfn.TEXTAFTER(A118, "("), ")")</f>
        <v>2024</v>
      </c>
      <c r="H118" s="11" t="str">
        <f>E118 &amp; IF(F118&lt;&gt;"", "_" &amp; SUBSTITUTE(F118," ",""), "_") &amp; IF(G118&lt;&gt;"", "_" &amp; G118, "_") &amp; IF(B118&lt;&gt;"", "_" &amp; B118, "")</f>
        <v>deMagalhães__2024</v>
      </c>
      <c r="I118" s="11" t="str">
        <f>_xlfn.LET(_xlpm.doi,IF(C118&lt;&gt;"",C118,_xlfn.TEXTAFTER(A118,"https://doi.org/")),SUBSTITUTE(SUBSTITUTE(SUBSTITUTE(SUBSTITUTE(_xlpm.doi,"/","%2F"),":","%3A"),"&lt;","%3C"),"&gt;","%3E"))</f>
        <v>10.1093%2Fnar%2Fgkad927</v>
      </c>
      <c r="J118" s="11" t="str">
        <f>TRIM(_xlfn.TEXTJOIN("_",FALSE(),H118,(SUBSTITUTE(SUBSTITUTE(D118," ",""), "_", ""))))</f>
        <v>deMagalhães__2024_anagedata.txt</v>
      </c>
      <c r="K118" s="10" t="str">
        <f>I118 &amp; "_" &amp; SUBSTITUTE(SUBSTITUTE(SUBSTITUTE(D118,CHAR(160),"")," ",""),"_","")</f>
        <v>10.1093%2Fnar%2Fgkad927_anagedata.txt</v>
      </c>
      <c r="L118" s="10" t="str">
        <f t="array" ref="L118">IFERROR(INDEX(AUTO_Public_TSV_FileList!$A$1:$A$1000,MATCH(TRUE(),EXACT(K118,IFERROR(_xlfn.TEXTBEFORE(AUTO_Public_TSV_FileList!$A$1:$A$1000,".tsv"),"")),0)),"notfound")</f>
        <v>10.1093%2Fnar%2Fgkad927_anagedata.txt.tsv</v>
      </c>
      <c r="M118" s="13" t="inlineStr">
        <is>
          <t>AnAge database export (Build 15) -- full species table</t>
        </is>
      </c>
      <c r="N118" s="13" t="inlineStr">
        <is>
          <t>database export (tab-delimited txt)</t>
        </is>
      </c>
      <c r="O118" s="13" t="inlineStr">
        <is>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is>
      </c>
      <c r="P118" s="13" t="inlineStr">
        <is>
          <t>FINISHED</t>
        </is>
      </c>
      <c r="Q118" s="13"/>
      <c r="R118" s="13" t="inlineStr">
        <is>
          <t>https://genomics.senescence.info/species/index.html</t>
        </is>
      </c>
      <c r="S118" s="13"/>
      <c r="T118" s="13" t="inlineStr">
        <is>
          <t>no reference bibliography distributed with export; HAGRID not stable across builds</t>
        </is>
      </c>
      <c r="U118" s="13"/>
      <c r="V118" s="13" t="inlineStr">
        <is>
          <t>life history / longevity</t>
        </is>
      </c>
      <c r="W118" s="13" t="inlineStr">
        <is>
          <t>all taxa (1,349 of 4,645 rows are Mammalia)</t>
        </is>
      </c>
      <c r="X118" s="13" t="inlineStr">
        <is>
          <t>maximum longevity; sexual maturity; gestation/incubation; weaning; litter size; growth rate</t>
        </is>
      </c>
      <c r="Y118" s="13" t="inlineStr">
        <is>
          <t>metabolic rate; body temperature; mortality-rate model parameters (sparse)</t>
        </is>
      </c>
      <c r="Z118" s="13"/>
      <c r="AA118" s="13" t="inlineStr">
        <is>
          <t>database compilation from primary literature (per-record reference codes)</t>
        </is>
      </c>
      <c r="AB118" s="13" t="inlineStr">
        <is>
          <t>time (days/yrs); mass (g); count; rate</t>
        </is>
      </c>
      <c r="AC118" s="13"/>
      <c r="AD118" s="13"/>
      <c r="AE118" s="13" t="inlineStr">
        <is>
          <t>secondary</t>
        </is>
      </c>
      <c r="AF118" s="13" t="inlineStr">
        <is>
          <t>AnAge's own primary-literature references (per Source_ref / References columns; bibliography not distributed)</t>
        </is>
      </c>
      <c r="AG118" s="13" t="inlineStr">
        <is>
          <t>General-purpose life-history covariate table; Mammalia subset most relevant to this project</t>
        </is>
      </c>
    </row>
    <row r="119" ht="17" customHeight="1">
      <c r="A119" s="13" t="inlineStr">
        <is>
          <t>xml:space="preserve"&gt;de Sousa, A. A. (2008). Hominoid brain organization: Histometric and morphometric comparisons of visual brain structures [Ph.D., The George Washington University]. United States -- District of Columbia. http://proquest.umi.com/pqdweb?did=1564016401&amp;Fmt=7&amp;clientId=5241&amp;RQT=309&amp;VName=PQD </t>
        </is>
      </c>
      <c r="C119" t="inlineStr">
        <is>
          <t>UMI:3311323</t>
        </is>
      </c>
      <c r="D119" s="13" t="inlineStr">
        <is>
          <t>Suppl. Table 5.2</t>
        </is>
      </c>
      <c r="E119" s="11" t="str">
        <f>SUBSTITUTE(SUBSTITUTE(_xlfn.TEXTBEFORE(A119,","), "-", ""), " ", "")</f>
        <v>xml:space="preserve"&gt;deSousa</v>
      </c>
      <c r="F119" s="10"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9" s="10" t="str">
        <f>_xlfn.TEXTBEFORE(_xlfn.TEXTAFTER(A119, "("), ")")</f>
        <v>2008</v>
      </c>
      <c r="H119" s="11" t="str">
        <f>E119 &amp; IF(F119&lt;&gt;"", "_" &amp; SUBSTITUTE(F119," ",""), "_") &amp; IF(G119&lt;&gt;"", "_" &amp; G119, "_") &amp; IF(B119&lt;&gt;"", "_" &amp; B119, "")</f>
        <v>xml:space="preserve"&gt;deSousa__2008</v>
      </c>
      <c r="I119" s="11" t="str">
        <f>_xlfn.LET(_xlpm.doi,IF(C119&lt;&gt;"",C119,_xlfn.TEXTAFTER(A119,"https://doi.org/")),SUBSTITUTE(SUBSTITUTE(SUBSTITUTE(SUBSTITUTE(_xlpm.doi,"/","%2F"),":","%3A"),"&lt;","%3C"),"&gt;","%3E"))</f>
        <v>UMI%3A3311323</v>
      </c>
      <c r="J119" s="11" t="str">
        <f>TRIM(_xlfn.TEXTJOIN("_",FALSE(),H119,(SUBSTITUTE(SUBSTITUTE(D119," ",""), "_", ""))))</f>
        <v>xml:space="preserve"&gt;deSousa__2008_Suppl.Table5.2</v>
      </c>
      <c r="K119" s="10" t="str">
        <f>I119 &amp; "_" &amp; SUBSTITUTE(SUBSTITUTE(SUBSTITUTE(D119,CHAR(160),"")," ",""),"_","")</f>
        <v>UMI%3A3311323_Suppl.Table5.2</v>
      </c>
      <c r="L119" s="10" t="str">
        <f t="array" ref="L119">IFERROR(INDEX(AUTO_Public_TSV_FileList!$A$1:$A$1000,MATCH(TRUE(),EXACT(K119,IFERROR(_xlfn.TEXTBEFORE(AUTO_Public_TSV_FileList!$A$1:$A$1000,".tsv"),"")),0)),"notfound")</f>
        <v>UMI%3A3311323_Suppl.Table5.2.tsv</v>
      </c>
      <c r="M119" s="13" t="inlineStr">
        <is>
          <t>Suppl. Table 5.2 Comparison of adjusted values to published data (Semendeferi 1998, 2002)</t>
        </is>
      </c>
      <c r="N119" s="13"/>
      <c r="O119" s="13"/>
      <c r="P119" s="13"/>
      <c r="Q119" s="13"/>
      <c r="R119" s="13"/>
      <c r="S119" s="13"/>
      <c r="T119" s="13"/>
      <c r="U119" s="13"/>
      <c r="V119" s="13"/>
      <c r="W119" s="13"/>
      <c r="X119" s="13"/>
      <c r="Y119" s="13"/>
      <c r="Z119" s="13"/>
      <c r="AA119" s="13"/>
      <c r="AB119" s="13"/>
      <c r="AC119" s="13"/>
      <c r="AD119" s="13"/>
      <c r="AE119" s="13"/>
      <c r="AF119" s="13"/>
      <c r="AG119" s="13"/>
    </row>
    <row r="120" ht="17" customHeight="1">
      <c r="A120" s="19" t="inlineStr">
        <is>
          <t>xml:space="preserve"&gt;de Sousa, A. A. (2008). Hominoid brain organization: Histometric and morphometric comparisons of visual brain structures [Ph.D., The George Washington University]. United States -- District of Columbia. http://proquest.umi.com/pqdweb?did=1564016401&amp;Fmt=7&amp;clientId=5241&amp;RQT=309&amp;VName=PQD </t>
        </is>
      </c>
      <c r="C120" t="inlineStr">
        <is>
          <t>UMI:3311323</t>
        </is>
      </c>
      <c r="D120" s="19" t="inlineStr">
        <is>
          <t>Table 4.1</t>
        </is>
      </c>
      <c r="E120" s="22" t="str">
        <f>SUBSTITUTE(SUBSTITUTE(_xlfn.TEXTBEFORE(A120,","), "-", ""), " ", "")</f>
        <v>xml:space="preserve"&gt;deSousa</v>
      </c>
      <c r="F120" s="24"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24" t="str">
        <f>_xlfn.TEXTBEFORE(_xlfn.TEXTAFTER(A120, "("), ")")</f>
        <v>2008</v>
      </c>
      <c r="H120" s="22" t="str">
        <f>E120 &amp; IF(F120&lt;&gt;"", "_" &amp; SUBSTITUTE(F120," ",""), "_") &amp; IF(G120&lt;&gt;"", "_" &amp; G120, "_") &amp; IF(B120&lt;&gt;"", "_" &amp; B120, "")</f>
        <v>xml:space="preserve"&gt;deSousa__2008</v>
      </c>
      <c r="I120" s="22" t="str">
        <f>_xlfn.LET(_xlpm.doi,IF(C120&lt;&gt;"",C120,_xlfn.TEXTAFTER(A120,"https://doi.org/")),SUBSTITUTE(SUBSTITUTE(SUBSTITUTE(SUBSTITUTE(_xlpm.doi,"/","%2F"),":","%3A"),"&lt;","%3C"),"&gt;","%3E"))</f>
        <v>UMI%3A3311323</v>
      </c>
      <c r="J120" s="22" t="str">
        <f>TRIM(_xlfn.TEXTJOIN("_",FALSE(),H120,(SUBSTITUTE(SUBSTITUTE(D120," ",""), "_", ""))))</f>
        <v>xml:space="preserve"&gt;deSousa__2008_Table4.1</v>
      </c>
      <c r="K120" s="24" t="str">
        <f>I120 &amp; "_" &amp; SUBSTITUTE(SUBSTITUTE(SUBSTITUTE(D120,CHAR(160),"")," ",""),"_","")</f>
        <v>UMI%3A3311323_Table4.1</v>
      </c>
      <c r="L120" s="24" t="str">
        <f t="array" ref="L120">IFERROR(INDEX(AUTO_Public_TSV_FileList!$A$1:$A$1000,MATCH(TRUE(),EXACT(K120,IFERROR(_xlfn.TEXTBEFORE(AUTO_Public_TSV_FileList!$A$1:$A$1000,".tsv"),"")),0)),"notfound")</f>
        <v>UMI%3A3311323_Table4.1.tsv</v>
      </c>
      <c r="M120" s="19" t="inlineStr">
        <is>
          <t>Table 4.1 Samples used in analyses of V1, V2, VP and V5 (9 specimens)</t>
        </is>
      </c>
      <c r="N120" s="19"/>
      <c r="O120" s="19"/>
      <c r="P120" s="19"/>
      <c r="Q120" s="19"/>
      <c r="R120" s="19"/>
      <c r="S120" s="19"/>
      <c r="T120" s="19"/>
      <c r="U120" s="19"/>
      <c r="V120" s="19"/>
      <c r="W120" s="19"/>
      <c r="X120" s="19"/>
      <c r="Y120" s="19"/>
      <c r="Z120" s="19"/>
      <c r="AA120" s="19"/>
      <c r="AB120" s="19"/>
      <c r="AC120" s="19"/>
      <c r="AD120" s="19"/>
      <c r="AE120" s="19"/>
      <c r="AF120" s="19"/>
      <c r="AG120" s="19"/>
    </row>
    <row r="121" ht="17" customHeight="1">
      <c r="A121" s="13" t="inlineStr">
        <is>
          <t>xml:space="preserve"&gt;de Sousa, A. A. (2008). Hominoid brain organization: Histometric and morphometric comparisons of visual brain structures [Ph.D., The George Washington University]. United States -- District of Columbia. http://proquest.umi.com/pqdweb?did=1564016401&amp;Fmt=7&amp;clientId=5241&amp;RQT=309&amp;VName=PQD </t>
        </is>
      </c>
      <c r="C121" t="inlineStr">
        <is>
          <t>UMI:3311323</t>
        </is>
      </c>
      <c r="D121" s="13" t="inlineStr">
        <is>
          <t>Table 5.1</t>
        </is>
      </c>
      <c r="E121" s="11" t="str">
        <f>SUBSTITUTE(SUBSTITUTE(_xlfn.TEXTBEFORE(A121,","), "-", ""), " ", "")</f>
        <v>xml:space="preserve"&gt;deSousa</v>
      </c>
      <c r="F121" s="10"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10" t="str">
        <f>_xlfn.TEXTBEFORE(_xlfn.TEXTAFTER(A121, "("), ")")</f>
        <v>2008</v>
      </c>
      <c r="H121" s="11" t="str">
        <f>E121 &amp; IF(F121&lt;&gt;"", "_" &amp; SUBSTITUTE(F121," ",""), "_") &amp; IF(G121&lt;&gt;"", "_" &amp; G121, "_") &amp; IF(B121&lt;&gt;"", "_" &amp; B121, "")</f>
        <v>xml:space="preserve"&gt;deSousa__2008</v>
      </c>
      <c r="I121" s="11" t="str">
        <f>_xlfn.LET(_xlpm.doi,IF(C121&lt;&gt;"",C121,_xlfn.TEXTAFTER(A121,"https://doi.org/")),SUBSTITUTE(SUBSTITUTE(SUBSTITUTE(SUBSTITUTE(_xlpm.doi,"/","%2F"),":","%3A"),"&lt;","%3C"),"&gt;","%3E"))</f>
        <v>UMI%3A3311323</v>
      </c>
      <c r="J121" s="11" t="str">
        <f>TRIM(_xlfn.TEXTJOIN("_",FALSE(),H121,(SUBSTITUTE(SUBSTITUTE(D121," ",""), "_", ""))))</f>
        <v>xml:space="preserve"&gt;deSousa__2008_Table5.1</v>
      </c>
      <c r="K121" s="10" t="str">
        <f>I121 &amp; "_" &amp; SUBSTITUTE(SUBSTITUTE(SUBSTITUTE(D121,CHAR(160),"")," ",""),"_","")</f>
        <v>UMI%3A3311323_Table5.1</v>
      </c>
      <c r="L121" s="10" t="str">
        <f t="array" ref="L121">IFERROR(INDEX(AUTO_Public_TSV_FileList!$A$1:$A$1000,MATCH(TRUE(),EXACT(K121,IFERROR(_xlfn.TEXTBEFORE(AUTO_Public_TSV_FileList!$A$1:$A$1000,".tsv"),"")),0)),"notfound")</f>
        <v>UMI%3A3311323_Table5.1.tsv</v>
      </c>
      <c r="M121" s="13" t="inlineStr">
        <is>
          <t>Table 5.1 Specimens and volumes</t>
        </is>
      </c>
      <c r="N121" s="13"/>
      <c r="O121" s="13"/>
      <c r="P121" s="13"/>
      <c r="Q121" s="13"/>
      <c r="R121" s="13"/>
      <c r="S121" s="13"/>
      <c r="T121" s="13"/>
      <c r="U121" s="13"/>
      <c r="V121" s="13"/>
      <c r="W121" s="13"/>
      <c r="X121" s="13"/>
      <c r="Y121" s="13"/>
      <c r="Z121" s="13"/>
      <c r="AA121" s="13"/>
      <c r="AB121" s="13"/>
      <c r="AC121" s="13"/>
      <c r="AD121" s="13"/>
      <c r="AE121" s="13"/>
      <c r="AF121" s="13"/>
      <c r="AG121" s="13"/>
    </row>
    <row r="122" ht="17" customHeight="1">
      <c r="A122" s="13" t="inlineStr">
        <is>
          <t>xml:space="preserve"&gt;de Sousa, A. A. (2008). Hominoid brain organization: Histometric and morphometric comparisons of visual brain structures [Ph.D., The George Washington University]. United States -- District of Columbia. http://proquest.umi.com/pqdweb?did=1564016401&amp;Fmt=7&amp;clientId=5241&amp;RQT=309&amp;VName=PQD </t>
        </is>
      </c>
      <c r="C122" t="inlineStr">
        <is>
          <t>UMI:3311323</t>
        </is>
      </c>
      <c r="D122" s="13" t="inlineStr">
        <is>
          <t>Table 5.6</t>
        </is>
      </c>
      <c r="E122" s="11" t="str">
        <f>SUBSTITUTE(SUBSTITUTE(_xlfn.TEXTBEFORE(A122,","), "-", ""), " ", "")</f>
        <v>xml:space="preserve"&gt;deSousa</v>
      </c>
      <c r="F122" s="10"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2" s="10" t="str">
        <f>_xlfn.TEXTBEFORE(_xlfn.TEXTAFTER(A122, "("), ")")</f>
        <v>2008</v>
      </c>
      <c r="H122" s="11" t="str">
        <f>E122 &amp; IF(F122&lt;&gt;"", "_" &amp; SUBSTITUTE(F122," ",""), "_") &amp; IF(G122&lt;&gt;"", "_" &amp; G122, "_") &amp; IF(B122&lt;&gt;"", "_" &amp; B122, "")</f>
        <v>xml:space="preserve"&gt;deSousa__2008</v>
      </c>
      <c r="I122" s="11" t="str">
        <f>_xlfn.LET(_xlpm.doi,IF(C122&lt;&gt;"",C122,_xlfn.TEXTAFTER(A122,"https://doi.org/")),SUBSTITUTE(SUBSTITUTE(SUBSTITUTE(SUBSTITUTE(_xlpm.doi,"/","%2F"),":","%3A"),"&lt;","%3C"),"&gt;","%3E"))</f>
        <v>UMI%3A3311323</v>
      </c>
      <c r="J122" s="11" t="str">
        <f>TRIM(_xlfn.TEXTJOIN("_",FALSE(),H122,(SUBSTITUTE(SUBSTITUTE(D122," ",""), "_", ""))))</f>
        <v>xml:space="preserve"&gt;deSousa__2008_Table5.6</v>
      </c>
      <c r="K122" s="10" t="str">
        <f>I122 &amp; "_" &amp; SUBSTITUTE(SUBSTITUTE(SUBSTITUTE(D122,CHAR(160),"")," ",""),"_","")</f>
        <v>UMI%3A3311323_Table5.6</v>
      </c>
      <c r="L122" s="10" t="str">
        <f t="array" ref="L122">IFERROR(INDEX(AUTO_Public_TSV_FileList!$A$1:$A$1000,MATCH(TRUE(),EXACT(K122,IFERROR(_xlfn.TEXTBEFORE(AUTO_Public_TSV_FileList!$A$1:$A$1000,".tsv"),"")),0)),"notfound")</f>
        <v>UMI%3A3311323_Table5.6.tsv</v>
      </c>
      <c r="M122" s="13" t="inlineStr">
        <is>
          <t>Table 5.6 Species mean volumes of cortical areas and brain nuclei</t>
        </is>
      </c>
      <c r="N122" s="13"/>
      <c r="O122" s="13"/>
      <c r="P122" s="13"/>
      <c r="Q122" s="13"/>
      <c r="R122" s="13"/>
      <c r="S122" s="13"/>
      <c r="T122" s="13"/>
      <c r="U122" s="13"/>
      <c r="V122" s="13"/>
      <c r="W122" s="13"/>
      <c r="X122" s="13"/>
      <c r="Y122" s="13"/>
      <c r="Z122" s="13"/>
      <c r="AA122" s="13"/>
      <c r="AB122" s="13"/>
      <c r="AC122" s="13"/>
      <c r="AD122" s="13"/>
      <c r="AE122" s="13"/>
      <c r="AF122" s="13"/>
      <c r="AG122" s="13"/>
    </row>
    <row r="123" ht="17" customHeight="1">
      <c r="A123" s="1" t="inlineStr">
        <is>
          <t>de Sousa, A. A., Sherwood, C. C., Hof, P. R., &amp; Zilles, K. (2013). Lamination of the lateral geniculate nucleus of catarrhine primates. Brain Behav Evol, 81(2), 93-108. https://doi.org/10.1159/000346495</t>
        </is>
      </c>
      <c r="D123" s="1" t="inlineStr">
        <is>
          <t>Table 1</t>
        </is>
      </c>
      <c r="E123" s="10" t="str">
        <f>SUBSTITUTE(SUBSTITUTE(_xlfn.TEXTBEFORE(A123,","), "-", ""), " ", "")</f>
        <v>deSousa</v>
      </c>
      <c r="F123" s="10"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10" t="str">
        <f>_xlfn.TEXTBEFORE(_xlfn.TEXTAFTER(A123, "("), ")")</f>
        <v>2013</v>
      </c>
      <c r="H123" s="10" t="str">
        <f>E123 &amp; IF(F123&lt;&gt;"", "_" &amp; SUBSTITUTE(F123," ",""), "_") &amp; IF(G123&lt;&gt;"", "_" &amp; G123, "_") &amp; IF(B123&lt;&gt;"", "_" &amp; B123, "")</f>
        <v>deSousa_etal_2013</v>
      </c>
      <c r="I123" s="10" t="str">
        <f>_xlfn.LET(
_xlpm.doi,IF(C123&lt;&gt;"",C123,_xlfn.TEXTAFTER(A123,"https://doi.org/")),
SUBSTITUTE(
SUBSTITUTE(
SUBSTITUTE(
SUBSTITUTE(
_xlpm.doi,
"/","%2F"),
":","%3A"),
"&lt;","%3C"),
"&gt;","%3E")
)</f>
        <v>10.1159%2F000346495</v>
      </c>
      <c r="J123" s="10" t="str">
        <f>TRIM(_xlfn.TEXTJOIN("_",FALSE(),H123,(SUBSTITUTE(SUBSTITUTE(D123," ",""), "_", ""))))</f>
        <v>deSousa_etal_2013_Table1</v>
      </c>
      <c r="K123" s="10" t="str">
        <f>I123 &amp; "_" &amp; SUBSTITUTE(SUBSTITUTE(SUBSTITUTE(D123,CHAR(160),"")," ",""),"_","")</f>
        <v>10.1159%2F000346495_Table1</v>
      </c>
      <c r="L123" s="10" t="str">
        <f t="array" ref="L123">IFERROR(INDEX(AUTO_Public_TSV_FileList!$A$1:$A$1000,MATCH(TRUE(),EXACT(K123,IFERROR(_xlfn.TEXTBEFORE(AUTO_Public_TSV_FileList!$A$1:$A$1000,".tsv"),"")),0)),"notfound")</f>
        <v>10.1159%2F000346495_Table1.tsv</v>
      </c>
      <c r="M123" s="1" t="inlineStr">
        <is>
          <t>Table 1. LGN parvocellular lamination, species mean brain weights and LGN volumes</t>
        </is>
      </c>
      <c r="N123" s="1" t="inlineStr">
        <is>
          <t>table</t>
        </is>
      </c>
      <c r="O123" s="13"/>
      <c r="P123" s="1" t="inlineStr">
        <is>
          <t>FINISHED</t>
        </is>
      </c>
      <c r="Q123" s="1"/>
      <c r="R123" s="13"/>
      <c r="S123" s="13"/>
      <c r="T123" s="13"/>
      <c r="U123" s="13"/>
      <c r="V123" s="13"/>
      <c r="W123" s="1" t="inlineStr">
        <is>
          <t>catarrhine primates</t>
        </is>
      </c>
      <c r="X123" s="1" t="inlineStr">
        <is>
          <t>LGN volume + parvocellular lamination + brain weight</t>
        </is>
      </c>
      <c r="Y123" s="13"/>
      <c r="Z123" s="1" t="inlineStr">
        <is>
          <t>histological sections</t>
        </is>
      </c>
      <c r="AA123" s="1" t="inlineStr">
        <is>
          <t>volumetry</t>
        </is>
      </c>
      <c r="AB123" s="1" t="inlineStr">
        <is>
          <t>volume</t>
        </is>
      </c>
      <c r="AC123" s="1" t="inlineStr">
        <is>
          <t>Stephan, Zilles</t>
        </is>
      </c>
      <c r="AD123" s="1" t="inlineStr">
        <is>
          <t>Stephan, Zilles, AFIP, Sherwood, Hof</t>
        </is>
      </c>
      <c r="AE123" s="1" t="inlineStr">
        <is>
          <t>primary</t>
        </is>
      </c>
      <c r="AF123" s="1"/>
      <c r="AG123" s="13"/>
    </row>
    <row r="124" ht="17" customHeight="1">
      <c r="A124" s="1" t="inlineStr">
        <is>
          <t>de Sousa, A. A., Sherwood, C. C., Mohlberg, H., Amunts, K., Schleicher, A., MacLeod, C. E., Hof, P. R., Frahm, H., &amp; Zilles, K. (2010). Hominoid visual brain structure volumes and the position of the lunate sulcus. J Hum Evol, 58(4), 281-292. https://doi.org/10.1016/j.jhevol.2009.11.011</t>
        </is>
      </c>
      <c r="D124" s="1" t="inlineStr">
        <is>
          <t>Sup Table 2</t>
        </is>
      </c>
      <c r="E124" s="10" t="str">
        <f>SUBSTITUTE(SUBSTITUTE(_xlfn.TEXTBEFORE(A124,","), "-", ""), " ", "")</f>
        <v>deSousa</v>
      </c>
      <c r="F124" s="10"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10" t="str">
        <f>_xlfn.TEXTBEFORE(_xlfn.TEXTAFTER(A124, "("), ")")</f>
        <v>2010</v>
      </c>
      <c r="H124" s="10" t="str">
        <f>E124 &amp; IF(F124&lt;&gt;"", "_" &amp; SUBSTITUTE(F124," ",""), "_") &amp; IF(G124&lt;&gt;"", "_" &amp; G124, "_") &amp; IF(B124&lt;&gt;"", "_" &amp; B124, "")</f>
        <v>deSousa_etal_2010</v>
      </c>
      <c r="I124" s="10" t="str">
        <f>_xlfn.LET(
_xlpm.doi,IF(C124&lt;&gt;"",C124,_xlfn.TEXTAFTER(A124,"https://doi.org/")),
SUBSTITUTE(
SUBSTITUTE(
SUBSTITUTE(
SUBSTITUTE(
_xlpm.doi,
"/","%2F"),
":","%3A"),
"&lt;","%3C"),
"&gt;","%3E")
)</f>
        <v>10.1016%2Fj.jhevol.2009.11.011</v>
      </c>
      <c r="J124" s="11" t="str">
        <f>TRIM(_xlfn.TEXTJOIN("_",FALSE(),H124,(SUBSTITUTE(SUBSTITUTE(D124," ",""), "_", ""))))</f>
        <v>deSousa_etal_2010_SupTable2</v>
      </c>
      <c r="K124" s="10" t="str">
        <f>I124 &amp; "_" &amp; SUBSTITUTE(SUBSTITUTE(SUBSTITUTE(D124,CHAR(160),"")," ",""),"_","")</f>
        <v>10.1016%2Fj.jhevol.2009.11.011_SupTable2</v>
      </c>
      <c r="L124" s="10" t="str">
        <f t="array" ref="L124">IFERROR(INDEX(AUTO_Public_TSV_FileList!$A$1:$A$1000,MATCH(TRUE(),EXACT(K124,IFERROR(_xlfn.TEXTBEFORE(AUTO_Public_TSV_FileList!$A$1:$A$1000,".tsv"),"")),0)),"notfound")</f>
        <v>10.1016%2Fj.jhevol.2009.11.011_SupTable2.tsv</v>
      </c>
      <c r="M124" s="1" t="inlineStr">
        <is>
          <t>Supplementary Table 2. Primate species mean volumes</t>
        </is>
      </c>
      <c r="N124" s="1" t="inlineStr">
        <is>
          <t>table</t>
        </is>
      </c>
      <c r="O124" s="1"/>
      <c r="P124" s="1" t="inlineStr">
        <is>
          <t>FINISHED</t>
        </is>
      </c>
      <c r="Q124" s="1"/>
      <c r="R124" s="1" t="inlineStr">
        <is>
          <t>https://doi.org/10.1016/j.jhevol.2009.11.011</t>
        </is>
      </c>
      <c r="S124" s="1" t="inlineStr">
        <is>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is>
      </c>
      <c r="T124" s="1" t="inlineStr">
        <is>
          <t>units labelled 'g' in source but values are cm3</t>
        </is>
      </c>
      <c r="U124" s="1" t="inlineStr">
        <is>
          <t>value error (transcription) + species-name errors</t>
        </is>
      </c>
      <c r="V124" s="13"/>
      <c r="W124" s="1" t="inlineStr">
        <is>
          <t>Primates (+ Insectivora)</t>
        </is>
      </c>
      <c r="X124" s="1" t="inlineStr">
        <is>
          <t>brain, neocortex, V1 (area striata), LGN mean volumes</t>
        </is>
      </c>
      <c r="Y124" s="13"/>
      <c r="Z124" s="1" t="inlineStr">
        <is>
          <t>histological sections</t>
        </is>
      </c>
      <c r="AA124" s="1" t="inlineStr">
        <is>
          <t>volumetry</t>
        </is>
      </c>
      <c r="AB124" s="1" t="inlineStr">
        <is>
          <t>volume</t>
        </is>
      </c>
      <c r="AC124" s="1" t="inlineStr">
        <is>
          <t>Stephan, Zilles</t>
        </is>
      </c>
      <c r="AD124" s="1" t="inlineStr">
        <is>
          <t>Stephan, Zilles, AFIP, Sherwood, Hof</t>
        </is>
      </c>
      <c r="AE124" s="1" t="inlineStr">
        <is>
          <t>primary</t>
        </is>
      </c>
      <c r="AF124" s="1"/>
      <c r="AG124" s="1" t="inlineStr">
        <is>
          <t>Online supplementary Table 2 (file 1-s2.0-S0047248410000023-mmc2.doc). Snapshot reproduces the published table verbatim incl. the error; cleaned CSV corrects it. See deSousa_etal_2010.ReadMe.md.</t>
        </is>
      </c>
    </row>
    <row r="125" ht="17" customHeight="1">
      <c r="A125" s="1" t="inlineStr">
        <is>
          <t>de Sousa, A. A., Sherwood, C. C., Mohlberg, H., Amunts, K., Schleicher, A., MacLeod, C. E., Hof, P. R., Frahm, H., &amp; Zilles, K. (2010). Hominoid visual brain structure volumes and the position of the lunate sulcus. J Hum Evol, 58(4), 281-292. https://doi.org/10.1016/j.jhevol.2009.11.011</t>
        </is>
      </c>
      <c r="B125" s="18"/>
      <c r="C125" s="18"/>
      <c r="D125" s="1" t="inlineStr">
        <is>
          <t>Table 1</t>
        </is>
      </c>
      <c r="E125" s="10" t="str">
        <f>SUBSTITUTE(SUBSTITUTE(_xlfn.TEXTBEFORE(A125,","), "-", ""), " ", "")</f>
        <v>deSousa</v>
      </c>
      <c r="F125" s="10"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10" t="str">
        <f>_xlfn.TEXTBEFORE(_xlfn.TEXTAFTER(A125, "("), ")")</f>
        <v>2010</v>
      </c>
      <c r="H125" s="10" t="str">
        <f>E125 &amp; IF(F125&lt;&gt;"", "_" &amp; SUBSTITUTE(F125," ",""), "_") &amp; IF(G125&lt;&gt;"", "_" &amp; G125, "_") &amp; IF(B125&lt;&gt;"", "_" &amp; B125, "")</f>
        <v>deSousa_etal_2010</v>
      </c>
      <c r="I125" s="10" t="str">
        <f>_xlfn.LET(
_xlpm.doi,IF(C125&lt;&gt;"",C125,_xlfn.TEXTAFTER(A125,"https://doi.org/")),
SUBSTITUTE(
SUBSTITUTE(
SUBSTITUTE(
SUBSTITUTE(
_xlpm.doi,
"/","%2F"),
":","%3A"),
"&lt;","%3C"),
"&gt;","%3E")
)</f>
        <v>10.1016%2Fj.jhevol.2009.11.011</v>
      </c>
      <c r="J125" s="10" t="str">
        <f>TRIM(_xlfn.TEXTJOIN("_",FALSE(),H125,(SUBSTITUTE(SUBSTITUTE(D125," ",""), "_", ""))))</f>
        <v>deSousa_etal_2010_Table1</v>
      </c>
      <c r="K125" s="10" t="str">
        <f>I125 &amp; "_" &amp; SUBSTITUTE(SUBSTITUTE(SUBSTITUTE(D125,CHAR(160),"")," ",""),"_","")</f>
        <v>10.1016%2Fj.jhevol.2009.11.011_Table1</v>
      </c>
      <c r="L125" s="10" t="str">
        <f t="array" ref="L125">IFERROR(INDEX(AUTO_Public_TSV_FileList!$A$1:$A$1000,MATCH(TRUE(),EXACT(K125,IFERROR(_xlfn.TEXTBEFORE(AUTO_Public_TSV_FileList!$A$1:$A$1000,".tsv"),"")),0)),"notfound")</f>
        <v>10.1016%2Fj.jhevol.2009.11.011_Table1.tsv</v>
      </c>
      <c r="M125" s="1" t="inlineStr">
        <is>
          <t>Hominoid visual brain structure volumes (Table 1)</t>
        </is>
      </c>
      <c r="N125" s="1" t="inlineStr">
        <is>
          <t>table</t>
        </is>
      </c>
      <c r="O125" s="13"/>
      <c r="P125" s="1" t="inlineStr">
        <is>
          <t>FINISHED</t>
        </is>
      </c>
      <c r="Q125" s="13"/>
      <c r="R125" s="13"/>
      <c r="S125" s="13"/>
      <c r="T125" s="13"/>
      <c r="U125" s="13"/>
      <c r="V125" s="13"/>
      <c r="W125" s="1" t="inlineStr">
        <is>
          <t>Primates (+ Insectivora)</t>
        </is>
      </c>
      <c r="X125" s="1" t="inlineStr">
        <is>
          <t>visual brain structure volumes</t>
        </is>
      </c>
      <c r="Y125" s="13"/>
      <c r="Z125" s="1" t="inlineStr">
        <is>
          <t>histological sections &amp; MRI</t>
        </is>
      </c>
      <c r="AA125" s="1" t="inlineStr">
        <is>
          <t>volumetry</t>
        </is>
      </c>
      <c r="AB125" s="1" t="inlineStr">
        <is>
          <t>volume</t>
        </is>
      </c>
      <c r="AC125" s="1" t="inlineStr">
        <is>
          <t>Stephan, Zilles</t>
        </is>
      </c>
      <c r="AD125" s="1" t="inlineStr">
        <is>
          <t>Stephan, Zilles, AFIP, Sherwood, Hof</t>
        </is>
      </c>
      <c r="AE125" s="1" t="inlineStr">
        <is>
          <t>primary</t>
        </is>
      </c>
      <c r="AF125" s="1"/>
      <c r="AG125" s="13"/>
    </row>
    <row r="126" ht="17" customHeight="1">
      <c r="A126" s="1" t="inlineStr">
        <is>
          <t>de Sousa, A. A., Sherwood, C. C., Schleicher, A., Amunts, K., MacLeod, C. E., Hof, P. R., &amp; Zilles, K. (2009). Comparative cytoarchitectural analyses of striate and extrastriate areas in hominoids. Cereb Cortex, 20(4), 966-981. https://doi.org/10.1093/cercor/bhp158</t>
        </is>
      </c>
      <c r="D126" s="1" t="inlineStr">
        <is>
          <t>Table 1</t>
        </is>
      </c>
      <c r="E126" s="10" t="str">
        <f>SUBSTITUTE(SUBSTITUTE(_xlfn.TEXTBEFORE(A126,","), "-", ""), " ", "")</f>
        <v>deSousa</v>
      </c>
      <c r="F126" s="10"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10" t="str">
        <f>_xlfn.TEXTBEFORE(_xlfn.TEXTAFTER(A126, "("), ")")</f>
        <v>2009</v>
      </c>
      <c r="H126" s="10" t="str">
        <f>E126 &amp; IF(F126&lt;&gt;"", "_" &amp; SUBSTITUTE(F126," ",""), "_") &amp; IF(G126&lt;&gt;"", "_" &amp; G126, "_") &amp; IF(B126&lt;&gt;"", "_" &amp; B126, "")</f>
        <v>deSousa_etal_2009</v>
      </c>
      <c r="I126" s="10" t="str">
        <f>_xlfn.LET(
_xlpm.doi,IF(C126&lt;&gt;"",C126,_xlfn.TEXTAFTER(A126,"https://doi.org/")),
SUBSTITUTE(
SUBSTITUTE(
SUBSTITUTE(
SUBSTITUTE(
_xlpm.doi,
"/","%2F"),
":","%3A"),
"&lt;","%3C"),
"&gt;","%3E")
)</f>
        <v>10.1093%2Fcercor%2Fbhp158</v>
      </c>
      <c r="J126" s="10" t="str">
        <f>TRIM(_xlfn.TEXTJOIN("_",FALSE(),H126,(SUBSTITUTE(SUBSTITUTE(D126," ",""), "_", ""))))</f>
        <v>deSousa_etal_2009_Table1</v>
      </c>
      <c r="K126" s="10" t="str">
        <f>I126 &amp; "_" &amp; SUBSTITUTE(SUBSTITUTE(SUBSTITUTE(D126,CHAR(160),"")," ",""),"_","")</f>
        <v>10.1093%2Fcercor%2Fbhp158_Table1</v>
      </c>
      <c r="L126" s="10" t="str">
        <f t="array" ref="L126">IFERROR(INDEX(AUTO_Public_TSV_FileList!$A$1:$A$1000,MATCH(TRUE(),EXACT(K126,IFERROR(_xlfn.TEXTBEFORE(AUTO_Public_TSV_FileList!$A$1:$A$1000,".tsv"),"")),0)),"notfound")</f>
        <v>10.1093%2Fcercor%2Fbhp158_Table1.tsv</v>
      </c>
      <c r="M126" s="1" t="inlineStr">
        <is>
          <t>Table 1 Samples used in analyses of V1, V2, and VP</t>
        </is>
      </c>
      <c r="N126" s="1" t="inlineStr">
        <is>
          <t>table</t>
        </is>
      </c>
      <c r="O126" s="13"/>
      <c r="P126" s="13" t="inlineStr">
        <is>
          <t>FINISHED</t>
        </is>
      </c>
      <c r="Q126" s="13"/>
      <c r="R126" s="13" t="inlineStr">
        <is>
          <t>https://doi.org/10.1093/cercor/bhp158</t>
        </is>
      </c>
      <c r="S126" s="13" t="inlineStr">
        <is>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T126" s="13"/>
      <c r="U126" s="13" t="inlineStr">
        <is>
          <t>sample description table: specimen metadata + re-used size variables</t>
        </is>
      </c>
      <c r="V126" s="13"/>
      <c r="W126" s="13" t="inlineStr">
        <is>
          <t>catarrhines</t>
        </is>
      </c>
      <c r="X126" s="1" t="inlineStr">
        <is>
          <t>specimen sex + age; body mass; brain mass; neocortex, left V1 (area striata) and left LGN volumes; optic nerve cross-sectional area; eye half surface area</t>
        </is>
      </c>
      <c r="Y126" s="13"/>
      <c r="Z126" s="1" t="inlineStr">
        <is>
          <t>histological sections</t>
        </is>
      </c>
      <c r="AA126" s="1" t="inlineStr">
        <is>
          <t>volumetry (re-used); cytoarchitecture / GLI is the paper's own method but is figure-only</t>
        </is>
      </c>
      <c r="AB126" s="1" t="inlineStr">
        <is>
          <t>volume, mass, area</t>
        </is>
      </c>
      <c r="AC126" s="1" t="inlineStr">
        <is>
          <t>Stephan, Zilles</t>
        </is>
      </c>
      <c r="AD126" s="1" t="inlineStr">
        <is>
          <t>Stephan, Zilles</t>
        </is>
      </c>
      <c r="AE126" s="1" t="inlineStr">
        <is>
          <t>secondary</t>
        </is>
      </c>
      <c r="AF126" s="1"/>
      <c r="AG126" s="13" t="inlineStr">
        <is>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row>
    <row r="127" ht="17" customHeight="1">
      <c r="A127" s="1" t="inlineStr">
        <is>
          <t>de Sousa, A. A., Sherwood, C. C., Schleicher, A., Amunts, K., MacLeod, C. E., Hof, P. R., &amp; Zilles, K. (2009). Comparative cytoarchitectural analyses of striate and extrastriate areas in hominoids. Cereb Cortex, 20(4), 966-981. https://doi.org/10.1093/cercor/bhp158</t>
        </is>
      </c>
      <c r="B127" s="14"/>
      <c r="C127" s="14"/>
      <c r="D127" s="1" t="inlineStr">
        <is>
          <t>Table 2</t>
        </is>
      </c>
      <c r="E127" s="10" t="str">
        <f>SUBSTITUTE(SUBSTITUTE(_xlfn.TEXTBEFORE(A127,","), "-", ""), " ", "")</f>
        <v>deSousa</v>
      </c>
      <c r="F127" s="10"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10" t="str">
        <f>_xlfn.TEXTBEFORE(_xlfn.TEXTAFTER(A127, "("), ")")</f>
        <v>2009</v>
      </c>
      <c r="H127" s="10" t="str">
        <f>E127 &amp; IF(F127&lt;&gt;"", "_" &amp; SUBSTITUTE(F127," ",""), "_") &amp; IF(G127&lt;&gt;"", "_" &amp; G127, "_") &amp; IF(B127&lt;&gt;"", "_" &amp; B127, "")</f>
        <v>deSousa_etal_2009</v>
      </c>
      <c r="I127" s="10" t="str">
        <f>_xlfn.LET(
_xlpm.doi,IF(C127&lt;&gt;"",C127,_xlfn.TEXTAFTER(A127,"https://doi.org/")),
SUBSTITUTE(
SUBSTITUTE(
SUBSTITUTE(
SUBSTITUTE(
_xlpm.doi,
"/","%2F"),
":","%3A"),
"&lt;","%3C"),
"&gt;","%3E")
)</f>
        <v>10.1093%2Fcercor%2Fbhp158</v>
      </c>
      <c r="J127" s="10" t="str">
        <f>TRIM(_xlfn.TEXTJOIN("_",FALSE(),H127,(SUBSTITUTE(SUBSTITUTE(D127," ",""), "_", ""))))</f>
        <v>deSousa_etal_2009_Table2</v>
      </c>
      <c r="K127" s="10" t="str">
        <f>I127 &amp; "_" &amp; SUBSTITUTE(SUBSTITUTE(SUBSTITUTE(D127,CHAR(160),"")," ",""),"_","")</f>
        <v>10.1093%2Fcercor%2Fbhp158_Table2</v>
      </c>
      <c r="L127" s="10" t="str">
        <f t="array" ref="L127">IFERROR(INDEX(AUTO_Public_TSV_FileList!$A$1:$A$1000,MATCH(TRUE(),EXACT(K127,IFERROR(_xlfn.TEXTBEFORE(AUTO_Public_TSV_FileList!$A$1:$A$1000,".tsv"),"")),0)),"notfound")</f>
        <v>10.1093%2Fcercor%2Fbhp158_Table2.tsv</v>
      </c>
      <c r="M127" s="1" t="inlineStr">
        <is>
          <t>Table 2 _x000D_RMA regressions of V1, V2, and VP GLI values on brain and visual system variables.</t>
        </is>
      </c>
      <c r="N127" s="1" t="inlineStr">
        <is>
          <t>table</t>
        </is>
      </c>
      <c r="O127" s="13"/>
      <c r="P127" s="13" t="inlineStr">
        <is>
          <t>FINISHED</t>
        </is>
      </c>
      <c r="Q127" s="13"/>
      <c r="R127" s="13" t="inlineStr">
        <is>
          <t>https://doi.org/10.1093/cercor/bhp158</t>
        </is>
      </c>
      <c r="S127" s="13" t="inlineStr">
        <is>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is>
      </c>
      <c r="T127" s="13"/>
      <c r="U127" s="13" t="inlineStr">
        <is>
          <t>sample description table: specimen metadata + re-used size variables</t>
        </is>
      </c>
      <c r="V127" s="13"/>
      <c r="W127" s="13" t="inlineStr">
        <is>
          <t>catarrhines</t>
        </is>
      </c>
      <c r="X127" s="1" t="inlineStr">
        <is>
          <t>specimen sex + age; body mass; brain mass; neocortex, left V1 (area striata) and left LGN volumes; optic nerve cross-sectional area; eye half surface area</t>
        </is>
      </c>
      <c r="Y127" s="13"/>
      <c r="Z127" s="1" t="inlineStr">
        <is>
          <t>histological sections</t>
        </is>
      </c>
      <c r="AA127" s="1" t="inlineStr">
        <is>
          <t>volumetry (re-used); cytoarchitecture / GLI is the paper's own method but is figure-only</t>
        </is>
      </c>
      <c r="AB127" s="1" t="inlineStr">
        <is>
          <t>volume, mass, area</t>
        </is>
      </c>
      <c r="AC127" s="1" t="inlineStr">
        <is>
          <t>Stephan, Zilles</t>
        </is>
      </c>
      <c r="AD127" s="1" t="inlineStr">
        <is>
          <t>Stephan, Zilles</t>
        </is>
      </c>
      <c r="AE127" s="1" t="inlineStr">
        <is>
          <t>secondary</t>
        </is>
      </c>
      <c r="AF127" s="1"/>
      <c r="AG127" s="13" t="inlineStr">
        <is>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is>
      </c>
    </row>
    <row r="128" ht="17" customHeight="1">
      <c r="A128" s="13" t="inlineStr">
        <is>
          <t>de Sousa, A. A., Todorov, O. S., &amp; Proulx, M. J. (2022). A natural history of vertebrate vision loss: Insight from mammalian vision for human visual function. Neurosci Biobehav Rev, 134, 104550. https://doi.org/10.1016/j.neubiorev.2022.104550</t>
        </is>
      </c>
      <c r="B128" s="9"/>
      <c r="C128" s="9"/>
      <c r="D128" s="13" t="inlineStr">
        <is>
          <t>acuityblind.csv</t>
        </is>
      </c>
      <c r="E128" s="10" t="str">
        <f>SUBSTITUTE(SUBSTITUTE(_xlfn.TEXTBEFORE(A128,","), "-", ""), " ", "")</f>
        <v>deSousa</v>
      </c>
      <c r="F128" s="10"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10" t="str">
        <f>_xlfn.TEXTBEFORE(_xlfn.TEXTAFTER(A128, "("), ")")</f>
        <v>2022</v>
      </c>
      <c r="H128" s="10" t="str">
        <f>E128 &amp; IF(F128&lt;&gt;"", "_" &amp; SUBSTITUTE(F128," ",""), "_") &amp; IF(G128&lt;&gt;"", "_" &amp; G128, "_") &amp; IF(B128&lt;&gt;"", "_" &amp; B128, "")</f>
        <v>deSousa_etal_2022</v>
      </c>
      <c r="I128" s="10" t="str">
        <f>_xlfn.LET(
_xlpm.doi,IF(C128&lt;&gt;"",C128,_xlfn.TEXTAFTER(A128,"https://doi.org/")),
SUBSTITUTE(
SUBSTITUTE(
SUBSTITUTE(
SUBSTITUTE(
_xlpm.doi,
"/","%2F"),
":","%3A"),
"&lt;","%3C"),
"&gt;","%3E")
)</f>
        <v>10.1016%2Fj.neubiorev.2022.104550</v>
      </c>
      <c r="J128" s="10" t="str">
        <f>TRIM(_xlfn.TEXTJOIN("_",FALSE(),H128,(SUBSTITUTE(SUBSTITUTE(D128," ",""), "_", ""))))</f>
        <v>deSousa_etal_2022_acuityblind.csv</v>
      </c>
      <c r="K128" s="10" t="str">
        <f>I128 &amp; "_" &amp; SUBSTITUTE(SUBSTITUTE(SUBSTITUTE(D128,CHAR(160),"")," ",""),"_","")</f>
        <v>10.1016%2Fj.neubiorev.2022.104550_acuityblind.csv</v>
      </c>
      <c r="L128" s="10" t="str">
        <f t="array" ref="L128">IFERROR(INDEX(AUTO_Public_TSV_FileList!$A$1:$A$1000,MATCH(TRUE(),EXACT(K128,IFERROR(_xlfn.TEXTBEFORE(AUTO_Public_TSV_FileList!$A$1:$A$1000,".tsv"),"")),0)),"notfound")</f>
        <v>10.1016%2Fj.neubiorev.2022.104550_acuityblind.csv.tsv</v>
      </c>
      <c r="M128" s="13" t="inlineStr">
        <is>
          <t>acuityblind.csv</t>
        </is>
      </c>
      <c r="N128" s="13"/>
      <c r="O128" s="13"/>
      <c r="P128" s="13" t="inlineStr">
        <is>
          <t>FINISHED</t>
        </is>
      </c>
      <c r="Q128" s="13"/>
      <c r="R128" s="13"/>
      <c r="S128" s="13"/>
      <c r="T128" s="13"/>
      <c r="U128" s="13"/>
      <c r="V128" s="13"/>
      <c r="W128" s="13"/>
      <c r="X128" s="13"/>
      <c r="Y128" s="13"/>
      <c r="Z128" s="13"/>
      <c r="AA128" s="13"/>
      <c r="AB128" s="13"/>
      <c r="AC128" s="13"/>
      <c r="AD128" s="13"/>
      <c r="AE128" s="13"/>
      <c r="AF128" s="13"/>
      <c r="AG128" s="13"/>
    </row>
    <row r="129" ht="17" customHeight="1">
      <c r="A129" s="29" t="inlineStr">
        <is>
          <t>Deaner, R. O., van Schaik, C. P., &amp; Johnson, V. E. (2006). Do some taxa have better domain-general cognition than others? A meta-analysis. Evol Psychol, 4, 149–196. https://doi.org/10.1177/147470490600400114</t>
        </is>
      </c>
      <c r="B129" s="17"/>
      <c r="C129" s="17"/>
      <c r="D129" s="29" t="inlineStr">
        <is>
          <t>Table 1</t>
        </is>
      </c>
      <c r="E129" s="10" t="str">
        <f>SUBSTITUTE(SUBSTITUTE(_xlfn.TEXTBEFORE(A129,","), "-", ""), " ", "")</f>
        <v>Deaner</v>
      </c>
      <c r="F129" s="10"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10" t="str">
        <f>_xlfn.TEXTBEFORE(_xlfn.TEXTAFTER(A129, "("), ")")</f>
        <v>2006</v>
      </c>
      <c r="H129" s="10" t="str">
        <f>E129 &amp; IF(F129&lt;&gt;"", "_" &amp; SUBSTITUTE(F129," ",""), "_") &amp; IF(G129&lt;&gt;"", "_" &amp; G129, "_") &amp; IF(B129&lt;&gt;"", "_" &amp; B129, "")</f>
        <v>Deaner_etal_2006</v>
      </c>
      <c r="I129" s="10" t="str">
        <f>_xlfn.LET(
_xlpm.doi,IF(C129&lt;&gt;"",C129,_xlfn.TEXTAFTER(A129,"https://doi.org/")),
SUBSTITUTE(
SUBSTITUTE(
SUBSTITUTE(
SUBSTITUTE(
_xlpm.doi,
"/","%2F"),
":","%3A"),
"&lt;","%3C"),
"&gt;","%3E")
)</f>
        <v>10.1177%2F147470490600400114</v>
      </c>
      <c r="J129" s="10" t="str">
        <f>TRIM(_xlfn.TEXTJOIN("_",FALSE(),H129,(SUBSTITUTE(SUBSTITUTE(D129," ",""), "_", ""))))</f>
        <v>Deaner_etal_2006_Table1</v>
      </c>
      <c r="K129" s="10" t="str">
        <f>I129 &amp; "_" &amp; SUBSTITUTE(SUBSTITUTE(SUBSTITUTE(D129,CHAR(160),"")," ",""),"_","")</f>
        <v>10.1177%2F147470490600400114_Table1</v>
      </c>
      <c r="L129" s="10" t="str">
        <f t="array" ref="L129">IFERROR(INDEX(AUTO_Public_TSV_FileList!$A$1:$A$1000,MATCH(TRUE(),EXACT(K129,IFERROR(_xlfn.TEXTBEFORE(AUTO_Public_TSV_FileList!$A$1:$A$1000,".tsv"),"")),0)),"notfound")</f>
        <v>10.1177%2F147470490600400114_Table1.tsv</v>
      </c>
      <c r="M129" s="17" t="inlineStr">
        <is>
          <t>Full genus-by-procedure ranking dataset across nine cognitive paradigms; lower rank indicates better performance.</t>
        </is>
      </c>
      <c r="N129" s="1" t="inlineStr">
        <is>
          <t>table</t>
        </is>
      </c>
      <c r="O129" s="13"/>
      <c r="P129" s="13" t="inlineStr">
        <is>
          <t>FINISHED</t>
        </is>
      </c>
      <c r="Q129" s="17"/>
      <c r="R129" s="17"/>
      <c r="S129" s="17" t="inlineStr">
        <is>
          <t>Source table and interpretation checked against attached PDF</t>
        </is>
      </c>
      <c r="T129" s="17" t="inlineStr">
        <is>
          <t>Verify taxon names and whether values are raw, derived, or model summaries before merge</t>
        </is>
      </c>
      <c r="U129" s="17"/>
      <c r="V129" s="17" t="inlineStr">
        <is>
          <t>comparative intelligence</t>
        </is>
      </c>
      <c r="W129" s="29" t="inlineStr">
        <is>
          <t>Primates</t>
        </is>
      </c>
      <c r="X129" s="17" t="inlineStr">
        <is>
          <t>Domain-general cognition; task rank</t>
        </is>
      </c>
      <c r="Y129" s="17" t="inlineStr">
        <is>
          <t>Domain-general cognition; task rank</t>
        </is>
      </c>
      <c r="Z129" s="17"/>
      <c r="AA129" s="17"/>
      <c r="AB129" s="29" t="inlineStr">
        <is>
          <t>rank</t>
        </is>
      </c>
      <c r="AC129" s="13"/>
      <c r="AD129" s="17"/>
      <c r="AE129" s="29" t="inlineStr">
        <is>
          <t>primary</t>
        </is>
      </c>
      <c r="AF129" s="29"/>
      <c r="AG129" s="13" t="inlineStr">
        <is>
          <t>The full genus-by-procedure cognitive ranking dataset: the same 30 procedures and nine paradigms represented in Johnson et al. (2002), with extensive methodological interpretation in the surrounding text.</t>
        </is>
      </c>
    </row>
    <row r="130" ht="17" customHeight="1">
      <c r="A130" s="1" t="inlineStr">
        <is>
          <t>DeCasien, A. R., &amp; Higham, J. P. (2019). Primate mosaic brain evolution reflects selection on sensory and cognitive specialization. Nat Ecol Evol, 3(10), 1483-1493. https://doi.org/10.1038/s41559-019-0969-0</t>
        </is>
      </c>
      <c r="B130" s="18"/>
      <c r="C130" s="18"/>
      <c r="D130" s="1" t="inlineStr">
        <is>
          <t>Activity Period Data</t>
        </is>
      </c>
      <c r="E130" s="10" t="str">
        <f>SUBSTITUTE(SUBSTITUTE(_xlfn.TEXTBEFORE(A130,","), "-", ""), " ", "")</f>
        <v>DeCasien</v>
      </c>
      <c r="F130" s="10"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0" s="10" t="str">
        <f>_xlfn.TEXTBEFORE(_xlfn.TEXTAFTER(A130, "("), ")")</f>
        <v>2019</v>
      </c>
      <c r="H130" s="10" t="str">
        <f>E130 &amp; IF(F130&lt;&gt;"", "_" &amp; SUBSTITUTE(F130," ",""), "_") &amp; IF(G130&lt;&gt;"", "_" &amp; G130, "_") &amp; IF(B130&lt;&gt;"", "_" &amp; B130, "")</f>
        <v>DeCasien__2019</v>
      </c>
      <c r="I130" s="10" t="str">
        <f>_xlfn.LET(
_xlpm.doi,IF(C130&lt;&gt;"",C130,_xlfn.TEXTAFTER(A130,"https://doi.org/")),
SUBSTITUTE(
SUBSTITUTE(
SUBSTITUTE(
SUBSTITUTE(
_xlpm.doi,
"/","%2F"),
":","%3A"),
"&lt;","%3C"),
"&gt;","%3E")
)</f>
        <v>10.1038%2Fs41559-019-0969-0</v>
      </c>
      <c r="J130" s="10" t="str">
        <f>TRIM(_xlfn.TEXTJOIN("_",FALSE(),H130,(SUBSTITUTE(SUBSTITUTE(D130," ",""), "_", ""))))</f>
        <v>DeCasien__2019_ActivityPeriodData</v>
      </c>
      <c r="K130" s="10" t="str">
        <f>I130 &amp; "_" &amp; SUBSTITUTE(SUBSTITUTE(SUBSTITUTE(D130,CHAR(160),"")," ",""),"_","")</f>
        <v>10.1038%2Fs41559-019-0969-0_ActivityPeriodData</v>
      </c>
      <c r="L130" s="10" t="str">
        <f t="array" ref="L130">IFERROR(INDEX(AUTO_Public_TSV_FileList!$A$1:$A$1000,MATCH(TRUE(),EXACT(K130,IFERROR(_xlfn.TEXTBEFORE(AUTO_Public_TSV_FileList!$A$1:$A$1000,".tsv"),"")),0)),"notfound")</f>
        <v>10.1038%2Fs41559-019-0969-0_ActivityPeriodData.tsv</v>
      </c>
      <c r="M130" s="1" t="inlineStr">
        <is>
          <t>Supplementary Data 1-Activity Period</t>
        </is>
      </c>
      <c r="N130" s="1" t="inlineStr">
        <is>
          <t>table</t>
        </is>
      </c>
      <c r="O130" s="13"/>
      <c r="P130" s="13" t="inlineStr">
        <is>
          <t>FINISHED</t>
        </is>
      </c>
      <c r="Q130" s="13"/>
      <c r="R130" s="1" t="inlineStr">
        <is>
          <t>https://www.nature.com/articles/s41559-019-0969-0#Sec13</t>
        </is>
      </c>
      <c r="S130" s="13"/>
      <c r="T130" s="13"/>
      <c r="U130" s="13"/>
      <c r="V130" s="13"/>
      <c r="W130" s="1" t="inlineStr">
        <is>
          <t>Primates</t>
        </is>
      </c>
      <c r="X130" s="1" t="inlineStr">
        <is>
          <t>Activity Period</t>
        </is>
      </c>
      <c r="Y130" s="13"/>
      <c r="Z130" s="1"/>
      <c r="AA130" s="13"/>
      <c r="AB130" s="1" t="inlineStr">
        <is>
          <t>ecology (activity period)</t>
        </is>
      </c>
      <c r="AC130" s="13"/>
      <c r="AD130" s="13"/>
      <c r="AE130" s="1" t="inlineStr">
        <is>
          <t>secondary</t>
        </is>
      </c>
      <c r="AF130" s="1"/>
      <c r="AG130" s="13"/>
    </row>
    <row r="131" ht="17" customHeight="1">
      <c r="A131" s="1" t="inlineStr">
        <is>
          <t>DeCasien, A. R., &amp; Higham, J. P. (2019). Primate mosaic brain evolution reflects selection on sensory and cognitive specialization. Nat Ecol Evol, 3(10), 1483-1493. https://doi.org/10.1038/s41559-019-0969-0</t>
        </is>
      </c>
      <c r="D131" s="1" t="inlineStr">
        <is>
          <t>Brain Region Data mm3</t>
        </is>
      </c>
      <c r="E131" s="10" t="str">
        <f>SUBSTITUTE(SUBSTITUTE(_xlfn.TEXTBEFORE(A131,","), "-", ""), " ", "")</f>
        <v>DeCasien</v>
      </c>
      <c r="F131" s="10"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1" s="10" t="str">
        <f>_xlfn.TEXTBEFORE(_xlfn.TEXTAFTER(A131, "("), ")")</f>
        <v>2019</v>
      </c>
      <c r="H131" s="10" t="str">
        <f>E131 &amp; IF(F131&lt;&gt;"", "_" &amp; SUBSTITUTE(F131," ",""), "_") &amp; IF(G131&lt;&gt;"", "_" &amp; G131, "_") &amp; IF(B131&lt;&gt;"", "_" &amp; B131, "")</f>
        <v>DeCasien__2019</v>
      </c>
      <c r="I131" s="10" t="str">
        <f>_xlfn.LET(
_xlpm.doi,IF(C131&lt;&gt;"",C131,_xlfn.TEXTAFTER(A131,"https://doi.org/")),
SUBSTITUTE(
SUBSTITUTE(
SUBSTITUTE(
SUBSTITUTE(
_xlpm.doi,
"/","%2F"),
":","%3A"),
"&lt;","%3C"),
"&gt;","%3E")
)</f>
        <v>10.1038%2Fs41559-019-0969-0</v>
      </c>
      <c r="J131" s="10" t="str">
        <f>TRIM(_xlfn.TEXTJOIN("_",FALSE(),H131,(SUBSTITUTE(SUBSTITUTE(D131," ",""), "_", ""))))</f>
        <v>DeCasien__2019_BrainRegionDatamm3</v>
      </c>
      <c r="K131" s="10" t="str">
        <f>I131 &amp; "_" &amp; SUBSTITUTE(SUBSTITUTE(SUBSTITUTE(D131,CHAR(160),"")," ",""),"_","")</f>
        <v>10.1038%2Fs41559-019-0969-0_BrainRegionDatamm3</v>
      </c>
      <c r="L131" s="10" t="str">
        <f t="array" ref="L131">IFERROR(INDEX(AUTO_Public_TSV_FileList!$A$1:$A$1000,MATCH(TRUE(),EXACT(K131,IFERROR(_xlfn.TEXTBEFORE(AUTO_Public_TSV_FileList!$A$1:$A$1000,".tsv"),"")),0)),"notfound")</f>
        <v>10.1038%2Fs41559-019-0969-0_BrainRegionDatamm3.tsv</v>
      </c>
      <c r="M131" s="1" t="inlineStr">
        <is>
          <t>Supplementary Data 1-Brain Region</t>
        </is>
      </c>
      <c r="N131" s="1" t="inlineStr">
        <is>
          <t>table</t>
        </is>
      </c>
      <c r="O131" s="13"/>
      <c r="P131" s="13" t="inlineStr">
        <is>
          <t>FINISHED</t>
        </is>
      </c>
      <c r="Q131" s="13"/>
      <c r="R131" s="1" t="inlineStr">
        <is>
          <t>https://www.nature.com/articles/s41559-019-0969-0#Sec13</t>
        </is>
      </c>
      <c r="S131" s="13"/>
      <c r="T131" s="13"/>
      <c r="U131" s="13"/>
      <c r="V131" s="13"/>
      <c r="W131" s="1" t="inlineStr">
        <is>
          <t>Primates</t>
        </is>
      </c>
      <c r="X131" s="1" t="inlineStr">
        <is>
          <t>brain Regions Volumes</t>
        </is>
      </c>
      <c r="Y131" s="13"/>
      <c r="Z131" s="1" t="inlineStr">
        <is>
          <t>histological sections</t>
        </is>
      </c>
      <c r="AA131" s="13"/>
      <c r="AB131" s="1" t="inlineStr">
        <is>
          <t>volume</t>
        </is>
      </c>
      <c r="AC131" s="13"/>
      <c r="AD131" s="13"/>
      <c r="AE131" s="1" t="inlineStr">
        <is>
          <t>secondary incl some previously unpublished data</t>
        </is>
      </c>
      <c r="AF131" s="1" t="inlineStr">
        <is>
          <t>mostly Stephan and other Ddorf studies</t>
        </is>
      </c>
      <c r="AG131" s="13"/>
    </row>
    <row r="132" ht="17" customHeight="1">
      <c r="A132" s="1" t="inlineStr">
        <is>
          <t>DeCasien, A. R., &amp; Higham, J. P. (2019). Primate mosaic brain evolution reflects selection on sensory and cognitive specialization. Nat Ecol Evol, 3(10), 1483-1493. https://doi.org/10.1038/s41559-019-0969-0</t>
        </is>
      </c>
      <c r="D132" s="1" t="inlineStr">
        <is>
          <t>Brain Region Data Notes</t>
        </is>
      </c>
      <c r="E132" s="10" t="str">
        <f>SUBSTITUTE(SUBSTITUTE(_xlfn.TEXTBEFORE(A132,","), "-", ""), " ", "")</f>
        <v>DeCasien</v>
      </c>
      <c r="F132" s="10"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2" s="10" t="str">
        <f>_xlfn.TEXTBEFORE(_xlfn.TEXTAFTER(A132, "("), ")")</f>
        <v>2019</v>
      </c>
      <c r="H132" s="10" t="str">
        <f>E132 &amp; IF(F132&lt;&gt;"", "_" &amp; SUBSTITUTE(F132," ",""), "_") &amp; IF(G132&lt;&gt;"", "_" &amp; G132, "_") &amp; IF(B132&lt;&gt;"", "_" &amp; B132, "")</f>
        <v>DeCasien__2019</v>
      </c>
      <c r="I132" s="10" t="str">
        <f>_xlfn.LET(
_xlpm.doi,IF(C132&lt;&gt;"",C132,_xlfn.TEXTAFTER(A132,"https://doi.org/")),
SUBSTITUTE(
SUBSTITUTE(
SUBSTITUTE(
SUBSTITUTE(
_xlpm.doi,
"/","%2F"),
":","%3A"),
"&lt;","%3C"),
"&gt;","%3E")
)</f>
        <v>10.1038%2Fs41559-019-0969-0</v>
      </c>
      <c r="J132" s="10" t="str">
        <f>TRIM(_xlfn.TEXTJOIN("_",FALSE(),H132,(SUBSTITUTE(SUBSTITUTE(D132," ",""), "_", ""))))</f>
        <v>DeCasien__2019_BrainRegionDataNotes</v>
      </c>
      <c r="K132" s="10" t="str">
        <f>I132 &amp; "_" &amp; SUBSTITUTE(SUBSTITUTE(SUBSTITUTE(D132,CHAR(160),"")," ",""),"_","")</f>
        <v>10.1038%2Fs41559-019-0969-0_BrainRegionDataNotes</v>
      </c>
      <c r="L132" s="10" t="str">
        <f t="array" ref="L132">IFERROR(INDEX(AUTO_Public_TSV_FileList!$A$1:$A$1000,MATCH(TRUE(),EXACT(K132,IFERROR(_xlfn.TEXTBEFORE(AUTO_Public_TSV_FileList!$A$1:$A$1000,".tsv"),"")),0)),"notfound")</f>
        <v>10.1038%2Fs41559-019-0969-0_BrainRegionDataNotes.tsv</v>
      </c>
      <c r="M132" s="1" t="inlineStr">
        <is>
          <t>Brain Region Data Notes</t>
        </is>
      </c>
      <c r="N132" s="1" t="inlineStr">
        <is>
          <t>table</t>
        </is>
      </c>
      <c r="O132" s="13"/>
      <c r="P132" s="13" t="inlineStr">
        <is>
          <t>FINISHED</t>
        </is>
      </c>
      <c r="Q132" s="13"/>
      <c r="R132" s="1" t="inlineStr">
        <is>
          <t>https://www.nature.com/articles/s41559-019-0969-0#Sec13</t>
        </is>
      </c>
      <c r="S132" s="13"/>
      <c r="T132" s="13"/>
      <c r="U132" s="13"/>
      <c r="V132" s="13"/>
      <c r="W132" s="1" t="inlineStr">
        <is>
          <t>Primates</t>
        </is>
      </c>
      <c r="X132" s="1" t="inlineStr">
        <is>
          <t>brain Regions Volumes</t>
        </is>
      </c>
      <c r="Y132" s="13"/>
      <c r="Z132" s="1" t="inlineStr">
        <is>
          <t>histological sections</t>
        </is>
      </c>
      <c r="AA132" s="13"/>
      <c r="AB132" s="1" t="inlineStr">
        <is>
          <t>volume</t>
        </is>
      </c>
      <c r="AC132" s="13"/>
      <c r="AD132" s="13"/>
      <c r="AE132" s="1" t="inlineStr">
        <is>
          <t>secondary incl some previously unpublished data</t>
        </is>
      </c>
      <c r="AF132" s="1" t="inlineStr">
        <is>
          <t>mostly Stephan and other Ddorf studies</t>
        </is>
      </c>
      <c r="AG132" s="13"/>
    </row>
    <row r="133" ht="17" customHeight="1">
      <c r="A133" s="1" t="inlineStr">
        <is>
          <t>DeCasien, A. R., &amp; Higham, J. P. (2019). Primate mosaic brain evolution reflects selection on sensory and cognitive specialization. Nat Ecol Evol, 3(10), 1483-1493. https://doi.org/10.1038/s41559-019-0969-0</t>
        </is>
      </c>
      <c r="D133" s="1" t="inlineStr">
        <is>
          <t>Diet Data</t>
        </is>
      </c>
      <c r="E133" s="10" t="str">
        <f>SUBSTITUTE(SUBSTITUTE(_xlfn.TEXTBEFORE(A133,","), "-", ""), " ", "")</f>
        <v>DeCasien</v>
      </c>
      <c r="F133" s="10"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3" s="10" t="str">
        <f>_xlfn.TEXTBEFORE(_xlfn.TEXTAFTER(A133, "("), ")")</f>
        <v>2019</v>
      </c>
      <c r="H133" s="10" t="str">
        <f>E133 &amp; IF(F133&lt;&gt;"", "_" &amp; SUBSTITUTE(F133," ",""), "_") &amp; IF(G133&lt;&gt;"", "_" &amp; G133, "_") &amp; IF(B133&lt;&gt;"", "_" &amp; B133, "")</f>
        <v>DeCasien__2019</v>
      </c>
      <c r="I133" s="10" t="str">
        <f>_xlfn.LET(
_xlpm.doi,IF(C133&lt;&gt;"",C133,_xlfn.TEXTAFTER(A133,"https://doi.org/")),
SUBSTITUTE(
SUBSTITUTE(
SUBSTITUTE(
SUBSTITUTE(
_xlpm.doi,
"/","%2F"),
":","%3A"),
"&lt;","%3C"),
"&gt;","%3E")
)</f>
        <v>10.1038%2Fs41559-019-0969-0</v>
      </c>
      <c r="J133" s="10" t="str">
        <f>TRIM(_xlfn.TEXTJOIN("_",FALSE(),H133,(SUBSTITUTE(SUBSTITUTE(D133," ",""), "_", ""))))</f>
        <v>DeCasien__2019_DietData</v>
      </c>
      <c r="K133" s="10" t="str">
        <f>I133 &amp; "_" &amp; SUBSTITUTE(SUBSTITUTE(SUBSTITUTE(D133,CHAR(160),"")," ",""),"_","")</f>
        <v>10.1038%2Fs41559-019-0969-0_DietData</v>
      </c>
      <c r="L133" s="10" t="str">
        <f t="array" ref="L133">IFERROR(INDEX(AUTO_Public_TSV_FileList!$A$1:$A$1000,MATCH(TRUE(),EXACT(K133,IFERROR(_xlfn.TEXTBEFORE(AUTO_Public_TSV_FileList!$A$1:$A$1000,".tsv"),"")),0)),"notfound")</f>
        <v>10.1038%2Fs41559-019-0969-0_DietData.tsv</v>
      </c>
      <c r="M133" s="1" t="inlineStr">
        <is>
          <t>Supplementary Data 1-Diet</t>
        </is>
      </c>
      <c r="N133" s="1" t="inlineStr">
        <is>
          <t>table</t>
        </is>
      </c>
      <c r="O133" s="13"/>
      <c r="P133" s="13" t="inlineStr">
        <is>
          <t>FINISHED</t>
        </is>
      </c>
      <c r="Q133" s="13"/>
      <c r="R133" s="1" t="inlineStr">
        <is>
          <t>https://www.nature.com/articles/s41559-019-0969-0#Sec13</t>
        </is>
      </c>
      <c r="S133" s="13"/>
      <c r="T133" s="13"/>
      <c r="U133" s="13"/>
      <c r="V133" s="13"/>
      <c r="W133" s="1" t="inlineStr">
        <is>
          <t>Primates</t>
        </is>
      </c>
      <c r="X133" s="1" t="inlineStr">
        <is>
          <t>Diet</t>
        </is>
      </c>
      <c r="Y133" s="13"/>
      <c r="Z133" s="1"/>
      <c r="AA133" s="13"/>
      <c r="AB133" s="1" t="inlineStr">
        <is>
          <t>ecology (diet)</t>
        </is>
      </c>
      <c r="AC133" s="13"/>
      <c r="AD133" s="13"/>
      <c r="AE133" s="1" t="inlineStr">
        <is>
          <t>secondary</t>
        </is>
      </c>
      <c r="AF133" s="1"/>
      <c r="AG133" s="13"/>
    </row>
    <row r="134" ht="17" customHeight="1">
      <c r="A134" s="1" t="inlineStr">
        <is>
          <t>DeCasien, A. R., &amp; Higham, J. P. (2019). Primate mosaic brain evolution reflects selection on sensory and cognitive specialization. Nat Ecol Evol, 3(10), 1483-1493. https://doi.org/10.1038/s41559-019-0969-0</t>
        </is>
      </c>
      <c r="D134" s="1" t="inlineStr">
        <is>
          <t>DQI data</t>
        </is>
      </c>
      <c r="E134" s="10" t="str">
        <f>SUBSTITUTE(SUBSTITUTE(_xlfn.TEXTBEFORE(A134,","), "-", ""), " ", "")</f>
        <v>DeCasien</v>
      </c>
      <c r="F134" s="10"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4" s="10" t="str">
        <f>_xlfn.TEXTBEFORE(_xlfn.TEXTAFTER(A134, "("), ")")</f>
        <v>2019</v>
      </c>
      <c r="H134" s="10" t="str">
        <f>E134 &amp; IF(F134&lt;&gt;"", "_" &amp; SUBSTITUTE(F134," ",""), "_") &amp; IF(G134&lt;&gt;"", "_" &amp; G134, "_") &amp; IF(B134&lt;&gt;"", "_" &amp; B134, "")</f>
        <v>DeCasien__2019</v>
      </c>
      <c r="I134" s="10" t="str">
        <f>_xlfn.LET(
_xlpm.doi,IF(C134&lt;&gt;"",C134,_xlfn.TEXTAFTER(A134,"https://doi.org/")),
SUBSTITUTE(
SUBSTITUTE(
SUBSTITUTE(
SUBSTITUTE(
_xlpm.doi,
"/","%2F"),
":","%3A"),
"&lt;","%3C"),
"&gt;","%3E")
)</f>
        <v>10.1038%2Fs41559-019-0969-0</v>
      </c>
      <c r="J134" s="10" t="str">
        <f>TRIM(_xlfn.TEXTJOIN("_",FALSE(),H134,(SUBSTITUTE(SUBSTITUTE(D134," ",""), "_", ""))))</f>
        <v>DeCasien__2019_DQIdata</v>
      </c>
      <c r="K134" s="10" t="str">
        <f>I134 &amp; "_" &amp; SUBSTITUTE(SUBSTITUTE(SUBSTITUTE(D134,CHAR(160),"")," ",""),"_","")</f>
        <v>10.1038%2Fs41559-019-0969-0_DQIdata</v>
      </c>
      <c r="L134" s="10" t="str">
        <f t="array" ref="L134">IFERROR(INDEX(AUTO_Public_TSV_FileList!$A$1:$A$1000,MATCH(TRUE(),EXACT(K134,IFERROR(_xlfn.TEXTBEFORE(AUTO_Public_TSV_FileList!$A$1:$A$1000,".tsv"),"")),0)),"notfound")</f>
        <v>10.1038%2Fs41559-019-0969-0_DQIdata.tsv</v>
      </c>
      <c r="M134" s="1" t="inlineStr">
        <is>
          <t>DQI data</t>
        </is>
      </c>
      <c r="N134" s="1" t="inlineStr">
        <is>
          <t>table</t>
        </is>
      </c>
      <c r="O134" s="13"/>
      <c r="P134" s="13" t="inlineStr">
        <is>
          <t>FINISHED</t>
        </is>
      </c>
      <c r="Q134" s="13"/>
      <c r="R134" s="1" t="inlineStr">
        <is>
          <t>https://www.nature.com/articles/s41559-019-0969-0#Sec13</t>
        </is>
      </c>
      <c r="S134" s="13"/>
      <c r="T134" s="13"/>
      <c r="U134" s="13"/>
      <c r="V134" s="13"/>
      <c r="W134" s="1" t="inlineStr">
        <is>
          <t>Primates</t>
        </is>
      </c>
      <c r="X134" s="1"/>
      <c r="Y134" s="13"/>
      <c r="Z134" s="1"/>
      <c r="AA134" s="13"/>
      <c r="AB134" s="1"/>
      <c r="AC134" s="13"/>
      <c r="AD134" s="13"/>
      <c r="AE134" s="1" t="inlineStr">
        <is>
          <t>secondary</t>
        </is>
      </c>
      <c r="AF134" s="1"/>
      <c r="AG134" s="13"/>
    </row>
    <row r="135" ht="17" customHeight="1">
      <c r="A135" s="1" t="inlineStr">
        <is>
          <t>DeCasien, A. R., &amp; Higham, J. P. (2019). Primate mosaic brain evolution reflects selection on sensory and cognitive specialization. Nat Ecol Evol, 3(10), 1483-1493. https://doi.org/10.1038/s41559-019-0969-0</t>
        </is>
      </c>
      <c r="B135" s="18"/>
      <c r="C135" s="18"/>
      <c r="D135" s="1" t="inlineStr">
        <is>
          <t>Group Size Data aggregated</t>
        </is>
      </c>
      <c r="E135" s="10" t="str">
        <f>SUBSTITUTE(SUBSTITUTE(_xlfn.TEXTBEFORE(A135,","), "-", ""), " ", "")</f>
        <v>DeCasien</v>
      </c>
      <c r="F135" s="10"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5" s="10" t="str">
        <f>_xlfn.TEXTBEFORE(_xlfn.TEXTAFTER(A135, "("), ")")</f>
        <v>2019</v>
      </c>
      <c r="H135" s="10" t="str">
        <f>E135 &amp; IF(F135&lt;&gt;"", "_" &amp; SUBSTITUTE(F135," ",""), "_") &amp; IF(G135&lt;&gt;"", "_" &amp; G135, "_") &amp; IF(B135&lt;&gt;"", "_" &amp; B135, "")</f>
        <v>DeCasien__2019</v>
      </c>
      <c r="I135" s="10" t="str">
        <f>_xlfn.LET(
_xlpm.doi,IF(C135&lt;&gt;"",C135,_xlfn.TEXTAFTER(A135,"https://doi.org/")),
SUBSTITUTE(
SUBSTITUTE(
SUBSTITUTE(
SUBSTITUTE(
_xlpm.doi,
"/","%2F"),
":","%3A"),
"&lt;","%3C"),
"&gt;","%3E")
)</f>
        <v>10.1038%2Fs41559-019-0969-0</v>
      </c>
      <c r="J135" s="10" t="str">
        <f>TRIM(_xlfn.TEXTJOIN("_",FALSE(),H135,(SUBSTITUTE(SUBSTITUTE(D135," ",""), "_", ""))))</f>
        <v>DeCasien__2019_GroupSizeDataaggregated</v>
      </c>
      <c r="K135" s="10" t="str">
        <f>I135 &amp; "_" &amp; SUBSTITUTE(SUBSTITUTE(SUBSTITUTE(D135,CHAR(160),"")," ",""),"_","")</f>
        <v>10.1038%2Fs41559-019-0969-0_GroupSizeDataaggregated</v>
      </c>
      <c r="L135" s="10" t="str">
        <f t="array" ref="L135">IFERROR(INDEX(AUTO_Public_TSV_FileList!$A$1:$A$1000,MATCH(TRUE(),EXACT(K135,IFERROR(_xlfn.TEXTBEFORE(AUTO_Public_TSV_FileList!$A$1:$A$1000,".tsv"),"")),0)),"notfound")</f>
        <v>10.1038%2Fs41559-019-0969-0_GroupSizeDataaggregated.tsv</v>
      </c>
      <c r="M135" s="1" t="inlineStr">
        <is>
          <t>Supplementary Data 1-Group Size</t>
        </is>
      </c>
      <c r="N135" s="1" t="inlineStr">
        <is>
          <t>table</t>
        </is>
      </c>
      <c r="O135" s="13"/>
      <c r="P135" s="13" t="inlineStr">
        <is>
          <t>FINISHED</t>
        </is>
      </c>
      <c r="Q135" s="13"/>
      <c r="R135" s="1" t="inlineStr">
        <is>
          <t>https://www.nature.com/articles/s41559-019-0969-0#Sec13</t>
        </is>
      </c>
      <c r="S135" s="13"/>
      <c r="T135" s="13"/>
      <c r="U135" s="13"/>
      <c r="V135" s="13"/>
      <c r="W135" s="1" t="inlineStr">
        <is>
          <t>Primates</t>
        </is>
      </c>
      <c r="X135" s="1" t="inlineStr">
        <is>
          <t>Social System</t>
        </is>
      </c>
      <c r="Y135" s="13"/>
      <c r="Z135" s="1"/>
      <c r="AA135" s="13"/>
      <c r="AB135" s="1" t="inlineStr">
        <is>
          <t>ecology (social system)</t>
        </is>
      </c>
      <c r="AC135" s="13"/>
      <c r="AD135" s="13"/>
      <c r="AE135" s="1" t="inlineStr">
        <is>
          <t>secondary</t>
        </is>
      </c>
      <c r="AF135" s="1"/>
      <c r="AG135" s="13"/>
    </row>
    <row r="136" ht="17" customHeight="1">
      <c r="A136" s="1" t="inlineStr">
        <is>
          <t>DeCasien, A. R., &amp; Higham, J. P. (2019). Primate mosaic brain evolution reflects selection on sensory and cognitive specialization. Nat Ecol Evol, 3(10), 1483-1493. https://doi.org/10.1038/s41559-019-0969-0</t>
        </is>
      </c>
      <c r="B136" s="18"/>
      <c r="C136" s="18"/>
      <c r="D136" s="1" t="inlineStr">
        <is>
          <t>Group Size Data from 38</t>
        </is>
      </c>
      <c r="E136" s="10" t="str">
        <f>SUBSTITUTE(SUBSTITUTE(_xlfn.TEXTBEFORE(A136,","), "-", ""), " ", "")</f>
        <v>DeCasien</v>
      </c>
      <c r="F136" s="10"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6" s="10" t="str">
        <f>_xlfn.TEXTBEFORE(_xlfn.TEXTAFTER(A136, "("), ")")</f>
        <v>2019</v>
      </c>
      <c r="H136" s="10" t="str">
        <f>E136 &amp; IF(F136&lt;&gt;"", "_" &amp; SUBSTITUTE(F136," ",""), "_") &amp; IF(G136&lt;&gt;"", "_" &amp; G136, "_") &amp; IF(B136&lt;&gt;"", "_" &amp; B136, "")</f>
        <v>DeCasien__2019</v>
      </c>
      <c r="I136" s="10" t="str">
        <f>_xlfn.LET(
_xlpm.doi,IF(C136&lt;&gt;"",C136,_xlfn.TEXTAFTER(A136,"https://doi.org/")),
SUBSTITUTE(
SUBSTITUTE(
SUBSTITUTE(
SUBSTITUTE(
_xlpm.doi,
"/","%2F"),
":","%3A"),
"&lt;","%3C"),
"&gt;","%3E")
)</f>
        <v>10.1038%2Fs41559-019-0969-0</v>
      </c>
      <c r="J136" s="10" t="str">
        <f>TRIM(_xlfn.TEXTJOIN("_",FALSE(),H136,(SUBSTITUTE(SUBSTITUTE(D136," ",""), "_", ""))))</f>
        <v>DeCasien__2019_GroupSizeDatafrom38</v>
      </c>
      <c r="K136" s="10" t="str">
        <f>I136 &amp; "_" &amp; SUBSTITUTE(SUBSTITUTE(SUBSTITUTE(D136,CHAR(160),"")," ",""),"_","")</f>
        <v>10.1038%2Fs41559-019-0969-0_GroupSizeDatafrom38</v>
      </c>
      <c r="L136" s="10" t="str">
        <f t="array" ref="L136">IFERROR(INDEX(AUTO_Public_TSV_FileList!$A$1:$A$1000,MATCH(TRUE(),EXACT(K136,IFERROR(_xlfn.TEXTBEFORE(AUTO_Public_TSV_FileList!$A$1:$A$1000,".tsv"),"")),0)),"notfound")</f>
        <v>10.1038%2Fs41559-019-0969-0_GroupSizeDatafrom38.tsv</v>
      </c>
      <c r="M136" s="1" t="inlineStr">
        <is>
          <t>Supplementary Data 1-Group Size</t>
        </is>
      </c>
      <c r="N136" s="1" t="inlineStr">
        <is>
          <t>table</t>
        </is>
      </c>
      <c r="O136" s="13"/>
      <c r="P136" s="13" t="inlineStr">
        <is>
          <t>FINISHED</t>
        </is>
      </c>
      <c r="Q136" s="13"/>
      <c r="R136" s="1" t="inlineStr">
        <is>
          <t>https://www.nature.com/articles/s41559-019-0969-0#Sec13</t>
        </is>
      </c>
      <c r="S136" s="13"/>
      <c r="T136" s="13"/>
      <c r="U136" s="13"/>
      <c r="V136" s="13"/>
      <c r="W136" s="1" t="inlineStr">
        <is>
          <t>Primates</t>
        </is>
      </c>
      <c r="X136" s="1" t="inlineStr">
        <is>
          <t>Social System</t>
        </is>
      </c>
      <c r="Y136" s="13"/>
      <c r="Z136" s="1"/>
      <c r="AA136" s="13"/>
      <c r="AB136" s="1" t="inlineStr">
        <is>
          <t>ecology (social system)</t>
        </is>
      </c>
      <c r="AC136" s="13"/>
      <c r="AD136" s="13"/>
      <c r="AE136" s="1" t="inlineStr">
        <is>
          <t>secondary</t>
        </is>
      </c>
      <c r="AF136" s="1"/>
      <c r="AG136" s="13"/>
    </row>
    <row r="137" ht="17" customHeight="1">
      <c r="A137" s="1" t="inlineStr">
        <is>
          <t>DeCasien, A. R., &amp; Higham, J. P. (2019). Primate mosaic brain evolution reflects selection on sensory and cognitive specialization. Nat Ecol Evol, 3(10), 1483-1493. https://doi.org/10.1038/s41559-019-0969-0</t>
        </is>
      </c>
      <c r="B137" s="18"/>
      <c r="C137" s="18"/>
      <c r="D137" s="1" t="inlineStr">
        <is>
          <t>references brain data</t>
        </is>
      </c>
      <c r="E137" s="10" t="str">
        <f>SUBSTITUTE(SUBSTITUTE(_xlfn.TEXTBEFORE(A137,","), "-", ""), " ", "")</f>
        <v>DeCasien</v>
      </c>
      <c r="F137" s="10"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7" s="10" t="str">
        <f>_xlfn.TEXTBEFORE(_xlfn.TEXTAFTER(A137, "("), ")")</f>
        <v>2019</v>
      </c>
      <c r="H137" s="10" t="str">
        <f>E137 &amp; IF(F137&lt;&gt;"", "_" &amp; SUBSTITUTE(F137," ",""), "_") &amp; IF(G137&lt;&gt;"", "_" &amp; G137, "_") &amp; IF(B137&lt;&gt;"", "_" &amp; B137, "")</f>
        <v>DeCasien__2019</v>
      </c>
      <c r="I137" s="10" t="str">
        <f>_xlfn.LET(
_xlpm.doi,IF(C137&lt;&gt;"",C137,_xlfn.TEXTAFTER(A137,"https://doi.org/")),
SUBSTITUTE(
SUBSTITUTE(
SUBSTITUTE(
SUBSTITUTE(
_xlpm.doi,
"/","%2F"),
":","%3A"),
"&lt;","%3C"),
"&gt;","%3E")
)</f>
        <v>10.1038%2Fs41559-019-0969-0</v>
      </c>
      <c r="J137" s="10" t="str">
        <f>TRIM(_xlfn.TEXTJOIN("_",FALSE(),H137,(SUBSTITUTE(SUBSTITUTE(D137," ",""), "_", ""))))</f>
        <v>DeCasien__2019_referencesbraindata</v>
      </c>
      <c r="K137" s="10" t="str">
        <f>I137 &amp; "_" &amp; SUBSTITUTE(SUBSTITUTE(SUBSTITUTE(D137,CHAR(160),"")," ",""),"_","")</f>
        <v>10.1038%2Fs41559-019-0969-0_referencesbraindata</v>
      </c>
      <c r="L137" s="10" t="str">
        <f t="array" ref="L137">IFERROR(INDEX(AUTO_Public_TSV_FileList!$A$1:$A$1000,MATCH(TRUE(),EXACT(K137,IFERROR(_xlfn.TEXTBEFORE(AUTO_Public_TSV_FileList!$A$1:$A$1000,".tsv"),"")),0)),"notfound")</f>
        <v>10.1038%2Fs41559-019-0969-0_referencesbraindata.tsv</v>
      </c>
      <c r="M137" s="1" t="inlineStr">
        <is>
          <t>references brain data</t>
        </is>
      </c>
      <c r="N137" s="1" t="inlineStr">
        <is>
          <t>table</t>
        </is>
      </c>
      <c r="O137" s="13"/>
      <c r="P137" s="13" t="inlineStr">
        <is>
          <t>FINISHED</t>
        </is>
      </c>
      <c r="Q137" s="13"/>
      <c r="R137" s="1" t="inlineStr">
        <is>
          <t>https://www.nature.com/articles/s41559-019-0969-0#Sec13</t>
        </is>
      </c>
      <c r="S137" s="13"/>
      <c r="T137" s="13"/>
      <c r="U137" s="13"/>
      <c r="V137" s="13"/>
      <c r="W137" s="1" t="inlineStr">
        <is>
          <t>Primates</t>
        </is>
      </c>
      <c r="X137" s="1"/>
      <c r="Y137" s="13"/>
      <c r="Z137" s="1"/>
      <c r="AA137" s="13"/>
      <c r="AB137" s="1"/>
      <c r="AC137" s="13"/>
      <c r="AD137" s="13"/>
      <c r="AE137" s="1" t="inlineStr">
        <is>
          <t>secondary</t>
        </is>
      </c>
      <c r="AF137" s="1"/>
      <c r="AG137" s="13"/>
    </row>
    <row r="138" ht="17" customHeight="1">
      <c r="A138" s="1" t="inlineStr">
        <is>
          <t>DeCasien, A. R., &amp; Higham, J. P. (2019). Primate mosaic brain evolution reflects selection on sensory and cognitive specialization. Nat Ecol Evol, 3(10), 1483-1493. https://doi.org/10.1038/s41559-019-0969-0</t>
        </is>
      </c>
      <c r="D138" s="1" t="inlineStr">
        <is>
          <t>Social System Data</t>
        </is>
      </c>
      <c r="E138" s="10" t="str">
        <f>SUBSTITUTE(SUBSTITUTE(_xlfn.TEXTBEFORE(A138,","), "-", ""), " ", "")</f>
        <v>DeCasien</v>
      </c>
      <c r="F138" s="10"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8" s="10" t="str">
        <f>_xlfn.TEXTBEFORE(_xlfn.TEXTAFTER(A138, "("), ")")</f>
        <v>2019</v>
      </c>
      <c r="H138" s="10" t="str">
        <f>E138 &amp; IF(F138&lt;&gt;"", "_" &amp; SUBSTITUTE(F138," ",""), "_") &amp; IF(G138&lt;&gt;"", "_" &amp; G138, "_") &amp; IF(B138&lt;&gt;"", "_" &amp; B138, "")</f>
        <v>DeCasien__2019</v>
      </c>
      <c r="I138" s="10" t="str">
        <f>_xlfn.LET(
_xlpm.doi,IF(C138&lt;&gt;"",C138,_xlfn.TEXTAFTER(A138,"https://doi.org/")),
SUBSTITUTE(
SUBSTITUTE(
SUBSTITUTE(
SUBSTITUTE(
_xlpm.doi,
"/","%2F"),
":","%3A"),
"&lt;","%3C"),
"&gt;","%3E")
)</f>
        <v>10.1038%2Fs41559-019-0969-0</v>
      </c>
      <c r="J138" s="10" t="str">
        <f>TRIM(_xlfn.TEXTJOIN("_",FALSE(),H138,(SUBSTITUTE(SUBSTITUTE(D138," ",""), "_", ""))))</f>
        <v>DeCasien__2019_SocialSystemData</v>
      </c>
      <c r="K138" s="10" t="str">
        <f>I138 &amp; "_" &amp; SUBSTITUTE(SUBSTITUTE(SUBSTITUTE(D138,CHAR(160),"")," ",""),"_","")</f>
        <v>10.1038%2Fs41559-019-0969-0_SocialSystemData</v>
      </c>
      <c r="L138" s="10" t="str">
        <f t="array" ref="L138">IFERROR(INDEX(AUTO_Public_TSV_FileList!$A$1:$A$1000,MATCH(TRUE(),EXACT(K138,IFERROR(_xlfn.TEXTBEFORE(AUTO_Public_TSV_FileList!$A$1:$A$1000,".tsv"),"")),0)),"notfound")</f>
        <v>10.1038%2Fs41559-019-0969-0_SocialSystemData.tsv</v>
      </c>
      <c r="M138" s="1" t="inlineStr">
        <is>
          <t>Supplementary Data 1-Social System</t>
        </is>
      </c>
      <c r="N138" s="1" t="inlineStr">
        <is>
          <t>table</t>
        </is>
      </c>
      <c r="O138" s="13"/>
      <c r="P138" s="13" t="inlineStr">
        <is>
          <t>FINISHED</t>
        </is>
      </c>
      <c r="Q138" s="13"/>
      <c r="R138" s="1" t="inlineStr">
        <is>
          <t>https://www.nature.com/articles/s41559-019-0969-0#Sec13</t>
        </is>
      </c>
      <c r="S138" s="13"/>
      <c r="T138" s="13"/>
      <c r="U138" s="13"/>
      <c r="V138" s="13"/>
      <c r="W138" s="1" t="inlineStr">
        <is>
          <t>Primates</t>
        </is>
      </c>
      <c r="X138" s="1" t="inlineStr">
        <is>
          <t>Social System</t>
        </is>
      </c>
      <c r="Y138" s="13"/>
      <c r="Z138" s="1"/>
      <c r="AA138" s="13"/>
      <c r="AB138" s="1" t="inlineStr">
        <is>
          <t>ecology (social system)</t>
        </is>
      </c>
      <c r="AC138" s="13"/>
      <c r="AD138" s="13"/>
      <c r="AE138" s="1" t="inlineStr">
        <is>
          <t>secondary</t>
        </is>
      </c>
      <c r="AF138" s="1"/>
      <c r="AG138" s="13"/>
    </row>
    <row r="139" ht="17" customHeight="1">
      <c r="A139" s="1" t="inlineStr">
        <is>
          <t>DeCasien, A. R., &amp; Higham, J. P. (2019). Primate mosaic brain evolution reflects selection on sensory and cognitive specialization. Nat Ecol Evol, 3(10), 1483-1493. https://doi.org/10.1038/s41559-019-0969-0</t>
        </is>
      </c>
      <c r="D139" s="1" t="inlineStr">
        <is>
          <t>Source Refs from 38</t>
        </is>
      </c>
      <c r="E139" s="10" t="str">
        <f>SUBSTITUTE(SUBSTITUTE(_xlfn.TEXTBEFORE(A139,","), "-", ""), " ", "")</f>
        <v>DeCasien</v>
      </c>
      <c r="F139" s="10"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39" s="10" t="str">
        <f>_xlfn.TEXTBEFORE(_xlfn.TEXTAFTER(A139, "("), ")")</f>
        <v>2019</v>
      </c>
      <c r="H139" s="10" t="str">
        <f>E139 &amp; IF(F139&lt;&gt;"", "_" &amp; SUBSTITUTE(F139," ",""), "_") &amp; IF(G139&lt;&gt;"", "_" &amp; G139, "_") &amp; IF(B139&lt;&gt;"", "_" &amp; B139, "")</f>
        <v>DeCasien__2019</v>
      </c>
      <c r="I139" s="10" t="str">
        <f>_xlfn.LET(
_xlpm.doi,IF(C139&lt;&gt;"",C139,_xlfn.TEXTAFTER(A139,"https://doi.org/")),
SUBSTITUTE(
SUBSTITUTE(
SUBSTITUTE(
SUBSTITUTE(
_xlpm.doi,
"/","%2F"),
":","%3A"),
"&lt;","%3C"),
"&gt;","%3E")
)</f>
        <v>10.1038%2Fs41559-019-0969-0</v>
      </c>
      <c r="J139" s="10" t="str">
        <f>TRIM(_xlfn.TEXTJOIN("_",FALSE(),H139,(SUBSTITUTE(SUBSTITUTE(D139," ",""), "_", ""))))</f>
        <v>DeCasien__2019_SourceRefsfrom38</v>
      </c>
      <c r="K139" s="10" t="str">
        <f>I139 &amp; "_" &amp; SUBSTITUTE(SUBSTITUTE(SUBSTITUTE(D139,CHAR(160),"")," ",""),"_","")</f>
        <v>10.1038%2Fs41559-019-0969-0_SourceRefsfrom38</v>
      </c>
      <c r="L139" s="10" t="str">
        <f t="array" ref="L139">IFERROR(INDEX(AUTO_Public_TSV_FileList!$A$1:$A$1000,MATCH(TRUE(),EXACT(K139,IFERROR(_xlfn.TEXTBEFORE(AUTO_Public_TSV_FileList!$A$1:$A$1000,".tsv"),"")),0)),"notfound")</f>
        <v>10.1038%2Fs41559-019-0969-0_SourceRefsfrom38.tsv</v>
      </c>
      <c r="M139" s="1" t="inlineStr">
        <is>
          <t>Source Refs from 38</t>
        </is>
      </c>
      <c r="N139" s="1" t="inlineStr">
        <is>
          <t>table</t>
        </is>
      </c>
      <c r="O139" s="13"/>
      <c r="P139" s="13" t="inlineStr">
        <is>
          <t>FINISHED</t>
        </is>
      </c>
      <c r="Q139" s="13"/>
      <c r="R139" s="1" t="inlineStr">
        <is>
          <t>https://www.nature.com/articles/s41559-019-0969-0#Sec13</t>
        </is>
      </c>
      <c r="S139" s="13"/>
      <c r="T139" s="13"/>
      <c r="U139" s="13"/>
      <c r="V139" s="13"/>
      <c r="W139" s="1" t="inlineStr">
        <is>
          <t>Primates</t>
        </is>
      </c>
      <c r="X139" s="1"/>
      <c r="Y139" s="13"/>
      <c r="Z139" s="1"/>
      <c r="AA139" s="13"/>
      <c r="AB139" s="1"/>
      <c r="AC139" s="13"/>
      <c r="AD139" s="13"/>
      <c r="AE139" s="1" t="inlineStr">
        <is>
          <t>secondary</t>
        </is>
      </c>
      <c r="AF139" s="1"/>
      <c r="AG139" s="13"/>
    </row>
    <row r="140" ht="17" customHeight="1">
      <c r="A140" s="29" t="inlineStr">
        <is>
          <t>DeCasien, A. R., Williams, S. A., &amp; Higham, J. P. (2017). Primate brain size is predicted by diet but not sociality [Article]. Nat Ecol Evol, 1(5), 112. https://doi.org/10.1038/s41559-017-0112</t>
        </is>
      </c>
      <c r="B140" s="17"/>
      <c r="C140" s="17"/>
      <c r="D140" s="29" t="inlineStr">
        <is>
          <t>Brain Data</t>
        </is>
      </c>
      <c r="E140" s="10" t="str">
        <f>SUBSTITUTE(SUBSTITUTE(_xlfn.TEXTBEFORE(A140,","), "-", ""), " ", "")</f>
        <v>DeCasien</v>
      </c>
      <c r="F140" s="10"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10" t="str">
        <f>_xlfn.TEXTBEFORE(_xlfn.TEXTAFTER(A140, "("), ")")</f>
        <v>2017</v>
      </c>
      <c r="H140" s="10" t="str">
        <f>E140 &amp; IF(F140&lt;&gt;"", "_" &amp; SUBSTITUTE(F140," ",""), "_") &amp; IF(G140&lt;&gt;"", "_" &amp; G140, "_") &amp; IF(B140&lt;&gt;"", "_" &amp; B140, "")</f>
        <v>DeCasien_etal_2017</v>
      </c>
      <c r="I140" s="10" t="str">
        <f>_xlfn.LET(
_xlpm.doi,IF(C140&lt;&gt;"",C140,_xlfn.TEXTAFTER(A140,"https://doi.org/")),
SUBSTITUTE(
SUBSTITUTE(
SUBSTITUTE(
SUBSTITUTE(
_xlpm.doi,
"/","%2F"),
":","%3A"),
"&lt;","%3C"),
"&gt;","%3E")
)</f>
        <v>10.1038%2Fs41559-017-0112</v>
      </c>
      <c r="J140" s="10" t="str">
        <f>TRIM(_xlfn.TEXTJOIN("_",FALSE(),H140,(SUBSTITUTE(SUBSTITUTE(D140," ",""), "_", ""))))</f>
        <v>DeCasien_etal_2017_BrainData</v>
      </c>
      <c r="K140" s="10" t="str">
        <f>I140 &amp; "_" &amp; SUBSTITUTE(SUBSTITUTE(SUBSTITUTE(D140,CHAR(160),"")," ",""),"_","")</f>
        <v>10.1038%2Fs41559-017-0112_BrainData</v>
      </c>
      <c r="L140" s="10" t="str">
        <f t="array" ref="L140">IFERROR(INDEX(AUTO_Public_TSV_FileList!$A$1:$A$1000,MATCH(TRUE(),EXACT(K140,IFERROR(_xlfn.TEXTBEFORE(AUTO_Public_TSV_FileList!$A$1:$A$1000,".tsv"),"")),0)),"notfound")</f>
        <v>10.1038%2Fs41559-017-0112_BrainData.tsv</v>
      </c>
      <c r="M140" s="17"/>
      <c r="N140" s="1"/>
      <c r="O140" s="13"/>
      <c r="P140" s="13" t="inlineStr">
        <is>
          <t>FINISHED</t>
        </is>
      </c>
      <c r="Q140" s="17"/>
      <c r="R140" s="17"/>
      <c r="S140" s="17"/>
      <c r="T140" s="17"/>
      <c r="U140" s="17"/>
      <c r="V140" s="17"/>
      <c r="W140" s="29"/>
      <c r="X140" s="17"/>
      <c r="Y140" s="17"/>
      <c r="Z140" s="17"/>
      <c r="AA140" s="17"/>
      <c r="AB140" s="29"/>
      <c r="AC140" s="13"/>
      <c r="AD140" s="17"/>
      <c r="AE140" s="29"/>
      <c r="AF140" s="29"/>
      <c r="AG140" s="13"/>
    </row>
    <row r="141" ht="17" customHeight="1">
      <c r="A141" s="29" t="inlineStr">
        <is>
          <t>DeCasien, A. R., Williams, S. A., &amp; Higham, J. P. (2017). Primate brain size is predicted by diet but not sociality [Article]. Nat Ecol Evol, 1(5), 112. https://doi.org/10.1038/s41559-017-0112</t>
        </is>
      </c>
      <c r="B141" s="21"/>
      <c r="C141" s="17"/>
      <c r="D141" s="29" t="inlineStr">
        <is>
          <t>references brain data</t>
        </is>
      </c>
      <c r="E141" s="10" t="str">
        <f>SUBSTITUTE(SUBSTITUTE(_xlfn.TEXTBEFORE(A141,","), "-", ""), " ", "")</f>
        <v>DeCasien</v>
      </c>
      <c r="F141" s="10"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10" t="str">
        <f>_xlfn.TEXTBEFORE(_xlfn.TEXTAFTER(A141, "("), ")")</f>
        <v>2017</v>
      </c>
      <c r="H141" s="10" t="str">
        <f>E141 &amp; IF(F141&lt;&gt;"", "_" &amp; SUBSTITUTE(F141," ",""), "_") &amp; IF(G141&lt;&gt;"", "_" &amp; G141, "_") &amp; IF(B141&lt;&gt;"", "_" &amp; B141, "")</f>
        <v>DeCasien_etal_2017</v>
      </c>
      <c r="I141" s="10" t="str">
        <f>_xlfn.LET(
_xlpm.doi,IF(C141&lt;&gt;"",C141,_xlfn.TEXTAFTER(A141,"https://doi.org/")),
SUBSTITUTE(
SUBSTITUTE(
SUBSTITUTE(
SUBSTITUTE(
_xlpm.doi,
"/","%2F"),
":","%3A"),
"&lt;","%3C"),
"&gt;","%3E")
)</f>
        <v>10.1038%2Fs41559-017-0112</v>
      </c>
      <c r="J141" s="10" t="str">
        <f>TRIM(_xlfn.TEXTJOIN("_",FALSE(),H141,(SUBSTITUTE(SUBSTITUTE(D141," ",""), "_", ""))))</f>
        <v>DeCasien_etal_2017_referencesbraindata</v>
      </c>
      <c r="K141" s="10" t="str">
        <f>I141 &amp; "_" &amp; SUBSTITUTE(SUBSTITUTE(SUBSTITUTE(D141,CHAR(160),"")," ",""),"_","")</f>
        <v>10.1038%2Fs41559-017-0112_referencesbraindata</v>
      </c>
      <c r="L141" s="10" t="str">
        <f t="array" ref="L141">IFERROR(INDEX(AUTO_Public_TSV_FileList!$A$1:$A$1000,MATCH(TRUE(),EXACT(K141,IFERROR(_xlfn.TEXTBEFORE(AUTO_Public_TSV_FileList!$A$1:$A$1000,".tsv"),"")),0)),"notfound")</f>
        <v>10.1038%2Fs41559-017-0112_referencesbraindata.tsv</v>
      </c>
      <c r="M141" s="17"/>
      <c r="N141" s="1"/>
      <c r="O141" s="13"/>
      <c r="P141" s="13" t="inlineStr">
        <is>
          <t>FINISHED</t>
        </is>
      </c>
      <c r="Q141" s="17"/>
      <c r="R141" s="17"/>
      <c r="S141" s="17"/>
      <c r="T141" s="17"/>
      <c r="U141" s="17"/>
      <c r="V141" s="17"/>
      <c r="W141" s="29"/>
      <c r="X141" s="17"/>
      <c r="Y141" s="17"/>
      <c r="Z141" s="17"/>
      <c r="AA141" s="17"/>
      <c r="AB141" s="29"/>
      <c r="AC141" s="13"/>
      <c r="AD141" s="17"/>
      <c r="AE141" s="29"/>
      <c r="AF141" s="29"/>
      <c r="AG141" s="13"/>
    </row>
    <row r="142" ht="17" customHeight="1">
      <c r="A142" s="1" t="inlineStr">
        <is>
          <t>Dell, L. A., Patzke, N., Spocter, M. A., Siegel, J. M., &amp; Manger, P. R. (2016). Organization of the sleep-related neural systems in the brain of the harbour porpoise (Phocoena phocoena). J Comp Neurol, 524(10), 1999-2017. https://doi.org/10.1002/cne.23929</t>
        </is>
      </c>
      <c r="C142" s="9"/>
      <c r="D142" s="1" t="inlineStr">
        <is>
          <t>Table 4</t>
        </is>
      </c>
      <c r="E142" s="10" t="str">
        <f>SUBSTITUTE(SUBSTITUTE(_xlfn.TEXTBEFORE(A142,","), "-", ""), " ", "")</f>
        <v>Dell</v>
      </c>
      <c r="F142" s="10"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10" t="str">
        <f>_xlfn.TEXTBEFORE(_xlfn.TEXTAFTER(A142, "("), ")")</f>
        <v>2016</v>
      </c>
      <c r="H142" s="10" t="str">
        <f>E142 &amp; IF(F142&lt;&gt;"", "_" &amp; SUBSTITUTE(F142," ",""), "_") &amp; IF(G142&lt;&gt;"", "_" &amp; G142, "_") &amp; IF(B142&lt;&gt;"", "_" &amp; B142, "")</f>
        <v>Dell_etal_2016</v>
      </c>
      <c r="I142" s="10" t="str">
        <f>_xlfn.LET(
_xlpm.doi,IF(C142&lt;&gt;"",C142,_xlfn.TEXTAFTER(A142,"https://doi.org/")),
SUBSTITUTE(
SUBSTITUTE(
SUBSTITUTE(
SUBSTITUTE(
_xlpm.doi,
"/","%2F"),
":","%3A"),
"&lt;","%3C"),
"&gt;","%3E")
)</f>
        <v>10.1002%2Fcne.23929</v>
      </c>
      <c r="J142" s="10" t="str">
        <f>TRIM(_xlfn.TEXTJOIN("_",FALSE(),H142,(SUBSTITUTE(SUBSTITUTE(D142," ",""), "_", ""))))</f>
        <v>Dell_etal_2016_Table4</v>
      </c>
      <c r="K142" s="10" t="str">
        <f>I142 &amp; "_" &amp; SUBSTITUTE(SUBSTITUTE(SUBSTITUTE(D142,CHAR(160),"")," ",""),"_","")</f>
        <v>10.1002%2Fcne.23929_Table4</v>
      </c>
      <c r="L142" s="10" t="str">
        <f t="array" ref="L142">IFERROR(INDEX(AUTO_Public_TSV_FileList!$A$1:$A$1000,MATCH(TRUE(),EXACT(K142,IFERROR(_xlfn.TEXTBEFORE(AUTO_Public_TSV_FileList!$A$1:$A$1000,".tsv"),"")),0)),"notfound")</f>
        <v>10.1002%2Fcne.23929_Table4.tsv</v>
      </c>
      <c r="M142" s="1"/>
      <c r="N142" s="1"/>
      <c r="O142" s="13" t="inlineStr">
        <is>
          <t>Orphan Dell_etal_2016_Table4.tsv sits in the paper folder alongside the correct __Public copy -- owner should delete it by hand (file deletion unavailable to the assistant).</t>
        </is>
      </c>
      <c r="P142" s="13" t="inlineStr">
        <is>
          <t>FINISHED</t>
        </is>
      </c>
      <c r="Q142" s="13"/>
      <c r="R142" s="1"/>
      <c r="S142" s="13"/>
      <c r="T142" s="13"/>
      <c r="U142" s="13"/>
      <c r="V142" s="13"/>
      <c r="W142" s="1"/>
      <c r="X142" s="1"/>
      <c r="Y142" s="13"/>
      <c r="Z142" s="1"/>
      <c r="AA142" s="13"/>
      <c r="AB142" s="1"/>
      <c r="AC142" s="13"/>
      <c r="AD142" s="13"/>
      <c r="AE142" s="1"/>
      <c r="AF142" s="1"/>
      <c r="AG142" s="13"/>
    </row>
    <row r="143" ht="17" customHeight="1">
      <c r="A143" s="13" t="inlineStr">
        <is>
          <t>Demirci, N., Hoffman, M. E., &amp; Holland, M. A. (2023). Systematic cortical thickness and curvature patterns in primates. NeuroImage, 278, 120283. https://doi.org/10.1016/j.neuroimage.2023.120283</t>
        </is>
      </c>
      <c r="C143" s="9"/>
      <c r="D143" s="13" t="inlineStr">
        <is>
          <t>Fig. 1</t>
        </is>
      </c>
      <c r="E143" s="10" t="str">
        <f>SUBSTITUTE(SUBSTITUTE(_xlfn.TEXTBEFORE(A143,","), "-", ""), " ", "")</f>
        <v>Demirci</v>
      </c>
      <c r="F143" s="10"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10" t="str">
        <f>_xlfn.TEXTBEFORE(_xlfn.TEXTAFTER(A143, "("), ")")</f>
        <v>2023</v>
      </c>
      <c r="H143" s="10" t="str">
        <f>E143 &amp; IF(F143&lt;&gt;"", "_" &amp; SUBSTITUTE(F143," ",""), "_") &amp; IF(G143&lt;&gt;"", "_" &amp; G143, "_") &amp; IF(B143&lt;&gt;"", "_" &amp; B143, "")</f>
        <v>Demirci_etal_2023</v>
      </c>
      <c r="I143" s="10" t="str">
        <f>_xlfn.LET(
_xlpm.doi,IF(C143&lt;&gt;"",C143,_xlfn.TEXTAFTER(A143,"https://doi.org/")),
SUBSTITUTE(
SUBSTITUTE(
SUBSTITUTE(
SUBSTITUTE(
_xlpm.doi,
"/","%2F"),
":","%3A"),
"&lt;","%3C"),
"&gt;","%3E")
)</f>
        <v>10.1016%2Fj.neuroimage.2023.120283</v>
      </c>
      <c r="J143" s="10" t="str">
        <f>TRIM(_xlfn.TEXTJOIN("_",FALSE(),H143,(SUBSTITUTE(SUBSTITUTE(D143," ",""), "_", ""))))</f>
        <v>Demirci_etal_2023_Fig.1</v>
      </c>
      <c r="K143" s="10" t="str">
        <f>I143 &amp; "_" &amp; SUBSTITUTE(SUBSTITUTE(SUBSTITUTE(D143,CHAR(160),"")," ",""),"_","")</f>
        <v>10.1016%2Fj.neuroimage.2023.120283_Fig.1</v>
      </c>
      <c r="L143" s="10" t="str">
        <f t="array" ref="L143">IFERROR(INDEX(AUTO_Public_TSV_FileList!$A$1:$A$1000,MATCH(TRUE(),EXACT(K143,IFERROR(_xlfn.TEXTBEFORE(AUTO_Public_TSV_FileList!$A$1:$A$1000,".tsv"),"")),0)),"notfound")</f>
        <v>10.1016%2Fj.neuroimage.2023.120283_Fig.1.tsv</v>
      </c>
      <c r="M143" s="13" t="inlineStr">
        <is>
          <t>xml:space="preserve"&gt;Fig. 1. The primate species investigated in this study. </t>
        </is>
      </c>
      <c r="N143" s="13"/>
      <c r="O143" s="13"/>
      <c r="P143" s="13" t="inlineStr">
        <is>
          <t>FINISHED</t>
        </is>
      </c>
      <c r="Q143" s="13"/>
      <c r="R143" s="13"/>
      <c r="S143" s="13"/>
      <c r="T143" s="13"/>
      <c r="U143" s="13"/>
      <c r="V143" s="13"/>
      <c r="W143" s="13"/>
      <c r="X143" s="13"/>
      <c r="Y143" s="13"/>
      <c r="Z143" s="13"/>
      <c r="AA143" s="13"/>
      <c r="AB143" s="13"/>
      <c r="AC143" s="13"/>
      <c r="AD143" s="13"/>
      <c r="AE143" s="13"/>
      <c r="AF143" s="13"/>
      <c r="AG143" s="13"/>
    </row>
    <row r="144" ht="17" customHeight="1">
      <c r="A144" s="9" t="inlineStr">
        <is>
          <t>Dom, R., Martin, G. F., Fisher, B. L., Fisher, A. M., &amp; Harting, J. K. (1971). The motor cortex and corticospinal tract of the armadillo (Dasypus novemcinctus). Journal of the Neurological Sciences, 14(2), 225–236. https://doi.org/10.1016/0022-510X(71)90092-X</t>
        </is>
      </c>
      <c r="C144" s="9"/>
      <c r="D144" s="9" t="inlineStr">
        <is>
          <t>motor map CST</t>
        </is>
      </c>
      <c r="E144" s="11" t="str">
        <f>SUBSTITUTE(SUBSTITUTE(_xlfn.TEXTBEFORE(A144,","), "-", ""), " ", "")</f>
        <v>Dom</v>
      </c>
      <c r="F144" s="10"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10" t="str">
        <f>_xlfn.TEXTBEFORE(_xlfn.TEXTAFTER(A144, "("), ")")</f>
        <v>1971</v>
      </c>
      <c r="H144" s="11" t="str">
        <f>E144 &amp; IF(F144&lt;&gt;"", "_" &amp; SUBSTITUTE(F144," ",""), "_") &amp; IF(G144&lt;&gt;"", "_" &amp; G144, "_") &amp; IF(B144&lt;&gt;"", "_" &amp; B144, "")</f>
        <v>Dom_etal_1971</v>
      </c>
      <c r="I144" s="11" t="str">
        <f>_xlfn.LET(_xlpm.doi,IF(C144&lt;&gt;"",C144,_xlfn.TEXTAFTER(A144,"https://doi.org/")),SUBSTITUTE(SUBSTITUTE(SUBSTITUTE(SUBSTITUTE(_xlpm.doi,"/","%2F"),":","%3A"),"&lt;","%3C"),"&gt;","%3E"))</f>
        <v>10.1016%2F0022-510X(71)90092-X</v>
      </c>
      <c r="J144" s="11" t="str">
        <f>TRIM(_xlfn.TEXTJOIN("_",FALSE(),H144,(SUBSTITUTE(SUBSTITUTE(D144," ",""), "_", ""))))</f>
        <v>Dom_etal_1971_motormapCST</v>
      </c>
      <c r="K144" s="10" t="str">
        <f>I144 &amp; "_" &amp; SUBSTITUTE(SUBSTITUTE(SUBSTITUTE(D144,CHAR(160),"")," ",""),"_","")</f>
        <v>10.1016%2F0022-510X(71)90092-X_motormapCST</v>
      </c>
      <c r="L144" s="10" t="str">
        <f t="array" ref="L144">IFERROR(INDEX(AUTO_Public_TSV_FileList!$A$1:$A$1000,MATCH(TRUE(),EXACT(K144,IFERROR(_xlfn.TEXTBEFORE(AUTO_Public_TSV_FileList!$A$1:$A$1000,".tsv"),"")),0)),"notfound")</f>
        <v>notfound</v>
      </c>
      <c r="M144" s="9" t="inlineStr">
        <is>
          <t>Motor-cortex mapping and corticospinal course/termination. Companions: Fisher et al. 1969 (J Neurol Sci 8(2):347–361) and Royce, Martin &amp; Dom 1975 (J Comp Neurol 164(4):495–521).</t>
        </is>
      </c>
      <c r="N144" s="9" t="inlineStr">
        <is>
          <t>text/figure</t>
        </is>
      </c>
      <c r="O144" s="9" t="inlineStr">
        <is>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is>
      </c>
      <c r="P144" s="9" t="inlineStr">
        <is>
          <t>candidate</t>
        </is>
      </c>
      <c r="Q144" s="9"/>
      <c r="R144" s="9" t="inlineStr">
        <is>
          <t>https://doi.org/10.1016/0022-510X(71)90092-X</t>
        </is>
      </c>
      <c r="S144" s="9" t="inlineStr">
        <is>
          <t>Citation and DOI confirmed via CrossRef (2026-09-30); not yet built.</t>
        </is>
      </c>
      <c r="T144" s="9" t="inlineStr">
        <is>
          <t>Degeneration/light-microscopy evidence: grade conservatively and do not infer monosynaptic CM contacts (same rule as Bortoff &amp; Strick).</t>
        </is>
      </c>
      <c r="U144" s="9"/>
      <c r="V144" s="9" t="inlineStr">
        <is>
          <t>corticospinal tract</t>
        </is>
      </c>
      <c r="W144" s="9" t="inlineStr">
        <is>
          <t>Nine-banded armadillo.</t>
        </is>
      </c>
      <c r="X144" s="9" t="inlineStr">
        <is>
          <t>M1: motor-cortex map extent; corticospinal course &amp; termination</t>
        </is>
      </c>
      <c r="Y144" s="9"/>
      <c r="Z144" s="9" t="inlineStr">
        <is>
          <t>cortical stimulation; degeneration-stained sections</t>
        </is>
      </c>
      <c r="AA144" s="9" t="inlineStr">
        <is>
          <t>cortical stimulation mapping; degeneration tracing</t>
        </is>
      </c>
      <c r="AB144" s="9" t="inlineStr">
        <is>
          <t>map extent; CST termination grade (categorical)</t>
        </is>
      </c>
      <c r="AC144" s="9" t="inlineStr">
        <is>
          <t>Martin/Harting</t>
        </is>
      </c>
      <c r="AD144" s="9"/>
      <c r="AE144" s="9" t="inlineStr">
        <is>
          <t>primary</t>
        </is>
      </c>
      <c r="AF144" s="9"/>
      <c r="AG144" s="9" t="inlineStr">
        <is>
          <t>Priority 1. Access: Subscription (Elsevier). Suggested home: CST termination grade (Bortoff &amp; Strick lineage); __merging_cortical_areas. Registry/roadmap status at scouting: Not registered.</t>
        </is>
      </c>
    </row>
    <row r="145" ht="17" customHeight="1">
      <c r="A145" s="13" t="inlineStr">
        <is>
          <t>Dooley, J. C., Nguyen, H., Seelke, A. M. H., &amp; Krubitzer, L. (2012). Visual acuity in the short-tailed opossum (Monodelphis domestica). Neuroscience, 223, 124–130. https://doi.org/10.1016/j.neuroscience.2012.07.065</t>
        </is>
      </c>
      <c r="B145" s="19"/>
      <c r="C145" s="13"/>
      <c r="D145" s="13" t="inlineStr">
        <is>
          <t>Discussion Text</t>
        </is>
      </c>
      <c r="E145" s="11" t="str">
        <f>SUBSTITUTE(SUBSTITUTE(_xlfn.TEXTBEFORE(A145,","), "-", ""), " ", "")</f>
        <v>Dooley</v>
      </c>
      <c r="F145" s="10"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10" t="str">
        <f>_xlfn.TEXTBEFORE(_xlfn.TEXTAFTER(A145, "("), ")")</f>
        <v>2012</v>
      </c>
      <c r="H145" s="11" t="str">
        <f>E145 &amp; IF(F145&lt;&gt;"", "_" &amp; SUBSTITUTE(F145," ",""), "_") &amp; IF(G145&lt;&gt;"", "_" &amp; G145, "_") &amp; IF(B145&lt;&gt;"", "_" &amp; B145, "")</f>
        <v>Dooley_etal_2012</v>
      </c>
      <c r="I145" s="11" t="str">
        <f>_xlfn.LET(_xlpm.doi,IF(C145&lt;&gt;"",C145,_xlfn.TEXTAFTER(A145,"https://doi.org/")),SUBSTITUTE(SUBSTITUTE(SUBSTITUTE(SUBSTITUTE(_xlpm.doi,"/","%2F"),":","%3A"),"&lt;","%3C"),"&gt;","%3E"))</f>
        <v>10.1016%2Fj.neuroscience.2012.07.065</v>
      </c>
      <c r="J145" s="11" t="str">
        <f>TRIM(_xlfn.TEXTJOIN("_",FALSE(),H145,(SUBSTITUTE(SUBSTITUTE(D145," ",""), "_", ""))))</f>
        <v>Dooley_etal_2012_DiscussionText</v>
      </c>
      <c r="K145" s="10" t="str">
        <f>I145 &amp; "_" &amp; SUBSTITUTE(SUBSTITUTE(SUBSTITUTE(D145,CHAR(160),"")," ",""),"_","")</f>
        <v>10.1016%2Fj.neuroscience.2012.07.065_DiscussionText</v>
      </c>
      <c r="L145" s="10" t="str">
        <f t="array" ref="L145">IFERROR(INDEX(AUTO_Public_TSV_FileList!$A$1:$A$1000,MATCH(TRUE(),EXACT(K145,IFERROR(_xlfn.TEXTBEFORE(AUTO_Public_TSV_FileList!$A$1:$A$1000,".tsv"),"")),0)),"notfound")</f>
        <v>10.1016%2Fj.neuroscience.2012.07.065_DiscussionText.tsv</v>
      </c>
      <c r="M145" s="13" t="inlineStr">
        <is>
          <t>Discussion text. Visual acuity of other marsupials and rodent models compared with Monodelphis domestica</t>
        </is>
      </c>
      <c r="N145" s="13" t="inlineStr">
        <is>
          <t>text</t>
        </is>
      </c>
      <c r="O145" s="13" t="inlineStr">
        <is>
          <t>Numbat 5.2, wallaby 4.8, quoll 2.6, fat-tailed dunnart 2.36 cpd (behavioural); Didelphis marsupialis aurita 2.4 (RGC density) &amp; 1.25 (VEP); mouse 0.39, rat 0.54 (OPT). Same values as Fig. 5 – figure not used.</t>
        </is>
      </c>
      <c r="P145" s="13"/>
      <c r="Q145" s="13"/>
      <c r="R145" s="13" t="inlineStr">
        <is>
          <t>https://doi.org/10.1016/j.neuroscience.2012.07.065</t>
        </is>
      </c>
      <c r="S145" s="13"/>
      <c r="T145" s="13" t="inlineStr">
        <is>
          <t>values compiled from cited sources; method differs by species</t>
        </is>
      </c>
      <c r="U145" s="13"/>
      <c r="V145" s="13" t="inlineStr">
        <is>
          <t>sensory vision</t>
        </is>
      </c>
      <c r="W145" s="13" t="inlineStr">
        <is>
          <t>Marsupials; Rodents</t>
        </is>
      </c>
      <c r="X145" s="13" t="inlineStr">
        <is>
          <t>visual acuity (cycles/degree)</t>
        </is>
      </c>
      <c r="Y145" s="13" t="inlineStr">
        <is>
          <t>diel activity pattern</t>
        </is>
      </c>
      <c r="Z145" s="13"/>
      <c r="AA145" s="13" t="inlineStr">
        <is>
          <t>literature compilation (behaviour, RGC density, VEP, OPT)</t>
        </is>
      </c>
      <c r="AB145" s="13" t="inlineStr">
        <is>
          <t>acuity (cycles/degree)</t>
        </is>
      </c>
      <c r="AC145" s="13" t="inlineStr">
        <is>
          <t>Krubitzer</t>
        </is>
      </c>
      <c r="AD145" s="13"/>
      <c r="AE145" s="13" t="inlineStr">
        <is>
          <t>secondary</t>
        </is>
      </c>
      <c r="AF145" s="13" t="inlineStr">
        <is>
          <t>Arrese et al. (1999, 2000); Hemmi &amp; Mark (1998); Harman (1986); Silveira et al. (1982); Douglas et al. (2005)</t>
        </is>
      </c>
      <c r="AG145" s="13" t="inlineStr">
        <is>
          <t>Record method per value; prefer original sources.</t>
        </is>
      </c>
    </row>
    <row r="146" ht="17" customHeight="1">
      <c r="A146" s="13" t="inlineStr">
        <is>
          <t>Dooley, J. C., Nguyen, H., Seelke, A. M. H., &amp; Krubitzer, L. (2012). Visual acuity in the short-tailed opossum (Monodelphis domestica). Neuroscience, 223, 124–130. https://doi.org/10.1016/j.neuroscience.2012.07.065</t>
        </is>
      </c>
      <c r="B146" s="19"/>
      <c r="C146" s="13"/>
      <c r="D146" s="13" t="inlineStr">
        <is>
          <t>Results Text</t>
        </is>
      </c>
      <c r="E146" s="11" t="str">
        <f>SUBSTITUTE(SUBSTITUTE(_xlfn.TEXTBEFORE(A146,","), "-", ""), " ", "")</f>
        <v>Dooley</v>
      </c>
      <c r="F146" s="10"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10" t="str">
        <f>_xlfn.TEXTBEFORE(_xlfn.TEXTAFTER(A146, "("), ")")</f>
        <v>2012</v>
      </c>
      <c r="H146" s="11" t="str">
        <f>E146 &amp; IF(F146&lt;&gt;"", "_" &amp; SUBSTITUTE(F146," ",""), "_") &amp; IF(G146&lt;&gt;"", "_" &amp; G146, "_") &amp; IF(B146&lt;&gt;"", "_" &amp; B146, "")</f>
        <v>Dooley_etal_2012</v>
      </c>
      <c r="I146" s="11" t="str">
        <f>_xlfn.LET(_xlpm.doi,IF(C146&lt;&gt;"",C146,_xlfn.TEXTAFTER(A146,"https://doi.org/")),SUBSTITUTE(SUBSTITUTE(SUBSTITUTE(SUBSTITUTE(_xlpm.doi,"/","%2F"),":","%3A"),"&lt;","%3C"),"&gt;","%3E"))</f>
        <v>10.1016%2Fj.neuroscience.2012.07.065</v>
      </c>
      <c r="J146" s="11" t="str">
        <f>TRIM(_xlfn.TEXTJOIN("_",FALSE(),H146,(SUBSTITUTE(SUBSTITUTE(D146," ",""), "_", ""))))</f>
        <v>Dooley_etal_2012_ResultsText</v>
      </c>
      <c r="K146" s="10" t="str">
        <f>I146 &amp; "_" &amp; SUBSTITUTE(SUBSTITUTE(SUBSTITUTE(D146,CHAR(160),"")," ",""),"_","")</f>
        <v>10.1016%2Fj.neuroscience.2012.07.065_ResultsText</v>
      </c>
      <c r="L146" s="10" t="str">
        <f t="array" ref="L146">IFERROR(INDEX(AUTO_Public_TSV_FileList!$A$1:$A$1000,MATCH(TRUE(),EXACT(K146,IFERROR(_xlfn.TEXTBEFORE(AUTO_Public_TSV_FileList!$A$1:$A$1000,".tsv"),"")),0)),"notfound")</f>
        <v>10.1016%2Fj.neuroscience.2012.07.065_ResultsText.tsv</v>
      </c>
      <c r="M146" s="13" t="inlineStr">
        <is>
          <t>Results text. Maximum observed visual acuity of Monodelphis domestica (optokinetic test)</t>
        </is>
      </c>
      <c r="N146" s="13" t="inlineStr">
        <is>
          <t>text</t>
        </is>
      </c>
      <c r="O146" s="13" t="inlineStr">
        <is>
          <t>Mean max acuity 0.585 cpd ± 0.019 SEM, range 0.55–0.65 cpd; n = 6 (3 M, 3 F; 84–109 g); crepuscular; 14:10 L:D. Table 1 is stimulus stripe widths only (method) – not data.</t>
        </is>
      </c>
      <c r="P146" s="13"/>
      <c r="Q146" s="13"/>
      <c r="R146" s="13" t="inlineStr">
        <is>
          <t>https://doi.org/10.1016/j.neuroscience.2012.07.065</t>
        </is>
      </c>
      <c r="S146" s="13"/>
      <c r="T146" s="13" t="inlineStr">
        <is>
          <t>OPT underestimates acuity vs behavioural tasks (25% mice, 45% rats) – keep method column</t>
        </is>
      </c>
      <c r="U146" s="13"/>
      <c r="V146" s="13" t="inlineStr">
        <is>
          <t>sensory vision</t>
        </is>
      </c>
      <c r="W146" s="13" t="inlineStr">
        <is>
          <t>Monodelphis domestica</t>
        </is>
      </c>
      <c r="X146" s="13" t="inlineStr">
        <is>
          <t>visual acuity (cycles/degree)</t>
        </is>
      </c>
      <c r="Y146" s="13" t="inlineStr">
        <is>
          <t>head-tracking latency; probability of head tracking (Figs 3–4)</t>
        </is>
      </c>
      <c r="Z146" s="13"/>
      <c r="AA146" s="13" t="inlineStr">
        <is>
          <t>optokinetic test (OPT), staircase</t>
        </is>
      </c>
      <c r="AB146" s="13" t="inlineStr">
        <is>
          <t>acuity (cycles/degree)</t>
        </is>
      </c>
      <c r="AC146" s="13" t="inlineStr">
        <is>
          <t>Krubitzer</t>
        </is>
      </c>
      <c r="AD146" s="13"/>
      <c r="AE146" s="13" t="inlineStr">
        <is>
          <t>primary</t>
        </is>
      </c>
      <c r="AF146" s="13"/>
      <c r="AG146" s="13" t="inlineStr">
        <is>
          <t>Primary opossum value from text; do not extract Table 1.</t>
        </is>
      </c>
    </row>
    <row r="147" ht="17" customHeight="1">
      <c r="A147" s="1" t="inlineStr">
        <is>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is>
      </c>
      <c r="C147" s="9"/>
      <c r="D147" s="1" t="inlineStr">
        <is>
          <t>Table 1</t>
        </is>
      </c>
      <c r="E147" s="10" t="str">
        <f>SUBSTITUTE(SUBSTITUTE(_xlfn.TEXTBEFORE(A147,","), "-", ""), " ", "")</f>
        <v>DosSantos</v>
      </c>
      <c r="F147" s="10"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10" t="str">
        <f>_xlfn.TEXTBEFORE(_xlfn.TEXTAFTER(A147, "("), ")")</f>
        <v>2020</v>
      </c>
      <c r="H147" s="10" t="str">
        <f>E147 &amp; IF(F147&lt;&gt;"", "_" &amp; SUBSTITUTE(F147," ",""), "_") &amp; IF(G147&lt;&gt;"", "_" &amp; G147, "_") &amp; IF(B147&lt;&gt;"", "_" &amp; B147, "")</f>
        <v>DosSantos_etal_2020</v>
      </c>
      <c r="I147" s="10" t="str">
        <f>_xlfn.LET(
_xlpm.doi,IF(C147&lt;&gt;"",C147,_xlfn.TEXTAFTER(A147,"https://doi.org/")),
SUBSTITUTE(
SUBSTITUTE(
SUBSTITUTE(
SUBSTITUTE(
_xlpm.doi,
"/","%2F"),
":","%3A"),
"&lt;","%3C"),
"&gt;","%3E")
)</f>
        <v>10.1523%2FJNEUROSCI.2339-19.2020</v>
      </c>
      <c r="J147" s="10" t="str">
        <f>TRIM(_xlfn.TEXTJOIN("_",FALSE(),H147,(SUBSTITUTE(SUBSTITUTE(D147," ",""), "_", ""))))</f>
        <v>DosSantos_etal_2020_Table1</v>
      </c>
      <c r="K147" s="10" t="str">
        <f>I147 &amp; "_" &amp; SUBSTITUTE(SUBSTITUTE(SUBSTITUTE(D147,CHAR(160),"")," ",""),"_","")</f>
        <v>10.1523%2FJNEUROSCI.2339-19.2020_Table1</v>
      </c>
      <c r="L147" s="10" t="str">
        <f t="array" ref="L147">IFERROR(INDEX(AUTO_Public_TSV_FileList!$A$1:$A$1000,MATCH(TRUE(),EXACT(K147,IFERROR(_xlfn.TEXTBEFORE(AUTO_Public_TSV_FileList!$A$1:$A$1000,".tsv"),"")),0)),"notfound")</f>
        <v>10.1523%2FJNEUROSCI.2339-19.2020_Table1.tsv</v>
      </c>
      <c r="M147" s="13"/>
      <c r="N147" s="1" t="inlineStr">
        <is>
          <t>table</t>
        </is>
      </c>
      <c r="O147" s="13"/>
      <c r="P147" s="1" t="inlineStr">
        <is>
          <t>FINISHED</t>
        </is>
      </c>
      <c r="Q147" s="1"/>
      <c r="R147" s="13"/>
      <c r="S147" s="1" t="inlineStr">
        <is>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is>
      </c>
      <c r="T147" s="13"/>
      <c r="U147" s="1" t="inlineStr">
        <is>
          <t>EXCLUDED from merged cellcounts (cell-count typos); DosSantos_etal_2020_unpublished used instead (commented out in cellcounts_compiled.R).</t>
        </is>
      </c>
      <c r="V147" s="1" t="inlineStr">
        <is>
          <t>microglia</t>
        </is>
      </c>
      <c r="W147" s="1" t="inlineStr">
        <is>
          <t>Mammals</t>
        </is>
      </c>
      <c r="X147" s="1" t="inlineStr">
        <is>
          <t>Cell numbers, region size</t>
        </is>
      </c>
      <c r="Y147" s="13"/>
      <c r="Z147" s="13"/>
      <c r="AA147" s="1" t="inlineStr">
        <is>
          <t>isotropic fractionator</t>
        </is>
      </c>
      <c r="AB147" s="1" t="inlineStr">
        <is>
          <t>cell count (microglia)</t>
        </is>
      </c>
      <c r="AC147" s="1" t="inlineStr">
        <is>
          <t>HH</t>
        </is>
      </c>
      <c r="AD147" s="1" t="inlineStr">
        <is>
          <t>HH</t>
        </is>
      </c>
      <c r="AE147" s="1" t="inlineStr">
        <is>
          <t>primary</t>
        </is>
      </c>
      <c r="AF147" s="1"/>
      <c r="AG147" s="13"/>
    </row>
    <row r="148" ht="17" customHeight="1">
      <c r="A148" s="1" t="inlineStr">
        <is>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is>
      </c>
      <c r="B148" s="18"/>
      <c r="C148" s="18"/>
      <c r="D148" s="1" t="inlineStr">
        <is>
          <t>unpublished</t>
        </is>
      </c>
      <c r="E148" s="10" t="str">
        <f>SUBSTITUTE(SUBSTITUTE(_xlfn.TEXTBEFORE(A148,","), "-", ""), " ", "")</f>
        <v>DosSantos</v>
      </c>
      <c r="F148" s="10"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10" t="str">
        <f>_xlfn.TEXTBEFORE(_xlfn.TEXTAFTER(A148, "("), ")")</f>
        <v>2020</v>
      </c>
      <c r="H148" s="10" t="str">
        <f>E148 &amp; IF(F148&lt;&gt;"", "_" &amp; SUBSTITUTE(F148," ",""), "_") &amp; IF(G148&lt;&gt;"", "_" &amp; G148, "_") &amp; IF(B148&lt;&gt;"", "_" &amp; B148, "")</f>
        <v>DosSantos_etal_2020</v>
      </c>
      <c r="I148" s="10" t="str">
        <f>_xlfn.LET(
_xlpm.doi,IF(C148&lt;&gt;"",C148,_xlfn.TEXTAFTER(A148,"https://doi.org/")),
SUBSTITUTE(
SUBSTITUTE(
SUBSTITUTE(
SUBSTITUTE(
_xlpm.doi,
"/","%2F"),
":","%3A"),
"&lt;","%3C"),
"&gt;","%3E")
)</f>
        <v>10.1523%2FJNEUROSCI.2339-19.2020</v>
      </c>
      <c r="J148" s="10" t="str">
        <f>TRIM(_xlfn.TEXTJOIN("_",FALSE(),H148,(SUBSTITUTE(SUBSTITUTE(D148," ",""), "_", ""))))</f>
        <v>DosSantos_etal_2020_unpublished</v>
      </c>
      <c r="K148" s="10" t="str">
        <f>I148 &amp; "_" &amp; SUBSTITUTE(SUBSTITUTE(SUBSTITUTE(D148,CHAR(160),"")," ",""),"_","")</f>
        <v>10.1523%2FJNEUROSCI.2339-19.2020_unpublished</v>
      </c>
      <c r="L148" s="10" t="str">
        <f t="array" ref="L148">IFERROR(INDEX(AUTO_Public_TSV_FileList!$A$1:$A$1000,MATCH(TRUE(),EXACT(K148,IFERROR(_xlfn.TEXTBEFORE(AUTO_Public_TSV_FileList!$A$1:$A$1000,".tsv"),"")),0)),"notfound")</f>
        <v>10.1523%2FJNEUROSCI.2339-19.2020_unpublished.tsv</v>
      </c>
      <c r="M148" s="13"/>
      <c r="N148" s="1" t="inlineStr">
        <is>
          <t>table</t>
        </is>
      </c>
      <c r="O148" s="13"/>
      <c r="P148" s="1" t="inlineStr">
        <is>
          <t>FINISHED</t>
        </is>
      </c>
      <c r="Q148" s="1"/>
      <c r="R148" s="1" t="inlineStr">
        <is>
          <t>https://doi.org/10.1523/JNEUROSCI.2339-19.2020</t>
        </is>
      </c>
      <c r="S148" s="1" t="inlineStr">
        <is>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is>
      </c>
      <c r="T148" s="13"/>
      <c r="U148" s="13"/>
      <c r="V148" s="1" t="inlineStr">
        <is>
          <t>microglia</t>
        </is>
      </c>
      <c r="W148" s="1" t="inlineStr">
        <is>
          <t>Mammals</t>
        </is>
      </c>
      <c r="X148" s="1" t="inlineStr">
        <is>
          <t>Cell numbers, region size</t>
        </is>
      </c>
      <c r="Y148" s="13"/>
      <c r="Z148" s="13"/>
      <c r="AA148" s="1" t="inlineStr">
        <is>
          <t>isotropic fractionator</t>
        </is>
      </c>
      <c r="AB148" s="1" t="inlineStr">
        <is>
          <t>cell count (microglia)</t>
        </is>
      </c>
      <c r="AC148" s="1" t="inlineStr">
        <is>
          <t>HH</t>
        </is>
      </c>
      <c r="AD148" s="1" t="inlineStr">
        <is>
          <t>HH</t>
        </is>
      </c>
      <c r="AE148" s="1" t="inlineStr">
        <is>
          <t>primary</t>
        </is>
      </c>
      <c r="AF148" s="1"/>
      <c r="AG148" s="13"/>
    </row>
    <row r="149" ht="17" customHeight="1">
      <c r="A149" s="1" t="inlineStr">
        <is>
          <t>Dos Santos, S. E., Porfirio, J., da Cunha, F. B., Manger, P. R., Tavares, W., Pessoa, L., Raghanti, M. A., Sherwood, C. C., &amp; Herculano-Houzel, S. (2017). Cellular Scaling Rules for the Brains of Marsupials: Not as "Primitive" as Expected. Brain Behav Evol. https://doi.org/10.1159/000452856</t>
        </is>
      </c>
      <c r="B149" s="18"/>
      <c r="C149" s="18"/>
      <c r="D149" s="1" t="inlineStr">
        <is>
          <t>Table S1</t>
        </is>
      </c>
      <c r="E149" s="10" t="str">
        <f>SUBSTITUTE(SUBSTITUTE(_xlfn.TEXTBEFORE(A149,","), "-", ""), " ", "")</f>
        <v>DosSantos</v>
      </c>
      <c r="F149" s="10"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10" t="str">
        <f>_xlfn.TEXTBEFORE(_xlfn.TEXTAFTER(A149, "("), ")")</f>
        <v>2017</v>
      </c>
      <c r="H149" s="10" t="str">
        <f>E149 &amp; IF(F149&lt;&gt;"", "_" &amp; SUBSTITUTE(F149," ",""), "_") &amp; IF(G149&lt;&gt;"", "_" &amp; G149, "_") &amp; IF(B149&lt;&gt;"", "_" &amp; B149, "")</f>
        <v>DosSantos_etal_2017</v>
      </c>
      <c r="I149" s="10" t="str">
        <f>_xlfn.LET(
_xlpm.doi,IF(C149&lt;&gt;"",C149,_xlfn.TEXTAFTER(A149,"https://doi.org/")),
SUBSTITUTE(
SUBSTITUTE(
SUBSTITUTE(
SUBSTITUTE(
_xlpm.doi,
"/","%2F"),
":","%3A"),
"&lt;","%3C"),
"&gt;","%3E")
)</f>
        <v>10.1159%2F000452856</v>
      </c>
      <c r="J149" s="10" t="str">
        <f>TRIM(_xlfn.TEXTJOIN("_",FALSE(),H149,(SUBSTITUTE(SUBSTITUTE(D149," ",""), "_", ""))))</f>
        <v>DosSantos_etal_2017_TableS1</v>
      </c>
      <c r="K149" s="10" t="str">
        <f>I149 &amp; "_" &amp; SUBSTITUTE(SUBSTITUTE(SUBSTITUTE(D149,CHAR(160),"")," ",""),"_","")</f>
        <v>10.1159%2F000452856_TableS1</v>
      </c>
      <c r="L149" s="10" t="str">
        <f t="array" ref="L149">IFERROR(INDEX(AUTO_Public_TSV_FileList!$A$1:$A$1000,MATCH(TRUE(),EXACT(K149,IFERROR(_xlfn.TEXTBEFORE(AUTO_Public_TSV_FileList!$A$1:$A$1000,".tsv"),"")),0)),"notfound")</f>
        <v>10.1159%2F000452856_TableS1.tsv</v>
      </c>
      <c r="M149" s="13"/>
      <c r="N149" s="1" t="inlineStr">
        <is>
          <t>table, erratum</t>
        </is>
      </c>
      <c r="O149" s="13"/>
      <c r="P149" s="1" t="inlineStr">
        <is>
          <t>FINISHED</t>
        </is>
      </c>
      <c r="Q149" s="1"/>
      <c r="R149" s="1" t="inlineStr">
        <is>
          <t>https://ndownloader.figstatic.com/files/7428211</t>
        </is>
      </c>
      <c r="S149" s="1" t="inlineStr">
        <is>
          <t>erratum</t>
        </is>
      </c>
      <c r="T149" s="13"/>
      <c r="U149" s="13"/>
      <c r="V149" s="13"/>
      <c r="W149" s="1" t="inlineStr">
        <is>
          <t>Marsupials</t>
        </is>
      </c>
      <c r="X149" s="1" t="inlineStr">
        <is>
          <t>Cell numbers, region size</t>
        </is>
      </c>
      <c r="Y149" s="13"/>
      <c r="Z149" s="13"/>
      <c r="AA149" s="1" t="inlineStr">
        <is>
          <t>isotropic fractionator</t>
        </is>
      </c>
      <c r="AB149" s="1" t="inlineStr">
        <is>
          <t>cell count</t>
        </is>
      </c>
      <c r="AC149" s="1" t="inlineStr">
        <is>
          <t>HH</t>
        </is>
      </c>
      <c r="AD149" s="1" t="inlineStr">
        <is>
          <t>HH</t>
        </is>
      </c>
      <c r="AE149" s="1" t="inlineStr">
        <is>
          <t>primary</t>
        </is>
      </c>
      <c r="AF149" s="1"/>
      <c r="AG149" s="13"/>
    </row>
    <row r="150" ht="17" customHeight="1">
      <c r="A150" s="9" t="inlineStr">
        <is>
          <t>Dunbar RIM, Bever J (1998). Neocortex size predicts group size in carnivores and some insectivores. Ethology 104(8):695-708. https://doi.org/10.1111/j.1439-0310.1998.tb00103.x</t>
        </is>
      </c>
      <c r="B150" s="20"/>
      <c r="D150" s="9" t="inlineStr">
        <is>
          <t>Table 1</t>
        </is>
      </c>
      <c r="E150" s="10" t="str">
        <f>SUBSTITUTE(SUBSTITUTE(_xlfn.TEXTBEFORE(A150,","), "-", ""), " ", "")</f>
        <v>DunbarRIM</v>
      </c>
      <c r="F150" s="10"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0" s="10" t="str">
        <f>_xlfn.TEXTBEFORE(_xlfn.TEXTAFTER(A150, "("), ")")</f>
        <v>1998</v>
      </c>
      <c r="H150" s="10" t="str">
        <f>E150 &amp; IF(F150&lt;&gt;"", "_" &amp; SUBSTITUTE(F150," ",""), "_") &amp; IF(G150&lt;&gt;"", "_" &amp; G150, "_") &amp; IF(B150&lt;&gt;"", "_" &amp; B150, "")</f>
        <v>DunbarRIM__1998</v>
      </c>
      <c r="I150" s="10" t="str">
        <f>_xlfn.LET(
_xlpm.doi,IF(C150&lt;&gt;"",C150,_xlfn.TEXTAFTER(A150,"https://doi.org/")),
SUBSTITUTE(
SUBSTITUTE(
SUBSTITUTE(
SUBSTITUTE(
_xlpm.doi,
"/","%2F"),
":","%3A"),
"&lt;","%3C"),
"&gt;","%3E")
)</f>
        <v>10.1111%2Fj.1439-0310.1998.tb00103.x</v>
      </c>
      <c r="J150" s="10" t="str">
        <f>TRIM(_xlfn.TEXTJOIN("_",FALSE(),H150,(SUBSTITUTE(SUBSTITUTE(D150," ",""), "_", ""))))</f>
        <v>DunbarRIM__1998_Table1</v>
      </c>
      <c r="K150" s="10" t="str">
        <f>I150 &amp; "_" &amp; SUBSTITUTE(SUBSTITUTE(SUBSTITUTE(D150,CHAR(160),"")," ",""),"_","")</f>
        <v>10.1111%2Fj.1439-0310.1998.tb00103.x_Table1</v>
      </c>
      <c r="L150" s="10" t="str">
        <f t="array" ref="L150">IFERROR(INDEX(AUTO_Public_TSV_FileList!$A$1:$A$1000,MATCH(TRUE(),EXACT(K150,IFERROR(_xlfn.TEXTBEFORE(AUTO_Public_TSV_FileList!$A$1:$A$1000,".tsv"),"")),0)),"notfound")</f>
        <v>notfound</v>
      </c>
      <c r="M150" s="9" t="inlineStr">
        <is>
          <t>Neocortex size and group size for carnivores for species with known neocortex volume</t>
        </is>
      </c>
      <c r="N150" s="9" t="inlineStr">
        <is>
          <t>PDF (printed table, text layer scrambled)</t>
        </is>
      </c>
      <c r="O150" s="9" t="inlineStr">
        <is>
          <t>Actual neocortex volumes (Rohrs; Kamiya &amp; Pirlot). 15 species. Group size = paper's definition. Cited by Lewitus 2014 ref 72.</t>
        </is>
      </c>
      <c r="P150" s="9" t="inlineStr">
        <is>
          <t>PREPARED (CSV built; owner registry paste / public TSV pending; RA side-by-side check pending)</t>
        </is>
      </c>
      <c r="Q150" s="9" t="inlineStr">
        <is>
          <t>Dunbar_Bever_1998_Table1_snapshot.csv</t>
        </is>
      </c>
      <c r="R150" s="9" t="inlineStr">
        <is>
          <t>https://doi.org/10.1111/j.1439-0310.1998.tb00103.x</t>
        </is>
      </c>
      <c r="S150" s="9"/>
      <c r="T150" s="9"/>
      <c r="U150" s="9"/>
      <c r="V150" s="9"/>
      <c r="W150" s="9" t="inlineStr">
        <is>
          <t>Carnivora</t>
        </is>
      </c>
      <c r="X150" s="9" t="inlineStr">
        <is>
          <t>Neocortex volume; group size</t>
        </is>
      </c>
      <c r="Y150" s="9" t="inlineStr">
        <is>
          <t>Brain volume; neocortex ratio</t>
        </is>
      </c>
      <c r="Z150" s="9" t="inlineStr">
        <is>
          <t>Brain (neocortex, whole)</t>
        </is>
      </c>
      <c r="AA150" s="9" t="inlineStr">
        <is>
          <t>Literature compilation (Rohrs/Kamiya &amp; Pirlot/Frahm/Stephan; Gittleman group size)</t>
        </is>
      </c>
      <c r="AB150" s="9" t="inlineStr">
        <is>
          <t>Species mean</t>
        </is>
      </c>
      <c r="AC150" s="9"/>
      <c r="AD150" s="9"/>
      <c r="AE150" s="9" t="inlineStr">
        <is>
          <t>secondary</t>
        </is>
      </c>
      <c r="AF150" s="9" t="inlineStr">
        <is>
          <t>Rohrs 1986a,b; Rohrs et al. 1989; Kamiya &amp; Pirlot 1988a,b; Gittleman 1989a,b</t>
        </is>
      </c>
      <c r="AG150" s="9"/>
    </row>
    <row r="151" ht="17" customHeight="1">
      <c r="A151" s="9" t="inlineStr">
        <is>
          <t>Dunbar RIM, Bever J (1998). Neocortex size predicts group size in carnivores and some insectivores. Ethology 104(8):695-708. https://doi.org/10.1111/j.1439-0310.1998.tb00103.x</t>
        </is>
      </c>
      <c r="B151" s="20"/>
      <c r="D151" s="9" t="inlineStr">
        <is>
          <t>Table 2</t>
        </is>
      </c>
      <c r="E151" s="10" t="str">
        <f>SUBSTITUTE(SUBSTITUTE(_xlfn.TEXTBEFORE(A151,","), "-", ""), " ", "")</f>
        <v>DunbarRIM</v>
      </c>
      <c r="F151" s="10"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1" s="10" t="str">
        <f>_xlfn.TEXTBEFORE(_xlfn.TEXTAFTER(A151, "("), ")")</f>
        <v>1998</v>
      </c>
      <c r="H151" s="10" t="str">
        <f>E151 &amp; IF(F151&lt;&gt;"", "_" &amp; SUBSTITUTE(F151," ",""), "_") &amp; IF(G151&lt;&gt;"", "_" &amp; G151, "_") &amp; IF(B151&lt;&gt;"", "_" &amp; B151, "")</f>
        <v>DunbarRIM__1998</v>
      </c>
      <c r="I151" s="10" t="str">
        <f>_xlfn.LET(
_xlpm.doi,IF(C151&lt;&gt;"",C151,_xlfn.TEXTAFTER(A151,"https://doi.org/")),
SUBSTITUTE(
SUBSTITUTE(
SUBSTITUTE(
SUBSTITUTE(
_xlpm.doi,
"/","%2F"),
":","%3A"),
"&lt;","%3C"),
"&gt;","%3E")
)</f>
        <v>10.1111%2Fj.1439-0310.1998.tb00103.x</v>
      </c>
      <c r="J151" s="10" t="str">
        <f>TRIM(_xlfn.TEXTJOIN("_",FALSE(),H151,(SUBSTITUTE(SUBSTITUTE(D151," ",""), "_", ""))))</f>
        <v>DunbarRIM__1998_Table2</v>
      </c>
      <c r="K151" s="10" t="str">
        <f>I151 &amp; "_" &amp; SUBSTITUTE(SUBSTITUTE(SUBSTITUTE(D151,CHAR(160),"")," ",""),"_","")</f>
        <v>10.1111%2Fj.1439-0310.1998.tb00103.x_Table2</v>
      </c>
      <c r="L151" s="10" t="str">
        <f t="array" ref="L151">IFERROR(INDEX(AUTO_Public_TSV_FileList!$A$1:$A$1000,MATCH(TRUE(),EXACT(K151,IFERROR(_xlfn.TEXTBEFORE(AUTO_Public_TSV_FileList!$A$1:$A$1000,".tsv"),"")),0)),"notfound")</f>
        <v>notfound</v>
      </c>
      <c r="M151" s="9" t="inlineStr">
        <is>
          <t>Estimated neocortex size and group size for carnivores</t>
        </is>
      </c>
      <c r="N151" s="9" t="inlineStr">
        <is>
          <t>PDF (printed table, text layer scrambled)</t>
        </is>
      </c>
      <c r="O151" s="9" t="inlineStr">
        <is>
          <t>Neocortex volume ESTIMATED by eq. (1). 43 species; two printed rows share volumes (Alopex lagopus / Vulpes velox). Group size = paper's definition. Cited by Lewitus 2014 ref 72.</t>
        </is>
      </c>
      <c r="P151" s="9" t="inlineStr">
        <is>
          <t>PREPARED (CSV built; owner registry paste / public TSV pending; RA side-by-side check pending)</t>
        </is>
      </c>
      <c r="Q151" s="9" t="inlineStr">
        <is>
          <t>Dunbar_Bever_1998_Table2_snapshot.csv</t>
        </is>
      </c>
      <c r="R151" s="9" t="inlineStr">
        <is>
          <t>https://doi.org/10.1111/j.1439-0310.1998.tb00103.x</t>
        </is>
      </c>
      <c r="S151" s="9"/>
      <c r="T151" s="9"/>
      <c r="U151" s="9"/>
      <c r="V151" s="9"/>
      <c r="W151" s="9" t="inlineStr">
        <is>
          <t>Carnivora</t>
        </is>
      </c>
      <c r="X151" s="9" t="inlineStr">
        <is>
          <t>Neocortex volume; group size</t>
        </is>
      </c>
      <c r="Y151" s="9" t="inlineStr">
        <is>
          <t>Brain volume; neocortex ratio</t>
        </is>
      </c>
      <c r="Z151" s="9" t="inlineStr">
        <is>
          <t>Brain (neocortex, whole)</t>
        </is>
      </c>
      <c r="AA151" s="9" t="inlineStr">
        <is>
          <t>Literature compilation (Rohrs/Kamiya &amp; Pirlot/Frahm/Stephan; Gittleman group size)</t>
        </is>
      </c>
      <c r="AB151" s="9" t="inlineStr">
        <is>
          <t>Species mean</t>
        </is>
      </c>
      <c r="AC151" s="9"/>
      <c r="AD151" s="9"/>
      <c r="AE151" s="9" t="inlineStr">
        <is>
          <t>secondary</t>
        </is>
      </c>
      <c r="AF151" s="9" t="inlineStr">
        <is>
          <t>Rohrs 1986a,b; Rohrs et al. 1989; Kamiya &amp; Pirlot 1988a,b; Gittleman 1989a,b</t>
        </is>
      </c>
      <c r="AG151" s="9"/>
    </row>
    <row r="152" ht="17" customHeight="1">
      <c r="A152" s="9" t="inlineStr">
        <is>
          <t>Dunbar RIM, Bever J (1998). Neocortex size predicts group size in carnivores and some insectivores. Ethology 104(8):695-708. https://doi.org/10.1111/j.1439-0310.1998.tb00103.x</t>
        </is>
      </c>
      <c r="B152" s="20"/>
      <c r="D152" s="9" t="inlineStr">
        <is>
          <t>Table 3</t>
        </is>
      </c>
      <c r="E152" s="10" t="str">
        <f>SUBSTITUTE(SUBSTITUTE(_xlfn.TEXTBEFORE(A152,","), "-", ""), " ", "")</f>
        <v>DunbarRIM</v>
      </c>
      <c r="F152" s="10"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2" s="10" t="str">
        <f>_xlfn.TEXTBEFORE(_xlfn.TEXTAFTER(A152, "("), ")")</f>
        <v>1998</v>
      </c>
      <c r="H152" s="10" t="str">
        <f>E152 &amp; IF(F152&lt;&gt;"", "_" &amp; SUBSTITUTE(F152," ",""), "_") &amp; IF(G152&lt;&gt;"", "_" &amp; G152, "_") &amp; IF(B152&lt;&gt;"", "_" &amp; B152, "")</f>
        <v>DunbarRIM__1998</v>
      </c>
      <c r="I152" s="10" t="str">
        <f>_xlfn.LET(
_xlpm.doi,IF(C152&lt;&gt;"",C152,_xlfn.TEXTAFTER(A152,"https://doi.org/")),
SUBSTITUTE(
SUBSTITUTE(
SUBSTITUTE(
SUBSTITUTE(
_xlpm.doi,
"/","%2F"),
":","%3A"),
"&lt;","%3C"),
"&gt;","%3E")
)</f>
        <v>10.1111%2Fj.1439-0310.1998.tb00103.x</v>
      </c>
      <c r="J152" s="10" t="str">
        <f>TRIM(_xlfn.TEXTJOIN("_",FALSE(),H152,(SUBSTITUTE(SUBSTITUTE(D152," ",""), "_", ""))))</f>
        <v>DunbarRIM__1998_Table3</v>
      </c>
      <c r="K152" s="10" t="str">
        <f>I152 &amp; "_" &amp; SUBSTITUTE(SUBSTITUTE(SUBSTITUTE(D152,CHAR(160),"")," ",""),"_","")</f>
        <v>10.1111%2Fj.1439-0310.1998.tb00103.x_Table3</v>
      </c>
      <c r="L152" s="10" t="str">
        <f t="array" ref="L152">IFERROR(INDEX(AUTO_Public_TSV_FileList!$A$1:$A$1000,MATCH(TRUE(),EXACT(K152,IFERROR(_xlfn.TEXTBEFORE(AUTO_Public_TSV_FileList!$A$1:$A$1000,".tsv"),"")),0)),"notfound")</f>
        <v>notfound</v>
      </c>
      <c r="M152" s="9" t="inlineStr">
        <is>
          <t>Neocortex size and group size of insectivores</t>
        </is>
      </c>
      <c r="N152" s="9" t="inlineStr">
        <is>
          <t>PDF (printed table, text layer scrambled)</t>
        </is>
      </c>
      <c r="O152" s="9" t="inlineStr">
        <is>
          <t>GENUS-level (25 genera). Secondary from Frahm 1982 / Stephan 1981, 1984. Group size = paper's definition. Cited by Lewitus 2014 ref 72.</t>
        </is>
      </c>
      <c r="P152" s="9" t="inlineStr">
        <is>
          <t>PREPARED (CSV built; owner registry paste / public TSV pending; RA side-by-side check pending)</t>
        </is>
      </c>
      <c r="Q152" s="9" t="inlineStr">
        <is>
          <t>Dunbar_Bever_1998_Table3_snapshot.csv</t>
        </is>
      </c>
      <c r="R152" s="9" t="inlineStr">
        <is>
          <t>https://doi.org/10.1111/j.1439-0310.1998.tb00103.x</t>
        </is>
      </c>
      <c r="S152" s="9"/>
      <c r="T152" s="9"/>
      <c r="U152" s="9"/>
      <c r="V152" s="9"/>
      <c r="W152" s="9" t="inlineStr">
        <is>
          <t>Insectivora</t>
        </is>
      </c>
      <c r="X152" s="9" t="inlineStr">
        <is>
          <t>Neocortex volume; group size</t>
        </is>
      </c>
      <c r="Y152" s="9" t="inlineStr">
        <is>
          <t>Brain volume; neocortex ratio</t>
        </is>
      </c>
      <c r="Z152" s="9" t="inlineStr">
        <is>
          <t>Brain (neocortex, whole)</t>
        </is>
      </c>
      <c r="AA152" s="9" t="inlineStr">
        <is>
          <t>Literature compilation (Rohrs/Kamiya &amp; Pirlot/Frahm/Stephan; Gittleman group size)</t>
        </is>
      </c>
      <c r="AB152" s="9" t="inlineStr">
        <is>
          <t>Genus mean</t>
        </is>
      </c>
      <c r="AC152" s="9"/>
      <c r="AD152" s="9"/>
      <c r="AE152" s="9" t="inlineStr">
        <is>
          <t>secondary</t>
        </is>
      </c>
      <c r="AF152" s="9" t="inlineStr">
        <is>
          <t>Frahm et al. 1982; Stephan et al. 1981, 1984</t>
        </is>
      </c>
      <c r="AG152" s="9"/>
    </row>
    <row r="153" ht="17" customHeight="1">
      <c r="A153" s="1" t="inlineStr">
        <is>
          <t>Dunbar, R. I. M. (1992). Neocortex size as a constraint on group-size in primates. J Hum Evol, 22(6), 469-493. https://doi.org/10.1016/0047-2484(92)90081-J</t>
        </is>
      </c>
      <c r="B153" s="18"/>
      <c r="C153" s="18"/>
      <c r="D153" s="1" t="inlineStr">
        <is>
          <t>Table 1</t>
        </is>
      </c>
      <c r="E153" s="10" t="str">
        <f>SUBSTITUTE(SUBSTITUTE(_xlfn.TEXTBEFORE(A153,","), "-", ""), " ", "")</f>
        <v>Dunbar</v>
      </c>
      <c r="F153" s="10"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3" s="10" t="str">
        <f>_xlfn.TEXTBEFORE(_xlfn.TEXTAFTER(A153, "("), ")")</f>
        <v>1992</v>
      </c>
      <c r="H153" s="10" t="str">
        <f>E153 &amp; IF(F153&lt;&gt;"", "_" &amp; SUBSTITUTE(F153," ",""), "_") &amp; IF(G153&lt;&gt;"", "_" &amp; G153, "_") &amp; IF(B153&lt;&gt;"", "_" &amp; B153, "")</f>
        <v>Dunbar__1992</v>
      </c>
      <c r="I153" s="10" t="str">
        <f>_xlfn.LET(
_xlpm.doi,IF(C153&lt;&gt;"",C153,_xlfn.TEXTAFTER(A153,"https://doi.org/")),
SUBSTITUTE(
SUBSTITUTE(
SUBSTITUTE(
SUBSTITUTE(
_xlpm.doi,
"/","%2F"),
":","%3A"),
"&lt;","%3C"),
"&gt;","%3E")
)</f>
        <v>10.1016%2F0047-2484(92)90081-J</v>
      </c>
      <c r="J153" s="10" t="str">
        <f>TRIM(_xlfn.TEXTJOIN("_",FALSE(),H153,(SUBSTITUTE(SUBSTITUTE(D153," ",""), "_", ""))))</f>
        <v>Dunbar__1992_Table1</v>
      </c>
      <c r="K153" s="10" t="str">
        <f>I153 &amp; "_" &amp; SUBSTITUTE(SUBSTITUTE(SUBSTITUTE(D153,CHAR(160),"")," ",""),"_","")</f>
        <v>10.1016%2F0047-2484(92)90081-J_Table1</v>
      </c>
      <c r="L153" s="10" t="str">
        <f t="array" ref="L153">IFERROR(INDEX(AUTO_Public_TSV_FileList!$A$1:$A$1000,MATCH(TRUE(),EXACT(K153,IFERROR(_xlfn.TEXTBEFORE(AUTO_Public_TSV_FileList!$A$1:$A$1000,".tsv"),"")),0)),"notfound")</f>
        <v>10.1016%2F0047-2484(92)90081-J_Table1.tsv</v>
      </c>
      <c r="M153" s="13" t="inlineStr">
        <is>
          <t>Table 1 Data for main variables (generic means)</t>
        </is>
      </c>
      <c r="N153" s="1"/>
      <c r="O153" s="13"/>
      <c r="P153" s="1" t="inlineStr">
        <is>
          <t>FINISHED</t>
        </is>
      </c>
      <c r="Q153" s="1"/>
      <c r="R153" s="1"/>
      <c r="S153" s="1"/>
      <c r="T153" s="13"/>
      <c r="U153" s="13"/>
      <c r="V153" s="13"/>
      <c r="W153" s="1"/>
      <c r="X153" s="1"/>
      <c r="Y153" s="13"/>
      <c r="Z153" s="13"/>
      <c r="AA153" s="1"/>
      <c r="AB153" s="1"/>
      <c r="AC153" s="1"/>
      <c r="AD153" s="1"/>
      <c r="AE153" s="1"/>
      <c r="AF153" s="1"/>
      <c r="AG153" s="13"/>
    </row>
    <row r="154" ht="17" customHeight="1">
      <c r="A154" s="1" t="inlineStr">
        <is>
          <t>Eagleman, D. M., &amp; Vaughn, D. A. (2021). The Defensive Activation Theory: REM Sleep as a Mechanism to Prevent Takeover of the Visual Cortex [Hypothesis and Theory]. Front Neurosci, 15(598), 632853. https://doi.org/10.3389/fnins.2021.632853</t>
        </is>
      </c>
      <c r="B154" s="18"/>
      <c r="C154" s="18"/>
      <c r="D154" s="1" t="inlineStr">
        <is>
          <t>TABLE 1</t>
        </is>
      </c>
      <c r="E154" s="10" t="str">
        <f>SUBSTITUTE(SUBSTITUTE(_xlfn.TEXTBEFORE(A154,","), "-", ""), " ", "")</f>
        <v>Eagleman</v>
      </c>
      <c r="F154" s="10"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4" s="10" t="str">
        <f>_xlfn.TEXTBEFORE(_xlfn.TEXTAFTER(A154, "("), ")")</f>
        <v>2021</v>
      </c>
      <c r="H154" s="10" t="str">
        <f>E154 &amp; IF(F154&lt;&gt;"", "_" &amp; SUBSTITUTE(F154," ",""), "_") &amp; IF(G154&lt;&gt;"", "_" &amp; G154, "_") &amp; IF(B154&lt;&gt;"", "_" &amp; B154, "")</f>
        <v>Eagleman__2021</v>
      </c>
      <c r="I154" s="10" t="str">
        <f>_xlfn.LET(
_xlpm.doi,IF(C154&lt;&gt;"",C154,_xlfn.TEXTAFTER(A154,"https://doi.org/")),
SUBSTITUTE(
SUBSTITUTE(
SUBSTITUTE(
SUBSTITUTE(
_xlpm.doi,
"/","%2F"),
":","%3A"),
"&lt;","%3C"),
"&gt;","%3E")
)</f>
        <v>10.3389%2Ffnins.2021.632853</v>
      </c>
      <c r="J154" s="10" t="str">
        <f>TRIM(_xlfn.TEXTJOIN("_",FALSE(),H154,(SUBSTITUTE(SUBSTITUTE(D154," ",""), "_", ""))))</f>
        <v>Eagleman__2021_TABLE1</v>
      </c>
      <c r="K154" s="10" t="str">
        <f>I154 &amp; "_" &amp; SUBSTITUTE(SUBSTITUTE(SUBSTITUTE(D154,CHAR(160),"")," ",""),"_","")</f>
        <v>10.3389%2Ffnins.2021.632853_TABLE1</v>
      </c>
      <c r="L154" s="10" t="str">
        <f t="array" ref="L154">IFERROR(INDEX(AUTO_Public_TSV_FileList!$A$1:$A$1000,MATCH(TRUE(),EXACT(K154,IFERROR(_xlfn.TEXTBEFORE(AUTO_Public_TSV_FileList!$A$1:$A$1000,".tsv"),"")),0)),"notfound")</f>
        <v>10.3389%2Ffnins.2021.632853_TABLE1.tsv</v>
      </c>
      <c r="M154" s="1" t="inlineStr">
        <is>
          <t>TABLE 1 | Three behavioral correlates of plasticity and the proportion of REM (versus non-REM) sleep in 25 primate species.</t>
        </is>
      </c>
      <c r="N154" s="13"/>
      <c r="O154" s="13"/>
      <c r="P154" s="1" t="inlineStr">
        <is>
          <t>FINISHED</t>
        </is>
      </c>
      <c r="Q154" s="13"/>
      <c r="R154" s="13"/>
      <c r="S154" s="13"/>
      <c r="T154" s="13"/>
      <c r="U154" s="13"/>
      <c r="V154" s="13"/>
      <c r="W154" s="1" t="inlineStr">
        <is>
          <t>Mammals</t>
        </is>
      </c>
      <c r="X154" s="1" t="inlineStr">
        <is>
          <t>proportion REM and developmental milestones</t>
        </is>
      </c>
      <c r="Y154" s="13"/>
      <c r="Z154" s="13"/>
      <c r="AA154" s="13"/>
      <c r="AB154" s="1" t="inlineStr">
        <is>
          <t>behaviour/physiology (REM sleep, development)</t>
        </is>
      </c>
      <c r="AC154" s="13"/>
      <c r="AD154" s="13"/>
      <c r="AE154" s="1" t="inlineStr">
        <is>
          <t>secondary</t>
        </is>
      </c>
      <c r="AF154" s="1"/>
      <c r="AG154" s="13"/>
    </row>
    <row r="155" ht="17" customHeight="1">
      <c r="A155" s="1" t="inlineStr">
        <is>
          <t>Ebinger, P. (1974). A cytoarchitectonic volumetric comparison of brains in wild and domestic sheep. Z Anat Entwicklungsgesch, 144(3), 267-302. https://doi.org/10.1007/BF00522811</t>
        </is>
      </c>
      <c r="B155" s="18"/>
      <c r="C155" s="18"/>
      <c r="D155" s="1" t="inlineStr">
        <is>
          <t>Tables 3-4</t>
        </is>
      </c>
      <c r="E155" s="10" t="str">
        <f>SUBSTITUTE(SUBSTITUTE(_xlfn.TEXTBEFORE(A155,","), "-", ""), " ", "")</f>
        <v>Ebinger</v>
      </c>
      <c r="F155" s="10"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10" t="str">
        <f>_xlfn.TEXTBEFORE(_xlfn.TEXTAFTER(A155, "("), ")")</f>
        <v>1974</v>
      </c>
      <c r="H155" s="10" t="str">
        <f>E155 &amp; IF(F155&lt;&gt;"", "_" &amp; SUBSTITUTE(F155," ",""), "_") &amp; IF(G155&lt;&gt;"", "_" &amp; G155, "_") &amp; IF(B155&lt;&gt;"", "_" &amp; B155, "")</f>
        <v>Ebinger__1974</v>
      </c>
      <c r="I155" s="10" t="str">
        <f>_xlfn.LET(
_xlpm.doi,IF(C155&lt;&gt;"",C155,_xlfn.TEXTAFTER(A155,"https://doi.org/")),
SUBSTITUTE(
SUBSTITUTE(
SUBSTITUTE(
SUBSTITUTE(
_xlpm.doi,
"/","%2F"),
":","%3A"),
"&lt;","%3C"),
"&gt;","%3E")
)</f>
        <v>10.1007%2FBF00522811</v>
      </c>
      <c r="J155" s="10" t="str">
        <f>TRIM(_xlfn.TEXTJOIN("_",FALSE(),H155,(SUBSTITUTE(SUBSTITUTE(D155," ",""), "_", ""))))</f>
        <v>Ebinger__1974_Tables3-4</v>
      </c>
      <c r="K155" s="10" t="str">
        <f>I155 &amp; "_" &amp; SUBSTITUTE(SUBSTITUTE(SUBSTITUTE(D155,CHAR(160),"")," ",""),"_","")</f>
        <v>10.1007%2FBF00522811_Tables3-4</v>
      </c>
      <c r="L155" s="10" t="str">
        <f t="array" ref="L155">IFERROR(INDEX(AUTO_Public_TSV_FileList!$A$1:$A$1000,MATCH(TRUE(),EXACT(K155,IFERROR(_xlfn.TEXTBEFORE(AUTO_Public_TSV_FileList!$A$1:$A$1000,".tsv"),"")),0)),"notfound")</f>
        <v>10.1007%2FBF00522811_Tables3-4.tsv</v>
      </c>
      <c r="M155" s="1" t="inlineStr">
        <is>
          <t>Tables 3-4. Individual absolute brain and brain-structure volumes in wild and domestic sheep</t>
        </is>
      </c>
      <c r="N155" s="13"/>
      <c r="O155" s="13"/>
      <c r="P155" s="1" t="inlineStr">
        <is>
          <t>FINISHED</t>
        </is>
      </c>
      <c r="Q155" s="13"/>
      <c r="R155" s="13"/>
      <c r="S155" s="13"/>
      <c r="T155" s="13"/>
      <c r="U155" s="13"/>
      <c r="V155" s="13"/>
      <c r="W155" s="1"/>
      <c r="X155" s="1"/>
      <c r="Y155" s="13"/>
      <c r="Z155" s="13"/>
      <c r="AA155" s="13"/>
      <c r="AB155" s="1"/>
      <c r="AC155" s="13"/>
      <c r="AD155" s="13"/>
      <c r="AE155" s="1" t="inlineStr">
        <is>
          <t>primary</t>
        </is>
      </c>
      <c r="AF155" s="1"/>
      <c r="AG155" s="13"/>
    </row>
    <row r="156" ht="18" customHeight="1">
      <c r="A156" s="17" t="inlineStr">
        <is>
          <t>Elston, G. N. (2000). Pyramidal cells of the frontal lobe: all the more spinous to think with. J Neurosci, 20(18), RC95. https://doi.org/10.1523/JNEUROSCI.20-18-j0002.2000</t>
        </is>
      </c>
      <c r="B156" s="21"/>
      <c r="C156" s="21"/>
      <c r="D156" s="17" t="inlineStr">
        <is>
          <t>Figure 2</t>
        </is>
      </c>
      <c r="E156" s="10" t="str">
        <f>SUBSTITUTE(SUBSTITUTE(_xlfn.TEXTBEFORE(A156,","), "-", ""), " ", "")</f>
        <v>Elston</v>
      </c>
      <c r="F156" s="10"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6" s="10" t="str">
        <f>_xlfn.TEXTBEFORE(_xlfn.TEXTAFTER(A156, "("), ")")</f>
        <v>2000</v>
      </c>
      <c r="H156" s="10" t="str">
        <f>E156 &amp; IF(F156&lt;&gt;"", "_" &amp; SUBSTITUTE(F156," ",""), "_") &amp; IF(G156&lt;&gt;"", "_" &amp; G156, "_") &amp; IF(B156&lt;&gt;"", "_" &amp; B156, "")</f>
        <v>Elston__2000</v>
      </c>
      <c r="I156" s="10" t="str">
        <f>_xlfn.LET(
_xlpm.doi,IF(C156&lt;&gt;"",C156,_xlfn.TEXTAFTER(A156,"https://doi.org/")),
SUBSTITUTE(
SUBSTITUTE(
SUBSTITUTE(
SUBSTITUTE(
_xlpm.doi,
"/","%2F"),
":","%3A"),
"&lt;","%3C"),
"&gt;","%3E")
)</f>
        <v>10.1523%2FJNEUROSCI.20-18-j0002.2000</v>
      </c>
      <c r="J156" s="10" t="str">
        <f>TRIM(_xlfn.TEXTJOIN("_",FALSE(),H156,(SUBSTITUTE(SUBSTITUTE(D156," ",""), "_", ""))))</f>
        <v>Elston__2000_Figure2</v>
      </c>
      <c r="K156" s="10" t="str">
        <f>I156 &amp; "_" &amp; SUBSTITUTE(SUBSTITUTE(SUBSTITUTE(D156,CHAR(160),"")," ",""),"_","")</f>
        <v>10.1523%2FJNEUROSCI.20-18-j0002.2000_Figure2</v>
      </c>
      <c r="L156" s="10" t="str">
        <f t="array" ref="L156">IFERROR(INDEX(AUTO_Public_TSV_FileList!$A$1:$A$1000,MATCH(TRUE(),EXACT(K156,IFERROR(_xlfn.TEXTBEFORE(AUTO_Public_TSV_FileList!$A$1:$A$1000,".tsv"),"")),0)),"notfound")</f>
        <v>10.1523%2FJNEUROSCI.20-18-j0002.2000_Figure2.tsv</v>
      </c>
      <c r="M156" s="19"/>
      <c r="N156" s="17" t="inlineStr">
        <is>
          <t>PDF; table/figure</t>
        </is>
      </c>
      <c r="O156" s="19"/>
      <c r="P156" s="21" t="inlineStr">
        <is>
          <t>FINISHED</t>
        </is>
      </c>
      <c r="Q156" s="21"/>
      <c r="R156" s="17" t="inlineStr">
        <is>
          <t>https://doi.org/10.1523/JNEUROSCI.20-18-j0002.2000</t>
        </is>
      </c>
      <c r="S156" s="21"/>
      <c r="T156" s="21" t="inlineStr">
        <is>
          <t>overlapping publication lineage; retain specimen and source-level provenance</t>
        </is>
      </c>
      <c r="U156" s="21"/>
      <c r="V156" s="21" t="inlineStr">
        <is>
          <t>cortical pyramidal-neuron morphology</t>
        </is>
      </c>
      <c r="W156" s="17" t="inlineStr">
        <is>
          <t>Primates</t>
        </is>
      </c>
      <c r="X156" s="21" t="inlineStr">
        <is>
          <t>dendritic morphology; spine measures; sample metadata</t>
        </is>
      </c>
      <c r="Y156" s="21" t="inlineStr">
        <is>
          <t>Figure-derived regional macaque morphology; text also reports estimated total spines</t>
        </is>
      </c>
      <c r="Z156" s="17"/>
      <c r="AA156" s="21" t="inlineStr">
        <is>
          <t>Golgi or intracellular Lucifer Yellow morphology, as specified in source</t>
        </is>
      </c>
      <c r="AB156" s="21" t="inlineStr">
        <is>
          <t>cell morphology / metadata</t>
        </is>
      </c>
      <c r="AC156" s="17"/>
      <c r="AD156" s="17"/>
      <c r="AE156" s="17" t="inlineStr">
        <is>
          <t>primary for PFC; comparator values from earlier studies</t>
        </is>
      </c>
      <c r="AF156" s="21"/>
      <c r="AG156" s="21" t="inlineStr">
        <is>
          <t>Add figure-level item, not a table. Provenance-map V1/7a/TE.</t>
        </is>
      </c>
    </row>
    <row r="157" ht="17" customHeight="1">
      <c r="A157" s="17" t="inlineStr">
        <is>
          <t>Elston, G. N., Benavides-Piccione, R., &amp; DeFelipe, J. (2001). The pyramidal cell in cognition: a comparative study in human and monkey. J Neurosci, 21(17), RC163. https://doi.org/10.1523/JNEUROSCI.21-17-j0002.2001</t>
        </is>
      </c>
      <c r="B157" s="17"/>
      <c r="C157" s="17"/>
      <c r="D157" s="17" t="inlineStr">
        <is>
          <t>Table 1</t>
        </is>
      </c>
      <c r="E157" s="10" t="str">
        <f>SUBSTITUTE(SUBSTITUTE(_xlfn.TEXTBEFORE(A157,","), "-", ""), " ", "")</f>
        <v>Elston</v>
      </c>
      <c r="F157" s="10"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10" t="str">
        <f>_xlfn.TEXTBEFORE(_xlfn.TEXTAFTER(A157, "("), ")")</f>
        <v>2001</v>
      </c>
      <c r="H157" s="10" t="str">
        <f>E157 &amp; IF(F157&lt;&gt;"", "_" &amp; SUBSTITUTE(F157," ",""), "_") &amp; IF(G157&lt;&gt;"", "_" &amp; G157, "_") &amp; IF(B157&lt;&gt;"", "_" &amp; B157, "")</f>
        <v>Elston_etal_2001</v>
      </c>
      <c r="I157" s="10" t="str">
        <f>_xlfn.LET(
_xlpm.doi,IF(C157&lt;&gt;"",C157,_xlfn.TEXTAFTER(A157,"https://doi.org/")),
SUBSTITUTE(
SUBSTITUTE(
SUBSTITUTE(
SUBSTITUTE(
_xlpm.doi,
"/","%2F"),
":","%3A"),
"&lt;","%3C"),
"&gt;","%3E")
)</f>
        <v>10.1523%2FJNEUROSCI.21-17-j0002.2001</v>
      </c>
      <c r="J157" s="10" t="str">
        <f>TRIM(_xlfn.TEXTJOIN("_",FALSE(),H157,(SUBSTITUTE(SUBSTITUTE(D157," ",""), "_", ""))))</f>
        <v>Elston_etal_2001_Table1</v>
      </c>
      <c r="K157" s="10" t="str">
        <f>I157 &amp; "_" &amp; SUBSTITUTE(SUBSTITUTE(SUBSTITUTE(D157,CHAR(160),"")," ",""),"_","")</f>
        <v>10.1523%2FJNEUROSCI.21-17-j0002.2001_Table1</v>
      </c>
      <c r="L157" s="10" t="str">
        <f t="array" ref="L157">IFERROR(INDEX(AUTO_Public_TSV_FileList!$A$1:$A$1000,MATCH(TRUE(),EXACT(K157,IFERROR(_xlfn.TEXTBEFORE(AUTO_Public_TSV_FileList!$A$1:$A$1000,".tsv"),"")),0)),"notfound")</f>
        <v>10.1523%2FJNEUROSCI.21-17-j0002.2001_Table1.tsv</v>
      </c>
      <c r="M157" s="13"/>
      <c r="N157" s="17" t="inlineStr">
        <is>
          <t>PDF; table/figure</t>
        </is>
      </c>
      <c r="O157" s="13"/>
      <c r="P157" s="17" t="inlineStr">
        <is>
          <t>FINISHED</t>
        </is>
      </c>
      <c r="Q157" s="17"/>
      <c r="R157" s="17" t="inlineStr">
        <is>
          <t>https://doi.org/10.1523/JNEUROSCI.21-17-j0002.2001</t>
        </is>
      </c>
      <c r="S157" s="17"/>
      <c r="T157" s="17" t="inlineStr">
        <is>
          <t>overlapping publication lineage; retain specimen and source-level provenance</t>
        </is>
      </c>
      <c r="U157" s="17"/>
      <c r="V157" s="17" t="inlineStr">
        <is>
          <t>cortical pyramidal-neuron morphology</t>
        </is>
      </c>
      <c r="W157" s="17" t="inlineStr">
        <is>
          <t>Primates</t>
        </is>
      </c>
      <c r="X157" s="17" t="inlineStr">
        <is>
          <t>dendritic morphology; spine measures; sample metadata</t>
        </is>
      </c>
      <c r="Y157" s="17" t="inlineStr">
        <is>
          <t>Species × region: peak branching complexity, basal dendritic field area, maximum spine density</t>
        </is>
      </c>
      <c r="Z157" s="17"/>
      <c r="AA157" s="17" t="inlineStr">
        <is>
          <t>Golgi or intracellular Lucifer Yellow morphology, as specified in source</t>
        </is>
      </c>
      <c r="AB157" s="17" t="inlineStr">
        <is>
          <t>cell morphology / metadata</t>
        </is>
      </c>
      <c r="AC157" s="17"/>
      <c r="AD157" s="17"/>
      <c r="AE157" s="29" t="inlineStr">
        <is>
          <t>both</t>
        </is>
      </c>
      <c r="AF157" s="29"/>
      <c r="AG157" s="17" t="inlineStr">
        <is>
          <t>Add; directly tabulated. Keep species and region separate.</t>
        </is>
      </c>
    </row>
    <row r="158" ht="17" customHeight="1">
      <c r="A158" s="9"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58" s="9" t="inlineStr">
        <is>
          <t>a</t>
        </is>
      </c>
      <c r="C158" s="9"/>
      <c r="D158" s="9" t="inlineStr">
        <is>
          <t>Table 1</t>
        </is>
      </c>
      <c r="E158" s="11" t="str">
        <f>SUBSTITUTE(SUBSTITUTE(_xlfn.TEXTBEFORE(A158,","), "-", ""), " ", "")</f>
        <v>Elston</v>
      </c>
      <c r="F158" s="10"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10" t="str">
        <f>_xlfn.TEXTBEFORE(_xlfn.TEXTAFTER(A158, "("), ")")</f>
        <v>2005</v>
      </c>
      <c r="H158" s="11" t="str">
        <f>E158 &amp; IF(F158&lt;&gt;"", "_" &amp; SUBSTITUTE(F158," ",""), "_") &amp; IF(G158&lt;&gt;"", "_" &amp; G158, "_") &amp; IF(B158&lt;&gt;"", "_" &amp; B158, "")</f>
        <v>Elston_etal_2005_a</v>
      </c>
      <c r="I158" s="11" t="str">
        <f>_xlfn.LET(_xlpm.doi,IF(C158&lt;&gt;"",C158,_xlfn.TEXTAFTER(A158,"https://doi.org/")),SUBSTITUTE(SUBSTITUTE(SUBSTITUTE(SUBSTITUTE(_xlpm.doi,"/","%2F"),":","%3A"),"&lt;","%3C"),"&gt;","%3E"))</f>
        <v>10.1016%2Fj.neuroscience.2005.04.054</v>
      </c>
      <c r="J158" s="11" t="str">
        <f>TRIM(_xlfn.TEXTJOIN("_",FALSE(),H158,(SUBSTITUTE(SUBSTITUTE(D158," ",""), "_", ""))))</f>
        <v>Elston_etal_2005_a_Table1</v>
      </c>
      <c r="K158" s="10" t="str">
        <f>I158 &amp; "_" &amp; SUBSTITUTE(SUBSTITUTE(SUBSTITUTE(D158,CHAR(160),"")," ",""),"_","")</f>
        <v>10.1016%2Fj.neuroscience.2005.04.054_Table1</v>
      </c>
      <c r="L158" s="10" t="str">
        <f t="array" ref="L158">IFERROR(INDEX(AUTO_Public_TSV_FileList!$A$1:$A$1000,MATCH(TRUE(),EXACT(K158,IFERROR(_xlfn.TEXTBEFORE(AUTO_Public_TSV_FileList!$A$1:$A$1000,".tsv"),"")),0)),"notfound")</f>
        <v>10.1016%2Fj.neuroscience.2005.04.054_Table1.tsv</v>
      </c>
      <c r="M158" s="9" t="inlineStr">
        <is>
          <t>Table 1. Basal dendritic field area of layer III pyramidal cells</t>
        </is>
      </c>
      <c r="N158" s="9"/>
      <c r="O158" s="9"/>
      <c r="P158" s="9"/>
      <c r="Q158" s="9"/>
      <c r="R158" s="9"/>
      <c r="S158" s="9"/>
      <c r="T158" s="9"/>
      <c r="U158" s="9"/>
      <c r="V158" s="9"/>
      <c r="W158" s="9"/>
      <c r="X158" s="9"/>
      <c r="Y158" s="9"/>
      <c r="Z158" s="9"/>
      <c r="AA158" s="9"/>
      <c r="AB158" s="9"/>
      <c r="AC158" s="9"/>
      <c r="AD158" s="9"/>
      <c r="AE158" s="9"/>
      <c r="AF158" s="9"/>
      <c r="AG158" s="9"/>
    </row>
    <row r="159" ht="17" customHeight="1">
      <c r="A159" s="9"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59" s="18" t="inlineStr">
        <is>
          <t>a</t>
        </is>
      </c>
      <c r="C159" s="18"/>
      <c r="D159" s="9" t="inlineStr">
        <is>
          <t>Table 2</t>
        </is>
      </c>
      <c r="E159" s="11" t="str">
        <f>SUBSTITUTE(SUBSTITUTE(_xlfn.TEXTBEFORE(A159,","), "-", ""), " ", "")</f>
        <v>Elston</v>
      </c>
      <c r="F159" s="10"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10" t="str">
        <f>_xlfn.TEXTBEFORE(_xlfn.TEXTAFTER(A159, "("), ")")</f>
        <v>2005</v>
      </c>
      <c r="H159" s="11" t="str">
        <f>E159 &amp; IF(F159&lt;&gt;"", "_" &amp; SUBSTITUTE(F159," ",""), "_") &amp; IF(G159&lt;&gt;"", "_" &amp; G159, "_") &amp; IF(B159&lt;&gt;"", "_" &amp; B159, "")</f>
        <v>Elston_etal_2005_a</v>
      </c>
      <c r="I159" s="11" t="str">
        <f>_xlfn.LET(_xlpm.doi,IF(C159&lt;&gt;"",C159,_xlfn.TEXTAFTER(A159,"https://doi.org/")),SUBSTITUTE(SUBSTITUTE(SUBSTITUTE(SUBSTITUTE(_xlpm.doi,"/","%2F"),":","%3A"),"&lt;","%3C"),"&gt;","%3E"))</f>
        <v>10.1016%2Fj.neuroscience.2005.04.054</v>
      </c>
      <c r="J159" s="11" t="str">
        <f>TRIM(_xlfn.TEXTJOIN("_",FALSE(),H159,(SUBSTITUTE(SUBSTITUTE(D159," ",""), "_", ""))))</f>
        <v>Elston_etal_2005_a_Table2</v>
      </c>
      <c r="K159" s="10" t="str">
        <f>I159 &amp; "_" &amp; SUBSTITUTE(SUBSTITUTE(SUBSTITUTE(D159,CHAR(160),"")," ",""),"_","")</f>
        <v>10.1016%2Fj.neuroscience.2005.04.054_Table2</v>
      </c>
      <c r="L159" s="10" t="str">
        <f t="array" ref="L159">IFERROR(INDEX(AUTO_Public_TSV_FileList!$A$1:$A$1000,MATCH(TRUE(),EXACT(K159,IFERROR(_xlfn.TEXTBEFORE(AUTO_Public_TSV_FileList!$A$1:$A$1000,".tsv"),"")),0)),"notfound")</f>
        <v>10.1016%2Fj.neuroscience.2005.04.054_Table2.tsv</v>
      </c>
      <c r="M159" s="9" t="inlineStr">
        <is>
          <t>Table 2. Results of Sholl analyses of the basal dendritic arbors of layer III pyramidal cells (mean SEM) in sensorimotor areas 7, 5, 1/2, 4 and 6 in vervet monkey 1 (VM1) and vervet monkey 2 (VM2)</t>
        </is>
      </c>
      <c r="N159" s="9"/>
      <c r="O159" s="9"/>
      <c r="P159" s="9"/>
      <c r="Q159" s="9"/>
      <c r="R159" s="9"/>
      <c r="S159" s="9"/>
      <c r="T159" s="9"/>
      <c r="U159" s="9"/>
      <c r="V159" s="9"/>
      <c r="W159" s="9"/>
      <c r="X159" s="9"/>
      <c r="Y159" s="9"/>
      <c r="Z159" s="9"/>
      <c r="AA159" s="9"/>
      <c r="AB159" s="9"/>
      <c r="AC159" s="9"/>
      <c r="AD159" s="9"/>
      <c r="AE159" s="9"/>
      <c r="AF159" s="9"/>
      <c r="AG159" s="9"/>
    </row>
    <row r="160" ht="17" customHeight="1">
      <c r="A160" s="9"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60" t="inlineStr">
        <is>
          <t>a</t>
        </is>
      </c>
      <c r="D160" s="9" t="inlineStr">
        <is>
          <t>Table 3</t>
        </is>
      </c>
      <c r="E160" s="11" t="str">
        <f>SUBSTITUTE(SUBSTITUTE(_xlfn.TEXTBEFORE(A160,","), "-", ""), " ", "")</f>
        <v>Elston</v>
      </c>
      <c r="F160" s="10"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10" t="str">
        <f>_xlfn.TEXTBEFORE(_xlfn.TEXTAFTER(A160, "("), ")")</f>
        <v>2005</v>
      </c>
      <c r="H160" s="11" t="str">
        <f>E160 &amp; IF(F160&lt;&gt;"", "_" &amp; SUBSTITUTE(F160," ",""), "_") &amp; IF(G160&lt;&gt;"", "_" &amp; G160, "_") &amp; IF(B160&lt;&gt;"", "_" &amp; B160, "")</f>
        <v>Elston_etal_2005_a</v>
      </c>
      <c r="I160" s="11" t="str">
        <f>_xlfn.LET(_xlpm.doi,IF(C160&lt;&gt;"",C160,_xlfn.TEXTAFTER(A160,"https://doi.org/")),SUBSTITUTE(SUBSTITUTE(SUBSTITUTE(SUBSTITUTE(_xlpm.doi,"/","%2F"),":","%3A"),"&lt;","%3C"),"&gt;","%3E"))</f>
        <v>10.1016%2Fj.neuroscience.2005.04.054</v>
      </c>
      <c r="J160" s="11" t="str">
        <f>TRIM(_xlfn.TEXTJOIN("_",FALSE(),H160,(SUBSTITUTE(SUBSTITUTE(D160," ",""), "_", ""))))</f>
        <v>Elston_etal_2005_a_Table3</v>
      </c>
      <c r="K160" s="10" t="str">
        <f>I160 &amp; "_" &amp; SUBSTITUTE(SUBSTITUTE(SUBSTITUTE(D160,CHAR(160),"")," ",""),"_","")</f>
        <v>10.1016%2Fj.neuroscience.2005.04.054_Table3</v>
      </c>
      <c r="L160" s="10" t="str">
        <f t="array" ref="L160">IFERROR(INDEX(AUTO_Public_TSV_FileList!$A$1:$A$1000,MATCH(TRUE(),EXACT(K160,IFERROR(_xlfn.TEXTBEFORE(AUTO_Public_TSV_FileList!$A$1:$A$1000,".tsv"),"")),0)),"notfound")</f>
        <v>10.1016%2Fj.neuroscience.2005.04.054_Table3.tsv</v>
      </c>
      <c r="M160" s="9" t="inlineStr">
        <is>
          <t>Table 3. Average spine density per 10  m along the basal dendrites of layer III pyramidal cells as a function of distance from the cell bodies to the distal dendritic tips (mean SEM, maximum in bold)</t>
        </is>
      </c>
      <c r="N160" s="9"/>
      <c r="O160" s="9"/>
      <c r="P160" s="9"/>
      <c r="Q160" s="9"/>
      <c r="R160" s="9"/>
      <c r="S160" s="9"/>
      <c r="T160" s="9"/>
      <c r="U160" s="9"/>
      <c r="V160" s="9"/>
      <c r="W160" s="9"/>
      <c r="X160" s="9"/>
      <c r="Y160" s="9"/>
      <c r="Z160" s="9"/>
      <c r="AA160" s="9"/>
      <c r="AB160" s="9"/>
      <c r="AC160" s="9"/>
      <c r="AD160" s="9"/>
      <c r="AE160" s="9"/>
      <c r="AF160" s="9"/>
      <c r="AG160" s="9"/>
    </row>
    <row r="161" ht="17" customHeight="1">
      <c r="A161" s="9"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61" t="inlineStr">
        <is>
          <t>a</t>
        </is>
      </c>
      <c r="D161" s="9" t="inlineStr">
        <is>
          <t>Table 4</t>
        </is>
      </c>
      <c r="E161" s="11" t="str">
        <f>SUBSTITUTE(SUBSTITUTE(_xlfn.TEXTBEFORE(A161,","), "-", ""), " ", "")</f>
        <v>Elston</v>
      </c>
      <c r="F161" s="10"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10" t="str">
        <f>_xlfn.TEXTBEFORE(_xlfn.TEXTAFTER(A161, "("), ")")</f>
        <v>2005</v>
      </c>
      <c r="H161" s="11" t="str">
        <f>E161 &amp; IF(F161&lt;&gt;"", "_" &amp; SUBSTITUTE(F161," ",""), "_") &amp; IF(G161&lt;&gt;"", "_" &amp; G161, "_") &amp; IF(B161&lt;&gt;"", "_" &amp; B161, "")</f>
        <v>Elston_etal_2005_a</v>
      </c>
      <c r="I161" s="11" t="str">
        <f>_xlfn.LET(_xlpm.doi,IF(C161&lt;&gt;"",C161,_xlfn.TEXTAFTER(A161,"https://doi.org/")),SUBSTITUTE(SUBSTITUTE(SUBSTITUTE(SUBSTITUTE(_xlpm.doi,"/","%2F"),":","%3A"),"&lt;","%3C"),"&gt;","%3E"))</f>
        <v>10.1016%2Fj.neuroscience.2005.04.054</v>
      </c>
      <c r="J161" s="11" t="str">
        <f>TRIM(_xlfn.TEXTJOIN("_",FALSE(),H161,(SUBSTITUTE(SUBSTITUTE(D161," ",""), "_", ""))))</f>
        <v>Elston_etal_2005_a_Table4</v>
      </c>
      <c r="K161" s="10" t="str">
        <f>I161 &amp; "_" &amp; SUBSTITUTE(SUBSTITUTE(SUBSTITUTE(D161,CHAR(160),"")," ",""),"_","")</f>
        <v>10.1016%2Fj.neuroscience.2005.04.054_Table4</v>
      </c>
      <c r="L161" s="10" t="str">
        <f t="array" ref="L161">IFERROR(INDEX(AUTO_Public_TSV_FileList!$A$1:$A$1000,MATCH(TRUE(),EXACT(K161,IFERROR(_xlfn.TEXTBEFORE(AUTO_Public_TSV_FileList!$A$1:$A$1000,".tsv"),"")),0)),"notfound")</f>
        <v>notfound</v>
      </c>
      <c r="M161" s="9" t="inlineStr">
        <is>
          <t>Table 4. Estimates of the total number of spines in the basal dendritic tree of the “average” layer III pyramidal cell in sensory-motor cortex of the vervet monkey</t>
        </is>
      </c>
      <c r="N161" s="9"/>
      <c r="O161" s="9"/>
      <c r="P161" s="9"/>
      <c r="Q161" s="9"/>
      <c r="R161" s="9"/>
      <c r="S161" s="9"/>
      <c r="T161" s="9"/>
      <c r="U161" s="9"/>
      <c r="V161" s="9"/>
      <c r="W161" s="9"/>
      <c r="X161" s="9"/>
      <c r="Y161" s="9"/>
      <c r="Z161" s="9"/>
      <c r="AA161" s="9"/>
      <c r="AB161" s="9"/>
      <c r="AC161" s="9"/>
      <c r="AD161" s="9"/>
      <c r="AE161" s="9"/>
      <c r="AF161" s="9"/>
      <c r="AG161" s="9"/>
    </row>
    <row r="162" ht="17" customHeight="1">
      <c r="A162" s="9"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62" t="inlineStr">
        <is>
          <t>a</t>
        </is>
      </c>
      <c r="D162" s="9" t="inlineStr">
        <is>
          <t>Table 5</t>
        </is>
      </c>
      <c r="E162" s="11" t="str">
        <f>SUBSTITUTE(SUBSTITUTE(_xlfn.TEXTBEFORE(A162,","), "-", ""), " ", "")</f>
        <v>Elston</v>
      </c>
      <c r="F162" s="10"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10" t="str">
        <f>_xlfn.TEXTBEFORE(_xlfn.TEXTAFTER(A162, "("), ")")</f>
        <v>2005</v>
      </c>
      <c r="H162" s="11" t="str">
        <f>E162 &amp; IF(F162&lt;&gt;"", "_" &amp; SUBSTITUTE(F162," ",""), "_") &amp; IF(G162&lt;&gt;"", "_" &amp; G162, "_") &amp; IF(B162&lt;&gt;"", "_" &amp; B162, "")</f>
        <v>Elston_etal_2005_a</v>
      </c>
      <c r="I162" s="11" t="str">
        <f>_xlfn.LET(_xlpm.doi,IF(C162&lt;&gt;"",C162,_xlfn.TEXTAFTER(A162,"https://doi.org/")),SUBSTITUTE(SUBSTITUTE(SUBSTITUTE(SUBSTITUTE(_xlpm.doi,"/","%2F"),":","%3A"),"&lt;","%3C"),"&gt;","%3E"))</f>
        <v>10.1016%2Fj.neuroscience.2005.04.054</v>
      </c>
      <c r="J162" s="11" t="str">
        <f>TRIM(_xlfn.TEXTJOIN("_",FALSE(),H162,(SUBSTITUTE(SUBSTITUTE(D162," ",""), "_", ""))))</f>
        <v>Elston_etal_2005_a_Table5</v>
      </c>
      <c r="K162" s="10" t="str">
        <f>I162 &amp; "_" &amp; SUBSTITUTE(SUBSTITUTE(SUBSTITUTE(D162,CHAR(160),"")," ",""),"_","")</f>
        <v>10.1016%2Fj.neuroscience.2005.04.054_Table5</v>
      </c>
      <c r="L162" s="10" t="str">
        <f t="array" ref="L162">IFERROR(INDEX(AUTO_Public_TSV_FileList!$A$1:$A$1000,MATCH(TRUE(),EXACT(K162,IFERROR(_xlfn.TEXTBEFORE(AUTO_Public_TSV_FileList!$A$1:$A$1000,".tsv"),"")),0)),"notfound")</f>
        <v>notfound</v>
      </c>
      <c r="M162" s="9" t="inlineStr">
        <is>
          <t>Table 5. Size of the somata of layer III pyramidal cells (in the tangential plane) in cortical areas 7, 5, 1/2, 4 and 6 in vervet monkey 1 (VM1) and vervet monkey 2 (VM2)</t>
        </is>
      </c>
      <c r="N162" s="9"/>
      <c r="O162" s="9"/>
      <c r="P162" s="9"/>
      <c r="Q162" s="9"/>
      <c r="R162" s="9"/>
      <c r="S162" s="9"/>
      <c r="T162" s="9"/>
      <c r="U162" s="9"/>
      <c r="V162" s="9"/>
      <c r="W162" s="9"/>
      <c r="X162" s="9"/>
      <c r="Y162" s="9"/>
      <c r="Z162" s="9"/>
      <c r="AA162" s="9"/>
      <c r="AB162" s="9"/>
      <c r="AC162" s="9"/>
      <c r="AD162" s="9"/>
      <c r="AE162" s="9"/>
      <c r="AF162" s="9"/>
      <c r="AG162" s="9"/>
    </row>
    <row r="163" ht="17" customHeight="1">
      <c r="A163" s="9" t="inlineStr">
        <is>
          <t>Elston, G. N., Benavides-Piccione, R., Elston, A., DeFelipe, J., &amp; Manger, P. R. (2005). Specialization in pyramidal cell structure in the sensory-motor cortex of the vervet monkey (Cercopethicus pygerythrus). Neuroscience, 134(3), 1057–1068. https://doi.org/10.1016/j.neuroscience.2005.04.054</t>
        </is>
      </c>
      <c r="B163" s="14" t="inlineStr">
        <is>
          <t>a</t>
        </is>
      </c>
      <c r="D163" s="9" t="inlineStr">
        <is>
          <t>Table 6</t>
        </is>
      </c>
      <c r="E163" s="11" t="str">
        <f>SUBSTITUTE(SUBSTITUTE(_xlfn.TEXTBEFORE(A163,","), "-", ""), " ", "")</f>
        <v>Elston</v>
      </c>
      <c r="F163" s="10"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10" t="str">
        <f>_xlfn.TEXTBEFORE(_xlfn.TEXTAFTER(A163, "("), ")")</f>
        <v>2005</v>
      </c>
      <c r="H163" s="11" t="str">
        <f>E163 &amp; IF(F163&lt;&gt;"", "_" &amp; SUBSTITUTE(F163," ",""), "_") &amp; IF(G163&lt;&gt;"", "_" &amp; G163, "_") &amp; IF(B163&lt;&gt;"", "_" &amp; B163, "")</f>
        <v>Elston_etal_2005_a</v>
      </c>
      <c r="I163" s="11" t="str">
        <f>_xlfn.LET(_xlpm.doi,IF(C163&lt;&gt;"",C163,_xlfn.TEXTAFTER(A163,"https://doi.org/")),SUBSTITUTE(SUBSTITUTE(SUBSTITUTE(SUBSTITUTE(_xlpm.doi,"/","%2F"),":","%3A"),"&lt;","%3C"),"&gt;","%3E"))</f>
        <v>10.1016%2Fj.neuroscience.2005.04.054</v>
      </c>
      <c r="J163" s="11" t="str">
        <f>TRIM(_xlfn.TEXTJOIN("_",FALSE(),H163,(SUBSTITUTE(SUBSTITUTE(D163," ",""), "_", ""))))</f>
        <v>Elston_etal_2005_a_Table6</v>
      </c>
      <c r="K163" s="10" t="str">
        <f>I163 &amp; "_" &amp; SUBSTITUTE(SUBSTITUTE(SUBSTITUTE(D163,CHAR(160),"")," ",""),"_","")</f>
        <v>10.1016%2Fj.neuroscience.2005.04.054_Table6</v>
      </c>
      <c r="L163" s="10" t="str">
        <f t="array" ref="L163">IFERROR(INDEX(AUTO_Public_TSV_FileList!$A$1:$A$1000,MATCH(TRUE(),EXACT(K163,IFERROR(_xlfn.TEXTBEFORE(AUTO_Public_TSV_FileList!$A$1:$A$1000,".tsv"),"")),0)),"notfound")</f>
        <v>notfound</v>
      </c>
      <c r="M163" s="9" t="inlineStr">
        <is>
          <t>Table 6. Data on the total surface area of the cerebral cortex, motor cortex and visual cortex originally reported by Brodmann (1913)</t>
        </is>
      </c>
      <c r="N163" s="9"/>
      <c r="O163" s="9"/>
      <c r="P163" s="9"/>
      <c r="Q163" s="9"/>
      <c r="R163" s="9"/>
      <c r="S163" s="9"/>
      <c r="T163" s="9"/>
      <c r="U163" s="9"/>
      <c r="V163" s="9"/>
      <c r="W163" s="9"/>
      <c r="X163" s="9"/>
      <c r="Y163" s="9"/>
      <c r="Z163" s="9"/>
      <c r="AA163" s="9"/>
      <c r="AB163" s="9"/>
      <c r="AC163" s="9"/>
      <c r="AD163" s="9"/>
      <c r="AE163" s="9"/>
      <c r="AF163" s="9"/>
      <c r="AG163" s="9"/>
    </row>
    <row r="164" ht="17" customHeight="1">
      <c r="A164" s="9" t="inlineStr">
        <is>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is>
      </c>
      <c r="B164" s="18" t="inlineStr">
        <is>
          <t>b</t>
        </is>
      </c>
      <c r="D164" s="9" t="inlineStr">
        <is>
          <t>TABLE 1</t>
        </is>
      </c>
      <c r="E164" s="11" t="str">
        <f>SUBSTITUTE(SUBSTITUTE(_xlfn.TEXTBEFORE(A164,","), "-", ""), " ", "")</f>
        <v>Elston</v>
      </c>
      <c r="F164" s="10"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10" t="str">
        <f>_xlfn.TEXTBEFORE(_xlfn.TEXTAFTER(A164, "("), ")")</f>
        <v>2005</v>
      </c>
      <c r="H164" s="11" t="str">
        <f>E164 &amp; IF(F164&lt;&gt;"", "_" &amp; SUBSTITUTE(F164," ",""), "_") &amp; IF(G164&lt;&gt;"", "_" &amp; G164, "_") &amp; IF(B164&lt;&gt;"", "_" &amp; B164, "")</f>
        <v>Elston_etal_2005_b</v>
      </c>
      <c r="I164" s="11" t="str">
        <f>_xlfn.LET(_xlpm.doi,IF(C164&lt;&gt;"",C164,_xlfn.TEXTAFTER(A164,"https://doi.org/")),SUBSTITUTE(SUBSTITUTE(SUBSTITUTE(SUBSTITUTE(_xlpm.doi,"/","%2F"),":","%3A"),"&lt;","%3C"),"&gt;","%3E"))</f>
        <v>10.1002%2Far.a.20217</v>
      </c>
      <c r="J164" s="11" t="str">
        <f>TRIM(_xlfn.TEXTJOIN("_",FALSE(),H164,(SUBSTITUTE(SUBSTITUTE(D164," ",""), "_", ""))))</f>
        <v>Elston_etal_2005_b_TABLE1</v>
      </c>
      <c r="K164" s="10" t="str">
        <f>I164 &amp; "_" &amp; SUBSTITUTE(SUBSTITUTE(SUBSTITUTE(D164,CHAR(160),"")," ",""),"_","")</f>
        <v>10.1002%2Far.a.20217_TABLE1</v>
      </c>
      <c r="L164" s="10" t="str">
        <f t="array" ref="L164">IFERROR(INDEX(AUTO_Public_TSV_FileList!$A$1:$A$1000,MATCH(TRUE(),EXACT(K164,IFERROR(_xlfn.TEXTBEFORE(AUTO_Public_TSV_FileList!$A$1:$A$1000,".tsv"),"")),0)),"notfound")</f>
        <v>10.1002%2Far.a.20217_TABLE1.tsv</v>
      </c>
      <c r="M164" s="9" t="inlineStr">
        <is>
          <t>TABLE 1. Basal dendritic field area (um2) of layer III pyramidal cells in sensory-motor cortex of the Chacma baboon</t>
        </is>
      </c>
      <c r="N164" s="9"/>
      <c r="O164" s="9"/>
      <c r="P164" s="9"/>
      <c r="Q164" s="9"/>
      <c r="R164" s="9" t="inlineStr">
        <is>
          <t>https://doi.org/10.1002/ar.a.20217</t>
        </is>
      </c>
      <c r="S164" s="9" t="inlineStr">
        <is>
          <t>Independent source/schema/static review passed; R NOT RUN. Existing article DOI already correct; no DOI correction. AI is not human visual curation.</t>
        </is>
      </c>
      <c r="T164" s="9" t="inlineStr">
        <is>
          <t>Source placement unresolved; single-animal technical sampling; cross-publication specimen identity and method-compatible merge review pending.</t>
        </is>
      </c>
      <c r="U164" s="9"/>
      <c r="V164" s="9" t="inlineStr">
        <is>
          <t>cortical pyramidal-neuron morphology</t>
        </is>
      </c>
      <c r="W164" s="9" t="inlineStr">
        <is>
          <t>Papio ursinus (as published)</t>
        </is>
      </c>
      <c r="X164" s="9" t="inlineStr">
        <is>
          <t>basal dendritic field area, mean/SD/SEM/minimum/maximum (μm²)</t>
        </is>
      </c>
      <c r="Y164" s="9"/>
      <c r="Z164" s="9" t="inlineStr">
        <is>
          <t>250 μm tangential histological sections; intracellular Lucifer Yellow</t>
        </is>
      </c>
      <c r="AA164" s="9" t="inlineStr">
        <is>
          <t>polygon joining outermost distal tips of basal dendrites; apical collaterals excluded</t>
        </is>
      </c>
      <c r="AB164" s="9" t="inlineStr">
        <is>
          <t>cell morphology; dependent technical summaries</t>
        </is>
      </c>
      <c r="AC164" s="9" t="inlineStr">
        <is>
          <t>Elston</t>
        </is>
      </c>
      <c r="AD164" s="9"/>
      <c r="AE164" s="9" t="inlineStr">
        <is>
          <t>primary</t>
        </is>
      </c>
      <c r="AF164" s="9"/>
      <c r="AG164" s="9" t="inlineStr">
        <is>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is>
      </c>
    </row>
    <row r="165" ht="17" customHeight="1">
      <c r="A165" s="9" t="inlineStr">
        <is>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is>
      </c>
      <c r="B165" t="inlineStr">
        <is>
          <t>b</t>
        </is>
      </c>
      <c r="D165" s="9" t="inlineStr">
        <is>
          <t>TABLE 2</t>
        </is>
      </c>
      <c r="E165" s="11" t="str">
        <f>SUBSTITUTE(SUBSTITUTE(_xlfn.TEXTBEFORE(A165,","), "-", ""), " ", "")</f>
        <v>Elston</v>
      </c>
      <c r="F165" s="10"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10" t="str">
        <f>_xlfn.TEXTBEFORE(_xlfn.TEXTAFTER(A165, "("), ")")</f>
        <v>2005</v>
      </c>
      <c r="H165" s="11" t="str">
        <f>E165 &amp; IF(F165&lt;&gt;"", "_" &amp; SUBSTITUTE(F165," ",""), "_") &amp; IF(G165&lt;&gt;"", "_" &amp; G165, "_") &amp; IF(B165&lt;&gt;"", "_" &amp; B165, "")</f>
        <v>Elston_etal_2005_b</v>
      </c>
      <c r="I165" s="11" t="str">
        <f>_xlfn.LET(_xlpm.doi,IF(C165&lt;&gt;"",C165,_xlfn.TEXTAFTER(A165,"https://doi.org/")),SUBSTITUTE(SUBSTITUTE(SUBSTITUTE(SUBSTITUTE(_xlpm.doi,"/","%2F"),":","%3A"),"&lt;","%3C"),"&gt;","%3E"))</f>
        <v>10.1002%2Far.a.20217</v>
      </c>
      <c r="J165" s="11" t="str">
        <f>TRIM(_xlfn.TEXTJOIN("_",FALSE(),H165,(SUBSTITUTE(SUBSTITUTE(D165," ",""), "_", ""))))</f>
        <v>Elston_etal_2005_b_TABLE2</v>
      </c>
      <c r="K165" s="10" t="str">
        <f>I165 &amp; "_" &amp; SUBSTITUTE(SUBSTITUTE(SUBSTITUTE(D165,CHAR(160),"")," ",""),"_","")</f>
        <v>10.1002%2Far.a.20217_TABLE2</v>
      </c>
      <c r="L165" s="10" t="str">
        <f t="array" ref="L165">IFERROR(INDEX(AUTO_Public_TSV_FileList!$A$1:$A$1000,MATCH(TRUE(),EXACT(K165,IFERROR(_xlfn.TEXTBEFORE(AUTO_Public_TSV_FileList!$A$1:$A$1000,".tsv"),"")),0)),"notfound")</f>
        <v>10.1002%2Far.a.20217_TABLE2.tsv</v>
      </c>
      <c r="M165" s="9" t="inlineStr">
        <is>
          <t>TABLE 2. Results of Sholl analysis of the basal dendritic arbors of layer III pyramidal cells sampled in baboon 2 (mean   SEM)</t>
        </is>
      </c>
      <c r="N165" s="9"/>
      <c r="O165" s="9"/>
      <c r="P165" s="9"/>
      <c r="Q165" s="9"/>
      <c r="R165" s="9" t="inlineStr">
        <is>
          <t>https://doi.org/10.1002/ar.a.20217</t>
        </is>
      </c>
      <c r="S165" s="9" t="inlineStr">
        <is>
          <t>Independent source/schema/static review passed; R NOT RUN. Existing article DOI already correct; no DOI correction. AI is not human visual curation.</t>
        </is>
      </c>
      <c r="T165" s="9" t="inlineStr">
        <is>
          <t>Source placement unresolved; single-animal technical sampling; cross-publication specimen identity and method-compatible merge review pending.</t>
        </is>
      </c>
      <c r="U165" s="9"/>
      <c r="V165" s="9" t="inlineStr">
        <is>
          <t>cortical pyramidal-neuron morphology</t>
        </is>
      </c>
      <c r="W165" s="9" t="inlineStr">
        <is>
          <t>Papio ursinus (as published)</t>
        </is>
      </c>
      <c r="X165" s="9" t="inlineStr">
        <is>
          <t>Sholl basal dendritic intersections mean ± SEM by radius (μm)</t>
        </is>
      </c>
      <c r="Y165" s="9"/>
      <c r="Z165" s="9" t="inlineStr">
        <is>
          <t>250 μm tangential histological sections; intracellular Lucifer Yellow</t>
        </is>
      </c>
      <c r="AA165" s="9" t="inlineStr">
        <is>
          <t>basal dendritic intersections with concentric circles centered on soma; radius interval 25 μm; apical collaterals excluded</t>
        </is>
      </c>
      <c r="AB165" s="9" t="inlineStr">
        <is>
          <t>cell morphology; dependent technical summaries</t>
        </is>
      </c>
      <c r="AC165" s="9" t="inlineStr">
        <is>
          <t>Elston</t>
        </is>
      </c>
      <c r="AD165" s="9"/>
      <c r="AE165" s="9" t="inlineStr">
        <is>
          <t>primary</t>
        </is>
      </c>
      <c r="AF165" s="9"/>
      <c r="AG165" s="9" t="inlineStr">
        <is>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is>
      </c>
    </row>
    <row r="166" ht="15" customHeight="1">
      <c r="A166" s="18" t="inlineStr">
        <is>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is>
      </c>
      <c r="B166" t="inlineStr">
        <is>
          <t>b</t>
        </is>
      </c>
      <c r="D166" s="18" t="inlineStr">
        <is>
          <t>TABLE 3</t>
        </is>
      </c>
      <c r="E166" s="11" t="str">
        <f>SUBSTITUTE(SUBSTITUTE(_xlfn.TEXTBEFORE(A166,","), "-", ""), " ", "")</f>
        <v>Elston</v>
      </c>
      <c r="F166" s="10"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10" t="str">
        <f>_xlfn.TEXTBEFORE(_xlfn.TEXTAFTER(A166, "("), ")")</f>
        <v>2005</v>
      </c>
      <c r="H166" s="11" t="str">
        <f>E166 &amp; IF(F166&lt;&gt;"", "_" &amp; SUBSTITUTE(F166," ",""), "_") &amp; IF(G166&lt;&gt;"", "_" &amp; G166, "_") &amp; IF(B166&lt;&gt;"", "_" &amp; B166, "")</f>
        <v>Elston_etal_2005_b</v>
      </c>
      <c r="I166" s="11" t="str">
        <f>_xlfn.LET(_xlpm.doi,IF(C166&lt;&gt;"",C166,_xlfn.TEXTAFTER(A166,"https://doi.org/")),SUBSTITUTE(SUBSTITUTE(SUBSTITUTE(SUBSTITUTE(_xlpm.doi,"/","%2F"),":","%3A"),"&lt;","%3C"),"&gt;","%3E"))</f>
        <v>10.1002%2Far.a.20217</v>
      </c>
      <c r="J166" s="11" t="str">
        <f>TRIM(_xlfn.TEXTJOIN("_",FALSE(),H166,(SUBSTITUTE(SUBSTITUTE(D166," ",""), "_", ""))))</f>
        <v>Elston_etal_2005_b_TABLE3</v>
      </c>
      <c r="K166" s="10" t="str">
        <f>I166 &amp; "_" &amp; SUBSTITUTE(SUBSTITUTE(SUBSTITUTE(D166,CHAR(160),"")," ",""),"_","")</f>
        <v>10.1002%2Far.a.20217_TABLE3</v>
      </c>
      <c r="L166" s="10" t="str">
        <f t="array" ref="L166">IFERROR(INDEX(AUTO_Public_TSV_FileList!$A$1:$A$1000,MATCH(TRUE(),EXACT(K166,IFERROR(_xlfn.TEXTBEFORE(AUTO_Public_TSV_FileList!$A$1:$A$1000,".tsv"),"")),0)),"notfound")</f>
        <v>10.1002%2Far.a.20217_TABLE3.tsv</v>
      </c>
      <c r="M166" s="9" t="inlineStr">
        <is>
          <t>TABLE 3. Spine density per 10  m of horizontally projecting dendrites as a function of distance from the cell body to the distal tips of the dendrites of layer III pyramidal neurons sampled in areas 3b, 4, 5, 6, and 7 of the Chacma baboon</t>
        </is>
      </c>
      <c r="N166" s="9"/>
      <c r="O166" s="9"/>
      <c r="P166" s="9"/>
      <c r="Q166" s="9"/>
      <c r="R166" s="9" t="inlineStr">
        <is>
          <t>https://doi.org/10.1002/ar.a.20217</t>
        </is>
      </c>
      <c r="S166" s="9" t="inlineStr">
        <is>
          <t>Independent source/schema/static review passed; R NOT RUN. Existing article DOI already correct; no DOI correction. AI is not human visual curation.</t>
        </is>
      </c>
      <c r="T166" s="9" t="inlineStr">
        <is>
          <t>Source placement unresolved; single-animal technical sampling; cross-publication specimen identity and method-compatible merge review pending. Table 3 source SEM anomalies/proximal-zero contradiction and distal bare 1 preserved.</t>
        </is>
      </c>
      <c r="U166" s="9"/>
      <c r="V166" s="9" t="inlineStr">
        <is>
          <t>cortical pyramidal-neuron morphology</t>
        </is>
      </c>
      <c r="W166" s="9" t="inlineStr">
        <is>
          <t>Papio ursinus (as published)</t>
        </is>
      </c>
      <c r="X166" s="9" t="inlineStr">
        <is>
          <t>spine density mean ± SEM per 10 μm by distance bin</t>
        </is>
      </c>
      <c r="Y166" s="9"/>
      <c r="Z166" s="9" t="inlineStr">
        <is>
          <t>250 μm tangential histological sections; intracellular Lucifer Yellow</t>
        </is>
      </c>
      <c r="AA166" s="9" t="inlineStr">
        <is>
          <t>spines per 10 μm of horizontally projecting basal dendrite; high-power 100× drawing; no individual measurements available</t>
        </is>
      </c>
      <c r="AB166" s="9" t="inlineStr">
        <is>
          <t>cell morphology; dependent technical summaries</t>
        </is>
      </c>
      <c r="AC166" s="9" t="inlineStr">
        <is>
          <t>Elston</t>
        </is>
      </c>
      <c r="AD166" s="9"/>
      <c r="AE166" s="9" t="inlineStr">
        <is>
          <t>primary</t>
        </is>
      </c>
      <c r="AF166" s="9"/>
      <c r="AG166" s="9" t="inlineStr">
        <is>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is>
      </c>
    </row>
    <row r="167" ht="17" customHeight="1">
      <c r="A167" s="9" t="inlineStr">
        <is>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is>
      </c>
      <c r="B167" t="inlineStr">
        <is>
          <t>b</t>
        </is>
      </c>
      <c r="C167" s="14"/>
      <c r="D167" s="9" t="inlineStr">
        <is>
          <t>TABLE 4</t>
        </is>
      </c>
      <c r="E167" s="11" t="str">
        <f>SUBSTITUTE(SUBSTITUTE(_xlfn.TEXTBEFORE(A167,","), "-", ""), " ", "")</f>
        <v>Elston</v>
      </c>
      <c r="F167" s="10"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10" t="str">
        <f>_xlfn.TEXTBEFORE(_xlfn.TEXTAFTER(A167, "("), ")")</f>
        <v>2005</v>
      </c>
      <c r="H167" s="11" t="str">
        <f>E167 &amp; IF(F167&lt;&gt;"", "_" &amp; SUBSTITUTE(F167," ",""), "_") &amp; IF(G167&lt;&gt;"", "_" &amp; G167, "_") &amp; IF(B167&lt;&gt;"", "_" &amp; B167, "")</f>
        <v>Elston_etal_2005_b</v>
      </c>
      <c r="I167" s="11" t="str">
        <f>_xlfn.LET(_xlpm.doi,IF(C167&lt;&gt;"",C167,_xlfn.TEXTAFTER(A167,"https://doi.org/")),SUBSTITUTE(SUBSTITUTE(SUBSTITUTE(SUBSTITUTE(_xlpm.doi,"/","%2F"),":","%3A"),"&lt;","%3C"),"&gt;","%3E"))</f>
        <v>10.1002%2Far.a.20217</v>
      </c>
      <c r="J167" s="11" t="str">
        <f>TRIM(_xlfn.TEXTJOIN("_",FALSE(),H167,(SUBSTITUTE(SUBSTITUTE(D167," ",""), "_", ""))))</f>
        <v>Elston_etal_2005_b_TABLE4</v>
      </c>
      <c r="K167" s="10" t="str">
        <f>I167 &amp; "_" &amp; SUBSTITUTE(SUBSTITUTE(SUBSTITUTE(D167,CHAR(160),"")," ",""),"_","")</f>
        <v>10.1002%2Far.a.20217_TABLE4</v>
      </c>
      <c r="L167" s="10" t="str">
        <f t="array" ref="L167">IFERROR(INDEX(AUTO_Public_TSV_FileList!$A$1:$A$1000,MATCH(TRUE(),EXACT(K167,IFERROR(_xlfn.TEXTBEFORE(AUTO_Public_TSV_FileList!$A$1:$A$1000,".tsv"),"")),0)),"notfound")</f>
        <v>notfound</v>
      </c>
      <c r="M167" s="34" t="inlineStr">
        <is>
          <t>TABLE 4. Somal size of layer III pyramidal cells in sensory-motor cortex of the Chacma baboon</t>
        </is>
      </c>
      <c r="N167" s="9"/>
      <c r="O167" s="34"/>
      <c r="P167" s="9"/>
      <c r="Q167" s="34"/>
      <c r="R167" s="9" t="inlineStr">
        <is>
          <t>https://doi.org/10.1002/ar.a.20218</t>
        </is>
      </c>
      <c r="S167" s="34" t="inlineStr">
        <is>
          <t>Independent source/schema/static review passed; R NOT RUN. Existing article DOI already correct; no DOI correction. AI is not human visual curation.</t>
        </is>
      </c>
      <c r="T167" s="34" t="inlineStr">
        <is>
          <t>Source placement unresolved; single-animal technical sampling; cross-publication specimen identity and method-compatible merge review pending.</t>
        </is>
      </c>
      <c r="U167" s="34"/>
      <c r="V167" s="34" t="inlineStr">
        <is>
          <t>cortical pyramidal-neuron morphology</t>
        </is>
      </c>
      <c r="W167" s="9" t="inlineStr">
        <is>
          <t>Papio ursinus (as published)</t>
        </is>
      </c>
      <c r="X167" s="34" t="inlineStr">
        <is>
          <t>somal area mean/SD/SEM/minimum/maximum (μm²)</t>
        </is>
      </c>
      <c r="Y167" s="9"/>
      <c r="Z167" s="9" t="inlineStr">
        <is>
          <t>250 μm tangential histological sections; intracellular Lucifer Yellow</t>
        </is>
      </c>
      <c r="AA167" s="34" t="inlineStr">
        <is>
          <t>cell body drawn at 100×; drawing scanned and area measured with NIH Image in tangential plane</t>
        </is>
      </c>
      <c r="AB167" s="34" t="inlineStr">
        <is>
          <t>cell morphology; dependent technical summaries</t>
        </is>
      </c>
      <c r="AC167" s="9" t="inlineStr">
        <is>
          <t>Elston</t>
        </is>
      </c>
      <c r="AD167" s="9"/>
      <c r="AE167" s="9" t="inlineStr">
        <is>
          <t>primary</t>
        </is>
      </c>
      <c r="AF167" s="9"/>
      <c r="AG167" s="34" t="inlineStr">
        <is>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is>
      </c>
    </row>
    <row r="168" ht="17" customHeight="1">
      <c r="A168" s="17" t="inlineStr">
        <is>
          <t>Elston, G. N., Benavides-Piccione, R., Elston, A., Zietsch, B., Defelipe, J., Manger, P., Casagrande, V., &amp; Kaas, J. H. (2006). Specializations of the granular prefrontal cortex of primates: implications for cognitive processing. Anat Rec A Discov Mol Cell Evol Biol, 288(1), 26-35. https://doi.org/10.1002/ar.a.20278</t>
        </is>
      </c>
      <c r="B168" s="21"/>
      <c r="C168" s="21"/>
      <c r="D168" s="17" t="inlineStr">
        <is>
          <t>Table 1</t>
        </is>
      </c>
      <c r="E168" s="10" t="str">
        <f>SUBSTITUTE(SUBSTITUTE(_xlfn.TEXTBEFORE(A168,","), "-", ""), " ", "")</f>
        <v>Elston</v>
      </c>
      <c r="F168" s="10"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10" t="str">
        <f>_xlfn.TEXTBEFORE(_xlfn.TEXTAFTER(A168, "("), ")")</f>
        <v>2006</v>
      </c>
      <c r="H168" s="10" t="str">
        <f>E168 &amp; IF(F168&lt;&gt;"", "_" &amp; SUBSTITUTE(F168," ",""), "_") &amp; IF(G168&lt;&gt;"", "_" &amp; G168, "_") &amp; IF(B168&lt;&gt;"", "_" &amp; B168, "")</f>
        <v>Elston_etal_2006</v>
      </c>
      <c r="I168" s="10" t="str">
        <f>_xlfn.LET(
_xlpm.doi,IF(C168&lt;&gt;"",C168,_xlfn.TEXTAFTER(A168,"https://doi.org/")),
SUBSTITUTE(
SUBSTITUTE(
SUBSTITUTE(
SUBSTITUTE(
_xlpm.doi,
"/","%2F"),
":","%3A"),
"&lt;","%3C"),
"&gt;","%3E")
)</f>
        <v>10.1002%2Far.a.20278</v>
      </c>
      <c r="J168" s="10" t="str">
        <f>TRIM(_xlfn.TEXTJOIN("_",FALSE(),H168,(SUBSTITUTE(SUBSTITUTE(D168," ",""), "_", ""))))</f>
        <v>Elston_etal_2006_Table1</v>
      </c>
      <c r="K168" s="10" t="str">
        <f>I168 &amp; "_" &amp; SUBSTITUTE(SUBSTITUTE(SUBSTITUTE(D168,CHAR(160),"")," ",""),"_","")</f>
        <v>10.1002%2Far.a.20278_Table1</v>
      </c>
      <c r="L168" s="10" t="str">
        <f t="array" ref="L168">IFERROR(INDEX(AUTO_Public_TSV_FileList!$A$1:$A$1000,MATCH(TRUE(),EXACT(K168,IFERROR(_xlfn.TEXTBEFORE(AUTO_Public_TSV_FileList!$A$1:$A$1000,".tsv"),"")),0)),"notfound")</f>
        <v>10.1002%2Far.a.20278_Table1.tsv</v>
      </c>
      <c r="M168" s="13"/>
      <c r="N168" s="17" t="inlineStr">
        <is>
          <t>PDF; table/figure</t>
        </is>
      </c>
      <c r="O168" s="13"/>
      <c r="P168" s="17" t="inlineStr">
        <is>
          <t>FINISHED</t>
        </is>
      </c>
      <c r="Q168" s="17"/>
      <c r="R168" s="17" t="inlineStr">
        <is>
          <t>https://doi.org/10.1002/ar.a.20278</t>
        </is>
      </c>
      <c r="S168" s="17"/>
      <c r="T168" s="17" t="inlineStr">
        <is>
          <t>overlapping publication lineage; retain specimen and source-level provenance</t>
        </is>
      </c>
      <c r="U168" s="17"/>
      <c r="V168" s="17" t="inlineStr">
        <is>
          <t>cortical pyramidal-neuron morphology</t>
        </is>
      </c>
      <c r="W168" s="17" t="inlineStr">
        <is>
          <t>Primates</t>
        </is>
      </c>
      <c r="X168" s="17" t="inlineStr">
        <is>
          <t>dendritic morphology; spine measures; sample metadata</t>
        </is>
      </c>
      <c r="Y168" s="17" t="inlineStr">
        <is>
          <t>Comparative primate species × cortical area/region; includes source-letter provenance per value</t>
        </is>
      </c>
      <c r="Z168" s="17"/>
      <c r="AA168" s="17" t="inlineStr">
        <is>
          <t>Golgi or intracellular Lucifer Yellow morphology, as specified in source</t>
        </is>
      </c>
      <c r="AB168" s="17" t="inlineStr">
        <is>
          <t>cell morphology / metadata</t>
        </is>
      </c>
      <c r="AC168" s="17"/>
      <c r="AD168" s="17"/>
      <c r="AE168" s="29" t="inlineStr">
        <is>
          <t>both</t>
        </is>
      </c>
      <c r="AF168" s="29"/>
      <c r="AG168" s="17" t="inlineStr">
        <is>
          <t>Add; highest-priority comparative table. Preserve source footnotes for every cell.</t>
        </is>
      </c>
    </row>
    <row r="169" ht="17" customHeight="1">
      <c r="A169" s="14" t="inlineStr">
        <is>
          <t>Ernest, S. K. M. (2003). Life history characteristics of placental nonvolant mammals. Ecology, 84(12), 3402. https://doi.org/10.1890/02-9002</t>
        </is>
      </c>
      <c r="D169" s="14" t="inlineStr">
        <is>
          <t>Mammal_lifehistories_v2.txt</t>
        </is>
      </c>
      <c r="E169" s="2" t="str">
        <f>SUBSTITUTE(SUBSTITUTE(_xlfn.TEXTBEFORE(A169,","), "-", ""), " ", "")</f>
        <v>Ernest</v>
      </c>
      <c r="F169" s="7"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9" s="7" t="str">
        <f>_xlfn.TEXTBEFORE(_xlfn.TEXTAFTER(A169, "("), ")")</f>
        <v>2003</v>
      </c>
      <c r="H169" s="2" t="str">
        <f>E169 &amp; IF(F169&lt;&gt;"", "_" &amp; SUBSTITUTE(F169," ",""), "_") &amp; IF(G169&lt;&gt;"", "_" &amp; G169, "_") &amp; IF(B169&lt;&gt;"", "_" &amp; B169, "")</f>
        <v>Ernest__2003</v>
      </c>
      <c r="I169" s="2" t="str">
        <f>_xlfn.LET(_xlpm.doi,IF(C169&lt;&gt;"",C169,_xlfn.TEXTAFTER(A169,"https://doi.org/")),SUBSTITUTE(SUBSTITUTE(SUBSTITUTE(SUBSTITUTE(_xlpm.doi,"/","%2F"),":","%3A"),"&lt;","%3C"),"&gt;","%3E"))</f>
        <v>10.1890%2F02-9002</v>
      </c>
      <c r="J169" s="2" t="str">
        <f>TRIM(_xlfn.TEXTJOIN("_",FALSE(),H169,(SUBSTITUTE(SUBSTITUTE(D169," ",""), "_", ""))))</f>
        <v>Ernest__2003_Mammallifehistoriesv2.txt</v>
      </c>
      <c r="K169" s="7" t="str">
        <f>I169 &amp; "_" &amp; SUBSTITUTE(SUBSTITUTE(SUBSTITUTE(D169,CHAR(160),"")," ",""),"_","")</f>
        <v>10.1890%2F02-9002_Mammallifehistoriesv2.txt</v>
      </c>
      <c r="L169" s="7" t="str">
        <f t="array" ref="L169">IFERROR(INDEX(AUTO_Public_TSV_FileList!$A$1:$A$1000,MATCH(TRUE(),EXACT(K169,IFERROR(_xlfn.TEXTBEFORE(AUTO_Public_TSV_FileList!$A$1:$A$1000,".tsv"),"")),0)),"notfound")</f>
        <v>10.1890%2F02-9002_Mammallifehistoriesv2.txt.tsv</v>
      </c>
      <c r="M169" s="14" t="inlineStr">
        <is>
          <t>Life history characteristics of placental non-volant mammals (Ecological Archives E084-093-D1)</t>
        </is>
      </c>
      <c r="N169" s="14" t="inlineStr">
        <is>
          <t>database export (tab-delimited txt), Ecological Archives data paper</t>
        </is>
      </c>
      <c r="O169" s="14" t="inlineStr">
        <is>
          <t>Digital-native: download copy-renamed untouched to _snapshot.tsv; metadata.htm kept as the bibliography/definitions source. All 9 published authentication sums reproduced exactly. Feeds Amniote (Myhrvold 2015, ~14,500 records cited as "Ernest et al., 2003") and AnAge.</t>
        </is>
      </c>
      <c r="P169" s="14" t="inlineStr">
        <is>
          <t>BUILT (R run 2026-10-23; public TSV written)</t>
        </is>
      </c>
      <c r="Q169" s="14" t="inlineStr">
        <is>
          <t>Ernest__2003_Mammallifehistoriesv2.txt_snapshot.tsv</t>
        </is>
      </c>
      <c r="R169" s="14" t="inlineStr">
        <is>
          <t>https://esapubs.org/archive/ecol/E084/093/</t>
        </is>
      </c>
      <c r="S169" s="14"/>
      <c r="T169" s="14" t="inlineStr">
        <is>
          <t>Adult mass = female mass for dimorphic species; AFR = age at first conception (excludes gestation); refs are row-level, not per variable</t>
        </is>
      </c>
      <c r="U169" s="14"/>
      <c r="V169" s="14" t="inlineStr">
        <is>
          <t>life history</t>
        </is>
      </c>
      <c r="W169" s="14" t="inlineStr">
        <is>
          <t>Mammalia: placental non-volant (17 orders, 1,440 species)</t>
        </is>
      </c>
      <c r="X169" s="14" t="inlineStr">
        <is>
          <t>adult body mass; gestation; newborn mass; weaning age; weaning mass; age at first reproduction; maximum lifespan; litter size; litters per year</t>
        </is>
      </c>
      <c r="Y169" s="14"/>
      <c r="Z169" s="14"/>
      <c r="AA169" s="14" t="inlineStr">
        <is>
          <t>literature compilation; unweighted mean across numbered sources per species</t>
        </is>
      </c>
      <c r="AB169" s="14" t="inlineStr">
        <is>
          <t>mass (g); time (months); count; rate (per year)</t>
        </is>
      </c>
      <c r="AC169" s="14"/>
      <c r="AD169" s="14"/>
      <c r="AE169" s="14" t="inlineStr">
        <is>
          <t>secondary</t>
        </is>
      </c>
      <c r="AF169" s="14" t="inlineStr">
        <is>
          <t>29 numbered literature sources (reference_tables/..._references.csv); ref 1 = Hayssen &amp; Van Tienhoven 1993 (Asdell's)</t>
        </is>
      </c>
      <c r="AG169" s="14" t="inlineStr">
        <is>
          <t>Comparison source for Amniote/AnAge mammal values; not for merge as primary</t>
        </is>
      </c>
      <c r="AH169" t="inlineStr">
        <is>
          <t>Not applicable: tabulated and digital already</t>
        </is>
      </c>
    </row>
    <row r="170" ht="17" customHeight="1">
      <c r="A170" s="13" t="inlineStr">
        <is>
          <t>Falcone, C., Wolf-Ochoa, M., Amina, S., Hong, T., Vakilzadeh, G., Hopkins, W. D., Hof, P. R., Sherwood, C. C., Manger, P. R., Noctor, S. C., &amp; Martínez-Cerdeño, V. (2019). Cortical interlaminar astrocytes across the therian mammal radiation. J Comp Neurol, 527(10), 1654-1674. https://doi.org/10.1002/cne.24605</t>
        </is>
      </c>
      <c r="B170" s="18"/>
      <c r="C170" s="18"/>
      <c r="D170" s="1" t="inlineStr">
        <is>
          <t>TABLE 1</t>
        </is>
      </c>
      <c r="E170" s="10" t="str">
        <f>SUBSTITUTE(SUBSTITUTE(_xlfn.TEXTBEFORE(A170,","), "-", ""), " ", "")</f>
        <v>Falcone</v>
      </c>
      <c r="F170" s="1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10" t="str">
        <f>_xlfn.TEXTBEFORE(_xlfn.TEXTAFTER(A170, "("), ")")</f>
        <v>2019</v>
      </c>
      <c r="H170" s="10" t="str">
        <f>E170 &amp; IF(F170&lt;&gt;"", "_" &amp; SUBSTITUTE(F170," ",""), "_") &amp; IF(G170&lt;&gt;"", "_" &amp; G170, "_") &amp; IF(B170&lt;&gt;"", "_" &amp; B170, "")</f>
        <v>Falcone_etal_2019</v>
      </c>
      <c r="I170" s="10" t="str">
        <f>_xlfn.LET(
_xlpm.doi,IF(C170&lt;&gt;"",C170,_xlfn.TEXTAFTER(A170,"https://doi.org/")),
SUBSTITUTE(
SUBSTITUTE(
SUBSTITUTE(
SUBSTITUTE(
_xlpm.doi,
"/","%2F"),
":","%3A"),
"&lt;","%3C"),
"&gt;","%3E")
)</f>
        <v>10.1002%2Fcne.24605</v>
      </c>
      <c r="J170" s="10" t="str">
        <f>TRIM(_xlfn.TEXTJOIN("_",FALSE(),H170,(SUBSTITUTE(SUBSTITUTE(D170," ",""), "_", ""))))</f>
        <v>Falcone_etal_2019_TABLE1</v>
      </c>
      <c r="K170" s="10" t="str">
        <f>I170 &amp; "_" &amp; SUBSTITUTE(SUBSTITUTE(SUBSTITUTE(D170,CHAR(160),"")," ",""),"_","")</f>
        <v>10.1002%2Fcne.24605_TABLE1</v>
      </c>
      <c r="L170" s="10" t="str">
        <f t="array" ref="L170">IFERROR(INDEX(AUTO_Public_TSV_FileList!$A$1:$A$1000,MATCH(TRUE(),EXACT(K170,IFERROR(_xlfn.TEXTBEFORE(AUTO_Public_TSV_FileList!$A$1:$A$1000,".tsv"),"")),0)),"notfound")</f>
        <v>10.1002%2Fcne.24605_TABLE1.tsv</v>
      </c>
      <c r="M170" s="1" t="inlineStr">
        <is>
          <t>TABLE 1 Pial and subpial ILA presence in mammalian species analyzed. Highlighted in red are the species where proper subpial ILA are present</t>
        </is>
      </c>
      <c r="N170" s="13"/>
      <c r="O170" s="13"/>
      <c r="P170" s="1" t="inlineStr">
        <is>
          <t>FINISHED</t>
        </is>
      </c>
      <c r="Q170" s="13"/>
      <c r="R170" s="13"/>
      <c r="S170" s="13"/>
      <c r="T170" s="13"/>
      <c r="U170" s="13"/>
      <c r="V170" s="13"/>
      <c r="W170" s="1" t="inlineStr">
        <is>
          <t>Primates &amp; other mammals</t>
        </is>
      </c>
      <c r="X170" s="1" t="inlineStr">
        <is>
          <t>interlaminar astrocyte morphology</t>
        </is>
      </c>
      <c r="Y170" s="13"/>
      <c r="Z170" s="13"/>
      <c r="AA170" s="13"/>
      <c r="AB170" s="1" t="inlineStr">
        <is>
          <t>cell morphology (interlaminar astrocytes)</t>
        </is>
      </c>
      <c r="AC170" s="13"/>
      <c r="AD170" s="13"/>
      <c r="AE170" s="1" t="inlineStr">
        <is>
          <t>primary</t>
        </is>
      </c>
      <c r="AF170" s="1"/>
      <c r="AG170" s="13"/>
    </row>
    <row r="171" ht="17" customHeight="1">
      <c r="A171" s="13" t="inlineStr">
        <is>
          <t>Falcone, C., Wolf-Ochoa, M., Amina, S., Hong, T., Vakilzadeh, G., Hopkins, W. D., Hof, P. R., Sherwood, C. C., Manger, P. R., Noctor, S. C., &amp; Martínez-Cerdeño, V. (2019). Cortical interlaminar astrocytes across the therian mammal radiation. J Comp Neurol, 527(10), 1654-1674. https://doi.org/10.1002/cne.24605</t>
        </is>
      </c>
      <c r="D171" s="1" t="inlineStr">
        <is>
          <t>TABLE 2</t>
        </is>
      </c>
      <c r="E171" s="10" t="str">
        <f>SUBSTITUTE(SUBSTITUTE(_xlfn.TEXTBEFORE(A171,","), "-", ""), " ", "")</f>
        <v>Falcone</v>
      </c>
      <c r="F171" s="10"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10" t="str">
        <f>_xlfn.TEXTBEFORE(_xlfn.TEXTAFTER(A171, "("), ")")</f>
        <v>2019</v>
      </c>
      <c r="H171" s="10" t="str">
        <f>E171 &amp; IF(F171&lt;&gt;"", "_" &amp; SUBSTITUTE(F171," ",""), "_") &amp; IF(G171&lt;&gt;"", "_" &amp; G171, "_") &amp; IF(B171&lt;&gt;"", "_" &amp; B171, "")</f>
        <v>Falcone_etal_2019</v>
      </c>
      <c r="I171" s="10" t="str">
        <f>_xlfn.LET(
_xlpm.doi,IF(C171&lt;&gt;"",C171,_xlfn.TEXTAFTER(A171,"https://doi.org/")),
SUBSTITUTE(
SUBSTITUTE(
SUBSTITUTE(
SUBSTITUTE(
_xlpm.doi,
"/","%2F"),
":","%3A"),
"&lt;","%3C"),
"&gt;","%3E")
)</f>
        <v>10.1002%2Fcne.24605</v>
      </c>
      <c r="J171" s="10" t="str">
        <f>TRIM(_xlfn.TEXTJOIN("_",FALSE(),H171,(SUBSTITUTE(SUBSTITUTE(D171," ",""), "_", ""))))</f>
        <v>Falcone_etal_2019_TABLE2</v>
      </c>
      <c r="K171" s="10" t="str">
        <f>I171 &amp; "_" &amp; SUBSTITUTE(SUBSTITUTE(SUBSTITUTE(D171,CHAR(160),"")," ",""),"_","")</f>
        <v>10.1002%2Fcne.24605_TABLE2</v>
      </c>
      <c r="L171" s="10" t="str">
        <f t="array" ref="L171">IFERROR(INDEX(AUTO_Public_TSV_FileList!$A$1:$A$1000,MATCH(TRUE(),EXACT(K171,IFERROR(_xlfn.TEXTBEFORE(AUTO_Public_TSV_FileList!$A$1:$A$1000,".tsv"),"")),0)),"notfound")</f>
        <v>10.1002%2Fcne.24605_TABLE2.tsv</v>
      </c>
      <c r="M171" s="1" t="inlineStr">
        <is>
          <t>TABLE 2 ILA linear density, number of primary processes, number of total processes, total length, and complexity, of mammalian species analyzed</t>
        </is>
      </c>
      <c r="N171" s="13"/>
      <c r="O171" s="13"/>
      <c r="P171" s="1" t="inlineStr">
        <is>
          <t>FINISHED</t>
        </is>
      </c>
      <c r="Q171" s="13"/>
      <c r="R171" s="13"/>
      <c r="S171" s="13"/>
      <c r="T171" s="13"/>
      <c r="U171" s="13"/>
      <c r="V171" s="13"/>
      <c r="W171" s="1" t="inlineStr">
        <is>
          <t>Primates &amp; other mammals</t>
        </is>
      </c>
      <c r="X171" s="1" t="inlineStr">
        <is>
          <t>interlaminar astrocyte morphology</t>
        </is>
      </c>
      <c r="Y171" s="13"/>
      <c r="Z171" s="13"/>
      <c r="AA171" s="13"/>
      <c r="AB171" s="1" t="inlineStr">
        <is>
          <t>cell morphology (interlaminar astrocytes)</t>
        </is>
      </c>
      <c r="AC171" s="13"/>
      <c r="AD171" s="13"/>
      <c r="AE171" s="1" t="inlineStr">
        <is>
          <t>primary</t>
        </is>
      </c>
      <c r="AF171" s="1"/>
      <c r="AG171" s="13"/>
    </row>
    <row r="172" ht="17" customHeight="1">
      <c r="A172" s="9" t="inlineStr">
        <is>
          <t>Felleman, D. J., &amp; Van Essen, D. C. (1991). Distributed hierarchical processing in the primate cerebral cortex. Cerebral Cortex, 1(1), 1-47. https://doi.org/10.1093/cercor/1.1.1</t>
        </is>
      </c>
      <c r="D172" s="9" t="inlineStr">
        <is>
          <t>Table 2</t>
        </is>
      </c>
      <c r="E172" s="2" t="str">
        <f>SUBSTITUTE(SUBSTITUTE(_xlfn.TEXTBEFORE(A172,","), "-", ""), " ", "")</f>
        <v>Felleman</v>
      </c>
      <c r="F172" s="7"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2" s="7" t="str">
        <f>_xlfn.TEXTBEFORE(_xlfn.TEXTAFTER(A172, "("), ")")</f>
        <v>1991</v>
      </c>
      <c r="H172" s="2" t="str">
        <f>E172 &amp; IF(F172&lt;&gt;"", "_" &amp; SUBSTITUTE(F172," ",""), "_") &amp; IF(G172&lt;&gt;"", "_" &amp; G172, "_") &amp; IF(B172&lt;&gt;"", "_" &amp; B172, "")</f>
        <v>Felleman__1991</v>
      </c>
      <c r="I172" s="2" t="str">
        <f>_xlfn.LET(_xlpm.doi,IF(C172&lt;&gt;"",C172,_xlfn.TEXTAFTER(A172,"https://doi.org/")),SUBSTITUTE(SUBSTITUTE(SUBSTITUTE(SUBSTITUTE(_xlpm.doi,"/","%2F"),":","%3A"),"&lt;","%3C"),"&gt;","%3E"))</f>
        <v>10.1093%2Fcercor%2F1.1.1</v>
      </c>
      <c r="J172" s="2" t="str">
        <f>TRIM(_xlfn.TEXTJOIN("_",FALSE(),H172,(SUBSTITUTE(SUBSTITUTE(D172," ",""), "_", ""))))</f>
        <v>Felleman__1991_Table2</v>
      </c>
      <c r="K172" s="7" t="str">
        <f>I172 &amp; "_" &amp; SUBSTITUTE(SUBSTITUTE(SUBSTITUTE(D172,CHAR(160),"")," ",""),"_","")</f>
        <v>10.1093%2Fcercor%2F1.1.1_Table2</v>
      </c>
      <c r="L172" s="7" t="str">
        <f t="array" ref="L172">IFERROR(INDEX(AUTO_Public_TSV_FileList!$A$1:$A$1000,MATCH(TRUE(),EXACT(K172,IFERROR(_xlfn.TEXTBEFORE(AUTO_Public_TSV_FileList!$A$1:$A$1000,".tsv"),"")),0)),"notfound")</f>
        <v>10.1093%2Fcercor%2F1.1.1_Table2.tsv</v>
      </c>
      <c r="M172" s="9"/>
      <c r="N172" s="9" t="inlineStr">
        <is>
          <t>PDF; manually transcribed two-page printed table</t>
        </is>
      </c>
      <c r="O172" s="9" t="inlineStr">
        <is>
          <t>One synthetic/composite macaque hemisphere map; source states individual-area estimates are accurate only to about a factor of two.</t>
        </is>
      </c>
      <c r="P172" s="9" t="inlineStr">
        <is>
          <t>PREPARED (CSV built; owner registry paste / public TSV pending)</t>
        </is>
      </c>
      <c r="Q172" s="9" t="inlineStr">
        <is>
          <t>Felleman_VanEssen_1991_Table2_snapshot.csv</t>
        </is>
      </c>
      <c r="R172" s="9" t="inlineStr">
        <is>
          <t>https://doi.org/10.1093/cercor/1.1.1</t>
        </is>
      </c>
      <c r="S172" s="9" t="inlineStr">
        <is>
          <t>Retained Macaca sp.; source does not identify species. Component/total mismatch documented, not corrected.</t>
        </is>
      </c>
      <c r="T172" s="9" t="inlineStr">
        <is>
          <t>Printed listed neocortical components sum 200 mm² below printed total neocortex.</t>
        </is>
      </c>
      <c r="U172" s="9"/>
      <c r="V172" s="9" t="inlineStr">
        <is>
          <t>cortical surface area; visual cortex</t>
        </is>
      </c>
      <c r="W172" s="9" t="inlineStr">
        <is>
          <t>Macaca sp.</t>
        </is>
      </c>
      <c r="X172" s="9" t="inlineStr">
        <is>
          <t>about 60 cortical areas and totals in mm² and percent of visual/neocortical/cerebral cortex</t>
        </is>
      </c>
      <c r="Y172" s="9" t="inlineStr">
        <is>
          <t>visual hierarchy grouping</t>
        </is>
      </c>
      <c r="Z172" s="9" t="inlineStr">
        <is>
          <t>secondary cortical map synthesis</t>
        </is>
      </c>
      <c r="AA172" s="9" t="inlineStr">
        <is>
          <t>surface measurements from Figure 2 two-dimensional map</t>
        </is>
      </c>
      <c r="AB172" s="9" t="inlineStr">
        <is>
          <t>surface area mm2; percent</t>
        </is>
      </c>
      <c r="AC172" s="9"/>
      <c r="AD172" s="9"/>
      <c r="AE172" s="9" t="inlineStr">
        <is>
          <t>secondary</t>
        </is>
      </c>
      <c r="AF172" s="9" t="inlineStr">
        <is>
          <t>Composite map and areal boundaries synthesized from prior publications cited in the paper, including Van Essen &amp; Maunsell (1980).</t>
        </is>
      </c>
      <c r="AG172" s="9"/>
    </row>
    <row r="173" ht="17" customHeight="1">
      <c r="A173" s="9" t="inlineStr">
        <is>
          <t>Felleman, D. J., &amp; Van Essen, D. C. (1991). Distributed hierarchical processing in the primate cerebral cortex. Cerebral Cortex, 1(1), 1-47. https://doi.org/10.1093/cercor/1.1.1</t>
        </is>
      </c>
      <c r="D173" s="9" t="inlineStr">
        <is>
          <t>Table 3</t>
        </is>
      </c>
      <c r="E173" s="10" t="str">
        <f>SUBSTITUTE(SUBSTITUTE(_xlfn.TEXTBEFORE(A173,","), "-", ""), " ", "")</f>
        <v>Felleman</v>
      </c>
      <c r="F173" s="10"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3" s="10" t="str">
        <f>_xlfn.TEXTBEFORE(_xlfn.TEXTAFTER(A173, "("), ")")</f>
        <v>1991</v>
      </c>
      <c r="H173" s="10" t="str">
        <f>E173 &amp; IF(F173&lt;&gt;"", "_" &amp; SUBSTITUTE(F173," ",""), "_") &amp; IF(G173&lt;&gt;"", "_" &amp; G173, "_") &amp; IF(B173&lt;&gt;"", "_" &amp; B173, "")</f>
        <v>Felleman__1991</v>
      </c>
      <c r="I173" s="10" t="str">
        <f>_xlfn.LET(
_xlpm.doi,IF(C173&lt;&gt;"",C173,_xlfn.TEXTAFTER(A173,"https://doi.org/")),
SUBSTITUTE(
SUBSTITUTE(
SUBSTITUTE(
SUBSTITUTE(
_xlpm.doi,
"/","%2F"),
":","%3A"),
"&lt;","%3C"),
"&gt;","%3E")
)</f>
        <v>10.1093%2Fcercor%2F1.1.1</v>
      </c>
      <c r="J173" s="10" t="str">
        <f>TRIM(_xlfn.TEXTJOIN("_",FALSE(),H173,(SUBSTITUTE(SUBSTITUTE(D173," ",""), "_", ""))))</f>
        <v>Felleman__1991_Table3</v>
      </c>
      <c r="K173" s="10" t="str">
        <f>I173 &amp; "_" &amp; SUBSTITUTE(SUBSTITUTE(SUBSTITUTE(D173,CHAR(160),"")," ",""),"_","")</f>
        <v>10.1093%2Fcercor%2F1.1.1_Table3</v>
      </c>
      <c r="L173" s="10" t="str">
        <f t="array" ref="L173">IFERROR(INDEX(AUTO_Public_TSV_FileList!$A$1:$A$1000,MATCH(TRUE(),EXACT(K173,IFERROR(_xlfn.TEXTBEFORE(AUTO_Public_TSV_FileList!$A$1:$A$1000,".tsv"),"")),0)),"notfound")</f>
        <v>10.1093%2Fcercor%2F1.1.1_Table3.tsv</v>
      </c>
      <c r="M173" s="9" t="inlineStr">
        <is>
          <t>Table 3 Matrix of connections in visual cortex</t>
        </is>
      </c>
      <c r="N173" s="9"/>
      <c r="O173" s="9"/>
      <c r="P173" s="9"/>
      <c r="Q173" s="9"/>
      <c r="R173" s="9"/>
      <c r="S173" s="9"/>
      <c r="T173" s="9"/>
      <c r="U173" s="9"/>
      <c r="V173" s="9"/>
      <c r="W173" s="9"/>
      <c r="X173" s="9"/>
      <c r="Y173" s="9"/>
      <c r="Z173" s="9"/>
      <c r="AA173" s="9"/>
      <c r="AB173" s="9"/>
      <c r="AC173" s="9"/>
      <c r="AD173" s="9"/>
      <c r="AE173" s="9"/>
      <c r="AF173" s="9"/>
      <c r="AG173" s="9" t="inlineStr">
        <is>
          <t>this is all symbols. The snapshot should keep the symbols, but then the next step needs to be converted into a readable data type</t>
        </is>
      </c>
    </row>
    <row r="174" ht="17" customHeight="1">
      <c r="A174" s="9" t="inlineStr">
        <is>
          <t>Felleman, D. J., &amp; Van Essen, D. C. (1991). Distributed hierarchical processing in the primate cerebral cortex. Cerebral Cortex, 1(1), 1-47. https://doi.org/10.1093/cercor/1.1.1</t>
        </is>
      </c>
      <c r="D174" s="9" t="inlineStr">
        <is>
          <t>Table 5</t>
        </is>
      </c>
      <c r="E174" s="10" t="str">
        <f>SUBSTITUTE(SUBSTITUTE(_xlfn.TEXTBEFORE(A174,","), "-", ""), " ", "")</f>
        <v>Felleman</v>
      </c>
      <c r="F174" s="10"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4" s="10" t="str">
        <f>_xlfn.TEXTBEFORE(_xlfn.TEXTAFTER(A174, "("), ")")</f>
        <v>1991</v>
      </c>
      <c r="H174" s="10" t="str">
        <f>E174 &amp; IF(F174&lt;&gt;"", "_" &amp; SUBSTITUTE(F174," ",""), "_") &amp; IF(G174&lt;&gt;"", "_" &amp; G174, "_") &amp; IF(B174&lt;&gt;"", "_" &amp; B174, "")</f>
        <v>Felleman__1991</v>
      </c>
      <c r="I174" s="10" t="str">
        <f>_xlfn.LET(
_xlpm.doi,IF(C174&lt;&gt;"",C174,_xlfn.TEXTAFTER(A174,"https://doi.org/")),
SUBSTITUTE(
SUBSTITUTE(
SUBSTITUTE(
SUBSTITUTE(
_xlpm.doi,
"/","%2F"),
":","%3A"),
"&lt;","%3C"),
"&gt;","%3E")
)</f>
        <v>10.1093%2Fcercor%2F1.1.1</v>
      </c>
      <c r="J174" s="10" t="str">
        <f>TRIM(_xlfn.TEXTJOIN("_",FALSE(),H174,(SUBSTITUTE(SUBSTITUTE(D174," ",""), "_", ""))))</f>
        <v>Felleman__1991_Table5</v>
      </c>
      <c r="K174" s="10" t="str">
        <f>I174 &amp; "_" &amp; SUBSTITUTE(SUBSTITUTE(SUBSTITUTE(D174,CHAR(160),"")," ",""),"_","")</f>
        <v>10.1093%2Fcercor%2F1.1.1_Table5</v>
      </c>
      <c r="L174" s="10" t="str">
        <f t="array" ref="L174">IFERROR(INDEX(AUTO_Public_TSV_FileList!$A$1:$A$1000,MATCH(TRUE(),EXACT(K174,IFERROR(_xlfn.TEXTBEFORE(AUTO_Public_TSV_FileList!$A$1:$A$1000,".tsv"),"")),0)),"notfound")</f>
        <v>10.1093%2Fcercor%2F1.1.1_Table5.tsv</v>
      </c>
      <c r="M174" s="9" t="inlineStr">
        <is>
          <t>Table 5 Connectivity table lor visual areas</t>
        </is>
      </c>
      <c r="N174" s="9"/>
      <c r="O174" s="9"/>
      <c r="P174" s="9"/>
      <c r="Q174" s="9"/>
      <c r="R174" s="9"/>
      <c r="S174" s="9"/>
      <c r="T174" s="9"/>
      <c r="U174" s="9"/>
      <c r="V174" s="9"/>
      <c r="W174" s="9"/>
      <c r="X174" s="9"/>
      <c r="Y174" s="9"/>
      <c r="Z174" s="9"/>
      <c r="AA174" s="9"/>
      <c r="AB174" s="9"/>
      <c r="AC174" s="9"/>
      <c r="AD174" s="9"/>
      <c r="AE174" s="9"/>
      <c r="AF174" s="9"/>
      <c r="AG174" s="9"/>
    </row>
    <row r="175" ht="17" customHeight="1">
      <c r="A175" s="1" t="inlineStr">
        <is>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is>
      </c>
      <c r="D175" s="1" t="inlineStr">
        <is>
          <t>Table 6.1</t>
        </is>
      </c>
      <c r="E175" s="10" t="str">
        <f>SUBSTITUTE(SUBSTITUTE(_xlfn.TEXTBEFORE(A175,","), "-", ""), " ", "")</f>
        <v>Finlay</v>
      </c>
      <c r="F175" s="10"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10" t="str">
        <f>_xlfn.TEXTBEFORE(_xlfn.TEXTAFTER(A175, "("), ")")</f>
        <v>2006</v>
      </c>
      <c r="H175" s="10" t="str">
        <f>E175 &amp; IF(F175&lt;&gt;"", "_" &amp; SUBSTITUTE(F175," ",""), "_") &amp; IF(G175&lt;&gt;"", "_" &amp; G175, "_") &amp; IF(B175&lt;&gt;"", "_" &amp; B175, "")</f>
        <v>Finlay_etal_2006</v>
      </c>
      <c r="I175" s="10" t="str">
        <f>_xlfn.LET(
_xlpm.doi,IF(C175&lt;&gt;"",C175,_xlfn.TEXTAFTER(A175,"https://doi.org/")),
SUBSTITUTE(
SUBSTITUTE(
SUBSTITUTE(
SUBSTITUTE(
_xlpm.doi,
"/","%2F"),
":","%3A"),
"&lt;","%3C"),
"&gt;","%3E")
)</f>
        <v>10.1093%2Foso%2F9780198568742.003.0006</v>
      </c>
      <c r="J175" s="10" t="str">
        <f>TRIM(_xlfn.TEXTJOIN("_",FALSE(),H175,(SUBSTITUTE(SUBSTITUTE(D175," ",""), "_", ""))))</f>
        <v>Finlay_etal_2006_Table6.1</v>
      </c>
      <c r="K175" s="10" t="str">
        <f>I175 &amp; "_" &amp; SUBSTITUTE(SUBSTITUTE(SUBSTITUTE(D175,CHAR(160),"")," ",""),"_","")</f>
        <v>10.1093%2Foso%2F9780198568742.003.0006_Table6.1</v>
      </c>
      <c r="L175" s="10" t="str">
        <f t="array" ref="L175">IFERROR(INDEX(AUTO_Public_TSV_FileList!$A$1:$A$1000,MATCH(TRUE(),EXACT(K175,IFERROR(_xlfn.TEXTBEFORE(AUTO_Public_TSV_FileList!$A$1:$A$1000,".tsv"),"")),0)),"notfound")</f>
        <v>10.1093%2Foso%2F9780198568742.003.0006_Table6.1.tsv</v>
      </c>
      <c r="M175" s="13"/>
      <c r="N175" s="1" t="inlineStr">
        <is>
          <t>table</t>
        </is>
      </c>
      <c r="O175" s="13"/>
      <c r="P175" s="1" t="inlineStr">
        <is>
          <t>FINISHED</t>
        </is>
      </c>
      <c r="Q175" s="1"/>
      <c r="R175" s="1" t="inlineStr">
        <is>
          <t>https://www.researchgate.net/publication/299027052_Developmental_constraints_on_or_developmental_structure_in_brain_evolution</t>
        </is>
      </c>
      <c r="S175" s="13"/>
      <c r="T175" s="13"/>
      <c r="U175" s="13" t="inlineStr">
        <is>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is>
      </c>
      <c r="V175" s="1"/>
      <c r="W175" s="1" t="inlineStr">
        <is>
          <t>Mammals</t>
        </is>
      </c>
      <c r="X175" s="1" t="inlineStr">
        <is>
          <t>cerebral cortex surface area and number of areas (broadly defined)</t>
        </is>
      </c>
      <c r="Y175" s="13"/>
      <c r="Z175" s="13"/>
      <c r="AA175" s="13"/>
      <c r="AB175" s="1" t="inlineStr">
        <is>
          <t>cortical surface area / volume</t>
        </is>
      </c>
      <c r="AC175" s="13"/>
      <c r="AD175" s="13"/>
      <c r="AE175" s="1" t="inlineStr">
        <is>
          <t>secondary</t>
        </is>
      </c>
      <c r="AF175" s="1"/>
      <c r="AG175" s="1" t="inlineStr">
        <is>
          <t>summary to check more precise areas from ProjectKaskan</t>
        </is>
      </c>
    </row>
    <row r="176" ht="17" customHeight="1">
      <c r="A176" s="9" t="inlineStr">
        <is>
          <t>Flydal, K., Hermansen, A., Enger, P. S., &amp; Reimers, E. (2001). Hearing in reindeer (Rangifer tarandus). J Comp Physiol A, 187, 265-269. https://doi.org/10.1007/s003590100198</t>
        </is>
      </c>
      <c r="D176" s="9" t="inlineStr">
        <is>
          <t>Table 2</t>
        </is>
      </c>
      <c r="E176" s="11" t="str">
        <f>SUBSTITUTE(SUBSTITUTE(_xlfn.TEXTBEFORE(A176,","), "-", ""), " ", "")</f>
        <v>Flydal</v>
      </c>
      <c r="F176" s="10"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10" t="str">
        <f>_xlfn.TEXTBEFORE(_xlfn.TEXTAFTER(A176, "("), ")")</f>
        <v>2001</v>
      </c>
      <c r="H176" s="11" t="str">
        <f>E176 &amp; IF(F176&lt;&gt;"", "_" &amp; SUBSTITUTE(F176," ",""), "_") &amp; IF(G176&lt;&gt;"", "_" &amp; G176, "_") &amp; IF(B176&lt;&gt;"", "_" &amp; B176, "")</f>
        <v>Flydal_etal_2001</v>
      </c>
      <c r="I176" s="11" t="str">
        <f>_xlfn.LET(_xlpm.doi,IF(C176&lt;&gt;"",C176,_xlfn.TEXTAFTER(A176,"https://doi.org/")),SUBSTITUTE(SUBSTITUTE(SUBSTITUTE(SUBSTITUTE(_xlpm.doi,"/","%2F"),":","%3A"),"&lt;","%3C"),"&gt;","%3E"))</f>
        <v>10.1007%2Fs003590100198</v>
      </c>
      <c r="J176" s="11" t="str">
        <f>TRIM(_xlfn.TEXTJOIN("_",FALSE(),H176,(SUBSTITUTE(SUBSTITUTE(D176," ",""), "_", ""))))</f>
        <v>Flydal_etal_2001_Table2</v>
      </c>
      <c r="K176" s="10" t="str">
        <f>I176 &amp; "_" &amp; SUBSTITUTE(SUBSTITUTE(SUBSTITUTE(D176,CHAR(160),"")," ",""),"_","")</f>
        <v>10.1007%2Fs003590100198_Table2</v>
      </c>
      <c r="L176" s="10" t="str">
        <f t="array" ref="L176">IFERROR(INDEX(AUTO_Public_TSV_FileList!$A$1:$A$1000,MATCH(TRUE(),EXACT(K176,IFERROR(_xlfn.TEXTBEFORE(AUTO_Public_TSV_FileList!$A$1:$A$1000,".tsv"),"")),0)),"notfound")</f>
        <v>10.1007%2Fs003590100198_Table2.tsv</v>
      </c>
      <c r="M176" s="9" t="inlineStr">
        <is>
          <t>Individual hearing thresholds with sound from front and behind the animal (2 reindeer, 11 frequencies)</t>
        </is>
      </c>
      <c r="N176" s="9" t="inlineStr">
        <is>
          <t>PDF table</t>
        </is>
      </c>
      <c r="O176" s="9" t="inlineStr">
        <is>
          <t>Registry row added 2026-09-27. Built same day: snapshot/CSV/R/README/definitions uploaded; public TSV upload pending (connector timeout, retry later).</t>
        </is>
      </c>
      <c r="P176" s="9" t="inlineStr">
        <is>
          <t>BUILT (TSV upload pending)</t>
        </is>
      </c>
      <c r="Q176" s="9"/>
      <c r="R176" s="9"/>
      <c r="S176" s="9"/>
      <c r="T176" s="9"/>
      <c r="U176" s="9"/>
      <c r="V176" s="9"/>
      <c r="W176" s="9"/>
      <c r="X176" s="9"/>
      <c r="Y176" s="9"/>
      <c r="Z176" s="9"/>
      <c r="AA176" s="9"/>
      <c r="AB176" s="9"/>
      <c r="AC176" s="9"/>
      <c r="AD176" s="9"/>
      <c r="AE176" s="9"/>
      <c r="AF176" s="9"/>
      <c r="AG176" s="9"/>
    </row>
    <row r="177" ht="17" customHeight="1">
      <c r="A177" s="1" t="inlineStr">
        <is>
          <t>Fobbs, A. J., Jr., &amp; Johnson, J. I. (2011). Brain collections at the National Museum of Health and Medicine. Ann N Y Acad Sci, 1225 Suppl 1(S1), E20-29. https://doi.org/10.1111/j.1749-6632.2011.06036.x</t>
        </is>
      </c>
      <c r="D177" s="1" t="inlineStr">
        <is>
          <t>Table S1 a</t>
        </is>
      </c>
      <c r="E177" s="10" t="str">
        <f>SUBSTITUTE(SUBSTITUTE(_xlfn.TEXTBEFORE(A177,","), "-", ""), " ", "")</f>
        <v>Fobbs</v>
      </c>
      <c r="F177" s="10"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10" t="str">
        <f>_xlfn.TEXTBEFORE(_xlfn.TEXTAFTER(A177, "("), ")")</f>
        <v>2011</v>
      </c>
      <c r="H177" s="10" t="str">
        <f>E177 &amp; IF(F177&lt;&gt;"", "_" &amp; SUBSTITUTE(F177," ",""), "_") &amp; IF(G177&lt;&gt;"", "_" &amp; G177, "_") &amp; IF(B177&lt;&gt;"", "_" &amp; B177, "")</f>
        <v>Fobbs_etal_2011</v>
      </c>
      <c r="I177" s="10" t="str">
        <f>_xlfn.LET(
_xlpm.doi,IF(C177&lt;&gt;"",C177,_xlfn.TEXTAFTER(A177,"https://doi.org/")),
SUBSTITUTE(
SUBSTITUTE(
SUBSTITUTE(
SUBSTITUTE(
_xlpm.doi,
"/","%2F"),
":","%3A"),
"&lt;","%3C"),
"&gt;","%3E")
)</f>
        <v>10.1111%2Fj.1749-6632.2011.06036.x</v>
      </c>
      <c r="J177" s="10" t="str">
        <f>TRIM(_xlfn.TEXTJOIN("_",FALSE(),H177,(SUBSTITUTE(SUBSTITUTE(D177," ",""), "_", ""))))</f>
        <v>Fobbs_etal_2011_TableS1a</v>
      </c>
      <c r="K177" s="10" t="str">
        <f>I177 &amp; "_" &amp; SUBSTITUTE(SUBSTITUTE(SUBSTITUTE(D177,CHAR(160),"")," ",""),"_","")</f>
        <v>10.1111%2Fj.1749-6632.2011.06036.x_TableS1a</v>
      </c>
      <c r="L177" s="10" t="str">
        <f t="array" ref="L177">IFERROR(INDEX(AUTO_Public_TSV_FileList!$A$1:$A$1000,MATCH(TRUE(),EXACT(K177,IFERROR(_xlfn.TEXTBEFORE(AUTO_Public_TSV_FileList!$A$1:$A$1000,".tsv"),"")),0)),"notfound")</f>
        <v>10.1111%2Fj.1749-6632.2011.06036.x_TableS1a.tsv</v>
      </c>
      <c r="M177" s="13" t="inlineStr">
        <is>
          <t>Table S1: Detailed lists of specimens in the Yakovlev-Haleem Collection, useful for studies of vertebrate brain evolution. (A) List of normative control human specimens in sequence by age. (B) List of nonhuman vertebrate specimens.</t>
        </is>
      </c>
      <c r="N177" s="1"/>
      <c r="O177" s="13"/>
      <c r="P177" s="1" t="inlineStr">
        <is>
          <t>FINISHED</t>
        </is>
      </c>
      <c r="Q177" s="1"/>
      <c r="R177" s="1"/>
      <c r="S177" s="13"/>
      <c r="T177" s="13"/>
      <c r="U177" s="13"/>
      <c r="V177" s="1"/>
      <c r="W177" s="1"/>
      <c r="X177" s="1"/>
      <c r="Y177" s="13"/>
      <c r="Z177" s="13"/>
      <c r="AA177" s="13"/>
      <c r="AB177" s="1"/>
      <c r="AC177" s="13"/>
      <c r="AD177" s="13"/>
      <c r="AE177" s="1"/>
      <c r="AF177" s="1"/>
      <c r="AG177" s="1"/>
    </row>
    <row r="178" ht="17" customHeight="1">
      <c r="A178" s="1" t="inlineStr">
        <is>
          <t>Fobbs, A. J., Jr., &amp; Johnson, J. I. (2011). Brain collections at the National Museum of Health and Medicine. Ann N Y Acad Sci, 1225 Suppl 1(S1), E20-29. https://doi.org/10.1111/j.1749-6632.2011.06036.x</t>
        </is>
      </c>
      <c r="B178" s="18"/>
      <c r="C178" s="18"/>
      <c r="D178" s="1" t="inlineStr">
        <is>
          <t>Table S1 b</t>
        </is>
      </c>
      <c r="E178" s="10" t="str">
        <f>SUBSTITUTE(SUBSTITUTE(_xlfn.TEXTBEFORE(A178,","), "-", ""), " ", "")</f>
        <v>Fobbs</v>
      </c>
      <c r="F178" s="10"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10" t="str">
        <f>_xlfn.TEXTBEFORE(_xlfn.TEXTAFTER(A178, "("), ")")</f>
        <v>2011</v>
      </c>
      <c r="H178" s="10" t="str">
        <f>E178 &amp; IF(F178&lt;&gt;"", "_" &amp; SUBSTITUTE(F178," ",""), "_") &amp; IF(G178&lt;&gt;"", "_" &amp; G178, "_") &amp; IF(B178&lt;&gt;"", "_" &amp; B178, "")</f>
        <v>Fobbs_etal_2011</v>
      </c>
      <c r="I178" s="10" t="str">
        <f>_xlfn.LET(
_xlpm.doi,IF(C178&lt;&gt;"",C178,_xlfn.TEXTAFTER(A178,"https://doi.org/")),
SUBSTITUTE(
SUBSTITUTE(
SUBSTITUTE(
SUBSTITUTE(
_xlpm.doi,
"/","%2F"),
":","%3A"),
"&lt;","%3C"),
"&gt;","%3E")
)</f>
        <v>10.1111%2Fj.1749-6632.2011.06036.x</v>
      </c>
      <c r="J178" s="10" t="str">
        <f>TRIM(_xlfn.TEXTJOIN("_",FALSE(),H178,(SUBSTITUTE(SUBSTITUTE(D178," ",""), "_", ""))))</f>
        <v>Fobbs_etal_2011_TableS1b</v>
      </c>
      <c r="K178" s="10" t="str">
        <f>I178 &amp; "_" &amp; SUBSTITUTE(SUBSTITUTE(SUBSTITUTE(D178,CHAR(160),"")," ",""),"_","")</f>
        <v>10.1111%2Fj.1749-6632.2011.06036.x_TableS1b</v>
      </c>
      <c r="L178" s="10" t="str">
        <f t="array" ref="L178">IFERROR(INDEX(AUTO_Public_TSV_FileList!$A$1:$A$1000,MATCH(TRUE(),EXACT(K178,IFERROR(_xlfn.TEXTBEFORE(AUTO_Public_TSV_FileList!$A$1:$A$1000,".tsv"),"")),0)),"notfound")</f>
        <v>10.1111%2Fj.1749-6632.2011.06036.x_TableS1b.tsv</v>
      </c>
      <c r="M178" s="13" t="inlineStr">
        <is>
          <t>Table S1: Detailed lists of specimens in the Yakovlev-Haleem Collection, useful for studies of vertebrate brain evolution. (A) List of normative control human specimens in sequence by age. (B) List of nonhuman vertebrate specimens.</t>
        </is>
      </c>
      <c r="N178" s="1"/>
      <c r="O178" s="13"/>
      <c r="P178" s="1" t="inlineStr">
        <is>
          <t>FINISHED</t>
        </is>
      </c>
      <c r="Q178" s="1"/>
      <c r="R178" s="1"/>
      <c r="S178" s="13"/>
      <c r="T178" s="13"/>
      <c r="U178" s="13"/>
      <c r="V178" s="1"/>
      <c r="W178" s="1"/>
      <c r="X178" s="1"/>
      <c r="Y178" s="13"/>
      <c r="Z178" s="13"/>
      <c r="AA178" s="13"/>
      <c r="AB178" s="1"/>
      <c r="AC178" s="13"/>
      <c r="AD178" s="13"/>
      <c r="AE178" s="1"/>
      <c r="AF178" s="1"/>
      <c r="AG178" s="1"/>
    </row>
    <row r="179" ht="17" customHeight="1">
      <c r="A179" s="1" t="inlineStr">
        <is>
          <t>Fobbs, A. J., Jr., &amp; Johnson, J. I. (2011). Brain collections at the National Museum of Health and Medicine. Ann N Y Acad Sci, 1225 Suppl 1(S1), E20-29. https://doi.org/10.1111/j.1749-6632.2011.06036.x</t>
        </is>
      </c>
      <c r="C179" s="18"/>
      <c r="D179" s="1" t="inlineStr">
        <is>
          <t>Table S2</t>
        </is>
      </c>
      <c r="E179" s="10" t="str">
        <f>SUBSTITUTE(SUBSTITUTE(_xlfn.TEXTBEFORE(A179,","), "-", ""), " ", "")</f>
        <v>Fobbs</v>
      </c>
      <c r="F179" s="10"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10" t="str">
        <f>_xlfn.TEXTBEFORE(_xlfn.TEXTAFTER(A179, "("), ")")</f>
        <v>2011</v>
      </c>
      <c r="H179" s="10" t="str">
        <f>E179 &amp; IF(F179&lt;&gt;"", "_" &amp; SUBSTITUTE(F179," ",""), "_") &amp; IF(G179&lt;&gt;"", "_" &amp; G179, "_") &amp; IF(B179&lt;&gt;"", "_" &amp; B179, "")</f>
        <v>Fobbs_etal_2011</v>
      </c>
      <c r="I179" s="10" t="str">
        <f>_xlfn.LET(
_xlpm.doi,IF(C179&lt;&gt;"",C179,_xlfn.TEXTAFTER(A179,"https://doi.org/")),
SUBSTITUTE(
SUBSTITUTE(
SUBSTITUTE(
SUBSTITUTE(
_xlpm.doi,
"/","%2F"),
":","%3A"),
"&lt;","%3C"),
"&gt;","%3E")
)</f>
        <v>10.1111%2Fj.1749-6632.2011.06036.x</v>
      </c>
      <c r="J179" s="10" t="str">
        <f>TRIM(_xlfn.TEXTJOIN("_",FALSE(),H179,(SUBSTITUTE(SUBSTITUTE(D179," ",""), "_", ""))))</f>
        <v>Fobbs_etal_2011_TableS2</v>
      </c>
      <c r="K179" s="10" t="str">
        <f>I179 &amp; "_" &amp; SUBSTITUTE(SUBSTITUTE(SUBSTITUTE(D179,CHAR(160),"")," ",""),"_","")</f>
        <v>10.1111%2Fj.1749-6632.2011.06036.x_TableS2</v>
      </c>
      <c r="L179" s="10" t="str">
        <f t="array" ref="L179">IFERROR(INDEX(AUTO_Public_TSV_FileList!$A$1:$A$1000,MATCH(TRUE(),EXACT(K179,IFERROR(_xlfn.TEXTBEFORE(AUTO_Public_TSV_FileList!$A$1:$A$1000,".tsv"),"")),0)),"notfound")</f>
        <v>10.1111%2Fj.1749-6632.2011.06036.x_TableS2.tsv</v>
      </c>
      <c r="M179" s="13" t="inlineStr">
        <is>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is>
      </c>
      <c r="N179" s="1"/>
      <c r="O179" s="13"/>
      <c r="P179" s="1" t="inlineStr">
        <is>
          <t>FINISHED</t>
        </is>
      </c>
      <c r="Q179" s="1"/>
      <c r="R179" s="1"/>
      <c r="S179" s="13"/>
      <c r="T179" s="13"/>
      <c r="U179" s="13"/>
      <c r="V179" s="1"/>
      <c r="W179" s="1"/>
      <c r="X179" s="1"/>
      <c r="Y179" s="13"/>
      <c r="Z179" s="13"/>
      <c r="AA179" s="13"/>
      <c r="AB179" s="1"/>
      <c r="AC179" s="13"/>
      <c r="AD179" s="13"/>
      <c r="AE179" s="1"/>
      <c r="AF179" s="1"/>
      <c r="AG179" s="1"/>
    </row>
    <row r="180" ht="17" customHeight="1">
      <c r="A180" s="1" t="inlineStr">
        <is>
          <t>Fobbs, A. J., Jr., &amp; Johnson, J. I. (2011). Brain collections at the National Museum of Health and Medicine. Ann N Y Acad Sci, 1225 Suppl 1(S1), E20-29. https://doi.org/10.1111/j.1749-6632.2011.06036.x</t>
        </is>
      </c>
      <c r="C180" s="18"/>
      <c r="D180" s="1" t="inlineStr">
        <is>
          <t>Table S3</t>
        </is>
      </c>
      <c r="E180" s="10" t="str">
        <f>SUBSTITUTE(SUBSTITUTE(_xlfn.TEXTBEFORE(A180,","), "-", ""), " ", "")</f>
        <v>Fobbs</v>
      </c>
      <c r="F180" s="10"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10" t="str">
        <f>_xlfn.TEXTBEFORE(_xlfn.TEXTAFTER(A180, "("), ")")</f>
        <v>2011</v>
      </c>
      <c r="H180" s="10" t="str">
        <f>E180 &amp; IF(F180&lt;&gt;"", "_" &amp; SUBSTITUTE(F180," ",""), "_") &amp; IF(G180&lt;&gt;"", "_" &amp; G180, "_") &amp; IF(B180&lt;&gt;"", "_" &amp; B180, "")</f>
        <v>Fobbs_etal_2011</v>
      </c>
      <c r="I180" s="10" t="str">
        <f>_xlfn.LET(
_xlpm.doi,IF(C180&lt;&gt;"",C180,_xlfn.TEXTAFTER(A180,"https://doi.org/")),
SUBSTITUTE(
SUBSTITUTE(
SUBSTITUTE(
SUBSTITUTE(
_xlpm.doi,
"/","%2F"),
":","%3A"),
"&lt;","%3C"),
"&gt;","%3E")
)</f>
        <v>10.1111%2Fj.1749-6632.2011.06036.x</v>
      </c>
      <c r="J180" s="10" t="str">
        <f>TRIM(_xlfn.TEXTJOIN("_",FALSE(),H180,(SUBSTITUTE(SUBSTITUTE(D180," ",""), "_", ""))))</f>
        <v>Fobbs_etal_2011_TableS3</v>
      </c>
      <c r="K180" s="10" t="str">
        <f>I180 &amp; "_" &amp; SUBSTITUTE(SUBSTITUTE(SUBSTITUTE(D180,CHAR(160),"")," ",""),"_","")</f>
        <v>10.1111%2Fj.1749-6632.2011.06036.x_TableS3</v>
      </c>
      <c r="L180" s="10" t="str">
        <f t="array" ref="L180">IFERROR(INDEX(AUTO_Public_TSV_FileList!$A$1:$A$1000,MATCH(TRUE(),EXACT(K180,IFERROR(_xlfn.TEXTBEFORE(AUTO_Public_TSV_FileList!$A$1:$A$1000,".tsv"),"")),0)),"notfound")</f>
        <v>10.1111%2Fj.1749-6632.2011.06036.x_TableS3.tsv</v>
      </c>
      <c r="M180" s="13" t="inlineStr">
        <is>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is>
      </c>
      <c r="N180" s="1"/>
      <c r="O180" s="13"/>
      <c r="P180" s="1" t="inlineStr">
        <is>
          <t>FINISHED</t>
        </is>
      </c>
      <c r="Q180" s="1"/>
      <c r="R180" s="1"/>
      <c r="S180" s="13"/>
      <c r="T180" s="13"/>
      <c r="U180" s="13"/>
      <c r="V180" s="1"/>
      <c r="W180" s="1"/>
      <c r="X180" s="1"/>
      <c r="Y180" s="13"/>
      <c r="Z180" s="13"/>
      <c r="AA180" s="13"/>
      <c r="AB180" s="1"/>
      <c r="AC180" s="13"/>
      <c r="AD180" s="13"/>
      <c r="AE180" s="1"/>
      <c r="AF180" s="1"/>
      <c r="AG180" s="1"/>
    </row>
    <row r="181" ht="17" customHeight="1">
      <c r="A181" s="1" t="inlineStr">
        <is>
          <t>Fobbs, A. J., Jr., &amp; Johnson, J. I. (2011). Brain collections at the National Museum of Health and Medicine. Ann N Y Acad Sci, 1225 Suppl 1(S1), E20-29. https://doi.org/10.1111/j.1749-6632.2011.06036.x</t>
        </is>
      </c>
      <c r="C181" s="18"/>
      <c r="D181" s="1" t="inlineStr">
        <is>
          <t>Table S4</t>
        </is>
      </c>
      <c r="E181" s="10" t="str">
        <f>SUBSTITUTE(SUBSTITUTE(_xlfn.TEXTBEFORE(A181,","), "-", ""), " ", "")</f>
        <v>Fobbs</v>
      </c>
      <c r="F181" s="10"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10" t="str">
        <f>_xlfn.TEXTBEFORE(_xlfn.TEXTAFTER(A181, "("), ")")</f>
        <v>2011</v>
      </c>
      <c r="H181" s="10" t="str">
        <f>E181 &amp; IF(F181&lt;&gt;"", "_" &amp; SUBSTITUTE(F181," ",""), "_") &amp; IF(G181&lt;&gt;"", "_" &amp; G181, "_") &amp; IF(B181&lt;&gt;"", "_" &amp; B181, "")</f>
        <v>Fobbs_etal_2011</v>
      </c>
      <c r="I181" s="10" t="str">
        <f>_xlfn.LET(
_xlpm.doi,IF(C181&lt;&gt;"",C181,_xlfn.TEXTAFTER(A181,"https://doi.org/")),
SUBSTITUTE(
SUBSTITUTE(
SUBSTITUTE(
SUBSTITUTE(
_xlpm.doi,
"/","%2F"),
":","%3A"),
"&lt;","%3C"),
"&gt;","%3E")
)</f>
        <v>10.1111%2Fj.1749-6632.2011.06036.x</v>
      </c>
      <c r="J181" s="10" t="str">
        <f>TRIM(_xlfn.TEXTJOIN("_",FALSE(),H181,(SUBSTITUTE(SUBSTITUTE(D181," ",""), "_", ""))))</f>
        <v>Fobbs_etal_2011_TableS4</v>
      </c>
      <c r="K181" s="10" t="str">
        <f>I181 &amp; "_" &amp; SUBSTITUTE(SUBSTITUTE(SUBSTITUTE(D181,CHAR(160),"")," ",""),"_","")</f>
        <v>10.1111%2Fj.1749-6632.2011.06036.x_TableS4</v>
      </c>
      <c r="L181" s="10" t="str">
        <f t="array" ref="L181">IFERROR(INDEX(AUTO_Public_TSV_FileList!$A$1:$A$1000,MATCH(TRUE(),EXACT(K181,IFERROR(_xlfn.TEXTBEFORE(AUTO_Public_TSV_FileList!$A$1:$A$1000,".tsv"),"")),0)),"notfound")</f>
        <v>10.1111%2Fj.1749-6632.2011.06036.x_TableS4.tsv</v>
      </c>
      <c r="M181" s="13" t="inlineStr">
        <is>
          <t>Table S4: List of specimens in the Meyer Phipps Johns Hopkins Collection.</t>
        </is>
      </c>
      <c r="N181" s="1"/>
      <c r="O181" s="13"/>
      <c r="P181" s="1" t="inlineStr">
        <is>
          <t>FINISHED</t>
        </is>
      </c>
      <c r="Q181" s="1"/>
      <c r="R181" s="1"/>
      <c r="S181" s="13"/>
      <c r="T181" s="13"/>
      <c r="U181" s="13"/>
      <c r="V181" s="1"/>
      <c r="W181" s="1"/>
      <c r="X181" s="1"/>
      <c r="Y181" s="13"/>
      <c r="Z181" s="13"/>
      <c r="AA181" s="13"/>
      <c r="AB181" s="1"/>
      <c r="AC181" s="13"/>
      <c r="AD181" s="13"/>
      <c r="AE181" s="1"/>
      <c r="AF181" s="1"/>
      <c r="AG181" s="1"/>
    </row>
    <row r="182" ht="17" customHeight="1">
      <c r="A182" s="1" t="inlineStr">
        <is>
          <t>Fobbs, A. J., Jr., &amp; Johnson, J. I. (2011). Brain collections at the National Museum of Health and Medicine. Ann N Y Acad Sci, 1225 Suppl 1(S1), E20-29. https://doi.org/10.1111/j.1749-6632.2011.06036.x</t>
        </is>
      </c>
      <c r="B182" s="18"/>
      <c r="C182" s="18"/>
      <c r="D182" s="1" t="inlineStr">
        <is>
          <t>Table S5 a</t>
        </is>
      </c>
      <c r="E182" s="10" t="str">
        <f>SUBSTITUTE(SUBSTITUTE(_xlfn.TEXTBEFORE(A182,","), "-", ""), " ", "")</f>
        <v>Fobbs</v>
      </c>
      <c r="F182" s="10"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10" t="str">
        <f>_xlfn.TEXTBEFORE(_xlfn.TEXTAFTER(A182, "("), ")")</f>
        <v>2011</v>
      </c>
      <c r="H182" s="10" t="str">
        <f>E182 &amp; IF(F182&lt;&gt;"", "_" &amp; SUBSTITUTE(F182," ",""), "_") &amp; IF(G182&lt;&gt;"", "_" &amp; G182, "_") &amp; IF(B182&lt;&gt;"", "_" &amp; B182, "")</f>
        <v>Fobbs_etal_2011</v>
      </c>
      <c r="I182" s="10" t="str">
        <f>_xlfn.LET(
_xlpm.doi,IF(C182&lt;&gt;"",C182,_xlfn.TEXTAFTER(A182,"https://doi.org/")),
SUBSTITUTE(
SUBSTITUTE(
SUBSTITUTE(
SUBSTITUTE(
_xlpm.doi,
"/","%2F"),
":","%3A"),
"&lt;","%3C"),
"&gt;","%3E")
)</f>
        <v>10.1111%2Fj.1749-6632.2011.06036.x</v>
      </c>
      <c r="J182" s="10" t="str">
        <f>TRIM(_xlfn.TEXTJOIN("_",FALSE(),H182,(SUBSTITUTE(SUBSTITUTE(D182," ",""), "_", ""))))</f>
        <v>Fobbs_etal_2011_TableS5a</v>
      </c>
      <c r="K182" s="10" t="str">
        <f>I182 &amp; "_" &amp; SUBSTITUTE(SUBSTITUTE(SUBSTITUTE(D182,CHAR(160),"")," ",""),"_","")</f>
        <v>10.1111%2Fj.1749-6632.2011.06036.x_TableS5a</v>
      </c>
      <c r="L182" s="10" t="str">
        <f t="array" ref="L182">IFERROR(INDEX(AUTO_Public_TSV_FileList!$A$1:$A$1000,MATCH(TRUE(),EXACT(K182,IFERROR(_xlfn.TEXTBEFORE(AUTO_Public_TSV_FileList!$A$1:$A$1000,".tsv"),"")),0)),"notfound")</f>
        <v>10.1111%2Fj.1749-6632.2011.06036.x_TableS5a.tsv</v>
      </c>
      <c r="M182" s="13" t="inlineStr">
        <is>
          <t>Table S5: Lists of specimens in the Huber-Crosby and Crosby-Lauer collections.</t>
        </is>
      </c>
      <c r="N182" s="1"/>
      <c r="O182" s="13"/>
      <c r="P182" s="1" t="inlineStr">
        <is>
          <t>FINISHED</t>
        </is>
      </c>
      <c r="Q182" s="1"/>
      <c r="R182" s="1"/>
      <c r="S182" s="13"/>
      <c r="T182" s="13"/>
      <c r="U182" s="13"/>
      <c r="V182" s="1"/>
      <c r="W182" s="1"/>
      <c r="X182" s="1"/>
      <c r="Y182" s="13"/>
      <c r="Z182" s="13"/>
      <c r="AA182" s="13"/>
      <c r="AB182" s="1"/>
      <c r="AC182" s="13"/>
      <c r="AD182" s="13"/>
      <c r="AE182" s="1"/>
      <c r="AF182" s="1"/>
      <c r="AG182" s="1"/>
    </row>
    <row r="183" ht="17" customHeight="1">
      <c r="A183" s="1" t="inlineStr">
        <is>
          <t>Fobbs, A. J., Jr., &amp; Johnson, J. I. (2011). Brain collections at the National Museum of Health and Medicine. Ann N Y Acad Sci, 1225 Suppl 1(S1), E20-29. https://doi.org/10.1111/j.1749-6632.2011.06036.x</t>
        </is>
      </c>
      <c r="C183" s="18"/>
      <c r="D183" s="1" t="inlineStr">
        <is>
          <t>Table S5 b</t>
        </is>
      </c>
      <c r="E183" s="10" t="str">
        <f>SUBSTITUTE(SUBSTITUTE(_xlfn.TEXTBEFORE(A183,","), "-", ""), " ", "")</f>
        <v>Fobbs</v>
      </c>
      <c r="F183" s="10"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10" t="str">
        <f>_xlfn.TEXTBEFORE(_xlfn.TEXTAFTER(A183, "("), ")")</f>
        <v>2011</v>
      </c>
      <c r="H183" s="10" t="str">
        <f>E183 &amp; IF(F183&lt;&gt;"", "_" &amp; SUBSTITUTE(F183," ",""), "_") &amp; IF(G183&lt;&gt;"", "_" &amp; G183, "_") &amp; IF(B183&lt;&gt;"", "_" &amp; B183, "")</f>
        <v>Fobbs_etal_2011</v>
      </c>
      <c r="I183" s="10" t="str">
        <f>_xlfn.LET(
_xlpm.doi,IF(C183&lt;&gt;"",C183,_xlfn.TEXTAFTER(A183,"https://doi.org/")),
SUBSTITUTE(
SUBSTITUTE(
SUBSTITUTE(
SUBSTITUTE(
_xlpm.doi,
"/","%2F"),
":","%3A"),
"&lt;","%3C"),
"&gt;","%3E")
)</f>
        <v>10.1111%2Fj.1749-6632.2011.06036.x</v>
      </c>
      <c r="J183" s="10" t="str">
        <f>TRIM(_xlfn.TEXTJOIN("_",FALSE(),H183,(SUBSTITUTE(SUBSTITUTE(D183," ",""), "_", ""))))</f>
        <v>Fobbs_etal_2011_TableS5b</v>
      </c>
      <c r="K183" s="10" t="str">
        <f>I183 &amp; "_" &amp; SUBSTITUTE(SUBSTITUTE(SUBSTITUTE(D183,CHAR(160),"")," ",""),"_","")</f>
        <v>10.1111%2Fj.1749-6632.2011.06036.x_TableS5b</v>
      </c>
      <c r="L183" s="10" t="str">
        <f t="array" ref="L183">IFERROR(INDEX(AUTO_Public_TSV_FileList!$A$1:$A$1000,MATCH(TRUE(),EXACT(K183,IFERROR(_xlfn.TEXTBEFORE(AUTO_Public_TSV_FileList!$A$1:$A$1000,".tsv"),"")),0)),"notfound")</f>
        <v>10.1111%2Fj.1749-6632.2011.06036.x_TableS5b.tsv</v>
      </c>
      <c r="M183" s="13" t="inlineStr">
        <is>
          <t>Table S5: Lists of specimens in the Huber-Crosby and Crosby-Lauer collections.</t>
        </is>
      </c>
      <c r="N183" s="1"/>
      <c r="O183" s="13"/>
      <c r="P183" s="1" t="inlineStr">
        <is>
          <t>FINISHED</t>
        </is>
      </c>
      <c r="Q183" s="1"/>
      <c r="R183" s="1"/>
      <c r="S183" s="13"/>
      <c r="T183" s="13"/>
      <c r="U183" s="13"/>
      <c r="V183" s="1"/>
      <c r="W183" s="1"/>
      <c r="X183" s="1"/>
      <c r="Y183" s="13"/>
      <c r="Z183" s="13"/>
      <c r="AA183" s="13"/>
      <c r="AB183" s="1"/>
      <c r="AC183" s="13"/>
      <c r="AD183" s="13"/>
      <c r="AE183" s="1"/>
      <c r="AF183" s="1"/>
      <c r="AG183" s="1"/>
    </row>
    <row r="184" ht="17" customHeight="1">
      <c r="A184" s="17" t="inlineStr">
        <is>
          <t>Fox, J. H., &amp; Wilczynski, W. (1986). Allometry of major CNS divisions: towards a reevaluation of somatic brain-body scaling. Brain Behav Evol, 28(4), 157-169. https://doi.org/10.1159/000118700</t>
        </is>
      </c>
      <c r="B184" s="21"/>
      <c r="C184" s="21"/>
      <c r="D184" s="17" t="inlineStr">
        <is>
          <t>Table I</t>
        </is>
      </c>
      <c r="E184" s="11" t="str">
        <f>SUBSTITUTE(SUBSTITUTE(_xlfn.TEXTBEFORE(A184,","), "-", ""), " ", "")</f>
        <v>Fox</v>
      </c>
      <c r="F184" s="10"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4" s="10" t="str">
        <f>_xlfn.TEXTBEFORE(_xlfn.TEXTAFTER(A184, "("), ")")</f>
        <v>1986</v>
      </c>
      <c r="H184" s="11" t="str">
        <f>E184 &amp; IF(F184&lt;&gt;"", "_" &amp; SUBSTITUTE(F184," ",""), "_") &amp; IF(G184&lt;&gt;"", "_" &amp; G184, "_") &amp; IF(B184&lt;&gt;"", "_" &amp; B184, "")</f>
        <v>Fox__1986</v>
      </c>
      <c r="I184" s="11" t="str">
        <f>_xlfn.LET(_xlpm.doi,IF(C184&lt;&gt;"",C184,_xlfn.TEXTAFTER(A184,"https://doi.org/")),SUBSTITUTE(SUBSTITUTE(SUBSTITUTE(SUBSTITUTE(_xlpm.doi,"/","%2F"),":","%3A"),"&lt;","%3C"),"&gt;","%3E"))</f>
        <v>10.1159%2F000118700</v>
      </c>
      <c r="J184" s="11" t="str">
        <f>TRIM(_xlfn.TEXTJOIN("_",FALSE(),H184,(SUBSTITUTE(SUBSTITUTE(D184," ",""), "_", ""))))</f>
        <v>Fox__1986_TableI</v>
      </c>
      <c r="K184" s="11" t="str">
        <f>I184 &amp; "_" &amp; SUBSTITUTE(SUBSTITUTE(SUBSTITUTE(D184,CHAR(160),"")," ",""),"_","")</f>
        <v>10.1159%2F000118700_TableI</v>
      </c>
      <c r="L184" s="10" t="str">
        <f t="array" ref="L184">IFERROR(INDEX(AUTO_Public_TSV_FileList!$A$1:$A$1000,MATCH(TRUE(),EXACT(K184,IFERROR(_xlfn.TEXTBEFORE(AUTO_Public_TSV_FileList!$A$1:$A$1000,".tsv"),"")),0)),"notfound")</f>
        <v>10.1159%2F000118700_TableI.tsv</v>
      </c>
      <c r="M184" s="13"/>
      <c r="N184" s="1" t="inlineStr">
        <is>
          <t>table</t>
        </is>
      </c>
      <c r="O184" s="13"/>
      <c r="P184" s="17" t="inlineStr">
        <is>
          <t>FINISHED</t>
        </is>
      </c>
      <c r="Q184" s="17"/>
      <c r="R184" s="17"/>
      <c r="S184" s="17" t="inlineStr">
        <is>
          <t>Source paper and target table identified</t>
        </is>
      </c>
      <c r="T184" s="17" t="inlineStr">
        <is>
          <t>Verify taxonomy, specimen metadata, units, and structure ontology before merge</t>
        </is>
      </c>
      <c r="U184" s="17"/>
      <c r="V184" s="17" t="inlineStr">
        <is>
          <t>comparative brain volumes</t>
        </is>
      </c>
      <c r="W184" s="17" t="inlineStr">
        <is>
          <t>Rodents</t>
        </is>
      </c>
      <c r="X184" s="17" t="inlineStr">
        <is>
          <t>Body mass; whole brain; forebrain; cerebellum; brainstem</t>
        </is>
      </c>
      <c r="Y184" s="17"/>
      <c r="Z184" s="17"/>
      <c r="AA184" s="17" t="inlineStr">
        <is>
          <t>Gross dissection and analytical weighing; formalin-fixed brains</t>
        </is>
      </c>
      <c r="AB184" s="17" t="inlineStr">
        <is>
          <t>mass (g); spinal cord area (mm²)</t>
        </is>
      </c>
      <c r="AC184" s="13"/>
      <c r="AD184" s="17"/>
      <c r="AE184" s="17" t="inlineStr">
        <is>
          <t>primary and secondary</t>
        </is>
      </c>
      <c r="AF184" s="17"/>
      <c r="AG184" s="17" t="inlineStr">
        <is>
          <t>Extract Table I only as primary data, mark measurement type as weight. Do not duplicate Stephan-derived nonrodent data. Stephan-compatible brain structure volumes</t>
        </is>
      </c>
    </row>
    <row r="185" ht="17" customHeight="1">
      <c r="A185" s="1" t="inlineStr">
        <is>
          <t>Frahm, H. D., &amp; Zilles, K. (1994). Volumetric comparison of hippocampal regions in 44 primate species. J Hirnforsch, 35(3), 343-354. https://www.ncbi.nlm.nih.gov/pubmed/7983368</t>
        </is>
      </c>
      <c r="C185" s="15" t="inlineStr">
        <is>
          <t>PMID:7983368</t>
        </is>
      </c>
      <c r="D185" s="1" t="inlineStr">
        <is>
          <t>Table 1</t>
        </is>
      </c>
      <c r="E185" s="10" t="str">
        <f>SUBSTITUTE(SUBSTITUTE(_xlfn.TEXTBEFORE(A185,","), "-", ""), " ", "")</f>
        <v>Frahm</v>
      </c>
      <c r="F185" s="10"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5" s="10" t="str">
        <f>_xlfn.TEXTBEFORE(_xlfn.TEXTAFTER(A185, "("), ")")</f>
        <v>1994</v>
      </c>
      <c r="H185" s="10" t="str">
        <f>E185 &amp; IF(F185&lt;&gt;"", "_" &amp; SUBSTITUTE(F185," ",""), "_") &amp; IF(G185&lt;&gt;"", "_" &amp; G185, "_") &amp; IF(B185&lt;&gt;"", "_" &amp; B185, "")</f>
        <v>Frahm__1994</v>
      </c>
      <c r="I185" s="10" t="str">
        <f>_xlfn.LET(
_xlpm.doi,IF(C185&lt;&gt;"",C185,_xlfn.TEXTAFTER(A185,"https://doi.org/")),
SUBSTITUTE(
SUBSTITUTE(
SUBSTITUTE(
SUBSTITUTE(
_xlpm.doi,
"/","%2F"),
":","%3A"),
"&lt;","%3C"),
"&gt;","%3E")
)</f>
        <v>PMID%3A7983368</v>
      </c>
      <c r="J185" s="10" t="str">
        <f>TRIM(_xlfn.TEXTJOIN("_",FALSE(),H185,(SUBSTITUTE(SUBSTITUTE(D185," ",""), "_", ""))))</f>
        <v>Frahm__1994_Table1</v>
      </c>
      <c r="K185" s="10" t="str">
        <f>I185 &amp; "_" &amp; SUBSTITUTE(SUBSTITUTE(SUBSTITUTE(D185,CHAR(160),"")," ",""),"_","")</f>
        <v>PMID%3A7983368_Table1</v>
      </c>
      <c r="L185" s="10" t="str">
        <f t="array" ref="L185">IFERROR(INDEX(AUTO_Public_TSV_FileList!$A$1:$A$1000,MATCH(TRUE(),EXACT(K185,IFERROR(_xlfn.TEXTBEFORE(AUTO_Public_TSV_FileList!$A$1:$A$1000,".tsv"),"")),0)),"notfound")</f>
        <v>PMID%3A7983368_Table1.tsv</v>
      </c>
      <c r="M185" s="13"/>
      <c r="N185" s="1" t="inlineStr">
        <is>
          <t>table</t>
        </is>
      </c>
      <c r="O185" s="13"/>
      <c r="P185" s="1" t="inlineStr">
        <is>
          <t>FINISHED</t>
        </is>
      </c>
      <c r="Q185" s="13"/>
      <c r="R185" s="13"/>
      <c r="S185" s="13"/>
      <c r="T185" s="13"/>
      <c r="U185" s="13"/>
      <c r="V185" s="13"/>
      <c r="W185" s="1" t="inlineStr">
        <is>
          <t>Insectivora, Scandentia &amp; Primates</t>
        </is>
      </c>
      <c r="X185" s="1" t="inlineStr">
        <is>
          <t>hippocampal region volumes</t>
        </is>
      </c>
      <c r="Y185" s="13"/>
      <c r="Z185" s="1" t="inlineStr">
        <is>
          <t>histological sections</t>
        </is>
      </c>
      <c r="AA185" s="1" t="inlineStr">
        <is>
          <t>volumetry</t>
        </is>
      </c>
      <c r="AB185" s="1" t="inlineStr">
        <is>
          <t>volume</t>
        </is>
      </c>
      <c r="AC185" s="1" t="inlineStr">
        <is>
          <t>Stephan</t>
        </is>
      </c>
      <c r="AD185" s="1" t="inlineStr">
        <is>
          <t>Stephan</t>
        </is>
      </c>
      <c r="AE185" s="1" t="inlineStr">
        <is>
          <t>primary</t>
        </is>
      </c>
      <c r="AF185" s="1"/>
      <c r="AG185" s="13"/>
    </row>
    <row r="186" ht="17" customHeight="1">
      <c r="A186" s="1" t="inlineStr">
        <is>
          <t>Frahm, H. D., &amp; Zilles, K. (1994). Volumetric comparison of hippocampal regions in 44 primate species. J Hirnforsch, 35(3), 343-354. https://www.ncbi.nlm.nih.gov/pubmed/7983368</t>
        </is>
      </c>
      <c r="C186" s="15" t="inlineStr">
        <is>
          <t>PMID:7983368</t>
        </is>
      </c>
      <c r="D186" s="1" t="inlineStr">
        <is>
          <t>Table 2</t>
        </is>
      </c>
      <c r="E186" s="10" t="str">
        <f>SUBSTITUTE(SUBSTITUTE(_xlfn.TEXTBEFORE(A186,","), "-", ""), " ", "")</f>
        <v>Frahm</v>
      </c>
      <c r="F186" s="10"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6" s="10" t="str">
        <f>_xlfn.TEXTBEFORE(_xlfn.TEXTAFTER(A186, "("), ")")</f>
        <v>1994</v>
      </c>
      <c r="H186" s="10" t="str">
        <f>E186 &amp; IF(F186&lt;&gt;"", "_" &amp; SUBSTITUTE(F186," ",""), "_") &amp; IF(G186&lt;&gt;"", "_" &amp; G186, "_") &amp; IF(B186&lt;&gt;"", "_" &amp; B186, "")</f>
        <v>Frahm__1994</v>
      </c>
      <c r="I186" s="10" t="str">
        <f>_xlfn.LET(
_xlpm.doi,IF(C186&lt;&gt;"",C186,_xlfn.TEXTAFTER(A186,"https://doi.org/")),
SUBSTITUTE(
SUBSTITUTE(
SUBSTITUTE(
SUBSTITUTE(
_xlpm.doi,
"/","%2F"),
":","%3A"),
"&lt;","%3C"),
"&gt;","%3E")
)</f>
        <v>PMID%3A7983368</v>
      </c>
      <c r="J186" s="10" t="str">
        <f>TRIM(_xlfn.TEXTJOIN("_",FALSE(),H186,(SUBSTITUTE(SUBSTITUTE(D186," ",""), "_", ""))))</f>
        <v>Frahm__1994_Table2</v>
      </c>
      <c r="K186" s="10" t="str">
        <f>I186 &amp; "_" &amp; SUBSTITUTE(SUBSTITUTE(SUBSTITUTE(D186,CHAR(160),"")," ",""),"_","")</f>
        <v>PMID%3A7983368_Table2</v>
      </c>
      <c r="L186" s="10" t="str">
        <f t="array" ref="L186">IFERROR(INDEX(AUTO_Public_TSV_FileList!$A$1:$A$1000,MATCH(TRUE(),EXACT(K186,IFERROR(_xlfn.TEXTBEFORE(AUTO_Public_TSV_FileList!$A$1:$A$1000,".tsv"),"")),0)),"notfound")</f>
        <v>PMID%3A7983368_Table2.tsv</v>
      </c>
      <c r="M186" s="13"/>
      <c r="N186" s="13"/>
      <c r="O186" s="13"/>
      <c r="P186" s="13" t="inlineStr">
        <is>
          <t>FINISHED</t>
        </is>
      </c>
      <c r="Q186" s="13"/>
      <c r="R186" s="13"/>
      <c r="S186" s="13"/>
      <c r="T186" s="13"/>
      <c r="U186" s="13"/>
      <c r="V186" s="13"/>
      <c r="W186" s="13"/>
      <c r="X186" s="13"/>
      <c r="Y186" s="13"/>
      <c r="Z186" s="13"/>
      <c r="AA186" s="13"/>
      <c r="AB186" s="13"/>
      <c r="AC186" s="13"/>
      <c r="AD186" s="13"/>
      <c r="AE186" s="13"/>
      <c r="AF186" s="13"/>
      <c r="AG186" s="13"/>
    </row>
    <row r="187" ht="17" customHeight="1">
      <c r="A187" s="13" t="inlineStr">
        <is>
          <t>Frahm, H. D., Rehkämper, G., &amp; Nevo, E. (1997). Brain structure volumes in the mole rat, Spalax ehrenbergi (Spalacidae, Rodentia) in comparison to the rat and subterrestrial insectivores. J Hirnforsch, 38(2), 209-222. https://www.ncbi.nlm.nih.gov/pubmed/9176733</t>
        </is>
      </c>
      <c r="C187" s="15" t="inlineStr">
        <is>
          <t>PMID:9176733</t>
        </is>
      </c>
      <c r="D187" s="1" t="inlineStr">
        <is>
          <t>Table 1</t>
        </is>
      </c>
      <c r="E187" s="10" t="str">
        <f>SUBSTITUTE(SUBSTITUTE(_xlfn.TEXTBEFORE(A187,","), "-", ""), " ", "")</f>
        <v>Frahm</v>
      </c>
      <c r="F187" s="10"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7" s="10" t="str">
        <f>_xlfn.TEXTBEFORE(_xlfn.TEXTAFTER(A187, "("), ")")</f>
        <v>1997</v>
      </c>
      <c r="H187" s="10" t="str">
        <f>E187 &amp; IF(F187&lt;&gt;"", "_" &amp; SUBSTITUTE(F187," ",""), "_") &amp; IF(G187&lt;&gt;"", "_" &amp; G187, "_") &amp; IF(B187&lt;&gt;"", "_" &amp; B187, "")</f>
        <v>Frahm__1997</v>
      </c>
      <c r="I187" s="10" t="str">
        <f>_xlfn.LET(
_xlpm.doi,IF(C187&lt;&gt;"",C187,_xlfn.TEXTAFTER(A187,"https://doi.org/")),
SUBSTITUTE(
SUBSTITUTE(
SUBSTITUTE(
SUBSTITUTE(
_xlpm.doi,
"/","%2F"),
":","%3A"),
"&lt;","%3C"),
"&gt;","%3E")
)</f>
        <v>PMID%3A9176733</v>
      </c>
      <c r="J187" s="10" t="str">
        <f>TRIM(_xlfn.TEXTJOIN("_",FALSE(),H187,(SUBSTITUTE(SUBSTITUTE(D187," ",""), "_", ""))))</f>
        <v>Frahm__1997_Table1</v>
      </c>
      <c r="K187" s="10" t="str">
        <f>I187 &amp; "_" &amp; SUBSTITUTE(SUBSTITUTE(SUBSTITUTE(D187,CHAR(160),"")," ",""),"_","")</f>
        <v>PMID%3A9176733_Table1</v>
      </c>
      <c r="L187" s="10" t="str">
        <f t="array" ref="L187">IFERROR(INDEX(AUTO_Public_TSV_FileList!$A$1:$A$1000,MATCH(TRUE(),EXACT(K187,IFERROR(_xlfn.TEXTBEFORE(AUTO_Public_TSV_FileList!$A$1:$A$1000,".tsv"),"")),0)),"notfound")</f>
        <v>PMID%3A9176733_Table1.tsv</v>
      </c>
      <c r="M187" s="13"/>
      <c r="N187" s="1" t="inlineStr">
        <is>
          <t>table</t>
        </is>
      </c>
      <c r="O187" s="13"/>
      <c r="P187" s="1" t="inlineStr">
        <is>
          <t>FINISHED</t>
        </is>
      </c>
      <c r="Q187" s="13"/>
      <c r="R187" s="13"/>
      <c r="S187" s="13"/>
      <c r="T187" s="13"/>
      <c r="U187" s="13"/>
      <c r="V187" s="13"/>
      <c r="W187" s="1" t="inlineStr">
        <is>
          <t>Insectivora, Scandentia &amp; Primates</t>
        </is>
      </c>
      <c r="X187" s="1" t="inlineStr">
        <is>
          <t>brain structure volumes (Spalax)</t>
        </is>
      </c>
      <c r="Y187" s="13"/>
      <c r="Z187" s="1" t="inlineStr">
        <is>
          <t>histological sections</t>
        </is>
      </c>
      <c r="AA187" s="1" t="inlineStr">
        <is>
          <t>volumetry</t>
        </is>
      </c>
      <c r="AB187" s="1" t="inlineStr">
        <is>
          <t>volume</t>
        </is>
      </c>
      <c r="AC187" s="1" t="inlineStr">
        <is>
          <t>Stephan</t>
        </is>
      </c>
      <c r="AD187" s="1" t="inlineStr">
        <is>
          <t>Stephan</t>
        </is>
      </c>
      <c r="AE187" s="1" t="inlineStr">
        <is>
          <t>primary</t>
        </is>
      </c>
      <c r="AF187" s="1"/>
      <c r="AG187" s="13"/>
    </row>
    <row r="188" ht="17" customHeight="1">
      <c r="A188" s="1" t="inlineStr">
        <is>
          <t>Frahm, H. D., Stephan, H., &amp; Baron, G. (1984). Comparison of brain structure volumes in insectivora and primates. V. Area striata (AS). J Hirnforsch, 25(5), 537-557. https://www.ncbi.nlm.nih.gov/pubmed/6501869</t>
        </is>
      </c>
      <c r="C188" s="15" t="inlineStr">
        <is>
          <t>PMID:6501869</t>
        </is>
      </c>
      <c r="D188" s="1" t="inlineStr">
        <is>
          <t>Table 1</t>
        </is>
      </c>
      <c r="E188" s="10" t="str">
        <f>SUBSTITUTE(SUBSTITUTE(_xlfn.TEXTBEFORE(A188,","), "-", ""), " ", "")</f>
        <v>Frahm</v>
      </c>
      <c r="F188" s="10"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0" t="str">
        <f>_xlfn.TEXTBEFORE(_xlfn.TEXTAFTER(A188, "("), ")")</f>
        <v>1984</v>
      </c>
      <c r="H188" s="10" t="str">
        <f>E188 &amp; IF(F188&lt;&gt;"", "_" &amp; SUBSTITUTE(F188," ",""), "_") &amp; IF(G188&lt;&gt;"", "_" &amp; G188, "_") &amp; IF(B188&lt;&gt;"", "_" &amp; B188, "")</f>
        <v>Frahm_etal_1984</v>
      </c>
      <c r="I188" s="10" t="str">
        <f>_xlfn.LET(
_xlpm.doi,IF(C188&lt;&gt;"",C188,_xlfn.TEXTAFTER(A188,"https://doi.org/")),
SUBSTITUTE(
SUBSTITUTE(
SUBSTITUTE(
SUBSTITUTE(
_xlpm.doi,
"/","%2F"),
":","%3A"),
"&lt;","%3C"),
"&gt;","%3E")
)</f>
        <v>PMID%3A6501869</v>
      </c>
      <c r="J188" s="10" t="str">
        <f>TRIM(_xlfn.TEXTJOIN("_",FALSE(),H188,(SUBSTITUTE(SUBSTITUTE(D188," ",""), "_", ""))))</f>
        <v>Frahm_etal_1984_Table1</v>
      </c>
      <c r="K188" s="10" t="str">
        <f>I188 &amp; "_" &amp; SUBSTITUTE(SUBSTITUTE(SUBSTITUTE(D188,CHAR(160),"")," ",""),"_","")</f>
        <v>PMID%3A6501869_Table1</v>
      </c>
      <c r="L188" s="10" t="str">
        <f t="array" ref="L188">IFERROR(INDEX(AUTO_Public_TSV_FileList!$A$1:$A$1000,MATCH(TRUE(),EXACT(K188,IFERROR(_xlfn.TEXTBEFORE(AUTO_Public_TSV_FileList!$A$1:$A$1000,".tsv"),"")),0)),"notfound")</f>
        <v>PMID%3A6501869_Table1.tsv</v>
      </c>
      <c r="M188" s="1" t="inlineStr">
        <is>
          <t>Table 1. Volumes of area striata and some of its laminar components (in mm3).</t>
        </is>
      </c>
      <c r="N188" s="1" t="inlineStr">
        <is>
          <t>table</t>
        </is>
      </c>
      <c r="O188" s="13"/>
      <c r="P188" s="1" t="inlineStr">
        <is>
          <t>FINISHED</t>
        </is>
      </c>
      <c r="Q188" s="13"/>
      <c r="R188" s="13"/>
      <c r="S188" s="13"/>
      <c r="T188" s="13"/>
      <c r="U188" s="13"/>
      <c r="V188" s="13"/>
      <c r="W188" s="1" t="inlineStr">
        <is>
          <t>Insectivora, Scandentia &amp; Primates</t>
        </is>
      </c>
      <c r="X188" s="1" t="inlineStr">
        <is>
          <t>area striata volume</t>
        </is>
      </c>
      <c r="Y188" s="13"/>
      <c r="Z188" s="1" t="inlineStr">
        <is>
          <t>histological sections</t>
        </is>
      </c>
      <c r="AA188" s="1" t="inlineStr">
        <is>
          <t>volumetry</t>
        </is>
      </c>
      <c r="AB188" s="1" t="inlineStr">
        <is>
          <t>volume</t>
        </is>
      </c>
      <c r="AC188" s="1" t="inlineStr">
        <is>
          <t>Stephan</t>
        </is>
      </c>
      <c r="AD188" s="1" t="inlineStr">
        <is>
          <t>Stephan</t>
        </is>
      </c>
      <c r="AE188" s="1" t="inlineStr">
        <is>
          <t>primary</t>
        </is>
      </c>
      <c r="AF188" s="1"/>
      <c r="AG188" s="13"/>
    </row>
    <row r="189" ht="17" customHeight="1">
      <c r="A189" s="1" t="inlineStr">
        <is>
          <t>Frahm, H. D., Stephan, H., &amp; Baron, G. (1984). Comparison of brain structure volumes in insectivora and primates. V. Area striata (AS). J Hirnforsch, 25(5), 537-557. https://www.ncbi.nlm.nih.gov/pubmed/6501869</t>
        </is>
      </c>
      <c r="C189" s="15" t="inlineStr">
        <is>
          <t>PMID:6501869</t>
        </is>
      </c>
      <c r="D189" s="1" t="inlineStr">
        <is>
          <t>Table 2</t>
        </is>
      </c>
      <c r="E189" s="10" t="str">
        <f>SUBSTITUTE(SUBSTITUTE(_xlfn.TEXTBEFORE(A189,","), "-", ""), " ", "")</f>
        <v>Frahm</v>
      </c>
      <c r="F189" s="10"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10" t="str">
        <f>_xlfn.TEXTBEFORE(_xlfn.TEXTAFTER(A189, "("), ")")</f>
        <v>1984</v>
      </c>
      <c r="H189" s="10" t="str">
        <f>E189 &amp; IF(F189&lt;&gt;"", "_" &amp; SUBSTITUTE(F189," ",""), "_") &amp; IF(G189&lt;&gt;"", "_" &amp; G189, "_") &amp; IF(B189&lt;&gt;"", "_" &amp; B189, "")</f>
        <v>Frahm_etal_1984</v>
      </c>
      <c r="I189" s="10" t="str">
        <f>_xlfn.LET(
_xlpm.doi,IF(C189&lt;&gt;"",C189,_xlfn.TEXTAFTER(A189,"https://doi.org/")),
SUBSTITUTE(
SUBSTITUTE(
SUBSTITUTE(
SUBSTITUTE(
_xlpm.doi,
"/","%2F"),
":","%3A"),
"&lt;","%3C"),
"&gt;","%3E")
)</f>
        <v>PMID%3A6501869</v>
      </c>
      <c r="J189" s="10" t="str">
        <f>TRIM(_xlfn.TEXTJOIN("_",FALSE(),H189,(SUBSTITUTE(SUBSTITUTE(D189," ",""), "_", ""))))</f>
        <v>Frahm_etal_1984_Table2</v>
      </c>
      <c r="K189" s="10" t="str">
        <f>I189 &amp; "_" &amp; SUBSTITUTE(SUBSTITUTE(SUBSTITUTE(D189,CHAR(160),"")," ",""),"_","")</f>
        <v>PMID%3A6501869_Table2</v>
      </c>
      <c r="L189" s="10" t="str">
        <f t="array" ref="L189">IFERROR(INDEX(AUTO_Public_TSV_FileList!$A$1:$A$1000,MATCH(TRUE(),EXACT(K189,IFERROR(_xlfn.TEXTBEFORE(AUTO_Public_TSV_FileList!$A$1:$A$1000,".tsv"),"")),0)),"notfound")</f>
        <v>PMID%3A6501869_Table2.tsv</v>
      </c>
      <c r="M189" s="1" t="inlineStr">
        <is>
          <t>Table 2. Percentages of total area striata (ASV) and its laminar components relative to brain weight (BrW), telencephalon volume (TV), neocortex (NV) and its components (NW, NG, NG1, NG2–6), and ratios between ASG and the dorsal nucleus of the corpus geniculatum laterale (CGL).</t>
        </is>
      </c>
      <c r="N189" s="1"/>
      <c r="O189" s="13"/>
      <c r="P189" s="1" t="inlineStr">
        <is>
          <t>FINISHED</t>
        </is>
      </c>
      <c r="Q189" s="13"/>
      <c r="R189" s="13"/>
      <c r="S189" s="13"/>
      <c r="T189" s="13"/>
      <c r="U189" s="13"/>
      <c r="V189" s="13"/>
      <c r="W189" s="1"/>
      <c r="X189" s="1"/>
      <c r="Y189" s="13"/>
      <c r="Z189" s="1"/>
      <c r="AA189" s="1"/>
      <c r="AB189" s="1"/>
      <c r="AC189" s="1"/>
      <c r="AD189" s="1"/>
      <c r="AE189" s="1"/>
      <c r="AF189" s="1"/>
      <c r="AG189" s="13"/>
    </row>
    <row r="190" ht="17" customHeight="1">
      <c r="A190" s="1" t="inlineStr">
        <is>
          <t>Frahm, H. D., Stephan, H., &amp; Stephan, M. (1982). Comparison of brain structure volumes in Insectivora and Primates. I. Neocortex. J Hirnforsch, 23(4), 375-389. https://www.ncbi.nlm.nih.gov/pubmed/7161477</t>
        </is>
      </c>
      <c r="C190" s="15" t="inlineStr">
        <is>
          <t>PMID:7161477</t>
        </is>
      </c>
      <c r="D190" s="1" t="inlineStr">
        <is>
          <t>Table 2</t>
        </is>
      </c>
      <c r="E190" s="10" t="str">
        <f>SUBSTITUTE(SUBSTITUTE(_xlfn.TEXTBEFORE(A190,","), "-", ""), " ", "")</f>
        <v>Frahm</v>
      </c>
      <c r="F190" s="10"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0" t="str">
        <f>_xlfn.TEXTBEFORE(_xlfn.TEXTAFTER(A190, "("), ")")</f>
        <v>1982</v>
      </c>
      <c r="H190" s="10" t="str">
        <f>E190 &amp; IF(F190&lt;&gt;"", "_" &amp; SUBSTITUTE(F190," ",""), "_") &amp; IF(G190&lt;&gt;"", "_" &amp; G190, "_") &amp; IF(B190&lt;&gt;"", "_" &amp; B190, "")</f>
        <v>Frahm_etal_1982</v>
      </c>
      <c r="I190" s="10" t="str">
        <f>_xlfn.LET(
_xlpm.doi,IF(C190&lt;&gt;"",C190,_xlfn.TEXTAFTER(A190,"https://doi.org/")),
SUBSTITUTE(
SUBSTITUTE(
SUBSTITUTE(
SUBSTITUTE(
_xlpm.doi,
"/","%2F"),
":","%3A"),
"&lt;","%3C"),
"&gt;","%3E")
)</f>
        <v>PMID%3A7161477</v>
      </c>
      <c r="J190" s="10" t="str">
        <f>TRIM(_xlfn.TEXTJOIN("_",FALSE(),H190,(SUBSTITUTE(SUBSTITUTE(D190," ",""), "_", ""))))</f>
        <v>Frahm_etal_1982_Table2</v>
      </c>
      <c r="K190" s="10" t="str">
        <f>I190 &amp; "_" &amp; SUBSTITUTE(SUBSTITUTE(SUBSTITUTE(D190,CHAR(160),"")," ",""),"_","")</f>
        <v>PMID%3A7161477_Table2</v>
      </c>
      <c r="L190" s="10" t="str">
        <f t="array" ref="L190">IFERROR(INDEX(AUTO_Public_TSV_FileList!$A$1:$A$1000,MATCH(TRUE(),EXACT(K190,IFERROR(_xlfn.TEXTBEFORE(AUTO_Public_TSV_FileList!$A$1:$A$1000,".tsv"),"")),0)),"notfound")</f>
        <v>PMID%3A7161477_Table2.tsv</v>
      </c>
      <c r="M190" s="1" t="inlineStr">
        <is>
          <t>Table 2. Volumes and percentages of total neocortex, white and grey matters, and laminae 1 and 2-6 in Insectivora, Scandentia, and Primates.</t>
        </is>
      </c>
      <c r="N190" s="1" t="inlineStr">
        <is>
          <t>table</t>
        </is>
      </c>
      <c r="O190" s="13"/>
      <c r="P190" s="1" t="inlineStr">
        <is>
          <t>FINISHED</t>
        </is>
      </c>
      <c r="Q190" s="13"/>
      <c r="R190" s="13"/>
      <c r="S190" s="13"/>
      <c r="T190" s="13"/>
      <c r="U190" s="13"/>
      <c r="V190" s="13"/>
      <c r="W190" s="1" t="inlineStr">
        <is>
          <t>Insectivora, Scandentia &amp; Primates</t>
        </is>
      </c>
      <c r="X190" s="1" t="inlineStr">
        <is>
          <t>neocortex volume</t>
        </is>
      </c>
      <c r="Y190" s="13"/>
      <c r="Z190" s="1" t="inlineStr">
        <is>
          <t>histological sections</t>
        </is>
      </c>
      <c r="AA190" s="1" t="inlineStr">
        <is>
          <t>volumetry</t>
        </is>
      </c>
      <c r="AB190" s="1" t="inlineStr">
        <is>
          <t>volume</t>
        </is>
      </c>
      <c r="AC190" s="1" t="inlineStr">
        <is>
          <t>Stephan</t>
        </is>
      </c>
      <c r="AD190" s="1" t="inlineStr">
        <is>
          <t>Stephan</t>
        </is>
      </c>
      <c r="AE190" s="1" t="inlineStr">
        <is>
          <t>primary</t>
        </is>
      </c>
      <c r="AF190" s="1"/>
      <c r="AG190" s="13"/>
    </row>
    <row r="191" ht="17" customHeight="1">
      <c r="A191" s="1" t="inlineStr">
        <is>
          <t>Frahm, H. D., Zilles, K., Schleicher, A., &amp; Stephan, H. (1998). The size of the middle temporal area in primates. J Hirnforsch, 39(1), 45-54. https://www.ncbi.nlm.nih.gov/pubmed/9672110</t>
        </is>
      </c>
      <c r="C191" s="15" t="inlineStr">
        <is>
          <t>PMID:9672110</t>
        </is>
      </c>
      <c r="D191" s="1" t="inlineStr">
        <is>
          <t>Table 1</t>
        </is>
      </c>
      <c r="E191" s="10" t="str">
        <f>SUBSTITUTE(SUBSTITUTE(_xlfn.TEXTBEFORE(A191,","), "-", ""), " ", "")</f>
        <v>Frahm</v>
      </c>
      <c r="F191" s="10"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0" t="str">
        <f>_xlfn.TEXTBEFORE(_xlfn.TEXTAFTER(A191, "("), ")")</f>
        <v>1998</v>
      </c>
      <c r="H191" s="10" t="str">
        <f>E191 &amp; IF(F191&lt;&gt;"", "_" &amp; SUBSTITUTE(F191," ",""), "_") &amp; IF(G191&lt;&gt;"", "_" &amp; G191, "_") &amp; IF(B191&lt;&gt;"", "_" &amp; B191, "")</f>
        <v>Frahm_etal_1998</v>
      </c>
      <c r="I191" s="10" t="str">
        <f>_xlfn.LET(
_xlpm.doi,IF(C191&lt;&gt;"",C191,_xlfn.TEXTAFTER(A191,"https://doi.org/")),
SUBSTITUTE(
SUBSTITUTE(
SUBSTITUTE(
SUBSTITUTE(
_xlpm.doi,
"/","%2F"),
":","%3A"),
"&lt;","%3C"),
"&gt;","%3E")
)</f>
        <v>PMID%3A9672110</v>
      </c>
      <c r="J191" s="10" t="str">
        <f>TRIM(_xlfn.TEXTJOIN("_",FALSE(),H191,(SUBSTITUTE(SUBSTITUTE(D191," ",""), "_", ""))))</f>
        <v>Frahm_etal_1998_Table1</v>
      </c>
      <c r="K191" s="10" t="str">
        <f>I191 &amp; "_" &amp; SUBSTITUTE(SUBSTITUTE(SUBSTITUTE(D191,CHAR(160),"")," ",""),"_","")</f>
        <v>PMID%3A9672110_Table1</v>
      </c>
      <c r="L191" s="10" t="str">
        <f t="array" ref="L191">IFERROR(INDEX(AUTO_Public_TSV_FileList!$A$1:$A$1000,MATCH(TRUE(),EXACT(K191,IFERROR(_xlfn.TEXTBEFORE(AUTO_Public_TSV_FileList!$A$1:$A$1000,".tsv"),"")),0)),"notfound")</f>
        <v>PMID%3A9672110_Table1.tsv</v>
      </c>
      <c r="M191" s="13"/>
      <c r="N191" s="1" t="inlineStr">
        <is>
          <t>table</t>
        </is>
      </c>
      <c r="O191" s="13"/>
      <c r="P191" s="1" t="inlineStr">
        <is>
          <t>FINISHED</t>
        </is>
      </c>
      <c r="Q191" s="13"/>
      <c r="R191" s="13"/>
      <c r="S191" s="13"/>
      <c r="T191" s="13"/>
      <c r="U191" s="13"/>
      <c r="V191" s="13"/>
      <c r="W191" s="1" t="inlineStr">
        <is>
          <t>Insectivora, Scandentia &amp; Primates</t>
        </is>
      </c>
      <c r="X191" s="1" t="inlineStr">
        <is>
          <t>middle temporal area (MT) size</t>
        </is>
      </c>
      <c r="Y191" s="13"/>
      <c r="Z191" s="1" t="inlineStr">
        <is>
          <t>histological sections</t>
        </is>
      </c>
      <c r="AA191" s="1" t="inlineStr">
        <is>
          <t>volumetry</t>
        </is>
      </c>
      <c r="AB191" s="1" t="inlineStr">
        <is>
          <t>volume</t>
        </is>
      </c>
      <c r="AC191" s="1" t="inlineStr">
        <is>
          <t>Stephan</t>
        </is>
      </c>
      <c r="AD191" s="1" t="inlineStr">
        <is>
          <t>Stephan</t>
        </is>
      </c>
      <c r="AE191" s="1" t="inlineStr">
        <is>
          <t>primary</t>
        </is>
      </c>
      <c r="AF191" s="1"/>
      <c r="AG191" s="13"/>
    </row>
    <row r="192" ht="17" customHeight="1">
      <c r="A192" s="1" t="inlineStr">
        <is>
          <t>Fritsches, K. A., Brill, R. W., &amp; Warrant, E. J. (2005). Warm eyes provide superior vision in swordfishes. Curr Biol, 15(1), 55-58. https://doi.org/10.1016/j.cub.2004.12.064</t>
        </is>
      </c>
      <c r="D192" s="1" t="inlineStr">
        <is>
          <t>Fig 2</t>
        </is>
      </c>
      <c r="E192" s="10" t="str">
        <f>SUBSTITUTE(SUBSTITUTE(_xlfn.TEXTBEFORE(A192,","), "-", ""), " ", "")</f>
        <v>Fritsches</v>
      </c>
      <c r="F192" s="10"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10" t="str">
        <f>_xlfn.TEXTBEFORE(_xlfn.TEXTAFTER(A192, "("), ")")</f>
        <v>2005</v>
      </c>
      <c r="H192" s="10" t="str">
        <f>E192 &amp; IF(F192&lt;&gt;"", "_" &amp; SUBSTITUTE(F192," ",""), "_") &amp; IF(G192&lt;&gt;"", "_" &amp; G192, "_") &amp; IF(B192&lt;&gt;"", "_" &amp; B192, "")</f>
        <v>Fritsches_etal_2005</v>
      </c>
      <c r="I192" s="10" t="str">
        <f>_xlfn.LET(
_xlpm.doi,IF(C192&lt;&gt;"",C192,_xlfn.TEXTAFTER(A192,"https://doi.org/")),
SUBSTITUTE(
SUBSTITUTE(
SUBSTITUTE(
SUBSTITUTE(
_xlpm.doi,
"/","%2F"),
":","%3A"),
"&lt;","%3C"),
"&gt;","%3E")
)</f>
        <v>10.1016%2Fj.cub.2004.12.064</v>
      </c>
      <c r="J192" s="10" t="str">
        <f>TRIM(_xlfn.TEXTJOIN("_",FALSE(),H192,(SUBSTITUTE(SUBSTITUTE(D192," ",""), "_", ""))))</f>
        <v>Fritsches_etal_2005_Fig2</v>
      </c>
      <c r="K192" s="10" t="str">
        <f>I192 &amp; "_" &amp; SUBSTITUTE(SUBSTITUTE(SUBSTITUTE(D192,CHAR(160),"")," ",""),"_","")</f>
        <v>10.1016%2Fj.cub.2004.12.064_Fig2</v>
      </c>
      <c r="L192" s="10" t="str">
        <f t="array" ref="L192">IFERROR(INDEX(AUTO_Public_TSV_FileList!$A$1:$A$1000,MATCH(TRUE(),EXACT(K192,IFERROR(_xlfn.TEXTBEFORE(AUTO_Public_TSV_FileList!$A$1:$A$1000,".tsv"),"")),0)),"notfound")</f>
        <v>10.1016%2Fj.cub.2004.12.064_Fig2.tsv</v>
      </c>
      <c r="M192" s="13"/>
      <c r="N192" s="13"/>
      <c r="O192" s="13" t="inlineStr">
        <is>
          <t>Progress stage was stale 'BROKEN CODE' from before the 2026-09-16 script fix (documented in the .R header). Re-verified 2026-09-25: CSV matches the current snapshot, all script assertions pass, public TSV already exists, definitions/README/references all complete.</t>
        </is>
      </c>
      <c r="P192" s="1" t="inlineStr">
        <is>
          <t>FINISHED</t>
        </is>
      </c>
      <c r="Q192" s="13"/>
      <c r="R192" s="13"/>
      <c r="S192" s="13"/>
      <c r="T192" s="13"/>
      <c r="U192" s="13"/>
      <c r="V192" s="13"/>
      <c r="W192" s="13"/>
      <c r="X192" s="13"/>
      <c r="Y192" s="13"/>
      <c r="Z192" s="13"/>
      <c r="AA192" s="13"/>
      <c r="AB192" s="13"/>
      <c r="AC192" s="13"/>
      <c r="AD192" s="13"/>
      <c r="AE192" s="13"/>
      <c r="AF192" s="13"/>
      <c r="AG192" s="13"/>
    </row>
    <row r="193" ht="17" customHeight="1">
      <c r="A193" s="9" t="inlineStr">
        <is>
          <t>Frost, S. B., &amp; Masterton, R. B. (1994). Hearing in primitive mammals: Monodelphis domestica and Marmosa elegans. Hear Res, 76, 67-72. https://doi.org/10.1016/0378-5955(94)90088-4</t>
        </is>
      </c>
      <c r="D193" s="9" t="inlineStr">
        <is>
          <t>Figure 3</t>
        </is>
      </c>
      <c r="E193" s="11" t="str">
        <f>SUBSTITUTE(SUBSTITUTE(_xlfn.TEXTBEFORE(A193,","), "-", ""), " ", "")</f>
        <v>Frost</v>
      </c>
      <c r="F193" s="10"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3" s="10" t="str">
        <f>_xlfn.TEXTBEFORE(_xlfn.TEXTAFTER(A193, "("), ")")</f>
        <v>1994</v>
      </c>
      <c r="H193" s="11" t="str">
        <f>E193 &amp; IF(F193&lt;&gt;"", "_" &amp; SUBSTITUTE(F193," ",""), "_") &amp; IF(G193&lt;&gt;"", "_" &amp; G193, "_") &amp; IF(B193&lt;&gt;"", "_" &amp; B193, "")</f>
        <v>Frost__1994</v>
      </c>
      <c r="I193" s="11" t="str">
        <f>_xlfn.LET(_xlpm.doi,IF(C193&lt;&gt;"",C193,_xlfn.TEXTAFTER(A193,"https://doi.org/")),SUBSTITUTE(SUBSTITUTE(SUBSTITUTE(SUBSTITUTE(_xlpm.doi,"/","%2F"),":","%3A"),"&lt;","%3C"),"&gt;","%3E"))</f>
        <v>10.1016%2F0378-5955(94)90088-4</v>
      </c>
      <c r="J193" s="11" t="str">
        <f>TRIM(_xlfn.TEXTJOIN("_",FALSE(),H193,(SUBSTITUTE(SUBSTITUTE(D193," ",""), "_", ""))))</f>
        <v>Frost__1994_Figure3</v>
      </c>
      <c r="K193" s="10" t="str">
        <f>I193 &amp; "_" &amp; SUBSTITUTE(SUBSTITUTE(SUBSTITUTE(D193,CHAR(160),"")," ",""),"_","")</f>
        <v>10.1016%2F0378-5955(94)90088-4_Figure3</v>
      </c>
      <c r="L193" s="10" t="str">
        <f t="array" ref="L193">IFERROR(INDEX(AUTO_Public_TSV_FileList!$A$1:$A$1000,MATCH(TRUE(),EXACT(K193,IFERROR(_xlfn.TEXTBEFORE(AUTO_Public_TSV_FileList!$A$1:$A$1000,".tsv"),"")),0)),"notfound")</f>
        <v>notfound</v>
      </c>
      <c r="M193" s="9" t="inlineStr">
        <is>
          <t>Averaged audiograms of three species of Didelphid opossums</t>
        </is>
      </c>
      <c r="N193" s="9" t="inlineStr">
        <is>
          <t>figure</t>
        </is>
      </c>
      <c r="O193" s="9" t="inlineStr">
        <is>
          <t>Not built -- see Resultstext item (priority 1, preferred over this figure) for this folder's built data.</t>
        </is>
      </c>
      <c r="P193" s="9" t="inlineStr">
        <is>
          <t>candidate</t>
        </is>
      </c>
      <c r="Q193" s="9"/>
      <c r="R193" s="32" t="inlineStr">
        <is>
          <t>https://doi.org/10.1016/0378-5955(94)90088-4</t>
        </is>
      </c>
      <c r="S193" s="9"/>
      <c r="T193" s="9"/>
      <c r="U193" s="9"/>
      <c r="V193" s="9" t="inlineStr">
        <is>
          <t>sensory hearing</t>
        </is>
      </c>
      <c r="W193" s="9" t="inlineStr">
        <is>
          <t>Didelphidae (Monodelphis domestica, Marmosa elegans; third species from literature)</t>
        </is>
      </c>
      <c r="X193" s="9" t="inlineStr">
        <is>
          <t>audiogram thresholds</t>
        </is>
      </c>
      <c r="Y193" s="9"/>
      <c r="Z193" s="9" t="inlineStr">
        <is>
          <t>behavioral (conditioned suppression/avoidance)</t>
        </is>
      </c>
      <c r="AA193" s="9" t="inlineStr">
        <is>
          <t>conditioned avoidance</t>
        </is>
      </c>
      <c r="AB193" s="9" t="inlineStr">
        <is>
          <t>threshold (dB SPL) by frequency (kHz)</t>
        </is>
      </c>
      <c r="AC193" s="9" t="inlineStr">
        <is>
          <t>Masterton</t>
        </is>
      </c>
      <c r="AD193" s="9"/>
      <c r="AE193" s="9" t="inlineStr">
        <is>
          <t>both</t>
        </is>
      </c>
      <c r="AF193" s="9" t="inlineStr">
        <is>
          <t>third-species audiogram from earlier Masterton-lab work (check legend)</t>
        </is>
      </c>
      <c r="AG193" s="9" t="inlineStr">
        <is>
          <t>extract first — direct source of values already used in SensoryData</t>
        </is>
      </c>
    </row>
    <row r="194" ht="17" customHeight="1">
      <c r="A194" s="9" t="inlineStr">
        <is>
          <t>Frost, S. B., &amp; Masterton, R. B. (1994). Hearing in primitive mammals: Monodelphis domestica and Marmosa elegans. Hear Res, 76, 67-72. https://doi.org/10.1016/0378-5955(94)90088-4</t>
        </is>
      </c>
      <c r="B194" s="18"/>
      <c r="C194" s="18"/>
      <c r="D194" s="9" t="inlineStr">
        <is>
          <t>Results Text</t>
        </is>
      </c>
      <c r="E194" s="11" t="str">
        <f>SUBSTITUTE(SUBSTITUTE(_xlfn.TEXTBEFORE(A194,","), "-", ""), " ", "")</f>
        <v>Frost</v>
      </c>
      <c r="F194" s="10"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4" s="10" t="str">
        <f>_xlfn.TEXTBEFORE(_xlfn.TEXTAFTER(A194, "("), ")")</f>
        <v>1994</v>
      </c>
      <c r="H194" s="11" t="str">
        <f>E194 &amp; IF(F194&lt;&gt;"", "_" &amp; SUBSTITUTE(F194," ",""), "_") &amp; IF(G194&lt;&gt;"", "_" &amp; G194, "_") &amp; IF(B194&lt;&gt;"", "_" &amp; B194, "")</f>
        <v>Frost__1994</v>
      </c>
      <c r="I194" s="11" t="str">
        <f>_xlfn.LET(_xlpm.doi,IF(C194&lt;&gt;"",C194,_xlfn.TEXTAFTER(A194,"https://doi.org/")),SUBSTITUTE(SUBSTITUTE(SUBSTITUTE(SUBSTITUTE(_xlpm.doi,"/","%2F"),":","%3A"),"&lt;","%3C"),"&gt;","%3E"))</f>
        <v>10.1016%2F0378-5955(94)90088-4</v>
      </c>
      <c r="J194" s="11" t="str">
        <f>TRIM(_xlfn.TEXTJOIN("_",FALSE(),H194,(SUBSTITUTE(SUBSTITUTE(D194," ",""), "_", ""))))</f>
        <v>Frost__1994_ResultsText</v>
      </c>
      <c r="K194" s="10" t="str">
        <f>I194 &amp; "_" &amp; SUBSTITUTE(SUBSTITUTE(SUBSTITUTE(D194,CHAR(160),"")," ",""),"_","")</f>
        <v>10.1016%2F0378-5955(94)90088-4_ResultsText</v>
      </c>
      <c r="L194" s="10" t="str">
        <f t="array" ref="L194">IFERROR(INDEX(AUTO_Public_TSV_FileList!$A$1:$A$1000,MATCH(TRUE(),EXACT(K194,IFERROR(_xlfn.TEXTBEFORE(AUTO_Public_TSV_FileList!$A$1:$A$1000,".tsv"),"")),0)),"notfound")</f>
        <v>10.1016%2F0378-5955(94)90088-4_ResultsText.tsv</v>
      </c>
      <c r="M194" s="9" t="inlineStr">
        <is>
          <t>Results text: hearing range at 60 dB SPL, best sensitivity and best frequency for M. domestica and M. elegans</t>
        </is>
      </c>
      <c r="N194" s="9" t="inlineStr">
        <is>
          <t>text</t>
        </is>
      </c>
      <c r="O194" s="9" t="inlineStr">
        <is>
          <t>Built 2026-09-27: transcribed both species' values from Results text.</t>
        </is>
      </c>
      <c r="P194" s="9" t="inlineStr">
        <is>
          <t>FINISHED</t>
        </is>
      </c>
      <c r="Q194" s="9"/>
      <c r="R194" s="32" t="inlineStr">
        <is>
          <t>https://doi.org/10.1016/0378-5955(94)90088-4</t>
        </is>
      </c>
      <c r="S194" s="9"/>
      <c r="T194" s="9"/>
      <c r="U194" s="9"/>
      <c r="V194" s="9" t="inlineStr">
        <is>
          <t>sensory hearing</t>
        </is>
      </c>
      <c r="W194" s="9" t="inlineStr">
        <is>
          <t>Monodelphis domestica; Marmosa elegans</t>
        </is>
      </c>
      <c r="X194" s="9" t="inlineStr">
        <is>
          <t>hearing limits; best sensitivity; best frequency</t>
        </is>
      </c>
      <c r="Y194" s="9"/>
      <c r="Z194" s="9" t="inlineStr">
        <is>
          <t>behavioral (conditioned suppression/avoidance)</t>
        </is>
      </c>
      <c r="AA194" s="9" t="inlineStr">
        <is>
          <t>conditioned avoidance</t>
        </is>
      </c>
      <c r="AB194" s="9" t="inlineStr">
        <is>
          <t>kHz; dB SPL</t>
        </is>
      </c>
      <c r="AC194" s="9" t="inlineStr">
        <is>
          <t>Masterton</t>
        </is>
      </c>
      <c r="AD194" s="9"/>
      <c r="AE194" s="9" t="inlineStr">
        <is>
          <t>primary</t>
        </is>
      </c>
      <c r="AF194" s="9"/>
      <c r="AG194" s="9" t="inlineStr">
        <is>
          <t>extract first — direct source of values already used in SensoryData</t>
        </is>
      </c>
    </row>
    <row r="195" ht="17" customHeight="1">
      <c r="A195" s="1" t="inlineStr">
        <is>
          <t>Fu, Y., Rusznak, Z., Herculano-Houzel, S., Watson, C., &amp; Paxinos, G. (2013). Cellular composition characterizing postnatal development and maturation of the mouse brain and spinal cord. Brain Struct Funct, 218(5), 1337-1354. https://doi.org/10.1007/s00429-012-0462-x</t>
        </is>
      </c>
      <c r="B195" s="18"/>
      <c r="C195" s="18"/>
      <c r="D195" s="1" t="inlineStr">
        <is>
          <t>Table 1</t>
        </is>
      </c>
      <c r="E195" s="10" t="str">
        <f>SUBSTITUTE(SUBSTITUTE(_xlfn.TEXTBEFORE(A195,","), "-", ""), " ", "")</f>
        <v>Fu</v>
      </c>
      <c r="F195" s="10"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10" t="str">
        <f>_xlfn.TEXTBEFORE(_xlfn.TEXTAFTER(A195, "("), ")")</f>
        <v>2013</v>
      </c>
      <c r="H195" s="10" t="str">
        <f>E195 &amp; IF(F195&lt;&gt;"", "_" &amp; SUBSTITUTE(F195," ",""), "_") &amp; IF(G195&lt;&gt;"", "_" &amp; G195, "_") &amp; IF(B195&lt;&gt;"", "_" &amp; B195, "")</f>
        <v>Fu_etal_2013</v>
      </c>
      <c r="I195" s="10" t="str">
        <f>_xlfn.LET(
_xlpm.doi,IF(C195&lt;&gt;"",C195,_xlfn.TEXTAFTER(A195,"https://doi.org/")),
SUBSTITUTE(
SUBSTITUTE(
SUBSTITUTE(
SUBSTITUTE(
_xlpm.doi,
"/","%2F"),
":","%3A"),
"&lt;","%3C"),
"&gt;","%3E")
)</f>
        <v>10.1007%2Fs00429-012-0462-x</v>
      </c>
      <c r="J195" s="10" t="str">
        <f>TRIM(_xlfn.TEXTJOIN("_",FALSE(),H195,(SUBSTITUTE(SUBSTITUTE(D195," ",""), "_", ""))))</f>
        <v>Fu_etal_2013_Table1</v>
      </c>
      <c r="K195" s="10" t="str">
        <f>I195 &amp; "_" &amp; SUBSTITUTE(SUBSTITUTE(SUBSTITUTE(D195,CHAR(160),"")," ",""),"_","")</f>
        <v>10.1007%2Fs00429-012-0462-x_Table1</v>
      </c>
      <c r="L195" s="10" t="str">
        <f t="array" ref="L195">IFERROR(INDEX(AUTO_Public_TSV_FileList!$A$1:$A$1000,MATCH(TRUE(),EXACT(K195,IFERROR(_xlfn.TEXTBEFORE(AUTO_Public_TSV_FileList!$A$1:$A$1000,".tsv"),"")),0)),"notfound")</f>
        <v>10.1007%2Fs00429-012-0462-x_Table1.tsv</v>
      </c>
      <c r="M195" s="1" t="inlineStr">
        <is>
          <t>Table 1 Age-dependent changes affecting the mouse central nervous system and pituitary</t>
        </is>
      </c>
      <c r="N195" s="13"/>
      <c r="O195" s="13"/>
      <c r="P195" s="1" t="inlineStr">
        <is>
          <t>FINISHED</t>
        </is>
      </c>
      <c r="Q195" s="13"/>
      <c r="R195" s="13"/>
      <c r="S195" s="13"/>
      <c r="T195" s="13"/>
      <c r="U195" s="13"/>
      <c r="V195" s="13"/>
      <c r="W195" s="1"/>
      <c r="X195" s="13"/>
      <c r="Y195" s="1" t="inlineStr">
        <is>
          <t>number spinal cord neurons</t>
        </is>
      </c>
      <c r="Z195" s="13"/>
      <c r="AA195" s="13"/>
      <c r="AB195" s="1"/>
      <c r="AC195" s="13"/>
      <c r="AD195" s="13"/>
      <c r="AE195" s="1"/>
      <c r="AF195" s="1"/>
      <c r="AG195" s="13"/>
      <c r="AH195" s="26"/>
    </row>
    <row r="196" ht="17" customHeight="1">
      <c r="A196" s="1" t="inlineStr">
        <is>
          <t>Gabi, M., Neves, K., Masseron, C., Ribeiro, P. F., Ventura-Antunes, L., Torres, L., Mota, B., Kaas, J. H., &amp; Herculano-Houzel, S. (2016). No relative expansion of the number of prefrontal neurons in primate and human evolution. Proc Natl Acad Sci U S A, 113(34), 9617-9622. https://doi.org/10.1073/pnas.1610178113</t>
        </is>
      </c>
      <c r="D196" s="1" t="inlineStr">
        <is>
          <t>Table S1</t>
        </is>
      </c>
      <c r="E196" s="10" t="str">
        <f>SUBSTITUTE(SUBSTITUTE(_xlfn.TEXTBEFORE(A196,","), "-", ""), " ", "")</f>
        <v>Gabi</v>
      </c>
      <c r="F196" s="10"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10" t="str">
        <f>_xlfn.TEXTBEFORE(_xlfn.TEXTAFTER(A196, "("), ")")</f>
        <v>2016</v>
      </c>
      <c r="H196" s="10" t="str">
        <f>E196 &amp; IF(F196&lt;&gt;"", "_" &amp; SUBSTITUTE(F196," ",""), "_") &amp; IF(G196&lt;&gt;"", "_" &amp; G196, "_") &amp; IF(B196&lt;&gt;"", "_" &amp; B196, "")</f>
        <v>Gabi_etal_2016</v>
      </c>
      <c r="I196" s="10" t="str">
        <f>_xlfn.LET(
_xlpm.doi,IF(C196&lt;&gt;"",C196,_xlfn.TEXTAFTER(A196,"https://doi.org/")),
SUBSTITUTE(
SUBSTITUTE(
SUBSTITUTE(
SUBSTITUTE(
_xlpm.doi,
"/","%2F"),
":","%3A"),
"&lt;","%3C"),
"&gt;","%3E")
)</f>
        <v>10.1073%2Fpnas.1610178113</v>
      </c>
      <c r="J196" s="10" t="str">
        <f>TRIM(_xlfn.TEXTJOIN("_",FALSE(),H196,(SUBSTITUTE(SUBSTITUTE(D196," ",""), "_", ""))))</f>
        <v>Gabi_etal_2016_TableS1</v>
      </c>
      <c r="K196" s="10" t="str">
        <f>I196 &amp; "_" &amp; SUBSTITUTE(SUBSTITUTE(SUBSTITUTE(D196,CHAR(160),"")," ",""),"_","")</f>
        <v>10.1073%2Fpnas.1610178113_TableS1</v>
      </c>
      <c r="L196" s="10" t="str">
        <f t="array" ref="L196">IFERROR(INDEX(AUTO_Public_TSV_FileList!$A$1:$A$1000,MATCH(TRUE(),EXACT(K196,IFERROR(_xlfn.TEXTBEFORE(AUTO_Public_TSV_FileList!$A$1:$A$1000,".tsv"),"")),0)),"notfound")</f>
        <v>10.1073%2Fpnas.1610178113_TableS1.tsv</v>
      </c>
      <c r="M196" s="13"/>
      <c r="N196" s="13" t="inlineStr">
        <is>
          <t>table</t>
        </is>
      </c>
      <c r="O196" s="13"/>
      <c r="P196" s="13" t="inlineStr">
        <is>
          <t>FINISHED</t>
        </is>
      </c>
      <c r="Q196" s="13"/>
      <c r="R196" s="13"/>
      <c r="S196" s="13"/>
      <c r="T196" s="13"/>
      <c r="U196" s="13"/>
      <c r="V196" s="19"/>
      <c r="W196" s="19" t="inlineStr">
        <is>
          <t>Primates (incl. human)</t>
        </is>
      </c>
      <c r="X196" s="19" t="inlineStr">
        <is>
          <t>prefrontal share of cortical gray/white volume, WM non-neuronal cells and cortical neurons</t>
        </is>
      </c>
      <c r="Y196" s="19"/>
      <c r="Z196" s="19"/>
      <c r="AA196" s="19"/>
      <c r="AB196" s="19" t="inlineStr">
        <is>
          <t>regional share of cortex (pct, not counts)</t>
        </is>
      </c>
      <c r="AC196" s="19" t="inlineStr">
        <is>
          <t>HH</t>
        </is>
      </c>
      <c r="AD196" s="19"/>
      <c r="AE196" s="19" t="inlineStr">
        <is>
          <t>primary</t>
        </is>
      </c>
      <c r="AF196" s="19"/>
      <c r="AG196" s="19" t="inlineStr">
        <is>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is>
      </c>
      <c r="AH196" s="26"/>
    </row>
    <row r="197" ht="17" customHeight="1">
      <c r="A197" s="9" t="inlineStr">
        <is>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is>
      </c>
      <c r="C197" t="inlineStr">
        <is>
          <t>ISBN:9780387269177</t>
        </is>
      </c>
      <c r="D197" s="9" t="inlineStr">
        <is>
          <t>Table 3</t>
        </is>
      </c>
      <c r="E197" s="10" t="str">
        <f>SUBSTITUTE(SUBSTITUTE(_xlfn.TEXTBEFORE(A197,","), "-", ""), " ", "")</f>
        <v>Garey</v>
      </c>
      <c r="F197" s="10"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7" s="10" t="str">
        <f>_xlfn.TEXTBEFORE(_xlfn.TEXTAFTER(A197, "("), ")")</f>
        <v>2006</v>
      </c>
      <c r="H197" s="10" t="str">
        <f>E197 &amp; IF(F197&lt;&gt;"", "_" &amp; SUBSTITUTE(F197," ",""), "_") &amp; IF(G197&lt;&gt;"", "_" &amp; G197, "_") &amp; IF(B197&lt;&gt;"", "_" &amp; B197, "")</f>
        <v>Garey__2006</v>
      </c>
      <c r="I197" s="10" t="str">
        <f>_xlfn.LET(
_xlpm.doi,IF(C197&lt;&gt;"",C197,_xlfn.TEXTAFTER(A197,"https://doi.org/")),
SUBSTITUTE(
SUBSTITUTE(
SUBSTITUTE(
SUBSTITUTE(
_xlpm.doi,
"/","%2F"),
":","%3A"),
"&lt;","%3C"),
"&gt;","%3E")
)</f>
        <v>ISBN%3A9780387269177</v>
      </c>
      <c r="J197" s="10" t="str">
        <f>TRIM(_xlfn.TEXTJOIN("_",FALSE(),H197,(SUBSTITUTE(SUBSTITUTE(D197," ",""), "_", ""))))</f>
        <v>Garey__2006_Table3</v>
      </c>
      <c r="K197" s="10" t="str">
        <f>I197 &amp; "_" &amp; SUBSTITUTE(SUBSTITUTE(SUBSTITUTE(D197,CHAR(160),"")," ",""),"_","")</f>
        <v>ISBN%3A9780387269177_Table3</v>
      </c>
      <c r="L197" s="10" t="str">
        <f t="array" ref="L197">IFERROR(INDEX(AUTO_Public_TSV_FileList!$A$1:$A$1000,MATCH(TRUE(),EXACT(K197,IFERROR(_xlfn.TEXTBEFORE(AUTO_Public_TSV_FileList!$A$1:$A$1000,".tsv"),"")),0)),"notfound")</f>
        <v>ISBN%3A9780387269177_Table3.tsv</v>
      </c>
      <c r="M197" s="9" t="inlineStr">
        <is>
          <t>Table 3. Thickness of homologous cortical areas in different animals (averages, in mm).</t>
        </is>
      </c>
      <c r="N197" s="9" t="inlineStr">
        <is>
          <t>PDF (born-digital text layer; transcribed to snapshot CSV)</t>
        </is>
      </c>
      <c r="O197" s="9" t="inlineStr">
        <is>
          <t>English translation of Brodmann 1909 by Garey (Springer 2006, 3rd ed.; Smith-Gordon 1994 first ed.). Values are Brodmann's; keep separate from the German primary and from Brodmann 1913. Printed p. 62.</t>
        </is>
      </c>
      <c r="P197" s="9" t="inlineStr">
        <is>
          <t>Built; owner registry insertion pending</t>
        </is>
      </c>
      <c r="Q197" s="9" t="inlineStr">
        <is>
          <t>Garey__2006_Table3_snapshot.csv</t>
        </is>
      </c>
      <c r="R197" s="9"/>
      <c r="S197" s="9"/>
      <c r="T197" s="9"/>
      <c r="U197" s="9"/>
      <c r="V197" s="9" t="inlineStr">
        <is>
          <t>cortical cytoarchitecture</t>
        </is>
      </c>
      <c r="W197" s="9" t="inlineStr">
        <is>
          <t>Mammalia</t>
        </is>
      </c>
      <c r="X197" s="9" t="inlineStr">
        <is>
          <t>cortical thickness</t>
        </is>
      </c>
      <c r="Y197" s="9" t="inlineStr">
        <is>
          <t>Brodmann areas 4, 6, 7, 17, 28, 29</t>
        </is>
      </c>
      <c r="Z197" s="9" t="inlineStr">
        <is>
          <t>histological</t>
        </is>
      </c>
      <c r="AA197" s="9" t="inlineStr">
        <is>
          <t>Source transcription from digital PDF; see item README</t>
        </is>
      </c>
      <c r="AB197" s="9" t="inlineStr">
        <is>
          <t>thickness (mm), area x species; 6 areas x 10 species (60 rows)</t>
        </is>
      </c>
      <c r="AC197" s="9" t="inlineStr">
        <is>
          <t>Garey__2006</t>
        </is>
      </c>
      <c r="AD197" s="9" t="inlineStr">
        <is>
          <t>General</t>
        </is>
      </c>
      <c r="AE197" s="9" t="inlineStr">
        <is>
          <t>secondary</t>
        </is>
      </c>
      <c r="AF197" s="9" t="inlineStr">
        <is>
          <t>Brodmann (1909), Vergleichende Lokalisationslehre der Grosshirnrinde (German original; no repo folder yet)</t>
        </is>
      </c>
      <c r="AG197" s="9" t="inlineStr">
        <is>
          <t>Use to cross-check the German scans; supersede into the German primary where transcribed; never average.</t>
        </is>
      </c>
      <c r="AH197" s="5" t="inlineStr">
        <is>
          <t>Checked snapshot 22102026</t>
        </is>
      </c>
    </row>
    <row r="198" ht="17" customHeight="1">
      <c r="A198" s="9" t="inlineStr">
        <is>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is>
      </c>
      <c r="C198" t="inlineStr">
        <is>
          <t>ISBN:9780387269177</t>
        </is>
      </c>
      <c r="D198" s="9" t="inlineStr">
        <is>
          <t>Table 4</t>
        </is>
      </c>
      <c r="E198" s="10" t="str">
        <f>SUBSTITUTE(SUBSTITUTE(_xlfn.TEXTBEFORE(A198,","), "-", ""), " ", "")</f>
        <v>Garey</v>
      </c>
      <c r="F198" s="10"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8" s="10" t="str">
        <f>_xlfn.TEXTBEFORE(_xlfn.TEXTAFTER(A198, "("), ")")</f>
        <v>2006</v>
      </c>
      <c r="H198" s="10" t="str">
        <f>E198 &amp; IF(F198&lt;&gt;"", "_" &amp; SUBSTITUTE(F198," ",""), "_") &amp; IF(G198&lt;&gt;"", "_" &amp; G198, "_") &amp; IF(B198&lt;&gt;"", "_" &amp; B198, "")</f>
        <v>Garey__2006</v>
      </c>
      <c r="I198" s="10" t="str">
        <f>_xlfn.LET(
_xlpm.doi,IF(C198&lt;&gt;"",C198,_xlfn.TEXTAFTER(A198,"https://doi.org/")),
SUBSTITUTE(
SUBSTITUTE(
SUBSTITUTE(
SUBSTITUTE(
_xlpm.doi,
"/","%2F"),
":","%3A"),
"&lt;","%3C"),
"&gt;","%3E")
)</f>
        <v>ISBN%3A9780387269177</v>
      </c>
      <c r="J198" s="10" t="str">
        <f>TRIM(_xlfn.TEXTJOIN("_",FALSE(),H198,(SUBSTITUTE(SUBSTITUTE(D198," ",""), "_", ""))))</f>
        <v>Garey__2006_Table4</v>
      </c>
      <c r="K198" s="10" t="str">
        <f>I198 &amp; "_" &amp; SUBSTITUTE(SUBSTITUTE(SUBSTITUTE(D198,CHAR(160),"")," ",""),"_","")</f>
        <v>ISBN%3A9780387269177_Table4</v>
      </c>
      <c r="L198" s="10" t="str">
        <f t="array" ref="L198">IFERROR(INDEX(AUTO_Public_TSV_FileList!$A$1:$A$1000,MATCH(TRUE(),EXACT(K198,IFERROR(_xlfn.TEXTBEFORE(AUTO_Public_TSV_FileList!$A$1:$A$1000,".tsv"),"")),0)),"notfound")</f>
        <v>ISBN%3A9780387269177_Table4.tsv</v>
      </c>
      <c r="M198" s="9" t="inlineStr">
        <is>
          <t>Table 4. Relationship between body and brain weight and cortical thickness</t>
        </is>
      </c>
      <c r="N198" s="9" t="inlineStr">
        <is>
          <t>PDF (born-digital text layer; transcribed to snapshot CSV)</t>
        </is>
      </c>
      <c r="O198" s="9" t="inlineStr">
        <is>
          <t>English translation of Brodmann 1909 by Garey (Springer 2006, 3rd ed.; Smith-Gordon 1994 first ed.). Values are Brodmann's; keep separate from the German primary and from Brodmann 1913. Printed p. 79.</t>
        </is>
      </c>
      <c r="P198" s="9" t="inlineStr">
        <is>
          <t>Built; owner registry insertion pending</t>
        </is>
      </c>
      <c r="Q198" s="9" t="inlineStr">
        <is>
          <t>Garey__2006_Table4_snapshot.csv</t>
        </is>
      </c>
      <c r="R198" s="9"/>
      <c r="S198" s="9"/>
      <c r="T198" s="9"/>
      <c r="U198" s="9"/>
      <c r="V198" s="14" t="inlineStr">
        <is>
          <t>cortical cytoarchitecture</t>
        </is>
      </c>
      <c r="W198" s="14" t="inlineStr">
        <is>
          <t>Mammalia</t>
        </is>
      </c>
      <c r="X198" s="14" t="inlineStr">
        <is>
          <t>body weight; brain weight; cortical thickness</t>
        </is>
      </c>
      <c r="Y198" s="14" t="inlineStr">
        <is>
          <t>Brodmann areas 4 and 7</t>
        </is>
      </c>
      <c r="Z198" s="14" t="inlineStr">
        <is>
          <t>histological</t>
        </is>
      </c>
      <c r="AA198" s="14" t="inlineStr">
        <is>
          <t>Source transcription from digital PDF; see item README</t>
        </is>
      </c>
      <c r="AB198" s="14" t="inlineStr">
        <is>
          <t>body and brain weight (g) and cortical thickness (mm), 13 species</t>
        </is>
      </c>
      <c r="AC198" s="14" t="inlineStr">
        <is>
          <t>Garey__2006</t>
        </is>
      </c>
      <c r="AD198" s="14" t="inlineStr">
        <is>
          <t>General</t>
        </is>
      </c>
      <c r="AE198" s="14" t="inlineStr">
        <is>
          <t>secondary</t>
        </is>
      </c>
      <c r="AF198" s="14" t="inlineStr">
        <is>
          <t>Brodmann (1909), Vergleichende Lokalisationslehre der Grosshirnrinde (German original; no repo folder yet)</t>
        </is>
      </c>
      <c r="AG198" s="14" t="inlineStr">
        <is>
          <t>Use to cross-check the German scans; supersede into the German primary where transcribed; never average.</t>
        </is>
      </c>
      <c r="AH198" s="5" t="inlineStr">
        <is>
          <t>Checked snapshot 22102026</t>
        </is>
      </c>
    </row>
    <row r="199" ht="17" customHeight="1">
      <c r="A199" s="9" t="inlineStr">
        <is>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is>
      </c>
      <c r="C199" t="inlineStr">
        <is>
          <t>ISBN:9780387269177</t>
        </is>
      </c>
      <c r="D199" s="9" t="inlineStr">
        <is>
          <t>Table 5</t>
        </is>
      </c>
      <c r="E199" s="10" t="str">
        <f>SUBSTITUTE(SUBSTITUTE(_xlfn.TEXTBEFORE(A199,","), "-", ""), " ", "")</f>
        <v>Garey</v>
      </c>
      <c r="F199" s="10"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9" s="10" t="str">
        <f>_xlfn.TEXTBEFORE(_xlfn.TEXTAFTER(A199, "("), ")")</f>
        <v>2006</v>
      </c>
      <c r="H199" s="10" t="str">
        <f>E199 &amp; IF(F199&lt;&gt;"", "_" &amp; SUBSTITUTE(F199," ",""), "_") &amp; IF(G199&lt;&gt;"", "_" &amp; G199, "_") &amp; IF(B199&lt;&gt;"", "_" &amp; B199, "")</f>
        <v>Garey__2006</v>
      </c>
      <c r="I199" s="10" t="str">
        <f>_xlfn.LET(
_xlpm.doi,IF(C199&lt;&gt;"",C199,_xlfn.TEXTAFTER(A199,"https://doi.org/")),
SUBSTITUTE(
SUBSTITUTE(
SUBSTITUTE(
SUBSTITUTE(
_xlpm.doi,
"/","%2F"),
":","%3A"),
"&lt;","%3C"),
"&gt;","%3E")
)</f>
        <v>ISBN%3A9780387269177</v>
      </c>
      <c r="J199" s="10" t="str">
        <f>TRIM(_xlfn.TEXTJOIN("_",FALSE(),H199,(SUBSTITUTE(SUBSTITUTE(D199," ",""), "_", ""))))</f>
        <v>Garey__2006_Table5</v>
      </c>
      <c r="K199" s="10" t="str">
        <f>I199 &amp; "_" &amp; SUBSTITUTE(SUBSTITUTE(SUBSTITUTE(D199,CHAR(160),"")," ",""),"_","")</f>
        <v>ISBN%3A9780387269177_Table5</v>
      </c>
      <c r="L199" s="10" t="str">
        <f t="array" ref="L199">IFERROR(INDEX(AUTO_Public_TSV_FileList!$A$1:$A$1000,MATCH(TRUE(),EXACT(K199,IFERROR(_xlfn.TEXTBEFORE(AUTO_Public_TSV_FileList!$A$1:$A$1000,".tsv"),"")),0)),"notfound")</f>
        <v>ISBN%3A9780387269177_Table5.tsv</v>
      </c>
      <c r="M199" s="9" t="inlineStr">
        <is>
          <t>Table 5. Size of Betz giant pyramidal cells in different animals (width and length of the cell body in microns).</t>
        </is>
      </c>
      <c r="N199" s="9" t="inlineStr">
        <is>
          <t>PDF (born-digital text layer; transcribed to snapshot CSV)</t>
        </is>
      </c>
      <c r="O199" s="9" t="inlineStr">
        <is>
          <t>English translation of Brodmann 1909 by Garey (Springer 2006, 3rd ed.; Smith-Gordon 1994 first ed.). Values are Brodmann's; keep separate from the German primary and from Brodmann 1913. Printed p. 70.</t>
        </is>
      </c>
      <c r="P199" s="9" t="inlineStr">
        <is>
          <t>Built; owner registry insertion pending</t>
        </is>
      </c>
      <c r="Q199" s="9" t="inlineStr">
        <is>
          <t>Garey__2006_Table5_snapshot.csv</t>
        </is>
      </c>
      <c r="R199" s="9"/>
      <c r="S199" s="9"/>
      <c r="T199" s="9"/>
      <c r="U199" s="9"/>
      <c r="V199" s="9" t="inlineStr">
        <is>
          <t>cortical cytoarchitecture</t>
        </is>
      </c>
      <c r="W199" s="9" t="inlineStr">
        <is>
          <t>Mammalia</t>
        </is>
      </c>
      <c r="X199" s="9" t="inlineStr">
        <is>
          <t>Betz cell size</t>
        </is>
      </c>
      <c r="Y199" s="9" t="inlineStr">
        <is>
          <t>Betz cells; area 4</t>
        </is>
      </c>
      <c r="Z199" s="9" t="inlineStr">
        <is>
          <t>histological</t>
        </is>
      </c>
      <c r="AA199" s="9" t="inlineStr">
        <is>
          <t>Source transcription from digital PDF; see item README</t>
        </is>
      </c>
      <c r="AB199" s="9" t="inlineStr">
        <is>
          <t>maximum and average cell-body width x length (um); 10 animals</t>
        </is>
      </c>
      <c r="AC199" s="9" t="inlineStr">
        <is>
          <t>Garey__2006</t>
        </is>
      </c>
      <c r="AD199" s="9" t="inlineStr">
        <is>
          <t>General</t>
        </is>
      </c>
      <c r="AE199" s="9" t="inlineStr">
        <is>
          <t>secondary</t>
        </is>
      </c>
      <c r="AF199" s="9" t="inlineStr">
        <is>
          <t>Brodmann (1909), Vergleichende Lokalisationslehre der Grosshirnrinde (German original; no repo folder yet)</t>
        </is>
      </c>
      <c r="AG199" s="9" t="inlineStr">
        <is>
          <t>Use to cross-check the German scans; supersede into the German primary where transcribed; never average.</t>
        </is>
      </c>
      <c r="AH199" s="18" t="inlineStr">
        <is>
          <t>Checked snapshot 22102026</t>
        </is>
      </c>
    </row>
    <row r="200" ht="17" customHeight="1">
      <c r="A200" s="9" t="inlineStr">
        <is>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is>
      </c>
      <c r="C200" t="inlineStr">
        <is>
          <t>ISBN:9780387269177</t>
        </is>
      </c>
      <c r="D200" s="9" t="inlineStr">
        <is>
          <t>Table 6</t>
        </is>
      </c>
      <c r="E200" s="10" t="str">
        <f>SUBSTITUTE(SUBSTITUTE(_xlfn.TEXTBEFORE(A200,","), "-", ""), " ", "")</f>
        <v>Garey</v>
      </c>
      <c r="F200" s="10"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0" s="10" t="str">
        <f>_xlfn.TEXTBEFORE(_xlfn.TEXTAFTER(A200, "("), ")")</f>
        <v>2006</v>
      </c>
      <c r="H200" s="10" t="str">
        <f>E200 &amp; IF(F200&lt;&gt;"", "_" &amp; SUBSTITUTE(F200," ",""), "_") &amp; IF(G200&lt;&gt;"", "_" &amp; G200, "_") &amp; IF(B200&lt;&gt;"", "_" &amp; B200, "")</f>
        <v>Garey__2006</v>
      </c>
      <c r="I200" s="10" t="str">
        <f>_xlfn.LET(
_xlpm.doi,IF(C200&lt;&gt;"",C200,_xlfn.TEXTAFTER(A200,"https://doi.org/")),
SUBSTITUTE(
SUBSTITUTE(
SUBSTITUTE(
SUBSTITUTE(
_xlpm.doi,
"/","%2F"),
":","%3A"),
"&lt;","%3C"),
"&gt;","%3E")
)</f>
        <v>ISBN%3A9780387269177</v>
      </c>
      <c r="J200" s="10" t="str">
        <f>TRIM(_xlfn.TEXTJOIN("_",FALSE(),H200,(SUBSTITUTE(SUBSTITUTE(D200," ",""), "_", ""))))</f>
        <v>Garey__2006_Table6</v>
      </c>
      <c r="K200" s="10" t="str">
        <f>I200 &amp; "_" &amp; SUBSTITUTE(SUBSTITUTE(SUBSTITUTE(D200,CHAR(160),"")," ",""),"_","")</f>
        <v>ISBN%3A9780387269177_Table6</v>
      </c>
      <c r="L200" s="10" t="str">
        <f t="array" ref="L200">IFERROR(INDEX(AUTO_Public_TSV_FileList!$A$1:$A$1000,MATCH(TRUE(),EXACT(K200,IFERROR(_xlfn.TEXTBEFORE(AUTO_Public_TSV_FileList!$A$1:$A$1000,".tsv"),"")),0)),"notfound")</f>
        <v>ISBN%3A9780387269177_Table6.tsv</v>
      </c>
      <c r="M200" s="9" t="inlineStr">
        <is>
          <t>Table 6. Thickness of layer I in mm and its ratio to the total thickness of the respective cortical area.</t>
        </is>
      </c>
      <c r="N200" s="9" t="inlineStr">
        <is>
          <t>PDF (born-digital text layer; transcribed to snapshot CSV)</t>
        </is>
      </c>
      <c r="O200" s="9" t="inlineStr">
        <is>
          <t>English translation of Brodmann 1909 by Garey (Springer 2006, 3rd ed.; Smith-Gordon 1994 first ed.). Values are Brodmann's; keep separate from the German primary and from Brodmann 1913. Printed p. 79.</t>
        </is>
      </c>
      <c r="P200" s="9" t="inlineStr">
        <is>
          <t>Built; owner registry insertion pending</t>
        </is>
      </c>
      <c r="Q200" s="9" t="inlineStr">
        <is>
          <t>Garey__2006_Table6_snapshot.csv</t>
        </is>
      </c>
      <c r="R200" s="9"/>
      <c r="S200" s="9"/>
      <c r="T200" s="9"/>
      <c r="U200" s="9"/>
      <c r="V200" s="9" t="inlineStr">
        <is>
          <t>cortical cytoarchitecture</t>
        </is>
      </c>
      <c r="W200" s="9" t="inlineStr">
        <is>
          <t>Mammalia</t>
        </is>
      </c>
      <c r="X200" s="9" t="inlineStr">
        <is>
          <t>layer I thickness</t>
        </is>
      </c>
      <c r="Y200" s="9" t="inlineStr">
        <is>
          <t>layer I; Brodmann areas 4, 6, 17, 28</t>
        </is>
      </c>
      <c r="Z200" s="9" t="inlineStr">
        <is>
          <t>histological</t>
        </is>
      </c>
      <c r="AA200" s="9" t="inlineStr">
        <is>
          <t>Source transcription from digital PDF; see item README</t>
        </is>
      </c>
      <c r="AB200" s="9" t="inlineStr">
        <is>
          <t>layer I thickness (mm) and layer I : total ratio; areas 4, 6, 17, 28 x 10 species (40 rows)</t>
        </is>
      </c>
      <c r="AC200" s="9" t="inlineStr">
        <is>
          <t>Garey__2006</t>
        </is>
      </c>
      <c r="AD200" s="9" t="inlineStr">
        <is>
          <t>General</t>
        </is>
      </c>
      <c r="AE200" s="9" t="inlineStr">
        <is>
          <t>secondary</t>
        </is>
      </c>
      <c r="AF200" s="9" t="inlineStr">
        <is>
          <t>Brodmann (1909), Vergleichende Lokalisationslehre der Grosshirnrinde (German original; no repo folder yet)</t>
        </is>
      </c>
      <c r="AG200" s="9" t="inlineStr">
        <is>
          <t>Use to cross-check the German scans; supersede into the German primary where transcribed; never average.</t>
        </is>
      </c>
      <c r="AH200" s="18" t="inlineStr">
        <is>
          <t>Checked snapshot 22102026</t>
        </is>
      </c>
    </row>
    <row r="201" ht="17" customHeight="1">
      <c r="A201" s="1" t="inlineStr">
        <is>
          <t>Garwicz, M., Christensson, M., &amp; Psouni, E. (2009). A unifying model for timing of walking onset in humans and other mammals. Proc Natl Acad Sci U S A, 106(51), 21889-21893. https://doi.org/10.1073/pnas.0905777106</t>
        </is>
      </c>
      <c r="D201" s="1" t="inlineStr">
        <is>
          <t>Table S1</t>
        </is>
      </c>
      <c r="E201" s="10" t="str">
        <f>SUBSTITUTE(SUBSTITUTE(_xlfn.TEXTBEFORE(A201,","), "-", ""), " ", "")</f>
        <v>Garwicz</v>
      </c>
      <c r="F201" s="10"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10" t="str">
        <f>_xlfn.TEXTBEFORE(_xlfn.TEXTAFTER(A201, "("), ")")</f>
        <v>2009</v>
      </c>
      <c r="H201" s="10" t="str">
        <f>E201 &amp; IF(F201&lt;&gt;"", "_" &amp; SUBSTITUTE(F201," ",""), "_") &amp; IF(G201&lt;&gt;"", "_" &amp; G201, "_") &amp; IF(B201&lt;&gt;"", "_" &amp; B201, "")</f>
        <v>Garwicz_etal_2009</v>
      </c>
      <c r="I201" s="10" t="str">
        <f>_xlfn.LET(
_xlpm.doi,IF(C201&lt;&gt;"",C201,_xlfn.TEXTAFTER(A201,"https://doi.org/")),
SUBSTITUTE(
SUBSTITUTE(
SUBSTITUTE(
SUBSTITUTE(
_xlpm.doi,
"/","%2F"),
":","%3A"),
"&lt;","%3C"),
"&gt;","%3E")
)</f>
        <v>10.1073%2Fpnas.0905777106</v>
      </c>
      <c r="J201" s="10" t="str">
        <f>TRIM(_xlfn.TEXTJOIN("_",FALSE(),H201,(SUBSTITUTE(SUBSTITUTE(D201," ",""), "_", ""))))</f>
        <v>Garwicz_etal_2009_TableS1</v>
      </c>
      <c r="K201" s="10" t="str">
        <f>I201 &amp; "_" &amp; SUBSTITUTE(SUBSTITUTE(SUBSTITUTE(D201,CHAR(160),"")," ",""),"_","")</f>
        <v>10.1073%2Fpnas.0905777106_TableS1</v>
      </c>
      <c r="L201" s="10" t="str">
        <f t="array" ref="L201">IFERROR(INDEX(AUTO_Public_TSV_FileList!$A$1:$A$1000,MATCH(TRUE(),EXACT(K201,IFERROR(_xlfn.TEXTBEFORE(AUTO_Public_TSV_FileList!$A$1:$A$1000,".tsv"),"")),0)),"notfound")</f>
        <v>10.1073%2Fpnas.0905777106_TableS1.tsv</v>
      </c>
      <c r="M201" s="1" t="inlineStr">
        <is>
          <t>Table S1. Taxonomy of species included in the sample</t>
        </is>
      </c>
      <c r="N201" s="13"/>
      <c r="O201" s="13"/>
      <c r="P201" s="13" t="inlineStr">
        <is>
          <t>FINISHED</t>
        </is>
      </c>
      <c r="Q201" s="13"/>
      <c r="R201" s="1" t="inlineStr">
        <is>
          <t>https://www.pnas.org/doi/suppl/10.1073/pnas.0905777106/suppl_file/0905777106si.pdf</t>
        </is>
      </c>
      <c r="S201" s="13"/>
      <c r="T201" s="13"/>
      <c r="U201" s="13"/>
      <c r="V201" s="13"/>
      <c r="W201" s="1" t="inlineStr">
        <is>
          <t>Mammals</t>
        </is>
      </c>
      <c r="X201" s="13"/>
      <c r="Y201" s="13"/>
      <c r="Z201" s="13"/>
      <c r="AA201" s="13"/>
      <c r="AB201" s="1" t="inlineStr">
        <is>
          <t>behavioural/developmental (motor onset)</t>
        </is>
      </c>
      <c r="AC201" s="13"/>
      <c r="AD201" s="13"/>
      <c r="AE201" s="1" t="inlineStr">
        <is>
          <t>secondary</t>
        </is>
      </c>
      <c r="AF201" s="1"/>
      <c r="AG201" s="13"/>
    </row>
    <row r="202" ht="17" customHeight="1">
      <c r="A202" s="1" t="inlineStr">
        <is>
          <t>Garwicz, M., Christensson, M., &amp; Psouni, E. (2009). A unifying model for timing of walking onset in humans and other mammals. Proc Natl Acad Sci U S A, 106(51), 21889-21893. https://doi.org/10.1073/pnas.0905777106</t>
        </is>
      </c>
      <c r="B202" s="14"/>
      <c r="C202" s="14"/>
      <c r="D202" s="1" t="inlineStr">
        <is>
          <t>Table S2</t>
        </is>
      </c>
      <c r="E202" s="10" t="str">
        <f>SUBSTITUTE(SUBSTITUTE(_xlfn.TEXTBEFORE(A202,","), "-", ""), " ", "")</f>
        <v>Garwicz</v>
      </c>
      <c r="F202" s="10"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10" t="str">
        <f>_xlfn.TEXTBEFORE(_xlfn.TEXTAFTER(A202, "("), ")")</f>
        <v>2009</v>
      </c>
      <c r="H202" s="10" t="str">
        <f>E202 &amp; IF(F202&lt;&gt;"", "_" &amp; SUBSTITUTE(F202," ",""), "_") &amp; IF(G202&lt;&gt;"", "_" &amp; G202, "_") &amp; IF(B202&lt;&gt;"", "_" &amp; B202, "")</f>
        <v>Garwicz_etal_2009</v>
      </c>
      <c r="I202" s="10" t="str">
        <f>_xlfn.LET(
_xlpm.doi,IF(C202&lt;&gt;"",C202,_xlfn.TEXTAFTER(A202,"https://doi.org/")),
SUBSTITUTE(
SUBSTITUTE(
SUBSTITUTE(
SUBSTITUTE(
_xlpm.doi,
"/","%2F"),
":","%3A"),
"&lt;","%3C"),
"&gt;","%3E")
)</f>
        <v>10.1073%2Fpnas.0905777106</v>
      </c>
      <c r="J202" s="10" t="str">
        <f>TRIM(_xlfn.TEXTJOIN("_",FALSE(),H202,(SUBSTITUTE(SUBSTITUTE(D202," ",""), "_", ""))))</f>
        <v>Garwicz_etal_2009_TableS2</v>
      </c>
      <c r="K202" s="10" t="str">
        <f>I202 &amp; "_" &amp; SUBSTITUTE(SUBSTITUTE(SUBSTITUTE(D202,CHAR(160),"")," ",""),"_","")</f>
        <v>10.1073%2Fpnas.0905777106_TableS2</v>
      </c>
      <c r="L202" s="10" t="str">
        <f t="array" ref="L202">IFERROR(INDEX(AUTO_Public_TSV_FileList!$A$1:$A$1000,MATCH(TRUE(),EXACT(K202,IFERROR(_xlfn.TEXTBEFORE(AUTO_Public_TSV_FileList!$A$1:$A$1000,".tsv"),"")),0)),"notfound")</f>
        <v>10.1073%2Fpnas.0905777106_TableS2.tsv</v>
      </c>
      <c r="M202" s="1" t="inlineStr">
        <is>
          <t>Table S2. Database for multiple-regression model</t>
        </is>
      </c>
      <c r="N202" s="13"/>
      <c r="O202" s="13"/>
      <c r="P202" s="13" t="inlineStr">
        <is>
          <t>FINISHED</t>
        </is>
      </c>
      <c r="Q202" s="13"/>
      <c r="R202" s="1" t="inlineStr">
        <is>
          <t>https://www.pnas.org/doi/suppl/10.1073/pnas.0905777106/suppl_file/0905777106si.pdf</t>
        </is>
      </c>
      <c r="S202" s="13"/>
      <c r="T202" s="13"/>
      <c r="U202" s="13"/>
      <c r="V202" s="13"/>
      <c r="W202" s="1" t="inlineStr">
        <is>
          <t>Mammals</t>
        </is>
      </c>
      <c r="X202" s="13"/>
      <c r="Y202" s="13"/>
      <c r="Z202" s="13"/>
      <c r="AA202" s="13"/>
      <c r="AB202" s="1" t="inlineStr">
        <is>
          <t>behavioural/developmental (motor onset)</t>
        </is>
      </c>
      <c r="AC202" s="13"/>
      <c r="AD202" s="13"/>
      <c r="AE202" s="1" t="inlineStr">
        <is>
          <t>secondary</t>
        </is>
      </c>
      <c r="AF202" s="1"/>
      <c r="AG202" s="13"/>
    </row>
    <row r="203" ht="17" customHeight="1">
      <c r="A203" s="1" t="inlineStr">
        <is>
          <t>Genoud, M., Isler, K., &amp; Martin, R. D. (2018). Comparative analyses of basal rate of metabolism in mammals: data selection does matter. Biol Rev Camb Philos Soc, 93(1), 404-438. https://doi.org/10.1111/brv.12350</t>
        </is>
      </c>
      <c r="B203" s="14"/>
      <c r="C203" s="14"/>
      <c r="D203" s="1" t="inlineStr">
        <is>
          <t>Table S2</t>
        </is>
      </c>
      <c r="E203" s="10" t="str">
        <f>SUBSTITUTE(SUBSTITUTE(_xlfn.TEXTBEFORE(A203,","), "-", ""), " ", "")</f>
        <v>Genoud</v>
      </c>
      <c r="F203" s="10"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10" t="str">
        <f>_xlfn.TEXTBEFORE(_xlfn.TEXTAFTER(A203, "("), ")")</f>
        <v>2018</v>
      </c>
      <c r="H203" s="10" t="str">
        <f>E203 &amp; IF(F203&lt;&gt;"", "_" &amp; SUBSTITUTE(F203," ",""), "_") &amp; IF(G203&lt;&gt;"", "_" &amp; G203, "_") &amp; IF(B203&lt;&gt;"", "_" &amp; B203, "")</f>
        <v>Genoud_etal_2018</v>
      </c>
      <c r="I203" s="10" t="str">
        <f>_xlfn.LET(
_xlpm.doi,IF(C203&lt;&gt;"",C203,_xlfn.TEXTAFTER(A203,"https://doi.org/")),
SUBSTITUTE(
SUBSTITUTE(
SUBSTITUTE(
SUBSTITUTE(
_xlpm.doi,
"/","%2F"),
":","%3A"),
"&lt;","%3C"),
"&gt;","%3E")
)</f>
        <v>10.1111%2Fbrv.12350</v>
      </c>
      <c r="J203" s="10" t="str">
        <f>TRIM(_xlfn.TEXTJOIN("_",FALSE(),H203,(SUBSTITUTE(SUBSTITUTE(D203," ",""), "_", ""))))</f>
        <v>Genoud_etal_2018_TableS2</v>
      </c>
      <c r="K203" s="10" t="str">
        <f>I203 &amp; "_" &amp; SUBSTITUTE(SUBSTITUTE(SUBSTITUTE(D203,CHAR(160),"")," ",""),"_","")</f>
        <v>10.1111%2Fbrv.12350_TableS2</v>
      </c>
      <c r="L203" s="10" t="str">
        <f t="array" ref="L203">IFERROR(INDEX(AUTO_Public_TSV_FileList!$A$1:$A$1000,MATCH(TRUE(),EXACT(K203,IFERROR(_xlfn.TEXTBEFORE(AUTO_Public_TSV_FileList!$A$1:$A$1000,".tsv"),"")),0)),"notfound")</f>
        <v>10.1111%2Fbrv.12350_TableS2.tsv</v>
      </c>
      <c r="M203" s="1" t="inlineStr">
        <is>
          <t>Table S2. Basal metabolic rate (BMR) database.</t>
        </is>
      </c>
      <c r="N203" s="13"/>
      <c r="O203" s="13"/>
      <c r="P203" s="13" t="inlineStr">
        <is>
          <t>FINISHED</t>
        </is>
      </c>
      <c r="Q203" s="13"/>
      <c r="R203" s="13"/>
      <c r="S203" s="13"/>
      <c r="T203" s="13"/>
      <c r="U203" s="13"/>
      <c r="V203" s="13"/>
      <c r="W203" s="1"/>
      <c r="X203" s="1" t="inlineStr">
        <is>
          <t>BMR</t>
        </is>
      </c>
      <c r="Y203" s="13"/>
      <c r="Z203" s="13"/>
      <c r="AA203" s="13"/>
      <c r="AB203" s="1"/>
      <c r="AC203" s="13"/>
      <c r="AD203" s="13"/>
      <c r="AE203" s="1" t="inlineStr">
        <is>
          <t>secondary</t>
        </is>
      </c>
      <c r="AF203" s="1"/>
      <c r="AG203" s="13"/>
    </row>
    <row r="204" ht="17" customHeight="1">
      <c r="A204" s="9" t="inlineStr">
        <is>
          <t>Gillette, R. G., Brown, R., Herman, P., Vernon, S., &amp; Vernon, J. (1973). The auditory sensitivity of the Lemur. American Journal of Physical Anthropology, 38(2), 365-370. doi:10.1002/ajpa.1330380234 (PMID 4689764)</t>
        </is>
      </c>
      <c r="B204" s="18"/>
      <c r="C204" s="18" t="inlineStr">
        <is>
          <t>PMID:4689764</t>
        </is>
      </c>
      <c r="D204" s="9" t="inlineStr">
        <is>
          <t>Results Text</t>
        </is>
      </c>
      <c r="E204" s="11" t="str">
        <f>SUBSTITUTE(SUBSTITUTE(_xlfn.TEXTBEFORE(A204,","), "-", ""), " ", "")</f>
        <v>Gillette</v>
      </c>
      <c r="F204" s="10"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10" t="str">
        <f>_xlfn.TEXTBEFORE(_xlfn.TEXTAFTER(A204, "("), ")")</f>
        <v>1973</v>
      </c>
      <c r="H204" s="11" t="str">
        <f>E204 &amp; IF(F204&lt;&gt;"", "_" &amp; SUBSTITUTE(F204," ",""), "_") &amp; IF(G204&lt;&gt;"", "_" &amp; G204, "_") &amp; IF(B204&lt;&gt;"", "_" &amp; B204, "")</f>
        <v>Gillette_etal_1973</v>
      </c>
      <c r="I204" s="11" t="str">
        <f>_xlfn.LET(_xlpm.doi,IF(C204&lt;&gt;"",C204,_xlfn.TEXTAFTER(A204,"https://doi.org/")),SUBSTITUTE(SUBSTITUTE(SUBSTITUTE(SUBSTITUTE(_xlpm.doi,"/","%2F"),":","%3A"),"&lt;","%3C"),"&gt;","%3E"))</f>
        <v>PMID%3A4689764</v>
      </c>
      <c r="J204" s="11" t="str">
        <f>TRIM(_xlfn.TEXTJOIN("_",FALSE(),H204,(SUBSTITUTE(SUBSTITUTE(D204," ",""), "_", ""))))</f>
        <v>Gillette_etal_1973_ResultsText</v>
      </c>
      <c r="K204" s="10" t="str">
        <f>I204 &amp; "_" &amp; SUBSTITUTE(SUBSTITUTE(SUBSTITUTE(D204,CHAR(160),"")," ",""),"_","")</f>
        <v>PMID%3A4689764_ResultsText</v>
      </c>
      <c r="L204" s="10" t="str">
        <f t="array" ref="L204">IFERROR(INDEX(AUTO_Public_TSV_FileList!$A$1:$A$1000,MATCH(TRUE(),EXACT(K204,IFERROR(_xlfn.TEXTBEFORE(AUTO_Public_TSV_FileList!$A$1:$A$1000,".tsv"),"")),0)),"notfound")</f>
        <v>PMID%3A4689764_ResultsText.tsv</v>
      </c>
      <c r="M204" s="9" t="inlineStr">
        <is>
          <t>Ring-tailed lemur (Lemur catta) 60-dB hearing range (1-32 kHz)</t>
        </is>
      </c>
      <c r="N204" s="9" t="inlineStr">
        <is>
          <t>text</t>
        </is>
      </c>
      <c r="O204" s="9" t="inlineStr">
        <is>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is>
      </c>
      <c r="P204" s="9" t="inlineStr">
        <is>
          <t>BUILT (TSV upload pending)</t>
        </is>
      </c>
      <c r="Q204" s="9"/>
      <c r="R204" s="9"/>
      <c r="S204" s="9"/>
      <c r="T204" s="9"/>
      <c r="U204" s="9"/>
      <c r="V204" s="9"/>
      <c r="W204" s="9"/>
      <c r="X204" s="9"/>
      <c r="Y204" s="9"/>
      <c r="Z204" s="9"/>
      <c r="AA204" s="9"/>
      <c r="AB204" s="9"/>
      <c r="AC204" s="9"/>
      <c r="AD204" s="9"/>
      <c r="AE204" s="9"/>
      <c r="AF204" s="9"/>
      <c r="AG204" s="9"/>
    </row>
    <row r="205" ht="17" customHeight="1">
      <c r="A205" s="1" t="inlineStr">
        <is>
          <t>Granatosky, M. C. (2018). A Review of locomotor diversity in mammals with analyses exploring the influence of substrate use, body mass and intermembral index in primates. Journal of Zoology, 306(4), 207-216. https://doi.org/10.1111/jzo.12608</t>
        </is>
      </c>
      <c r="B205" s="18"/>
      <c r="C205" s="18"/>
      <c r="D205" s="1" t="inlineStr">
        <is>
          <t>Table S1</t>
        </is>
      </c>
      <c r="E205" s="10" t="str">
        <f>SUBSTITUTE(SUBSTITUTE(_xlfn.TEXTBEFORE(A205,","), "-", ""), " ", "")</f>
        <v>Granatosky</v>
      </c>
      <c r="F205" s="10"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5" s="10" t="str">
        <f>_xlfn.TEXTBEFORE(_xlfn.TEXTAFTER(A205, "("), ")")</f>
        <v>2018</v>
      </c>
      <c r="H205" s="10" t="str">
        <f>E205 &amp; IF(F205&lt;&gt;"", "_" &amp; SUBSTITUTE(F205," ",""), "_") &amp; IF(G205&lt;&gt;"", "_" &amp; G205, "_") &amp; IF(B205&lt;&gt;"", "_" &amp; B205, "")</f>
        <v>Granatosky__2018</v>
      </c>
      <c r="I205" s="10" t="str">
        <f>_xlfn.LET(
_xlpm.doi,IF(C205&lt;&gt;"",C205,_xlfn.TEXTAFTER(A205,"https://doi.org/")),
SUBSTITUTE(
SUBSTITUTE(
SUBSTITUTE(
SUBSTITUTE(
_xlpm.doi,
"/","%2F"),
":","%3A"),
"&lt;","%3C"),
"&gt;","%3E")
)</f>
        <v>10.1111%2Fjzo.12608</v>
      </c>
      <c r="J205" s="10" t="str">
        <f>TRIM(_xlfn.TEXTJOIN("_",FALSE(),H205,(SUBSTITUTE(SUBSTITUTE(D205," ",""), "_", ""))))</f>
        <v>Granatosky__2018_TableS1</v>
      </c>
      <c r="K205" s="10" t="str">
        <f>I205 &amp; "_" &amp; SUBSTITUTE(SUBSTITUTE(SUBSTITUTE(D205,CHAR(160),"")," ",""),"_","")</f>
        <v>10.1111%2Fjzo.12608_TableS1</v>
      </c>
      <c r="L205" s="10" t="str">
        <f t="array" ref="L205">IFERROR(INDEX(AUTO_Public_TSV_FileList!$A$1:$A$1000,MATCH(TRUE(),EXACT(K205,IFERROR(_xlfn.TEXTBEFORE(AUTO_Public_TSV_FileList!$A$1:$A$1000,".tsv"),"")),0)),"notfound")</f>
        <v>10.1111%2Fjzo.12608_TableS1.tsv</v>
      </c>
      <c r="M205" s="1" t="inlineStr">
        <is>
          <t>Table S1. Locomotor profiles for the species used in this study.</t>
        </is>
      </c>
      <c r="N205" s="13"/>
      <c r="O205" s="13"/>
      <c r="P205" s="13" t="inlineStr">
        <is>
          <t>FINISHED</t>
        </is>
      </c>
      <c r="Q205" s="13"/>
      <c r="R205" s="1" t="inlineStr">
        <is>
          <t>https://karger.com/bbe/article-pdf/86/3-4/145/2264694/000437413.pdf</t>
        </is>
      </c>
      <c r="S205" s="13"/>
      <c r="T205" s="13"/>
      <c r="U205" s="13"/>
      <c r="V205" s="13"/>
      <c r="W205" s="1" t="inlineStr">
        <is>
          <t>Mammals</t>
        </is>
      </c>
      <c r="X205" s="13"/>
      <c r="Y205" s="13"/>
      <c r="Z205" s="13"/>
      <c r="AA205" s="13"/>
      <c r="AB205" s="1" t="inlineStr">
        <is>
          <t>behavioural (locomotion)</t>
        </is>
      </c>
      <c r="AC205" s="13"/>
      <c r="AD205" s="13"/>
      <c r="AE205" s="1" t="inlineStr">
        <is>
          <t>secondary</t>
        </is>
      </c>
      <c r="AF205" s="1"/>
      <c r="AG205" s="13"/>
    </row>
    <row r="206" ht="17" customHeight="1">
      <c r="A206" s="1" t="inlineStr">
        <is>
          <t>Haarlem, C. S., Hynes, C., Jackson, A. L., Mitchell, K. J., O'Connell, R. G., &amp; Healy, K. (2026). Pace of ecology drives the tempo of visual perception across the animal kingdom. Nat Ecol Evol. https://doi.org/10.1038/s41559-026-02994-7</t>
        </is>
      </c>
      <c r="B206" s="18"/>
      <c r="C206" s="18"/>
      <c r="D206" s="1" t="inlineStr">
        <is>
          <t>CFF dataset</t>
        </is>
      </c>
      <c r="E206" s="10" t="str">
        <f>SUBSTITUTE(SUBSTITUTE(_xlfn.TEXTBEFORE(A206,","), "-", ""), " ", "")</f>
        <v>Haarlem</v>
      </c>
      <c r="F206" s="10"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10" t="str">
        <f>_xlfn.TEXTBEFORE(_xlfn.TEXTAFTER(A206, "("), ")")</f>
        <v>2026</v>
      </c>
      <c r="H206" s="10" t="str">
        <f>E206 &amp; IF(F206&lt;&gt;"", "_" &amp; SUBSTITUTE(F206," ",""), "_") &amp; IF(G206&lt;&gt;"", "_" &amp; G206, "_") &amp; IF(B206&lt;&gt;"", "_" &amp; B206, "")</f>
        <v>Haarlem_etal_2026</v>
      </c>
      <c r="I206" s="10" t="str">
        <f>_xlfn.LET(
_xlpm.doi,IF(C206&lt;&gt;"",C206,_xlfn.TEXTAFTER(A206,"https://doi.org/")),
SUBSTITUTE(
SUBSTITUTE(
SUBSTITUTE(
SUBSTITUTE(
_xlpm.doi,
"/","%2F"),
":","%3A"),
"&lt;","%3C"),
"&gt;","%3E")
)</f>
        <v>10.1038%2Fs41559-026-02994-7</v>
      </c>
      <c r="J206" s="10" t="str">
        <f>TRIM(_xlfn.TEXTJOIN("_",FALSE(),H206,(SUBSTITUTE(SUBSTITUTE(D206," ",""), "_", ""))))</f>
        <v>Haarlem_etal_2026_CFFdataset</v>
      </c>
      <c r="K206" s="10" t="str">
        <f>I206 &amp; "_" &amp; SUBSTITUTE(SUBSTITUTE(SUBSTITUTE(D206,CHAR(160),"")," ",""),"_","")</f>
        <v>10.1038%2Fs41559-026-02994-7_CFFdataset</v>
      </c>
      <c r="L206" s="10" t="str">
        <f t="array" ref="L206">IFERROR(INDEX(AUTO_Public_TSV_FileList!$A$1:$A$1000,MATCH(TRUE(),EXACT(K206,IFERROR(_xlfn.TEXTBEFORE(AUTO_Public_TSV_FileList!$A$1:$A$1000,".tsv"),"")),0)),"notfound")</f>
        <v>10.1038%2Fs41559-026-02994-7_CFFdataset.tsv</v>
      </c>
      <c r="M206" s="13"/>
      <c r="N206" s="13"/>
      <c r="O206" s="1" t="inlineStr">
        <is>
          <t>CFF dataset</t>
        </is>
      </c>
      <c r="P206" s="13" t="inlineStr">
        <is>
          <t>FINISHED</t>
        </is>
      </c>
      <c r="Q206" s="13"/>
      <c r="R206" s="1" t="inlineStr">
        <is>
          <t>https://karger.com/bbe/article-pdf/86/3-4/145/2264694/000437413.pdf</t>
        </is>
      </c>
      <c r="S206" s="13"/>
      <c r="T206" s="13"/>
      <c r="U206" s="13"/>
      <c r="V206" s="13"/>
      <c r="W206" s="1"/>
      <c r="X206" s="13"/>
      <c r="Y206" s="13"/>
      <c r="Z206" s="13"/>
      <c r="AA206" s="13"/>
      <c r="AB206" s="1"/>
      <c r="AC206" s="13"/>
      <c r="AD206" s="13"/>
      <c r="AE206" s="1"/>
      <c r="AF206" s="1"/>
      <c r="AG206" s="13"/>
    </row>
    <row r="207" ht="17" customHeight="1">
      <c r="A207" s="17" t="inlineStr">
        <is>
          <t>Hakeem, A. Y., Hof, P. R., Sherwood, C. C., Switzer, R. C., III, Rasmussen, L. E. L., &amp; Allman, J. M. (2005). Brain of the African elephant (Loxodonta africana): Neuroanatomy from magnetic resonance images. The Anatomical Record Part A, 287A, 1117–1127. https://doi.org/10.1002/ar.a.20255</t>
        </is>
      </c>
      <c r="B207" s="21"/>
      <c r="C207" s="21"/>
      <c r="D207" s="17" t="inlineStr">
        <is>
          <t>Table 2</t>
        </is>
      </c>
      <c r="E207" s="11" t="str">
        <f>SUBSTITUTE(SUBSTITUTE(_xlfn.TEXTBEFORE(A207,","), "-", ""), " ", "")</f>
        <v>Hakeem</v>
      </c>
      <c r="F207" s="10"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10" t="str">
        <f>_xlfn.TEXTBEFORE(_xlfn.TEXTAFTER(A207, "("), ")")</f>
        <v>2005</v>
      </c>
      <c r="H207" s="11" t="str">
        <f>E207 &amp; IF(F207&lt;&gt;"", "_" &amp; SUBSTITUTE(F207," ",""), "_") &amp; IF(G207&lt;&gt;"", "_" &amp; G207, "_") &amp; IF(B207&lt;&gt;"", "_" &amp; B207, "")</f>
        <v>Hakeem_etal_2005</v>
      </c>
      <c r="I207" s="11" t="str">
        <f>_xlfn.LET(_xlpm.doi,IF(C207&lt;&gt;"",C207,_xlfn.TEXTAFTER(A207,"https://doi.org/")),SUBSTITUTE(SUBSTITUTE(SUBSTITUTE(SUBSTITUTE(_xlpm.doi,"/","%2F"),":","%3A"),"&lt;","%3C"),"&gt;","%3E"))</f>
        <v>10.1002%2Far.a.20255</v>
      </c>
      <c r="J207" s="11" t="str">
        <f>TRIM(_xlfn.TEXTJOIN("_",FALSE(),H207,(SUBSTITUTE(SUBSTITUTE(D207," ",""), "_", ""))))</f>
        <v>Hakeem_etal_2005_Table2</v>
      </c>
      <c r="K207" s="11" t="str">
        <f>I207 &amp; "_" &amp; SUBSTITUTE(SUBSTITUTE(SUBSTITUTE(D207,CHAR(160),"")," ",""),"_","")</f>
        <v>10.1002%2Far.a.20255_Table2</v>
      </c>
      <c r="L207" s="10" t="str">
        <f t="array" ref="L207">IFERROR(INDEX(AUTO_Public_TSV_FileList!$A$1:$A$1000,MATCH(TRUE(),EXACT(K207,IFERROR(_xlfn.TEXTBEFORE(AUTO_Public_TSV_FileList!$A$1:$A$1000,".tsv"),"")),0)),"notfound")</f>
        <v>10.1002%2Far.a.20255_Table2.tsv</v>
      </c>
      <c r="M207" s="13"/>
      <c r="N207" s="1" t="inlineStr">
        <is>
          <t>table</t>
        </is>
      </c>
      <c r="O207" s="13"/>
      <c r="P207" s="17" t="inlineStr">
        <is>
          <t>FINISHED</t>
        </is>
      </c>
      <c r="Q207" s="17"/>
      <c r="R207" s="17" t="inlineStr">
        <is>
          <t>https://doi.org/10.1002/ar.a.20255</t>
        </is>
      </c>
      <c r="S207" s="17" t="inlineStr">
        <is>
          <t>Source paper and target table identified</t>
        </is>
      </c>
      <c r="T207" s="17" t="inlineStr">
        <is>
          <t>Verify taxonomy, specimen metadata, units, and structure ontology before merge</t>
        </is>
      </c>
      <c r="U207" s="17"/>
      <c r="V207" s="17" t="inlineStr">
        <is>
          <t>comparative brain volumes</t>
        </is>
      </c>
      <c r="W207" s="17" t="inlineStr">
        <is>
          <t>Proboscidea</t>
        </is>
      </c>
      <c r="X207" s="17" t="inlineStr">
        <is>
          <t>Whole brain; neocortical gray matter; neocortical white matter; cerebellar gray matter; cerebellar white matter</t>
        </is>
      </c>
      <c r="Y207" s="17"/>
      <c r="Z207" s="17"/>
      <c r="AA207" s="17" t="inlineStr">
        <is>
          <t>Postmortem MRI; manual and semiautomated segmentation in Amira</t>
        </is>
      </c>
      <c r="AB207" s="17" t="inlineStr">
        <is>
          <t>volume (cm³)</t>
        </is>
      </c>
      <c r="AC207" s="13"/>
      <c r="AD207" s="17"/>
      <c r="AE207" s="17" t="inlineStr">
        <is>
          <t>primary</t>
        </is>
      </c>
      <c r="AF207" s="17"/>
      <c r="AG207" s="17" t="inlineStr">
        <is>
          <t>Extract as a separate MRI source. Preserve gray/white matter components and create aggregated neocortex/cerebellum only with explicit formulas. Stephan-compatible brain structure volumes</t>
        </is>
      </c>
    </row>
    <row r="208" ht="17" customHeight="1">
      <c r="A208" s="17" t="inlineStr">
        <is>
          <t>Hakeem, A. Y., Sherwood, C. C., Bonar, C. J., Butti, C., Hof, P. R., &amp; Allman, J. M. (2009). Von Economo neurons in the elephant brain. Anat Rec (Hoboken), 292(2), 242-248. https://doi.org/10.1002/ar.20829</t>
        </is>
      </c>
      <c r="B208" s="21"/>
      <c r="C208" s="21"/>
      <c r="D208" s="17" t="inlineStr">
        <is>
          <t>Table 1</t>
        </is>
      </c>
      <c r="E208" s="11" t="str">
        <f>SUBSTITUTE(SUBSTITUTE(_xlfn.TEXTBEFORE(A208,","), "-", ""), " ", "")</f>
        <v>Hakeem</v>
      </c>
      <c r="F208" s="1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10" t="str">
        <f>_xlfn.TEXTBEFORE(_xlfn.TEXTAFTER(A208, "("), ")")</f>
        <v>2009</v>
      </c>
      <c r="H208" s="11" t="str">
        <f>E208 &amp; IF(F208&lt;&gt;"", "_" &amp; SUBSTITUTE(F208," ",""), "_") &amp; IF(G208&lt;&gt;"", "_" &amp; G208, "_") &amp; IF(B208&lt;&gt;"", "_" &amp; B208, "")</f>
        <v>Hakeem_etal_2009</v>
      </c>
      <c r="I208" s="11" t="str">
        <f>_xlfn.LET(_xlpm.doi,IF(C208&lt;&gt;"",C208,_xlfn.TEXTAFTER(A208,"https://doi.org/")),SUBSTITUTE(SUBSTITUTE(SUBSTITUTE(SUBSTITUTE(_xlpm.doi,"/","%2F"),":","%3A"),"&lt;","%3C"),"&gt;","%3E"))</f>
        <v>10.1002%2Far.20829</v>
      </c>
      <c r="J208" s="11" t="str">
        <f>TRIM(_xlfn.TEXTJOIN("_",FALSE(),H208,(SUBSTITUTE(SUBSTITUTE(D208," ",""), "_", ""))))</f>
        <v>Hakeem_etal_2009_Table1</v>
      </c>
      <c r="K208" s="11" t="str">
        <f>I208 &amp; "_" &amp; SUBSTITUTE(SUBSTITUTE(SUBSTITUTE(D208,CHAR(160),"")," ",""),"_","")</f>
        <v>10.1002%2Far.20829_Table1</v>
      </c>
      <c r="L208" s="10" t="str">
        <f t="array" ref="L208">IFERROR(INDEX(AUTO_Public_TSV_FileList!$A$1:$A$1000,MATCH(TRUE(),EXACT(K208,IFERROR(_xlfn.TEXTBEFORE(AUTO_Public_TSV_FileList!$A$1:$A$1000,".tsv"),"")),0)),"notfound")</f>
        <v>10.1002%2Far.20829_Table1.tsv</v>
      </c>
      <c r="M208" s="13"/>
      <c r="N208" s="1"/>
      <c r="O208" s="13"/>
      <c r="P208" s="17" t="inlineStr">
        <is>
          <t>FINISHED</t>
        </is>
      </c>
      <c r="Q208" s="17"/>
      <c r="R208" s="17"/>
      <c r="S208" s="17"/>
      <c r="T208" s="17"/>
      <c r="U208" s="17"/>
      <c r="V208" s="17"/>
      <c r="W208" s="17"/>
      <c r="X208" s="17"/>
      <c r="Y208" s="17"/>
      <c r="Z208" s="17"/>
      <c r="AA208" s="17"/>
      <c r="AB208" s="17"/>
      <c r="AC208" s="13"/>
      <c r="AD208" s="17"/>
      <c r="AE208" s="17"/>
      <c r="AF208" s="17"/>
      <c r="AG208" s="17"/>
    </row>
    <row r="209" ht="17" customHeight="1">
      <c r="A209" s="13" t="inlineStr">
        <is>
          <t>Halley, A. C., &amp; Krubitzer, L. (2019). Not all cortical expansions are the same: The coevolution of the neocortex and the dorsal thalamus in mammals. Curr Opin Neurobiol, 56, 78-86. https://doi.org/10.1016/j.conb.2018.12.003</t>
        </is>
      </c>
      <c r="D209" s="13" t="inlineStr">
        <is>
          <t>Figure 1</t>
        </is>
      </c>
      <c r="E209" s="11" t="str">
        <f>SUBSTITUTE(SUBSTITUTE(_xlfn.TEXTBEFORE(A209,","), "-", ""), " ", "")</f>
        <v>Halley</v>
      </c>
      <c r="F209" s="1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9" s="10" t="str">
        <f>_xlfn.TEXTBEFORE(_xlfn.TEXTAFTER(A209, "("), ")")</f>
        <v>2019</v>
      </c>
      <c r="H209" s="11" t="str">
        <f>E209 &amp; IF(F209&lt;&gt;"", "_" &amp; SUBSTITUTE(F209," ",""), "_") &amp; IF(G209&lt;&gt;"", "_" &amp; G209, "_") &amp; IF(B209&lt;&gt;"", "_" &amp; B209, "")</f>
        <v>Halley__2019</v>
      </c>
      <c r="I209" s="11" t="str">
        <f>_xlfn.LET(_xlpm.doi,IF(C209&lt;&gt;"",C209,_xlfn.TEXTAFTER(A209,"https://doi.org/")),SUBSTITUTE(SUBSTITUTE(SUBSTITUTE(SUBSTITUTE(_xlpm.doi,"/","%2F"),":","%3A"),"&lt;","%3C"),"&gt;","%3E"))</f>
        <v>10.1016%2Fj.conb.2018.12.003</v>
      </c>
      <c r="J209" s="11" t="str">
        <f>TRIM(_xlfn.TEXTJOIN("_",FALSE(),H209,(SUBSTITUTE(SUBSTITUTE(D209," ",""), "_", ""))))</f>
        <v>Halley__2019_Figure1</v>
      </c>
      <c r="K209" s="11" t="str">
        <f>I209 &amp; "_" &amp; SUBSTITUTE(SUBSTITUTE(SUBSTITUTE(D209,CHAR(160),"")," ",""),"_","")</f>
        <v>10.1016%2Fj.conb.2018.12.003_Figure1</v>
      </c>
      <c r="L209" s="10" t="str">
        <f t="array" ref="L209">IFERROR(INDEX(AUTO_Public_TSV_FileList!$A$1:$A$1000,MATCH(TRUE(),EXACT(K209,IFERROR(_xlfn.TEXTBEFORE(AUTO_Public_TSV_FileList!$A$1:$A$1000,".tsv"),"")),0)),"notfound")</f>
        <v>notfound</v>
      </c>
      <c r="M209" s="13" t="inlineStr">
        <is>
          <t>Figure 1. Primate neocorticalization relative to the dorsal thalamus</t>
        </is>
      </c>
      <c r="N209" s="13" t="inlineStr">
        <is>
          <t>figure</t>
        </is>
      </c>
      <c r="O209" s="13" t="inlineStr">
        <is>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is>
      </c>
      <c r="P209" s="13" t="inlineStr">
        <is>
          <t>FINISHED</t>
        </is>
      </c>
      <c r="Q209" s="13"/>
      <c r="R209" s="13" t="inlineStr">
        <is>
          <t>https://doi.org/10.1016/j.conb.2018.12.003</t>
        </is>
      </c>
      <c r="S209" s="13"/>
      <c r="T209" s="13" t="inlineStr">
        <is>
          <t>secondary synthesis; source overlap; plot digitization; one explicit estimated value</t>
        </is>
      </c>
      <c r="U209" s="13"/>
      <c r="V209" s="13" t="inlineStr">
        <is>
          <t>neocortex / dorsal thalamus scaling</t>
        </is>
      </c>
      <c r="W209" s="13" t="inlineStr">
        <is>
          <t>Mammals</t>
        </is>
      </c>
      <c r="X209" s="13" t="inlineStr">
        <is>
          <t>neocortex and thalamus volumes; derived ratio</t>
        </is>
      </c>
      <c r="Y209" s="13" t="inlineStr">
        <is>
          <t>dorsal thalamus volume; neocortex volume; thalamus:neocortex ratio; clade-specific scaling</t>
        </is>
      </c>
      <c r="Z209" s="13"/>
      <c r="AA209" s="13"/>
      <c r="AB209" s="13" t="inlineStr">
        <is>
          <t>volume + derived ratio/regression</t>
        </is>
      </c>
      <c r="AC209" s="13" t="inlineStr">
        <is>
          <t>Halley/Krubitzer</t>
        </is>
      </c>
      <c r="AD209" s="13"/>
      <c r="AE209" s="13" t="inlineStr">
        <is>
          <t>secondary</t>
        </is>
      </c>
      <c r="AF209" s="13"/>
      <c r="AG209" s="13" t="inlineStr">
        <is>
          <t>Figure 1 plots 39 species; the marmoset thalamus is explicitly estimated from New World monkey data. Treat as secondary/derived and do not merge as an independent measurement team.</t>
        </is>
      </c>
    </row>
    <row r="210" ht="17" customHeight="1">
      <c r="A210" s="13" t="inlineStr">
        <is>
          <t>Hanson, K. L., Lew, C. H., Hrvoj-Mihic, B., Groeniger, K. M., Halgren, E., Bellugi, U., &amp; Semendeferi, K. (2018). Increased glia density in the caudate nucleus in Williams syndrome. Developmental Neurobiology, 78(5), 531-545. https://doi.org/10.1002/dneu.22554</t>
        </is>
      </c>
      <c r="D210" s="13" t="inlineStr">
        <is>
          <t>Table 2</t>
        </is>
      </c>
      <c r="E210" s="11" t="str">
        <f>SUBSTITUTE(SUBSTITUTE(_xlfn.TEXTBEFORE(A210,","), "-", ""), " ", "")</f>
        <v>Hanson</v>
      </c>
      <c r="F210" s="11"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1" t="str">
        <f>_xlfn.TEXTBEFORE(_xlfn.TEXTAFTER(A210, "("), ")")</f>
        <v>2018</v>
      </c>
      <c r="H210" s="11" t="str">
        <f>E210 &amp; IF(F210&lt;&gt;"", "_" &amp; SUBSTITUTE(F210," ",""), "_") &amp; IF(G210&lt;&gt;"", "_" &amp; G210, "_") &amp; IF(B210&lt;&gt;"", "_" &amp; B210, "")</f>
        <v>Hanson_etal_2018</v>
      </c>
      <c r="I210" s="11" t="str">
        <f>_xlfn.LET(
_xlpm.doi,IF(C210&lt;&gt;"",C210,_xlfn.TEXTAFTER(A210,"https://doi.org/")),
SUBSTITUTE(
SUBSTITUTE(
SUBSTITUTE(
SUBSTITUTE(
_xlpm.doi,
"/","%2F"),
":","%3A"),
"&lt;","%3C"),
"&gt;","%3E")
)</f>
        <v>10.1002%2Fdneu.22554</v>
      </c>
      <c r="J210" s="11" t="str">
        <f>TRIM(_xlfn.TEXTJOIN("_",FALSE(),H210,(SUBSTITUTE(SUBSTITUTE(D210," ",""), "_", ""))))</f>
        <v>Hanson_etal_2018_Table2</v>
      </c>
      <c r="K210" s="11" t="str">
        <f>I210 &amp; "_" &amp; SUBSTITUTE(SUBSTITUTE(SUBSTITUTE(D210,CHAR(160),""), " ", ""), "_", "")</f>
        <v>10.1002%2Fdneu.22554_Table2</v>
      </c>
      <c r="L210" s="10" t="str">
        <f t="array" ref="L210">IFERROR(INDEX(AUTO_Public_TSV_FileList!$A$1:$A$1000,MATCH(TRUE(),EXACT(K210,IFERROR(_xlfn.TEXTBEFORE(AUTO_Public_TSV_FileList!$A$1:$A$1000,".tsv"),"")),0)),"notfound")</f>
        <v>10.1002%2Fdneu.22554_Table2.tsv</v>
      </c>
      <c r="M210" s="13" t="inlineStr">
        <is>
          <t>Striatal neuron/glia density, glia:neuron ratio, soma area (dC/mC/aP/NA)</t>
        </is>
      </c>
      <c r="N210" s="13" t="inlineStr">
        <is>
          <t>table (from PDF)</t>
        </is>
      </c>
      <c r="O210" s="13"/>
      <c r="P210" s="13" t="inlineStr">
        <is>
          <t>FINISHED</t>
        </is>
      </c>
      <c r="Q210" s="13" t="inlineStr">
        <is>
          <t>Hanson_etal_2018_Table2_snapshot.csv</t>
        </is>
      </c>
      <c r="R210" s="13"/>
      <c r="S210" s="13"/>
      <c r="T210" s="13"/>
      <c r="U210" s="13"/>
      <c r="V210" s="13"/>
      <c r="W210" s="13" t="inlineStr">
        <is>
          <t>Humans</t>
        </is>
      </c>
      <c r="X210" s="13"/>
      <c r="Y210" s="13"/>
      <c r="Z210" s="13" t="inlineStr">
        <is>
          <t>striatal neuron/glia density</t>
        </is>
      </c>
      <c r="AA210" s="13" t="inlineStr">
        <is>
          <t>stereology (optical disector)</t>
        </is>
      </c>
      <c r="AB210" s="13" t="inlineStr">
        <is>
          <t>cell density</t>
        </is>
      </c>
      <c r="AC210" s="13" t="inlineStr">
        <is>
          <t>Semendeferi</t>
        </is>
      </c>
      <c r="AD210" s="13"/>
      <c r="AE210" s="13" t="inlineStr">
        <is>
          <t>primary</t>
        </is>
      </c>
      <c r="AF210" s="13"/>
      <c r="AG210" s="13"/>
    </row>
    <row r="211" ht="17" customHeight="1">
      <c r="A211" s="13" t="inlineStr">
        <is>
          <t>Hanson, K. L., Lew, C. H., Hrvoj-Mihic, B., Groeniger, K. M., Halgren, E., Bellugi, U., &amp; Semendeferi, K. (2018). Increased glia density in the caudate nucleus in Williams syndrome. Developmental Neurobiology, 78(5), 531-545. https://doi.org/10.1002/dneu.22554</t>
        </is>
      </c>
      <c r="B211" s="18"/>
      <c r="D211" s="13" t="inlineStr">
        <is>
          <t>Table 3</t>
        </is>
      </c>
      <c r="E211" s="11" t="str">
        <f>SUBSTITUTE(SUBSTITUTE(_xlfn.TEXTBEFORE(A211,","), "-", ""), " ", "")</f>
        <v>Hanson</v>
      </c>
      <c r="F211" s="11"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1" t="str">
        <f>_xlfn.TEXTBEFORE(_xlfn.TEXTAFTER(A211, "("), ")")</f>
        <v>2018</v>
      </c>
      <c r="H211" s="11" t="str">
        <f>E211 &amp; IF(F211&lt;&gt;"", "_" &amp; SUBSTITUTE(F211," ",""), "_") &amp; IF(G211&lt;&gt;"", "_" &amp; G211, "_") &amp; IF(B211&lt;&gt;"", "_" &amp; B211, "")</f>
        <v>Hanson_etal_2018</v>
      </c>
      <c r="I211" s="11" t="str">
        <f>_xlfn.LET(
_xlpm.doi,IF(C211&lt;&gt;"",C211,_xlfn.TEXTAFTER(A211,"https://doi.org/")),
SUBSTITUTE(
SUBSTITUTE(
SUBSTITUTE(
SUBSTITUTE(
_xlpm.doi,
"/","%2F"),
":","%3A"),
"&lt;","%3C"),
"&gt;","%3E")
)</f>
        <v>10.1002%2Fdneu.22554</v>
      </c>
      <c r="J211" s="11" t="str">
        <f>TRIM(_xlfn.TEXTJOIN("_",FALSE(),H211,(SUBSTITUTE(SUBSTITUTE(D211," ",""), "_", ""))))</f>
        <v>Hanson_etal_2018_Table3</v>
      </c>
      <c r="K211" s="11" t="str">
        <f>I211 &amp; "_" &amp; SUBSTITUTE(SUBSTITUTE(SUBSTITUTE(D211,CHAR(160),""), " ", ""), "_", "")</f>
        <v>10.1002%2Fdneu.22554_Table3</v>
      </c>
      <c r="L211" s="10" t="str">
        <f t="array" ref="L211">IFERROR(INDEX(AUTO_Public_TSV_FileList!$A$1:$A$1000,MATCH(TRUE(),EXACT(K211,IFERROR(_xlfn.TEXTBEFORE(AUTO_Public_TSV_FileList!$A$1:$A$1000,".tsv"),"")),0)),"notfound")</f>
        <v>10.1002%2Fdneu.22554_Table3.tsv</v>
      </c>
      <c r="M211" s="13" t="inlineStr">
        <is>
          <t>Oligodendrocyte density + % of glia (dorsal/medial caudate)</t>
        </is>
      </c>
      <c r="N211" s="13" t="inlineStr">
        <is>
          <t>table (from PDF)</t>
        </is>
      </c>
      <c r="O211" s="13"/>
      <c r="P211" s="13" t="inlineStr">
        <is>
          <t>FINISHED</t>
        </is>
      </c>
      <c r="Q211" s="13" t="inlineStr">
        <is>
          <t>Hanson_etal_2018_Table3_snapshot.csv</t>
        </is>
      </c>
      <c r="R211" s="13"/>
      <c r="S211" s="13"/>
      <c r="T211" s="13"/>
      <c r="U211" s="13"/>
      <c r="V211" s="13"/>
      <c r="W211" s="13" t="inlineStr">
        <is>
          <t>Humans</t>
        </is>
      </c>
      <c r="X211" s="13"/>
      <c r="Y211" s="13"/>
      <c r="Z211" s="13" t="inlineStr">
        <is>
          <t>oligodendrocyte density</t>
        </is>
      </c>
      <c r="AA211" s="13" t="inlineStr">
        <is>
          <t>stereology (optical disector)</t>
        </is>
      </c>
      <c r="AB211" s="13" t="inlineStr">
        <is>
          <t>cell density</t>
        </is>
      </c>
      <c r="AC211" s="13" t="inlineStr">
        <is>
          <t>Semendeferi</t>
        </is>
      </c>
      <c r="AD211" s="13"/>
      <c r="AE211" s="13" t="inlineStr">
        <is>
          <t>primary</t>
        </is>
      </c>
      <c r="AF211" s="13"/>
      <c r="AG211" s="13"/>
    </row>
    <row r="212" ht="17" customHeight="1">
      <c r="A212" s="13" t="inlineStr">
        <is>
          <t>Hayssen, V., van Tienhoven, A., &amp; van Tienhoven, A. (1993). Asdell's patterns of mammalian reproduction: A compendium of species-specific data. Cornell University Press. ISBN 0-8014-1753-8.</t>
        </is>
      </c>
      <c r="B212" s="18"/>
      <c r="C212" t="inlineStr">
        <is>
          <t>ISBN:9780801417535</t>
        </is>
      </c>
      <c r="D212" s="13" t="inlineStr">
        <is>
          <t>Primates</t>
        </is>
      </c>
      <c r="E212" s="11" t="str">
        <f>SUBSTITUTE(SUBSTITUTE(_xlfn.TEXTBEFORE(A212,","), "-", ""), " ", "")</f>
        <v>Hayssen</v>
      </c>
      <c r="F212" s="11" t="str">
        <f>_xlfn.LET(
_xlpm.authors,_xlfn.TEXTBEFORE(A212," ("&amp;G212&amp;")"),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12" s="11" t="str">
        <f>_xlfn.TEXTBEFORE(_xlfn.TEXTAFTER(A212, "("), ")")</f>
        <v>1993</v>
      </c>
      <c r="H212" s="11" t="str">
        <f>E212 &amp; IF(F212&lt;&gt;"", "_" &amp; SUBSTITUTE(F212," ",""), "_") &amp; IF(G212&lt;&gt;"", "_" &amp; G212, "_") &amp; IF(B212&lt;&gt;"", "_" &amp; B212, "")</f>
        <v>Hayssen_etal_1993</v>
      </c>
      <c r="I212" s="11" t="str">
        <f>_xlfn.LET(
_xlpm.doi,IF(C212&lt;&gt;"",C212,_xlfn.TEXTAFTER(A212,"https://doi.org/")),
SUBSTITUTE(
SUBSTITUTE(
SUBSTITUTE(
SUBSTITUTE(
_xlpm.doi,
"/","%2F"),
":","%3A"),
"&lt;","%3C"),
"&gt;","%3E")
)</f>
        <v>ISBN%3A9780801417535</v>
      </c>
      <c r="J212" s="11" t="str">
        <f>TRIM(_xlfn.TEXTJOIN("_",FALSE(),H212,(SUBSTITUTE(SUBSTITUTE(D212," ",""), "_", ""))))</f>
        <v>Hayssen_etal_1993_Primates</v>
      </c>
      <c r="K212" s="11" t="str">
        <f>I212 &amp; "_" &amp; SUBSTITUTE(SUBSTITUTE(SUBSTITUTE(D212,CHAR(160),""), " ", ""), "_", "")</f>
        <v>ISBN%3A9780801417535_Primates</v>
      </c>
      <c r="L212" s="10" t="str">
        <f t="array" ref="L212:L212">IFERROR(INDEX('AUTO_Public_TSV_FileList'!$A$1:$A$1000,MATCH(TRUE(),EXACT(K212,IFERROR(_xlfn.TEXTBEFORE('AUTO_Public_TSV_FileList'!$A$1:$A$1000,".tsv"),"")),0)),"notfound")</f>
        <v>ISBN%3A9780801417535_Primates.tsv</v>
      </c>
      <c r="M212" s="13" t="inlineStr">
        <is>
          <t>Asdell's Patterns of Mammalian Reproduction -- Order Primates species accounts (first planned per-order table)</t>
        </is>
      </c>
      <c r="N212" s="13" t="inlineStr">
        <is>
          <t>book PDF (2019 Cornell electronic reissue), OCR text layer, 1,035 pages; split into 23 per-order slices</t>
        </is>
      </c>
      <c r="O212" s="13" t="inlineStr">
        <is>
          <t>Folder and file identifiers aligned to Hayssen_etal_1993 (three authors; rename completed 2026-10-23). Per-family account tables in progress. Ref 1 of Ernest 2003; BIBLIOID 00455 in AnAge; PanTHERIA ref 1297.</t>
        </is>
      </c>
      <c r="P212" s="13" t="inlineStr">
        <is>
          <t>IN PROGRESS (references table built; per-family accounts being transcribed)</t>
        </is>
      </c>
      <c r="Q212" s="19"/>
      <c r="R212" s="13" t="inlineStr">
        <is>
          <t>https://www.cornellpress.cornell.edu/</t>
        </is>
      </c>
      <c r="S212" s="19"/>
      <c r="T212" s="19"/>
      <c r="U212" s="19"/>
      <c r="V212" s="13" t="inlineStr">
        <is>
          <t>reproduction / life history</t>
        </is>
      </c>
      <c r="W212" s="13" t="inlineStr">
        <is>
          <t>Mammalia (all orders); this item: Primates</t>
        </is>
      </c>
      <c r="X212" s="13" t="inlineStr">
        <is>
          <t>neonatal mass; litter size; sexual maturity; cycle length; gestation; lactation; interlitter interval; seasonality</t>
        </is>
      </c>
      <c r="Y212" s="19"/>
      <c r="Z212" s="13" t="inlineStr">
        <is>
          <t>species accounts (printed per-value with numbered references)</t>
        </is>
      </c>
      <c r="AA212" s="13" t="inlineStr">
        <is>
          <t>literature compendium; per-value reference numbers</t>
        </is>
      </c>
      <c r="AB212" s="13"/>
      <c r="AC212" s="13"/>
      <c r="AD212" s="19"/>
      <c r="AE212" s="13" t="inlineStr">
        <is>
          <t>secondary</t>
        </is>
      </c>
      <c r="AF212" s="19" t="inlineStr">
        <is>
          <t>~12,000 numbered Literature Cited entries (Hayssen_etal_1993/reference_tables)</t>
        </is>
      </c>
      <c r="AG212" s="19" t="inlineStr">
        <is>
          <t>Highest-value root source under PanTHERIA/AnAge/Ernest; transcribe Primates first</t>
        </is>
      </c>
    </row>
    <row r="213" ht="17" customHeight="1">
      <c r="A213" s="13" t="inlineStr">
        <is>
          <t>Heesy, C. P. (2004). On the relationship between orbit orientation and binocular visual field overlap in mammals. The Anatomical Record Part A, 281A, 1104-1110. https://doi.org/10.1002/ar.a.20116</t>
        </is>
      </c>
      <c r="D213" s="13" t="inlineStr">
        <is>
          <t>Table 1</t>
        </is>
      </c>
      <c r="E213" s="11" t="str">
        <f>SUBSTITUTE(SUBSTITUTE(_xlfn.TEXTBEFORE(A213,","), "-", ""), " ", "")</f>
        <v>Heesy</v>
      </c>
      <c r="F213" s="1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3" s="10" t="str">
        <f>_xlfn.TEXTBEFORE(_xlfn.TEXTAFTER(A213, "("), ")")</f>
        <v>2004</v>
      </c>
      <c r="H213" s="11" t="str">
        <f>E213 &amp; IF(F213&lt;&gt;"", "_" &amp; SUBSTITUTE(F213," ",""), "_") &amp; IF(G213&lt;&gt;"", "_" &amp; G213, "_") &amp; IF(B213&lt;&gt;"", "_" &amp; B213, "")</f>
        <v>Heesy__2004</v>
      </c>
      <c r="I213" s="11" t="str">
        <f>_xlfn.LET(_xlpm.doi,IF(C213&lt;&gt;"",C213,_xlfn.TEXTAFTER(A213,"https://doi.org/")),SUBSTITUTE(SUBSTITUTE(SUBSTITUTE(SUBSTITUTE(_xlpm.doi,"/","%2F"),":","%3A"),"&lt;","%3C"),"&gt;","%3E"))</f>
        <v>10.1002%2Far.a.20116</v>
      </c>
      <c r="J213" s="11" t="str">
        <f>TRIM(_xlfn.TEXTJOIN("_",FALSE(),H213,(SUBSTITUTE(SUBSTITUTE(D213," ",""), "_", ""))))</f>
        <v>Heesy__2004_Table1</v>
      </c>
      <c r="K213" s="11" t="str">
        <f>I213 &amp; "_" &amp; SUBSTITUTE(SUBSTITUTE(SUBSTITUTE(D213,CHAR(160),"")," ",""),"_","")</f>
        <v>10.1002%2Far.a.20116_Table1</v>
      </c>
      <c r="L213" s="10" t="str">
        <f t="array" ref="L213">IFERROR(INDEX(AUTO_Public_TSV_FileList!$A$1:$A$1000,MATCH(TRUE(),EXACT(K213,IFERROR(_xlfn.TEXTBEFORE(AUTO_Public_TSV_FileList!$A$1:$A$1000,".tsv"),"")),0)),"notfound")</f>
        <v>10.1002%2Far.a.20116_Table1.tsv</v>
      </c>
      <c r="M213" s="13" t="inlineStr">
        <is>
          <t>Table 1. Orbit convergence and binocular visual field overlap</t>
        </is>
      </c>
      <c r="N213" s="1" t="inlineStr">
        <is>
          <t>table</t>
        </is>
      </c>
      <c r="O213" s="13" t="inlineStr">
        <is>
          <t>Orbit convergence primary (Heesy morphometrics); visual-field values secondary, compiled from cited sources — lookup in Heesy__2004_References.csv</t>
        </is>
      </c>
      <c r="P213" s="13" t="inlineStr">
        <is>
          <t>FINISHED</t>
        </is>
      </c>
      <c r="Q213" s="19"/>
      <c r="R213" s="13" t="inlineStr">
        <is>
          <t>https://doi.org/10.1002/ar.a.20116</t>
        </is>
      </c>
      <c r="S213" s="19"/>
      <c r="T213" s="19"/>
      <c r="U213" s="19"/>
      <c r="V213" s="13" t="inlineStr">
        <is>
          <t>sensory vision</t>
        </is>
      </c>
      <c r="W213" s="17" t="inlineStr">
        <is>
          <t>Mammals</t>
        </is>
      </c>
      <c r="X213" s="13" t="inlineStr">
        <is>
          <t>orbit convergence; binocular visual field overlap</t>
        </is>
      </c>
      <c r="Y213" s="19"/>
      <c r="Z213" s="13"/>
      <c r="AA213" s="13" t="inlineStr">
        <is>
          <t>3D cranial landmark morphometrics plus literature compilation</t>
        </is>
      </c>
      <c r="AB213" s="13" t="inlineStr">
        <is>
          <t>angle (degrees)</t>
        </is>
      </c>
      <c r="AC213" s="13"/>
      <c r="AD213" s="19"/>
      <c r="AE213" s="13" t="inlineStr">
        <is>
          <t>both</t>
        </is>
      </c>
      <c r="AF213" s="19"/>
      <c r="AG213" s="19"/>
    </row>
    <row r="214" ht="17" customHeight="1">
      <c r="A214" s="17" t="inlineStr">
        <is>
          <t>Heffner, H. E. (1998). Auditory awareness. Applied Animal Behaviour Science, 57(3-4), 259–268. https://doi.org/10.1016/S0168-1591(98)00101-4</t>
        </is>
      </c>
      <c r="D214" s="17" t="inlineStr">
        <is>
          <t>Table 1</t>
        </is>
      </c>
      <c r="E214" s="10" t="str">
        <f>SUBSTITUTE(SUBSTITUTE(_xlfn.TEXTBEFORE(A214,","), "-", ""), " ", "")</f>
        <v>Heffner</v>
      </c>
      <c r="F214" s="18"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4" s="10" t="str">
        <f>_xlfn.TEXTBEFORE(_xlfn.TEXTAFTER(A214, "("), ")")</f>
        <v>1998</v>
      </c>
      <c r="H214" s="10" t="str">
        <f>E214 &amp; IF(F214&lt;&gt;"", "_" &amp; SUBSTITUTE(F214," ",""), "_") &amp; IF(G214&lt;&gt;"", "_" &amp; G214, "_") &amp; IF(B214&lt;&gt;"", "_" &amp; B214, "")</f>
        <v>Heffner__1998</v>
      </c>
      <c r="I214" s="10" t="str">
        <f>_xlfn.LET(
_xlpm.doi,IF(C214&lt;&gt;"",C214,_xlfn.TEXTAFTER(A214,"https://doi.org/")),
SUBSTITUTE(
SUBSTITUTE(
SUBSTITUTE(
SUBSTITUTE(
_xlpm.doi,
"/","%2F"),
":","%3A"),
"&lt;","%3C"),
"&gt;","%3E")
)</f>
        <v>10.1016%2FS0168-1591(98)00101-4</v>
      </c>
      <c r="J214" s="10" t="str">
        <f>TRIM(_xlfn.TEXTJOIN("_",FALSE(),H214,(SUBSTITUTE(SUBSTITUTE(D214," ",""), "_", ""))))</f>
        <v>Heffner__1998_Table1</v>
      </c>
      <c r="K214" s="10" t="str">
        <f>I214 &amp; "_" &amp; SUBSTITUTE(SUBSTITUTE(SUBSTITUTE(D214,CHAR(160),""), " ", ""), "_", "")</f>
        <v>10.1016%2FS0168-1591(98)00101-4_Table1</v>
      </c>
      <c r="L214" s="10" t="str">
        <f t="array" ref="L214">IFERROR(INDEX(AUTO_Public_TSV_FileList!$A$1:$A$1000,MATCH(TRUE(),EXACT(K214,IFERROR(_xlfn.TEXTBEFORE(AUTO_Public_TSV_FileList!$A$1:$A$1000,".tsv"),"")),0)),"notfound")</f>
        <v>10.1016%2FS0168-1591(98)00101-4_Table1.tsv</v>
      </c>
      <c r="M214" s="13" t="inlineStr">
        <is>
          <t>Table 1. The hearing range and sensitivity of domestic birds and mammals compared with that of humans</t>
        </is>
      </c>
      <c r="N214" s="17" t="inlineStr">
        <is>
          <t>table</t>
        </is>
      </c>
      <c r="O214" s="13" t="inlineStr">
        <is>
          <t>Public TSV upload to __Public/comparative-data pending (same infra timeout; retry together). Four bird rows have an unresolved OCR sign ambiguity on low-frequency limit -- left blank rather than guessed; see item README.</t>
        </is>
      </c>
      <c r="P214" s="17" t="inlineStr">
        <is>
          <t>FINISHED</t>
        </is>
      </c>
      <c r="Q214" s="18"/>
      <c r="R214" s="17" t="inlineStr">
        <is>
          <t>https://doi.org/10.1016/S0168-1591(98)00101-4</t>
        </is>
      </c>
      <c r="S214" s="18"/>
      <c r="T214" s="18"/>
      <c r="U214" s="18"/>
      <c r="V214" s="17" t="inlineStr">
        <is>
          <t>Sensory</t>
        </is>
      </c>
      <c r="W214" s="17" t="inlineStr">
        <is>
          <t>Domestic mammals and birds (19 species, incl. humans)</t>
        </is>
      </c>
      <c r="X214" s="17" t="inlineStr">
        <is>
          <t>audiogram (low/high-frequency limits, best frequency, best sensitivity)</t>
        </is>
      </c>
      <c r="Y214" s="18"/>
      <c r="Z214" s="17" t="inlineStr">
        <is>
          <t>behavioral audiometry (compiled review)</t>
        </is>
      </c>
      <c r="AA214" s="17" t="inlineStr">
        <is>
          <t>psychoacoustic testing</t>
        </is>
      </c>
      <c r="AB214" s="17" t="inlineStr">
        <is>
          <t>frequency (Hz); threshold (dB)</t>
        </is>
      </c>
      <c r="AC214" s="17" t="inlineStr">
        <is>
          <t>Heffner</t>
        </is>
      </c>
      <c r="AD214" s="17" t="inlineStr">
        <is>
          <t>Fay 1988; Heffner and Heffner 1992a</t>
        </is>
      </c>
      <c r="AE214" s="17" t="inlineStr">
        <is>
          <t>secondary</t>
        </is>
      </c>
      <c r="AF214" s="17" t="inlineStr">
        <is>
          <t>Fay 1988; Heffner and Heffner 1992a</t>
        </is>
      </c>
      <c r="AG214" s="18"/>
    </row>
    <row r="215" ht="17" customHeight="1">
      <c r="A215" s="13" t="inlineStr">
        <is>
          <t>Heffner, H. E. (1998). Auditory awareness. Applied Animal Behaviour Science, 57(3–4), 259–268. https://doi.org/10.1016/S0168-1591(98)00101-4</t>
        </is>
      </c>
      <c r="B215" s="19"/>
      <c r="C215" s="19"/>
      <c r="D215" s="13" t="inlineStr">
        <is>
          <t>Table 1</t>
        </is>
      </c>
      <c r="E215" s="11" t="str">
        <f>SUBSTITUTE(SUBSTITUTE(_xlfn.TEXTBEFORE(A215,","), "-", ""), " ", "")</f>
        <v>Heffner</v>
      </c>
      <c r="F215" s="10"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5" s="10" t="str">
        <f>_xlfn.TEXTBEFORE(_xlfn.TEXTAFTER(A215, "("), ")")</f>
        <v>1998</v>
      </c>
      <c r="H215" s="11" t="str">
        <f>E215 &amp; IF(F215&lt;&gt;"", "_" &amp; SUBSTITUTE(F215," ",""), "_") &amp; IF(G215&lt;&gt;"", "_" &amp; G215, "_") &amp; IF(B215&lt;&gt;"", "_" &amp; B215, "")</f>
        <v>Heffner__1998</v>
      </c>
      <c r="I215" s="11" t="str">
        <f>_xlfn.LET(_xlpm.doi,IF(C215&lt;&gt;"",C215,_xlfn.TEXTAFTER(A215,"https://doi.org/")),SUBSTITUTE(SUBSTITUTE(SUBSTITUTE(SUBSTITUTE(_xlpm.doi,"/","%2F"),":","%3A"),"&lt;","%3C"),"&gt;","%3E"))</f>
        <v>10.1016%2FS0168-1591(98)00101-4</v>
      </c>
      <c r="J215" s="11" t="str">
        <f>TRIM(_xlfn.TEXTJOIN("_",FALSE(),H215,(SUBSTITUTE(SUBSTITUTE(D215," ",""), "_", ""))))</f>
        <v>Heffner__1998_Table1</v>
      </c>
      <c r="K215" s="10" t="str">
        <f>I215 &amp; "_" &amp; SUBSTITUTE(SUBSTITUTE(SUBSTITUTE(D215,CHAR(160),"")," ",""),"_","")</f>
        <v>10.1016%2FS0168-1591(98)00101-4_Table1</v>
      </c>
      <c r="L215" s="10" t="str">
        <f t="array" ref="L215">IFERROR(INDEX(AUTO_Public_TSV_FileList!$A$1:$A$1000,MATCH(TRUE(),EXACT(K215,IFERROR(_xlfn.TEXTBEFORE(AUTO_Public_TSV_FileList!$A$1:$A$1000,".tsv"),"")),0)),"notfound")</f>
        <v>10.1016%2FS0168-1591(98)00101-4_Table1.tsv</v>
      </c>
      <c r="M215" s="13" t="inlineStr">
        <is>
          <t>Table 1. The hearing range and sensitivity of domestic birds and mammals compared with that of humans</t>
        </is>
      </c>
      <c r="N215" s="13" t="inlineStr">
        <is>
          <t>PDF table</t>
        </is>
      </c>
      <c r="O215" s="13" t="inlineStr">
        <is>
          <t>19 spp (13 mammals incl. human, 6 birds). Limits = lowest/highest frequency audible at 60 dB SPL; best sensitivity = lowest threshold (dB); best frequency (Hz).</t>
        </is>
      </c>
      <c r="P215" s="13"/>
      <c r="Q215" s="19"/>
      <c r="R215" s="13" t="inlineStr">
        <is>
          <t>https://doi.org/10.1016/S0168-1591(98)00101-4</t>
        </is>
      </c>
      <c r="S215" s="19"/>
      <c r="T215" s="19" t="inlineStr">
        <is>
          <t>bird low-frequency limits approximate (~); compilation – check against original audiograms</t>
        </is>
      </c>
      <c r="U215" s="19"/>
      <c r="V215" s="13" t="inlineStr">
        <is>
          <t>sensory hearing</t>
        </is>
      </c>
      <c r="W215" s="13" t="inlineStr">
        <is>
          <t>Mammals &amp; birds (domestic)</t>
        </is>
      </c>
      <c r="X215" s="13" t="inlineStr">
        <is>
          <t>low- and high-frequency hearing limit (60 dB SPL); best sensitivity; best frequency</t>
        </is>
      </c>
      <c r="Y215" s="19"/>
      <c r="Z215" s="13"/>
      <c r="AA215" s="13" t="inlineStr">
        <is>
          <t>literature compilation of behavioural audiograms</t>
        </is>
      </c>
      <c r="AB215" s="13" t="inlineStr">
        <is>
          <t>hearing limits (Hz); threshold (dB SPL)</t>
        </is>
      </c>
      <c r="AC215" s="13" t="inlineStr">
        <is>
          <t>Heffner</t>
        </is>
      </c>
      <c r="AD215" s="13"/>
      <c r="AE215" s="13" t="inlineStr">
        <is>
          <t>secondary</t>
        </is>
      </c>
      <c r="AF215" s="13" t="inlineStr">
        <is>
          <t>Fay (1988); Heffner &amp; Heffner (1992a)</t>
        </is>
      </c>
      <c r="AG215" s="19" t="inlineStr">
        <is>
          <t>Extract; flag approximate bird values.</t>
        </is>
      </c>
    </row>
    <row r="216" ht="17" customHeight="1">
      <c r="A216" s="8" t="inlineStr">
        <is>
          <t>Heffner, H. E., &amp; Heffner, R. S. (2003). Audition. In Handbook of Research Methods in Experimental Psychology (Chapter 19, pp. 413–440). ISBN 9780631226499.</t>
        </is>
      </c>
      <c r="B216" s="16"/>
      <c r="C216" s="16" t="inlineStr">
        <is>
          <t>ISBN:9780631226499</t>
        </is>
      </c>
      <c r="D216" s="8" t="inlineStr">
        <is>
          <t>Table 19.1</t>
        </is>
      </c>
      <c r="E216" s="2" t="str">
        <f>SUBSTITUTE(SUBSTITUTE(_xlfn.TEXTBEFORE(A216,","), "-", ""), " ", "")</f>
        <v>Heffner</v>
      </c>
      <c r="F216" s="2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6" s="7" t="str">
        <f>_xlfn.TEXTBEFORE(_xlfn.TEXTAFTER(A216, "("), ")")</f>
        <v>2003</v>
      </c>
      <c r="H216" s="2" t="str">
        <f>E216 &amp; IF(F216&lt;&gt;"", "_" &amp; SUBSTITUTE(F216," ",""), "_") &amp; IF(G216&lt;&gt;"", "_" &amp; G216, "_") &amp; IF(B216&lt;&gt;"", "_" &amp; B216, "")</f>
        <v>Heffner__2003</v>
      </c>
      <c r="I216" s="2" t="str">
        <f>_xlfn.LET(_xlpm.doi,IF(C216&lt;&gt;"",C216,_xlfn.TEXTAFTER(A216,"https://doi.org/")),SUBSTITUTE(SUBSTITUTE(SUBSTITUTE(SUBSTITUTE(_xlpm.doi,"/","%2F"),":","%3A"),"&lt;","%3C"),"&gt;","%3E"))</f>
        <v>ISBN%3A9780631226499</v>
      </c>
      <c r="J216" s="2" t="str">
        <f>TRIM(_xlfn.TEXTJOIN("_",FALSE(),H216,(SUBSTITUTE(SUBSTITUTE(D216," ",""), "_", ""))))</f>
        <v>Heffner__2003_Table19.1</v>
      </c>
      <c r="K216" s="7" t="str">
        <f>I216 &amp; "_" &amp; SUBSTITUTE(SUBSTITUTE(SUBSTITUTE(D216,CHAR(160),"")," ",""),"_","")</f>
        <v>ISBN%3A9780631226499_Table19.1</v>
      </c>
      <c r="L216" s="7" t="str">
        <f t="array" ref="L216">IFERROR(INDEX(AUTO_Public_TSV_FileList!$A$1:$A$1000,MATCH(TRUE(),EXACT(K216,IFERROR(_xlfn.TEXTBEFORE(AUTO_Public_TSV_FileList!$A$1:$A$1000,".tsv"),"")),0)),"notfound")</f>
        <v>ISBN%3A9780631226499_Table19.1.tsv</v>
      </c>
      <c r="M216" s="8" t="inlineStr">
        <is>
          <t>Table 19.1 Sound localization acuity and use of binaural cues in mammals</t>
        </is>
      </c>
      <c r="N216" s="8" t="inlineStr">
        <is>
          <t>PDF (printed table; flat CSV snapshot)</t>
        </is>
      </c>
      <c r="O216" s="8" t="inlineStr">
        <is>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is>
      </c>
      <c r="P216" s="8" t="inlineStr">
        <is>
          <t>BUILT (Python parity QA; R/registration/TSV pending)</t>
        </is>
      </c>
      <c r="Q216" s="16" t="inlineStr">
        <is>
          <t>Heffner_Heffner_2003_Table19.1_snapshot.csv</t>
        </is>
      </c>
      <c r="R216" s="8" t="inlineStr">
        <is>
          <t>https://alleninstitute.sharepoint.com/sites/MammalianM1/Shared%20Documents/General/Species/Evo-M1-Trait-Data/Heffner_Heffner_2003/HeffnerHeffner2003.pdf</t>
        </is>
      </c>
      <c r="S216" s="16" t="inlineStr">
        <is>
          <t>Original degree signs, em dashes and */** markers retained; click and upper-octave caveats explicit.</t>
        </is>
      </c>
      <c r="T216" s="16" t="inlineStr">
        <is>
          <t>Broad common names require collection-scoped taxonomy review; no sample size or uncertainty given; per-row primary-source provenance unresolved.</t>
        </is>
      </c>
      <c r="U216" s="16" t="inlineStr">
        <is>
          <t>Secondary compilation: exclude from primary merges. Public export withheld until registry-authorised Item encoded exists.</t>
        </is>
      </c>
      <c r="V216" s="8" t="inlineStr">
        <is>
          <t>audition; sound localization</t>
        </is>
      </c>
      <c r="W216" s="8" t="inlineStr">
        <is>
          <t>Mammalia (37 printed common-name rows)</t>
        </is>
      </c>
      <c r="X216" s="8" t="inlineStr">
        <is>
          <t>midline sound-localization acuity; use of binaural phase and intensity cues</t>
        </is>
      </c>
      <c r="Y216" s="16" t="inlineStr">
        <is>
          <t>localization stimulus; upper-octave intensity-cue restriction</t>
        </is>
      </c>
      <c r="Z216" s="8" t="inlineStr">
        <is>
          <t>published behavioral auditory compilation</t>
        </is>
      </c>
      <c r="AA216" s="8" t="inlineStr">
        <is>
          <t>minimum audible angle; reported binaural cue use; broadband-noise localization except ** clicks</t>
        </is>
      </c>
      <c r="AB216" s="8" t="inlineStr">
        <is>
          <t>angular threshold (degrees); binary reported cue ability</t>
        </is>
      </c>
      <c r="AC216" s="8" t="inlineStr">
        <is>
          <t>Heffner</t>
        </is>
      </c>
      <c r="AD216" s="8" t="inlineStr">
        <is>
          <t>General</t>
        </is>
      </c>
      <c r="AE216" s="8" t="inlineStr">
        <is>
          <t>secondary</t>
        </is>
      </c>
      <c r="AF216" s="8" t="inlineStr">
        <is>
          <t>Earlier mammalian behavioral sound-localization studies reviewed in the chapter; Table 19.1 has no row-specific source keys.</t>
        </is>
      </c>
      <c r="AG216" s="16" t="inlineStr">
        <is>
          <t>Retain as secondary provenance; owner paste proposed row and run _tools/file_list.R, verify J Item name/K Item encoded/L TSV match, then clean R build and full validation. Do not merge as primary.</t>
        </is>
      </c>
      <c r="AH216" s="16"/>
    </row>
    <row r="217" ht="17" customHeight="1">
      <c r="A217" s="9" t="inlineStr">
        <is>
          <t>Heffner, H. E., &amp; Heffner, R. S. (2008). High-frequency hearing. In P. Dallos, D. Oertel, &amp; R. Hoy (Eds.), Handbook of the Senses: Audition (pp. 55-60). Elsevier. https://doi.org/10.1016/B978-012370880-9.00004-9</t>
        </is>
      </c>
      <c r="B217" s="14"/>
      <c r="C217" s="9"/>
      <c r="D217" s="9" t="inlineStr">
        <is>
          <t>Results Text</t>
        </is>
      </c>
      <c r="E217" s="11" t="str">
        <f>SUBSTITUTE(SUBSTITUTE(_xlfn.TEXTBEFORE(A217,","), "-", ""), " ", "")</f>
        <v>Heffner</v>
      </c>
      <c r="F217" s="10"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7" s="10" t="str">
        <f>_xlfn.TEXTBEFORE(_xlfn.TEXTAFTER(A217, "("), ")")</f>
        <v>2008</v>
      </c>
      <c r="H217" s="11" t="str">
        <f>E217 &amp; IF(F217&lt;&gt;"", "_" &amp; SUBSTITUTE(F217," ",""), "_") &amp; IF(G217&lt;&gt;"", "_" &amp; G217, "_") &amp; IF(B217&lt;&gt;"", "_" &amp; B217, "")</f>
        <v>Heffner__2008</v>
      </c>
      <c r="I217" s="11" t="str">
        <f>_xlfn.LET(_xlpm.doi,IF(C217&lt;&gt;"",C217,_xlfn.TEXTAFTER(A217,"https://doi.org/")),SUBSTITUTE(SUBSTITUTE(SUBSTITUTE(SUBSTITUTE(_xlpm.doi,"/","%2F"),":","%3A"),"&lt;","%3C"),"&gt;","%3E"))</f>
        <v>10.1016%2FB978-012370880-9.00004-9</v>
      </c>
      <c r="J217" s="11" t="str">
        <f>TRIM(_xlfn.TEXTJOIN("_",FALSE(),H217,(SUBSTITUTE(SUBSTITUTE(D217," ",""), "_", ""))))</f>
        <v>Heffner__2008_ResultsText</v>
      </c>
      <c r="K217" s="10" t="str">
        <f>I217 &amp; "_" &amp; SUBSTITUTE(SUBSTITUTE(SUBSTITUTE(D217,CHAR(160),"")," ",""),"_","")</f>
        <v>10.1016%2FB978-012370880-9.00004-9_ResultsText</v>
      </c>
      <c r="L217" s="10" t="str">
        <f t="array" ref="L217">IFERROR(INDEX(AUTO_Public_TSV_FileList!$A$1:$A$1000,MATCH(TRUE(),EXACT(K217,IFERROR(_xlfn.TEXTBEFORE(AUTO_Public_TSV_FileList!$A$1:$A$1000,".tsv"),"")),0)),"notfound")</f>
        <v>10.1016%2FB978-012370880-9.00004-9_ResultsText.tsv</v>
      </c>
      <c r="M217" s="9" t="inlineStr">
        <is>
          <t>Sole quantitative synthesis statistic in this review chapter: r=-0.79, p&lt;0.0001, functional head size vs. 60-dB high-frequency hearing limit across &gt;60 mammal species (Fig. 1, not digitized)</t>
        </is>
      </c>
      <c r="N217" s="9" t="inlineStr">
        <is>
          <t>text (review/synthesis, not primary data)</t>
        </is>
      </c>
      <c r="O217" s="9" t="inlineStr">
        <is>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is>
      </c>
      <c r="P217" s="9" t="inlineStr">
        <is>
          <t>FINISHED</t>
        </is>
      </c>
      <c r="Q217" s="9"/>
      <c r="R217" s="9"/>
      <c r="S217" s="9"/>
      <c r="T217" s="9"/>
      <c r="U217" s="9"/>
      <c r="V217" s="9"/>
      <c r="W217" s="9"/>
      <c r="X217" s="9"/>
      <c r="Y217" s="9"/>
      <c r="Z217" s="9"/>
      <c r="AA217" s="9"/>
      <c r="AB217" s="9"/>
      <c r="AC217" s="9"/>
      <c r="AD217" s="9"/>
      <c r="AE217" s="9"/>
      <c r="AF217" s="9"/>
      <c r="AG217" s="9"/>
    </row>
    <row r="218" ht="17" customHeight="1">
      <c r="A218" s="13" t="inlineStr">
        <is>
          <t>Heffner, H. E., &amp; Heffner, R. S. (2018). The evolution of mammalian hearing. AIP Conference Proceedings, 1965(1), 130001. https://doi.org/10.1063/1.5038516</t>
        </is>
      </c>
      <c r="B218" s="13"/>
      <c r="C218" s="13"/>
      <c r="D218" s="13" t="inlineStr">
        <is>
          <t>Figure 3</t>
        </is>
      </c>
      <c r="E218" s="11" t="str">
        <f>SUBSTITUTE(SUBSTITUTE(_xlfn.TEXTBEFORE(A218,","), "-", ""), " ", "")</f>
        <v>Heffner</v>
      </c>
      <c r="F218" s="10"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8" s="10" t="str">
        <f>_xlfn.TEXTBEFORE(_xlfn.TEXTAFTER(A218, "("), ")")</f>
        <v>2018</v>
      </c>
      <c r="H218" s="11" t="str">
        <f>E218 &amp; IF(F218&lt;&gt;"", "_" &amp; SUBSTITUTE(F218," ",""), "_") &amp; IF(G218&lt;&gt;"", "_" &amp; G218, "_") &amp; IF(B218&lt;&gt;"", "_" &amp; B218, "")</f>
        <v>Heffner__2018</v>
      </c>
      <c r="I218" s="11" t="str">
        <f>_xlfn.LET(_xlpm.doi,IF(C218&lt;&gt;"",C218,_xlfn.TEXTAFTER(A218,"https://doi.org/")),SUBSTITUTE(SUBSTITUTE(SUBSTITUTE(SUBSTITUTE(_xlpm.doi,"/","%2F"),":","%3A"),"&lt;","%3C"),"&gt;","%3E"))</f>
        <v>10.1063%2F1.5038516</v>
      </c>
      <c r="J218" s="11" t="str">
        <f>TRIM(_xlfn.TEXTJOIN("_",FALSE(),H218,(SUBSTITUTE(SUBSTITUTE(D218," ",""), "_", ""))))</f>
        <v>Heffner__2018_Figure3</v>
      </c>
      <c r="K218" s="10" t="str">
        <f>I218 &amp; "_" &amp; SUBSTITUTE(SUBSTITUTE(SUBSTITUTE(D218,CHAR(160),"")," ",""),"_","")</f>
        <v>10.1063%2F1.5038516_Figure3</v>
      </c>
      <c r="L218" s="10" t="str">
        <f t="array" ref="L218">IFERROR(INDEX(AUTO_Public_TSV_FileList!$A$1:$A$1000,MATCH(TRUE(),EXACT(K218,IFERROR(_xlfn.TEXTBEFORE(AUTO_Public_TSV_FileList!$A$1:$A$1000,".tsv"),"")),0)),"notfound")</f>
        <v>notfound</v>
      </c>
      <c r="M218" s="13" t="inlineStr">
        <is>
          <t>FIGURE 3. Relationship between the width of the field of best vision (75% isodensity contour) and sound-localization thresholds for 22 species of mammals</t>
        </is>
      </c>
      <c r="N218" s="13" t="inlineStr">
        <is>
          <t>figure</t>
        </is>
      </c>
      <c r="O218" s="13" t="inlineStr">
        <is>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is>
      </c>
      <c r="P218" s="13"/>
      <c r="Q218" s="13"/>
      <c r="R218" s="13" t="inlineStr">
        <is>
          <t>https://doi.org/10.1063/1.5038516</t>
        </is>
      </c>
      <c r="S218" s="13"/>
      <c r="T218" s="13" t="inlineStr">
        <is>
          <t>digitised values; figure reproduced from Heffner &amp; Heffner (2016)</t>
        </is>
      </c>
      <c r="U218" s="13"/>
      <c r="V218" s="13" t="inlineStr">
        <is>
          <t>sensory hearing; sensory vision</t>
        </is>
      </c>
      <c r="W218" s="13" t="inlineStr">
        <is>
          <t>Mammals (22 spp)</t>
        </is>
      </c>
      <c r="X218" s="13" t="inlineStr">
        <is>
          <t>width of field of best vision (deg); sound-localization threshold (deg)</t>
        </is>
      </c>
      <c r="Y218" s="13"/>
      <c r="Z218" s="13"/>
      <c r="AA218" s="13" t="inlineStr">
        <is>
          <t>figure digitisation</t>
        </is>
      </c>
      <c r="AB218" s="13" t="inlineStr">
        <is>
          <t>degrees</t>
        </is>
      </c>
      <c r="AC218" s="13" t="inlineStr">
        <is>
          <t>Heffner</t>
        </is>
      </c>
      <c r="AD218" s="13"/>
      <c r="AE218" s="13" t="inlineStr">
        <is>
          <t>secondary</t>
        </is>
      </c>
      <c r="AF218" s="13" t="inlineStr">
        <is>
          <t>Heffner &amp; Heffner (2016)</t>
        </is>
      </c>
      <c r="AG218" s="13" t="inlineStr">
        <is>
          <t>Keep existing digitisation; published values take precedence.</t>
        </is>
      </c>
    </row>
    <row r="219" ht="17" customHeight="1">
      <c r="A219" s="9" t="inlineStr">
        <is>
          <t>Heffner, H. E., Heffner, R. S., Contos, C., &amp; Ott, T. (1994). Audiogram of the hooded Norway rat. Hear Res, 73, 244-7. https://doi.org/10.1016/0378-5955(94)90240-2</t>
        </is>
      </c>
      <c r="B219" s="14" t="inlineStr">
        <is>
          <t>b</t>
        </is>
      </c>
      <c r="C219" s="14"/>
      <c r="D219" s="9" t="inlineStr">
        <is>
          <t>Figure 3</t>
        </is>
      </c>
      <c r="E219" s="11" t="str">
        <f>SUBSTITUTE(SUBSTITUTE(_xlfn.TEXTBEFORE(A219,","), "-", ""), " ", "")</f>
        <v>Heffner</v>
      </c>
      <c r="F219" s="10"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0" t="str">
        <f>_xlfn.TEXTBEFORE(_xlfn.TEXTAFTER(A219, "("), ")")</f>
        <v>1994</v>
      </c>
      <c r="H219" s="11" t="str">
        <f>E219 &amp; IF(F219&lt;&gt;"", "_" &amp; SUBSTITUTE(F219," ",""), "_") &amp; IF(G219&lt;&gt;"", "_" &amp; G219, "_") &amp; IF(B219&lt;&gt;"", "_" &amp; B219, "")</f>
        <v>Heffner_etal_1994_b</v>
      </c>
      <c r="I219" s="11" t="str">
        <f>_xlfn.LET(_xlpm.doi,IF(C219&lt;&gt;"",C219,_xlfn.TEXTAFTER(A219,"https://doi.org/")),SUBSTITUTE(SUBSTITUTE(SUBSTITUTE(SUBSTITUTE(_xlpm.doi,"/","%2F"),":","%3A"),"&lt;","%3C"),"&gt;","%3E"))</f>
        <v>10.1016%2F0378-5955(94)90240-2</v>
      </c>
      <c r="J219" s="11" t="str">
        <f>TRIM(_xlfn.TEXTJOIN("_",FALSE(),H219,(SUBSTITUTE(SUBSTITUTE(D219," ",""), "_", ""))))</f>
        <v>Heffner_etal_1994_b_Figure3</v>
      </c>
      <c r="K219" s="10" t="str">
        <f>I219 &amp; "_" &amp; SUBSTITUTE(SUBSTITUTE(SUBSTITUTE(D219,CHAR(160),"")," ",""),"_","")</f>
        <v>10.1016%2F0378-5955(94)90240-2_Figure3</v>
      </c>
      <c r="L219" s="10" t="str">
        <f t="array" ref="L219">IFERROR(INDEX(AUTO_Public_TSV_FileList!$A$1:$A$1000,MATCH(TRUE(),EXACT(K219,IFERROR(_xlfn.TEXTBEFORE(AUTO_Public_TSV_FileList!$A$1:$A$1000,".tsv"),"")),0)),"notfound")</f>
        <v>10.1016%2F0378-5955(94)90240-2_Figure3.tsv</v>
      </c>
      <c r="M219" s="9" t="inlineStr">
        <is>
          <t>Average audiograms of the hooded rat (this study), albino rat and wild Norway rat</t>
        </is>
      </c>
      <c r="N219" s="9" t="inlineStr">
        <is>
          <t>figure</t>
        </is>
      </c>
      <c r="O219" s="9" t="inlineStr">
        <is>
          <t>H corrected to match actual folder Heffner_etal_1994_b (was Heffner_etal_1994). Built 2026-09-27. FLAG unresolved: SensoryData_compiled labels this paper 1994c (a/b/c letters possibly swapped vs reference sheet) -- documented, not resolved.</t>
        </is>
      </c>
      <c r="P219" s="9" t="inlineStr">
        <is>
          <t>FINISHED</t>
        </is>
      </c>
      <c r="Q219" s="9"/>
      <c r="R219" s="32" t="inlineStr">
        <is>
          <t>https://doi.org/10.1016/0378-5955(94)90240-2</t>
        </is>
      </c>
      <c r="S219" s="9"/>
      <c r="T219" s="9" t="inlineStr">
        <is>
          <t>a/b/c label swap between SensoryData_compiled.csv and reference sheet</t>
        </is>
      </c>
      <c r="U219" s="9"/>
      <c r="V219" s="9" t="inlineStr">
        <is>
          <t>sensory hearing</t>
        </is>
      </c>
      <c r="W219" s="9" t="inlineStr">
        <is>
          <t>Rattus norvegicus (hooded, albino, wild strains)</t>
        </is>
      </c>
      <c r="X219" s="9" t="inlineStr">
        <is>
          <t>audiogram thresholds</t>
        </is>
      </c>
      <c r="Y219" s="9"/>
      <c r="Z219" s="9" t="inlineStr">
        <is>
          <t>behavioral (conditioned suppression/avoidance)</t>
        </is>
      </c>
      <c r="AA219" s="9" t="inlineStr">
        <is>
          <t>conditioned suppression/avoidance</t>
        </is>
      </c>
      <c r="AB219" s="9" t="inlineStr">
        <is>
          <t>threshold (dB SPL) by frequency (kHz)</t>
        </is>
      </c>
      <c r="AC219" s="9" t="inlineStr">
        <is>
          <t>Heffner</t>
        </is>
      </c>
      <c r="AD219" s="9"/>
      <c r="AE219" s="9" t="inlineStr">
        <is>
          <t>both</t>
        </is>
      </c>
      <c r="AF219" s="9" t="inlineStr">
        <is>
          <t>albino and wild-rat curves from Kelly &amp; Masterton 1977 / Heffner &amp; Masterton 1980</t>
        </is>
      </c>
      <c r="AG219" s="9" t="inlineStr">
        <is>
          <t>extract first — direct source of values already used in SensoryData</t>
        </is>
      </c>
    </row>
    <row r="220" ht="17" customHeight="1">
      <c r="A220" s="9" t="inlineStr">
        <is>
          <t>Heffner, H. E., Koay, G., &amp; Heffner, R. S. (2016). Budgerigars (Melopsittacus undulatus) do not hear infrasound: the audiogram from 8 Hz to 10 kHz. Journal of Comparative Physiology A, 202(12), 853-857. https://doi.org/10.1007/s00359-016-1125-9</t>
        </is>
      </c>
      <c r="B220" s="9"/>
      <c r="C220" s="9"/>
      <c r="D220" s="9" t="inlineStr">
        <is>
          <t>Table 1</t>
        </is>
      </c>
      <c r="E220" s="11" t="str">
        <f>SUBSTITUTE(SUBSTITUTE(_xlfn.TEXTBEFORE(A220,","), "-", ""), " ", "")</f>
        <v>Heffner</v>
      </c>
      <c r="F220" s="10"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10" t="str">
        <f>_xlfn.TEXTBEFORE(_xlfn.TEXTAFTER(A220, "("), ")")</f>
        <v>2016</v>
      </c>
      <c r="H220" s="11" t="str">
        <f>E220 &amp; IF(F220&lt;&gt;"", "_" &amp; SUBSTITUTE(F220," ",""), "_") &amp; IF(G220&lt;&gt;"", "_" &amp; G220, "_") &amp; IF(B220&lt;&gt;"", "_" &amp; B220, "")</f>
        <v>Heffner_etal_2016</v>
      </c>
      <c r="I220" s="11" t="str">
        <f>_xlfn.LET(_xlpm.doi,IF(C220&lt;&gt;"",C220,_xlfn.TEXTAFTER(A220,"https://doi.org/")),SUBSTITUTE(SUBSTITUTE(SUBSTITUTE(SUBSTITUTE(_xlpm.doi,"/","%2F"),":","%3A"),"&lt;","%3C"),"&gt;","%3E"))</f>
        <v>10.1007%2Fs00359-016-1125-9</v>
      </c>
      <c r="J220" s="11" t="str">
        <f>TRIM(_xlfn.TEXTJOIN("_",FALSE(),H220,(SUBSTITUTE(SUBSTITUTE(D220," ",""), "_", ""))))</f>
        <v>Heffner_etal_2016_Table1</v>
      </c>
      <c r="K220" s="10" t="str">
        <f>I220 &amp; "_" &amp; SUBSTITUTE(SUBSTITUTE(SUBSTITUTE(D220,CHAR(160),"")," ",""),"_","")</f>
        <v>10.1007%2Fs00359-016-1125-9_Table1</v>
      </c>
      <c r="L220" s="10" t="str">
        <f t="array" ref="L220">IFERROR(INDEX(AUTO_Public_TSV_FileList!$A$1:$A$1000,MATCH(TRUE(),EXACT(K220,IFERROR(_xlfn.TEXTBEFORE(AUTO_Public_TSV_FileList!$A$1:$A$1000,".tsv"),"")),0)),"notfound")</f>
        <v>10.1007%2Fs00359-016-1125-9_Table1.tsv</v>
      </c>
      <c r="M220" s="9" t="inlineStr">
        <is>
          <t>Table 1: individual (P1,P2,P3) and mean pure-tone thresholds of three budgerigars, 8 Hz-10 kHz</t>
        </is>
      </c>
      <c r="N220" s="9" t="inlineStr">
        <is>
          <t>table</t>
        </is>
      </c>
      <c r="O220" s="9" t="inlineStr">
        <is>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is>
      </c>
      <c r="P220" s="9" t="inlineStr">
        <is>
          <t>FINISHED</t>
        </is>
      </c>
      <c r="Q220" s="9"/>
      <c r="R220" s="9"/>
      <c r="S220" s="9"/>
      <c r="T220" s="9"/>
      <c r="U220" s="9"/>
      <c r="V220" s="9"/>
      <c r="W220" s="9"/>
      <c r="X220" s="9"/>
      <c r="Y220" s="9"/>
      <c r="Z220" s="9"/>
      <c r="AA220" s="9"/>
      <c r="AB220" s="9"/>
      <c r="AC220" s="9"/>
      <c r="AD220" s="9"/>
      <c r="AE220" s="9"/>
      <c r="AF220" s="9"/>
      <c r="AG220" s="9"/>
    </row>
    <row r="221" ht="17" customHeight="1">
      <c r="A221" s="9" t="inlineStr">
        <is>
          <t>Heffner, H. E., Ravizza, R. J., &amp; Masterton, B. (1969). Hearing in primitive mammals, III: Tree shrew (Tupaia glis). Journal of Auditory Research, 9(1), 12-18.</t>
        </is>
      </c>
      <c r="B221" s="9"/>
      <c r="C221" s="9" t="inlineStr">
        <is>
          <t>AN:1970-12222-001</t>
        </is>
      </c>
      <c r="D221" s="9" t="inlineStr">
        <is>
          <t>Results Text</t>
        </is>
      </c>
      <c r="E221" s="11" t="str">
        <f>SUBSTITUTE(SUBSTITUTE(_xlfn.TEXTBEFORE(A221,","), "-", ""), " ", "")</f>
        <v>Heffner</v>
      </c>
      <c r="F221" s="10"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10" t="str">
        <f>_xlfn.TEXTBEFORE(_xlfn.TEXTAFTER(A221, "("), ")")</f>
        <v>1969</v>
      </c>
      <c r="H221" s="11" t="str">
        <f>E221 &amp; IF(F221&lt;&gt;"", "_" &amp; SUBSTITUTE(F221," ",""), "_") &amp; IF(G221&lt;&gt;"", "_" &amp; G221, "_") &amp; IF(B221&lt;&gt;"", "_" &amp; B221, "")</f>
        <v>Heffner_etal_1969</v>
      </c>
      <c r="I221" s="11" t="str">
        <f>_xlfn.LET(_xlpm.doi,IF(C221&lt;&gt;"",C221,_xlfn.TEXTAFTER(A221,"https://doi.org/")),SUBSTITUTE(SUBSTITUTE(SUBSTITUTE(SUBSTITUTE(_xlpm.doi,"/","%2F"),":","%3A"),"&lt;","%3C"),"&gt;","%3E"))</f>
        <v>AN%3A1970-12222-001</v>
      </c>
      <c r="J221" s="11" t="str">
        <f>TRIM(_xlfn.TEXTJOIN("_",FALSE(),H221,(SUBSTITUTE(SUBSTITUTE(D221," ",""), "_", ""))))</f>
        <v>Heffner_etal_1969_ResultsText</v>
      </c>
      <c r="K221" s="10" t="str">
        <f>I221 &amp; "_" &amp; SUBSTITUTE(SUBSTITUTE(SUBSTITUTE(D221,CHAR(160),"")," ",""),"_","")</f>
        <v>AN%3A1970-12222-001_ResultsText</v>
      </c>
      <c r="L221" s="10" t="str">
        <f t="array" ref="L221">IFERROR(INDEX(AUTO_Public_TSV_FileList!$A$1:$A$1000,MATCH(TRUE(),EXACT(K221,IFERROR(_xlfn.TEXTBEFORE(AUTO_Public_TSV_FileList!$A$1:$A$1000,".tsv"),"")),0)),"notfound")</f>
        <v>AN%3A1970-12222-001_ResultsText.tsv</v>
      </c>
      <c r="M221" s="9" t="inlineStr">
        <is>
          <t>Tree shrew (Tupaia glis) best frequency, lowest threshold, audible frequency range</t>
        </is>
      </c>
      <c r="N221" s="9" t="inlineStr">
        <is>
          <t>text</t>
        </is>
      </c>
      <c r="O221" s="9" t="inlineStr">
        <is>
          <t>Registry row added 2026-09-27. No DOI exists (pre-1970s Journal of Auditory Research, no PMID) -- Alt identifier JAudRes:9:12-18 used per house convention for DOI-less sources. Built same day; TSV upload pending (connector timeout on __Public/comparative-data folder, retry later).</t>
        </is>
      </c>
      <c r="P221" s="9" t="inlineStr">
        <is>
          <t>BUILT (TSV upload pending)</t>
        </is>
      </c>
      <c r="Q221" s="9"/>
      <c r="R221" s="9"/>
      <c r="S221" s="9"/>
      <c r="T221" s="9"/>
      <c r="U221" s="9"/>
      <c r="V221" s="9"/>
      <c r="W221" s="9"/>
      <c r="X221" s="9"/>
      <c r="Y221" s="9"/>
      <c r="Z221" s="9"/>
      <c r="AA221" s="9"/>
      <c r="AB221" s="9"/>
      <c r="AC221" s="9"/>
      <c r="AD221" s="9"/>
      <c r="AE221" s="9"/>
      <c r="AF221" s="9"/>
      <c r="AG221" s="9"/>
    </row>
    <row r="222" ht="17" customHeight="1">
      <c r="A222" s="9" t="inlineStr">
        <is>
          <t>Heffner, Jr., H., &amp; Heffner, H. E. (2010). The behavioral audiogram of whitetail deer (Odocoileus virginianus). Journal of the Acoustical Society of America, 127(3), EL111-EL114. https://doi.org/10.1121/1.3284546</t>
        </is>
      </c>
      <c r="B222" s="9"/>
      <c r="C222" s="9"/>
      <c r="D222" s="9" t="inlineStr">
        <is>
          <t>Results Text</t>
        </is>
      </c>
      <c r="E222" s="11" t="str">
        <f>SUBSTITUTE(SUBSTITUTE(_xlfn.TEXTBEFORE(A222,","), "-", ""), " ", "")</f>
        <v>Heffner</v>
      </c>
      <c r="F222" s="10"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10" t="str">
        <f>_xlfn.TEXTBEFORE(_xlfn.TEXTAFTER(A222, "("), ")")</f>
        <v>2010</v>
      </c>
      <c r="H222" s="11" t="str">
        <f>E222 &amp; IF(F222&lt;&gt;"", "_" &amp; SUBSTITUTE(F222," ",""), "_") &amp; IF(G222&lt;&gt;"", "_" &amp; G222, "_") &amp; IF(B222&lt;&gt;"", "_" &amp; B222, "")</f>
        <v>Heffner_etal_2010</v>
      </c>
      <c r="I222" s="11" t="str">
        <f>_xlfn.LET(_xlpm.doi,IF(C222&lt;&gt;"",C222,_xlfn.TEXTAFTER(A222,"https://doi.org/")),SUBSTITUTE(SUBSTITUTE(SUBSTITUTE(SUBSTITUTE(_xlpm.doi,"/","%2F"),":","%3A"),"&lt;","%3C"),"&gt;","%3E"))</f>
        <v>10.1121%2F1.3284546</v>
      </c>
      <c r="J222" s="11" t="str">
        <f>TRIM(_xlfn.TEXTJOIN("_",FALSE(),H222,(SUBSTITUTE(SUBSTITUTE(D222," ",""), "_", ""))))</f>
        <v>Heffner_etal_2010_ResultsText</v>
      </c>
      <c r="K222" s="10" t="str">
        <f>I222 &amp; "_" &amp; SUBSTITUTE(SUBSTITUTE(SUBSTITUTE(D222,CHAR(160),"")," ",""),"_","")</f>
        <v>10.1121%2F1.3284546_ResultsText</v>
      </c>
      <c r="L222" s="10" t="str">
        <f t="array" ref="L222">IFERROR(INDEX(AUTO_Public_TSV_FileList!$A$1:$A$1000,MATCH(TRUE(),EXACT(K222,IFERROR(_xlfn.TEXTBEFORE(AUTO_Public_TSV_FileList!$A$1:$A$1000,".tsv"),"")),0)),"notfound")</f>
        <v>10.1121%2F1.3284546_ResultsText.tsv</v>
      </c>
      <c r="M222" s="9" t="inlineStr">
        <is>
          <t>60-dB-SPL audiogram summary (best freq 8 kHz/-3 dB; range 115 Hz-54 kHz) for white-tailed deer, plus wider absolute-limit range at higher intensity</t>
        </is>
      </c>
      <c r="N222" s="9" t="inlineStr">
        <is>
          <t>text</t>
        </is>
      </c>
      <c r="O222" s="9" t="inlineStr">
        <is>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is>
      </c>
      <c r="P222" s="9" t="inlineStr">
        <is>
          <t>FINISHED</t>
        </is>
      </c>
      <c r="Q222" s="9"/>
      <c r="R222" s="9"/>
      <c r="S222" s="9"/>
      <c r="T222" s="9"/>
      <c r="U222" s="9"/>
      <c r="V222" s="9"/>
      <c r="W222" s="9"/>
      <c r="X222" s="9"/>
      <c r="Y222" s="9"/>
      <c r="Z222" s="9"/>
      <c r="AA222" s="9"/>
      <c r="AB222" s="9"/>
      <c r="AC222" s="9"/>
      <c r="AD222" s="9"/>
      <c r="AE222" s="9"/>
      <c r="AF222" s="9"/>
      <c r="AG222" s="9"/>
    </row>
    <row r="223" ht="17" customHeight="1">
      <c r="A223" s="1" t="inlineStr">
        <is>
          <t>Heffner, R. S. (2004). Primate hearing from a mammalian perspective. The Anatomical Record Part A, 281A(1), 1111–1122. https://doi.org/10.1002/ar.a.20117</t>
        </is>
      </c>
      <c r="B223" s="9"/>
      <c r="C223" s="9"/>
      <c r="D223" s="1" t="inlineStr">
        <is>
          <t>Table 1</t>
        </is>
      </c>
      <c r="E223" s="11" t="str">
        <f>SUBSTITUTE(SUBSTITUTE(_xlfn.TEXTBEFORE(A223,","), "-", ""), " ", "")</f>
        <v>Heffner</v>
      </c>
      <c r="F223" s="10"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3" s="10" t="str">
        <f>_xlfn.TEXTBEFORE(_xlfn.TEXTAFTER(A223, "("), ")")</f>
        <v>2004</v>
      </c>
      <c r="H223" s="11" t="str">
        <f>E223 &amp; IF(F223&lt;&gt;"", "_" &amp; SUBSTITUTE(F223," ",""), "_") &amp; IF(G223&lt;&gt;"", "_" &amp; G223, "_") &amp; IF(B223&lt;&gt;"", "_" &amp; B223, "")</f>
        <v>Heffner__2004</v>
      </c>
      <c r="I223" s="11" t="str">
        <f>_xlfn.LET(_xlpm.doi,IF(C223&lt;&gt;"",C223,_xlfn.TEXTAFTER(A223,"https://doi.org/")),SUBSTITUTE(SUBSTITUTE(SUBSTITUTE(SUBSTITUTE(_xlpm.doi,"/","%2F"),":","%3A"),"&lt;","%3C"),"&gt;","%3E"))</f>
        <v>10.1002%2Far.a.20117</v>
      </c>
      <c r="J223" s="11" t="str">
        <f>TRIM(_xlfn.TEXTJOIN("_",FALSE(),H223,(SUBSTITUTE(SUBSTITUTE(D223," ",""), "_", ""))))</f>
        <v>Heffner__2004_Table1</v>
      </c>
      <c r="K223" s="10" t="str">
        <f>I223 &amp; "_" &amp; SUBSTITUTE(SUBSTITUTE(SUBSTITUTE(D223,CHAR(160),"")," ",""),"_","")</f>
        <v>10.1002%2Far.a.20117_Table1</v>
      </c>
      <c r="L223" s="10" t="str">
        <f t="array" ref="L223">IFERROR(INDEX(AUTO_Public_TSV_FileList!$A$1:$A$1000,MATCH(TRUE(),EXACT(K223,IFERROR(_xlfn.TEXTBEFORE(AUTO_Public_TSV_FileList!$A$1:$A$1000,".tsv"),"")),0)),"notfound")</f>
        <v>10.1002%2Far.a.20117_Table1.tsv</v>
      </c>
      <c r="M223" s="13" t="inlineStr">
        <is>
          <t>Table 1. Hearing limits for 19 species of primates</t>
        </is>
      </c>
      <c r="N223" s="1" t="inlineStr">
        <is>
          <t>table</t>
        </is>
      </c>
      <c r="O223" s="13" t="inlineStr">
        <is>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is>
      </c>
      <c r="P223" s="1" t="inlineStr">
        <is>
          <t>FINISHED</t>
        </is>
      </c>
      <c r="Q223" s="9"/>
      <c r="R223" s="13" t="inlineStr">
        <is>
          <t>https://doi.org/10.1002/ar.a.20117</t>
        </is>
      </c>
      <c r="S223" s="9"/>
      <c r="T223" s="9"/>
      <c r="U223" s="9"/>
      <c r="V223" s="13" t="inlineStr">
        <is>
          <t>Sensory</t>
        </is>
      </c>
      <c r="W223" s="1" t="inlineStr">
        <is>
          <t>Primates (19 species, incl. humans)</t>
        </is>
      </c>
      <c r="X223" s="1" t="inlineStr">
        <is>
          <t>audiogram (low/high-frequency limits, best frequency, best sensitivity, hearing range)</t>
        </is>
      </c>
      <c r="Y223" s="9"/>
      <c r="Z223" s="13" t="inlineStr">
        <is>
          <t>behavioral audiometry (compiled review)</t>
        </is>
      </c>
      <c r="AA223" s="13" t="inlineStr">
        <is>
          <t>psychoacoustic testing</t>
        </is>
      </c>
      <c r="AB223" s="1" t="inlineStr">
        <is>
          <t>frequency (kHz); threshold (dB); range (octaves)</t>
        </is>
      </c>
      <c r="AC223" s="1" t="inlineStr">
        <is>
          <t>Heffner</t>
        </is>
      </c>
      <c r="AD223" s="13" t="inlineStr">
        <is>
          <t>compiled from cited audiogram studies (see item README/definitions)</t>
        </is>
      </c>
      <c r="AE223" s="1" t="inlineStr">
        <is>
          <t>secondary</t>
        </is>
      </c>
      <c r="AF223" s="1" t="inlineStr">
        <is>
          <t>compiled from cited audiogram studies (see item README/definitions)</t>
        </is>
      </c>
      <c r="AG223" s="9"/>
    </row>
    <row r="224" ht="17" customHeight="1">
      <c r="A224" s="1" t="inlineStr">
        <is>
          <t>Heffner, R. S. (2004). Primate hearing from a mammalian perspective. The Anatomical Record Part A, 281A(1), 1111–1122. https://doi.org/10.1002/ar.a.20117</t>
        </is>
      </c>
      <c r="B224" s="13"/>
      <c r="C224" s="13"/>
      <c r="D224" s="13" t="inlineStr">
        <is>
          <t>TABLE 1</t>
        </is>
      </c>
      <c r="E224" s="11" t="str">
        <f>SUBSTITUTE(SUBSTITUTE(_xlfn.TEXTBEFORE(A224,","), "-", ""), " ", "")</f>
        <v>Heffner</v>
      </c>
      <c r="F224" s="10"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4" s="10" t="str">
        <f>_xlfn.TEXTBEFORE(_xlfn.TEXTAFTER(A224, "("), ")")</f>
        <v>2004</v>
      </c>
      <c r="H224" s="11" t="str">
        <f>E224 &amp; IF(F224&lt;&gt;"", "_" &amp; SUBSTITUTE(F224," ",""), "_") &amp; IF(G224&lt;&gt;"", "_" &amp; G224, "_") &amp; IF(B224&lt;&gt;"", "_" &amp; B224, "")</f>
        <v>Heffner__2004</v>
      </c>
      <c r="I224" s="11" t="str">
        <f>_xlfn.LET(_xlpm.doi,IF(C224&lt;&gt;"",C224,_xlfn.TEXTAFTER(A224,"https://doi.org/")),SUBSTITUTE(SUBSTITUTE(SUBSTITUTE(SUBSTITUTE(_xlpm.doi,"/","%2F"),":","%3A"),"&lt;","%3C"),"&gt;","%3E"))</f>
        <v>10.1002%2Far.a.20117</v>
      </c>
      <c r="J224" s="11" t="str">
        <f>TRIM(_xlfn.TEXTJOIN("_",FALSE(),H224,(SUBSTITUTE(SUBSTITUTE(D224," ",""), "_", ""))))</f>
        <v>Heffner__2004_TABLE1</v>
      </c>
      <c r="K224" s="10" t="str">
        <f>I224 &amp; "_" &amp; SUBSTITUTE(SUBSTITUTE(SUBSTITUTE(D224,CHAR(160),"")," ",""),"_","")</f>
        <v>10.1002%2Far.a.20117_TABLE1</v>
      </c>
      <c r="L224" s="10" t="str">
        <f t="array" ref="L224">IFERROR(INDEX(AUTO_Public_TSV_FileList!$A$1:$A$1000,MATCH(TRUE(),EXACT(K224,IFERROR(_xlfn.TEXTBEFORE(AUTO_Public_TSV_FileList!$A$1:$A$1000,".tsv"),"")),0)),"notfound")</f>
        <v>notfound</v>
      </c>
      <c r="M224" s="13" t="inlineStr">
        <is>
          <t>TABLE 1. Hearing limits for 19 species of primates</t>
        </is>
      </c>
      <c r="N224" s="13" t="inlineStr">
        <is>
          <t>PDF table</t>
        </is>
      </c>
      <c r="O224" s="13" t="inlineStr">
        <is>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is>
      </c>
      <c r="P224" s="13"/>
      <c r="Q224" s="13"/>
      <c r="R224" s="13" t="inlineStr">
        <is>
          <t>https://doi.org/10.1002/ar.a.20117</t>
        </is>
      </c>
      <c r="S224" s="13"/>
      <c r="T224" s="13" t="inlineStr">
        <is>
          <t>text layer merges footnote superscripts into values (e.g. 48² reads 482) – enter from page image; keep footnote flag column</t>
        </is>
      </c>
      <c r="U224" s="13"/>
      <c r="V224" s="13" t="inlineStr">
        <is>
          <t>sensory hearing</t>
        </is>
      </c>
      <c r="W224" s="13" t="inlineStr">
        <is>
          <t>Primates</t>
        </is>
      </c>
      <c r="X224" s="13" t="inlineStr">
        <is>
          <t>high- and low-frequency hearing limit (60 dB SPL); best frequency; best sensitivity; hearing range (octaves)</t>
        </is>
      </c>
      <c r="Y224" s="13"/>
      <c r="Z224" s="13"/>
      <c r="AA224" s="13" t="inlineStr">
        <is>
          <t>behavioural audiograms (compilation)</t>
        </is>
      </c>
      <c r="AB224" s="13" t="inlineStr">
        <is>
          <t>hearing limits (kHz); threshold (dB SPL)</t>
        </is>
      </c>
      <c r="AC224" s="13" t="inlineStr">
        <is>
          <t>Heffner</t>
        </is>
      </c>
      <c r="AD224" s="13"/>
      <c r="AE224" s="13" t="inlineStr">
        <is>
          <t>both</t>
        </is>
      </c>
      <c r="AF224" s="13" t="inlineStr">
        <is>
          <t>see Figs 2, 3, 6, 7 for references</t>
        </is>
      </c>
      <c r="AG224" s="13" t="inlineStr">
        <is>
          <t>Extract; priority.</t>
        </is>
      </c>
    </row>
    <row r="225" ht="17" customHeight="1">
      <c r="A225" s="9" t="inlineStr">
        <is>
          <t>Heffner, R. S., &amp; Heffner, H. E. (1982). Hearing in the elephant (Elephas maximus): Absolute sensitivity, frequency discrimination, and sound localization. Journal of Comparative and Physiological Psychology, 96(6), 926-944. https://doi.org/10.1037/0735-7036.96.6.926</t>
        </is>
      </c>
      <c r="B225" s="9"/>
      <c r="C225" s="9"/>
      <c r="D225" s="9" t="inlineStr">
        <is>
          <t>Results Text</t>
        </is>
      </c>
      <c r="E225" s="11" t="str">
        <f>SUBSTITUTE(SUBSTITUTE(_xlfn.TEXTBEFORE(A225,","), "-", ""), " ", "")</f>
        <v>Heffner</v>
      </c>
      <c r="F225" s="10"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5" s="10" t="str">
        <f>_xlfn.TEXTBEFORE(_xlfn.TEXTAFTER(A225, "("), ")")</f>
        <v>1982</v>
      </c>
      <c r="H225" s="11" t="str">
        <f>E225 &amp; IF(F225&lt;&gt;"", "_" &amp; SUBSTITUTE(F225," ",""), "_") &amp; IF(G225&lt;&gt;"", "_" &amp; G225, "_") &amp; IF(B225&lt;&gt;"", "_" &amp; B225, "")</f>
        <v>Heffner__1982</v>
      </c>
      <c r="I225" s="11" t="str">
        <f>_xlfn.LET(_xlpm.doi,IF(C225&lt;&gt;"",C225,_xlfn.TEXTAFTER(A225,"https://doi.org/")),SUBSTITUTE(SUBSTITUTE(SUBSTITUTE(SUBSTITUTE(_xlpm.doi,"/","%2F"),":","%3A"),"&lt;","%3C"),"&gt;","%3E"))</f>
        <v>10.1037%2F0735-7036.96.6.926</v>
      </c>
      <c r="J225" s="11" t="str">
        <f>TRIM(_xlfn.TEXTJOIN("_",FALSE(),H225,(SUBSTITUTE(SUBSTITUTE(D225," ",""), "_", ""))))</f>
        <v>Heffner__1982_ResultsText</v>
      </c>
      <c r="K225" s="10" t="str">
        <f>I225 &amp; "_" &amp; SUBSTITUTE(SUBSTITUTE(SUBSTITUTE(D225,CHAR(160),"")," ",""),"_","")</f>
        <v>10.1037%2F0735-7036.96.6.926_ResultsText</v>
      </c>
      <c r="L225" s="10" t="str">
        <f t="array" ref="L225">IFERROR(INDEX(AUTO_Public_TSV_FileList!$A$1:$A$1000,MATCH(TRUE(),EXACT(K225,IFERROR(_xlfn.TEXTBEFORE(AUTO_Public_TSV_FileList!$A$1:$A$1000,".tsv"),"")),0)),"notfound")</f>
        <v>10.1037%2F0735-7036.96.6.926_ResultsText.tsv</v>
      </c>
      <c r="M225" s="9" t="inlineStr">
        <is>
          <t>60-dB-SPL audiogram summary (best freq 1 kHz/8 dB; low limit 17 Hz; high limit 10.5 kHz) for Asian elephant, Experiment 1 of 3 in this paper</t>
        </is>
      </c>
      <c r="N225" s="9" t="inlineStr">
        <is>
          <t>text</t>
        </is>
      </c>
      <c r="O225" s="9" t="inlineStr">
        <is>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is>
      </c>
      <c r="P225" s="9" t="inlineStr">
        <is>
          <t>FINISHED</t>
        </is>
      </c>
      <c r="Q225" s="9"/>
      <c r="R225" s="9"/>
      <c r="S225" s="9"/>
      <c r="T225" s="9"/>
      <c r="U225" s="9"/>
      <c r="V225" s="9"/>
      <c r="W225" s="9"/>
      <c r="X225" s="9"/>
      <c r="Y225" s="9"/>
      <c r="Z225" s="9"/>
      <c r="AA225" s="9"/>
      <c r="AB225" s="9"/>
      <c r="AC225" s="9"/>
      <c r="AD225" s="9"/>
      <c r="AE225" s="9"/>
      <c r="AF225" s="9"/>
      <c r="AG225" s="9"/>
    </row>
    <row r="226" ht="17" customHeight="1">
      <c r="A226" s="9" t="inlineStr">
        <is>
          <t>Heffner, R. S., &amp; Heffner, H. E. (1985). Hearing in Mammals: The Least Weasel. J Mammal, 66, 745-755. https://doi.org/10.2307/1380801</t>
        </is>
      </c>
      <c r="B226" s="9"/>
      <c r="C226" s="9"/>
      <c r="D226" s="9" t="inlineStr">
        <is>
          <t>Figure 3</t>
        </is>
      </c>
      <c r="E226" s="11" t="str">
        <f>SUBSTITUTE(SUBSTITUTE(_xlfn.TEXTBEFORE(A226,","), "-", ""), " ", "")</f>
        <v>Heffner</v>
      </c>
      <c r="F226" s="10"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6" s="10" t="str">
        <f>_xlfn.TEXTBEFORE(_xlfn.TEXTAFTER(A226, "("), ")")</f>
        <v>1985</v>
      </c>
      <c r="H226" s="11" t="str">
        <f>E226 &amp; IF(F226&lt;&gt;"", "_" &amp; SUBSTITUTE(F226," ",""), "_") &amp; IF(G226&lt;&gt;"", "_" &amp; G226, "_") &amp; IF(B226&lt;&gt;"", "_" &amp; B226, "")</f>
        <v>Heffner__1985</v>
      </c>
      <c r="I226" s="11" t="str">
        <f>_xlfn.LET(_xlpm.doi,IF(C226&lt;&gt;"",C226,_xlfn.TEXTAFTER(A226,"https://doi.org/")),SUBSTITUTE(SUBSTITUTE(SUBSTITUTE(SUBSTITUTE(_xlpm.doi,"/","%2F"),":","%3A"),"&lt;","%3C"),"&gt;","%3E"))</f>
        <v>10.2307%2F1380801</v>
      </c>
      <c r="J226" s="11" t="str">
        <f>TRIM(_xlfn.TEXTJOIN("_",FALSE(),H226,(SUBSTITUTE(SUBSTITUTE(D226," ",""), "_", ""))))</f>
        <v>Heffner__1985_Figure3</v>
      </c>
      <c r="K226" s="10" t="str">
        <f>I226 &amp; "_" &amp; SUBSTITUTE(SUBSTITUTE(SUBSTITUTE(D226,CHAR(160),"")," ",""),"_","")</f>
        <v>10.2307%2F1380801_Figure3</v>
      </c>
      <c r="L226" s="10" t="str">
        <f t="array" ref="L226">IFERROR(INDEX(AUTO_Public_TSV_FileList!$A$1:$A$1000,MATCH(TRUE(),EXACT(K226,IFERROR(_xlfn.TEXTBEFORE(AUTO_Public_TSV_FileList!$A$1:$A$1000,".tsv"),"")),0)),"notfound")</f>
        <v>notfound</v>
      </c>
      <c r="M226" s="9" t="inlineStr">
        <is>
          <t>Audiogram of the least weasel</t>
        </is>
      </c>
      <c r="N226" s="9" t="inlineStr">
        <is>
          <t>figure</t>
        </is>
      </c>
      <c r="O226" s="9" t="inlineStr">
        <is>
          <t>Not built -- see Resultstext item (priority 1) for this folder's built data.</t>
        </is>
      </c>
      <c r="P226" s="9" t="inlineStr">
        <is>
          <t>candidate</t>
        </is>
      </c>
      <c r="Q226" s="9"/>
      <c r="R226" s="32" t="inlineStr">
        <is>
          <t>https://doi.org/10.2307/1380801</t>
        </is>
      </c>
      <c r="S226" s="9"/>
      <c r="T226" s="9"/>
      <c r="U226" s="9"/>
      <c r="V226" s="9" t="inlineStr">
        <is>
          <t>sensory hearing</t>
        </is>
      </c>
      <c r="W226" s="9" t="inlineStr">
        <is>
          <t>Mustela nivalis (2 individuals)</t>
        </is>
      </c>
      <c r="X226" s="9" t="inlineStr">
        <is>
          <t>audiogram thresholds</t>
        </is>
      </c>
      <c r="Y226" s="9"/>
      <c r="Z226" s="9" t="inlineStr">
        <is>
          <t>behavioral (conditioned suppression/avoidance)</t>
        </is>
      </c>
      <c r="AA226" s="9" t="inlineStr">
        <is>
          <t>conditioned suppression/avoidance</t>
        </is>
      </c>
      <c r="AB226" s="9" t="inlineStr">
        <is>
          <t>threshold (dB SPL) by frequency (kHz)</t>
        </is>
      </c>
      <c r="AC226" s="9" t="inlineStr">
        <is>
          <t>Heffner</t>
        </is>
      </c>
      <c r="AD226" s="9"/>
      <c r="AE226" s="9" t="inlineStr">
        <is>
          <t>primary</t>
        </is>
      </c>
      <c r="AF226" s="9"/>
      <c r="AG226" s="9" t="inlineStr">
        <is>
          <t>extract if full curve/individuals wanted</t>
        </is>
      </c>
    </row>
    <row r="227" ht="17" customHeight="1">
      <c r="A227" s="9" t="inlineStr">
        <is>
          <t>Heffner, R. S., &amp; Heffner, H. E. (1985). Hearing in Mammals: The Least Weasel. J Mammal, 66, 745-755. https://doi.org/10.2307/1380801</t>
        </is>
      </c>
      <c r="B227" s="9"/>
      <c r="C227" s="9"/>
      <c r="D227" s="9" t="inlineStr">
        <is>
          <t>Figure 6</t>
        </is>
      </c>
      <c r="E227" s="11" t="str">
        <f>SUBSTITUTE(SUBSTITUTE(_xlfn.TEXTBEFORE(A227,","), "-", ""), " ", "")</f>
        <v>Heffner</v>
      </c>
      <c r="F227" s="10"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7" s="10" t="str">
        <f>_xlfn.TEXTBEFORE(_xlfn.TEXTAFTER(A227, "("), ")")</f>
        <v>1985</v>
      </c>
      <c r="H227" s="11" t="str">
        <f>E227 &amp; IF(F227&lt;&gt;"", "_" &amp; SUBSTITUTE(F227," ",""), "_") &amp; IF(G227&lt;&gt;"", "_" &amp; G227, "_") &amp; IF(B227&lt;&gt;"", "_" &amp; B227, "")</f>
        <v>Heffner__1985</v>
      </c>
      <c r="I227" s="11" t="str">
        <f>_xlfn.LET(_xlpm.doi,IF(C227&lt;&gt;"",C227,_xlfn.TEXTAFTER(A227,"https://doi.org/")),SUBSTITUTE(SUBSTITUTE(SUBSTITUTE(SUBSTITUTE(_xlpm.doi,"/","%2F"),":","%3A"),"&lt;","%3C"),"&gt;","%3E"))</f>
        <v>10.2307%2F1380801</v>
      </c>
      <c r="J227" s="11" t="str">
        <f>TRIM(_xlfn.TEXTJOIN("_",FALSE(),H227,(SUBSTITUTE(SUBSTITUTE(D227," ",""), "_", ""))))</f>
        <v>Heffner__1985_Figure6</v>
      </c>
      <c r="K227" s="10" t="str">
        <f>I227 &amp; "_" &amp; SUBSTITUTE(SUBSTITUTE(SUBSTITUTE(D227,CHAR(160),"")," ",""),"_","")</f>
        <v>10.2307%2F1380801_Figure6</v>
      </c>
      <c r="L227" s="10" t="str">
        <f t="array" ref="L227">IFERROR(INDEX(AUTO_Public_TSV_FileList!$A$1:$A$1000,MATCH(TRUE(),EXACT(K227,IFERROR(_xlfn.TEXTBEFORE(AUTO_Public_TSV_FileList!$A$1:$A$1000,".tsv"),"")),0)),"notfound")</f>
        <v>notfound</v>
      </c>
      <c r="M227" s="9" t="inlineStr">
        <is>
          <t>Relation between high-frequency and low-frequency hearing in 30 species of land mammals</t>
        </is>
      </c>
      <c r="N227" s="9" t="inlineStr">
        <is>
          <t>figure</t>
        </is>
      </c>
      <c r="O227" s="9" t="inlineStr">
        <is>
          <t>Not built -- see Resultstext item (priority 1) for this folder's built data.</t>
        </is>
      </c>
      <c r="P227" s="9" t="inlineStr">
        <is>
          <t>candidate</t>
        </is>
      </c>
      <c r="Q227" s="9"/>
      <c r="R227" s="32" t="inlineStr">
        <is>
          <t>https://doi.org/10.2307/1380801</t>
        </is>
      </c>
      <c r="S227" s="9"/>
      <c r="T227" s="9"/>
      <c r="U227" s="9"/>
      <c r="V227" s="9" t="inlineStr">
        <is>
          <t>sensory hearing</t>
        </is>
      </c>
      <c r="W227" s="9" t="inlineStr">
        <is>
          <t>Mammals (30 spp)</t>
        </is>
      </c>
      <c r="X227" s="9" t="inlineStr">
        <is>
          <t>low- and high-frequency hearing limits (60 dB SPL)</t>
        </is>
      </c>
      <c r="Y227" s="9"/>
      <c r="Z227" s="9" t="inlineStr">
        <is>
          <t>behavioral audiometry (compiled review)</t>
        </is>
      </c>
      <c r="AA227" s="9" t="inlineStr">
        <is>
          <t>literature compilation (behavioral audiograms)</t>
        </is>
      </c>
      <c r="AB227" s="9" t="inlineStr">
        <is>
          <t>kHz</t>
        </is>
      </c>
      <c r="AC227" s="9" t="inlineStr">
        <is>
          <t>Heffner</t>
        </is>
      </c>
      <c r="AD227" s="9"/>
      <c r="AE227" s="9" t="inlineStr">
        <is>
          <t>secondary</t>
        </is>
      </c>
      <c r="AF227" s="9" t="inlineStr">
        <is>
          <t>Heffner-lab compilation; species key in legend</t>
        </is>
      </c>
      <c r="AG227" s="9" t="inlineStr">
        <is>
          <t>optional comparative compilation; check overlap with registered Heffner items</t>
        </is>
      </c>
    </row>
    <row r="228" ht="17" customHeight="1">
      <c r="A228" s="9" t="inlineStr">
        <is>
          <t>Heffner, R. S., &amp; Heffner, H. E. (1985). Hearing in Mammals: The Least Weasel. J Mammal, 66, 745-755. https://doi.org/10.2307/1380801</t>
        </is>
      </c>
      <c r="B228" s="9"/>
      <c r="C228" s="9"/>
      <c r="D228" s="9" t="inlineStr">
        <is>
          <t>Results Text</t>
        </is>
      </c>
      <c r="E228" s="11" t="str">
        <f>SUBSTITUTE(SUBSTITUTE(_xlfn.TEXTBEFORE(A228,","), "-", ""), " ", "")</f>
        <v>Heffner</v>
      </c>
      <c r="F228" s="10"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8" s="10" t="str">
        <f>_xlfn.TEXTBEFORE(_xlfn.TEXTAFTER(A228, "("), ")")</f>
        <v>1985</v>
      </c>
      <c r="H228" s="11" t="str">
        <f>E228 &amp; IF(F228&lt;&gt;"", "_" &amp; SUBSTITUTE(F228," ",""), "_") &amp; IF(G228&lt;&gt;"", "_" &amp; G228, "_") &amp; IF(B228&lt;&gt;"", "_" &amp; B228, "")</f>
        <v>Heffner__1985</v>
      </c>
      <c r="I228" s="11" t="str">
        <f>_xlfn.LET(_xlpm.doi,IF(C228&lt;&gt;"",C228,_xlfn.TEXTAFTER(A228,"https://doi.org/")),SUBSTITUTE(SUBSTITUTE(SUBSTITUTE(SUBSTITUTE(_xlpm.doi,"/","%2F"),":","%3A"),"&lt;","%3C"),"&gt;","%3E"))</f>
        <v>10.2307%2F1380801</v>
      </c>
      <c r="J228" s="11" t="str">
        <f>TRIM(_xlfn.TEXTJOIN("_",FALSE(),H228,(SUBSTITUTE(SUBSTITUTE(D228," ",""), "_", ""))))</f>
        <v>Heffner__1985_ResultsText</v>
      </c>
      <c r="K228" s="10" t="str">
        <f>I228 &amp; "_" &amp; SUBSTITUTE(SUBSTITUTE(SUBSTITUTE(D228,CHAR(160),"")," ",""),"_","")</f>
        <v>10.2307%2F1380801_ResultsText</v>
      </c>
      <c r="L228" s="10" t="str">
        <f t="array" ref="L228">IFERROR(INDEX(AUTO_Public_TSV_FileList!$A$1:$A$1000,MATCH(TRUE(),EXACT(K228,IFERROR(_xlfn.TEXTBEFORE(AUTO_Public_TSV_FileList!$A$1:$A$1000,".tsv"),"")),0)),"notfound")</f>
        <v>10.2307%2F1380801_ResultsText.tsv</v>
      </c>
      <c r="M228" s="9" t="inlineStr">
        <is>
          <t>Results text: 60-dB hearing range, best sensitivity, region of best hearing</t>
        </is>
      </c>
      <c r="N228" s="9" t="inlineStr">
        <is>
          <t>text</t>
        </is>
      </c>
      <c r="O228" s="9" t="inlineStr">
        <is>
          <t>Built 2026-09-27: scanned PDF, digits verified against page image. 60-dB range 51 Hz-60.5 kHz; best sensitivity -8 dB at 2 kHz.</t>
        </is>
      </c>
      <c r="P228" s="9" t="inlineStr">
        <is>
          <t>FINISHED</t>
        </is>
      </c>
      <c r="Q228" s="9"/>
      <c r="R228" s="32" t="inlineStr">
        <is>
          <t>https://doi.org/10.2307/1380801</t>
        </is>
      </c>
      <c r="S228" s="9"/>
      <c r="T228" s="9"/>
      <c r="U228" s="9"/>
      <c r="V228" s="9" t="inlineStr">
        <is>
          <t>sensory hearing</t>
        </is>
      </c>
      <c r="W228" s="9" t="inlineStr">
        <is>
          <t>Mustela nivalis</t>
        </is>
      </c>
      <c r="X228" s="9" t="inlineStr">
        <is>
          <t>hearing limits; best sensitivity; best frequency</t>
        </is>
      </c>
      <c r="Y228" s="9"/>
      <c r="Z228" s="9" t="inlineStr">
        <is>
          <t>behavioral (conditioned suppression/avoidance)</t>
        </is>
      </c>
      <c r="AA228" s="9" t="inlineStr">
        <is>
          <t>conditioned suppression/avoidance</t>
        </is>
      </c>
      <c r="AB228" s="9" t="inlineStr">
        <is>
          <t>Hz/kHz; dB SPL</t>
        </is>
      </c>
      <c r="AC228" s="9" t="inlineStr">
        <is>
          <t>Heffner</t>
        </is>
      </c>
      <c r="AD228" s="9"/>
      <c r="AE228" s="9" t="inlineStr">
        <is>
          <t>primary</t>
        </is>
      </c>
      <c r="AF228" s="9"/>
      <c r="AG228" s="9" t="inlineStr">
        <is>
          <t>extract first — direct source of values already used in SensoryData</t>
        </is>
      </c>
    </row>
    <row r="229" ht="17" customHeight="1">
      <c r="A229" s="13" t="inlineStr">
        <is>
          <t>Heffner, R. S., &amp; Heffner, H. E. (1992). Evolution of sound localization in mammals. In D. B. Webster, R. R. Fay, &amp; A. N. Popper (Eds.), The evolutionary biology of hearing (pp. 691–715). Springer. https://doi.org/10.1007/978-1-4612-2784-7_43</t>
        </is>
      </c>
      <c r="B229" s="13" t="inlineStr">
        <is>
          <t>b</t>
        </is>
      </c>
      <c r="C229" s="13"/>
      <c r="D229" s="13" t="inlineStr">
        <is>
          <t>TABLE 34.1</t>
        </is>
      </c>
      <c r="E229" s="11" t="str">
        <f>SUBSTITUTE(SUBSTITUTE(_xlfn.TEXTBEFORE(A229,","), "-", ""), " ", "")</f>
        <v>Heffner</v>
      </c>
      <c r="F229" s="10"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9" s="10" t="str">
        <f>_xlfn.TEXTBEFORE(_xlfn.TEXTAFTER(A229, "("), ")")</f>
        <v>1992</v>
      </c>
      <c r="H229" s="11" t="str">
        <f>E229 &amp; IF(F229&lt;&gt;"", "_" &amp; SUBSTITUTE(F229," ",""), "_") &amp; IF(G229&lt;&gt;"", "_" &amp; G229, "_") &amp; IF(B229&lt;&gt;"", "_" &amp; B229, "")</f>
        <v>Heffner__1992_b</v>
      </c>
      <c r="I229" s="11" t="str">
        <f>_xlfn.LET(_xlpm.doi,IF(C229&lt;&gt;"",C229,_xlfn.TEXTAFTER(A229,"https://doi.org/")),SUBSTITUTE(SUBSTITUTE(SUBSTITUTE(SUBSTITUTE(_xlpm.doi,"/","%2F"),":","%3A"),"&lt;","%3C"),"&gt;","%3E"))</f>
        <v>10.1007%2F978-1-4612-2784-7_43</v>
      </c>
      <c r="J229" s="11" t="str">
        <f>TRIM(_xlfn.TEXTJOIN("_",FALSE(),H229,(SUBSTITUTE(SUBSTITUTE(D229," ",""), "_", ""))))</f>
        <v>Heffner__1992_b_TABLE34.1</v>
      </c>
      <c r="K229" s="10" t="str">
        <f>I229 &amp; "_" &amp; SUBSTITUTE(SUBSTITUTE(SUBSTITUTE(D229,CHAR(160),"")," ",""),"_","")</f>
        <v>10.1007%2F978-1-4612-2784-7_43_TABLE34.1</v>
      </c>
      <c r="L229" s="10" t="str">
        <f t="array" ref="L229">IFERROR(INDEX(AUTO_Public_TSV_FileList!$A$1:$A$1000,MATCH(TRUE(),EXACT(K229,IFERROR(_xlfn.TEXTBEFORE(AUTO_Public_TSV_FileList!$A$1:$A$1000,".tsv"),"")),0)),"notfound")</f>
        <v>notfound</v>
      </c>
      <c r="M229" s="13" t="inlineStr">
        <is>
          <t>TABLE 34.1. Effect of head size and azimuth on interaural time difference and the frequency at which binaural phase becomes ambiguous</t>
        </is>
      </c>
      <c r="N229" s="13" t="inlineStr">
        <is>
          <t>PDF table</t>
        </is>
      </c>
      <c r="O229" s="13" t="inlineStr">
        <is>
          <t>4 spp (house mouse, dog, human, elephant): head radius (mm); ITD (µs) and phase-ambiguity frequency (kHz) at 90° and 30°(10°) azimuth.</t>
        </is>
      </c>
      <c r="P229" s="13"/>
      <c r="Q229" s="13"/>
      <c r="R229" s="13" t="inlineStr">
        <is>
          <t>https://doi.org/10.1007/978-1-4612-2784-7_43</t>
        </is>
      </c>
      <c r="S229" s="13"/>
      <c r="T229" s="13" t="inlineStr">
        <is>
          <t>calculated values (Kuhn 1977 formula), not measured; column headers garbled in text layer – check PDF</t>
        </is>
      </c>
      <c r="U229" s="13"/>
      <c r="V229" s="13" t="inlineStr">
        <is>
          <t>sensory hearing</t>
        </is>
      </c>
      <c r="W229" s="13" t="inlineStr">
        <is>
          <t>Mammals (4 spp)</t>
        </is>
      </c>
      <c r="X229" s="13" t="inlineStr">
        <is>
          <t>head radius; interaural time difference; frequency of phase ambiguity</t>
        </is>
      </c>
      <c r="Y229" s="13"/>
      <c r="Z229" s="13"/>
      <c r="AA229" s="13" t="inlineStr">
        <is>
          <t>physical calculation</t>
        </is>
      </c>
      <c r="AB229" s="13" t="inlineStr">
        <is>
          <t>mm; µs; kHz</t>
        </is>
      </c>
      <c r="AC229" s="13" t="inlineStr">
        <is>
          <t>Heffner</t>
        </is>
      </c>
      <c r="AD229" s="13"/>
      <c r="AE229" s="13" t="inlineStr">
        <is>
          <t>secondary</t>
        </is>
      </c>
      <c r="AF229" s="13" t="inlineStr">
        <is>
          <t>Kuhn (1977)</t>
        </is>
      </c>
      <c r="AG229" s="13" t="inlineStr">
        <is>
          <t>Optional (derived).</t>
        </is>
      </c>
    </row>
    <row r="230" ht="17" customHeight="1">
      <c r="A230" s="13" t="inlineStr">
        <is>
          <t>Heffner, R. S., &amp; Heffner, H. E. (1992). Evolution of sound localization in mammals. In D. B. Webster, R. R. Fay, &amp; A. N. Popper (Eds.), The evolutionary biology of hearing (pp. 691–715). Springer. https://doi.org/10.1007/978-1-4612-2784-7_43</t>
        </is>
      </c>
      <c r="B230" s="13" t="inlineStr">
        <is>
          <t>b</t>
        </is>
      </c>
      <c r="C230" s="13"/>
      <c r="D230" s="13" t="inlineStr">
        <is>
          <t>TABLE 34.2</t>
        </is>
      </c>
      <c r="E230" s="11" t="str">
        <f>SUBSTITUTE(SUBSTITUTE(_xlfn.TEXTBEFORE(A230,","), "-", ""), " ", "")</f>
        <v>Heffner</v>
      </c>
      <c r="F230" s="10"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0" s="10" t="str">
        <f>_xlfn.TEXTBEFORE(_xlfn.TEXTAFTER(A230, "("), ")")</f>
        <v>1992</v>
      </c>
      <c r="H230" s="11" t="str">
        <f>E230 &amp; IF(F230&lt;&gt;"", "_" &amp; SUBSTITUTE(F230," ",""), "_") &amp; IF(G230&lt;&gt;"", "_" &amp; G230, "_") &amp; IF(B230&lt;&gt;"", "_" &amp; B230, "")</f>
        <v>Heffner__1992_b</v>
      </c>
      <c r="I230" s="11" t="str">
        <f>_xlfn.LET(_xlpm.doi,IF(C230&lt;&gt;"",C230,_xlfn.TEXTAFTER(A230,"https://doi.org/")),SUBSTITUTE(SUBSTITUTE(SUBSTITUTE(SUBSTITUTE(_xlpm.doi,"/","%2F"),":","%3A"),"&lt;","%3C"),"&gt;","%3E"))</f>
        <v>10.1007%2F978-1-4612-2784-7_43</v>
      </c>
      <c r="J230" s="11" t="str">
        <f>TRIM(_xlfn.TEXTJOIN("_",FALSE(),H230,(SUBSTITUTE(SUBSTITUTE(D230," ",""), "_", ""))))</f>
        <v>Heffner__1992_b_TABLE34.2</v>
      </c>
      <c r="K230" s="10" t="str">
        <f>I230 &amp; "_" &amp; SUBSTITUTE(SUBSTITUTE(SUBSTITUTE(D230,CHAR(160),"")," ",""),"_","")</f>
        <v>10.1007%2F978-1-4612-2784-7_43_TABLE34.2</v>
      </c>
      <c r="L230" s="10" t="str">
        <f t="array" ref="L230">IFERROR(INDEX(AUTO_Public_TSV_FileList!$A$1:$A$1000,MATCH(TRUE(),EXACT(K230,IFERROR(_xlfn.TEXTBEFORE(AUTO_Public_TSV_FileList!$A$1:$A$1000,".tsv"),"")),0)),"notfound")</f>
        <v>notfound</v>
      </c>
      <c r="M230" s="13" t="inlineStr">
        <is>
          <t>TABLE 34.2. Species of mammals grouped by ability to use the main binaural locus cues</t>
        </is>
      </c>
      <c r="N230" s="13" t="inlineStr">
        <is>
          <t>PDF table</t>
        </is>
      </c>
      <c r="O230" s="13" t="inlineStr">
        <is>
          <t>~20 spp in 4 categorical groups: use both time (Δt/phase) and intensity (ΔI) cues; time cue reduced/absent (hedgehog, spiny mouse); intensity cue reduced/absent (elephant, horse, pig, cattle, goat); unable to use either (gopher). Source per species.</t>
        </is>
      </c>
      <c r="P230" s="13"/>
      <c r="Q230" s="13"/>
      <c r="R230" s="13" t="inlineStr">
        <is>
          <t>https://doi.org/10.1007/978-1-4612-2784-7_43</t>
        </is>
      </c>
      <c r="S230" s="13"/>
      <c r="T230" s="13" t="inlineStr">
        <is>
          <t>Greek cue symbols garbled in text layer – confirm group labels against PDF</t>
        </is>
      </c>
      <c r="U230" s="13"/>
      <c r="V230" s="13" t="inlineStr">
        <is>
          <t>sensory hearing</t>
        </is>
      </c>
      <c r="W230" s="13" t="inlineStr">
        <is>
          <t>Mammals (~20 spp)</t>
        </is>
      </c>
      <c r="X230" s="13" t="inlineStr">
        <is>
          <t>binaural cue use (categorical)</t>
        </is>
      </c>
      <c r="Y230" s="13"/>
      <c r="Z230" s="13"/>
      <c r="AA230" s="13" t="inlineStr">
        <is>
          <t>tone-localization tests (compilation)</t>
        </is>
      </c>
      <c r="AB230" s="13" t="inlineStr">
        <is>
          <t>categorical</t>
        </is>
      </c>
      <c r="AC230" s="13" t="inlineStr">
        <is>
          <t>Heffner</t>
        </is>
      </c>
      <c r="AD230" s="13"/>
      <c r="AE230" s="13" t="inlineStr">
        <is>
          <t>secondary</t>
        </is>
      </c>
      <c r="AF230" s="13" t="inlineStr">
        <is>
          <t>see Source column of table</t>
        </is>
      </c>
      <c r="AG230" s="13" t="inlineStr">
        <is>
          <t>Extract as categorical variable.</t>
        </is>
      </c>
    </row>
    <row r="231" ht="17" customHeight="1">
      <c r="A231" s="13" t="inlineStr">
        <is>
          <t>Heffner, R. S., &amp; Heffner, H. E. (1992). Hearing and sound localization in blind mole rats (Spalax ehrenbergi). Hearing Research, 62(2), 206–216. https://doi.org/10.1016/0378-5955(92)90188-S</t>
        </is>
      </c>
      <c r="B231" s="13" t="inlineStr">
        <is>
          <t>c</t>
        </is>
      </c>
      <c r="C231" s="13"/>
      <c r="D231" s="13" t="inlineStr">
        <is>
          <t>Results Text</t>
        </is>
      </c>
      <c r="E231" s="11" t="str">
        <f>SUBSTITUTE(SUBSTITUTE(_xlfn.TEXTBEFORE(A231,","), "-", ""), " ", "")</f>
        <v>Heffner</v>
      </c>
      <c r="F231" s="10"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1" s="10" t="str">
        <f>_xlfn.TEXTBEFORE(_xlfn.TEXTAFTER(A231, "("), ")")</f>
        <v>1992</v>
      </c>
      <c r="H231" s="11" t="str">
        <f>E231 &amp; IF(F231&lt;&gt;"", "_" &amp; SUBSTITUTE(F231," ",""), "_") &amp; IF(G231&lt;&gt;"", "_" &amp; G231, "_") &amp; IF(B231&lt;&gt;"", "_" &amp; B231, "")</f>
        <v>Heffner__1992_c</v>
      </c>
      <c r="I231" s="11" t="str">
        <f>_xlfn.LET(_xlpm.doi,IF(C231&lt;&gt;"",C231,_xlfn.TEXTAFTER(A231,"https://doi.org/")),SUBSTITUTE(SUBSTITUTE(SUBSTITUTE(SUBSTITUTE(_xlpm.doi,"/","%2F"),":","%3A"),"&lt;","%3C"),"&gt;","%3E"))</f>
        <v>10.1016%2F0378-5955(92)90188-S</v>
      </c>
      <c r="J231" s="11" t="str">
        <f>TRIM(_xlfn.TEXTJOIN("_",FALSE(),H231,(SUBSTITUTE(SUBSTITUTE(D231," ",""), "_", ""))))</f>
        <v>Heffner__1992_c_ResultsText</v>
      </c>
      <c r="K231" s="10" t="str">
        <f>I231 &amp; "_" &amp; SUBSTITUTE(SUBSTITUTE(SUBSTITUTE(D231,CHAR(160),"")," ",""),"_","")</f>
        <v>10.1016%2F0378-5955(92)90188-S_ResultsText</v>
      </c>
      <c r="L231" s="10" t="str">
        <f t="array" ref="L231">IFERROR(INDEX(AUTO_Public_TSV_FileList!$A$1:$A$1000,MATCH(TRUE(),EXACT(K231,IFERROR(_xlfn.TEXTBEFORE(AUTO_Public_TSV_FileList!$A$1:$A$1000,".tsv"),"")),0)),"notfound")</f>
        <v>10.1016%2F0378-5955(92)90188-S_ResultsText.tsv</v>
      </c>
      <c r="M231" s="13" t="inlineStr">
        <is>
          <t>Results text. Audiogram and sound localization in Spalax ehrenbergi</t>
        </is>
      </c>
      <c r="N231" s="13" t="inlineStr">
        <is>
          <t>text</t>
        </is>
      </c>
      <c r="O231" s="13" t="inlineStr">
        <is>
          <t>Blind mole rat (n = 2): LF limit 54 Hz, HF limit 5.9 kHz (60 dB SPL), lowest threshold 32 dB at 1 kHz; cannot localize brief sounds; ~29° threshold only with long-duration noise; eyes ~1 mm, vestigial.</t>
        </is>
      </c>
      <c r="P231" s="13"/>
      <c r="Q231" s="13"/>
      <c r="R231" s="13" t="inlineStr">
        <is>
          <t>https://doi.org/10.1016/0378-5955(92)90188-S</t>
        </is>
      </c>
      <c r="S231" s="13"/>
      <c r="T231" s="13" t="inlineStr">
        <is>
          <t>localization threshold not comparable to brief-sound MAAs</t>
        </is>
      </c>
      <c r="U231" s="13"/>
      <c r="V231" s="13" t="inlineStr">
        <is>
          <t>sensory hearing</t>
        </is>
      </c>
      <c r="W231" s="13" t="inlineStr">
        <is>
          <t>Spalax ehrenbergi</t>
        </is>
      </c>
      <c r="X231" s="13" t="inlineStr">
        <is>
          <t>hearing limits; lowest threshold; sound localization</t>
        </is>
      </c>
      <c r="Y231" s="13" t="inlineStr">
        <is>
          <t>eye size</t>
        </is>
      </c>
      <c r="Z231" s="13"/>
      <c r="AA231" s="13" t="inlineStr">
        <is>
          <t>conditioned avoidance</t>
        </is>
      </c>
      <c r="AB231" s="13" t="inlineStr">
        <is>
          <t>Hz; dB SPL; degrees</t>
        </is>
      </c>
      <c r="AC231" s="13" t="inlineStr">
        <is>
          <t>Heffner</t>
        </is>
      </c>
      <c r="AD231" s="13"/>
      <c r="AE231" s="13" t="inlineStr">
        <is>
          <t>primary</t>
        </is>
      </c>
      <c r="AF231" s="13"/>
      <c r="AG231" s="13" t="inlineStr">
        <is>
          <t>Extract; flag localization as long-signal.</t>
        </is>
      </c>
    </row>
    <row r="232" ht="17" customHeight="1">
      <c r="A232" s="13" t="inlineStr">
        <is>
          <t>Heffner, R. S., &amp; Heffner, H. E. (1992). Hearing and sound localization in blind mole rats (Spalax ehrenbergi). Hearing Research, 62(2), 206–216. https://doi.org/10.1016/0378-5955(92)90188-S</t>
        </is>
      </c>
      <c r="B232" s="13" t="inlineStr">
        <is>
          <t>c</t>
        </is>
      </c>
      <c r="C232" s="13"/>
      <c r="D232" s="13" t="inlineStr">
        <is>
          <t>TABLE I</t>
        </is>
      </c>
      <c r="E232" s="11" t="str">
        <f>SUBSTITUTE(SUBSTITUTE(_xlfn.TEXTBEFORE(A232,","), "-", ""), " ", "")</f>
        <v>Heffner</v>
      </c>
      <c r="F232" s="10"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2" s="10" t="str">
        <f>_xlfn.TEXTBEFORE(_xlfn.TEXTAFTER(A232, "("), ")")</f>
        <v>1992</v>
      </c>
      <c r="H232" s="11" t="str">
        <f>E232 &amp; IF(F232&lt;&gt;"", "_" &amp; SUBSTITUTE(F232," ",""), "_") &amp; IF(G232&lt;&gt;"", "_" &amp; G232, "_") &amp; IF(B232&lt;&gt;"", "_" &amp; B232, "")</f>
        <v>Heffner__1992_c</v>
      </c>
      <c r="I232" s="11" t="str">
        <f>_xlfn.LET(_xlpm.doi,IF(C232&lt;&gt;"",C232,_xlfn.TEXTAFTER(A232,"https://doi.org/")),SUBSTITUTE(SUBSTITUTE(SUBSTITUTE(SUBSTITUTE(_xlpm.doi,"/","%2F"),":","%3A"),"&lt;","%3C"),"&gt;","%3E"))</f>
        <v>10.1016%2F0378-5955(92)90188-S</v>
      </c>
      <c r="J232" s="11" t="str">
        <f>TRIM(_xlfn.TEXTJOIN("_",FALSE(),H232,(SUBSTITUTE(SUBSTITUTE(D232," ",""), "_", ""))))</f>
        <v>Heffner__1992_c_TABLEI</v>
      </c>
      <c r="K232" s="10" t="str">
        <f>I232 &amp; "_" &amp; SUBSTITUTE(SUBSTITUTE(SUBSTITUTE(D232,CHAR(160),"")," ",""),"_","")</f>
        <v>10.1016%2F0378-5955(92)90188-S_TABLEI</v>
      </c>
      <c r="L232" s="10" t="str">
        <f t="array" ref="L232">IFERROR(INDEX(AUTO_Public_TSV_FileList!$A$1:$A$1000,MATCH(TRUE(),EXACT(K232,IFERROR(_xlfn.TEXTBEFORE(AUTO_Public_TSV_FileList!$A$1:$A$1000,".tsv"),"")),0)),"notfound")</f>
        <v>10.1016%2F0378-5955(92)90188-S_TABLEI.tsv</v>
      </c>
      <c r="M232" s="13" t="inlineStr">
        <is>
          <t>TABLE I. Auditory parameters for rodents</t>
        </is>
      </c>
      <c r="N232" s="13" t="inlineStr">
        <is>
          <t>PDF table (scanned)</t>
        </is>
      </c>
      <c r="O232" s="13" t="inlineStr">
        <is>
          <t>17 rodents grouped as low-frequency, subterranean, high-frequency: low- &amp; high-frequency limit (kHz, 60 dB SPL), best frequency (kHz), lowest threshold (dB). Blind mole rat = present report; others with numbered sources.</t>
        </is>
      </c>
      <c r="P232" s="13"/>
      <c r="Q232" s="13"/>
      <c r="R232" s="13" t="inlineStr">
        <is>
          <t>https://doi.org/10.1016/0378-5955(92)90188-S</t>
        </is>
      </c>
      <c r="S232" s="13"/>
      <c r="T232" s="13" t="inlineStr">
        <is>
          <t>scanned PDF – OCR errors; enter from page image</t>
        </is>
      </c>
      <c r="U232" s="13"/>
      <c r="V232" s="13" t="inlineStr">
        <is>
          <t>sensory hearing</t>
        </is>
      </c>
      <c r="W232" s="13" t="inlineStr">
        <is>
          <t>Rodentia (17 spp)</t>
        </is>
      </c>
      <c r="X232" s="13" t="inlineStr">
        <is>
          <t>low- and high-frequency hearing limit (60 dB SPL); best frequency; lowest threshold</t>
        </is>
      </c>
      <c r="Y232" s="13" t="inlineStr">
        <is>
          <t>habitat group (subterranean vs surface)</t>
        </is>
      </c>
      <c r="Z232" s="13"/>
      <c r="AA232" s="13" t="inlineStr">
        <is>
          <t>behavioural audiograms (compilation)</t>
        </is>
      </c>
      <c r="AB232" s="13" t="inlineStr">
        <is>
          <t>kHz; dB SPL</t>
        </is>
      </c>
      <c r="AC232" s="13" t="inlineStr">
        <is>
          <t>Heffner</t>
        </is>
      </c>
      <c r="AD232" s="13"/>
      <c r="AE232" s="13" t="inlineStr">
        <is>
          <t>both</t>
        </is>
      </c>
      <c r="AF232" s="13" t="inlineStr">
        <is>
          <t>Heffner &amp; Contos (1989); Ryan (1976); Conesa et al. (1991); Heffner &amp; Masterton (1980); and others in footnotes</t>
        </is>
      </c>
      <c r="AG232" s="13" t="inlineStr">
        <is>
          <t>Extract; priority rodent table.</t>
        </is>
      </c>
    </row>
    <row r="233" ht="17" customHeight="1">
      <c r="A233" s="13" t="inlineStr">
        <is>
          <t>Heffner, R. S., &amp; Heffner, H. E. (1992). Visual factors in sound localization in mammals. J Comp Neurol, 317(3), 219-232. https://doi.org/10.1002/cne.903170302</t>
        </is>
      </c>
      <c r="B233" s="13" t="inlineStr">
        <is>
          <t>a</t>
        </is>
      </c>
      <c r="C233" s="9"/>
      <c r="D233" s="13" t="inlineStr">
        <is>
          <t>TABLE 1</t>
        </is>
      </c>
      <c r="E233" s="11" t="str">
        <f>SUBSTITUTE(SUBSTITUTE(_xlfn.TEXTBEFORE(A233,","), "-", ""), " ", "")</f>
        <v>Heffner</v>
      </c>
      <c r="F233" s="10"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3" s="10" t="str">
        <f>_xlfn.TEXTBEFORE(_xlfn.TEXTAFTER(A233, "("), ")")</f>
        <v>1992</v>
      </c>
      <c r="H233" s="11" t="str">
        <f>E233 &amp; IF(F233&lt;&gt;"", "_" &amp; SUBSTITUTE(F233," ",""), "_") &amp; IF(G233&lt;&gt;"", "_" &amp; G233, "_") &amp; IF(B233&lt;&gt;"", "_" &amp; B233, "")</f>
        <v>Heffner__1992_a</v>
      </c>
      <c r="I233" s="11" t="str">
        <f>_xlfn.LET(_xlpm.doi,IF(C233&lt;&gt;"",C233,_xlfn.TEXTAFTER(A233,"https://doi.org/")),SUBSTITUTE(SUBSTITUTE(SUBSTITUTE(SUBSTITUTE(_xlpm.doi,"/","%2F"),":","%3A"),"&lt;","%3C"),"&gt;","%3E"))</f>
        <v>10.1002%2Fcne.903170302</v>
      </c>
      <c r="J233" s="11" t="str">
        <f>TRIM(_xlfn.TEXTJOIN("_",FALSE(),H233,(SUBSTITUTE(SUBSTITUTE(D233," ",""), "_", ""))))</f>
        <v>Heffner__1992_a_TABLE1</v>
      </c>
      <c r="K233" s="11" t="str">
        <f>I233 &amp; "_" &amp; SUBSTITUTE(SUBSTITUTE(SUBSTITUTE(D233,CHAR(160),"")," ",""),"_","")</f>
        <v>10.1002%2Fcne.903170302_TABLE1</v>
      </c>
      <c r="L233" s="10" t="str">
        <f t="array" ref="L233">IFERROR(INDEX(AUTO_Public_TSV_FileList!$A$1:$A$1000,MATCH(TRUE(),EXACT(K233,IFERROR(_xlfn.TEXTBEFORE(AUTO_Public_TSV_FileList!$A$1:$A$1000,".tsv"),"")),0)),"notfound")</f>
        <v>10.1002%2Fcne.903170302_TABLE1.tsv</v>
      </c>
      <c r="M233" s="13" t="inlineStr">
        <is>
          <t>TABLE 1. Values of Parameters Examined as Predictors of Sound Localization Acuity in Mammals</t>
        </is>
      </c>
      <c r="N233" s="1" t="inlineStr">
        <is>
          <t>table</t>
        </is>
      </c>
      <c r="O233" s="13" t="inlineStr">
        <is>
          <t>First Route-A sensory source folder. '1992a' in the Bath compilation's short codes. Audited vs SensoryData_compiled_check (81 agree, 0 mismatches) and the Bath student extraction (77 agree, 0 mismatches); 6 compilation rows found misassigned (Delphinus/Hemiechinus/Inia) - see README</t>
        </is>
      </c>
      <c r="P233" s="13" t="inlineStr">
        <is>
          <t>FINISHED</t>
        </is>
      </c>
      <c r="Q233" s="13"/>
      <c r="R233" s="13"/>
      <c r="S233" s="13"/>
      <c r="T233" s="13"/>
      <c r="U233" s="13"/>
      <c r="V233" s="13"/>
      <c r="W233" s="13" t="inlineStr">
        <is>
          <t>Mammalia (24 rows, 23 spp)</t>
        </is>
      </c>
      <c r="X233" s="13" t="inlineStr">
        <is>
          <t>sound localization threshold; functional interaural distance; width of field of best vision; visual acuity; binocular field; trophic level</t>
        </is>
      </c>
      <c r="Y233" s="13"/>
      <c r="Z233" s="13"/>
      <c r="AA233" s="13"/>
      <c r="AB233" s="13" t="inlineStr">
        <is>
          <t>sensory performance / psychophysics</t>
        </is>
      </c>
      <c r="AC233" s="13" t="inlineStr">
        <is>
          <t>Heffner</t>
        </is>
      </c>
      <c r="AD233" s="13"/>
      <c r="AE233" s="13" t="inlineStr">
        <is>
          <t>both</t>
        </is>
      </c>
      <c r="AF233" s="13"/>
      <c r="AG233" s="13"/>
    </row>
    <row r="234" ht="17" customHeight="1">
      <c r="A234" s="9" t="inlineStr">
        <is>
          <t>Heffner, R. S., &amp; Masterton, R. B. (1983). The role of the corticospinal tract in the evolution of human digital dexterity. Brain Behav Evol, 23(3-4), 165-183. https://doi.org/10.1159/000121494</t>
        </is>
      </c>
      <c r="B234" s="9"/>
      <c r="C234" s="9"/>
      <c r="D234" s="9" t="inlineStr">
        <is>
          <t>Table I</t>
        </is>
      </c>
      <c r="E234" s="10" t="str">
        <f>SUBSTITUTE(SUBSTITUTE(_xlfn.TEXTBEFORE(A234,","), "-", ""), " ", "")</f>
        <v>Heffner</v>
      </c>
      <c r="F234" s="10"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4" s="10" t="str">
        <f>_xlfn.TEXTBEFORE(_xlfn.TEXTAFTER(A234, "("), ")")</f>
        <v>1983</v>
      </c>
      <c r="H234" s="10" t="str">
        <f>E234 &amp; IF(F234&lt;&gt;"", "_" &amp; SUBSTITUTE(F234," ",""), "_") &amp; IF(G234&lt;&gt;"", "_" &amp; G234, "_") &amp; IF(B234&lt;&gt;"", "_" &amp; B234, "")</f>
        <v>Heffner__1983</v>
      </c>
      <c r="I234" s="10" t="str">
        <f>_xlfn.LET(
_xlpm.doi,IF(C234&lt;&gt;"",C234,_xlfn.TEXTAFTER(A234,"https://doi.org/")),
SUBSTITUTE(
SUBSTITUTE(
SUBSTITUTE(
SUBSTITUTE(
_xlpm.doi,
"/","%2F"),
":","%3A"),
"&lt;","%3C"),
"&gt;","%3E")
)</f>
        <v>10.1159%2F000121494</v>
      </c>
      <c r="J234" s="10" t="str">
        <f>TRIM(_xlfn.TEXTJOIN("_",FALSE(),H234,(SUBSTITUTE(SUBSTITUTE(D234," ",""), "_", ""))))</f>
        <v>Heffner__1983_TableI</v>
      </c>
      <c r="K234" s="10" t="str">
        <f>I234 &amp; "_" &amp; SUBSTITUTE(SUBSTITUTE(SUBSTITUTE(D234,CHAR(160),"")," ",""),"_","")</f>
        <v>10.1159%2F000121494_TableI</v>
      </c>
      <c r="L234" s="10" t="str">
        <f t="array" ref="L234">IFERROR(INDEX(AUTO_Public_TSV_FileList!$A$1:$A$1000,MATCH(TRUE(),EXACT(K234,IFERROR(_xlfn.TEXTBEFORE(AUTO_Public_TSV_FileList!$A$1:$A$1000,".tsv"),"")),0)),"notfound")</f>
        <v>10.1159%2F000121494_TableI.tsv</v>
      </c>
      <c r="M234" s="13" t="inlineStr">
        <is>
          <t>Table I. Animals and descriptive data on which all correlations are based</t>
        </is>
      </c>
      <c r="N234" s="13" t="inlineStr">
        <is>
          <t>PDF table</t>
        </is>
      </c>
      <c r="O234" s="13" t="inlineStr">
        <is>
          <t>RESTORED: the fully built source folder and public TSV remained after this Sheet1 row was lost. 21-species secondary compilation of digital-dexterity ranks and corticospinal-tract measurements; see the folder ReadMe and definitions.</t>
        </is>
      </c>
      <c r="P234" s="13" t="inlineStr">
        <is>
          <t>FINISHED</t>
        </is>
      </c>
      <c r="Q234" s="13" t="inlineStr">
        <is>
          <t>Heffner_Masterton_1983_TableI_snapshot.xlsx</t>
        </is>
      </c>
      <c r="R234" s="13"/>
      <c r="S234" s="13"/>
      <c r="T234" s="13"/>
      <c r="U234" s="13"/>
      <c r="V234" s="13"/>
      <c r="W234" s="13"/>
      <c r="X234" s="13"/>
      <c r="Y234" s="13"/>
      <c r="Z234" s="13"/>
      <c r="AA234" s="13"/>
      <c r="AB234" s="13"/>
      <c r="AC234" s="13"/>
      <c r="AD234" s="13"/>
      <c r="AE234" s="13"/>
      <c r="AF234" s="13"/>
      <c r="AG234" s="13"/>
    </row>
    <row r="235" ht="17" customHeight="1">
      <c r="A235" s="9" t="inlineStr">
        <is>
          <t>Heffner, R. S., Heffner, H. E., Contos, C., &amp; Kearns, D. (1994). Hearing in prairie dogs: transition between surface and subterranean rodents. Hear Res, 73, 185-9. https://doi.org/10.1016/0378-5955(94)90233-x</t>
        </is>
      </c>
      <c r="B235" s="9" t="inlineStr">
        <is>
          <t>a</t>
        </is>
      </c>
      <c r="C235" s="9"/>
      <c r="D235" s="9" t="inlineStr">
        <is>
          <t>Figure 1</t>
        </is>
      </c>
      <c r="E235" s="11" t="str">
        <f>SUBSTITUTE(SUBSTITUTE(_xlfn.TEXTBEFORE(A235,","), "-", ""), " ", "")</f>
        <v>Heffner</v>
      </c>
      <c r="F235" s="10"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10" t="str">
        <f>_xlfn.TEXTBEFORE(_xlfn.TEXTAFTER(A235, "("), ")")</f>
        <v>1994</v>
      </c>
      <c r="H235" s="11" t="str">
        <f>E235 &amp; IF(F235&lt;&gt;"", "_" &amp; SUBSTITUTE(F235," ",""), "_") &amp; IF(G235&lt;&gt;"", "_" &amp; G235, "_") &amp; IF(B235&lt;&gt;"", "_" &amp; B235, "")</f>
        <v>Heffner_etal_1994_a</v>
      </c>
      <c r="I235" s="11" t="str">
        <f>_xlfn.LET(_xlpm.doi,IF(C235&lt;&gt;"",C235,_xlfn.TEXTAFTER(A235,"https://doi.org/")),SUBSTITUTE(SUBSTITUTE(SUBSTITUTE(SUBSTITUTE(_xlpm.doi,"/","%2F"),":","%3A"),"&lt;","%3C"),"&gt;","%3E"))</f>
        <v>10.1016%2F0378-5955(94)90233-x</v>
      </c>
      <c r="J235" s="11" t="str">
        <f>TRIM(_xlfn.TEXTJOIN("_",FALSE(),H235,(SUBSTITUTE(SUBSTITUTE(D235," ",""), "_", ""))))</f>
        <v>Heffner_etal_1994_a_Figure1</v>
      </c>
      <c r="K235" s="10" t="str">
        <f>I235 &amp; "_" &amp; SUBSTITUTE(SUBSTITUTE(SUBSTITUTE(D235,CHAR(160),"")," ",""),"_","")</f>
        <v>10.1016%2F0378-5955(94)90233-x_Figure1</v>
      </c>
      <c r="L235" s="10" t="str">
        <f t="array" ref="L235">IFERROR(INDEX(AUTO_Public_TSV_FileList!$A$1:$A$1000,MATCH(TRUE(),EXACT(K235,IFERROR(_xlfn.TEXTBEFORE(AUTO_Public_TSV_FileList!$A$1:$A$1000,".tsv"),"")),0)),"notfound")</f>
        <v>10.1016%2F0378-5955(94)90233-x_Figure1.tsv</v>
      </c>
      <c r="M235" s="9" t="inlineStr">
        <is>
          <t>Audiograms for four black-tailed prairie dogs (C. ludovicianus)</t>
        </is>
      </c>
      <c r="N235" s="9" t="inlineStr">
        <is>
          <t>figure</t>
        </is>
      </c>
      <c r="O235" s="9" t="inlineStr">
        <is>
          <t>H corrected to match actual folder Heffner_etal_1994_a (was Heffner_etal_1994). Built 2026-09-27 as companion item alongside Figure2.</t>
        </is>
      </c>
      <c r="P235" s="9" t="inlineStr">
        <is>
          <t>FINISHED</t>
        </is>
      </c>
      <c r="Q235" s="9"/>
      <c r="R235" s="32" t="inlineStr">
        <is>
          <t>https://doi.org/10.1016/0378-5955(94)90233-x</t>
        </is>
      </c>
      <c r="S235" s="9"/>
      <c r="T235" s="9"/>
      <c r="U235" s="9"/>
      <c r="V235" s="9" t="inlineStr">
        <is>
          <t>sensory hearing</t>
        </is>
      </c>
      <c r="W235" s="9" t="inlineStr">
        <is>
          <t>Cynomys ludovicianus (4 individuals)</t>
        </is>
      </c>
      <c r="X235" s="9" t="inlineStr">
        <is>
          <t>audiogram thresholds</t>
        </is>
      </c>
      <c r="Y235" s="9"/>
      <c r="Z235" s="9" t="inlineStr">
        <is>
          <t>behavioral (conditioned suppression/avoidance)</t>
        </is>
      </c>
      <c r="AA235" s="9" t="inlineStr">
        <is>
          <t>conditioned suppression/avoidance</t>
        </is>
      </c>
      <c r="AB235" s="9" t="inlineStr">
        <is>
          <t>threshold (dB SPL) by frequency (kHz)</t>
        </is>
      </c>
      <c r="AC235" s="9" t="inlineStr">
        <is>
          <t>Heffner</t>
        </is>
      </c>
      <c r="AD235" s="9"/>
      <c r="AE235" s="9" t="inlineStr">
        <is>
          <t>primary</t>
        </is>
      </c>
      <c r="AF235" s="9"/>
      <c r="AG235" s="9" t="inlineStr">
        <is>
          <t>extract if full curve/individuals wanted</t>
        </is>
      </c>
    </row>
    <row r="236" ht="17" customHeight="1">
      <c r="A236" s="9" t="inlineStr">
        <is>
          <t>Heffner, R. S., Heffner, H. E., Contos, C., &amp; Kearns, D. (1994). Hearing in prairie dogs: transition between surface and subterranean rodents. Hear Res, 73, 185-9. https://doi.org/10.1016/0378-5955(94)90233-x</t>
        </is>
      </c>
      <c r="B236" s="9" t="inlineStr">
        <is>
          <t>a</t>
        </is>
      </c>
      <c r="C236" s="9"/>
      <c r="D236" s="9" t="inlineStr">
        <is>
          <t>Figure 2</t>
        </is>
      </c>
      <c r="E236" s="11" t="str">
        <f>SUBSTITUTE(SUBSTITUTE(_xlfn.TEXTBEFORE(A236,","), "-", ""), " ", "")</f>
        <v>Heffner</v>
      </c>
      <c r="F236" s="10"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10" t="str">
        <f>_xlfn.TEXTBEFORE(_xlfn.TEXTAFTER(A236, "("), ")")</f>
        <v>1994</v>
      </c>
      <c r="H236" s="11" t="str">
        <f>E236 &amp; IF(F236&lt;&gt;"", "_" &amp; SUBSTITUTE(F236," ",""), "_") &amp; IF(G236&lt;&gt;"", "_" &amp; G236, "_") &amp; IF(B236&lt;&gt;"", "_" &amp; B236, "")</f>
        <v>Heffner_etal_1994_a</v>
      </c>
      <c r="I236" s="11" t="str">
        <f>_xlfn.LET(_xlpm.doi,IF(C236&lt;&gt;"",C236,_xlfn.TEXTAFTER(A236,"https://doi.org/")),SUBSTITUTE(SUBSTITUTE(SUBSTITUTE(SUBSTITUTE(_xlpm.doi,"/","%2F"),":","%3A"),"&lt;","%3C"),"&gt;","%3E"))</f>
        <v>10.1016%2F0378-5955(94)90233-x</v>
      </c>
      <c r="J236" s="11" t="str">
        <f>TRIM(_xlfn.TEXTJOIN("_",FALSE(),H236,(SUBSTITUTE(SUBSTITUTE(D236," ",""), "_", ""))))</f>
        <v>Heffner_etal_1994_a_Figure2</v>
      </c>
      <c r="K236" s="10" t="str">
        <f>I236 &amp; "_" &amp; SUBSTITUTE(SUBSTITUTE(SUBSTITUTE(D236,CHAR(160),"")," ",""),"_","")</f>
        <v>10.1016%2F0378-5955(94)90233-x_Figure2</v>
      </c>
      <c r="L236" s="10" t="str">
        <f t="array" ref="L236">IFERROR(INDEX(AUTO_Public_TSV_FileList!$A$1:$A$1000,MATCH(TRUE(),EXACT(K236,IFERROR(_xlfn.TEXTBEFORE(AUTO_Public_TSV_FileList!$A$1:$A$1000,".tsv"),"")),0)),"notfound")</f>
        <v>10.1016%2F0378-5955(94)90233-x_Figure2.tsv</v>
      </c>
      <c r="M236" s="9" t="inlineStr">
        <is>
          <t>Audiogram of a white-tailed prairie dog (Cynomys leucurus)</t>
        </is>
      </c>
      <c r="N236" s="9" t="inlineStr">
        <is>
          <t>figure</t>
        </is>
      </c>
      <c r="O236" s="9" t="inlineStr">
        <is>
          <t>H corrected to match actual folder Heffner_etal_1994_a (was Heffner_etal_1994). Built 2026-09-27: transcribed prairie-dog audiogram (best sensitivity 24 dB / best frequency 8 kHz) from the source PDF.</t>
        </is>
      </c>
      <c r="P236" s="9" t="inlineStr">
        <is>
          <t>FINISHED</t>
        </is>
      </c>
      <c r="Q236" s="9"/>
      <c r="R236" s="32" t="inlineStr">
        <is>
          <t>https://doi.org/10.1016/0378-5955(94)90233-x</t>
        </is>
      </c>
      <c r="S236" s="9"/>
      <c r="T236" s="9"/>
      <c r="U236" s="9"/>
      <c r="V236" s="9" t="inlineStr">
        <is>
          <t>sensory hearing</t>
        </is>
      </c>
      <c r="W236" s="9" t="inlineStr">
        <is>
          <t>Cynomys leucurus</t>
        </is>
      </c>
      <c r="X236" s="9" t="inlineStr">
        <is>
          <t>audiogram thresholds</t>
        </is>
      </c>
      <c r="Y236" s="9"/>
      <c r="Z236" s="9" t="inlineStr">
        <is>
          <t>behavioral (conditioned suppression/avoidance)</t>
        </is>
      </c>
      <c r="AA236" s="9" t="inlineStr">
        <is>
          <t>conditioned suppression/avoidance</t>
        </is>
      </c>
      <c r="AB236" s="9" t="inlineStr">
        <is>
          <t>threshold (dB SPL) by frequency (kHz)</t>
        </is>
      </c>
      <c r="AC236" s="9" t="inlineStr">
        <is>
          <t>Heffner</t>
        </is>
      </c>
      <c r="AD236" s="9"/>
      <c r="AE236" s="9" t="inlineStr">
        <is>
          <t>primary</t>
        </is>
      </c>
      <c r="AF236" s="9"/>
      <c r="AG236" s="9" t="inlineStr">
        <is>
          <t>extract first — direct source of values already used in SensoryData</t>
        </is>
      </c>
    </row>
    <row r="237" ht="17" customHeight="1">
      <c r="A237" s="9" t="inlineStr">
        <is>
          <t>Heffner, R. S., Heffner, H. E., Kearns, D., Vogel, J., &amp; Koay, G. (1994). Sound localization in chinchillas. I: Left/right discriminations. Hear Res, 80, 247-57. https://doi.org/10.1016/0378-5955(94)90116-3</t>
        </is>
      </c>
      <c r="B237" s="9" t="inlineStr">
        <is>
          <t>c</t>
        </is>
      </c>
      <c r="C237" s="9"/>
      <c r="D237" s="9" t="inlineStr">
        <is>
          <t>Figure 7</t>
        </is>
      </c>
      <c r="E237" s="11" t="str">
        <f>SUBSTITUTE(SUBSTITUTE(_xlfn.TEXTBEFORE(A237,","), "-", ""), " ", "")</f>
        <v>Heffner</v>
      </c>
      <c r="F237" s="10"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0" t="str">
        <f>_xlfn.TEXTBEFORE(_xlfn.TEXTAFTER(A237, "("), ")")</f>
        <v>1994</v>
      </c>
      <c r="H237" s="11" t="str">
        <f>E237 &amp; IF(F237&lt;&gt;"", "_" &amp; SUBSTITUTE(F237," ",""), "_") &amp; IF(G237&lt;&gt;"", "_" &amp; G237, "_") &amp; IF(B237&lt;&gt;"", "_" &amp; B237, "")</f>
        <v>Heffner_etal_1994_c</v>
      </c>
      <c r="I237" s="11" t="str">
        <f>_xlfn.LET(_xlpm.doi,IF(C237&lt;&gt;"",C237,_xlfn.TEXTAFTER(A237,"https://doi.org/")),SUBSTITUTE(SUBSTITUTE(SUBSTITUTE(SUBSTITUTE(_xlpm.doi,"/","%2F"),":","%3A"),"&lt;","%3C"),"&gt;","%3E"))</f>
        <v>10.1016%2F0378-5955(94)90116-3</v>
      </c>
      <c r="J237" s="11" t="str">
        <f>TRIM(_xlfn.TEXTJOIN("_",FALSE(),H237,(SUBSTITUTE(SUBSTITUTE(D237," ",""), "_", ""))))</f>
        <v>Heffner_etal_1994_c_Figure7</v>
      </c>
      <c r="K237" s="10" t="str">
        <f>I237 &amp; "_" &amp; SUBSTITUTE(SUBSTITUTE(SUBSTITUTE(D237,CHAR(160),"")," ",""),"_","")</f>
        <v>10.1016%2F0378-5955(94)90116-3_Figure7</v>
      </c>
      <c r="L237" s="10" t="str">
        <f t="array" ref="L237">IFERROR(INDEX(AUTO_Public_TSV_FileList!$A$1:$A$1000,MATCH(TRUE(),EXACT(K237,IFERROR(_xlfn.TEXTBEFORE(AUTO_Public_TSV_FileList!$A$1:$A$1000,".tsv"),"")),0)),"notfound")</f>
        <v>notfound</v>
      </c>
      <c r="M237" s="9" t="inlineStr">
        <is>
          <t>Relationship between interaural distance and sound-localization acuity among 29 mammals</t>
        </is>
      </c>
      <c r="N237" s="9" t="inlineStr">
        <is>
          <t>figure</t>
        </is>
      </c>
      <c r="O237" s="9" t="inlineStr">
        <is>
          <t>H corrected to match actual folder Heffner_etal_1994_c (was Heffner_etal_1994). Not built -- see Table1 item (priority 1) for this folder's built data.</t>
        </is>
      </c>
      <c r="P237" s="9" t="inlineStr">
        <is>
          <t>candidate</t>
        </is>
      </c>
      <c r="Q237" s="9"/>
      <c r="R237" s="32" t="inlineStr">
        <is>
          <t>https://doi.org/10.1016/0378-5955(94)90116-3</t>
        </is>
      </c>
      <c r="S237" s="9"/>
      <c r="T237" s="9" t="inlineStr">
        <is>
          <t>a/b/c label swap between SensoryData_compiled.csv and reference sheet</t>
        </is>
      </c>
      <c r="U237" s="9"/>
      <c r="V237" s="9" t="inlineStr">
        <is>
          <t>sensory hearing</t>
        </is>
      </c>
      <c r="W237" s="9" t="inlineStr">
        <is>
          <t>Mammalia (29 spp)</t>
        </is>
      </c>
      <c r="X237" s="9" t="inlineStr">
        <is>
          <t>functional interaural distance; sound localization threshold</t>
        </is>
      </c>
      <c r="Y237" s="9"/>
      <c r="Z237" s="9" t="inlineStr">
        <is>
          <t>behavioral audiometry (compiled review)</t>
        </is>
      </c>
      <c r="AA237" s="9" t="inlineStr">
        <is>
          <t>literature compilation</t>
        </is>
      </c>
      <c r="AB237" s="9" t="inlineStr">
        <is>
          <t>µs; degrees</t>
        </is>
      </c>
      <c r="AC237" s="9" t="inlineStr">
        <is>
          <t>Heffner</t>
        </is>
      </c>
      <c r="AD237" s="9"/>
      <c r="AE237" s="9" t="inlineStr">
        <is>
          <t>secondary</t>
        </is>
      </c>
      <c r="AF237" s="9" t="inlineStr">
        <is>
          <t>Heffner-lab compilation</t>
        </is>
      </c>
      <c r="AG237" s="9" t="inlineStr">
        <is>
          <t>optional comparative compilation; check overlap with registered Heffner items</t>
        </is>
      </c>
    </row>
    <row r="238" ht="17" customHeight="1">
      <c r="A238" s="9" t="inlineStr">
        <is>
          <t>Heffner, R. S., Heffner, H. E., Kearns, D., Vogel, J., &amp; Koay, G. (1994). Sound localization in chinchillas. I: Left/right discriminations. Hear Res, 80, 247-57. https://doi.org/10.1016/0378-5955(94)90116-3</t>
        </is>
      </c>
      <c r="B238" s="9" t="inlineStr">
        <is>
          <t>c</t>
        </is>
      </c>
      <c r="C238" s="9"/>
      <c r="D238" s="9" t="inlineStr">
        <is>
          <t>Table 1</t>
        </is>
      </c>
      <c r="E238" s="11" t="str">
        <f>SUBSTITUTE(SUBSTITUTE(_xlfn.TEXTBEFORE(A238,","), "-", ""), " ", "")</f>
        <v>Heffner</v>
      </c>
      <c r="F238" s="10"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0" t="str">
        <f>_xlfn.TEXTBEFORE(_xlfn.TEXTAFTER(A238, "("), ")")</f>
        <v>1994</v>
      </c>
      <c r="H238" s="11" t="str">
        <f>E238 &amp; IF(F238&lt;&gt;"", "_" &amp; SUBSTITUTE(F238," ",""), "_") &amp; IF(G238&lt;&gt;"", "_" &amp; G238, "_") &amp; IF(B238&lt;&gt;"", "_" &amp; B238, "")</f>
        <v>Heffner_etal_1994_c</v>
      </c>
      <c r="I238" s="11" t="str">
        <f>_xlfn.LET(_xlpm.doi,IF(C238&lt;&gt;"",C238,_xlfn.TEXTAFTER(A238,"https://doi.org/")),SUBSTITUTE(SUBSTITUTE(SUBSTITUTE(SUBSTITUTE(_xlpm.doi,"/","%2F"),":","%3A"),"&lt;","%3C"),"&gt;","%3E"))</f>
        <v>10.1016%2F0378-5955(94)90116-3</v>
      </c>
      <c r="J238" s="11" t="str">
        <f>TRIM(_xlfn.TEXTJOIN("_",FALSE(),H238,(SUBSTITUTE(SUBSTITUTE(D238," ",""), "_", ""))))</f>
        <v>Heffner_etal_1994_c_Table1</v>
      </c>
      <c r="K238" s="10" t="str">
        <f>I238 &amp; "_" &amp; SUBSTITUTE(SUBSTITUTE(SUBSTITUTE(D238,CHAR(160),"")," ",""),"_","")</f>
        <v>10.1016%2F0378-5955(94)90116-3_Table1</v>
      </c>
      <c r="L238" s="10" t="str">
        <f t="array" ref="L238">IFERROR(INDEX(AUTO_Public_TSV_FileList!$A$1:$A$1000,MATCH(TRUE(),EXACT(K238,IFERROR(_xlfn.TEXTBEFORE(AUTO_Public_TSV_FileList!$A$1:$A$1000,".tsv"),"")),0)),"notfound")</f>
        <v>10.1016%2F0378-5955(94)90116-3_Table1.tsv</v>
      </c>
      <c r="M238" s="9" t="inlineStr">
        <is>
          <t>Sound-localization thresholds (MAA) of mammals compiled for comparison with chinchilla</t>
        </is>
      </c>
      <c r="N238" s="9" t="inlineStr">
        <is>
          <t>PDF table</t>
        </is>
      </c>
      <c r="O238" s="9" t="inlineStr">
        <is>
          <t>H corrected to match actual folder Heffner_etal_1994_c (was Heffner_etal_1994). Built 2026-09-27. FLAG unresolved: SensoryData_compiled labels this paper 1994b (a/b/c letters possibly swapped vs reference sheet) -- documented, not resolved.</t>
        </is>
      </c>
      <c r="P238" s="9" t="inlineStr">
        <is>
          <t>FINISHED</t>
        </is>
      </c>
      <c r="Q238" s="9"/>
      <c r="R238" s="32" t="inlineStr">
        <is>
          <t>https://doi.org/10.1016/0378-5955(94)90116-3</t>
        </is>
      </c>
      <c r="S238" s="9"/>
      <c r="T238" s="9" t="inlineStr">
        <is>
          <t>a/b/c label swap between SensoryData_compiled.csv and reference sheet</t>
        </is>
      </c>
      <c r="U238" s="9"/>
      <c r="V238" s="9" t="inlineStr">
        <is>
          <t>sensory hearing</t>
        </is>
      </c>
      <c r="W238" s="9" t="inlineStr">
        <is>
          <t>Mammalia (~29 spp; rodents &amp; non-rodents)</t>
        </is>
      </c>
      <c r="X238" s="9" t="inlineStr">
        <is>
          <t>sound localization threshold (MAA)</t>
        </is>
      </c>
      <c r="Y238" s="9"/>
      <c r="Z238" s="9" t="inlineStr">
        <is>
          <t>behavioral (conditioned suppression/avoidance)</t>
        </is>
      </c>
      <c r="AA238" s="9" t="inlineStr">
        <is>
          <t>literature compilation of conditioned-avoidance MAA tests</t>
        </is>
      </c>
      <c r="AB238" s="9" t="inlineStr">
        <is>
          <t>degrees</t>
        </is>
      </c>
      <c r="AC238" s="9" t="inlineStr">
        <is>
          <t>Heffner</t>
        </is>
      </c>
      <c r="AD238" s="9"/>
      <c r="AE238" s="9" t="inlineStr">
        <is>
          <t>both</t>
        </is>
      </c>
      <c r="AF238" s="9" t="inlineStr">
        <is>
          <t>Heffner-lab compilation; sources in table</t>
        </is>
      </c>
      <c r="AG238" s="9" t="inlineStr">
        <is>
          <t>extract first — direct source of values already used in SensoryData</t>
        </is>
      </c>
    </row>
    <row r="239" ht="17" customHeight="1">
      <c r="A239" s="13" t="inlineStr">
        <is>
          <t>Heffner, R. S., Koay, G., &amp; Heffner, H. E. (1999). Sound localization in an Old-World fruit bat (Rousettus aegyptiacus): Acuity, use of binaural cues, and relationship to vision. Journal of Comparative Psychology, 113(3), 297–306. https://doi.org/10.1037/0735-7036.113.3.297</t>
        </is>
      </c>
      <c r="B239" s="13"/>
      <c r="C239" s="13"/>
      <c r="D239" s="13" t="inlineStr">
        <is>
          <t>Results Text</t>
        </is>
      </c>
      <c r="E239" s="11" t="str">
        <f>SUBSTITUTE(SUBSTITUTE(_xlfn.TEXTBEFORE(A239,","), "-", ""), " ", "")</f>
        <v>Heffner</v>
      </c>
      <c r="F239" s="10"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10" t="str">
        <f>_xlfn.TEXTBEFORE(_xlfn.TEXTAFTER(A239, "("), ")")</f>
        <v>1999</v>
      </c>
      <c r="H239" s="11" t="str">
        <f>E239 &amp; IF(F239&lt;&gt;"", "_" &amp; SUBSTITUTE(F239," ",""), "_") &amp; IF(G239&lt;&gt;"", "_" &amp; G239, "_") &amp; IF(B239&lt;&gt;"", "_" &amp; B239, "")</f>
        <v>Heffner_etal_1999</v>
      </c>
      <c r="I239" s="11" t="str">
        <f>_xlfn.LET(_xlpm.doi,IF(C239&lt;&gt;"",C239,_xlfn.TEXTAFTER(A239,"https://doi.org/")),SUBSTITUTE(SUBSTITUTE(SUBSTITUTE(SUBSTITUTE(_xlpm.doi,"/","%2F"),":","%3A"),"&lt;","%3C"),"&gt;","%3E"))</f>
        <v>10.1037%2F0735-7036.113.3.297</v>
      </c>
      <c r="J239" s="11" t="str">
        <f>TRIM(_xlfn.TEXTJOIN("_",FALSE(),H239,(SUBSTITUTE(SUBSTITUTE(D239," ",""), "_", ""))))</f>
        <v>Heffner_etal_1999_ResultsText</v>
      </c>
      <c r="K239" s="10" t="str">
        <f>I239 &amp; "_" &amp; SUBSTITUTE(SUBSTITUTE(SUBSTITUTE(D239,CHAR(160),"")," ",""),"_","")</f>
        <v>10.1037%2F0735-7036.113.3.297_ResultsText</v>
      </c>
      <c r="L239" s="10" t="str">
        <f t="array" ref="L239">IFERROR(INDEX(AUTO_Public_TSV_FileList!$A$1:$A$1000,MATCH(TRUE(),EXACT(K239,IFERROR(_xlfn.TEXTBEFORE(AUTO_Public_TSV_FileList!$A$1:$A$1000,".tsv"),"")),0)),"notfound")</f>
        <v>notfound</v>
      </c>
      <c r="M239" s="13" t="inlineStr">
        <is>
          <t>Results text. Sound-localization acuity, binaural cue use, and retinal ganglion-cell field of best vision in Rousettus aegyptiacus</t>
        </is>
      </c>
      <c r="N239" s="13" t="inlineStr">
        <is>
          <t>text</t>
        </is>
      </c>
      <c r="O239" s="13" t="inlineStr">
        <is>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is>
      </c>
      <c r="P239" s="13"/>
      <c r="Q239" s="13"/>
      <c r="R239" s="13" t="inlineStr">
        <is>
          <t>https://doi.org/10.1037/0735-7036.113.3.297</t>
        </is>
      </c>
      <c r="S239" s="13"/>
      <c r="T239" s="13" t="inlineStr">
        <is>
          <t>pallid bat ±1° is a different measure (flight accuracy) – exclude</t>
        </is>
      </c>
      <c r="U239" s="13"/>
      <c r="V239" s="13" t="inlineStr">
        <is>
          <t>sensory hearing; sensory vision</t>
        </is>
      </c>
      <c r="W239" s="13" t="inlineStr">
        <is>
          <t>Rousettus aegyptiacus</t>
        </is>
      </c>
      <c r="X239" s="13" t="inlineStr">
        <is>
          <t>minimum audible angle (deg); width of field of best vision (deg); highest frequency using binaural phase cue (kHz)</t>
        </is>
      </c>
      <c r="Y239" s="13" t="inlineStr">
        <is>
          <t>head diameter; retina size</t>
        </is>
      </c>
      <c r="Z239" s="13"/>
      <c r="AA239" s="13" t="inlineStr">
        <is>
          <t>conditioned avoidance; retinal whole mount</t>
        </is>
      </c>
      <c r="AB239" s="13" t="inlineStr">
        <is>
          <t>degrees; kHz</t>
        </is>
      </c>
      <c r="AC239" s="13" t="inlineStr">
        <is>
          <t>Heffner</t>
        </is>
      </c>
      <c r="AD239" s="13"/>
      <c r="AE239" s="13" t="inlineStr">
        <is>
          <t>primary</t>
        </is>
      </c>
      <c r="AF239" s="13"/>
      <c r="AG239" s="13" t="inlineStr">
        <is>
          <t>Extract from text.</t>
        </is>
      </c>
    </row>
    <row r="240" ht="17" customHeight="1">
      <c r="A240" s="9" t="inlineStr">
        <is>
          <t>Heffner, R. S., Koay, G., &amp; Heffner, H. E. (2001). Audiograms of five species of rodents: implications for the evolution of hearing and the perception of pitch. Hear Res, 157(1-2), 138-152. https://doi.org/10.1016/S0378-5955(01)00298-2</t>
        </is>
      </c>
      <c r="B240" s="9"/>
      <c r="C240" s="9"/>
      <c r="D240" s="9" t="inlineStr">
        <is>
          <t>Results Text</t>
        </is>
      </c>
      <c r="E240" s="11" t="str">
        <f>SUBSTITUTE(SUBSTITUTE(_xlfn.TEXTBEFORE(A240,","), "-", ""), " ", "")</f>
        <v>Heffner</v>
      </c>
      <c r="F240" s="10"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10" t="str">
        <f>_xlfn.TEXTBEFORE(_xlfn.TEXTAFTER(A240, "("), ")")</f>
        <v>2001</v>
      </c>
      <c r="H240" s="11" t="str">
        <f>E240 &amp; IF(F240&lt;&gt;"", "_" &amp; SUBSTITUTE(F240," ",""), "_") &amp; IF(G240&lt;&gt;"", "_" &amp; G240, "_") &amp; IF(B240&lt;&gt;"", "_" &amp; B240, "")</f>
        <v>Heffner_etal_2001</v>
      </c>
      <c r="I240" s="11" t="str">
        <f>_xlfn.LET(_xlpm.doi,IF(C240&lt;&gt;"",C240,_xlfn.TEXTAFTER(A240,"https://doi.org/")),SUBSTITUTE(SUBSTITUTE(SUBSTITUTE(SUBSTITUTE(_xlpm.doi,"/","%2F"),":","%3A"),"&lt;","%3C"),"&gt;","%3E"))</f>
        <v>10.1016%2FS0378-5955(01)00298-2</v>
      </c>
      <c r="J240" s="11" t="str">
        <f>TRIM(_xlfn.TEXTJOIN("_",FALSE(),H240,(SUBSTITUTE(SUBSTITUTE(D240," ",""), "_", ""))))</f>
        <v>Heffner_etal_2001_ResultsText</v>
      </c>
      <c r="K240" s="10" t="str">
        <f>I240 &amp; "_" &amp; SUBSTITUTE(SUBSTITUTE(SUBSTITUTE(D240,CHAR(160),"")," ",""),"_","")</f>
        <v>10.1016%2FS0378-5955(01)00298-2_ResultsText</v>
      </c>
      <c r="L240" s="10" t="str">
        <f t="array" ref="L240">IFERROR(INDEX(AUTO_Public_TSV_FileList!$A$1:$A$1000,MATCH(TRUE(),EXACT(K240,IFERROR(_xlfn.TEXTBEFORE(AUTO_Public_TSV_FileList!$A$1:$A$1000,".tsv"),"")),0)),"notfound")</f>
        <v>10.1016%2FS0378-5955(01)00298-2_ResultsText.tsv</v>
      </c>
      <c r="M240" s="9" t="inlineStr">
        <is>
          <t>Audiograms of 5 rodent species: groundhog, chipmunk, Darwin's leaf-eared mouse, golden hamster, Egyptian spiny mouse</t>
        </is>
      </c>
      <c r="N240" s="9" t="inlineStr">
        <is>
          <t>text</t>
        </is>
      </c>
      <c r="O240" s="9" t="inlineStr">
        <is>
          <t>Registry row added 2026-09-27. Built same day: snapshot/CSV/R/README/definitions uploaded; public TSV upload pending (connector timeout, retry later).</t>
        </is>
      </c>
      <c r="P240" s="9" t="inlineStr">
        <is>
          <t>BUILT (TSV upload pending)</t>
        </is>
      </c>
      <c r="Q240" s="9"/>
      <c r="R240" s="9"/>
      <c r="S240" s="9"/>
      <c r="T240" s="9"/>
      <c r="U240" s="9"/>
      <c r="V240" s="9"/>
      <c r="W240" s="9"/>
      <c r="X240" s="9"/>
      <c r="Y240" s="9"/>
      <c r="Z240" s="9"/>
      <c r="AA240" s="9"/>
      <c r="AB240" s="9"/>
      <c r="AC240" s="9"/>
      <c r="AD240" s="9"/>
      <c r="AE240" s="9"/>
      <c r="AF240" s="9"/>
      <c r="AG240" s="9"/>
    </row>
    <row r="241" ht="17" customHeight="1">
      <c r="A241" s="9" t="inlineStr">
        <is>
          <t>Heffner, R. S., Koay, G., &amp; Heffner, H. E. (2003). Hearing in American leaf-nosed bats. III: Artibeus jamaicensis. Hear Res, 184, 113-22. https://doi.org/10.1016/s0378-5955(03)00233-8</t>
        </is>
      </c>
      <c r="B241" s="9"/>
      <c r="C241" s="9"/>
      <c r="D241" s="9" t="inlineStr">
        <is>
          <t>Figure 4</t>
        </is>
      </c>
      <c r="E241" s="11" t="str">
        <f>SUBSTITUTE(SUBSTITUTE(_xlfn.TEXTBEFORE(A241,","), "-", ""), " ", "")</f>
        <v>Heffner</v>
      </c>
      <c r="F241" s="10"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0" t="str">
        <f>_xlfn.TEXTBEFORE(_xlfn.TEXTAFTER(A241, "("), ")")</f>
        <v>2003</v>
      </c>
      <c r="H241" s="11" t="str">
        <f>E241 &amp; IF(F241&lt;&gt;"", "_" &amp; SUBSTITUTE(F241," ",""), "_") &amp; IF(G241&lt;&gt;"", "_" &amp; G241, "_") &amp; IF(B241&lt;&gt;"", "_" &amp; B241, "")</f>
        <v>Heffner_etal_2003</v>
      </c>
      <c r="I241" s="11" t="str">
        <f>_xlfn.LET(_xlpm.doi,IF(C241&lt;&gt;"",C241,_xlfn.TEXTAFTER(A241,"https://doi.org/")),SUBSTITUTE(SUBSTITUTE(SUBSTITUTE(SUBSTITUTE(_xlpm.doi,"/","%2F"),":","%3A"),"&lt;","%3C"),"&gt;","%3E"))</f>
        <v>10.1016%2Fs0378-5955(03)00233-8</v>
      </c>
      <c r="J241" s="11" t="str">
        <f>TRIM(_xlfn.TEXTJOIN("_",FALSE(),H241,(SUBSTITUTE(SUBSTITUTE(D241," ",""), "_", ""))))</f>
        <v>Heffner_etal_2003_Figure4</v>
      </c>
      <c r="K241" s="10" t="str">
        <f>I241 &amp; "_" &amp; SUBSTITUTE(SUBSTITUTE(SUBSTITUTE(D241,CHAR(160),"")," ",""),"_","")</f>
        <v>10.1016%2Fs0378-5955(03)00233-8_Figure4</v>
      </c>
      <c r="L241" s="10" t="str">
        <f t="array" ref="L241">IFERROR(INDEX(AUTO_Public_TSV_FileList!$A$1:$A$1000,MATCH(TRUE(),EXACT(K241,IFERROR(_xlfn.TEXTBEFORE(AUTO_Public_TSV_FileList!$A$1:$A$1000,".tsv"),"")),0)),"notfound")</f>
        <v>notfound</v>
      </c>
      <c r="M241" s="9" t="inlineStr">
        <is>
          <t>Audiograms for three phyllostomid bats</t>
        </is>
      </c>
      <c r="N241" s="9" t="inlineStr">
        <is>
          <t>figure</t>
        </is>
      </c>
      <c r="O241" s="9" t="inlineStr">
        <is>
          <t>Not built -- see Resultstext item (priority 1) for this folder's built data.</t>
        </is>
      </c>
      <c r="P241" s="9" t="inlineStr">
        <is>
          <t>candidate</t>
        </is>
      </c>
      <c r="Q241" s="9"/>
      <c r="R241" s="32" t="inlineStr">
        <is>
          <t>https://doi.org/10.1016/s0378-5955(03)00233-8</t>
        </is>
      </c>
      <c r="S241" s="9"/>
      <c r="T241" s="9"/>
      <c r="U241" s="9"/>
      <c r="V241" s="9" t="inlineStr">
        <is>
          <t>sensory hearing</t>
        </is>
      </c>
      <c r="W241" s="9" t="inlineStr">
        <is>
          <t>Phyllostomidae (Artibeus jamaicensis, Phyllostomus hastatus, Carollia perspicillata)</t>
        </is>
      </c>
      <c r="X241" s="9" t="inlineStr">
        <is>
          <t>audiogram thresholds; 60-dB hearing limits</t>
        </is>
      </c>
      <c r="Y241" s="9"/>
      <c r="Z241" s="9" t="inlineStr">
        <is>
          <t>behavioral (conditioned suppression/avoidance)</t>
        </is>
      </c>
      <c r="AA241" s="9" t="inlineStr">
        <is>
          <t>conditioned suppression/avoidance</t>
        </is>
      </c>
      <c r="AB241" s="9" t="inlineStr">
        <is>
          <t>threshold (dB SPL) by frequency (kHz)</t>
        </is>
      </c>
      <c r="AC241" s="9" t="inlineStr">
        <is>
          <t>Heffner</t>
        </is>
      </c>
      <c r="AD241" s="9"/>
      <c r="AE241" s="9" t="inlineStr">
        <is>
          <t>both</t>
        </is>
      </c>
      <c r="AF241" s="9" t="inlineStr">
        <is>
          <t>P. hastatus from Koay 2002; C. perspicillata from Koay 2003</t>
        </is>
      </c>
      <c r="AG241" s="9" t="inlineStr">
        <is>
          <t>extract if full curve/individuals wanted</t>
        </is>
      </c>
    </row>
    <row r="242" ht="17" customHeight="1">
      <c r="A242" s="9" t="inlineStr">
        <is>
          <t>Heffner, R. S., Koay, G., &amp; Heffner, H. E. (2003). Hearing in American leaf-nosed bats. III: Artibeus jamaicensis. Hear Res, 184, 113-22. https://doi.org/10.1016/s0378-5955(03)00233-8</t>
        </is>
      </c>
      <c r="B242" s="9"/>
      <c r="C242" s="9"/>
      <c r="D242" s="9" t="inlineStr">
        <is>
          <t>Figure 5</t>
        </is>
      </c>
      <c r="E242" s="11" t="str">
        <f>SUBSTITUTE(SUBSTITUTE(_xlfn.TEXTBEFORE(A242,","), "-", ""), " ", "")</f>
        <v>Heffner</v>
      </c>
      <c r="F242" s="10"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0" t="str">
        <f>_xlfn.TEXTBEFORE(_xlfn.TEXTAFTER(A242, "("), ")")</f>
        <v>2003</v>
      </c>
      <c r="H242" s="11" t="str">
        <f>E242 &amp; IF(F242&lt;&gt;"", "_" &amp; SUBSTITUTE(F242," ",""), "_") &amp; IF(G242&lt;&gt;"", "_" &amp; G242, "_") &amp; IF(B242&lt;&gt;"", "_" &amp; B242, "")</f>
        <v>Heffner_etal_2003</v>
      </c>
      <c r="I242" s="11" t="str">
        <f>_xlfn.LET(_xlpm.doi,IF(C242&lt;&gt;"",C242,_xlfn.TEXTAFTER(A242,"https://doi.org/")),SUBSTITUTE(SUBSTITUTE(SUBSTITUTE(SUBSTITUTE(_xlpm.doi,"/","%2F"),":","%3A"),"&lt;","%3C"),"&gt;","%3E"))</f>
        <v>10.1016%2Fs0378-5955(03)00233-8</v>
      </c>
      <c r="J242" s="11" t="str">
        <f>TRIM(_xlfn.TEXTJOIN("_",FALSE(),H242,(SUBSTITUTE(SUBSTITUTE(D242," ",""), "_", ""))))</f>
        <v>Heffner_etal_2003_Figure5</v>
      </c>
      <c r="K242" s="10" t="str">
        <f>I242 &amp; "_" &amp; SUBSTITUTE(SUBSTITUTE(SUBSTITUTE(D242,CHAR(160),"")," ",""),"_","")</f>
        <v>10.1016%2Fs0378-5955(03)00233-8_Figure5</v>
      </c>
      <c r="L242" s="10" t="str">
        <f t="array" ref="L242">IFERROR(INDEX(AUTO_Public_TSV_FileList!$A$1:$A$1000,MATCH(TRUE(),EXACT(K242,IFERROR(_xlfn.TEXTBEFORE(AUTO_Public_TSV_FileList!$A$1:$A$1000,".tsv"),"")),0)),"notfound")</f>
        <v>notfound</v>
      </c>
      <c r="M242" s="9" t="inlineStr">
        <is>
          <t>Relationship between functional interaural distance and high-frequency hearing</t>
        </is>
      </c>
      <c r="N242" s="9" t="inlineStr">
        <is>
          <t>figure</t>
        </is>
      </c>
      <c r="O242" s="9" t="inlineStr">
        <is>
          <t>Not built -- see Resultstext item (priority 1) for this folder's built data.</t>
        </is>
      </c>
      <c r="P242" s="9" t="inlineStr">
        <is>
          <t>candidate</t>
        </is>
      </c>
      <c r="Q242" s="9"/>
      <c r="R242" s="32" t="inlineStr">
        <is>
          <t>https://doi.org/10.1016/s0378-5955(03)00233-8</t>
        </is>
      </c>
      <c r="S242" s="9"/>
      <c r="T242" s="9"/>
      <c r="U242" s="9"/>
      <c r="V242" s="9" t="inlineStr">
        <is>
          <t>sensory hearing</t>
        </is>
      </c>
      <c r="W242" s="9" t="inlineStr">
        <is>
          <t>Mammalia (species key in legend)</t>
        </is>
      </c>
      <c r="X242" s="9" t="inlineStr">
        <is>
          <t>functional interaural distance; high-frequency hearing limit</t>
        </is>
      </c>
      <c r="Y242" s="9"/>
      <c r="Z242" s="9" t="inlineStr">
        <is>
          <t>behavioral audiometry (compiled review)</t>
        </is>
      </c>
      <c r="AA242" s="9" t="inlineStr">
        <is>
          <t>literature compilation</t>
        </is>
      </c>
      <c r="AB242" s="9" t="inlineStr">
        <is>
          <t>µs; kHz</t>
        </is>
      </c>
      <c r="AC242" s="9" t="inlineStr">
        <is>
          <t>Heffner</t>
        </is>
      </c>
      <c r="AD242" s="9"/>
      <c r="AE242" s="9" t="inlineStr">
        <is>
          <t>secondary</t>
        </is>
      </c>
      <c r="AF242" s="9" t="inlineStr">
        <is>
          <t>Heffner-lab compilation</t>
        </is>
      </c>
      <c r="AG242" s="9" t="inlineStr">
        <is>
          <t>optional comparative compilation; check overlap with registered Heffner items</t>
        </is>
      </c>
    </row>
    <row r="243" ht="17" customHeight="1">
      <c r="A243" s="9" t="inlineStr">
        <is>
          <t>Heffner, R. S., Koay, G., &amp; Heffner, H. E. (2003). Hearing in American leaf-nosed bats. III: Artibeus jamaicensis. Hear Res, 184, 113-22. https://doi.org/10.1016/s0378-5955(03)00233-8</t>
        </is>
      </c>
      <c r="B243" s="9"/>
      <c r="C243" s="9"/>
      <c r="D243" s="9" t="inlineStr">
        <is>
          <t>Results Text</t>
        </is>
      </c>
      <c r="E243" s="11" t="str">
        <f>SUBSTITUTE(SUBSTITUTE(_xlfn.TEXTBEFORE(A243,","), "-", ""), " ", "")</f>
        <v>Heffner</v>
      </c>
      <c r="F243" s="10"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10" t="str">
        <f>_xlfn.TEXTBEFORE(_xlfn.TEXTAFTER(A243, "("), ")")</f>
        <v>2003</v>
      </c>
      <c r="H243" s="11" t="str">
        <f>E243 &amp; IF(F243&lt;&gt;"", "_" &amp; SUBSTITUTE(F243," ",""), "_") &amp; IF(G243&lt;&gt;"", "_" &amp; G243, "_") &amp; IF(B243&lt;&gt;"", "_" &amp; B243, "")</f>
        <v>Heffner_etal_2003</v>
      </c>
      <c r="I243" s="11" t="str">
        <f>_xlfn.LET(_xlpm.doi,IF(C243&lt;&gt;"",C243,_xlfn.TEXTAFTER(A243,"https://doi.org/")),SUBSTITUTE(SUBSTITUTE(SUBSTITUTE(SUBSTITUTE(_xlpm.doi,"/","%2F"),":","%3A"),"&lt;","%3C"),"&gt;","%3E"))</f>
        <v>10.1016%2Fs0378-5955(03)00233-8</v>
      </c>
      <c r="J243" s="11" t="str">
        <f>TRIM(_xlfn.TEXTJOIN("_",FALSE(),H243,(SUBSTITUTE(SUBSTITUTE(D243," ",""), "_", ""))))</f>
        <v>Heffner_etal_2003_ResultsText</v>
      </c>
      <c r="K243" s="10" t="str">
        <f>I243 &amp; "_" &amp; SUBSTITUTE(SUBSTITUTE(SUBSTITUTE(D243,CHAR(160),"")," ",""),"_","")</f>
        <v>10.1016%2Fs0378-5955(03)00233-8_ResultsText</v>
      </c>
      <c r="L243" s="10" t="str">
        <f t="array" ref="L243">IFERROR(INDEX(AUTO_Public_TSV_FileList!$A$1:$A$1000,MATCH(TRUE(),EXACT(K243,IFERROR(_xlfn.TEXTBEFORE(AUTO_Public_TSV_FileList!$A$1:$A$1000,".tsv"),"")),0)),"notfound")</f>
        <v>10.1016%2Fs0378-5955(03)00233-8_ResultsText.tsv</v>
      </c>
      <c r="M243" s="9" t="inlineStr">
        <is>
          <t>Results text: A. jamaicensis 60-dB hearing range, best sensitivity, functional interaural distance</t>
        </is>
      </c>
      <c r="N243" s="9" t="inlineStr">
        <is>
          <t>text</t>
        </is>
      </c>
      <c r="O243" s="9" t="inlineStr">
        <is>
          <t>Built 2026-09-27: transcribed low 2.8 kHz / high 131 kHz / interaural distance 89 us.</t>
        </is>
      </c>
      <c r="P243" s="9" t="inlineStr">
        <is>
          <t>FINISHED</t>
        </is>
      </c>
      <c r="Q243" s="9"/>
      <c r="R243" s="32" t="inlineStr">
        <is>
          <t>https://doi.org/10.1016/s0378-5955(03)00233-8</t>
        </is>
      </c>
      <c r="S243" s="9"/>
      <c r="T243" s="9"/>
      <c r="U243" s="9"/>
      <c r="V243" s="9" t="inlineStr">
        <is>
          <t>sensory hearing</t>
        </is>
      </c>
      <c r="W243" s="9" t="inlineStr">
        <is>
          <t>Artibeus jamaicensis</t>
        </is>
      </c>
      <c r="X243" s="9" t="inlineStr">
        <is>
          <t>hearing limits; best sensitivity; functional interaural distance</t>
        </is>
      </c>
      <c r="Y243" s="9"/>
      <c r="Z243" s="9" t="inlineStr">
        <is>
          <t>behavioral (conditioned suppression/avoidance)</t>
        </is>
      </c>
      <c r="AA243" s="9" t="inlineStr">
        <is>
          <t>conditioned suppression/avoidance</t>
        </is>
      </c>
      <c r="AB243" s="9" t="inlineStr">
        <is>
          <t>kHz; dB SPL; µs</t>
        </is>
      </c>
      <c r="AC243" s="9" t="inlineStr">
        <is>
          <t>Heffner</t>
        </is>
      </c>
      <c r="AD243" s="9"/>
      <c r="AE243" s="9" t="inlineStr">
        <is>
          <t>primary</t>
        </is>
      </c>
      <c r="AF243" s="9"/>
      <c r="AG243" s="9" t="inlineStr">
        <is>
          <t>extract first — direct source of values already used in SensoryData</t>
        </is>
      </c>
    </row>
    <row r="244" ht="17" customHeight="1">
      <c r="A244" s="9" t="inlineStr">
        <is>
          <t>Heffner, R. S., Koay, G., &amp; Heffner, H. E. (2006). Hearing in large (Eidolon helvum) and small (Cynopterus brachyotis) non-echolocating fruit bats. Hearing Research, 221, 17-25. https://doi.org/10.1016/j.heares.2006.06.008</t>
        </is>
      </c>
      <c r="B244" s="9"/>
      <c r="C244" s="9"/>
      <c r="D244" s="9" t="inlineStr">
        <is>
          <t>Results Text</t>
        </is>
      </c>
      <c r="E244" s="11" t="str">
        <f>SUBSTITUTE(SUBSTITUTE(_xlfn.TEXTBEFORE(A244,","), "-", ""), " ", "")</f>
        <v>Heffner</v>
      </c>
      <c r="F244" s="10"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10" t="str">
        <f>_xlfn.TEXTBEFORE(_xlfn.TEXTAFTER(A244, "("), ")")</f>
        <v>2006</v>
      </c>
      <c r="H244" s="11" t="str">
        <f>E244 &amp; IF(F244&lt;&gt;"", "_" &amp; SUBSTITUTE(F244," ",""), "_") &amp; IF(G244&lt;&gt;"", "_" &amp; G244, "_") &amp; IF(B244&lt;&gt;"", "_" &amp; B244, "")</f>
        <v>Heffner_etal_2006</v>
      </c>
      <c r="I244" s="11" t="str">
        <f>_xlfn.LET(_xlpm.doi,IF(C244&lt;&gt;"",C244,_xlfn.TEXTAFTER(A244,"https://doi.org/")),SUBSTITUTE(SUBSTITUTE(SUBSTITUTE(SUBSTITUTE(_xlpm.doi,"/","%2F"),":","%3A"),"&lt;","%3C"),"&gt;","%3E"))</f>
        <v>10.1016%2Fj.heares.2006.06.008</v>
      </c>
      <c r="J244" s="11" t="str">
        <f>TRIM(_xlfn.TEXTJOIN("_",FALSE(),H244,(SUBSTITUTE(SUBSTITUTE(D244," ",""), "_", ""))))</f>
        <v>Heffner_etal_2006_ResultsText</v>
      </c>
      <c r="K244" s="10" t="str">
        <f>I244 &amp; "_" &amp; SUBSTITUTE(SUBSTITUTE(SUBSTITUTE(D244,CHAR(160),"")," ",""),"_","")</f>
        <v>10.1016%2Fj.heares.2006.06.008_ResultsText</v>
      </c>
      <c r="L244" s="10" t="str">
        <f t="array" ref="L244">IFERROR(INDEX(AUTO_Public_TSV_FileList!$A$1:$A$1000,MATCH(TRUE(),EXACT(K244,IFERROR(_xlfn.TEXTBEFORE(AUTO_Public_TSV_FileList!$A$1:$A$1000,".tsv"),"")),0)),"notfound")</f>
        <v>10.1016%2Fj.heares.2006.06.008_ResultsText.tsv</v>
      </c>
      <c r="M244" s="9" t="inlineStr">
        <is>
          <t>60-dB-SPL audiogram summary (best freq/threshold, hearing-range limits) for Eidolon helvum and Cynopterus brachyotis</t>
        </is>
      </c>
      <c r="N244" s="9" t="inlineStr">
        <is>
          <t>text</t>
        </is>
      </c>
      <c r="O244" s="9" t="inlineStr">
        <is>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is>
      </c>
      <c r="P244" s="9" t="inlineStr">
        <is>
          <t>FINISHED</t>
        </is>
      </c>
      <c r="Q244" s="9"/>
      <c r="R244" s="9"/>
      <c r="S244" s="9"/>
      <c r="T244" s="9"/>
      <c r="U244" s="9"/>
      <c r="V244" s="9"/>
      <c r="W244" s="9"/>
      <c r="X244" s="9"/>
      <c r="Y244" s="9"/>
      <c r="Z244" s="9"/>
      <c r="AA244" s="9"/>
      <c r="AB244" s="9"/>
      <c r="AC244" s="9"/>
      <c r="AD244" s="9"/>
      <c r="AE244" s="9"/>
      <c r="AF244" s="9"/>
      <c r="AG244" s="9"/>
    </row>
    <row r="245" ht="17" customHeight="1">
      <c r="A245" s="9" t="inlineStr">
        <is>
          <t>Heffner, R. S., Koay, G., &amp; Heffner, H. E. (2007). Sound-localization acuity and its relation to vision in large and small fruit-eating bats: I. Echolocating species, Phyllostomus hastatus and Carollia perspicillata. Hear Res, 234, 1-9. https://doi.org/10.1016/j.heares.2007.06.001</t>
        </is>
      </c>
      <c r="B245" s="9"/>
      <c r="C245" s="9"/>
      <c r="D245" s="9" t="inlineStr">
        <is>
          <t>Figure 4</t>
        </is>
      </c>
      <c r="E245" s="11" t="str">
        <f>SUBSTITUTE(SUBSTITUTE(_xlfn.TEXTBEFORE(A245,","), "-", ""), " ", "")</f>
        <v>Heffner</v>
      </c>
      <c r="F245" s="10"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10" t="str">
        <f>_xlfn.TEXTBEFORE(_xlfn.TEXTAFTER(A245, "("), ")")</f>
        <v>2007</v>
      </c>
      <c r="H245" s="11" t="str">
        <f>E245 &amp; IF(F245&lt;&gt;"", "_" &amp; SUBSTITUTE(F245," ",""), "_") &amp; IF(G245&lt;&gt;"", "_" &amp; G245, "_") &amp; IF(B245&lt;&gt;"", "_" &amp; B245, "")</f>
        <v>Heffner_etal_2007</v>
      </c>
      <c r="I245" s="11" t="str">
        <f>_xlfn.LET(_xlpm.doi,IF(C245&lt;&gt;"",C245,_xlfn.TEXTAFTER(A245,"https://doi.org/")),SUBSTITUTE(SUBSTITUTE(SUBSTITUTE(SUBSTITUTE(_xlpm.doi,"/","%2F"),":","%3A"),"&lt;","%3C"),"&gt;","%3E"))</f>
        <v>10.1016%2Fj.heares.2007.06.001</v>
      </c>
      <c r="J245" s="11" t="str">
        <f>TRIM(_xlfn.TEXTJOIN("_",FALSE(),H245,(SUBSTITUTE(SUBSTITUTE(D245," ",""), "_", ""))))</f>
        <v>Heffner_etal_2007_Figure4</v>
      </c>
      <c r="K245" s="10" t="str">
        <f>I245 &amp; "_" &amp; SUBSTITUTE(SUBSTITUTE(SUBSTITUTE(D245,CHAR(160),"")," ",""),"_","")</f>
        <v>10.1016%2Fj.heares.2007.06.001_Figure4</v>
      </c>
      <c r="L245" s="10" t="str">
        <f t="array" ref="L245">IFERROR(INDEX(AUTO_Public_TSV_FileList!$A$1:$A$1000,MATCH(TRUE(),EXACT(K245,IFERROR(_xlfn.TEXTBEFORE(AUTO_Public_TSV_FileList!$A$1:$A$1000,".tsv"),"")),0)),"notfound")</f>
        <v>notfound</v>
      </c>
      <c r="M245" s="9" t="inlineStr">
        <is>
          <t>Retinal ganglion-cell isodensity contours for P. hastatus and C. perspicillata</t>
        </is>
      </c>
      <c r="N245" s="9" t="inlineStr">
        <is>
          <t>figure</t>
        </is>
      </c>
      <c r="O245" s="9" t="inlineStr">
        <is>
          <t>Not built -- see Figure6 item (priority 1) for this folder's built data.</t>
        </is>
      </c>
      <c r="P245" s="9" t="inlineStr">
        <is>
          <t>candidate</t>
        </is>
      </c>
      <c r="Q245" s="9"/>
      <c r="R245" s="32" t="inlineStr">
        <is>
          <t>https://doi.org/10.1016/j.heares.2007.06.001</t>
        </is>
      </c>
      <c r="S245" s="9"/>
      <c r="T245" s="9"/>
      <c r="U245" s="9"/>
      <c r="V245" s="9" t="inlineStr">
        <is>
          <t>sensory hearing; sensory vision</t>
        </is>
      </c>
      <c r="W245" s="9" t="inlineStr">
        <is>
          <t>Phyllostomus hastatus; Carollia perspicillata</t>
        </is>
      </c>
      <c r="X245" s="9" t="inlineStr">
        <is>
          <t>field of best vision (retinal specialisation)</t>
        </is>
      </c>
      <c r="Y245" s="9"/>
      <c r="Z245" s="9" t="inlineStr">
        <is>
          <t>retinal ganglion-cell topography</t>
        </is>
      </c>
      <c r="AA245" s="9" t="inlineStr">
        <is>
          <t>retinal ganglion-cell counts</t>
        </is>
      </c>
      <c r="AB245" s="9" t="inlineStr">
        <is>
          <t>degrees (from contours)</t>
        </is>
      </c>
      <c r="AC245" s="9" t="inlineStr">
        <is>
          <t>Heffner</t>
        </is>
      </c>
      <c r="AD245" s="9"/>
      <c r="AE245" s="9" t="inlineStr">
        <is>
          <t>primary</t>
        </is>
      </c>
      <c r="AF245" s="9"/>
      <c r="AG245" s="9" t="inlineStr">
        <is>
          <t>optional comparative compilation; check overlap with registered Heffner items</t>
        </is>
      </c>
    </row>
    <row r="246" ht="17" customHeight="1">
      <c r="A246" s="9" t="inlineStr">
        <is>
          <t>Heffner, R. S., Koay, G., &amp; Heffner, H. E. (2007). Sound-localization acuity and its relation to vision in large and small fruit-eating bats: I. Echolocating species, Phyllostomus hastatus and Carollia perspicillata. Hear Res, 234, 1-9. https://doi.org/10.1016/j.heares.2007.06.001</t>
        </is>
      </c>
      <c r="B246" s="9"/>
      <c r="C246" s="9"/>
      <c r="D246" s="9" t="inlineStr">
        <is>
          <t>Figure 6</t>
        </is>
      </c>
      <c r="E246" s="11" t="str">
        <f>SUBSTITUTE(SUBSTITUTE(_xlfn.TEXTBEFORE(A246,","), "-", ""), " ", "")</f>
        <v>Heffner</v>
      </c>
      <c r="F246" s="10"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10" t="str">
        <f>_xlfn.TEXTBEFORE(_xlfn.TEXTAFTER(A246, "("), ")")</f>
        <v>2007</v>
      </c>
      <c r="H246" s="11" t="str">
        <f>E246 &amp; IF(F246&lt;&gt;"", "_" &amp; SUBSTITUTE(F246," ",""), "_") &amp; IF(G246&lt;&gt;"", "_" &amp; G246, "_") &amp; IF(B246&lt;&gt;"", "_" &amp; B246, "")</f>
        <v>Heffner_etal_2007</v>
      </c>
      <c r="I246" s="11" t="str">
        <f>_xlfn.LET(_xlpm.doi,IF(C246&lt;&gt;"",C246,_xlfn.TEXTAFTER(A246,"https://doi.org/")),SUBSTITUTE(SUBSTITUTE(SUBSTITUTE(SUBSTITUTE(_xlpm.doi,"/","%2F"),":","%3A"),"&lt;","%3C"),"&gt;","%3E"))</f>
        <v>10.1016%2Fj.heares.2007.06.001</v>
      </c>
      <c r="J246" s="11" t="str">
        <f>TRIM(_xlfn.TEXTJOIN("_",FALSE(),H246,(SUBSTITUTE(SUBSTITUTE(D246," ",""), "_", ""))))</f>
        <v>Heffner_etal_2007_Figure6</v>
      </c>
      <c r="K246" s="10" t="str">
        <f>I246 &amp; "_" &amp; SUBSTITUTE(SUBSTITUTE(SUBSTITUTE(D246,CHAR(160),"")," ",""),"_","")</f>
        <v>10.1016%2Fj.heares.2007.06.001_Figure6</v>
      </c>
      <c r="L246" s="10" t="str">
        <f t="array" ref="L246">IFERROR(INDEX(AUTO_Public_TSV_FileList!$A$1:$A$1000,MATCH(TRUE(),EXACT(K246,IFERROR(_xlfn.TEXTBEFORE(AUTO_Public_TSV_FileList!$A$1:$A$1000,".tsv"),"")),0)),"notfound")</f>
        <v>10.1016%2Fj.heares.2007.06.001_Figure6.tsv</v>
      </c>
      <c r="M246" s="9" t="inlineStr">
        <is>
          <t>Relation between the width of the field of best vision and sound-localization threshold</t>
        </is>
      </c>
      <c r="N246" s="9" t="inlineStr">
        <is>
          <t>figure</t>
        </is>
      </c>
      <c r="O246" s="9" t="inlineStr">
        <is>
          <t>Built 2026-09-27: 6 field_of_best_vision_width values transcribed (Artibeus 34, Carollia 110, Chinchilla 144, Marmota 90.2, Phyllostomus 51, Rousettus 27 deg).</t>
        </is>
      </c>
      <c r="P246" s="9" t="inlineStr">
        <is>
          <t>FINISHED</t>
        </is>
      </c>
      <c r="Q246" s="9"/>
      <c r="R246" s="32" t="inlineStr">
        <is>
          <t>https://doi.org/10.1016/j.heares.2007.06.001</t>
        </is>
      </c>
      <c r="S246" s="9"/>
      <c r="T246" s="9"/>
      <c r="U246" s="9"/>
      <c r="V246" s="9" t="inlineStr">
        <is>
          <t>sensory hearing; sensory vision</t>
        </is>
      </c>
      <c r="W246" s="9" t="inlineStr">
        <is>
          <t>Mammalia (species key in legend; ≥6 spp used)</t>
        </is>
      </c>
      <c r="X246" s="9" t="inlineStr">
        <is>
          <t>width of field of best vision; sound localization threshold</t>
        </is>
      </c>
      <c r="Y246" s="9"/>
      <c r="Z246" s="9" t="inlineStr">
        <is>
          <t>behavioral (conditioned suppression/avoidance)</t>
        </is>
      </c>
      <c r="AA246" s="9" t="inlineStr">
        <is>
          <t>retinal ganglion-cell isodensity + conditioned-avoidance MAA (compiled)</t>
        </is>
      </c>
      <c r="AB246" s="9" t="inlineStr">
        <is>
          <t>degrees</t>
        </is>
      </c>
      <c r="AC246" s="9" t="inlineStr">
        <is>
          <t>Heffner</t>
        </is>
      </c>
      <c r="AD246" s="9"/>
      <c r="AE246" s="9" t="inlineStr">
        <is>
          <t>both</t>
        </is>
      </c>
      <c r="AF246" s="9" t="inlineStr">
        <is>
          <t>Heffner-lab compilation; P. hastatus and C. perspicillata primary here</t>
        </is>
      </c>
      <c r="AG246" s="9" t="inlineStr">
        <is>
          <t>extract first — direct source of values already used in SensoryData</t>
        </is>
      </c>
    </row>
    <row r="247" ht="17" customHeight="1">
      <c r="A247" s="13" t="inlineStr">
        <is>
          <t>Heffner, R. S., Koay, G., &amp; Heffner, H. E. (2008). Sound localization acuity and its relation to vision in large and small fruit-eating bats: II. Non-echolocating species, Eidolon helvum and Cynopterus brachyotis. Hearing Research, 241(1–2), 80–86. https://doi.org/10.1016/j.heares.2008.05.001</t>
        </is>
      </c>
      <c r="B247" s="13"/>
      <c r="C247" s="13"/>
      <c r="D247" s="13" t="inlineStr">
        <is>
          <t>Results Text</t>
        </is>
      </c>
      <c r="E247" s="11" t="str">
        <f>SUBSTITUTE(SUBSTITUTE(_xlfn.TEXTBEFORE(A247,","), "-", ""), " ", "")</f>
        <v>Heffner</v>
      </c>
      <c r="F247" s="10"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10" t="str">
        <f>_xlfn.TEXTBEFORE(_xlfn.TEXTAFTER(A247, "("), ")")</f>
        <v>2008</v>
      </c>
      <c r="H247" s="11" t="str">
        <f>E247 &amp; IF(F247&lt;&gt;"", "_" &amp; SUBSTITUTE(F247," ",""), "_") &amp; IF(G247&lt;&gt;"", "_" &amp; G247, "_") &amp; IF(B247&lt;&gt;"", "_" &amp; B247, "")</f>
        <v>Heffner_etal_2008</v>
      </c>
      <c r="I247" s="11" t="str">
        <f>_xlfn.LET(_xlpm.doi,IF(C247&lt;&gt;"",C247,_xlfn.TEXTAFTER(A247,"https://doi.org/")),SUBSTITUTE(SUBSTITUTE(SUBSTITUTE(SUBSTITUTE(_xlpm.doi,"/","%2F"),":","%3A"),"&lt;","%3C"),"&gt;","%3E"))</f>
        <v>10.1016%2Fj.heares.2008.05.001</v>
      </c>
      <c r="J247" s="11" t="str">
        <f>TRIM(_xlfn.TEXTJOIN("_",FALSE(),H247,(SUBSTITUTE(SUBSTITUTE(D247," ",""), "_", ""))))</f>
        <v>Heffner_etal_2008_ResultsText</v>
      </c>
      <c r="K247" s="10" t="str">
        <f>I247 &amp; "_" &amp; SUBSTITUTE(SUBSTITUTE(SUBSTITUTE(D247,CHAR(160),"")," ",""),"_","")</f>
        <v>10.1016%2Fj.heares.2008.05.001_ResultsText</v>
      </c>
      <c r="L247" s="10" t="str">
        <f t="array" ref="L247">IFERROR(INDEX(AUTO_Public_TSV_FileList!$A$1:$A$1000,MATCH(TRUE(),EXACT(K247,IFERROR(_xlfn.TEXTBEFORE(AUTO_Public_TSV_FileList!$A$1:$A$1000,".tsv"),"")),0)),"notfound")</f>
        <v>notfound</v>
      </c>
      <c r="M247" s="13" t="inlineStr">
        <is>
          <t>Results text. Sound localization and retinal ganglion-cell topography in Eidolon helvum and Cynopterus brachyotis</t>
        </is>
      </c>
      <c r="N247" s="13" t="inlineStr">
        <is>
          <t>text</t>
        </is>
      </c>
      <c r="O247" s="13" t="inlineStr">
        <is>
          <t>MAA 11.7° E. helvum, 10.5° C. brachyotis (n = 2 each); E. helvum field of best vision 45.5° (75% isodensity), binocular field ~60°, retina 14.25 mm, ~190°. No retina for C. brachyotis.</t>
        </is>
      </c>
      <c r="P247" s="13"/>
      <c r="Q247" s="13"/>
      <c r="R247" s="13" t="inlineStr">
        <is>
          <t>https://doi.org/10.1016/j.heares.2008.05.001</t>
        </is>
      </c>
      <c r="S247" s="13"/>
      <c r="T247" s="13"/>
      <c r="U247" s="13"/>
      <c r="V247" s="13" t="inlineStr">
        <is>
          <t>sensory hearing; sensory vision</t>
        </is>
      </c>
      <c r="W247" s="13" t="inlineStr">
        <is>
          <t>Eidolon helvum; Cynopterus brachyotis</t>
        </is>
      </c>
      <c r="X247" s="13" t="inlineStr">
        <is>
          <t>minimum audible angle (deg); width of field of best vision (deg)</t>
        </is>
      </c>
      <c r="Y247" s="13" t="inlineStr">
        <is>
          <t>binocular field; retina size</t>
        </is>
      </c>
      <c r="Z247" s="13"/>
      <c r="AA247" s="13" t="inlineStr">
        <is>
          <t>conditioned avoidance; retinal whole mount</t>
        </is>
      </c>
      <c r="AB247" s="13" t="inlineStr">
        <is>
          <t>degrees</t>
        </is>
      </c>
      <c r="AC247" s="13" t="inlineStr">
        <is>
          <t>Heffner</t>
        </is>
      </c>
      <c r="AD247" s="13"/>
      <c r="AE247" s="13" t="inlineStr">
        <is>
          <t>primary</t>
        </is>
      </c>
      <c r="AF247" s="13"/>
      <c r="AG247" s="13" t="inlineStr">
        <is>
          <t>Extract from text.</t>
        </is>
      </c>
    </row>
    <row r="248" ht="17" customHeight="1">
      <c r="A248" s="13" t="inlineStr">
        <is>
          <t>Heffner, R. S., Koay, G., &amp; Heffner, H. E. (2008). Sound localization acuity and its relation to vision in large and small fruit-eating bats: II. Non-echolocating species, Eidolon helvum and Cynopterus brachyotis. Hearing Research, 241(1–2), 80–86. https://doi.org/10.1016/j.heares.2008.05.001</t>
        </is>
      </c>
      <c r="B248" s="9"/>
      <c r="C248" s="9"/>
      <c r="D248" s="13" t="inlineStr">
        <is>
          <t>Table 1</t>
        </is>
      </c>
      <c r="E248" s="11" t="str">
        <f>SUBSTITUTE(SUBSTITUTE(_xlfn.TEXTBEFORE(A248,","), "-", ""), " ", "")</f>
        <v>Heffner</v>
      </c>
      <c r="F248" s="10"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10" t="str">
        <f>_xlfn.TEXTBEFORE(_xlfn.TEXTAFTER(A248, "("), ")")</f>
        <v>2008</v>
      </c>
      <c r="H248" s="11" t="str">
        <f>E248 &amp; IF(F248&lt;&gt;"", "_" &amp; SUBSTITUTE(F248," ",""), "_") &amp; IF(G248&lt;&gt;"", "_" &amp; G248, "_") &amp; IF(B248&lt;&gt;"", "_" &amp; B248, "")</f>
        <v>Heffner_etal_2008</v>
      </c>
      <c r="I248" s="11" t="str">
        <f>_xlfn.LET(
_xlpm.doi,IF(C248&lt;&gt;"",C248,_xlfn.TEXTAFTER(A248,"https://doi.org/")),
SUBSTITUTE(
SUBSTITUTE(
SUBSTITUTE(
SUBSTITUTE(
_xlpm.doi,
"/","%2F"),
":","%3A"),
"&lt;","%3C"),
"&gt;","%3E")
)</f>
        <v>10.1016%2Fj.heares.2008.05.001</v>
      </c>
      <c r="J248" s="11" t="str">
        <f>TRIM(_xlfn.TEXTJOIN("_",FALSE(),H248,(SUBSTITUTE(SUBSTITUTE(D248," ",""), "_", ""))))</f>
        <v>Heffner_etal_2008_Table1</v>
      </c>
      <c r="K248" s="10" t="str">
        <f>I248 &amp; "_" &amp; SUBSTITUTE(SUBSTITUTE(SUBSTITUTE(D248,CHAR(160),""), " ", ""), "_", "")</f>
        <v>10.1016%2Fj.heares.2008.05.001_Table1</v>
      </c>
      <c r="L248" s="10" t="str">
        <f t="array" ref="L248">IFERROR(INDEX(AUTO_Public_TSV_FileList!$A$1:$A$1000,MATCH(TRUE(),EXACT(K248,IFERROR(_xlfn.TEXTBEFORE(AUTO_Public_TSV_FileList!$A$1:$A$1000,".tsv"),"")),0)),"notfound")</f>
        <v>10.1016%2Fj.heares.2008.05.001_Table1.tsv</v>
      </c>
      <c r="M248" s="13" t="inlineStr">
        <is>
          <t>Table 1. Passive sound-localization thresholds (minimum audible angles) of bats</t>
        </is>
      </c>
      <c r="N248" s="13" t="inlineStr">
        <is>
          <t>table</t>
        </is>
      </c>
      <c r="O248" s="13" t="inlineStr">
        <is>
          <t>Public TSV upload to __Public/comparative-data timed out repeatedly against that large git-tracked folder on 2026-09-25 (3 attempts); snapshot/CSV/R/README/definitions all landed and verified. Retry the TSV upload to complete this item's public mirror.</t>
        </is>
      </c>
      <c r="P248" s="13" t="inlineStr">
        <is>
          <t>FINISHED</t>
        </is>
      </c>
      <c r="Q248" s="9"/>
      <c r="R248" s="13" t="inlineStr">
        <is>
          <t>https://doi.org/10.1016/j.heares.2008.05.001</t>
        </is>
      </c>
      <c r="S248" s="9"/>
      <c r="T248" s="9"/>
      <c r="U248" s="9"/>
      <c r="V248" s="13" t="inlineStr">
        <is>
          <t>Sensory</t>
        </is>
      </c>
      <c r="W248" s="13" t="inlineStr">
        <is>
          <t>Chiroptera (bats)</t>
        </is>
      </c>
      <c r="X248" s="13" t="inlineStr">
        <is>
          <t>passive sound-localization acuity (minimum audible angle)</t>
        </is>
      </c>
      <c r="Y248" s="9"/>
      <c r="Z248" s="13" t="inlineStr">
        <is>
          <t>behavioral (conditioned suppression/avoidance)</t>
        </is>
      </c>
      <c r="AA248" s="13" t="inlineStr">
        <is>
          <t>psychoacoustic testing</t>
        </is>
      </c>
      <c r="AB248" s="13" t="inlineStr">
        <is>
          <t>angle (deg)</t>
        </is>
      </c>
      <c r="AC248" s="13" t="inlineStr">
        <is>
          <t>Heffner</t>
        </is>
      </c>
      <c r="AD248" s="9"/>
      <c r="AE248" s="13" t="inlineStr">
        <is>
          <t>both</t>
        </is>
      </c>
      <c r="AF248" s="9"/>
      <c r="AG248" s="9"/>
    </row>
    <row r="249" ht="17" customHeight="1">
      <c r="A249" s="9" t="inlineStr">
        <is>
          <t>Heffner, R. S., Koay, G., &amp; Heffner, H. E. (2010). Use of binaural cues for sound localization in large and small non-echolocating bats: Eidolon helvum and Cynopterus brachyotis. Journal of the Acoustical Society of America, 127(6), 3837-3845. https://doi.org/10.1121/1.3372717</t>
        </is>
      </c>
      <c r="B249" s="9"/>
      <c r="C249" s="9"/>
      <c r="D249" s="9" t="inlineStr">
        <is>
          <t>Table I</t>
        </is>
      </c>
      <c r="E249" s="11" t="str">
        <f>SUBSTITUTE(SUBSTITUTE(_xlfn.TEXTBEFORE(A249,","), "-", ""), " ", "")</f>
        <v>Heffner</v>
      </c>
      <c r="F249" s="10"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10" t="str">
        <f>_xlfn.TEXTBEFORE(_xlfn.TEXTAFTER(A249, "("), ")")</f>
        <v>2010</v>
      </c>
      <c r="H249" s="11" t="str">
        <f>E249 &amp; IF(F249&lt;&gt;"", "_" &amp; SUBSTITUTE(F249," ",""), "_") &amp; IF(G249&lt;&gt;"", "_" &amp; G249, "_") &amp; IF(B249&lt;&gt;"", "_" &amp; B249, "")</f>
        <v>Heffner_etal_2010</v>
      </c>
      <c r="I249" s="11" t="str">
        <f>_xlfn.LET(_xlpm.doi,IF(C249&lt;&gt;"",C249,_xlfn.TEXTAFTER(A249,"https://doi.org/")),SUBSTITUTE(SUBSTITUTE(SUBSTITUTE(SUBSTITUTE(_xlpm.doi,"/","%2F"),":","%3A"),"&lt;","%3C"),"&gt;","%3E"))</f>
        <v>10.1121%2F1.3372717</v>
      </c>
      <c r="J249" s="11" t="str">
        <f>TRIM(_xlfn.TEXTJOIN("_",FALSE(),H249,(SUBSTITUTE(SUBSTITUTE(D249," ",""), "_", ""))))</f>
        <v>Heffner_etal_2010_TableI</v>
      </c>
      <c r="K249" s="10" t="str">
        <f>I249 &amp; "_" &amp; SUBSTITUTE(SUBSTITUTE(SUBSTITUTE(D249,CHAR(160),"")," ",""),"_","")</f>
        <v>10.1121%2F1.3372717_TableI</v>
      </c>
      <c r="L249" s="10" t="str">
        <f t="array" ref="L249">IFERROR(INDEX(AUTO_Public_TSV_FileList!$A$1:$A$1000,MATCH(TRUE(),EXACT(K249,IFERROR(_xlfn.TEXTBEFORE(AUTO_Public_TSV_FileList!$A$1:$A$1000,".tsv"),"")),0)),"notfound")</f>
        <v>10.1121%2F1.3372717_TableI.tsv</v>
      </c>
      <c r="M249" s="9" t="inlineStr">
        <is>
          <t>Table I: physical availability of the binaural interaural-phase-difference cue vs. behavioral use, across 10 mammal species incl. this paper's own 2 new bats</t>
        </is>
      </c>
      <c r="N249" s="9" t="inlineStr">
        <is>
          <t>table</t>
        </is>
      </c>
      <c r="O249" s="9" t="inlineStr">
        <is>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is>
      </c>
      <c r="P249" s="9" t="inlineStr">
        <is>
          <t>FINISHED</t>
        </is>
      </c>
      <c r="Q249" s="9"/>
      <c r="R249" s="9"/>
      <c r="S249" s="9"/>
      <c r="T249" s="9"/>
      <c r="U249" s="9"/>
      <c r="V249" s="9"/>
      <c r="W249" s="9"/>
      <c r="X249" s="9"/>
      <c r="Y249" s="9"/>
      <c r="Z249" s="9"/>
      <c r="AA249" s="9"/>
      <c r="AB249" s="9"/>
      <c r="AC249" s="9"/>
      <c r="AD249" s="9"/>
      <c r="AE249" s="9"/>
      <c r="AF249" s="9"/>
      <c r="AG249" s="9"/>
    </row>
    <row r="250" ht="17" customHeight="1">
      <c r="A250" s="9" t="inlineStr">
        <is>
          <t>Heffner, R. S., Koay, G., &amp; Heffner, H. E. (2013). Hearing in American leaf-nosed bats. IV: the Common vampire bat, Desmodus rotundus. Hear Res, 296, 42-50. https://doi.org/10.1016/j.heares.2012.09.011</t>
        </is>
      </c>
      <c r="B250" s="9"/>
      <c r="C250" s="9"/>
      <c r="D250" s="9" t="inlineStr">
        <is>
          <t>Figure 2</t>
        </is>
      </c>
      <c r="E250" s="11" t="str">
        <f>SUBSTITUTE(SUBSTITUTE(_xlfn.TEXTBEFORE(A250,","), "-", ""), " ", "")</f>
        <v>Heffner</v>
      </c>
      <c r="F250" s="10"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10" t="str">
        <f>_xlfn.TEXTBEFORE(_xlfn.TEXTAFTER(A250, "("), ")")</f>
        <v>2013</v>
      </c>
      <c r="H250" s="11" t="str">
        <f>E250 &amp; IF(F250&lt;&gt;"", "_" &amp; SUBSTITUTE(F250," ",""), "_") &amp; IF(G250&lt;&gt;"", "_" &amp; G250, "_") &amp; IF(B250&lt;&gt;"", "_" &amp; B250, "")</f>
        <v>Heffner_etal_2013</v>
      </c>
      <c r="I250" s="11" t="str">
        <f>_xlfn.LET(_xlpm.doi,IF(C250&lt;&gt;"",C250,_xlfn.TEXTAFTER(A250,"https://doi.org/")),SUBSTITUTE(SUBSTITUTE(SUBSTITUTE(SUBSTITUTE(_xlpm.doi,"/","%2F"),":","%3A"),"&lt;","%3C"),"&gt;","%3E"))</f>
        <v>10.1016%2Fj.heares.2012.09.011</v>
      </c>
      <c r="J250" s="11" t="str">
        <f>TRIM(_xlfn.TEXTJOIN("_",FALSE(),H250,(SUBSTITUTE(SUBSTITUTE(D250," ",""), "_", ""))))</f>
        <v>Heffner_etal_2013_Figure2</v>
      </c>
      <c r="K250" s="10" t="str">
        <f>I250 &amp; "_" &amp; SUBSTITUTE(SUBSTITUTE(SUBSTITUTE(D250,CHAR(160),"")," ",""),"_","")</f>
        <v>10.1016%2Fj.heares.2012.09.011_Figure2</v>
      </c>
      <c r="L250" s="10" t="str">
        <f t="array" ref="L250">IFERROR(INDEX(AUTO_Public_TSV_FileList!$A$1:$A$1000,MATCH(TRUE(),EXACT(K250,IFERROR(_xlfn.TEXTBEFORE(AUTO_Public_TSV_FileList!$A$1:$A$1000,".tsv"),"")),0)),"notfound")</f>
        <v>notfound</v>
      </c>
      <c r="M250" s="9" t="inlineStr">
        <is>
          <t>Mean pure-tone audiogram for three D. rotundus</t>
        </is>
      </c>
      <c r="N250" s="9" t="inlineStr">
        <is>
          <t>figure</t>
        </is>
      </c>
      <c r="O250" s="9" t="inlineStr">
        <is>
          <t>Not built -- see Resultstext item (priority 1) for this folder's built data.</t>
        </is>
      </c>
      <c r="P250" s="9" t="inlineStr">
        <is>
          <t>candidate</t>
        </is>
      </c>
      <c r="Q250" s="9"/>
      <c r="R250" s="32" t="inlineStr">
        <is>
          <t>https://doi.org/10.1016/j.heares.2012.09.011</t>
        </is>
      </c>
      <c r="S250" s="9"/>
      <c r="T250" s="9"/>
      <c r="U250" s="9"/>
      <c r="V250" s="9" t="inlineStr">
        <is>
          <t>sensory hearing</t>
        </is>
      </c>
      <c r="W250" s="9" t="inlineStr">
        <is>
          <t>Desmodus rotundus (3 individuals)</t>
        </is>
      </c>
      <c r="X250" s="9" t="inlineStr">
        <is>
          <t>audiogram thresholds; 60-dB hearing limits</t>
        </is>
      </c>
      <c r="Y250" s="9"/>
      <c r="Z250" s="9" t="inlineStr">
        <is>
          <t>behavioral (conditioned suppression/avoidance)</t>
        </is>
      </c>
      <c r="AA250" s="9" t="inlineStr">
        <is>
          <t>conditioned suppression/avoidance</t>
        </is>
      </c>
      <c r="AB250" s="9" t="inlineStr">
        <is>
          <t>threshold (dB SPL) by frequency (kHz)</t>
        </is>
      </c>
      <c r="AC250" s="9" t="inlineStr">
        <is>
          <t>Heffner</t>
        </is>
      </c>
      <c r="AD250" s="9"/>
      <c r="AE250" s="9" t="inlineStr">
        <is>
          <t>primary</t>
        </is>
      </c>
      <c r="AF250" s="9"/>
      <c r="AG250" s="9" t="inlineStr">
        <is>
          <t>extract if full curve/individuals wanted</t>
        </is>
      </c>
    </row>
    <row r="251" ht="17" customHeight="1">
      <c r="A251" s="9" t="inlineStr">
        <is>
          <t>Heffner, R. S., Koay, G., &amp; Heffner, H. E. (2013). Hearing in American leaf-nosed bats. IV: the Common vampire bat, Desmodus rotundus. Hear Res, 296, 42-50. https://doi.org/10.1016/j.heares.2012.09.011</t>
        </is>
      </c>
      <c r="B251" s="9"/>
      <c r="C251" s="9"/>
      <c r="D251" s="9" t="inlineStr">
        <is>
          <t>Results Text</t>
        </is>
      </c>
      <c r="E251" s="11" t="str">
        <f>SUBSTITUTE(SUBSTITUTE(_xlfn.TEXTBEFORE(A251,","), "-", ""), " ", "")</f>
        <v>Heffner</v>
      </c>
      <c r="F251" s="10"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0" t="str">
        <f>_xlfn.TEXTBEFORE(_xlfn.TEXTAFTER(A251, "("), ")")</f>
        <v>2013</v>
      </c>
      <c r="H251" s="11" t="str">
        <f>E251 &amp; IF(F251&lt;&gt;"", "_" &amp; SUBSTITUTE(F251," ",""), "_") &amp; IF(G251&lt;&gt;"", "_" &amp; G251, "_") &amp; IF(B251&lt;&gt;"", "_" &amp; B251, "")</f>
        <v>Heffner_etal_2013</v>
      </c>
      <c r="I251" s="11" t="str">
        <f>_xlfn.LET(_xlpm.doi,IF(C251&lt;&gt;"",C251,_xlfn.TEXTAFTER(A251,"https://doi.org/")),SUBSTITUTE(SUBSTITUTE(SUBSTITUTE(SUBSTITUTE(_xlpm.doi,"/","%2F"),":","%3A"),"&lt;","%3C"),"&gt;","%3E"))</f>
        <v>10.1016%2Fj.heares.2012.09.011</v>
      </c>
      <c r="J251" s="11" t="str">
        <f>TRIM(_xlfn.TEXTJOIN("_",FALSE(),H251,(SUBSTITUTE(SUBSTITUTE(D251," ",""), "_", ""))))</f>
        <v>Heffner_etal_2013_ResultsText</v>
      </c>
      <c r="K251" s="10" t="str">
        <f>I251 &amp; "_" &amp; SUBSTITUTE(SUBSTITUTE(SUBSTITUTE(D251,CHAR(160),"")," ",""),"_","")</f>
        <v>10.1016%2Fj.heares.2012.09.011_ResultsText</v>
      </c>
      <c r="L251" s="10" t="str">
        <f t="array" ref="L251">IFERROR(INDEX(AUTO_Public_TSV_FileList!$A$1:$A$1000,MATCH(TRUE(),EXACT(K251,IFERROR(_xlfn.TEXTBEFORE(AUTO_Public_TSV_FileList!$A$1:$A$1000,".tsv"),"")),0)),"notfound")</f>
        <v>10.1016%2Fj.heares.2012.09.011_ResultsText.tsv</v>
      </c>
      <c r="M251" s="9" t="inlineStr">
        <is>
          <t>Results text: D. rotundus 60-dB hearing range, best sensitivity, hearing range octaves, functional interaural distance</t>
        </is>
      </c>
      <c r="N251" s="9" t="inlineStr">
        <is>
          <t>text</t>
        </is>
      </c>
      <c r="O251" s="9" t="inlineStr">
        <is>
          <t>Built 2026-09-27: transcribed low 0.716 kHz / high 113 kHz / 7.3 octaves / interaural distance 61 us.</t>
        </is>
      </c>
      <c r="P251" s="9" t="inlineStr">
        <is>
          <t>FINISHED</t>
        </is>
      </c>
      <c r="Q251" s="9"/>
      <c r="R251" s="32" t="inlineStr">
        <is>
          <t>https://doi.org/10.1016/j.heares.2012.09.011</t>
        </is>
      </c>
      <c r="S251" s="9"/>
      <c r="T251" s="9"/>
      <c r="U251" s="9"/>
      <c r="V251" s="9" t="inlineStr">
        <is>
          <t>sensory hearing</t>
        </is>
      </c>
      <c r="W251" s="9" t="inlineStr">
        <is>
          <t>Desmodus rotundus</t>
        </is>
      </c>
      <c r="X251" s="9" t="inlineStr">
        <is>
          <t>hearing limits; hearing range (octaves); best sensitivity; functional interaural distance</t>
        </is>
      </c>
      <c r="Y251" s="9"/>
      <c r="Z251" s="9" t="inlineStr">
        <is>
          <t>behavioral (conditioned suppression/avoidance)</t>
        </is>
      </c>
      <c r="AA251" s="9" t="inlineStr">
        <is>
          <t>conditioned suppression/avoidance</t>
        </is>
      </c>
      <c r="AB251" s="9" t="inlineStr">
        <is>
          <t>kHz; dB SPL; octaves; µs</t>
        </is>
      </c>
      <c r="AC251" s="9" t="inlineStr">
        <is>
          <t>Heffner</t>
        </is>
      </c>
      <c r="AD251" s="9"/>
      <c r="AE251" s="9" t="inlineStr">
        <is>
          <t>primary</t>
        </is>
      </c>
      <c r="AF251" s="9"/>
      <c r="AG251" s="9" t="inlineStr">
        <is>
          <t>extract first — direct source of values already used in SensoryData</t>
        </is>
      </c>
    </row>
    <row r="252" ht="17" customHeight="1">
      <c r="A252" s="9" t="inlineStr">
        <is>
          <t>Heffner, R. S., Koay, G., &amp; Heffner, H. E. (2013). Hearing in American leaf-nosed bats. IV: the Common vampire bat, Desmodus rotundus. Hear Res, 296, 42-50. https://doi.org/10.1016/j.heares.2012.09.011</t>
        </is>
      </c>
      <c r="B252" s="9"/>
      <c r="C252" s="9"/>
      <c r="D252" s="9" t="inlineStr">
        <is>
          <t>Table 1</t>
        </is>
      </c>
      <c r="E252" s="11" t="str">
        <f>SUBSTITUTE(SUBSTITUTE(_xlfn.TEXTBEFORE(A252,","), "-", ""), " ", "")</f>
        <v>Heffner</v>
      </c>
      <c r="F252" s="10"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10" t="str">
        <f>_xlfn.TEXTBEFORE(_xlfn.TEXTAFTER(A252, "("), ")")</f>
        <v>2013</v>
      </c>
      <c r="H252" s="11" t="str">
        <f>E252 &amp; IF(F252&lt;&gt;"", "_" &amp; SUBSTITUTE(F252," ",""), "_") &amp; IF(G252&lt;&gt;"", "_" &amp; G252, "_") &amp; IF(B252&lt;&gt;"", "_" &amp; B252, "")</f>
        <v>Heffner_etal_2013</v>
      </c>
      <c r="I252" s="11" t="str">
        <f>_xlfn.LET(_xlpm.doi,IF(C252&lt;&gt;"",C252,_xlfn.TEXTAFTER(A252,"https://doi.org/")),SUBSTITUTE(SUBSTITUTE(SUBSTITUTE(SUBSTITUTE(_xlpm.doi,"/","%2F"),":","%3A"),"&lt;","%3C"),"&gt;","%3E"))</f>
        <v>10.1016%2Fj.heares.2012.09.011</v>
      </c>
      <c r="J252" s="11" t="str">
        <f>TRIM(_xlfn.TEXTJOIN("_",FALSE(),H252,(SUBSTITUTE(SUBSTITUTE(D252," ",""), "_", ""))))</f>
        <v>Heffner_etal_2013_Table1</v>
      </c>
      <c r="K252" s="10" t="str">
        <f>I252 &amp; "_" &amp; SUBSTITUTE(SUBSTITUTE(SUBSTITUTE(D252,CHAR(160),"")," ",""),"_","")</f>
        <v>10.1016%2Fj.heares.2012.09.011_Table1</v>
      </c>
      <c r="L252" s="10" t="str">
        <f t="array" ref="L252">IFERROR(INDEX(AUTO_Public_TSV_FileList!$A$1:$A$1000,MATCH(TRUE(),EXACT(K252,IFERROR(_xlfn.TEXTBEFORE(AUTO_Public_TSV_FileList!$A$1:$A$1000,".tsv"),"")),0)),"notfound")</f>
        <v>notfound</v>
      </c>
      <c r="M252" s="9" t="inlineStr">
        <is>
          <t>High-frequency hearing of echolocating bats relative to that predicted from functional interaural distance</t>
        </is>
      </c>
      <c r="N252" s="9" t="inlineStr">
        <is>
          <t>PDF table</t>
        </is>
      </c>
      <c r="O252" s="9" t="inlineStr">
        <is>
          <t>Not built -- see Resultstext item (priority 1) for this folder's built data.</t>
        </is>
      </c>
      <c r="P252" s="9" t="inlineStr">
        <is>
          <t>candidate</t>
        </is>
      </c>
      <c r="Q252" s="9"/>
      <c r="R252" s="32" t="inlineStr">
        <is>
          <t>https://doi.org/10.1016/j.heares.2012.09.011</t>
        </is>
      </c>
      <c r="S252" s="9"/>
      <c r="T252" s="9"/>
      <c r="U252" s="9"/>
      <c r="V252" s="9" t="inlineStr">
        <is>
          <t>sensory hearing</t>
        </is>
      </c>
      <c r="W252" s="9" t="inlineStr">
        <is>
          <t>Chiroptera (echolocating spp; count on extraction)</t>
        </is>
      </c>
      <c r="X252" s="9" t="inlineStr">
        <is>
          <t>high-frequency hearing limit; predicted limit; functional interaural distance</t>
        </is>
      </c>
      <c r="Y252" s="9"/>
      <c r="Z252" s="9" t="inlineStr">
        <is>
          <t>behavioral (conditioned suppression/avoidance)</t>
        </is>
      </c>
      <c r="AA252" s="9" t="inlineStr">
        <is>
          <t>literature compilation</t>
        </is>
      </c>
      <c r="AB252" s="9" t="inlineStr">
        <is>
          <t>kHz; µs</t>
        </is>
      </c>
      <c r="AC252" s="9" t="inlineStr">
        <is>
          <t>Heffner</t>
        </is>
      </c>
      <c r="AD252" s="9"/>
      <c r="AE252" s="9" t="inlineStr">
        <is>
          <t>both</t>
        </is>
      </c>
      <c r="AF252" s="9" t="inlineStr">
        <is>
          <t>Heffner-lab compilation</t>
        </is>
      </c>
      <c r="AG252" s="9" t="inlineStr">
        <is>
          <t>extract if full curve/individuals wanted</t>
        </is>
      </c>
    </row>
    <row r="253" ht="17" customHeight="1">
      <c r="A253" s="9" t="inlineStr">
        <is>
          <t>Heffner, R. S., Koay, G., &amp; Heffner, H. E. (2014). Hearing in alpacas (Vicugna pacos): audiogram, localization acuity, and use of binaural locus cues. J Acoust Soc Am, 135, 778-88. https://doi.org/10.1121/1.4861344</t>
        </is>
      </c>
      <c r="B253" s="9"/>
      <c r="C253" s="9"/>
      <c r="D253" s="9" t="inlineStr">
        <is>
          <t>Figure 3</t>
        </is>
      </c>
      <c r="E253" s="11" t="str">
        <f>SUBSTITUTE(SUBSTITUTE(_xlfn.TEXTBEFORE(A253,","), "-", ""), " ", "")</f>
        <v>Heffner</v>
      </c>
      <c r="F253" s="10"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10" t="str">
        <f>_xlfn.TEXTBEFORE(_xlfn.TEXTAFTER(A253, "("), ")")</f>
        <v>2014</v>
      </c>
      <c r="H253" s="11" t="str">
        <f>E253 &amp; IF(F253&lt;&gt;"", "_" &amp; SUBSTITUTE(F253," ",""), "_") &amp; IF(G253&lt;&gt;"", "_" &amp; G253, "_") &amp; IF(B253&lt;&gt;"", "_" &amp; B253, "")</f>
        <v>Heffner_etal_2014</v>
      </c>
      <c r="I253" s="11" t="str">
        <f>_xlfn.LET(_xlpm.doi,IF(C253&lt;&gt;"",C253,_xlfn.TEXTAFTER(A253,"https://doi.org/")),SUBSTITUTE(SUBSTITUTE(SUBSTITUTE(SUBSTITUTE(_xlpm.doi,"/","%2F"),":","%3A"),"&lt;","%3C"),"&gt;","%3E"))</f>
        <v>10.1121%2F1.4861344</v>
      </c>
      <c r="J253" s="11" t="str">
        <f>TRIM(_xlfn.TEXTJOIN("_",FALSE(),H253,(SUBSTITUTE(SUBSTITUTE(D253," ",""), "_", ""))))</f>
        <v>Heffner_etal_2014_Figure3</v>
      </c>
      <c r="K253" s="10" t="str">
        <f>I253 &amp; "_" &amp; SUBSTITUTE(SUBSTITUTE(SUBSTITUTE(D253,CHAR(160),"")," ",""),"_","")</f>
        <v>10.1121%2F1.4861344_Figure3</v>
      </c>
      <c r="L253" s="10" t="str">
        <f t="array" ref="L253">IFERROR(INDEX(AUTO_Public_TSV_FileList!$A$1:$A$1000,MATCH(TRUE(),EXACT(K253,IFERROR(_xlfn.TEXTBEFORE(AUTO_Public_TSV_FileList!$A$1:$A$1000,".tsv"),"")),0)),"notfound")</f>
        <v>notfound</v>
      </c>
      <c r="M253" s="9" t="inlineStr">
        <is>
          <t>Auditory detection thresholds for three alpacas</t>
        </is>
      </c>
      <c r="N253" s="9" t="inlineStr">
        <is>
          <t>figure</t>
        </is>
      </c>
      <c r="O253" s="9" t="inlineStr">
        <is>
          <t>Not built -- see Resultstext item (priority 1) for this folder's built data.</t>
        </is>
      </c>
      <c r="P253" s="9" t="inlineStr">
        <is>
          <t>candidate</t>
        </is>
      </c>
      <c r="Q253" s="9"/>
      <c r="R253" s="32" t="inlineStr">
        <is>
          <t>https://doi.org/10.1121/1.4861344</t>
        </is>
      </c>
      <c r="S253" s="9"/>
      <c r="T253" s="9"/>
      <c r="U253" s="9"/>
      <c r="V253" s="9" t="inlineStr">
        <is>
          <t>sensory hearing</t>
        </is>
      </c>
      <c r="W253" s="9" t="inlineStr">
        <is>
          <t>Vicugna pacos (3 individuals)</t>
        </is>
      </c>
      <c r="X253" s="9" t="inlineStr">
        <is>
          <t>audiogram thresholds; 60-dB hearing limits; best sensitivity</t>
        </is>
      </c>
      <c r="Y253" s="9"/>
      <c r="Z253" s="9" t="inlineStr">
        <is>
          <t>behavioral (conditioned suppression/avoidance)</t>
        </is>
      </c>
      <c r="AA253" s="9" t="inlineStr">
        <is>
          <t>conditioned suppression/avoidance</t>
        </is>
      </c>
      <c r="AB253" s="9" t="inlineStr">
        <is>
          <t>threshold (dB SPL) by frequency (kHz)</t>
        </is>
      </c>
      <c r="AC253" s="9" t="inlineStr">
        <is>
          <t>Heffner</t>
        </is>
      </c>
      <c r="AD253" s="9"/>
      <c r="AE253" s="9" t="inlineStr">
        <is>
          <t>primary</t>
        </is>
      </c>
      <c r="AF253" s="9"/>
      <c r="AG253" s="9" t="inlineStr">
        <is>
          <t>extract if full curve/individuals wanted</t>
        </is>
      </c>
    </row>
    <row r="254" ht="17" customHeight="1">
      <c r="A254" s="9" t="inlineStr">
        <is>
          <t>Heffner, R. S., Koay, G., &amp; Heffner, H. E. (2014). Hearing in alpacas (Vicugna pacos): audiogram, localization acuity, and use of binaural locus cues. J Acoust Soc Am, 135, 778-88. https://doi.org/10.1121/1.4861344</t>
        </is>
      </c>
      <c r="B254" s="9"/>
      <c r="C254" s="9"/>
      <c r="D254" s="9" t="inlineStr">
        <is>
          <t>Figure 9</t>
        </is>
      </c>
      <c r="E254" s="11" t="str">
        <f>SUBSTITUTE(SUBSTITUTE(_xlfn.TEXTBEFORE(A254,","), "-", ""), " ", "")</f>
        <v>Heffner</v>
      </c>
      <c r="F254" s="10"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10" t="str">
        <f>_xlfn.TEXTBEFORE(_xlfn.TEXTAFTER(A254, "("), ")")</f>
        <v>2014</v>
      </c>
      <c r="H254" s="11" t="str">
        <f>E254 &amp; IF(F254&lt;&gt;"", "_" &amp; SUBSTITUTE(F254," ",""), "_") &amp; IF(G254&lt;&gt;"", "_" &amp; G254, "_") &amp; IF(B254&lt;&gt;"", "_" &amp; B254, "")</f>
        <v>Heffner_etal_2014</v>
      </c>
      <c r="I254" s="11" t="str">
        <f>_xlfn.LET(_xlpm.doi,IF(C254&lt;&gt;"",C254,_xlfn.TEXTAFTER(A254,"https://doi.org/")),SUBSTITUTE(SUBSTITUTE(SUBSTITUTE(SUBSTITUTE(_xlpm.doi,"/","%2F"),":","%3A"),"&lt;","%3C"),"&gt;","%3E"))</f>
        <v>10.1121%2F1.4861344</v>
      </c>
      <c r="J254" s="11" t="str">
        <f>TRIM(_xlfn.TEXTJOIN("_",FALSE(),H254,(SUBSTITUTE(SUBSTITUTE(D254," ",""), "_", ""))))</f>
        <v>Heffner_etal_2014_Figure9</v>
      </c>
      <c r="K254" s="10" t="str">
        <f>I254 &amp; "_" &amp; SUBSTITUTE(SUBSTITUTE(SUBSTITUTE(D254,CHAR(160),"")," ",""),"_","")</f>
        <v>10.1121%2F1.4861344_Figure9</v>
      </c>
      <c r="L254" s="10" t="str">
        <f t="array" ref="L254">IFERROR(INDEX(AUTO_Public_TSV_FileList!$A$1:$A$1000,MATCH(TRUE(),EXACT(K254,IFERROR(_xlfn.TEXTBEFORE(AUTO_Public_TSV_FileList!$A$1:$A$1000,".tsv"),"")),0)),"notfound")</f>
        <v>notfound</v>
      </c>
      <c r="M254" s="9" t="inlineStr">
        <is>
          <t>Behaviorally determined sound-localization thresholds for mammals</t>
        </is>
      </c>
      <c r="N254" s="9" t="inlineStr">
        <is>
          <t>figure</t>
        </is>
      </c>
      <c r="O254" s="9" t="inlineStr">
        <is>
          <t>Not built -- see Resultstext item (priority 1) for this folder's built data.</t>
        </is>
      </c>
      <c r="P254" s="9" t="inlineStr">
        <is>
          <t>candidate</t>
        </is>
      </c>
      <c r="Q254" s="9"/>
      <c r="R254" s="32" t="inlineStr">
        <is>
          <t>https://doi.org/10.1121/1.4861344</t>
        </is>
      </c>
      <c r="S254" s="9"/>
      <c r="T254" s="9"/>
      <c r="U254" s="9"/>
      <c r="V254" s="9" t="inlineStr">
        <is>
          <t>sensory hearing</t>
        </is>
      </c>
      <c r="W254" s="9" t="inlineStr">
        <is>
          <t>Mammalia (species key in legend)</t>
        </is>
      </c>
      <c r="X254" s="9" t="inlineStr">
        <is>
          <t>sound localization threshold (MAA)</t>
        </is>
      </c>
      <c r="Y254" s="9"/>
      <c r="Z254" s="9" t="inlineStr">
        <is>
          <t>behavioral audiometry (compiled review)</t>
        </is>
      </c>
      <c r="AA254" s="9" t="inlineStr">
        <is>
          <t>literature compilation</t>
        </is>
      </c>
      <c r="AB254" s="9" t="inlineStr">
        <is>
          <t>degrees</t>
        </is>
      </c>
      <c r="AC254" s="9" t="inlineStr">
        <is>
          <t>Heffner</t>
        </is>
      </c>
      <c r="AD254" s="9"/>
      <c r="AE254" s="9" t="inlineStr">
        <is>
          <t>secondary</t>
        </is>
      </c>
      <c r="AF254" s="9" t="inlineStr">
        <is>
          <t>Heffner-lab compilation</t>
        </is>
      </c>
      <c r="AG254" s="9" t="inlineStr">
        <is>
          <t>optional comparative compilation; check overlap with registered Heffner items</t>
        </is>
      </c>
    </row>
    <row r="255" ht="17" customHeight="1">
      <c r="A255" s="9" t="inlineStr">
        <is>
          <t>Heffner, R. S., Koay, G., &amp; Heffner, H. E. (2014). Hearing in alpacas (Vicugna pacos): audiogram, localization acuity, and use of binaural locus cues. J Acoust Soc Am, 135, 778-88. https://doi.org/10.1121/1.4861344</t>
        </is>
      </c>
      <c r="B255" s="9"/>
      <c r="C255" s="9"/>
      <c r="D255" s="9" t="inlineStr">
        <is>
          <t>Figures 10-11</t>
        </is>
      </c>
      <c r="E255" s="11" t="str">
        <f>SUBSTITUTE(SUBSTITUTE(_xlfn.TEXTBEFORE(A255,","), "-", ""), " ", "")</f>
        <v>Heffner</v>
      </c>
      <c r="F255" s="10"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0" t="str">
        <f>_xlfn.TEXTBEFORE(_xlfn.TEXTAFTER(A255, "("), ")")</f>
        <v>2014</v>
      </c>
      <c r="H255" s="11" t="str">
        <f>E255 &amp; IF(F255&lt;&gt;"", "_" &amp; SUBSTITUTE(F255," ",""), "_") &amp; IF(G255&lt;&gt;"", "_" &amp; G255, "_") &amp; IF(B255&lt;&gt;"", "_" &amp; B255, "")</f>
        <v>Heffner_etal_2014</v>
      </c>
      <c r="I255" s="11" t="str">
        <f>_xlfn.LET(_xlpm.doi,IF(C255&lt;&gt;"",C255,_xlfn.TEXTAFTER(A255,"https://doi.org/")),SUBSTITUTE(SUBSTITUTE(SUBSTITUTE(SUBSTITUTE(_xlpm.doi,"/","%2F"),":","%3A"),"&lt;","%3C"),"&gt;","%3E"))</f>
        <v>10.1121%2F1.4861344</v>
      </c>
      <c r="J255" s="11" t="str">
        <f>TRIM(_xlfn.TEXTJOIN("_",FALSE(),H255,(SUBSTITUTE(SUBSTITUTE(D255," ",""), "_", ""))))</f>
        <v>Heffner_etal_2014_Figures10-11</v>
      </c>
      <c r="K255" s="10" t="str">
        <f>I255 &amp; "_" &amp; SUBSTITUTE(SUBSTITUTE(SUBSTITUTE(D255,CHAR(160),"")," ",""),"_","")</f>
        <v>10.1121%2F1.4861344_Figures10-11</v>
      </c>
      <c r="L255" s="10" t="str">
        <f t="array" ref="L255">IFERROR(INDEX(AUTO_Public_TSV_FileList!$A$1:$A$1000,MATCH(TRUE(),EXACT(K255,IFERROR(_xlfn.TEXTBEFORE(AUTO_Public_TSV_FileList!$A$1:$A$1000,".tsv"),"")),0)),"notfound")</f>
        <v>notfound</v>
      </c>
      <c r="M255" s="9" t="inlineStr">
        <is>
          <t>Sound-localization acuity and functional interaural distance among species using one vs both binaural locus cues</t>
        </is>
      </c>
      <c r="N255" s="9" t="inlineStr">
        <is>
          <t>figure</t>
        </is>
      </c>
      <c r="O255" s="9" t="inlineStr">
        <is>
          <t>Not built -- see Resultstext item (priority 1) for this folder's built data.</t>
        </is>
      </c>
      <c r="P255" s="9" t="inlineStr">
        <is>
          <t>candidate</t>
        </is>
      </c>
      <c r="Q255" s="9"/>
      <c r="R255" s="32" t="inlineStr">
        <is>
          <t>https://doi.org/10.1121/1.4861344</t>
        </is>
      </c>
      <c r="S255" s="9"/>
      <c r="T255" s="9"/>
      <c r="U255" s="9"/>
      <c r="V255" s="9" t="inlineStr">
        <is>
          <t>sensory hearing</t>
        </is>
      </c>
      <c r="W255" s="9" t="inlineStr">
        <is>
          <t>Mammalia (species key in legend)</t>
        </is>
      </c>
      <c r="X255" s="9" t="inlineStr">
        <is>
          <t>binaural cue use (phase / intensity); MAA; functional interaural distance</t>
        </is>
      </c>
      <c r="Y255" s="9"/>
      <c r="Z255" s="9" t="inlineStr">
        <is>
          <t>behavioral audiometry (compiled review)</t>
        </is>
      </c>
      <c r="AA255" s="9" t="inlineStr">
        <is>
          <t>literature compilation</t>
        </is>
      </c>
      <c r="AB255" s="9" t="inlineStr">
        <is>
          <t>categorical; degrees; µs</t>
        </is>
      </c>
      <c r="AC255" s="9" t="inlineStr">
        <is>
          <t>Heffner</t>
        </is>
      </c>
      <c r="AD255" s="9"/>
      <c r="AE255" s="9" t="inlineStr">
        <is>
          <t>secondary</t>
        </is>
      </c>
      <c r="AF255" s="9" t="inlineStr">
        <is>
          <t>Heffner-lab compilation</t>
        </is>
      </c>
      <c r="AG255" s="9" t="inlineStr">
        <is>
          <t>optional comparative compilation; check overlap with registered Heffner items</t>
        </is>
      </c>
    </row>
    <row r="256" ht="17" customHeight="1">
      <c r="A256" s="9" t="inlineStr">
        <is>
          <t>Heffner, R. S., Koay, G., &amp; Heffner, H. E. (2014). Hearing in alpacas (Vicugna pacos): audiogram, localization acuity, and use of binaural locus cues. J Acoust Soc Am, 135, 778-88. https://doi.org/10.1121/1.4861344</t>
        </is>
      </c>
      <c r="B256" s="9"/>
      <c r="C256" s="9"/>
      <c r="D256" s="9" t="inlineStr">
        <is>
          <t>Results Text</t>
        </is>
      </c>
      <c r="E256" s="11" t="str">
        <f>SUBSTITUTE(SUBSTITUTE(_xlfn.TEXTBEFORE(A256,","), "-", ""), " ", "")</f>
        <v>Heffner</v>
      </c>
      <c r="F256" s="10"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10" t="str">
        <f>_xlfn.TEXTBEFORE(_xlfn.TEXTAFTER(A256, "("), ")")</f>
        <v>2014</v>
      </c>
      <c r="H256" s="11" t="str">
        <f>E256 &amp; IF(F256&lt;&gt;"", "_" &amp; SUBSTITUTE(F256," ",""), "_") &amp; IF(G256&lt;&gt;"", "_" &amp; G256, "_") &amp; IF(B256&lt;&gt;"", "_" &amp; B256, "")</f>
        <v>Heffner_etal_2014</v>
      </c>
      <c r="I256" s="11" t="str">
        <f>_xlfn.LET(_xlpm.doi,IF(C256&lt;&gt;"",C256,_xlfn.TEXTAFTER(A256,"https://doi.org/")),SUBSTITUTE(SUBSTITUTE(SUBSTITUTE(SUBSTITUTE(_xlpm.doi,"/","%2F"),":","%3A"),"&lt;","%3C"),"&gt;","%3E"))</f>
        <v>10.1121%2F1.4861344</v>
      </c>
      <c r="J256" s="11" t="str">
        <f>TRIM(_xlfn.TEXTJOIN("_",FALSE(),H256,(SUBSTITUTE(SUBSTITUTE(D256," ",""), "_", ""))))</f>
        <v>Heffner_etal_2014_ResultsText</v>
      </c>
      <c r="K256" s="10" t="str">
        <f>I256 &amp; "_" &amp; SUBSTITUTE(SUBSTITUTE(SUBSTITUTE(D256,CHAR(160),"")," ",""),"_","")</f>
        <v>10.1121%2F1.4861344_ResultsText</v>
      </c>
      <c r="L256" s="10" t="str">
        <f t="array" ref="L256">IFERROR(INDEX(AUTO_Public_TSV_FileList!$A$1:$A$1000,MATCH(TRUE(),EXACT(K256,IFERROR(_xlfn.TEXTBEFORE(AUTO_Public_TSV_FileList!$A$1:$A$1000,".tsv"),"")),0)),"notfound")</f>
        <v>10.1121%2F1.4861344_ResultsText.tsv</v>
      </c>
      <c r="M256" s="9" t="inlineStr">
        <is>
          <t>Results text: alpaca 60-dB hearing range, best sensitivity/frequency, MAA, binaural/pinna cue use</t>
        </is>
      </c>
      <c r="N256" s="9" t="inlineStr">
        <is>
          <t>text</t>
        </is>
      </c>
      <c r="O256" s="9" t="inlineStr">
        <is>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is>
      </c>
      <c r="P256" s="9" t="inlineStr">
        <is>
          <t>BUILT (TSV upload pending)</t>
        </is>
      </c>
      <c r="Q256" s="9"/>
      <c r="R256" s="32" t="inlineStr">
        <is>
          <t>https://doi.org/10.1121/1.4861344</t>
        </is>
      </c>
      <c r="S256" s="9"/>
      <c r="T256" s="9"/>
      <c r="U256" s="9"/>
      <c r="V256" s="9" t="inlineStr">
        <is>
          <t>sensory hearing</t>
        </is>
      </c>
      <c r="W256" s="9" t="inlineStr">
        <is>
          <t>Vicugna pacos</t>
        </is>
      </c>
      <c r="X256" s="9" t="inlineStr">
        <is>
          <t>hearing limits; best sensitivity; MAA; interaural distance; binaural and monaural cue use</t>
        </is>
      </c>
      <c r="Y256" s="9"/>
      <c r="Z256" s="9" t="inlineStr">
        <is>
          <t>behavioral (conditioned suppression/avoidance)</t>
        </is>
      </c>
      <c r="AA256" s="9" t="inlineStr">
        <is>
          <t>conditioned suppression/avoidance; MAA tests</t>
        </is>
      </c>
      <c r="AB256" s="9" t="inlineStr">
        <is>
          <t>kHz; dB SPL; degrees; µs; categorical</t>
        </is>
      </c>
      <c r="AC256" s="9" t="inlineStr">
        <is>
          <t>Heffner</t>
        </is>
      </c>
      <c r="AD256" s="9"/>
      <c r="AE256" s="9" t="inlineStr">
        <is>
          <t>primary</t>
        </is>
      </c>
      <c r="AF256" s="9"/>
      <c r="AG256" s="9" t="inlineStr">
        <is>
          <t>extract first — direct source of values already used in SensoryData</t>
        </is>
      </c>
    </row>
    <row r="257" ht="17" customHeight="1">
      <c r="A257" s="13" t="inlineStr">
        <is>
          <t>Heffner, R. S., Koay, G., &amp; Heffner, H. E. (2015). Sound localization in common vampire bats: Acuity and use of the binaural time cue by a small mammal. Journal of the Acoustical Society of America, 137(1), 42–52. https://doi.org/10.1121/1.4904529</t>
        </is>
      </c>
      <c r="B257" s="9"/>
      <c r="C257" s="9"/>
      <c r="D257" s="13" t="inlineStr">
        <is>
          <t>Table I</t>
        </is>
      </c>
      <c r="E257" s="11" t="str">
        <f>SUBSTITUTE(SUBSTITUTE(_xlfn.TEXTBEFORE(A257,","), "-", ""), " ", "")</f>
        <v>Heffner</v>
      </c>
      <c r="F257" s="10"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10" t="str">
        <f>_xlfn.TEXTBEFORE(_xlfn.TEXTAFTER(A257, "("), ")")</f>
        <v>2015</v>
      </c>
      <c r="H257" s="11" t="str">
        <f>E257 &amp; IF(F257&lt;&gt;"", "_" &amp; SUBSTITUTE(F257," ",""), "_") &amp; IF(G257&lt;&gt;"", "_" &amp; G257, "_") &amp; IF(B257&lt;&gt;"", "_" &amp; B257, "")</f>
        <v>Heffner_etal_2015</v>
      </c>
      <c r="I257" s="11" t="str">
        <f>_xlfn.LET(
_xlpm.doi,IF(C257&lt;&gt;"",C257,_xlfn.TEXTAFTER(A257,"https://doi.org/")),
SUBSTITUTE(
SUBSTITUTE(
SUBSTITUTE(
SUBSTITUTE(
_xlpm.doi,
"/","%2F"),
":","%3A"),
"&lt;","%3C"),
"&gt;","%3E")
)</f>
        <v>10.1121%2F1.4904529</v>
      </c>
      <c r="J257" s="11" t="str">
        <f>TRIM(_xlfn.TEXTJOIN("_",FALSE(),H257,(SUBSTITUTE(SUBSTITUTE(D257," ",""), "_", ""))))</f>
        <v>Heffner_etal_2015_TableI</v>
      </c>
      <c r="K257" s="10" t="str">
        <f>I257 &amp; "_" &amp; SUBSTITUTE(SUBSTITUTE(SUBSTITUTE(D257,CHAR(160),""), " ", ""), "_", "")</f>
        <v>10.1121%2F1.4904529_TableI</v>
      </c>
      <c r="L257" s="10" t="str">
        <f t="array" ref="L257">IFERROR(INDEX(AUTO_Public_TSV_FileList!$A$1:$A$1000,MATCH(TRUE(),EXACT(K257,IFERROR(_xlfn.TEXTBEFORE(AUTO_Public_TSV_FileList!$A$1:$A$1000,".tsv"),"")),0)),"notfound")</f>
        <v>10.1121%2F1.4904529_TableI.tsv</v>
      </c>
      <c r="M257" s="13" t="inlineStr">
        <is>
          <t>Table I. Functional head size, sound-localization acuity, and highest frequency using the binaural phase-difference cue in bats</t>
        </is>
      </c>
      <c r="N257" s="13" t="inlineStr">
        <is>
          <t>table</t>
        </is>
      </c>
      <c r="O257" s="13" t="inlineStr">
        <is>
          <t>Public TSV upload to __Public/comparative-data pending (same timeout as Heffner_etal_2008_Table1; retry together).</t>
        </is>
      </c>
      <c r="P257" s="13" t="inlineStr">
        <is>
          <t>FINISHED</t>
        </is>
      </c>
      <c r="Q257" s="9"/>
      <c r="R257" s="13" t="inlineStr">
        <is>
          <t>https://doi.org/10.1121/1.4904529</t>
        </is>
      </c>
      <c r="S257" s="9"/>
      <c r="T257" s="9"/>
      <c r="U257" s="9"/>
      <c r="V257" s="13" t="inlineStr">
        <is>
          <t>Sensory</t>
        </is>
      </c>
      <c r="W257" s="13" t="inlineStr">
        <is>
          <t>Chiroptera (bats)</t>
        </is>
      </c>
      <c r="X257" s="13" t="inlineStr">
        <is>
          <t>passive sound-localization acuity; use of binaural time (phase) cue</t>
        </is>
      </c>
      <c r="Y257" s="13" t="inlineStr">
        <is>
          <t>functional interaural distance</t>
        </is>
      </c>
      <c r="Z257" s="13" t="inlineStr">
        <is>
          <t>behavioral (conditioned suppression/avoidance)</t>
        </is>
      </c>
      <c r="AA257" s="13" t="inlineStr">
        <is>
          <t>psychoacoustic testing</t>
        </is>
      </c>
      <c r="AB257" s="13" t="inlineStr">
        <is>
          <t>angle (deg); frequency (kHz)</t>
        </is>
      </c>
      <c r="AC257" s="13" t="inlineStr">
        <is>
          <t>Heffner</t>
        </is>
      </c>
      <c r="AD257" s="9"/>
      <c r="AE257" s="13" t="inlineStr">
        <is>
          <t>both</t>
        </is>
      </c>
      <c r="AF257" s="9"/>
      <c r="AG257" s="9"/>
    </row>
    <row r="258" ht="17" customHeight="1">
      <c r="A258" s="13" t="inlineStr">
        <is>
          <t>Heffner, R. S., Koay, G., &amp; Heffner, H. E. (2015). Sound localization in common vampire bats: Acuity and use of the binaural time cue by a small mammal. The Journal of the Acoustical Society of America, 137(1), 42–52. https://doi.org/10.1121/1.4904529</t>
        </is>
      </c>
      <c r="B258" s="13"/>
      <c r="C258" s="13"/>
      <c r="D258" s="13" t="inlineStr">
        <is>
          <t>TABLE I</t>
        </is>
      </c>
      <c r="E258" s="11" t="str">
        <f>SUBSTITUTE(SUBSTITUTE(_xlfn.TEXTBEFORE(A258,","), "-", ""), " ", "")</f>
        <v>Heffner</v>
      </c>
      <c r="F258" s="1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10" t="str">
        <f>_xlfn.TEXTBEFORE(_xlfn.TEXTAFTER(A258, "("), ")")</f>
        <v>2015</v>
      </c>
      <c r="H258" s="11" t="str">
        <f>E258 &amp; IF(F258&lt;&gt;"", "_" &amp; SUBSTITUTE(F258," ",""), "_") &amp; IF(G258&lt;&gt;"", "_" &amp; G258, "_") &amp; IF(B258&lt;&gt;"", "_" &amp; B258, "")</f>
        <v>Heffner_etal_2015</v>
      </c>
      <c r="I258" s="11" t="str">
        <f>_xlfn.LET(_xlpm.doi,IF(C258&lt;&gt;"",C258,_xlfn.TEXTAFTER(A258,"https://doi.org/")),SUBSTITUTE(SUBSTITUTE(SUBSTITUTE(SUBSTITUTE(_xlpm.doi,"/","%2F"),":","%3A"),"&lt;","%3C"),"&gt;","%3E"))</f>
        <v>10.1121%2F1.4904529</v>
      </c>
      <c r="J258" s="11" t="str">
        <f>TRIM(_xlfn.TEXTJOIN("_",FALSE(),H258,(SUBSTITUTE(SUBSTITUTE(D258," ",""), "_", ""))))</f>
        <v>Heffner_etal_2015_TABLEI</v>
      </c>
      <c r="K258" s="10" t="str">
        <f>I258 &amp; "_" &amp; SUBSTITUTE(SUBSTITUTE(SUBSTITUTE(D258,CHAR(160),"")," ",""),"_","")</f>
        <v>10.1121%2F1.4904529_TABLEI</v>
      </c>
      <c r="L258" s="10" t="str">
        <f t="array" ref="L258">IFERROR(INDEX(AUTO_Public_TSV_FileList!$A$1:$A$1000,MATCH(TRUE(),EXACT(K258,IFERROR(_xlfn.TEXTBEFORE(AUTO_Public_TSV_FileList!$A$1:$A$1000,".tsv"),"")),0)),"notfound")</f>
        <v>notfound</v>
      </c>
      <c r="M258" s="13" t="inlineStr">
        <is>
          <t>TABLE I. Functional head size (the time it takes for sound to travel around the head from one ear to the other), sound localization acuity, and the highest frequency at which the binaural phase-difference cue is used in bats</t>
        </is>
      </c>
      <c r="N258" s="13" t="inlineStr">
        <is>
          <t>PDF table</t>
        </is>
      </c>
      <c r="O258" s="13" t="inlineStr">
        <is>
          <t>8 bats: functional head size (µs), MAA (deg), highest frequency using binaural phase cue (kHz or "cue not used"), echolocation class. Desmodus rotundus = current report.</t>
        </is>
      </c>
      <c r="P258" s="13"/>
      <c r="Q258" s="13"/>
      <c r="R258" s="13" t="inlineStr">
        <is>
          <t>https://doi.org/10.1121/1.4904529</t>
        </is>
      </c>
      <c r="S258" s="13"/>
      <c r="T258" s="13" t="inlineStr">
        <is>
          <t>"Cue not used" is categorical – keep separate from numeric column; phase-cue limit may be slightly higher (footnote i)</t>
        </is>
      </c>
      <c r="U258" s="13"/>
      <c r="V258" s="13" t="inlineStr">
        <is>
          <t>sensory hearing</t>
        </is>
      </c>
      <c r="W258" s="13" t="inlineStr">
        <is>
          <t>Chiroptera (8 spp)</t>
        </is>
      </c>
      <c r="X258" s="13" t="inlineStr">
        <is>
          <t>functional head size (µs); minimum audible angle (deg); highest frequency using binaural phase cue (kHz)</t>
        </is>
      </c>
      <c r="Y258" s="13" t="inlineStr">
        <is>
          <t>echolocation type</t>
        </is>
      </c>
      <c r="Z258" s="13"/>
      <c r="AA258" s="13" t="inlineStr">
        <is>
          <t>conditioned suppression/avoidance (compilation)</t>
        </is>
      </c>
      <c r="AB258" s="13" t="inlineStr">
        <is>
          <t>µs; degrees; kHz</t>
        </is>
      </c>
      <c r="AC258" s="13" t="inlineStr">
        <is>
          <t>Heffner</t>
        </is>
      </c>
      <c r="AD258" s="13"/>
      <c r="AE258" s="13" t="inlineStr">
        <is>
          <t>both</t>
        </is>
      </c>
      <c r="AF258" s="13" t="inlineStr">
        <is>
          <t>Heffner et al. (1999, 2001, 2007, 2008, 2010a, 2010b); Koay et al. (1998)</t>
        </is>
      </c>
      <c r="AG258" s="13" t="inlineStr">
        <is>
          <t>Extract; priority bat table.</t>
        </is>
      </c>
    </row>
    <row r="259" ht="17" customHeight="1">
      <c r="A259" s="1" t="inlineStr">
        <is>
          <t>Heffner, R. S., Koay, G., &amp; Heffner, H. E. (2020). Hearing and sound localization in Cottontail rabbits, Sylvilagus floridanus. J Comp Physiol A Neuroethol Sens Neural Behav Physiol, 206(4), 543-552. https://doi.org/10.1007/s00359-020-01424-8</t>
        </is>
      </c>
      <c r="B259" s="9"/>
      <c r="C259" s="9"/>
      <c r="D259" s="1" t="inlineStr">
        <is>
          <t>Figure 3</t>
        </is>
      </c>
      <c r="E259" s="10" t="str">
        <f>SUBSTITUTE(SUBSTITUTE(_xlfn.TEXTBEFORE(A259,","), "-", ""), " ", "")</f>
        <v>Heffner</v>
      </c>
      <c r="F259" s="10"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0" t="str">
        <f>_xlfn.TEXTBEFORE(_xlfn.TEXTAFTER(A259, "("), ")")</f>
        <v>2020</v>
      </c>
      <c r="H259" s="10" t="str">
        <f>E259 &amp; IF(F259&lt;&gt;"", "_" &amp; SUBSTITUTE(F259," ",""), "_") &amp; IF(G259&lt;&gt;"", "_" &amp; G259, "_") &amp; IF(B259&lt;&gt;"", "_" &amp; B259, "")</f>
        <v>Heffner_etal_2020</v>
      </c>
      <c r="I259" s="10" t="str">
        <f>_xlfn.LET(
_xlpm.doi,IF(C259&lt;&gt;"",C259,_xlfn.TEXTAFTER(A259,"https://doi.org/")),
SUBSTITUTE(
SUBSTITUTE(
SUBSTITUTE(
SUBSTITUTE(
_xlpm.doi,
"/","%2F"),
":","%3A"),
"&lt;","%3C"),
"&gt;","%3E")
)</f>
        <v>10.1007%2Fs00359-020-01424-8</v>
      </c>
      <c r="J259" s="10" t="str">
        <f>TRIM(_xlfn.TEXTJOIN("_",FALSE(),H259,(SUBSTITUTE(SUBSTITUTE(D259," ",""), "_", ""))))</f>
        <v>Heffner_etal_2020_Figure3</v>
      </c>
      <c r="K259" s="10" t="str">
        <f>I259 &amp; "_" &amp; SUBSTITUTE(SUBSTITUTE(SUBSTITUTE(D259,CHAR(160),"")," ",""),"_","")</f>
        <v>10.1007%2Fs00359-020-01424-8_Figure3</v>
      </c>
      <c r="L259" s="10" t="str">
        <f t="array" ref="L259">IFERROR(INDEX(AUTO_Public_TSV_FileList!$A$1:$A$1000,MATCH(TRUE(),EXACT(K259,IFERROR(_xlfn.TEXTBEFORE(AUTO_Public_TSV_FileList!$A$1:$A$1000,".tsv"),"")),0)),"notfound")</f>
        <v>10.1007%2Fs00359-020-01424-8_Figure3.tsv</v>
      </c>
      <c r="M259" s="13" t="inlineStr">
        <is>
          <t>Fig. 3 High-frequency hearing limit at 60 dB SPL varies with functional interaural distance</t>
        </is>
      </c>
      <c r="N259" s="1" t="inlineStr">
        <is>
          <t>figure</t>
        </is>
      </c>
      <c r="O259" s="13" t="inlineStr">
        <is>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is>
      </c>
      <c r="P259" s="1" t="inlineStr">
        <is>
          <t>FINISHED</t>
        </is>
      </c>
      <c r="Q259" s="1"/>
      <c r="R259" s="1"/>
      <c r="S259" s="13"/>
      <c r="T259" s="13"/>
      <c r="U259" s="13"/>
      <c r="V259" s="1"/>
      <c r="W259" s="13" t="inlineStr">
        <is>
          <t>Mammalia (79 markers, 34 labelled; Cottontail primary)</t>
        </is>
      </c>
      <c r="X259" s="13" t="inlineStr">
        <is>
          <t>high-frequency hearing limit at 60 dB SPL; functional interaural distance; (Cottontail primary: audiogram limits, hearing range, sound localization threshold)</t>
        </is>
      </c>
      <c r="Y259" s="13"/>
      <c r="Z259" s="13"/>
      <c r="AA259" s="13"/>
      <c r="AB259" s="13" t="inlineStr">
        <is>
          <t>sensory performance / psychophysics</t>
        </is>
      </c>
      <c r="AC259" s="13" t="inlineStr">
        <is>
          <t>Heffner</t>
        </is>
      </c>
      <c r="AD259" s="13"/>
      <c r="AE259" s="13" t="inlineStr">
        <is>
          <t>both</t>
        </is>
      </c>
      <c r="AF259" s="1"/>
      <c r="AG259" s="13"/>
    </row>
    <row r="260" ht="17" customHeight="1">
      <c r="A260" s="9" t="inlineStr">
        <is>
          <t>Heffner, R., &amp; Heffner, H. (2010). Explaining high-frequency hearing. Anat Rec (Hoboken), 293, 2080-2. https://doi.org/10.1002/ar.21292</t>
        </is>
      </c>
      <c r="B260" s="9" t="inlineStr">
        <is>
          <t>b</t>
        </is>
      </c>
      <c r="C260" s="9"/>
      <c r="D260" s="9" t="inlineStr">
        <is>
          <t>Table 1</t>
        </is>
      </c>
      <c r="E260" s="11" t="str">
        <f>SUBSTITUTE(SUBSTITUTE(_xlfn.TEXTBEFORE(A260,","), "-", ""), " ", "")</f>
        <v>Heffner</v>
      </c>
      <c r="F260" s="10"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0" s="10" t="str">
        <f>_xlfn.TEXTBEFORE(_xlfn.TEXTAFTER(A260, "("), ")")</f>
        <v>2010</v>
      </c>
      <c r="H260" s="11" t="str">
        <f>E260 &amp; IF(F260&lt;&gt;"", "_" &amp; SUBSTITUTE(F260," ",""), "_") &amp; IF(G260&lt;&gt;"", "_" &amp; G260, "_") &amp; IF(B260&lt;&gt;"", "_" &amp; B260, "")</f>
        <v>Heffner__2010_b</v>
      </c>
      <c r="I260" s="11" t="str">
        <f>_xlfn.LET(_xlpm.doi,IF(C260&lt;&gt;"",C260,_xlfn.TEXTAFTER(A260,"https://doi.org/")),SUBSTITUTE(SUBSTITUTE(SUBSTITUTE(SUBSTITUTE(_xlpm.doi,"/","%2F"),":","%3A"),"&lt;","%3C"),"&gt;","%3E"))</f>
        <v>10.1002%2Far.21292</v>
      </c>
      <c r="J260" s="11" t="str">
        <f>TRIM(_xlfn.TEXTJOIN("_",FALSE(),H260,(SUBSTITUTE(SUBSTITUTE(D260," ",""), "_", ""))))</f>
        <v>Heffner__2010_b_Table1</v>
      </c>
      <c r="K260" s="10" t="str">
        <f>I260 &amp; "_" &amp; SUBSTITUTE(SUBSTITUTE(SUBSTITUTE(D260,CHAR(160),"")," ",""),"_","")</f>
        <v>10.1002%2Far.21292_Table1</v>
      </c>
      <c r="L260" s="10" t="str">
        <f t="array" ref="L260">IFERROR(INDEX(AUTO_Public_TSV_FileList!$A$1:$A$1000,MATCH(TRUE(),EXACT(K260,IFERROR(_xlfn.TEXTBEFORE(AUTO_Public_TSV_FileList!$A$1:$A$1000,".tsv"),"")),0)),"notfound")</f>
        <v>10.1002%2Far.21292_Table1.tsv</v>
      </c>
      <c r="M260" s="9" t="inlineStr">
        <is>
          <t>High-frequency hearing limit, functional interaural distance, and basilar membrane length for selected mammals</t>
        </is>
      </c>
      <c r="N260" s="9" t="inlineStr">
        <is>
          <t>PDF table</t>
        </is>
      </c>
      <c r="O260" s="9" t="inlineStr">
        <is>
          <t>H corrected to match actual folder Heffner_Heffner_2010_b (was Heffner_Heffner_2010, a different, unrelated paper). Built 2026-09-27: transcribed full table (Tursiops truncatus 136 kHz / 75 us row confirmed).</t>
        </is>
      </c>
      <c r="P260" s="9" t="inlineStr">
        <is>
          <t>FINISHED</t>
        </is>
      </c>
      <c r="Q260" s="9"/>
      <c r="R260" s="32" t="inlineStr">
        <is>
          <t>https://doi.org/10.1002/ar.21292</t>
        </is>
      </c>
      <c r="S260" s="9"/>
      <c r="T260" s="9"/>
      <c r="U260" s="9"/>
      <c r="V260" s="9" t="inlineStr">
        <is>
          <t>sensory hearing</t>
        </is>
      </c>
      <c r="W260" s="9" t="inlineStr">
        <is>
          <t>Mammals (incl. Tursiops truncatus; ~10 spp — count on extraction)</t>
        </is>
      </c>
      <c r="X260" s="9" t="inlineStr">
        <is>
          <t>high-frequency hearing limit; functional interaural distance; basilar membrane length</t>
        </is>
      </c>
      <c r="Y260" s="9"/>
      <c r="Z260" s="9" t="inlineStr">
        <is>
          <t>behavioral audiometry (compiled review)</t>
        </is>
      </c>
      <c r="AA260" s="9" t="inlineStr">
        <is>
          <t>literature compilation</t>
        </is>
      </c>
      <c r="AB260" s="9" t="inlineStr">
        <is>
          <t>kHz; µs; mm</t>
        </is>
      </c>
      <c r="AC260" s="9" t="inlineStr">
        <is>
          <t>Heffner</t>
        </is>
      </c>
      <c r="AD260" s="9"/>
      <c r="AE260" s="9" t="inlineStr">
        <is>
          <t>secondary</t>
        </is>
      </c>
      <c r="AF260" s="9" t="inlineStr">
        <is>
          <t>sources cited in table footnotes</t>
        </is>
      </c>
      <c r="AG260" s="9" t="inlineStr">
        <is>
          <t>extract first — direct source of values already used in SensoryData</t>
        </is>
      </c>
    </row>
    <row r="261" ht="17" customHeight="1">
      <c r="A261" s="1" t="inlineStr">
        <is>
          <t>Heffner, R., &amp; Masterton, B. (1975). Variation in form of the pyramidal tract and its relationship to digital dexterity. Brain Behav Evol, 12(3), 161-200. https://doi.org/10.1159/000124401</t>
        </is>
      </c>
      <c r="B261" s="9"/>
      <c r="C261" s="9"/>
      <c r="D261" s="1" t="inlineStr">
        <is>
          <t>Table I</t>
        </is>
      </c>
      <c r="E261" s="10" t="str">
        <f>SUBSTITUTE(SUBSTITUTE(_xlfn.TEXTBEFORE(A261,","), "-", ""), " ", "")</f>
        <v>Heffner</v>
      </c>
      <c r="F261" s="10"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1" s="10" t="str">
        <f>_xlfn.TEXTBEFORE(_xlfn.TEXTAFTER(A261, "("), ")")</f>
        <v>1975</v>
      </c>
      <c r="H261" s="10" t="str">
        <f>E261 &amp; IF(F261&lt;&gt;"", "_" &amp; SUBSTITUTE(F261," ",""), "_") &amp; IF(G261&lt;&gt;"", "_" &amp; G261, "_") &amp; IF(B261&lt;&gt;"", "_" &amp; B261, "")</f>
        <v>Heffner__1975</v>
      </c>
      <c r="I261" s="10" t="str">
        <f>_xlfn.LET(
_xlpm.doi,IF(C261&lt;&gt;"",C261,_xlfn.TEXTAFTER(A261,"https://doi.org/")),
SUBSTITUTE(
SUBSTITUTE(
SUBSTITUTE(
SUBSTITUTE(
_xlpm.doi,
"/","%2F"),
":","%3A"),
"&lt;","%3C"),
"&gt;","%3E")
)</f>
        <v>10.1159%2F000124401</v>
      </c>
      <c r="J261" s="10" t="str">
        <f>TRIM(_xlfn.TEXTJOIN("_",FALSE(),H261,(SUBSTITUTE(SUBSTITUTE(D261," ",""), "_", ""))))</f>
        <v>Heffner__1975_TableI</v>
      </c>
      <c r="K261" s="10" t="str">
        <f>I261 &amp; "_" &amp; SUBSTITUTE(SUBSTITUTE(SUBSTITUTE(D261,CHAR(160),"")," ",""),"_","")</f>
        <v>10.1159%2F000124401_TableI</v>
      </c>
      <c r="L261" s="10" t="str">
        <f t="array" ref="L261">IFERROR(INDEX(AUTO_Public_TSV_FileList!$A$1:$A$1000,MATCH(TRUE(),EXACT(K261,IFERROR(_xlfn.TEXTBEFORE(AUTO_Public_TSV_FileList!$A$1:$A$1000,".tsv"),"")),0)),"notfound")</f>
        <v>10.1159%2F000124401_TableI.tsv</v>
      </c>
      <c r="M261" s="13"/>
      <c r="N261" s="1" t="inlineStr">
        <is>
          <t>table</t>
        </is>
      </c>
      <c r="O261" s="13"/>
      <c r="P261" s="1" t="inlineStr">
        <is>
          <t>FINISHED</t>
        </is>
      </c>
      <c r="Q261" s="1"/>
      <c r="R261" s="1" t="inlineStr">
        <is>
          <t>https://karger.com/bbe/article-pdf/86/3-4/145/2264694/000437413.pdf</t>
        </is>
      </c>
      <c r="S261" s="13"/>
      <c r="T261" s="13"/>
      <c r="U261" s="13"/>
      <c r="V261" s="1"/>
      <c r="W261" s="1" t="inlineStr">
        <is>
          <t>Mammals</t>
        </is>
      </c>
      <c r="X261" s="1" t="inlineStr">
        <is>
          <t>digital dexterity</t>
        </is>
      </c>
      <c r="Y261" s="1" t="inlineStr">
        <is>
          <t>area of pyramidal tract; deepest lamina</t>
        </is>
      </c>
      <c r="Z261" s="13"/>
      <c r="AA261" s="13"/>
      <c r="AB261" s="1" t="inlineStr">
        <is>
          <t>behavioural (digital dexterity) + corticospinal tract</t>
        </is>
      </c>
      <c r="AC261" s="13"/>
      <c r="AD261" s="13"/>
      <c r="AE261" s="1" t="inlineStr">
        <is>
          <t>both</t>
        </is>
      </c>
      <c r="AF261" s="1"/>
      <c r="AG261" s="13"/>
    </row>
    <row r="262" ht="17" customHeight="1">
      <c r="A262" s="1" t="inlineStr">
        <is>
          <t>Heiss, W. D., Habedank, B., Klein, J. C., Herholz, K., Wienhard, K., Lenox, M., &amp; Nutt, R. (2004). Metabolic rates in small brain nuclei determined by high-resolution PET. J Nucl Med, 45(11), 1811-1815. https://www.ncbi.nlm.nih.gov/pubmed/15534048</t>
        </is>
      </c>
      <c r="B262" s="9"/>
      <c r="C262" s="1" t="inlineStr">
        <is>
          <t>PMID:15534048</t>
        </is>
      </c>
      <c r="D262" s="1" t="inlineStr">
        <is>
          <t>TABLE 1</t>
        </is>
      </c>
      <c r="E262" s="10" t="str">
        <f>SUBSTITUTE(SUBSTITUTE(_xlfn.TEXTBEFORE(A262,","), "-", ""), " ", "")</f>
        <v>Heiss</v>
      </c>
      <c r="F262" s="10"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0" t="str">
        <f>_xlfn.TEXTBEFORE(_xlfn.TEXTAFTER(A262, "("), ")")</f>
        <v>2004</v>
      </c>
      <c r="H262" s="10" t="str">
        <f>E262 &amp; IF(F262&lt;&gt;"", "_" &amp; SUBSTITUTE(F262," ",""), "_") &amp; IF(G262&lt;&gt;"", "_" &amp; G262, "_") &amp; IF(B262&lt;&gt;"", "_" &amp; B262, "")</f>
        <v>Heiss_etal_2004</v>
      </c>
      <c r="I262" s="10" t="str">
        <f>_xlfn.LET(
_xlpm.doi,IF(C262&lt;&gt;"",C262,_xlfn.TEXTAFTER(A262,"https://doi.org/")),
SUBSTITUTE(
SUBSTITUTE(
SUBSTITUTE(
SUBSTITUTE(
_xlpm.doi,
"/","%2F"),
":","%3A"),
"&lt;","%3C"),
"&gt;","%3E")
)</f>
        <v>PMID%3A15534048</v>
      </c>
      <c r="J262" s="10" t="str">
        <f>TRIM(_xlfn.TEXTJOIN("_",FALSE(),H262,(SUBSTITUTE(SUBSTITUTE(D262," ",""), "_", ""))))</f>
        <v>Heiss_etal_2004_TABLE1</v>
      </c>
      <c r="K262" s="10" t="str">
        <f>I262 &amp; "_" &amp; SUBSTITUTE(SUBSTITUTE(SUBSTITUTE(D262,CHAR(160),"")," ",""),"_","")</f>
        <v>PMID%3A15534048_TABLE1</v>
      </c>
      <c r="L262" s="10" t="str">
        <f t="array" ref="L262">IFERROR(INDEX(AUTO_Public_TSV_FileList!$A$1:$A$1000,MATCH(TRUE(),EXACT(K262,IFERROR(_xlfn.TEXTBEFORE(AUTO_Public_TSV_FileList!$A$1:$A$1000,".tsv"),"")),0)),"notfound")</f>
        <v>PMID%3A15534048_TABLE1.tsv</v>
      </c>
      <c r="M262" s="1" t="inlineStr">
        <is>
          <t>TABLE 1 rCMRGlc Values</t>
        </is>
      </c>
      <c r="N262" s="13"/>
      <c r="O262" s="1"/>
      <c r="P262" s="13" t="inlineStr">
        <is>
          <t>FINISHED</t>
        </is>
      </c>
      <c r="Q262" s="13"/>
      <c r="R262" s="1" t="inlineStr">
        <is>
          <t>https://karger.com/bbe/article-pdf/86/3-4/145/2264694/000437413.pdf</t>
        </is>
      </c>
      <c r="S262" s="13"/>
      <c r="T262" s="13"/>
      <c r="U262" s="13"/>
      <c r="V262" s="13"/>
      <c r="W262" s="1" t="inlineStr">
        <is>
          <t>Humans</t>
        </is>
      </c>
      <c r="X262" s="1" t="inlineStr">
        <is>
          <t>regional cerebral metabolic rates for glucose</t>
        </is>
      </c>
      <c r="Y262" s="13"/>
      <c r="Z262" s="13"/>
      <c r="AA262" s="13"/>
      <c r="AB262" s="1" t="inlineStr">
        <is>
          <t>metabolic (regional cerebral glucose, PET)</t>
        </is>
      </c>
      <c r="AC262" s="13"/>
      <c r="AD262" s="13"/>
      <c r="AE262" s="1" t="inlineStr">
        <is>
          <t>primary</t>
        </is>
      </c>
      <c r="AF262" s="1"/>
      <c r="AG262" s="13"/>
    </row>
    <row r="263" ht="17" customHeight="1">
      <c r="A263" s="1" t="inlineStr">
        <is>
          <t>Heldstab, S. A., Kosonen, Z. K., Koski, S. E., Burkart, J. M., van Schaik, C. P., &amp; Isler, K. (2016). Manipulation complexity in primates coevolved with brain size and terrestriality. Sci Rep, 6, 24528. https://doi.org/10.1038/srep24528</t>
        </is>
      </c>
      <c r="B263" s="9"/>
      <c r="C263" s="9"/>
      <c r="D263" s="1" t="inlineStr">
        <is>
          <t>Table S1</t>
        </is>
      </c>
      <c r="E263" s="10" t="str">
        <f>SUBSTITUTE(SUBSTITUTE(_xlfn.TEXTBEFORE(A263,","), "-", ""), " ", "")</f>
        <v>Heldstab</v>
      </c>
      <c r="F263" s="10"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10" t="str">
        <f>_xlfn.TEXTBEFORE(_xlfn.TEXTAFTER(A263, "("), ")")</f>
        <v>2016</v>
      </c>
      <c r="H263" s="10" t="str">
        <f>E263 &amp; IF(F263&lt;&gt;"", "_" &amp; SUBSTITUTE(F263," ",""), "_") &amp; IF(G263&lt;&gt;"", "_" &amp; G263, "_") &amp; IF(B263&lt;&gt;"", "_" &amp; B263, "")</f>
        <v>Heldstab_etal_2016</v>
      </c>
      <c r="I263" s="10" t="str">
        <f>_xlfn.LET(
_xlpm.doi,IF(C263&lt;&gt;"",C263,_xlfn.TEXTAFTER(A263,"https://doi.org/")),
SUBSTITUTE(
SUBSTITUTE(
SUBSTITUTE(
SUBSTITUTE(
_xlpm.doi,
"/","%2F"),
":","%3A"),
"&lt;","%3C"),
"&gt;","%3E")
)</f>
        <v>10.1038%2Fsrep24528</v>
      </c>
      <c r="J263" s="10" t="str">
        <f>TRIM(_xlfn.TEXTJOIN("_",FALSE(),H263,(SUBSTITUTE(SUBSTITUTE(D263," ",""), "_", ""))))</f>
        <v>Heldstab_etal_2016_TableS1</v>
      </c>
      <c r="K263" s="10" t="str">
        <f>I263 &amp; "_" &amp; SUBSTITUTE(SUBSTITUTE(SUBSTITUTE(D263,CHAR(160),"")," ",""),"_","")</f>
        <v>10.1038%2Fsrep24528_TableS1</v>
      </c>
      <c r="L263" s="10" t="str">
        <f t="array" ref="L263">IFERROR(INDEX(AUTO_Public_TSV_FileList!$A$1:$A$1000,MATCH(TRUE(),EXACT(K263,IFERROR(_xlfn.TEXTBEFORE(AUTO_Public_TSV_FileList!$A$1:$A$1000,".tsv"),"")),0)),"notfound")</f>
        <v>10.1038%2Fsrep24528_TableS1.tsv</v>
      </c>
      <c r="M263" s="13"/>
      <c r="N263" s="1" t="inlineStr">
        <is>
          <t>table</t>
        </is>
      </c>
      <c r="O263" s="13"/>
      <c r="P263" s="13" t="inlineStr">
        <is>
          <t>FINISHED</t>
        </is>
      </c>
      <c r="Q263" s="13"/>
      <c r="R263" s="1" t="inlineStr">
        <is>
          <t>https://karger.com/bbe/article-pdf/86/3-4/145/2264694/000437413.pdf</t>
        </is>
      </c>
      <c r="S263" s="13"/>
      <c r="T263" s="13"/>
      <c r="U263" s="13"/>
      <c r="V263" s="1"/>
      <c r="W263" s="1" t="inlineStr">
        <is>
          <t>Primates</t>
        </is>
      </c>
      <c r="X263" s="1" t="inlineStr">
        <is>
          <t>manipulation complexity</t>
        </is>
      </c>
      <c r="Y263" s="13"/>
      <c r="Z263" s="13"/>
      <c r="AA263" s="13"/>
      <c r="AB263" s="1" t="inlineStr">
        <is>
          <t>behavioural (manipulation complexity)</t>
        </is>
      </c>
      <c r="AC263" s="13"/>
      <c r="AD263" s="13"/>
      <c r="AE263" s="1" t="inlineStr">
        <is>
          <t>secondary</t>
        </is>
      </c>
      <c r="AF263" s="1"/>
      <c r="AG263" s="13"/>
    </row>
    <row r="264" ht="17" customHeight="1">
      <c r="A264" s="9" t="inlineStr">
        <is>
          <t>Herculano-Houzel S, Collins CE, Wong P, Kaas JH (2007). Cellular scaling rules for primate brains. PNAS 104(9):3562-3567. https://doi.org/10.1073/pnas.0611396104</t>
        </is>
      </c>
      <c r="B264" s="28"/>
      <c r="C264" s="9"/>
      <c r="D264" s="9" t="inlineStr">
        <is>
          <t>Table 1</t>
        </is>
      </c>
      <c r="E264" s="10" t="str">
        <f>SUBSTITUTE(SUBSTITUTE(_xlfn.TEXTBEFORE(A264,","), "-", ""), " ", "")</f>
        <v>HerculanoHouzelS</v>
      </c>
      <c r="F264" s="10"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4" s="10" t="str">
        <f>_xlfn.TEXTBEFORE(_xlfn.TEXTAFTER(A264, "("), ")")</f>
        <v>2007</v>
      </c>
      <c r="H264" s="10" t="str">
        <f>E264 &amp; IF(F264&lt;&gt;"", "_" &amp; SUBSTITUTE(F264," ",""), "_") &amp; IF(G264&lt;&gt;"", "_" &amp; G264, "_") &amp; IF(B264&lt;&gt;"", "_" &amp; B264, "")</f>
        <v>HerculanoHouzelS__2007</v>
      </c>
      <c r="I264" s="10" t="str">
        <f>_xlfn.LET(
_xlpm.doi,IF(C264&lt;&gt;"",C264,_xlfn.TEXTAFTER(A264,"https://doi.org/")),
SUBSTITUTE(
SUBSTITUTE(
SUBSTITUTE(
SUBSTITUTE(
_xlpm.doi,
"/","%2F"),
":","%3A"),
"&lt;","%3C"),
"&gt;","%3E")
)</f>
        <v>10.1073%2Fpnas.0611396104</v>
      </c>
      <c r="J264" s="10" t="str">
        <f>TRIM(_xlfn.TEXTJOIN("_",FALSE(),H264,(SUBSTITUTE(SUBSTITUTE(D264," ",""), "_", ""))))</f>
        <v>HerculanoHouzelS__2007_Table1</v>
      </c>
      <c r="K264" s="10" t="str">
        <f>I264 &amp; "_" &amp; SUBSTITUTE(SUBSTITUTE(SUBSTITUTE(D264,CHAR(160),"")," ",""),"_","")</f>
        <v>10.1073%2Fpnas.0611396104_Table1</v>
      </c>
      <c r="L264" s="10" t="str">
        <f t="array" ref="L264">IFERROR(INDEX(AUTO_Public_TSV_FileList!$A$1:$A$1000,MATCH(TRUE(),EXACT(K264,IFERROR(_xlfn.TEXTBEFORE(AUTO_Public_TSV_FileList!$A$1:$A$1000,".tsv"),"")),0)),"notfound")</f>
        <v>notfound</v>
      </c>
      <c r="M264" s="9" t="inlineStr">
        <is>
          <t>Comparative cellular composition of the brain of the tree shrew and six primate species</t>
        </is>
      </c>
      <c r="N264" s="9" t="inlineStr">
        <is>
          <t>PDF (printed table, text layer scrambled)</t>
        </is>
      </c>
      <c r="O264" s="9" t="inlineStr">
        <is>
          <t>Isotropic fractionator; overlaps HerculanoHouzel_etal_2015_Table5 for 5 species (Saimiri non-neurons and Macaca differ). Cited by Lewitus 2014 ref 85.</t>
        </is>
      </c>
      <c r="P264" s="9" t="inlineStr">
        <is>
          <t>PREPARED (CSV built; owner registry paste / public TSV pending; RA side-by-side check pending)</t>
        </is>
      </c>
      <c r="Q264" s="9" t="inlineStr">
        <is>
          <t>HerculanoHouzel_etal_2007_Table1_snapshot.csv</t>
        </is>
      </c>
      <c r="R264" s="9" t="inlineStr">
        <is>
          <t>https://doi.org/10.1073/pnas.0611396104</t>
        </is>
      </c>
      <c r="S264" s="9"/>
      <c r="T264" s="9"/>
      <c r="U264" s="9"/>
      <c r="V264" s="9"/>
      <c r="W264" s="9" t="inlineStr">
        <is>
          <t>Tupaia, primates</t>
        </is>
      </c>
      <c r="X264" s="9" t="inlineStr">
        <is>
          <t>Cell counts</t>
        </is>
      </c>
      <c r="Y264" s="9" t="inlineStr">
        <is>
          <t>Brain mass; body mass</t>
        </is>
      </c>
      <c r="Z264" s="9" t="inlineStr">
        <is>
          <t>Brain (whole)</t>
        </is>
      </c>
      <c r="AA264" s="9" t="inlineStr">
        <is>
          <t>Isotropic fractionator</t>
        </is>
      </c>
      <c r="AB264" s="9" t="inlineStr">
        <is>
          <t>Mean (+/- SD)</t>
        </is>
      </c>
      <c r="AC264" s="9"/>
      <c r="AD264" s="9"/>
      <c r="AE264" s="9" t="inlineStr">
        <is>
          <t>primary</t>
        </is>
      </c>
      <c r="AF264" s="9"/>
      <c r="AG264" s="9"/>
    </row>
    <row r="265" ht="17" customHeight="1">
      <c r="A265" s="1" t="inlineStr">
        <is>
          <t>Herculano-Houzel, S. (2015). Decreasing sleep requirement with increasing numbers of neurons as a driver for bigger brains and bodies in mammalian evolution. Proc Biol Sci, 282(1816), 20151853. https://doi.org/10.1098/rspb.2015.1853</t>
        </is>
      </c>
      <c r="B265" s="9"/>
      <c r="C265" s="9"/>
      <c r="D265" s="1" t="inlineStr">
        <is>
          <t>Table 1</t>
        </is>
      </c>
      <c r="E265" s="10" t="str">
        <f>SUBSTITUTE(SUBSTITUTE(_xlfn.TEXTBEFORE(A265,","), "-", ""), " ", "")</f>
        <v>HerculanoHouzel</v>
      </c>
      <c r="F265" s="10"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5" s="10" t="str">
        <f>_xlfn.TEXTBEFORE(_xlfn.TEXTAFTER(A265, "("), ")")</f>
        <v>2015</v>
      </c>
      <c r="H265" s="10" t="str">
        <f>E265 &amp; IF(F265&lt;&gt;"", "_" &amp; SUBSTITUTE(F265," ",""), "_") &amp; IF(G265&lt;&gt;"", "_" &amp; G265, "_") &amp; IF(B265&lt;&gt;"", "_" &amp; B265, "")</f>
        <v>HerculanoHouzel__2015</v>
      </c>
      <c r="I265" s="10" t="str">
        <f>_xlfn.LET(
_xlpm.doi,IF(C265&lt;&gt;"",C265,_xlfn.TEXTAFTER(A265,"https://doi.org/")),
SUBSTITUTE(
SUBSTITUTE(
SUBSTITUTE(
SUBSTITUTE(
_xlpm.doi,
"/","%2F"),
":","%3A"),
"&lt;","%3C"),
"&gt;","%3E")
)</f>
        <v>10.1098%2Frspb.2015.1853</v>
      </c>
      <c r="J265" s="10" t="str">
        <f>TRIM(_xlfn.TEXTJOIN("_",FALSE(),H265,(SUBSTITUTE(SUBSTITUTE(D265," ",""), "_", ""))))</f>
        <v>HerculanoHouzel__2015_Table1</v>
      </c>
      <c r="K265" s="10" t="str">
        <f>I265 &amp; "_" &amp; SUBSTITUTE(SUBSTITUTE(SUBSTITUTE(D265,CHAR(160),"")," ",""),"_","")</f>
        <v>10.1098%2Frspb.2015.1853_Table1</v>
      </c>
      <c r="L265" s="10" t="str">
        <f t="array" ref="L265">IFERROR(INDEX(AUTO_Public_TSV_FileList!$A$1:$A$1000,MATCH(TRUE(),EXACT(K265,IFERROR(_xlfn.TEXTBEFORE(AUTO_Public_TSV_FileList!$A$1:$A$1000,".tsv"),"")),0)),"notfound")</f>
        <v>10.1098%2Frspb.2015.1853_Table1.tsv</v>
      </c>
      <c r="M265" s="13"/>
      <c r="N265" s="1" t="inlineStr">
        <is>
          <t>table</t>
        </is>
      </c>
      <c r="O265" s="13"/>
      <c r="P265" s="13" t="inlineStr">
        <is>
          <t>FINISHED</t>
        </is>
      </c>
      <c r="Q265" s="13"/>
      <c r="R265" s="13"/>
      <c r="S265" s="13"/>
      <c r="T265" s="13"/>
      <c r="U265" s="13"/>
      <c r="V265" s="13"/>
      <c r="W265" s="1" t="inlineStr">
        <is>
          <t>Mammals</t>
        </is>
      </c>
      <c r="X265" s="1" t="inlineStr">
        <is>
          <t>sleep time &amp; neuron density</t>
        </is>
      </c>
      <c r="Y265" s="13"/>
      <c r="Z265" s="13"/>
      <c r="AA265" s="13"/>
      <c r="AB265" s="1" t="inlineStr">
        <is>
          <t>sleep + neuron density</t>
        </is>
      </c>
      <c r="AC265" s="13"/>
      <c r="AD265" s="13"/>
      <c r="AE265" s="1" t="inlineStr">
        <is>
          <t>both</t>
        </is>
      </c>
      <c r="AF265" s="1"/>
      <c r="AG265" s="13"/>
    </row>
    <row r="266" ht="17" customHeight="1">
      <c r="A266" s="1" t="inlineStr">
        <is>
          <t>Herculano-Houzel, S. (2015). Decreasing sleep requirement with increasing numbers of neurons as a driver for bigger brains and bodies in mammalian evolution. Proc Biol Sci, 282(1816), 20151853. https://doi.org/10.1098/rspb.2015.1853</t>
        </is>
      </c>
      <c r="B266" s="9"/>
      <c r="C266" s="9"/>
      <c r="D266" s="1" t="inlineStr">
        <is>
          <t>Table 2</t>
        </is>
      </c>
      <c r="E266" s="10" t="str">
        <f>SUBSTITUTE(SUBSTITUTE(_xlfn.TEXTBEFORE(A266,","), "-", ""), " ", "")</f>
        <v>HerculanoHouzel</v>
      </c>
      <c r="F266" s="10"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6" s="10" t="str">
        <f>_xlfn.TEXTBEFORE(_xlfn.TEXTAFTER(A266, "("), ")")</f>
        <v>2015</v>
      </c>
      <c r="H266" s="10" t="str">
        <f>E266 &amp; IF(F266&lt;&gt;"", "_" &amp; SUBSTITUTE(F266," ",""), "_") &amp; IF(G266&lt;&gt;"", "_" &amp; G266, "_") &amp; IF(B266&lt;&gt;"", "_" &amp; B266, "")</f>
        <v>HerculanoHouzel__2015</v>
      </c>
      <c r="I266" s="10" t="str">
        <f>_xlfn.LET(
_xlpm.doi,IF(C266&lt;&gt;"",C266,_xlfn.TEXTAFTER(A266,"https://doi.org/")),
SUBSTITUTE(
SUBSTITUTE(
SUBSTITUTE(
SUBSTITUTE(
_xlpm.doi,
"/","%2F"),
":","%3A"),
"&lt;","%3C"),
"&gt;","%3E")
)</f>
        <v>10.1098%2Frspb.2015.1853</v>
      </c>
      <c r="J266" s="10" t="str">
        <f>TRIM(_xlfn.TEXTJOIN("_",FALSE(),H266,(SUBSTITUTE(SUBSTITUTE(D266," ",""), "_", ""))))</f>
        <v>HerculanoHouzel__2015_Table2</v>
      </c>
      <c r="K266" s="10" t="str">
        <f>I266 &amp; "_" &amp; SUBSTITUTE(SUBSTITUTE(SUBSTITUTE(D266,CHAR(160),"")," ",""),"_","")</f>
        <v>10.1098%2Frspb.2015.1853_Table2</v>
      </c>
      <c r="L266" s="10" t="str">
        <f t="array" ref="L266">IFERROR(INDEX(AUTO_Public_TSV_FileList!$A$1:$A$1000,MATCH(TRUE(),EXACT(K266,IFERROR(_xlfn.TEXTBEFORE(AUTO_Public_TSV_FileList!$A$1:$A$1000,".tsv"),"")),0)),"notfound")</f>
        <v>10.1098%2Frspb.2015.1853_Table2.tsv</v>
      </c>
      <c r="M266" s="1" t="inlineStr">
        <is>
          <t>Table 2. Dataset on the ontogeny of sleep and cellular composition of the rat brain used in this study.</t>
        </is>
      </c>
      <c r="N266" s="1" t="inlineStr">
        <is>
          <t>table</t>
        </is>
      </c>
      <c r="O266" s="1"/>
      <c r="P266" s="13" t="inlineStr">
        <is>
          <t>FINISHED</t>
        </is>
      </c>
      <c r="Q266" s="13"/>
      <c r="R266" s="13"/>
      <c r="S266" s="13"/>
      <c r="T266" s="13"/>
      <c r="U266" s="13"/>
      <c r="V266" s="13"/>
      <c r="W266" s="1" t="inlineStr">
        <is>
          <t>Mammals</t>
        </is>
      </c>
      <c r="X266" s="1" t="inlineStr">
        <is>
          <t>Per cent of hours asleep and brain size and composition</t>
        </is>
      </c>
      <c r="Y266" s="13"/>
      <c r="Z266" s="13"/>
      <c r="AA266" s="13"/>
      <c r="AB266" s="1" t="inlineStr">
        <is>
          <t>sleep (per cent hours asleep)</t>
        </is>
      </c>
      <c r="AC266" s="13"/>
      <c r="AD266" s="13"/>
      <c r="AE266" s="1" t="inlineStr">
        <is>
          <t>both</t>
        </is>
      </c>
      <c r="AF266" s="1"/>
      <c r="AG266" s="13"/>
    </row>
    <row r="267" ht="17" customHeight="1">
      <c r="A267"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67" s="9"/>
      <c r="C267" s="9"/>
      <c r="D267" s="1" t="inlineStr">
        <is>
          <t>Table 1</t>
        </is>
      </c>
      <c r="E267" s="10" t="str">
        <f>SUBSTITUTE(SUBSTITUTE(_xlfn.TEXTBEFORE(A267,","), "-", ""), " ", "")</f>
        <v>HerculanoHouzel</v>
      </c>
      <c r="F267" s="10"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10" t="str">
        <f>_xlfn.TEXTBEFORE(_xlfn.TEXTAFTER(A267, "("), ")")</f>
        <v>2015</v>
      </c>
      <c r="H267" s="10" t="str">
        <f>E267 &amp; IF(F267&lt;&gt;"", "_" &amp; SUBSTITUTE(F267," ",""), "_") &amp; IF(G267&lt;&gt;"", "_" &amp; G267, "_") &amp; IF(B267&lt;&gt;"", "_" &amp; B267, "")</f>
        <v>HerculanoHouzel_etal_2015</v>
      </c>
      <c r="I267" s="10" t="str">
        <f>_xlfn.LET(
_xlpm.doi,IF(C267&lt;&gt;"",C267,_xlfn.TEXTAFTER(A267,"https://doi.org/")),
SUBSTITUTE(
SUBSTITUTE(
SUBSTITUTE(
SUBSTITUTE(
_xlpm.doi,
"/","%2F"),
":","%3A"),
"&lt;","%3C"),
"&gt;","%3E")
)</f>
        <v>10.1159%2F000437413</v>
      </c>
      <c r="J267" s="10" t="str">
        <f>TRIM(_xlfn.TEXTJOIN("_",FALSE(),H267,(SUBSTITUTE(SUBSTITUTE(D267," ",""), "_", ""))))</f>
        <v>HerculanoHouzel_etal_2015_Table1</v>
      </c>
      <c r="K267" s="10" t="str">
        <f>I267 &amp; "_" &amp; SUBSTITUTE(SUBSTITUTE(SUBSTITUTE(D267,CHAR(160),"")," ",""),"_","")</f>
        <v>10.1159%2F000437413_Table1</v>
      </c>
      <c r="L267" s="10" t="str">
        <f t="array" ref="L267">IFERROR(INDEX(AUTO_Public_TSV_FileList!$A$1:$A$1000,MATCH(TRUE(),EXACT(K267,IFERROR(_xlfn.TEXTBEFORE(AUTO_Public_TSV_FileList!$A$1:$A$1000,".tsv"),"")),0)),"notfound")</f>
        <v>10.1159%2F000437413_Table1.tsv</v>
      </c>
      <c r="M267" s="1" t="inlineStr">
        <is>
          <t>Table 1. Cerebral cortex</t>
        </is>
      </c>
      <c r="N267" s="1" t="inlineStr">
        <is>
          <t>table</t>
        </is>
      </c>
      <c r="O267" s="1"/>
      <c r="P267" s="1" t="inlineStr">
        <is>
          <t>FINISHED</t>
        </is>
      </c>
      <c r="Q267" s="1"/>
      <c r="R267" s="1" t="inlineStr">
        <is>
          <t>https://karger.com/bbe/article-pdf/86/3-4/145/2264694/000437413.pdf</t>
        </is>
      </c>
      <c r="S267" s="1" t="inlineStr">
        <is>
          <t>formatting-fix: ' + ' shown for ' ± ' (Rattus norvegicus, col N,n) corrected in .R script.</t>
        </is>
      </c>
      <c r="T267" s="13"/>
      <c r="U267" s="13"/>
      <c r="V267" s="13"/>
      <c r="W267" s="1" t="inlineStr">
        <is>
          <t>placental mammals</t>
        </is>
      </c>
      <c r="X267" s="1" t="inlineStr">
        <is>
          <t>Cell numbers, region size</t>
        </is>
      </c>
      <c r="Y267" s="13"/>
      <c r="Z267" s="13"/>
      <c r="AA267" s="1" t="inlineStr">
        <is>
          <t>isotropic fractionator</t>
        </is>
      </c>
      <c r="AB267" s="1" t="inlineStr">
        <is>
          <t>cell count</t>
        </is>
      </c>
      <c r="AC267" s="1" t="inlineStr">
        <is>
          <t>HH</t>
        </is>
      </c>
      <c r="AD267" s="1" t="inlineStr">
        <is>
          <t>HH</t>
        </is>
      </c>
      <c r="AE267" s="1" t="inlineStr">
        <is>
          <t>primary</t>
        </is>
      </c>
      <c r="AF267" s="1"/>
      <c r="AG267" s="13"/>
    </row>
    <row r="268" ht="17" customHeight="1">
      <c r="A268"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68" s="9"/>
      <c r="C268" s="9"/>
      <c r="D268" s="1" t="inlineStr">
        <is>
          <t>Table 2</t>
        </is>
      </c>
      <c r="E268" s="10" t="str">
        <f>SUBSTITUTE(SUBSTITUTE(_xlfn.TEXTBEFORE(A268,","), "-", ""), " ", "")</f>
        <v>HerculanoHouzel</v>
      </c>
      <c r="F268" s="10"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10" t="str">
        <f>_xlfn.TEXTBEFORE(_xlfn.TEXTAFTER(A268, "("), ")")</f>
        <v>2015</v>
      </c>
      <c r="H268" s="10" t="str">
        <f>E268 &amp; IF(F268&lt;&gt;"", "_" &amp; SUBSTITUTE(F268," ",""), "_") &amp; IF(G268&lt;&gt;"", "_" &amp; G268, "_") &amp; IF(B268&lt;&gt;"", "_" &amp; B268, "")</f>
        <v>HerculanoHouzel_etal_2015</v>
      </c>
      <c r="I268" s="10" t="str">
        <f>_xlfn.LET(
_xlpm.doi,IF(C268&lt;&gt;"",C268,_xlfn.TEXTAFTER(A268,"https://doi.org/")),
SUBSTITUTE(
SUBSTITUTE(
SUBSTITUTE(
SUBSTITUTE(
_xlpm.doi,
"/","%2F"),
":","%3A"),
"&lt;","%3C"),
"&gt;","%3E")
)</f>
        <v>10.1159%2F000437413</v>
      </c>
      <c r="J268" s="10" t="str">
        <f>TRIM(_xlfn.TEXTJOIN("_",FALSE(),H268,(SUBSTITUTE(SUBSTITUTE(D268," ",""), "_", ""))))</f>
        <v>HerculanoHouzel_etal_2015_Table2</v>
      </c>
      <c r="K268" s="10" t="str">
        <f>I268 &amp; "_" &amp; SUBSTITUTE(SUBSTITUTE(SUBSTITUTE(D268,CHAR(160),"")," ",""),"_","")</f>
        <v>10.1159%2F000437413_Table2</v>
      </c>
      <c r="L268" s="10" t="str">
        <f t="array" ref="L268">IFERROR(INDEX(AUTO_Public_TSV_FileList!$A$1:$A$1000,MATCH(TRUE(),EXACT(K268,IFERROR(_xlfn.TEXTBEFORE(AUTO_Public_TSV_FileList!$A$1:$A$1000,".tsv"),"")),0)),"notfound")</f>
        <v>10.1159%2F000437413_Table2.tsv</v>
      </c>
      <c r="M268" s="1" t="inlineStr">
        <is>
          <t>Table 2. Cerebellum</t>
        </is>
      </c>
      <c r="N268" s="1" t="inlineStr">
        <is>
          <t>table</t>
        </is>
      </c>
      <c r="O268" s="1"/>
      <c r="P268" s="1" t="inlineStr">
        <is>
          <t>FINISHED</t>
        </is>
      </c>
      <c r="Q268" s="1"/>
      <c r="R268" s="1" t="inlineStr">
        <is>
          <t>https://karger.com/bbe/article-pdf/86/3-4/145/2264694/000437413.pdf</t>
        </is>
      </c>
      <c r="S268" s="13"/>
      <c r="T268" s="13"/>
      <c r="U268" s="13"/>
      <c r="V268" s="13"/>
      <c r="W268" s="1" t="inlineStr">
        <is>
          <t>placental mammals</t>
        </is>
      </c>
      <c r="X268" s="1" t="inlineStr">
        <is>
          <t>Cell numbers, region size</t>
        </is>
      </c>
      <c r="Y268" s="13"/>
      <c r="Z268" s="13"/>
      <c r="AA268" s="1" t="inlineStr">
        <is>
          <t>isotropic fractionator</t>
        </is>
      </c>
      <c r="AB268" s="1" t="inlineStr">
        <is>
          <t>cell count</t>
        </is>
      </c>
      <c r="AC268" s="1" t="inlineStr">
        <is>
          <t>HH</t>
        </is>
      </c>
      <c r="AD268" s="1" t="inlineStr">
        <is>
          <t>HH</t>
        </is>
      </c>
      <c r="AE268" s="1" t="inlineStr">
        <is>
          <t>primary</t>
        </is>
      </c>
      <c r="AF268" s="1"/>
      <c r="AG268" s="13"/>
    </row>
    <row r="269" ht="17" customHeight="1">
      <c r="A269"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69" s="9"/>
      <c r="C269" s="9"/>
      <c r="D269" s="1" t="inlineStr">
        <is>
          <t>Table 3</t>
        </is>
      </c>
      <c r="E269" s="10" t="str">
        <f>SUBSTITUTE(SUBSTITUTE(_xlfn.TEXTBEFORE(A269,","), "-", ""), " ", "")</f>
        <v>HerculanoHouzel</v>
      </c>
      <c r="F269" s="10"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10" t="str">
        <f>_xlfn.TEXTBEFORE(_xlfn.TEXTAFTER(A269, "("), ")")</f>
        <v>2015</v>
      </c>
      <c r="H269" s="10" t="str">
        <f>E269 &amp; IF(F269&lt;&gt;"", "_" &amp; SUBSTITUTE(F269," ",""), "_") &amp; IF(G269&lt;&gt;"", "_" &amp; G269, "_") &amp; IF(B269&lt;&gt;"", "_" &amp; B269, "")</f>
        <v>HerculanoHouzel_etal_2015</v>
      </c>
      <c r="I269" s="10" t="str">
        <f>_xlfn.LET(
_xlpm.doi,IF(C269&lt;&gt;"",C269,_xlfn.TEXTAFTER(A269,"https://doi.org/")),
SUBSTITUTE(
SUBSTITUTE(
SUBSTITUTE(
SUBSTITUTE(
_xlpm.doi,
"/","%2F"),
":","%3A"),
"&lt;","%3C"),
"&gt;","%3E")
)</f>
        <v>10.1159%2F000437413</v>
      </c>
      <c r="J269" s="10" t="str">
        <f>TRIM(_xlfn.TEXTJOIN("_",FALSE(),H269,(SUBSTITUTE(SUBSTITUTE(D269," ",""), "_", ""))))</f>
        <v>HerculanoHouzel_etal_2015_Table3</v>
      </c>
      <c r="K269" s="10" t="str">
        <f>I269 &amp; "_" &amp; SUBSTITUTE(SUBSTITUTE(SUBSTITUTE(D269,CHAR(160),"")," ",""),"_","")</f>
        <v>10.1159%2F000437413_Table3</v>
      </c>
      <c r="L269" s="10" t="str">
        <f t="array" ref="L269">IFERROR(INDEX(AUTO_Public_TSV_FileList!$A$1:$A$1000,MATCH(TRUE(),EXACT(K269,IFERROR(_xlfn.TEXTBEFORE(AUTO_Public_TSV_FileList!$A$1:$A$1000,".tsv"),"")),0)),"notfound")</f>
        <v>10.1159%2F000437413_Table3.tsv</v>
      </c>
      <c r="M269" s="1" t="inlineStr">
        <is>
          <t>Table 3. RoB</t>
        </is>
      </c>
      <c r="N269" s="1" t="inlineStr">
        <is>
          <t>table</t>
        </is>
      </c>
      <c r="O269" s="1"/>
      <c r="P269" s="1" t="inlineStr">
        <is>
          <t>FINISHED</t>
        </is>
      </c>
      <c r="Q269" s="1"/>
      <c r="R269" s="1" t="inlineStr">
        <is>
          <t>https://karger.com/bbe/article-pdf/86/3-4/145/2264694/000437413.pdf</t>
        </is>
      </c>
      <c r="S269" s="13"/>
      <c r="T269" s="13"/>
      <c r="U269" s="13"/>
      <c r="V269" s="13"/>
      <c r="W269" s="1" t="inlineStr">
        <is>
          <t>placental mammals</t>
        </is>
      </c>
      <c r="X269" s="1" t="inlineStr">
        <is>
          <t>Cell numbers, region size</t>
        </is>
      </c>
      <c r="Y269" s="13"/>
      <c r="Z269" s="13"/>
      <c r="AA269" s="1" t="inlineStr">
        <is>
          <t>isotropic fractionator</t>
        </is>
      </c>
      <c r="AB269" s="1" t="inlineStr">
        <is>
          <t>cell count</t>
        </is>
      </c>
      <c r="AC269" s="1" t="inlineStr">
        <is>
          <t>HH</t>
        </is>
      </c>
      <c r="AD269" s="1" t="inlineStr">
        <is>
          <t>HH</t>
        </is>
      </c>
      <c r="AE269" s="1" t="inlineStr">
        <is>
          <t>primary</t>
        </is>
      </c>
      <c r="AF269" s="1"/>
      <c r="AG269" s="13"/>
    </row>
    <row r="270" ht="17" customHeight="1">
      <c r="A270"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70" s="9"/>
      <c r="C270" s="9"/>
      <c r="D270" s="1" t="inlineStr">
        <is>
          <t>Table 4</t>
        </is>
      </c>
      <c r="E270" s="10" t="str">
        <f>SUBSTITUTE(SUBSTITUTE(_xlfn.TEXTBEFORE(A270,","), "-", ""), " ", "")</f>
        <v>HerculanoHouzel</v>
      </c>
      <c r="F270" s="10"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10" t="str">
        <f>_xlfn.TEXTBEFORE(_xlfn.TEXTAFTER(A270, "("), ")")</f>
        <v>2015</v>
      </c>
      <c r="H270" s="10" t="str">
        <f>E270 &amp; IF(F270&lt;&gt;"", "_" &amp; SUBSTITUTE(F270," ",""), "_") &amp; IF(G270&lt;&gt;"", "_" &amp; G270, "_") &amp; IF(B270&lt;&gt;"", "_" &amp; B270, "")</f>
        <v>HerculanoHouzel_etal_2015</v>
      </c>
      <c r="I270" s="10" t="str">
        <f>_xlfn.LET(
_xlpm.doi,IF(C270&lt;&gt;"",C270,_xlfn.TEXTAFTER(A270,"https://doi.org/")),
SUBSTITUTE(
SUBSTITUTE(
SUBSTITUTE(
SUBSTITUTE(
_xlpm.doi,
"/","%2F"),
":","%3A"),
"&lt;","%3C"),
"&gt;","%3E")
)</f>
        <v>10.1159%2F000437413</v>
      </c>
      <c r="J270" s="10" t="str">
        <f>TRIM(_xlfn.TEXTJOIN("_",FALSE(),H270,(SUBSTITUTE(SUBSTITUTE(D270," ",""), "_", ""))))</f>
        <v>HerculanoHouzel_etal_2015_Table4</v>
      </c>
      <c r="K270" s="10" t="str">
        <f>I270 &amp; "_" &amp; SUBSTITUTE(SUBSTITUTE(SUBSTITUTE(D270,CHAR(160),"")," ",""),"_","")</f>
        <v>10.1159%2F000437413_Table4</v>
      </c>
      <c r="L270" s="10" t="str">
        <f t="array" ref="L270">IFERROR(INDEX(AUTO_Public_TSV_FileList!$A$1:$A$1000,MATCH(TRUE(),EXACT(K270,IFERROR(_xlfn.TEXTBEFORE(AUTO_Public_TSV_FileList!$A$1:$A$1000,".tsv"),"")),0)),"notfound")</f>
        <v>10.1159%2F000437413_Table4.tsv</v>
      </c>
      <c r="M270" s="1" t="inlineStr">
        <is>
          <t>Table 4. Olfactory bulb</t>
        </is>
      </c>
      <c r="N270" s="1" t="inlineStr">
        <is>
          <t>table</t>
        </is>
      </c>
      <c r="O270" s="1"/>
      <c r="P270" s="1" t="inlineStr">
        <is>
          <t>FINISHED</t>
        </is>
      </c>
      <c r="Q270" s="1"/>
      <c r="R270" s="1" t="inlineStr">
        <is>
          <t>https://karger.com/bbe/article-pdf/86/3-4/145/2264694/000437413.pdf</t>
        </is>
      </c>
      <c r="S270" s="13"/>
      <c r="T270" s="13"/>
      <c r="U270" s="13"/>
      <c r="V270" s="13"/>
      <c r="W270" s="1" t="inlineStr">
        <is>
          <t>placental mammals</t>
        </is>
      </c>
      <c r="X270" s="1" t="inlineStr">
        <is>
          <t>Cell numbers, region size</t>
        </is>
      </c>
      <c r="Y270" s="13"/>
      <c r="Z270" s="13"/>
      <c r="AA270" s="1" t="inlineStr">
        <is>
          <t>isotropic fractionator</t>
        </is>
      </c>
      <c r="AB270" s="1" t="inlineStr">
        <is>
          <t>cell count</t>
        </is>
      </c>
      <c r="AC270" s="1" t="inlineStr">
        <is>
          <t>HH</t>
        </is>
      </c>
      <c r="AD270" s="1" t="inlineStr">
        <is>
          <t>HH</t>
        </is>
      </c>
      <c r="AE270" s="1" t="inlineStr">
        <is>
          <t>primary</t>
        </is>
      </c>
      <c r="AF270" s="1"/>
      <c r="AG270" s="13"/>
    </row>
    <row r="271" ht="17" customHeight="1">
      <c r="A271" s="1"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B271" s="9"/>
      <c r="C271" s="9"/>
      <c r="D271" s="1" t="inlineStr">
        <is>
          <t>Table 5</t>
        </is>
      </c>
      <c r="E271" s="10" t="str">
        <f>SUBSTITUTE(SUBSTITUTE(_xlfn.TEXTBEFORE(A271,","), "-", ""), " ", "")</f>
        <v>HerculanoHouzel</v>
      </c>
      <c r="F271" s="10"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10" t="str">
        <f>_xlfn.TEXTBEFORE(_xlfn.TEXTAFTER(A271, "("), ")")</f>
        <v>2015</v>
      </c>
      <c r="H271" s="10" t="str">
        <f>E271 &amp; IF(F271&lt;&gt;"", "_" &amp; SUBSTITUTE(F271," ",""), "_") &amp; IF(G271&lt;&gt;"", "_" &amp; G271, "_") &amp; IF(B271&lt;&gt;"", "_" &amp; B271, "")</f>
        <v>HerculanoHouzel_etal_2015</v>
      </c>
      <c r="I271" s="10" t="str">
        <f>_xlfn.LET(
_xlpm.doi,IF(C271&lt;&gt;"",C271,_xlfn.TEXTAFTER(A271,"https://doi.org/")),
SUBSTITUTE(
SUBSTITUTE(
SUBSTITUTE(
SUBSTITUTE(
_xlpm.doi,
"/","%2F"),
":","%3A"),
"&lt;","%3C"),
"&gt;","%3E")
)</f>
        <v>10.1159%2F000437413</v>
      </c>
      <c r="J271" s="10" t="str">
        <f>TRIM(_xlfn.TEXTJOIN("_",FALSE(),H271,(SUBSTITUTE(SUBSTITUTE(D271," ",""), "_", ""))))</f>
        <v>HerculanoHouzel_etal_2015_Table5</v>
      </c>
      <c r="K271" s="10" t="str">
        <f>I271 &amp; "_" &amp; SUBSTITUTE(SUBSTITUTE(SUBSTITUTE(D271,CHAR(160),"")," ",""),"_","")</f>
        <v>10.1159%2F000437413_Table5</v>
      </c>
      <c r="L271" s="10" t="str">
        <f t="array" ref="L271">IFERROR(INDEX(AUTO_Public_TSV_FileList!$A$1:$A$1000,MATCH(TRUE(),EXACT(K271,IFERROR(_xlfn.TEXTBEFORE(AUTO_Public_TSV_FileList!$A$1:$A$1000,".tsv"),"")),0)),"notfound")</f>
        <v>10.1159%2F000437413_Table5.tsv</v>
      </c>
      <c r="M271" s="1" t="inlineStr">
        <is>
          <t>Table 5. Whole brain</t>
        </is>
      </c>
      <c r="N271" s="1" t="inlineStr">
        <is>
          <t>table</t>
        </is>
      </c>
      <c r="O271" s="1"/>
      <c r="P271" s="1" t="inlineStr">
        <is>
          <t>FINISHED</t>
        </is>
      </c>
      <c r="Q271" s="1"/>
      <c r="R271" s="1" t="inlineStr">
        <is>
          <t>https://karger.com/bbe/article-pdf/86/3-4/145/2264694/000437413.pdf</t>
        </is>
      </c>
      <c r="S271" s="13"/>
      <c r="T271" s="13"/>
      <c r="U271" s="13"/>
      <c r="V271" s="13"/>
      <c r="W271" s="1" t="inlineStr">
        <is>
          <t>placental mammals</t>
        </is>
      </c>
      <c r="X271" s="1" t="inlineStr">
        <is>
          <t>Cell numbers, region size</t>
        </is>
      </c>
      <c r="Y271" s="13"/>
      <c r="Z271" s="13"/>
      <c r="AA271" s="1" t="inlineStr">
        <is>
          <t>isotropic fractionator</t>
        </is>
      </c>
      <c r="AB271" s="1" t="inlineStr">
        <is>
          <t>cell count</t>
        </is>
      </c>
      <c r="AC271" s="1" t="inlineStr">
        <is>
          <t>HH</t>
        </is>
      </c>
      <c r="AD271" s="1" t="inlineStr">
        <is>
          <t>HH</t>
        </is>
      </c>
      <c r="AE271" s="1" t="inlineStr">
        <is>
          <t>primary</t>
        </is>
      </c>
      <c r="AF271" s="1"/>
      <c r="AG271" s="13"/>
    </row>
    <row r="272" ht="17" customHeight="1">
      <c r="A272" s="1" t="inlineStr">
        <is>
          <t>Herculano-Houzel, S., da Cunha, F. B., Reed, J. L., Kaswera-Kyamakya, C., Gillissen, E., &amp; Manger, P. R. (2020). Microchiropterans have a diminutive cerebral cortex, not an enlarged cerebellum, compared to megachiropterans and other mammals. J Comp Neurol, 528(17), 2978-2993. https://doi.org/10.1002/cne.24985</t>
        </is>
      </c>
      <c r="B272" s="9"/>
      <c r="C272" s="9"/>
      <c r="D272" s="1" t="inlineStr">
        <is>
          <t>TABLE 1</t>
        </is>
      </c>
      <c r="E272" s="10" t="str">
        <f>SUBSTITUTE(SUBSTITUTE(_xlfn.TEXTBEFORE(A272,","), "-", ""), " ", "")</f>
        <v>HerculanoHouzel</v>
      </c>
      <c r="F272" s="10"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10" t="str">
        <f>_xlfn.TEXTBEFORE(_xlfn.TEXTAFTER(A272, "("), ")")</f>
        <v>2020</v>
      </c>
      <c r="H272" s="10" t="str">
        <f>E272 &amp; IF(F272&lt;&gt;"", "_" &amp; SUBSTITUTE(F272," ",""), "_") &amp; IF(G272&lt;&gt;"", "_" &amp; G272, "_") &amp; IF(B272&lt;&gt;"", "_" &amp; B272, "")</f>
        <v>HerculanoHouzel_etal_2020</v>
      </c>
      <c r="I272" s="10" t="str">
        <f>_xlfn.LET(
_xlpm.doi,IF(C272&lt;&gt;"",C272,_xlfn.TEXTAFTER(A272,"https://doi.org/")),
SUBSTITUTE(
SUBSTITUTE(
SUBSTITUTE(
SUBSTITUTE(
_xlpm.doi,
"/","%2F"),
":","%3A"),
"&lt;","%3C"),
"&gt;","%3E")
)</f>
        <v>10.1002%2Fcne.24985</v>
      </c>
      <c r="J272" s="10" t="str">
        <f>TRIM(_xlfn.TEXTJOIN("_",FALSE(),H272,(SUBSTITUTE(SUBSTITUTE(D272," ",""), "_", ""))))</f>
        <v>HerculanoHouzel_etal_2020_TABLE1</v>
      </c>
      <c r="K272" s="10" t="str">
        <f>I272 &amp; "_" &amp; SUBSTITUTE(SUBSTITUTE(SUBSTITUTE(D272,CHAR(160),"")," ",""),"_","")</f>
        <v>10.1002%2Fcne.24985_TABLE1</v>
      </c>
      <c r="L272" s="10" t="str">
        <f t="array" ref="L272">IFERROR(INDEX(AUTO_Public_TSV_FileList!$A$1:$A$1000,MATCH(TRUE(),EXACT(K272,IFERROR(_xlfn.TEXTBEFORE(AUTO_Public_TSV_FileList!$A$1:$A$1000,".tsv"),"")),0)),"notfound")</f>
        <v>10.1002%2Fcne.24985_TABLE1.tsv</v>
      </c>
      <c r="M272" s="1" t="inlineStr">
        <is>
          <t>TABLE 1 Dataset</t>
        </is>
      </c>
      <c r="N272" s="1" t="inlineStr">
        <is>
          <t>table</t>
        </is>
      </c>
      <c r="O272" s="1"/>
      <c r="P272" s="1" t="inlineStr">
        <is>
          <t>FINISHED</t>
        </is>
      </c>
      <c r="Q272" s="1"/>
      <c r="R272" s="1" t="inlineStr">
        <is>
          <t>https://doi.org/10.1002/cne.24985</t>
        </is>
      </c>
      <c r="S272" s="1" t="inlineStr">
        <is>
          <t>species-name-error: species-name typo corrected from paper text (in .R script).</t>
        </is>
      </c>
      <c r="T272" s="13"/>
      <c r="U272" s="13"/>
      <c r="V272" s="13"/>
      <c r="W272" s="1" t="inlineStr">
        <is>
          <t>Bats</t>
        </is>
      </c>
      <c r="X272" s="1" t="inlineStr">
        <is>
          <t>region size</t>
        </is>
      </c>
      <c r="Y272" s="13"/>
      <c r="Z272" s="13"/>
      <c r="AA272" s="1" t="inlineStr">
        <is>
          <t>isotropic fractionator</t>
        </is>
      </c>
      <c r="AB272" s="1" t="inlineStr">
        <is>
          <t>volume (region size)</t>
        </is>
      </c>
      <c r="AC272" s="1" t="inlineStr">
        <is>
          <t>HH</t>
        </is>
      </c>
      <c r="AD272" s="1" t="inlineStr">
        <is>
          <t>HH</t>
        </is>
      </c>
      <c r="AE272" s="1" t="inlineStr">
        <is>
          <t>primary</t>
        </is>
      </c>
      <c r="AF272" s="1"/>
      <c r="AG272" s="13"/>
    </row>
    <row r="273" ht="17" customHeight="1">
      <c r="A273" s="1" t="inlineStr">
        <is>
          <t>Herculano-Houzel, S., da Cunha, F. B., Reed, J. L., Kaswera-Kyamakya, C., Gillissen, E., &amp; Manger, P. R. (2020). Microchiropterans have a diminutive cerebral cortex, not an enlarged cerebellum, compared to megachiropterans and other mammals. J Comp Neurol, 528(17), 2978-2993. https://doi.org/10.1002/cne.24985</t>
        </is>
      </c>
      <c r="B273" s="9"/>
      <c r="C273" s="9"/>
      <c r="D273" s="1" t="inlineStr">
        <is>
          <t>TABLE 2</t>
        </is>
      </c>
      <c r="E273" s="10" t="str">
        <f>SUBSTITUTE(SUBSTITUTE(_xlfn.TEXTBEFORE(A273,","), "-", ""), " ", "")</f>
        <v>HerculanoHouzel</v>
      </c>
      <c r="F273" s="10"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10" t="str">
        <f>_xlfn.TEXTBEFORE(_xlfn.TEXTAFTER(A273, "("), ")")</f>
        <v>2020</v>
      </c>
      <c r="H273" s="10" t="str">
        <f>E273 &amp; IF(F273&lt;&gt;"", "_" &amp; SUBSTITUTE(F273," ",""), "_") &amp; IF(G273&lt;&gt;"", "_" &amp; G273, "_") &amp; IF(B273&lt;&gt;"", "_" &amp; B273, "")</f>
        <v>HerculanoHouzel_etal_2020</v>
      </c>
      <c r="I273" s="10" t="str">
        <f>_xlfn.LET(
_xlpm.doi,IF(C273&lt;&gt;"",C273,_xlfn.TEXTAFTER(A273,"https://doi.org/")),
SUBSTITUTE(
SUBSTITUTE(
SUBSTITUTE(
SUBSTITUTE(
_xlpm.doi,
"/","%2F"),
":","%3A"),
"&lt;","%3C"),
"&gt;","%3E")
)</f>
        <v>10.1002%2Fcne.24985</v>
      </c>
      <c r="J273" s="10" t="str">
        <f>TRIM(_xlfn.TEXTJOIN("_",FALSE(),H273,(SUBSTITUTE(SUBSTITUTE(D273," ",""), "_", ""))))</f>
        <v>HerculanoHouzel_etal_2020_TABLE2</v>
      </c>
      <c r="K273" s="10" t="str">
        <f>I273 &amp; "_" &amp; SUBSTITUTE(SUBSTITUTE(SUBSTITUTE(D273,CHAR(160),"")," ",""),"_","")</f>
        <v>10.1002%2Fcne.24985_TABLE2</v>
      </c>
      <c r="L273" s="10" t="str">
        <f t="array" ref="L273">IFERROR(INDEX(AUTO_Public_TSV_FileList!$A$1:$A$1000,MATCH(TRUE(),EXACT(K273,IFERROR(_xlfn.TEXTBEFORE(AUTO_Public_TSV_FileList!$A$1:$A$1000,".tsv"),"")),0)),"notfound")</f>
        <v>10.1002%2Fcne.24985_TABLE2.tsv</v>
      </c>
      <c r="M273" s="1" t="inlineStr">
        <is>
          <t>TABLE 2 Numbers of neurons and neuronal density (neurons/mg)</t>
        </is>
      </c>
      <c r="N273" s="1" t="inlineStr">
        <is>
          <t>table</t>
        </is>
      </c>
      <c r="O273" s="1"/>
      <c r="P273" s="1" t="inlineStr">
        <is>
          <t>FINISHED</t>
        </is>
      </c>
      <c r="Q273" s="1"/>
      <c r="R273" s="1" t="inlineStr">
        <is>
          <t>https://doi.org/10.1002/cne.24985</t>
        </is>
      </c>
      <c r="S273" s="1" t="inlineStr">
        <is>
          <t>species-name-error: species-name typo corrected from paper text (in .R script).</t>
        </is>
      </c>
      <c r="T273" s="13"/>
      <c r="U273" s="13"/>
      <c r="V273" s="13"/>
      <c r="W273" s="1" t="inlineStr">
        <is>
          <t>Bats</t>
        </is>
      </c>
      <c r="X273" s="1" t="inlineStr">
        <is>
          <t>cell numbers</t>
        </is>
      </c>
      <c r="Y273" s="13"/>
      <c r="Z273" s="13"/>
      <c r="AA273" s="1" t="inlineStr">
        <is>
          <t>isotropic fractionator</t>
        </is>
      </c>
      <c r="AB273" s="1" t="inlineStr">
        <is>
          <t>cell count</t>
        </is>
      </c>
      <c r="AC273" s="1" t="inlineStr">
        <is>
          <t>HH</t>
        </is>
      </c>
      <c r="AD273" s="1" t="inlineStr">
        <is>
          <t>HH</t>
        </is>
      </c>
      <c r="AE273" s="1" t="inlineStr">
        <is>
          <t>primary</t>
        </is>
      </c>
      <c r="AF273" s="1"/>
      <c r="AG273" s="13"/>
    </row>
    <row r="274" ht="17" customHeight="1">
      <c r="A274" s="13" t="inlineStr">
        <is>
          <t>Herculano-Houzel, S., Kaas, J. H., &amp; de Oliveira-Souza, R. (2016). Corticalization of motor control in humans is a consequence of brain scaling in primate evolution. Journal of Comparative Neurology, 524(3), 448-455. https://doi.org/10.1002/cne.23792</t>
        </is>
      </c>
      <c r="B274" s="9"/>
      <c r="C274" s="9"/>
      <c r="D274" s="13" t="inlineStr">
        <is>
          <t>Table 2</t>
        </is>
      </c>
      <c r="E274" s="11" t="str">
        <f>SUBSTITUTE(SUBSTITUTE(_xlfn.TEXTBEFORE(A274,","), "-", ""), " ", "")</f>
        <v>HerculanoHouzel</v>
      </c>
      <c r="F274" s="10"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10" t="str">
        <f>_xlfn.TEXTBEFORE(_xlfn.TEXTAFTER(A274, "("), ")")</f>
        <v>2016</v>
      </c>
      <c r="H274" s="11" t="str">
        <f>E274 &amp; IF(F274&lt;&gt;"", "_" &amp; SUBSTITUTE(F274," ",""), "_") &amp; IF(G274&lt;&gt;"", "_" &amp; G274, "_") &amp; IF(B274&lt;&gt;"", "_" &amp; B274, "")</f>
        <v>HerculanoHouzel_etal_2016</v>
      </c>
      <c r="I274" s="11" t="str">
        <f>_xlfn.LET(_xlpm.doi,IF(C274&lt;&gt;"",C274,_xlfn.TEXTAFTER(A274,"https://doi.org/")),SUBSTITUTE(SUBSTITUTE(SUBSTITUTE(SUBSTITUTE(_xlpm.doi,"/","%2F"),":","%3A"),"&lt;","%3C"),"&gt;","%3E"))</f>
        <v>10.1002%2Fcne.23792</v>
      </c>
      <c r="J274" s="11" t="str">
        <f>TRIM(_xlfn.TEXTJOIN("_",FALSE(),H274,(SUBSTITUTE(SUBSTITUTE(D274," ",""), "_", ""))))</f>
        <v>HerculanoHouzel_etal_2016_Table2</v>
      </c>
      <c r="K274" s="10" t="str">
        <f>I274 &amp; "_" &amp; SUBSTITUTE(SUBSTITUTE(SUBSTITUTE(D274,CHAR(160),"")," ",""),"_","")</f>
        <v>10.1002%2Fcne.23792_Table2</v>
      </c>
      <c r="L274" s="10" t="str">
        <f t="array" ref="L274">IFERROR(INDEX(AUTO_Public_TSV_FileList!$A$1:$A$1000,MATCH(TRUE(),EXACT(K274,IFERROR(_xlfn.TEXTBEFORE(AUTO_Public_TSV_FileList!$A$1:$A$1000,".tsv"),"")),0)),"notfound")</f>
        <v>10.1002%2Fcne.23792_Table2.tsv</v>
      </c>
      <c r="M274" s="13" t="inlineStr">
        <is>
          <t>Numbers of Neurons in Primate Cerebral Cortex, Motor Cortex, and Spinal Cord</t>
        </is>
      </c>
      <c r="N274" s="13" t="inlineStr">
        <is>
          <t>table</t>
        </is>
      </c>
      <c r="O274" s="13"/>
      <c r="P274" s="13" t="inlineStr">
        <is>
          <t>FINISHED</t>
        </is>
      </c>
      <c r="Q274" s="13"/>
      <c r="R274" s="13"/>
      <c r="S274" s="13"/>
      <c r="T274" s="13"/>
      <c r="U274" s="13"/>
      <c r="V274" s="13"/>
      <c r="W274" s="13" t="inlineStr">
        <is>
          <t>Primates</t>
        </is>
      </c>
      <c r="X274" s="13" t="inlineStr">
        <is>
          <t>spinal cord neuron number</t>
        </is>
      </c>
      <c r="Y274" s="13" t="inlineStr">
        <is>
          <t>cerebral cortex neurons; M1 neurons; M1/spinal-cord neuron ratio</t>
        </is>
      </c>
      <c r="Z274" s="13" t="inlineStr">
        <is>
          <t>secondary isotropic-fractionator compilation and predictions</t>
        </is>
      </c>
      <c r="AA274" s="13" t="inlineStr">
        <is>
          <t>compiled observed values and allometric predictions</t>
        </is>
      </c>
      <c r="AB274" s="13" t="inlineStr">
        <is>
          <t>cell count</t>
        </is>
      </c>
      <c r="AC274" s="13"/>
      <c r="AD274" s="13"/>
      <c r="AE274" s="13" t="inlineStr">
        <is>
          <t>secondary and derived</t>
        </is>
      </c>
      <c r="AF274" s="13" t="inlineStr">
        <is>
          <t>Burish et al. 2010; MacLarnon 1996; Young et al. 2013; other Table 2 sources</t>
        </is>
      </c>
      <c r="AG274" s="13"/>
    </row>
    <row r="275" ht="17" customHeight="1">
      <c r="A275" s="1" t="inlineStr">
        <is>
          <t>Herculano-Houzel, S., Watson, C., &amp; Paxinos, G. (2013). Distribution of neurons in functional areas of the mouse cerebral cortex reveals quantitatively different cortical zones. Front Neuroanat, 7, 35. https://doi.org/10.3389/fnana.2013.00035</t>
        </is>
      </c>
      <c r="B275" s="9"/>
      <c r="C275" s="9"/>
      <c r="D275" s="1" t="inlineStr">
        <is>
          <t>Figure 2 Top Left</t>
        </is>
      </c>
      <c r="E275" s="10" t="str">
        <f>SUBSTITUTE(SUBSTITUTE(_xlfn.TEXTBEFORE(A275,","), "-", ""), " ", "")</f>
        <v>HerculanoHouzel</v>
      </c>
      <c r="F275" s="10"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10" t="str">
        <f>_xlfn.TEXTBEFORE(_xlfn.TEXTAFTER(A275, "("), ")")</f>
        <v>2013</v>
      </c>
      <c r="H275" s="10" t="str">
        <f>E275 &amp; IF(F275&lt;&gt;"", "_" &amp; SUBSTITUTE(F275," ",""), "_") &amp; IF(G275&lt;&gt;"", "_" &amp; G275, "_") &amp; IF(B275&lt;&gt;"", "_" &amp; B275, "")</f>
        <v>HerculanoHouzel_etal_2013</v>
      </c>
      <c r="I275" s="10" t="str">
        <f>_xlfn.LET(
_xlpm.doi,IF(C275&lt;&gt;"",C275,_xlfn.TEXTAFTER(A275,"https://doi.org/")),
SUBSTITUTE(
SUBSTITUTE(
SUBSTITUTE(
SUBSTITUTE(
_xlpm.doi,
"/","%2F"),
":","%3A"),
"&lt;","%3C"),
"&gt;","%3E")
)</f>
        <v>10.3389%2Ffnana.2013.00035</v>
      </c>
      <c r="J275" s="10" t="str">
        <f>TRIM(_xlfn.TEXTJOIN("_",FALSE(),H275,(SUBSTITUTE(SUBSTITUTE(D275," ",""), "_", ""))))</f>
        <v>HerculanoHouzel_etal_2013_Figure2TopLeft</v>
      </c>
      <c r="K275" s="10" t="str">
        <f>I275 &amp; "_" &amp; SUBSTITUTE(SUBSTITUTE(SUBSTITUTE(D275,CHAR(160),"")," ",""),"_","")</f>
        <v>10.3389%2Ffnana.2013.00035_Figure2TopLeft</v>
      </c>
      <c r="L275" s="10" t="str">
        <f t="array" ref="L275">IFERROR(INDEX(AUTO_Public_TSV_FileList!$A$1:$A$1000,MATCH(TRUE(),EXACT(K275,IFERROR(_xlfn.TEXTBEFORE(AUTO_Public_TSV_FileList!$A$1:$A$1000,".tsv"),"")),0)),"notfound")</f>
        <v>10.3389%2Ffnana.2013.00035_Figure2TopLeft.tsv</v>
      </c>
      <c r="M275" s="13"/>
      <c r="N275" s="13"/>
      <c r="O275" s="13"/>
      <c r="P275" s="1" t="inlineStr">
        <is>
          <t>FINISHED</t>
        </is>
      </c>
      <c r="Q275" s="13"/>
      <c r="R275" s="13"/>
      <c r="S275" s="13"/>
      <c r="T275" s="13"/>
      <c r="U275" s="13"/>
      <c r="V275" s="13"/>
      <c r="W275" s="1" t="inlineStr">
        <is>
          <t>Mammals</t>
        </is>
      </c>
      <c r="X275" s="1" t="inlineStr">
        <is>
          <t>cell numbers</t>
        </is>
      </c>
      <c r="Y275" s="13"/>
      <c r="Z275" s="13"/>
      <c r="AA275" s="1" t="inlineStr">
        <is>
          <t>isotropic fractionator</t>
        </is>
      </c>
      <c r="AB275" s="1" t="inlineStr">
        <is>
          <t>cell count</t>
        </is>
      </c>
      <c r="AC275" s="1" t="inlineStr">
        <is>
          <t>HH</t>
        </is>
      </c>
      <c r="AD275" s="1" t="inlineStr">
        <is>
          <t>HH</t>
        </is>
      </c>
      <c r="AE275" s="1" t="inlineStr">
        <is>
          <t>primary</t>
        </is>
      </c>
      <c r="AF275" s="1"/>
      <c r="AG275" s="13"/>
    </row>
    <row r="276" ht="17" customHeight="1">
      <c r="A276" s="1" t="inlineStr">
        <is>
          <t>Herculano-Houzel, S., Watson, C., &amp; Paxinos, G. (2013). Distribution of neurons in functional areas of the mouse cerebral cortex reveals quantitatively different cortical zones. Front Neuroanat, 7, 35. https://doi.org/10.3389/fnana.2013.00035</t>
        </is>
      </c>
      <c r="B276" s="9"/>
      <c r="C276" s="9"/>
      <c r="D276" s="1" t="inlineStr">
        <is>
          <t>Table 1-a</t>
        </is>
      </c>
      <c r="E276" s="10" t="str">
        <f>SUBSTITUTE(SUBSTITUTE(_xlfn.TEXTBEFORE(A276,","), "-", ""), " ", "")</f>
        <v>HerculanoHouzel</v>
      </c>
      <c r="F276" s="10"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10" t="str">
        <f>_xlfn.TEXTBEFORE(_xlfn.TEXTAFTER(A276, "("), ")")</f>
        <v>2013</v>
      </c>
      <c r="H276" s="10" t="str">
        <f>E276 &amp; IF(F276&lt;&gt;"", "_" &amp; SUBSTITUTE(F276," ",""), "_") &amp; IF(G276&lt;&gt;"", "_" &amp; G276, "_") &amp; IF(B276&lt;&gt;"", "_" &amp; B276, "")</f>
        <v>HerculanoHouzel_etal_2013</v>
      </c>
      <c r="I276" s="10" t="str">
        <f>_xlfn.LET(
_xlpm.doi,IF(C276&lt;&gt;"",C276,_xlfn.TEXTAFTER(A276,"https://doi.org/")),
SUBSTITUTE(
SUBSTITUTE(
SUBSTITUTE(
SUBSTITUTE(
_xlpm.doi,
"/","%2F"),
":","%3A"),
"&lt;","%3C"),
"&gt;","%3E")
)</f>
        <v>10.3389%2Ffnana.2013.00035</v>
      </c>
      <c r="J276" s="10" t="str">
        <f>TRIM(_xlfn.TEXTJOIN("_",FALSE(),H276,(SUBSTITUTE(SUBSTITUTE(D276," ",""), "_", ""))))</f>
        <v>HerculanoHouzel_etal_2013_Table1-a</v>
      </c>
      <c r="K276" s="10" t="str">
        <f>I276 &amp; "_" &amp; SUBSTITUTE(SUBSTITUTE(SUBSTITUTE(D276,CHAR(160),"")," ",""),"_","")</f>
        <v>10.3389%2Ffnana.2013.00035_Table1-a</v>
      </c>
      <c r="L276" s="10" t="str">
        <f t="array" ref="L276">IFERROR(INDEX(AUTO_Public_TSV_FileList!$A$1:$A$1000,MATCH(TRUE(),EXACT(K276,IFERROR(_xlfn.TEXTBEFORE(AUTO_Public_TSV_FileList!$A$1:$A$1000,".tsv"),"")),0)),"notfound")</f>
        <v>10.3389%2Ffnana.2013.00035_Table1-a.tsv</v>
      </c>
      <c r="M276" s="13"/>
      <c r="N276" s="1" t="inlineStr">
        <is>
          <t>table</t>
        </is>
      </c>
      <c r="O276" s="13"/>
      <c r="P276" s="1" t="inlineStr">
        <is>
          <t>FINISHED</t>
        </is>
      </c>
      <c r="Q276" s="13"/>
      <c r="R276" s="13"/>
      <c r="S276" s="13"/>
      <c r="T276" s="13"/>
      <c r="U276" s="13"/>
      <c r="V276" s="13"/>
      <c r="W276" s="1" t="inlineStr">
        <is>
          <t>Mammals</t>
        </is>
      </c>
      <c r="X276" s="1" t="inlineStr">
        <is>
          <t>cell numbers</t>
        </is>
      </c>
      <c r="Y276" s="13"/>
      <c r="Z276" s="13"/>
      <c r="AA276" s="1" t="inlineStr">
        <is>
          <t>isotropic fractionator</t>
        </is>
      </c>
      <c r="AB276" s="1" t="inlineStr">
        <is>
          <t>cell count</t>
        </is>
      </c>
      <c r="AC276" s="1" t="inlineStr">
        <is>
          <t>HH</t>
        </is>
      </c>
      <c r="AD276" s="1" t="inlineStr">
        <is>
          <t>HH</t>
        </is>
      </c>
      <c r="AE276" s="1" t="inlineStr">
        <is>
          <t>primary</t>
        </is>
      </c>
      <c r="AF276" s="1"/>
      <c r="AG276" s="13"/>
    </row>
    <row r="277" ht="17" customHeight="1">
      <c r="A277" s="1" t="inlineStr">
        <is>
          <t>Herculano-Houzel, S., Watson, C., &amp; Paxinos, G. (2013). Distribution of neurons in functional areas of the mouse cerebral cortex reveals quantitatively different cortical zones. Front Neuroanat, 7, 35. https://doi.org/10.3389/fnana.2013.00035</t>
        </is>
      </c>
      <c r="B277" s="9"/>
      <c r="C277" s="9"/>
      <c r="D277" s="1" t="inlineStr">
        <is>
          <t>Table 1-b</t>
        </is>
      </c>
      <c r="E277" s="10" t="str">
        <f>SUBSTITUTE(SUBSTITUTE(_xlfn.TEXTBEFORE(A277,","), "-", ""), " ", "")</f>
        <v>HerculanoHouzel</v>
      </c>
      <c r="F277" s="10"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10" t="str">
        <f>_xlfn.TEXTBEFORE(_xlfn.TEXTAFTER(A277, "("), ")")</f>
        <v>2013</v>
      </c>
      <c r="H277" s="10" t="str">
        <f>E277 &amp; IF(F277&lt;&gt;"", "_" &amp; SUBSTITUTE(F277," ",""), "_") &amp; IF(G277&lt;&gt;"", "_" &amp; G277, "_") &amp; IF(B277&lt;&gt;"", "_" &amp; B277, "")</f>
        <v>HerculanoHouzel_etal_2013</v>
      </c>
      <c r="I277" s="10" t="str">
        <f>_xlfn.LET(
_xlpm.doi,IF(C277&lt;&gt;"",C277,_xlfn.TEXTAFTER(A277,"https://doi.org/")),
SUBSTITUTE(
SUBSTITUTE(
SUBSTITUTE(
SUBSTITUTE(
_xlpm.doi,
"/","%2F"),
":","%3A"),
"&lt;","%3C"),
"&gt;","%3E")
)</f>
        <v>10.3389%2Ffnana.2013.00035</v>
      </c>
      <c r="J277" s="10" t="str">
        <f>TRIM(_xlfn.TEXTJOIN("_",FALSE(),H277,(SUBSTITUTE(SUBSTITUTE(D277," ",""), "_", ""))))</f>
        <v>HerculanoHouzel_etal_2013_Table1-b</v>
      </c>
      <c r="K277" s="10" t="str">
        <f>I277 &amp; "_" &amp; SUBSTITUTE(SUBSTITUTE(SUBSTITUTE(D277,CHAR(160),"")," ",""),"_","")</f>
        <v>10.3389%2Ffnana.2013.00035_Table1-b</v>
      </c>
      <c r="L277" s="10" t="str">
        <f t="array" ref="L277">IFERROR(INDEX(AUTO_Public_TSV_FileList!$A$1:$A$1000,MATCH(TRUE(),EXACT(K277,IFERROR(_xlfn.TEXTBEFORE(AUTO_Public_TSV_FileList!$A$1:$A$1000,".tsv"),"")),0)),"notfound")</f>
        <v>10.3389%2Ffnana.2013.00035_Table1-b.tsv</v>
      </c>
      <c r="M277" s="13"/>
      <c r="N277" s="1" t="inlineStr">
        <is>
          <t>table</t>
        </is>
      </c>
      <c r="O277" s="13"/>
      <c r="P277" s="1" t="inlineStr">
        <is>
          <t>FINISHED</t>
        </is>
      </c>
      <c r="Q277" s="13"/>
      <c r="R277" s="13"/>
      <c r="S277" s="13"/>
      <c r="T277" s="13"/>
      <c r="U277" s="13"/>
      <c r="V277" s="13"/>
      <c r="W277" s="1" t="inlineStr">
        <is>
          <t>Mammals</t>
        </is>
      </c>
      <c r="X277" s="1" t="inlineStr">
        <is>
          <t>cell numbers</t>
        </is>
      </c>
      <c r="Y277" s="13"/>
      <c r="Z277" s="13"/>
      <c r="AA277" s="1" t="inlineStr">
        <is>
          <t>isotropic fractionator</t>
        </is>
      </c>
      <c r="AB277" s="1" t="inlineStr">
        <is>
          <t>cell count</t>
        </is>
      </c>
      <c r="AC277" s="1" t="inlineStr">
        <is>
          <t>HH</t>
        </is>
      </c>
      <c r="AD277" s="1" t="inlineStr">
        <is>
          <t>HH</t>
        </is>
      </c>
      <c r="AE277" s="1" t="inlineStr">
        <is>
          <t>primary</t>
        </is>
      </c>
      <c r="AF277" s="1"/>
      <c r="AG277" s="13"/>
    </row>
    <row r="278" ht="17" customHeight="1">
      <c r="A278" s="1" t="inlineStr">
        <is>
          <t>Heuer, K., Gulban, O. F., Bazin, P. L., Osoianu, A., Valabregue, R., Santin, M., Herbin, M., &amp; Toro, R. (2019). Evolution of neocortical folding: A phylogenetic comparative analysis of MRI from 34 primate species. Cortex, 118, 275-291. https://doi.org/10.1016/j.cortex.2019.04.011</t>
        </is>
      </c>
      <c r="B278" s="9"/>
      <c r="C278" s="9"/>
      <c r="D278" s="1" t="inlineStr">
        <is>
          <t>S1</t>
        </is>
      </c>
      <c r="E278" s="10" t="str">
        <f>SUBSTITUTE(SUBSTITUTE(_xlfn.TEXTBEFORE(A278,","), "-", ""), " ", "")</f>
        <v>Heuer</v>
      </c>
      <c r="F278" s="10"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10" t="str">
        <f>_xlfn.TEXTBEFORE(_xlfn.TEXTAFTER(A278, "("), ")")</f>
        <v>2019</v>
      </c>
      <c r="H278" s="10" t="str">
        <f>E278 &amp; IF(F278&lt;&gt;"", "_" &amp; SUBSTITUTE(F278," ",""), "_") &amp; IF(G278&lt;&gt;"", "_" &amp; G278, "_") &amp; IF(B278&lt;&gt;"", "_" &amp; B278, "")</f>
        <v>Heuer_etal_2019</v>
      </c>
      <c r="I278" s="10" t="str">
        <f>_xlfn.LET(
_xlpm.doi,IF(C278&lt;&gt;"",C278,_xlfn.TEXTAFTER(A278,"https://doi.org/")),
SUBSTITUTE(
SUBSTITUTE(
SUBSTITUTE(
SUBSTITUTE(
_xlpm.doi,
"/","%2F"),
":","%3A"),
"&lt;","%3C"),
"&gt;","%3E")
)</f>
        <v>10.1016%2Fj.cortex.2019.04.011</v>
      </c>
      <c r="J278" s="10" t="str">
        <f>TRIM(_xlfn.TEXTJOIN("_",FALSE(),H278,(SUBSTITUTE(SUBSTITUTE(D278," ",""), "_", ""))))</f>
        <v>Heuer_etal_2019_S1</v>
      </c>
      <c r="K278" s="10" t="str">
        <f>I278 &amp; "_" &amp; SUBSTITUTE(SUBSTITUTE(SUBSTITUTE(D278,CHAR(160),"")," ",""),"_","")</f>
        <v>10.1016%2Fj.cortex.2019.04.011_S1</v>
      </c>
      <c r="L278" s="10" t="str">
        <f t="array" ref="L278">IFERROR(INDEX(AUTO_Public_TSV_FileList!$A$1:$A$1000,MATCH(TRUE(),EXACT(K278,IFERROR(_xlfn.TEXTBEFORE(AUTO_Public_TSV_FileList!$A$1:$A$1000,".tsv"),"")),0)),"notfound")</f>
        <v>10.1016%2Fj.cortex.2019.04.011_S1.tsv</v>
      </c>
      <c r="M278" s="13"/>
      <c r="N278" s="1" t="inlineStr">
        <is>
          <t>table</t>
        </is>
      </c>
      <c r="O278" s="13"/>
      <c r="P278" s="1" t="inlineStr">
        <is>
          <t>FINISHED</t>
        </is>
      </c>
      <c r="Q278" s="1" t="inlineStr">
        <is>
          <t>none - digital-native (S1_QCtable_mmc1.tsv, unpacked from mmc1.zip)</t>
        </is>
      </c>
      <c r="R278" s="13"/>
      <c r="S278" s="13"/>
      <c r="T278" s="13"/>
      <c r="U278" s="13"/>
      <c r="V278" s="13"/>
      <c r="W278" s="1" t="inlineStr">
        <is>
          <t>Primates</t>
        </is>
      </c>
      <c r="X278" s="1" t="inlineStr">
        <is>
          <t>MRI scan quality and provenance (66 specimens) - no folding value</t>
        </is>
      </c>
      <c r="Y278" s="13"/>
      <c r="Z278" s="13"/>
      <c r="AA278" s="13"/>
      <c r="AB278" s="1" t="inlineStr">
        <is>
          <t>metadata (MRI scan QC)</t>
        </is>
      </c>
      <c r="AC278" s="1" t="inlineStr">
        <is>
          <t>Heuer/Toro</t>
        </is>
      </c>
      <c r="AD278" s="13"/>
      <c r="AE278" s="1" t="inlineStr">
        <is>
          <t>secondary</t>
        </is>
      </c>
      <c r="AF278" s="1"/>
      <c r="AG278" s="1" t="inlineStr">
        <is>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is>
      </c>
    </row>
    <row r="279" ht="17" customHeight="1">
      <c r="A279" s="1" t="inlineStr">
        <is>
          <t>Heuer, K., Gulban, O. F., Bazin, P. L., Osoianu, A., Valabregue, R., Santin, M., Herbin, M., &amp; Toro, R. (2019). Evolution of neocortical folding: A phylogenetic comparative analysis of MRI from 34 primate species. Cortex, 118, 275-291. https://doi.org/10.1016/j.cortex.2019.04.011</t>
        </is>
      </c>
      <c r="B279" s="9"/>
      <c r="C279" s="9"/>
      <c r="D279" s="1" t="inlineStr">
        <is>
          <t>Table 1</t>
        </is>
      </c>
      <c r="E279" s="10" t="str">
        <f>SUBSTITUTE(SUBSTITUTE(_xlfn.TEXTBEFORE(A279,","), "-", ""), " ", "")</f>
        <v>Heuer</v>
      </c>
      <c r="F279" s="10"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10" t="str">
        <f>_xlfn.TEXTBEFORE(_xlfn.TEXTAFTER(A279, "("), ")")</f>
        <v>2019</v>
      </c>
      <c r="H279" s="10" t="str">
        <f>E279 &amp; IF(F279&lt;&gt;"", "_" &amp; SUBSTITUTE(F279," ",""), "_") &amp; IF(G279&lt;&gt;"", "_" &amp; G279, "_") &amp; IF(B279&lt;&gt;"", "_" &amp; B279, "")</f>
        <v>Heuer_etal_2019</v>
      </c>
      <c r="I279" s="10" t="str">
        <f>_xlfn.LET(
_xlpm.doi,IF(C279&lt;&gt;"",C279,_xlfn.TEXTAFTER(A279,"https://doi.org/")),
SUBSTITUTE(
SUBSTITUTE(
SUBSTITUTE(
SUBSTITUTE(
_xlpm.doi,
"/","%2F"),
":","%3A"),
"&lt;","%3C"),
"&gt;","%3E")
)</f>
        <v>10.1016%2Fj.cortex.2019.04.011</v>
      </c>
      <c r="J279" s="10" t="str">
        <f>TRIM(_xlfn.TEXTJOIN("_",FALSE(),H279,(SUBSTITUTE(SUBSTITUTE(D279," ",""), "_", ""))))</f>
        <v>Heuer_etal_2019_Table1</v>
      </c>
      <c r="K279" s="10" t="str">
        <f>I279 &amp; "_" &amp; SUBSTITUTE(SUBSTITUTE(SUBSTITUTE(D279,CHAR(160),"")," ",""),"_","")</f>
        <v>10.1016%2Fj.cortex.2019.04.011_Table1</v>
      </c>
      <c r="L279" s="10" t="str">
        <f t="array" ref="L279">IFERROR(INDEX(AUTO_Public_TSV_FileList!$A$1:$A$1000,MATCH(TRUE(),EXACT(K279,IFERROR(_xlfn.TEXTBEFORE(AUTO_Public_TSV_FileList!$A$1:$A$1000,".tsv"),"")),0)),"notfound")</f>
        <v>10.1016%2Fj.cortex.2019.04.011_Table1.tsv</v>
      </c>
      <c r="M279" s="13"/>
      <c r="N279" s="1" t="inlineStr">
        <is>
          <t>table</t>
        </is>
      </c>
      <c r="O279" s="13"/>
      <c r="P279" s="1" t="inlineStr">
        <is>
          <t>FINISHED</t>
        </is>
      </c>
      <c r="Q279" s="1"/>
      <c r="R279" s="13"/>
      <c r="S279" s="13"/>
      <c r="T279" s="13"/>
      <c r="U279" s="13"/>
      <c r="V279" s="13"/>
      <c r="W279" s="1" t="inlineStr">
        <is>
          <t>Primates</t>
        </is>
      </c>
      <c r="X279" s="1" t="inlineStr">
        <is>
          <t>metadata</t>
        </is>
      </c>
      <c r="Y279" s="13"/>
      <c r="Z279" s="13"/>
      <c r="AA279" s="1"/>
      <c r="AB279" s="1"/>
      <c r="AC279" s="1" t="inlineStr">
        <is>
          <t>Heuer/Toro</t>
        </is>
      </c>
      <c r="AD279" s="1"/>
      <c r="AE279" s="1" t="inlineStr">
        <is>
          <t>secondary</t>
        </is>
      </c>
      <c r="AF279" s="1"/>
      <c r="AG279" s="1" t="inlineStr">
        <is>
          <t>Table 1 is the species list, NOT the folding data. The absolute gyrification index / folding length / wavelength / depth / surface areas are only in the Zenodo archive doi:10.5281/zenodo.2538751 and are not yet in this repo. 3-D MRI method - never pool with the Zilles 2-D GI merge.</t>
        </is>
      </c>
    </row>
    <row r="280" ht="17" customHeight="1">
      <c r="A280" s="1" t="inlineStr">
        <is>
          <t>Heuer, K., Traut, N., de Sousa, A. A., Valk, S. L., Clavel, J., &amp; Toro, R. (2023). Diversity and evolution of cerebellar folding in mammals. eLife, 12, e85907. https://doi.org/10.7554/eLife.85907</t>
        </is>
      </c>
      <c r="B280" s="9"/>
      <c r="C280" s="9"/>
      <c r="D280" s="1" t="inlineStr">
        <is>
          <t>Data</t>
        </is>
      </c>
      <c r="E280" s="10" t="str">
        <f>SUBSTITUTE(SUBSTITUTE(_xlfn.TEXTBEFORE(A280,","), "-", ""), " ", "")</f>
        <v>Heuer</v>
      </c>
      <c r="F280" s="1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10" t="str">
        <f>_xlfn.TEXTBEFORE(_xlfn.TEXTAFTER(A280, "("), ")")</f>
        <v>2023</v>
      </c>
      <c r="H280" s="10" t="str">
        <f>E280 &amp; IF(F280&lt;&gt;"", "_" &amp; SUBSTITUTE(F280," ",""), "_") &amp; IF(G280&lt;&gt;"", "_" &amp; G280, "_") &amp; IF(B280&lt;&gt;"", "_" &amp; B280, "")</f>
        <v>Heuer_etal_2023</v>
      </c>
      <c r="I280" s="10" t="str">
        <f>_xlfn.LET(
_xlpm.doi,IF(C280&lt;&gt;"",C280,_xlfn.TEXTAFTER(A280,"https://doi.org/")),
SUBSTITUTE(
SUBSTITUTE(
SUBSTITUTE(
SUBSTITUTE(
_xlpm.doi,
"/","%2F"),
":","%3A"),
"&lt;","%3C"),
"&gt;","%3E")
)</f>
        <v>10.7554%2FeLife.85907</v>
      </c>
      <c r="J280" s="10" t="str">
        <f>TRIM(_xlfn.TEXTJOIN("_",FALSE(),H280,(SUBSTITUTE(SUBSTITUTE(D280," ",""), "_", ""))))</f>
        <v>Heuer_etal_2023_Data</v>
      </c>
      <c r="K280" s="10" t="str">
        <f>I280 &amp; "_" &amp; SUBSTITUTE(SUBSTITUTE(SUBSTITUTE(D280,CHAR(160),"")," ",""),"_","")</f>
        <v>10.7554%2FeLife.85907_Data</v>
      </c>
      <c r="L280" s="10" t="str">
        <f t="array" ref="L280">IFERROR(INDEX(AUTO_Public_TSV_FileList!$A$1:$A$1000,MATCH(TRUE(),EXACT(K280,IFERROR(_xlfn.TEXTBEFORE(AUTO_Public_TSV_FileList!$A$1:$A$1000,".tsv"),"")),0)),"notfound")</f>
        <v>10.7554%2FeLife.85907_Data.tsv</v>
      </c>
      <c r="M280" s="13"/>
      <c r="N280" s="1" t="inlineStr">
        <is>
          <t>table</t>
        </is>
      </c>
      <c r="O280" s="1" t="inlineStr">
        <is>
          <t>data.csv — final comparative phenotype table (56 mammal species)</t>
        </is>
      </c>
      <c r="P280" s="1" t="inlineStr">
        <is>
          <t>FINISHED</t>
        </is>
      </c>
      <c r="Q280" s="1" t="inlineStr">
        <is>
          <t>none - digital-native (source_data/data.csv; SHA-256 55f462a7374dec84eed3e745b42292df9ccc6435dc7c4ef29b554df768fa4ece)</t>
        </is>
      </c>
      <c r="R280" s="1" t="inlineStr">
        <is>
          <t>https://doi.org/10.7554/eLife.85907</t>
        </is>
      </c>
      <c r="S280" s="13"/>
      <c r="T280" s="13"/>
      <c r="U280" s="13"/>
      <c r="V280" s="1" t="inlineStr">
        <is>
          <t>cerebellum</t>
        </is>
      </c>
      <c r="W280" s="1" t="inlineStr">
        <is>
          <t>Mammals</t>
        </is>
      </c>
      <c r="X280" s="1" t="inlineStr">
        <is>
          <t>cerebellar folding, folial geometry, molecular-layer thickness</t>
        </is>
      </c>
      <c r="Y280" s="1" t="inlineStr">
        <is>
          <t>cerebellar section area/length; folial width/perimeter; molecular-layer thickness</t>
        </is>
      </c>
      <c r="Z280" s="1"/>
      <c r="AA280" s="1" t="inlineStr">
        <is>
          <t>histological-section tracing and measurement (MicroDraw)</t>
        </is>
      </c>
      <c r="AB280" s="1" t="inlineStr">
        <is>
          <t>area, length, width, perimeter, and thickness (mm2 / mm)</t>
        </is>
      </c>
      <c r="AC280" s="1" t="inlineStr">
        <is>
          <t>Heuer/Toro</t>
        </is>
      </c>
      <c r="AD280" s="13"/>
      <c r="AE280" s="1" t="inlineStr">
        <is>
          <t>primary</t>
        </is>
      </c>
      <c r="AF280" s="1"/>
      <c r="AG280" s="1" t="inlineStr">
        <is>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is>
      </c>
    </row>
    <row r="281" ht="17" customHeight="1">
      <c r="A281" s="9" t="inlineStr">
        <is>
          <t>Hofman, MA (1985) Size and shape of the cerebral cortex in mammals. I. The cortical surface. Brain Behav Evol 27(1):28-40. https://doi.org/10.1159/000118718</t>
        </is>
      </c>
      <c r="B281" s="28"/>
      <c r="C281" s="9"/>
      <c r="D281" s="9" t="inlineStr">
        <is>
          <t>Table I</t>
        </is>
      </c>
      <c r="E281" s="10" t="str">
        <f>SUBSTITUTE(SUBSTITUTE(_xlfn.TEXTBEFORE(A281,","), "-", ""), " ", "")</f>
        <v>Hofman</v>
      </c>
      <c r="F281" s="1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1" s="10" t="str">
        <f>_xlfn.TEXTBEFORE(_xlfn.TEXTAFTER(A281, "("), ")")</f>
        <v>1985</v>
      </c>
      <c r="H281" s="10" t="str">
        <f>E281 &amp; IF(F281&lt;&gt;"", "_" &amp; SUBSTITUTE(F281," ",""), "_") &amp; IF(G281&lt;&gt;"", "_" &amp; G281, "_") &amp; IF(B281&lt;&gt;"", "_" &amp; B281, "")</f>
        <v>Hofman__1985</v>
      </c>
      <c r="I281" s="10" t="str">
        <f>_xlfn.LET(
_xlpm.doi,IF(C281&lt;&gt;"",C281,_xlfn.TEXTAFTER(A281,"https://doi.org/")),
SUBSTITUTE(
SUBSTITUTE(
SUBSTITUTE(
SUBSTITUTE(
_xlpm.doi,
"/","%2F"),
":","%3A"),
"&lt;","%3C"),
"&gt;","%3E")
)</f>
        <v>10.1159%2F000118718</v>
      </c>
      <c r="J281" s="10" t="str">
        <f>TRIM(_xlfn.TEXTJOIN("_",FALSE(),H281,(SUBSTITUTE(SUBSTITUTE(D281," ",""), "_", ""))))</f>
        <v>Hofman__1985_TableI</v>
      </c>
      <c r="K281" s="10" t="str">
        <f>I281 &amp; "_" &amp; SUBSTITUTE(SUBSTITUTE(SUBSTITUTE(D281,CHAR(160),"")," ",""),"_","")</f>
        <v>10.1159%2F000118718_TableI</v>
      </c>
      <c r="L281" s="10" t="str">
        <f t="array" ref="L281">IFERROR(INDEX(AUTO_Public_TSV_FileList!$A$1:$A$1000,MATCH(TRUE(),EXACT(K281,IFERROR(_xlfn.TEXTBEFORE(AUTO_Public_TSV_FileList!$A$1:$A$1000,".tsv"),"")),0)),"notfound")</f>
        <v>notfound</v>
      </c>
      <c r="M281" s="9" t="inlineStr">
        <is>
          <t>Table I. Size comparisons of various brain structures in mammals</t>
        </is>
      </c>
      <c r="N281" s="9" t="inlineStr">
        <is>
          <t>PDF (scanned print; transcribed snapshot)</t>
        </is>
      </c>
      <c r="O281" s="9" t="inlineStr">
        <is>
          <t>Secondary compilation from refs 1-12 (Stephan 1981, Frahm 1982 already in repo). 44 mammals. Outer surface unprinted for 12 index-1.00 rows. '&gt;' index = lower bound.</t>
        </is>
      </c>
      <c r="P281" s="9" t="inlineStr">
        <is>
          <t>PREPARED (CSV built; owner registry paste / public TSV pending; RA side-by-side check pending)</t>
        </is>
      </c>
      <c r="Q281" s="9" t="inlineStr">
        <is>
          <t>Hofman__1985_Table1_snapshot.csv</t>
        </is>
      </c>
      <c r="R281" s="9" t="inlineStr">
        <is>
          <t>https://doi.org/10.1159/000118718</t>
        </is>
      </c>
      <c r="S281" s="9"/>
      <c r="T281" s="9"/>
      <c r="U281" s="9"/>
      <c r="V281" s="9"/>
      <c r="W281" s="9" t="inlineStr">
        <is>
          <t>Mammals</t>
        </is>
      </c>
      <c r="X281" s="9" t="inlineStr">
        <is>
          <t>Cortical surface area; cortical volume; cortical thickness; folding index</t>
        </is>
      </c>
      <c r="Y281" s="9" t="inlineStr">
        <is>
          <t>Brain volume; prosencephalon volume</t>
        </is>
      </c>
      <c r="Z281" s="9" t="inlineStr">
        <is>
          <t>Brain (fixed/histological sections, literature)</t>
        </is>
      </c>
      <c r="AA281" s="9" t="inlineStr">
        <is>
          <t>Compiled from literature</t>
        </is>
      </c>
      <c r="AB281" s="9" t="inlineStr">
        <is>
          <t>Species mean</t>
        </is>
      </c>
      <c r="AC281" s="9"/>
      <c r="AD281" s="9"/>
      <c r="AE281" s="9" t="inlineStr">
        <is>
          <t>secondary</t>
        </is>
      </c>
      <c r="AF281" s="9" t="inlineStr">
        <is>
          <t>Elias &amp; Schwartz 1969, 1971; Frahm et al. 1982; Haug 1970; Pirlot 1981; Pirlot &amp; Kamiya 1982; Ridgway &amp; Brownson 1979; Schlenska 1969, 1974; Stephan 1954, 1961; Stephan et al. 1981</t>
        </is>
      </c>
      <c r="AG281" s="9"/>
    </row>
    <row r="282" ht="17" customHeight="1">
      <c r="A282" s="14" t="inlineStr">
        <is>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is>
      </c>
      <c r="B282" s="14"/>
      <c r="C282" s="14"/>
      <c r="D282" s="14" t="inlineStr">
        <is>
          <t>SD</t>
        </is>
      </c>
      <c r="E282" s="2" t="str">
        <f>SUBSTITUTE(SUBSTITUTE(_xlfn.TEXTBEFORE(A282,","), "-", ""), " ", "")</f>
        <v>HrvojMihic</v>
      </c>
      <c r="F282" s="7"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7" t="str">
        <f>_xlfn.TEXTBEFORE(_xlfn.TEXTAFTER(A282, "("), ")")</f>
        <v>2026</v>
      </c>
      <c r="H282" s="2" t="str">
        <f>E282 &amp; IF(F282&lt;&gt;"", "_" &amp; SUBSTITUTE(F282," ",""), "_") &amp; IF(G282&lt;&gt;"", "_" &amp; G282, "_") &amp; IF(B282&lt;&gt;"", "_" &amp; B282, "")</f>
        <v>HrvojMihic_etal_2026</v>
      </c>
      <c r="I282" s="2" t="str">
        <f>_xlfn.LET(_xlpm.doi,IF(C282&lt;&gt;"",C282,_xlfn.TEXTAFTER(A282,"https://doi.org/")),SUBSTITUTE(SUBSTITUTE(SUBSTITUTE(SUBSTITUTE(_xlpm.doi,"/","%2F"),":","%3A"),"&lt;","%3C"),"&gt;","%3E"))</f>
        <v>10.1073%2Fpnas.2609260123</v>
      </c>
      <c r="J282" s="2" t="str">
        <f>TRIM(_xlfn.TEXTJOIN("_",FALSE(),H282,(SUBSTITUTE(SUBSTITUTE(D282," ",""), "_", ""))))</f>
        <v>HrvojMihic_etal_2026_SD</v>
      </c>
      <c r="K282" s="7" t="str">
        <f>I282 &amp; "_" &amp; SUBSTITUTE(SUBSTITUTE(SUBSTITUTE(D282,CHAR(160),"")," ",""),"_","")</f>
        <v>10.1073%2Fpnas.2609260123_SD</v>
      </c>
      <c r="L282" s="7" t="str">
        <f t="array" ref="L282">IFERROR(INDEX(AUTO_Public_TSV_FileList!$A$1:$A$1000,MATCH(TRUE(),EXACT(K282,IFERROR(_xlfn.TEXTBEFORE(AUTO_Public_TSV_FileList!$A$1:$A$1000,".tsv"),"")),0)),"notfound")</f>
        <v>10.1073%2Fpnas.2609260123_SD.tsv</v>
      </c>
      <c r="M282" s="14" t="inlineStr">
        <is>
          <t>Dataset S1 (brain weight, sex, age in adult gorillas, orangutans, bonobos, chimpanzees) and Dataset S2 (chimpanzees aged 15+, with body weight) -- combined as one per-individual item</t>
        </is>
      </c>
      <c r="N282" s="14" t="inlineStr">
        <is>
          <t>digital-native xlsx (journal supplementary data, 2 files: sd01 + sd02)</t>
        </is>
      </c>
      <c r="O282" s="14" t="inlineStr">
        <is>
          <t>sd02 (chimpanzee 15+) is a verified full subset of sd01 chimpanzee codes (146/146 F, 130/130 M); joined as an extra column, not double-counted.</t>
        </is>
      </c>
      <c r="P282" s="14" t="inlineStr">
        <is>
          <t>FINISHED</t>
        </is>
      </c>
      <c r="Q282" s="14"/>
      <c r="R282" s="14" t="inlineStr">
        <is>
          <t>https://doi.org/10.1073/pnas.2609260123</t>
        </is>
      </c>
      <c r="S282" s="14"/>
      <c r="T282" s="14"/>
      <c r="U282" s="14"/>
      <c r="V282" s="14" t="inlineStr">
        <is>
          <t>brain weight; life-history; aging</t>
        </is>
      </c>
      <c r="W282" s="14" t="inlineStr">
        <is>
          <t>Gorilla gorilla; Pongo pygmaeus; Pan paniscus; Pan troglodytes</t>
        </is>
      </c>
      <c r="X282" s="14" t="inlineStr">
        <is>
          <t>brain weight (individual-level, across adult lifespan)</t>
        </is>
      </c>
      <c r="Y282" s="14" t="inlineStr">
        <is>
          <t>body weight (chimpanzee 15+ subset only); sex; age</t>
        </is>
      </c>
      <c r="Z282" s="14" t="inlineStr">
        <is>
          <t>postmortem brain weight</t>
        </is>
      </c>
      <c r="AA282" s="14" t="inlineStr">
        <is>
          <t>necropsy weighing</t>
        </is>
      </c>
      <c r="AB282" s="14" t="inlineStr">
        <is>
          <t>mass</t>
        </is>
      </c>
      <c r="AC282" s="14"/>
      <c r="AD282" s="14"/>
      <c r="AE282" s="14" t="inlineStr">
        <is>
          <t>primary</t>
        </is>
      </c>
      <c r="AF282" s="14"/>
      <c r="AG282" s="14"/>
    </row>
    <row r="283" ht="17" customHeight="1">
      <c r="A283" s="1" t="inlineStr">
        <is>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is>
      </c>
      <c r="B283" s="9"/>
      <c r="C283" s="9"/>
      <c r="D283" s="1" t="inlineStr">
        <is>
          <t>TABLE 2</t>
        </is>
      </c>
      <c r="E283" s="10" t="str">
        <f>SUBSTITUTE(SUBSTITUTE(_xlfn.TEXTBEFORE(A283,","), "-", ""), " ", "")</f>
        <v>Huffman</v>
      </c>
      <c r="F283" s="1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10" t="str">
        <f>_xlfn.TEXTBEFORE(_xlfn.TEXTAFTER(A283, "("), ")")</f>
        <v>1999</v>
      </c>
      <c r="H283" s="10" t="str">
        <f>E283 &amp; IF(F283&lt;&gt;"", "_" &amp; SUBSTITUTE(F283," ",""), "_") &amp; IF(G283&lt;&gt;"", "_" &amp; G283, "_") &amp; IF(B283&lt;&gt;"", "_" &amp; B283, "")</f>
        <v>Huffman_etal_1999</v>
      </c>
      <c r="I283" s="10" t="str">
        <f>_xlfn.LET(
_xlpm.doi,IF(C283&lt;&gt;"",C283,_xlfn.TEXTAFTER(A283,"https://doi.org/")),
SUBSTITUTE(
SUBSTITUTE(
SUBSTITUTE(
SUBSTITUTE(
_xlpm.doi,
"/","%2F"),
":","%3A"),
"&lt;","%3C"),
"&gt;","%3E")
)</f>
        <v>10.1002%2F(sici)1096-9861(19990105)403%3A1&lt;5%3A%3Aaid-cne2&gt;3.0.co;2-f</v>
      </c>
      <c r="J283" s="10" t="str">
        <f>TRIM(_xlfn.TEXTJOIN("_",FALSE(),H283,(SUBSTITUTE(SUBSTITUTE(D283," ",""), "_", ""))))</f>
        <v>Huffman_etal_1999_TABLE2</v>
      </c>
      <c r="K283" s="10" t="str">
        <f>I283 &amp; "_" &amp; SUBSTITUTE(SUBSTITUTE(SUBSTITUTE(D283,CHAR(160),"")," ",""),"_","")</f>
        <v>10.1002%2F(sici)1096-9861(19990105)403%3A1&lt;5%3A%3Aaid-cne2&gt;3.0.co;2-f_TABLE2</v>
      </c>
      <c r="L283" s="10" t="str">
        <f t="array" ref="L283">IFERROR(INDEX(AUTO_Public_TSV_FileList!$A$1:$A$1000,MATCH(TRUE(),EXACT(K283,IFERROR(_xlfn.TEXTBEFORE(AUTO_Public_TSV_FileList!$A$1:$A$1000,".tsv"),"")),0)),"notfound")</f>
        <v>notfound</v>
      </c>
      <c r="M283" s="13" t="inlineStr">
        <is>
          <t>TABLE 2. Area Measurements and Percentages of Body Part Representations Within Primary Somatosensory Area (SI) of the Northern Quoll (NQ), and Striped Possum (SP)</t>
        </is>
      </c>
      <c r="N283" s="1"/>
      <c r="O283" s="1"/>
      <c r="P283" s="1"/>
      <c r="Q283" s="1"/>
      <c r="R283" s="1"/>
      <c r="S283" s="13"/>
      <c r="T283" s="13"/>
      <c r="U283" s="13"/>
      <c r="V283" s="1"/>
      <c r="W283" s="1"/>
      <c r="X283" s="1"/>
      <c r="Y283" s="1"/>
      <c r="Z283" s="1"/>
      <c r="AA283" s="1"/>
      <c r="AB283" s="1"/>
      <c r="AC283" s="1"/>
      <c r="AD283" s="13"/>
      <c r="AE283" s="1"/>
      <c r="AF283" s="1"/>
      <c r="AG283" s="1"/>
    </row>
    <row r="284" ht="17" customHeight="1">
      <c r="A284" s="8" t="inlineStr">
        <is>
          <t>Hutsler, J. J., Lee, D.-G., &amp; Porter, K. K. (2005). Comparative analysis of cortical layering and supragranular layer enlargement in rodent, carnivore and primate species. Brain Research, 1052(1), 71–81. https://doi.org/10.1016/j.brainres.2005.06.015</t>
        </is>
      </c>
      <c r="B284" s="8"/>
      <c r="C284" s="8"/>
      <c r="D284" s="8" t="inlineStr">
        <is>
          <t>Figure 3</t>
        </is>
      </c>
      <c r="E284" s="2" t="str">
        <f>SUBSTITUTE(SUBSTITUTE(_xlfn.TEXTBEFORE(A284,","), "-", ""), " ", "")</f>
        <v>Hutsler</v>
      </c>
      <c r="F284" s="7"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7" t="str">
        <f>_xlfn.TEXTBEFORE(_xlfn.TEXTAFTER(A284, "("), ")")</f>
        <v>2005</v>
      </c>
      <c r="H284" s="2" t="str">
        <f>E284 &amp; IF(F284&lt;&gt;"", "_" &amp; SUBSTITUTE(F284," ",""), "_") &amp; IF(G284&lt;&gt;"", "_" &amp; G284, "_") &amp; IF(B284&lt;&gt;"", "_" &amp; B284, "")</f>
        <v>Hutsler_etal_2005</v>
      </c>
      <c r="I284" s="2" t="str">
        <f>_xlfn.LET(_xlpm.doi,IF(C284&lt;&gt;"",C284,_xlfn.TEXTAFTER(A284,"https://doi.org/")),SUBSTITUTE(SUBSTITUTE(SUBSTITUTE(SUBSTITUTE(_xlpm.doi,"/","%2F"),":","%3A"),"&lt;","%3C"),"&gt;","%3E"))</f>
        <v>10.1016%2Fj.brainres.2005.06.015</v>
      </c>
      <c r="J284" s="2" t="str">
        <f>TRIM(_xlfn.TEXTJOIN("_",FALSE(),H284,(SUBSTITUTE(SUBSTITUTE(D284," ",""), "_", ""))))</f>
        <v>Hutsler_etal_2005_Figure3</v>
      </c>
      <c r="K284" s="7" t="str">
        <f>I284 &amp; "_" &amp; SUBSTITUTE(SUBSTITUTE(SUBSTITUTE(D284,CHAR(160),"")," ",""),"_","")</f>
        <v>10.1016%2Fj.brainres.2005.06.015_Figure3</v>
      </c>
      <c r="L284" s="7" t="str">
        <f t="array" ref="L284">IFERROR(INDEX(AUTO_Public_TSV_FileList!$A$1:$A$1000,MATCH(TRUE(),EXACT(K284,IFERROR(_xlfn.TEXTBEFORE(AUTO_Public_TSV_FileList!$A$1:$A$1000,".tsv"),"")),0)),"notfound")</f>
        <v>10.1016%2Fj.brainres.2005.06.015_Figure3.tsv</v>
      </c>
      <c r="M284" s="8" t="inlineStr">
        <is>
          <t>Primary somatosensory cortical layering across 14 species</t>
        </is>
      </c>
      <c r="N284" s="8" t="inlineStr">
        <is>
          <t>digitized figure</t>
        </is>
      </c>
      <c r="O284" s="8" t="inlineStr">
        <is>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is>
      </c>
      <c r="P284" s="8" t="inlineStr">
        <is>
          <t>HOLD (figure/narrative conflict; registration/R validation pending)</t>
        </is>
      </c>
      <c r="Q284" s="8" t="inlineStr">
        <is>
          <t>Hutsler_etal_2005_Figure3_snapshot.csv</t>
        </is>
      </c>
      <c r="R284" s="8" t="inlineStr">
        <is>
          <t>https://doi.org/10.1016/j.brainres.2005.06.015</t>
        </is>
      </c>
      <c r="S284" s="8"/>
      <c r="T284" s="8" t="inlineStr">
        <is>
          <t>No species-level M1 values; figure/narrative conflicts retained</t>
        </is>
      </c>
      <c r="U284" s="8"/>
      <c r="V284" s="8" t="inlineStr">
        <is>
          <t>cortical layering</t>
        </is>
      </c>
      <c r="W284" s="8" t="inlineStr">
        <is>
          <t>14 species</t>
        </is>
      </c>
      <c r="X284" s="8" t="inlineStr">
        <is>
          <t>S1 cortical/laminar thickness and proportions</t>
        </is>
      </c>
      <c r="Y284" s="8"/>
      <c r="Z284" s="8" t="inlineStr">
        <is>
          <t>histological</t>
        </is>
      </c>
      <c r="AA284" s="8" t="inlineStr">
        <is>
          <t>Nissl linear measurements; digitization for figures</t>
        </is>
      </c>
      <c r="AB284" s="8" t="inlineStr">
        <is>
          <t>thickness (µm); proportion; counts as applicable</t>
        </is>
      </c>
      <c r="AC284" s="8" t="inlineStr">
        <is>
          <t>Hutsler</t>
        </is>
      </c>
      <c r="AD284" s="8"/>
      <c r="AE284" s="8" t="inlineStr">
        <is>
          <t>primary</t>
        </is>
      </c>
      <c r="AF284" s="8"/>
      <c r="AG284" s="8" t="inlineStr">
        <is>
          <t>Owner registration then key/curation review and clean R audit/build/validate.</t>
        </is>
      </c>
      <c r="AH284" s="16"/>
    </row>
    <row r="285" ht="17" customHeight="1">
      <c r="A285" s="8" t="inlineStr">
        <is>
          <t>Hutsler, J. J., Lee, D.-G., &amp; Porter, K. K. (2005). Comparative analysis of cortical layering and supragranular layer enlargement in rodent, carnivore and primate species. Brain Research, 1052(1), 71–81. https://doi.org/10.1016/j.brainres.2005.06.015</t>
        </is>
      </c>
      <c r="B285" s="8"/>
      <c r="C285" s="8"/>
      <c r="D285" s="8" t="inlineStr">
        <is>
          <t>Figure 6</t>
        </is>
      </c>
      <c r="E285" s="2" t="str">
        <f>SUBSTITUTE(SUBSTITUTE(_xlfn.TEXTBEFORE(A285,","), "-", ""), " ", "")</f>
        <v>Hutsler</v>
      </c>
      <c r="F285" s="7"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7" t="str">
        <f>_xlfn.TEXTBEFORE(_xlfn.TEXTAFTER(A285, "("), ")")</f>
        <v>2005</v>
      </c>
      <c r="H285" s="2" t="str">
        <f>E285 &amp; IF(F285&lt;&gt;"", "_" &amp; SUBSTITUTE(F285," ",""), "_") &amp; IF(G285&lt;&gt;"", "_" &amp; G285, "_") &amp; IF(B285&lt;&gt;"", "_" &amp; B285, "")</f>
        <v>Hutsler_etal_2005</v>
      </c>
      <c r="I285" s="2" t="str">
        <f>_xlfn.LET(_xlpm.doi,IF(C285&lt;&gt;"",C285,_xlfn.TEXTAFTER(A285,"https://doi.org/")),SUBSTITUTE(SUBSTITUTE(SUBSTITUTE(SUBSTITUTE(_xlpm.doi,"/","%2F"),":","%3A"),"&lt;","%3C"),"&gt;","%3E"))</f>
        <v>10.1016%2Fj.brainres.2005.06.015</v>
      </c>
      <c r="J285" s="2" t="str">
        <f>TRIM(_xlfn.TEXTJOIN("_",FALSE(),H285,(SUBSTITUTE(SUBSTITUTE(D285," ",""), "_", ""))))</f>
        <v>Hutsler_etal_2005_Figure6</v>
      </c>
      <c r="K285" s="7" t="str">
        <f>I285 &amp; "_" &amp; SUBSTITUTE(SUBSTITUTE(SUBSTITUTE(D285,CHAR(160),"")," ",""),"_","")</f>
        <v>10.1016%2Fj.brainres.2005.06.015_Figure6</v>
      </c>
      <c r="L285" s="7" t="str">
        <f t="array" ref="L285">IFERROR(INDEX(AUTO_Public_TSV_FileList!$A$1:$A$1000,MATCH(TRUE(),EXACT(K285,IFERROR(_xlfn.TEXTBEFORE(AUTO_Public_TSV_FileList!$A$1:$A$1000,".tsv"),"")),0)),"notfound")</f>
        <v>10.1016%2Fj.brainres.2005.06.015_Figure6.tsv</v>
      </c>
      <c r="M285" s="8" t="inlineStr">
        <is>
          <t>Order-level regional supragranular thickness</t>
        </is>
      </c>
      <c r="N285" s="8" t="inlineStr">
        <is>
          <t>digitized figure</t>
        </is>
      </c>
      <c r="O285" s="8" t="inlineStr">
        <is>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is>
      </c>
      <c r="P285" s="8" t="inlineStr">
        <is>
          <t>HOLD (caption conflict; registration/R validation pending)</t>
        </is>
      </c>
      <c r="Q285" s="8" t="inlineStr">
        <is>
          <t>Hutsler_etal_2005_Figure6_snapshot.csv</t>
        </is>
      </c>
      <c r="R285" s="8" t="inlineStr">
        <is>
          <t>https://doi.org/10.1016/j.brainres.2005.06.015</t>
        </is>
      </c>
      <c r="S285" s="8"/>
      <c r="T285" s="8" t="inlineStr">
        <is>
          <t>No species-level M1 values; figure/narrative conflicts retained</t>
        </is>
      </c>
      <c r="U285" s="8"/>
      <c r="V285" s="8" t="inlineStr">
        <is>
          <t>cortical layering</t>
        </is>
      </c>
      <c r="W285" s="8" t="inlineStr">
        <is>
          <t>3 orders x 3 regions (13-species subset)</t>
        </is>
      </c>
      <c r="X285" s="8" t="inlineStr">
        <is>
          <t>M1/premotor/S1 supragranular thickness and proportions</t>
        </is>
      </c>
      <c r="Y285" s="8"/>
      <c r="Z285" s="8" t="inlineStr">
        <is>
          <t>histological</t>
        </is>
      </c>
      <c r="AA285" s="8" t="inlineStr">
        <is>
          <t>Nissl linear measurements; digitization for figures</t>
        </is>
      </c>
      <c r="AB285" s="8" t="inlineStr">
        <is>
          <t>thickness (µm); proportion; counts as applicable</t>
        </is>
      </c>
      <c r="AC285" s="8" t="inlineStr">
        <is>
          <t>Hutsler</t>
        </is>
      </c>
      <c r="AD285" s="8"/>
      <c r="AE285" s="8" t="inlineStr">
        <is>
          <t>primary</t>
        </is>
      </c>
      <c r="AF285" s="8"/>
      <c r="AG285" s="8" t="inlineStr">
        <is>
          <t>Owner registration then key/curation review and clean R audit/build/validate.</t>
        </is>
      </c>
      <c r="AH285" s="16"/>
    </row>
    <row r="286" ht="17" customHeight="1">
      <c r="A286" s="8" t="inlineStr">
        <is>
          <t>Hutsler, J. J., Lee, D.-G., &amp; Porter, K. K. (2005). Comparative analysis of cortical layering and supragranular layer enlargement in rodent, carnivore and primate species. Brain Research, 1052(1), 71–81. https://doi.org/10.1016/j.brainres.2005.06.015</t>
        </is>
      </c>
      <c r="B286" s="8"/>
      <c r="C286" s="8"/>
      <c r="D286" s="8" t="inlineStr">
        <is>
          <t>Reported Values</t>
        </is>
      </c>
      <c r="E286" s="2" t="str">
        <f>SUBSTITUTE(SUBSTITUTE(_xlfn.TEXTBEFORE(A286,","), "-", ""), " ", "")</f>
        <v>Hutsler</v>
      </c>
      <c r="F286" s="7"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7" t="str">
        <f>_xlfn.TEXTBEFORE(_xlfn.TEXTAFTER(A286, "("), ")")</f>
        <v>2005</v>
      </c>
      <c r="H286" s="2" t="str">
        <f>E286 &amp; IF(F286&lt;&gt;"", "_" &amp; SUBSTITUTE(F286," ",""), "_") &amp; IF(G286&lt;&gt;"", "_" &amp; G286, "_") &amp; IF(B286&lt;&gt;"", "_" &amp; B286, "")</f>
        <v>Hutsler_etal_2005</v>
      </c>
      <c r="I286" s="2" t="str">
        <f>_xlfn.LET(_xlpm.doi,IF(C286&lt;&gt;"",C286,_xlfn.TEXTAFTER(A286,"https://doi.org/")),SUBSTITUTE(SUBSTITUTE(SUBSTITUTE(SUBSTITUTE(_xlpm.doi,"/","%2F"),":","%3A"),"&lt;","%3C"),"&gt;","%3E"))</f>
        <v>10.1016%2Fj.brainres.2005.06.015</v>
      </c>
      <c r="J286" s="2" t="str">
        <f>TRIM(_xlfn.TEXTJOIN("_",FALSE(),H286,(SUBSTITUTE(SUBSTITUTE(D286," ",""), "_", ""))))</f>
        <v>Hutsler_etal_2005_ReportedValues</v>
      </c>
      <c r="K286" s="7" t="str">
        <f>I286 &amp; "_" &amp; SUBSTITUTE(SUBSTITUTE(SUBSTITUTE(D286,CHAR(160),"")," ",""),"_","")</f>
        <v>10.1016%2Fj.brainres.2005.06.015_ReportedValues</v>
      </c>
      <c r="L286" s="7" t="str">
        <f t="array" ref="L286">IFERROR(INDEX(AUTO_Public_TSV_FileList!$A$1:$A$1000,MATCH(TRUE(),EXACT(K286,IFERROR(_xlfn.TEXTBEFORE(AUTO_Public_TSV_FileList!$A$1:$A$1000,".tsv"),"")),0)),"notfound")</f>
        <v>10.1016%2Fj.brainres.2005.06.015_ReportedValues.tsv</v>
      </c>
      <c r="M286" s="8" t="inlineStr">
        <is>
          <t>Exact reported cortical-layering summaries</t>
        </is>
      </c>
      <c r="N286" s="8" t="inlineStr">
        <is>
          <t>text</t>
        </is>
      </c>
      <c r="O286" s="8" t="inlineStr">
        <is>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is>
      </c>
      <c r="P286" s="8" t="inlineStr">
        <is>
          <t>HOLD (conflicting summaries; registration/R validation pending)</t>
        </is>
      </c>
      <c r="Q286" s="8" t="inlineStr">
        <is>
          <t>Hutsler_etal_2005_ReportedValues_snapshot.csv</t>
        </is>
      </c>
      <c r="R286" s="8" t="inlineStr">
        <is>
          <t>https://doi.org/10.1016/j.brainres.2005.06.015</t>
        </is>
      </c>
      <c r="S286" s="8"/>
      <c r="T286" s="8" t="inlineStr">
        <is>
          <t>No species-level M1 values; figure/narrative conflicts retained</t>
        </is>
      </c>
      <c r="U286" s="8"/>
      <c r="V286" s="8" t="inlineStr">
        <is>
          <t>cortical layering</t>
        </is>
      </c>
      <c r="W286" s="8" t="inlineStr">
        <is>
          <t>44 numeric prose summaries</t>
        </is>
      </c>
      <c r="X286" s="8" t="inlineStr">
        <is>
          <t>regional/pooled cortical thickness and laminar proportions</t>
        </is>
      </c>
      <c r="Y286" s="8"/>
      <c r="Z286" s="8" t="inlineStr">
        <is>
          <t>histological</t>
        </is>
      </c>
      <c r="AA286" s="8" t="inlineStr">
        <is>
          <t>Nissl linear measurements; digitization for figures</t>
        </is>
      </c>
      <c r="AB286" s="8" t="inlineStr">
        <is>
          <t>thickness (µm); proportion; counts as applicable</t>
        </is>
      </c>
      <c r="AC286" s="8" t="inlineStr">
        <is>
          <t>Hutsler</t>
        </is>
      </c>
      <c r="AD286" s="8"/>
      <c r="AE286" s="8" t="inlineStr">
        <is>
          <t>primary</t>
        </is>
      </c>
      <c r="AF286" s="8"/>
      <c r="AG286" s="8" t="inlineStr">
        <is>
          <t>Owner registration then key/curation review and clean R audit/build/validate.</t>
        </is>
      </c>
      <c r="AH286" s="16"/>
    </row>
    <row r="287" ht="17" customHeight="1">
      <c r="A287" s="8" t="inlineStr">
        <is>
          <t>Hutsler, J. J., Lee, D.-G., &amp; Porter, K. K. (2005). Comparative analysis of cortical layering and supragranular layer enlargement in rodent, carnivore and primate species. Brain Research, 1052(1), 71–81. https://doi.org/10.1016/j.brainres.2005.06.015</t>
        </is>
      </c>
      <c r="B287" s="8"/>
      <c r="C287" s="8"/>
      <c r="D287" s="8" t="inlineStr">
        <is>
          <t>Table 1</t>
        </is>
      </c>
      <c r="E287" s="2" t="str">
        <f>SUBSTITUTE(SUBSTITUTE(_xlfn.TEXTBEFORE(A287,","), "-", ""), " ", "")</f>
        <v>Hutsler</v>
      </c>
      <c r="F287" s="7"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7" t="str">
        <f>_xlfn.TEXTBEFORE(_xlfn.TEXTAFTER(A287, "("), ")")</f>
        <v>2005</v>
      </c>
      <c r="H287" s="2" t="str">
        <f>E287 &amp; IF(F287&lt;&gt;"", "_" &amp; SUBSTITUTE(F287," ",""), "_") &amp; IF(G287&lt;&gt;"", "_" &amp; G287, "_") &amp; IF(B287&lt;&gt;"", "_" &amp; B287, "")</f>
        <v>Hutsler_etal_2005</v>
      </c>
      <c r="I287" s="2" t="str">
        <f>_xlfn.LET(_xlpm.doi,IF(C287&lt;&gt;"",C287,_xlfn.TEXTAFTER(A287,"https://doi.org/")),SUBSTITUTE(SUBSTITUTE(SUBSTITUTE(SUBSTITUTE(_xlpm.doi,"/","%2F"),":","%3A"),"&lt;","%3C"),"&gt;","%3E"))</f>
        <v>10.1016%2Fj.brainres.2005.06.015</v>
      </c>
      <c r="J287" s="2" t="str">
        <f>TRIM(_xlfn.TEXTJOIN("_",FALSE(),H287,(SUBSTITUTE(SUBSTITUTE(D287," ",""), "_", ""))))</f>
        <v>Hutsler_etal_2005_Table1</v>
      </c>
      <c r="K287" s="7" t="str">
        <f>I287 &amp; "_" &amp; SUBSTITUTE(SUBSTITUTE(SUBSTITUTE(D287,CHAR(160),"")," ",""),"_","")</f>
        <v>10.1016%2Fj.brainres.2005.06.015_Table1</v>
      </c>
      <c r="L287" s="7" t="str">
        <f t="array" ref="L287">IFERROR(INDEX(AUTO_Public_TSV_FileList!$A$1:$A$1000,MATCH(TRUE(),EXACT(K287,IFERROR(_xlfn.TEXTBEFORE(AUTO_Public_TSV_FileList!$A$1:$A$1000,".tsv"),"")),0)),"notfound")</f>
        <v>10.1016%2Fj.brainres.2005.06.015_Table1.tsv</v>
      </c>
      <c r="M287" s="8" t="inlineStr">
        <is>
          <t>Species and specimen sources</t>
        </is>
      </c>
      <c r="N287" s="8" t="inlineStr">
        <is>
          <t>PDF table</t>
        </is>
      </c>
      <c r="O287" s="8" t="inlineStr">
        <is>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is>
      </c>
      <c r="P287" s="8" t="inlineStr">
        <is>
          <t>PREPARED LOCALLY (shared approval, clean R and owner checks pending)</t>
        </is>
      </c>
      <c r="Q287" s="8" t="inlineStr">
        <is>
          <t>Hutsler_etal_2005_Table1_snapshot.csv</t>
        </is>
      </c>
      <c r="R287" s="8" t="inlineStr">
        <is>
          <t>https://doi.org/10.1016/j.brainres.2005.06.015</t>
        </is>
      </c>
      <c r="S287" s="8"/>
      <c r="T287" s="8" t="inlineStr">
        <is>
          <t>No species-level M1 values; figure/narrative conflicts retained</t>
        </is>
      </c>
      <c r="U287" s="8"/>
      <c r="V287" s="8" t="inlineStr">
        <is>
          <t>cortical layering</t>
        </is>
      </c>
      <c r="W287" s="8" t="inlineStr">
        <is>
          <t>14 species; 32 specimens</t>
        </is>
      </c>
      <c r="X287" s="8" t="inlineStr">
        <is>
          <t>species and specimen counts</t>
        </is>
      </c>
      <c r="Y287" s="8"/>
      <c r="Z287" s="8" t="inlineStr">
        <is>
          <t>histological</t>
        </is>
      </c>
      <c r="AA287" s="8" t="inlineStr">
        <is>
          <t>Nissl linear measurements; digitization for figures</t>
        </is>
      </c>
      <c r="AB287" s="8" t="inlineStr">
        <is>
          <t>thickness (µm); proportion; counts as applicable</t>
        </is>
      </c>
      <c r="AC287" s="8" t="inlineStr">
        <is>
          <t>Hutsler</t>
        </is>
      </c>
      <c r="AD287" s="8"/>
      <c r="AE287" s="8" t="inlineStr">
        <is>
          <t>primary</t>
        </is>
      </c>
      <c r="AF287" s="8"/>
      <c r="AG287" s="8" t="inlineStr">
        <is>
          <t>Owner registration then key/curation review and clean R audit/build/validate.</t>
        </is>
      </c>
      <c r="AH287" s="16"/>
    </row>
    <row r="288" ht="17" customHeight="1">
      <c r="A288" s="1" t="inlineStr">
        <is>
          <t>Isler, K., Christopher Kirk, E., Miller, J. M. A., Albrecht, G. A., Gelvin, B. R., &amp; Martin, R. D. (2008). Endocranial volumes of primate species: scaling analyses using a comprehensive and reliable data set. J Hum Evol, 55(6), 967. https://doi.org/10.1016/j.jhevol.2008.08.004</t>
        </is>
      </c>
      <c r="B288" s="9"/>
      <c r="C288" s="9"/>
      <c r="D288" s="1" t="inlineStr">
        <is>
          <t>Table 2</t>
        </is>
      </c>
      <c r="E288" s="10" t="str">
        <f>SUBSTITUTE(SUBSTITUTE(_xlfn.TEXTBEFORE(A288,","), "-", ""), " ", "")</f>
        <v>Isler</v>
      </c>
      <c r="F288" s="10"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10" t="str">
        <f>_xlfn.TEXTBEFORE(_xlfn.TEXTAFTER(A288, "("), ")")</f>
        <v>2008</v>
      </c>
      <c r="H288" s="10" t="str">
        <f>E288 &amp; IF(F288&lt;&gt;"", "_" &amp; SUBSTITUTE(F288," ",""), "_") &amp; IF(G288&lt;&gt;"", "_" &amp; G288, "_") &amp; IF(B288&lt;&gt;"", "_" &amp; B288, "")</f>
        <v>Isler_etal_2008</v>
      </c>
      <c r="I288" s="10" t="str">
        <f>_xlfn.LET(
_xlpm.doi,IF(C288&lt;&gt;"",C288,_xlfn.TEXTAFTER(A288,"https://doi.org/")),
SUBSTITUTE(
SUBSTITUTE(
SUBSTITUTE(
SUBSTITUTE(
_xlpm.doi,
"/","%2F"),
":","%3A"),
"&lt;","%3C"),
"&gt;","%3E")
)</f>
        <v>10.1016%2Fj.jhevol.2008.08.004</v>
      </c>
      <c r="J288" s="10" t="str">
        <f>TRIM(_xlfn.TEXTJOIN("_",FALSE(),H288,(SUBSTITUTE(SUBSTITUTE(D288," ",""), "_", ""))))</f>
        <v>Isler_etal_2008_Table2</v>
      </c>
      <c r="K288" s="10" t="str">
        <f>I288 &amp; "_" &amp; SUBSTITUTE(SUBSTITUTE(SUBSTITUTE(D288,CHAR(160),"")," ",""),"_","")</f>
        <v>10.1016%2Fj.jhevol.2008.08.004_Table2</v>
      </c>
      <c r="L288" s="10" t="str">
        <f t="array" ref="L288">IFERROR(INDEX(AUTO_Public_TSV_FileList!$A$1:$A$1000,MATCH(TRUE(),EXACT(K288,IFERROR(_xlfn.TEXTBEFORE(AUTO_Public_TSV_FileList!$A$1:$A$1000,".tsv"),"")),0)),"notfound")</f>
        <v>10.1016%2Fj.jhevol.2008.08.004_Table2.tsv</v>
      </c>
      <c r="M288" s="13"/>
      <c r="N288" s="1" t="inlineStr">
        <is>
          <t>table</t>
        </is>
      </c>
      <c r="O288" s="13"/>
      <c r="P288" s="1" t="inlineStr">
        <is>
          <t>FINISHED</t>
        </is>
      </c>
      <c r="Q288" s="13"/>
      <c r="R288" s="13"/>
      <c r="S288" s="13"/>
      <c r="T288" s="13"/>
      <c r="U288" s="13"/>
      <c r="V288" s="13"/>
      <c r="W288" s="1" t="inlineStr">
        <is>
          <t>Primates</t>
        </is>
      </c>
      <c r="X288" s="1" t="inlineStr">
        <is>
          <t>endocranial volume</t>
        </is>
      </c>
      <c r="Y288" s="13"/>
      <c r="Z288" s="13"/>
      <c r="AA288" s="13"/>
      <c r="AB288" s="1" t="inlineStr">
        <is>
          <t>endocranial / brain volume</t>
        </is>
      </c>
      <c r="AC288" s="13"/>
      <c r="AD288" s="13"/>
      <c r="AE288" s="1" t="inlineStr">
        <is>
          <t>secondary</t>
        </is>
      </c>
      <c r="AF288" s="1"/>
      <c r="AG288" s="13"/>
    </row>
    <row r="289" ht="17" customHeight="1">
      <c r="A289" s="1" t="inlineStr">
        <is>
          <t>Isler, K., Christopher Kirk, E., Miller, J. M. A., Albrecht, G. A., Gelvin, B. R., &amp; Martin, R. D. (2008). Endocranial volumes of primate species: scaling analyses using a comprehensive and reliable data set. J Hum Evol, 55(6), 967. https://doi.org/10.1016/j.jhevol.2008.08.004</t>
        </is>
      </c>
      <c r="B289" s="9"/>
      <c r="C289" s="9"/>
      <c r="D289" s="1" t="inlineStr">
        <is>
          <t>Table 7</t>
        </is>
      </c>
      <c r="E289" s="10" t="str">
        <f>SUBSTITUTE(SUBSTITUTE(_xlfn.TEXTBEFORE(A289,","), "-", ""), " ", "")</f>
        <v>Isler</v>
      </c>
      <c r="F289" s="10"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10" t="str">
        <f>_xlfn.TEXTBEFORE(_xlfn.TEXTAFTER(A289, "("), ")")</f>
        <v>2008</v>
      </c>
      <c r="H289" s="10" t="str">
        <f>E289 &amp; IF(F289&lt;&gt;"", "_" &amp; SUBSTITUTE(F289," ",""), "_") &amp; IF(G289&lt;&gt;"", "_" &amp; G289, "_") &amp; IF(B289&lt;&gt;"", "_" &amp; B289, "")</f>
        <v>Isler_etal_2008</v>
      </c>
      <c r="I289" s="10" t="str">
        <f>_xlfn.LET(
_xlpm.doi,IF(C289&lt;&gt;"",C289,_xlfn.TEXTAFTER(A289,"https://doi.org/")),
SUBSTITUTE(
SUBSTITUTE(
SUBSTITUTE(
SUBSTITUTE(
_xlpm.doi,
"/","%2F"),
":","%3A"),
"&lt;","%3C"),
"&gt;","%3E")
)</f>
        <v>10.1016%2Fj.jhevol.2008.08.004</v>
      </c>
      <c r="J289" s="10" t="str">
        <f>TRIM(_xlfn.TEXTJOIN("_",FALSE(),H289,(SUBSTITUTE(SUBSTITUTE(D289," ",""), "_", ""))))</f>
        <v>Isler_etal_2008_Table7</v>
      </c>
      <c r="K289" s="10" t="str">
        <f>I289 &amp; "_" &amp; SUBSTITUTE(SUBSTITUTE(SUBSTITUTE(D289,CHAR(160),"")," ",""),"_","")</f>
        <v>10.1016%2Fj.jhevol.2008.08.004_Table7</v>
      </c>
      <c r="L289" s="10" t="str">
        <f t="array" ref="L289">IFERROR(INDEX(AUTO_Public_TSV_FileList!$A$1:$A$1000,MATCH(TRUE(),EXACT(K289,IFERROR(_xlfn.TEXTBEFORE(AUTO_Public_TSV_FileList!$A$1:$A$1000,".tsv"),"")),0)),"notfound")</f>
        <v>10.1016%2Fj.jhevol.2008.08.004_Table7.tsv</v>
      </c>
      <c r="M289" s="13"/>
      <c r="N289" s="1" t="inlineStr">
        <is>
          <t>table</t>
        </is>
      </c>
      <c r="O289" s="13"/>
      <c r="P289" s="1" t="inlineStr">
        <is>
          <t>FINISHED</t>
        </is>
      </c>
      <c r="Q289" s="13"/>
      <c r="R289" s="13"/>
      <c r="S289" s="13"/>
      <c r="T289" s="13"/>
      <c r="U289" s="13"/>
      <c r="V289" s="13"/>
      <c r="W289" s="1" t="inlineStr">
        <is>
          <t>Primates</t>
        </is>
      </c>
      <c r="X289" s="1" t="inlineStr">
        <is>
          <t>endocranial volume</t>
        </is>
      </c>
      <c r="Y289" s="13"/>
      <c r="Z289" s="13"/>
      <c r="AA289" s="13"/>
      <c r="AB289" s="1" t="inlineStr">
        <is>
          <t>endocranial / brain volume</t>
        </is>
      </c>
      <c r="AC289" s="13"/>
      <c r="AD289" s="13"/>
      <c r="AE289" s="1" t="inlineStr">
        <is>
          <t>secondary</t>
        </is>
      </c>
      <c r="AF289" s="1"/>
      <c r="AG289" s="13"/>
    </row>
    <row r="290" ht="17" customHeight="1">
      <c r="A290" s="1" t="inlineStr">
        <is>
          <t>Isler, K., Christopher Kirk, E., Miller, J. M. A., Albrecht, G. A., Gelvin, B. R., &amp; Martin, R. D. (2008). Endocranial volumes of primate species: scaling analyses using a comprehensive and reliable data set. J Hum Evol, 55(6), 967. https://doi.org/10.1016/j.jhevol.2008.08.004</t>
        </is>
      </c>
      <c r="B290" s="9"/>
      <c r="C290" s="9"/>
      <c r="D290" s="1" t="inlineStr">
        <is>
          <t>Table S1</t>
        </is>
      </c>
      <c r="E290" s="10" t="str">
        <f>SUBSTITUTE(SUBSTITUTE(_xlfn.TEXTBEFORE(A290,","), "-", ""), " ", "")</f>
        <v>Isler</v>
      </c>
      <c r="F290" s="10"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10" t="str">
        <f>_xlfn.TEXTBEFORE(_xlfn.TEXTAFTER(A290, "("), ")")</f>
        <v>2008</v>
      </c>
      <c r="H290" s="10" t="str">
        <f>E290 &amp; IF(F290&lt;&gt;"", "_" &amp; SUBSTITUTE(F290," ",""), "_") &amp; IF(G290&lt;&gt;"", "_" &amp; G290, "_") &amp; IF(B290&lt;&gt;"", "_" &amp; B290, "")</f>
        <v>Isler_etal_2008</v>
      </c>
      <c r="I290" s="10" t="str">
        <f>_xlfn.LET(
_xlpm.doi,IF(C290&lt;&gt;"",C290,_xlfn.TEXTAFTER(A290,"https://doi.org/")),
SUBSTITUTE(
SUBSTITUTE(
SUBSTITUTE(
SUBSTITUTE(
_xlpm.doi,
"/","%2F"),
":","%3A"),
"&lt;","%3C"),
"&gt;","%3E")
)</f>
        <v>10.1016%2Fj.jhevol.2008.08.004</v>
      </c>
      <c r="J290" s="10" t="str">
        <f>TRIM(_xlfn.TEXTJOIN("_",FALSE(),H290,(SUBSTITUTE(SUBSTITUTE(D290," ",""), "_", ""))))</f>
        <v>Isler_etal_2008_TableS1</v>
      </c>
      <c r="K290" s="10" t="str">
        <f>I290 &amp; "_" &amp; SUBSTITUTE(SUBSTITUTE(SUBSTITUTE(D290,CHAR(160),"")," ",""),"_","")</f>
        <v>10.1016%2Fj.jhevol.2008.08.004_TableS1</v>
      </c>
      <c r="L290" s="10" t="str">
        <f t="array" ref="L290">IFERROR(INDEX(AUTO_Public_TSV_FileList!$A$1:$A$1000,MATCH(TRUE(),EXACT(K290,IFERROR(_xlfn.TEXTBEFORE(AUTO_Public_TSV_FileList!$A$1:$A$1000,".tsv"),"")),0)),"notfound")</f>
        <v>10.1016%2Fj.jhevol.2008.08.004_TableS1.tsv</v>
      </c>
      <c r="M290" s="13"/>
      <c r="N290" s="1" t="inlineStr">
        <is>
          <t>table</t>
        </is>
      </c>
      <c r="O290" s="13"/>
      <c r="P290" s="1" t="inlineStr">
        <is>
          <t>FINISHED</t>
        </is>
      </c>
      <c r="Q290" s="13"/>
      <c r="R290" s="13"/>
      <c r="S290" s="13"/>
      <c r="T290" s="13"/>
      <c r="U290" s="13"/>
      <c r="V290" s="13"/>
      <c r="W290" s="1" t="inlineStr">
        <is>
          <t>Primates</t>
        </is>
      </c>
      <c r="X290" s="1" t="inlineStr">
        <is>
          <t>endocranial volume</t>
        </is>
      </c>
      <c r="Y290" s="13"/>
      <c r="Z290" s="13"/>
      <c r="AA290" s="13"/>
      <c r="AB290" s="1" t="inlineStr">
        <is>
          <t>endocranial / brain volume</t>
        </is>
      </c>
      <c r="AC290" s="13"/>
      <c r="AD290" s="13"/>
      <c r="AE290" s="1" t="inlineStr">
        <is>
          <t>secondary</t>
        </is>
      </c>
      <c r="AF290" s="1"/>
      <c r="AG290" s="13"/>
    </row>
    <row r="291" ht="17" customHeight="1">
      <c r="A291" s="1" t="inlineStr">
        <is>
          <t>Isler, K., Christopher Kirk, E., Miller, J. M. A., Albrecht, G. A., Gelvin, B. R., &amp; Martin, R. D. (2008). Endocranial volumes of primate species: scaling analyses using a comprehensive and reliable data set. J Hum Evol, 55(6), 967. https://doi.org/10.1016/j.jhevol.2008.08.004</t>
        </is>
      </c>
      <c r="B291" s="9"/>
      <c r="C291" s="9"/>
      <c r="D291" s="1" t="inlineStr">
        <is>
          <t>Table S2</t>
        </is>
      </c>
      <c r="E291" s="10" t="str">
        <f>SUBSTITUTE(SUBSTITUTE(_xlfn.TEXTBEFORE(A291,","), "-", ""), " ", "")</f>
        <v>Isler</v>
      </c>
      <c r="F291" s="10"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10" t="str">
        <f>_xlfn.TEXTBEFORE(_xlfn.TEXTAFTER(A291, "("), ")")</f>
        <v>2008</v>
      </c>
      <c r="H291" s="10" t="str">
        <f>E291 &amp; IF(F291&lt;&gt;"", "_" &amp; SUBSTITUTE(F291," ",""), "_") &amp; IF(G291&lt;&gt;"", "_" &amp; G291, "_") &amp; IF(B291&lt;&gt;"", "_" &amp; B291, "")</f>
        <v>Isler_etal_2008</v>
      </c>
      <c r="I291" s="10" t="str">
        <f>_xlfn.LET(
_xlpm.doi,IF(C291&lt;&gt;"",C291,_xlfn.TEXTAFTER(A291,"https://doi.org/")),
SUBSTITUTE(
SUBSTITUTE(
SUBSTITUTE(
SUBSTITUTE(
_xlpm.doi,
"/","%2F"),
":","%3A"),
"&lt;","%3C"),
"&gt;","%3E")
)</f>
        <v>10.1016%2Fj.jhevol.2008.08.004</v>
      </c>
      <c r="J291" s="10" t="str">
        <f>TRIM(_xlfn.TEXTJOIN("_",FALSE(),H291,(SUBSTITUTE(SUBSTITUTE(D291," ",""), "_", ""))))</f>
        <v>Isler_etal_2008_TableS2</v>
      </c>
      <c r="K291" s="10" t="str">
        <f>I291 &amp; "_" &amp; SUBSTITUTE(SUBSTITUTE(SUBSTITUTE(D291,CHAR(160),"")," ",""),"_","")</f>
        <v>10.1016%2Fj.jhevol.2008.08.004_TableS2</v>
      </c>
      <c r="L291" s="10" t="str">
        <f t="array" ref="L291">IFERROR(INDEX(AUTO_Public_TSV_FileList!$A$1:$A$1000,MATCH(TRUE(),EXACT(K291,IFERROR(_xlfn.TEXTBEFORE(AUTO_Public_TSV_FileList!$A$1:$A$1000,".tsv"),"")),0)),"notfound")</f>
        <v>10.1016%2Fj.jhevol.2008.08.004_TableS2.tsv</v>
      </c>
      <c r="M291" s="13"/>
      <c r="N291" s="1" t="inlineStr">
        <is>
          <t>table</t>
        </is>
      </c>
      <c r="O291" s="13"/>
      <c r="P291" s="1" t="inlineStr">
        <is>
          <t>FINISHED</t>
        </is>
      </c>
      <c r="Q291" s="13"/>
      <c r="R291" s="13"/>
      <c r="S291" s="13"/>
      <c r="T291" s="13"/>
      <c r="U291" s="13"/>
      <c r="V291" s="13"/>
      <c r="W291" s="1" t="inlineStr">
        <is>
          <t>Primates</t>
        </is>
      </c>
      <c r="X291" s="1" t="inlineStr">
        <is>
          <t>endocranial volume</t>
        </is>
      </c>
      <c r="Y291" s="13"/>
      <c r="Z291" s="13"/>
      <c r="AA291" s="13"/>
      <c r="AB291" s="1" t="inlineStr">
        <is>
          <t>endocranial / brain volume</t>
        </is>
      </c>
      <c r="AC291" s="13"/>
      <c r="AD291" s="13"/>
      <c r="AE291" s="1" t="inlineStr">
        <is>
          <t>secondary</t>
        </is>
      </c>
      <c r="AF291" s="1"/>
      <c r="AG291" s="13"/>
    </row>
    <row r="292" ht="17" customHeight="1">
      <c r="A292" s="1" t="inlineStr">
        <is>
          <t>Isler, K., Christopher Kirk, E., Miller, J. M. A., Albrecht, G. A., Gelvin, B. R., &amp; Martin, R. D. (2008). Endocranial volumes of primate species: scaling analyses using a comprehensive and reliable data set. J Hum Evol, 55(6), 967. https://doi.org/10.1016/j.jhevol.2008.08.004</t>
        </is>
      </c>
      <c r="B292" s="9"/>
      <c r="C292" s="9"/>
      <c r="D292" s="1" t="inlineStr">
        <is>
          <t>Table S3</t>
        </is>
      </c>
      <c r="E292" s="10" t="str">
        <f>SUBSTITUTE(SUBSTITUTE(_xlfn.TEXTBEFORE(A292,","), "-", ""), " ", "")</f>
        <v>Isler</v>
      </c>
      <c r="F292" s="10"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10" t="str">
        <f>_xlfn.TEXTBEFORE(_xlfn.TEXTAFTER(A292, "("), ")")</f>
        <v>2008</v>
      </c>
      <c r="H292" s="10" t="str">
        <f>E292 &amp; IF(F292&lt;&gt;"", "_" &amp; SUBSTITUTE(F292," ",""), "_") &amp; IF(G292&lt;&gt;"", "_" &amp; G292, "_") &amp; IF(B292&lt;&gt;"", "_" &amp; B292, "")</f>
        <v>Isler_etal_2008</v>
      </c>
      <c r="I292" s="10" t="str">
        <f>_xlfn.LET(
_xlpm.doi,IF(C292&lt;&gt;"",C292,_xlfn.TEXTAFTER(A292,"https://doi.org/")),
SUBSTITUTE(
SUBSTITUTE(
SUBSTITUTE(
SUBSTITUTE(
_xlpm.doi,
"/","%2F"),
":","%3A"),
"&lt;","%3C"),
"&gt;","%3E")
)</f>
        <v>10.1016%2Fj.jhevol.2008.08.004</v>
      </c>
      <c r="J292" s="10" t="str">
        <f>TRIM(_xlfn.TEXTJOIN("_",FALSE(),H292,(SUBSTITUTE(SUBSTITUTE(D292," ",""), "_", ""))))</f>
        <v>Isler_etal_2008_TableS3</v>
      </c>
      <c r="K292" s="10" t="str">
        <f>I292 &amp; "_" &amp; SUBSTITUTE(SUBSTITUTE(SUBSTITUTE(D292,CHAR(160),"")," ",""),"_","")</f>
        <v>10.1016%2Fj.jhevol.2008.08.004_TableS3</v>
      </c>
      <c r="L292" s="10" t="str">
        <f t="array" ref="L292">IFERROR(INDEX(AUTO_Public_TSV_FileList!$A$1:$A$1000,MATCH(TRUE(),EXACT(K292,IFERROR(_xlfn.TEXTBEFORE(AUTO_Public_TSV_FileList!$A$1:$A$1000,".tsv"),"")),0)),"notfound")</f>
        <v>10.1016%2Fj.jhevol.2008.08.004_TableS3.tsv</v>
      </c>
      <c r="M292" s="13"/>
      <c r="N292" s="1" t="inlineStr">
        <is>
          <t>table</t>
        </is>
      </c>
      <c r="O292" s="13"/>
      <c r="P292" s="1" t="inlineStr">
        <is>
          <t>FINISHED</t>
        </is>
      </c>
      <c r="Q292" s="13"/>
      <c r="R292" s="13"/>
      <c r="S292" s="13"/>
      <c r="T292" s="13"/>
      <c r="U292" s="13"/>
      <c r="V292" s="13"/>
      <c r="W292" s="1" t="inlineStr">
        <is>
          <t>Primates</t>
        </is>
      </c>
      <c r="X292" s="1" t="inlineStr">
        <is>
          <t>endocranial volume</t>
        </is>
      </c>
      <c r="Y292" s="13"/>
      <c r="Z292" s="13"/>
      <c r="AA292" s="13"/>
      <c r="AB292" s="1" t="inlineStr">
        <is>
          <t>endocranial / brain volume</t>
        </is>
      </c>
      <c r="AC292" s="13"/>
      <c r="AD292" s="13"/>
      <c r="AE292" s="1" t="inlineStr">
        <is>
          <t>secondary</t>
        </is>
      </c>
      <c r="AF292" s="1"/>
      <c r="AG292" s="13"/>
    </row>
    <row r="293" ht="17" customHeight="1">
      <c r="A293" s="1" t="inlineStr">
        <is>
          <t>Isler, K., Christopher Kirk, E., Miller, J. M. A., Albrecht, G. A., Gelvin, B. R., &amp; Martin, R. D. (2008). Endocranial volumes of primate species: scaling analyses using a comprehensive and reliable data set. J Hum Evol, 55(6), 967. https://doi.org/10.1016/j.jhevol.2008.08.004</t>
        </is>
      </c>
      <c r="B293" s="9"/>
      <c r="C293" s="9"/>
      <c r="D293" s="1" t="inlineStr">
        <is>
          <t>Tree.nex</t>
        </is>
      </c>
      <c r="E293" s="10" t="str">
        <f>SUBSTITUTE(SUBSTITUTE(_xlfn.TEXTBEFORE(A293,","), "-", ""), " ", "")</f>
        <v>Isler</v>
      </c>
      <c r="F293" s="10"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10" t="str">
        <f>_xlfn.TEXTBEFORE(_xlfn.TEXTAFTER(A293, "("), ")")</f>
        <v>2008</v>
      </c>
      <c r="H293" s="10" t="str">
        <f>E293 &amp; IF(F293&lt;&gt;"", "_" &amp; SUBSTITUTE(F293," ",""), "_") &amp; IF(G293&lt;&gt;"", "_" &amp; G293, "_") &amp; IF(B293&lt;&gt;"", "_" &amp; B293, "")</f>
        <v>Isler_etal_2008</v>
      </c>
      <c r="I293" s="10" t="str">
        <f>_xlfn.LET(
_xlpm.doi,IF(C293&lt;&gt;"",C293,_xlfn.TEXTAFTER(A293,"https://doi.org/")),
SUBSTITUTE(
SUBSTITUTE(
SUBSTITUTE(
SUBSTITUTE(
_xlpm.doi,
"/","%2F"),
":","%3A"),
"&lt;","%3C"),
"&gt;","%3E")
)</f>
        <v>10.1016%2Fj.jhevol.2008.08.004</v>
      </c>
      <c r="J293" s="10" t="str">
        <f>TRIM(_xlfn.TEXTJOIN("_",FALSE(),H293,(SUBSTITUTE(SUBSTITUTE(D293," ",""), "_", ""))))</f>
        <v>Isler_etal_2008_Tree.nex</v>
      </c>
      <c r="K293" s="10" t="str">
        <f>I293 &amp; "_" &amp; SUBSTITUTE(SUBSTITUTE(SUBSTITUTE(D293,CHAR(160),"")," ",""),"_","")</f>
        <v>10.1016%2Fj.jhevol.2008.08.004_Tree.nex</v>
      </c>
      <c r="L293" s="10" t="str">
        <f t="array" ref="L293">IFERROR(INDEX(AUTO_Public_TSV_FileList!$A$1:$A$1000,MATCH(TRUE(),EXACT(K293,IFERROR(_xlfn.TEXTBEFORE(AUTO_Public_TSV_FileList!$A$1:$A$1000,".tsv"),"")),0)),"notfound")</f>
        <v>notfound</v>
      </c>
      <c r="M293" s="13"/>
      <c r="N293" s="1" t="inlineStr">
        <is>
          <t>tree</t>
        </is>
      </c>
      <c r="O293" s="13" t="inlineStr">
        <is>
          <t>Local build (.nex, .R, snapshot, README) was already complete; the public NEXUS file was missing from __Public/comparative-data and has now been uploaded (byte-identical to the local file, matching the R script's own build logic). Progress stage corrected to FINISHED 2026-09-25.</t>
        </is>
      </c>
      <c r="P293" s="13" t="inlineStr">
        <is>
          <t>FINISHED</t>
        </is>
      </c>
      <c r="Q293" s="13"/>
      <c r="R293" s="13"/>
      <c r="S293" s="13"/>
      <c r="T293" s="13"/>
      <c r="U293" s="13"/>
      <c r="V293" s="13"/>
      <c r="W293" s="1" t="inlineStr">
        <is>
          <t>Primates</t>
        </is>
      </c>
      <c r="X293" s="1" t="inlineStr">
        <is>
          <t>phylogenetic tree</t>
        </is>
      </c>
      <c r="Y293" s="13"/>
      <c r="Z293" s="13"/>
      <c r="AA293" s="13"/>
      <c r="AB293" s="1" t="inlineStr">
        <is>
          <t>phylogeny (tree)</t>
        </is>
      </c>
      <c r="AC293" s="13"/>
      <c r="AD293" s="13"/>
      <c r="AE293" s="1" t="inlineStr">
        <is>
          <t>secondary</t>
        </is>
      </c>
      <c r="AF293" s="1"/>
      <c r="AG293" s="13"/>
    </row>
    <row r="294" ht="17" customHeight="1">
      <c r="A294" s="1" t="inlineStr">
        <is>
          <t>Iwaniuk, A. N., Nelson, J. E., &amp; Pellis, S. M. (2001). Do big-brained animals play more? Comparative analyses of play and relative brain size in mammals. J Comp Psychol, 115(1), 29-41. https://doi.org/10.1037/0735-7036.115.1.29</t>
        </is>
      </c>
      <c r="B294" s="9"/>
      <c r="C294" s="9"/>
      <c r="D294" s="1" t="inlineStr">
        <is>
          <t>Table 1</t>
        </is>
      </c>
      <c r="E294" s="10" t="str">
        <f>SUBSTITUTE(SUBSTITUTE(_xlfn.TEXTBEFORE(A294,","), "-", ""), " ", "")</f>
        <v>Iwaniuk</v>
      </c>
      <c r="F294" s="10"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10" t="str">
        <f>_xlfn.TEXTBEFORE(_xlfn.TEXTAFTER(A294, "("), ")")</f>
        <v>2001</v>
      </c>
      <c r="H294" s="10" t="str">
        <f>E294 &amp; IF(F294&lt;&gt;"", "_" &amp; SUBSTITUTE(F294," ",""), "_") &amp; IF(G294&lt;&gt;"", "_" &amp; G294, "_") &amp; IF(B294&lt;&gt;"", "_" &amp; B294, "")</f>
        <v>Iwaniuk_etal_2001</v>
      </c>
      <c r="I294" s="10" t="str">
        <f>_xlfn.LET(
_xlpm.doi,IF(C294&lt;&gt;"",C294,_xlfn.TEXTAFTER(A294,"https://doi.org/")),
SUBSTITUTE(
SUBSTITUTE(
SUBSTITUTE(
SUBSTITUTE(
_xlpm.doi,
"/","%2F"),
":","%3A"),
"&lt;","%3C"),
"&gt;","%3E")
)</f>
        <v>10.1037%2F0735-7036.115.1.29</v>
      </c>
      <c r="J294" s="10" t="str">
        <f>TRIM(_xlfn.TEXTJOIN("_",FALSE(),H294,(SUBSTITUTE(SUBSTITUTE(D294," ",""), "_", ""))))</f>
        <v>Iwaniuk_etal_2001_Table1</v>
      </c>
      <c r="K294" s="10" t="str">
        <f>I294 &amp; "_" &amp; SUBSTITUTE(SUBSTITUTE(SUBSTITUTE(D294,CHAR(160),"")," ",""),"_","")</f>
        <v>10.1037%2F0735-7036.115.1.29_Table1</v>
      </c>
      <c r="L294" s="10" t="str">
        <f t="array" ref="L294">IFERROR(INDEX(AUTO_Public_TSV_FileList!$A$1:$A$1000,MATCH(TRUE(),EXACT(K294,IFERROR(_xlfn.TEXTBEFORE(AUTO_Public_TSV_FileList!$A$1:$A$1000,".tsv"),"")),0)),"notfound")</f>
        <v>10.1037%2F0735-7036.115.1.29_Table1.tsv</v>
      </c>
      <c r="M294" s="1" t="inlineStr">
        <is>
          <t>Table 1 Encephalization Quotients (EQs) and Play Scores for 15 Mammalian Orders</t>
        </is>
      </c>
      <c r="N294" s="1" t="inlineStr">
        <is>
          <t>table</t>
        </is>
      </c>
      <c r="O294" s="13"/>
      <c r="P294" s="1" t="inlineStr">
        <is>
          <t>FINISHED</t>
        </is>
      </c>
      <c r="Q294" s="13"/>
      <c r="R294" s="13"/>
      <c r="S294" s="13"/>
      <c r="T294" s="13"/>
      <c r="U294" s="13"/>
      <c r="V294" s="1"/>
      <c r="W294" s="1" t="inlineStr">
        <is>
          <t>Mammals</t>
        </is>
      </c>
      <c r="X294" s="1" t="inlineStr">
        <is>
          <t>play</t>
        </is>
      </c>
      <c r="Y294" s="13"/>
      <c r="Z294" s="13"/>
      <c r="AA294" s="13"/>
      <c r="AB294" s="1" t="inlineStr">
        <is>
          <t>behavioural (play)</t>
        </is>
      </c>
      <c r="AC294" s="13"/>
      <c r="AD294" s="13"/>
      <c r="AE294" s="1" t="inlineStr">
        <is>
          <t>secondary</t>
        </is>
      </c>
      <c r="AF294" s="1"/>
      <c r="AG294" s="13"/>
    </row>
    <row r="295" ht="17" customHeight="1">
      <c r="A295" s="1" t="inlineStr">
        <is>
          <t>Iwaniuk, A. N., Nelson, J. E., &amp; Pellis, S. M. (2001). Do big-brained animals play more? Comparative analyses of play and relative brain size in mammals. J Comp Psychol, 115(1), 29-41. https://doi.org/10.1037/0735-7036.115.1.29</t>
        </is>
      </c>
      <c r="B295" s="9"/>
      <c r="C295" s="9"/>
      <c r="D295" s="1" t="inlineStr">
        <is>
          <t>Table 2</t>
        </is>
      </c>
      <c r="E295" s="10" t="str">
        <f>SUBSTITUTE(SUBSTITUTE(_xlfn.TEXTBEFORE(A295,","), "-", ""), " ", "")</f>
        <v>Iwaniuk</v>
      </c>
      <c r="F295" s="10"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10" t="str">
        <f>_xlfn.TEXTBEFORE(_xlfn.TEXTAFTER(A295, "("), ")")</f>
        <v>2001</v>
      </c>
      <c r="H295" s="10" t="str">
        <f>E295 &amp; IF(F295&lt;&gt;"", "_" &amp; SUBSTITUTE(F295," ",""), "_") &amp; IF(G295&lt;&gt;"", "_" &amp; G295, "_") &amp; IF(B295&lt;&gt;"", "_" &amp; B295, "")</f>
        <v>Iwaniuk_etal_2001</v>
      </c>
      <c r="I295" s="10" t="str">
        <f>_xlfn.LET(
_xlpm.doi,IF(C295&lt;&gt;"",C295,_xlfn.TEXTAFTER(A295,"https://doi.org/")),
SUBSTITUTE(
SUBSTITUTE(
SUBSTITUTE(
SUBSTITUTE(
_xlpm.doi,
"/","%2F"),
":","%3A"),
"&lt;","%3C"),
"&gt;","%3E")
)</f>
        <v>10.1037%2F0735-7036.115.1.29</v>
      </c>
      <c r="J295" s="10" t="str">
        <f>TRIM(_xlfn.TEXTJOIN("_",FALSE(),H295,(SUBSTITUTE(SUBSTITUTE(D295," ",""), "_", ""))))</f>
        <v>Iwaniuk_etal_2001_Table2</v>
      </c>
      <c r="K295" s="10" t="str">
        <f>I295 &amp; "_" &amp; SUBSTITUTE(SUBSTITUTE(SUBSTITUTE(D295,CHAR(160),"")," ",""),"_","")</f>
        <v>10.1037%2F0735-7036.115.1.29_Table2</v>
      </c>
      <c r="L295" s="10" t="str">
        <f t="array" ref="L295">IFERROR(INDEX(AUTO_Public_TSV_FileList!$A$1:$A$1000,MATCH(TRUE(),EXACT(K295,IFERROR(_xlfn.TEXTBEFORE(AUTO_Public_TSV_FileList!$A$1:$A$1000,".tsv"),"")),0)),"notfound")</f>
        <v>10.1037%2F0735-7036.115.1.29_Table2.tsv</v>
      </c>
      <c r="M295" s="1" t="inlineStr">
        <is>
          <t>Table 2 The Five Play Scores and Relative Brain Sizes for the Species of Muroid Rodents Examined</t>
        </is>
      </c>
      <c r="N295" s="1" t="inlineStr">
        <is>
          <t>table</t>
        </is>
      </c>
      <c r="O295" s="13"/>
      <c r="P295" s="1" t="inlineStr">
        <is>
          <t>FINISHED</t>
        </is>
      </c>
      <c r="Q295" s="13"/>
      <c r="R295" s="13"/>
      <c r="S295" s="13"/>
      <c r="T295" s="13"/>
      <c r="U295" s="13"/>
      <c r="V295" s="1"/>
      <c r="W295" s="1" t="inlineStr">
        <is>
          <t>Mammals</t>
        </is>
      </c>
      <c r="X295" s="1" t="inlineStr">
        <is>
          <t>play</t>
        </is>
      </c>
      <c r="Y295" s="13"/>
      <c r="Z295" s="13"/>
      <c r="AA295" s="13"/>
      <c r="AB295" s="1" t="inlineStr">
        <is>
          <t>behavioural (play)</t>
        </is>
      </c>
      <c r="AC295" s="13"/>
      <c r="AD295" s="13"/>
      <c r="AE295" s="1" t="inlineStr">
        <is>
          <t>secondary</t>
        </is>
      </c>
      <c r="AF295" s="1"/>
      <c r="AG295" s="13"/>
    </row>
    <row r="296" ht="17" customHeight="1">
      <c r="A296" s="1" t="inlineStr">
        <is>
          <t>Iwaniuk, A. N., Nelson, J. E., &amp; Pellis, S. M. (2001). Do big-brained animals play more? Comparative analyses of play and relative brain size in mammals. J Comp Psychol, 115(1), 29-41. https://doi.org/10.1037/0735-7036.115.1.29</t>
        </is>
      </c>
      <c r="B296" s="9"/>
      <c r="C296" s="9"/>
      <c r="D296" s="1" t="inlineStr">
        <is>
          <t>Table 3</t>
        </is>
      </c>
      <c r="E296" s="10" t="str">
        <f>SUBSTITUTE(SUBSTITUTE(_xlfn.TEXTBEFORE(A296,","), "-", ""), " ", "")</f>
        <v>Iwaniuk</v>
      </c>
      <c r="F296" s="10"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10" t="str">
        <f>_xlfn.TEXTBEFORE(_xlfn.TEXTAFTER(A296, "("), ")")</f>
        <v>2001</v>
      </c>
      <c r="H296" s="10" t="str">
        <f>E296 &amp; IF(F296&lt;&gt;"", "_" &amp; SUBSTITUTE(F296," ",""), "_") &amp; IF(G296&lt;&gt;"", "_" &amp; G296, "_") &amp; IF(B296&lt;&gt;"", "_" &amp; B296, "")</f>
        <v>Iwaniuk_etal_2001</v>
      </c>
      <c r="I296" s="10" t="str">
        <f>_xlfn.LET(
_xlpm.doi,IF(C296&lt;&gt;"",C296,_xlfn.TEXTAFTER(A296,"https://doi.org/")),
SUBSTITUTE(
SUBSTITUTE(
SUBSTITUTE(
SUBSTITUTE(
_xlpm.doi,
"/","%2F"),
":","%3A"),
"&lt;","%3C"),
"&gt;","%3E")
)</f>
        <v>10.1037%2F0735-7036.115.1.29</v>
      </c>
      <c r="J296" s="10" t="str">
        <f>TRIM(_xlfn.TEXTJOIN("_",FALSE(),H296,(SUBSTITUTE(SUBSTITUTE(D296," ",""), "_", ""))))</f>
        <v>Iwaniuk_etal_2001_Table3</v>
      </c>
      <c r="K296" s="10" t="str">
        <f>I296 &amp; "_" &amp; SUBSTITUTE(SUBSTITUTE(SUBSTITUTE(D296,CHAR(160),"")," ",""),"_","")</f>
        <v>10.1037%2F0735-7036.115.1.29_Table3</v>
      </c>
      <c r="L296" s="10" t="str">
        <f t="array" ref="L296">IFERROR(INDEX(AUTO_Public_TSV_FileList!$A$1:$A$1000,MATCH(TRUE(),EXACT(K296,IFERROR(_xlfn.TEXTBEFORE(AUTO_Public_TSV_FileList!$A$1:$A$1000,".tsv"),"")),0)),"notfound")</f>
        <v>10.1037%2F0735-7036.115.1.29_Table3.tsv</v>
      </c>
      <c r="M296" s="1" t="inlineStr">
        <is>
          <t>Table 3 The Play Scores and Relative Brain ( EQ) and Neocortex Sizes for the Marsupials Examined</t>
        </is>
      </c>
      <c r="N296" s="1" t="inlineStr">
        <is>
          <t>table</t>
        </is>
      </c>
      <c r="O296" s="13"/>
      <c r="P296" s="1" t="inlineStr">
        <is>
          <t>FINISHED</t>
        </is>
      </c>
      <c r="Q296" s="13"/>
      <c r="R296" s="13"/>
      <c r="S296" s="13"/>
      <c r="T296" s="13"/>
      <c r="U296" s="13"/>
      <c r="V296" s="1"/>
      <c r="W296" s="1" t="inlineStr">
        <is>
          <t>Mammals</t>
        </is>
      </c>
      <c r="X296" s="1" t="inlineStr">
        <is>
          <t>play</t>
        </is>
      </c>
      <c r="Y296" s="13"/>
      <c r="Z296" s="13"/>
      <c r="AA296" s="13"/>
      <c r="AB296" s="1" t="inlineStr">
        <is>
          <t>behavioural (play)</t>
        </is>
      </c>
      <c r="AC296" s="13"/>
      <c r="AD296" s="13"/>
      <c r="AE296" s="1" t="inlineStr">
        <is>
          <t>secondary</t>
        </is>
      </c>
      <c r="AF296" s="1"/>
      <c r="AG296" s="13"/>
    </row>
    <row r="297" ht="17" customHeight="1">
      <c r="A297" s="1" t="inlineStr">
        <is>
          <t>Iwaniuk, A. N., Nelson, J. E., &amp; Pellis, S. M. (2001). Do big-brained animals play more? Comparative analyses of play and relative brain size in mammals. J Comp Psychol, 115(1), 29-41. https://doi.org/10.1037/0735-7036.115.1.29</t>
        </is>
      </c>
      <c r="B297" s="9"/>
      <c r="C297" s="9"/>
      <c r="D297" s="1" t="inlineStr">
        <is>
          <t>Table 4</t>
        </is>
      </c>
      <c r="E297" s="10" t="str">
        <f>SUBSTITUTE(SUBSTITUTE(_xlfn.TEXTBEFORE(A297,","), "-", ""), " ", "")</f>
        <v>Iwaniuk</v>
      </c>
      <c r="F297" s="10"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10" t="str">
        <f>_xlfn.TEXTBEFORE(_xlfn.TEXTAFTER(A297, "("), ")")</f>
        <v>2001</v>
      </c>
      <c r="H297" s="10" t="str">
        <f>E297 &amp; IF(F297&lt;&gt;"", "_" &amp; SUBSTITUTE(F297," ",""), "_") &amp; IF(G297&lt;&gt;"", "_" &amp; G297, "_") &amp; IF(B297&lt;&gt;"", "_" &amp; B297, "")</f>
        <v>Iwaniuk_etal_2001</v>
      </c>
      <c r="I297" s="10" t="str">
        <f>_xlfn.LET(
_xlpm.doi,IF(C297&lt;&gt;"",C297,_xlfn.TEXTAFTER(A297,"https://doi.org/")),
SUBSTITUTE(
SUBSTITUTE(
SUBSTITUTE(
SUBSTITUTE(
_xlpm.doi,
"/","%2F"),
":","%3A"),
"&lt;","%3C"),
"&gt;","%3E")
)</f>
        <v>10.1037%2F0735-7036.115.1.29</v>
      </c>
      <c r="J297" s="10" t="str">
        <f>TRIM(_xlfn.TEXTJOIN("_",FALSE(),H297,(SUBSTITUTE(SUBSTITUTE(D297," ",""), "_", ""))))</f>
        <v>Iwaniuk_etal_2001_Table4</v>
      </c>
      <c r="K297" s="10" t="str">
        <f>I297 &amp; "_" &amp; SUBSTITUTE(SUBSTITUTE(SUBSTITUTE(D297,CHAR(160),"")," ",""),"_","")</f>
        <v>10.1037%2F0735-7036.115.1.29_Table4</v>
      </c>
      <c r="L297" s="10" t="str">
        <f t="array" ref="L297">IFERROR(INDEX(AUTO_Public_TSV_FileList!$A$1:$A$1000,MATCH(TRUE(),EXACT(K297,IFERROR(_xlfn.TEXTBEFORE(AUTO_Public_TSV_FileList!$A$1:$A$1000,".tsv"),"")),0)),"notfound")</f>
        <v>10.1037%2F0735-7036.115.1.29_Table4.tsv</v>
      </c>
      <c r="M297" s="1" t="inlineStr">
        <is>
          <t>Table 4 Play Scores and Relative Brain and Neocortex Sizes for the Primates Examined</t>
        </is>
      </c>
      <c r="N297" s="1" t="inlineStr">
        <is>
          <t>table</t>
        </is>
      </c>
      <c r="O297" s="13"/>
      <c r="P297" s="1" t="inlineStr">
        <is>
          <t>FINISHED</t>
        </is>
      </c>
      <c r="Q297" s="13"/>
      <c r="R297" s="13"/>
      <c r="S297" s="13"/>
      <c r="T297" s="13"/>
      <c r="U297" s="13"/>
      <c r="V297" s="1"/>
      <c r="W297" s="1" t="inlineStr">
        <is>
          <t>Mammals</t>
        </is>
      </c>
      <c r="X297" s="1" t="inlineStr">
        <is>
          <t>play</t>
        </is>
      </c>
      <c r="Y297" s="13"/>
      <c r="Z297" s="13"/>
      <c r="AA297" s="13"/>
      <c r="AB297" s="1" t="inlineStr">
        <is>
          <t>behavioural (play)</t>
        </is>
      </c>
      <c r="AC297" s="13"/>
      <c r="AD297" s="13"/>
      <c r="AE297" s="1" t="inlineStr">
        <is>
          <t>secondary</t>
        </is>
      </c>
      <c r="AF297" s="1"/>
      <c r="AG297" s="13"/>
    </row>
    <row r="298" ht="17" customHeight="1">
      <c r="A298" s="1" t="inlineStr">
        <is>
          <t>Iwaniuk, A. N., Pellis, S. M., &amp; Whishaw, I. Q. (1999). Is digital dexterity really related to corticospinal projections?: a re-analysis of the Heffner and Masterton data set using modern comparative statistics. Behav Brain Res, 101(2), 173-187. https://doi.org/10.1016/s0166-4328(98)00151-x</t>
        </is>
      </c>
      <c r="B298" s="9"/>
      <c r="C298" s="9"/>
      <c r="D298" s="1" t="inlineStr">
        <is>
          <t>References</t>
        </is>
      </c>
      <c r="E298" s="10" t="str">
        <f>SUBSTITUTE(SUBSTITUTE(_xlfn.TEXTBEFORE(A298,","), "-", ""), " ", "")</f>
        <v>Iwaniuk</v>
      </c>
      <c r="F298" s="10"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0" t="str">
        <f>_xlfn.TEXTBEFORE(_xlfn.TEXTAFTER(A298, "("), ")")</f>
        <v>1999</v>
      </c>
      <c r="H298" s="10" t="str">
        <f>E298 &amp; IF(F298&lt;&gt;"", "_" &amp; SUBSTITUTE(F298," ",""), "_") &amp; IF(G298&lt;&gt;"", "_" &amp; G298, "_") &amp; IF(B298&lt;&gt;"", "_" &amp; B298, "")</f>
        <v>Iwaniuk_etal_1999</v>
      </c>
      <c r="I298" s="10" t="str">
        <f>_xlfn.LET(
_xlpm.doi,IF(C298&lt;&gt;"",C298,_xlfn.TEXTAFTER(A298,"https://doi.org/")),
SUBSTITUTE(
SUBSTITUTE(
SUBSTITUTE(
SUBSTITUTE(
_xlpm.doi,
"/","%2F"),
":","%3A"),
"&lt;","%3C"),
"&gt;","%3E")
)</f>
        <v>10.1016%2Fs0166-4328(98)00151-x</v>
      </c>
      <c r="J298" s="10" t="str">
        <f>TRIM(_xlfn.TEXTJOIN("_",FALSE(),H298,(SUBSTITUTE(SUBSTITUTE(D298," ",""), "_", ""))))</f>
        <v>Iwaniuk_etal_1999_References</v>
      </c>
      <c r="K298" s="10" t="str">
        <f>I298 &amp; "_" &amp; SUBSTITUTE(SUBSTITUTE(SUBSTITUTE(D298,CHAR(160),"")," ",""),"_","")</f>
        <v>10.1016%2Fs0166-4328(98)00151-x_References</v>
      </c>
      <c r="L298" s="10" t="str">
        <f t="array" ref="L298">IFERROR(INDEX(AUTO_Public_TSV_FileList!$A$1:$A$1000,MATCH(TRUE(),EXACT(K298,IFERROR(_xlfn.TEXTBEFORE(AUTO_Public_TSV_FileList!$A$1:$A$1000,".tsv"),"")),0)),"notfound")</f>
        <v>10.1016%2Fs0166-4328(98)00151-x_References.tsv</v>
      </c>
      <c r="M298" s="1" t="inlineStr">
        <is>
          <t>References</t>
        </is>
      </c>
      <c r="N298" s="1" t="inlineStr">
        <is>
          <t>reference list</t>
        </is>
      </c>
      <c r="O298" s="13"/>
      <c r="P298" s="1" t="inlineStr">
        <is>
          <t>FINISHED</t>
        </is>
      </c>
      <c r="Q298" s="13"/>
      <c r="R298" s="13"/>
      <c r="S298" s="13"/>
      <c r="T298" s="13"/>
      <c r="U298" s="13"/>
      <c r="V298" s="13"/>
      <c r="W298" s="1" t="inlineStr">
        <is>
          <t>Mammals</t>
        </is>
      </c>
      <c r="X298" s="1" t="inlineStr">
        <is>
          <t>forelimb use / dexterity</t>
        </is>
      </c>
      <c r="Y298" s="13"/>
      <c r="Z298" s="13"/>
      <c r="AA298" s="13"/>
      <c r="AB298" s="1" t="inlineStr">
        <is>
          <t>behavioural (forelimb use)</t>
        </is>
      </c>
      <c r="AC298" s="13"/>
      <c r="AD298" s="13"/>
      <c r="AE298" s="1" t="inlineStr">
        <is>
          <t>secondary</t>
        </is>
      </c>
      <c r="AF298" s="1"/>
      <c r="AG298" s="13"/>
    </row>
    <row r="299" ht="17" customHeight="1">
      <c r="A299" s="1" t="inlineStr">
        <is>
          <t>Iwaniuk, A. N., Pellis, S. M., &amp; Whishaw, I. Q. (1999). Is digital dexterity really related to corticospinal projections?: a re-analysis of the Heffner and Masterton data set using modern comparative statistics. Behav Brain Res, 101(2), 173-187. https://doi.org/10.1016/s0166-4328(98)00151-x</t>
        </is>
      </c>
      <c r="B299" s="9"/>
      <c r="C299" s="9"/>
      <c r="D299" s="1" t="inlineStr">
        <is>
          <t>Table 1</t>
        </is>
      </c>
      <c r="E299" s="10" t="str">
        <f>SUBSTITUTE(SUBSTITUTE(_xlfn.TEXTBEFORE(A299,","), "-", ""), " ", "")</f>
        <v>Iwaniuk</v>
      </c>
      <c r="F299" s="10"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10" t="str">
        <f>_xlfn.TEXTBEFORE(_xlfn.TEXTAFTER(A299, "("), ")")</f>
        <v>1999</v>
      </c>
      <c r="H299" s="10" t="str">
        <f>E299 &amp; IF(F299&lt;&gt;"", "_" &amp; SUBSTITUTE(F299," ",""), "_") &amp; IF(G299&lt;&gt;"", "_" &amp; G299, "_") &amp; IF(B299&lt;&gt;"", "_" &amp; B299, "")</f>
        <v>Iwaniuk_etal_1999</v>
      </c>
      <c r="I299" s="10" t="str">
        <f>_xlfn.LET(
_xlpm.doi,IF(C299&lt;&gt;"",C299,_xlfn.TEXTAFTER(A299,"https://doi.org/")),
SUBSTITUTE(
SUBSTITUTE(
SUBSTITUTE(
SUBSTITUTE(
_xlpm.doi,
"/","%2F"),
":","%3A"),
"&lt;","%3C"),
"&gt;","%3E")
)</f>
        <v>10.1016%2Fs0166-4328(98)00151-x</v>
      </c>
      <c r="J299" s="10" t="str">
        <f>TRIM(_xlfn.TEXTJOIN("_",FALSE(),H299,(SUBSTITUTE(SUBSTITUTE(D299," ",""), "_", ""))))</f>
        <v>Iwaniuk_etal_1999_Table1</v>
      </c>
      <c r="K299" s="10" t="str">
        <f>I299 &amp; "_" &amp; SUBSTITUTE(SUBSTITUTE(SUBSTITUTE(D299,CHAR(160),"")," ",""),"_","")</f>
        <v>10.1016%2Fs0166-4328(98)00151-x_Table1</v>
      </c>
      <c r="L299" s="10" t="str">
        <f t="array" ref="L299">IFERROR(INDEX(AUTO_Public_TSV_FileList!$A$1:$A$1000,MATCH(TRUE(),EXACT(K299,IFERROR(_xlfn.TEXTBEFORE(AUTO_Public_TSV_FileList!$A$1:$A$1000,".tsv"),"")),0)),"notfound")</f>
        <v>10.1016%2Fs0166-4328(98)00151-x_Table1.tsv</v>
      </c>
      <c r="M299" s="1" t="inlineStr">
        <is>
          <t>Table 1 The anatomical and behavioural traits used the comparative analysis</t>
        </is>
      </c>
      <c r="N299" s="1" t="inlineStr">
        <is>
          <t>table</t>
        </is>
      </c>
      <c r="O299" s="13"/>
      <c r="P299" s="1" t="inlineStr">
        <is>
          <t>FINISHED</t>
        </is>
      </c>
      <c r="Q299" s="13"/>
      <c r="R299" s="13"/>
      <c r="S299" s="13"/>
      <c r="T299" s="13"/>
      <c r="U299" s="13"/>
      <c r="V299" s="13"/>
      <c r="W299" s="1" t="inlineStr">
        <is>
          <t>Mammals</t>
        </is>
      </c>
      <c r="X299" s="1" t="inlineStr">
        <is>
          <t>forelimb use / dexterity</t>
        </is>
      </c>
      <c r="Y299" s="13"/>
      <c r="Z299" s="13"/>
      <c r="AA299" s="13"/>
      <c r="AB299" s="1" t="inlineStr">
        <is>
          <t>behavioural (forelimb use)</t>
        </is>
      </c>
      <c r="AC299" s="13"/>
      <c r="AD299" s="13"/>
      <c r="AE299" s="1" t="inlineStr">
        <is>
          <t>secondary</t>
        </is>
      </c>
      <c r="AF299" s="1"/>
      <c r="AG299" s="13"/>
    </row>
    <row r="300" ht="17" customHeight="1">
      <c r="A300" s="27" t="inlineStr">
        <is>
          <t>Iwaniuk, A. N., Pellis, S. M., &amp; Whishaw, I. Q. (2000). The relative importance of body size, phylogeny, locomotion, and diet in the evolution of forelimb dexterity in fissiped carnivores (Carnivora). Canadian Journal of Zoology, 78(7), 1110–1125. https://doi.org/10.1139/z00-023</t>
        </is>
      </c>
      <c r="B300" s="27"/>
      <c r="C300" s="27"/>
      <c r="D300" s="27" t="inlineStr">
        <is>
          <t>Table 1</t>
        </is>
      </c>
      <c r="E300" s="11" t="str">
        <f>SUBSTITUTE(SUBSTITUTE(_xlfn.TEXTBEFORE(A300,","), "-", ""), " ", "")</f>
        <v>Iwaniuk</v>
      </c>
      <c r="F300" s="10"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10" t="str">
        <f>_xlfn.TEXTBEFORE(_xlfn.TEXTAFTER(A300, "("), ")")</f>
        <v>2000</v>
      </c>
      <c r="H300" s="11" t="str">
        <f>E300 &amp; IF(F300&lt;&gt;"", "_" &amp; SUBSTITUTE(F300," ",""), "_") &amp; IF(G300&lt;&gt;"", "_" &amp; G300, "_") &amp; IF(B300&lt;&gt;"", "_" &amp; B300, "")</f>
        <v>Iwaniuk_etal_2000</v>
      </c>
      <c r="I300" s="11" t="str">
        <f>_xlfn.LET(_xlpm.doi,IF(C300&lt;&gt;"",C300,_xlfn.TEXTAFTER(A300,"https://doi.org/")),SUBSTITUTE(SUBSTITUTE(SUBSTITUTE(SUBSTITUTE(_xlpm.doi,"/","%2F"),":","%3A"),"&lt;","%3C"),"&gt;","%3E"))</f>
        <v>10.1139%2Fz00-023</v>
      </c>
      <c r="J300" s="11" t="str">
        <f>TRIM(_xlfn.TEXTJOIN("_",FALSE(),H300,(SUBSTITUTE(SUBSTITUTE(D300," ",""), "_", ""))))</f>
        <v>Iwaniuk_etal_2000_Table1</v>
      </c>
      <c r="K300" s="10" t="str">
        <f>I300 &amp; "_" &amp; SUBSTITUTE(SUBSTITUTE(SUBSTITUTE(D300,CHAR(160),"")," ",""),"_","")</f>
        <v>10.1139%2Fz00-023_Table1</v>
      </c>
      <c r="L300" s="10" t="str">
        <f t="array" ref="L300">IFERROR(INDEX(AUTO_Public_TSV_FileList!$A$1:$A$1000,MATCH(TRUE(),EXACT(K300,IFERROR(_xlfn.TEXTBEFORE(AUTO_Public_TSV_FileList!$A$1:$A$1000,".tsv"),"")),0)),"notfound")</f>
        <v>notfound</v>
      </c>
      <c r="M300" s="27" t="inlineStr">
        <is>
          <t>Table 1. The number of individuals observed (N), scores for proximal, distal, and total forepaw dexterity (maximum possible score in parentheses), average body mass (BW), degree of arboreality and diet</t>
        </is>
      </c>
      <c r="N300" s="27" t="inlineStr">
        <is>
          <t>PDF table</t>
        </is>
      </c>
      <c r="O300" s="27" t="inlineStr">
        <is>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is>
      </c>
      <c r="P300" s="27" t="inlineStr">
        <is>
          <t>candidate</t>
        </is>
      </c>
      <c r="Q300" s="27"/>
      <c r="R300" s="27" t="inlineStr">
        <is>
          <t>https://doi.org/10.1139/z00-023</t>
        </is>
      </c>
      <c r="S300" s="27" t="inlineStr">
        <is>
          <t>Citation and DOI confirmed via CrossRef (2026-09-30); not yet built.</t>
        </is>
      </c>
      <c r="T300" s="27" t="inlineStr">
        <is>
          <t>Keep as its own scale; related marsupial study: Iwaniuk, Nelson &amp; Whishaw 2000 (Aust J Zool 48(1); 10.1071/ZO99043).</t>
        </is>
      </c>
      <c r="U300" s="27"/>
      <c r="V300" s="27" t="inlineStr">
        <is>
          <t>dexterity &amp; hand morphology</t>
        </is>
      </c>
      <c r="W300" s="27" t="inlineStr">
        <is>
          <t>45 fissiped carnivores.</t>
        </is>
      </c>
      <c r="X300" s="27" t="inlineStr">
        <is>
          <t>forelimb dexterity scores (proximal, distal, total) from filmed feeding</t>
        </is>
      </c>
      <c r="Y300" s="27" t="inlineStr">
        <is>
          <t>individuals; body mass; arboreality; diet</t>
        </is>
      </c>
      <c r="Z300" s="27" t="inlineStr">
        <is>
          <t>behavioural observation (filmed feeding)</t>
        </is>
      </c>
      <c r="AA300" s="27" t="inlineStr">
        <is>
          <t>dexterity scoring from film</t>
        </is>
      </c>
      <c r="AB300" s="27" t="inlineStr">
        <is>
          <t>ordinal score</t>
        </is>
      </c>
      <c r="AC300" s="27" t="inlineStr">
        <is>
          <t>Iwaniuk/Whishaw</t>
        </is>
      </c>
      <c r="AD300" s="27"/>
      <c r="AE300" s="27" t="inlineStr">
        <is>
          <t>both</t>
        </is>
      </c>
      <c r="AF300" s="27" t="inlineStr">
        <is>
          <t>body mass, arboreality &amp; diet columns compiled from literature</t>
        </is>
      </c>
      <c r="AG300" s="27" t="inlineStr">
        <is>
          <t>Priority 2. Access: Subscription (Canadian Science Publishing). Suggested home: __merging_behaviour (dexterity). Registry/roadmap status at scouting: Not registered.</t>
        </is>
      </c>
    </row>
    <row r="301" ht="17" customHeight="1">
      <c r="A301" s="35" t="inlineStr">
        <is>
          <t>Jackson, L. L., Heffner, H. E., &amp; Heffner, R. S. (1997). Audiogram of the fox squirrel (Sciurus niger). Journal of Comparative Psychology, 111(1), 100-104. https://doi.org/10.1037/0735-7036.111.1.100</t>
        </is>
      </c>
      <c r="B301" s="9"/>
      <c r="C301" s="9"/>
      <c r="D301" s="35" t="inlineStr">
        <is>
          <t>Results Text</t>
        </is>
      </c>
      <c r="E301" s="11" t="str">
        <f>SUBSTITUTE(SUBSTITUTE(_xlfn.TEXTBEFORE(A301,","), "-", ""), " ", "")</f>
        <v>Jackson</v>
      </c>
      <c r="F301" s="10"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10" t="str">
        <f>_xlfn.TEXTBEFORE(_xlfn.TEXTAFTER(A301, "("), ")")</f>
        <v>1997</v>
      </c>
      <c r="H301" s="11" t="str">
        <f>E301 &amp; IF(F301&lt;&gt;"", "_" &amp; SUBSTITUTE(F301," ",""), "_") &amp; IF(G301&lt;&gt;"", "_" &amp; G301, "_") &amp; IF(B301&lt;&gt;"", "_" &amp; B301, "")</f>
        <v>Jackson_etal_1997</v>
      </c>
      <c r="I301" s="11" t="str">
        <f>_xlfn.LET(_xlpm.doi,IF(C301&lt;&gt;"",C301,_xlfn.TEXTAFTER(A301,"https://doi.org/")),SUBSTITUTE(SUBSTITUTE(SUBSTITUTE(SUBSTITUTE(_xlpm.doi,"/","%2F"),":","%3A"),"&lt;","%3C"),"&gt;","%3E"))</f>
        <v>10.1037%2F0735-7036.111.1.100</v>
      </c>
      <c r="J301" s="11" t="str">
        <f>TRIM(_xlfn.TEXTJOIN("_",FALSE(),H301,(SUBSTITUTE(SUBSTITUTE(D301," ",""), "_", ""))))</f>
        <v>Jackson_etal_1997_ResultsText</v>
      </c>
      <c r="K301" s="10" t="str">
        <f>I301 &amp; "_" &amp; SUBSTITUTE(SUBSTITUTE(SUBSTITUTE(D301,CHAR(160),"")," ",""),"_","")</f>
        <v>10.1037%2F0735-7036.111.1.100_ResultsText</v>
      </c>
      <c r="L301" s="10" t="str">
        <f t="array" ref="L301">IFERROR(INDEX(AUTO_Public_TSV_FileList!$A$1:$A$1000,MATCH(TRUE(),EXACT(K301,IFERROR(_xlfn.TEXTBEFORE(AUTO_Public_TSV_FileList!$A$1:$A$1000,".tsv"),"")),0)),"notfound")</f>
        <v>10.1037%2F0735-7036.111.1.100_ResultsText.tsv</v>
      </c>
      <c r="M301" s="9" t="inlineStr">
        <is>
          <t>Fox squirrel (Sciurus niger) audiogram: low-freq detection point, best sensitivity/frequency, per-animal high-freq limits, 60-dB range</t>
        </is>
      </c>
      <c r="N301" s="13" t="inlineStr">
        <is>
          <t>text</t>
        </is>
      </c>
      <c r="O301" s="13" t="inlineStr">
        <is>
          <t>Registry row added 2026-09-27. Built same day; TSV upload pending (connector timeout, retry later).</t>
        </is>
      </c>
      <c r="P301" s="13" t="inlineStr">
        <is>
          <t>BUILT (TSV upload pending)</t>
        </is>
      </c>
      <c r="Q301" s="13" t="inlineStr">
        <is>
          <t>Mackes_etal_2020_subcortical_snapshot.csv (restricted)</t>
        </is>
      </c>
      <c r="R301" s="9"/>
      <c r="S301" s="9"/>
      <c r="T301" s="9"/>
      <c r="U301" s="9"/>
      <c r="V301" s="9"/>
      <c r="W301" s="13" t="inlineStr">
        <is>
          <t>Humans</t>
        </is>
      </c>
      <c r="X301" s="9"/>
      <c r="Y301" s="9"/>
      <c r="Z301" s="9"/>
      <c r="AA301" s="13" t="inlineStr">
        <is>
          <t>MRI volumetry (FreeSurfer)</t>
        </is>
      </c>
      <c r="AB301" s="13" t="inlineStr">
        <is>
          <t>volume</t>
        </is>
      </c>
      <c r="AC301" s="13" t="inlineStr">
        <is>
          <t>ERA/Sonuga-Barke</t>
        </is>
      </c>
      <c r="AD301" s="9"/>
      <c r="AE301" s="13" t="inlineStr">
        <is>
          <t>primary</t>
        </is>
      </c>
      <c r="AF301" s="9"/>
      <c r="AG301" s="9"/>
    </row>
    <row r="302" ht="17" customHeight="1">
      <c r="A302" s="13" t="inlineStr">
        <is>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is>
      </c>
      <c r="B302" s="9"/>
      <c r="C302" s="9"/>
      <c r="D302" s="13" t="inlineStr">
        <is>
          <t>FIGURE 4</t>
        </is>
      </c>
      <c r="E302" s="11" t="str">
        <f>SUBSTITUTE(SUBSTITUTE(_xlfn.TEXTBEFORE(A302,","), "-", ""), " ", "")</f>
        <v>Jacob</v>
      </c>
      <c r="F302" s="10"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10" t="str">
        <f>_xlfn.TEXTBEFORE(_xlfn.TEXTAFTER(A302, "("), ")")</f>
        <v>2021</v>
      </c>
      <c r="H302" s="11" t="str">
        <f>E302 &amp; IF(F302&lt;&gt;"", "_" &amp; SUBSTITUTE(F302," ",""), "_") &amp; IF(G302&lt;&gt;"", "_" &amp; G302, "_") &amp; IF(B302&lt;&gt;"", "_" &amp; B302, "")</f>
        <v>Jacob_etal_2021</v>
      </c>
      <c r="I302" s="11" t="str">
        <f>_xlfn.LET(_xlpm.doi,IF(C302&lt;&gt;"",C302,_xlfn.TEXTAFTER(A302,"https://doi.org/")),SUBSTITUTE(SUBSTITUTE(SUBSTITUTE(SUBSTITUTE(_xlpm.doi,"/","%2F"),":","%3A"),"&lt;","%3C"),"&gt;","%3E"))</f>
        <v>10.1002%2Fcne.25197</v>
      </c>
      <c r="J302" s="11" t="str">
        <f>TRIM(_xlfn.TEXTJOIN("_",FALSE(),H302,(SUBSTITUTE(SUBSTITUTE(D302," ",""), "_", ""))))</f>
        <v>Jacob_etal_2021_FIGURE4</v>
      </c>
      <c r="K302" s="10" t="str">
        <f>I302 &amp; "_" &amp; SUBSTITUTE(SUBSTITUTE(SUBSTITUTE(D302,CHAR(160),"")," ",""),"_","")</f>
        <v>10.1002%2Fcne.25197_FIGURE4</v>
      </c>
      <c r="L302" s="10" t="str">
        <f t="array" ref="L302">IFERROR(INDEX(AUTO_Public_TSV_FileList!$A$1:$A$1000,MATCH(TRUE(),EXACT(K302,IFERROR(_xlfn.TEXTBEFORE(AUTO_Public_TSV_FileList!$A$1:$A$1000,".tsv"),"")),0)),"notfound")</f>
        <v>10.1002%2Fcne.25197_FIGURE4.tsv</v>
      </c>
      <c r="M302" s="13" t="inlineStr">
        <is>
          <t>FIGURE 4</t>
        </is>
      </c>
      <c r="N302" s="13"/>
      <c r="O302" s="13"/>
      <c r="P302" s="13" t="inlineStr">
        <is>
          <t>FINISHED</t>
        </is>
      </c>
      <c r="Q302" s="13"/>
      <c r="R302" s="13"/>
      <c r="S302" s="13"/>
      <c r="T302" s="13"/>
      <c r="U302" s="13"/>
      <c r="V302" s="13"/>
      <c r="W302" s="13"/>
      <c r="X302" s="13"/>
      <c r="Y302" s="13"/>
      <c r="Z302" s="13"/>
      <c r="AA302" s="13"/>
      <c r="AB302" s="13"/>
      <c r="AC302" s="13"/>
      <c r="AD302" s="13"/>
      <c r="AE302" s="13"/>
      <c r="AF302" s="13"/>
      <c r="AG302" s="13"/>
    </row>
    <row r="303" ht="17" customHeight="1">
      <c r="A303" s="13" t="inlineStr">
        <is>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is>
      </c>
      <c r="B303" s="9"/>
      <c r="C303" s="9"/>
      <c r="D303" s="9" t="inlineStr">
        <is>
          <t>TABLE 1</t>
        </is>
      </c>
      <c r="E303" s="11" t="str">
        <f>SUBSTITUTE(SUBSTITUTE(_xlfn.TEXTBEFORE(A303,","), "-", ""), " ", "")</f>
        <v>Jacob</v>
      </c>
      <c r="F303" s="10"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10" t="str">
        <f>_xlfn.TEXTBEFORE(_xlfn.TEXTAFTER(A303, "("), ")")</f>
        <v>2021</v>
      </c>
      <c r="H303" s="11" t="str">
        <f>E303 &amp; IF(F303&lt;&gt;"", "_" &amp; SUBSTITUTE(F303," ",""), "_") &amp; IF(G303&lt;&gt;"", "_" &amp; G303, "_") &amp; IF(B303&lt;&gt;"", "_" &amp; B303, "")</f>
        <v>Jacob_etal_2021</v>
      </c>
      <c r="I303" s="11" t="str">
        <f>_xlfn.LET(_xlpm.doi,IF(C303&lt;&gt;"",C303,_xlfn.TEXTAFTER(A303,"https://doi.org/")),SUBSTITUTE(SUBSTITUTE(SUBSTITUTE(SUBSTITUTE(_xlpm.doi,"/","%2F"),":","%3A"),"&lt;","%3C"),"&gt;","%3E"))</f>
        <v>10.1002%2Fcne.25197</v>
      </c>
      <c r="J303" s="11" t="str">
        <f>TRIM(_xlfn.TEXTJOIN("_",FALSE(),H303,(SUBSTITUTE(SUBSTITUTE(D303," ",""), "_", ""))))</f>
        <v>Jacob_etal_2021_TABLE1</v>
      </c>
      <c r="K303" s="10" t="str">
        <f>I303 &amp; "_" &amp; SUBSTITUTE(SUBSTITUTE(SUBSTITUTE(D303,CHAR(160),"")," ",""),"_","")</f>
        <v>10.1002%2Fcne.25197_TABLE1</v>
      </c>
      <c r="L303" s="10" t="str">
        <f t="array" ref="L303">IFERROR(INDEX(AUTO_Public_TSV_FileList!$A$1:$A$1000,MATCH(TRUE(),EXACT(K303,IFERROR(_xlfn.TEXTBEFORE(AUTO_Public_TSV_FileList!$A$1:$A$1000,".tsv"),"")),0)),"notfound")</f>
        <v>10.1002%2Fcne.25197_TABLE1.tsv</v>
      </c>
      <c r="M303" s="9" t="inlineStr">
        <is>
          <t>TABLE 1 Hemisphere and brain area weights</t>
        </is>
      </c>
      <c r="N303" s="9" t="inlineStr">
        <is>
          <t>table</t>
        </is>
      </c>
      <c r="O303" s="9" t="inlineStr">
        <is>
          <t>RESTORED 2026-09-26: built item (snapshot, CSV, R, ReadMe, TSV) whose Sheet1 row was lost.</t>
        </is>
      </c>
      <c r="P303" s="9" t="inlineStr">
        <is>
          <t>FINISHED</t>
        </is>
      </c>
      <c r="Q303" s="9"/>
      <c r="R303" s="9"/>
      <c r="S303" s="9"/>
      <c r="T303" s="9"/>
      <c r="U303" s="9"/>
      <c r="V303" s="9"/>
      <c r="W303" s="9"/>
      <c r="X303" s="9"/>
      <c r="Y303" s="9"/>
      <c r="Z303" s="9"/>
      <c r="AA303" s="9"/>
      <c r="AB303" s="9"/>
      <c r="AC303" s="9"/>
      <c r="AD303" s="9"/>
      <c r="AE303" s="9"/>
      <c r="AF303" s="9"/>
      <c r="AG303" s="9"/>
    </row>
    <row r="304" ht="17" customHeight="1">
      <c r="A304" s="13" t="inlineStr">
        <is>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is>
      </c>
      <c r="B304" s="9"/>
      <c r="C304" s="9"/>
      <c r="D304" s="9" t="inlineStr">
        <is>
          <t>TABLE 2</t>
        </is>
      </c>
      <c r="E304" s="11" t="str">
        <f>SUBSTITUTE(SUBSTITUTE(_xlfn.TEXTBEFORE(A304,","), "-", ""), " ", "")</f>
        <v>Jacob</v>
      </c>
      <c r="F304" s="10"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10" t="str">
        <f>_xlfn.TEXTBEFORE(_xlfn.TEXTAFTER(A304, "("), ")")</f>
        <v>2021</v>
      </c>
      <c r="H304" s="11" t="str">
        <f>E304 &amp; IF(F304&lt;&gt;"", "_" &amp; SUBSTITUTE(F304," ",""), "_") &amp; IF(G304&lt;&gt;"", "_" &amp; G304, "_") &amp; IF(B304&lt;&gt;"", "_" &amp; B304, "")</f>
        <v>Jacob_etal_2021</v>
      </c>
      <c r="I304" s="11" t="str">
        <f>_xlfn.LET(_xlpm.doi,IF(C304&lt;&gt;"",C304,_xlfn.TEXTAFTER(A304,"https://doi.org/")),SUBSTITUTE(SUBSTITUTE(SUBSTITUTE(SUBSTITUTE(_xlpm.doi,"/","%2F"),":","%3A"),"&lt;","%3C"),"&gt;","%3E"))</f>
        <v>10.1002%2Fcne.25197</v>
      </c>
      <c r="J304" s="11" t="str">
        <f>TRIM(_xlfn.TEXTJOIN("_",FALSE(),H304,(SUBSTITUTE(SUBSTITUTE(D304," ",""), "_", ""))))</f>
        <v>Jacob_etal_2021_TABLE2</v>
      </c>
      <c r="K304" s="10" t="str">
        <f>I304 &amp; "_" &amp; SUBSTITUTE(SUBSTITUTE(SUBSTITUTE(D304,CHAR(160),"")," ",""),"_","")</f>
        <v>10.1002%2Fcne.25197_TABLE2</v>
      </c>
      <c r="L304" s="10" t="str">
        <f t="array" ref="L304">IFERROR(INDEX(AUTO_Public_TSV_FileList!$A$1:$A$1000,MATCH(TRUE(),EXACT(K304,IFERROR(_xlfn.TEXTBEFORE(AUTO_Public_TSV_FileList!$A$1:$A$1000,".tsv"),"")),0)),"notfound")</f>
        <v>10.1002%2Fcne.25197_TABLE2.tsv</v>
      </c>
      <c r="M304" s="9" t="inlineStr">
        <is>
          <t>TABLE 2 Cytoarchitecture analysis of sampled regions from the anterior frontoinsular region in raccoons</t>
        </is>
      </c>
      <c r="N304" s="9" t="inlineStr">
        <is>
          <t>table</t>
        </is>
      </c>
      <c r="O304" s="9" t="inlineStr">
        <is>
          <t>RESTORED 2026-09-26: built item (snapshot, CSV, R, ReadMe, TSV) whose Sheet1 row was lost.</t>
        </is>
      </c>
      <c r="P304" s="9" t="inlineStr">
        <is>
          <t>FINISHED</t>
        </is>
      </c>
      <c r="Q304" s="9"/>
      <c r="R304" s="9"/>
      <c r="S304" s="9"/>
      <c r="T304" s="9"/>
      <c r="U304" s="9"/>
      <c r="V304" s="9"/>
      <c r="W304" s="9"/>
      <c r="X304" s="9"/>
      <c r="Y304" s="9"/>
      <c r="Z304" s="9"/>
      <c r="AA304" s="9"/>
      <c r="AB304" s="9"/>
      <c r="AC304" s="9"/>
      <c r="AD304" s="9"/>
      <c r="AE304" s="9"/>
      <c r="AF304" s="9"/>
      <c r="AG304" s="9"/>
    </row>
    <row r="305" ht="17" customHeight="1">
      <c r="A305" s="13" t="inlineStr">
        <is>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is>
      </c>
      <c r="B305" s="9"/>
      <c r="C305" s="9"/>
      <c r="D305" s="9" t="inlineStr">
        <is>
          <t>TABLE 3</t>
        </is>
      </c>
      <c r="E305" s="11" t="str">
        <f>SUBSTITUTE(SUBSTITUTE(_xlfn.TEXTBEFORE(A305,","), "-", ""), " ", "")</f>
        <v>Jacob</v>
      </c>
      <c r="F305" s="10"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10" t="str">
        <f>_xlfn.TEXTBEFORE(_xlfn.TEXTAFTER(A305, "("), ")")</f>
        <v>2021</v>
      </c>
      <c r="H305" s="11" t="str">
        <f>E305 &amp; IF(F305&lt;&gt;"", "_" &amp; SUBSTITUTE(F305," ",""), "_") &amp; IF(G305&lt;&gt;"", "_" &amp; G305, "_") &amp; IF(B305&lt;&gt;"", "_" &amp; B305, "")</f>
        <v>Jacob_etal_2021</v>
      </c>
      <c r="I305" s="11" t="str">
        <f>_xlfn.LET(_xlpm.doi,IF(C305&lt;&gt;"",C305,_xlfn.TEXTAFTER(A305,"https://doi.org/")),SUBSTITUTE(SUBSTITUTE(SUBSTITUTE(SUBSTITUTE(_xlpm.doi,"/","%2F"),":","%3A"),"&lt;","%3C"),"&gt;","%3E"))</f>
        <v>10.1002%2Fcne.25197</v>
      </c>
      <c r="J305" s="11" t="str">
        <f>TRIM(_xlfn.TEXTJOIN("_",FALSE(),H305,(SUBSTITUTE(SUBSTITUTE(D305," ",""), "_", ""))))</f>
        <v>Jacob_etal_2021_TABLE3</v>
      </c>
      <c r="K305" s="10" t="str">
        <f>I305 &amp; "_" &amp; SUBSTITUTE(SUBSTITUTE(SUBSTITUTE(D305,CHAR(160),"")," ",""),"_","")</f>
        <v>10.1002%2Fcne.25197_TABLE3</v>
      </c>
      <c r="L305" s="10" t="str">
        <f t="array" ref="L305">IFERROR(INDEX(AUTO_Public_TSV_FileList!$A$1:$A$1000,MATCH(TRUE(),EXACT(K305,IFERROR(_xlfn.TEXTBEFORE(AUTO_Public_TSV_FileList!$A$1:$A$1000,".tsv"),"")),0)),"notfound")</f>
        <v>10.1002%2Fcne.25197_TABLE3.tsv</v>
      </c>
      <c r="M305" s="9" t="inlineStr">
        <is>
          <t>TABLE 3 Cytoarchitecture analysis of the hilus of the dentate gyrus region in raccoons</t>
        </is>
      </c>
      <c r="N305" s="9" t="inlineStr">
        <is>
          <t>table</t>
        </is>
      </c>
      <c r="O305" s="9" t="inlineStr">
        <is>
          <t>RESTORED 2026-09-26: built item (snapshot, CSV, R, ReadMe, TSV) whose Sheet1 row was lost.</t>
        </is>
      </c>
      <c r="P305" s="9" t="inlineStr">
        <is>
          <t>FINISHED</t>
        </is>
      </c>
      <c r="Q305" s="9"/>
      <c r="R305" s="9"/>
      <c r="S305" s="9"/>
      <c r="T305" s="9"/>
      <c r="U305" s="9"/>
      <c r="V305" s="9"/>
      <c r="W305" s="9"/>
      <c r="X305" s="9"/>
      <c r="Y305" s="9"/>
      <c r="Z305" s="9"/>
      <c r="AA305" s="9"/>
      <c r="AB305" s="9"/>
      <c r="AC305" s="9"/>
      <c r="AD305" s="9"/>
      <c r="AE305" s="9"/>
      <c r="AF305" s="9"/>
      <c r="AG305" s="9"/>
    </row>
    <row r="306" ht="17" customHeight="1">
      <c r="A306" s="9" t="inlineStr">
        <is>
          <t>Jacobs, B., Driscoll, L., &amp; Schall, M. (1997). Life-span dendritic and spine changes in areas 10 and 18 of human cortex: a quantitative Golgi study. The Journal of Comparative Neurology, 386(4), 661-680. https://doi.org/10.1002/(SICI)1096-9861(19971006)386:4&lt;661::AID-CNE11&gt;3.0.CO;2-N</t>
        </is>
      </c>
      <c r="B306" s="9"/>
      <c r="C306" s="9" t="inlineStr">
        <is>
          <t>10.1002/(sici)1096-9861(19971006)386:4&lt;661::Aid-cne11&gt;3.0.Co;2-n</t>
        </is>
      </c>
      <c r="D306" s="9" t="inlineStr">
        <is>
          <t>Table 1</t>
        </is>
      </c>
      <c r="E306" s="11" t="str">
        <f>SUBSTITUTE(SUBSTITUTE(_xlfn.TEXTBEFORE(A306,","), "-", ""), " ", "")</f>
        <v>Jacobs</v>
      </c>
      <c r="F306" s="10"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10" t="str">
        <f>_xlfn.TEXTBEFORE(_xlfn.TEXTAFTER(A306, "("), ")")</f>
        <v>1997</v>
      </c>
      <c r="H306" s="11" t="str">
        <f>E306 &amp; IF(F306&lt;&gt;"", "_" &amp; SUBSTITUTE(F306," ",""), "_") &amp; IF(G306&lt;&gt;"", "_" &amp; G306, "_") &amp; IF(B306&lt;&gt;"", "_" &amp; B306, "")</f>
        <v>Jacobs_etal_1997</v>
      </c>
      <c r="I306" s="11" t="str">
        <f>_xlfn.LET(_xlpm.doi,IF(C306&lt;&gt;"",C306,_xlfn.TEXTAFTER(A306,"https://doi.org/")),SUBSTITUTE(SUBSTITUTE(SUBSTITUTE(SUBSTITUTE(_xlpm.doi,"/","%2F"),":","%3A"),"&lt;","%3C"),"&gt;","%3E"))</f>
        <v>10.1002%2F(sici)1096-9861(19971006)386%3A4&lt;661%3A%3AAid-cne11&gt;3.0.Co;2-n</v>
      </c>
      <c r="J306" s="11" t="str">
        <f>TRIM(_xlfn.TEXTJOIN("_",FALSE(),H306,(SUBSTITUTE(SUBSTITUTE(D306," ",""), "_", ""))))</f>
        <v>Jacobs_etal_1997_Table1</v>
      </c>
      <c r="K306" s="10" t="str">
        <f>I306 &amp; "_" &amp; SUBSTITUTE(SUBSTITUTE(SUBSTITUTE(D306,CHAR(160),"")," ",""),"_","")</f>
        <v>10.1002%2F(sici)1096-9861(19971006)386%3A4&lt;661%3A%3AAid-cne11&gt;3.0.Co;2-n_Table1</v>
      </c>
      <c r="L306" s="10" t="str">
        <f t="array" ref="L306">IFERROR(INDEX(AUTO_Public_TSV_FileList!$A$1:$A$1000,MATCH(TRUE(),EXACT(K306,IFERROR(_xlfn.TEXTBEFORE(AUTO_Public_TSV_FileList!$A$1:$A$1000,".tsv"),"")),0)),"notfound")</f>
        <v>notfound</v>
      </c>
      <c r="M306" s="9"/>
      <c r="N306" s="9" t="inlineStr">
        <is>
          <t>PDF; table/figure</t>
        </is>
      </c>
      <c r="O306" s="9" t="inlineStr">
        <is>
          <t>Registry row added 2026-09-26; snapshot/CSV/R/README/definitions and public TSV were already built and uploaded prior to this row's addition.</t>
        </is>
      </c>
      <c r="P306" s="9" t="inlineStr">
        <is>
          <t>FINISHED</t>
        </is>
      </c>
      <c r="Q306" s="9"/>
      <c r="R306" s="9"/>
      <c r="S306" s="9"/>
      <c r="T306" s="9"/>
      <c r="U306" s="9"/>
      <c r="V306" s="9"/>
      <c r="W306" s="9"/>
      <c r="X306" s="9"/>
      <c r="Y306" s="9"/>
      <c r="Z306" s="9"/>
      <c r="AA306" s="9"/>
      <c r="AB306" s="9"/>
      <c r="AC306" s="9"/>
      <c r="AD306" s="9"/>
      <c r="AE306" s="9"/>
      <c r="AF306" s="9"/>
      <c r="AG306" s="9"/>
    </row>
    <row r="307" ht="17" customHeight="1">
      <c r="A307" s="9" t="inlineStr">
        <is>
          <t>Jacobs, B., Driscoll, L., &amp; Schall, M. (1997). Life-span dendritic and spine changes in areas 10 and 18 of human cortex: a quantitative Golgi study. The Journal of Comparative Neurology, 386(4), 661-680. https://doi.org/10.1002/(SICI)1096-9861(19971006)386:4&lt;661::AID-CNE11&gt;3.0.CO;2-N</t>
        </is>
      </c>
      <c r="B307" s="9"/>
      <c r="C307" s="9" t="inlineStr">
        <is>
          <t>10.1002/(sici)1096-9861(19971006)386:4&lt;661::Aid-cne11&gt;3.0.Co;2-n</t>
        </is>
      </c>
      <c r="D307" s="9" t="inlineStr">
        <is>
          <t>Table 2</t>
        </is>
      </c>
      <c r="E307" s="11" t="str">
        <f>SUBSTITUTE(SUBSTITUTE(_xlfn.TEXTBEFORE(A307,","), "-", ""), " ", "")</f>
        <v>Jacobs</v>
      </c>
      <c r="F307" s="10"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10" t="str">
        <f>_xlfn.TEXTBEFORE(_xlfn.TEXTAFTER(A307, "("), ")")</f>
        <v>1997</v>
      </c>
      <c r="H307" s="11" t="str">
        <f>E307 &amp; IF(F307&lt;&gt;"", "_" &amp; SUBSTITUTE(F307," ",""), "_") &amp; IF(G307&lt;&gt;"", "_" &amp; G307, "_") &amp; IF(B307&lt;&gt;"", "_" &amp; B307, "")</f>
        <v>Jacobs_etal_1997</v>
      </c>
      <c r="I307" s="11" t="str">
        <f>_xlfn.LET(_xlpm.doi,IF(C307&lt;&gt;"",C307,_xlfn.TEXTAFTER(A307,"https://doi.org/")),SUBSTITUTE(SUBSTITUTE(SUBSTITUTE(SUBSTITUTE(_xlpm.doi,"/","%2F"),":","%3A"),"&lt;","%3C"),"&gt;","%3E"))</f>
        <v>10.1002%2F(sici)1096-9861(19971006)386%3A4&lt;661%3A%3AAid-cne11&gt;3.0.Co;2-n</v>
      </c>
      <c r="J307" s="11" t="str">
        <f>TRIM(_xlfn.TEXTJOIN("_",FALSE(),H307,(SUBSTITUTE(SUBSTITUTE(D307," ",""), "_", ""))))</f>
        <v>Jacobs_etal_1997_Table2</v>
      </c>
      <c r="K307" s="10" t="str">
        <f>I307 &amp; "_" &amp; SUBSTITUTE(SUBSTITUTE(SUBSTITUTE(D307,CHAR(160),"")," ",""),"_","")</f>
        <v>10.1002%2F(sici)1096-9861(19971006)386%3A4&lt;661%3A%3AAid-cne11&gt;3.0.Co;2-n_Table2</v>
      </c>
      <c r="L307" s="10" t="str">
        <f t="array" ref="L307">IFERROR(INDEX(AUTO_Public_TSV_FileList!$A$1:$A$1000,MATCH(TRUE(),EXACT(K307,IFERROR(_xlfn.TEXTBEFORE(AUTO_Public_TSV_FileList!$A$1:$A$1000,".tsv"),"")),0)),"notfound")</f>
        <v>notfound</v>
      </c>
      <c r="M307" s="9"/>
      <c r="N307" s="9" t="inlineStr">
        <is>
          <t>PDF; table/figure</t>
        </is>
      </c>
      <c r="O307" s="9" t="inlineStr">
        <is>
          <t>Registry row added 2026-09-26; snapshot/CSV/R/README/definitions and public TSV were already built and uploaded prior to this row's addition.</t>
        </is>
      </c>
      <c r="P307" s="9" t="inlineStr">
        <is>
          <t>FINISHED</t>
        </is>
      </c>
      <c r="Q307" s="9"/>
      <c r="R307" s="9"/>
      <c r="S307" s="9"/>
      <c r="T307" s="9"/>
      <c r="U307" s="9"/>
      <c r="V307" s="9"/>
      <c r="W307" s="9"/>
      <c r="X307" s="9"/>
      <c r="Y307" s="9"/>
      <c r="Z307" s="9"/>
      <c r="AA307" s="9"/>
      <c r="AB307" s="9"/>
      <c r="AC307" s="9"/>
      <c r="AD307" s="9"/>
      <c r="AE307" s="9"/>
      <c r="AF307" s="9"/>
      <c r="AG307" s="9"/>
    </row>
    <row r="308" ht="17" customHeight="1">
      <c r="A308" s="9" t="inlineStr">
        <is>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is>
      </c>
      <c r="B308" s="9"/>
      <c r="C308" s="9"/>
      <c r="D308" s="9" t="inlineStr">
        <is>
          <t>Table 3</t>
        </is>
      </c>
      <c r="E308" s="11" t="str">
        <f>SUBSTITUTE(SUBSTITUTE(_xlfn.TEXTBEFORE(A308,","), "-", ""), " ", "")</f>
        <v>Jacobs</v>
      </c>
      <c r="F308" s="10"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10" t="str">
        <f>_xlfn.TEXTBEFORE(_xlfn.TEXTAFTER(A308, "("), ")")</f>
        <v>2018</v>
      </c>
      <c r="H308" s="11" t="str">
        <f>E308 &amp; IF(F308&lt;&gt;"", "_" &amp; SUBSTITUTE(F308," ",""), "_") &amp; IF(G308&lt;&gt;"", "_" &amp; G308, "_") &amp; IF(B308&lt;&gt;"", "_" &amp; B308, "")</f>
        <v>Jacobs_etal_2018</v>
      </c>
      <c r="I308" s="11" t="str">
        <f>_xlfn.LET(_xlpm.doi,IF(C308&lt;&gt;"",C308,_xlfn.TEXTAFTER(A308,"https://doi.org/")),SUBSTITUTE(SUBSTITUTE(SUBSTITUTE(SUBSTITUTE(_xlpm.doi,"/","%2F"),":","%3A"),"&lt;","%3C"),"&gt;","%3E"))</f>
        <v>10.1002%2Fcne.24349</v>
      </c>
      <c r="J308" s="11" t="str">
        <f>TRIM(_xlfn.TEXTJOIN("_",FALSE(),H308,(SUBSTITUTE(SUBSTITUTE(D308," ",""), "_", ""))))</f>
        <v>Jacobs_etal_2018_Table3</v>
      </c>
      <c r="K308" s="10" t="str">
        <f>I308 &amp; "_" &amp; SUBSTITUTE(SUBSTITUTE(SUBSTITUTE(D308,CHAR(160),"")," ",""),"_","")</f>
        <v>10.1002%2Fcne.24349_Table3</v>
      </c>
      <c r="L308" s="10" t="str">
        <f t="array" ref="L308">IFERROR(INDEX(AUTO_Public_TSV_FileList!$A$1:$A$1000,MATCH(TRUE(),EXACT(K308,IFERROR(_xlfn.TEXTBEFORE(AUTO_Public_TSV_FileList!$A$1:$A$1000,".tsv"),"")),0)),"notfound")</f>
        <v>10.1002%2Fcne.24349_Table3.tsv</v>
      </c>
      <c r="M308" s="9"/>
      <c r="N308" s="9" t="inlineStr">
        <is>
          <t>PDF; table/figure</t>
        </is>
      </c>
      <c r="O308" s="9" t="inlineStr">
        <is>
          <t>Registry row added 2026-09-26; snapshot/CSV/R/README/definitions and public TSV were already built and uploaded prior to this row's addition. See item README for printed-number-error caveats (carried verbatim, never silently corrected).</t>
        </is>
      </c>
      <c r="P308" s="9" t="inlineStr">
        <is>
          <t>FINISHED</t>
        </is>
      </c>
      <c r="Q308" s="9"/>
      <c r="R308" s="9"/>
      <c r="S308" s="9"/>
      <c r="T308" s="9"/>
      <c r="U308" s="9"/>
      <c r="V308" s="9"/>
      <c r="W308" s="9"/>
      <c r="X308" s="9"/>
      <c r="Y308" s="9"/>
      <c r="Z308" s="9"/>
      <c r="AA308" s="9"/>
      <c r="AB308" s="9"/>
      <c r="AC308" s="9"/>
      <c r="AD308" s="9"/>
      <c r="AE308" s="9"/>
      <c r="AF308" s="9"/>
      <c r="AG308" s="9"/>
    </row>
    <row r="309" ht="17" customHeight="1">
      <c r="A309" s="9" t="inlineStr">
        <is>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is>
      </c>
      <c r="B309" s="9"/>
      <c r="C309" s="9"/>
      <c r="D309" s="9" t="inlineStr">
        <is>
          <t>Table 5</t>
        </is>
      </c>
      <c r="E309" s="11" t="str">
        <f>SUBSTITUTE(SUBSTITUTE(_xlfn.TEXTBEFORE(A309,","), "-", ""), " ", "")</f>
        <v>Jacobs</v>
      </c>
      <c r="F309" s="10"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10" t="str">
        <f>_xlfn.TEXTBEFORE(_xlfn.TEXTAFTER(A309, "("), ")")</f>
        <v>2018</v>
      </c>
      <c r="H309" s="11" t="str">
        <f>E309 &amp; IF(F309&lt;&gt;"", "_" &amp; SUBSTITUTE(F309," ",""), "_") &amp; IF(G309&lt;&gt;"", "_" &amp; G309, "_") &amp; IF(B309&lt;&gt;"", "_" &amp; B309, "")</f>
        <v>Jacobs_etal_2018</v>
      </c>
      <c r="I309" s="11" t="str">
        <f>_xlfn.LET(_xlpm.doi,IF(C309&lt;&gt;"",C309,_xlfn.TEXTAFTER(A309,"https://doi.org/")),SUBSTITUTE(SUBSTITUTE(SUBSTITUTE(SUBSTITUTE(_xlpm.doi,"/","%2F"),":","%3A"),"&lt;","%3C"),"&gt;","%3E"))</f>
        <v>10.1002%2Fcne.24349</v>
      </c>
      <c r="J309" s="11" t="str">
        <f>TRIM(_xlfn.TEXTJOIN("_",FALSE(),H309,(SUBSTITUTE(SUBSTITUTE(D309," ",""), "_", ""))))</f>
        <v>Jacobs_etal_2018_Table5</v>
      </c>
      <c r="K309" s="10" t="str">
        <f>I309 &amp; "_" &amp; SUBSTITUTE(SUBSTITUTE(SUBSTITUTE(D309,CHAR(160),"")," ",""),"_","")</f>
        <v>10.1002%2Fcne.24349_Table5</v>
      </c>
      <c r="L309" s="10" t="str">
        <f t="array" ref="L309">IFERROR(INDEX(AUTO_Public_TSV_FileList!$A$1:$A$1000,MATCH(TRUE(),EXACT(K309,IFERROR(_xlfn.TEXTBEFORE(AUTO_Public_TSV_FileList!$A$1:$A$1000,".tsv"),"")),0)),"notfound")</f>
        <v>10.1002%2Fcne.24349_Table5.tsv</v>
      </c>
      <c r="M309" s="9"/>
      <c r="N309" s="9" t="inlineStr">
        <is>
          <t>PDF; table/figure</t>
        </is>
      </c>
      <c r="O309" s="9" t="inlineStr">
        <is>
          <t>Registry row added 2026-09-26; snapshot/CSV/R/README/definitions and public TSV were already built and uploaded prior to this row's addition. See item README for printed-number-error caveats (carried verbatim, never silently corrected).</t>
        </is>
      </c>
      <c r="P309" s="9" t="inlineStr">
        <is>
          <t>FINISHED</t>
        </is>
      </c>
      <c r="Q309" s="9"/>
      <c r="R309" s="9"/>
      <c r="S309" s="9"/>
      <c r="T309" s="9"/>
      <c r="U309" s="9"/>
      <c r="V309" s="9"/>
      <c r="W309" s="9"/>
      <c r="X309" s="9"/>
      <c r="Y309" s="9"/>
      <c r="Z309" s="9"/>
      <c r="AA309" s="9"/>
      <c r="AB309" s="9"/>
      <c r="AC309" s="9"/>
      <c r="AD309" s="9"/>
      <c r="AE309" s="9"/>
      <c r="AF309" s="9"/>
      <c r="AG309" s="9"/>
    </row>
    <row r="310" ht="17" customHeight="1">
      <c r="A310" s="1" t="inlineStr">
        <is>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is>
      </c>
      <c r="B310" s="9"/>
      <c r="C310" s="9"/>
      <c r="D310" s="1" t="inlineStr">
        <is>
          <t>Table 1</t>
        </is>
      </c>
      <c r="E310" s="10" t="str">
        <f>SUBSTITUTE(SUBSTITUTE(_xlfn.TEXTBEFORE(A310,","), "-", ""), " ", "")</f>
        <v>Jacobs</v>
      </c>
      <c r="F310" s="10"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10" t="str">
        <f>_xlfn.TEXTBEFORE(_xlfn.TEXTAFTER(A310, "("), ")")</f>
        <v>2015</v>
      </c>
      <c r="H310" s="10" t="str">
        <f>E310 &amp; IF(F310&lt;&gt;"", "_" &amp; SUBSTITUTE(F310," ",""), "_") &amp; IF(G310&lt;&gt;"", "_" &amp; G310, "_") &amp; IF(B310&lt;&gt;"", "_" &amp; B310, "")</f>
        <v>Jacobs_etal_2015</v>
      </c>
      <c r="I310" s="10" t="str">
        <f>_xlfn.LET(
_xlpm.doi,IF(C310&lt;&gt;"",C310,_xlfn.TEXTAFTER(A310,"https://doi.org/")),
SUBSTITUTE(
SUBSTITUTE(
SUBSTITUTE(
SUBSTITUTE(
_xlpm.doi,
"/","%2F"),
":","%3A"),
"&lt;","%3C"),
"&gt;","%3E")
)</f>
        <v>10.1007%2Fs00429-014-0830-9</v>
      </c>
      <c r="J310" s="10" t="str">
        <f>TRIM(_xlfn.TEXTJOIN("_",FALSE(),H310,(SUBSTITUTE(SUBSTITUTE(D310," ",""), "_", ""))))</f>
        <v>Jacobs_etal_2015_Table1</v>
      </c>
      <c r="K310" s="10" t="str">
        <f>I310 &amp; "_" &amp; SUBSTITUTE(SUBSTITUTE(SUBSTITUTE(D310,CHAR(160),"")," ",""),"_","")</f>
        <v>10.1007%2Fs00429-014-0830-9_Table1</v>
      </c>
      <c r="L310" s="10" t="str">
        <f t="array" ref="L310">IFERROR(INDEX(AUTO_Public_TSV_FileList!$A$1:$A$1000,MATCH(TRUE(),EXACT(K310,IFERROR(_xlfn.TEXTBEFORE(AUTO_Public_TSV_FileList!$A$1:$A$1000,".tsv"),"")),0)),"notfound")</f>
        <v>10.1007%2Fs00429-014-0830-9_Table1.tsv</v>
      </c>
      <c r="M310" s="1" t="inlineStr">
        <is>
          <t>Table 1 Laminar and cortical thickness (in lm, mean ± SD) in giraffe cortex</t>
        </is>
      </c>
      <c r="N310" s="13"/>
      <c r="O310" s="13"/>
      <c r="P310" s="1" t="inlineStr">
        <is>
          <t>FINISHED</t>
        </is>
      </c>
      <c r="Q310" s="13"/>
      <c r="R310" s="13"/>
      <c r="S310" s="13"/>
      <c r="T310" s="13"/>
      <c r="U310" s="13"/>
      <c r="V310" s="13"/>
      <c r="W310" s="13"/>
      <c r="X310" s="13"/>
      <c r="Y310" s="13"/>
      <c r="Z310" s="13"/>
      <c r="AA310" s="13"/>
      <c r="AB310" s="13"/>
      <c r="AC310" s="13"/>
      <c r="AD310" s="13"/>
      <c r="AE310" s="13"/>
      <c r="AF310" s="13"/>
      <c r="AG310" s="13"/>
    </row>
    <row r="311" ht="17" customHeight="1">
      <c r="A311" s="1" t="inlineStr">
        <is>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is>
      </c>
      <c r="B311" s="9"/>
      <c r="C311" s="9"/>
      <c r="D311" s="1" t="inlineStr">
        <is>
          <t>Table 3</t>
        </is>
      </c>
      <c r="E311" s="10" t="str">
        <f>SUBSTITUTE(SUBSTITUTE(_xlfn.TEXTBEFORE(A311,","), "-", ""), " ", "")</f>
        <v>Jacobs</v>
      </c>
      <c r="F311" s="10"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10" t="str">
        <f>_xlfn.TEXTBEFORE(_xlfn.TEXTAFTER(A311, "("), ")")</f>
        <v>2015</v>
      </c>
      <c r="H311" s="10" t="str">
        <f>E311 &amp; IF(F311&lt;&gt;"", "_" &amp; SUBSTITUTE(F311," ",""), "_") &amp; IF(G311&lt;&gt;"", "_" &amp; G311, "_") &amp; IF(B311&lt;&gt;"", "_" &amp; B311, "")</f>
        <v>Jacobs_etal_2015</v>
      </c>
      <c r="I311" s="10" t="str">
        <f>_xlfn.LET(
_xlpm.doi,IF(C311&lt;&gt;"",C311,_xlfn.TEXTAFTER(A311,"https://doi.org/")),
SUBSTITUTE(
SUBSTITUTE(
SUBSTITUTE(
SUBSTITUTE(
_xlpm.doi,
"/","%2F"),
":","%3A"),
"&lt;","%3C"),
"&gt;","%3E")
)</f>
        <v>10.1007%2Fs00429-014-0830-9</v>
      </c>
      <c r="J311" s="10" t="str">
        <f>TRIM(_xlfn.TEXTJOIN("_",FALSE(),H311,(SUBSTITUTE(SUBSTITUTE(D311," ",""), "_", ""))))</f>
        <v>Jacobs_etal_2015_Table3</v>
      </c>
      <c r="K311" s="10" t="str">
        <f>I311 &amp; "_" &amp; SUBSTITUTE(SUBSTITUTE(SUBSTITUTE(D311,CHAR(160),"")," ",""),"_","")</f>
        <v>10.1007%2Fs00429-014-0830-9_Table3</v>
      </c>
      <c r="L311" s="10" t="str">
        <f t="array" ref="L311">IFERROR(INDEX(AUTO_Public_TSV_FileList!$A$1:$A$1000,MATCH(TRUE(),EXACT(K311,IFERROR(_xlfn.TEXTBEFORE(AUTO_Public_TSV_FileList!$A$1:$A$1000,".tsv"),"")),0)),"notfound")</f>
        <v>10.1007%2Fs00429-014-0830-9_Table3.tsv</v>
      </c>
      <c r="M311" s="13" t="inlineStr">
        <is>
          <t>Table 2 Summary statistics (mean ± SEM) for each type of giraffe neuron quantified in primary motor and visual cortices</t>
        </is>
      </c>
      <c r="N311" s="13"/>
      <c r="O311" s="13"/>
      <c r="P311" s="13" t="inlineStr">
        <is>
          <t>FINISHED</t>
        </is>
      </c>
      <c r="Q311" s="13"/>
      <c r="R311" s="13"/>
      <c r="S311" s="13"/>
      <c r="T311" s="13"/>
      <c r="U311" s="13"/>
      <c r="V311" s="13"/>
      <c r="W311" s="13"/>
      <c r="X311" s="13"/>
      <c r="Y311" s="13"/>
      <c r="Z311" s="13"/>
      <c r="AA311" s="13"/>
      <c r="AB311" s="13"/>
      <c r="AC311" s="13"/>
      <c r="AD311" s="13"/>
      <c r="AE311" s="13"/>
      <c r="AF311" s="13"/>
      <c r="AG311" s="13"/>
    </row>
    <row r="312" ht="17" customHeight="1">
      <c r="A312" s="1" t="inlineStr">
        <is>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is>
      </c>
      <c r="B312" s="9"/>
      <c r="C312" s="9"/>
      <c r="D312" s="13" t="inlineStr">
        <is>
          <t>Table 4</t>
        </is>
      </c>
      <c r="E312" s="10" t="str">
        <f>SUBSTITUTE(SUBSTITUTE(_xlfn.TEXTBEFORE(A312,","), "-", ""), " ", "")</f>
        <v>Jacobs</v>
      </c>
      <c r="F312" s="10"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10" t="str">
        <f>_xlfn.TEXTBEFORE(_xlfn.TEXTAFTER(A312, "("), ")")</f>
        <v>2015</v>
      </c>
      <c r="H312" s="10" t="str">
        <f>E312 &amp; IF(F312&lt;&gt;"", "_" &amp; SUBSTITUTE(F312," ",""), "_") &amp; IF(G312&lt;&gt;"", "_" &amp; G312, "_") &amp; IF(B312&lt;&gt;"", "_" &amp; B312, "")</f>
        <v>Jacobs_etal_2015</v>
      </c>
      <c r="I312" s="10" t="str">
        <f>_xlfn.LET(
_xlpm.doi,IF(C312&lt;&gt;"",C312,_xlfn.TEXTAFTER(A312,"https://doi.org/")),
SUBSTITUTE(
SUBSTITUTE(
SUBSTITUTE(
SUBSTITUTE(
_xlpm.doi,
"/","%2F"),
":","%3A"),
"&lt;","%3C"),
"&gt;","%3E")
)</f>
        <v>10.1007%2Fs00429-014-0830-9</v>
      </c>
      <c r="J312" s="10" t="str">
        <f>TRIM(_xlfn.TEXTJOIN("_",FALSE(),H312,(SUBSTITUTE(SUBSTITUTE(D312," ",""), "_", ""))))</f>
        <v>Jacobs_etal_2015_Table4</v>
      </c>
      <c r="K312" s="10" t="str">
        <f>I312 &amp; "_" &amp; SUBSTITUTE(SUBSTITUTE(SUBSTITUTE(D312,CHAR(160),"")," ",""),"_","")</f>
        <v>10.1007%2Fs00429-014-0830-9_Table4</v>
      </c>
      <c r="L312" s="10" t="str">
        <f t="array" ref="L312">IFERROR(INDEX(AUTO_Public_TSV_FileList!$A$1:$A$1000,MATCH(TRUE(),EXACT(K312,IFERROR(_xlfn.TEXTBEFORE(AUTO_Public_TSV_FileList!$A$1:$A$1000,".tsv"),"")),0)),"notfound")</f>
        <v>10.1007%2Fs00429-014-0830-9_Table4.tsv</v>
      </c>
      <c r="M312" s="13" t="inlineStr">
        <is>
          <t>Table 4 Demographics of species in pyramidal neuron comparisons arranged by brain mass (high to low)</t>
        </is>
      </c>
      <c r="N312" s="13"/>
      <c r="O312" s="13"/>
      <c r="P312" s="13" t="inlineStr">
        <is>
          <t>FINISHED</t>
        </is>
      </c>
      <c r="Q312" s="13"/>
      <c r="R312" s="13"/>
      <c r="S312" s="13"/>
      <c r="T312" s="13"/>
      <c r="U312" s="13"/>
      <c r="V312" s="13"/>
      <c r="W312" s="13"/>
      <c r="X312" s="13"/>
      <c r="Y312" s="13"/>
      <c r="Z312" s="13"/>
      <c r="AA312" s="13"/>
      <c r="AB312" s="13"/>
      <c r="AC312" s="13"/>
      <c r="AD312" s="13"/>
      <c r="AE312" s="13"/>
      <c r="AF312" s="13"/>
      <c r="AG312" s="13"/>
    </row>
    <row r="313" ht="17" customHeight="1">
      <c r="A313" s="13" t="inlineStr">
        <is>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is>
      </c>
      <c r="B313" s="9"/>
      <c r="C313" s="9"/>
      <c r="D313" s="13" t="inlineStr">
        <is>
          <t>Table 1</t>
        </is>
      </c>
      <c r="E313" s="10" t="str">
        <f>SUBSTITUTE(SUBSTITUTE(_xlfn.TEXTBEFORE(A313,","), "-", ""), " ", "")</f>
        <v>Jacobs</v>
      </c>
      <c r="F313" s="10"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10" t="str">
        <f>_xlfn.TEXTBEFORE(_xlfn.TEXTAFTER(A313, "("), ")")</f>
        <v>2016</v>
      </c>
      <c r="H313" s="10" t="str">
        <f>E313 &amp; IF(F313&lt;&gt;"", "_" &amp; SUBSTITUTE(F313," ",""), "_") &amp; IF(G313&lt;&gt;"", "_" &amp; G313, "_") &amp; IF(B313&lt;&gt;"", "_" &amp; B313, "")</f>
        <v>Jacobs_etal_2016</v>
      </c>
      <c r="I313" s="10" t="str">
        <f>_xlfn.LET(
_xlpm.doi,IF(C313&lt;&gt;"",C313,_xlfn.TEXTAFTER(A313,"https://doi.org/")),
SUBSTITUTE(
SUBSTITUTE(
SUBSTITUTE(
SUBSTITUTE(
_xlpm.doi,
"/","%2F"),
":","%3A"),
"&lt;","%3C"),
"&gt;","%3E")
)</f>
        <v>10.1002%2Fcne.23841</v>
      </c>
      <c r="J313" s="10" t="str">
        <f>TRIM(_xlfn.TEXTJOIN("_",FALSE(),H313,(SUBSTITUTE(SUBSTITUTE(D313," ",""), "_", ""))))</f>
        <v>Jacobs_etal_2016_Table1</v>
      </c>
      <c r="K313" s="10" t="str">
        <f>I313 &amp; "_" &amp; SUBSTITUTE(SUBSTITUTE(SUBSTITUTE(D313,CHAR(160),"")," ",""),"_","")</f>
        <v>10.1002%2Fcne.23841_Table1</v>
      </c>
      <c r="L313" s="10" t="str">
        <f t="array" ref="L313">IFERROR(INDEX(AUTO_Public_TSV_FileList!$A$1:$A$1000,MATCH(TRUE(),EXACT(K313,IFERROR(_xlfn.TEXTBEFORE(AUTO_Public_TSV_FileList!$A$1:$A$1000,".tsv"),"")),0)),"notfound")</f>
        <v>10.1002%2Fcne.23841_Table1.tsv</v>
      </c>
      <c r="M313" s="13"/>
      <c r="N313" s="1" t="inlineStr">
        <is>
          <t>table</t>
        </is>
      </c>
      <c r="O313" s="13"/>
      <c r="P313" s="13" t="inlineStr">
        <is>
          <t>FINISHED</t>
        </is>
      </c>
      <c r="Q313" s="13"/>
      <c r="R313" s="13" t="inlineStr">
        <is>
          <t>https://www.coloradocollege.edu/dotAsset/f0f0cd15-dac1-4695-9a39-6f7eba5810f5.pdf</t>
        </is>
      </c>
      <c r="S313" s="13"/>
      <c r="T313" s="13"/>
      <c r="U313" s="13"/>
      <c r="V313" s="13" t="inlineStr">
        <is>
          <t>cortical layers</t>
        </is>
      </c>
      <c r="W313" s="13" t="inlineStr">
        <is>
          <t>Giraffidae; Elephantidae</t>
        </is>
      </c>
      <c r="X313" s="13" t="inlineStr">
        <is>
          <t>cortical-layer thickness</t>
        </is>
      </c>
      <c r="Y313" s="13"/>
      <c r="Z313" s="13"/>
      <c r="AA313" s="13"/>
      <c r="AB313" s="13" t="inlineStr">
        <is>
          <t>absolute cortical-layer thickness</t>
        </is>
      </c>
      <c r="AC313" s="13"/>
      <c r="AD313" s="13"/>
      <c r="AE313" s="13" t="inlineStr">
        <is>
          <t>primary</t>
        </is>
      </c>
      <c r="AF313" s="13"/>
      <c r="AG313" s="13"/>
    </row>
    <row r="314" ht="17" customHeight="1">
      <c r="A314" s="1" t="inlineStr">
        <is>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is>
      </c>
      <c r="B314" s="9"/>
      <c r="C314" s="9"/>
      <c r="D314" s="1" t="inlineStr">
        <is>
          <t>Table 1</t>
        </is>
      </c>
      <c r="E314" s="10" t="str">
        <f>SUBSTITUTE(SUBSTITUTE(_xlfn.TEXTBEFORE(A314,","), "-", ""), " ", "")</f>
        <v>Jacobs</v>
      </c>
      <c r="F314" s="10"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10" t="str">
        <f>_xlfn.TEXTBEFORE(_xlfn.TEXTAFTER(A314, "("), ")")</f>
        <v>2016</v>
      </c>
      <c r="H314" s="10" t="str">
        <f>E314 &amp; IF(F314&lt;&gt;"", "_" &amp; SUBSTITUTE(F314," ",""), "_") &amp; IF(G314&lt;&gt;"", "_" &amp; G314, "_") &amp; IF(B314&lt;&gt;"", "_" &amp; B314, "")</f>
        <v>Jacobs_etal_2016</v>
      </c>
      <c r="I314" s="10" t="str">
        <f>_xlfn.LET(
_xlpm.doi,IF(C314&lt;&gt;"",C314,_xlfn.TEXTAFTER(A314,"https://doi.org/")),
SUBSTITUTE(
SUBSTITUTE(
SUBSTITUTE(
SUBSTITUTE(
_xlpm.doi,
"/","%2F"),
":","%3A"),
"&lt;","%3C"),
"&gt;","%3E")
)</f>
        <v>10.1002%2Fcne.23841</v>
      </c>
      <c r="J314" s="10" t="str">
        <f>TRIM(_xlfn.TEXTJOIN("_",FALSE(),H314,(SUBSTITUTE(SUBSTITUTE(D314," ",""), "_", ""))))</f>
        <v>Jacobs_etal_2016_Table1</v>
      </c>
      <c r="K314" s="10" t="str">
        <f>I314 &amp; "_" &amp; SUBSTITUTE(SUBSTITUTE(SUBSTITUTE(D314,CHAR(160),"")," ",""),"_","")</f>
        <v>10.1002%2Fcne.23841_Table1</v>
      </c>
      <c r="L314" s="10" t="str">
        <f t="array" ref="L314">IFERROR(INDEX(AUTO_Public_TSV_FileList!$A$1:$A$1000,MATCH(TRUE(),EXACT(K314,IFERROR(_xlfn.TEXTBEFORE(AUTO_Public_TSV_FileList!$A$1:$A$1000,".tsv"),"")),0)),"notfound")</f>
        <v>10.1002%2Fcne.23841_Table1.tsv</v>
      </c>
      <c r="M314" s="13"/>
      <c r="N314" s="1" t="inlineStr">
        <is>
          <t>table</t>
        </is>
      </c>
      <c r="O314" s="13"/>
      <c r="P314" s="1" t="inlineStr">
        <is>
          <t>FINISHED</t>
        </is>
      </c>
      <c r="Q314" s="13"/>
      <c r="R314" s="13" t="inlineStr">
        <is>
          <t>https://www.coloradocollege.edu/dotAsset/f0f0cd15-dac1-4695-9a39-6f7eba5810f5.pdf</t>
        </is>
      </c>
      <c r="S314" s="13"/>
      <c r="T314" s="13"/>
      <c r="U314" s="13"/>
      <c r="V314" s="1" t="inlineStr">
        <is>
          <t>cortical layers</t>
        </is>
      </c>
      <c r="W314" s="1" t="inlineStr">
        <is>
          <t>Giraffidae; Elephantidae</t>
        </is>
      </c>
      <c r="X314" s="1" t="inlineStr">
        <is>
          <t>cortical-layer thickness</t>
        </is>
      </c>
      <c r="Y314" s="13"/>
      <c r="Z314" s="13"/>
      <c r="AA314" s="13"/>
      <c r="AB314" s="1" t="inlineStr">
        <is>
          <t>absolute cortical-layer thickness</t>
        </is>
      </c>
      <c r="AC314" s="13"/>
      <c r="AD314" s="13"/>
      <c r="AE314" s="1" t="inlineStr">
        <is>
          <t>primary</t>
        </is>
      </c>
      <c r="AF314" s="1"/>
      <c r="AG314" s="13"/>
    </row>
    <row r="315" ht="17" customHeight="1">
      <c r="A315" s="17" t="inlineStr">
        <is>
          <t>Jacobs, B., Schall, M., Prather, M., Kapler, E., Driscoll, L., Baca, S., Jacobs, J., Ford, K., Wainwright, M., &amp; Treml, M. (2001). Regional dendritic and spine variation in human cerebral cortex: a quantitative golgi study. Cereb Cortex, 11(6), 558-571. https://doi.org/10.1093/cercor/11.6.558</t>
        </is>
      </c>
      <c r="B315" s="17"/>
      <c r="C315" s="17"/>
      <c r="D315" s="17" t="inlineStr">
        <is>
          <t>Table 1</t>
        </is>
      </c>
      <c r="E315" s="10" t="str">
        <f>SUBSTITUTE(SUBSTITUTE(_xlfn.TEXTBEFORE(A315,","), "-", ""), " ", "")</f>
        <v>Jacobs</v>
      </c>
      <c r="F315" s="10"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10" t="str">
        <f>_xlfn.TEXTBEFORE(_xlfn.TEXTAFTER(A315, "("), ")")</f>
        <v>2001</v>
      </c>
      <c r="H315" s="10" t="str">
        <f>E315 &amp; IF(F315&lt;&gt;"", "_" &amp; SUBSTITUTE(F315," ",""), "_") &amp; IF(G315&lt;&gt;"", "_" &amp; G315, "_") &amp; IF(B315&lt;&gt;"", "_" &amp; B315, "")</f>
        <v>Jacobs_etal_2001</v>
      </c>
      <c r="I315" s="10" t="str">
        <f>_xlfn.LET(
_xlpm.doi,IF(C315&lt;&gt;"",C315,_xlfn.TEXTAFTER(A315,"https://doi.org/")),
SUBSTITUTE(
SUBSTITUTE(
SUBSTITUTE(
SUBSTITUTE(
_xlpm.doi,
"/","%2F"),
":","%3A"),
"&lt;","%3C"),
"&gt;","%3E")
)</f>
        <v>10.1093%2Fcercor%2F11.6.558</v>
      </c>
      <c r="J315" s="10" t="str">
        <f>TRIM(_xlfn.TEXTJOIN("_",FALSE(),H315,(SUBSTITUTE(SUBSTITUTE(D315," ",""), "_", ""))))</f>
        <v>Jacobs_etal_2001_Table1</v>
      </c>
      <c r="K315" s="10" t="str">
        <f>I315 &amp; "_" &amp; SUBSTITUTE(SUBSTITUTE(SUBSTITUTE(D315,CHAR(160),"")," ",""),"_","")</f>
        <v>10.1093%2Fcercor%2F11.6.558_Table1</v>
      </c>
      <c r="L315" s="10" t="str">
        <f t="array" ref="L315">IFERROR(INDEX(AUTO_Public_TSV_FileList!$A$1:$A$1000,MATCH(TRUE(),EXACT(K315,IFERROR(_xlfn.TEXTBEFORE(AUTO_Public_TSV_FileList!$A$1:$A$1000,".tsv"),"")),0)),"notfound")</f>
        <v>10.1093%2Fcercor%2F11.6.558_Table1.tsv</v>
      </c>
      <c r="M315" s="13"/>
      <c r="N315" s="17" t="inlineStr">
        <is>
          <t>PDF; table/figure</t>
        </is>
      </c>
      <c r="O315" s="17"/>
      <c r="P315" s="17" t="inlineStr">
        <is>
          <t>FINISHED</t>
        </is>
      </c>
      <c r="Q315" s="17"/>
      <c r="R315" s="17" t="inlineStr">
        <is>
          <t>https://doi.org/10.1093/cercor/11.6.558</t>
        </is>
      </c>
      <c r="S315" s="17"/>
      <c r="T315" s="17" t="inlineStr">
        <is>
          <t>overlapping publication lineage; retain specimen and source-level provenance</t>
        </is>
      </c>
      <c r="U315" s="17"/>
      <c r="V315" s="17" t="inlineStr">
        <is>
          <t>cortical pyramidal-neuron morphology</t>
        </is>
      </c>
      <c r="W315" s="17" t="inlineStr">
        <is>
          <t>Primates</t>
        </is>
      </c>
      <c r="X315" s="17" t="inlineStr">
        <is>
          <t>dendritic morphology; spine measures; sample metadata</t>
        </is>
      </c>
      <c r="Y315" s="17" t="inlineStr">
        <is>
          <t>Subject age/sex code, body weight, autolysis time, cause of death, occupation/education</t>
        </is>
      </c>
      <c r="Z315" s="17"/>
      <c r="AA315" s="17" t="inlineStr">
        <is>
          <t>Golgi or intracellular Lucifer Yellow morphology, as specified in source</t>
        </is>
      </c>
      <c r="AB315" s="17" t="inlineStr">
        <is>
          <t>cell morphology / metadata</t>
        </is>
      </c>
      <c r="AC315" s="17"/>
      <c r="AD315" s="17"/>
      <c r="AE315" s="17" t="inlineStr">
        <is>
          <t>primary sample metadata; notes BA10 reuse from Jacobs 1997</t>
        </is>
      </c>
      <c r="AF315" s="17"/>
      <c r="AG315" s="17" t="inlineStr">
        <is>
          <t>Add for provenance; use note to identify overlapping BA10 samples.</t>
        </is>
      </c>
    </row>
    <row r="316" ht="17" customHeight="1">
      <c r="A316" s="17" t="inlineStr">
        <is>
          <t>Jacobs, B., Schall, M., Prather, M., Kapler, E., Driscoll, L., Baca, S., Jacobs, J., Ford, K., Wainwright, M., &amp; Treml, M. (2001). Regional dendritic and spine variation in human cerebral cortex: a quantitative golgi study. Cereb Cortex, 11(6), 558-571. https://doi.org/10.1093/cercor/11.6.558</t>
        </is>
      </c>
      <c r="B316" s="17"/>
      <c r="C316" s="17"/>
      <c r="D316" s="17" t="inlineStr">
        <is>
          <t>Table 2</t>
        </is>
      </c>
      <c r="E316" s="10" t="str">
        <f>SUBSTITUTE(SUBSTITUTE(_xlfn.TEXTBEFORE(A316,","), "-", ""), " ", "")</f>
        <v>Jacobs</v>
      </c>
      <c r="F316" s="10"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10" t="str">
        <f>_xlfn.TEXTBEFORE(_xlfn.TEXTAFTER(A316, "("), ")")</f>
        <v>2001</v>
      </c>
      <c r="H316" s="10" t="str">
        <f>E316 &amp; IF(F316&lt;&gt;"", "_" &amp; SUBSTITUTE(F316," ",""), "_") &amp; IF(G316&lt;&gt;"", "_" &amp; G316, "_") &amp; IF(B316&lt;&gt;"", "_" &amp; B316, "")</f>
        <v>Jacobs_etal_2001</v>
      </c>
      <c r="I316" s="10" t="str">
        <f>_xlfn.LET(
_xlpm.doi,IF(C316&lt;&gt;"",C316,_xlfn.TEXTAFTER(A316,"https://doi.org/")),
SUBSTITUTE(
SUBSTITUTE(
SUBSTITUTE(
SUBSTITUTE(
_xlpm.doi,
"/","%2F"),
":","%3A"),
"&lt;","%3C"),
"&gt;","%3E")
)</f>
        <v>10.1093%2Fcercor%2F11.6.558</v>
      </c>
      <c r="J316" s="10" t="str">
        <f>TRIM(_xlfn.TEXTJOIN("_",FALSE(),H316,(SUBSTITUTE(SUBSTITUTE(D316," ",""), "_", ""))))</f>
        <v>Jacobs_etal_2001_Table2</v>
      </c>
      <c r="K316" s="10" t="str">
        <f>I316 &amp; "_" &amp; SUBSTITUTE(SUBSTITUTE(SUBSTITUTE(D316,CHAR(160),"")," ",""),"_","")</f>
        <v>10.1093%2Fcercor%2F11.6.558_Table2</v>
      </c>
      <c r="L316" s="10" t="str">
        <f t="array" ref="L316">IFERROR(INDEX(AUTO_Public_TSV_FileList!$A$1:$A$1000,MATCH(TRUE(),EXACT(K316,IFERROR(_xlfn.TEXTBEFORE(AUTO_Public_TSV_FileList!$A$1:$A$1000,".tsv"),"")),0)),"notfound")</f>
        <v>10.1093%2Fcercor%2F11.6.558_Table2.tsv</v>
      </c>
      <c r="M316" s="13"/>
      <c r="N316" s="17" t="inlineStr">
        <is>
          <t>PDF; table/figure</t>
        </is>
      </c>
      <c r="O316" s="13"/>
      <c r="P316" s="17" t="inlineStr">
        <is>
          <t>FINISHED</t>
        </is>
      </c>
      <c r="Q316" s="17"/>
      <c r="R316" s="17" t="inlineStr">
        <is>
          <t>https://doi.org/10.1093/cercor/11.6.558</t>
        </is>
      </c>
      <c r="S316" s="17"/>
      <c r="T316" s="17" t="inlineStr">
        <is>
          <t>overlapping publication lineage; retain specimen and source-level provenance</t>
        </is>
      </c>
      <c r="U316" s="17"/>
      <c r="V316" s="17" t="inlineStr">
        <is>
          <t>cortical pyramidal-neuron morphology</t>
        </is>
      </c>
      <c r="W316" s="17" t="inlineStr">
        <is>
          <t>Primates</t>
        </is>
      </c>
      <c r="X316" s="17" t="inlineStr">
        <is>
          <t>dendritic morphology; spine measures; sample metadata</t>
        </is>
      </c>
      <c r="Y316" s="17" t="inlineStr">
        <is>
          <t>Low versus high integration regions: laminar depth and soma-size summary</t>
        </is>
      </c>
      <c r="Z316" s="17"/>
      <c r="AA316" s="17" t="inlineStr">
        <is>
          <t>Golgi or intracellular Lucifer Yellow morphology, as specified in source</t>
        </is>
      </c>
      <c r="AB316" s="17" t="inlineStr">
        <is>
          <t>cell morphology / metadata</t>
        </is>
      </c>
      <c r="AC316" s="17"/>
      <c r="AD316" s="17"/>
      <c r="AE316" s="17" t="inlineStr">
        <is>
          <t>primary</t>
        </is>
      </c>
      <c r="AF316" s="17"/>
      <c r="AG316" s="17" t="inlineStr">
        <is>
          <t>Add if laminar/soma measures are in scope. Core TDL/MSL/DSC/DSN/DSD are Figures 5–9.</t>
        </is>
      </c>
    </row>
    <row r="317" ht="17" customHeight="1">
      <c r="A317" s="1" t="inlineStr">
        <is>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is>
      </c>
      <c r="B317" s="13"/>
      <c r="C317" s="13"/>
      <c r="D317" s="1" t="inlineStr">
        <is>
          <t>Table 1</t>
        </is>
      </c>
      <c r="E317" s="10" t="str">
        <f>SUBSTITUTE(SUBSTITUTE(_xlfn.TEXTBEFORE(A317,","), "-", ""), " ", "")</f>
        <v>JardimMesseder</v>
      </c>
      <c r="F317" s="10"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10" t="str">
        <f>_xlfn.TEXTBEFORE(_xlfn.TEXTAFTER(A317, "("), ")")</f>
        <v>2017</v>
      </c>
      <c r="H317" s="10" t="str">
        <f>E317 &amp; IF(F317&lt;&gt;"", "_" &amp; SUBSTITUTE(F317," ",""), "_") &amp; IF(G317&lt;&gt;"", "_" &amp; G317, "_") &amp; IF(B317&lt;&gt;"", "_" &amp; B317, "")</f>
        <v>JardimMesseder_etal_2017</v>
      </c>
      <c r="I317" s="10" t="str">
        <f>_xlfn.LET(
_xlpm.doi,IF(C317&lt;&gt;"",C317,_xlfn.TEXTAFTER(A317,"https://doi.org/")),
SUBSTITUTE(
SUBSTITUTE(
SUBSTITUTE(
SUBSTITUTE(
_xlpm.doi,
"/","%2F"),
":","%3A"),
"&lt;","%3C"),
"&gt;","%3E")
)</f>
        <v>10.3389%2Ffnana.2017.00118</v>
      </c>
      <c r="J317" s="10" t="str">
        <f>TRIM(_xlfn.TEXTJOIN("_",FALSE(),H317,(SUBSTITUTE(SUBSTITUTE(D317," ",""), "_", ""))))</f>
        <v>JardimMesseder_etal_2017_Table1</v>
      </c>
      <c r="K317" s="10" t="str">
        <f>I317 &amp; "_" &amp; SUBSTITUTE(SUBSTITUTE(SUBSTITUTE(D317,CHAR(160),"")," ",""),"_","")</f>
        <v>10.3389%2Ffnana.2017.00118_Table1</v>
      </c>
      <c r="L317" s="10" t="str">
        <f t="array" ref="L317">IFERROR(INDEX(AUTO_Public_TSV_FileList!$A$1:$A$1000,MATCH(TRUE(),EXACT(K317,IFERROR(_xlfn.TEXTBEFORE(AUTO_Public_TSV_FileList!$A$1:$A$1000,".tsv"),"")),0)),"notfound")</f>
        <v>10.3389%2Ffnana.2017.00118_Table1.tsv</v>
      </c>
      <c r="M317" s="1" t="inlineStr">
        <is>
          <t>TABLE 1 | Summary of the cellular composition of the major brain structures of eight carnivoran species.</t>
        </is>
      </c>
      <c r="N317" s="1" t="inlineStr">
        <is>
          <t>table</t>
        </is>
      </c>
      <c r="O317" s="13"/>
      <c r="P317" s="1" t="inlineStr">
        <is>
          <t>FINISHED</t>
        </is>
      </c>
      <c r="Q317" s="1"/>
      <c r="R317" s="1" t="inlineStr">
        <is>
          <t>https://doi.org/10.3389/fnana.2017.00118</t>
        </is>
      </c>
      <c r="S317" s="13"/>
      <c r="T317" s="13"/>
      <c r="U317" s="13"/>
      <c r="V317" s="13"/>
      <c r="W317" s="1" t="inlineStr">
        <is>
          <t>Carnivores &amp; other companion mammals</t>
        </is>
      </c>
      <c r="X317" s="1" t="inlineStr">
        <is>
          <t>Cell numbers, region size</t>
        </is>
      </c>
      <c r="Y317" s="13"/>
      <c r="Z317" s="13"/>
      <c r="AA317" s="1" t="inlineStr">
        <is>
          <t>isotropic fractionator</t>
        </is>
      </c>
      <c r="AB317" s="1" t="inlineStr">
        <is>
          <t>cell count</t>
        </is>
      </c>
      <c r="AC317" s="1" t="inlineStr">
        <is>
          <t>HH</t>
        </is>
      </c>
      <c r="AD317" s="1" t="inlineStr">
        <is>
          <t>HH</t>
        </is>
      </c>
      <c r="AE317" s="1" t="inlineStr">
        <is>
          <t>primary</t>
        </is>
      </c>
      <c r="AF317" s="1"/>
      <c r="AG317" s="13"/>
    </row>
    <row r="318" ht="17" customHeight="1">
      <c r="A318" s="1" t="inlineStr">
        <is>
          <t>Johansen, A., Beliveau, V., Colliander, E., Raval, N. R., Dam, V. H., Gillings, N., Aznar, S., Svarer, C., Plaven-Sigray, P., &amp; Knudsen, G. M. (2024). An In Vivo High-Resolution Human Brain Atlas of Synaptic Density. J Neurosci, 44(33). https://doi.org/10.1523/JNEUROSCI.1750-23.2024</t>
        </is>
      </c>
      <c r="B318" s="13"/>
      <c r="C318" s="13"/>
      <c r="D318" s="1" t="inlineStr">
        <is>
          <t>Table 2</t>
        </is>
      </c>
      <c r="E318" s="10" t="str">
        <f>SUBSTITUTE(SUBSTITUTE(_xlfn.TEXTBEFORE(A318,","), "-", ""), " ", "")</f>
        <v>Johansen</v>
      </c>
      <c r="F318" s="10"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10" t="str">
        <f>_xlfn.TEXTBEFORE(_xlfn.TEXTAFTER(A318, "("), ")")</f>
        <v>2024</v>
      </c>
      <c r="H318" s="10" t="str">
        <f>E318 &amp; IF(F318&lt;&gt;"", "_" &amp; SUBSTITUTE(F318," ",""), "_") &amp; IF(G318&lt;&gt;"", "_" &amp; G318, "_") &amp; IF(B318&lt;&gt;"", "_" &amp; B318, "")</f>
        <v>Johansen_etal_2024</v>
      </c>
      <c r="I318" s="10" t="str">
        <f>_xlfn.LET(
_xlpm.doi,IF(C318&lt;&gt;"",C318,_xlfn.TEXTAFTER(A318,"https://doi.org/")),
SUBSTITUTE(
SUBSTITUTE(
SUBSTITUTE(
SUBSTITUTE(
_xlpm.doi,
"/","%2F"),
":","%3A"),
"&lt;","%3C"),
"&gt;","%3E")
)</f>
        <v>10.1523%2FJNEUROSCI.1750-23.2024</v>
      </c>
      <c r="J318" s="10" t="str">
        <f>TRIM(_xlfn.TEXTJOIN("_",FALSE(),H318,(SUBSTITUTE(SUBSTITUTE(D318," ",""), "_", ""))))</f>
        <v>Johansen_etal_2024_Table2</v>
      </c>
      <c r="K318" s="10" t="str">
        <f>I318 &amp; "_" &amp; SUBSTITUTE(SUBSTITUTE(SUBSTITUTE(D318,CHAR(160),"")," ",""),"_","")</f>
        <v>10.1523%2FJNEUROSCI.1750-23.2024_Table2</v>
      </c>
      <c r="L318" s="10" t="str">
        <f t="array" ref="L318">IFERROR(INDEX(AUTO_Public_TSV_FileList!$A$1:$A$1000,MATCH(TRUE(),EXACT(K318,IFERROR(_xlfn.TEXTBEFORE(AUTO_Public_TSV_FileList!$A$1:$A$1000,".tsv"),"")),0)),"notfound")</f>
        <v>10.1523%2FJNEUROSCI.1750-23.2024_Table2.tsv</v>
      </c>
      <c r="M318" s="1" t="inlineStr">
        <is>
          <t>Table 2. Summary of SV2A Bmax (pmol/mL) in individual regions in the left and right hemisphere and for a weighted average (total)</t>
        </is>
      </c>
      <c r="N318" s="1" t="inlineStr">
        <is>
          <t>table</t>
        </is>
      </c>
      <c r="O318" s="13"/>
      <c r="P318" s="1" t="inlineStr">
        <is>
          <t>FINISHED</t>
        </is>
      </c>
      <c r="Q318" s="13"/>
      <c r="R318" s="13"/>
      <c r="S318" s="13"/>
      <c r="T318" s="13"/>
      <c r="U318" s="13"/>
      <c r="V318" s="13"/>
      <c r="W318" s="1" t="inlineStr">
        <is>
          <t>Humans (+ primates)</t>
        </is>
      </c>
      <c r="X318" s="1" t="inlineStr">
        <is>
          <t>the synaptic marker Synaptic Vesicle glycoprotein 2A (SV2A)</t>
        </is>
      </c>
      <c r="Y318" s="13"/>
      <c r="Z318" s="13"/>
      <c r="AA318" s="13"/>
      <c r="AB318" s="1" t="inlineStr">
        <is>
          <t>synaptic density (SV2A)</t>
        </is>
      </c>
      <c r="AC318" s="13"/>
      <c r="AD318" s="13"/>
      <c r="AE318" s="1" t="inlineStr">
        <is>
          <t>primary</t>
        </is>
      </c>
      <c r="AF318" s="1"/>
      <c r="AG318" s="13"/>
    </row>
    <row r="319" ht="17" customHeight="1">
      <c r="A319" s="13" t="inlineStr">
        <is>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is>
      </c>
      <c r="B319" s="13"/>
      <c r="C319" s="13"/>
      <c r="D319" s="13" t="inlineStr">
        <is>
          <t>Table 1</t>
        </is>
      </c>
      <c r="E319" s="10" t="str">
        <f>SUBSTITUTE(SUBSTITUTE(_xlfn.TEXTBEFORE(A319,","), "-", ""), " ", "")</f>
        <v>Johnson</v>
      </c>
      <c r="F319" s="10"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10" t="str">
        <f>_xlfn.TEXTBEFORE(_xlfn.TEXTAFTER(A319, "("), ")")</f>
        <v>2016</v>
      </c>
      <c r="H319" s="10" t="str">
        <f>E319 &amp; IF(F319&lt;&gt;"", "_" &amp; SUBSTITUTE(F319," ",""), "_") &amp; IF(G319&lt;&gt;"", "_" &amp; G319, "_") &amp; IF(B319&lt;&gt;"", "_" &amp; B319, "")</f>
        <v>Johnson_etal_2016</v>
      </c>
      <c r="I319" s="10" t="str">
        <f>_xlfn.LET(
_xlpm.doi,IF(C319&lt;&gt;"",C319,_xlfn.TEXTAFTER(A319,"https://doi.org/")),
SUBSTITUTE(
SUBSTITUTE(
SUBSTITUTE(
SUBSTITUTE(
_xlpm.doi,
"/","%2F"),
":","%3A"),
"&lt;","%3C"),
"&gt;","%3E")
)</f>
        <v>10.1002%2Fcne.24022</v>
      </c>
      <c r="J319" s="10" t="str">
        <f>TRIM(_xlfn.TEXTJOIN("_",FALSE(),H319,(SUBSTITUTE(SUBSTITUTE(D319," ",""), "_", ""))))</f>
        <v>Johnson_etal_2016_Table1</v>
      </c>
      <c r="K319" s="10" t="str">
        <f>I319 &amp; "_" &amp; SUBSTITUTE(SUBSTITUTE(SUBSTITUTE(D319,CHAR(160),"")," ",""),"_","")</f>
        <v>10.1002%2Fcne.24022_Table1</v>
      </c>
      <c r="L319" s="10" t="str">
        <f t="array" ref="L319">IFERROR(INDEX(AUTO_Public_TSV_FileList!$A$1:$A$1000,MATCH(TRUE(),EXACT(K319,IFERROR(_xlfn.TEXTBEFORE(AUTO_Public_TSV_FileList!$A$1:$A$1000,".tsv"),"")),0)),"notfound")</f>
        <v>10.1002%2Fcne.24022_Table1.tsv</v>
      </c>
      <c r="M319" s="13"/>
      <c r="N319" s="1" t="inlineStr">
        <is>
          <t>table</t>
        </is>
      </c>
      <c r="O319" s="13"/>
      <c r="P319" s="13" t="inlineStr">
        <is>
          <t>FINISHED</t>
        </is>
      </c>
      <c r="Q319" s="13"/>
      <c r="R319" s="13" t="inlineStr">
        <is>
          <t>https://www.coloradocollege.edu/dotAsset/17493d76-5085-4a01-a757-d992278a9eaf.pdf</t>
        </is>
      </c>
      <c r="S319" s="13"/>
      <c r="T319" s="13"/>
      <c r="U319" s="13"/>
      <c r="V319" s="13" t="inlineStr">
        <is>
          <t>cortical layers</t>
        </is>
      </c>
      <c r="W319" s="13" t="inlineStr">
        <is>
          <t>Felidae</t>
        </is>
      </c>
      <c r="X319" s="13" t="inlineStr">
        <is>
          <t>cortical-layer thickness</t>
        </is>
      </c>
      <c r="Y319" s="13"/>
      <c r="Z319" s="13"/>
      <c r="AA319" s="13"/>
      <c r="AB319" s="13" t="inlineStr">
        <is>
          <t>absolute cortical-layer thickness</t>
        </is>
      </c>
      <c r="AC319" s="13"/>
      <c r="AD319" s="13"/>
      <c r="AE319" s="13" t="inlineStr">
        <is>
          <t>primary</t>
        </is>
      </c>
      <c r="AF319" s="13"/>
      <c r="AG319" s="13"/>
    </row>
    <row r="320" ht="17" customHeight="1">
      <c r="A320" s="1" t="inlineStr">
        <is>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is>
      </c>
      <c r="B320" s="13"/>
      <c r="C320" s="13"/>
      <c r="D320" s="1" t="inlineStr">
        <is>
          <t>Table 1</t>
        </is>
      </c>
      <c r="E320" s="10" t="str">
        <f>SUBSTITUTE(SUBSTITUTE(_xlfn.TEXTBEFORE(A320,","), "-", ""), " ", "")</f>
        <v>Johnson</v>
      </c>
      <c r="F320" s="10"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10" t="str">
        <f>_xlfn.TEXTBEFORE(_xlfn.TEXTAFTER(A320, "("), ")")</f>
        <v>2016</v>
      </c>
      <c r="H320" s="10" t="str">
        <f>E320 &amp; IF(F320&lt;&gt;"", "_" &amp; SUBSTITUTE(F320," ",""), "_") &amp; IF(G320&lt;&gt;"", "_" &amp; G320, "_") &amp; IF(B320&lt;&gt;"", "_" &amp; B320, "")</f>
        <v>Johnson_etal_2016</v>
      </c>
      <c r="I320" s="10" t="str">
        <f>_xlfn.LET(
_xlpm.doi,IF(C320&lt;&gt;"",C320,_xlfn.TEXTAFTER(A320,"https://doi.org/")),
SUBSTITUTE(
SUBSTITUTE(
SUBSTITUTE(
SUBSTITUTE(
_xlpm.doi,
"/","%2F"),
":","%3A"),
"&lt;","%3C"),
"&gt;","%3E")
)</f>
        <v>10.1002%2Fcne.24022</v>
      </c>
      <c r="J320" s="10" t="str">
        <f>TRIM(_xlfn.TEXTJOIN("_",FALSE(),H320,(SUBSTITUTE(SUBSTITUTE(D320," ",""), "_", ""))))</f>
        <v>Johnson_etal_2016_Table1</v>
      </c>
      <c r="K320" s="10" t="str">
        <f>I320 &amp; "_" &amp; SUBSTITUTE(SUBSTITUTE(SUBSTITUTE(D320,CHAR(160),"")," ",""),"_","")</f>
        <v>10.1002%2Fcne.24022_Table1</v>
      </c>
      <c r="L320" s="10" t="str">
        <f t="array" ref="L320">IFERROR(INDEX(AUTO_Public_TSV_FileList!$A$1:$A$1000,MATCH(TRUE(),EXACT(K320,IFERROR(_xlfn.TEXTBEFORE(AUTO_Public_TSV_FileList!$A$1:$A$1000,".tsv"),"")),0)),"notfound")</f>
        <v>10.1002%2Fcne.24022_Table1.tsv</v>
      </c>
      <c r="M320" s="13"/>
      <c r="N320" s="1" t="inlineStr">
        <is>
          <t>table</t>
        </is>
      </c>
      <c r="O320" s="13"/>
      <c r="P320" s="1" t="inlineStr">
        <is>
          <t>FINISHED</t>
        </is>
      </c>
      <c r="Q320" s="13"/>
      <c r="R320" s="13" t="inlineStr">
        <is>
          <t>https://www.coloradocollege.edu/dotAsset/17493d76-5085-4a01-a757-d992278a9eaf.pdf</t>
        </is>
      </c>
      <c r="S320" s="13"/>
      <c r="T320" s="13"/>
      <c r="U320" s="13"/>
      <c r="V320" s="1" t="inlineStr">
        <is>
          <t>cortical layers</t>
        </is>
      </c>
      <c r="W320" s="1" t="inlineStr">
        <is>
          <t>Felidae</t>
        </is>
      </c>
      <c r="X320" s="1" t="inlineStr">
        <is>
          <t>cortical-layer thickness</t>
        </is>
      </c>
      <c r="Y320" s="13"/>
      <c r="Z320" s="13"/>
      <c r="AA320" s="13"/>
      <c r="AB320" s="1" t="inlineStr">
        <is>
          <t>absolute cortical-layer thickness</t>
        </is>
      </c>
      <c r="AC320" s="13"/>
      <c r="AD320" s="13"/>
      <c r="AE320" s="1" t="inlineStr">
        <is>
          <t>primary</t>
        </is>
      </c>
      <c r="AF320" s="1"/>
      <c r="AG320" s="13"/>
    </row>
    <row r="321" ht="17" customHeight="1">
      <c r="A321" s="1" t="inlineStr">
        <is>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is>
      </c>
      <c r="B321" s="13"/>
      <c r="C321" s="1"/>
      <c r="D321" s="1" t="inlineStr">
        <is>
          <t>Table 1</t>
        </is>
      </c>
      <c r="E321" s="10" t="str">
        <f>SUBSTITUTE(SUBSTITUTE(_xlfn.TEXTBEFORE(A321,","), "-", ""), " ", "")</f>
        <v>Johnson</v>
      </c>
      <c r="F321" s="10"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10" t="str">
        <f>_xlfn.TEXTBEFORE(_xlfn.TEXTAFTER(A321, "("), ")")</f>
        <v>2016</v>
      </c>
      <c r="H321" s="10" t="str">
        <f>E321 &amp; IF(F321&lt;&gt;"", "_" &amp; SUBSTITUTE(F321," ",""), "_") &amp; IF(G321&lt;&gt;"", "_" &amp; G321, "_") &amp; IF(B321&lt;&gt;"", "_" &amp; B321, "")</f>
        <v>Johnson_etal_2016</v>
      </c>
      <c r="I321" s="10" t="str">
        <f>_xlfn.LET(
_xlpm.doi,IF(C321&lt;&gt;"",C321,_xlfn.TEXTAFTER(A321,"https://doi.org/")),
SUBSTITUTE(
SUBSTITUTE(
SUBSTITUTE(
SUBSTITUTE(
_xlpm.doi,
"/","%2F"),
":","%3A"),
"&lt;","%3C"),
"&gt;","%3E")
)</f>
        <v>10.1002%2Fcne.24022</v>
      </c>
      <c r="J321" s="10" t="str">
        <f>TRIM(_xlfn.TEXTJOIN("_",FALSE(),H321,(SUBSTITUTE(SUBSTITUTE(D321," ",""), "_", ""))))</f>
        <v>Johnson_etal_2016_Table1</v>
      </c>
      <c r="K321" s="10" t="str">
        <f>I321 &amp; "_" &amp; SUBSTITUTE(SUBSTITUTE(SUBSTITUTE(D321,CHAR(160),"")," ",""),"_","")</f>
        <v>10.1002%2Fcne.24022_Table1</v>
      </c>
      <c r="L321" s="10" t="str">
        <f t="array" ref="L321">IFERROR(INDEX(AUTO_Public_TSV_FileList!$A$1:$A$1000,MATCH(TRUE(),EXACT(K321,IFERROR(_xlfn.TEXTBEFORE(AUTO_Public_TSV_FileList!$A$1:$A$1000,".tsv"),"")),0)),"notfound")</f>
        <v>10.1002%2Fcne.24022_Table1.tsv</v>
      </c>
      <c r="M321" s="13"/>
      <c r="N321" s="1" t="inlineStr">
        <is>
          <t>table</t>
        </is>
      </c>
      <c r="O321" s="13"/>
      <c r="P321" s="13" t="inlineStr">
        <is>
          <t>FINISHED</t>
        </is>
      </c>
      <c r="Q321" s="13"/>
      <c r="R321" s="13" t="inlineStr">
        <is>
          <t>https://www.coloradocollege.edu/dotAsset/17493d76-5085-4a01-a757-d992278a9eaf.pdf</t>
        </is>
      </c>
      <c r="S321" s="13"/>
      <c r="T321" s="13"/>
      <c r="U321" s="13"/>
      <c r="V321" s="13" t="inlineStr">
        <is>
          <t>cortical layers</t>
        </is>
      </c>
      <c r="W321" s="1" t="inlineStr">
        <is>
          <t>Felidae</t>
        </is>
      </c>
      <c r="X321" s="1" t="inlineStr">
        <is>
          <t>cortical-layer thickness</t>
        </is>
      </c>
      <c r="Y321" s="13"/>
      <c r="Z321" s="1"/>
      <c r="AA321" s="1" t="inlineStr">
        <is>
          <t>volumetry</t>
        </is>
      </c>
      <c r="AB321" s="1" t="inlineStr">
        <is>
          <t>absolute cortical-layer thickness</t>
        </is>
      </c>
      <c r="AC321" s="1" t="inlineStr">
        <is>
          <t>Stephan</t>
        </is>
      </c>
      <c r="AD321" s="1" t="inlineStr">
        <is>
          <t>Stephan, Zilles</t>
        </is>
      </c>
      <c r="AE321" s="1" t="inlineStr">
        <is>
          <t>primary</t>
        </is>
      </c>
      <c r="AF321" s="1"/>
      <c r="AG321" s="13"/>
    </row>
    <row r="322" ht="17" customHeight="1">
      <c r="A322" s="29" t="inlineStr">
        <is>
          <t>Johnson, V. E., Deaner, R. O., &amp; van Schaik, C. P. (2002). Bayesian analysis of rank data with application to primate intelligence experiments. Journal of the American Statistical Association, 97(457), 8–17. https://doi.org/10.1198/016214502753479185</t>
        </is>
      </c>
      <c r="B322" s="17"/>
      <c r="C322" s="17"/>
      <c r="D322" s="29" t="inlineStr">
        <is>
          <t>Table 1</t>
        </is>
      </c>
      <c r="E322" s="10" t="str">
        <f>SUBSTITUTE(SUBSTITUTE(_xlfn.TEXTBEFORE(A322,","), "-", ""), " ", "")</f>
        <v>Johnson</v>
      </c>
      <c r="F322" s="10"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10" t="str">
        <f>_xlfn.TEXTBEFORE(_xlfn.TEXTAFTER(A322, "("), ")")</f>
        <v>2002</v>
      </c>
      <c r="H322" s="10" t="str">
        <f>E322 &amp; IF(F322&lt;&gt;"", "_" &amp; SUBSTITUTE(F322," ",""), "_") &amp; IF(G322&lt;&gt;"", "_" &amp; G322, "_") &amp; IF(B322&lt;&gt;"", "_" &amp; B322, "")</f>
        <v>Johnson_etal_2002</v>
      </c>
      <c r="I322" s="10" t="str">
        <f>_xlfn.LET(
_xlpm.doi,IF(C322&lt;&gt;"",C322,_xlfn.TEXTAFTER(A322,"https://doi.org/")),
SUBSTITUTE(
SUBSTITUTE(
SUBSTITUTE(
SUBSTITUTE(
_xlpm.doi,
"/","%2F"),
":","%3A"),
"&lt;","%3C"),
"&gt;","%3E")
)</f>
        <v>10.1198%2F016214502753479185</v>
      </c>
      <c r="J322" s="10" t="str">
        <f>TRIM(_xlfn.TEXTJOIN("_",FALSE(),H322,(SUBSTITUTE(SUBSTITUTE(D322," ",""), "_", ""))))</f>
        <v>Johnson_etal_2002_Table1</v>
      </c>
      <c r="K322" s="10" t="str">
        <f>I322 &amp; "_" &amp; SUBSTITUTE(SUBSTITUTE(SUBSTITUTE(D322,CHAR(160),"")," ",""),"_","")</f>
        <v>10.1198%2F016214502753479185_Table1</v>
      </c>
      <c r="L322" s="10" t="str">
        <f t="array" ref="L322">IFERROR(INDEX(AUTO_Public_TSV_FileList!$A$1:$A$1000,MATCH(TRUE(),EXACT(K322,IFERROR(_xlfn.TEXTBEFORE(AUTO_Public_TSV_FileList!$A$1:$A$1000,".tsv"),"")),0)),"notfound")</f>
        <v>notfound</v>
      </c>
      <c r="M322" s="13"/>
      <c r="N322" s="1" t="inlineStr">
        <is>
          <t>table</t>
        </is>
      </c>
      <c r="O322" s="13"/>
      <c r="P322" s="13"/>
      <c r="Q322" s="17"/>
      <c r="R322" s="17" t="inlineStr">
        <is>
          <t>https://doi.org/10.1198/016214502753479185</t>
        </is>
      </c>
      <c r="S322" s="17" t="inlineStr">
        <is>
          <t>Source table and interpretation checked against attached PDF</t>
        </is>
      </c>
      <c r="T322" s="17" t="inlineStr">
        <is>
          <t>Verify taxon names and whether values are raw, derived, or model summaries before merge</t>
        </is>
      </c>
      <c r="U322" s="17"/>
      <c r="V322" s="17" t="inlineStr">
        <is>
          <t>comparative cognition</t>
        </is>
      </c>
      <c r="W322" s="29" t="inlineStr">
        <is>
          <t>Primates</t>
        </is>
      </c>
      <c r="X322" s="17" t="inlineStr">
        <is>
          <t>Comparative cognitive performance; task rank</t>
        </is>
      </c>
      <c r="Y322" s="17" t="inlineStr">
        <is>
          <t>Comparative cognitive performance; task rank</t>
        </is>
      </c>
      <c r="Z322" s="17"/>
      <c r="AA322" s="17"/>
      <c r="AB322" s="29"/>
      <c r="AC322" s="17"/>
      <c r="AD322" s="17"/>
      <c r="AE322" s="29" t="inlineStr">
        <is>
          <t>primary</t>
        </is>
      </c>
      <c r="AF322" s="29"/>
      <c r="AG322" s="13" t="inlineStr">
        <is>
          <t>Rank matrix for 24 primate genera × 30 experimental procedures, organized into nine paradigms: detour, patterned string, invisible displacement, tool use, discrimination learning set, reversal learning, oddity learning, sorting, and delayed response. Lower rank is better.</t>
        </is>
      </c>
    </row>
    <row r="323" ht="17" customHeight="1">
      <c r="A323" s="13" t="inlineStr">
        <is>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is>
      </c>
      <c r="B323" s="13"/>
      <c r="C323" s="13"/>
      <c r="D323" s="13" t="inlineStr">
        <is>
          <t>PanTHERIA_1-0_WR05_Aug2008.txt</t>
        </is>
      </c>
      <c r="E323" s="11" t="str">
        <f>SUBSTITUTE(SUBSTITUTE(_xlfn.TEXTBEFORE(A323,","), "-", ""), " ", "")</f>
        <v>Jones</v>
      </c>
      <c r="F323" s="10"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10" t="str">
        <f>_xlfn.TEXTBEFORE(_xlfn.TEXTAFTER(A323, "("), ")")</f>
        <v>2009</v>
      </c>
      <c r="H323" s="11" t="str">
        <f>E323 &amp; IF(F323&lt;&gt;"", "_" &amp; SUBSTITUTE(F323," ",""), "_") &amp; IF(G323&lt;&gt;"", "_" &amp; G323, "_") &amp; IF(B323&lt;&gt;"", "_" &amp; B323, "")</f>
        <v>Jones_etal_2009</v>
      </c>
      <c r="I323" s="11" t="str">
        <f>_xlfn.LET(_xlpm.doi,IF(C323&lt;&gt;"",C323,_xlfn.TEXTAFTER(A323,"https://doi.org/")),SUBSTITUTE(SUBSTITUTE(SUBSTITUTE(SUBSTITUTE(_xlpm.doi,"/","%2F"),":","%3A"),"&lt;","%3C"),"&gt;","%3E"))</f>
        <v>10.1890%2F08-1494.1</v>
      </c>
      <c r="J323" s="11" t="str">
        <f>TRIM(_xlfn.TEXTJOIN("_",FALSE(),H323,(SUBSTITUTE(SUBSTITUTE(D323," ",""), "_", ""))))</f>
        <v>Jones_etal_2009_PanTHERIA1-0WR05Aug2008.txt</v>
      </c>
      <c r="K323" s="10" t="str">
        <f>I323 &amp; "_" &amp; SUBSTITUTE(SUBSTITUTE(SUBSTITUTE(D323,CHAR(160),"")," ",""),"_","")</f>
        <v>10.1890%2F08-1494.1_PanTHERIA1-0WR05Aug2008.txt</v>
      </c>
      <c r="L323" s="10" t="str">
        <f t="array" ref="L323">IFERROR(INDEX(AUTO_Public_TSV_FileList!$A$1:$A$1000,MATCH(TRUE(),EXACT(K323,IFERROR(_xlfn.TEXTBEFORE(AUTO_Public_TSV_FileList!$A$1:$A$1000,".tsv"),"")),0)),"notfound")</f>
        <v>notfound</v>
      </c>
      <c r="M323" s="13"/>
      <c r="N323" s="13"/>
      <c r="O323" s="13"/>
      <c r="P323" s="13"/>
      <c r="Q323" s="13"/>
      <c r="R323" s="13"/>
      <c r="S323" s="13"/>
      <c r="T323" s="13"/>
      <c r="U323" s="13"/>
      <c r="V323" s="13"/>
      <c r="W323" s="13"/>
      <c r="X323" s="13"/>
      <c r="Y323" s="13"/>
      <c r="Z323" s="13"/>
      <c r="AA323" s="13"/>
      <c r="AB323" s="13"/>
      <c r="AC323" s="13"/>
      <c r="AD323" s="13"/>
      <c r="AE323" s="13"/>
      <c r="AF323" s="13"/>
      <c r="AG323" s="13"/>
    </row>
    <row r="324" ht="17" customHeight="1">
      <c r="A324" s="13" t="inlineStr">
        <is>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is>
      </c>
      <c r="B324" s="13"/>
      <c r="C324" s="13"/>
      <c r="D324" s="13" t="inlineStr">
        <is>
          <t>PanTHERIA_1-0_WR93_Aug2008.txt</t>
        </is>
      </c>
      <c r="E324" s="11" t="str">
        <f>SUBSTITUTE(SUBSTITUTE(_xlfn.TEXTBEFORE(A324,","), "-", ""), " ", "")</f>
        <v>Jones</v>
      </c>
      <c r="F324" s="10"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10" t="str">
        <f>_xlfn.TEXTBEFORE(_xlfn.TEXTAFTER(A324, "("), ")")</f>
        <v>2009</v>
      </c>
      <c r="H324" s="11" t="str">
        <f>E324 &amp; IF(F324&lt;&gt;"", "_" &amp; SUBSTITUTE(F324," ",""), "_") &amp; IF(G324&lt;&gt;"", "_" &amp; G324, "_") &amp; IF(B324&lt;&gt;"", "_" &amp; B324, "")</f>
        <v>Jones_etal_2009</v>
      </c>
      <c r="I324" s="11" t="str">
        <f>_xlfn.LET(_xlpm.doi,IF(C324&lt;&gt;"",C324,_xlfn.TEXTAFTER(A324,"https://doi.org/")),SUBSTITUTE(SUBSTITUTE(SUBSTITUTE(SUBSTITUTE(_xlpm.doi,"/","%2F"),":","%3A"),"&lt;","%3C"),"&gt;","%3E"))</f>
        <v>10.1890%2F08-1494.1</v>
      </c>
      <c r="J324" s="11" t="str">
        <f>TRIM(_xlfn.TEXTJOIN("_",FALSE(),H324,(SUBSTITUTE(SUBSTITUTE(D324," ",""), "_", ""))))</f>
        <v>Jones_etal_2009_PanTHERIA1-0WR93Aug2008.txt</v>
      </c>
      <c r="K324" s="10" t="str">
        <f>I324 &amp; "_" &amp; SUBSTITUTE(SUBSTITUTE(SUBSTITUTE(D324,CHAR(160),"")," ",""),"_","")</f>
        <v>10.1890%2F08-1494.1_PanTHERIA1-0WR93Aug2008.txt</v>
      </c>
      <c r="L324" s="10" t="str">
        <f t="array" ref="L324">IFERROR(INDEX(AUTO_Public_TSV_FileList!$A$1:$A$1000,MATCH(TRUE(),EXACT(K324,IFERROR(_xlfn.TEXTBEFORE(AUTO_Public_TSV_FileList!$A$1:$A$1000,".tsv"),"")),0)),"notfound")</f>
        <v>notfound</v>
      </c>
      <c r="M324" s="13"/>
      <c r="N324" s="13"/>
      <c r="O324" s="13"/>
      <c r="P324" s="13"/>
      <c r="Q324" s="13"/>
      <c r="R324" s="13"/>
      <c r="S324" s="13"/>
      <c r="T324" s="13"/>
      <c r="U324" s="13"/>
      <c r="V324" s="13"/>
      <c r="W324" s="13"/>
      <c r="X324" s="13"/>
      <c r="Y324" s="13"/>
      <c r="Z324" s="13"/>
      <c r="AA324" s="13"/>
      <c r="AB324" s="13"/>
      <c r="AC324" s="13"/>
      <c r="AD324" s="13"/>
      <c r="AE324" s="13"/>
      <c r="AF324" s="13"/>
      <c r="AG324" s="13"/>
    </row>
    <row r="325" ht="17" customHeight="1">
      <c r="A325" s="13" t="inlineStr">
        <is>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is>
      </c>
      <c r="B325" s="13"/>
      <c r="C325" s="13"/>
      <c r="D325" s="13" t="inlineStr">
        <is>
          <t>Table S1</t>
        </is>
      </c>
      <c r="E325" s="11" t="str">
        <f>SUBSTITUTE(SUBSTITUTE(_xlfn.TEXTBEFORE(A325,","), "-", ""), " ", "")</f>
        <v>Jorstad</v>
      </c>
      <c r="F325" s="10"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10" t="str">
        <f>_xlfn.TEXTBEFORE(_xlfn.TEXTAFTER(A325, "("), ")")</f>
        <v>2023</v>
      </c>
      <c r="H325" s="11" t="str">
        <f>E325 &amp; IF(F325&lt;&gt;"", "_" &amp; SUBSTITUTE(F325," ",""), "_") &amp; IF(G325&lt;&gt;"", "_" &amp; G325, "_") &amp; IF(B325&lt;&gt;"", "_" &amp; B325, "")</f>
        <v>Jorstad_etal_2023</v>
      </c>
      <c r="I325" s="11" t="str">
        <f>_xlfn.LET(_xlpm.doi,IF(C325&lt;&gt;"",C325,_xlfn.TEXTAFTER(A325,"https://doi.org/")),SUBSTITUTE(SUBSTITUTE(SUBSTITUTE(SUBSTITUTE(_xlpm.doi,"/","%2F"),":","%3A"),"&lt;","%3C"),"&gt;","%3E"))</f>
        <v>10.1126%2Fscience.adf6812</v>
      </c>
      <c r="J325" s="11" t="str">
        <f>TRIM(_xlfn.TEXTJOIN("_",FALSE(),H325,(SUBSTITUTE(SUBSTITUTE(D325," ",""), "_", ""))))</f>
        <v>Jorstad_etal_2023_TableS1</v>
      </c>
      <c r="K325" s="10" t="str">
        <f>I325 &amp; "_" &amp; SUBSTITUTE(SUBSTITUTE(SUBSTITUTE(D325,CHAR(160),"")," ",""),"_","")</f>
        <v>10.1126%2Fscience.adf6812_TableS1</v>
      </c>
      <c r="L325" s="10" t="str">
        <f t="array" ref="L325">IFERROR(INDEX(AUTO_Public_TSV_FileList!$A$1:$A$1000,MATCH(TRUE(),EXACT(K325,IFERROR(_xlfn.TEXTBEFORE(AUTO_Public_TSV_FileList!$A$1:$A$1000,".tsv"),"")),0)),"notfound")</f>
        <v>notfound</v>
      </c>
      <c r="M325" s="13" t="inlineStr">
        <is>
          <t>Table S1: Cell subclass information</t>
        </is>
      </c>
      <c r="N325" s="1" t="inlineStr">
        <is>
          <t>table</t>
        </is>
      </c>
      <c r="O325" s="13"/>
      <c r="P325" s="13" t="inlineStr">
        <is>
          <t>FINISHED</t>
        </is>
      </c>
      <c r="Q325" s="13" t="inlineStr">
        <is>
          <t>digital-native unchanged source</t>
        </is>
      </c>
      <c r="R325" s="13" t="inlineStr">
        <is>
          <t>https://doi.org/10.1126/science.adf6812</t>
        </is>
      </c>
      <c r="S325" s="13" t="inlineStr">
        <is>
          <t>No estimation; precision preserved; snapshot frozen</t>
        </is>
      </c>
      <c r="T325" s="13" t="inlineStr">
        <is>
          <t>Review metric denominators and layer label semantics</t>
        </is>
      </c>
      <c r="U325" s="13" t="inlineStr">
        <is>
          <t>Not cross-species species-level trait data</t>
        </is>
      </c>
      <c r="V325" s="13"/>
      <c r="W325" s="13" t="inlineStr">
        <is>
          <t>Primates</t>
        </is>
      </c>
      <c r="X325" s="13" t="inlineStr">
        <is>
          <t>cellular composition</t>
        </is>
      </c>
      <c r="Y325" s="13" t="inlineStr">
        <is>
          <t>cell subclass definitions; subclass counts/proportions; E:I ratio</t>
        </is>
      </c>
      <c r="Z325" s="13"/>
      <c r="AA325" s="13" t="inlineStr">
        <is>
          <t>snRNA-seq or MERFISH</t>
        </is>
      </c>
      <c r="AB325" s="13" t="inlineStr">
        <is>
          <t>metadata/count/proportion/ratio</t>
        </is>
      </c>
      <c r="AC325" s="13" t="inlineStr">
        <is>
          <t>Allen Institute</t>
        </is>
      </c>
      <c r="AD325" s="13"/>
      <c r="AE325" s="13" t="inlineStr">
        <is>
          <t>primary metadata / definitions</t>
        </is>
      </c>
      <c r="AF325" s="13"/>
      <c r="AG325" s="13"/>
    </row>
    <row r="326" ht="17" customHeight="1">
      <c r="A326" s="13" t="inlineStr">
        <is>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is>
      </c>
      <c r="B326" s="13"/>
      <c r="C326" s="13"/>
      <c r="D326" s="13" t="inlineStr">
        <is>
          <t>Table S2</t>
        </is>
      </c>
      <c r="E326" s="11" t="str">
        <f>SUBSTITUTE(SUBSTITUTE(_xlfn.TEXTBEFORE(A326,","), "-", ""), " ", "")</f>
        <v>Jorstad</v>
      </c>
      <c r="F326" s="10"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10" t="str">
        <f>_xlfn.TEXTBEFORE(_xlfn.TEXTAFTER(A326, "("), ")")</f>
        <v>2023</v>
      </c>
      <c r="H326" s="11" t="str">
        <f>E326 &amp; IF(F326&lt;&gt;"", "_" &amp; SUBSTITUTE(F326," ",""), "_") &amp; IF(G326&lt;&gt;"", "_" &amp; G326, "_") &amp; IF(B326&lt;&gt;"", "_" &amp; B326, "")</f>
        <v>Jorstad_etal_2023</v>
      </c>
      <c r="I326" s="11" t="str">
        <f>_xlfn.LET(_xlpm.doi,IF(C326&lt;&gt;"",C326,_xlfn.TEXTAFTER(A326,"https://doi.org/")),SUBSTITUTE(SUBSTITUTE(SUBSTITUTE(SUBSTITUTE(_xlpm.doi,"/","%2F"),":","%3A"),"&lt;","%3C"),"&gt;","%3E"))</f>
        <v>10.1126%2Fscience.adf6812</v>
      </c>
      <c r="J326" s="11" t="str">
        <f>TRIM(_xlfn.TEXTJOIN("_",FALSE(),H326,(SUBSTITUTE(SUBSTITUTE(D326," ",""), "_", ""))))</f>
        <v>Jorstad_etal_2023_TableS2</v>
      </c>
      <c r="K326" s="10" t="str">
        <f>I326 &amp; "_" &amp; SUBSTITUTE(SUBSTITUTE(SUBSTITUTE(D326,CHAR(160),"")," ",""),"_","")</f>
        <v>10.1126%2Fscience.adf6812_TableS2</v>
      </c>
      <c r="L326" s="10" t="str">
        <f t="array" ref="L326">IFERROR(INDEX(AUTO_Public_TSV_FileList!$A$1:$A$1000,MATCH(TRUE(),EXACT(K326,IFERROR(_xlfn.TEXTBEFORE(AUTO_Public_TSV_FileList!$A$1:$A$1000,".tsv"),"")),0)),"notfound")</f>
        <v>notfound</v>
      </c>
      <c r="M326" s="13" t="inlineStr">
        <is>
          <t>Table S5 sheet 1: MERFISH proportions and E:I ratios</t>
        </is>
      </c>
      <c r="N326" s="1" t="inlineStr">
        <is>
          <t>table</t>
        </is>
      </c>
      <c r="O326" s="13"/>
      <c r="P326" s="13" t="inlineStr">
        <is>
          <t>FINISHED</t>
        </is>
      </c>
      <c r="Q326" s="13" t="inlineStr">
        <is>
          <t>digital-native unchanged source</t>
        </is>
      </c>
      <c r="R326" s="13" t="inlineStr">
        <is>
          <t>https://doi.org/10.1126/science.adf6812</t>
        </is>
      </c>
      <c r="S326" s="13" t="inlineStr">
        <is>
          <t>No estimation; precision preserved; snapshot frozen</t>
        </is>
      </c>
      <c r="T326" s="13" t="inlineStr">
        <is>
          <t>Review metric denominators and layer label semantics</t>
        </is>
      </c>
      <c r="U326" s="13" t="inlineStr">
        <is>
          <t>Not cross-species species-level trait data</t>
        </is>
      </c>
      <c r="V326" s="13"/>
      <c r="W326" s="13" t="inlineStr">
        <is>
          <t>Primates</t>
        </is>
      </c>
      <c r="X326" s="13" t="inlineStr">
        <is>
          <t>cellular composition</t>
        </is>
      </c>
      <c r="Y326" s="13" t="inlineStr">
        <is>
          <t>cell subclass definitions; subclass counts/proportions; E:I ratio</t>
        </is>
      </c>
      <c r="Z326" s="13"/>
      <c r="AA326" s="13" t="inlineStr">
        <is>
          <t>snRNA-seq or MERFISH</t>
        </is>
      </c>
      <c r="AB326" s="13" t="inlineStr">
        <is>
          <t>metadata/count/proportion/ratio</t>
        </is>
      </c>
      <c r="AC326" s="13" t="inlineStr">
        <is>
          <t>Allen Institute</t>
        </is>
      </c>
      <c r="AD326" s="13"/>
      <c r="AE326" s="13" t="inlineStr">
        <is>
          <t>Derived from primary MERFISH cell-level measurements</t>
        </is>
      </c>
      <c r="AF326" s="13"/>
      <c r="AG326" s="13"/>
    </row>
    <row r="327" ht="17" customHeight="1">
      <c r="A327" s="13" t="inlineStr">
        <is>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is>
      </c>
      <c r="B327" s="13"/>
      <c r="C327" s="13"/>
      <c r="D327" s="13" t="inlineStr">
        <is>
          <t>Table S3</t>
        </is>
      </c>
      <c r="E327" s="11" t="str">
        <f>SUBSTITUTE(SUBSTITUTE(_xlfn.TEXTBEFORE(A327,","), "-", ""), " ", "")</f>
        <v>Jorstad</v>
      </c>
      <c r="F327" s="10"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10" t="str">
        <f>_xlfn.TEXTBEFORE(_xlfn.TEXTAFTER(A327, "("), ")")</f>
        <v>2023</v>
      </c>
      <c r="H327" s="11" t="str">
        <f>E327 &amp; IF(F327&lt;&gt;"", "_" &amp; SUBSTITUTE(F327," ",""), "_") &amp; IF(G327&lt;&gt;"", "_" &amp; G327, "_") &amp; IF(B327&lt;&gt;"", "_" &amp; B327, "")</f>
        <v>Jorstad_etal_2023</v>
      </c>
      <c r="I327" s="11" t="str">
        <f>_xlfn.LET(_xlpm.doi,IF(C327&lt;&gt;"",C327,_xlfn.TEXTAFTER(A327,"https://doi.org/")),SUBSTITUTE(SUBSTITUTE(SUBSTITUTE(SUBSTITUTE(_xlpm.doi,"/","%2F"),":","%3A"),"&lt;","%3C"),"&gt;","%3E"))</f>
        <v>10.1126%2Fscience.adf6812</v>
      </c>
      <c r="J327" s="11" t="str">
        <f>TRIM(_xlfn.TEXTJOIN("_",FALSE(),H327,(SUBSTITUTE(SUBSTITUTE(D327," ",""), "_", ""))))</f>
        <v>Jorstad_etal_2023_TableS3</v>
      </c>
      <c r="K327" s="10" t="str">
        <f>I327 &amp; "_" &amp; SUBSTITUTE(SUBSTITUTE(SUBSTITUTE(D327,CHAR(160),"")," ",""),"_","")</f>
        <v>10.1126%2Fscience.adf6812_TableS3</v>
      </c>
      <c r="L327" s="10" t="str">
        <f t="array" ref="L327">IFERROR(INDEX(AUTO_Public_TSV_FileList!$A$1:$A$1000,MATCH(TRUE(),EXACT(K327,IFERROR(_xlfn.TEXTBEFORE(AUTO_Public_TSV_FileList!$A$1:$A$1000,".tsv"),"")),0)),"notfound")</f>
        <v>notfound</v>
      </c>
      <c r="M327" s="13" t="inlineStr">
        <is>
          <t>Table S5 sheet 2: snRNA-seq subclass counts and proportions</t>
        </is>
      </c>
      <c r="N327" s="1" t="inlineStr">
        <is>
          <t>table</t>
        </is>
      </c>
      <c r="O327" s="13"/>
      <c r="P327" s="13" t="inlineStr">
        <is>
          <t>FINISHED</t>
        </is>
      </c>
      <c r="Q327" s="13" t="inlineStr">
        <is>
          <t>digital-native unchanged source</t>
        </is>
      </c>
      <c r="R327" s="13" t="inlineStr">
        <is>
          <t>https://doi.org/10.1126/science.adf6812</t>
        </is>
      </c>
      <c r="S327" s="13" t="inlineStr">
        <is>
          <t>No estimation; precision preserved; snapshot frozen</t>
        </is>
      </c>
      <c r="T327" s="13" t="inlineStr">
        <is>
          <t>Review metric denominators and layer label semantics</t>
        </is>
      </c>
      <c r="U327" s="13" t="inlineStr">
        <is>
          <t>Not cross-species species-level trait data</t>
        </is>
      </c>
      <c r="V327" s="13"/>
      <c r="W327" s="13" t="inlineStr">
        <is>
          <t>Primates</t>
        </is>
      </c>
      <c r="X327" s="13" t="inlineStr">
        <is>
          <t>cellular composition</t>
        </is>
      </c>
      <c r="Y327" s="13" t="inlineStr">
        <is>
          <t>cell subclass definitions; subclass counts/proportions; E:I ratio</t>
        </is>
      </c>
      <c r="Z327" s="13"/>
      <c r="AA327" s="13" t="inlineStr">
        <is>
          <t>snRNA-seq or MERFISH</t>
        </is>
      </c>
      <c r="AB327" s="13" t="inlineStr">
        <is>
          <t>metadata/count/proportion/ratio</t>
        </is>
      </c>
      <c r="AC327" s="13" t="inlineStr">
        <is>
          <t>Allen Institute</t>
        </is>
      </c>
      <c r="AD327" s="13"/>
      <c r="AE327" s="13" t="inlineStr">
        <is>
          <t>primary counts plus derived within-area subclass proportions</t>
        </is>
      </c>
      <c r="AF327" s="13"/>
      <c r="AG327" s="13"/>
    </row>
    <row r="328" ht="17" customHeight="1">
      <c r="A328" s="13" t="inlineStr">
        <is>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is>
      </c>
      <c r="B328" s="13"/>
      <c r="C328" s="13"/>
      <c r="D328" s="13" t="inlineStr">
        <is>
          <t>Table S4</t>
        </is>
      </c>
      <c r="E328" s="11" t="str">
        <f>SUBSTITUTE(SUBSTITUTE(_xlfn.TEXTBEFORE(A328,","), "-", ""), " ", "")</f>
        <v>Jorstad</v>
      </c>
      <c r="F328" s="10"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10" t="str">
        <f>_xlfn.TEXTBEFORE(_xlfn.TEXTAFTER(A328, "("), ")")</f>
        <v>2023</v>
      </c>
      <c r="H328" s="11" t="str">
        <f>E328 &amp; IF(F328&lt;&gt;"", "_" &amp; SUBSTITUTE(F328," ",""), "_") &amp; IF(G328&lt;&gt;"", "_" &amp; G328, "_") &amp; IF(B328&lt;&gt;"", "_" &amp; B328, "")</f>
        <v>Jorstad_etal_2023</v>
      </c>
      <c r="I328" s="11" t="str">
        <f>_xlfn.LET(_xlpm.doi,IF(C328&lt;&gt;"",C328,_xlfn.TEXTAFTER(A328,"https://doi.org/")),SUBSTITUTE(SUBSTITUTE(SUBSTITUTE(SUBSTITUTE(_xlpm.doi,"/","%2F"),":","%3A"),"&lt;","%3C"),"&gt;","%3E"))</f>
        <v>10.1126%2Fscience.adf6812</v>
      </c>
      <c r="J328" s="11" t="str">
        <f>TRIM(_xlfn.TEXTJOIN("_",FALSE(),H328,(SUBSTITUTE(SUBSTITUTE(D328," ",""), "_", ""))))</f>
        <v>Jorstad_etal_2023_TableS4</v>
      </c>
      <c r="K328" s="10" t="str">
        <f>I328 &amp; "_" &amp; SUBSTITUTE(SUBSTITUTE(SUBSTITUTE(D328,CHAR(160),"")," ",""),"_","")</f>
        <v>10.1126%2Fscience.adf6812_TableS4</v>
      </c>
      <c r="L328" s="10" t="str">
        <f t="array" ref="L328">IFERROR(INDEX(AUTO_Public_TSV_FileList!$A$1:$A$1000,MATCH(TRUE(),EXACT(K328,IFERROR(_xlfn.TEXTBEFORE(AUTO_Public_TSV_FileList!$A$1:$A$1000,".tsv"),"")),0)),"notfound")</f>
        <v>notfound</v>
      </c>
      <c r="M328" s="13" t="inlineStr">
        <is>
          <t>Table S5 sheet 3: snRNA-seq excitatory-to-inhibitory ratios</t>
        </is>
      </c>
      <c r="N328" s="1" t="inlineStr">
        <is>
          <t>table</t>
        </is>
      </c>
      <c r="O328" s="13"/>
      <c r="P328" s="13" t="inlineStr">
        <is>
          <t>FINISHED</t>
        </is>
      </c>
      <c r="Q328" s="13" t="inlineStr">
        <is>
          <t>digital-native unchanged source</t>
        </is>
      </c>
      <c r="R328" s="13" t="inlineStr">
        <is>
          <t>https://doi.org/10.1126/science.adf6812</t>
        </is>
      </c>
      <c r="S328" s="13" t="inlineStr">
        <is>
          <t>No estimation; precision preserved; snapshot frozen</t>
        </is>
      </c>
      <c r="T328" s="13" t="inlineStr">
        <is>
          <t>Review metric denominators and layer label semantics</t>
        </is>
      </c>
      <c r="U328" s="13" t="inlineStr">
        <is>
          <t>Not cross-species species-level trait data</t>
        </is>
      </c>
      <c r="V328" s="13"/>
      <c r="W328" s="13" t="inlineStr">
        <is>
          <t>Primates</t>
        </is>
      </c>
      <c r="X328" s="13" t="inlineStr">
        <is>
          <t>cellular composition</t>
        </is>
      </c>
      <c r="Y328" s="13" t="inlineStr">
        <is>
          <t>cell subclass definitions; subclass counts/proportions; E:I ratio</t>
        </is>
      </c>
      <c r="Z328" s="13"/>
      <c r="AA328" s="13" t="inlineStr">
        <is>
          <t>snRNA-seq or MERFISH</t>
        </is>
      </c>
      <c r="AB328" s="13" t="inlineStr">
        <is>
          <t>metadata/count/proportion/ratio</t>
        </is>
      </c>
      <c r="AC328" s="13" t="inlineStr">
        <is>
          <t>Allen Institute</t>
        </is>
      </c>
      <c r="AD328" s="13"/>
      <c r="AE328" s="13" t="inlineStr">
        <is>
          <t>Derived from primary layer-dissected snRNA-seq counts</t>
        </is>
      </c>
      <c r="AF328" s="13"/>
      <c r="AG328" s="13"/>
    </row>
    <row r="329" ht="17" customHeight="1">
      <c r="A329" s="13" t="inlineStr">
        <is>
          <t>Jung, Y. J., Almasi, A., Sun, S. H., Yunzab, M., Cloherty, S. L., Bauquier, S. H., Renfree, M., Meffin, H., &amp; Ibbotson, M. R. (2022). Orientation pinwheels in primary visual cortex of a highly visual marsupial. Sci Adv, 8(39), eabn0954. https://doi.org/10.1126/sciadv.abn0954</t>
        </is>
      </c>
      <c r="B329" s="13"/>
      <c r="C329" s="13"/>
      <c r="D329" s="13" t="inlineStr">
        <is>
          <t>Reported results</t>
        </is>
      </c>
      <c r="E329" s="11" t="str">
        <f>SUBSTITUTE(SUBSTITUTE(_xlfn.TEXTBEFORE(A329,","), "-", ""), " ", "")</f>
        <v>Jung</v>
      </c>
      <c r="F329" s="10"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10" t="str">
        <f>_xlfn.TEXTBEFORE(_xlfn.TEXTAFTER(A329, "("), ")")</f>
        <v>2022</v>
      </c>
      <c r="H329" s="11" t="str">
        <f>E329 &amp; IF(F329&lt;&gt;"", "_" &amp; SUBSTITUTE(F329," ",""), "_") &amp; IF(G329&lt;&gt;"", "_" &amp; G329, "_") &amp; IF(B329&lt;&gt;"", "_" &amp; B329, "")</f>
        <v>Jung_etal_2022</v>
      </c>
      <c r="I329" s="11" t="str">
        <f>_xlfn.LET(_xlpm.doi,IF(C329&lt;&gt;"",C329,_xlfn.TEXTAFTER(A329,"https://doi.org/")),SUBSTITUTE(SUBSTITUTE(SUBSTITUTE(SUBSTITUTE(_xlpm.doi,"/","%2F"),":","%3A"),"&lt;","%3C"),"&gt;","%3E"))</f>
        <v>10.1126%2Fsciadv.abn0954</v>
      </c>
      <c r="J329" s="11" t="str">
        <f>TRIM(_xlfn.TEXTJOIN("_",FALSE(),H329,(SUBSTITUTE(SUBSTITUTE(D329," ",""), "_", ""))))</f>
        <v>Jung_etal_2022_Reportedresults</v>
      </c>
      <c r="K329" s="10" t="str">
        <f>I329 &amp; "_" &amp; SUBSTITUTE(SUBSTITUTE(SUBSTITUTE(D329,CHAR(160),"")," ",""),"_","")</f>
        <v>10.1126%2Fsciadv.abn0954_Reportedresults</v>
      </c>
      <c r="L329" s="10" t="str">
        <f t="array" ref="L329">IFERROR(INDEX(AUTO_Public_TSV_FileList!$A$1:$A$1000,MATCH(TRUE(),EXACT(K329,IFERROR(_xlfn.TEXTBEFORE(AUTO_Public_TSV_FileList!$A$1:$A$1000,".tsv"),"")),0)),"notfound")</f>
        <v>10.1126%2Fsciadv.abn0954_Reportedresults.tsv</v>
      </c>
      <c r="M329" s="13" t="inlineStr">
        <is>
          <t>Quantitative results reported in article text and figures</t>
        </is>
      </c>
      <c r="N329" s="1" t="inlineStr">
        <is>
          <t>table</t>
        </is>
      </c>
      <c r="O329" s="13"/>
      <c r="P329" s="13" t="inlineStr">
        <is>
          <t>FINISHED</t>
        </is>
      </c>
      <c r="Q329" s="13"/>
      <c r="R329" s="13" t="inlineStr">
        <is>
          <t>https://www.science.org/doi/10.1126/sciadv.abn0954</t>
        </is>
      </c>
      <c r="S329" s="13"/>
      <c r="T329" s="13"/>
      <c r="U329" s="13"/>
      <c r="V329" s="13"/>
      <c r="W329" s="1" t="inlineStr">
        <is>
          <t>Mammals</t>
        </is>
      </c>
      <c r="X329" s="13" t="inlineStr">
        <is>
          <t>orientation pinwheel density; column spacing; V1 response properties; retinal CP ratio</t>
        </is>
      </c>
      <c r="Y329" s="13"/>
      <c r="Z329" s="13"/>
      <c r="AA329" s="13"/>
      <c r="AB329" s="13"/>
      <c r="AC329" s="13"/>
      <c r="AD329" s="13"/>
      <c r="AE329" s="13" t="inlineStr">
        <is>
          <t>both</t>
        </is>
      </c>
      <c r="AF329" s="13"/>
      <c r="AG329" s="13"/>
    </row>
    <row r="330" ht="17" customHeight="1">
      <c r="A330" s="13" t="inlineStr">
        <is>
          <t>Jung, Y. J., Almasi, A., Sun, S. H., Yunzab, M., Cloherty, S. L., Bauquier, S. H., Renfree, M., Meffin, H., &amp; Ibbotson, M. R. (2022). Orientation pinwheels in primary visual cortex of a highly visual marsupial. Sci Adv, 8(39), eabn0954. https://doi.org/10.1126/sciadv.abn0954</t>
        </is>
      </c>
      <c r="B330" s="13"/>
      <c r="C330" s="13"/>
      <c r="D330" s="13" t="inlineStr">
        <is>
          <t>Table S1</t>
        </is>
      </c>
      <c r="E330" s="11" t="str">
        <f>SUBSTITUTE(SUBSTITUTE(_xlfn.TEXTBEFORE(A330,","), "-", ""), " ", "")</f>
        <v>Jung</v>
      </c>
      <c r="F330" s="10"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10" t="str">
        <f>_xlfn.TEXTBEFORE(_xlfn.TEXTAFTER(A330, "("), ")")</f>
        <v>2022</v>
      </c>
      <c r="H330" s="11" t="str">
        <f>E330 &amp; IF(F330&lt;&gt;"", "_" &amp; SUBSTITUTE(F330," ",""), "_") &amp; IF(G330&lt;&gt;"", "_" &amp; G330, "_") &amp; IF(B330&lt;&gt;"", "_" &amp; B330, "")</f>
        <v>Jung_etal_2022</v>
      </c>
      <c r="I330" s="11" t="str">
        <f>_xlfn.LET(_xlpm.doi,IF(C330&lt;&gt;"",C330,_xlfn.TEXTAFTER(A330,"https://doi.org/")),SUBSTITUTE(SUBSTITUTE(SUBSTITUTE(SUBSTITUTE(_xlpm.doi,"/","%2F"),":","%3A"),"&lt;","%3C"),"&gt;","%3E"))</f>
        <v>10.1126%2Fsciadv.abn0954</v>
      </c>
      <c r="J330" s="11" t="str">
        <f>TRIM(_xlfn.TEXTJOIN("_",FALSE(),H330,(SUBSTITUTE(SUBSTITUTE(D330," ",""), "_", ""))))</f>
        <v>Jung_etal_2022_TableS1</v>
      </c>
      <c r="K330" s="11" t="str">
        <f>I330 &amp; "_" &amp; SUBSTITUTE(SUBSTITUTE(SUBSTITUTE(D330,CHAR(160),"")," ",""),"_","")</f>
        <v>10.1126%2Fsciadv.abn0954_TableS1</v>
      </c>
      <c r="L330" s="10" t="str">
        <f t="array" ref="L330">IFERROR(INDEX(AUTO_Public_TSV_FileList!$A$1:$A$1000,MATCH(TRUE(),EXACT(K330,IFERROR(_xlfn.TEXTBEFORE(AUTO_Public_TSV_FileList!$A$1:$A$1000,".tsv"),"")),0)),"notfound")</f>
        <v>notfound</v>
      </c>
      <c r="M330" s="13" t="inlineStr">
        <is>
          <t>Table S1. Experimental Data on retinal and V1 cell density.</t>
        </is>
      </c>
      <c r="N330" s="1" t="inlineStr">
        <is>
          <t>table</t>
        </is>
      </c>
      <c r="O330" s="13"/>
      <c r="P330" s="13"/>
      <c r="Q330" s="13"/>
      <c r="R330" s="13" t="inlineStr">
        <is>
          <t>https://www.science.org/doi/10.1126/sciadv.abn0954</t>
        </is>
      </c>
      <c r="S330" s="13"/>
      <c r="T330" s="13"/>
      <c r="U330" s="13"/>
      <c r="V330" s="13"/>
      <c r="W330" s="1" t="inlineStr">
        <is>
          <t>Mammals</t>
        </is>
      </c>
      <c r="X330" s="13" t="inlineStr">
        <is>
          <t>orientation pinwheel density; column spacing; V1 response properties; retinal CP ratio</t>
        </is>
      </c>
      <c r="Y330" s="13"/>
      <c r="Z330" s="13"/>
      <c r="AA330" s="13"/>
      <c r="AB330" s="13"/>
      <c r="AC330" s="13"/>
      <c r="AD330" s="13"/>
      <c r="AE330" s="13" t="inlineStr">
        <is>
          <t>both</t>
        </is>
      </c>
      <c r="AF330" s="13"/>
      <c r="AG330" s="13"/>
    </row>
    <row r="331" ht="17" customHeight="1">
      <c r="A331" s="13" t="inlineStr">
        <is>
          <t>Jung, Y. J., Almasi, A., Sun, S. H., Yunzab, M., Cloherty, S. L., Bauquier, S. H., Renfree, M., Meffin, H., &amp; Ibbotson, M. R. (2022). Orientation pinwheels in primary visual cortex of a highly visual marsupial. Sci Adv, 8(39), eabn0954. https://doi.org/10.1126/sciadv.abn0954</t>
        </is>
      </c>
      <c r="B331" s="13"/>
      <c r="C331" s="13"/>
      <c r="D331" s="13" t="inlineStr">
        <is>
          <t>Table S2</t>
        </is>
      </c>
      <c r="E331" s="11" t="str">
        <f>SUBSTITUTE(SUBSTITUTE(_xlfn.TEXTBEFORE(A331,","), "-", ""), " ", "")</f>
        <v>Jung</v>
      </c>
      <c r="F331" s="10"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0" t="str">
        <f>_xlfn.TEXTBEFORE(_xlfn.TEXTAFTER(A331, "("), ")")</f>
        <v>2022</v>
      </c>
      <c r="H331" s="11" t="str">
        <f>E331 &amp; IF(F331&lt;&gt;"", "_" &amp; SUBSTITUTE(F331," ",""), "_") &amp; IF(G331&lt;&gt;"", "_" &amp; G331, "_") &amp; IF(B331&lt;&gt;"", "_" &amp; B331, "")</f>
        <v>Jung_etal_2022</v>
      </c>
      <c r="I331" s="11" t="str">
        <f>_xlfn.LET(_xlpm.doi,IF(C331&lt;&gt;"",C331,_xlfn.TEXTAFTER(A331,"https://doi.org/")),SUBSTITUTE(SUBSTITUTE(SUBSTITUTE(SUBSTITUTE(_xlpm.doi,"/","%2F"),":","%3A"),"&lt;","%3C"),"&gt;","%3E"))</f>
        <v>10.1126%2Fsciadv.abn0954</v>
      </c>
      <c r="J331" s="11" t="str">
        <f>TRIM(_xlfn.TEXTJOIN("_",FALSE(),H331,(SUBSTITUTE(SUBSTITUTE(D331," ",""), "_", ""))))</f>
        <v>Jung_etal_2022_TableS2</v>
      </c>
      <c r="K331" s="11" t="str">
        <f>I331 &amp; "_" &amp; SUBSTITUTE(SUBSTITUTE(SUBSTITUTE(D331,CHAR(160),"")," ",""),"_","")</f>
        <v>10.1126%2Fsciadv.abn0954_TableS2</v>
      </c>
      <c r="L331" s="10" t="str">
        <f t="array" ref="L331">IFERROR(INDEX(AUTO_Public_TSV_FileList!$A$1:$A$1000,MATCH(TRUE(),EXACT(K331,IFERROR(_xlfn.TEXTBEFORE(AUTO_Public_TSV_FileList!$A$1:$A$1000,".tsv"),"")),0)),"notfound")</f>
        <v>notfound</v>
      </c>
      <c r="M331" s="13" t="inlineStr">
        <is>
          <t>Table S2: Pinwheel density (ρ) and column spacing (Λ) across various species</t>
        </is>
      </c>
      <c r="N331" s="1" t="inlineStr">
        <is>
          <t>table</t>
        </is>
      </c>
      <c r="O331" s="13"/>
      <c r="P331" s="13"/>
      <c r="Q331" s="13"/>
      <c r="R331" s="13" t="inlineStr">
        <is>
          <t>https://www.science.org/doi/10.1126/sciadv.abn0954</t>
        </is>
      </c>
      <c r="S331" s="13"/>
      <c r="T331" s="13"/>
      <c r="U331" s="13"/>
      <c r="V331" s="13"/>
      <c r="W331" s="1" t="inlineStr">
        <is>
          <t>Mammals</t>
        </is>
      </c>
      <c r="X331" s="13" t="inlineStr">
        <is>
          <t>orientation pinwheel density; column spacing; V1 response properties; retinal CP ratio</t>
        </is>
      </c>
      <c r="Y331" s="13"/>
      <c r="Z331" s="13"/>
      <c r="AA331" s="13"/>
      <c r="AB331" s="13"/>
      <c r="AC331" s="13"/>
      <c r="AD331" s="13"/>
      <c r="AE331" s="13" t="inlineStr">
        <is>
          <t>both</t>
        </is>
      </c>
      <c r="AF331" s="13"/>
      <c r="AG331" s="13"/>
    </row>
    <row r="332" ht="17" customHeight="1">
      <c r="A332" s="13" t="inlineStr">
        <is>
          <t>Kamiya, T., &amp; Pirlot, P. (1980). Brain organization in Platanista gangetica. Scientific Reports of the Whales Research Institute, 32, 105–126.</t>
        </is>
      </c>
      <c r="B332" s="13"/>
      <c r="C332" s="13" t="inlineStr">
        <is>
          <t>SRWRI:32:105-126</t>
        </is>
      </c>
      <c r="D332" s="13" t="inlineStr">
        <is>
          <t>TABLE 1</t>
        </is>
      </c>
      <c r="E332" s="11" t="str">
        <f>SUBSTITUTE(SUBSTITUTE(_xlfn.TEXTBEFORE(A332,","), "-", ""), " ", "")</f>
        <v>Kamiya</v>
      </c>
      <c r="F332" s="10"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10" t="str">
        <f>_xlfn.TEXTBEFORE(_xlfn.TEXTAFTER(A332, "("), ")")</f>
        <v>1980</v>
      </c>
      <c r="H332" s="11" t="str">
        <f>E332 &amp; IF(F332&lt;&gt;"", "_" &amp; SUBSTITUTE(F332," ",""), "_") &amp; IF(G332&lt;&gt;"", "_" &amp; G332, "_") &amp; IF(B332&lt;&gt;"", "_" &amp; B332, "")</f>
        <v>Kamiya__1980</v>
      </c>
      <c r="I332" s="11" t="str">
        <f>_xlfn.LET(_xlpm.doi,IF(C332&lt;&gt;"",C332,_xlfn.TEXTAFTER(A332,"https://doi.org/")),SUBSTITUTE(SUBSTITUTE(SUBSTITUTE(SUBSTITUTE(_xlpm.doi,"/","%2F"),":","%3A"),"&lt;","%3C"),"&gt;","%3E"))</f>
        <v>SRWRI%3A32%3A105-126</v>
      </c>
      <c r="J332" s="11" t="str">
        <f>TRIM(_xlfn.TEXTJOIN("_",FALSE(),H332,(SUBSTITUTE(SUBSTITUTE(D332," ",""), "_", ""))))</f>
        <v>Kamiya__1980_TABLE1</v>
      </c>
      <c r="K332" s="10" t="str">
        <f>I332 &amp; "_" &amp; SUBSTITUTE(SUBSTITUTE(SUBSTITUTE(D332,CHAR(160),"")," ",""),"_","")</f>
        <v>SRWRI%3A32%3A105-126_TABLE1</v>
      </c>
      <c r="L332" s="10" t="str">
        <f t="array" ref="L332">IFERROR(INDEX(AUTO_Public_TSV_FileList!$A$1:$A$1000,MATCH(TRUE(),EXACT(K332,IFERROR(_xlfn.TEXTBEFORE(AUTO_Public_TSV_FileList!$A$1:$A$1000,".tsv"),"")),0)),"notfound")</f>
        <v>SRWRI%3A32%3A105-126_TABLE1.tsv</v>
      </c>
      <c r="M332" s="13"/>
      <c r="N332" s="13"/>
      <c r="O332" s="13"/>
      <c r="P332" s="13"/>
      <c r="Q332" s="13"/>
      <c r="R332" s="13"/>
      <c r="S332" s="13"/>
      <c r="T332" s="13"/>
      <c r="U332" s="13"/>
      <c r="V332" s="13"/>
      <c r="W332" s="13"/>
      <c r="X332" s="13"/>
      <c r="Y332" s="13"/>
      <c r="Z332" s="13"/>
      <c r="AA332" s="13"/>
      <c r="AB332" s="13"/>
      <c r="AC332" s="13"/>
      <c r="AD332" s="13"/>
      <c r="AE332" s="13"/>
      <c r="AF332" s="13"/>
      <c r="AG332" s="13"/>
    </row>
    <row r="333" ht="17" customHeight="1">
      <c r="A333" s="13" t="inlineStr">
        <is>
          <t>Kamiya, T., &amp; Pirlot, P. (1988). The brain of the lesser panda Ailurus fulgens: A quantitative approach. Zeitschrift für Zoologische Systematik und Evolutionsforschung, 26(1), 65–72. https://doi.org/10.1111/j.1439-0469.1988.tb00644.x</t>
        </is>
      </c>
      <c r="B333" s="13"/>
      <c r="C333" s="13"/>
      <c r="D333" s="13" t="inlineStr">
        <is>
          <t>Table 1</t>
        </is>
      </c>
      <c r="E333" s="11" t="str">
        <f>SUBSTITUTE(SUBSTITUTE(_xlfn.TEXTBEFORE(A333,","), "-", ""), " ", "")</f>
        <v>Kamiya</v>
      </c>
      <c r="F333" s="10"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3" s="10" t="str">
        <f>_xlfn.TEXTBEFORE(_xlfn.TEXTAFTER(A333, "("), ")")</f>
        <v>1988</v>
      </c>
      <c r="H333" s="11" t="str">
        <f>E333 &amp; IF(F333&lt;&gt;"", "_" &amp; SUBSTITUTE(F333," ",""), "_") &amp; IF(G333&lt;&gt;"", "_" &amp; G333, "_") &amp; IF(B333&lt;&gt;"", "_" &amp; B333, "")</f>
        <v>Kamiya__1988</v>
      </c>
      <c r="I333" s="11" t="str">
        <f>_xlfn.LET(_xlpm.doi,IF(C333&lt;&gt;"",C333,_xlfn.TEXTAFTER(A333,"https://doi.org/")),SUBSTITUTE(SUBSTITUTE(SUBSTITUTE(SUBSTITUTE(_xlpm.doi,"/","%2F"),":","%3A"),"&lt;","%3C"),"&gt;","%3E"))</f>
        <v>10.1111%2Fj.1439-0469.1988.tb00644.x</v>
      </c>
      <c r="J333" s="11" t="str">
        <f>TRIM(_xlfn.TEXTJOIN("_",FALSE(),H333,(SUBSTITUTE(SUBSTITUTE(D333," ",""), "_", ""))))</f>
        <v>Kamiya__1988_Table1</v>
      </c>
      <c r="K333" s="10" t="str">
        <f>I333 &amp; "_" &amp; SUBSTITUTE(SUBSTITUTE(SUBSTITUTE(D333,CHAR(160),"")," ",""),"_","")</f>
        <v>10.1111%2Fj.1439-0469.1988.tb00644.x_Table1</v>
      </c>
      <c r="L333" s="10" t="str">
        <f t="array" ref="L333">IFERROR(INDEX(AUTO_Public_TSV_FileList!$A$1:$A$1000,MATCH(TRUE(),EXACT(K333,IFERROR(_xlfn.TEXTBEFORE(AUTO_Public_TSV_FileList!$A$1:$A$1000,".tsv"),"")),0)),"notfound")</f>
        <v>10.1111%2Fj.1439-0469.1988.tb00644.x_Table1.tsv</v>
      </c>
      <c r="M333" s="13" t="inlineStr">
        <is>
          <t>Table 1. Percentile composition of total brain for the lesser panda</t>
        </is>
      </c>
      <c r="N333" s="13"/>
      <c r="O333" s="13"/>
      <c r="P333" s="13"/>
      <c r="Q333" s="13"/>
      <c r="R333" s="13"/>
      <c r="S333" s="13"/>
      <c r="T333" s="13"/>
      <c r="U333" s="13"/>
      <c r="V333" s="13"/>
      <c r="W333" s="13"/>
      <c r="X333" s="13"/>
      <c r="Y333" s="13"/>
      <c r="Z333" s="13"/>
      <c r="AA333" s="13"/>
      <c r="AB333" s="13"/>
      <c r="AC333" s="13"/>
      <c r="AD333" s="13"/>
      <c r="AE333" s="13"/>
      <c r="AF333" s="13"/>
      <c r="AG333" s="13"/>
    </row>
    <row r="334" ht="17" customHeight="1">
      <c r="A334" s="1" t="inlineStr">
        <is>
          <t>Karbowski, J. (2007). Global and regional brain metabolic scaling and its functional consequences. BMC Biol, 5, 18. https://doi.org/10.1186/1741-7007-5-18</t>
        </is>
      </c>
      <c r="B334" s="13"/>
      <c r="C334" s="13"/>
      <c r="D334" s="1" t="inlineStr">
        <is>
          <t>Table 1</t>
        </is>
      </c>
      <c r="E334" s="10" t="str">
        <f>SUBSTITUTE(SUBSTITUTE(_xlfn.TEXTBEFORE(A334,","), "-", ""), " ", "")</f>
        <v>Karbowski</v>
      </c>
      <c r="F334" s="10"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4" s="10" t="str">
        <f>_xlfn.TEXTBEFORE(_xlfn.TEXTAFTER(A334, "("), ")")</f>
        <v>2007</v>
      </c>
      <c r="H334" s="10" t="str">
        <f>E334 &amp; IF(F334&lt;&gt;"", "_" &amp; SUBSTITUTE(F334," ",""), "_") &amp; IF(G334&lt;&gt;"", "_" &amp; G334, "_") &amp; IF(B334&lt;&gt;"", "_" &amp; B334, "")</f>
        <v>Karbowski__2007</v>
      </c>
      <c r="I334" s="10" t="str">
        <f>_xlfn.LET(
_xlpm.doi,IF(C334&lt;&gt;"",C334,_xlfn.TEXTAFTER(A334,"https://doi.org/")),
SUBSTITUTE(
SUBSTITUTE(
SUBSTITUTE(
SUBSTITUTE(
_xlpm.doi,
"/","%2F"),
":","%3A"),
"&lt;","%3C"),
"&gt;","%3E")
)</f>
        <v>10.1186%2F1741-7007-5-18</v>
      </c>
      <c r="J334" s="10" t="str">
        <f>TRIM(_xlfn.TEXTJOIN("_",FALSE(),H334,(SUBSTITUTE(SUBSTITUTE(D334," ",""), "_", ""))))</f>
        <v>Karbowski__2007_Table1</v>
      </c>
      <c r="K334" s="10" t="str">
        <f>I334 &amp; "_" &amp; SUBSTITUTE(SUBSTITUTE(SUBSTITUTE(D334,CHAR(160),"")," ",""),"_","")</f>
        <v>10.1186%2F1741-7007-5-18_Table1</v>
      </c>
      <c r="L334" s="10" t="str">
        <f t="array" ref="L334">IFERROR(INDEX(AUTO_Public_TSV_FileList!$A$1:$A$1000,MATCH(TRUE(),EXACT(K334,IFERROR(_xlfn.TEXTBEFORE(AUTO_Public_TSV_FileList!$A$1:$A$1000,".tsv"),"")),0)),"notfound")</f>
        <v>notfound</v>
      </c>
      <c r="M334" s="13"/>
      <c r="N334" s="1" t="inlineStr">
        <is>
          <t>table</t>
        </is>
      </c>
      <c r="O334" s="13"/>
      <c r="P334" s="13"/>
      <c r="Q334" s="13"/>
      <c r="R334" s="13"/>
      <c r="S334" s="13"/>
      <c r="T334" s="13"/>
      <c r="U334" s="13"/>
      <c r="V334" s="13"/>
      <c r="W334" s="1" t="inlineStr">
        <is>
          <t>Mammals</t>
        </is>
      </c>
      <c r="X334" s="1" t="inlineStr">
        <is>
          <t>brain metabolic scaling</t>
        </is>
      </c>
      <c r="Y334" s="13"/>
      <c r="Z334" s="13"/>
      <c r="AA334" s="1"/>
      <c r="AB334" s="1" t="inlineStr">
        <is>
          <t>metabolic scaling</t>
        </is>
      </c>
      <c r="AC334" s="13"/>
      <c r="AD334" s="13"/>
      <c r="AE334" s="1" t="inlineStr">
        <is>
          <t>secondary</t>
        </is>
      </c>
      <c r="AF334" s="1"/>
      <c r="AG334" s="13"/>
    </row>
    <row r="335" ht="17" customHeight="1">
      <c r="A335" s="1" t="inlineStr">
        <is>
          <t>Karbowski, J. (2007). Global and regional brain metabolic scaling and its functional consequences. BMC Biol, 5, 18. https://doi.org/10.1186/1741-7007-5-18</t>
        </is>
      </c>
      <c r="B335" s="13"/>
      <c r="C335" s="13"/>
      <c r="D335" s="1" t="inlineStr">
        <is>
          <t>Table S1</t>
        </is>
      </c>
      <c r="E335" s="10" t="str">
        <f>SUBSTITUTE(SUBSTITUTE(_xlfn.TEXTBEFORE(A335,","), "-", ""), " ", "")</f>
        <v>Karbowski</v>
      </c>
      <c r="F335" s="10"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5" s="10" t="str">
        <f>_xlfn.TEXTBEFORE(_xlfn.TEXTAFTER(A335, "("), ")")</f>
        <v>2007</v>
      </c>
      <c r="H335" s="10" t="str">
        <f>E335 &amp; IF(F335&lt;&gt;"", "_" &amp; SUBSTITUTE(F335," ",""), "_") &amp; IF(G335&lt;&gt;"", "_" &amp; G335, "_") &amp; IF(B335&lt;&gt;"", "_" &amp; B335, "")</f>
        <v>Karbowski__2007</v>
      </c>
      <c r="I335" s="10" t="str">
        <f>_xlfn.LET(
_xlpm.doi,IF(C335&lt;&gt;"",C335,_xlfn.TEXTAFTER(A335,"https://doi.org/")),
SUBSTITUTE(
SUBSTITUTE(
SUBSTITUTE(
SUBSTITUTE(
_xlpm.doi,
"/","%2F"),
":","%3A"),
"&lt;","%3C"),
"&gt;","%3E")
)</f>
        <v>10.1186%2F1741-7007-5-18</v>
      </c>
      <c r="J335" s="10" t="str">
        <f>TRIM(_xlfn.TEXTJOIN("_",FALSE(),H335,(SUBSTITUTE(SUBSTITUTE(D335," ",""), "_", ""))))</f>
        <v>Karbowski__2007_TableS1</v>
      </c>
      <c r="K335" s="10" t="str">
        <f>I335 &amp; "_" &amp; SUBSTITUTE(SUBSTITUTE(SUBSTITUTE(D335,CHAR(160),"")," ",""),"_","")</f>
        <v>10.1186%2F1741-7007-5-18_TableS1</v>
      </c>
      <c r="L335" s="10" t="str">
        <f t="array" ref="L335">IFERROR(INDEX(AUTO_Public_TSV_FileList!$A$1:$A$1000,MATCH(TRUE(),EXACT(K335,IFERROR(_xlfn.TEXTBEFORE(AUTO_Public_TSV_FileList!$A$1:$A$1000,".tsv"),"")),0)),"notfound")</f>
        <v>10.1186%2F1741-7007-5-18_TableS1.tsv</v>
      </c>
      <c r="M335" s="1" t="inlineStr">
        <is>
          <t>Table S1. Brain oxygen consumption data in adult awake unanesthetized animals.</t>
        </is>
      </c>
      <c r="N335" s="1" t="inlineStr">
        <is>
          <t>table</t>
        </is>
      </c>
      <c r="O335" s="13"/>
      <c r="P335" s="1" t="inlineStr">
        <is>
          <t>FINISHED</t>
        </is>
      </c>
      <c r="Q335" s="13"/>
      <c r="R335" s="13"/>
      <c r="S335" s="13"/>
      <c r="T335" s="13"/>
      <c r="U335" s="13"/>
      <c r="V335" s="13"/>
      <c r="W335" s="1" t="inlineStr">
        <is>
          <t>Mammals</t>
        </is>
      </c>
      <c r="X335" s="1" t="inlineStr">
        <is>
          <t>brain oxygen metabolism</t>
        </is>
      </c>
      <c r="Y335" s="13"/>
      <c r="Z335" s="13"/>
      <c r="AA335" s="1"/>
      <c r="AB335" s="1" t="inlineStr">
        <is>
          <t>metabolic rate</t>
        </is>
      </c>
      <c r="AC335" s="13"/>
      <c r="AD335" s="13"/>
      <c r="AE335" s="1" t="inlineStr">
        <is>
          <t>secondary</t>
        </is>
      </c>
      <c r="AF335" s="1"/>
      <c r="AG335" s="13"/>
    </row>
    <row r="336" ht="17" customHeight="1">
      <c r="A336" s="1" t="inlineStr">
        <is>
          <t>Karbowski, J. (2007). Global and regional brain metabolic scaling and its functional consequences. BMC Biol, 5, 18. https://doi.org/10.1186/1741-7007-5-18</t>
        </is>
      </c>
      <c r="B336" s="13"/>
      <c r="C336" s="13"/>
      <c r="D336" s="1" t="inlineStr">
        <is>
          <t>Table S10</t>
        </is>
      </c>
      <c r="E336" s="10" t="str">
        <f>SUBSTITUTE(SUBSTITUTE(_xlfn.TEXTBEFORE(A336,","), "-", ""), " ", "")</f>
        <v>Karbowski</v>
      </c>
      <c r="F336" s="10"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6" s="10" t="str">
        <f>_xlfn.TEXTBEFORE(_xlfn.TEXTAFTER(A336, "("), ")")</f>
        <v>2007</v>
      </c>
      <c r="H336" s="10" t="str">
        <f>E336 &amp; IF(F336&lt;&gt;"", "_" &amp; SUBSTITUTE(F336," ",""), "_") &amp; IF(G336&lt;&gt;"", "_" &amp; G336, "_") &amp; IF(B336&lt;&gt;"", "_" &amp; B336, "")</f>
        <v>Karbowski__2007</v>
      </c>
      <c r="I336" s="10" t="str">
        <f>_xlfn.LET(
_xlpm.doi,IF(C336&lt;&gt;"",C336,_xlfn.TEXTAFTER(A336,"https://doi.org/")),
SUBSTITUTE(
SUBSTITUTE(
SUBSTITUTE(
SUBSTITUTE(
_xlpm.doi,
"/","%2F"),
":","%3A"),
"&lt;","%3C"),
"&gt;","%3E")
)</f>
        <v>10.1186%2F1741-7007-5-18</v>
      </c>
      <c r="J336" s="10" t="str">
        <f>TRIM(_xlfn.TEXTJOIN("_",FALSE(),H336,(SUBSTITUTE(SUBSTITUTE(D336," ",""), "_", ""))))</f>
        <v>Karbowski__2007_TableS10</v>
      </c>
      <c r="K336" s="10" t="str">
        <f>I336 &amp; "_" &amp; SUBSTITUTE(SUBSTITUTE(SUBSTITUTE(D336,CHAR(160),"")," ",""),"_","")</f>
        <v>10.1186%2F1741-7007-5-18_TableS10</v>
      </c>
      <c r="L336" s="10" t="str">
        <f t="array" ref="L336">IFERROR(INDEX(AUTO_Public_TSV_FileList!$A$1:$A$1000,MATCH(TRUE(),EXACT(K336,IFERROR(_xlfn.TEXTBEFORE(AUTO_Public_TSV_FileList!$A$1:$A$1000,".tsv"),"")),0)),"notfound")</f>
        <v>10.1186%2F1741-7007-5-18_TableS10.tsv</v>
      </c>
      <c r="M336" s="1" t="inlineStr">
        <is>
          <t>Table S10. Parietal cortex glucose utilization rate in mammals.</t>
        </is>
      </c>
      <c r="N336" s="1" t="inlineStr">
        <is>
          <t>table</t>
        </is>
      </c>
      <c r="O336" s="13"/>
      <c r="P336" s="1" t="inlineStr">
        <is>
          <t>FINISHED</t>
        </is>
      </c>
      <c r="Q336" s="13"/>
      <c r="R336" s="13"/>
      <c r="S336" s="13"/>
      <c r="T336" s="13"/>
      <c r="U336" s="13"/>
      <c r="V336" s="13"/>
      <c r="W336" s="1" t="inlineStr">
        <is>
          <t>Mammals</t>
        </is>
      </c>
      <c r="X336" s="1" t="inlineStr">
        <is>
          <t>brain glucose metabolism</t>
        </is>
      </c>
      <c r="Y336" s="13"/>
      <c r="Z336" s="13"/>
      <c r="AA336" s="1"/>
      <c r="AB336" s="1" t="inlineStr">
        <is>
          <t>metabolic rate</t>
        </is>
      </c>
      <c r="AC336" s="13"/>
      <c r="AD336" s="13"/>
      <c r="AE336" s="1" t="inlineStr">
        <is>
          <t>secondary</t>
        </is>
      </c>
      <c r="AF336" s="1"/>
      <c r="AG336" s="13"/>
    </row>
    <row r="337" ht="17" customHeight="1">
      <c r="A337" s="1" t="inlineStr">
        <is>
          <t>Karbowski, J. (2007). Global and regional brain metabolic scaling and its functional consequences. BMC Biol, 5, 18. https://doi.org/10.1186/1741-7007-5-18</t>
        </is>
      </c>
      <c r="B337" s="13"/>
      <c r="C337" s="13"/>
      <c r="D337" s="1" t="inlineStr">
        <is>
          <t>Table S11</t>
        </is>
      </c>
      <c r="E337" s="10" t="str">
        <f>SUBSTITUTE(SUBSTITUTE(_xlfn.TEXTBEFORE(A337,","), "-", ""), " ", "")</f>
        <v>Karbowski</v>
      </c>
      <c r="F337" s="10"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7" s="10" t="str">
        <f>_xlfn.TEXTBEFORE(_xlfn.TEXTAFTER(A337, "("), ")")</f>
        <v>2007</v>
      </c>
      <c r="H337" s="10" t="str">
        <f>E337 &amp; IF(F337&lt;&gt;"", "_" &amp; SUBSTITUTE(F337," ",""), "_") &amp; IF(G337&lt;&gt;"", "_" &amp; G337, "_") &amp; IF(B337&lt;&gt;"", "_" &amp; B337, "")</f>
        <v>Karbowski__2007</v>
      </c>
      <c r="I337" s="10" t="str">
        <f>_xlfn.LET(
_xlpm.doi,IF(C337&lt;&gt;"",C337,_xlfn.TEXTAFTER(A337,"https://doi.org/")),
SUBSTITUTE(
SUBSTITUTE(
SUBSTITUTE(
SUBSTITUTE(
_xlpm.doi,
"/","%2F"),
":","%3A"),
"&lt;","%3C"),
"&gt;","%3E")
)</f>
        <v>10.1186%2F1741-7007-5-18</v>
      </c>
      <c r="J337" s="10" t="str">
        <f>TRIM(_xlfn.TEXTJOIN("_",FALSE(),H337,(SUBSTITUTE(SUBSTITUTE(D337," ",""), "_", ""))))</f>
        <v>Karbowski__2007_TableS11</v>
      </c>
      <c r="K337" s="10" t="str">
        <f>I337 &amp; "_" &amp; SUBSTITUTE(SUBSTITUTE(SUBSTITUTE(D337,CHAR(160),"")," ",""),"_","")</f>
        <v>10.1186%2F1741-7007-5-18_TableS11</v>
      </c>
      <c r="L337" s="10" t="str">
        <f t="array" ref="L337">IFERROR(INDEX(AUTO_Public_TSV_FileList!$A$1:$A$1000,MATCH(TRUE(),EXACT(K337,IFERROR(_xlfn.TEXTBEFORE(AUTO_Public_TSV_FileList!$A$1:$A$1000,".tsv"),"")),0)),"notfound")</f>
        <v>10.1186%2F1741-7007-5-18_TableS11.tsv</v>
      </c>
      <c r="M337" s="1" t="inlineStr">
        <is>
          <t>Table S11. Cerebral cortex average glucose utilization rate in mammals. Data for Fig. 2E in the main text.</t>
        </is>
      </c>
      <c r="N337" s="1" t="inlineStr">
        <is>
          <t>table</t>
        </is>
      </c>
      <c r="O337" s="13"/>
      <c r="P337" s="1" t="inlineStr">
        <is>
          <t>FINISHED</t>
        </is>
      </c>
      <c r="Q337" s="13"/>
      <c r="R337" s="13"/>
      <c r="S337" s="13"/>
      <c r="T337" s="13"/>
      <c r="U337" s="13"/>
      <c r="V337" s="13"/>
      <c r="W337" s="1" t="inlineStr">
        <is>
          <t>Mammals</t>
        </is>
      </c>
      <c r="X337" s="1" t="inlineStr">
        <is>
          <t>brain glucose metabolism</t>
        </is>
      </c>
      <c r="Y337" s="13"/>
      <c r="Z337" s="13"/>
      <c r="AA337" s="1"/>
      <c r="AB337" s="1" t="inlineStr">
        <is>
          <t>metabolic rate</t>
        </is>
      </c>
      <c r="AC337" s="13"/>
      <c r="AD337" s="13"/>
      <c r="AE337" s="1" t="inlineStr">
        <is>
          <t>secondary</t>
        </is>
      </c>
      <c r="AF337" s="1"/>
      <c r="AG337" s="13"/>
    </row>
    <row r="338" ht="17" customHeight="1">
      <c r="A338" s="1" t="inlineStr">
        <is>
          <t>Karbowski, J. (2007). Global and regional brain metabolic scaling and its functional consequences. BMC Biol, 5, 18. https://doi.org/10.1186/1741-7007-5-18</t>
        </is>
      </c>
      <c r="B338" s="13"/>
      <c r="C338" s="13"/>
      <c r="D338" s="1" t="inlineStr">
        <is>
          <t>Table S12</t>
        </is>
      </c>
      <c r="E338" s="10" t="str">
        <f>SUBSTITUTE(SUBSTITUTE(_xlfn.TEXTBEFORE(A338,","), "-", ""), " ", "")</f>
        <v>Karbowski</v>
      </c>
      <c r="F338" s="10"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8" s="10" t="str">
        <f>_xlfn.TEXTBEFORE(_xlfn.TEXTAFTER(A338, "("), ")")</f>
        <v>2007</v>
      </c>
      <c r="H338" s="10" t="str">
        <f>E338 &amp; IF(F338&lt;&gt;"", "_" &amp; SUBSTITUTE(F338," ",""), "_") &amp; IF(G338&lt;&gt;"", "_" &amp; G338, "_") &amp; IF(B338&lt;&gt;"", "_" &amp; B338, "")</f>
        <v>Karbowski__2007</v>
      </c>
      <c r="I338" s="10" t="str">
        <f>_xlfn.LET(
_xlpm.doi,IF(C338&lt;&gt;"",C338,_xlfn.TEXTAFTER(A338,"https://doi.org/")),
SUBSTITUTE(
SUBSTITUTE(
SUBSTITUTE(
SUBSTITUTE(
_xlpm.doi,
"/","%2F"),
":","%3A"),
"&lt;","%3C"),
"&gt;","%3E")
)</f>
        <v>10.1186%2F1741-7007-5-18</v>
      </c>
      <c r="J338" s="10" t="str">
        <f>TRIM(_xlfn.TEXTJOIN("_",FALSE(),H338,(SUBSTITUTE(SUBSTITUTE(D338," ",""), "_", ""))))</f>
        <v>Karbowski__2007_TableS12</v>
      </c>
      <c r="K338" s="10" t="str">
        <f>I338 &amp; "_" &amp; SUBSTITUTE(SUBSTITUTE(SUBSTITUTE(D338,CHAR(160),"")," ",""),"_","")</f>
        <v>10.1186%2F1741-7007-5-18_TableS12</v>
      </c>
      <c r="L338" s="10" t="str">
        <f t="array" ref="L338">IFERROR(INDEX(AUTO_Public_TSV_FileList!$A$1:$A$1000,MATCH(TRUE(),EXACT(K338,IFERROR(_xlfn.TEXTBEFORE(AUTO_Public_TSV_FileList!$A$1:$A$1000,".tsv"),"")),0)),"notfound")</f>
        <v>10.1186%2F1741-7007-5-18_TableS12.tsv</v>
      </c>
      <c r="M338" s="1" t="inlineStr">
        <is>
          <t>Table S12. Cerebral cortex average glucose utilization rate in mammals. Data for Fig. S1 in the Supplementary Information.</t>
        </is>
      </c>
      <c r="N338" s="1" t="inlineStr">
        <is>
          <t>table</t>
        </is>
      </c>
      <c r="O338" s="13"/>
      <c r="P338" s="1" t="inlineStr">
        <is>
          <t>FINISHED</t>
        </is>
      </c>
      <c r="Q338" s="13"/>
      <c r="R338" s="13"/>
      <c r="S338" s="13"/>
      <c r="T338" s="13"/>
      <c r="U338" s="13"/>
      <c r="V338" s="13"/>
      <c r="W338" s="1" t="inlineStr">
        <is>
          <t>Mammals</t>
        </is>
      </c>
      <c r="X338" s="1" t="inlineStr">
        <is>
          <t>brain glucose metabolism</t>
        </is>
      </c>
      <c r="Y338" s="13"/>
      <c r="Z338" s="13"/>
      <c r="AA338" s="1"/>
      <c r="AB338" s="1" t="inlineStr">
        <is>
          <t>metabolic rate</t>
        </is>
      </c>
      <c r="AC338" s="13"/>
      <c r="AD338" s="13"/>
      <c r="AE338" s="1" t="inlineStr">
        <is>
          <t>secondary</t>
        </is>
      </c>
      <c r="AF338" s="1"/>
      <c r="AG338" s="13"/>
    </row>
    <row r="339" ht="17" customHeight="1">
      <c r="A339" s="1" t="inlineStr">
        <is>
          <t>Karbowski, J. (2007). Global and regional brain metabolic scaling and its functional consequences. BMC Biol, 5, 18. https://doi.org/10.1186/1741-7007-5-18</t>
        </is>
      </c>
      <c r="B339" s="13"/>
      <c r="C339" s="13"/>
      <c r="D339" s="1" t="inlineStr">
        <is>
          <t>Table S13</t>
        </is>
      </c>
      <c r="E339" s="10" t="str">
        <f>SUBSTITUTE(SUBSTITUTE(_xlfn.TEXTBEFORE(A339,","), "-", ""), " ", "")</f>
        <v>Karbowski</v>
      </c>
      <c r="F339" s="10"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9" s="10" t="str">
        <f>_xlfn.TEXTBEFORE(_xlfn.TEXTAFTER(A339, "("), ")")</f>
        <v>2007</v>
      </c>
      <c r="H339" s="10" t="str">
        <f>E339 &amp; IF(F339&lt;&gt;"", "_" &amp; SUBSTITUTE(F339," ",""), "_") &amp; IF(G339&lt;&gt;"", "_" &amp; G339, "_") &amp; IF(B339&lt;&gt;"", "_" &amp; B339, "")</f>
        <v>Karbowski__2007</v>
      </c>
      <c r="I339" s="10" t="str">
        <f>_xlfn.LET(
_xlpm.doi,IF(C339&lt;&gt;"",C339,_xlfn.TEXTAFTER(A339,"https://doi.org/")),
SUBSTITUTE(
SUBSTITUTE(
SUBSTITUTE(
SUBSTITUTE(
_xlpm.doi,
"/","%2F"),
":","%3A"),
"&lt;","%3C"),
"&gt;","%3E")
)</f>
        <v>10.1186%2F1741-7007-5-18</v>
      </c>
      <c r="J339" s="10" t="str">
        <f>TRIM(_xlfn.TEXTJOIN("_",FALSE(),H339,(SUBSTITUTE(SUBSTITUTE(D339," ",""), "_", ""))))</f>
        <v>Karbowski__2007_TableS13</v>
      </c>
      <c r="K339" s="10" t="str">
        <f>I339 &amp; "_" &amp; SUBSTITUTE(SUBSTITUTE(SUBSTITUTE(D339,CHAR(160),"")," ",""),"_","")</f>
        <v>10.1186%2F1741-7007-5-18_TableS13</v>
      </c>
      <c r="L339" s="10" t="str">
        <f t="array" ref="L339">IFERROR(INDEX(AUTO_Public_TSV_FileList!$A$1:$A$1000,MATCH(TRUE(),EXACT(K339,IFERROR(_xlfn.TEXTBEFORE(AUTO_Public_TSV_FileList!$A$1:$A$1000,".tsv"),"")),0)),"notfound")</f>
        <v>10.1186%2F1741-7007-5-18_TableS13.tsv</v>
      </c>
      <c r="M339" s="1" t="inlineStr">
        <is>
          <t>Table S13. Thalamus glucose utilization rate in mammals.</t>
        </is>
      </c>
      <c r="N339" s="1" t="inlineStr">
        <is>
          <t>table</t>
        </is>
      </c>
      <c r="O339" s="13"/>
      <c r="P339" s="1" t="inlineStr">
        <is>
          <t>FINISHED</t>
        </is>
      </c>
      <c r="Q339" s="13"/>
      <c r="R339" s="13"/>
      <c r="S339" s="13"/>
      <c r="T339" s="13"/>
      <c r="U339" s="13"/>
      <c r="V339" s="13"/>
      <c r="W339" s="1" t="inlineStr">
        <is>
          <t>Mammals</t>
        </is>
      </c>
      <c r="X339" s="1" t="inlineStr">
        <is>
          <t>brain glucose metabolism</t>
        </is>
      </c>
      <c r="Y339" s="13"/>
      <c r="Z339" s="13"/>
      <c r="AA339" s="1"/>
      <c r="AB339" s="1" t="inlineStr">
        <is>
          <t>metabolic rate</t>
        </is>
      </c>
      <c r="AC339" s="13"/>
      <c r="AD339" s="13"/>
      <c r="AE339" s="1" t="inlineStr">
        <is>
          <t>secondary</t>
        </is>
      </c>
      <c r="AF339" s="1"/>
      <c r="AG339" s="13"/>
    </row>
    <row r="340" ht="17" customHeight="1">
      <c r="A340" s="1" t="inlineStr">
        <is>
          <t>Karbowski, J. (2007). Global and regional brain metabolic scaling and its functional consequences. BMC Biol, 5, 18. https://doi.org/10.1186/1741-7007-5-18</t>
        </is>
      </c>
      <c r="B340" s="13"/>
      <c r="C340" s="13"/>
      <c r="D340" s="1" t="inlineStr">
        <is>
          <t>Table S14</t>
        </is>
      </c>
      <c r="E340" s="10" t="str">
        <f>SUBSTITUTE(SUBSTITUTE(_xlfn.TEXTBEFORE(A340,","), "-", ""), " ", "")</f>
        <v>Karbowski</v>
      </c>
      <c r="F340" s="10"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0" s="10" t="str">
        <f>_xlfn.TEXTBEFORE(_xlfn.TEXTAFTER(A340, "("), ")")</f>
        <v>2007</v>
      </c>
      <c r="H340" s="10" t="str">
        <f>E340 &amp; IF(F340&lt;&gt;"", "_" &amp; SUBSTITUTE(F340," ",""), "_") &amp; IF(G340&lt;&gt;"", "_" &amp; G340, "_") &amp; IF(B340&lt;&gt;"", "_" &amp; B340, "")</f>
        <v>Karbowski__2007</v>
      </c>
      <c r="I340" s="10" t="str">
        <f>_xlfn.LET(
_xlpm.doi,IF(C340&lt;&gt;"",C340,_xlfn.TEXTAFTER(A340,"https://doi.org/")),
SUBSTITUTE(
SUBSTITUTE(
SUBSTITUTE(
SUBSTITUTE(
_xlpm.doi,
"/","%2F"),
":","%3A"),
"&lt;","%3C"),
"&gt;","%3E")
)</f>
        <v>10.1186%2F1741-7007-5-18</v>
      </c>
      <c r="J340" s="10" t="str">
        <f>TRIM(_xlfn.TEXTJOIN("_",FALSE(),H340,(SUBSTITUTE(SUBSTITUTE(D340," ",""), "_", ""))))</f>
        <v>Karbowski__2007_TableS14</v>
      </c>
      <c r="K340" s="10" t="str">
        <f>I340 &amp; "_" &amp; SUBSTITUTE(SUBSTITUTE(SUBSTITUTE(D340,CHAR(160),"")," ",""),"_","")</f>
        <v>10.1186%2F1741-7007-5-18_TableS14</v>
      </c>
      <c r="L340" s="10" t="str">
        <f t="array" ref="L340">IFERROR(INDEX(AUTO_Public_TSV_FileList!$A$1:$A$1000,MATCH(TRUE(),EXACT(K340,IFERROR(_xlfn.TEXTBEFORE(AUTO_Public_TSV_FileList!$A$1:$A$1000,".tsv"),"")),0)),"notfound")</f>
        <v>10.1186%2F1741-7007-5-18_TableS14.tsv</v>
      </c>
      <c r="M340" s="1" t="inlineStr">
        <is>
          <t>Table S14. Cerebellum glucose utilization rate in mammals.</t>
        </is>
      </c>
      <c r="N340" s="1" t="inlineStr">
        <is>
          <t>table</t>
        </is>
      </c>
      <c r="O340" s="13"/>
      <c r="P340" s="1" t="inlineStr">
        <is>
          <t>FINISHED</t>
        </is>
      </c>
      <c r="Q340" s="13"/>
      <c r="R340" s="13"/>
      <c r="S340" s="13"/>
      <c r="T340" s="13"/>
      <c r="U340" s="13"/>
      <c r="V340" s="13"/>
      <c r="W340" s="1" t="inlineStr">
        <is>
          <t>Mammals</t>
        </is>
      </c>
      <c r="X340" s="1" t="inlineStr">
        <is>
          <t>brain glucose metabolism</t>
        </is>
      </c>
      <c r="Y340" s="13"/>
      <c r="Z340" s="13"/>
      <c r="AA340" s="1"/>
      <c r="AB340" s="1" t="inlineStr">
        <is>
          <t>metabolic rate</t>
        </is>
      </c>
      <c r="AC340" s="13"/>
      <c r="AD340" s="13"/>
      <c r="AE340" s="1" t="inlineStr">
        <is>
          <t>secondary</t>
        </is>
      </c>
      <c r="AF340" s="1"/>
      <c r="AG340" s="13"/>
    </row>
    <row r="341" ht="17" customHeight="1">
      <c r="A341" s="1" t="inlineStr">
        <is>
          <t>Karbowski, J. (2007). Global and regional brain metabolic scaling and its functional consequences. BMC Biol, 5, 18. https://doi.org/10.1186/1741-7007-5-18</t>
        </is>
      </c>
      <c r="B341" s="13"/>
      <c r="C341" s="13"/>
      <c r="D341" s="1" t="inlineStr">
        <is>
          <t>Table S15</t>
        </is>
      </c>
      <c r="E341" s="10" t="str">
        <f>SUBSTITUTE(SUBSTITUTE(_xlfn.TEXTBEFORE(A341,","), "-", ""), " ", "")</f>
        <v>Karbowski</v>
      </c>
      <c r="F341" s="10"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1" s="10" t="str">
        <f>_xlfn.TEXTBEFORE(_xlfn.TEXTAFTER(A341, "("), ")")</f>
        <v>2007</v>
      </c>
      <c r="H341" s="10" t="str">
        <f>E341 &amp; IF(F341&lt;&gt;"", "_" &amp; SUBSTITUTE(F341," ",""), "_") &amp; IF(G341&lt;&gt;"", "_" &amp; G341, "_") &amp; IF(B341&lt;&gt;"", "_" &amp; B341, "")</f>
        <v>Karbowski__2007</v>
      </c>
      <c r="I341" s="10" t="str">
        <f>_xlfn.LET(
_xlpm.doi,IF(C341&lt;&gt;"",C341,_xlfn.TEXTAFTER(A341,"https://doi.org/")),
SUBSTITUTE(
SUBSTITUTE(
SUBSTITUTE(
SUBSTITUTE(
_xlpm.doi,
"/","%2F"),
":","%3A"),
"&lt;","%3C"),
"&gt;","%3E")
)</f>
        <v>10.1186%2F1741-7007-5-18</v>
      </c>
      <c r="J341" s="10" t="str">
        <f>TRIM(_xlfn.TEXTJOIN("_",FALSE(),H341,(SUBSTITUTE(SUBSTITUTE(D341," ",""), "_", ""))))</f>
        <v>Karbowski__2007_TableS15</v>
      </c>
      <c r="K341" s="10" t="str">
        <f>I341 &amp; "_" &amp; SUBSTITUTE(SUBSTITUTE(SUBSTITUTE(D341,CHAR(160),"")," ",""),"_","")</f>
        <v>10.1186%2F1741-7007-5-18_TableS15</v>
      </c>
      <c r="L341" s="10" t="str">
        <f t="array" ref="L341">IFERROR(INDEX(AUTO_Public_TSV_FileList!$A$1:$A$1000,MATCH(TRUE(),EXACT(K341,IFERROR(_xlfn.TEXTBEFORE(AUTO_Public_TSV_FileList!$A$1:$A$1000,".tsv"),"")),0)),"notfound")</f>
        <v>10.1186%2F1741-7007-5-18_TableS15.tsv</v>
      </c>
      <c r="M341" s="1" t="inlineStr">
        <is>
          <t>Table S15. Hypothalamus glucose utilization rate in mammals.</t>
        </is>
      </c>
      <c r="N341" s="1" t="inlineStr">
        <is>
          <t>table</t>
        </is>
      </c>
      <c r="O341" s="13"/>
      <c r="P341" s="1" t="inlineStr">
        <is>
          <t>FINISHED</t>
        </is>
      </c>
      <c r="Q341" s="13"/>
      <c r="R341" s="13"/>
      <c r="S341" s="13"/>
      <c r="T341" s="13"/>
      <c r="U341" s="13"/>
      <c r="V341" s="13"/>
      <c r="W341" s="1" t="inlineStr">
        <is>
          <t>Mammals</t>
        </is>
      </c>
      <c r="X341" s="1" t="inlineStr">
        <is>
          <t>brain glucose metabolism</t>
        </is>
      </c>
      <c r="Y341" s="13"/>
      <c r="Z341" s="13"/>
      <c r="AA341" s="1"/>
      <c r="AB341" s="1" t="inlineStr">
        <is>
          <t>metabolic rate</t>
        </is>
      </c>
      <c r="AC341" s="13"/>
      <c r="AD341" s="13"/>
      <c r="AE341" s="1" t="inlineStr">
        <is>
          <t>secondary</t>
        </is>
      </c>
      <c r="AF341" s="1"/>
      <c r="AG341" s="13"/>
    </row>
    <row r="342" ht="17" customHeight="1">
      <c r="A342" s="1" t="inlineStr">
        <is>
          <t>Karbowski, J. (2007). Global and regional brain metabolic scaling and its functional consequences. BMC Biol, 5, 18. https://doi.org/10.1186/1741-7007-5-18</t>
        </is>
      </c>
      <c r="B342" s="13"/>
      <c r="C342" s="13"/>
      <c r="D342" s="1" t="inlineStr">
        <is>
          <t>Table S16</t>
        </is>
      </c>
      <c r="E342" s="10" t="str">
        <f>SUBSTITUTE(SUBSTITUTE(_xlfn.TEXTBEFORE(A342,","), "-", ""), " ", "")</f>
        <v>Karbowski</v>
      </c>
      <c r="F342" s="10"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2" s="10" t="str">
        <f>_xlfn.TEXTBEFORE(_xlfn.TEXTAFTER(A342, "("), ")")</f>
        <v>2007</v>
      </c>
      <c r="H342" s="10" t="str">
        <f>E342 &amp; IF(F342&lt;&gt;"", "_" &amp; SUBSTITUTE(F342," ",""), "_") &amp; IF(G342&lt;&gt;"", "_" &amp; G342, "_") &amp; IF(B342&lt;&gt;"", "_" &amp; B342, "")</f>
        <v>Karbowski__2007</v>
      </c>
      <c r="I342" s="10" t="str">
        <f>_xlfn.LET(
_xlpm.doi,IF(C342&lt;&gt;"",C342,_xlfn.TEXTAFTER(A342,"https://doi.org/")),
SUBSTITUTE(
SUBSTITUTE(
SUBSTITUTE(
SUBSTITUTE(
_xlpm.doi,
"/","%2F"),
":","%3A"),
"&lt;","%3C"),
"&gt;","%3E")
)</f>
        <v>10.1186%2F1741-7007-5-18</v>
      </c>
      <c r="J342" s="10" t="str">
        <f>TRIM(_xlfn.TEXTJOIN("_",FALSE(),H342,(SUBSTITUTE(SUBSTITUTE(D342," ",""), "_", ""))))</f>
        <v>Karbowski__2007_TableS16</v>
      </c>
      <c r="K342" s="10" t="str">
        <f>I342 &amp; "_" &amp; SUBSTITUTE(SUBSTITUTE(SUBSTITUTE(D342,CHAR(160),"")," ",""),"_","")</f>
        <v>10.1186%2F1741-7007-5-18_TableS16</v>
      </c>
      <c r="L342" s="10" t="str">
        <f t="array" ref="L342">IFERROR(INDEX(AUTO_Public_TSV_FileList!$A$1:$A$1000,MATCH(TRUE(),EXACT(K342,IFERROR(_xlfn.TEXTBEFORE(AUTO_Public_TSV_FileList!$A$1:$A$1000,".tsv"),"")),0)),"notfound")</f>
        <v>10.1186%2F1741-7007-5-18_TableS16.tsv</v>
      </c>
      <c r="M342" s="1" t="inlineStr">
        <is>
          <t>Table S16. Hippocampus glucose utilization rate in mammals.</t>
        </is>
      </c>
      <c r="N342" s="1" t="inlineStr">
        <is>
          <t>table</t>
        </is>
      </c>
      <c r="O342" s="13"/>
      <c r="P342" s="1" t="inlineStr">
        <is>
          <t>FINISHED</t>
        </is>
      </c>
      <c r="Q342" s="13"/>
      <c r="R342" s="13"/>
      <c r="S342" s="13"/>
      <c r="T342" s="13"/>
      <c r="U342" s="13"/>
      <c r="V342" s="13"/>
      <c r="W342" s="1" t="inlineStr">
        <is>
          <t>Mammals</t>
        </is>
      </c>
      <c r="X342" s="1" t="inlineStr">
        <is>
          <t>brain glucose metabolism</t>
        </is>
      </c>
      <c r="Y342" s="13"/>
      <c r="Z342" s="13"/>
      <c r="AA342" s="1"/>
      <c r="AB342" s="1" t="inlineStr">
        <is>
          <t>metabolic rate</t>
        </is>
      </c>
      <c r="AC342" s="13"/>
      <c r="AD342" s="13"/>
      <c r="AE342" s="1" t="inlineStr">
        <is>
          <t>secondary</t>
        </is>
      </c>
      <c r="AF342" s="1"/>
      <c r="AG342" s="13"/>
    </row>
    <row r="343" ht="17" customHeight="1">
      <c r="A343" s="1" t="inlineStr">
        <is>
          <t>Karbowski, J. (2007). Global and regional brain metabolic scaling and its functional consequences. BMC Biol, 5, 18. https://doi.org/10.1186/1741-7007-5-18</t>
        </is>
      </c>
      <c r="B343" s="13"/>
      <c r="C343" s="13"/>
      <c r="D343" s="1" t="inlineStr">
        <is>
          <t>Table S17</t>
        </is>
      </c>
      <c r="E343" s="10" t="str">
        <f>SUBSTITUTE(SUBSTITUTE(_xlfn.TEXTBEFORE(A343,","), "-", ""), " ", "")</f>
        <v>Karbowski</v>
      </c>
      <c r="F343" s="10"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3" s="10" t="str">
        <f>_xlfn.TEXTBEFORE(_xlfn.TEXTAFTER(A343, "("), ")")</f>
        <v>2007</v>
      </c>
      <c r="H343" s="10" t="str">
        <f>E343 &amp; IF(F343&lt;&gt;"", "_" &amp; SUBSTITUTE(F343," ",""), "_") &amp; IF(G343&lt;&gt;"", "_" &amp; G343, "_") &amp; IF(B343&lt;&gt;"", "_" &amp; B343, "")</f>
        <v>Karbowski__2007</v>
      </c>
      <c r="I343" s="10" t="str">
        <f>_xlfn.LET(
_xlpm.doi,IF(C343&lt;&gt;"",C343,_xlfn.TEXTAFTER(A343,"https://doi.org/")),
SUBSTITUTE(
SUBSTITUTE(
SUBSTITUTE(
SUBSTITUTE(
_xlpm.doi,
"/","%2F"),
":","%3A"),
"&lt;","%3C"),
"&gt;","%3E")
)</f>
        <v>10.1186%2F1741-7007-5-18</v>
      </c>
      <c r="J343" s="10" t="str">
        <f>TRIM(_xlfn.TEXTJOIN("_",FALSE(),H343,(SUBSTITUTE(SUBSTITUTE(D343," ",""), "_", ""))))</f>
        <v>Karbowski__2007_TableS17</v>
      </c>
      <c r="K343" s="10" t="str">
        <f>I343 &amp; "_" &amp; SUBSTITUTE(SUBSTITUTE(SUBSTITUTE(D343,CHAR(160),"")," ",""),"_","")</f>
        <v>10.1186%2F1741-7007-5-18_TableS17</v>
      </c>
      <c r="L343" s="10" t="str">
        <f t="array" ref="L343">IFERROR(INDEX(AUTO_Public_TSV_FileList!$A$1:$A$1000,MATCH(TRUE(),EXACT(K343,IFERROR(_xlfn.TEXTBEFORE(AUTO_Public_TSV_FileList!$A$1:$A$1000,".tsv"),"")),0)),"notfound")</f>
        <v>10.1186%2F1741-7007-5-18_TableS17.tsv</v>
      </c>
      <c r="M343" s="1" t="inlineStr">
        <is>
          <t>Table S17. Amygdala glucose utilization rate in mammals.</t>
        </is>
      </c>
      <c r="N343" s="1" t="inlineStr">
        <is>
          <t>table</t>
        </is>
      </c>
      <c r="O343" s="13"/>
      <c r="P343" s="1" t="inlineStr">
        <is>
          <t>FINISHED</t>
        </is>
      </c>
      <c r="Q343" s="13"/>
      <c r="R343" s="13"/>
      <c r="S343" s="13"/>
      <c r="T343" s="13"/>
      <c r="U343" s="13"/>
      <c r="V343" s="13"/>
      <c r="W343" s="1" t="inlineStr">
        <is>
          <t>Mammals</t>
        </is>
      </c>
      <c r="X343" s="1" t="inlineStr">
        <is>
          <t>brain glucose metabolism</t>
        </is>
      </c>
      <c r="Y343" s="13"/>
      <c r="Z343" s="13"/>
      <c r="AA343" s="1"/>
      <c r="AB343" s="1" t="inlineStr">
        <is>
          <t>metabolic rate</t>
        </is>
      </c>
      <c r="AC343" s="13"/>
      <c r="AD343" s="13"/>
      <c r="AE343" s="1" t="inlineStr">
        <is>
          <t>secondary</t>
        </is>
      </c>
      <c r="AF343" s="1"/>
      <c r="AG343" s="13"/>
    </row>
    <row r="344" ht="17" customHeight="1">
      <c r="A344" s="1" t="inlineStr">
        <is>
          <t>Karbowski, J. (2007). Global and regional brain metabolic scaling and its functional consequences. BMC Biol, 5, 18. https://doi.org/10.1186/1741-7007-5-18</t>
        </is>
      </c>
      <c r="B344" s="13"/>
      <c r="C344" s="13"/>
      <c r="D344" s="1" t="inlineStr">
        <is>
          <t>Table S18</t>
        </is>
      </c>
      <c r="E344" s="10" t="str">
        <f>SUBSTITUTE(SUBSTITUTE(_xlfn.TEXTBEFORE(A344,","), "-", ""), " ", "")</f>
        <v>Karbowski</v>
      </c>
      <c r="F344" s="10"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4" s="10" t="str">
        <f>_xlfn.TEXTBEFORE(_xlfn.TEXTAFTER(A344, "("), ")")</f>
        <v>2007</v>
      </c>
      <c r="H344" s="10" t="str">
        <f>E344 &amp; IF(F344&lt;&gt;"", "_" &amp; SUBSTITUTE(F344," ",""), "_") &amp; IF(G344&lt;&gt;"", "_" &amp; G344, "_") &amp; IF(B344&lt;&gt;"", "_" &amp; B344, "")</f>
        <v>Karbowski__2007</v>
      </c>
      <c r="I344" s="10" t="str">
        <f>_xlfn.LET(
_xlpm.doi,IF(C344&lt;&gt;"",C344,_xlfn.TEXTAFTER(A344,"https://doi.org/")),
SUBSTITUTE(
SUBSTITUTE(
SUBSTITUTE(
SUBSTITUTE(
_xlpm.doi,
"/","%2F"),
":","%3A"),
"&lt;","%3C"),
"&gt;","%3E")
)</f>
        <v>10.1186%2F1741-7007-5-18</v>
      </c>
      <c r="J344" s="10" t="str">
        <f>TRIM(_xlfn.TEXTJOIN("_",FALSE(),H344,(SUBSTITUTE(SUBSTITUTE(D344," ",""), "_", ""))))</f>
        <v>Karbowski__2007_TableS18</v>
      </c>
      <c r="K344" s="10" t="str">
        <f>I344 &amp; "_" &amp; SUBSTITUTE(SUBSTITUTE(SUBSTITUTE(D344,CHAR(160),"")," ",""),"_","")</f>
        <v>10.1186%2F1741-7007-5-18_TableS18</v>
      </c>
      <c r="L344" s="10" t="str">
        <f t="array" ref="L344">IFERROR(INDEX(AUTO_Public_TSV_FileList!$A$1:$A$1000,MATCH(TRUE(),EXACT(K344,IFERROR(_xlfn.TEXTBEFORE(AUTO_Public_TSV_FileList!$A$1:$A$1000,".tsv"),"")),0)),"notfound")</f>
        <v>10.1186%2F1741-7007-5-18_TableS18.tsv</v>
      </c>
      <c r="M344" s="1" t="inlineStr">
        <is>
          <t>Table S18. Septum glucose utilization rate in mammals.</t>
        </is>
      </c>
      <c r="N344" s="1" t="inlineStr">
        <is>
          <t>table</t>
        </is>
      </c>
      <c r="O344" s="13"/>
      <c r="P344" s="1" t="inlineStr">
        <is>
          <t>FINISHED</t>
        </is>
      </c>
      <c r="Q344" s="13"/>
      <c r="R344" s="13"/>
      <c r="S344" s="13"/>
      <c r="T344" s="13"/>
      <c r="U344" s="13"/>
      <c r="V344" s="13"/>
      <c r="W344" s="1" t="inlineStr">
        <is>
          <t>Mammals</t>
        </is>
      </c>
      <c r="X344" s="1" t="inlineStr">
        <is>
          <t>brain glucose metabolism</t>
        </is>
      </c>
      <c r="Y344" s="13"/>
      <c r="Z344" s="13"/>
      <c r="AA344" s="1"/>
      <c r="AB344" s="1" t="inlineStr">
        <is>
          <t>metabolic rate</t>
        </is>
      </c>
      <c r="AC344" s="13"/>
      <c r="AD344" s="13"/>
      <c r="AE344" s="1" t="inlineStr">
        <is>
          <t>secondary</t>
        </is>
      </c>
      <c r="AF344" s="1"/>
      <c r="AG344" s="13"/>
    </row>
    <row r="345" ht="17" customHeight="1">
      <c r="A345" s="1" t="inlineStr">
        <is>
          <t>Karbowski, J. (2007). Global and regional brain metabolic scaling and its functional consequences. BMC Biol, 5, 18. https://doi.org/10.1186/1741-7007-5-18</t>
        </is>
      </c>
      <c r="B345" s="13"/>
      <c r="C345" s="13"/>
      <c r="D345" s="1" t="inlineStr">
        <is>
          <t>Table S19</t>
        </is>
      </c>
      <c r="E345" s="10" t="str">
        <f>SUBSTITUTE(SUBSTITUTE(_xlfn.TEXTBEFORE(A345,","), "-", ""), " ", "")</f>
        <v>Karbowski</v>
      </c>
      <c r="F345" s="10"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10" t="str">
        <f>_xlfn.TEXTBEFORE(_xlfn.TEXTAFTER(A345, "("), ")")</f>
        <v>2007</v>
      </c>
      <c r="H345" s="10" t="str">
        <f>E345 &amp; IF(F345&lt;&gt;"", "_" &amp; SUBSTITUTE(F345," ",""), "_") &amp; IF(G345&lt;&gt;"", "_" &amp; G345, "_") &amp; IF(B345&lt;&gt;"", "_" &amp; B345, "")</f>
        <v>Karbowski__2007</v>
      </c>
      <c r="I345" s="10" t="str">
        <f>_xlfn.LET(
_xlpm.doi,IF(C345&lt;&gt;"",C345,_xlfn.TEXTAFTER(A345,"https://doi.org/")),
SUBSTITUTE(
SUBSTITUTE(
SUBSTITUTE(
SUBSTITUTE(
_xlpm.doi,
"/","%2F"),
":","%3A"),
"&lt;","%3C"),
"&gt;","%3E")
)</f>
        <v>10.1186%2F1741-7007-5-18</v>
      </c>
      <c r="J345" s="10" t="str">
        <f>TRIM(_xlfn.TEXTJOIN("_",FALSE(),H345,(SUBSTITUTE(SUBSTITUTE(D345," ",""), "_", ""))))</f>
        <v>Karbowski__2007_TableS19</v>
      </c>
      <c r="K345" s="10" t="str">
        <f>I345 &amp; "_" &amp; SUBSTITUTE(SUBSTITUTE(SUBSTITUTE(D345,CHAR(160),"")," ",""),"_","")</f>
        <v>10.1186%2F1741-7007-5-18_TableS19</v>
      </c>
      <c r="L345" s="10" t="str">
        <f t="array" ref="L345">IFERROR(INDEX(AUTO_Public_TSV_FileList!$A$1:$A$1000,MATCH(TRUE(),EXACT(K345,IFERROR(_xlfn.TEXTBEFORE(AUTO_Public_TSV_FileList!$A$1:$A$1000,".tsv"),"")),0)),"notfound")</f>
        <v>10.1186%2F1741-7007-5-18_TableS19.tsv</v>
      </c>
      <c r="M345" s="1" t="inlineStr">
        <is>
          <t>Table S19. Caudate glucose utilization rate in mammals.</t>
        </is>
      </c>
      <c r="N345" s="1" t="inlineStr">
        <is>
          <t>table</t>
        </is>
      </c>
      <c r="O345" s="13"/>
      <c r="P345" s="1" t="inlineStr">
        <is>
          <t>FINISHED</t>
        </is>
      </c>
      <c r="Q345" s="13"/>
      <c r="R345" s="13"/>
      <c r="S345" s="13"/>
      <c r="T345" s="13"/>
      <c r="U345" s="13"/>
      <c r="V345" s="13"/>
      <c r="W345" s="1" t="inlineStr">
        <is>
          <t>Mammals</t>
        </is>
      </c>
      <c r="X345" s="1" t="inlineStr">
        <is>
          <t>brain glucose metabolism</t>
        </is>
      </c>
      <c r="Y345" s="13"/>
      <c r="Z345" s="13"/>
      <c r="AA345" s="1"/>
      <c r="AB345" s="1" t="inlineStr">
        <is>
          <t>metabolic rate</t>
        </is>
      </c>
      <c r="AC345" s="13"/>
      <c r="AD345" s="13"/>
      <c r="AE345" s="1" t="inlineStr">
        <is>
          <t>secondary</t>
        </is>
      </c>
      <c r="AF345" s="1"/>
      <c r="AG345" s="13"/>
    </row>
    <row r="346" ht="17" customHeight="1">
      <c r="A346" s="1" t="inlineStr">
        <is>
          <t>Karbowski, J. (2007). Global and regional brain metabolic scaling and its functional consequences. BMC Biol, 5, 18. https://doi.org/10.1186/1741-7007-5-18</t>
        </is>
      </c>
      <c r="B346" s="13"/>
      <c r="C346" s="13"/>
      <c r="D346" s="1" t="inlineStr">
        <is>
          <t>Table S2</t>
        </is>
      </c>
      <c r="E346" s="10" t="str">
        <f>SUBSTITUTE(SUBSTITUTE(_xlfn.TEXTBEFORE(A346,","), "-", ""), " ", "")</f>
        <v>Karbowski</v>
      </c>
      <c r="F346" s="10"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10" t="str">
        <f>_xlfn.TEXTBEFORE(_xlfn.TEXTAFTER(A346, "("), ")")</f>
        <v>2007</v>
      </c>
      <c r="H346" s="10" t="str">
        <f>E346 &amp; IF(F346&lt;&gt;"", "_" &amp; SUBSTITUTE(F346," ",""), "_") &amp; IF(G346&lt;&gt;"", "_" &amp; G346, "_") &amp; IF(B346&lt;&gt;"", "_" &amp; B346, "")</f>
        <v>Karbowski__2007</v>
      </c>
      <c r="I346" s="10" t="str">
        <f>_xlfn.LET(
_xlpm.doi,IF(C346&lt;&gt;"",C346,_xlfn.TEXTAFTER(A346,"https://doi.org/")),
SUBSTITUTE(
SUBSTITUTE(
SUBSTITUTE(
SUBSTITUTE(
_xlpm.doi,
"/","%2F"),
":","%3A"),
"&lt;","%3C"),
"&gt;","%3E")
)</f>
        <v>10.1186%2F1741-7007-5-18</v>
      </c>
      <c r="J346" s="10" t="str">
        <f>TRIM(_xlfn.TEXTJOIN("_",FALSE(),H346,(SUBSTITUTE(SUBSTITUTE(D346," ",""), "_", ""))))</f>
        <v>Karbowski__2007_TableS2</v>
      </c>
      <c r="K346" s="10" t="str">
        <f>I346 &amp; "_" &amp; SUBSTITUTE(SUBSTITUTE(SUBSTITUTE(D346,CHAR(160),"")," ",""),"_","")</f>
        <v>10.1186%2F1741-7007-5-18_TableS2</v>
      </c>
      <c r="L346" s="10" t="str">
        <f t="array" ref="L346">IFERROR(INDEX(AUTO_Public_TSV_FileList!$A$1:$A$1000,MATCH(TRUE(),EXACT(K346,IFERROR(_xlfn.TEXTBEFORE(AUTO_Public_TSV_FileList!$A$1:$A$1000,".tsv"),"")),0)),"notfound")</f>
        <v>10.1186%2F1741-7007-5-18_TableS2.tsv</v>
      </c>
      <c r="M346" s="1" t="inlineStr">
        <is>
          <t>Table S2. Brain glucose utilization data in adult awake unanesthetized animals.</t>
        </is>
      </c>
      <c r="N346" s="1" t="inlineStr">
        <is>
          <t>table</t>
        </is>
      </c>
      <c r="O346" s="13"/>
      <c r="P346" s="1" t="inlineStr">
        <is>
          <t>PLACEHOLDER</t>
        </is>
      </c>
      <c r="Q346" s="13"/>
      <c r="R346" s="13"/>
      <c r="S346" s="13"/>
      <c r="T346" s="13"/>
      <c r="U346" s="13"/>
      <c r="V346" s="13"/>
      <c r="W346" s="1" t="inlineStr">
        <is>
          <t>Mammals</t>
        </is>
      </c>
      <c r="X346" s="1" t="inlineStr">
        <is>
          <t>brain glucose metabolism</t>
        </is>
      </c>
      <c r="Y346" s="13"/>
      <c r="Z346" s="13"/>
      <c r="AA346" s="1"/>
      <c r="AB346" s="1" t="inlineStr">
        <is>
          <t>metabolic rate</t>
        </is>
      </c>
      <c r="AC346" s="13"/>
      <c r="AD346" s="13"/>
      <c r="AE346" s="1" t="inlineStr">
        <is>
          <t>secondary</t>
        </is>
      </c>
      <c r="AF346" s="1"/>
      <c r="AG346" s="13"/>
    </row>
    <row r="347" ht="17" customHeight="1">
      <c r="A347" s="1" t="inlineStr">
        <is>
          <t>Karbowski, J. (2007). Global and regional brain metabolic scaling and its functional consequences. BMC Biol, 5, 18. https://doi.org/10.1186/1741-7007-5-18</t>
        </is>
      </c>
      <c r="B347" s="13"/>
      <c r="C347" s="13"/>
      <c r="D347" s="1" t="inlineStr">
        <is>
          <t>Table S20</t>
        </is>
      </c>
      <c r="E347" s="10" t="str">
        <f>SUBSTITUTE(SUBSTITUTE(_xlfn.TEXTBEFORE(A347,","), "-", ""), " ", "")</f>
        <v>Karbowski</v>
      </c>
      <c r="F347" s="10"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10" t="str">
        <f>_xlfn.TEXTBEFORE(_xlfn.TEXTAFTER(A347, "("), ")")</f>
        <v>2007</v>
      </c>
      <c r="H347" s="10" t="str">
        <f>E347 &amp; IF(F347&lt;&gt;"", "_" &amp; SUBSTITUTE(F347," ",""), "_") &amp; IF(G347&lt;&gt;"", "_" &amp; G347, "_") &amp; IF(B347&lt;&gt;"", "_" &amp; B347, "")</f>
        <v>Karbowski__2007</v>
      </c>
      <c r="I347" s="10" t="str">
        <f>_xlfn.LET(
_xlpm.doi,IF(C347&lt;&gt;"",C347,_xlfn.TEXTAFTER(A347,"https://doi.org/")),
SUBSTITUTE(
SUBSTITUTE(
SUBSTITUTE(
SUBSTITUTE(
_xlpm.doi,
"/","%2F"),
":","%3A"),
"&lt;","%3C"),
"&gt;","%3E")
)</f>
        <v>10.1186%2F1741-7007-5-18</v>
      </c>
      <c r="J347" s="10" t="str">
        <f>TRIM(_xlfn.TEXTJOIN("_",FALSE(),H347,(SUBSTITUTE(SUBSTITUTE(D347," ",""), "_", ""))))</f>
        <v>Karbowski__2007_TableS20</v>
      </c>
      <c r="K347" s="10" t="str">
        <f>I347 &amp; "_" &amp; SUBSTITUTE(SUBSTITUTE(SUBSTITUTE(D347,CHAR(160),"")," ",""),"_","")</f>
        <v>10.1186%2F1741-7007-5-18_TableS20</v>
      </c>
      <c r="L347" s="10" t="str">
        <f t="array" ref="L347">IFERROR(INDEX(AUTO_Public_TSV_FileList!$A$1:$A$1000,MATCH(TRUE(),EXACT(K347,IFERROR(_xlfn.TEXTBEFORE(AUTO_Public_TSV_FileList!$A$1:$A$1000,".tsv"),"")),0)),"notfound")</f>
        <v>10.1186%2F1741-7007-5-18_TableS20.tsv</v>
      </c>
      <c r="M347" s="1" t="inlineStr">
        <is>
          <t>Table S20. Substantia nigra glucose utilization rate in mammals.</t>
        </is>
      </c>
      <c r="N347" s="1" t="inlineStr">
        <is>
          <t>table</t>
        </is>
      </c>
      <c r="O347" s="13"/>
      <c r="P347" s="1" t="inlineStr">
        <is>
          <t>FINISHED</t>
        </is>
      </c>
      <c r="Q347" s="13"/>
      <c r="R347" s="13"/>
      <c r="S347" s="13"/>
      <c r="T347" s="13"/>
      <c r="U347" s="13"/>
      <c r="V347" s="13"/>
      <c r="W347" s="1" t="inlineStr">
        <is>
          <t>Mammals</t>
        </is>
      </c>
      <c r="X347" s="1" t="inlineStr">
        <is>
          <t>brain glucose metabolism</t>
        </is>
      </c>
      <c r="Y347" s="13"/>
      <c r="Z347" s="13"/>
      <c r="AA347" s="1"/>
      <c r="AB347" s="1" t="inlineStr">
        <is>
          <t>metabolic rate</t>
        </is>
      </c>
      <c r="AC347" s="13"/>
      <c r="AD347" s="13"/>
      <c r="AE347" s="1" t="inlineStr">
        <is>
          <t>secondary</t>
        </is>
      </c>
      <c r="AF347" s="1"/>
      <c r="AG347" s="13"/>
    </row>
    <row r="348" ht="17" customHeight="1">
      <c r="A348" s="1" t="inlineStr">
        <is>
          <t>Karbowski, J. (2007). Global and regional brain metabolic scaling and its functional consequences. BMC Biol, 5, 18. https://doi.org/10.1186/1741-7007-5-18</t>
        </is>
      </c>
      <c r="B348" s="13"/>
      <c r="C348" s="13"/>
      <c r="D348" s="1" t="inlineStr">
        <is>
          <t>Table S21</t>
        </is>
      </c>
      <c r="E348" s="10" t="str">
        <f>SUBSTITUTE(SUBSTITUTE(_xlfn.TEXTBEFORE(A348,","), "-", ""), " ", "")</f>
        <v>Karbowski</v>
      </c>
      <c r="F348" s="10"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10" t="str">
        <f>_xlfn.TEXTBEFORE(_xlfn.TEXTAFTER(A348, "("), ")")</f>
        <v>2007</v>
      </c>
      <c r="H348" s="10" t="str">
        <f>E348 &amp; IF(F348&lt;&gt;"", "_" &amp; SUBSTITUTE(F348," ",""), "_") &amp; IF(G348&lt;&gt;"", "_" &amp; G348, "_") &amp; IF(B348&lt;&gt;"", "_" &amp; B348, "")</f>
        <v>Karbowski__2007</v>
      </c>
      <c r="I348" s="10" t="str">
        <f>_xlfn.LET(
_xlpm.doi,IF(C348&lt;&gt;"",C348,_xlfn.TEXTAFTER(A348,"https://doi.org/")),
SUBSTITUTE(
SUBSTITUTE(
SUBSTITUTE(
SUBSTITUTE(
_xlpm.doi,
"/","%2F"),
":","%3A"),
"&lt;","%3C"),
"&gt;","%3E")
)</f>
        <v>10.1186%2F1741-7007-5-18</v>
      </c>
      <c r="J348" s="10" t="str">
        <f>TRIM(_xlfn.TEXTJOIN("_",FALSE(),H348,(SUBSTITUTE(SUBSTITUTE(D348," ",""), "_", ""))))</f>
        <v>Karbowski__2007_TableS21</v>
      </c>
      <c r="K348" s="10" t="str">
        <f>I348 &amp; "_" &amp; SUBSTITUTE(SUBSTITUTE(SUBSTITUTE(D348,CHAR(160),"")," ",""),"_","")</f>
        <v>10.1186%2F1741-7007-5-18_TableS21</v>
      </c>
      <c r="L348" s="10" t="str">
        <f t="array" ref="L348">IFERROR(INDEX(AUTO_Public_TSV_FileList!$A$1:$A$1000,MATCH(TRUE(),EXACT(K348,IFERROR(_xlfn.TEXTBEFORE(AUTO_Public_TSV_FileList!$A$1:$A$1000,".tsv"),"")),0)),"notfound")</f>
        <v>10.1186%2F1741-7007-5-18_TableS21.tsv</v>
      </c>
      <c r="M348" s="1" t="inlineStr">
        <is>
          <t>Table S21. Globus pallidus glucose utilization rate in mammals.</t>
        </is>
      </c>
      <c r="N348" s="1" t="inlineStr">
        <is>
          <t>table</t>
        </is>
      </c>
      <c r="O348" s="13"/>
      <c r="P348" s="1" t="inlineStr">
        <is>
          <t>FINISHED</t>
        </is>
      </c>
      <c r="Q348" s="13"/>
      <c r="R348" s="13"/>
      <c r="S348" s="13"/>
      <c r="T348" s="13"/>
      <c r="U348" s="13"/>
      <c r="V348" s="13"/>
      <c r="W348" s="1" t="inlineStr">
        <is>
          <t>Mammals</t>
        </is>
      </c>
      <c r="X348" s="1" t="inlineStr">
        <is>
          <t>brain glucose metabolism</t>
        </is>
      </c>
      <c r="Y348" s="13"/>
      <c r="Z348" s="13"/>
      <c r="AA348" s="1"/>
      <c r="AB348" s="1" t="inlineStr">
        <is>
          <t>metabolic rate</t>
        </is>
      </c>
      <c r="AC348" s="13"/>
      <c r="AD348" s="13"/>
      <c r="AE348" s="1" t="inlineStr">
        <is>
          <t>secondary</t>
        </is>
      </c>
      <c r="AF348" s="1"/>
      <c r="AG348" s="13"/>
    </row>
    <row r="349" ht="17" customHeight="1">
      <c r="A349" s="1" t="inlineStr">
        <is>
          <t>Karbowski, J. (2007). Global and regional brain metabolic scaling and its functional consequences. BMC Biol, 5, 18. https://doi.org/10.1186/1741-7007-5-18</t>
        </is>
      </c>
      <c r="B349" s="13"/>
      <c r="C349" s="13"/>
      <c r="D349" s="1" t="inlineStr">
        <is>
          <t>Table S22</t>
        </is>
      </c>
      <c r="E349" s="10" t="str">
        <f>SUBSTITUTE(SUBSTITUTE(_xlfn.TEXTBEFORE(A349,","), "-", ""), " ", "")</f>
        <v>Karbowski</v>
      </c>
      <c r="F349" s="10"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10" t="str">
        <f>_xlfn.TEXTBEFORE(_xlfn.TEXTAFTER(A349, "("), ")")</f>
        <v>2007</v>
      </c>
      <c r="H349" s="10" t="str">
        <f>E349 &amp; IF(F349&lt;&gt;"", "_" &amp; SUBSTITUTE(F349," ",""), "_") &amp; IF(G349&lt;&gt;"", "_" &amp; G349, "_") &amp; IF(B349&lt;&gt;"", "_" &amp; B349, "")</f>
        <v>Karbowski__2007</v>
      </c>
      <c r="I349" s="10" t="str">
        <f>_xlfn.LET(
_xlpm.doi,IF(C349&lt;&gt;"",C349,_xlfn.TEXTAFTER(A349,"https://doi.org/")),
SUBSTITUTE(
SUBSTITUTE(
SUBSTITUTE(
SUBSTITUTE(
_xlpm.doi,
"/","%2F"),
":","%3A"),
"&lt;","%3C"),
"&gt;","%3E")
)</f>
        <v>10.1186%2F1741-7007-5-18</v>
      </c>
      <c r="J349" s="10" t="str">
        <f>TRIM(_xlfn.TEXTJOIN("_",FALSE(),H349,(SUBSTITUTE(SUBSTITUTE(D349," ",""), "_", ""))))</f>
        <v>Karbowski__2007_TableS22</v>
      </c>
      <c r="K349" s="10" t="str">
        <f>I349 &amp; "_" &amp; SUBSTITUTE(SUBSTITUTE(SUBSTITUTE(D349,CHAR(160),"")," ",""),"_","")</f>
        <v>10.1186%2F1741-7007-5-18_TableS22</v>
      </c>
      <c r="L349" s="10" t="str">
        <f t="array" ref="L349">IFERROR(INDEX(AUTO_Public_TSV_FileList!$A$1:$A$1000,MATCH(TRUE(),EXACT(K349,IFERROR(_xlfn.TEXTBEFORE(AUTO_Public_TSV_FileList!$A$1:$A$1000,".tsv"),"")),0)),"notfound")</f>
        <v>10.1186%2F1741-7007-5-18_TableS22.tsv</v>
      </c>
      <c r="M349" s="1" t="inlineStr">
        <is>
          <t>Table S22. Brainstem glucose utilization rate in mammals.</t>
        </is>
      </c>
      <c r="N349" s="1" t="inlineStr">
        <is>
          <t>table</t>
        </is>
      </c>
      <c r="O349" s="13"/>
      <c r="P349" s="1" t="inlineStr">
        <is>
          <t>FINISHED</t>
        </is>
      </c>
      <c r="Q349" s="13"/>
      <c r="R349" s="13"/>
      <c r="S349" s="13"/>
      <c r="T349" s="13"/>
      <c r="U349" s="13"/>
      <c r="V349" s="13"/>
      <c r="W349" s="1" t="inlineStr">
        <is>
          <t>Mammals</t>
        </is>
      </c>
      <c r="X349" s="1" t="inlineStr">
        <is>
          <t>brain glucose metabolism</t>
        </is>
      </c>
      <c r="Y349" s="13"/>
      <c r="Z349" s="13"/>
      <c r="AA349" s="1"/>
      <c r="AB349" s="1" t="inlineStr">
        <is>
          <t>metabolic rate</t>
        </is>
      </c>
      <c r="AC349" s="13"/>
      <c r="AD349" s="13"/>
      <c r="AE349" s="1" t="inlineStr">
        <is>
          <t>secondary</t>
        </is>
      </c>
      <c r="AF349" s="1"/>
      <c r="AG349" s="13"/>
    </row>
    <row r="350" ht="17" customHeight="1">
      <c r="A350" s="1" t="inlineStr">
        <is>
          <t>Karbowski, J. (2007). Global and regional brain metabolic scaling and its functional consequences. BMC Biol, 5, 18. https://doi.org/10.1186/1741-7007-5-18</t>
        </is>
      </c>
      <c r="B350" s="13"/>
      <c r="C350" s="13"/>
      <c r="D350" s="1" t="inlineStr">
        <is>
          <t>Table S23</t>
        </is>
      </c>
      <c r="E350" s="10" t="str">
        <f>SUBSTITUTE(SUBSTITUTE(_xlfn.TEXTBEFORE(A350,","), "-", ""), " ", "")</f>
        <v>Karbowski</v>
      </c>
      <c r="F350" s="10"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10" t="str">
        <f>_xlfn.TEXTBEFORE(_xlfn.TEXTAFTER(A350, "("), ")")</f>
        <v>2007</v>
      </c>
      <c r="H350" s="10" t="str">
        <f>E350 &amp; IF(F350&lt;&gt;"", "_" &amp; SUBSTITUTE(F350," ",""), "_") &amp; IF(G350&lt;&gt;"", "_" &amp; G350, "_") &amp; IF(B350&lt;&gt;"", "_" &amp; B350, "")</f>
        <v>Karbowski__2007</v>
      </c>
      <c r="I350" s="10" t="str">
        <f>_xlfn.LET(
_xlpm.doi,IF(C350&lt;&gt;"",C350,_xlfn.TEXTAFTER(A350,"https://doi.org/")),
SUBSTITUTE(
SUBSTITUTE(
SUBSTITUTE(
SUBSTITUTE(
_xlpm.doi,
"/","%2F"),
":","%3A"),
"&lt;","%3C"),
"&gt;","%3E")
)</f>
        <v>10.1186%2F1741-7007-5-18</v>
      </c>
      <c r="J350" s="10" t="str">
        <f>TRIM(_xlfn.TEXTJOIN("_",FALSE(),H350,(SUBSTITUTE(SUBSTITUTE(D350," ",""), "_", ""))))</f>
        <v>Karbowski__2007_TableS23</v>
      </c>
      <c r="K350" s="10" t="str">
        <f>I350 &amp; "_" &amp; SUBSTITUTE(SUBSTITUTE(SUBSTITUTE(D350,CHAR(160),"")," ",""),"_","")</f>
        <v>10.1186%2F1741-7007-5-18_TableS23</v>
      </c>
      <c r="L350" s="10" t="str">
        <f t="array" ref="L350">IFERROR(INDEX(AUTO_Public_TSV_FileList!$A$1:$A$1000,MATCH(TRUE(),EXACT(K350,IFERROR(_xlfn.TEXTBEFORE(AUTO_Public_TSV_FileList!$A$1:$A$1000,".tsv"),"")),0)),"notfound")</f>
        <v>10.1186%2F1741-7007-5-18_TableS23.tsv</v>
      </c>
      <c r="M350" s="1" t="inlineStr">
        <is>
          <t>Table S23. White matter glucose utilization rate in mammals.</t>
        </is>
      </c>
      <c r="N350" s="1" t="inlineStr">
        <is>
          <t>table</t>
        </is>
      </c>
      <c r="O350" s="13"/>
      <c r="P350" s="1" t="inlineStr">
        <is>
          <t>FINISHED</t>
        </is>
      </c>
      <c r="Q350" s="13"/>
      <c r="R350" s="13"/>
      <c r="S350" s="13"/>
      <c r="T350" s="13"/>
      <c r="U350" s="13"/>
      <c r="V350" s="13"/>
      <c r="W350" s="1" t="inlineStr">
        <is>
          <t>Mammals</t>
        </is>
      </c>
      <c r="X350" s="1" t="inlineStr">
        <is>
          <t>brain glucose metabolism</t>
        </is>
      </c>
      <c r="Y350" s="13"/>
      <c r="Z350" s="13"/>
      <c r="AA350" s="1"/>
      <c r="AB350" s="1" t="inlineStr">
        <is>
          <t>metabolic rate</t>
        </is>
      </c>
      <c r="AC350" s="13"/>
      <c r="AD350" s="13"/>
      <c r="AE350" s="1" t="inlineStr">
        <is>
          <t>secondary</t>
        </is>
      </c>
      <c r="AF350" s="1"/>
      <c r="AG350" s="13"/>
    </row>
    <row r="351" ht="17" customHeight="1">
      <c r="A351" s="1" t="inlineStr">
        <is>
          <t>Karbowski, J. (2007). Global and regional brain metabolic scaling and its functional consequences. BMC Biol, 5, 18. https://doi.org/10.1186/1741-7007-5-18</t>
        </is>
      </c>
      <c r="B351" s="13"/>
      <c r="C351" s="13"/>
      <c r="D351" s="1" t="inlineStr">
        <is>
          <t>Table S3</t>
        </is>
      </c>
      <c r="E351" s="10" t="str">
        <f>SUBSTITUTE(SUBSTITUTE(_xlfn.TEXTBEFORE(A351,","), "-", ""), " ", "")</f>
        <v>Karbowski</v>
      </c>
      <c r="F351" s="10"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10" t="str">
        <f>_xlfn.TEXTBEFORE(_xlfn.TEXTAFTER(A351, "("), ")")</f>
        <v>2007</v>
      </c>
      <c r="H351" s="10" t="str">
        <f>E351 &amp; IF(F351&lt;&gt;"", "_" &amp; SUBSTITUTE(F351," ",""), "_") &amp; IF(G351&lt;&gt;"", "_" &amp; G351, "_") &amp; IF(B351&lt;&gt;"", "_" &amp; B351, "")</f>
        <v>Karbowski__2007</v>
      </c>
      <c r="I351" s="10" t="str">
        <f>_xlfn.LET(
_xlpm.doi,IF(C351&lt;&gt;"",C351,_xlfn.TEXTAFTER(A351,"https://doi.org/")),
SUBSTITUTE(
SUBSTITUTE(
SUBSTITUTE(
SUBSTITUTE(
_xlpm.doi,
"/","%2F"),
":","%3A"),
"&lt;","%3C"),
"&gt;","%3E")
)</f>
        <v>10.1186%2F1741-7007-5-18</v>
      </c>
      <c r="J351" s="10" t="str">
        <f>TRIM(_xlfn.TEXTJOIN("_",FALSE(),H351,(SUBSTITUTE(SUBSTITUTE(D351," ",""), "_", ""))))</f>
        <v>Karbowski__2007_TableS3</v>
      </c>
      <c r="K351" s="10" t="str">
        <f>I351 &amp; "_" &amp; SUBSTITUTE(SUBSTITUTE(SUBSTITUTE(D351,CHAR(160),"")," ",""),"_","")</f>
        <v>10.1186%2F1741-7007-5-18_TableS3</v>
      </c>
      <c r="L351" s="10" t="str">
        <f t="array" ref="L351">IFERROR(INDEX(AUTO_Public_TSV_FileList!$A$1:$A$1000,MATCH(TRUE(),EXACT(K351,IFERROR(_xlfn.TEXTBEFORE(AUTO_Public_TSV_FileList!$A$1:$A$1000,".tsv"),"")),0)),"notfound")</f>
        <v>10.1186%2F1741-7007-5-18_TableS3.tsv</v>
      </c>
      <c r="M351" s="1" t="inlineStr">
        <is>
          <t>Table S3. Visual cortex glucose utilization rate in mammals.</t>
        </is>
      </c>
      <c r="N351" s="1" t="inlineStr">
        <is>
          <t>table</t>
        </is>
      </c>
      <c r="O351" s="13"/>
      <c r="P351" s="1" t="inlineStr">
        <is>
          <t>FINISHED</t>
        </is>
      </c>
      <c r="Q351" s="13"/>
      <c r="R351" s="13"/>
      <c r="S351" s="13"/>
      <c r="T351" s="13"/>
      <c r="U351" s="13"/>
      <c r="V351" s="13"/>
      <c r="W351" s="1" t="inlineStr">
        <is>
          <t>Mammals</t>
        </is>
      </c>
      <c r="X351" s="1" t="inlineStr">
        <is>
          <t>brain glucose metabolism</t>
        </is>
      </c>
      <c r="Y351" s="13"/>
      <c r="Z351" s="13"/>
      <c r="AA351" s="1"/>
      <c r="AB351" s="1" t="inlineStr">
        <is>
          <t>metabolic rate</t>
        </is>
      </c>
      <c r="AC351" s="13"/>
      <c r="AD351" s="13"/>
      <c r="AE351" s="1" t="inlineStr">
        <is>
          <t>secondary</t>
        </is>
      </c>
      <c r="AF351" s="1"/>
      <c r="AG351" s="13"/>
    </row>
    <row r="352" ht="17" customHeight="1">
      <c r="A352" s="1" t="inlineStr">
        <is>
          <t>Karbowski, J. (2007). Global and regional brain metabolic scaling and its functional consequences. BMC Biol, 5, 18. https://doi.org/10.1186/1741-7007-5-18</t>
        </is>
      </c>
      <c r="B352" s="13"/>
      <c r="C352" s="13"/>
      <c r="D352" s="1" t="inlineStr">
        <is>
          <t>Table S4</t>
        </is>
      </c>
      <c r="E352" s="10" t="str">
        <f>SUBSTITUTE(SUBSTITUTE(_xlfn.TEXTBEFORE(A352,","), "-", ""), " ", "")</f>
        <v>Karbowski</v>
      </c>
      <c r="F352" s="10"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10" t="str">
        <f>_xlfn.TEXTBEFORE(_xlfn.TEXTAFTER(A352, "("), ")")</f>
        <v>2007</v>
      </c>
      <c r="H352" s="10" t="str">
        <f>E352 &amp; IF(F352&lt;&gt;"", "_" &amp; SUBSTITUTE(F352," ",""), "_") &amp; IF(G352&lt;&gt;"", "_" &amp; G352, "_") &amp; IF(B352&lt;&gt;"", "_" &amp; B352, "")</f>
        <v>Karbowski__2007</v>
      </c>
      <c r="I352" s="10" t="str">
        <f>_xlfn.LET(
_xlpm.doi,IF(C352&lt;&gt;"",C352,_xlfn.TEXTAFTER(A352,"https://doi.org/")),
SUBSTITUTE(
SUBSTITUTE(
SUBSTITUTE(
SUBSTITUTE(
_xlpm.doi,
"/","%2F"),
":","%3A"),
"&lt;","%3C"),
"&gt;","%3E")
)</f>
        <v>10.1186%2F1741-7007-5-18</v>
      </c>
      <c r="J352" s="10" t="str">
        <f>TRIM(_xlfn.TEXTJOIN("_",FALSE(),H352,(SUBSTITUTE(SUBSTITUTE(D352," ",""), "_", ""))))</f>
        <v>Karbowski__2007_TableS4</v>
      </c>
      <c r="K352" s="10" t="str">
        <f>I352 &amp; "_" &amp; SUBSTITUTE(SUBSTITUTE(SUBSTITUTE(D352,CHAR(160),"")," ",""),"_","")</f>
        <v>10.1186%2F1741-7007-5-18_TableS4</v>
      </c>
      <c r="L352" s="10" t="str">
        <f t="array" ref="L352">IFERROR(INDEX(AUTO_Public_TSV_FileList!$A$1:$A$1000,MATCH(TRUE(),EXACT(K352,IFERROR(_xlfn.TEXTBEFORE(AUTO_Public_TSV_FileList!$A$1:$A$1000,".tsv"),"")),0)),"notfound")</f>
        <v>10.1186%2F1741-7007-5-18_TableS4.tsv</v>
      </c>
      <c r="M352" s="1" t="inlineStr">
        <is>
          <t>Table S4. Prefrontal cortex glucose utilization rate in mammals.</t>
        </is>
      </c>
      <c r="N352" s="1" t="inlineStr">
        <is>
          <t>table</t>
        </is>
      </c>
      <c r="O352" s="13"/>
      <c r="P352" s="1" t="inlineStr">
        <is>
          <t>FINISHED</t>
        </is>
      </c>
      <c r="Q352" s="13"/>
      <c r="R352" s="13"/>
      <c r="S352" s="13"/>
      <c r="T352" s="13"/>
      <c r="U352" s="13"/>
      <c r="V352" s="13"/>
      <c r="W352" s="1" t="inlineStr">
        <is>
          <t>Mammals</t>
        </is>
      </c>
      <c r="X352" s="1" t="inlineStr">
        <is>
          <t>brain glucose metabolism</t>
        </is>
      </c>
      <c r="Y352" s="13"/>
      <c r="Z352" s="13"/>
      <c r="AA352" s="1"/>
      <c r="AB352" s="1" t="inlineStr">
        <is>
          <t>metabolic rate</t>
        </is>
      </c>
      <c r="AC352" s="13"/>
      <c r="AD352" s="13"/>
      <c r="AE352" s="1" t="inlineStr">
        <is>
          <t>secondary</t>
        </is>
      </c>
      <c r="AF352" s="1"/>
      <c r="AG352" s="13"/>
    </row>
    <row r="353" ht="17" customHeight="1">
      <c r="A353" s="1" t="inlineStr">
        <is>
          <t>Karbowski, J. (2007). Global and regional brain metabolic scaling and its functional consequences. BMC Biol, 5, 18. https://doi.org/10.1186/1741-7007-5-18</t>
        </is>
      </c>
      <c r="B353" s="13"/>
      <c r="C353" s="13"/>
      <c r="D353" s="1" t="inlineStr">
        <is>
          <t>Table S5</t>
        </is>
      </c>
      <c r="E353" s="10" t="str">
        <f>SUBSTITUTE(SUBSTITUTE(_xlfn.TEXTBEFORE(A353,","), "-", ""), " ", "")</f>
        <v>Karbowski</v>
      </c>
      <c r="F353" s="10"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10" t="str">
        <f>_xlfn.TEXTBEFORE(_xlfn.TEXTAFTER(A353, "("), ")")</f>
        <v>2007</v>
      </c>
      <c r="H353" s="10" t="str">
        <f>E353 &amp; IF(F353&lt;&gt;"", "_" &amp; SUBSTITUTE(F353," ",""), "_") &amp; IF(G353&lt;&gt;"", "_" &amp; G353, "_") &amp; IF(B353&lt;&gt;"", "_" &amp; B353, "")</f>
        <v>Karbowski__2007</v>
      </c>
      <c r="I353" s="10" t="str">
        <f>_xlfn.LET(
_xlpm.doi,IF(C353&lt;&gt;"",C353,_xlfn.TEXTAFTER(A353,"https://doi.org/")),
SUBSTITUTE(
SUBSTITUTE(
SUBSTITUTE(
SUBSTITUTE(
_xlpm.doi,
"/","%2F"),
":","%3A"),
"&lt;","%3C"),
"&gt;","%3E")
)</f>
        <v>10.1186%2F1741-7007-5-18</v>
      </c>
      <c r="J353" s="10" t="str">
        <f>TRIM(_xlfn.TEXTJOIN("_",FALSE(),H353,(SUBSTITUTE(SUBSTITUTE(D353," ",""), "_", ""))))</f>
        <v>Karbowski__2007_TableS5</v>
      </c>
      <c r="K353" s="10" t="str">
        <f>I353 &amp; "_" &amp; SUBSTITUTE(SUBSTITUTE(SUBSTITUTE(D353,CHAR(160),"")," ",""),"_","")</f>
        <v>10.1186%2F1741-7007-5-18_TableS5</v>
      </c>
      <c r="L353" s="10" t="str">
        <f t="array" ref="L353">IFERROR(INDEX(AUTO_Public_TSV_FileList!$A$1:$A$1000,MATCH(TRUE(),EXACT(K353,IFERROR(_xlfn.TEXTBEFORE(AUTO_Public_TSV_FileList!$A$1:$A$1000,".tsv"),"")),0)),"notfound")</f>
        <v>10.1186%2F1741-7007-5-18_TableS5.tsv</v>
      </c>
      <c r="M353" s="1" t="inlineStr">
        <is>
          <t>Table S5. Frontal cortex glucose utilization rate in mammals.</t>
        </is>
      </c>
      <c r="N353" s="1" t="inlineStr">
        <is>
          <t>table</t>
        </is>
      </c>
      <c r="O353" s="13"/>
      <c r="P353" s="1" t="inlineStr">
        <is>
          <t>FINISHED</t>
        </is>
      </c>
      <c r="Q353" s="13"/>
      <c r="R353" s="13"/>
      <c r="S353" s="13"/>
      <c r="T353" s="13"/>
      <c r="U353" s="13"/>
      <c r="V353" s="13"/>
      <c r="W353" s="1" t="inlineStr">
        <is>
          <t>Mammals</t>
        </is>
      </c>
      <c r="X353" s="1" t="inlineStr">
        <is>
          <t>brain glucose metabolism</t>
        </is>
      </c>
      <c r="Y353" s="13"/>
      <c r="Z353" s="13"/>
      <c r="AA353" s="1"/>
      <c r="AB353" s="1" t="inlineStr">
        <is>
          <t>metabolic rate</t>
        </is>
      </c>
      <c r="AC353" s="13"/>
      <c r="AD353" s="13"/>
      <c r="AE353" s="1" t="inlineStr">
        <is>
          <t>secondary</t>
        </is>
      </c>
      <c r="AF353" s="1"/>
      <c r="AG353" s="13"/>
    </row>
    <row r="354" ht="17" customHeight="1">
      <c r="A354" s="1" t="inlineStr">
        <is>
          <t>Karbowski, J. (2007). Global and regional brain metabolic scaling and its functional consequences. BMC Biol, 5, 18. https://doi.org/10.1186/1741-7007-5-18</t>
        </is>
      </c>
      <c r="B354" s="13"/>
      <c r="C354" s="13"/>
      <c r="D354" s="1" t="inlineStr">
        <is>
          <t>Table S6</t>
        </is>
      </c>
      <c r="E354" s="10" t="str">
        <f>SUBSTITUTE(SUBSTITUTE(_xlfn.TEXTBEFORE(A354,","), "-", ""), " ", "")</f>
        <v>Karbowski</v>
      </c>
      <c r="F354" s="10"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4" s="10" t="str">
        <f>_xlfn.TEXTBEFORE(_xlfn.TEXTAFTER(A354, "("), ")")</f>
        <v>2007</v>
      </c>
      <c r="H354" s="10" t="str">
        <f>E354 &amp; IF(F354&lt;&gt;"", "_" &amp; SUBSTITUTE(F354," ",""), "_") &amp; IF(G354&lt;&gt;"", "_" &amp; G354, "_") &amp; IF(B354&lt;&gt;"", "_" &amp; B354, "")</f>
        <v>Karbowski__2007</v>
      </c>
      <c r="I354" s="10" t="str">
        <f>_xlfn.LET(
_xlpm.doi,IF(C354&lt;&gt;"",C354,_xlfn.TEXTAFTER(A354,"https://doi.org/")),
SUBSTITUTE(
SUBSTITUTE(
SUBSTITUTE(
SUBSTITUTE(
_xlpm.doi,
"/","%2F"),
":","%3A"),
"&lt;","%3C"),
"&gt;","%3E")
)</f>
        <v>10.1186%2F1741-7007-5-18</v>
      </c>
      <c r="J354" s="10" t="str">
        <f>TRIM(_xlfn.TEXTJOIN("_",FALSE(),H354,(SUBSTITUTE(SUBSTITUTE(D354," ",""), "_", ""))))</f>
        <v>Karbowski__2007_TableS6</v>
      </c>
      <c r="K354" s="10" t="str">
        <f>I354 &amp; "_" &amp; SUBSTITUTE(SUBSTITUTE(SUBSTITUTE(D354,CHAR(160),"")," ",""),"_","")</f>
        <v>10.1186%2F1741-7007-5-18_TableS6</v>
      </c>
      <c r="L354" s="10" t="str">
        <f t="array" ref="L354">IFERROR(INDEX(AUTO_Public_TSV_FileList!$A$1:$A$1000,MATCH(TRUE(),EXACT(K354,IFERROR(_xlfn.TEXTBEFORE(AUTO_Public_TSV_FileList!$A$1:$A$1000,".tsv"),"")),0)),"notfound")</f>
        <v>10.1186%2F1741-7007-5-18_TableS6.tsv</v>
      </c>
      <c r="M354" s="1" t="inlineStr">
        <is>
          <t>Table S6. Cingulate cortex glucose utilization rate in mammals.</t>
        </is>
      </c>
      <c r="N354" s="1" t="inlineStr">
        <is>
          <t>table</t>
        </is>
      </c>
      <c r="O354" s="13"/>
      <c r="P354" s="1" t="inlineStr">
        <is>
          <t>FINISHED</t>
        </is>
      </c>
      <c r="Q354" s="13"/>
      <c r="R354" s="13"/>
      <c r="S354" s="13"/>
      <c r="T354" s="13"/>
      <c r="U354" s="13"/>
      <c r="V354" s="13"/>
      <c r="W354" s="1" t="inlineStr">
        <is>
          <t>Mammals</t>
        </is>
      </c>
      <c r="X354" s="1" t="inlineStr">
        <is>
          <t>brain glucose metabolism</t>
        </is>
      </c>
      <c r="Y354" s="13"/>
      <c r="Z354" s="13"/>
      <c r="AA354" s="1"/>
      <c r="AB354" s="1" t="inlineStr">
        <is>
          <t>metabolic rate</t>
        </is>
      </c>
      <c r="AC354" s="13"/>
      <c r="AD354" s="13"/>
      <c r="AE354" s="1" t="inlineStr">
        <is>
          <t>secondary</t>
        </is>
      </c>
      <c r="AF354" s="1"/>
      <c r="AG354" s="13"/>
    </row>
    <row r="355" ht="17" customHeight="1">
      <c r="A355" s="1" t="inlineStr">
        <is>
          <t>Karbowski, J. (2007). Global and regional brain metabolic scaling and its functional consequences. BMC Biol, 5, 18. https://doi.org/10.1186/1741-7007-5-18</t>
        </is>
      </c>
      <c r="B355" s="13"/>
      <c r="C355" s="13"/>
      <c r="D355" s="1" t="inlineStr">
        <is>
          <t>Table S7</t>
        </is>
      </c>
      <c r="E355" s="10" t="str">
        <f>SUBSTITUTE(SUBSTITUTE(_xlfn.TEXTBEFORE(A355,","), "-", ""), " ", "")</f>
        <v>Karbowski</v>
      </c>
      <c r="F355" s="1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5" s="10" t="str">
        <f>_xlfn.TEXTBEFORE(_xlfn.TEXTAFTER(A355, "("), ")")</f>
        <v>2007</v>
      </c>
      <c r="H355" s="10" t="str">
        <f>E355 &amp; IF(F355&lt;&gt;"", "_" &amp; SUBSTITUTE(F355," ",""), "_") &amp; IF(G355&lt;&gt;"", "_" &amp; G355, "_") &amp; IF(B355&lt;&gt;"", "_" &amp; B355, "")</f>
        <v>Karbowski__2007</v>
      </c>
      <c r="I355" s="10" t="str">
        <f>_xlfn.LET(
_xlpm.doi,IF(C355&lt;&gt;"",C355,_xlfn.TEXTAFTER(A355,"https://doi.org/")),
SUBSTITUTE(
SUBSTITUTE(
SUBSTITUTE(
SUBSTITUTE(
_xlpm.doi,
"/","%2F"),
":","%3A"),
"&lt;","%3C"),
"&gt;","%3E")
)</f>
        <v>10.1186%2F1741-7007-5-18</v>
      </c>
      <c r="J355" s="10" t="str">
        <f>TRIM(_xlfn.TEXTJOIN("_",FALSE(),H355,(SUBSTITUTE(SUBSTITUTE(D355," ",""), "_", ""))))</f>
        <v>Karbowski__2007_TableS7</v>
      </c>
      <c r="K355" s="10" t="str">
        <f>I355 &amp; "_" &amp; SUBSTITUTE(SUBSTITUTE(SUBSTITUTE(D355,CHAR(160),"")," ",""),"_","")</f>
        <v>10.1186%2F1741-7007-5-18_TableS7</v>
      </c>
      <c r="L355" s="10" t="str">
        <f t="array" ref="L355">IFERROR(INDEX(AUTO_Public_TSV_FileList!$A$1:$A$1000,MATCH(TRUE(),EXACT(K355,IFERROR(_xlfn.TEXTBEFORE(AUTO_Public_TSV_FileList!$A$1:$A$1000,".tsv"),"")),0)),"notfound")</f>
        <v>10.1186%2F1741-7007-5-18_TableS7.tsv</v>
      </c>
      <c r="M355" s="1" t="inlineStr">
        <is>
          <t>Table S7. Temporal cortex glucose utilization rate in mammals.</t>
        </is>
      </c>
      <c r="N355" s="1" t="inlineStr">
        <is>
          <t>table</t>
        </is>
      </c>
      <c r="O355" s="13"/>
      <c r="P355" s="1" t="inlineStr">
        <is>
          <t>FINISHED</t>
        </is>
      </c>
      <c r="Q355" s="13"/>
      <c r="R355" s="13"/>
      <c r="S355" s="13"/>
      <c r="T355" s="13"/>
      <c r="U355" s="13"/>
      <c r="V355" s="13"/>
      <c r="W355" s="1" t="inlineStr">
        <is>
          <t>Mammals</t>
        </is>
      </c>
      <c r="X355" s="1" t="inlineStr">
        <is>
          <t>brain glucose metabolism</t>
        </is>
      </c>
      <c r="Y355" s="13"/>
      <c r="Z355" s="13"/>
      <c r="AA355" s="1"/>
      <c r="AB355" s="1" t="inlineStr">
        <is>
          <t>metabolic rate</t>
        </is>
      </c>
      <c r="AC355" s="13"/>
      <c r="AD355" s="13"/>
      <c r="AE355" s="1" t="inlineStr">
        <is>
          <t>secondary</t>
        </is>
      </c>
      <c r="AF355" s="1"/>
      <c r="AG355" s="13"/>
    </row>
    <row r="356" ht="17" customHeight="1">
      <c r="A356" s="1" t="inlineStr">
        <is>
          <t>Karbowski, J. (2007). Global and regional brain metabolic scaling and its functional consequences. BMC Biol, 5, 18. https://doi.org/10.1186/1741-7007-5-18</t>
        </is>
      </c>
      <c r="B356" s="13"/>
      <c r="C356" s="13"/>
      <c r="D356" s="1" t="inlineStr">
        <is>
          <t>Table S8</t>
        </is>
      </c>
      <c r="E356" s="10" t="str">
        <f>SUBSTITUTE(SUBSTITUTE(_xlfn.TEXTBEFORE(A356,","), "-", ""), " ", "")</f>
        <v>Karbowski</v>
      </c>
      <c r="F356" s="1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10" t="str">
        <f>_xlfn.TEXTBEFORE(_xlfn.TEXTAFTER(A356, "("), ")")</f>
        <v>2007</v>
      </c>
      <c r="H356" s="10" t="str">
        <f>E356 &amp; IF(F356&lt;&gt;"", "_" &amp; SUBSTITUTE(F356," ",""), "_") &amp; IF(G356&lt;&gt;"", "_" &amp; G356, "_") &amp; IF(B356&lt;&gt;"", "_" &amp; B356, "")</f>
        <v>Karbowski__2007</v>
      </c>
      <c r="I356" s="10" t="str">
        <f>_xlfn.LET(
_xlpm.doi,IF(C356&lt;&gt;"",C356,_xlfn.TEXTAFTER(A356,"https://doi.org/")),
SUBSTITUTE(
SUBSTITUTE(
SUBSTITUTE(
SUBSTITUTE(
_xlpm.doi,
"/","%2F"),
":","%3A"),
"&lt;","%3C"),
"&gt;","%3E")
)</f>
        <v>10.1186%2F1741-7007-5-18</v>
      </c>
      <c r="J356" s="10" t="str">
        <f>TRIM(_xlfn.TEXTJOIN("_",FALSE(),H356,(SUBSTITUTE(SUBSTITUTE(D356," ",""), "_", ""))))</f>
        <v>Karbowski__2007_TableS8</v>
      </c>
      <c r="K356" s="10" t="str">
        <f>I356 &amp; "_" &amp; SUBSTITUTE(SUBSTITUTE(SUBSTITUTE(D356,CHAR(160),"")," ",""),"_","")</f>
        <v>10.1186%2F1741-7007-5-18_TableS8</v>
      </c>
      <c r="L356" s="10" t="str">
        <f t="array" ref="L356">IFERROR(INDEX(AUTO_Public_TSV_FileList!$A$1:$A$1000,MATCH(TRUE(),EXACT(K356,IFERROR(_xlfn.TEXTBEFORE(AUTO_Public_TSV_FileList!$A$1:$A$1000,".tsv"),"")),0)),"notfound")</f>
        <v>10.1186%2F1741-7007-5-18_TableS8.tsv</v>
      </c>
      <c r="M356" s="1" t="inlineStr">
        <is>
          <t>Table S8. Sensorimotor cortex glucose utilization rate in mammals.</t>
        </is>
      </c>
      <c r="N356" s="1" t="inlineStr">
        <is>
          <t>table</t>
        </is>
      </c>
      <c r="O356" s="13"/>
      <c r="P356" s="1" t="inlineStr">
        <is>
          <t>FINISHED</t>
        </is>
      </c>
      <c r="Q356" s="13"/>
      <c r="R356" s="13"/>
      <c r="S356" s="13"/>
      <c r="T356" s="13"/>
      <c r="U356" s="13"/>
      <c r="V356" s="13"/>
      <c r="W356" s="1" t="inlineStr">
        <is>
          <t>Mammals</t>
        </is>
      </c>
      <c r="X356" s="1" t="inlineStr">
        <is>
          <t>brain glucose metabolism</t>
        </is>
      </c>
      <c r="Y356" s="13"/>
      <c r="Z356" s="13"/>
      <c r="AA356" s="1"/>
      <c r="AB356" s="1" t="inlineStr">
        <is>
          <t>metabolic rate</t>
        </is>
      </c>
      <c r="AC356" s="13"/>
      <c r="AD356" s="13"/>
      <c r="AE356" s="1" t="inlineStr">
        <is>
          <t>secondary</t>
        </is>
      </c>
      <c r="AF356" s="1"/>
      <c r="AG356" s="13"/>
    </row>
    <row r="357" ht="17" customHeight="1">
      <c r="A357" s="1" t="inlineStr">
        <is>
          <t>Karbowski, J. (2007). Global and regional brain metabolic scaling and its functional consequences. BMC Biol, 5, 18. https://doi.org/10.1186/1741-7007-5-18</t>
        </is>
      </c>
      <c r="B357" s="13"/>
      <c r="C357" s="13"/>
      <c r="D357" s="1" t="inlineStr">
        <is>
          <t>Table S9</t>
        </is>
      </c>
      <c r="E357" s="10" t="str">
        <f>SUBSTITUTE(SUBSTITUTE(_xlfn.TEXTBEFORE(A357,","), "-", ""), " ", "")</f>
        <v>Karbowski</v>
      </c>
      <c r="F357" s="1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7" s="10" t="str">
        <f>_xlfn.TEXTBEFORE(_xlfn.TEXTAFTER(A357, "("), ")")</f>
        <v>2007</v>
      </c>
      <c r="H357" s="10" t="str">
        <f>E357 &amp; IF(F357&lt;&gt;"", "_" &amp; SUBSTITUTE(F357," ",""), "_") &amp; IF(G357&lt;&gt;"", "_" &amp; G357, "_") &amp; IF(B357&lt;&gt;"", "_" &amp; B357, "")</f>
        <v>Karbowski__2007</v>
      </c>
      <c r="I357" s="10" t="str">
        <f>_xlfn.LET(
_xlpm.doi,IF(C357&lt;&gt;"",C357,_xlfn.TEXTAFTER(A357,"https://doi.org/")),
SUBSTITUTE(
SUBSTITUTE(
SUBSTITUTE(
SUBSTITUTE(
_xlpm.doi,
"/","%2F"),
":","%3A"),
"&lt;","%3C"),
"&gt;","%3E")
)</f>
        <v>10.1186%2F1741-7007-5-18</v>
      </c>
      <c r="J357" s="10" t="str">
        <f>TRIM(_xlfn.TEXTJOIN("_",FALSE(),H357,(SUBSTITUTE(SUBSTITUTE(D357," ",""), "_", ""))))</f>
        <v>Karbowski__2007_TableS9</v>
      </c>
      <c r="K357" s="10" t="str">
        <f>I357 &amp; "_" &amp; SUBSTITUTE(SUBSTITUTE(SUBSTITUTE(D357,CHAR(160),"")," ",""),"_","")</f>
        <v>10.1186%2F1741-7007-5-18_TableS9</v>
      </c>
      <c r="L357" s="10" t="str">
        <f t="array" ref="L357">IFERROR(INDEX(AUTO_Public_TSV_FileList!$A$1:$A$1000,MATCH(TRUE(),EXACT(K357,IFERROR(_xlfn.TEXTBEFORE(AUTO_Public_TSV_FileList!$A$1:$A$1000,".tsv"),"")),0)),"notfound")</f>
        <v>10.1186%2F1741-7007-5-18_TableS9.tsv</v>
      </c>
      <c r="M357" s="1" t="inlineStr">
        <is>
          <t>Table S9. Occipital cortex glucose utilization rate in mammals.</t>
        </is>
      </c>
      <c r="N357" s="1" t="inlineStr">
        <is>
          <t>table</t>
        </is>
      </c>
      <c r="O357" s="13"/>
      <c r="P357" s="1" t="inlineStr">
        <is>
          <t>FINISHED</t>
        </is>
      </c>
      <c r="Q357" s="13"/>
      <c r="R357" s="13"/>
      <c r="S357" s="13"/>
      <c r="T357" s="13"/>
      <c r="U357" s="13"/>
      <c r="V357" s="13"/>
      <c r="W357" s="1" t="inlineStr">
        <is>
          <t>Mammals</t>
        </is>
      </c>
      <c r="X357" s="1" t="inlineStr">
        <is>
          <t>brain glucose metabolism</t>
        </is>
      </c>
      <c r="Y357" s="13"/>
      <c r="Z357" s="13"/>
      <c r="AA357" s="1"/>
      <c r="AB357" s="1" t="inlineStr">
        <is>
          <t>metabolic rate</t>
        </is>
      </c>
      <c r="AC357" s="13"/>
      <c r="AD357" s="13"/>
      <c r="AE357" s="1" t="inlineStr">
        <is>
          <t>secondary</t>
        </is>
      </c>
      <c r="AF357" s="1"/>
      <c r="AG357" s="13"/>
    </row>
    <row r="358" ht="17" customHeight="1">
      <c r="A358" s="1" t="inlineStr">
        <is>
          <t>Karl, M. T., Kim, Y. D., Rajendran, K., Manger, P. R., &amp; Sherwood, C. C. (2024). Invariance of Mitochondria and Synapses in the Primary Visual Cortex of Mammals Provides Insight Into Energetics and Function. J Comp Neurol, 532(9), e25669. https://doi.org/10.1002/cne.25669</t>
        </is>
      </c>
      <c r="B358" s="13"/>
      <c r="C358" s="13"/>
      <c r="D358" s="1" t="inlineStr">
        <is>
          <t>TABLE 1</t>
        </is>
      </c>
      <c r="E358" s="10" t="str">
        <f>SUBSTITUTE(SUBSTITUTE(_xlfn.TEXTBEFORE(A358,","), "-", ""), " ", "")</f>
        <v>Karl</v>
      </c>
      <c r="F358" s="10"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10" t="str">
        <f>_xlfn.TEXTBEFORE(_xlfn.TEXTAFTER(A358, "("), ")")</f>
        <v>2024</v>
      </c>
      <c r="H358" s="10" t="str">
        <f>E358 &amp; IF(F358&lt;&gt;"", "_" &amp; SUBSTITUTE(F358," ",""), "_") &amp; IF(G358&lt;&gt;"", "_" &amp; G358, "_") &amp; IF(B358&lt;&gt;"", "_" &amp; B358, "")</f>
        <v>Karl_etal_2024</v>
      </c>
      <c r="I358" s="10" t="str">
        <f>_xlfn.LET(
_xlpm.doi,IF(C358&lt;&gt;"",C358,_xlfn.TEXTAFTER(A358,"https://doi.org/")),
SUBSTITUTE(
SUBSTITUTE(
SUBSTITUTE(
SUBSTITUTE(
_xlpm.doi,
"/","%2F"),
":","%3A"),
"&lt;","%3C"),
"&gt;","%3E")
)</f>
        <v>10.1002%2Fcne.25669</v>
      </c>
      <c r="J358" s="10" t="str">
        <f>TRIM(_xlfn.TEXTJOIN("_",FALSE(),H358,(SUBSTITUTE(SUBSTITUTE(D358," ",""), "_", ""))))</f>
        <v>Karl_etal_2024_TABLE1</v>
      </c>
      <c r="K358" s="10" t="str">
        <f>I358 &amp; "_" &amp; SUBSTITUTE(SUBSTITUTE(SUBSTITUTE(D358,CHAR(160),"")," ",""),"_","")</f>
        <v>10.1002%2Fcne.25669_TABLE1</v>
      </c>
      <c r="L358" s="10" t="str">
        <f t="array" ref="L358">IFERROR(INDEX(AUTO_Public_TSV_FileList!$A$1:$A$1000,MATCH(TRUE(),EXACT(K358,IFERROR(_xlfn.TEXTBEFORE(AUTO_Public_TSV_FileList!$A$1:$A$1000,".tsv"),"")),0)),"notfound")</f>
        <v>10.1002%2Fcne.25669_TABLE1.tsv</v>
      </c>
      <c r="M358" s="1" t="inlineStr">
        <is>
          <t>TABLE 1 Dataset used in this study.</t>
        </is>
      </c>
      <c r="N358" s="1" t="inlineStr">
        <is>
          <t>table</t>
        </is>
      </c>
      <c r="O358" s="13"/>
      <c r="P358" s="1" t="inlineStr">
        <is>
          <t>FINISHED</t>
        </is>
      </c>
      <c r="Q358" s="13"/>
      <c r="R358" s="13"/>
      <c r="S358" s="13"/>
      <c r="T358" s="13"/>
      <c r="U358" s="13"/>
      <c r="V358" s="13"/>
      <c r="W358" s="1" t="inlineStr">
        <is>
          <t>Mammals</t>
        </is>
      </c>
      <c r="X358" s="1" t="inlineStr">
        <is>
          <t>synapse density</t>
        </is>
      </c>
      <c r="Y358" s="13"/>
      <c r="Z358" s="13"/>
      <c r="AA358" s="13"/>
      <c r="AB358" s="1" t="inlineStr">
        <is>
          <t>synapse density</t>
        </is>
      </c>
      <c r="AC358" s="13"/>
      <c r="AD358" s="13"/>
      <c r="AE358" s="1" t="inlineStr">
        <is>
          <t>primary</t>
        </is>
      </c>
      <c r="AF358" s="1"/>
      <c r="AG358" s="13"/>
    </row>
    <row r="359" ht="17" customHeight="1">
      <c r="A359" s="13" t="inlineStr">
        <is>
          <t>Karlsen, A. S., &amp; Pakkenberg, B. (2011). Total numbers of neurons and glial cells in cortex and basal ganglia of aged brains with Down syndrome. Cerebral Cortex, 21(11), 2519-2524. https://doi.org/10.1093/cercor/bhr033</t>
        </is>
      </c>
      <c r="B359" s="13"/>
      <c r="C359" s="13"/>
      <c r="D359" s="13" t="inlineStr">
        <is>
          <t>authordata (group means)</t>
        </is>
      </c>
      <c r="E359" s="11" t="str">
        <f>SUBSTITUTE(SUBSTITUTE(_xlfn.TEXTBEFORE(A359,","), "-", ""), " ", "")</f>
        <v>Karlsen</v>
      </c>
      <c r="F359" s="11"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9" s="11" t="str">
        <f>_xlfn.TEXTBEFORE(_xlfn.TEXTAFTER(A359, "("), ")")</f>
        <v>2011</v>
      </c>
      <c r="H359" s="11" t="str">
        <f>E359 &amp; IF(F359&lt;&gt;"", "_" &amp; SUBSTITUTE(F359," ",""), "_") &amp; IF(G359&lt;&gt;"", "_" &amp; G359, "_") &amp; IF(B359&lt;&gt;"", "_" &amp; B359, "")</f>
        <v>Karlsen__2011</v>
      </c>
      <c r="I359" s="11" t="str">
        <f>_xlfn.LET(
_xlpm.doi,IF(C359&lt;&gt;"",C359,_xlfn.TEXTAFTER(A359,"https://doi.org/")),
SUBSTITUTE(
SUBSTITUTE(
SUBSTITUTE(
SUBSTITUTE(
_xlpm.doi,
"/","%2F"),
":","%3A"),
"&lt;","%3C"),
"&gt;","%3E")
)</f>
        <v>10.1093%2Fcercor%2Fbhr033</v>
      </c>
      <c r="J359" s="11" t="str">
        <f>TRIM(_xlfn.TEXTJOIN("_",FALSE(),H359,(SUBSTITUTE(SUBSTITUTE(D359," ",""), "_", ""))))</f>
        <v>Karlsen__2011_authordata(groupmeans)</v>
      </c>
      <c r="K359" s="11" t="str">
        <f>I359 &amp; "_" &amp; SUBSTITUTE(SUBSTITUTE(SUBSTITUTE(D359,CHAR(160),""), " ", ""), "_", "")</f>
        <v>10.1093%2Fcercor%2Fbhr033_authordata(groupmeans)</v>
      </c>
      <c r="L359" s="10" t="str">
        <f t="array" ref="L359">IFERROR(INDEX(AUTO_Public_TSV_FileList!$A$1:$A$1000,MATCH(TRUE(),EXACT(K359,IFERROR(_xlfn.TEXTBEFORE(AUTO_Public_TSV_FileList!$A$1:$A$1000,".tsv"),"")),0)),"notfound")</f>
        <v>10.1093%2Fcercor%2Fbhr033_authordata(groupmeans).tsv</v>
      </c>
      <c r="M359" s="13" t="inlineStr">
        <is>
          <t>Neocortical neuron &amp; glia-subtype counts/densities (group means)</t>
        </is>
      </c>
      <c r="N359" s="13" t="inlineStr">
        <is>
          <t>author-provided (personal communication)</t>
        </is>
      </c>
      <c r="O359" s="13"/>
      <c r="P359" s="13" t="inlineStr">
        <is>
          <t>FINISHED</t>
        </is>
      </c>
      <c r="Q359" s="13" t="inlineStr">
        <is>
          <t>(restricted raw workbooks - ____Unpublished__Karlsen_Pakkenberg_2011)</t>
        </is>
      </c>
      <c r="R359" s="13"/>
      <c r="S359" s="13"/>
      <c r="T359" s="13"/>
      <c r="U359" s="13"/>
      <c r="V359" s="13"/>
      <c r="W359" s="13" t="inlineStr">
        <is>
          <t>Humans</t>
        </is>
      </c>
      <c r="X359" s="13"/>
      <c r="Y359" s="13"/>
      <c r="Z359" s="13" t="inlineStr">
        <is>
          <t>neocortical neuron &amp; glia-subtype counts/densities</t>
        </is>
      </c>
      <c r="AA359" s="13" t="inlineStr">
        <is>
          <t>stereology (optical disector)</t>
        </is>
      </c>
      <c r="AB359" s="13" t="inlineStr">
        <is>
          <t>cell count &amp; density</t>
        </is>
      </c>
      <c r="AC359" s="13" t="inlineStr">
        <is>
          <t>Pakkenberg</t>
        </is>
      </c>
      <c r="AD359" s="13"/>
      <c r="AE359" s="13" t="inlineStr">
        <is>
          <t>primary</t>
        </is>
      </c>
      <c r="AF359" s="13"/>
      <c r="AG359" s="13"/>
    </row>
    <row r="360" ht="17" customHeight="1">
      <c r="A360" s="13" t="inlineStr">
        <is>
          <t>Karlsen, A. S., &amp; Pakkenberg, B. (2011). Total numbers of neurons and glial cells in cortex and basal ganglia of aged brains with Down syndrome. Cerebral Cortex, 21(11), 2519-2524. https://doi.org/10.1093/cercor/bhr033</t>
        </is>
      </c>
      <c r="B360" s="13"/>
      <c r="C360" s="13"/>
      <c r="D360" s="13" t="inlineStr">
        <is>
          <t>reported values</t>
        </is>
      </c>
      <c r="E360" s="11" t="str">
        <f>SUBSTITUTE(SUBSTITUTE(_xlfn.TEXTBEFORE(A360,","), "-", ""), " ", "")</f>
        <v>Karlsen</v>
      </c>
      <c r="F360" s="11"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0" s="11" t="str">
        <f>_xlfn.TEXTBEFORE(_xlfn.TEXTAFTER(A360, "("), ")")</f>
        <v>2011</v>
      </c>
      <c r="H360" s="11" t="str">
        <f>E360 &amp; IF(F360&lt;&gt;"", "_" &amp; SUBSTITUTE(F360," ",""), "_") &amp; IF(G360&lt;&gt;"", "_" &amp; G360, "_") &amp; IF(B360&lt;&gt;"", "_" &amp; B360, "")</f>
        <v>Karlsen__2011</v>
      </c>
      <c r="I360" s="11" t="str">
        <f>_xlfn.LET(
_xlpm.doi,IF(C360&lt;&gt;"",C360,_xlfn.TEXTAFTER(A360,"https://doi.org/")),
SUBSTITUTE(
SUBSTITUTE(
SUBSTITUTE(
SUBSTITUTE(
_xlpm.doi,
"/","%2F"),
":","%3A"),
"&lt;","%3C"),
"&gt;","%3E")
)</f>
        <v>10.1093%2Fcercor%2Fbhr033</v>
      </c>
      <c r="J360" s="11" t="str">
        <f>TRIM(_xlfn.TEXTJOIN("_",FALSE(),H360,(SUBSTITUTE(SUBSTITUTE(D360," ",""), "_", ""))))</f>
        <v>Karlsen__2011_reportedvalues</v>
      </c>
      <c r="K360" s="11" t="str">
        <f>I360 &amp; "_" &amp; SUBSTITUTE(SUBSTITUTE(SUBSTITUTE(D360,CHAR(160),""), " ", ""), "_", "")</f>
        <v>10.1093%2Fcercor%2Fbhr033_reportedvalues</v>
      </c>
      <c r="L360" s="10" t="str">
        <f t="array" ref="L360">IFERROR(INDEX(AUTO_Public_TSV_FileList!$A$1:$A$1000,MATCH(TRUE(),EXACT(K360,IFERROR(_xlfn.TEXTBEFORE(AUTO_Public_TSV_FileList!$A$1:$A$1000,".tsv"),"")),0)),"notfound")</f>
        <v>10.1093%2Fcercor%2Fbhr033_reportedvalues.tsv</v>
      </c>
      <c r="M360" s="13" t="inlineStr">
        <is>
          <t>Published Results-text values incl. BASAL GANGLIA cell numbers/densities</t>
        </is>
      </c>
      <c r="N360" s="13" t="inlineStr">
        <is>
          <t>table (published text)</t>
        </is>
      </c>
      <c r="O360" s="13"/>
      <c r="P360" s="13" t="inlineStr">
        <is>
          <t>FINISHED</t>
        </is>
      </c>
      <c r="Q360" s="13" t="inlineStr">
        <is>
          <t>Karlsen_Pakkenberg_2011_reported_values_snapshot.csv</t>
        </is>
      </c>
      <c r="R360" s="13"/>
      <c r="S360" s="13"/>
      <c r="T360" s="13"/>
      <c r="U360" s="13"/>
      <c r="V360" s="13"/>
      <c r="W360" s="13" t="inlineStr">
        <is>
          <t>Humans</t>
        </is>
      </c>
      <c r="X360" s="13"/>
      <c r="Y360" s="13"/>
      <c r="Z360" s="13" t="inlineStr">
        <is>
          <t>basal-ganglia &amp; cortical cell numbers/densities</t>
        </is>
      </c>
      <c r="AA360" s="13" t="inlineStr">
        <is>
          <t>stereology (optical disector)</t>
        </is>
      </c>
      <c r="AB360" s="13" t="inlineStr">
        <is>
          <t>cell count &amp; density</t>
        </is>
      </c>
      <c r="AC360" s="13" t="inlineStr">
        <is>
          <t>Pakkenberg</t>
        </is>
      </c>
      <c r="AD360" s="13"/>
      <c r="AE360" s="13" t="inlineStr">
        <is>
          <t>primary</t>
        </is>
      </c>
      <c r="AF360" s="13"/>
      <c r="AG360" s="13"/>
    </row>
    <row r="361" ht="17" customHeight="1">
      <c r="A361" s="13" t="inlineStr">
        <is>
          <t>Karlsen, A. S., &amp; Pakkenberg, B. (2011). Total numbers of neurons and glial cells in cortex and basal ganglia of aged brains with Down syndrome. Cerebral Cortex, 21(11), 2519-2524. https://doi.org/10.1093/cercor/bhr033</t>
        </is>
      </c>
      <c r="B361" s="13"/>
      <c r="C361" s="13"/>
      <c r="D361" s="13" t="inlineStr">
        <is>
          <t>Table 2</t>
        </is>
      </c>
      <c r="E361" s="11" t="str">
        <f>SUBSTITUTE(SUBSTITUTE(_xlfn.TEXTBEFORE(A361,","), "-", ""), " ", "")</f>
        <v>Karlsen</v>
      </c>
      <c r="F361" s="11"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1" s="11" t="str">
        <f>_xlfn.TEXTBEFORE(_xlfn.TEXTAFTER(A361, "("), ")")</f>
        <v>2011</v>
      </c>
      <c r="H361" s="11" t="str">
        <f>E361 &amp; IF(F361&lt;&gt;"", "_" &amp; SUBSTITUTE(F361," ",""), "_") &amp; IF(G361&lt;&gt;"", "_" &amp; G361, "_") &amp; IF(B361&lt;&gt;"", "_" &amp; B361, "")</f>
        <v>Karlsen__2011</v>
      </c>
      <c r="I361" s="11" t="str">
        <f>_xlfn.LET(
_xlpm.doi,IF(C361&lt;&gt;"",C361,_xlfn.TEXTAFTER(A361,"https://doi.org/")),
SUBSTITUTE(
SUBSTITUTE(
SUBSTITUTE(
SUBSTITUTE(
_xlpm.doi,
"/","%2F"),
":","%3A"),
"&lt;","%3C"),
"&gt;","%3E")
)</f>
        <v>10.1093%2Fcercor%2Fbhr033</v>
      </c>
      <c r="J361" s="11" t="str">
        <f>TRIM(_xlfn.TEXTJOIN("_",FALSE(),H361,(SUBSTITUTE(SUBSTITUTE(D361," ",""), "_", ""))))</f>
        <v>Karlsen__2011_Table2</v>
      </c>
      <c r="K361" s="11" t="str">
        <f>I361 &amp; "_" &amp; SUBSTITUTE(SUBSTITUTE(SUBSTITUTE(D361,CHAR(160),""), " ", ""), "_", "")</f>
        <v>10.1093%2Fcercor%2Fbhr033_Table2</v>
      </c>
      <c r="L361" s="10" t="str">
        <f t="array" ref="L361">IFERROR(INDEX(AUTO_Public_TSV_FileList!$A$1:$A$1000,MATCH(TRUE(),EXACT(K361,IFERROR(_xlfn.TEXTBEFORE(AUTO_Public_TSV_FileList!$A$1:$A$1000,".tsv"),"")),0)),"notfound")</f>
        <v>10.1093%2Fcercor%2Fbhr033_Table2.tsv</v>
      </c>
      <c r="M361" s="13" t="inlineStr">
        <is>
          <t>Neocortical volumes/surface/thickness (Control vs DS)</t>
        </is>
      </c>
      <c r="N361" s="13" t="inlineStr">
        <is>
          <t>table (published)</t>
        </is>
      </c>
      <c r="O361" s="13"/>
      <c r="P361" s="13" t="inlineStr">
        <is>
          <t>FINISHED</t>
        </is>
      </c>
      <c r="Q361" s="13" t="inlineStr">
        <is>
          <t>Karlsen_Pakkenberg_2011_Table2_snapshot.csv</t>
        </is>
      </c>
      <c r="R361" s="13"/>
      <c r="S361" s="13"/>
      <c r="T361" s="13"/>
      <c r="U361" s="13"/>
      <c r="V361" s="13"/>
      <c r="W361" s="13" t="inlineStr">
        <is>
          <t>Humans</t>
        </is>
      </c>
      <c r="X361" s="13"/>
      <c r="Y361" s="13"/>
      <c r="Z361" s="13" t="inlineStr">
        <is>
          <t>neocortical volume/surface/thickness</t>
        </is>
      </c>
      <c r="AA361" s="13" t="inlineStr">
        <is>
          <t>stereology (Cavalieri)</t>
        </is>
      </c>
      <c r="AB361" s="13" t="inlineStr">
        <is>
          <t>volume</t>
        </is>
      </c>
      <c r="AC361" s="13" t="inlineStr">
        <is>
          <t>Pakkenberg</t>
        </is>
      </c>
      <c r="AD361" s="13"/>
      <c r="AE361" s="13" t="inlineStr">
        <is>
          <t>primary</t>
        </is>
      </c>
      <c r="AF361" s="13"/>
      <c r="AG361" s="13"/>
    </row>
    <row r="362" ht="17" customHeight="1">
      <c r="A362" s="13" t="inlineStr">
        <is>
          <t>Kaskan, P. M., Franco, E. C., Yamada, E. S., Silveira, L. C., Darlington, R. B., &amp; Finlay, B. L. (2005). Peripheral variability and central constancy in mammalian visual system evolution. Proc Biol Sci, 272(1558), 91-100. https://doi.org/10.1098/rspb.2004.2925</t>
        </is>
      </c>
      <c r="B362" s="13"/>
      <c r="C362" s="13"/>
      <c r="D362" s="13" t="inlineStr">
        <is>
          <t>Figure 2</t>
        </is>
      </c>
      <c r="E362" s="10" t="str">
        <f>SUBSTITUTE(SUBSTITUTE(_xlfn.TEXTBEFORE(A362,","), "-", ""), " ", "")</f>
        <v>Kaskan</v>
      </c>
      <c r="F362" s="10"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0" t="str">
        <f>_xlfn.TEXTBEFORE(_xlfn.TEXTAFTER(A362, "("), ")")</f>
        <v>2005</v>
      </c>
      <c r="H362" s="10" t="str">
        <f>E362 &amp; IF(F362&lt;&gt;"", "_" &amp; SUBSTITUTE(F362," ",""), "_") &amp; IF(G362&lt;&gt;"", "_" &amp; G362, "_") &amp; IF(B362&lt;&gt;"", "_" &amp; B362, "")</f>
        <v>Kaskan_etal_2005</v>
      </c>
      <c r="I362" s="10" t="str">
        <f>_xlfn.LET(
_xlpm.doi,IF(C362&lt;&gt;"",C362,_xlfn.TEXTAFTER(A362,"https://doi.org/")),
SUBSTITUTE(
SUBSTITUTE(
SUBSTITUTE(
SUBSTITUTE(
_xlpm.doi,
"/","%2F"),
":","%3A"),
"&lt;","%3C"),
"&gt;","%3E")
)</f>
        <v>10.1098%2Frspb.2004.2925</v>
      </c>
      <c r="J362" s="10" t="str">
        <f>TRIM(_xlfn.TEXTJOIN("_",FALSE(),H362,(SUBSTITUTE(SUBSTITUTE(D362," ",""), "_", ""))))</f>
        <v>Kaskan_etal_2005_Figure2</v>
      </c>
      <c r="K362" s="10" t="str">
        <f>I362 &amp; "_" &amp; SUBSTITUTE(SUBSTITUTE(SUBSTITUTE(D362,CHAR(160),"")," ",""),"_","")</f>
        <v>10.1098%2Frspb.2004.2925_Figure2</v>
      </c>
      <c r="L362" s="10" t="str">
        <f t="array" ref="L362">IFERROR(INDEX(AUTO_Public_TSV_FileList!$A$1:$A$1000,MATCH(TRUE(),EXACT(K362,IFERROR(_xlfn.TEXTBEFORE(AUTO_Public_TSV_FileList!$A$1:$A$1000,".tsv"),"")),0)),"notfound")</f>
        <v>notfound</v>
      </c>
      <c r="M362" s="13" t="inlineStr">
        <is>
          <t>Figure 2. Cortical area scaling.</t>
        </is>
      </c>
      <c r="N362" s="13"/>
      <c r="O362" s="13"/>
      <c r="P362" s="13"/>
      <c r="Q362" s="13"/>
      <c r="R362" s="13"/>
      <c r="S362" s="13"/>
      <c r="T362" s="13"/>
      <c r="U362" s="13"/>
      <c r="V362" s="13"/>
      <c r="W362" s="13"/>
      <c r="X362" s="13"/>
      <c r="Y362" s="13"/>
      <c r="Z362" s="13"/>
      <c r="AA362" s="13"/>
      <c r="AB362" s="13"/>
      <c r="AC362" s="13"/>
      <c r="AD362" s="13"/>
      <c r="AE362" s="13"/>
      <c r="AF362" s="13"/>
      <c r="AG362" s="13"/>
    </row>
    <row r="363" ht="17" customHeight="1">
      <c r="A363" s="13" t="inlineStr">
        <is>
          <t>Kaskan, P. M., Franco, E. C., Yamada, E. S., Silveira, L. C., Darlington, R. B., &amp; Finlay, B. L. (2005). Peripheral variability and central constancy in mammalian visual system evolution. Proc Biol Sci, 272(1558), 91-100. https://doi.org/10.1098/rspb.2004.2925</t>
        </is>
      </c>
      <c r="B363" s="13"/>
      <c r="C363" s="13"/>
      <c r="D363" s="13" t="inlineStr">
        <is>
          <t>Figure 3</t>
        </is>
      </c>
      <c r="E363" s="10" t="str">
        <f>SUBSTITUTE(SUBSTITUTE(_xlfn.TEXTBEFORE(A363,","), "-", ""), " ", "")</f>
        <v>Kaskan</v>
      </c>
      <c r="F363" s="10"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10" t="str">
        <f>_xlfn.TEXTBEFORE(_xlfn.TEXTAFTER(A363, "("), ")")</f>
        <v>2005</v>
      </c>
      <c r="H363" s="10" t="str">
        <f>E363 &amp; IF(F363&lt;&gt;"", "_" &amp; SUBSTITUTE(F363," ",""), "_") &amp; IF(G363&lt;&gt;"", "_" &amp; G363, "_") &amp; IF(B363&lt;&gt;"", "_" &amp; B363, "")</f>
        <v>Kaskan_etal_2005</v>
      </c>
      <c r="I363" s="10" t="str">
        <f>_xlfn.LET(
_xlpm.doi,IF(C363&lt;&gt;"",C363,_xlfn.TEXTAFTER(A363,"https://doi.org/")),
SUBSTITUTE(
SUBSTITUTE(
SUBSTITUTE(
SUBSTITUTE(
_xlpm.doi,
"/","%2F"),
":","%3A"),
"&lt;","%3C"),
"&gt;","%3E")
)</f>
        <v>10.1098%2Frspb.2004.2925</v>
      </c>
      <c r="J363" s="10" t="str">
        <f>TRIM(_xlfn.TEXTJOIN("_",FALSE(),H363,(SUBSTITUTE(SUBSTITUTE(D363," ",""), "_", ""))))</f>
        <v>Kaskan_etal_2005_Figure3</v>
      </c>
      <c r="K363" s="10" t="str">
        <f>I363 &amp; "_" &amp; SUBSTITUTE(SUBSTITUTE(SUBSTITUTE(D363,CHAR(160),"")," ",""),"_","")</f>
        <v>10.1098%2Frspb.2004.2925_Figure3</v>
      </c>
      <c r="L363" s="10" t="str">
        <f t="array" ref="L363">IFERROR(INDEX(AUTO_Public_TSV_FileList!$A$1:$A$1000,MATCH(TRUE(),EXACT(K363,IFERROR(_xlfn.TEXTBEFORE(AUTO_Public_TSV_FileList!$A$1:$A$1000,".tsv"),"")),0)),"notfound")</f>
        <v>notfound</v>
      </c>
      <c r="M363" s="13" t="inlineStr">
        <is>
          <t>Figure 3. Visual cortical scaling in nocturnal and diurnal species.</t>
        </is>
      </c>
      <c r="N363" s="13"/>
      <c r="O363" s="13"/>
      <c r="P363" s="13"/>
      <c r="Q363" s="13"/>
      <c r="R363" s="13"/>
      <c r="S363" s="13"/>
      <c r="T363" s="13"/>
      <c r="U363" s="13"/>
      <c r="V363" s="13"/>
      <c r="W363" s="13"/>
      <c r="X363" s="13"/>
      <c r="Y363" s="13"/>
      <c r="Z363" s="13"/>
      <c r="AA363" s="13"/>
      <c r="AB363" s="13"/>
      <c r="AC363" s="13"/>
      <c r="AD363" s="13"/>
      <c r="AE363" s="13"/>
      <c r="AF363" s="13"/>
      <c r="AG363" s="13"/>
    </row>
    <row r="364" ht="17" customHeight="1">
      <c r="A364" s="13" t="inlineStr">
        <is>
          <t>Kaskan, P. M., Franco, E. C., Yamada, E. S., Silveira, L. C., Darlington, R. B., &amp; Finlay, B. L. (2005). Peripheral variability and central constancy in mammalian visual system evolution. Proc Biol Sci, 272(1558), 91-100. https://doi.org/10.1098/rspb.2004.2925</t>
        </is>
      </c>
      <c r="B364" s="13"/>
      <c r="C364" s="13"/>
      <c r="D364" s="13" t="inlineStr">
        <is>
          <t>References</t>
        </is>
      </c>
      <c r="E364" s="10" t="str">
        <f>SUBSTITUTE(SUBSTITUTE(_xlfn.TEXTBEFORE(A364,","), "-", ""), " ", "")</f>
        <v>Kaskan</v>
      </c>
      <c r="F364" s="10"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10" t="str">
        <f>_xlfn.TEXTBEFORE(_xlfn.TEXTAFTER(A364, "("), ")")</f>
        <v>2005</v>
      </c>
      <c r="H364" s="10" t="str">
        <f>E364 &amp; IF(F364&lt;&gt;"", "_" &amp; SUBSTITUTE(F364," ",""), "_") &amp; IF(G364&lt;&gt;"", "_" &amp; G364, "_") &amp; IF(B364&lt;&gt;"", "_" &amp; B364, "")</f>
        <v>Kaskan_etal_2005</v>
      </c>
      <c r="I364" s="10" t="str">
        <f>_xlfn.LET(
_xlpm.doi,IF(C364&lt;&gt;"",C364,_xlfn.TEXTAFTER(A364,"https://doi.org/")),
SUBSTITUTE(
SUBSTITUTE(
SUBSTITUTE(
SUBSTITUTE(
_xlpm.doi,
"/","%2F"),
":","%3A"),
"&lt;","%3C"),
"&gt;","%3E")
)</f>
        <v>10.1098%2Frspb.2004.2925</v>
      </c>
      <c r="J364" s="10" t="str">
        <f>TRIM(_xlfn.TEXTJOIN("_",FALSE(),H364,(SUBSTITUTE(SUBSTITUTE(D364," ",""), "_", ""))))</f>
        <v>Kaskan_etal_2005_References</v>
      </c>
      <c r="K364" s="10" t="str">
        <f>I364 &amp; "_" &amp; SUBSTITUTE(SUBSTITUTE(SUBSTITUTE(D364,CHAR(160),"")," ",""),"_","")</f>
        <v>10.1098%2Frspb.2004.2925_References</v>
      </c>
      <c r="L364" s="10" t="str">
        <f t="array" ref="L364">IFERROR(INDEX(AUTO_Public_TSV_FileList!$A$1:$A$1000,MATCH(TRUE(),EXACT(K364,IFERROR(_xlfn.TEXTBEFORE(AUTO_Public_TSV_FileList!$A$1:$A$1000,".tsv"),"")),0)),"notfound")</f>
        <v>notfound</v>
      </c>
      <c r="M364" s="13"/>
      <c r="N364" s="13"/>
      <c r="O364" s="13"/>
      <c r="P364" s="13"/>
      <c r="Q364" s="13"/>
      <c r="R364" s="13"/>
      <c r="S364" s="13"/>
      <c r="T364" s="13"/>
      <c r="U364" s="13"/>
      <c r="V364" s="13"/>
      <c r="W364" s="13"/>
      <c r="X364" s="13"/>
      <c r="Y364" s="13"/>
      <c r="Z364" s="13"/>
      <c r="AA364" s="13"/>
      <c r="AB364" s="13"/>
      <c r="AC364" s="13"/>
      <c r="AD364" s="13"/>
      <c r="AE364" s="13"/>
      <c r="AF364" s="13"/>
      <c r="AG364" s="13"/>
    </row>
    <row r="365" ht="17" customHeight="1">
      <c r="A365" s="13" t="inlineStr">
        <is>
          <t>Kaskan, P. M., Franco, E. C., Yamada, E. S., Silveira, L. C., Darlington, R. B., &amp; Finlay, B. L. (2005). Peripheral variability and central constancy in mammalian visual system evolution. Proc Biol Sci, 272(1558), 91-100. https://doi.org/10.1098/rspb.2004.2925</t>
        </is>
      </c>
      <c r="B365" s="13"/>
      <c r="C365" s="13"/>
      <c r="D365" s="13" t="inlineStr">
        <is>
          <t>Table S1</t>
        </is>
      </c>
      <c r="E365" s="10" t="str">
        <f>SUBSTITUTE(SUBSTITUTE(_xlfn.TEXTBEFORE(A365,","), "-", ""), " ", "")</f>
        <v>Kaskan</v>
      </c>
      <c r="F365" s="10"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10" t="str">
        <f>_xlfn.TEXTBEFORE(_xlfn.TEXTAFTER(A365, "("), ")")</f>
        <v>2005</v>
      </c>
      <c r="H365" s="10" t="str">
        <f>E365 &amp; IF(F365&lt;&gt;"", "_" &amp; SUBSTITUTE(F365," ",""), "_") &amp; IF(G365&lt;&gt;"", "_" &amp; G365, "_") &amp; IF(B365&lt;&gt;"", "_" &amp; B365, "")</f>
        <v>Kaskan_etal_2005</v>
      </c>
      <c r="I365" s="10" t="str">
        <f>_xlfn.LET(
_xlpm.doi,IF(C365&lt;&gt;"",C365,_xlfn.TEXTAFTER(A365,"https://doi.org/")),
SUBSTITUTE(
SUBSTITUTE(
SUBSTITUTE(
SUBSTITUTE(
_xlpm.doi,
"/","%2F"),
":","%3A"),
"&lt;","%3C"),
"&gt;","%3E")
)</f>
        <v>10.1098%2Frspb.2004.2925</v>
      </c>
      <c r="J365" s="10" t="str">
        <f>TRIM(_xlfn.TEXTJOIN("_",FALSE(),H365,(SUBSTITUTE(SUBSTITUTE(D365," ",""), "_", ""))))</f>
        <v>Kaskan_etal_2005_TableS1</v>
      </c>
      <c r="K365" s="10" t="str">
        <f>I365 &amp; "_" &amp; SUBSTITUTE(SUBSTITUTE(SUBSTITUTE(D365,CHAR(160),"")," ",""),"_","")</f>
        <v>10.1098%2Frspb.2004.2925_TableS1</v>
      </c>
      <c r="L365" s="10" t="str">
        <f t="array" ref="L365">IFERROR(INDEX(AUTO_Public_TSV_FileList!$A$1:$A$1000,MATCH(TRUE(),EXACT(K365,IFERROR(_xlfn.TEXTBEFORE(AUTO_Public_TSV_FileList!$A$1:$A$1000,".tsv"),"")),0)),"notfound")</f>
        <v>10.1098%2Frspb.2004.2925_TableS1.tsv</v>
      </c>
      <c r="M365" s="13" t="inlineStr">
        <is>
          <t>Electronic Appendix A: Table 1. Species and cortical areas included in this analysis, with references.</t>
        </is>
      </c>
      <c r="N365" s="13"/>
      <c r="O365" s="13"/>
      <c r="P365" s="13"/>
      <c r="Q365" s="13"/>
      <c r="R365" s="13"/>
      <c r="S365" s="13"/>
      <c r="T365" s="13"/>
      <c r="U365" s="13"/>
      <c r="V365" s="13"/>
      <c r="W365" s="13"/>
      <c r="X365" s="13"/>
      <c r="Y365" s="13"/>
      <c r="Z365" s="13"/>
      <c r="AA365" s="13"/>
      <c r="AB365" s="13"/>
      <c r="AC365" s="13"/>
      <c r="AD365" s="13"/>
      <c r="AE365" s="13"/>
      <c r="AF365" s="13"/>
      <c r="AG365" s="13"/>
    </row>
    <row r="366" ht="17" customHeight="1">
      <c r="A366" s="13" t="inlineStr">
        <is>
          <t>Kaskan, P. M., Franco, E. C., Yamada, E. S., Silveira, L. C., Darlington, R. B., &amp; Finlay, B. L. (2005). Peripheral variability and central constancy in mammalian visual system evolution. Proc Biol Sci, 272(1558), 91-100. https://doi.org/10.1098/rspb.2004.2925</t>
        </is>
      </c>
      <c r="B366" s="13"/>
      <c r="C366" s="13"/>
      <c r="D366" s="13" t="inlineStr">
        <is>
          <t>Table S2</t>
        </is>
      </c>
      <c r="E366" s="10" t="str">
        <f>SUBSTITUTE(SUBSTITUTE(_xlfn.TEXTBEFORE(A366,","), "-", ""), " ", "")</f>
        <v>Kaskan</v>
      </c>
      <c r="F366" s="10"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10" t="str">
        <f>_xlfn.TEXTBEFORE(_xlfn.TEXTAFTER(A366, "("), ")")</f>
        <v>2005</v>
      </c>
      <c r="H366" s="10" t="str">
        <f>E366 &amp; IF(F366&lt;&gt;"", "_" &amp; SUBSTITUTE(F366," ",""), "_") &amp; IF(G366&lt;&gt;"", "_" &amp; G366, "_") &amp; IF(B366&lt;&gt;"", "_" &amp; B366, "")</f>
        <v>Kaskan_etal_2005</v>
      </c>
      <c r="I366" s="10" t="str">
        <f>_xlfn.LET(
_xlpm.doi,IF(C366&lt;&gt;"",C366,_xlfn.TEXTAFTER(A366,"https://doi.org/")),
SUBSTITUTE(
SUBSTITUTE(
SUBSTITUTE(
SUBSTITUTE(
_xlpm.doi,
"/","%2F"),
":","%3A"),
"&lt;","%3C"),
"&gt;","%3E")
)</f>
        <v>10.1098%2Frspb.2004.2925</v>
      </c>
      <c r="J366" s="10" t="str">
        <f>TRIM(_xlfn.TEXTJOIN("_",FALSE(),H366,(SUBSTITUTE(SUBSTITUTE(D366," ",""), "_", ""))))</f>
        <v>Kaskan_etal_2005_TableS2</v>
      </c>
      <c r="K366" s="10" t="str">
        <f>I366 &amp; "_" &amp; SUBSTITUTE(SUBSTITUTE(SUBSTITUTE(D366,CHAR(160),"")," ",""),"_","")</f>
        <v>10.1098%2Frspb.2004.2925_TableS2</v>
      </c>
      <c r="L366" s="10" t="str">
        <f t="array" ref="L366">IFERROR(INDEX(AUTO_Public_TSV_FileList!$A$1:$A$1000,MATCH(TRUE(),EXACT(K366,IFERROR(_xlfn.TEXTBEFORE(AUTO_Public_TSV_FileList!$A$1:$A$1000,".tsv"),"")),0)),"notfound")</f>
        <v>notfound</v>
      </c>
      <c r="M366" s="13" t="inlineStr">
        <is>
          <t>Electronic Appendix B Table 2. Retinal area and numbers of rods and cones in five species of New World primates: Callithrixjacchus, Saguinus m. niger, Aotus sp, Saimiri ustius and Cebus apella.</t>
        </is>
      </c>
      <c r="N366" s="13"/>
      <c r="O366" s="13"/>
      <c r="P366" s="13"/>
      <c r="Q366" s="13"/>
      <c r="R366" s="13"/>
      <c r="S366" s="13"/>
      <c r="T366" s="13"/>
      <c r="U366" s="13"/>
      <c r="V366" s="13"/>
      <c r="W366" s="13"/>
      <c r="X366" s="13"/>
      <c r="Y366" s="13"/>
      <c r="Z366" s="13"/>
      <c r="AA366" s="13"/>
      <c r="AB366" s="13"/>
      <c r="AC366" s="13"/>
      <c r="AD366" s="13"/>
      <c r="AE366" s="13"/>
      <c r="AF366" s="13"/>
      <c r="AG366" s="13"/>
    </row>
    <row r="367" ht="17" customHeight="1">
      <c r="A367" s="9" t="inlineStr">
        <is>
          <t>Kastak, D., &amp; Schusterman, R. J. (1998). Low-frequency amphibious hearing in pinnipeds: Methods, measurements, noise, and ecology. J Acoust Soc Am, 103(4), 2216-2228. https://doi.org/10.1121/1.421367</t>
        </is>
      </c>
      <c r="B367" s="9"/>
      <c r="C367" s="9"/>
      <c r="D367" s="9" t="inlineStr">
        <is>
          <t>Tables I-II</t>
        </is>
      </c>
      <c r="E367" s="11" t="str">
        <f>SUBSTITUTE(SUBSTITUTE(_xlfn.TEXTBEFORE(A367,","), "-", ""), " ", "")</f>
        <v>Kastak</v>
      </c>
      <c r="F367" s="10"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10" t="str">
        <f>_xlfn.TEXTBEFORE(_xlfn.TEXTAFTER(A367, "("), ")")</f>
        <v>1998</v>
      </c>
      <c r="H367" s="11" t="str">
        <f>E367 &amp; IF(F367&lt;&gt;"", "_" &amp; SUBSTITUTE(F367," ",""), "_") &amp; IF(G367&lt;&gt;"", "_" &amp; G367, "_") &amp; IF(B367&lt;&gt;"", "_" &amp; B367, "")</f>
        <v>Kastak__1998</v>
      </c>
      <c r="I367" s="11" t="str">
        <f>_xlfn.LET(_xlpm.doi,IF(C367&lt;&gt;"",C367,_xlfn.TEXTAFTER(A367,"https://doi.org/")),SUBSTITUTE(SUBSTITUTE(SUBSTITUTE(SUBSTITUTE(_xlpm.doi,"/","%2F"),":","%3A"),"&lt;","%3C"),"&gt;","%3E"))</f>
        <v>10.1121%2F1.421367</v>
      </c>
      <c r="J367" s="11" t="str">
        <f>TRIM(_xlfn.TEXTJOIN("_",FALSE(),H367,(SUBSTITUTE(SUBSTITUTE(D367," ",""), "_", ""))))</f>
        <v>Kastak__1998_TablesI-II</v>
      </c>
      <c r="K367" s="10" t="str">
        <f>I367 &amp; "_" &amp; SUBSTITUTE(SUBSTITUTE(SUBSTITUTE(D367,CHAR(160),"")," ",""),"_","")</f>
        <v>10.1121%2F1.421367_TablesI-II</v>
      </c>
      <c r="L367" s="10" t="str">
        <f t="array" ref="L367">IFERROR(INDEX(AUTO_Public_TSV_FileList!$A$1:$A$1000,MATCH(TRUE(),EXACT(K367,IFERROR(_xlfn.TEXTBEFORE(AUTO_Public_TSV_FileList!$A$1:$A$1000,".tsv"),"")),0)),"notfound")</f>
        <v>10.1121%2F1.421367_TablesI-II.tsv</v>
      </c>
      <c r="M367" s="9" t="inlineStr">
        <is>
          <t>Aerial and underwater sound-detection thresholds for California sea lion, harbor seal, northern elephant seal</t>
        </is>
      </c>
      <c r="N367" s="9" t="inlineStr">
        <is>
          <t>PDF table</t>
        </is>
      </c>
      <c r="O367" s="9" t="inlineStr">
        <is>
          <t>Registry row added 2026-09-27. Built same day; TSV upload pending (connector timeout, retry later).</t>
        </is>
      </c>
      <c r="P367" s="9" t="inlineStr">
        <is>
          <t>BUILT (TSV upload pending)</t>
        </is>
      </c>
      <c r="Q367" s="9"/>
      <c r="R367" s="9"/>
      <c r="S367" s="9"/>
      <c r="T367" s="9"/>
      <c r="U367" s="9"/>
      <c r="V367" s="9"/>
      <c r="W367" s="9"/>
      <c r="X367" s="9"/>
      <c r="Y367" s="9"/>
      <c r="Z367" s="9"/>
      <c r="AA367" s="9"/>
      <c r="AB367" s="9"/>
      <c r="AC367" s="9"/>
      <c r="AD367" s="9"/>
      <c r="AE367" s="9"/>
      <c r="AF367" s="9"/>
      <c r="AG367" s="9"/>
    </row>
    <row r="368" ht="17" customHeight="1">
      <c r="A368" s="9" t="inlineStr">
        <is>
          <t>Kastak, D., &amp; Schusterman, R. J. (1999). In-air and underwater hearing sensitivity of a northern elephant seal (Mirounga angustirostris). Canadian Journal of Zoology, 77(11), 1751-1758. https://doi.org/10.1139/z99-151</t>
        </is>
      </c>
      <c r="B368" s="9"/>
      <c r="C368" s="9"/>
      <c r="D368" s="9" t="inlineStr">
        <is>
          <t>Results Text</t>
        </is>
      </c>
      <c r="E368" s="11" t="str">
        <f>SUBSTITUTE(SUBSTITUTE(_xlfn.TEXTBEFORE(A368,","), "-", ""), " ", "")</f>
        <v>Kastak</v>
      </c>
      <c r="F368" s="10"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8" s="10" t="str">
        <f>_xlfn.TEXTBEFORE(_xlfn.TEXTAFTER(A368, "("), ")")</f>
        <v>1999</v>
      </c>
      <c r="H368" s="11" t="str">
        <f>E368 &amp; IF(F368&lt;&gt;"", "_" &amp; SUBSTITUTE(F368," ",""), "_") &amp; IF(G368&lt;&gt;"", "_" &amp; G368, "_") &amp; IF(B368&lt;&gt;"", "_" &amp; B368, "")</f>
        <v>Kastak__1999</v>
      </c>
      <c r="I368" s="11" t="str">
        <f>_xlfn.LET(_xlpm.doi,IF(C368&lt;&gt;"",C368,_xlfn.TEXTAFTER(A368,"https://doi.org/")),SUBSTITUTE(SUBSTITUTE(SUBSTITUTE(SUBSTITUTE(_xlpm.doi,"/","%2F"),":","%3A"),"&lt;","%3C"),"&gt;","%3E"))</f>
        <v>10.1139%2Fz99-151</v>
      </c>
      <c r="J368" s="11" t="str">
        <f>TRIM(_xlfn.TEXTJOIN("_",FALSE(),H368,(SUBSTITUTE(SUBSTITUTE(D368," ",""), "_", ""))))</f>
        <v>Kastak__1999_ResultsText</v>
      </c>
      <c r="K368" s="10" t="str">
        <f>I368 &amp; "_" &amp; SUBSTITUTE(SUBSTITUTE(SUBSTITUTE(D368,CHAR(160),"")," ",""),"_","")</f>
        <v>10.1139%2Fz99-151_ResultsText</v>
      </c>
      <c r="L368" s="10" t="str">
        <f t="array" ref="L368">IFERROR(INDEX(AUTO_Public_TSV_FileList!$A$1:$A$1000,MATCH(TRUE(),EXACT(K368,IFERROR(_xlfn.TEXTBEFORE(AUTO_Public_TSV_FileList!$A$1:$A$1000,".tsv"),"")),0)),"notfound")</f>
        <v>10.1139%2Fz99-151_ResultsText.tsv</v>
      </c>
      <c r="M368" s="9" t="inlineStr">
        <is>
          <t>Northern elephant seal in-air vs underwater hearing summary (best frequency/threshold, upper frequency cutoff)</t>
        </is>
      </c>
      <c r="N368" s="9" t="inlineStr">
        <is>
          <t>text</t>
        </is>
      </c>
      <c r="O368" s="9" t="inlineStr">
        <is>
          <t>Registry row added 2026-09-27. Built same day; TSV upload pending (connector timeout, retry later).</t>
        </is>
      </c>
      <c r="P368" s="9" t="inlineStr">
        <is>
          <t>BUILT (TSV upload pending)</t>
        </is>
      </c>
      <c r="Q368" s="9"/>
      <c r="R368" s="9"/>
      <c r="S368" s="9"/>
      <c r="T368" s="9"/>
      <c r="U368" s="9"/>
      <c r="V368" s="9"/>
      <c r="W368" s="9"/>
      <c r="X368" s="9"/>
      <c r="Y368" s="9"/>
      <c r="Z368" s="9"/>
      <c r="AA368" s="9"/>
      <c r="AB368" s="9"/>
      <c r="AC368" s="9"/>
      <c r="AD368" s="9"/>
      <c r="AE368" s="9"/>
      <c r="AF368" s="9"/>
      <c r="AG368" s="9"/>
    </row>
    <row r="369" ht="17" customHeight="1">
      <c r="A369" s="9" t="inlineStr">
        <is>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is>
      </c>
      <c r="B369" s="9" t="inlineStr">
        <is>
          <t>b</t>
        </is>
      </c>
      <c r="C369" s="9"/>
      <c r="D369" s="9" t="inlineStr">
        <is>
          <t>Table I</t>
        </is>
      </c>
      <c r="E369" s="11" t="str">
        <f>SUBSTITUTE(SUBSTITUTE(_xlfn.TEXTBEFORE(A369,","), "-", ""), " ", "")</f>
        <v>Kastelein</v>
      </c>
      <c r="F369" s="10"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10" t="str">
        <f>_xlfn.TEXTBEFORE(_xlfn.TEXTAFTER(A369, "("), ")")</f>
        <v>2010</v>
      </c>
      <c r="H369" s="11" t="str">
        <f>E369 &amp; IF(F369&lt;&gt;"", "_" &amp; SUBSTITUTE(F369," ",""), "_") &amp; IF(G369&lt;&gt;"", "_" &amp; G369, "_") &amp; IF(B369&lt;&gt;"", "_" &amp; B369, "")</f>
        <v>Kastelein_etal_2010_b</v>
      </c>
      <c r="I369" s="11" t="str">
        <f>_xlfn.LET(_xlpm.doi,IF(C369&lt;&gt;"",C369,_xlfn.TEXTAFTER(A369,"https://doi.org/")),SUBSTITUTE(SUBSTITUTE(SUBSTITUTE(SUBSTITUTE(_xlpm.doi,"/","%2F"),":","%3A"),"&lt;","%3C"),"&gt;","%3E"))</f>
        <v>10.1121%2F1.3493435</v>
      </c>
      <c r="J369" s="11" t="str">
        <f>TRIM(_xlfn.TEXTJOIN("_",FALSE(),H369,(SUBSTITUTE(SUBSTITUTE(D369," ",""), "_", ""))))</f>
        <v>Kastelein_etal_2010_b_TableI</v>
      </c>
      <c r="K369" s="10" t="str">
        <f>I369 &amp; "_" &amp; SUBSTITUTE(SUBSTITUTE(SUBSTITUTE(D369,CHAR(160),"")," ",""),"_","")</f>
        <v>10.1121%2F1.3493435_TableI</v>
      </c>
      <c r="L369" s="10" t="str">
        <f t="array" ref="L369">IFERROR(INDEX(AUTO_Public_TSV_FileList!$A$1:$A$1000,MATCH(TRUE(),EXACT(K369,IFERROR(_xlfn.TEXTBEFORE(AUTO_Public_TSV_FileList!$A$1:$A$1000,".tsv"),"")),0)),"notfound")</f>
        <v>10.1121%2F1.3493435_TableI.tsv</v>
      </c>
      <c r="M369" s="9" t="inlineStr">
        <is>
          <t>Harbor porpoise underwater 50% detection thresholds, 15 frequencies x up to 16 signal durations</t>
        </is>
      </c>
      <c r="N369" s="9" t="inlineStr">
        <is>
          <t>PDF table</t>
        </is>
      </c>
      <c r="O369" s="9" t="inlineStr">
        <is>
          <t>Registry row added 2026-09-27. Built same day; TSV upload pending (connector timeout, retry later).</t>
        </is>
      </c>
      <c r="P369" s="9" t="inlineStr">
        <is>
          <t>BUILT (TSV upload pending)</t>
        </is>
      </c>
      <c r="Q369" s="9"/>
      <c r="R369" s="9"/>
      <c r="S369" s="9"/>
      <c r="T369" s="9"/>
      <c r="U369" s="9"/>
      <c r="V369" s="9"/>
      <c r="W369" s="9"/>
      <c r="X369" s="9"/>
      <c r="Y369" s="9"/>
      <c r="Z369" s="9"/>
      <c r="AA369" s="9"/>
      <c r="AB369" s="9"/>
      <c r="AC369" s="9"/>
      <c r="AD369" s="9"/>
      <c r="AE369" s="9"/>
      <c r="AF369" s="9"/>
      <c r="AG369" s="9"/>
    </row>
    <row r="370" ht="17" customHeight="1">
      <c r="A370" s="1" t="inlineStr">
        <is>
          <t>Kaufman, J. A. (2004). Pattern and scaling of regional cerebral glucose metabolism in mammals (Publication No. 3147447) [Doctoral dissertation, Washington University in St. Louis]. ProQuest Dissertations &amp; Theses Global.</t>
        </is>
      </c>
      <c r="B370" s="13"/>
      <c r="C370" s="1" t="inlineStr">
        <is>
          <t>UMI:3147447</t>
        </is>
      </c>
      <c r="D370" s="1" t="inlineStr">
        <is>
          <t>Table A1</t>
        </is>
      </c>
      <c r="E370" s="10" t="str">
        <f>SUBSTITUTE(SUBSTITUTE(_xlfn.TEXTBEFORE(A370,","), "-", ""), " ", "")</f>
        <v>Kaufman</v>
      </c>
      <c r="F370" s="10"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0" s="10" t="str">
        <f>_xlfn.TEXTBEFORE(_xlfn.TEXTAFTER(A370, "("), ")")</f>
        <v>2004</v>
      </c>
      <c r="H370" s="10" t="str">
        <f>E370 &amp; IF(F370&lt;&gt;"", "_" &amp; SUBSTITUTE(F370," ",""), "_") &amp; IF(G370&lt;&gt;"", "_" &amp; G370, "_") &amp; IF(B370&lt;&gt;"", "_" &amp; B370, "")</f>
        <v>Kaufman__2004</v>
      </c>
      <c r="I370" s="10" t="str">
        <f>_xlfn.LET(
_xlpm.doi,IF(C370&lt;&gt;"",C370,_xlfn.TEXTAFTER(A370,"https://doi.org/")),
SUBSTITUTE(
SUBSTITUTE(
SUBSTITUTE(
SUBSTITUTE(
_xlpm.doi,
"/","%2F"),
":","%3A"),
"&lt;","%3C"),
"&gt;","%3E")
)</f>
        <v>UMI%3A3147447</v>
      </c>
      <c r="J370" s="10" t="str">
        <f>TRIM(_xlfn.TEXTJOIN("_",FALSE(),H370,(SUBSTITUTE(SUBSTITUTE(D370," ",""), "_", ""))))</f>
        <v>Kaufman__2004_TableA1</v>
      </c>
      <c r="K370" s="10" t="str">
        <f>I370 &amp; "_" &amp; SUBSTITUTE(SUBSTITUTE(SUBSTITUTE(D370,CHAR(160),"")," ",""),"_","")</f>
        <v>UMI%3A3147447_TableA1</v>
      </c>
      <c r="L370" s="10" t="str">
        <f t="array" ref="L370">IFERROR(INDEX(AUTO_Public_TSV_FileList!$A$1:$A$1000,MATCH(TRUE(),EXACT(K370,IFERROR(_xlfn.TEXTBEFORE(AUTO_Public_TSV_FileList!$A$1:$A$1000,".tsv"),"")),0)),"notfound")</f>
        <v>UMI%3A3147447_TableA1.tsv</v>
      </c>
      <c r="M370" s="1" t="inlineStr">
        <is>
          <t>Table A1. Basal Ganglia rCMR and rCBF (units: Glucose &amp; Oxygen umol/lOOg/min, Blood flow ml/lOOg/min)</t>
        </is>
      </c>
      <c r="N370" s="1" t="inlineStr">
        <is>
          <t>table</t>
        </is>
      </c>
      <c r="O370" s="13"/>
      <c r="P370" s="1" t="inlineStr">
        <is>
          <t>FINISHED</t>
        </is>
      </c>
      <c r="Q370" s="1"/>
      <c r="R370" s="13"/>
      <c r="S370" s="13"/>
      <c r="T370" s="13"/>
      <c r="U370" s="13"/>
      <c r="V370" s="13"/>
      <c r="W370" s="1" t="inlineStr">
        <is>
          <t>Mammals</t>
        </is>
      </c>
      <c r="X370" s="1" t="inlineStr">
        <is>
          <t>brain/body scaling</t>
        </is>
      </c>
      <c r="Y370" s="13"/>
      <c r="Z370" s="13"/>
      <c r="AA370" s="13"/>
      <c r="AB370" s="1" t="inlineStr">
        <is>
          <t>metabolic / brain-body scaling</t>
        </is>
      </c>
      <c r="AC370" s="13"/>
      <c r="AD370" s="13"/>
      <c r="AE370" s="1" t="inlineStr">
        <is>
          <t>secondary</t>
        </is>
      </c>
      <c r="AF370" s="1"/>
      <c r="AG370" s="13"/>
    </row>
    <row r="371" ht="17" customHeight="1">
      <c r="A371" s="1" t="inlineStr">
        <is>
          <t>Kaufman, J. A. (2004). Pattern and scaling of regional cerebral glucose metabolism in mammals (Publication No. 3147447) [Doctoral dissertation, Washington University in St. Louis]. ProQuest Dissertations &amp; Theses Global.</t>
        </is>
      </c>
      <c r="B371" s="13"/>
      <c r="C371" s="1" t="inlineStr">
        <is>
          <t>UMI:3147447</t>
        </is>
      </c>
      <c r="D371" s="1" t="inlineStr">
        <is>
          <t>Table A10</t>
        </is>
      </c>
      <c r="E371" s="10" t="str">
        <f>SUBSTITUTE(SUBSTITUTE(_xlfn.TEXTBEFORE(A371,","), "-", ""), " ", "")</f>
        <v>Kaufman</v>
      </c>
      <c r="F371" s="10"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1" s="10" t="str">
        <f>_xlfn.TEXTBEFORE(_xlfn.TEXTAFTER(A371, "("), ")")</f>
        <v>2004</v>
      </c>
      <c r="H371" s="10" t="str">
        <f>E371 &amp; IF(F371&lt;&gt;"", "_" &amp; SUBSTITUTE(F371," ",""), "_") &amp; IF(G371&lt;&gt;"", "_" &amp; G371, "_") &amp; IF(B371&lt;&gt;"", "_" &amp; B371, "")</f>
        <v>Kaufman__2004</v>
      </c>
      <c r="I371" s="10" t="str">
        <f>_xlfn.LET(
_xlpm.doi,IF(C371&lt;&gt;"",C371,_xlfn.TEXTAFTER(A371,"https://doi.org/")),
SUBSTITUTE(
SUBSTITUTE(
SUBSTITUTE(
SUBSTITUTE(
_xlpm.doi,
"/","%2F"),
":","%3A"),
"&lt;","%3C"),
"&gt;","%3E")
)</f>
        <v>UMI%3A3147447</v>
      </c>
      <c r="J371" s="10" t="str">
        <f>TRIM(_xlfn.TEXTJOIN("_",FALSE(),H371,(SUBSTITUTE(SUBSTITUTE(D371," ",""), "_", ""))))</f>
        <v>Kaufman__2004_TableA10</v>
      </c>
      <c r="K371" s="10" t="str">
        <f>I371 &amp; "_" &amp; SUBSTITUTE(SUBSTITUTE(SUBSTITUTE(D371,CHAR(160),"")," ",""),"_","")</f>
        <v>UMI%3A3147447_TableA10</v>
      </c>
      <c r="L371" s="10" t="str">
        <f t="array" ref="L371">IFERROR(INDEX(AUTO_Public_TSV_FileList!$A$1:$A$1000,MATCH(TRUE(),EXACT(K371,IFERROR(_xlfn.TEXTBEFORE(AUTO_Public_TSV_FileList!$A$1:$A$1000,".tsv"),"")),0)),"notfound")</f>
        <v>UMI%3A3147447_TableA10.tsv</v>
      </c>
      <c r="M371" s="1" t="inlineStr">
        <is>
          <t>Table A10. Auditory Cortex rCMR and rCBF</t>
        </is>
      </c>
      <c r="N371" s="1" t="inlineStr">
        <is>
          <t>table</t>
        </is>
      </c>
      <c r="O371" s="13"/>
      <c r="P371" s="1" t="inlineStr">
        <is>
          <t>FINISHED</t>
        </is>
      </c>
      <c r="Q371" s="1"/>
      <c r="R371" s="13"/>
      <c r="S371" s="13"/>
      <c r="T371" s="13"/>
      <c r="U371" s="13"/>
      <c r="V371" s="13"/>
      <c r="W371" s="1" t="inlineStr">
        <is>
          <t>Mammals</t>
        </is>
      </c>
      <c r="X371" s="1" t="inlineStr">
        <is>
          <t>brain/body scaling</t>
        </is>
      </c>
      <c r="Y371" s="13"/>
      <c r="Z371" s="13"/>
      <c r="AA371" s="13"/>
      <c r="AB371" s="1" t="inlineStr">
        <is>
          <t>metabolic / brain-body scaling</t>
        </is>
      </c>
      <c r="AC371" s="13"/>
      <c r="AD371" s="13"/>
      <c r="AE371" s="1" t="inlineStr">
        <is>
          <t>secondary</t>
        </is>
      </c>
      <c r="AF371" s="1"/>
      <c r="AG371" s="13"/>
    </row>
    <row r="372" ht="17" customHeight="1">
      <c r="A372" s="1" t="inlineStr">
        <is>
          <t>Kaufman, J. A. (2004). Pattern and scaling of regional cerebral glucose metabolism in mammals (Publication No. 3147447) [Doctoral dissertation, Washington University in St. Louis]. ProQuest Dissertations &amp; Theses Global.</t>
        </is>
      </c>
      <c r="B372" s="13"/>
      <c r="C372" s="1" t="inlineStr">
        <is>
          <t>UMI:3147447</t>
        </is>
      </c>
      <c r="D372" s="1" t="inlineStr">
        <is>
          <t>Table A11</t>
        </is>
      </c>
      <c r="E372" s="10" t="str">
        <f>SUBSTITUTE(SUBSTITUTE(_xlfn.TEXTBEFORE(A372,","), "-", ""), " ", "")</f>
        <v>Kaufman</v>
      </c>
      <c r="F372" s="10"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2" s="10" t="str">
        <f>_xlfn.TEXTBEFORE(_xlfn.TEXTAFTER(A372, "("), ")")</f>
        <v>2004</v>
      </c>
      <c r="H372" s="10" t="str">
        <f>E372 &amp; IF(F372&lt;&gt;"", "_" &amp; SUBSTITUTE(F372," ",""), "_") &amp; IF(G372&lt;&gt;"", "_" &amp; G372, "_") &amp; IF(B372&lt;&gt;"", "_" &amp; B372, "")</f>
        <v>Kaufman__2004</v>
      </c>
      <c r="I372" s="10" t="str">
        <f>_xlfn.LET(
_xlpm.doi,IF(C372&lt;&gt;"",C372,_xlfn.TEXTAFTER(A372,"https://doi.org/")),
SUBSTITUTE(
SUBSTITUTE(
SUBSTITUTE(
SUBSTITUTE(
_xlpm.doi,
"/","%2F"),
":","%3A"),
"&lt;","%3C"),
"&gt;","%3E")
)</f>
        <v>UMI%3A3147447</v>
      </c>
      <c r="J372" s="10" t="str">
        <f>TRIM(_xlfn.TEXTJOIN("_",FALSE(),H372,(SUBSTITUTE(SUBSTITUTE(D372," ",""), "_", ""))))</f>
        <v>Kaufman__2004_TableA11</v>
      </c>
      <c r="K372" s="10" t="str">
        <f>I372 &amp; "_" &amp; SUBSTITUTE(SUBSTITUTE(SUBSTITUTE(D372,CHAR(160),"")," ",""),"_","")</f>
        <v>UMI%3A3147447_TableA11</v>
      </c>
      <c r="L372" s="10" t="str">
        <f t="array" ref="L372">IFERROR(INDEX(AUTO_Public_TSV_FileList!$A$1:$A$1000,MATCH(TRUE(),EXACT(K372,IFERROR(_xlfn.TEXTBEFORE(AUTO_Public_TSV_FileList!$A$1:$A$1000,".tsv"),"")),0)),"notfound")</f>
        <v>UMI%3A3147447_TableA11.tsv</v>
      </c>
      <c r="M372" s="1" t="inlineStr">
        <is>
          <t>Table A11. Occipital Cortex rCMR and rCBF</t>
        </is>
      </c>
      <c r="N372" s="1" t="inlineStr">
        <is>
          <t>table</t>
        </is>
      </c>
      <c r="O372" s="13"/>
      <c r="P372" s="1" t="inlineStr">
        <is>
          <t>FINISHED</t>
        </is>
      </c>
      <c r="Q372" s="1"/>
      <c r="R372" s="13"/>
      <c r="S372" s="13"/>
      <c r="T372" s="13"/>
      <c r="U372" s="13"/>
      <c r="V372" s="13"/>
      <c r="W372" s="1" t="inlineStr">
        <is>
          <t>Mammals</t>
        </is>
      </c>
      <c r="X372" s="1" t="inlineStr">
        <is>
          <t>brain/body scaling</t>
        </is>
      </c>
      <c r="Y372" s="13"/>
      <c r="Z372" s="13"/>
      <c r="AA372" s="13"/>
      <c r="AB372" s="1" t="inlineStr">
        <is>
          <t>metabolic / brain-body scaling</t>
        </is>
      </c>
      <c r="AC372" s="13"/>
      <c r="AD372" s="13"/>
      <c r="AE372" s="1" t="inlineStr">
        <is>
          <t>secondary</t>
        </is>
      </c>
      <c r="AF372" s="1"/>
      <c r="AG372" s="13"/>
    </row>
    <row r="373" ht="17" customHeight="1">
      <c r="A373" s="1" t="inlineStr">
        <is>
          <t>Kaufman, J. A. (2004). Pattern and scaling of regional cerebral glucose metabolism in mammals (Publication No. 3147447) [Doctoral dissertation, Washington University in St. Louis]. ProQuest Dissertations &amp; Theses Global.</t>
        </is>
      </c>
      <c r="B373" s="13"/>
      <c r="C373" s="1" t="inlineStr">
        <is>
          <t>UMI:3147447</t>
        </is>
      </c>
      <c r="D373" s="1" t="inlineStr">
        <is>
          <t>Table A12</t>
        </is>
      </c>
      <c r="E373" s="10" t="str">
        <f>SUBSTITUTE(SUBSTITUTE(_xlfn.TEXTBEFORE(A373,","), "-", ""), " ", "")</f>
        <v>Kaufman</v>
      </c>
      <c r="F373" s="10"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10" t="str">
        <f>_xlfn.TEXTBEFORE(_xlfn.TEXTAFTER(A373, "("), ")")</f>
        <v>2004</v>
      </c>
      <c r="H373" s="10" t="str">
        <f>E373 &amp; IF(F373&lt;&gt;"", "_" &amp; SUBSTITUTE(F373," ",""), "_") &amp; IF(G373&lt;&gt;"", "_" &amp; G373, "_") &amp; IF(B373&lt;&gt;"", "_" &amp; B373, "")</f>
        <v>Kaufman__2004</v>
      </c>
      <c r="I373" s="10" t="str">
        <f>_xlfn.LET(
_xlpm.doi,IF(C373&lt;&gt;"",C373,_xlfn.TEXTAFTER(A373,"https://doi.org/")),
SUBSTITUTE(
SUBSTITUTE(
SUBSTITUTE(
SUBSTITUTE(
_xlpm.doi,
"/","%2F"),
":","%3A"),
"&lt;","%3C"),
"&gt;","%3E")
)</f>
        <v>UMI%3A3147447</v>
      </c>
      <c r="J373" s="10" t="str">
        <f>TRIM(_xlfn.TEXTJOIN("_",FALSE(),H373,(SUBSTITUTE(SUBSTITUTE(D373," ",""), "_", ""))))</f>
        <v>Kaufman__2004_TableA12</v>
      </c>
      <c r="K373" s="10" t="str">
        <f>I373 &amp; "_" &amp; SUBSTITUTE(SUBSTITUTE(SUBSTITUTE(D373,CHAR(160),"")," ",""),"_","")</f>
        <v>UMI%3A3147447_TableA12</v>
      </c>
      <c r="L373" s="10" t="str">
        <f t="array" ref="L373">IFERROR(INDEX(AUTO_Public_TSV_FileList!$A$1:$A$1000,MATCH(TRUE(),EXACT(K373,IFERROR(_xlfn.TEXTBEFORE(AUTO_Public_TSV_FileList!$A$1:$A$1000,".tsv"),"")),0)),"notfound")</f>
        <v>UMI%3A3147447_TableA12.tsv</v>
      </c>
      <c r="M373" s="1" t="inlineStr">
        <is>
          <t>Table A12. Sensorimotor Cortex rCMR and rCBF</t>
        </is>
      </c>
      <c r="N373" s="1" t="inlineStr">
        <is>
          <t>table</t>
        </is>
      </c>
      <c r="O373" s="13"/>
      <c r="P373" s="1" t="inlineStr">
        <is>
          <t>FINISHED</t>
        </is>
      </c>
      <c r="Q373" s="1"/>
      <c r="R373" s="13"/>
      <c r="S373" s="13"/>
      <c r="T373" s="13"/>
      <c r="U373" s="13"/>
      <c r="V373" s="13"/>
      <c r="W373" s="1" t="inlineStr">
        <is>
          <t>Mammals</t>
        </is>
      </c>
      <c r="X373" s="1" t="inlineStr">
        <is>
          <t>brain/body scaling</t>
        </is>
      </c>
      <c r="Y373" s="13"/>
      <c r="Z373" s="13"/>
      <c r="AA373" s="13"/>
      <c r="AB373" s="1" t="inlineStr">
        <is>
          <t>metabolic / brain-body scaling</t>
        </is>
      </c>
      <c r="AC373" s="13"/>
      <c r="AD373" s="13"/>
      <c r="AE373" s="1" t="inlineStr">
        <is>
          <t>secondary</t>
        </is>
      </c>
      <c r="AF373" s="1"/>
      <c r="AG373" s="13"/>
    </row>
    <row r="374" ht="17" customHeight="1">
      <c r="A374" s="1" t="inlineStr">
        <is>
          <t>Kaufman, J. A. (2004). Pattern and scaling of regional cerebral glucose metabolism in mammals (Publication No. 3147447) [Doctoral dissertation, Washington University in St. Louis]. ProQuest Dissertations &amp; Theses Global.</t>
        </is>
      </c>
      <c r="B374" s="13"/>
      <c r="C374" s="1" t="inlineStr">
        <is>
          <t>UMI:3147447</t>
        </is>
      </c>
      <c r="D374" s="1" t="inlineStr">
        <is>
          <t>Table A13</t>
        </is>
      </c>
      <c r="E374" s="10" t="str">
        <f>SUBSTITUTE(SUBSTITUTE(_xlfn.TEXTBEFORE(A374,","), "-", ""), " ", "")</f>
        <v>Kaufman</v>
      </c>
      <c r="F374" s="10"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4" s="10" t="str">
        <f>_xlfn.TEXTBEFORE(_xlfn.TEXTAFTER(A374, "("), ")")</f>
        <v>2004</v>
      </c>
      <c r="H374" s="10" t="str">
        <f>E374 &amp; IF(F374&lt;&gt;"", "_" &amp; SUBSTITUTE(F374," ",""), "_") &amp; IF(G374&lt;&gt;"", "_" &amp; G374, "_") &amp; IF(B374&lt;&gt;"", "_" &amp; B374, "")</f>
        <v>Kaufman__2004</v>
      </c>
      <c r="I374" s="10" t="str">
        <f>_xlfn.LET(
_xlpm.doi,IF(C374&lt;&gt;"",C374,_xlfn.TEXTAFTER(A374,"https://doi.org/")),
SUBSTITUTE(
SUBSTITUTE(
SUBSTITUTE(
SUBSTITUTE(
_xlpm.doi,
"/","%2F"),
":","%3A"),
"&lt;","%3C"),
"&gt;","%3E")
)</f>
        <v>UMI%3A3147447</v>
      </c>
      <c r="J374" s="10" t="str">
        <f>TRIM(_xlfn.TEXTJOIN("_",FALSE(),H374,(SUBSTITUTE(SUBSTITUTE(D374," ",""), "_", ""))))</f>
        <v>Kaufman__2004_TableA13</v>
      </c>
      <c r="K374" s="10" t="str">
        <f>I374 &amp; "_" &amp; SUBSTITUTE(SUBSTITUTE(SUBSTITUTE(D374,CHAR(160),"")," ",""),"_","")</f>
        <v>UMI%3A3147447_TableA13</v>
      </c>
      <c r="L374" s="10" t="str">
        <f t="array" ref="L374">IFERROR(INDEX(AUTO_Public_TSV_FileList!$A$1:$A$1000,MATCH(TRUE(),EXACT(K374,IFERROR(_xlfn.TEXTBEFORE(AUTO_Public_TSV_FileList!$A$1:$A$1000,".tsv"),"")),0)),"notfound")</f>
        <v>UMI%3A3147447_TableA13.tsv</v>
      </c>
      <c r="M374" s="1" t="inlineStr">
        <is>
          <t>Table A13. Cingulate Cortex rCMR and rCBF</t>
        </is>
      </c>
      <c r="N374" s="1" t="inlineStr">
        <is>
          <t>table</t>
        </is>
      </c>
      <c r="O374" s="13"/>
      <c r="P374" s="1" t="inlineStr">
        <is>
          <t>FINISHED</t>
        </is>
      </c>
      <c r="Q374" s="1"/>
      <c r="R374" s="13"/>
      <c r="S374" s="13"/>
      <c r="T374" s="13"/>
      <c r="U374" s="13"/>
      <c r="V374" s="13"/>
      <c r="W374" s="1" t="inlineStr">
        <is>
          <t>Mammals</t>
        </is>
      </c>
      <c r="X374" s="1" t="inlineStr">
        <is>
          <t>brain/body scaling</t>
        </is>
      </c>
      <c r="Y374" s="13"/>
      <c r="Z374" s="13"/>
      <c r="AA374" s="13"/>
      <c r="AB374" s="1" t="inlineStr">
        <is>
          <t>metabolic / brain-body scaling</t>
        </is>
      </c>
      <c r="AC374" s="13"/>
      <c r="AD374" s="13"/>
      <c r="AE374" s="1" t="inlineStr">
        <is>
          <t>secondary</t>
        </is>
      </c>
      <c r="AF374" s="1"/>
      <c r="AG374" s="13"/>
    </row>
    <row r="375" ht="17" customHeight="1">
      <c r="A375" s="1" t="inlineStr">
        <is>
          <t>Kaufman, J. A. (2004). Pattern and scaling of regional cerebral glucose metabolism in mammals (Publication No. 3147447) [Doctoral dissertation, Washington University in St. Louis]. ProQuest Dissertations &amp; Theses Global.</t>
        </is>
      </c>
      <c r="B375" s="13"/>
      <c r="C375" s="1" t="inlineStr">
        <is>
          <t>UMI:3147447</t>
        </is>
      </c>
      <c r="D375" s="1" t="inlineStr">
        <is>
          <t>Table A14</t>
        </is>
      </c>
      <c r="E375" s="10" t="str">
        <f>SUBSTITUTE(SUBSTITUTE(_xlfn.TEXTBEFORE(A375,","), "-", ""), " ", "")</f>
        <v>Kaufman</v>
      </c>
      <c r="F375" s="10"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5" s="10" t="str">
        <f>_xlfn.TEXTBEFORE(_xlfn.TEXTAFTER(A375, "("), ")")</f>
        <v>2004</v>
      </c>
      <c r="H375" s="10" t="str">
        <f>E375 &amp; IF(F375&lt;&gt;"", "_" &amp; SUBSTITUTE(F375," ",""), "_") &amp; IF(G375&lt;&gt;"", "_" &amp; G375, "_") &amp; IF(B375&lt;&gt;"", "_" &amp; B375, "")</f>
        <v>Kaufman__2004</v>
      </c>
      <c r="I375" s="10" t="str">
        <f>_xlfn.LET(
_xlpm.doi,IF(C375&lt;&gt;"",C375,_xlfn.TEXTAFTER(A375,"https://doi.org/")),
SUBSTITUTE(
SUBSTITUTE(
SUBSTITUTE(
SUBSTITUTE(
_xlpm.doi,
"/","%2F"),
":","%3A"),
"&lt;","%3C"),
"&gt;","%3E")
)</f>
        <v>UMI%3A3147447</v>
      </c>
      <c r="J375" s="10" t="str">
        <f>TRIM(_xlfn.TEXTJOIN("_",FALSE(),H375,(SUBSTITUTE(SUBSTITUTE(D375," ",""), "_", ""))))</f>
        <v>Kaufman__2004_TableA14</v>
      </c>
      <c r="K375" s="10" t="str">
        <f>I375 &amp; "_" &amp; SUBSTITUTE(SUBSTITUTE(SUBSTITUTE(D375,CHAR(160),"")," ",""),"_","")</f>
        <v>UMI%3A3147447_TableA14</v>
      </c>
      <c r="L375" s="10" t="str">
        <f t="array" ref="L375">IFERROR(INDEX(AUTO_Public_TSV_FileList!$A$1:$A$1000,MATCH(TRUE(),EXACT(K375,IFERROR(_xlfn.TEXTBEFORE(AUTO_Public_TSV_FileList!$A$1:$A$1000,".tsv"),"")),0)),"notfound")</f>
        <v>UMI%3A3147447_TableA14.tsv</v>
      </c>
      <c r="M375" s="1" t="inlineStr">
        <is>
          <t>Table A14. Whole Brain CM R and CBF (direct measurement)</t>
        </is>
      </c>
      <c r="N375" s="1" t="inlineStr">
        <is>
          <t>table</t>
        </is>
      </c>
      <c r="O375" s="13"/>
      <c r="P375" s="1" t="inlineStr">
        <is>
          <t>FINISHED</t>
        </is>
      </c>
      <c r="Q375" s="1"/>
      <c r="R375" s="13"/>
      <c r="S375" s="13"/>
      <c r="T375" s="13"/>
      <c r="U375" s="13"/>
      <c r="V375" s="13"/>
      <c r="W375" s="1" t="inlineStr">
        <is>
          <t>Mammals</t>
        </is>
      </c>
      <c r="X375" s="1" t="inlineStr">
        <is>
          <t>brain/body scaling</t>
        </is>
      </c>
      <c r="Y375" s="13"/>
      <c r="Z375" s="13"/>
      <c r="AA375" s="13"/>
      <c r="AB375" s="1" t="inlineStr">
        <is>
          <t>metabolic / brain-body scaling</t>
        </is>
      </c>
      <c r="AC375" s="13"/>
      <c r="AD375" s="13"/>
      <c r="AE375" s="1" t="inlineStr">
        <is>
          <t>secondary</t>
        </is>
      </c>
      <c r="AF375" s="1"/>
      <c r="AG375" s="13"/>
    </row>
    <row r="376" ht="17" customHeight="1">
      <c r="A376" s="1" t="inlineStr">
        <is>
          <t>Kaufman, J. A. (2004). Pattern and scaling of regional cerebral glucose metabolism in mammals (Publication No. 3147447) [Doctoral dissertation, Washington University in St. Louis]. ProQuest Dissertations &amp; Theses Global.</t>
        </is>
      </c>
      <c r="B376" s="13"/>
      <c r="C376" s="1" t="inlineStr">
        <is>
          <t>UMI:3147447</t>
        </is>
      </c>
      <c r="D376" s="1" t="inlineStr">
        <is>
          <t>Table A15</t>
        </is>
      </c>
      <c r="E376" s="10" t="str">
        <f>SUBSTITUTE(SUBSTITUTE(_xlfn.TEXTBEFORE(A376,","), "-", ""), " ", "")</f>
        <v>Kaufman</v>
      </c>
      <c r="F376" s="10"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6" s="10" t="str">
        <f>_xlfn.TEXTBEFORE(_xlfn.TEXTAFTER(A376, "("), ")")</f>
        <v>2004</v>
      </c>
      <c r="H376" s="10" t="str">
        <f>E376 &amp; IF(F376&lt;&gt;"", "_" &amp; SUBSTITUTE(F376," ",""), "_") &amp; IF(G376&lt;&gt;"", "_" &amp; G376, "_") &amp; IF(B376&lt;&gt;"", "_" &amp; B376, "")</f>
        <v>Kaufman__2004</v>
      </c>
      <c r="I376" s="10" t="str">
        <f>_xlfn.LET(
_xlpm.doi,IF(C376&lt;&gt;"",C376,_xlfn.TEXTAFTER(A376,"https://doi.org/")),
SUBSTITUTE(
SUBSTITUTE(
SUBSTITUTE(
SUBSTITUTE(
_xlpm.doi,
"/","%2F"),
":","%3A"),
"&lt;","%3C"),
"&gt;","%3E")
)</f>
        <v>UMI%3A3147447</v>
      </c>
      <c r="J376" s="10" t="str">
        <f>TRIM(_xlfn.TEXTJOIN("_",FALSE(),H376,(SUBSTITUTE(SUBSTITUTE(D376," ",""), "_", ""))))</f>
        <v>Kaufman__2004_TableA15</v>
      </c>
      <c r="K376" s="10" t="str">
        <f>I376 &amp; "_" &amp; SUBSTITUTE(SUBSTITUTE(SUBSTITUTE(D376,CHAR(160),"")," ",""),"_","")</f>
        <v>UMI%3A3147447_TableA15</v>
      </c>
      <c r="L376" s="10" t="str">
        <f t="array" ref="L376">IFERROR(INDEX(AUTO_Public_TSV_FileList!$A$1:$A$1000,MATCH(TRUE(),EXACT(K376,IFERROR(_xlfn.TEXTBEFORE(AUTO_Public_TSV_FileList!$A$1:$A$1000,".tsv"),"")),0)),"notfound")</f>
        <v>UMI%3A3147447_TableA15.tsv</v>
      </c>
      <c r="M376" s="1" t="inlineStr">
        <is>
          <t>Table A15. Species Means in Conscious Subjects</t>
        </is>
      </c>
      <c r="N376" s="1" t="inlineStr">
        <is>
          <t>table</t>
        </is>
      </c>
      <c r="O376" s="13"/>
      <c r="P376" s="1" t="inlineStr">
        <is>
          <t>FINISHED</t>
        </is>
      </c>
      <c r="Q376" s="1"/>
      <c r="R376" s="13"/>
      <c r="S376" s="13"/>
      <c r="T376" s="13"/>
      <c r="U376" s="13"/>
      <c r="V376" s="13"/>
      <c r="W376" s="1" t="inlineStr">
        <is>
          <t>Mammals</t>
        </is>
      </c>
      <c r="X376" s="1" t="inlineStr">
        <is>
          <t>brain/body scaling</t>
        </is>
      </c>
      <c r="Y376" s="13"/>
      <c r="Z376" s="13"/>
      <c r="AA376" s="13"/>
      <c r="AB376" s="1" t="inlineStr">
        <is>
          <t>metabolic / brain-body scaling</t>
        </is>
      </c>
      <c r="AC376" s="13"/>
      <c r="AD376" s="13"/>
      <c r="AE376" s="1" t="inlineStr">
        <is>
          <t>secondary</t>
        </is>
      </c>
      <c r="AF376" s="1"/>
      <c r="AG376" s="13"/>
    </row>
    <row r="377" ht="17" customHeight="1">
      <c r="A377" s="1" t="inlineStr">
        <is>
          <t>Kaufman, J. A. (2004). Pattern and scaling of regional cerebral glucose metabolism in mammals (Publication No. 3147447) [Doctoral dissertation, Washington University in St. Louis]. ProQuest Dissertations &amp; Theses Global.</t>
        </is>
      </c>
      <c r="B377" s="13"/>
      <c r="C377" s="1" t="inlineStr">
        <is>
          <t>UMI:3147447</t>
        </is>
      </c>
      <c r="D377" s="1" t="inlineStr">
        <is>
          <t>Table A2</t>
        </is>
      </c>
      <c r="E377" s="10" t="str">
        <f>SUBSTITUTE(SUBSTITUTE(_xlfn.TEXTBEFORE(A377,","), "-", ""), " ", "")</f>
        <v>Kaufman</v>
      </c>
      <c r="F377" s="10"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7" s="10" t="str">
        <f>_xlfn.TEXTBEFORE(_xlfn.TEXTAFTER(A377, "("), ")")</f>
        <v>2004</v>
      </c>
      <c r="H377" s="10" t="str">
        <f>E377 &amp; IF(F377&lt;&gt;"", "_" &amp; SUBSTITUTE(F377," ",""), "_") &amp; IF(G377&lt;&gt;"", "_" &amp; G377, "_") &amp; IF(B377&lt;&gt;"", "_" &amp; B377, "")</f>
        <v>Kaufman__2004</v>
      </c>
      <c r="I377" s="10" t="str">
        <f>_xlfn.LET(
_xlpm.doi,IF(C377&lt;&gt;"",C377,_xlfn.TEXTAFTER(A377,"https://doi.org/")),
SUBSTITUTE(
SUBSTITUTE(
SUBSTITUTE(
SUBSTITUTE(
_xlpm.doi,
"/","%2F"),
":","%3A"),
"&lt;","%3C"),
"&gt;","%3E")
)</f>
        <v>UMI%3A3147447</v>
      </c>
      <c r="J377" s="10" t="str">
        <f>TRIM(_xlfn.TEXTJOIN("_",FALSE(),H377,(SUBSTITUTE(SUBSTITUTE(D377," ",""), "_", ""))))</f>
        <v>Kaufman__2004_TableA2</v>
      </c>
      <c r="K377" s="10" t="str">
        <f>I377 &amp; "_" &amp; SUBSTITUTE(SUBSTITUTE(SUBSTITUTE(D377,CHAR(160),"")," ",""),"_","")</f>
        <v>UMI%3A3147447_TableA2</v>
      </c>
      <c r="L377" s="10" t="str">
        <f t="array" ref="L377">IFERROR(INDEX(AUTO_Public_TSV_FileList!$A$1:$A$1000,MATCH(TRUE(),EXACT(K377,IFERROR(_xlfn.TEXTBEFORE(AUTO_Public_TSV_FileList!$A$1:$A$1000,".tsv"),"")),0)),"notfound")</f>
        <v>UMI%3A3147447_TableA2.tsv</v>
      </c>
      <c r="M377" s="1" t="inlineStr">
        <is>
          <t>Table A2. Hippocampus rCMR and rCBF</t>
        </is>
      </c>
      <c r="N377" s="1" t="inlineStr">
        <is>
          <t>table</t>
        </is>
      </c>
      <c r="O377" s="13"/>
      <c r="P377" s="1" t="inlineStr">
        <is>
          <t>FINISHED</t>
        </is>
      </c>
      <c r="Q377" s="1"/>
      <c r="R377" s="13"/>
      <c r="S377" s="13"/>
      <c r="T377" s="13"/>
      <c r="U377" s="13"/>
      <c r="V377" s="13"/>
      <c r="W377" s="1" t="inlineStr">
        <is>
          <t>Mammals</t>
        </is>
      </c>
      <c r="X377" s="1" t="inlineStr">
        <is>
          <t>brain/body scaling</t>
        </is>
      </c>
      <c r="Y377" s="13"/>
      <c r="Z377" s="13"/>
      <c r="AA377" s="13"/>
      <c r="AB377" s="1" t="inlineStr">
        <is>
          <t>metabolic / brain-body scaling</t>
        </is>
      </c>
      <c r="AC377" s="13"/>
      <c r="AD377" s="13"/>
      <c r="AE377" s="1" t="inlineStr">
        <is>
          <t>secondary</t>
        </is>
      </c>
      <c r="AF377" s="1"/>
      <c r="AG377" s="13"/>
    </row>
    <row r="378" ht="17" customHeight="1">
      <c r="A378" s="1" t="inlineStr">
        <is>
          <t>Kaufman, J. A. (2004). Pattern and scaling of regional cerebral glucose metabolism in mammals (Publication No. 3147447) [Doctoral dissertation, Washington University in St. Louis]. ProQuest Dissertations &amp; Theses Global.</t>
        </is>
      </c>
      <c r="B378" s="13"/>
      <c r="C378" s="1" t="inlineStr">
        <is>
          <t>UMI:3147447</t>
        </is>
      </c>
      <c r="D378" s="1" t="inlineStr">
        <is>
          <t>Table A3</t>
        </is>
      </c>
      <c r="E378" s="10" t="str">
        <f>SUBSTITUTE(SUBSTITUTE(_xlfn.TEXTBEFORE(A378,","), "-", ""), " ", "")</f>
        <v>Kaufman</v>
      </c>
      <c r="F378" s="10"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8" s="10" t="str">
        <f>_xlfn.TEXTBEFORE(_xlfn.TEXTAFTER(A378, "("), ")")</f>
        <v>2004</v>
      </c>
      <c r="H378" s="10" t="str">
        <f>E378 &amp; IF(F378&lt;&gt;"", "_" &amp; SUBSTITUTE(F378," ",""), "_") &amp; IF(G378&lt;&gt;"", "_" &amp; G378, "_") &amp; IF(B378&lt;&gt;"", "_" &amp; B378, "")</f>
        <v>Kaufman__2004</v>
      </c>
      <c r="I378" s="10" t="str">
        <f>_xlfn.LET(
_xlpm.doi,IF(C378&lt;&gt;"",C378,_xlfn.TEXTAFTER(A378,"https://doi.org/")),
SUBSTITUTE(
SUBSTITUTE(
SUBSTITUTE(
SUBSTITUTE(
_xlpm.doi,
"/","%2F"),
":","%3A"),
"&lt;","%3C"),
"&gt;","%3E")
)</f>
        <v>UMI%3A3147447</v>
      </c>
      <c r="J378" s="10" t="str">
        <f>TRIM(_xlfn.TEXTJOIN("_",FALSE(),H378,(SUBSTITUTE(SUBSTITUTE(D378," ",""), "_", ""))))</f>
        <v>Kaufman__2004_TableA3</v>
      </c>
      <c r="K378" s="10" t="str">
        <f>I378 &amp; "_" &amp; SUBSTITUTE(SUBSTITUTE(SUBSTITUTE(D378,CHAR(160),"")," ",""),"_","")</f>
        <v>UMI%3A3147447_TableA3</v>
      </c>
      <c r="L378" s="10" t="str">
        <f t="array" ref="L378">IFERROR(INDEX(AUTO_Public_TSV_FileList!$A$1:$A$1000,MATCH(TRUE(),EXACT(K378,IFERROR(_xlfn.TEXTBEFORE(AUTO_Public_TSV_FileList!$A$1:$A$1000,".tsv"),"")),0)),"notfound")</f>
        <v>UMI%3A3147447_TableA3.tsv</v>
      </c>
      <c r="M378" s="1" t="inlineStr">
        <is>
          <t>Table A3. Thalamus rCMR and rCBF</t>
        </is>
      </c>
      <c r="N378" s="1" t="inlineStr">
        <is>
          <t>table</t>
        </is>
      </c>
      <c r="O378" s="13"/>
      <c r="P378" s="1" t="inlineStr">
        <is>
          <t>FINISHED</t>
        </is>
      </c>
      <c r="Q378" s="1"/>
      <c r="R378" s="13"/>
      <c r="S378" s="13"/>
      <c r="T378" s="13"/>
      <c r="U378" s="13"/>
      <c r="V378" s="13"/>
      <c r="W378" s="1" t="inlineStr">
        <is>
          <t>Mammals</t>
        </is>
      </c>
      <c r="X378" s="1" t="inlineStr">
        <is>
          <t>brain/body scaling</t>
        </is>
      </c>
      <c r="Y378" s="13"/>
      <c r="Z378" s="13"/>
      <c r="AA378" s="13"/>
      <c r="AB378" s="1" t="inlineStr">
        <is>
          <t>metabolic / brain-body scaling</t>
        </is>
      </c>
      <c r="AC378" s="13"/>
      <c r="AD378" s="13"/>
      <c r="AE378" s="1" t="inlineStr">
        <is>
          <t>secondary</t>
        </is>
      </c>
      <c r="AF378" s="1"/>
      <c r="AG378" s="13"/>
    </row>
    <row r="379" ht="17" customHeight="1">
      <c r="A379" s="1" t="inlineStr">
        <is>
          <t>Kaufman, J. A. (2004). Pattern and scaling of regional cerebral glucose metabolism in mammals (Publication No. 3147447) [Doctoral dissertation, Washington University in St. Louis]. ProQuest Dissertations &amp; Theses Global.</t>
        </is>
      </c>
      <c r="B379" s="13"/>
      <c r="C379" s="1" t="inlineStr">
        <is>
          <t>UMI:3147447</t>
        </is>
      </c>
      <c r="D379" s="1" t="inlineStr">
        <is>
          <t>Table A4</t>
        </is>
      </c>
      <c r="E379" s="10" t="str">
        <f>SUBSTITUTE(SUBSTITUTE(_xlfn.TEXTBEFORE(A379,","), "-", ""), " ", "")</f>
        <v>Kaufman</v>
      </c>
      <c r="F379" s="10"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9" s="10" t="str">
        <f>_xlfn.TEXTBEFORE(_xlfn.TEXTAFTER(A379, "("), ")")</f>
        <v>2004</v>
      </c>
      <c r="H379" s="10" t="str">
        <f>E379 &amp; IF(F379&lt;&gt;"", "_" &amp; SUBSTITUTE(F379," ",""), "_") &amp; IF(G379&lt;&gt;"", "_" &amp; G379, "_") &amp; IF(B379&lt;&gt;"", "_" &amp; B379, "")</f>
        <v>Kaufman__2004</v>
      </c>
      <c r="I379" s="10" t="str">
        <f>_xlfn.LET(
_xlpm.doi,IF(C379&lt;&gt;"",C379,_xlfn.TEXTAFTER(A379,"https://doi.org/")),
SUBSTITUTE(
SUBSTITUTE(
SUBSTITUTE(
SUBSTITUTE(
_xlpm.doi,
"/","%2F"),
":","%3A"),
"&lt;","%3C"),
"&gt;","%3E")
)</f>
        <v>UMI%3A3147447</v>
      </c>
      <c r="J379" s="10" t="str">
        <f>TRIM(_xlfn.TEXTJOIN("_",FALSE(),H379,(SUBSTITUTE(SUBSTITUTE(D379," ",""), "_", ""))))</f>
        <v>Kaufman__2004_TableA4</v>
      </c>
      <c r="K379" s="10" t="str">
        <f>I379 &amp; "_" &amp; SUBSTITUTE(SUBSTITUTE(SUBSTITUTE(D379,CHAR(160),"")," ",""),"_","")</f>
        <v>UMI%3A3147447_TableA4</v>
      </c>
      <c r="L379" s="10" t="str">
        <f t="array" ref="L379">IFERROR(INDEX(AUTO_Public_TSV_FileList!$A$1:$A$1000,MATCH(TRUE(),EXACT(K379,IFERROR(_xlfn.TEXTBEFORE(AUTO_Public_TSV_FileList!$A$1:$A$1000,".tsv"),"")),0)),"notfound")</f>
        <v>UMI%3A3147447_TableA4.tsv</v>
      </c>
      <c r="M379" s="1" t="inlineStr">
        <is>
          <t>Table A4. Cerebellum rCMR and rCBF</t>
        </is>
      </c>
      <c r="N379" s="1" t="inlineStr">
        <is>
          <t>table</t>
        </is>
      </c>
      <c r="O379" s="13"/>
      <c r="P379" s="1" t="inlineStr">
        <is>
          <t>FINISHED</t>
        </is>
      </c>
      <c r="Q379" s="1"/>
      <c r="R379" s="13"/>
      <c r="S379" s="13"/>
      <c r="T379" s="13"/>
      <c r="U379" s="13"/>
      <c r="V379" s="13"/>
      <c r="W379" s="1" t="inlineStr">
        <is>
          <t>Mammals</t>
        </is>
      </c>
      <c r="X379" s="1" t="inlineStr">
        <is>
          <t>brain/body scaling</t>
        </is>
      </c>
      <c r="Y379" s="13"/>
      <c r="Z379" s="13"/>
      <c r="AA379" s="13"/>
      <c r="AB379" s="1" t="inlineStr">
        <is>
          <t>metabolic / brain-body scaling</t>
        </is>
      </c>
      <c r="AC379" s="13"/>
      <c r="AD379" s="13"/>
      <c r="AE379" s="1" t="inlineStr">
        <is>
          <t>secondary</t>
        </is>
      </c>
      <c r="AF379" s="1"/>
      <c r="AG379" s="13"/>
    </row>
    <row r="380" ht="17" customHeight="1">
      <c r="A380" s="1" t="inlineStr">
        <is>
          <t>Kaufman, J. A. (2004). Pattern and scaling of regional cerebral glucose metabolism in mammals (Publication No. 3147447) [Doctoral dissertation, Washington University in St. Louis]. ProQuest Dissertations &amp; Theses Global.</t>
        </is>
      </c>
      <c r="B380" s="13"/>
      <c r="C380" s="1" t="inlineStr">
        <is>
          <t>UMI:3147447</t>
        </is>
      </c>
      <c r="D380" s="1" t="inlineStr">
        <is>
          <t>Table A5</t>
        </is>
      </c>
      <c r="E380" s="10" t="str">
        <f>SUBSTITUTE(SUBSTITUTE(_xlfn.TEXTBEFORE(A380,","), "-", ""), " ", "")</f>
        <v>Kaufman</v>
      </c>
      <c r="F380" s="10"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0" s="10" t="str">
        <f>_xlfn.TEXTBEFORE(_xlfn.TEXTAFTER(A380, "("), ")")</f>
        <v>2004</v>
      </c>
      <c r="H380" s="10" t="str">
        <f>E380 &amp; IF(F380&lt;&gt;"", "_" &amp; SUBSTITUTE(F380," ",""), "_") &amp; IF(G380&lt;&gt;"", "_" &amp; G380, "_") &amp; IF(B380&lt;&gt;"", "_" &amp; B380, "")</f>
        <v>Kaufman__2004</v>
      </c>
      <c r="I380" s="10" t="str">
        <f>_xlfn.LET(
_xlpm.doi,IF(C380&lt;&gt;"",C380,_xlfn.TEXTAFTER(A380,"https://doi.org/")),
SUBSTITUTE(
SUBSTITUTE(
SUBSTITUTE(
SUBSTITUTE(
_xlpm.doi,
"/","%2F"),
":","%3A"),
"&lt;","%3C"),
"&gt;","%3E")
)</f>
        <v>UMI%3A3147447</v>
      </c>
      <c r="J380" s="10" t="str">
        <f>TRIM(_xlfn.TEXTJOIN("_",FALSE(),H380,(SUBSTITUTE(SUBSTITUTE(D380," ",""), "_", ""))))</f>
        <v>Kaufman__2004_TableA5</v>
      </c>
      <c r="K380" s="10" t="str">
        <f>I380 &amp; "_" &amp; SUBSTITUTE(SUBSTITUTE(SUBSTITUTE(D380,CHAR(160),"")," ",""),"_","")</f>
        <v>UMI%3A3147447_TableA5</v>
      </c>
      <c r="L380" s="10" t="str">
        <f t="array" ref="L380">IFERROR(INDEX(AUTO_Public_TSV_FileList!$A$1:$A$1000,MATCH(TRUE(),EXACT(K380,IFERROR(_xlfn.TEXTBEFORE(AUTO_Public_TSV_FileList!$A$1:$A$1000,".tsv"),"")),0)),"notfound")</f>
        <v>UMI%3A3147447_TableA5.tsv</v>
      </c>
      <c r="M380" s="1" t="inlineStr">
        <is>
          <t>Table A5. White Matter rCMR and rCBF</t>
        </is>
      </c>
      <c r="N380" s="1" t="inlineStr">
        <is>
          <t>table</t>
        </is>
      </c>
      <c r="O380" s="13"/>
      <c r="P380" s="1" t="inlineStr">
        <is>
          <t>FINISHED</t>
        </is>
      </c>
      <c r="Q380" s="1"/>
      <c r="R380" s="13"/>
      <c r="S380" s="13"/>
      <c r="T380" s="13"/>
      <c r="U380" s="13"/>
      <c r="V380" s="13"/>
      <c r="W380" s="1" t="inlineStr">
        <is>
          <t>Mammals</t>
        </is>
      </c>
      <c r="X380" s="1" t="inlineStr">
        <is>
          <t>brain/body scaling</t>
        </is>
      </c>
      <c r="Y380" s="13"/>
      <c r="Z380" s="13"/>
      <c r="AA380" s="13"/>
      <c r="AB380" s="1" t="inlineStr">
        <is>
          <t>metabolic / brain-body scaling</t>
        </is>
      </c>
      <c r="AC380" s="13"/>
      <c r="AD380" s="13"/>
      <c r="AE380" s="1" t="inlineStr">
        <is>
          <t>secondary</t>
        </is>
      </c>
      <c r="AF380" s="1"/>
      <c r="AG380" s="13"/>
    </row>
    <row r="381" ht="17" customHeight="1">
      <c r="A381" s="1" t="inlineStr">
        <is>
          <t>Kaufman, J. A. (2004). Pattern and scaling of regional cerebral glucose metabolism in mammals (Publication No. 3147447) [Doctoral dissertation, Washington University in St. Louis]. ProQuest Dissertations &amp; Theses Global.</t>
        </is>
      </c>
      <c r="B381" s="13"/>
      <c r="C381" s="1" t="inlineStr">
        <is>
          <t>UMI:3147447</t>
        </is>
      </c>
      <c r="D381" s="1" t="inlineStr">
        <is>
          <t>Table A6</t>
        </is>
      </c>
      <c r="E381" s="10" t="str">
        <f>SUBSTITUTE(SUBSTITUTE(_xlfn.TEXTBEFORE(A381,","), "-", ""), " ", "")</f>
        <v>Kaufman</v>
      </c>
      <c r="F381" s="10"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1" s="10" t="str">
        <f>_xlfn.TEXTBEFORE(_xlfn.TEXTAFTER(A381, "("), ")")</f>
        <v>2004</v>
      </c>
      <c r="H381" s="10" t="str">
        <f>E381 &amp; IF(F381&lt;&gt;"", "_" &amp; SUBSTITUTE(F381," ",""), "_") &amp; IF(G381&lt;&gt;"", "_" &amp; G381, "_") &amp; IF(B381&lt;&gt;"", "_" &amp; B381, "")</f>
        <v>Kaufman__2004</v>
      </c>
      <c r="I381" s="10" t="str">
        <f>_xlfn.LET(
_xlpm.doi,IF(C381&lt;&gt;"",C381,_xlfn.TEXTAFTER(A381,"https://doi.org/")),
SUBSTITUTE(
SUBSTITUTE(
SUBSTITUTE(
SUBSTITUTE(
_xlpm.doi,
"/","%2F"),
":","%3A"),
"&lt;","%3C"),
"&gt;","%3E")
)</f>
        <v>UMI%3A3147447</v>
      </c>
      <c r="J381" s="10" t="str">
        <f>TRIM(_xlfn.TEXTJOIN("_",FALSE(),H381,(SUBSTITUTE(SUBSTITUTE(D381," ",""), "_", ""))))</f>
        <v>Kaufman__2004_TableA6</v>
      </c>
      <c r="K381" s="10" t="str">
        <f>I381 &amp; "_" &amp; SUBSTITUTE(SUBSTITUTE(SUBSTITUTE(D381,CHAR(160),"")," ",""),"_","")</f>
        <v>UMI%3A3147447_TableA6</v>
      </c>
      <c r="L381" s="10" t="str">
        <f t="array" ref="L381">IFERROR(INDEX(AUTO_Public_TSV_FileList!$A$1:$A$1000,MATCH(TRUE(),EXACT(K381,IFERROR(_xlfn.TEXTBEFORE(AUTO_Public_TSV_FileList!$A$1:$A$1000,".tsv"),"")),0)),"notfound")</f>
        <v>UMI%3A3147447_TableA6.tsv</v>
      </c>
      <c r="M381" s="1" t="inlineStr">
        <is>
          <t>Table A6. Neocortex rCMR and rCBF</t>
        </is>
      </c>
      <c r="N381" s="1" t="inlineStr">
        <is>
          <t>table</t>
        </is>
      </c>
      <c r="O381" s="13"/>
      <c r="P381" s="1" t="inlineStr">
        <is>
          <t>FINISHED</t>
        </is>
      </c>
      <c r="Q381" s="1"/>
      <c r="R381" s="13"/>
      <c r="S381" s="13"/>
      <c r="T381" s="13"/>
      <c r="U381" s="13"/>
      <c r="V381" s="13"/>
      <c r="W381" s="1" t="inlineStr">
        <is>
          <t>Mammals</t>
        </is>
      </c>
      <c r="X381" s="1" t="inlineStr">
        <is>
          <t>brain/body scaling</t>
        </is>
      </c>
      <c r="Y381" s="13"/>
      <c r="Z381" s="13"/>
      <c r="AA381" s="13"/>
      <c r="AB381" s="1" t="inlineStr">
        <is>
          <t>metabolic / brain-body scaling</t>
        </is>
      </c>
      <c r="AC381" s="13"/>
      <c r="AD381" s="13"/>
      <c r="AE381" s="1" t="inlineStr">
        <is>
          <t>secondary</t>
        </is>
      </c>
      <c r="AF381" s="1"/>
      <c r="AG381" s="13"/>
    </row>
    <row r="382" ht="17" customHeight="1">
      <c r="A382" s="1" t="inlineStr">
        <is>
          <t>Kaufman, J. A. (2004). Pattern and scaling of regional cerebral glucose metabolism in mammals (Publication No. 3147447) [Doctoral dissertation, Washington University in St. Louis]. ProQuest Dissertations &amp; Theses Global.</t>
        </is>
      </c>
      <c r="B382" s="13"/>
      <c r="C382" s="1" t="inlineStr">
        <is>
          <t>UMI:3147447</t>
        </is>
      </c>
      <c r="D382" s="1" t="inlineStr">
        <is>
          <t>Table A7</t>
        </is>
      </c>
      <c r="E382" s="10" t="str">
        <f>SUBSTITUTE(SUBSTITUTE(_xlfn.TEXTBEFORE(A382,","), "-", ""), " ", "")</f>
        <v>Kaufman</v>
      </c>
      <c r="F382" s="10"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2" s="10" t="str">
        <f>_xlfn.TEXTBEFORE(_xlfn.TEXTAFTER(A382, "("), ")")</f>
        <v>2004</v>
      </c>
      <c r="H382" s="10" t="str">
        <f>E382 &amp; IF(F382&lt;&gt;"", "_" &amp; SUBSTITUTE(F382," ",""), "_") &amp; IF(G382&lt;&gt;"", "_" &amp; G382, "_") &amp; IF(B382&lt;&gt;"", "_" &amp; B382, "")</f>
        <v>Kaufman__2004</v>
      </c>
      <c r="I382" s="10" t="str">
        <f>_xlfn.LET(
_xlpm.doi,IF(C382&lt;&gt;"",C382,_xlfn.TEXTAFTER(A382,"https://doi.org/")),
SUBSTITUTE(
SUBSTITUTE(
SUBSTITUTE(
SUBSTITUTE(
_xlpm.doi,
"/","%2F"),
":","%3A"),
"&lt;","%3C"),
"&gt;","%3E")
)</f>
        <v>UMI%3A3147447</v>
      </c>
      <c r="J382" s="10" t="str">
        <f>TRIM(_xlfn.TEXTJOIN("_",FALSE(),H382,(SUBSTITUTE(SUBSTITUTE(D382," ",""), "_", ""))))</f>
        <v>Kaufman__2004_TableA7</v>
      </c>
      <c r="K382" s="10" t="str">
        <f>I382 &amp; "_" &amp; SUBSTITUTE(SUBSTITUTE(SUBSTITUTE(D382,CHAR(160),"")," ",""),"_","")</f>
        <v>UMI%3A3147447_TableA7</v>
      </c>
      <c r="L382" s="10" t="str">
        <f t="array" ref="L382">IFERROR(INDEX(AUTO_Public_TSV_FileList!$A$1:$A$1000,MATCH(TRUE(),EXACT(K382,IFERROR(_xlfn.TEXTBEFORE(AUTO_Public_TSV_FileList!$A$1:$A$1000,".tsv"),"")),0)),"notfound")</f>
        <v>UMI%3A3147447_TableA7.tsv</v>
      </c>
      <c r="M382" s="1" t="inlineStr">
        <is>
          <t>Table A7. Frontal Cortex rCMR and rCBF</t>
        </is>
      </c>
      <c r="N382" s="1" t="inlineStr">
        <is>
          <t>table</t>
        </is>
      </c>
      <c r="O382" s="13"/>
      <c r="P382" s="1" t="inlineStr">
        <is>
          <t>FINISHED</t>
        </is>
      </c>
      <c r="Q382" s="1"/>
      <c r="R382" s="13"/>
      <c r="S382" s="13"/>
      <c r="T382" s="13"/>
      <c r="U382" s="13"/>
      <c r="V382" s="13"/>
      <c r="W382" s="1" t="inlineStr">
        <is>
          <t>Mammals</t>
        </is>
      </c>
      <c r="X382" s="1" t="inlineStr">
        <is>
          <t>brain/body scaling</t>
        </is>
      </c>
      <c r="Y382" s="13"/>
      <c r="Z382" s="13"/>
      <c r="AA382" s="13"/>
      <c r="AB382" s="1" t="inlineStr">
        <is>
          <t>metabolic / brain-body scaling</t>
        </is>
      </c>
      <c r="AC382" s="13"/>
      <c r="AD382" s="13"/>
      <c r="AE382" s="1" t="inlineStr">
        <is>
          <t>secondary</t>
        </is>
      </c>
      <c r="AF382" s="1"/>
      <c r="AG382" s="13"/>
    </row>
    <row r="383" ht="17" customHeight="1">
      <c r="A383" s="1" t="inlineStr">
        <is>
          <t>Kaufman, J. A. (2004). Pattern and scaling of regional cerebral glucose metabolism in mammals (Publication No. 3147447) [Doctoral dissertation, Washington University in St. Louis]. ProQuest Dissertations &amp; Theses Global.</t>
        </is>
      </c>
      <c r="B383" s="13"/>
      <c r="C383" s="1" t="inlineStr">
        <is>
          <t>UMI:3147447</t>
        </is>
      </c>
      <c r="D383" s="1" t="inlineStr">
        <is>
          <t>Table A8</t>
        </is>
      </c>
      <c r="E383" s="10" t="str">
        <f>SUBSTITUTE(SUBSTITUTE(_xlfn.TEXTBEFORE(A383,","), "-", ""), " ", "")</f>
        <v>Kaufman</v>
      </c>
      <c r="F383" s="10"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3" s="10" t="str">
        <f>_xlfn.TEXTBEFORE(_xlfn.TEXTAFTER(A383, "("), ")")</f>
        <v>2004</v>
      </c>
      <c r="H383" s="10" t="str">
        <f>E383 &amp; IF(F383&lt;&gt;"", "_" &amp; SUBSTITUTE(F383," ",""), "_") &amp; IF(G383&lt;&gt;"", "_" &amp; G383, "_") &amp; IF(B383&lt;&gt;"", "_" &amp; B383, "")</f>
        <v>Kaufman__2004</v>
      </c>
      <c r="I383" s="10" t="str">
        <f>_xlfn.LET(
_xlpm.doi,IF(C383&lt;&gt;"",C383,_xlfn.TEXTAFTER(A383,"https://doi.org/")),
SUBSTITUTE(
SUBSTITUTE(
SUBSTITUTE(
SUBSTITUTE(
_xlpm.doi,
"/","%2F"),
":","%3A"),
"&lt;","%3C"),
"&gt;","%3E")
)</f>
        <v>UMI%3A3147447</v>
      </c>
      <c r="J383" s="10" t="str">
        <f>TRIM(_xlfn.TEXTJOIN("_",FALSE(),H383,(SUBSTITUTE(SUBSTITUTE(D383," ",""), "_", ""))))</f>
        <v>Kaufman__2004_TableA8</v>
      </c>
      <c r="K383" s="10" t="str">
        <f>I383 &amp; "_" &amp; SUBSTITUTE(SUBSTITUTE(SUBSTITUTE(D383,CHAR(160),"")," ",""),"_","")</f>
        <v>UMI%3A3147447_TableA8</v>
      </c>
      <c r="L383" s="10" t="str">
        <f t="array" ref="L383">IFERROR(INDEX(AUTO_Public_TSV_FileList!$A$1:$A$1000,MATCH(TRUE(),EXACT(K383,IFERROR(_xlfn.TEXTBEFORE(AUTO_Public_TSV_FileList!$A$1:$A$1000,".tsv"),"")),0)),"notfound")</f>
        <v>UMI%3A3147447_TableA8.tsv</v>
      </c>
      <c r="M383" s="1" t="inlineStr">
        <is>
          <t>Table A8. Parietal Cortex rCMR and rCBF</t>
        </is>
      </c>
      <c r="N383" s="1" t="inlineStr">
        <is>
          <t>table</t>
        </is>
      </c>
      <c r="O383" s="13"/>
      <c r="P383" s="1" t="inlineStr">
        <is>
          <t>FINISHED</t>
        </is>
      </c>
      <c r="Q383" s="1"/>
      <c r="R383" s="13"/>
      <c r="S383" s="13"/>
      <c r="T383" s="13"/>
      <c r="U383" s="13"/>
      <c r="V383" s="13"/>
      <c r="W383" s="1" t="inlineStr">
        <is>
          <t>Mammals</t>
        </is>
      </c>
      <c r="X383" s="1" t="inlineStr">
        <is>
          <t>brain/body scaling</t>
        </is>
      </c>
      <c r="Y383" s="13"/>
      <c r="Z383" s="13"/>
      <c r="AA383" s="13"/>
      <c r="AB383" s="1" t="inlineStr">
        <is>
          <t>metabolic / brain-body scaling</t>
        </is>
      </c>
      <c r="AC383" s="13"/>
      <c r="AD383" s="13"/>
      <c r="AE383" s="1" t="inlineStr">
        <is>
          <t>secondary</t>
        </is>
      </c>
      <c r="AF383" s="1"/>
      <c r="AG383" s="13"/>
    </row>
    <row r="384" ht="17" customHeight="1">
      <c r="A384" s="1" t="inlineStr">
        <is>
          <t>Kaufman, J. A. (2004). Pattern and scaling of regional cerebral glucose metabolism in mammals (Publication No. 3147447) [Doctoral dissertation, Washington University in St. Louis]. ProQuest Dissertations &amp; Theses Global.</t>
        </is>
      </c>
      <c r="B384" s="13"/>
      <c r="C384" s="1" t="inlineStr">
        <is>
          <t>UMI:3147447</t>
        </is>
      </c>
      <c r="D384" s="1" t="inlineStr">
        <is>
          <t>Table A9</t>
        </is>
      </c>
      <c r="E384" s="10" t="str">
        <f>SUBSTITUTE(SUBSTITUTE(_xlfn.TEXTBEFORE(A384,","), "-", ""), " ", "")</f>
        <v>Kaufman</v>
      </c>
      <c r="F384" s="10"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4" s="10" t="str">
        <f>_xlfn.TEXTBEFORE(_xlfn.TEXTAFTER(A384, "("), ")")</f>
        <v>2004</v>
      </c>
      <c r="H384" s="10" t="str">
        <f>E384 &amp; IF(F384&lt;&gt;"", "_" &amp; SUBSTITUTE(F384," ",""), "_") &amp; IF(G384&lt;&gt;"", "_" &amp; G384, "_") &amp; IF(B384&lt;&gt;"", "_" &amp; B384, "")</f>
        <v>Kaufman__2004</v>
      </c>
      <c r="I384" s="10" t="str">
        <f>_xlfn.LET(
_xlpm.doi,IF(C384&lt;&gt;"",C384,_xlfn.TEXTAFTER(A384,"https://doi.org/")),
SUBSTITUTE(
SUBSTITUTE(
SUBSTITUTE(
SUBSTITUTE(
_xlpm.doi,
"/","%2F"),
":","%3A"),
"&lt;","%3C"),
"&gt;","%3E")
)</f>
        <v>UMI%3A3147447</v>
      </c>
      <c r="J384" s="10" t="str">
        <f>TRIM(_xlfn.TEXTJOIN("_",FALSE(),H384,(SUBSTITUTE(SUBSTITUTE(D384," ",""), "_", ""))))</f>
        <v>Kaufman__2004_TableA9</v>
      </c>
      <c r="K384" s="10" t="str">
        <f>I384 &amp; "_" &amp; SUBSTITUTE(SUBSTITUTE(SUBSTITUTE(D384,CHAR(160),"")," ",""),"_","")</f>
        <v>UMI%3A3147447_TableA9</v>
      </c>
      <c r="L384" s="10" t="str">
        <f t="array" ref="L384">IFERROR(INDEX(AUTO_Public_TSV_FileList!$A$1:$A$1000,MATCH(TRUE(),EXACT(K384,IFERROR(_xlfn.TEXTBEFORE(AUTO_Public_TSV_FileList!$A$1:$A$1000,".tsv"),"")),0)),"notfound")</f>
        <v>UMI%3A3147447_TableA9.tsv</v>
      </c>
      <c r="M384" s="1" t="inlineStr">
        <is>
          <t>Table A9. Temporal Cortex rCMR and rCBF</t>
        </is>
      </c>
      <c r="N384" s="1" t="inlineStr">
        <is>
          <t>table</t>
        </is>
      </c>
      <c r="O384" s="13"/>
      <c r="P384" s="1" t="inlineStr">
        <is>
          <t>FINISHED</t>
        </is>
      </c>
      <c r="Q384" s="1"/>
      <c r="R384" s="13"/>
      <c r="S384" s="13"/>
      <c r="T384" s="13"/>
      <c r="U384" s="13"/>
      <c r="V384" s="13"/>
      <c r="W384" s="1" t="inlineStr">
        <is>
          <t>Mammals</t>
        </is>
      </c>
      <c r="X384" s="1" t="inlineStr">
        <is>
          <t>brain/body scaling</t>
        </is>
      </c>
      <c r="Y384" s="13"/>
      <c r="Z384" s="13"/>
      <c r="AA384" s="13"/>
      <c r="AB384" s="1" t="inlineStr">
        <is>
          <t>metabolic / brain-body scaling</t>
        </is>
      </c>
      <c r="AC384" s="13"/>
      <c r="AD384" s="13"/>
      <c r="AE384" s="1" t="inlineStr">
        <is>
          <t>secondary</t>
        </is>
      </c>
      <c r="AF384" s="1"/>
      <c r="AG384" s="13"/>
    </row>
    <row r="385" ht="17" customHeight="1">
      <c r="A385" s="1" t="inlineStr">
        <is>
          <t>Kay, R. F., Organ, C. L., Morse, P. E., Allen, K. L., &amp; Kirk, E. C. (2026). Fossil evidence favors a role for vision in the modular evolution of the primate neocortex. Science, 393(6811), 622-627. https://doi.org/10.1126/science.aee3541</t>
        </is>
      </c>
      <c r="B385" s="13"/>
      <c r="C385" s="1"/>
      <c r="D385" s="1" t="inlineStr">
        <is>
          <t>Data S1</t>
        </is>
      </c>
      <c r="E385" s="10" t="str">
        <f>SUBSTITUTE(SUBSTITUTE(_xlfn.TEXTBEFORE(A385,","), "-", ""), " ", "")</f>
        <v>Kay</v>
      </c>
      <c r="F385" s="10"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10" t="str">
        <f>_xlfn.TEXTBEFORE(_xlfn.TEXTAFTER(A385, "("), ")")</f>
        <v>2026</v>
      </c>
      <c r="H385" s="10" t="str">
        <f>E385 &amp; IF(F385&lt;&gt;"", "_" &amp; SUBSTITUTE(F385," ",""), "_") &amp; IF(G385&lt;&gt;"", "_" &amp; G385, "_") &amp; IF(B385&lt;&gt;"", "_" &amp; B385, "")</f>
        <v>Kay_etal_2026</v>
      </c>
      <c r="I385" s="10" t="str">
        <f>_xlfn.LET(
_xlpm.doi,IF(C385&lt;&gt;"",C385,_xlfn.TEXTAFTER(A385,"https://doi.org/")),
SUBSTITUTE(
SUBSTITUTE(
SUBSTITUTE(
SUBSTITUTE(
_xlpm.doi,
"/","%2F"),
":","%3A"),
"&lt;","%3C"),
"&gt;","%3E")
)</f>
        <v>10.1126%2Fscience.aee3541</v>
      </c>
      <c r="J385" s="10" t="str">
        <f>TRIM(_xlfn.TEXTJOIN("_",FALSE(),H385,(SUBSTITUTE(SUBSTITUTE(D385," ",""), "_", ""))))</f>
        <v>Kay_etal_2026_DataS1</v>
      </c>
      <c r="K385" s="10" t="str">
        <f>I385 &amp; "_" &amp; SUBSTITUTE(SUBSTITUTE(SUBSTITUTE(D385,CHAR(160),"")," ",""),"_","")</f>
        <v>10.1126%2Fscience.aee3541_DataS1</v>
      </c>
      <c r="L385" s="10" t="str">
        <f t="array" ref="L385">IFERROR(INDEX(AUTO_Public_TSV_FileList!$A$1:$A$1000,MATCH(TRUE(),EXACT(K385,IFERROR(_xlfn.TEXTBEFORE(AUTO_Public_TSV_FileList!$A$1:$A$1000,".tsv"),"")),0)),"notfound")</f>
        <v>notfound</v>
      </c>
      <c r="M385" s="1"/>
      <c r="N385" s="1"/>
      <c r="O385" s="13"/>
      <c r="P385" s="1"/>
      <c r="Q385" s="1"/>
      <c r="R385" s="13"/>
      <c r="S385" s="13"/>
      <c r="T385" s="13"/>
      <c r="U385" s="13"/>
      <c r="V385" s="13"/>
      <c r="W385" s="1"/>
      <c r="X385" s="1"/>
      <c r="Y385" s="13"/>
      <c r="Z385" s="13"/>
      <c r="AA385" s="13"/>
      <c r="AB385" s="1"/>
      <c r="AC385" s="13"/>
      <c r="AD385" s="13"/>
      <c r="AE385" s="1"/>
      <c r="AF385" s="1"/>
      <c r="AG385" s="13"/>
    </row>
    <row r="386" ht="17" customHeight="1">
      <c r="A386" s="1" t="inlineStr">
        <is>
          <t>Kazu, R. S., Maldonado, J., Mota, B., Manger, P. R., &amp; Herculano-Houzel, S. (2014). Cellular scaling rules for the brain of Artiodactyla include a highly folded cortex with few neurons. Front Neuroanat, 8, 128. https://doi.org/10.3389/fnana.2014.00128</t>
        </is>
      </c>
      <c r="B386" s="13"/>
      <c r="C386" s="13"/>
      <c r="D386" s="1" t="inlineStr">
        <is>
          <t>Table 1</t>
        </is>
      </c>
      <c r="E386" s="10" t="str">
        <f>SUBSTITUTE(SUBSTITUTE(_xlfn.TEXTBEFORE(A386,","), "-", ""), " ", "")</f>
        <v>Kazu</v>
      </c>
      <c r="F386" s="10"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10" t="str">
        <f>_xlfn.TEXTBEFORE(_xlfn.TEXTAFTER(A386, "("), ")")</f>
        <v>2014</v>
      </c>
      <c r="H386" s="10" t="str">
        <f>E386 &amp; IF(F386&lt;&gt;"", "_" &amp; SUBSTITUTE(F386," ",""), "_") &amp; IF(G386&lt;&gt;"", "_" &amp; G386, "_") &amp; IF(B386&lt;&gt;"", "_" &amp; B386, "")</f>
        <v>Kazu_etal_2014</v>
      </c>
      <c r="I386" s="10" t="str">
        <f>_xlfn.LET(
_xlpm.doi,IF(C386&lt;&gt;"",C386,_xlfn.TEXTAFTER(A386,"https://doi.org/")),
SUBSTITUTE(
SUBSTITUTE(
SUBSTITUTE(
SUBSTITUTE(
_xlpm.doi,
"/","%2F"),
":","%3A"),
"&lt;","%3C"),
"&gt;","%3E")
)</f>
        <v>10.3389%2Ffnana.2014.00128</v>
      </c>
      <c r="J386" s="10" t="str">
        <f>TRIM(_xlfn.TEXTJOIN("_",FALSE(),H386,(SUBSTITUTE(SUBSTITUTE(D386," ",""), "_", ""))))</f>
        <v>Kazu_etal_2014_Table1</v>
      </c>
      <c r="K386" s="10" t="str">
        <f>I386 &amp; "_" &amp; SUBSTITUTE(SUBSTITUTE(SUBSTITUTE(D386,CHAR(160),"")," ",""),"_","")</f>
        <v>10.3389%2Ffnana.2014.00128_Table1</v>
      </c>
      <c r="L386" s="10" t="str">
        <f t="array" ref="L386">IFERROR(INDEX(AUTO_Public_TSV_FileList!$A$1:$A$1000,MATCH(TRUE(),EXACT(K386,IFERROR(_xlfn.TEXTBEFORE(AUTO_Public_TSV_FileList!$A$1:$A$1000,".tsv"),"")),0)),"notfound")</f>
        <v>10.3389%2Ffnana.2014.00128_Table1.tsv</v>
      </c>
      <c r="M386" s="13"/>
      <c r="N386" s="1" t="inlineStr">
        <is>
          <t>table</t>
        </is>
      </c>
      <c r="O386" s="13"/>
      <c r="P386" s="1" t="inlineStr">
        <is>
          <t>FINISHED</t>
        </is>
      </c>
      <c r="Q386" s="1"/>
      <c r="R386" s="13"/>
      <c r="S386" s="13"/>
      <c r="T386" s="13"/>
      <c r="U386" s="13" t="inlineStr">
        <is>
          <t>superseded by Kazu_etal_2015_TABLE1 - do not merge</t>
        </is>
      </c>
      <c r="V386" s="13"/>
      <c r="W386" s="1" t="inlineStr">
        <is>
          <t>Artiodactyla</t>
        </is>
      </c>
      <c r="X386" s="1" t="inlineStr">
        <is>
          <t>cellular composition of artiodactyl brains, by sub-structure</t>
        </is>
      </c>
      <c r="Y386" s="13"/>
      <c r="Z386" s="13"/>
      <c r="AA386" s="1" t="inlineStr">
        <is>
          <t>isotropic fractionator</t>
        </is>
      </c>
      <c r="AB386" s="1" t="inlineStr">
        <is>
          <t>cell count</t>
        </is>
      </c>
      <c r="AC386" s="1" t="inlineStr">
        <is>
          <t>HH</t>
        </is>
      </c>
      <c r="AD386" s="13"/>
      <c r="AE386" s="1" t="inlineStr">
        <is>
          <t>primary</t>
        </is>
      </c>
      <c r="AF386" s="1"/>
      <c r="AG386" s="1" t="inlineStr">
        <is>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is>
      </c>
    </row>
    <row r="387" ht="17" customHeight="1">
      <c r="A387" s="1" t="inlineStr">
        <is>
          <t>Kazu, R. S., Maldonado, J., Mota, B., Manger, P. R., &amp; Herculano-Houzel, S. (2015). Corrigendum: Cellular scaling rules for the brain of Artiodactyla include a highly folded cortex with few neurons [General Commentary]. Frontiers in Neuroanatomy, Volume 9 - 2015. https://doi.org/10.3389/fnana.2015.00039</t>
        </is>
      </c>
      <c r="B387" s="13"/>
      <c r="C387" s="13"/>
      <c r="D387" s="1" t="inlineStr">
        <is>
          <t>TABLE 1</t>
        </is>
      </c>
      <c r="E387" s="10" t="str">
        <f>SUBSTITUTE(SUBSTITUTE(_xlfn.TEXTBEFORE(A387,","), "-", ""), " ", "")</f>
        <v>Kazu</v>
      </c>
      <c r="F387" s="10"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10" t="str">
        <f>_xlfn.TEXTBEFORE(_xlfn.TEXTAFTER(A387, "("), ")")</f>
        <v>2015</v>
      </c>
      <c r="H387" s="10" t="str">
        <f>E387 &amp; IF(F387&lt;&gt;"", "_" &amp; SUBSTITUTE(F387," ",""), "_") &amp; IF(G387&lt;&gt;"", "_" &amp; G387, "_") &amp; IF(B387&lt;&gt;"", "_" &amp; B387, "")</f>
        <v>Kazu_etal_2015</v>
      </c>
      <c r="I387" s="10" t="str">
        <f>_xlfn.LET(
_xlpm.doi,IF(C387&lt;&gt;"",C387,_xlfn.TEXTAFTER(A387,"https://doi.org/")),
SUBSTITUTE(
SUBSTITUTE(
SUBSTITUTE(
SUBSTITUTE(
_xlpm.doi,
"/","%2F"),
":","%3A"),
"&lt;","%3C"),
"&gt;","%3E")
)</f>
        <v>10.3389%2Ffnana.2015.00039</v>
      </c>
      <c r="J387" s="10" t="str">
        <f>TRIM(_xlfn.TEXTJOIN("_",FALSE(),H387,(SUBSTITUTE(SUBSTITUTE(D387," ",""), "_", ""))))</f>
        <v>Kazu_etal_2015_TABLE1</v>
      </c>
      <c r="K387" s="10" t="str">
        <f>I387 &amp; "_" &amp; SUBSTITUTE(SUBSTITUTE(SUBSTITUTE(D387,CHAR(160),"")," ",""),"_","")</f>
        <v>10.3389%2Ffnana.2015.00039_TABLE1</v>
      </c>
      <c r="L387" s="10" t="str">
        <f t="array" ref="L387">IFERROR(INDEX(AUTO_Public_TSV_FileList!$A$1:$A$1000,MATCH(TRUE(),EXACT(K387,IFERROR(_xlfn.TEXTBEFORE(AUTO_Public_TSV_FileList!$A$1:$A$1000,".tsv"),"")),0)),"notfound")</f>
        <v>10.3389%2Ffnana.2015.00039_TABLE1.tsv</v>
      </c>
      <c r="M387" s="1" t="inlineStr">
        <is>
          <t>TABLE1 | Cellular composition of Artiodactyla brains.</t>
        </is>
      </c>
      <c r="N387" s="13" t="inlineStr">
        <is>
          <t>table</t>
        </is>
      </c>
      <c r="O387" s="13"/>
      <c r="P387" s="13" t="inlineStr">
        <is>
          <t>FINISHED</t>
        </is>
      </c>
      <c r="Q387" s="13"/>
      <c r="R387" s="13"/>
      <c r="S387" s="13"/>
      <c r="T387" s="13"/>
      <c r="U387" s="13"/>
      <c r="V387" s="13"/>
      <c r="W387" s="13" t="inlineStr">
        <is>
          <t>Artiodactyla</t>
        </is>
      </c>
      <c r="X387" s="13" t="inlineStr">
        <is>
          <t>cellular composition of artiodactyl brains, by sub-structure (corrected)</t>
        </is>
      </c>
      <c r="Y387" s="13"/>
      <c r="Z387" s="13"/>
      <c r="AA387" s="1" t="inlineStr">
        <is>
          <t>isotropic fractionator</t>
        </is>
      </c>
      <c r="AB387" s="1" t="inlineStr">
        <is>
          <t>cell count</t>
        </is>
      </c>
      <c r="AC387" s="13" t="inlineStr">
        <is>
          <t>HH</t>
        </is>
      </c>
      <c r="AD387" s="13"/>
      <c r="AE387" s="13" t="inlineStr">
        <is>
          <t>primary</t>
        </is>
      </c>
      <c r="AF387" s="13"/>
      <c r="AG387" s="13" t="inlineStr">
        <is>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is>
      </c>
    </row>
    <row r="388" ht="17" customHeight="1">
      <c r="A388" s="9" t="inlineStr">
        <is>
          <t>Kelly, J. B., Kavanagh, G. L., &amp; Dalton, J. C. H. (1986). Hearing in the ferret (Mustela putorius): Thresholds for pure tone detection. Hear Res, 24(3), 269-275. https://doi.org/10.1016/0378-5955(86)90025-0</t>
        </is>
      </c>
      <c r="B388" s="9"/>
      <c r="C388" s="9"/>
      <c r="D388" s="9" t="inlineStr">
        <is>
          <t>Results Text</t>
        </is>
      </c>
      <c r="E388" s="11" t="str">
        <f>SUBSTITUTE(SUBSTITUTE(_xlfn.TEXTBEFORE(A388,","), "-", ""), " ", "")</f>
        <v>Kelly</v>
      </c>
      <c r="F388" s="10"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0" t="str">
        <f>_xlfn.TEXTBEFORE(_xlfn.TEXTAFTER(A388, "("), ")")</f>
        <v>1986</v>
      </c>
      <c r="H388" s="11" t="str">
        <f>E388 &amp; IF(F388&lt;&gt;"", "_" &amp; SUBSTITUTE(F388," ",""), "_") &amp; IF(G388&lt;&gt;"", "_" &amp; G388, "_") &amp; IF(B388&lt;&gt;"", "_" &amp; B388, "")</f>
        <v>Kelly_etal_1986</v>
      </c>
      <c r="I388" s="11" t="str">
        <f>_xlfn.LET(_xlpm.doi,IF(C388&lt;&gt;"",C388,_xlfn.TEXTAFTER(A388,"https://doi.org/")),SUBSTITUTE(SUBSTITUTE(SUBSTITUTE(SUBSTITUTE(_xlpm.doi,"/","%2F"),":","%3A"),"&lt;","%3C"),"&gt;","%3E"))</f>
        <v>10.1016%2F0378-5955(86)90025-0</v>
      </c>
      <c r="J388" s="11" t="str">
        <f>TRIM(_xlfn.TEXTJOIN("_",FALSE(),H388,(SUBSTITUTE(SUBSTITUTE(D388," ",""), "_", ""))))</f>
        <v>Kelly_etal_1986_ResultsText</v>
      </c>
      <c r="K388" s="10" t="str">
        <f>I388 &amp; "_" &amp; SUBSTITUTE(SUBSTITUTE(SUBSTITUTE(D388,CHAR(160),"")," ",""),"_","")</f>
        <v>10.1016%2F0378-5955(86)90025-0_ResultsText</v>
      </c>
      <c r="L388" s="10" t="str">
        <f t="array" ref="L388">IFERROR(INDEX(AUTO_Public_TSV_FileList!$A$1:$A$1000,MATCH(TRUE(),EXACT(K388,IFERROR(_xlfn.TEXTBEFORE(AUTO_Public_TSV_FileList!$A$1:$A$1000,".tsv"),"")),0)),"notfound")</f>
        <v>10.1016%2F0378-5955(86)90025-0_ResultsText.tsv</v>
      </c>
      <c r="M388" s="9" t="inlineStr">
        <is>
          <t>Ferret (Mustela putorius) 60-dB hearing range and best-sensitivity region (2 subjects)</t>
        </is>
      </c>
      <c r="N388" s="9" t="inlineStr">
        <is>
          <t>text</t>
        </is>
      </c>
      <c r="O388" s="9" t="inlineStr">
        <is>
          <t>Registry row added 2026-09-27. Built same day; TSV upload pending (connector timeout, retry later).</t>
        </is>
      </c>
      <c r="P388" s="9" t="inlineStr">
        <is>
          <t>BUILT (TSV upload pending)</t>
        </is>
      </c>
      <c r="Q388" s="9"/>
      <c r="R388" s="9"/>
      <c r="S388" s="9"/>
      <c r="T388" s="9"/>
      <c r="U388" s="9"/>
      <c r="V388" s="9"/>
      <c r="W388" s="9"/>
      <c r="X388" s="9"/>
      <c r="Y388" s="9"/>
      <c r="Z388" s="9"/>
      <c r="AA388" s="9"/>
      <c r="AB388" s="9"/>
      <c r="AC388" s="9"/>
      <c r="AD388" s="9"/>
      <c r="AE388" s="9"/>
      <c r="AF388" s="9"/>
      <c r="AG388" s="9"/>
    </row>
    <row r="389" ht="17" customHeight="1">
      <c r="A389" s="13" t="inlineStr">
        <is>
          <t>Ketten, D. R. (2012). Marine mammal auditory system noise impacts: Evidence and incidence. In A. N. Popper &amp; A. Hawkins (Eds.), The effects of noise on aquatic life (Advances in Experimental Medicine and Biology, Vol. 730, pp. 207–212). Springer. https://doi.org/10.1007/978-1-4419-7311-5_46</t>
        </is>
      </c>
      <c r="B389" s="13"/>
      <c r="C389" s="13"/>
      <c r="D389" s="13" t="inlineStr">
        <is>
          <t>Text (TTS values)</t>
        </is>
      </c>
      <c r="E389" s="11" t="str">
        <f>SUBSTITUTE(SUBSTITUTE(_xlfn.TEXTBEFORE(A389,","), "-", ""), " ", "")</f>
        <v>Ketten</v>
      </c>
      <c r="F389" s="10"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9" s="10" t="str">
        <f>_xlfn.TEXTBEFORE(_xlfn.TEXTAFTER(A389, "("), ")")</f>
        <v>2012</v>
      </c>
      <c r="H389" s="11" t="str">
        <f>E389 &amp; IF(F389&lt;&gt;"", "_" &amp; SUBSTITUTE(F389," ",""), "_") &amp; IF(G389&lt;&gt;"", "_" &amp; G389, "_") &amp; IF(B389&lt;&gt;"", "_" &amp; B389, "")</f>
        <v>Ketten__2012</v>
      </c>
      <c r="I389" s="11" t="str">
        <f>_xlfn.LET(_xlpm.doi,IF(C389&lt;&gt;"",C389,_xlfn.TEXTAFTER(A389,"https://doi.org/")),SUBSTITUTE(SUBSTITUTE(SUBSTITUTE(SUBSTITUTE(_xlpm.doi,"/","%2F"),":","%3A"),"&lt;","%3C"),"&gt;","%3E"))</f>
        <v>10.1007%2F978-1-4419-7311-5_46</v>
      </c>
      <c r="J389" s="11" t="str">
        <f>TRIM(_xlfn.TEXTJOIN("_",FALSE(),H389,(SUBSTITUTE(SUBSTITUTE(D389," ",""), "_", ""))))</f>
        <v>Ketten__2012_Text(TTSvalues)</v>
      </c>
      <c r="K389" s="10" t="str">
        <f>I389 &amp; "_" &amp; SUBSTITUTE(SUBSTITUTE(SUBSTITUTE(D389,CHAR(160),"")," ",""),"_","")</f>
        <v>10.1007%2F978-1-4419-7311-5_46_Text(TTSvalues)</v>
      </c>
      <c r="L389" s="10" t="str">
        <f t="array" ref="L389">IFERROR(INDEX(AUTO_Public_TSV_FileList!$A$1:$A$1000,MATCH(TRUE(),EXACT(K389,IFERROR(_xlfn.TEXTBEFORE(AUTO_Public_TSV_FileList!$A$1:$A$1000,".tsv"),"")),0)),"notfound")</f>
        <v>notfound</v>
      </c>
      <c r="M389" s="13" t="inlineStr">
        <is>
          <t>Text. Temporary threshold shift (TTS) onset exposures in odontocetes and pinnipeds</t>
        </is>
      </c>
      <c r="N389" s="13" t="inlineStr">
        <is>
          <t>text</t>
        </is>
      </c>
      <c r="O389" s="13" t="inlineStr">
        <is>
          <t>e.g. Tursiops/Delphinapterus pure tone TTS onset mean 195 dB SPL; Phoca vitulina 6–8 dB TTS at 152 dB SPL (SEL 183 dB), 30-min 2.5-kHz OBN; Zalophus and Mirounga ~170 dB (SEL 205 dB).</t>
        </is>
      </c>
      <c r="P389" s="13"/>
      <c r="Q389" s="13"/>
      <c r="R389" s="13" t="inlineStr">
        <is>
          <t>https://doi.org/10.1007/978-1-4419-7311-5_46</t>
        </is>
      </c>
      <c r="S389" s="13"/>
      <c r="T389" s="13" t="inlineStr">
        <is>
          <t>noise-impact variable, not a sensory-ability measure; secondary</t>
        </is>
      </c>
      <c r="U389" s="13"/>
      <c r="V389" s="13" t="inlineStr">
        <is>
          <t>sensory hearing (noise impact)</t>
        </is>
      </c>
      <c r="W389" s="13" t="inlineStr">
        <is>
          <t>Odontoceti; Pinnipedia</t>
        </is>
      </c>
      <c r="X389" s="13" t="inlineStr">
        <is>
          <t>temporary threshold shift onset (dB SPL / SEL)</t>
        </is>
      </c>
      <c r="Y389" s="13"/>
      <c r="Z389" s="13"/>
      <c r="AA389" s="13" t="inlineStr">
        <is>
          <t>literature summary</t>
        </is>
      </c>
      <c r="AB389" s="13" t="inlineStr">
        <is>
          <t>dB re 1 µPa; dB re 1 µPa²·s</t>
        </is>
      </c>
      <c r="AC389" s="13" t="inlineStr">
        <is>
          <t>Ketten</t>
        </is>
      </c>
      <c r="AD389" s="13"/>
      <c r="AE389" s="13" t="inlineStr">
        <is>
          <t>secondary</t>
        </is>
      </c>
      <c r="AF389" s="13" t="inlineStr">
        <is>
          <t>Southall et al. (2007)</t>
        </is>
      </c>
      <c r="AG389" s="13" t="inlineStr">
        <is>
          <t>Low priority – related variable only.</t>
        </is>
      </c>
    </row>
    <row r="390" ht="17" customHeight="1">
      <c r="A390" s="1" t="inlineStr">
        <is>
          <t>Kirk, E., &amp; Kay, R. (2004). The evolution of high visual acuity in the Anthropoidea. In C. Ross &amp; R. Kay (Eds.), Anthropoid origins: new visions (pp. 539–602). Kluwer Academic/Plenum Publishers. https://doi.org/10.1007/978-1-4419-8873-7_20</t>
        </is>
      </c>
      <c r="B390" s="13"/>
      <c r="C390" s="13"/>
      <c r="D390" s="1" t="inlineStr">
        <is>
          <t>Table 1</t>
        </is>
      </c>
      <c r="E390" s="10" t="str">
        <f>SUBSTITUTE(SUBSTITUTE(_xlfn.TEXTBEFORE(A390,","), "-", ""), " ", "")</f>
        <v>Kirk</v>
      </c>
      <c r="F390" s="10"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0" s="10" t="str">
        <f>_xlfn.TEXTBEFORE(_xlfn.TEXTAFTER(A390, "("), ")")</f>
        <v>2004</v>
      </c>
      <c r="H390" s="10" t="str">
        <f>E390 &amp; IF(F390&lt;&gt;"", "_" &amp; SUBSTITUTE(F390," ",""), "_") &amp; IF(G390&lt;&gt;"", "_" &amp; G390, "_") &amp; IF(B390&lt;&gt;"", "_" &amp; B390, "")</f>
        <v>Kirk__2004</v>
      </c>
      <c r="I390" s="10" t="str">
        <f>_xlfn.LET(
_xlpm.doi,IF(C390&lt;&gt;"",C390,_xlfn.TEXTAFTER(A390,"https://doi.org/")),
SUBSTITUTE(
SUBSTITUTE(
SUBSTITUTE(
SUBSTITUTE(
_xlpm.doi,
"/","%2F"),
":","%3A"),
"&lt;","%3C"),
"&gt;","%3E")
)</f>
        <v>10.1007%2F978-1-4419-8873-7_20</v>
      </c>
      <c r="J390" s="10" t="str">
        <f>TRIM(_xlfn.TEXTJOIN("_",FALSE(),H390,(SUBSTITUTE(SUBSTITUTE(D390," ",""), "_", ""))))</f>
        <v>Kirk__2004_Table1</v>
      </c>
      <c r="K390" s="10" t="str">
        <f>I390 &amp; "_" &amp; SUBSTITUTE(SUBSTITUTE(SUBSTITUTE(D390,CHAR(160),"")," ",""),"_","")</f>
        <v>10.1007%2F978-1-4419-8873-7_20_Table1</v>
      </c>
      <c r="L390" s="10" t="str">
        <f t="array" ref="L390">IFERROR(INDEX(AUTO_Public_TSV_FileList!$A$1:$A$1000,MATCH(TRUE(),EXACT(K390,IFERROR(_xlfn.TEXTBEFORE(AUTO_Public_TSV_FileList!$A$1:$A$1000,".tsv"),"")),0)),"notfound")</f>
        <v>10.1007%2F978-1-4419-8873-7_20_Table1.tsv</v>
      </c>
      <c r="M390" s="1" t="inlineStr">
        <is>
          <t>Table 1. Behavioral measurements of visual acuity in various mammalian taxa</t>
        </is>
      </c>
      <c r="N390" s="13"/>
      <c r="O390" s="13"/>
      <c r="P390" s="13"/>
      <c r="Q390" s="13"/>
      <c r="R390" s="13"/>
      <c r="S390" s="13"/>
      <c r="T390" s="13"/>
      <c r="U390" s="13"/>
      <c r="V390" s="13"/>
      <c r="W390" s="13"/>
      <c r="X390" s="13"/>
      <c r="Y390" s="13"/>
      <c r="Z390" s="13"/>
      <c r="AA390" s="13"/>
      <c r="AB390" s="13"/>
      <c r="AC390" s="13"/>
      <c r="AD390" s="13"/>
      <c r="AE390" s="13"/>
      <c r="AF390" s="13"/>
      <c r="AG390" s="13"/>
    </row>
    <row r="391" ht="17" customHeight="1">
      <c r="A391" s="1" t="inlineStr">
        <is>
          <t>Kirk, E., &amp; Kay, R. (2004). The evolution of high visual acuity in the Anthropoidea. In C. Ross &amp; R. Kay (Eds.), Anthropoid origins: new visions (pp. 539–602). Kluwer Academic/Plenum Publishers. https://doi.org/10.1007/978-1-4419-8873-7_20</t>
        </is>
      </c>
      <c r="B391" s="13"/>
      <c r="C391" s="13"/>
      <c r="D391" s="1" t="inlineStr">
        <is>
          <t>Table 2</t>
        </is>
      </c>
      <c r="E391" s="10" t="str">
        <f>SUBSTITUTE(SUBSTITUTE(_xlfn.TEXTBEFORE(A391,","), "-", ""), " ", "")</f>
        <v>Kirk</v>
      </c>
      <c r="F391" s="10"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1" s="10" t="str">
        <f>_xlfn.TEXTBEFORE(_xlfn.TEXTAFTER(A391, "("), ")")</f>
        <v>2004</v>
      </c>
      <c r="H391" s="10" t="str">
        <f>E391 &amp; IF(F391&lt;&gt;"", "_" &amp; SUBSTITUTE(F391," ",""), "_") &amp; IF(G391&lt;&gt;"", "_" &amp; G391, "_") &amp; IF(B391&lt;&gt;"", "_" &amp; B391, "")</f>
        <v>Kirk__2004</v>
      </c>
      <c r="I391" s="10" t="str">
        <f>_xlfn.LET(
_xlpm.doi,IF(C391&lt;&gt;"",C391,_xlfn.TEXTAFTER(A391,"https://doi.org/")),
SUBSTITUTE(
SUBSTITUTE(
SUBSTITUTE(
SUBSTITUTE(
_xlpm.doi,
"/","%2F"),
":","%3A"),
"&lt;","%3C"),
"&gt;","%3E")
)</f>
        <v>10.1007%2F978-1-4419-8873-7_20</v>
      </c>
      <c r="J391" s="10" t="str">
        <f>TRIM(_xlfn.TEXTJOIN("_",FALSE(),H391,(SUBSTITUTE(SUBSTITUTE(D391," ",""), "_", ""))))</f>
        <v>Kirk__2004_Table2</v>
      </c>
      <c r="K391" s="10" t="str">
        <f>I391 &amp; "_" &amp; SUBSTITUTE(SUBSTITUTE(SUBSTITUTE(D391,CHAR(160),"")," ",""),"_","")</f>
        <v>10.1007%2F978-1-4419-8873-7_20_Table2</v>
      </c>
      <c r="L391" s="10" t="str">
        <f t="array" ref="L391">IFERROR(INDEX(AUTO_Public_TSV_FileList!$A$1:$A$1000,MATCH(TRUE(),EXACT(K391,IFERROR(_xlfn.TEXTBEFORE(AUTO_Public_TSV_FileList!$A$1:$A$1000,".tsv"),"")),0)),"notfound")</f>
        <v>10.1007%2F978-1-4419-8873-7_20_Table2.tsv</v>
      </c>
      <c r="M391" s="1" t="inlineStr">
        <is>
          <t>Table 2. Anatomical estimates of visual acuity in various mammalian taxa</t>
        </is>
      </c>
      <c r="N391" s="13"/>
      <c r="O391" s="13"/>
      <c r="P391" s="13"/>
      <c r="Q391" s="13"/>
      <c r="R391" s="13"/>
      <c r="S391" s="13"/>
      <c r="T391" s="13"/>
      <c r="U391" s="13"/>
      <c r="V391" s="13"/>
      <c r="W391" s="13"/>
      <c r="X391" s="13"/>
      <c r="Y391" s="13"/>
      <c r="Z391" s="13"/>
      <c r="AA391" s="13"/>
      <c r="AB391" s="13"/>
      <c r="AC391" s="13"/>
      <c r="AD391" s="13"/>
      <c r="AE391" s="13"/>
      <c r="AF391" s="13"/>
      <c r="AG391" s="13"/>
    </row>
    <row r="392" ht="17" customHeight="1">
      <c r="A392" s="9" t="inlineStr">
        <is>
          <t>Koay, G., Bitter, K. S., Heffner, H. E., &amp; Heffner, R. S. (2002). Hearing in American leaf-nosed bats. I: Phyllostomus hastatus. Hear Res, 171, 96-102. https://doi.org/10.1016/s0378-5955(02)00458-6</t>
        </is>
      </c>
      <c r="B392" s="9"/>
      <c r="C392" s="9"/>
      <c r="D392" s="9" t="inlineStr">
        <is>
          <t>Figure 3</t>
        </is>
      </c>
      <c r="E392" s="11" t="str">
        <f>SUBSTITUTE(SUBSTITUTE(_xlfn.TEXTBEFORE(A392,","), "-", ""), " ", "")</f>
        <v>Koay</v>
      </c>
      <c r="F392" s="10"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10" t="str">
        <f>_xlfn.TEXTBEFORE(_xlfn.TEXTAFTER(A392, "("), ")")</f>
        <v>2002</v>
      </c>
      <c r="H392" s="11" t="str">
        <f>E392 &amp; IF(F392&lt;&gt;"", "_" &amp; SUBSTITUTE(F392," ",""), "_") &amp; IF(G392&lt;&gt;"", "_" &amp; G392, "_") &amp; IF(B392&lt;&gt;"", "_" &amp; B392, "")</f>
        <v>Koay_etal_2002</v>
      </c>
      <c r="I392" s="11" t="str">
        <f>_xlfn.LET(_xlpm.doi,IF(C392&lt;&gt;"",C392,_xlfn.TEXTAFTER(A392,"https://doi.org/")),SUBSTITUTE(SUBSTITUTE(SUBSTITUTE(SUBSTITUTE(_xlpm.doi,"/","%2F"),":","%3A"),"&lt;","%3C"),"&gt;","%3E"))</f>
        <v>10.1016%2Fs0378-5955(02)00458-6</v>
      </c>
      <c r="J392" s="11" t="str">
        <f>TRIM(_xlfn.TEXTJOIN("_",FALSE(),H392,(SUBSTITUTE(SUBSTITUTE(D392," ",""), "_", ""))))</f>
        <v>Koay_etal_2002_Figure3</v>
      </c>
      <c r="K392" s="10" t="str">
        <f>I392 &amp; "_" &amp; SUBSTITUTE(SUBSTITUTE(SUBSTITUTE(D392,CHAR(160),"")," ",""),"_","")</f>
        <v>10.1016%2Fs0378-5955(02)00458-6_Figure3</v>
      </c>
      <c r="L392" s="10" t="str">
        <f t="array" ref="L392">IFERROR(INDEX(AUTO_Public_TSV_FileList!$A$1:$A$1000,MATCH(TRUE(),EXACT(K392,IFERROR(_xlfn.TEXTBEFORE(AUTO_Public_TSV_FileList!$A$1:$A$1000,".tsv"),"")),0)),"notfound")</f>
        <v>notfound</v>
      </c>
      <c r="M392" s="9" t="inlineStr">
        <is>
          <t>Behavioral audiogram of P. hastatus compared to thresholds</t>
        </is>
      </c>
      <c r="N392" s="9" t="inlineStr">
        <is>
          <t>figure</t>
        </is>
      </c>
      <c r="O392" s="9" t="inlineStr">
        <is>
          <t>Not built -- see Resultstext item (priority 1) for this folder's built data.</t>
        </is>
      </c>
      <c r="P392" s="9" t="inlineStr">
        <is>
          <t>candidate</t>
        </is>
      </c>
      <c r="Q392" s="9"/>
      <c r="R392" s="32" t="inlineStr">
        <is>
          <t>https://doi.org/10.1016/s0378-5955(02)00458-6</t>
        </is>
      </c>
      <c r="S392" s="9"/>
      <c r="T392" s="9"/>
      <c r="U392" s="9"/>
      <c r="V392" s="9" t="inlineStr">
        <is>
          <t>sensory hearing</t>
        </is>
      </c>
      <c r="W392" s="9" t="inlineStr">
        <is>
          <t>Phyllostomus hastatus</t>
        </is>
      </c>
      <c r="X392" s="9" t="inlineStr">
        <is>
          <t>audiogram thresholds; 60-dB hearing limits</t>
        </is>
      </c>
      <c r="Y392" s="9"/>
      <c r="Z392" s="9" t="inlineStr">
        <is>
          <t>behavioral (conditioned suppression/avoidance)</t>
        </is>
      </c>
      <c r="AA392" s="9" t="inlineStr">
        <is>
          <t>conditioned suppression/avoidance</t>
        </is>
      </c>
      <c r="AB392" s="9" t="inlineStr">
        <is>
          <t>threshold (dB SPL) by frequency (kHz)</t>
        </is>
      </c>
      <c r="AC392" s="9" t="inlineStr">
        <is>
          <t>Heffner</t>
        </is>
      </c>
      <c r="AD392" s="9"/>
      <c r="AE392" s="9" t="inlineStr">
        <is>
          <t>primary</t>
        </is>
      </c>
      <c r="AF392" s="9"/>
      <c r="AG392" s="9" t="inlineStr">
        <is>
          <t>extract if full curve/individuals wanted</t>
        </is>
      </c>
    </row>
    <row r="393" ht="17" customHeight="1">
      <c r="A393" s="9" t="inlineStr">
        <is>
          <t>Koay, G., Bitter, K. S., Heffner, H. E., &amp; Heffner, R. S. (2002). Hearing in American leaf-nosed bats. I: Phyllostomus hastatus. Hear Res, 171, 96-102. https://doi.org/10.1016/s0378-5955(02)00458-6</t>
        </is>
      </c>
      <c r="B393" s="9"/>
      <c r="C393" s="9"/>
      <c r="D393" s="9" t="inlineStr">
        <is>
          <t>Results Text</t>
        </is>
      </c>
      <c r="E393" s="11" t="str">
        <f>SUBSTITUTE(SUBSTITUTE(_xlfn.TEXTBEFORE(A393,","), "-", ""), " ", "")</f>
        <v>Koay</v>
      </c>
      <c r="F393" s="10"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10" t="str">
        <f>_xlfn.TEXTBEFORE(_xlfn.TEXTAFTER(A393, "("), ")")</f>
        <v>2002</v>
      </c>
      <c r="H393" s="11" t="str">
        <f>E393 &amp; IF(F393&lt;&gt;"", "_" &amp; SUBSTITUTE(F393," ",""), "_") &amp; IF(G393&lt;&gt;"", "_" &amp; G393, "_") &amp; IF(B393&lt;&gt;"", "_" &amp; B393, "")</f>
        <v>Koay_etal_2002</v>
      </c>
      <c r="I393" s="11" t="str">
        <f>_xlfn.LET(_xlpm.doi,IF(C393&lt;&gt;"",C393,_xlfn.TEXTAFTER(A393,"https://doi.org/")),SUBSTITUTE(SUBSTITUTE(SUBSTITUTE(SUBSTITUTE(_xlpm.doi,"/","%2F"),":","%3A"),"&lt;","%3C"),"&gt;","%3E"))</f>
        <v>10.1016%2Fs0378-5955(02)00458-6</v>
      </c>
      <c r="J393" s="11" t="str">
        <f>TRIM(_xlfn.TEXTJOIN("_",FALSE(),H393,(SUBSTITUTE(SUBSTITUTE(D393," ",""), "_", ""))))</f>
        <v>Koay_etal_2002_ResultsText</v>
      </c>
      <c r="K393" s="10" t="str">
        <f>I393 &amp; "_" &amp; SUBSTITUTE(SUBSTITUTE(SUBSTITUTE(D393,CHAR(160),"")," ",""),"_","")</f>
        <v>10.1016%2Fs0378-5955(02)00458-6_ResultsText</v>
      </c>
      <c r="L393" s="10" t="str">
        <f t="array" ref="L393">IFERROR(INDEX(AUTO_Public_TSV_FileList!$A$1:$A$1000,MATCH(TRUE(),EXACT(K393,IFERROR(_xlfn.TEXTBEFORE(AUTO_Public_TSV_FileList!$A$1:$A$1000,".tsv"),"")),0)),"notfound")</f>
        <v>10.1016%2Fs0378-5955(02)00458-6_ResultsText.tsv</v>
      </c>
      <c r="M393" s="9" t="inlineStr">
        <is>
          <t>Results text: P. hastatus 60-dB hearing range, best sensitivity and best frequency</t>
        </is>
      </c>
      <c r="N393" s="9" t="inlineStr">
        <is>
          <t>text</t>
        </is>
      </c>
      <c r="O393" s="9" t="inlineStr">
        <is>
          <t>Built 2026-09-27: transcribed low 1.8 kHz / high 105 kHz / 5.9 octaves / best sensitivity 1 dB at 20 kHz. TSV upload pending (connector timeout on __Public/comparative-data folder, retry later).</t>
        </is>
      </c>
      <c r="P393" s="9" t="inlineStr">
        <is>
          <t>BUILT (TSV upload pending)</t>
        </is>
      </c>
      <c r="Q393" s="9"/>
      <c r="R393" s="32" t="inlineStr">
        <is>
          <t>https://doi.org/10.1016/s0378-5955(02)00458-6</t>
        </is>
      </c>
      <c r="S393" s="9"/>
      <c r="T393" s="9"/>
      <c r="U393" s="9"/>
      <c r="V393" s="9" t="inlineStr">
        <is>
          <t>sensory hearing</t>
        </is>
      </c>
      <c r="W393" s="9" t="inlineStr">
        <is>
          <t>Phyllostomus hastatus</t>
        </is>
      </c>
      <c r="X393" s="9" t="inlineStr">
        <is>
          <t>hearing limits; best sensitivity; best frequency</t>
        </is>
      </c>
      <c r="Y393" s="9"/>
      <c r="Z393" s="9" t="inlineStr">
        <is>
          <t>behavioral (conditioned suppression/avoidance)</t>
        </is>
      </c>
      <c r="AA393" s="9" t="inlineStr">
        <is>
          <t>conditioned suppression/avoidance</t>
        </is>
      </c>
      <c r="AB393" s="9" t="inlineStr">
        <is>
          <t>kHz; dB SPL</t>
        </is>
      </c>
      <c r="AC393" s="9" t="inlineStr">
        <is>
          <t>Heffner</t>
        </is>
      </c>
      <c r="AD393" s="9"/>
      <c r="AE393" s="9" t="inlineStr">
        <is>
          <t>primary</t>
        </is>
      </c>
      <c r="AF393" s="9"/>
      <c r="AG393" s="9" t="inlineStr">
        <is>
          <t>extract first — direct source of values already used in SensoryData</t>
        </is>
      </c>
    </row>
    <row r="394" ht="17" customHeight="1">
      <c r="A394" s="1" t="inlineStr">
        <is>
          <t>Koay, G., Heffner, R. S., &amp; Heffner, H. E. (1998). Hearing in a megachiropteran fruit bat (Rousettus aegyptiacus). J Comp Psychol, 112(4), 371-382. https://doi.org/10.1037/0735-7036.112.4.371</t>
        </is>
      </c>
      <c r="B394" s="13"/>
      <c r="C394" s="13"/>
      <c r="D394" s="1" t="inlineStr">
        <is>
          <t>Figure 6</t>
        </is>
      </c>
      <c r="E394" s="10" t="str">
        <f>SUBSTITUTE(SUBSTITUTE(_xlfn.TEXTBEFORE(A394,","), "-", ""), " ", "")</f>
        <v>Koay</v>
      </c>
      <c r="F394" s="10"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10" t="str">
        <f>_xlfn.TEXTBEFORE(_xlfn.TEXTAFTER(A394, "("), ")")</f>
        <v>1998</v>
      </c>
      <c r="H394" s="10" t="str">
        <f>E394 &amp; IF(F394&lt;&gt;"", "_" &amp; SUBSTITUTE(F394," ",""), "_") &amp; IF(G394&lt;&gt;"", "_" &amp; G394, "_") &amp; IF(B394&lt;&gt;"", "_" &amp; B394, "")</f>
        <v>Koay_etal_1998</v>
      </c>
      <c r="I394" s="10" t="str">
        <f>_xlfn.LET(
_xlpm.doi,IF(C394&lt;&gt;"",C394,_xlfn.TEXTAFTER(A394,"https://doi.org/")),
SUBSTITUTE(
SUBSTITUTE(
SUBSTITUTE(
SUBSTITUTE(
_xlpm.doi,
"/","%2F"),
":","%3A"),
"&lt;","%3C"),
"&gt;","%3E")
)</f>
        <v>10.1037%2F0735-7036.112.4.371</v>
      </c>
      <c r="J394" s="10" t="str">
        <f>TRIM(_xlfn.TEXTJOIN("_",FALSE(),H394,(SUBSTITUTE(SUBSTITUTE(D394," ",""), "_", ""))))</f>
        <v>Koay_etal_1998_Figure6</v>
      </c>
      <c r="K394" s="10" t="str">
        <f>I394 &amp; "_" &amp; SUBSTITUTE(SUBSTITUTE(SUBSTITUTE(D394,CHAR(160),"")," ",""),"_","")</f>
        <v>10.1037%2F0735-7036.112.4.371_Figure6</v>
      </c>
      <c r="L394" s="10" t="str">
        <f t="array" ref="L394">IFERROR(INDEX(AUTO_Public_TSV_FileList!$A$1:$A$1000,MATCH(TRUE(),EXACT(K394,IFERROR(_xlfn.TEXTBEFORE(AUTO_Public_TSV_FileList!$A$1:$A$1000,".tsv"),"")),0)),"notfound")</f>
        <v>10.1037%2F0735-7036.112.4.371_Figure6.tsv</v>
      </c>
      <c r="M394" s="1"/>
      <c r="N394" s="13"/>
      <c r="O394" s="13"/>
      <c r="P394" s="13"/>
      <c r="Q394" s="13"/>
      <c r="R394" s="13"/>
      <c r="S394" s="13"/>
      <c r="T394" s="13"/>
      <c r="U394" s="13"/>
      <c r="V394" s="13"/>
      <c r="W394" s="13"/>
      <c r="X394" s="13"/>
      <c r="Y394" s="13"/>
      <c r="Z394" s="13"/>
      <c r="AA394" s="13"/>
      <c r="AB394" s="13"/>
      <c r="AC394" s="13"/>
      <c r="AD394" s="13"/>
      <c r="AE394" s="13"/>
      <c r="AF394" s="13"/>
      <c r="AG394" s="13"/>
    </row>
    <row r="395" ht="17" customHeight="1">
      <c r="A395" s="13" t="inlineStr">
        <is>
          <t>Koay, G., Heffner, R. S., &amp; Heffner, H. E. (1998). Hearing in a megachiropteran fruit bat (Rousettus aegyptiacus). J Comp Psychol, 112(4), 371-382. https://doi.org/10.1037/0735-7036.112.4.371</t>
        </is>
      </c>
      <c r="B395" s="13"/>
      <c r="C395" s="13"/>
      <c r="D395" s="13" t="inlineStr">
        <is>
          <t>Figure 7</t>
        </is>
      </c>
      <c r="E395" s="11" t="str">
        <f>SUBSTITUTE(SUBSTITUTE(_xlfn.TEXTBEFORE(A395,","), "-", ""), " ", "")</f>
        <v>Koay</v>
      </c>
      <c r="F395" s="10"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0" t="str">
        <f>_xlfn.TEXTBEFORE(_xlfn.TEXTAFTER(A395, "("), ")")</f>
        <v>1998</v>
      </c>
      <c r="H395" s="11" t="str">
        <f>E395 &amp; IF(F395&lt;&gt;"", "_" &amp; SUBSTITUTE(F395," ",""), "_") &amp; IF(G395&lt;&gt;"", "_" &amp; G395, "_") &amp; IF(B395&lt;&gt;"", "_" &amp; B395, "")</f>
        <v>Koay_etal_1998</v>
      </c>
      <c r="I395" s="11" t="str">
        <f>_xlfn.LET(_xlpm.doi,IF(C395&lt;&gt;"",C395,_xlfn.TEXTAFTER(A395,"https://doi.org/")),SUBSTITUTE(SUBSTITUTE(SUBSTITUTE(SUBSTITUTE(_xlpm.doi,"/","%2F"),":","%3A"),"&lt;","%3C"),"&gt;","%3E"))</f>
        <v>10.1037%2F0735-7036.112.4.371</v>
      </c>
      <c r="J395" s="11" t="str">
        <f>TRIM(_xlfn.TEXTJOIN("_",FALSE(),H395,(SUBSTITUTE(SUBSTITUTE(D395," ",""), "_", ""))))</f>
        <v>Koay_etal_1998_Figure7</v>
      </c>
      <c r="K395" s="10" t="str">
        <f>I395 &amp; "_" &amp; SUBSTITUTE(SUBSTITUTE(SUBSTITUTE(D395,CHAR(160),"")," ",""),"_","")</f>
        <v>10.1037%2F0735-7036.112.4.371_Figure7</v>
      </c>
      <c r="L395" s="10" t="str">
        <f t="array" ref="L395">IFERROR(INDEX(AUTO_Public_TSV_FileList!$A$1:$A$1000,MATCH(TRUE(),EXACT(K395,IFERROR(_xlfn.TEXTBEFORE(AUTO_Public_TSV_FileList!$A$1:$A$1000,".tsv"),"")),0)),"notfound")</f>
        <v>notfound</v>
      </c>
      <c r="M395" s="13" t="inlineStr">
        <is>
          <t>Figure 7. Relation between the highest and lowest frequencies audible at 60 dB for 58 species of mammals</t>
        </is>
      </c>
      <c r="N395" s="13" t="inlineStr">
        <is>
          <t>figure</t>
        </is>
      </c>
      <c r="O395" s="13" t="inlineStr">
        <is>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is>
      </c>
      <c r="P395" s="13"/>
      <c r="Q395" s="13"/>
      <c r="R395" s="13" t="inlineStr">
        <is>
          <t>https://doi.org/10.1037/0735-7036.112.4.371</t>
        </is>
      </c>
      <c r="S395" s="13"/>
      <c r="T395" s="13" t="inlineStr">
        <is>
          <t>digitised values; per-point references via Fig. 6 caption</t>
        </is>
      </c>
      <c r="U395" s="13"/>
      <c r="V395" s="13" t="inlineStr">
        <is>
          <t>sensory hearing</t>
        </is>
      </c>
      <c r="W395" s="13" t="inlineStr">
        <is>
          <t>Mammalia (58 spp)</t>
        </is>
      </c>
      <c r="X395" s="13" t="inlineStr">
        <is>
          <t>high-frequency hearing limit (60 dB SPL); low-frequency hearing limit (60 dB SPL)</t>
        </is>
      </c>
      <c r="Y395" s="13"/>
      <c r="Z395" s="13"/>
      <c r="AA395" s="13" t="inlineStr">
        <is>
          <t>figure digitisation</t>
        </is>
      </c>
      <c r="AB395" s="13" t="inlineStr">
        <is>
          <t>kHz</t>
        </is>
      </c>
      <c r="AC395" s="13" t="inlineStr">
        <is>
          <t>Heffner</t>
        </is>
      </c>
      <c r="AD395" s="13"/>
      <c r="AE395" s="13" t="inlineStr">
        <is>
          <t>both</t>
        </is>
      </c>
      <c r="AF395" s="13" t="inlineStr">
        <is>
          <t>Audiogram references in Fig. 6 caption</t>
        </is>
      </c>
      <c r="AG395" s="13" t="inlineStr">
        <is>
          <t>Use primary-source values first; figure value only as fallback.</t>
        </is>
      </c>
    </row>
    <row r="396" ht="17" customHeight="1">
      <c r="A396" s="9" t="inlineStr">
        <is>
          <t>Koay, G., Heffner, R. S., Bitter, K. S., &amp; Heffner, H. E. (2003). Hearing in American leaf-nosed bats. II: Carollia perspicillata. Hear Res, 178(1-2), 27-34. https://doi.org/10.1016/S0378-5955(03)00025-X</t>
        </is>
      </c>
      <c r="B396" s="9"/>
      <c r="C396" s="9"/>
      <c r="D396" s="9" t="inlineStr">
        <is>
          <t>Results Text</t>
        </is>
      </c>
      <c r="E396" s="11" t="str">
        <f>SUBSTITUTE(SUBSTITUTE(_xlfn.TEXTBEFORE(A396,","), "-", ""), " ", "")</f>
        <v>Koay</v>
      </c>
      <c r="F396" s="10"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0" t="str">
        <f>_xlfn.TEXTBEFORE(_xlfn.TEXTAFTER(A396, "("), ")")</f>
        <v>2003</v>
      </c>
      <c r="H396" s="11" t="str">
        <f>E396 &amp; IF(F396&lt;&gt;"", "_" &amp; SUBSTITUTE(F396," ",""), "_") &amp; IF(G396&lt;&gt;"", "_" &amp; G396, "_") &amp; IF(B396&lt;&gt;"", "_" &amp; B396, "")</f>
        <v>Koay_etal_2003</v>
      </c>
      <c r="I396" s="11" t="str">
        <f>_xlfn.LET(_xlpm.doi,IF(C396&lt;&gt;"",C396,_xlfn.TEXTAFTER(A396,"https://doi.org/")),SUBSTITUTE(SUBSTITUTE(SUBSTITUTE(SUBSTITUTE(_xlpm.doi,"/","%2F"),":","%3A"),"&lt;","%3C"),"&gt;","%3E"))</f>
        <v>10.1016%2FS0378-5955(03)00025-X</v>
      </c>
      <c r="J396" s="11" t="str">
        <f>TRIM(_xlfn.TEXTJOIN("_",FALSE(),H396,(SUBSTITUTE(SUBSTITUTE(D396," ",""), "_", ""))))</f>
        <v>Koay_etal_2003_ResultsText</v>
      </c>
      <c r="K396" s="10" t="str">
        <f>I396 &amp; "_" &amp; SUBSTITUTE(SUBSTITUTE(SUBSTITUTE(D396,CHAR(160),"")," ",""),"_","")</f>
        <v>10.1016%2FS0378-5955(03)00025-X_ResultsText</v>
      </c>
      <c r="L396" s="10" t="str">
        <f t="array" ref="L396">IFERROR(INDEX(AUTO_Public_TSV_FileList!$A$1:$A$1000,MATCH(TRUE(),EXACT(K396,IFERROR(_xlfn.TEXTBEFORE(AUTO_Public_TSV_FileList!$A$1:$A$1000,".tsv"),"")),0)),"notfound")</f>
        <v>10.1016%2FS0378-5955(03)00025-X_ResultsText.tsv</v>
      </c>
      <c r="M396" s="9" t="inlineStr">
        <is>
          <t>Short-tailed fruit bat (Carollia perspicillata) audiogram, second paper in Heffner-lab Phyllostomidae series</t>
        </is>
      </c>
      <c r="N396" s="9" t="inlineStr">
        <is>
          <t>text</t>
        </is>
      </c>
      <c r="O396" s="9" t="inlineStr">
        <is>
          <t>Registry row added 2026-09-27. Built same day; TSV upload pending (connector timeout, retry later).</t>
        </is>
      </c>
      <c r="P396" s="9" t="inlineStr">
        <is>
          <t>BUILT (TSV upload pending)</t>
        </is>
      </c>
      <c r="Q396" s="9"/>
      <c r="R396" s="9"/>
      <c r="S396" s="9"/>
      <c r="T396" s="9"/>
      <c r="U396" s="9"/>
      <c r="V396" s="9"/>
      <c r="W396" s="9"/>
      <c r="X396" s="9"/>
      <c r="Y396" s="9"/>
      <c r="Z396" s="9"/>
      <c r="AA396" s="9"/>
      <c r="AB396" s="9"/>
      <c r="AC396" s="9"/>
      <c r="AD396" s="9"/>
      <c r="AE396" s="9"/>
      <c r="AF396" s="9"/>
      <c r="AG396" s="9"/>
    </row>
    <row r="397" ht="17" customHeight="1">
      <c r="A397" s="9" t="inlineStr">
        <is>
          <t>Koay, G., Kearns, D., Heffner, H. E., &amp; Heffner, R. S. (1998). Passive sound-localization ability of the big brown bat (Eptesicus fuscus). Hear Res, 119, 37-48. https://doi.org/10.1016/s0378-5955(98)00037-9</t>
        </is>
      </c>
      <c r="B397" s="9" t="inlineStr">
        <is>
          <t>b</t>
        </is>
      </c>
      <c r="C397" s="9"/>
      <c r="D397" s="9" t="inlineStr">
        <is>
          <t>Figure 8</t>
        </is>
      </c>
      <c r="E397" s="11" t="str">
        <f>SUBSTITUTE(SUBSTITUTE(_xlfn.TEXTBEFORE(A397,","), "-", ""), " ", "")</f>
        <v>Koay</v>
      </c>
      <c r="F397" s="10"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0" t="str">
        <f>_xlfn.TEXTBEFORE(_xlfn.TEXTAFTER(A397, "("), ")")</f>
        <v>1998</v>
      </c>
      <c r="H397" s="11" t="str">
        <f>E397 &amp; IF(F397&lt;&gt;"", "_" &amp; SUBSTITUTE(F397," ",""), "_") &amp; IF(G397&lt;&gt;"", "_" &amp; G397, "_") &amp; IF(B397&lt;&gt;"", "_" &amp; B397, "")</f>
        <v>Koay_etal_1998_b</v>
      </c>
      <c r="I397" s="11" t="str">
        <f>_xlfn.LET(_xlpm.doi,IF(C397&lt;&gt;"",C397,_xlfn.TEXTAFTER(A397,"https://doi.org/")),SUBSTITUTE(SUBSTITUTE(SUBSTITUTE(SUBSTITUTE(_xlpm.doi,"/","%2F"),":","%3A"),"&lt;","%3C"),"&gt;","%3E"))</f>
        <v>10.1016%2Fs0378-5955(98)00037-9</v>
      </c>
      <c r="J397" s="11" t="str">
        <f>TRIM(_xlfn.TEXTJOIN("_",FALSE(),H397,(SUBSTITUTE(SUBSTITUTE(D397," ",""), "_", ""))))</f>
        <v>Koay_etal_1998_b_Figure8</v>
      </c>
      <c r="K397" s="10" t="str">
        <f>I397 &amp; "_" &amp; SUBSTITUTE(SUBSTITUTE(SUBSTITUTE(D397,CHAR(160),"")," ",""),"_","")</f>
        <v>10.1016%2Fs0378-5955(98)00037-9_Figure8</v>
      </c>
      <c r="L397" s="10" t="str">
        <f t="array" ref="L397">IFERROR(INDEX(AUTO_Public_TSV_FileList!$A$1:$A$1000,MATCH(TRUE(),EXACT(K397,IFERROR(_xlfn.TEXTBEFORE(AUTO_Public_TSV_FileList!$A$1:$A$1000,".tsv"),"")),0)),"notfound")</f>
        <v>notfound</v>
      </c>
      <c r="M397" s="9" t="inlineStr">
        <is>
          <t>Azimuthal sound-localization acuity for 29 species of mammals</t>
        </is>
      </c>
      <c r="N397" s="9" t="inlineStr">
        <is>
          <t>figure</t>
        </is>
      </c>
      <c r="O397" s="9" t="inlineStr">
        <is>
          <t>H corrected to match actual folder Koay_etal_1998_b (was Koay_etal_1998). Not built -- see Resultstext item (priority 1).</t>
        </is>
      </c>
      <c r="P397" s="9" t="inlineStr">
        <is>
          <t>candidate</t>
        </is>
      </c>
      <c r="Q397" s="9"/>
      <c r="R397" s="32" t="inlineStr">
        <is>
          <t>https://doi.org/10.1016/s0378-5955(98)00037-9</t>
        </is>
      </c>
      <c r="S397" s="9"/>
      <c r="T397" s="9" t="inlineStr">
        <is>
          <t>folder identity: Eptesicus paper, not Rousettus (see paper_citations.csv)</t>
        </is>
      </c>
      <c r="U397" s="9"/>
      <c r="V397" s="9" t="inlineStr">
        <is>
          <t>sensory hearing</t>
        </is>
      </c>
      <c r="W397" s="9" t="inlineStr">
        <is>
          <t>Mammalia (29 spp)</t>
        </is>
      </c>
      <c r="X397" s="9" t="inlineStr">
        <is>
          <t>sound localization threshold (MAA)</t>
        </is>
      </c>
      <c r="Y397" s="9"/>
      <c r="Z397" s="9" t="inlineStr">
        <is>
          <t>behavioral audiometry (compiled review)</t>
        </is>
      </c>
      <c r="AA397" s="9" t="inlineStr">
        <is>
          <t>literature compilation</t>
        </is>
      </c>
      <c r="AB397" s="9" t="inlineStr">
        <is>
          <t>degrees</t>
        </is>
      </c>
      <c r="AC397" s="9" t="inlineStr">
        <is>
          <t>Heffner</t>
        </is>
      </c>
      <c r="AD397" s="9"/>
      <c r="AE397" s="9" t="inlineStr">
        <is>
          <t>secondary</t>
        </is>
      </c>
      <c r="AF397" s="9" t="inlineStr">
        <is>
          <t>Heffner-lab compilation</t>
        </is>
      </c>
      <c r="AG397" s="9" t="inlineStr">
        <is>
          <t>optional comparative compilation; check overlap with registered Heffner items</t>
        </is>
      </c>
    </row>
    <row r="398" ht="17" customHeight="1">
      <c r="A398" s="9" t="inlineStr">
        <is>
          <t>Koay, G., Kearns, D., Heffner, H. E., &amp; Heffner, R. S. (1998). Passive sound-localization ability of the big brown bat (Eptesicus fuscus). Hear Res, 119, 37-48. https://doi.org/10.1016/s0378-5955(98)00037-9</t>
        </is>
      </c>
      <c r="B398" s="9" t="inlineStr">
        <is>
          <t>b</t>
        </is>
      </c>
      <c r="C398" s="9"/>
      <c r="D398" s="9" t="inlineStr">
        <is>
          <t>Figure 9</t>
        </is>
      </c>
      <c r="E398" s="11" t="str">
        <f>SUBSTITUTE(SUBSTITUTE(_xlfn.TEXTBEFORE(A398,","), "-", ""), " ", "")</f>
        <v>Koay</v>
      </c>
      <c r="F398" s="10"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0" t="str">
        <f>_xlfn.TEXTBEFORE(_xlfn.TEXTAFTER(A398, "("), ")")</f>
        <v>1998</v>
      </c>
      <c r="H398" s="11" t="str">
        <f>E398 &amp; IF(F398&lt;&gt;"", "_" &amp; SUBSTITUTE(F398," ",""), "_") &amp; IF(G398&lt;&gt;"", "_" &amp; G398, "_") &amp; IF(B398&lt;&gt;"", "_" &amp; B398, "")</f>
        <v>Koay_etal_1998_b</v>
      </c>
      <c r="I398" s="11" t="str">
        <f>_xlfn.LET(_xlpm.doi,IF(C398&lt;&gt;"",C398,_xlfn.TEXTAFTER(A398,"https://doi.org/")),SUBSTITUTE(SUBSTITUTE(SUBSTITUTE(SUBSTITUTE(_xlpm.doi,"/","%2F"),":","%3A"),"&lt;","%3C"),"&gt;","%3E"))</f>
        <v>10.1016%2Fs0378-5955(98)00037-9</v>
      </c>
      <c r="J398" s="11" t="str">
        <f>TRIM(_xlfn.TEXTJOIN("_",FALSE(),H398,(SUBSTITUTE(SUBSTITUTE(D398," ",""), "_", ""))))</f>
        <v>Koay_etal_1998_b_Figure9</v>
      </c>
      <c r="K398" s="10" t="str">
        <f>I398 &amp; "_" &amp; SUBSTITUTE(SUBSTITUTE(SUBSTITUTE(D398,CHAR(160),"")," ",""),"_","")</f>
        <v>10.1016%2Fs0378-5955(98)00037-9_Figure9</v>
      </c>
      <c r="L398" s="10" t="str">
        <f t="array" ref="L398">IFERROR(INDEX(AUTO_Public_TSV_FileList!$A$1:$A$1000,MATCH(TRUE(),EXACT(K398,IFERROR(_xlfn.TEXTBEFORE(AUTO_Public_TSV_FileList!$A$1:$A$1000,".tsv"),"")),0)),"notfound")</f>
        <v>notfound</v>
      </c>
      <c r="M398" s="9" t="inlineStr">
        <is>
          <t>Relationship between width of the field of best vision and sound-localization acuity</t>
        </is>
      </c>
      <c r="N398" s="9" t="inlineStr">
        <is>
          <t>figure</t>
        </is>
      </c>
      <c r="O398" s="9" t="inlineStr">
        <is>
          <t>H corrected to match actual folder Koay_etal_1998_b (was Koay_etal_1998). Not built -- see Resultstext item (priority 1).</t>
        </is>
      </c>
      <c r="P398" s="9" t="inlineStr">
        <is>
          <t>candidate</t>
        </is>
      </c>
      <c r="Q398" s="9"/>
      <c r="R398" s="32" t="inlineStr">
        <is>
          <t>https://doi.org/10.1016/s0378-5955(98)00037-9</t>
        </is>
      </c>
      <c r="S398" s="9"/>
      <c r="T398" s="9" t="inlineStr">
        <is>
          <t>folder identity: Eptesicus paper, not Rousettus (see paper_citations.csv)</t>
        </is>
      </c>
      <c r="U398" s="9"/>
      <c r="V398" s="9" t="inlineStr">
        <is>
          <t>sensory hearing; sensory vision</t>
        </is>
      </c>
      <c r="W398" s="9" t="inlineStr">
        <is>
          <t>Mammalia (species key in legend)</t>
        </is>
      </c>
      <c r="X398" s="9" t="inlineStr">
        <is>
          <t>field of best vision width; MAA</t>
        </is>
      </c>
      <c r="Y398" s="9"/>
      <c r="Z398" s="9" t="inlineStr">
        <is>
          <t>behavioral audiometry (compiled review)</t>
        </is>
      </c>
      <c r="AA398" s="9" t="inlineStr">
        <is>
          <t>literature compilation</t>
        </is>
      </c>
      <c r="AB398" s="9" t="inlineStr">
        <is>
          <t>degrees</t>
        </is>
      </c>
      <c r="AC398" s="9" t="inlineStr">
        <is>
          <t>Heffner</t>
        </is>
      </c>
      <c r="AD398" s="9"/>
      <c r="AE398" s="9" t="inlineStr">
        <is>
          <t>secondary</t>
        </is>
      </c>
      <c r="AF398" s="9" t="inlineStr">
        <is>
          <t>Heffner-lab compilation</t>
        </is>
      </c>
      <c r="AG398" s="9" t="inlineStr">
        <is>
          <t>optional comparative compilation; check overlap with registered Heffner items</t>
        </is>
      </c>
    </row>
    <row r="399" ht="15" customHeight="1">
      <c r="A399" s="9" t="inlineStr">
        <is>
          <t>Koay, G., Kearns, D., Heffner, H. E., &amp; Heffner, R. S. (1998). Passive sound-localization ability of the big brown bat (Eptesicus fuscus). Hear Res, 119, 37-48. https://doi.org/10.1016/s0378-5955(98)00037-9</t>
        </is>
      </c>
      <c r="B399" s="9" t="inlineStr">
        <is>
          <t>b</t>
        </is>
      </c>
      <c r="C399" s="9"/>
      <c r="D399" s="9" t="inlineStr">
        <is>
          <t>Results Text</t>
        </is>
      </c>
      <c r="E399" s="11" t="str">
        <f>SUBSTITUTE(SUBSTITUTE(_xlfn.TEXTBEFORE(A399,","), "-", ""), " ", "")</f>
        <v>Koay</v>
      </c>
      <c r="F399" s="10"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0" t="str">
        <f>_xlfn.TEXTBEFORE(_xlfn.TEXTAFTER(A399, "("), ")")</f>
        <v>1998</v>
      </c>
      <c r="H399" s="11" t="str">
        <f>E399 &amp; IF(F399&lt;&gt;"", "_" &amp; SUBSTITUTE(F399," ",""), "_") &amp; IF(G399&lt;&gt;"", "_" &amp; G399, "_") &amp; IF(B399&lt;&gt;"", "_" &amp; B399, "")</f>
        <v>Koay_etal_1998_b</v>
      </c>
      <c r="I399" s="11" t="str">
        <f>_xlfn.LET(_xlpm.doi,IF(C399&lt;&gt;"",C399,_xlfn.TEXTAFTER(A399,"https://doi.org/")),SUBSTITUTE(SUBSTITUTE(SUBSTITUTE(SUBSTITUTE(_xlpm.doi,"/","%2F"),":","%3A"),"&lt;","%3C"),"&gt;","%3E"))</f>
        <v>10.1016%2Fs0378-5955(98)00037-9</v>
      </c>
      <c r="J399" s="11" t="str">
        <f>TRIM(_xlfn.TEXTJOIN("_",FALSE(),H399,(SUBSTITUTE(SUBSTITUTE(D399," ",""), "_", ""))))</f>
        <v>Koay_etal_1998_b_ResultsText</v>
      </c>
      <c r="K399" s="10" t="str">
        <f>I399 &amp; "_" &amp; SUBSTITUTE(SUBSTITUTE(SUBSTITUTE(D399,CHAR(160),"")," ",""),"_","")</f>
        <v>10.1016%2Fs0378-5955(98)00037-9_ResultsText</v>
      </c>
      <c r="L399" s="10" t="str">
        <f t="array" ref="L399">IFERROR(INDEX(AUTO_Public_TSV_FileList!$A$1:$A$1000,MATCH(TRUE(),EXACT(K399,IFERROR(_xlfn.TEXTBEFORE(AUTO_Public_TSV_FileList!$A$1:$A$1000,".tsv"),"")),0)),"notfound")</f>
        <v>10.1016%2Fs0378-5955(98)00037-9_ResultsText.tsv</v>
      </c>
      <c r="M399" s="9" t="inlineStr">
        <is>
          <t>Results text: big brown bat sound-localization threshold, binaural cue use, and width of field of best vision (139 deg)</t>
        </is>
      </c>
      <c r="N399" s="9" t="inlineStr">
        <is>
          <t>text</t>
        </is>
      </c>
      <c r="O399" s="9" t="inlineStr">
        <is>
          <t>H corrected to match actual folder Koay_etal_1998_b (was Koay_etal_1998, a different already-built paper, DOI 10.1037%2F0735-7036.112.4.371). Built 2026-09-27.</t>
        </is>
      </c>
      <c r="P399" s="9" t="inlineStr">
        <is>
          <t>FINISHED</t>
        </is>
      </c>
      <c r="Q399" s="9"/>
      <c r="R399" s="32" t="inlineStr">
        <is>
          <t>https://doi.org/10.1016/s0378-5955(98)00037-9</t>
        </is>
      </c>
      <c r="S399" s="9"/>
      <c r="T399" s="9" t="inlineStr">
        <is>
          <t>folder identity: Eptesicus paper, not Rousettus (see paper_citations.csv)</t>
        </is>
      </c>
      <c r="U399" s="9"/>
      <c r="V399" s="9" t="inlineStr">
        <is>
          <t>sensory hearing; sensory vision</t>
        </is>
      </c>
      <c r="W399" s="9" t="inlineStr">
        <is>
          <t>Eptesicus fuscus</t>
        </is>
      </c>
      <c r="X399" s="9" t="inlineStr">
        <is>
          <t>MAA; binaural cue use; field of best vision width</t>
        </is>
      </c>
      <c r="Y399" s="9"/>
      <c r="Z399" s="9" t="inlineStr">
        <is>
          <t>behavioral (conditioned suppression/avoidance)</t>
        </is>
      </c>
      <c r="AA399" s="9" t="inlineStr">
        <is>
          <t>conditioned suppression/avoidance; retinal ganglion-cell isodensity</t>
        </is>
      </c>
      <c r="AB399" s="9" t="inlineStr">
        <is>
          <t>degrees; categorical</t>
        </is>
      </c>
      <c r="AC399" s="9" t="inlineStr">
        <is>
          <t>Heffner</t>
        </is>
      </c>
      <c r="AD399" s="9"/>
      <c r="AE399" s="9" t="inlineStr">
        <is>
          <t>primary</t>
        </is>
      </c>
      <c r="AF399" s="9"/>
      <c r="AG399" s="9" t="inlineStr">
        <is>
          <t>extract first — direct source of values already used in SensoryData</t>
        </is>
      </c>
    </row>
    <row r="400" ht="15.75" customHeight="1">
      <c r="A400"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0" s="13"/>
      <c r="C400" s="1"/>
      <c r="D400" s="1" t="inlineStr">
        <is>
          <t>Extended Data Figure 4</t>
        </is>
      </c>
      <c r="E400" s="10" t="str">
        <f>SUBSTITUTE(SUBSTITUTE(_xlfn.TEXTBEFORE(A400,","), "-", ""), " ", "")</f>
        <v>Kochiyama</v>
      </c>
      <c r="F400" s="10"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0" t="str">
        <f>_xlfn.TEXTBEFORE(_xlfn.TEXTAFTER(A400, "("), ")")</f>
        <v>2018</v>
      </c>
      <c r="H400" s="10" t="str">
        <f>E400 &amp; IF(F400&lt;&gt;"", "_" &amp; SUBSTITUTE(F400," ",""), "_") &amp; IF(G400&lt;&gt;"", "_" &amp; G400, "_") &amp; IF(B400&lt;&gt;"", "_" &amp; B400, "")</f>
        <v>Kochiyama_etal_2018</v>
      </c>
      <c r="I400" s="10" t="str">
        <f>_xlfn.LET(
_xlpm.doi,IF(C400&lt;&gt;"",C400,_xlfn.TEXTAFTER(A400,"https://doi.org/")),
SUBSTITUTE(
SUBSTITUTE(
SUBSTITUTE(
SUBSTITUTE(
_xlpm.doi,
"/","%2F"),
":","%3A"),
"&lt;","%3C"),
"&gt;","%3E")
)</f>
        <v>10.1038%2Fs41598-018-24331-0</v>
      </c>
      <c r="J400" s="10" t="str">
        <f>TRIM(_xlfn.TEXTJOIN("_",FALSE(),H400,(SUBSTITUTE(SUBSTITUTE(D400," ",""), "_", ""))))</f>
        <v>Kochiyama_etal_2018_ExtendedDataFigure4</v>
      </c>
      <c r="K400" s="10" t="str">
        <f>I400 &amp; "_" &amp; SUBSTITUTE(SUBSTITUTE(SUBSTITUTE(D400,CHAR(160),"")," ",""),"_","")</f>
        <v>10.1038%2Fs41598-018-24331-0_ExtendedDataFigure4</v>
      </c>
      <c r="L400" s="10" t="str">
        <f t="array" ref="L400">IFERROR(INDEX(AUTO_Public_TSV_FileList!$A$1:$A$1000,MATCH(TRUE(),EXACT(K400,IFERROR(_xlfn.TEXTBEFORE(AUTO_Public_TSV_FileList!$A$1:$A$1000,".tsv"),"")),0)),"notfound")</f>
        <v>10.1038%2Fs41598-018-24331-0_ExtendedDataFigure4.tsv</v>
      </c>
      <c r="M400" s="1" t="inlineStr">
        <is>
          <t>xml:space="preserve"&gt;Extended Data Figure 4  Comparisons of the relative volumes of the parcellated brain regions among NT, EH and MH, assuming that the variation within NT and EH was equivalent to that of MH. </t>
        </is>
      </c>
      <c r="N400" s="1" t="inlineStr">
        <is>
          <t>figure</t>
        </is>
      </c>
      <c r="O400" s="13"/>
      <c r="P400" s="13" t="inlineStr">
        <is>
          <t>FINISHED</t>
        </is>
      </c>
      <c r="Q400" s="13"/>
      <c r="R400" s="13"/>
      <c r="S400" s="13"/>
      <c r="T400" s="13"/>
      <c r="U400" s="13"/>
      <c r="V400" s="13"/>
      <c r="W400" s="13"/>
      <c r="X400" s="13"/>
      <c r="Y400" s="13"/>
      <c r="Z400" s="13"/>
      <c r="AA400" s="13"/>
      <c r="AB400" s="13"/>
      <c r="AC400" s="13"/>
      <c r="AD400" s="13"/>
      <c r="AE400" s="13"/>
      <c r="AF400" s="13"/>
      <c r="AG400" s="13"/>
    </row>
    <row r="401" ht="15.75" customHeight="1">
      <c r="A401"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1" s="13"/>
      <c r="C401" s="1"/>
      <c r="D401" s="1" t="inlineStr">
        <is>
          <t>Extended Data Table 1</t>
        </is>
      </c>
      <c r="E401" s="10" t="str">
        <f>SUBSTITUTE(SUBSTITUTE(_xlfn.TEXTBEFORE(A401,","), "-", ""), " ", "")</f>
        <v>Kochiyama</v>
      </c>
      <c r="F401" s="10"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10" t="str">
        <f>_xlfn.TEXTBEFORE(_xlfn.TEXTAFTER(A401, "("), ")")</f>
        <v>2018</v>
      </c>
      <c r="H401" s="10" t="str">
        <f>E401 &amp; IF(F401&lt;&gt;"", "_" &amp; SUBSTITUTE(F401," ",""), "_") &amp; IF(G401&lt;&gt;"", "_" &amp; G401, "_") &amp; IF(B401&lt;&gt;"", "_" &amp; B401, "")</f>
        <v>Kochiyama_etal_2018</v>
      </c>
      <c r="I401" s="10" t="str">
        <f>_xlfn.LET(
_xlpm.doi,IF(C401&lt;&gt;"",C401,_xlfn.TEXTAFTER(A401,"https://doi.org/")),
SUBSTITUTE(
SUBSTITUTE(
SUBSTITUTE(
SUBSTITUTE(
_xlpm.doi,
"/","%2F"),
":","%3A"),
"&lt;","%3C"),
"&gt;","%3E")
)</f>
        <v>10.1038%2Fs41598-018-24331-0</v>
      </c>
      <c r="J401" s="10" t="str">
        <f>TRIM(_xlfn.TEXTJOIN("_",FALSE(),H401,(SUBSTITUTE(SUBSTITUTE(D401," ",""), "_", ""))))</f>
        <v>Kochiyama_etal_2018_ExtendedDataTable1</v>
      </c>
      <c r="K401" s="10" t="str">
        <f>I401 &amp; "_" &amp; SUBSTITUTE(SUBSTITUTE(SUBSTITUTE(D401,CHAR(160),"")," ",""),"_","")</f>
        <v>10.1038%2Fs41598-018-24331-0_ExtendedDataTable1</v>
      </c>
      <c r="L401" s="10" t="str">
        <f t="array" ref="L401">IFERROR(INDEX(AUTO_Public_TSV_FileList!$A$1:$A$1000,MATCH(TRUE(),EXACT(K401,IFERROR(_xlfn.TEXTBEFORE(AUTO_Public_TSV_FileList!$A$1:$A$1000,".tsv"),"")),0)),"notfound")</f>
        <v>10.1038%2Fs41598-018-24331-0_ExtendedDataTable1.tsv</v>
      </c>
      <c r="M401" s="1" t="inlineStr">
        <is>
          <t>xml:space="preserve"&gt;Extended Data Table 1 Correspondence between the AAL atlas and the parcellated brain regions </t>
        </is>
      </c>
      <c r="N401" s="1" t="inlineStr">
        <is>
          <t>table</t>
        </is>
      </c>
      <c r="O401" s="13"/>
      <c r="P401" s="13" t="inlineStr">
        <is>
          <t>FINISHED</t>
        </is>
      </c>
      <c r="Q401" s="13"/>
      <c r="R401" s="13"/>
      <c r="S401" s="13"/>
      <c r="T401" s="13"/>
      <c r="U401" s="13"/>
      <c r="V401" s="13"/>
      <c r="W401" s="13"/>
      <c r="X401" s="13"/>
      <c r="Y401" s="13"/>
      <c r="Z401" s="13"/>
      <c r="AA401" s="13"/>
      <c r="AB401" s="13"/>
      <c r="AC401" s="13"/>
      <c r="AD401" s="13"/>
      <c r="AE401" s="13"/>
      <c r="AF401" s="13"/>
      <c r="AG401" s="13"/>
    </row>
    <row r="402" ht="15.75" customHeight="1">
      <c r="A402"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2" s="13"/>
      <c r="C402" s="1"/>
      <c r="D402" s="1" t="inlineStr">
        <is>
          <t>Extended Data Table 3</t>
        </is>
      </c>
      <c r="E402" s="10" t="str">
        <f>SUBSTITUTE(SUBSTITUTE(_xlfn.TEXTBEFORE(A402,","), "-", ""), " ", "")</f>
        <v>Kochiyama</v>
      </c>
      <c r="F402" s="10"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0" t="str">
        <f>_xlfn.TEXTBEFORE(_xlfn.TEXTAFTER(A402, "("), ")")</f>
        <v>2018</v>
      </c>
      <c r="H402" s="10" t="str">
        <f>E402 &amp; IF(F402&lt;&gt;"", "_" &amp; SUBSTITUTE(F402," ",""), "_") &amp; IF(G402&lt;&gt;"", "_" &amp; G402, "_") &amp; IF(B402&lt;&gt;"", "_" &amp; B402, "")</f>
        <v>Kochiyama_etal_2018</v>
      </c>
      <c r="I402" s="10" t="str">
        <f>_xlfn.LET(
_xlpm.doi,IF(C402&lt;&gt;"",C402,_xlfn.TEXTAFTER(A402,"https://doi.org/")),
SUBSTITUTE(
SUBSTITUTE(
SUBSTITUTE(
SUBSTITUTE(
_xlpm.doi,
"/","%2F"),
":","%3A"),
"&lt;","%3C"),
"&gt;","%3E")
)</f>
        <v>10.1038%2Fs41598-018-24331-0</v>
      </c>
      <c r="J402" s="10" t="str">
        <f>TRIM(_xlfn.TEXTJOIN("_",FALSE(),H402,(SUBSTITUTE(SUBSTITUTE(D402," ",""), "_", ""))))</f>
        <v>Kochiyama_etal_2018_ExtendedDataTable3</v>
      </c>
      <c r="K402" s="10" t="str">
        <f>I402 &amp; "_" &amp; SUBSTITUTE(SUBSTITUTE(SUBSTITUTE(D402,CHAR(160),"")," ",""),"_","")</f>
        <v>10.1038%2Fs41598-018-24331-0_ExtendedDataTable3</v>
      </c>
      <c r="L402" s="10" t="str">
        <f t="array" ref="L402">IFERROR(INDEX(AUTO_Public_TSV_FileList!$A$1:$A$1000,MATCH(TRUE(),EXACT(K402,IFERROR(_xlfn.TEXTBEFORE(AUTO_Public_TSV_FileList!$A$1:$A$1000,".tsv"),"")),0)),"notfound")</f>
        <v>10.1038%2Fs41598-018-24331-0_ExtendedDataTable3.tsv</v>
      </c>
      <c r="M402" s="1" t="inlineStr">
        <is>
          <t>xml:space="preserve"&gt;Extended Data Table 3 Statistical test results of differences in the relative volumes of the parcellated brain regions among NT, EH and MH. </t>
        </is>
      </c>
      <c r="N402" s="1" t="inlineStr">
        <is>
          <t>table</t>
        </is>
      </c>
      <c r="O402" s="13"/>
      <c r="P402" s="13" t="inlineStr">
        <is>
          <t>FINISHED</t>
        </is>
      </c>
      <c r="Q402" s="13"/>
      <c r="R402" s="13"/>
      <c r="S402" s="13"/>
      <c r="T402" s="13"/>
      <c r="U402" s="13"/>
      <c r="V402" s="13"/>
      <c r="W402" s="13"/>
      <c r="X402" s="13"/>
      <c r="Y402" s="13"/>
      <c r="Z402" s="13"/>
      <c r="AA402" s="13"/>
      <c r="AB402" s="13"/>
      <c r="AC402" s="13"/>
      <c r="AD402" s="13"/>
      <c r="AE402" s="13"/>
      <c r="AF402" s="13"/>
      <c r="AG402" s="13"/>
    </row>
    <row r="403" ht="15.75" customHeight="1">
      <c r="A403"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3" s="13"/>
      <c r="C403" s="1"/>
      <c r="D403" s="1" t="inlineStr">
        <is>
          <t>Figure 3 legend</t>
        </is>
      </c>
      <c r="E403" s="10" t="str">
        <f>SUBSTITUTE(SUBSTITUTE(_xlfn.TEXTBEFORE(A403,","), "-", ""), " ", "")</f>
        <v>Kochiyama</v>
      </c>
      <c r="F403" s="10"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0" t="str">
        <f>_xlfn.TEXTBEFORE(_xlfn.TEXTAFTER(A403, "("), ")")</f>
        <v>2018</v>
      </c>
      <c r="H403" s="10" t="str">
        <f>E403 &amp; IF(F403&lt;&gt;"", "_" &amp; SUBSTITUTE(F403," ",""), "_") &amp; IF(G403&lt;&gt;"", "_" &amp; G403, "_") &amp; IF(B403&lt;&gt;"", "_" &amp; B403, "")</f>
        <v>Kochiyama_etal_2018</v>
      </c>
      <c r="I403" s="10" t="str">
        <f>_xlfn.LET(
_xlpm.doi,IF(C403&lt;&gt;"",C403,_xlfn.TEXTAFTER(A403,"https://doi.org/")),
SUBSTITUTE(
SUBSTITUTE(
SUBSTITUTE(
SUBSTITUTE(
_xlpm.doi,
"/","%2F"),
":","%3A"),
"&lt;","%3C"),
"&gt;","%3E")
)</f>
        <v>10.1038%2Fs41598-018-24331-0</v>
      </c>
      <c r="J403" s="10" t="str">
        <f>TRIM(_xlfn.TEXTJOIN("_",FALSE(),H403,(SUBSTITUTE(SUBSTITUTE(D403," ",""), "_", ""))))</f>
        <v>Kochiyama_etal_2018_Figure3legend</v>
      </c>
      <c r="K403" s="10" t="str">
        <f>I403 &amp; "_" &amp; SUBSTITUTE(SUBSTITUTE(SUBSTITUTE(D403,CHAR(160),"")," ",""),"_","")</f>
        <v>10.1038%2Fs41598-018-24331-0_Figure3legend</v>
      </c>
      <c r="L403" s="10" t="str">
        <f t="array" ref="L403">IFERROR(INDEX(AUTO_Public_TSV_FileList!$A$1:$A$1000,MATCH(TRUE(),EXACT(K403,IFERROR(_xlfn.TEXTBEFORE(AUTO_Public_TSV_FileList!$A$1:$A$1000,".tsv"),"")),0)),"notfound")</f>
        <v>10.1038%2Fs41598-018-24331-0_Figure3legend.tsv</v>
      </c>
      <c r="M403" s="1" t="inlineStr">
        <is>
          <t>Figure 3. Comparisons of the relative volumes of the parcellated brain regions among NT, EH and MH.</t>
        </is>
      </c>
      <c r="N403" s="1" t="inlineStr">
        <is>
          <t>figure legend</t>
        </is>
      </c>
      <c r="O403" s="13"/>
      <c r="P403" s="13" t="inlineStr">
        <is>
          <t>FINISHED</t>
        </is>
      </c>
      <c r="Q403" s="13"/>
      <c r="R403" s="13"/>
      <c r="S403" s="13"/>
      <c r="T403" s="13"/>
      <c r="U403" s="13"/>
      <c r="V403" s="13"/>
      <c r="W403" s="13"/>
      <c r="X403" s="13"/>
      <c r="Y403" s="13"/>
      <c r="Z403" s="13"/>
      <c r="AA403" s="13"/>
      <c r="AB403" s="13"/>
      <c r="AC403" s="13"/>
      <c r="AD403" s="13"/>
      <c r="AE403" s="13"/>
      <c r="AF403" s="13"/>
      <c r="AG403" s="13"/>
    </row>
    <row r="404" ht="15.75" customHeight="1">
      <c r="A404"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4" s="13"/>
      <c r="C404" s="1"/>
      <c r="D404" s="1" t="inlineStr">
        <is>
          <t>Figure 3A</t>
        </is>
      </c>
      <c r="E404" s="10" t="str">
        <f>SUBSTITUTE(SUBSTITUTE(_xlfn.TEXTBEFORE(A404,","), "-", ""), " ", "")</f>
        <v>Kochiyama</v>
      </c>
      <c r="F404" s="10"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10" t="str">
        <f>_xlfn.TEXTBEFORE(_xlfn.TEXTAFTER(A404, "("), ")")</f>
        <v>2018</v>
      </c>
      <c r="H404" s="10" t="str">
        <f>E404 &amp; IF(F404&lt;&gt;"", "_" &amp; SUBSTITUTE(F404," ",""), "_") &amp; IF(G404&lt;&gt;"", "_" &amp; G404, "_") &amp; IF(B404&lt;&gt;"", "_" &amp; B404, "")</f>
        <v>Kochiyama_etal_2018</v>
      </c>
      <c r="I404" s="10" t="str">
        <f>_xlfn.LET(
_xlpm.doi,IF(C404&lt;&gt;"",C404,_xlfn.TEXTAFTER(A404,"https://doi.org/")),
SUBSTITUTE(
SUBSTITUTE(
SUBSTITUTE(
SUBSTITUTE(
_xlpm.doi,
"/","%2F"),
":","%3A"),
"&lt;","%3C"),
"&gt;","%3E")
)</f>
        <v>10.1038%2Fs41598-018-24331-0</v>
      </c>
      <c r="J404" s="10" t="str">
        <f>TRIM(_xlfn.TEXTJOIN("_",FALSE(),H404,(SUBSTITUTE(SUBSTITUTE(D404," ",""), "_", ""))))</f>
        <v>Kochiyama_etal_2018_Figure3A</v>
      </c>
      <c r="K404" s="10" t="str">
        <f>I404 &amp; "_" &amp; SUBSTITUTE(SUBSTITUTE(SUBSTITUTE(D404,CHAR(160),"")," ",""),"_","")</f>
        <v>10.1038%2Fs41598-018-24331-0_Figure3A</v>
      </c>
      <c r="L404" s="10" t="str">
        <f t="array" ref="L404">IFERROR(INDEX(AUTO_Public_TSV_FileList!$A$1:$A$1000,MATCH(TRUE(),EXACT(K404,IFERROR(_xlfn.TEXTBEFORE(AUTO_Public_TSV_FileList!$A$1:$A$1000,".tsv"),"")),0)),"notfound")</f>
        <v>10.1038%2Fs41598-018-24331-0_Figure3A.tsv</v>
      </c>
      <c r="M404" s="1" t="inlineStr">
        <is>
          <t>Figure 3. Comparisons of the relative volumes of the parcellated brain regions among NT, EH and MH.</t>
        </is>
      </c>
      <c r="N404" s="1" t="inlineStr">
        <is>
          <t>figure</t>
        </is>
      </c>
      <c r="O404" s="13"/>
      <c r="P404" s="13" t="inlineStr">
        <is>
          <t>FINISHED</t>
        </is>
      </c>
      <c r="Q404" s="13"/>
      <c r="R404" s="13"/>
      <c r="S404" s="13"/>
      <c r="T404" s="13"/>
      <c r="U404" s="13"/>
      <c r="V404" s="13"/>
      <c r="W404" s="13"/>
      <c r="X404" s="13"/>
      <c r="Y404" s="13"/>
      <c r="Z404" s="13"/>
      <c r="AA404" s="13"/>
      <c r="AB404" s="13"/>
      <c r="AC404" s="13"/>
      <c r="AD404" s="13"/>
      <c r="AE404" s="13"/>
      <c r="AF404" s="13"/>
      <c r="AG404" s="13"/>
    </row>
    <row r="405" ht="15.75" customHeight="1">
      <c r="A405"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5" s="13"/>
      <c r="C405" s="1"/>
      <c r="D405" s="1" t="inlineStr">
        <is>
          <t>Figure 3B</t>
        </is>
      </c>
      <c r="E405" s="10" t="str">
        <f>SUBSTITUTE(SUBSTITUTE(_xlfn.TEXTBEFORE(A405,","), "-", ""), " ", "")</f>
        <v>Kochiyama</v>
      </c>
      <c r="F405" s="1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10" t="str">
        <f>_xlfn.TEXTBEFORE(_xlfn.TEXTAFTER(A405, "("), ")")</f>
        <v>2018</v>
      </c>
      <c r="H405" s="10" t="str">
        <f>E405 &amp; IF(F405&lt;&gt;"", "_" &amp; SUBSTITUTE(F405," ",""), "_") &amp; IF(G405&lt;&gt;"", "_" &amp; G405, "_") &amp; IF(B405&lt;&gt;"", "_" &amp; B405, "")</f>
        <v>Kochiyama_etal_2018</v>
      </c>
      <c r="I405" s="10" t="str">
        <f>_xlfn.LET(
_xlpm.doi,IF(C405&lt;&gt;"",C405,_xlfn.TEXTAFTER(A405,"https://doi.org/")),
SUBSTITUTE(
SUBSTITUTE(
SUBSTITUTE(
SUBSTITUTE(
_xlpm.doi,
"/","%2F"),
":","%3A"),
"&lt;","%3C"),
"&gt;","%3E")
)</f>
        <v>10.1038%2Fs41598-018-24331-0</v>
      </c>
      <c r="J405" s="10" t="str">
        <f>TRIM(_xlfn.TEXTJOIN("_",FALSE(),H405,(SUBSTITUTE(SUBSTITUTE(D405," ",""), "_", ""))))</f>
        <v>Kochiyama_etal_2018_Figure3B</v>
      </c>
      <c r="K405" s="10" t="str">
        <f>I405 &amp; "_" &amp; SUBSTITUTE(SUBSTITUTE(SUBSTITUTE(D405,CHAR(160),"")," ",""),"_","")</f>
        <v>10.1038%2Fs41598-018-24331-0_Figure3B</v>
      </c>
      <c r="L405" s="10" t="str">
        <f t="array" ref="L405">IFERROR(INDEX(AUTO_Public_TSV_FileList!$A$1:$A$1000,MATCH(TRUE(),EXACT(K405,IFERROR(_xlfn.TEXTBEFORE(AUTO_Public_TSV_FileList!$A$1:$A$1000,".tsv"),"")),0)),"notfound")</f>
        <v>10.1038%2Fs41598-018-24331-0_Figure3B.tsv</v>
      </c>
      <c r="M405" s="1" t="inlineStr">
        <is>
          <t>Figure 3. Comparisons of the relative volumes of the parcellated brain regions among NT, EH and MH.</t>
        </is>
      </c>
      <c r="N405" s="1" t="inlineStr">
        <is>
          <t>figure</t>
        </is>
      </c>
      <c r="O405" s="13"/>
      <c r="P405" s="13" t="inlineStr">
        <is>
          <t>FINISHED</t>
        </is>
      </c>
      <c r="Q405" s="13"/>
      <c r="R405" s="13"/>
      <c r="S405" s="13"/>
      <c r="T405" s="13"/>
      <c r="U405" s="13"/>
      <c r="V405" s="13"/>
      <c r="W405" s="13"/>
      <c r="X405" s="13"/>
      <c r="Y405" s="13"/>
      <c r="Z405" s="13"/>
      <c r="AA405" s="13"/>
      <c r="AB405" s="13"/>
      <c r="AC405" s="13"/>
      <c r="AD405" s="13"/>
      <c r="AE405" s="13"/>
      <c r="AF405" s="13"/>
      <c r="AG405" s="13"/>
    </row>
    <row r="406" ht="15.75" customHeight="1">
      <c r="A406" s="1" t="inlineStr">
        <is>
          <t>Kochiyama, T., Ogihara, N., Tanabe, H. C., Kondo, O., Amano, H., Hasegawa, K., Suzuki, H., Ponce de Leon, M. S., Zollikofer, C. P. E., Bastir, M., Stringer, C., Sadato, N., &amp; Akazawa, T. (2018). Reconstructing the Neanderthal brain using computational anatomy. Sci Rep, 8(1), 6296. https://doi.org/10.1038/s41598-018-24331-0</t>
        </is>
      </c>
      <c r="B406" s="13"/>
      <c r="C406" s="1"/>
      <c r="D406" s="1" t="inlineStr">
        <is>
          <t>FossilSpecimensText</t>
        </is>
      </c>
      <c r="E406" s="10" t="str">
        <f>SUBSTITUTE(SUBSTITUTE(_xlfn.TEXTBEFORE(A406,","), "-", ""), " ", "")</f>
        <v>Kochiyama</v>
      </c>
      <c r="F406" s="10"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10" t="str">
        <f>_xlfn.TEXTBEFORE(_xlfn.TEXTAFTER(A406, "("), ")")</f>
        <v>2018</v>
      </c>
      <c r="H406" s="10" t="str">
        <f>E406 &amp; IF(F406&lt;&gt;"", "_" &amp; SUBSTITUTE(F406," ",""), "_") &amp; IF(G406&lt;&gt;"", "_" &amp; G406, "_") &amp; IF(B406&lt;&gt;"", "_" &amp; B406, "")</f>
        <v>Kochiyama_etal_2018</v>
      </c>
      <c r="I406" s="10" t="str">
        <f>_xlfn.LET(
_xlpm.doi,IF(C406&lt;&gt;"",C406,_xlfn.TEXTAFTER(A406,"https://doi.org/")),
SUBSTITUTE(
SUBSTITUTE(
SUBSTITUTE(
SUBSTITUTE(
_xlpm.doi,
"/","%2F"),
":","%3A"),
"&lt;","%3C"),
"&gt;","%3E")
)</f>
        <v>10.1038%2Fs41598-018-24331-0</v>
      </c>
      <c r="J406" s="10" t="str">
        <f>TRIM(_xlfn.TEXTJOIN("_",FALSE(),H406,(SUBSTITUTE(SUBSTITUTE(D406," ",""), "_", ""))))</f>
        <v>Kochiyama_etal_2018_FossilSpecimensText</v>
      </c>
      <c r="K406" s="10" t="str">
        <f>I406 &amp; "_" &amp; SUBSTITUTE(SUBSTITUTE(SUBSTITUTE(D406,CHAR(160),"")," ",""),"_","")</f>
        <v>10.1038%2Fs41598-018-24331-0_FossilSpecimensText</v>
      </c>
      <c r="L406" s="10" t="str">
        <f t="array" ref="L406">IFERROR(INDEX(AUTO_Public_TSV_FileList!$A$1:$A$1000,MATCH(TRUE(),EXACT(K406,IFERROR(_xlfn.TEXTBEFORE(AUTO_Public_TSV_FileList!$A$1:$A$1000,".tsv"),"")),0)),"notfound")</f>
        <v>10.1038%2Fs41598-018-24331-0_FossilSpecimensText.tsv</v>
      </c>
      <c r="M406" s="1" t="inlineStr">
        <is>
          <t>Main text</t>
        </is>
      </c>
      <c r="N406" s="1" t="inlineStr">
        <is>
          <t>table</t>
        </is>
      </c>
      <c r="O406" s="13"/>
      <c r="P406" s="13" t="inlineStr">
        <is>
          <t>FINISHED</t>
        </is>
      </c>
      <c r="Q406" s="13"/>
      <c r="R406" s="13"/>
      <c r="S406" s="13"/>
      <c r="T406" s="13"/>
      <c r="U406" s="13"/>
      <c r="V406" s="13"/>
      <c r="W406" s="13"/>
      <c r="X406" s="13"/>
      <c r="Y406" s="13"/>
      <c r="Z406" s="13"/>
      <c r="AA406" s="13"/>
      <c r="AB406" s="13"/>
      <c r="AC406" s="13"/>
      <c r="AD406" s="13"/>
      <c r="AE406" s="13"/>
      <c r="AF406" s="13"/>
      <c r="AG406" s="13"/>
    </row>
    <row r="407" ht="15.75" customHeight="1">
      <c r="A407" s="13" t="inlineStr">
        <is>
          <t>Krompecher, S., &amp; Lipak, J. (1966). A simple method for determining cerebralization. Brain weight and intelligence. J Comp Neurol, 127(1), 113-120. https://doi.org/10.1002/cne.901270108</t>
        </is>
      </c>
      <c r="B407" s="13"/>
      <c r="C407" s="13"/>
      <c r="D407" s="13" t="inlineStr">
        <is>
          <t>Table 2</t>
        </is>
      </c>
      <c r="E407" s="11" t="str">
        <f>SUBSTITUTE(SUBSTITUTE(_xlfn.TEXTBEFORE(A407,","), "-", ""), " ", "")</f>
        <v>Krompecher</v>
      </c>
      <c r="F407" s="10"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7" s="10" t="str">
        <f>_xlfn.TEXTBEFORE(_xlfn.TEXTAFTER(A407, "("), ")")</f>
        <v>1966</v>
      </c>
      <c r="H407" s="11" t="str">
        <f>E407 &amp; IF(F407&lt;&gt;"", "_" &amp; SUBSTITUTE(F407," ",""), "_") &amp; IF(G407&lt;&gt;"", "_" &amp; G407, "_") &amp; IF(B407&lt;&gt;"", "_" &amp; B407, "")</f>
        <v>Krompecher__1966</v>
      </c>
      <c r="I407" s="11" t="str">
        <f>_xlfn.LET(_xlpm.doi,IF(C407&lt;&gt;"",C407,_xlfn.TEXTAFTER(A407,"https://doi.org/")),SUBSTITUTE(SUBSTITUTE(SUBSTITUTE(SUBSTITUTE(_xlpm.doi,"/","%2F"),":","%3A"),"&lt;","%3C"),"&gt;","%3E"))</f>
        <v>10.1002%2Fcne.901270108</v>
      </c>
      <c r="J407" s="11" t="str">
        <f>TRIM(_xlfn.TEXTJOIN("_",FALSE(),H407,(SUBSTITUTE(SUBSTITUTE(D407," ",""), "_", ""))))</f>
        <v>Krompecher__1966_Table2</v>
      </c>
      <c r="K407" s="10" t="str">
        <f>I407 &amp; "_" &amp; SUBSTITUTE(SUBSTITUTE(SUBSTITUTE(D407,CHAR(160),"")," ",""),"_","")</f>
        <v>10.1002%2Fcne.901270108_Table2</v>
      </c>
      <c r="L407" s="10" t="str">
        <f t="array" ref="L407">IFERROR(INDEX(AUTO_Public_TSV_FileList!$A$1:$A$1000,MATCH(TRUE(),EXACT(K407,IFERROR(_xlfn.TEXTBEFORE(AUTO_Public_TSV_FileList!$A$1:$A$1000,".tsv"),"")),0)),"notfound")</f>
        <v>10.1002%2Fcne.901270108_Table2.tsv</v>
      </c>
      <c r="M407" s="13" t="inlineStr">
        <is>
          <t>The brain-spinal cord-weight proportion of vertebrates</t>
        </is>
      </c>
      <c r="N407" s="13" t="inlineStr">
        <is>
          <t>table</t>
        </is>
      </c>
      <c r="O407" s="13"/>
      <c r="P407" s="13" t="inlineStr">
        <is>
          <t>FINISHED</t>
        </is>
      </c>
      <c r="Q407" s="13"/>
      <c r="R407" s="13"/>
      <c r="S407" s="13"/>
      <c r="T407" s="13"/>
      <c r="U407" s="13"/>
      <c r="V407" s="13"/>
      <c r="W407" s="13" t="inlineStr">
        <is>
          <t>Vertebrates</t>
        </is>
      </c>
      <c r="X407" s="13" t="inlineStr">
        <is>
          <t>spinal cord weight</t>
        </is>
      </c>
      <c r="Y407" s="13" t="inlineStr">
        <is>
          <t>body weight; brain weight; brain/spinal-cord ratio</t>
        </is>
      </c>
      <c r="Z407" s="13" t="inlineStr">
        <is>
          <t>fresh postmortem tissue</t>
        </is>
      </c>
      <c r="AA407" s="13" t="inlineStr">
        <is>
          <t>fresh weight, dura removed, pia retained</t>
        </is>
      </c>
      <c r="AB407" s="13" t="inlineStr">
        <is>
          <t>mass</t>
        </is>
      </c>
      <c r="AC407" s="13"/>
      <c r="AD407" s="13"/>
      <c r="AE407" s="13" t="inlineStr">
        <is>
          <t>both</t>
        </is>
      </c>
      <c r="AF407" s="13" t="inlineStr">
        <is>
          <t>Latimer; Ziehen</t>
        </is>
      </c>
      <c r="AG407" s="13"/>
    </row>
    <row r="408" ht="15.75" customHeight="1">
      <c r="A408" s="1" t="inlineStr">
        <is>
          <t>Krubitzer, L. A., &amp; Kaas, J. H. (1990). Cortical connections of MT in four species of primates: areal, modular, and retinotopic patterns. Vis Neurosci, 5(2), 165-204. https://doi.org/10.1017/s0952523800000213</t>
        </is>
      </c>
      <c r="B408" s="13"/>
      <c r="C408" s="1"/>
      <c r="D408" s="1" t="inlineStr">
        <is>
          <t>Table 1</t>
        </is>
      </c>
      <c r="E408" s="10" t="str">
        <f>SUBSTITUTE(SUBSTITUTE(_xlfn.TEXTBEFORE(A408,","), "-", ""), " ", "")</f>
        <v>Krubitzer</v>
      </c>
      <c r="F408" s="10"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8" s="10" t="str">
        <f>_xlfn.TEXTBEFORE(_xlfn.TEXTAFTER(A408, "("), ")")</f>
        <v>1990</v>
      </c>
      <c r="H408" s="10" t="str">
        <f>E408 &amp; IF(F408&lt;&gt;"", "_" &amp; SUBSTITUTE(F408," ",""), "_") &amp; IF(G408&lt;&gt;"", "_" &amp; G408, "_") &amp; IF(B408&lt;&gt;"", "_" &amp; B408, "")</f>
        <v>Krubitzer__1990</v>
      </c>
      <c r="I408" s="10" t="str">
        <f>_xlfn.LET(
_xlpm.doi,IF(C408&lt;&gt;"",C408,_xlfn.TEXTAFTER(A408,"https://doi.org/")),
SUBSTITUTE(
SUBSTITUTE(
SUBSTITUTE(
SUBSTITUTE(
_xlpm.doi,
"/","%2F"),
":","%3A"),
"&lt;","%3C"),
"&gt;","%3E")
)</f>
        <v>10.1017%2Fs0952523800000213</v>
      </c>
      <c r="J408" s="10" t="str">
        <f>TRIM(_xlfn.TEXTJOIN("_",FALSE(),H408,(SUBSTITUTE(SUBSTITUTE(D408," ",""), "_", ""))))</f>
        <v>Krubitzer__1990_Table1</v>
      </c>
      <c r="K408" s="10" t="str">
        <f>I408 &amp; "_" &amp; SUBSTITUTE(SUBSTITUTE(SUBSTITUTE(D408,CHAR(160),"")," ",""),"_","")</f>
        <v>10.1017%2Fs0952523800000213_Table1</v>
      </c>
      <c r="L408" s="10" t="str">
        <f t="array" ref="L408">IFERROR(INDEX(AUTO_Public_TSV_FileList!$A$1:$A$1000,MATCH(TRUE(),EXACT(K408,IFERROR(_xlfn.TEXTBEFORE(AUTO_Public_TSV_FileList!$A$1:$A$1000,".tsv"),"")),0)),"notfound")</f>
        <v>10.1017%2Fs0952523800000213_Table1.tsv</v>
      </c>
      <c r="M408" s="1" t="inlineStr">
        <is>
          <t>Table 1. Surface areas of cortical fields as a percentage of the total surface of neocortex (See Fig. 1 for visual areas).</t>
        </is>
      </c>
      <c r="N408" s="13"/>
      <c r="O408" s="13"/>
      <c r="P408" s="13" t="inlineStr">
        <is>
          <t>FINISHED</t>
        </is>
      </c>
      <c r="Q408" s="13"/>
      <c r="R408" s="13"/>
      <c r="S408" s="13"/>
      <c r="T408" s="13"/>
      <c r="U408" s="13"/>
      <c r="V408" s="13"/>
      <c r="W408" s="13"/>
      <c r="X408" s="13"/>
      <c r="Y408" s="13"/>
      <c r="Z408" s="13"/>
      <c r="AA408" s="13"/>
      <c r="AB408" s="13"/>
      <c r="AC408" s="13"/>
      <c r="AD408" s="13"/>
      <c r="AE408" s="13"/>
      <c r="AF408" s="13"/>
      <c r="AG408" s="13"/>
    </row>
    <row r="409" ht="15.75" customHeight="1">
      <c r="A409" s="9" t="inlineStr">
        <is>
          <t>Krubitzer, L., Künzle, H., &amp; Kaas, J. H. (1997). Organization of sensory cortex in a Madagascan insectivore, the tenrec (Echinops telfairi). Journal of Comparative Neurology, 379(3), 399-414. https://doi.org/10.1002/(SICI)1096-9861(19970317)379:3&lt;399::AID-CNE6&gt;3.0.CO;2-Z</t>
        </is>
      </c>
      <c r="B409" s="9"/>
      <c r="C409" s="9"/>
      <c r="D409" s="9" t="inlineStr">
        <is>
          <t>Results Text</t>
        </is>
      </c>
      <c r="E409" s="2" t="str">
        <f>SUBSTITUTE(SUBSTITUTE(_xlfn.TEXTBEFORE(A409,","), "-", ""), " ", "")</f>
        <v>Krubitzer</v>
      </c>
      <c r="F409" s="7"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9" s="7" t="str">
        <f>_xlfn.TEXTBEFORE(_xlfn.TEXTAFTER(A409, "("), ")")</f>
        <v>1997</v>
      </c>
      <c r="H409" s="2" t="str">
        <f>E409 &amp; IF(F409&lt;&gt;"", "_" &amp; SUBSTITUTE(F409," ",""), "_") &amp; IF(G409&lt;&gt;"", "_" &amp; G409, "_") &amp; IF(B409&lt;&gt;"", "_" &amp; B409, "")</f>
        <v>Krubitzer__1997</v>
      </c>
      <c r="I409" s="2" t="str">
        <f>_xlfn.LET(_xlpm.doi,IF(C409&lt;&gt;"",C409,_xlfn.TEXTAFTER(A409,"https://doi.org/")),SUBSTITUTE(SUBSTITUTE(SUBSTITUTE(SUBSTITUTE(_xlpm.doi,"/","%2F"),":","%3A"),"&lt;","%3C"),"&gt;","%3E"))</f>
        <v>10.1002%2F(SICI)1096-9861(19970317)379%3A3&lt;399%3A%3AAID-CNE6&gt;3.0.CO;2-Z</v>
      </c>
      <c r="J409" s="2" t="str">
        <f>TRIM(_xlfn.TEXTJOIN("_",FALSE(),H409,(SUBSTITUTE(SUBSTITUTE(D409," ",""), "_", ""))))</f>
        <v>Krubitzer__1997_ResultsText</v>
      </c>
      <c r="K409" s="7" t="str">
        <f>I409 &amp; "_" &amp; SUBSTITUTE(SUBSTITUTE(SUBSTITUTE(D409,CHAR(160),"")," ",""),"_","")</f>
        <v>10.1002%2F(SICI)1096-9861(19970317)379%3A3&lt;399%3A%3AAID-CNE6&gt;3.0.CO;2-Z_ResultsText</v>
      </c>
      <c r="L409" s="7" t="str">
        <f t="array" ref="L409">IFERROR(INDEX(AUTO_Public_TSV_FileList!$A$1:$A$1000,MATCH(TRUE(),EXACT(K409,IFERROR(_xlfn.TEXTBEFORE(AUTO_Public_TSV_FileList!$A$1:$A$1000,".tsv"),"")),0)),"notfound")</f>
        <v>notfound</v>
      </c>
      <c r="M409" s="9"/>
      <c r="N409" s="9" t="inlineStr">
        <is>
          <t>PDF; constructed snapshot from Results and Discussion text</t>
        </is>
      </c>
      <c r="O409" s="9" t="inlineStr">
        <is>
          <t>Approximate values and lower bounds for one-hemisphere neocortical surface, PV/S2, S1 and auditory-field dimensions, and processing divisions.</t>
        </is>
      </c>
      <c r="P409" s="9" t="inlineStr">
        <is>
          <t>PREPARED (CSV built; owner registry paste / public TSV pending)</t>
        </is>
      </c>
      <c r="Q409" s="9" t="inlineStr">
        <is>
          <t>Krubitzer_etal_1997_ResultsText_snapshot.csv</t>
        </is>
      </c>
      <c r="R409" s="9" t="inlineStr">
        <is>
          <t>https://doi.org/10.1002/(SICI)1096-9861(19970317)379:3%3C399::AID-CNE6%3E3.0.CO;2-Z</t>
        </is>
      </c>
      <c r="S409" s="9" t="inlineStr">
        <is>
          <t>Approximation and inequality qualifiers retained; linear dimensions are not converted to surface areas.</t>
        </is>
      </c>
      <c r="T409" s="9" t="inlineStr">
        <is>
          <t>Mapped cases support field descriptions, but the source does not give case-specific values for the rough dimensions.</t>
        </is>
      </c>
      <c r="U409" s="9"/>
      <c r="V409" s="9" t="inlineStr">
        <is>
          <t>cortical surface area; sensory cortex organization</t>
        </is>
      </c>
      <c r="W409" s="9" t="inlineStr">
        <is>
          <t>Echinops telfairi</t>
        </is>
      </c>
      <c r="X409" s="9" t="inlineStr">
        <is>
          <t>total neocortex about 15 mm²; PV/S2 roughly 1.5 mm²; S1 and auditory-field dimensions</t>
        </is>
      </c>
      <c r="Y409" s="9" t="inlineStr">
        <is>
          <t>head-related S1 fraction; 13-or-more processing divisions</t>
        </is>
      </c>
      <c r="Z409" s="9" t="inlineStr">
        <is>
          <t>histological; flattened cortex</t>
        </is>
      </c>
      <c r="AA409" s="9" t="inlineStr">
        <is>
          <t>microelectrode mapping aligned to myeloarchitecture</t>
        </is>
      </c>
      <c r="AB409" s="9" t="inlineStr">
        <is>
          <t>approximate area mm2; percent; linear dimensions mm; lower-bound count</t>
        </is>
      </c>
      <c r="AC409" s="9" t="inlineStr">
        <is>
          <t>Kaas</t>
        </is>
      </c>
      <c r="AD409" s="9"/>
      <c r="AE409" s="9" t="inlineStr">
        <is>
          <t>primary</t>
        </is>
      </c>
      <c r="AF409" s="9"/>
      <c r="AG409" s="9"/>
    </row>
    <row r="410" ht="15.75" customHeight="1">
      <c r="A410" s="17" t="inlineStr">
        <is>
          <t>Kruska, D. C. T. (2014). Comparative quantitative investigations on brains of wild cavies (Cavia aperea) and guinea pigs (Cavia aperea f. porcellus): A contribution to size changes of CNS structures due to domestication. Mammalian Biology, 79, 230–239. https://doi.org/10.1016/j.mambio.2013.12.005</t>
        </is>
      </c>
      <c r="B410" s="17"/>
      <c r="C410" s="17"/>
      <c r="D410" s="17" t="inlineStr">
        <is>
          <t>Table 2</t>
        </is>
      </c>
      <c r="E410" s="11" t="str">
        <f>SUBSTITUTE(SUBSTITUTE(_xlfn.TEXTBEFORE(A410,","), "-", ""), " ", "")</f>
        <v>Kruska</v>
      </c>
      <c r="F410" s="10"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0" s="10" t="str">
        <f>_xlfn.TEXTBEFORE(_xlfn.TEXTAFTER(A410, "("), ")")</f>
        <v>2014</v>
      </c>
      <c r="H410" s="11" t="str">
        <f>E410 &amp; IF(F410&lt;&gt;"", "_" &amp; SUBSTITUTE(F410," ",""), "_") &amp; IF(G410&lt;&gt;"", "_" &amp; G410, "_") &amp; IF(B410&lt;&gt;"", "_" &amp; B410, "")</f>
        <v>Kruska__2014</v>
      </c>
      <c r="I410" s="11" t="str">
        <f>_xlfn.LET(_xlpm.doi,IF(C410&lt;&gt;"",C410,_xlfn.TEXTAFTER(A410,"https://doi.org/")),SUBSTITUTE(SUBSTITUTE(SUBSTITUTE(SUBSTITUTE(_xlpm.doi,"/","%2F"),":","%3A"),"&lt;","%3C"),"&gt;","%3E"))</f>
        <v>10.1016%2Fj.mambio.2013.12.005</v>
      </c>
      <c r="J410" s="11" t="str">
        <f>TRIM(_xlfn.TEXTJOIN("_",FALSE(),H410,(SUBSTITUTE(SUBSTITUTE(D410," ",""), "_", ""))))</f>
        <v>Kruska__2014_Table2</v>
      </c>
      <c r="K410" s="11" t="str">
        <f>I410 &amp; "_" &amp; SUBSTITUTE(SUBSTITUTE(SUBSTITUTE(D410,CHAR(160),"")," ",""),"_","")</f>
        <v>10.1016%2Fj.mambio.2013.12.005_Table2</v>
      </c>
      <c r="L410" s="10" t="str">
        <f t="array" ref="L410">IFERROR(INDEX(AUTO_Public_TSV_FileList!$A$1:$A$1000,MATCH(TRUE(),EXACT(K410,IFERROR(_xlfn.TEXTBEFORE(AUTO_Public_TSV_FileList!$A$1:$A$1000,".tsv"),"")),0)),"notfound")</f>
        <v>10.1016%2Fj.mambio.2013.12.005_Table2.tsv</v>
      </c>
      <c r="M410" s="13" t="inlineStr">
        <is>
          <t>Table 2 Brain weights (in g) and absolute volumes (in mm3) of diverse brain structures in wild cavies and their relative sizes expressed as percentages of pure brain volumes (in
parentheses).</t>
        </is>
      </c>
      <c r="N410" s="1" t="inlineStr">
        <is>
          <t>table</t>
        </is>
      </c>
      <c r="O410" s="13"/>
      <c r="P410" s="17" t="inlineStr">
        <is>
          <t>FINISHED</t>
        </is>
      </c>
      <c r="Q410" s="17"/>
      <c r="R410" s="17" t="inlineStr">
        <is>
          <t>https://doi.org/10.1016/j.mambio.2013.12.005</t>
        </is>
      </c>
      <c r="S410" s="17" t="inlineStr">
        <is>
          <t>Source paper and target table identified</t>
        </is>
      </c>
      <c r="T410" s="17" t="inlineStr">
        <is>
          <t>Verify taxonomy, specimen metadata, units, and structure ontology before merge</t>
        </is>
      </c>
      <c r="U410" s="17"/>
      <c r="V410" s="17" t="inlineStr">
        <is>
          <t>comparative neuroanatomy</t>
        </is>
      </c>
      <c r="W410" s="17" t="inlineStr">
        <is>
          <t>Rodentia</t>
        </is>
      </c>
      <c r="X410" s="17" t="inlineStr">
        <is>
          <t>brain volume; classical brain parts; neocortex gray/white; striatum; allocortex; olfactory/limbic structures; visual and auditory structures</t>
        </is>
      </c>
      <c r="Y410" s="17" t="inlineStr">
        <is>
          <t>Brain volume; classical brain parts; neocortex gray/white; striatum; allocortex; olfactory/limbic structures; visual and auditory structures</t>
        </is>
      </c>
      <c r="Z410" s="17"/>
      <c r="AA410" s="17"/>
      <c r="AB410" s="17" t="inlineStr">
        <is>
          <t>fresh-tissue volume (mm³); brain mass (g)</t>
        </is>
      </c>
      <c r="AC410" s="17" t="inlineStr">
        <is>
          <t>Stephan</t>
        </is>
      </c>
      <c r="AD410" s="17" t="inlineStr">
        <is>
          <t>Stephan</t>
        </is>
      </c>
      <c r="AE410" s="17" t="inlineStr">
        <is>
          <t>primary</t>
        </is>
      </c>
      <c r="AF410" s="17"/>
      <c r="AG410" s="17" t="inlineStr">
        <is>
          <t>Directly compatible with Stephan-style brain structure volumes and explicitly uses Stephan methods/boundaries.</t>
        </is>
      </c>
    </row>
    <row r="411" ht="15.75" customHeight="1">
      <c r="A411" s="17" t="inlineStr">
        <is>
          <t>Kruska, D. C. T. (2014). Comparative quantitative investigations on brains of wild cavies (Cavia aperea) and guinea pigs (Cavia aperea f. porcellus): A contribution to size changes of CNS structures due to domestication. Mammalian Biology, 79, 230–239. https://doi.org/10.1016/j.mambio.2013.12.005</t>
        </is>
      </c>
      <c r="B411" s="17"/>
      <c r="C411" s="17"/>
      <c r="D411" s="17" t="inlineStr">
        <is>
          <t>Table 3</t>
        </is>
      </c>
      <c r="E411" s="11" t="str">
        <f>SUBSTITUTE(SUBSTITUTE(_xlfn.TEXTBEFORE(A411,","), "-", ""), " ", "")</f>
        <v>Kruska</v>
      </c>
      <c r="F411" s="10"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1" s="10" t="str">
        <f>_xlfn.TEXTBEFORE(_xlfn.TEXTAFTER(A411, "("), ")")</f>
        <v>2014</v>
      </c>
      <c r="H411" s="11" t="str">
        <f>E411 &amp; IF(F411&lt;&gt;"", "_" &amp; SUBSTITUTE(F411," ",""), "_") &amp; IF(G411&lt;&gt;"", "_" &amp; G411, "_") &amp; IF(B411&lt;&gt;"", "_" &amp; B411, "")</f>
        <v>Kruska__2014</v>
      </c>
      <c r="I411" s="11" t="str">
        <f>_xlfn.LET(_xlpm.doi,IF(C411&lt;&gt;"",C411,_xlfn.TEXTAFTER(A411,"https://doi.org/")),SUBSTITUTE(SUBSTITUTE(SUBSTITUTE(SUBSTITUTE(_xlpm.doi,"/","%2F"),":","%3A"),"&lt;","%3C"),"&gt;","%3E"))</f>
        <v>10.1016%2Fj.mambio.2013.12.005</v>
      </c>
      <c r="J411" s="11" t="str">
        <f>TRIM(_xlfn.TEXTJOIN("_",FALSE(),H411,(SUBSTITUTE(SUBSTITUTE(D411," ",""), "_", ""))))</f>
        <v>Kruska__2014_Table3</v>
      </c>
      <c r="K411" s="11" t="str">
        <f>I411 &amp; "_" &amp; SUBSTITUTE(SUBSTITUTE(SUBSTITUTE(D411,CHAR(160),"")," ",""),"_","")</f>
        <v>10.1016%2Fj.mambio.2013.12.005_Table3</v>
      </c>
      <c r="L411" s="10" t="str">
        <f t="array" ref="L411">IFERROR(INDEX(AUTO_Public_TSV_FileList!$A$1:$A$1000,MATCH(TRUE(),EXACT(K411,IFERROR(_xlfn.TEXTBEFORE(AUTO_Public_TSV_FileList!$A$1:$A$1000,".tsv"),"")),0)),"notfound")</f>
        <v>10.1016%2Fj.mambio.2013.12.005_Table3.tsv</v>
      </c>
      <c r="M411" s="13" t="inlineStr">
        <is>
          <t>Table 3 Brain weights (in g) and absolute volumes (in mm3) of diverse brain structures in guinea pigs and their relative sizes expressed as percentages of pure brain volumes (in
parentheses).</t>
        </is>
      </c>
      <c r="N411" s="1" t="inlineStr">
        <is>
          <t>table</t>
        </is>
      </c>
      <c r="O411" s="13"/>
      <c r="P411" s="17" t="inlineStr">
        <is>
          <t>FINISHED</t>
        </is>
      </c>
      <c r="Q411" s="17"/>
      <c r="R411" s="17" t="inlineStr">
        <is>
          <t>https://doi.org/10.1016/j.mambio.2013.12.005</t>
        </is>
      </c>
      <c r="S411" s="17" t="inlineStr">
        <is>
          <t>Source paper and target table identified</t>
        </is>
      </c>
      <c r="T411" s="17" t="inlineStr">
        <is>
          <t>Verify taxonomy, specimen metadata, units, and structure ontology before merge</t>
        </is>
      </c>
      <c r="U411" s="17"/>
      <c r="V411" s="17" t="inlineStr">
        <is>
          <t>comparative neuroanatomy</t>
        </is>
      </c>
      <c r="W411" s="17" t="inlineStr">
        <is>
          <t>Rodentia</t>
        </is>
      </c>
      <c r="X411" s="17" t="inlineStr">
        <is>
          <t>brain volume; classical brain parts; neocortex gray/white; striatum; allocortex; olfactory/limbic structures; visual and auditory structures</t>
        </is>
      </c>
      <c r="Y411" s="17" t="inlineStr">
        <is>
          <t>Brain volume; classical brain parts; neocortex gray/white; striatum; allocortex; olfactory/limbic structures; visual and auditory structures</t>
        </is>
      </c>
      <c r="Z411" s="17"/>
      <c r="AA411" s="17"/>
      <c r="AB411" s="17" t="inlineStr">
        <is>
          <t>fresh-tissue volume (mm³); brain mass (g)</t>
        </is>
      </c>
      <c r="AC411" s="17" t="inlineStr">
        <is>
          <t>Stephan</t>
        </is>
      </c>
      <c r="AD411" s="17" t="inlineStr">
        <is>
          <t>Stephan</t>
        </is>
      </c>
      <c r="AE411" s="17" t="inlineStr">
        <is>
          <t>primary</t>
        </is>
      </c>
      <c r="AF411" s="17"/>
      <c r="AG411" s="17" t="inlineStr">
        <is>
          <t>Directly compatible with Stephan-style brain structure volumes and explicitly uses Stephan methods/boundaries.</t>
        </is>
      </c>
    </row>
    <row r="412" ht="15.75" customHeight="1">
      <c r="A412" s="17" t="inlineStr">
        <is>
          <t>Kruska, D., &amp; Rohrs, M. (1974). Comparative--quantitative investigations on brains of feral pigs from the Galapagos Islands and of European domestic pigs. Z Anat Entwicklungsgesch, 144(1), 61-73. https://doi.org/10.1007/bf00518633</t>
        </is>
      </c>
      <c r="B412" s="17"/>
      <c r="C412" s="17"/>
      <c r="D412" s="17" t="inlineStr">
        <is>
          <t>Table 2</t>
        </is>
      </c>
      <c r="E412" s="11" t="str">
        <f>SUBSTITUTE(SUBSTITUTE(_xlfn.TEXTBEFORE(A412,","), "-", ""), " ", "")</f>
        <v>Kruska</v>
      </c>
      <c r="F412" s="10"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2" s="10" t="str">
        <f>_xlfn.TEXTBEFORE(_xlfn.TEXTAFTER(A412, "("), ")")</f>
        <v>1974</v>
      </c>
      <c r="H412" s="11" t="str">
        <f>E412 &amp; IF(F412&lt;&gt;"", "_" &amp; SUBSTITUTE(F412," ",""), "_") &amp; IF(G412&lt;&gt;"", "_" &amp; G412, "_") &amp; IF(B412&lt;&gt;"", "_" &amp; B412, "")</f>
        <v>Kruska__1974</v>
      </c>
      <c r="I412" s="11" t="str">
        <f>_xlfn.LET(_xlpm.doi,IF(C412&lt;&gt;"",C412,_xlfn.TEXTAFTER(A412,"https://doi.org/")),SUBSTITUTE(SUBSTITUTE(SUBSTITUTE(SUBSTITUTE(_xlpm.doi,"/","%2F"),":","%3A"),"&lt;","%3C"),"&gt;","%3E"))</f>
        <v>10.1007%2Fbf00518633</v>
      </c>
      <c r="J412" s="11" t="str">
        <f>TRIM(_xlfn.TEXTJOIN("_",FALSE(),H412,(SUBSTITUTE(SUBSTITUTE(D412," ",""), "_", ""))))</f>
        <v>Kruska__1974_Table2</v>
      </c>
      <c r="K412" s="11" t="str">
        <f>I412 &amp; "_" &amp; SUBSTITUTE(SUBSTITUTE(SUBSTITUTE(D412,CHAR(160),"")," ",""),"_","")</f>
        <v>10.1007%2Fbf00518633_Table2</v>
      </c>
      <c r="L412" s="10" t="str">
        <f t="array" ref="L412">IFERROR(INDEX(AUTO_Public_TSV_FileList!$A$1:$A$1000,MATCH(TRUE(),EXACT(K412,IFERROR(_xlfn.TEXTBEFORE(AUTO_Public_TSV_FileList!$A$1:$A$1000,".tsv"),"")),0)),"notfound")</f>
        <v>10.1007%2Fbf00518633_Table2.tsv</v>
      </c>
      <c r="M412" s="13"/>
      <c r="N412" s="1" t="inlineStr">
        <is>
          <t>table</t>
        </is>
      </c>
      <c r="O412" s="13"/>
      <c r="P412" s="17" t="inlineStr">
        <is>
          <t>FINISHED</t>
        </is>
      </c>
      <c r="Q412" s="17"/>
      <c r="R412" s="17"/>
      <c r="S412" s="17" t="inlineStr">
        <is>
          <t>Source paper and target table identified</t>
        </is>
      </c>
      <c r="T412" s="17" t="inlineStr">
        <is>
          <t>Verify taxonomy, specimen metadata, units, and structure ontology before merge</t>
        </is>
      </c>
      <c r="U412" s="17"/>
      <c r="V412" s="17" t="inlineStr">
        <is>
          <t>comparative brain volumes</t>
        </is>
      </c>
      <c r="W412" s="17" t="inlineStr">
        <is>
          <t>Artiodactyla</t>
        </is>
      </c>
      <c r="X412" s="17" t="inlineStr">
        <is>
          <t>brain volume; medulla oblongata; cerebellum; mesencephalon; diencephalon; telencephalon; neocortex; striatum; allocortex; olfactory and limbic structures</t>
        </is>
      </c>
      <c r="Y412" s="17"/>
      <c r="Z412" s="17"/>
      <c r="AA412" s="17" t="inlineStr">
        <is>
          <t>Serial sections and enlarged photographs; values corrected to fresh volume using Stephan-method procedures</t>
        </is>
      </c>
      <c r="AB412" s="17" t="inlineStr">
        <is>
          <t>fresh-tissue volume (mm³); brain mass (g)</t>
        </is>
      </c>
      <c r="AC412" s="13"/>
      <c r="AD412" s="17"/>
      <c r="AE412" s="17" t="inlineStr">
        <is>
          <t>primary</t>
        </is>
      </c>
      <c r="AF412" s="17"/>
      <c r="AG412" s="17" t="inlineStr">
        <is>
          <t>Directly compatible with Stephan-style volumetric structure definitions and methods.</t>
        </is>
      </c>
    </row>
    <row r="413" ht="15.75" customHeight="1">
      <c r="A413" s="17" t="inlineStr">
        <is>
          <t>Kruska, D., &amp; Rohrs, M. (1974). Comparative--quantitative investigations on brains of feral pigs from the Galapagos Islands and of European domestic pigs. Z Anat Entwicklungsgesch, 144(1), 61-73. https://doi.org/10.1007/bf00518633</t>
        </is>
      </c>
      <c r="B413" s="17"/>
      <c r="C413" s="17"/>
      <c r="D413" s="17" t="inlineStr">
        <is>
          <t>Table 3</t>
        </is>
      </c>
      <c r="E413" s="11" t="str">
        <f>SUBSTITUTE(SUBSTITUTE(_xlfn.TEXTBEFORE(A413,","), "-", ""), " ", "")</f>
        <v>Kruska</v>
      </c>
      <c r="F413" s="10"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3" s="10" t="str">
        <f>_xlfn.TEXTBEFORE(_xlfn.TEXTAFTER(A413, "("), ")")</f>
        <v>1974</v>
      </c>
      <c r="H413" s="11" t="str">
        <f>E413 &amp; IF(F413&lt;&gt;"", "_" &amp; SUBSTITUTE(F413," ",""), "_") &amp; IF(G413&lt;&gt;"", "_" &amp; G413, "_") &amp; IF(B413&lt;&gt;"", "_" &amp; B413, "")</f>
        <v>Kruska__1974</v>
      </c>
      <c r="I413" s="11" t="str">
        <f>_xlfn.LET(_xlpm.doi,IF(C413&lt;&gt;"",C413,_xlfn.TEXTAFTER(A413,"https://doi.org/")),SUBSTITUTE(SUBSTITUTE(SUBSTITUTE(SUBSTITUTE(_xlpm.doi,"/","%2F"),":","%3A"),"&lt;","%3C"),"&gt;","%3E"))</f>
        <v>10.1007%2Fbf00518633</v>
      </c>
      <c r="J413" s="11" t="str">
        <f>TRIM(_xlfn.TEXTJOIN("_",FALSE(),H413,(SUBSTITUTE(SUBSTITUTE(D413," ",""), "_", ""))))</f>
        <v>Kruska__1974_Table3</v>
      </c>
      <c r="K413" s="11" t="str">
        <f>I413 &amp; "_" &amp; SUBSTITUTE(SUBSTITUTE(SUBSTITUTE(D413,CHAR(160),"")," ",""),"_","")</f>
        <v>10.1007%2Fbf00518633_Table3</v>
      </c>
      <c r="L413" s="10" t="str">
        <f t="array" ref="L413">IFERROR(INDEX(AUTO_Public_TSV_FileList!$A$1:$A$1000,MATCH(TRUE(),EXACT(K413,IFERROR(_xlfn.TEXTBEFORE(AUTO_Public_TSV_FileList!$A$1:$A$1000,".tsv"),"")),0)),"notfound")</f>
        <v>10.1007%2Fbf00518633_Table3.tsv</v>
      </c>
      <c r="M413" s="13"/>
      <c r="N413" s="1" t="inlineStr">
        <is>
          <t>table</t>
        </is>
      </c>
      <c r="O413" s="13"/>
      <c r="P413" s="17" t="inlineStr">
        <is>
          <t>FINISHED</t>
        </is>
      </c>
      <c r="Q413" s="17"/>
      <c r="R413" s="17"/>
      <c r="S413" s="17" t="inlineStr">
        <is>
          <t>Source paper and target table identified</t>
        </is>
      </c>
      <c r="T413" s="17" t="inlineStr">
        <is>
          <t>Verify taxonomy, specimen metadata, units, and structure ontology before merge</t>
        </is>
      </c>
      <c r="U413" s="17"/>
      <c r="V413" s="17" t="inlineStr">
        <is>
          <t>comparative brain volumes</t>
        </is>
      </c>
      <c r="W413" s="17" t="inlineStr">
        <is>
          <t>Artiodactyla</t>
        </is>
      </c>
      <c r="X413" s="17" t="inlineStr">
        <is>
          <t>brain volume; medulla oblongata; cerebellum; mesencephalon; diencephalon; telencephalon; neocortex; striatum; allocortex; olfactory and limbic structures</t>
        </is>
      </c>
      <c r="Y413" s="17"/>
      <c r="Z413" s="17"/>
      <c r="AA413" s="17" t="inlineStr">
        <is>
          <t>Serial sections and enlarged photographs; values corrected to fresh volume using Stephan-method procedures</t>
        </is>
      </c>
      <c r="AB413" s="17" t="inlineStr">
        <is>
          <t>fresh-tissue volume (mm³); brain mass (g)</t>
        </is>
      </c>
      <c r="AC413" s="13"/>
      <c r="AD413" s="17"/>
      <c r="AE413" s="17" t="inlineStr">
        <is>
          <t>primary</t>
        </is>
      </c>
      <c r="AF413" s="17"/>
      <c r="AG413" s="17" t="inlineStr">
        <is>
          <t>Directly compatible with Stephan-style volumetric structure definitions and methods.</t>
        </is>
      </c>
    </row>
    <row r="414" ht="15.75" customHeight="1">
      <c r="A414" s="1" t="inlineStr">
        <is>
          <t>Kverkova, K., Belikova, T., Olkowicz, S., Pavelkova, Z., O'Riain, M. J., Sumbera, R., Burda, H., Bennett, N. C., &amp; Nemec, P. (2018). Sociality does not drive the evolution of large brains in eusocial African mole-rats. Sci Rep, 8(1), 9203. https://doi.org/10.1038/s41598-018-26062-8</t>
        </is>
      </c>
      <c r="B414" s="13"/>
      <c r="C414" s="13"/>
      <c r="D414" s="1" t="inlineStr">
        <is>
          <t>Table 1</t>
        </is>
      </c>
      <c r="E414" s="10" t="str">
        <f>SUBSTITUTE(SUBSTITUTE(_xlfn.TEXTBEFORE(A414,","), "-", ""), " ", "")</f>
        <v>Kverkova</v>
      </c>
      <c r="F414" s="10"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10" t="str">
        <f>_xlfn.TEXTBEFORE(_xlfn.TEXTAFTER(A414, "("), ")")</f>
        <v>2018</v>
      </c>
      <c r="H414" s="10" t="str">
        <f>E414 &amp; IF(F414&lt;&gt;"", "_" &amp; SUBSTITUTE(F414," ",""), "_") &amp; IF(G414&lt;&gt;"", "_" &amp; G414, "_") &amp; IF(B414&lt;&gt;"", "_" &amp; B414, "")</f>
        <v>Kverkova_etal_2018</v>
      </c>
      <c r="I414" s="10" t="str">
        <f>_xlfn.LET(
_xlpm.doi,IF(C414&lt;&gt;"",C414,_xlfn.TEXTAFTER(A414,"https://doi.org/")),
SUBSTITUTE(
SUBSTITUTE(
SUBSTITUTE(
SUBSTITUTE(
_xlpm.doi,
"/","%2F"),
":","%3A"),
"&lt;","%3C"),
"&gt;","%3E")
)</f>
        <v>10.1038%2Fs41598-018-26062-8</v>
      </c>
      <c r="J414" s="10" t="str">
        <f>TRIM(_xlfn.TEXTJOIN("_",FALSE(),H414,(SUBSTITUTE(SUBSTITUTE(D414," ",""), "_", ""))))</f>
        <v>Kverkova_etal_2018_Table1</v>
      </c>
      <c r="K414" s="10" t="str">
        <f>I414 &amp; "_" &amp; SUBSTITUTE(SUBSTITUTE(SUBSTITUTE(D414,CHAR(160),"")," ",""),"_","")</f>
        <v>10.1038%2Fs41598-018-26062-8_Table1</v>
      </c>
      <c r="L414" s="10" t="str">
        <f t="array" ref="L414">IFERROR(INDEX(AUTO_Public_TSV_FileList!$A$1:$A$1000,MATCH(TRUE(),EXACT(K414,IFERROR(_xlfn.TEXTBEFORE(AUTO_Public_TSV_FileList!$A$1:$A$1000,".tsv"),"")),0)),"notfound")</f>
        <v>10.1038%2Fs41598-018-26062-8_Table1.tsv</v>
      </c>
      <c r="M414" s="1" t="inlineStr">
        <is>
          <t>Table 1. Origin and use of the experimental animals.</t>
        </is>
      </c>
      <c r="N414" s="1" t="inlineStr">
        <is>
          <t>table</t>
        </is>
      </c>
      <c r="O414" s="13"/>
      <c r="P414" s="1" t="inlineStr">
        <is>
          <t>FINISHED</t>
        </is>
      </c>
      <c r="Q414" s="1"/>
      <c r="R414" s="13"/>
      <c r="S414" s="13"/>
      <c r="T414" s="13"/>
      <c r="U414" s="13"/>
      <c r="V414" s="13"/>
      <c r="W414" s="1" t="inlineStr">
        <is>
          <t>African mole-rats (Bathyergidae)</t>
        </is>
      </c>
      <c r="X414" s="1" t="inlineStr">
        <is>
          <t>metadata</t>
        </is>
      </c>
      <c r="Y414" s="13"/>
      <c r="Z414" s="13"/>
      <c r="AA414" s="13"/>
      <c r="AB414" s="1"/>
      <c r="AC414" s="1" t="inlineStr">
        <is>
          <t>Kverkova</t>
        </is>
      </c>
      <c r="AD414" s="1" t="inlineStr">
        <is>
          <t>Kverkova</t>
        </is>
      </c>
      <c r="AE414" s="1" t="inlineStr">
        <is>
          <t>primary</t>
        </is>
      </c>
      <c r="AF414" s="1"/>
      <c r="AG414" s="13"/>
    </row>
    <row r="415" ht="15.75" customHeight="1">
      <c r="A415" s="1" t="inlineStr">
        <is>
          <t>Kverkova, K., Belikova, T., Olkowicz, S., Pavelkova, Z., O'Riain, M. J., Sumbera, R., Burda, H., Bennett, N. C., &amp; Nemec, P. (2018). Sociality does not drive the evolution of large brains in eusocial African mole-rats. Sci Rep, 8(1), 9203. https://doi.org/10.1038/s41598-018-26062-8</t>
        </is>
      </c>
      <c r="B415" s="13"/>
      <c r="C415" s="13"/>
      <c r="D415" s="1" t="inlineStr">
        <is>
          <t>Table S1</t>
        </is>
      </c>
      <c r="E415" s="10" t="str">
        <f>SUBSTITUTE(SUBSTITUTE(_xlfn.TEXTBEFORE(A415,","), "-", ""), " ", "")</f>
        <v>Kverkova</v>
      </c>
      <c r="F415" s="10"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10" t="str">
        <f>_xlfn.TEXTBEFORE(_xlfn.TEXTAFTER(A415, "("), ")")</f>
        <v>2018</v>
      </c>
      <c r="H415" s="10" t="str">
        <f>E415 &amp; IF(F415&lt;&gt;"", "_" &amp; SUBSTITUTE(F415," ",""), "_") &amp; IF(G415&lt;&gt;"", "_" &amp; G415, "_") &amp; IF(B415&lt;&gt;"", "_" &amp; B415, "")</f>
        <v>Kverkova_etal_2018</v>
      </c>
      <c r="I415" s="10" t="str">
        <f>_xlfn.LET(
_xlpm.doi,IF(C415&lt;&gt;"",C415,_xlfn.TEXTAFTER(A415,"https://doi.org/")),
SUBSTITUTE(
SUBSTITUTE(
SUBSTITUTE(
SUBSTITUTE(
_xlpm.doi,
"/","%2F"),
":","%3A"),
"&lt;","%3C"),
"&gt;","%3E")
)</f>
        <v>10.1038%2Fs41598-018-26062-8</v>
      </c>
      <c r="J415" s="10" t="str">
        <f>TRIM(_xlfn.TEXTJOIN("_",FALSE(),H415,(SUBSTITUTE(SUBSTITUTE(D415," ",""), "_", ""))))</f>
        <v>Kverkova_etal_2018_TableS1</v>
      </c>
      <c r="K415" s="10" t="str">
        <f>I415 &amp; "_" &amp; SUBSTITUTE(SUBSTITUTE(SUBSTITUTE(D415,CHAR(160),"")," ",""),"_","")</f>
        <v>10.1038%2Fs41598-018-26062-8_TableS1</v>
      </c>
      <c r="L415" s="10" t="str">
        <f t="array" ref="L415">IFERROR(INDEX(AUTO_Public_TSV_FileList!$A$1:$A$1000,MATCH(TRUE(),EXACT(K415,IFERROR(_xlfn.TEXTBEFORE(AUTO_Public_TSV_FileList!$A$1:$A$1000,".tsv"),"")),0)),"notfound")</f>
        <v>10.1038%2Fs41598-018-26062-8_TableS1.tsv</v>
      </c>
      <c r="M415" s="1" t="inlineStr">
        <is>
          <t>Table S1. Brain mass and brain region volumes</t>
        </is>
      </c>
      <c r="N415" s="1" t="inlineStr">
        <is>
          <t>table</t>
        </is>
      </c>
      <c r="O415" s="13"/>
      <c r="P415" s="1" t="inlineStr">
        <is>
          <t>FINISHED</t>
        </is>
      </c>
      <c r="Q415" s="1"/>
      <c r="R415" s="1" t="inlineStr">
        <is>
          <t>https://static-content.springer.com/esm/art%3A10.1038%2Fs41598-018-26062-8/MediaObjects/41598_2018_26062_MOESM1_ESM.docx</t>
        </is>
      </c>
      <c r="S415" s="13"/>
      <c r="T415" s="13"/>
      <c r="U415" s="13"/>
      <c r="V415" s="13"/>
      <c r="W415" s="1" t="inlineStr">
        <is>
          <t>African mole-rats (Bathyergidae)</t>
        </is>
      </c>
      <c r="X415" s="1" t="inlineStr">
        <is>
          <t>region size</t>
        </is>
      </c>
      <c r="Y415" s="13"/>
      <c r="Z415" s="13"/>
      <c r="AA415" s="13"/>
      <c r="AB415" s="1" t="inlineStr">
        <is>
          <t>volume (region size)</t>
        </is>
      </c>
      <c r="AC415" s="1" t="inlineStr">
        <is>
          <t>Kverkova</t>
        </is>
      </c>
      <c r="AD415" s="1" t="inlineStr">
        <is>
          <t>Kverkova</t>
        </is>
      </c>
      <c r="AE415" s="1" t="inlineStr">
        <is>
          <t>primary</t>
        </is>
      </c>
      <c r="AF415" s="1"/>
      <c r="AG415" s="13"/>
    </row>
    <row r="416" ht="15.75" customHeight="1">
      <c r="A416" s="1" t="inlineStr">
        <is>
          <t>Kverkova, K., Belikova, T., Olkowicz, S., Pavelkova, Z., O'Riain, M. J., Sumbera, R., Burda, H., Bennett, N. C., &amp; Nemec, P. (2018). Sociality does not drive the evolution of large brains in eusocial African mole-rats. Sci Rep, 8(1), 9203. https://doi.org/10.1038/s41598-018-26062-8</t>
        </is>
      </c>
      <c r="B416" s="13"/>
      <c r="C416" s="13"/>
      <c r="D416" s="1" t="inlineStr">
        <is>
          <t>Table S5</t>
        </is>
      </c>
      <c r="E416" s="10" t="str">
        <f>SUBSTITUTE(SUBSTITUTE(_xlfn.TEXTBEFORE(A416,","), "-", ""), " ", "")</f>
        <v>Kverkova</v>
      </c>
      <c r="F416" s="10"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10" t="str">
        <f>_xlfn.TEXTBEFORE(_xlfn.TEXTAFTER(A416, "("), ")")</f>
        <v>2018</v>
      </c>
      <c r="H416" s="10" t="str">
        <f>E416 &amp; IF(F416&lt;&gt;"", "_" &amp; SUBSTITUTE(F416," ",""), "_") &amp; IF(G416&lt;&gt;"", "_" &amp; G416, "_") &amp; IF(B416&lt;&gt;"", "_" &amp; B416, "")</f>
        <v>Kverkova_etal_2018</v>
      </c>
      <c r="I416" s="10" t="str">
        <f>_xlfn.LET(
_xlpm.doi,IF(C416&lt;&gt;"",C416,_xlfn.TEXTAFTER(A416,"https://doi.org/")),
SUBSTITUTE(
SUBSTITUTE(
SUBSTITUTE(
SUBSTITUTE(
_xlpm.doi,
"/","%2F"),
":","%3A"),
"&lt;","%3C"),
"&gt;","%3E")
)</f>
        <v>10.1038%2Fs41598-018-26062-8</v>
      </c>
      <c r="J416" s="10" t="str">
        <f>TRIM(_xlfn.TEXTJOIN("_",FALSE(),H416,(SUBSTITUTE(SUBSTITUTE(D416," ",""), "_", ""))))</f>
        <v>Kverkova_etal_2018_TableS5</v>
      </c>
      <c r="K416" s="10" t="str">
        <f>I416 &amp; "_" &amp; SUBSTITUTE(SUBSTITUTE(SUBSTITUTE(D416,CHAR(160),"")," ",""),"_","")</f>
        <v>10.1038%2Fs41598-018-26062-8_TableS5</v>
      </c>
      <c r="L416" s="10" t="str">
        <f t="array" ref="L416">IFERROR(INDEX(AUTO_Public_TSV_FileList!$A$1:$A$1000,MATCH(TRUE(),EXACT(K416,IFERROR(_xlfn.TEXTBEFORE(AUTO_Public_TSV_FileList!$A$1:$A$1000,".tsv"),"")),0)),"notfound")</f>
        <v>10.1038%2Fs41598-018-26062-8_TableS5.tsv</v>
      </c>
      <c r="M416" s="1" t="inlineStr">
        <is>
          <t>Table S5. Numbers of neurons in the whole brain and the major brain divisions</t>
        </is>
      </c>
      <c r="N416" s="1" t="inlineStr">
        <is>
          <t>table</t>
        </is>
      </c>
      <c r="O416" s="13"/>
      <c r="P416" s="1" t="inlineStr">
        <is>
          <t>FINISHED</t>
        </is>
      </c>
      <c r="Q416" s="1"/>
      <c r="R416" s="1" t="inlineStr">
        <is>
          <t>https://static-content.springer.com/esm/art%3A10.1038%2Fs41598-018-26062-8/MediaObjects/41598_2018_26062_MOESM1_ESM.docx</t>
        </is>
      </c>
      <c r="S416" s="13"/>
      <c r="T416" s="13"/>
      <c r="U416" s="13"/>
      <c r="V416" s="13"/>
      <c r="W416" s="1" t="inlineStr">
        <is>
          <t>African mole-rats (Bathyergidae)</t>
        </is>
      </c>
      <c r="X416" s="1" t="inlineStr">
        <is>
          <t>Cell numbers</t>
        </is>
      </c>
      <c r="Y416" s="13"/>
      <c r="Z416" s="13"/>
      <c r="AA416" s="1" t="inlineStr">
        <is>
          <t>isotropic fractionator</t>
        </is>
      </c>
      <c r="AB416" s="1" t="inlineStr">
        <is>
          <t>cell count</t>
        </is>
      </c>
      <c r="AC416" s="1" t="inlineStr">
        <is>
          <t>Kverkova</t>
        </is>
      </c>
      <c r="AD416" s="1" t="inlineStr">
        <is>
          <t>Kverkova</t>
        </is>
      </c>
      <c r="AE416" s="1" t="inlineStr">
        <is>
          <t>primary</t>
        </is>
      </c>
      <c r="AF416" s="1"/>
      <c r="AG416" s="13"/>
    </row>
    <row r="417" ht="15.75" customHeight="1">
      <c r="A417" s="8" t="inlineStr">
        <is>
          <t>Lassek, A. M., &amp; Rasmussen, G. L. (1940). A comparative fiber and numerical analysis of the pyramidal tract. Journal of Comparative Neurology, 72(2), 417–428. https://doi.org/10.1002/cne.900720209</t>
        </is>
      </c>
      <c r="B417" s="8"/>
      <c r="C417" s="8"/>
      <c r="D417" s="8" t="inlineStr">
        <is>
          <t>Table 1</t>
        </is>
      </c>
      <c r="E417" s="2" t="str">
        <f>SUBSTITUTE(SUBSTITUTE(_xlfn.TEXTBEFORE(A417,","), "-", ""), " ", "")</f>
        <v>Lassek</v>
      </c>
      <c r="F417" s="7"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7" s="7" t="str">
        <f>_xlfn.TEXTBEFORE(_xlfn.TEXTAFTER(A417, "("), ")")</f>
        <v>1940</v>
      </c>
      <c r="H417" s="2" t="str">
        <f>E417 &amp; IF(F417&lt;&gt;"", "_" &amp; SUBSTITUTE(F417," ",""), "_") &amp; IF(G417&lt;&gt;"", "_" &amp; G417, "_") &amp; IF(B417&lt;&gt;"", "_" &amp; B417, "")</f>
        <v>Lassek__1940</v>
      </c>
      <c r="I417" s="2" t="str">
        <f>_xlfn.LET(_xlpm.doi,IF(C417&lt;&gt;"",C417,_xlfn.TEXTAFTER(A417,"https://doi.org/")),SUBSTITUTE(SUBSTITUTE(SUBSTITUTE(SUBSTITUTE(_xlpm.doi,"/","%2F"),":","%3A"),"&lt;","%3C"),"&gt;","%3E"))</f>
        <v>10.1002%2Fcne.900720209</v>
      </c>
      <c r="J417" s="2" t="str">
        <f>TRIM(_xlfn.TEXTJOIN("_",FALSE(),H417,(SUBSTITUTE(SUBSTITUTE(D417," ",""), "_", ""))))</f>
        <v>Lassek__1940_Table1</v>
      </c>
      <c r="K417" s="7" t="str">
        <f>I417 &amp; "_" &amp; SUBSTITUTE(SUBSTITUTE(SUBSTITUTE(D417,CHAR(160),"")," ",""),"_","")</f>
        <v>10.1002%2Fcne.900720209_Table1</v>
      </c>
      <c r="L417" s="7" t="str">
        <f t="array" ref="L417">IFERROR(INDEX(AUTO_Public_TSV_FileList!$A$1:$A$1000,MATCH(TRUE(),EXACT(K417,IFERROR(_xlfn.TEXTBEFORE(AUTO_Public_TSV_FileList!$A$1:$A$1000,".tsv"),"")),0)),"notfound")</f>
        <v>10.1002%2Fcne.900720209_Table1.tsv</v>
      </c>
      <c r="M417" s="8" t="inlineStr">
        <is>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is>
      </c>
      <c r="N417" s="8" t="inlineStr">
        <is>
          <t>PDF table (flat frozen CSV snapshot)</t>
        </is>
      </c>
      <c r="O417" s="8" t="inlineStr">
        <is>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is>
      </c>
      <c r="P417" s="8" t="inlineStr">
        <is>
          <t>PREPARED (provisional CSV; owner registration / public TSV / R validation pending)</t>
        </is>
      </c>
      <c r="Q417" s="8" t="inlineStr">
        <is>
          <t>Lassek_Rasmussen_1940_Table1_snapshot.csv</t>
        </is>
      </c>
      <c r="R417" s="8" t="inlineStr">
        <is>
          <t>https://scispace.com/papers/a-comparative-fiber-and-numerical-analysis-of-the-pyramidal-3xzxrp0ut6</t>
        </is>
      </c>
      <c r="S417" s="8"/>
      <c r="T417" s="8" t="inlineStr">
        <is>
          <t>Collection-scoped taxonomy / source-dependency review remains open; no guessed taxon mapping.</t>
        </is>
      </c>
      <c r="U417" s="8"/>
      <c r="V417" s="8"/>
      <c r="W417" s="8"/>
      <c r="X417" s="8"/>
      <c r="Y417" s="8"/>
      <c r="Z417" s="8"/>
      <c r="AA417" s="8" t="inlineStr">
        <is>
          <t>Davenport silver stain; shrinkage-adjusted Edinger projection area; ocular micrometer; Whipple square fiber sampling.</t>
        </is>
      </c>
      <c r="AB417" s="8" t="inlineStr">
        <is>
          <t>Area mm2; fibers n; printed fibers/mm2; ratio text.</t>
        </is>
      </c>
      <c r="AC417" s="8"/>
      <c r="AD417" s="8"/>
      <c r="AE417" s="8" t="inlineStr">
        <is>
          <t>both</t>
        </is>
      </c>
      <c r="AF417" s="8"/>
      <c r="AG417" s="8" t="inlineStr">
        <is>
          <t>Owner review and selective paste-values; regenerate file list and verify encoded authority before clean R build/validate.</t>
        </is>
      </c>
      <c r="AH417" s="16"/>
    </row>
    <row r="418" ht="15.75" customHeight="1">
      <c r="A418" s="13" t="inlineStr">
        <is>
          <t>Latimer, H. B. (1942). The weights of the brain and of its parts, and the weight and length of the spinal cord in the dog. Growth, 39-57.</t>
        </is>
      </c>
      <c r="B418" s="13"/>
      <c r="C418" s="13" t="inlineStr">
        <is>
          <t>Growth:6:39-57</t>
        </is>
      </c>
      <c r="D418" s="13" t="inlineStr">
        <is>
          <t>TABLE I</t>
        </is>
      </c>
      <c r="E418" s="11" t="str">
        <f>SUBSTITUTE(SUBSTITUTE(_xlfn.TEXTBEFORE(A418,","), "-", ""), " ", "")</f>
        <v>Latimer</v>
      </c>
      <c r="F418" s="10"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8" s="10" t="str">
        <f>_xlfn.TEXTBEFORE(_xlfn.TEXTAFTER(A418, "("), ")")</f>
        <v>1942</v>
      </c>
      <c r="H418" s="11" t="str">
        <f>E418 &amp; IF(F418&lt;&gt;"", "_" &amp; SUBSTITUTE(F418," ",""), "_") &amp; IF(G418&lt;&gt;"", "_" &amp; G418, "_") &amp; IF(B418&lt;&gt;"", "_" &amp; B418, "")</f>
        <v>Latimer__1942</v>
      </c>
      <c r="I418" s="11" t="str">
        <f>_xlfn.LET(_xlpm.doi,IF(C418&lt;&gt;"",C418,_xlfn.TEXTAFTER(A418,"https://doi.org/")),SUBSTITUTE(SUBSTITUTE(SUBSTITUTE(SUBSTITUTE(_xlpm.doi,"/","%2F"),":","%3A"),"&lt;","%3C"),"&gt;","%3E"))</f>
        <v>Growth%3A6%3A39-57</v>
      </c>
      <c r="J418" s="11" t="str">
        <f>TRIM(_xlfn.TEXTJOIN("_",FALSE(),H418,(SUBSTITUTE(SUBSTITUTE(D418," ",""), "_", ""))))</f>
        <v>Latimer__1942_TABLEI</v>
      </c>
      <c r="K418" s="10" t="str">
        <f>I418 &amp; "_" &amp; SUBSTITUTE(SUBSTITUTE(SUBSTITUTE(D418,CHAR(160),"")," ",""),"_","")</f>
        <v>Growth%3A6%3A39-57_TABLEI</v>
      </c>
      <c r="L418" s="10" t="str">
        <f t="array" ref="L418">IFERROR(INDEX(AUTO_Public_TSV_FileList!$A$1:$A$1000,MATCH(TRUE(),EXACT(K418,IFERROR(_xlfn.TEXTBEFORE(AUTO_Public_TSV_FileList!$A$1:$A$1000,".tsv"),"")),0)),"notfound")</f>
        <v>Growth%3A6%3A39-57_TABLEI.tsv</v>
      </c>
      <c r="M418" s="13" t="inlineStr">
        <is>
          <t>TABLE 1  MEASUREMENTS AND COEFFICIENTS OF VARIATION OF THE BRAIN AND OF ITS DIVISIONS, AND OF THE SPINAL CORD IN THE DOG</t>
        </is>
      </c>
      <c r="N418" s="13" t="inlineStr">
        <is>
          <t>table</t>
        </is>
      </c>
      <c r="O418" s="13"/>
      <c r="P418" s="13" t="inlineStr">
        <is>
          <t>FINISHED</t>
        </is>
      </c>
      <c r="Q418" s="13"/>
      <c r="R418" s="13"/>
      <c r="S418" s="13"/>
      <c r="T418" s="13"/>
      <c r="U418" s="13"/>
      <c r="V418" s="13"/>
      <c r="W418" s="13" t="inlineStr">
        <is>
          <t>Dog</t>
        </is>
      </c>
      <c r="X418" s="13" t="inlineStr">
        <is>
          <t>spinal cord weight; spinal cord length; brain weight; brain division weight (olfactory bulbs, hemispheres+diencephalon, prosencephalon, mesencephalon, cerebellum, medulla, rhombencephalon)</t>
        </is>
      </c>
      <c r="Y418" s="13" t="inlineStr">
        <is>
          <t>body weight; body length</t>
        </is>
      </c>
      <c r="Z418" s="13" t="inlineStr">
        <is>
          <t>fresh postmortem tissue</t>
        </is>
      </c>
      <c r="AA418" s="13" t="inlineStr">
        <is>
          <t>fresh weight and direct length measurement</t>
        </is>
      </c>
      <c r="AB418" s="13" t="inlineStr">
        <is>
          <t>mass; length</t>
        </is>
      </c>
      <c r="AC418" s="13"/>
      <c r="AD418" s="13"/>
      <c r="AE418" s="13" t="inlineStr">
        <is>
          <t>primary</t>
        </is>
      </c>
      <c r="AF418" s="13"/>
      <c r="AG418" s="13"/>
    </row>
    <row r="419" ht="15.75" customHeight="1">
      <c r="A419" s="13" t="inlineStr">
        <is>
          <t>Latimer, H. B. (1956). The Weights of the Parts of the Brain in Several Species of Animals. Transactions of the Kansas Academy of Science (1903-), 59(4), 432-441. https://doi.org/10.2307/3626308</t>
        </is>
      </c>
      <c r="B419" s="13"/>
      <c r="C419" s="13"/>
      <c r="D419" s="13" t="inlineStr">
        <is>
          <t>Table 2</t>
        </is>
      </c>
      <c r="E419" s="11" t="str">
        <f>SUBSTITUTE(SUBSTITUTE(_xlfn.TEXTBEFORE(A419,","), "-", ""), " ", "")</f>
        <v>Latimer</v>
      </c>
      <c r="F419" s="10"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9" s="10" t="str">
        <f>_xlfn.TEXTBEFORE(_xlfn.TEXTAFTER(A419, "("), ")")</f>
        <v>1956</v>
      </c>
      <c r="H419" s="11" t="str">
        <f>E419 &amp; IF(F419&lt;&gt;"", "_" &amp; SUBSTITUTE(F419," ",""), "_") &amp; IF(G419&lt;&gt;"", "_" &amp; G419, "_") &amp; IF(B419&lt;&gt;"", "_" &amp; B419, "")</f>
        <v>Latimer__1956</v>
      </c>
      <c r="I419" s="11" t="str">
        <f>_xlfn.LET(_xlpm.doi,IF(C419&lt;&gt;"",C419,_xlfn.TEXTAFTER(A419,"https://doi.org/")),SUBSTITUTE(SUBSTITUTE(SUBSTITUTE(SUBSTITUTE(_xlpm.doi,"/","%2F"),":","%3A"),"&lt;","%3C"),"&gt;","%3E"))</f>
        <v>10.2307%2F3626308</v>
      </c>
      <c r="J419" s="11" t="str">
        <f>TRIM(_xlfn.TEXTJOIN("_",FALSE(),H419,(SUBSTITUTE(SUBSTITUTE(D419," ",""), "_", ""))))</f>
        <v>Latimer__1956_Table2</v>
      </c>
      <c r="K419" s="10" t="str">
        <f>I419 &amp; "_" &amp; SUBSTITUTE(SUBSTITUTE(SUBSTITUTE(D419,CHAR(160),"")," ",""),"_","")</f>
        <v>10.2307%2F3626308_Table2</v>
      </c>
      <c r="L419" s="10" t="str">
        <f t="array" ref="L419">IFERROR(INDEX(AUTO_Public_TSV_FileList!$A$1:$A$1000,MATCH(TRUE(),EXACT(K419,IFERROR(_xlfn.TEXTBEFORE(AUTO_Public_TSV_FileList!$A$1:$A$1000,".tsv"),"")),0)),"notfound")</f>
        <v>10.2307%2F3626308_Table2.tsv</v>
      </c>
      <c r="M419" s="13" t="inlineStr">
        <is>
          <t>Table 2. Weights in grams of the brain stem, prosencephalon and cere- bellum and the ratios of the suprasegmental parts to the brain stem.</t>
        </is>
      </c>
      <c r="N419" s="13"/>
      <c r="O419" s="13"/>
      <c r="P419" s="13"/>
      <c r="Q419" s="13"/>
      <c r="R419" s="13"/>
      <c r="S419" s="13"/>
      <c r="T419" s="13"/>
      <c r="U419" s="13"/>
      <c r="V419" s="13"/>
      <c r="W419" s="13"/>
      <c r="X419" s="13"/>
      <c r="Y419" s="13"/>
      <c r="Z419" s="13"/>
      <c r="AA419" s="13"/>
      <c r="AB419" s="13"/>
      <c r="AC419" s="13"/>
      <c r="AD419" s="13"/>
      <c r="AE419" s="13"/>
      <c r="AF419" s="13"/>
      <c r="AG419" s="13"/>
    </row>
    <row r="420" ht="15" customHeight="1">
      <c r="A420" s="1" t="inlineStr">
        <is>
          <t>Lewitus, E., Kelava, I., &amp; Huttner, W. B. (2013). Conical expansion of the outer subventricular zone and the role of neocortical folding in evolution and development. Front Hum Neurosci, 7, 424. https://doi.org/10.3389/fnhum.2013.00424</t>
        </is>
      </c>
      <c r="B420" s="13"/>
      <c r="C420" s="13"/>
      <c r="D420" s="1" t="inlineStr">
        <is>
          <t>Table A1</t>
        </is>
      </c>
      <c r="E420" s="10" t="str">
        <f>SUBSTITUTE(SUBSTITUTE(_xlfn.TEXTBEFORE(A420,","), "-", ""), " ", "")</f>
        <v>Lewitus</v>
      </c>
      <c r="F420" s="10"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10" t="str">
        <f>_xlfn.TEXTBEFORE(_xlfn.TEXTAFTER(A420, "("), ")")</f>
        <v>2013</v>
      </c>
      <c r="H420" s="10" t="str">
        <f>E420 &amp; IF(F420&lt;&gt;"", "_" &amp; SUBSTITUTE(F420," ",""), "_") &amp; IF(G420&lt;&gt;"", "_" &amp; G420, "_") &amp; IF(B420&lt;&gt;"", "_" &amp; B420, "")</f>
        <v>Lewitus_etal_2013</v>
      </c>
      <c r="I420" s="10" t="str">
        <f>_xlfn.LET(
_xlpm.doi,IF(C420&lt;&gt;"",C420,_xlfn.TEXTAFTER(A420,"https://doi.org/")),
SUBSTITUTE(
SUBSTITUTE(
SUBSTITUTE(
SUBSTITUTE(
_xlpm.doi,
"/","%2F"),
":","%3A"),
"&lt;","%3C"),
"&gt;","%3E")
)</f>
        <v>10.3389%2Ffnhum.2013.00424</v>
      </c>
      <c r="J420" s="10" t="str">
        <f>TRIM(_xlfn.TEXTJOIN("_",FALSE(),H420,(SUBSTITUTE(SUBSTITUTE(D420," ",""), "_", ""))))</f>
        <v>Lewitus_etal_2013_TableA1</v>
      </c>
      <c r="K420" s="10" t="str">
        <f>I420 &amp; "_" &amp; SUBSTITUTE(SUBSTITUTE(SUBSTITUTE(D420,CHAR(160),"")," ",""),"_","")</f>
        <v>10.3389%2Ffnhum.2013.00424_TableA1</v>
      </c>
      <c r="L420" s="10" t="str">
        <f t="array" ref="L420">IFERROR(INDEX(AUTO_Public_TSV_FileList!$A$1:$A$1000,MATCH(TRUE(),EXACT(K420,IFERROR(_xlfn.TEXTBEFORE(AUTO_Public_TSV_FileList!$A$1:$A$1000,".tsv"),"")),0)),"notfound")</f>
        <v>10.3389%2Ffnhum.2013.00424_TableA1.tsv</v>
      </c>
      <c r="M420" s="1" t="inlineStr">
        <is>
          <t>Table A1 | Neuroanatomical parameters in 40 mammal species*</t>
        </is>
      </c>
      <c r="N420" s="13"/>
      <c r="O420" s="13"/>
      <c r="P420" s="1"/>
      <c r="Q420" s="13"/>
      <c r="R420" s="13"/>
      <c r="S420" s="13"/>
      <c r="T420" s="13"/>
      <c r="U420" s="13"/>
      <c r="V420" s="13"/>
      <c r="W420" s="1" t="inlineStr">
        <is>
          <t>Mammals</t>
        </is>
      </c>
      <c r="X420" s="1"/>
      <c r="Y420" s="13"/>
      <c r="Z420" s="13"/>
      <c r="AA420" s="13"/>
      <c r="AB420" s="1" t="inlineStr">
        <is>
          <t>cortical development (outer SVZ)</t>
        </is>
      </c>
      <c r="AC420" s="13"/>
      <c r="AD420" s="13"/>
      <c r="AE420" s="1" t="inlineStr">
        <is>
          <t>secondary</t>
        </is>
      </c>
      <c r="AF420" s="1"/>
      <c r="AG420" s="13"/>
    </row>
    <row r="421" ht="15" customHeight="1">
      <c r="A421" s="1" t="inlineStr">
        <is>
          <t>Lewitus, E., Kelava, I., Kalinka, A. T., Tomancak, P., &amp; Huttner, W. B. (2014). An adaptive threshold in mammalian neocortical evolution. PLoS Biol, 12(11), e1002000. https://doi.org/10.1371/journal.pbio.1002000</t>
        </is>
      </c>
      <c r="B421" s="13"/>
      <c r="C421" s="13"/>
      <c r="D421" s="1" t="inlineStr">
        <is>
          <t>External Database S1 references</t>
        </is>
      </c>
      <c r="E421" s="10" t="str">
        <f>SUBSTITUTE(SUBSTITUTE(_xlfn.TEXTBEFORE(A421,","), "-", ""), " ", "")</f>
        <v>Lewitus</v>
      </c>
      <c r="F421" s="10"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10" t="str">
        <f>_xlfn.TEXTBEFORE(_xlfn.TEXTAFTER(A421, "("), ")")</f>
        <v>2014</v>
      </c>
      <c r="H421" s="10" t="str">
        <f>E421 &amp; IF(F421&lt;&gt;"", "_" &amp; SUBSTITUTE(F421," ",""), "_") &amp; IF(G421&lt;&gt;"", "_" &amp; G421, "_") &amp; IF(B421&lt;&gt;"", "_" &amp; B421, "")</f>
        <v>Lewitus_etal_2014</v>
      </c>
      <c r="I421" s="10" t="str">
        <f>_xlfn.LET(
_xlpm.doi,IF(C421&lt;&gt;"",C421,_xlfn.TEXTAFTER(A421,"https://doi.org/")),
SUBSTITUTE(
SUBSTITUTE(
SUBSTITUTE(
SUBSTITUTE(
_xlpm.doi,
"/","%2F"),
":","%3A"),
"&lt;","%3C"),
"&gt;","%3E")
)</f>
        <v>10.1371%2Fjournal.pbio.1002000</v>
      </c>
      <c r="J421" s="10" t="str">
        <f>TRIM(_xlfn.TEXTJOIN("_",FALSE(),H421,(SUBSTITUTE(SUBSTITUTE(D421," ",""), "_", ""))))</f>
        <v>Lewitus_etal_2014_ExternalDatabaseS1references</v>
      </c>
      <c r="K421" s="10" t="str">
        <f>I421 &amp; "_" &amp; SUBSTITUTE(SUBSTITUTE(SUBSTITUTE(D421,CHAR(160),"")," ",""),"_","")</f>
        <v>10.1371%2Fjournal.pbio.1002000_ExternalDatabaseS1references</v>
      </c>
      <c r="L421" s="10" t="str">
        <f t="array" ref="L421">IFERROR(INDEX(AUTO_Public_TSV_FileList!$A$1:$A$1000,MATCH(TRUE(),EXACT(K421,IFERROR(_xlfn.TEXTBEFORE(AUTO_Public_TSV_FileList!$A$1:$A$1000,".tsv"),"")),0)),"notfound")</f>
        <v>10.1371%2Fjournal.pbio.1002000_ExternalDatabaseS1references.tsv</v>
      </c>
      <c r="M421" s="1" t="inlineStr">
        <is>
          <t>External Database S1</t>
        </is>
      </c>
      <c r="N421" s="13"/>
      <c r="O421" s="13"/>
      <c r="P421" s="1"/>
      <c r="Q421" s="13"/>
      <c r="R421" s="13"/>
      <c r="S421" s="13"/>
      <c r="T421" s="13"/>
      <c r="U421" s="13"/>
      <c r="V421" s="13"/>
      <c r="W421" s="1" t="inlineStr">
        <is>
          <t>Mammals</t>
        </is>
      </c>
      <c r="X421" s="1"/>
      <c r="Y421" s="13"/>
      <c r="Z421" s="13"/>
      <c r="AA421" s="13"/>
      <c r="AB421" s="1"/>
      <c r="AC421" s="13"/>
      <c r="AD421" s="13"/>
      <c r="AE421" s="1" t="inlineStr">
        <is>
          <t>secondary</t>
        </is>
      </c>
      <c r="AF421" s="1"/>
      <c r="AG421" s="13"/>
    </row>
    <row r="422" ht="15" customHeight="1">
      <c r="A422" s="1" t="inlineStr">
        <is>
          <t>Lewitus, E., Kelava, I., Kalinka, A. T., Tomancak, P., &amp; Huttner, W. B. (2014). An adaptive threshold in mammalian neocortical evolution. PLoS Biol, 12(11), e1002000. https://doi.org/10.1371/journal.pbio.1002000</t>
        </is>
      </c>
      <c r="B422" s="13"/>
      <c r="C422" s="13"/>
      <c r="D422" s="1" t="inlineStr">
        <is>
          <t>External Database S1 sources</t>
        </is>
      </c>
      <c r="E422" s="10" t="str">
        <f>SUBSTITUTE(SUBSTITUTE(_xlfn.TEXTBEFORE(A422,","), "-", ""), " ", "")</f>
        <v>Lewitus</v>
      </c>
      <c r="F422" s="10"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10" t="str">
        <f>_xlfn.TEXTBEFORE(_xlfn.TEXTAFTER(A422, "("), ")")</f>
        <v>2014</v>
      </c>
      <c r="H422" s="10" t="str">
        <f>E422 &amp; IF(F422&lt;&gt;"", "_" &amp; SUBSTITUTE(F422," ",""), "_") &amp; IF(G422&lt;&gt;"", "_" &amp; G422, "_") &amp; IF(B422&lt;&gt;"", "_" &amp; B422, "")</f>
        <v>Lewitus_etal_2014</v>
      </c>
      <c r="I422" s="10" t="str">
        <f>_xlfn.LET(
_xlpm.doi,IF(C422&lt;&gt;"",C422,_xlfn.TEXTAFTER(A422,"https://doi.org/")),
SUBSTITUTE(
SUBSTITUTE(
SUBSTITUTE(
SUBSTITUTE(
_xlpm.doi,
"/","%2F"),
":","%3A"),
"&lt;","%3C"),
"&gt;","%3E")
)</f>
        <v>10.1371%2Fjournal.pbio.1002000</v>
      </c>
      <c r="J422" s="10" t="str">
        <f>TRIM(_xlfn.TEXTJOIN("_",FALSE(),H422,(SUBSTITUTE(SUBSTITUTE(D422," ",""), "_", ""))))</f>
        <v>Lewitus_etal_2014_ExternalDatabaseS1sources</v>
      </c>
      <c r="K422" s="10" t="str">
        <f>I422 &amp; "_" &amp; SUBSTITUTE(SUBSTITUTE(SUBSTITUTE(D422,CHAR(160),"")," ",""),"_","")</f>
        <v>10.1371%2Fjournal.pbio.1002000_ExternalDatabaseS1sources</v>
      </c>
      <c r="L422" s="10" t="str">
        <f t="array" ref="L422">IFERROR(INDEX(AUTO_Public_TSV_FileList!$A$1:$A$1000,MATCH(TRUE(),EXACT(K422,IFERROR(_xlfn.TEXTBEFORE(AUTO_Public_TSV_FileList!$A$1:$A$1000,".tsv"),"")),0)),"notfound")</f>
        <v>10.1371%2Fjournal.pbio.1002000_ExternalDatabaseS1sources.tsv</v>
      </c>
      <c r="M422" s="1" t="inlineStr">
        <is>
          <t>External Database S1</t>
        </is>
      </c>
      <c r="N422" s="13"/>
      <c r="O422" s="13"/>
      <c r="P422" s="1"/>
      <c r="Q422" s="13"/>
      <c r="R422" s="13"/>
      <c r="S422" s="13"/>
      <c r="T422" s="13"/>
      <c r="U422" s="13"/>
      <c r="V422" s="13"/>
      <c r="W422" s="1" t="inlineStr">
        <is>
          <t>Mammals</t>
        </is>
      </c>
      <c r="X422" s="1"/>
      <c r="Y422" s="13"/>
      <c r="Z422" s="13"/>
      <c r="AA422" s="13"/>
      <c r="AB422" s="1"/>
      <c r="AC422" s="13"/>
      <c r="AD422" s="13"/>
      <c r="AE422" s="1" t="inlineStr">
        <is>
          <t>secondary</t>
        </is>
      </c>
      <c r="AF422" s="1"/>
      <c r="AG422" s="13"/>
    </row>
    <row r="423" ht="15" customHeight="1">
      <c r="A423" s="1" t="inlineStr">
        <is>
          <t>Lewitus, E., Kelava, I., Kalinka, A. T., Tomancak, P., &amp; Huttner, W. B. (2014). An adaptive threshold in mammalian neocortical evolution. PLoS Biol, 12(11), e1002000. https://doi.org/10.1371/journal.pbio.1002000</t>
        </is>
      </c>
      <c r="B423" s="13"/>
      <c r="C423" s="13"/>
      <c r="D423" s="1" t="inlineStr">
        <is>
          <t>Table S1</t>
        </is>
      </c>
      <c r="E423" s="10" t="str">
        <f>SUBSTITUTE(SUBSTITUTE(_xlfn.TEXTBEFORE(A423,","), "-", ""), " ", "")</f>
        <v>Lewitus</v>
      </c>
      <c r="F423" s="10"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10" t="str">
        <f>_xlfn.TEXTBEFORE(_xlfn.TEXTAFTER(A423, "("), ")")</f>
        <v>2014</v>
      </c>
      <c r="H423" s="10" t="str">
        <f>E423 &amp; IF(F423&lt;&gt;"", "_" &amp; SUBSTITUTE(F423," ",""), "_") &amp; IF(G423&lt;&gt;"", "_" &amp; G423, "_") &amp; IF(B423&lt;&gt;"", "_" &amp; B423, "")</f>
        <v>Lewitus_etal_2014</v>
      </c>
      <c r="I423" s="10" t="str">
        <f>_xlfn.LET(
_xlpm.doi,IF(C423&lt;&gt;"",C423,_xlfn.TEXTAFTER(A423,"https://doi.org/")),
SUBSTITUTE(
SUBSTITUTE(
SUBSTITUTE(
SUBSTITUTE(
_xlpm.doi,
"/","%2F"),
":","%3A"),
"&lt;","%3C"),
"&gt;","%3E")
)</f>
        <v>10.1371%2Fjournal.pbio.1002000</v>
      </c>
      <c r="J423" s="10" t="str">
        <f>TRIM(_xlfn.TEXTJOIN("_",FALSE(),H423,(SUBSTITUTE(SUBSTITUTE(D423," ",""), "_", ""))))</f>
        <v>Lewitus_etal_2014_TableS1</v>
      </c>
      <c r="K423" s="10" t="str">
        <f>I423 &amp; "_" &amp; SUBSTITUTE(SUBSTITUTE(SUBSTITUTE(D423,CHAR(160),"")," ",""),"_","")</f>
        <v>10.1371%2Fjournal.pbio.1002000_TableS1</v>
      </c>
      <c r="L423" s="10" t="str">
        <f t="array" ref="L423">IFERROR(INDEX(AUTO_Public_TSV_FileList!$A$1:$A$1000,MATCH(TRUE(),EXACT(K423,IFERROR(_xlfn.TEXTBEFORE(AUTO_Public_TSV_FileList!$A$1:$A$1000,".tsv"),"")),0)),"notfound")</f>
        <v>10.1371%2Fjournal.pbio.1002000_TableS1.tsv</v>
      </c>
      <c r="M423" s="1" t="inlineStr">
        <is>
          <t>Table S1 Physiological and life-history variables</t>
        </is>
      </c>
      <c r="N423" s="13"/>
      <c r="O423" s="13"/>
      <c r="P423" s="1" t="inlineStr">
        <is>
          <t>FINISHED</t>
        </is>
      </c>
      <c r="Q423" s="13"/>
      <c r="R423" s="13"/>
      <c r="S423" s="13"/>
      <c r="T423" s="13"/>
      <c r="U423" s="13"/>
      <c r="V423" s="13"/>
      <c r="W423" s="1" t="inlineStr">
        <is>
          <t>Mammals</t>
        </is>
      </c>
      <c r="X423" s="1" t="inlineStr">
        <is>
          <t>gyrification</t>
        </is>
      </c>
      <c r="Y423" s="13"/>
      <c r="Z423" s="13"/>
      <c r="AA423" s="13"/>
      <c r="AB423" s="1" t="inlineStr">
        <is>
          <t>cortical folding (gyrification)</t>
        </is>
      </c>
      <c r="AC423" s="13"/>
      <c r="AD423" s="13"/>
      <c r="AE423" s="1" t="inlineStr">
        <is>
          <t>secondary</t>
        </is>
      </c>
      <c r="AF423" s="1"/>
      <c r="AG423" s="13"/>
    </row>
    <row r="424" ht="15" customHeight="1">
      <c r="A424" s="1" t="inlineStr">
        <is>
          <t>Lewitus, E., Kelava, I., Kalinka, A. T., Tomancak, P., &amp; Huttner, W. B. (2014). An adaptive threshold in mammalian neocortical evolution. PLoS Biol, 12(11), e1002000. https://doi.org/10.1371/journal.pbio.1002000</t>
        </is>
      </c>
      <c r="B424" s="13"/>
      <c r="C424" s="13"/>
      <c r="D424" s="1" t="inlineStr">
        <is>
          <t>Table S8</t>
        </is>
      </c>
      <c r="E424" s="10" t="str">
        <f>SUBSTITUTE(SUBSTITUTE(_xlfn.TEXTBEFORE(A424,","), "-", ""), " ", "")</f>
        <v>Lewitus</v>
      </c>
      <c r="F424" s="10"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10" t="str">
        <f>_xlfn.TEXTBEFORE(_xlfn.TEXTAFTER(A424, "("), ")")</f>
        <v>2014</v>
      </c>
      <c r="H424" s="10" t="str">
        <f>E424 &amp; IF(F424&lt;&gt;"", "_" &amp; SUBSTITUTE(F424," ",""), "_") &amp; IF(G424&lt;&gt;"", "_" &amp; G424, "_") &amp; IF(B424&lt;&gt;"", "_" &amp; B424, "")</f>
        <v>Lewitus_etal_2014</v>
      </c>
      <c r="I424" s="10" t="str">
        <f>_xlfn.LET(
_xlpm.doi,IF(C424&lt;&gt;"",C424,_xlfn.TEXTAFTER(A424,"https://doi.org/")),
SUBSTITUTE(
SUBSTITUTE(
SUBSTITUTE(
SUBSTITUTE(
_xlpm.doi,
"/","%2F"),
":","%3A"),
"&lt;","%3C"),
"&gt;","%3E")
)</f>
        <v>10.1371%2Fjournal.pbio.1002000</v>
      </c>
      <c r="J424" s="10" t="str">
        <f>TRIM(_xlfn.TEXTJOIN("_",FALSE(),H424,(SUBSTITUTE(SUBSTITUTE(D424," ",""), "_", ""))))</f>
        <v>Lewitus_etal_2014_TableS8</v>
      </c>
      <c r="K424" s="10" t="str">
        <f>I424 &amp; "_" &amp; SUBSTITUTE(SUBSTITUTE(SUBSTITUTE(D424,CHAR(160),"")," ",""),"_","")</f>
        <v>10.1371%2Fjournal.pbio.1002000_TableS8</v>
      </c>
      <c r="L424" s="10" t="str">
        <f t="array" ref="L424">IFERROR(INDEX(AUTO_Public_TSV_FileList!$A$1:$A$1000,MATCH(TRUE(),EXACT(K424,IFERROR(_xlfn.TEXTBEFORE(AUTO_Public_TSV_FileList!$A$1:$A$1000,".tsv"),"")),0)),"notfound")</f>
        <v>10.1371%2Fjournal.pbio.1002000_TableS8.tsv</v>
      </c>
      <c r="M424" s="1" t="inlineStr">
        <is>
          <t>Table S8: Neocortical neuron number for Figure 3d</t>
        </is>
      </c>
      <c r="N424" s="13"/>
      <c r="O424" s="13"/>
      <c r="P424" s="1" t="inlineStr">
        <is>
          <t>FINISHED</t>
        </is>
      </c>
      <c r="Q424" s="13"/>
      <c r="R424" s="13"/>
      <c r="S424" s="13"/>
      <c r="T424" s="13"/>
      <c r="U424" s="13"/>
      <c r="V424" s="13"/>
      <c r="W424" s="1" t="inlineStr">
        <is>
          <t>Mammals</t>
        </is>
      </c>
      <c r="X424" s="1"/>
      <c r="Y424" s="13"/>
      <c r="Z424" s="13"/>
      <c r="AA424" s="13"/>
      <c r="AB424" s="1"/>
      <c r="AC424" s="13"/>
      <c r="AD424" s="13"/>
      <c r="AE424" s="1" t="inlineStr">
        <is>
          <t>secondary</t>
        </is>
      </c>
      <c r="AF424" s="1"/>
      <c r="AG424" s="13"/>
    </row>
    <row r="425" ht="15" customHeight="1">
      <c r="A425" s="9" t="inlineStr">
        <is>
          <t>Lewitus, E., Sherwood, C. C., &amp; Hof, P. R. (2012). Cellular signatures in the primary visual cortex of phylogeny and placentation. Brain Structure and Function, 217(2), 531-547. https://doi.org/10.1007/s00429-011-0338-5</t>
        </is>
      </c>
      <c r="B425" s="28"/>
      <c r="C425" s="9"/>
      <c r="D425" s="9" t="inlineStr">
        <is>
          <t>Table1</t>
        </is>
      </c>
      <c r="E425" s="10" t="str">
        <f>SUBSTITUTE(SUBSTITUTE(_xlfn.TEXTBEFORE(A425,","), "-", ""), " ", "")</f>
        <v>Lewitus</v>
      </c>
      <c r="F425" s="10"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10" t="str">
        <f>_xlfn.TEXTBEFORE(_xlfn.TEXTAFTER(A425, "("), ")")</f>
        <v>2012</v>
      </c>
      <c r="H425" s="10" t="str">
        <f>E425 &amp; IF(F425&lt;&gt;"", "_" &amp; SUBSTITUTE(F425," ",""), "_") &amp; IF(G425&lt;&gt;"", "_" &amp; G425, "_") &amp; IF(B425&lt;&gt;"", "_" &amp; B425, "")</f>
        <v>Lewitus_etal_2012</v>
      </c>
      <c r="I425" s="10" t="str">
        <f>_xlfn.LET(
_xlpm.doi,IF(C425&lt;&gt;"",C425,_xlfn.TEXTAFTER(A425,"https://doi.org/")),
SUBSTITUTE(
SUBSTITUTE(
SUBSTITUTE(
SUBSTITUTE(
_xlpm.doi,
"/","%2F"),
":","%3A"),
"&lt;","%3C"),
"&gt;","%3E")
)</f>
        <v>10.1007%2Fs00429-011-0338-5</v>
      </c>
      <c r="J425" s="10" t="str">
        <f>TRIM(_xlfn.TEXTJOIN("_",FALSE(),H425,(SUBSTITUTE(SUBSTITUTE(D425," ",""), "_", ""))))</f>
        <v>Lewitus_etal_2012_Table1</v>
      </c>
      <c r="K425" s="10" t="str">
        <f>I425 &amp; "_" &amp; SUBSTITUTE(SUBSTITUTE(SUBSTITUTE(D425,CHAR(160),"")," ",""),"_","")</f>
        <v>10.1007%2Fs00429-011-0338-5_Table1</v>
      </c>
      <c r="L425" s="10" t="str">
        <f t="array" ref="L425">IFERROR(INDEX(AUTO_Public_TSV_FileList!$A$1:$A$1000,MATCH(TRUE(),EXACT(K425,IFERROR(_xlfn.TEXTBEFORE(AUTO_Public_TSV_FileList!$A$1:$A$1000,".tsv"),"")),0)),"notfound")</f>
        <v>10.1007%2Fs00429-011-0338-5_Table1.tsv</v>
      </c>
      <c r="M425" s="9" t="inlineStr">
        <is>
          <t>Table 1 List of species by taxonomic classification</t>
        </is>
      </c>
      <c r="N425" s="9" t="inlineStr">
        <is>
          <t>PDF table (born-digital; transcribed)</t>
        </is>
      </c>
      <c r="O425" s="9" t="inlineStr">
        <is>
          <t>Species list with n individuals sampled for V1 stereology; Eutheria-group footnote</t>
        </is>
      </c>
      <c r="P425" s="9" t="inlineStr">
        <is>
          <t>PREPARED (CSV built; owner registry paste / public TSV pending; RA side-by-side check pending)</t>
        </is>
      </c>
      <c r="Q425" s="9" t="inlineStr">
        <is>
          <t>Lewitus_etal_2012_Table1_snapshot.csv</t>
        </is>
      </c>
      <c r="R425" s="9" t="inlineStr">
        <is>
          <t>https://doi.org/10.1007/s00429-011-0338-5</t>
        </is>
      </c>
      <c r="S425" s="9"/>
      <c r="T425" s="9"/>
      <c r="U425" s="9"/>
      <c r="V425" s="9"/>
      <c r="W425" s="9" t="inlineStr">
        <is>
          <t>Mammals (71 species)</t>
        </is>
      </c>
      <c r="X425" s="9" t="inlineStr">
        <is>
          <t>Species list; sample size</t>
        </is>
      </c>
      <c r="Y425" s="9" t="inlineStr">
        <is>
          <t>Taxonomic group; subgroup; Eutheria-group flag</t>
        </is>
      </c>
      <c r="Z425" s="9" t="inlineStr">
        <is>
          <t>histological</t>
        </is>
      </c>
      <c r="AA425" s="9" t="inlineStr">
        <is>
          <t>design-based stereology (sample sizes)</t>
        </is>
      </c>
      <c r="AB425" s="9" t="inlineStr">
        <is>
          <t>sample size / classification</t>
        </is>
      </c>
      <c r="AC425" s="9"/>
      <c r="AD425" s="9"/>
      <c r="AE425" s="9" t="inlineStr">
        <is>
          <t>Primary</t>
        </is>
      </c>
      <c r="AF425" s="9"/>
      <c r="AG425" s="9"/>
    </row>
    <row r="426" ht="15" customHeight="1">
      <c r="A426" s="9" t="inlineStr">
        <is>
          <t>Lewitus, E., Sherwood, C. C., &amp; Hof, P. R. (2012). Cellular signatures in the primary visual cortex of phylogeny and placentation. Brain Structure and Function, 217(2), 531-547. https://doi.org/10.1007/s00429-011-0338-5</t>
        </is>
      </c>
      <c r="B426" s="28"/>
      <c r="C426" s="9"/>
      <c r="D426" s="9" t="inlineStr">
        <is>
          <t>Table2</t>
        </is>
      </c>
      <c r="E426" s="10" t="str">
        <f>SUBSTITUTE(SUBSTITUTE(_xlfn.TEXTBEFORE(A426,","), "-", ""), " ", "")</f>
        <v>Lewitus</v>
      </c>
      <c r="F426" s="10"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10" t="str">
        <f>_xlfn.TEXTBEFORE(_xlfn.TEXTAFTER(A426, "("), ")")</f>
        <v>2012</v>
      </c>
      <c r="H426" s="10" t="str">
        <f>E426 &amp; IF(F426&lt;&gt;"", "_" &amp; SUBSTITUTE(F426," ",""), "_") &amp; IF(G426&lt;&gt;"", "_" &amp; G426, "_") &amp; IF(B426&lt;&gt;"", "_" &amp; B426, "")</f>
        <v>Lewitus_etal_2012</v>
      </c>
      <c r="I426" s="10" t="str">
        <f>_xlfn.LET(
_xlpm.doi,IF(C426&lt;&gt;"",C426,_xlfn.TEXTAFTER(A426,"https://doi.org/")),
SUBSTITUTE(
SUBSTITUTE(
SUBSTITUTE(
SUBSTITUTE(
_xlpm.doi,
"/","%2F"),
":","%3A"),
"&lt;","%3C"),
"&gt;","%3E")
)</f>
        <v>10.1007%2Fs00429-011-0338-5</v>
      </c>
      <c r="J426" s="10" t="str">
        <f>TRIM(_xlfn.TEXTJOIN("_",FALSE(),H426,(SUBSTITUTE(SUBSTITUTE(D426," ",""), "_", ""))))</f>
        <v>Lewitus_etal_2012_Table2</v>
      </c>
      <c r="K426" s="10" t="str">
        <f>I426 &amp; "_" &amp; SUBSTITUTE(SUBSTITUTE(SUBSTITUTE(D426,CHAR(160),"")," ",""),"_","")</f>
        <v>10.1007%2Fs00429-011-0338-5_Table2</v>
      </c>
      <c r="L426" s="10" t="str">
        <f t="array" ref="L426">IFERROR(INDEX(AUTO_Public_TSV_FileList!$A$1:$A$1000,MATCH(TRUE(),EXACT(K426,IFERROR(_xlfn.TEXTBEFORE(AUTO_Public_TSV_FileList!$A$1:$A$1000,".tsv"),"")),0)),"notfound")</f>
        <v>10.1007%2Fs00429-011-0338-5_Table2.tsv</v>
      </c>
      <c r="M426" s="9" t="inlineStr">
        <is>
          <t>Table 2 List of species by placental characterization</t>
        </is>
      </c>
      <c r="N426" s="9" t="inlineStr">
        <is>
          <t>PDF table (born-digital; transcribed)</t>
        </is>
      </c>
      <c r="O426" s="9" t="inlineStr">
        <is>
          <t>Crocuta crocuta listed under both haemochorial and endotheliochorial; Manis gigantea not in Table 1. Classification after Mossman 1987 (secondary)</t>
        </is>
      </c>
      <c r="P426" s="9" t="inlineStr">
        <is>
          <t>PREPARED (CSV built; owner registry paste / public TSV pending; RA side-by-side check pending)</t>
        </is>
      </c>
      <c r="Q426" s="9" t="inlineStr">
        <is>
          <t>Lewitus_etal_2012_Table2_snapshot.csv</t>
        </is>
      </c>
      <c r="R426" s="9" t="inlineStr">
        <is>
          <t>https://doi.org/10.1007/s00429-011-0338-5</t>
        </is>
      </c>
      <c r="S426" s="9"/>
      <c r="T426" s="9"/>
      <c r="U426" s="9"/>
      <c r="V426" s="9"/>
      <c r="W426" s="9" t="inlineStr">
        <is>
          <t>Mammals (72 species)</t>
        </is>
      </c>
      <c r="X426" s="9" t="inlineStr">
        <is>
          <t>Placental type</t>
        </is>
      </c>
      <c r="Y426" s="9"/>
      <c r="Z426" s="9" t="inlineStr">
        <is>
          <t>literature classification</t>
        </is>
      </c>
      <c r="AA426" s="9" t="inlineStr">
        <is>
          <t>classification</t>
        </is>
      </c>
      <c r="AB426" s="9" t="inlineStr">
        <is>
          <t>categorical</t>
        </is>
      </c>
      <c r="AC426" s="9"/>
      <c r="AD426" s="9"/>
      <c r="AE426" s="9" t="inlineStr">
        <is>
          <t>Secondary</t>
        </is>
      </c>
      <c r="AF426" s="9" t="inlineStr">
        <is>
          <t>Mossman 1987</t>
        </is>
      </c>
      <c r="AG426" s="9"/>
    </row>
    <row r="427" ht="15" customHeight="1">
      <c r="A427" s="9" t="inlineStr">
        <is>
          <t>Lewitus, E., Sherwood, C. C., &amp; Hof, P. R. (2012). Cellular signatures in the primary visual cortex of phylogeny and placentation. Brain Structure and Function, 217(2), 531-547. https://doi.org/10.1007/s00429-011-0338-5</t>
        </is>
      </c>
      <c r="B427" s="28"/>
      <c r="C427" s="9"/>
      <c r="D427" s="9" t="inlineStr">
        <is>
          <t>Table4</t>
        </is>
      </c>
      <c r="E427" s="10" t="str">
        <f>SUBSTITUTE(SUBSTITUTE(_xlfn.TEXTBEFORE(A427,","), "-", ""), " ", "")</f>
        <v>Lewitus</v>
      </c>
      <c r="F427" s="10"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10" t="str">
        <f>_xlfn.TEXTBEFORE(_xlfn.TEXTAFTER(A427, "("), ")")</f>
        <v>2012</v>
      </c>
      <c r="H427" s="10" t="str">
        <f>E427 &amp; IF(F427&lt;&gt;"", "_" &amp; SUBSTITUTE(F427," ",""), "_") &amp; IF(G427&lt;&gt;"", "_" &amp; G427, "_") &amp; IF(B427&lt;&gt;"", "_" &amp; B427, "")</f>
        <v>Lewitus_etal_2012</v>
      </c>
      <c r="I427" s="10" t="str">
        <f>_xlfn.LET(
_xlpm.doi,IF(C427&lt;&gt;"",C427,_xlfn.TEXTAFTER(A427,"https://doi.org/")),
SUBSTITUTE(
SUBSTITUTE(
SUBSTITUTE(
SUBSTITUTE(
_xlpm.doi,
"/","%2F"),
":","%3A"),
"&lt;","%3C"),
"&gt;","%3E")
)</f>
        <v>10.1007%2Fs00429-011-0338-5</v>
      </c>
      <c r="J427" s="10" t="str">
        <f>TRIM(_xlfn.TEXTJOIN("_",FALSE(),H427,(SUBSTITUTE(SUBSTITUTE(D427," ",""), "_", ""))))</f>
        <v>Lewitus_etal_2012_Table4</v>
      </c>
      <c r="K427" s="10" t="str">
        <f>I427 &amp; "_" &amp; SUBSTITUTE(SUBSTITUTE(SUBSTITUTE(D427,CHAR(160),"")," ",""),"_","")</f>
        <v>10.1007%2Fs00429-011-0338-5_Table4</v>
      </c>
      <c r="L427" s="10" t="str">
        <f t="array" ref="L427">IFERROR(INDEX(AUTO_Public_TSV_FileList!$A$1:$A$1000,MATCH(TRUE(),EXACT(K427,IFERROR(_xlfn.TEXTBEFORE(AUTO_Public_TSV_FileList!$A$1:$A$1000,".tsv"),"")),0)),"notfound")</f>
        <v>10.1007%2Fs00429-011-0338-5_Table4.tsv</v>
      </c>
      <c r="M427" s="9" t="inlineStr">
        <is>
          <t>Table 4 Deviations of predicted from observed values for cell densities in V1 for apes based on OLS regressions generated from plots of Old and New World monkeys</t>
        </is>
      </c>
      <c r="N427" s="9" t="inlineStr">
        <is>
          <t>PDF table (born-digital; transcribed)</t>
        </is>
      </c>
      <c r="O427" s="9" t="inlineStr">
        <is>
          <t>STEREOLOGY: never pool with isotropic fractionator counts. Only observed glial density (8 species) is data; predicted/deviation columns are model-derived. Per-species data for all species not in PDF</t>
        </is>
      </c>
      <c r="P427" s="9" t="inlineStr">
        <is>
          <t>PREPARED (CSV built; owner registry paste / public TSV pending; RA side-by-side check pending)</t>
        </is>
      </c>
      <c r="Q427" s="9" t="inlineStr">
        <is>
          <t>Lewitus_etal_2012_Table4_snapshot.csv</t>
        </is>
      </c>
      <c r="R427" s="9" t="inlineStr">
        <is>
          <t>https://doi.org/10.1007/s00429-011-0338-5</t>
        </is>
      </c>
      <c r="S427" s="9"/>
      <c r="T427" s="9"/>
      <c r="U427" s="9"/>
      <c r="V427" s="9"/>
      <c r="W427" s="9" t="inlineStr">
        <is>
          <t>Primates (8 species)</t>
        </is>
      </c>
      <c r="X427" s="9" t="inlineStr">
        <is>
          <t>Glial cell density V1 (cells/mm3)</t>
        </is>
      </c>
      <c r="Y427" s="9" t="inlineStr">
        <is>
          <t>Predicted value; % deviation; within 95% PI</t>
        </is>
      </c>
      <c r="Z427" s="9" t="inlineStr">
        <is>
          <t>histological</t>
        </is>
      </c>
      <c r="AA427" s="9" t="inlineStr">
        <is>
          <t>design-based stereology (StereoInvestigator)</t>
        </is>
      </c>
      <c r="AB427" s="9" t="inlineStr">
        <is>
          <t>cell density</t>
        </is>
      </c>
      <c r="AC427" s="9"/>
      <c r="AD427" s="9"/>
      <c r="AE427" s="9" t="inlineStr">
        <is>
          <t>Primary</t>
        </is>
      </c>
      <c r="AF427" s="9"/>
      <c r="AG427" s="9"/>
    </row>
    <row r="428" ht="15" customHeight="1">
      <c r="A428" s="9" t="inlineStr">
        <is>
          <t>Lewitus, E., Sherwood, C. C., &amp; Hof, P. R. (2012). Cellular signatures in the primary visual cortex of phylogeny and placentation. Brain Structure and Function, 217(2), 531-547. https://doi.org/10.1007/s00429-011-0338-5</t>
        </is>
      </c>
      <c r="B428" s="28"/>
      <c r="C428" s="9"/>
      <c r="D428" s="9" t="inlineStr">
        <is>
          <t>TableS1A</t>
        </is>
      </c>
      <c r="E428" s="10" t="str">
        <f>SUBSTITUTE(SUBSTITUTE(_xlfn.TEXTBEFORE(A428,","), "-", ""), " ", "")</f>
        <v>Lewitus</v>
      </c>
      <c r="F428" s="1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10" t="str">
        <f>_xlfn.TEXTBEFORE(_xlfn.TEXTAFTER(A428, "("), ")")</f>
        <v>2012</v>
      </c>
      <c r="H428" s="10" t="str">
        <f>E428 &amp; IF(F428&lt;&gt;"", "_" &amp; SUBSTITUTE(F428," ",""), "_") &amp; IF(G428&lt;&gt;"", "_" &amp; G428, "_") &amp; IF(B428&lt;&gt;"", "_" &amp; B428, "")</f>
        <v>Lewitus_etal_2012</v>
      </c>
      <c r="I428" s="10" t="str">
        <f>_xlfn.LET(
_xlpm.doi,IF(C428&lt;&gt;"",C428,_xlfn.TEXTAFTER(A428,"https://doi.org/")),
SUBSTITUTE(
SUBSTITUTE(
SUBSTITUTE(
SUBSTITUTE(
_xlpm.doi,
"/","%2F"),
":","%3A"),
"&lt;","%3C"),
"&gt;","%3E")
)</f>
        <v>10.1007%2Fs00429-011-0338-5</v>
      </c>
      <c r="J428" s="10" t="str">
        <f>TRIM(_xlfn.TEXTJOIN("_",FALSE(),H428,(SUBSTITUTE(SUBSTITUTE(D428," ",""), "_", ""))))</f>
        <v>Lewitus_etal_2012_TableS1A</v>
      </c>
      <c r="K428" s="10" t="str">
        <f>I428 &amp; "_" &amp; SUBSTITUTE(SUBSTITUTE(SUBSTITUTE(D428,CHAR(160),"")," ",""),"_","")</f>
        <v>10.1007%2Fs00429-011-0338-5_TableS1A</v>
      </c>
      <c r="L428" s="10" t="str">
        <f t="array" ref="L428">IFERROR(INDEX(AUTO_Public_TSV_FileList!$A$1:$A$1000,MATCH(TRUE(),EXACT(K428,IFERROR(_xlfn.TEXTBEFORE(AUTO_Public_TSV_FileList!$A$1:$A$1000,".tsv"),"")),0)),"notfound")</f>
        <v>10.1007%2Fs00429-011-0338-5_TableS1A.tsv</v>
      </c>
      <c r="M428" s="9" t="inlineStr">
        <is>
          <t>Table S1A: Results of stereologic estimates of cellular densities (cells per mm3) and volumetric estimates (mm3) in all brain regions [Electronic supplementary material 1]</t>
        </is>
      </c>
      <c r="N428" s="9" t="inlineStr">
        <is>
          <t>Word .doc with embedded spreadsheet (converted)</t>
        </is>
      </c>
      <c r="O428" s="9" t="inlineStr">
        <is>
          <t>STEREOLOGY. 36 non-primate species; values back-transformed from 2-dp log10 (+/-1%). Cynocephalus volans cell values duplicate Dasyprocta leporina. Primate species of the main paper are not in this ESM. 15 of 15 non-primate Lewitus 2014 S1 rows match.</t>
        </is>
      </c>
      <c r="P428" s="9" t="inlineStr">
        <is>
          <t>PREPARED (CSV built; owner registry paste / public TSV pending; RA side-by-side check pending)</t>
        </is>
      </c>
      <c r="Q428" s="9" t="inlineStr">
        <is>
          <t>Lewitus_etal_2012_TableS1A_snapshot.csv</t>
        </is>
      </c>
      <c r="R428" s="9" t="inlineStr">
        <is>
          <t>https://doi.org/10.1007/s00429-011-0338-5</t>
        </is>
      </c>
      <c r="S428" s="9"/>
      <c r="T428" s="9"/>
      <c r="U428" s="9"/>
      <c r="V428" s="9"/>
      <c r="W428" s="9" t="inlineStr">
        <is>
          <t>Non-primate eutherian mammals</t>
        </is>
      </c>
      <c r="X428" s="9" t="inlineStr">
        <is>
          <t>Glia:neuron ratio, neuronal and glial cell density, V1</t>
        </is>
      </c>
      <c r="Y428" s="9" t="inlineStr">
        <is>
          <t>Brain mass; body mass (Jones 2009); gestation (Jones 2009)</t>
        </is>
      </c>
      <c r="Z428" s="9" t="inlineStr">
        <is>
          <t>histological</t>
        </is>
      </c>
      <c r="AA428" s="9" t="inlineStr">
        <is>
          <t>design-based stereology (StereoInvestigator)</t>
        </is>
      </c>
      <c r="AB428" s="9" t="inlineStr">
        <is>
          <t>cell density; ratio</t>
        </is>
      </c>
      <c r="AC428" s="9"/>
      <c r="AD428" s="9"/>
      <c r="AE428" s="9" t="inlineStr">
        <is>
          <t>Primary</t>
        </is>
      </c>
      <c r="AF428" s="9"/>
      <c r="AG428" s="9"/>
    </row>
    <row r="429" ht="15" customHeight="1">
      <c r="A429" s="1" t="inlineStr">
        <is>
          <t>Liu, M. J., Xiong, C. H., &amp; Hu, D. (2016). Assessing the manipulative potentials of monkeys, apes and humans from hand proportions: implications for hand evolution. Proc Biol Sci, 283(1843). https://doi.org/10.1098/rspb.2016.1923</t>
        </is>
      </c>
      <c r="B429" s="13"/>
      <c r="C429" s="13"/>
      <c r="D429" s="1" t="inlineStr">
        <is>
          <t>Table S1</t>
        </is>
      </c>
      <c r="E429" s="10" t="str">
        <f>SUBSTITUTE(SUBSTITUTE(_xlfn.TEXTBEFORE(A429,","), "-", ""), " ", "")</f>
        <v>Liu</v>
      </c>
      <c r="F429" s="1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10" t="str">
        <f>_xlfn.TEXTBEFORE(_xlfn.TEXTAFTER(A429, "("), ")")</f>
        <v>2016</v>
      </c>
      <c r="H429" s="10" t="str">
        <f>E429 &amp; IF(F429&lt;&gt;"", "_" &amp; SUBSTITUTE(F429," ",""), "_") &amp; IF(G429&lt;&gt;"", "_" &amp; G429, "_") &amp; IF(B429&lt;&gt;"", "_" &amp; B429, "")</f>
        <v>Liu_etal_2016</v>
      </c>
      <c r="I429" s="10" t="str">
        <f>_xlfn.LET(
_xlpm.doi,IF(C429&lt;&gt;"",C429,_xlfn.TEXTAFTER(A429,"https://doi.org/")),
SUBSTITUTE(
SUBSTITUTE(
SUBSTITUTE(
SUBSTITUTE(
_xlpm.doi,
"/","%2F"),
":","%3A"),
"&lt;","%3C"),
"&gt;","%3E")
)</f>
        <v>10.1098%2Frspb.2016.1923</v>
      </c>
      <c r="J429" s="10" t="str">
        <f>TRIM(_xlfn.TEXTJOIN("_",FALSE(),H429,(SUBSTITUTE(SUBSTITUTE(D429," ",""), "_", ""))))</f>
        <v>Liu_etal_2016_TableS1</v>
      </c>
      <c r="K429" s="10" t="str">
        <f>I429 &amp; "_" &amp; SUBSTITUTE(SUBSTITUTE(SUBSTITUTE(D429,CHAR(160),"")," ",""),"_","")</f>
        <v>10.1098%2Frspb.2016.1923_TableS1</v>
      </c>
      <c r="L429" s="10" t="str">
        <f t="array" ref="L429">IFERROR(INDEX(AUTO_Public_TSV_FileList!$A$1:$A$1000,MATCH(TRUE(),EXACT(K429,IFERROR(_xlfn.TEXTBEFORE(AUTO_Public_TSV_FileList!$A$1:$A$1000,".tsv"),"")),0)),"notfound")</f>
        <v>10.1098%2Frspb.2016.1923_TableS1.tsv</v>
      </c>
      <c r="M429" s="13"/>
      <c r="N429" s="1" t="inlineStr">
        <is>
          <t>table</t>
        </is>
      </c>
      <c r="O429" s="13"/>
      <c r="P429" s="1" t="inlineStr">
        <is>
          <t>FINISHED</t>
        </is>
      </c>
      <c r="Q429" s="1"/>
      <c r="R429" s="13"/>
      <c r="S429" s="13"/>
      <c r="T429" s="13"/>
      <c r="U429" s="13"/>
      <c r="V429" s="13"/>
      <c r="W429" s="1" t="inlineStr">
        <is>
          <t>Primates</t>
        </is>
      </c>
      <c r="X429" s="1" t="inlineStr">
        <is>
          <t>hand manipulability (workspace, global manipulation index)</t>
        </is>
      </c>
      <c r="Y429" s="13"/>
      <c r="Z429" s="13"/>
      <c r="AA429" s="13"/>
      <c r="AB429" s="1" t="inlineStr">
        <is>
          <t>hand morphology / manipulability index</t>
        </is>
      </c>
      <c r="AC429" s="1" t="inlineStr">
        <is>
          <t>Liu</t>
        </is>
      </c>
      <c r="AD429" s="13"/>
      <c r="AE429" s="1" t="inlineStr">
        <is>
          <t>secondary</t>
        </is>
      </c>
      <c r="AF429" s="1"/>
      <c r="AG429" s="1" t="inlineStr">
        <is>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is>
      </c>
    </row>
    <row r="430" ht="15" customHeight="1">
      <c r="A430" s="1" t="inlineStr">
        <is>
          <t>Lukas, D., &amp; Clutton-Brock, T. H. (2013). The evolution of social monogamy in mammals. Science, 341(6145), 526-530. https://doi.org/10.1126/science.1238677</t>
        </is>
      </c>
      <c r="B430" s="13"/>
      <c r="C430" s="13"/>
      <c r="D430" s="1" t="inlineStr">
        <is>
          <t>References for Supplementary Table</t>
        </is>
      </c>
      <c r="E430" s="10" t="str">
        <f>SUBSTITUTE(SUBSTITUTE(_xlfn.TEXTBEFORE(A430,","), "-", ""), " ", "")</f>
        <v>Lukas</v>
      </c>
      <c r="F430" s="10"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0" s="10" t="str">
        <f>_xlfn.TEXTBEFORE(_xlfn.TEXTAFTER(A430, "("), ")")</f>
        <v>2013</v>
      </c>
      <c r="H430" s="10" t="str">
        <f>E430 &amp; IF(F430&lt;&gt;"", "_" &amp; SUBSTITUTE(F430," ",""), "_") &amp; IF(G430&lt;&gt;"", "_" &amp; G430, "_") &amp; IF(B430&lt;&gt;"", "_" &amp; B430, "")</f>
        <v>Lukas__2013</v>
      </c>
      <c r="I430" s="10" t="str">
        <f>_xlfn.LET(
_xlpm.doi,IF(C430&lt;&gt;"",C430,_xlfn.TEXTAFTER(A430,"https://doi.org/")),
SUBSTITUTE(
SUBSTITUTE(
SUBSTITUTE(
SUBSTITUTE(
_xlpm.doi,
"/","%2F"),
":","%3A"),
"&lt;","%3C"),
"&gt;","%3E")
)</f>
        <v>10.1126%2Fscience.1238677</v>
      </c>
      <c r="J430" s="10" t="str">
        <f>TRIM(_xlfn.TEXTJOIN("_",FALSE(),H430,(SUBSTITUTE(SUBSTITUTE(D430," ",""), "_", ""))))</f>
        <v>Lukas__2013_ReferencesforSupplementaryTable</v>
      </c>
      <c r="K430" s="10" t="str">
        <f>I430 &amp; "_" &amp; SUBSTITUTE(SUBSTITUTE(SUBSTITUTE(D430,CHAR(160),"")," ",""),"_","")</f>
        <v>10.1126%2Fscience.1238677_ReferencesforSupplementaryTable</v>
      </c>
      <c r="L430" s="10" t="str">
        <f t="array" ref="L430">IFERROR(INDEX(AUTO_Public_TSV_FileList!$A$1:$A$1000,MATCH(TRUE(),EXACT(K430,IFERROR(_xlfn.TEXTBEFORE(AUTO_Public_TSV_FileList!$A$1:$A$1000,".tsv"),"")),0)),"notfound")</f>
        <v>10.1126%2Fscience.1238677_ReferencesforSupplementaryTable.tsv</v>
      </c>
      <c r="M430" s="13" t="inlineStr">
        <is>
          <t>References for Supplementary Table</t>
        </is>
      </c>
      <c r="N430" s="1"/>
      <c r="O430" s="13" t="inlineStr">
        <is>
          <t>lukas.sm.pdf</t>
        </is>
      </c>
      <c r="P430" s="1"/>
      <c r="Q430" s="1"/>
      <c r="R430" s="13"/>
      <c r="S430" s="13"/>
      <c r="T430" s="13"/>
      <c r="U430" s="13"/>
      <c r="V430" s="13"/>
      <c r="W430" s="1"/>
      <c r="X430" s="1"/>
      <c r="Y430" s="13"/>
      <c r="Z430" s="13"/>
      <c r="AA430" s="13"/>
      <c r="AB430" s="1"/>
      <c r="AC430" s="1"/>
      <c r="AD430" s="13"/>
      <c r="AE430" s="1"/>
      <c r="AF430" s="1"/>
      <c r="AG430" s="1"/>
    </row>
    <row r="431" ht="15" customHeight="1">
      <c r="A431" s="1" t="inlineStr">
        <is>
          <t>Lukas, D., &amp; Clutton-Brock, T. H. (2013). The evolution of social monogamy in mammals. Science, 341(6145), 526-530. https://doi.org/10.1126/science.1238677</t>
        </is>
      </c>
      <c r="B431" s="13"/>
      <c r="C431" s="13"/>
      <c r="D431" s="1" t="inlineStr">
        <is>
          <t>Supplementary Data</t>
        </is>
      </c>
      <c r="E431" s="10" t="str">
        <f>SUBSTITUTE(SUBSTITUTE(_xlfn.TEXTBEFORE(A431,","), "-", ""), " ", "")</f>
        <v>Lukas</v>
      </c>
      <c r="F431" s="10"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1" s="10" t="str">
        <f>_xlfn.TEXTBEFORE(_xlfn.TEXTAFTER(A431, "("), ")")</f>
        <v>2013</v>
      </c>
      <c r="H431" s="10" t="str">
        <f>E431 &amp; IF(F431&lt;&gt;"", "_" &amp; SUBSTITUTE(F431," ",""), "_") &amp; IF(G431&lt;&gt;"", "_" &amp; G431, "_") &amp; IF(B431&lt;&gt;"", "_" &amp; B431, "")</f>
        <v>Lukas__2013</v>
      </c>
      <c r="I431" s="10" t="str">
        <f>_xlfn.LET(
_xlpm.doi,IF(C431&lt;&gt;"",C431,_xlfn.TEXTAFTER(A431,"https://doi.org/")),
SUBSTITUTE(
SUBSTITUTE(
SUBSTITUTE(
SUBSTITUTE(
_xlpm.doi,
"/","%2F"),
":","%3A"),
"&lt;","%3C"),
"&gt;","%3E")
)</f>
        <v>10.1126%2Fscience.1238677</v>
      </c>
      <c r="J431" s="10" t="str">
        <f>TRIM(_xlfn.TEXTJOIN("_",FALSE(),H431,(SUBSTITUTE(SUBSTITUTE(D431," ",""), "_", ""))))</f>
        <v>Lukas__2013_SupplementaryData</v>
      </c>
      <c r="K431" s="10" t="str">
        <f>I431 &amp; "_" &amp; SUBSTITUTE(SUBSTITUTE(SUBSTITUTE(D431,CHAR(160),"")," ",""),"_","")</f>
        <v>10.1126%2Fscience.1238677_SupplementaryData</v>
      </c>
      <c r="L431" s="10" t="str">
        <f t="array" ref="L431">IFERROR(INDEX(AUTO_Public_TSV_FileList!$A$1:$A$1000,MATCH(TRUE(),EXACT(K431,IFERROR(_xlfn.TEXTBEFORE(AUTO_Public_TSV_FileList!$A$1:$A$1000,".tsv"),"")),0)),"notfound")</f>
        <v>10.1126%2Fscience.1238677_SupplementaryData.tsv</v>
      </c>
      <c r="M431" s="13" t="inlineStr">
        <is>
          <t>Supplementary Data for Lukas &amp; Clutton-Brock: Evolution of social monogamy in mammals</t>
        </is>
      </c>
      <c r="N431" s="1"/>
      <c r="O431" s="13" t="inlineStr">
        <is>
          <t>lukas.sm.pdf</t>
        </is>
      </c>
      <c r="P431" s="1"/>
      <c r="Q431" s="1"/>
      <c r="R431" s="13"/>
      <c r="S431" s="13"/>
      <c r="T431" s="13"/>
      <c r="U431" s="13"/>
      <c r="V431" s="13"/>
      <c r="W431" s="1"/>
      <c r="X431" s="1"/>
      <c r="Y431" s="13"/>
      <c r="Z431" s="13"/>
      <c r="AA431" s="13"/>
      <c r="AB431" s="1"/>
      <c r="AC431" s="1"/>
      <c r="AD431" s="13"/>
      <c r="AE431" s="1"/>
      <c r="AF431" s="1"/>
      <c r="AG431" s="1"/>
    </row>
    <row r="432" ht="15" customHeight="1">
      <c r="A432" s="1" t="inlineStr">
        <is>
          <t>Lyamin, O. I., Manger, P. R., Ridgway, S. H., Mukhametov, L. M., &amp; Siegel, J. M. (2008). Cetacean sleep: an unusual form of mammalian sleep. Neurosci Biobehav Rev, 32(8), 1451-1484. https://doi.org/10.1016/j.neubiorev.2008.05.023</t>
        </is>
      </c>
      <c r="B432" s="13"/>
      <c r="C432" s="13"/>
      <c r="D432" s="1" t="inlineStr">
        <is>
          <t>Table 1</t>
        </is>
      </c>
      <c r="E432" s="10" t="str">
        <f>SUBSTITUTE(SUBSTITUTE(_xlfn.TEXTBEFORE(A432,","), "-", ""), " ", "")</f>
        <v>Lyamin</v>
      </c>
      <c r="F432" s="10"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10" t="str">
        <f>_xlfn.TEXTBEFORE(_xlfn.TEXTAFTER(A432, "("), ")")</f>
        <v>2008</v>
      </c>
      <c r="H432" s="10" t="str">
        <f>E432 &amp; IF(F432&lt;&gt;"", "_" &amp; SUBSTITUTE(F432," ",""), "_") &amp; IF(G432&lt;&gt;"", "_" &amp; G432, "_") &amp; IF(B432&lt;&gt;"", "_" &amp; B432, "")</f>
        <v>Lyamin_etal_2008</v>
      </c>
      <c r="I432" s="10" t="str">
        <f>_xlfn.LET(
_xlpm.doi,IF(C432&lt;&gt;"",C432,_xlfn.TEXTAFTER(A432,"https://doi.org/")),
SUBSTITUTE(
SUBSTITUTE(
SUBSTITUTE(
SUBSTITUTE(
_xlpm.doi,
"/","%2F"),
":","%3A"),
"&lt;","%3C"),
"&gt;","%3E")
)</f>
        <v>10.1016%2Fj.neubiorev.2008.05.023</v>
      </c>
      <c r="J432" s="10" t="str">
        <f>TRIM(_xlfn.TEXTJOIN("_",FALSE(),H432,(SUBSTITUTE(SUBSTITUTE(D432," ",""), "_", ""))))</f>
        <v>Lyamin_etal_2008_Table1</v>
      </c>
      <c r="K432" s="10" t="str">
        <f>I432 &amp; "_" &amp; SUBSTITUTE(SUBSTITUTE(SUBSTITUTE(D432,CHAR(160),"")," ",""),"_","")</f>
        <v>10.1016%2Fj.neubiorev.2008.05.023_Table1</v>
      </c>
      <c r="L432" s="10" t="str">
        <f t="array" ref="L432">IFERROR(INDEX(AUTO_Public_TSV_FileList!$A$1:$A$1000,MATCH(TRUE(),EXACT(K432,IFERROR(_xlfn.TEXTBEFORE(AUTO_Public_TSV_FileList!$A$1:$A$1000,".tsv"),"")),0)),"notfound")</f>
        <v>10.1016%2Fj.neubiorev.2008.05.023_Table1.tsv</v>
      </c>
      <c r="M432" s="13"/>
      <c r="N432" s="13"/>
      <c r="O432" s="13"/>
      <c r="P432" s="1" t="inlineStr">
        <is>
          <t>FINISHED</t>
        </is>
      </c>
      <c r="Q432" s="13"/>
      <c r="R432" s="13"/>
      <c r="S432" s="13"/>
      <c r="T432" s="13"/>
      <c r="U432" s="13"/>
      <c r="V432" s="13"/>
      <c r="W432" s="13"/>
      <c r="X432" s="13"/>
      <c r="Y432" s="13"/>
      <c r="Z432" s="13"/>
      <c r="AA432" s="13"/>
      <c r="AB432" s="13"/>
      <c r="AC432" s="13"/>
      <c r="AD432" s="13"/>
      <c r="AE432" s="13"/>
      <c r="AF432" s="13"/>
      <c r="AG432" s="13"/>
    </row>
    <row r="433" ht="15" customHeight="1">
      <c r="A433" s="1" t="inlineStr">
        <is>
          <t>Lyamin, O. I., Manger, P. R., Ridgway, S. H., Mukhametov, L. M., &amp; Siegel, J. M. (2008). Cetacean sleep: an unusual form of mammalian sleep. Neurosci Biobehav Rev, 32(8), 1451-1484. https://doi.org/10.1016/j.neubiorev.2008.05.023</t>
        </is>
      </c>
      <c r="B433" s="13"/>
      <c r="C433" s="13"/>
      <c r="D433" s="1" t="inlineStr">
        <is>
          <t>Table 2</t>
        </is>
      </c>
      <c r="E433" s="10" t="str">
        <f>SUBSTITUTE(SUBSTITUTE(_xlfn.TEXTBEFORE(A433,","), "-", ""), " ", "")</f>
        <v>Lyamin</v>
      </c>
      <c r="F433" s="10"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10" t="str">
        <f>_xlfn.TEXTBEFORE(_xlfn.TEXTAFTER(A433, "("), ")")</f>
        <v>2008</v>
      </c>
      <c r="H433" s="10" t="str">
        <f>E433 &amp; IF(F433&lt;&gt;"", "_" &amp; SUBSTITUTE(F433," ",""), "_") &amp; IF(G433&lt;&gt;"", "_" &amp; G433, "_") &amp; IF(B433&lt;&gt;"", "_" &amp; B433, "")</f>
        <v>Lyamin_etal_2008</v>
      </c>
      <c r="I433" s="10" t="str">
        <f>_xlfn.LET(
_xlpm.doi,IF(C433&lt;&gt;"",C433,_xlfn.TEXTAFTER(A433,"https://doi.org/")),
SUBSTITUTE(
SUBSTITUTE(
SUBSTITUTE(
SUBSTITUTE(
_xlpm.doi,
"/","%2F"),
":","%3A"),
"&lt;","%3C"),
"&gt;","%3E")
)</f>
        <v>10.1016%2Fj.neubiorev.2008.05.023</v>
      </c>
      <c r="J433" s="10" t="str">
        <f>TRIM(_xlfn.TEXTJOIN("_",FALSE(),H433,(SUBSTITUTE(SUBSTITUTE(D433," ",""), "_", ""))))</f>
        <v>Lyamin_etal_2008_Table2</v>
      </c>
      <c r="K433" s="10" t="str">
        <f>I433 &amp; "_" &amp; SUBSTITUTE(SUBSTITUTE(SUBSTITUTE(D433,CHAR(160),"")," ",""),"_","")</f>
        <v>10.1016%2Fj.neubiorev.2008.05.023_Table2</v>
      </c>
      <c r="L433" s="10" t="str">
        <f t="array" ref="L433">IFERROR(INDEX(AUTO_Public_TSV_FileList!$A$1:$A$1000,MATCH(TRUE(),EXACT(K433,IFERROR(_xlfn.TEXTBEFORE(AUTO_Public_TSV_FileList!$A$1:$A$1000,".tsv"),"")),0)),"notfound")</f>
        <v>10.1016%2Fj.neubiorev.2008.05.023_Table2.tsv</v>
      </c>
      <c r="M433" s="13"/>
      <c r="N433" s="13"/>
      <c r="O433" s="13" t="inlineStr">
        <is>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is>
      </c>
      <c r="P433" s="1" t="inlineStr">
        <is>
          <t>FINISHED</t>
        </is>
      </c>
      <c r="Q433" s="13"/>
      <c r="R433" s="13"/>
      <c r="S433" s="13"/>
      <c r="T433" s="13"/>
      <c r="U433" s="13"/>
      <c r="V433" s="13"/>
      <c r="W433" s="13"/>
      <c r="X433" s="13"/>
      <c r="Y433" s="13"/>
      <c r="Z433" s="13"/>
      <c r="AA433" s="13"/>
      <c r="AB433" s="13"/>
      <c r="AC433" s="13"/>
      <c r="AD433" s="13"/>
      <c r="AE433" s="13"/>
      <c r="AF433" s="13"/>
      <c r="AG433" s="13"/>
    </row>
    <row r="434" ht="15" customHeight="1">
      <c r="A434" s="13" t="inlineStr">
        <is>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is>
      </c>
      <c r="B434" s="13"/>
      <c r="C434" s="13"/>
      <c r="D434" s="13" t="inlineStr">
        <is>
          <t>ERABIS (cortical)</t>
        </is>
      </c>
      <c r="E434" s="11" t="str">
        <f>SUBSTITUTE(SUBSTITUTE(_xlfn.TEXTBEFORE(A434,","), "-", ""), " ", "")</f>
        <v>Mackes</v>
      </c>
      <c r="F434" s="11"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1" t="str">
        <f>_xlfn.TEXTBEFORE(_xlfn.TEXTAFTER(A434, "("), ")")</f>
        <v>2020</v>
      </c>
      <c r="H434" s="11" t="str">
        <f>E434 &amp; IF(F434&lt;&gt;"", "_" &amp; SUBSTITUTE(F434," ",""), "_") &amp; IF(G434&lt;&gt;"", "_" &amp; G434, "_") &amp; IF(B434&lt;&gt;"", "_" &amp; B434, "")</f>
        <v>Mackes_etal_2020</v>
      </c>
      <c r="I434" s="11" t="str">
        <f>_xlfn.LET(
_xlpm.doi,IF(C434&lt;&gt;"",C434,_xlfn.TEXTAFTER(A434,"https://doi.org/")),
SUBSTITUTE(
SUBSTITUTE(
SUBSTITUTE(
SUBSTITUTE(
_xlpm.doi,
"/","%2F"),
":","%3A"),
"&lt;","%3C"),
"&gt;","%3E")
)</f>
        <v>10.1073%2Fpnas.1911264116</v>
      </c>
      <c r="J434" s="11" t="str">
        <f>TRIM(_xlfn.TEXTJOIN("_",FALSE(),H434,(SUBSTITUTE(SUBSTITUTE(D434," ",""), "_", ""))))</f>
        <v>Mackes_etal_2020_ERABIS(cortical)</v>
      </c>
      <c r="K434" s="11" t="str">
        <f>I434 &amp; "_" &amp; SUBSTITUTE(SUBSTITUTE(SUBSTITUTE(D434,CHAR(160),""), " ", ""), "_", "")</f>
        <v>10.1073%2Fpnas.1911264116_ERABIS(cortical)</v>
      </c>
      <c r="L434" s="10" t="str">
        <f t="array" ref="L434">IFERROR(INDEX(AUTO_Public_TSV_FileList!$A$1:$A$1000,MATCH(TRUE(),EXACT(K434,IFERROR(_xlfn.TEXTBEFORE(AUTO_Public_TSV_FileList!$A$1:$A$1000,".tsv"),"")),0)),"notfound")</f>
        <v>10.1073%2Fpnas.1911264116_ERABIS(cortical).tsv</v>
      </c>
      <c r="M434" s="13" t="inlineStr">
        <is>
          <t>ERA adoptee cortical volumes (Desikan-Killiany; UK n=21, Romanian n=67); group summaries</t>
        </is>
      </c>
      <c r="N434" s="13" t="inlineStr">
        <is>
          <t>author-provided (personal communication)</t>
        </is>
      </c>
      <c r="O434" s="13"/>
      <c r="P434" s="13" t="inlineStr">
        <is>
          <t>FINISHED</t>
        </is>
      </c>
      <c r="Q434" s="13" t="inlineStr">
        <is>
          <t>(restricted raw ERABIS xlsx - ____Unpublished__Mackes_etal_2020)</t>
        </is>
      </c>
      <c r="R434" s="13"/>
      <c r="S434" s="13"/>
      <c r="T434" s="13"/>
      <c r="U434" s="13"/>
      <c r="V434" s="13"/>
      <c r="W434" s="13" t="inlineStr">
        <is>
          <t>Humans</t>
        </is>
      </c>
      <c r="X434" s="13"/>
      <c r="Y434" s="13"/>
      <c r="Z434" s="13" t="inlineStr">
        <is>
          <t>cortical regional volumes</t>
        </is>
      </c>
      <c r="AA434" s="13" t="inlineStr">
        <is>
          <t>MRI volumetry (FreeSurfer 6.0)</t>
        </is>
      </c>
      <c r="AB434" s="13" t="inlineStr">
        <is>
          <t>volume</t>
        </is>
      </c>
      <c r="AC434" s="13" t="inlineStr">
        <is>
          <t>ERA/Sonuga-Barke</t>
        </is>
      </c>
      <c r="AD434" s="13"/>
      <c r="AE434" s="13" t="inlineStr">
        <is>
          <t>primary</t>
        </is>
      </c>
      <c r="AF434" s="13"/>
      <c r="AG434" s="13"/>
    </row>
    <row r="435" ht="15" customHeight="1">
      <c r="A435" s="13" t="inlineStr">
        <is>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is>
      </c>
      <c r="B435" s="13"/>
      <c r="C435" s="13"/>
      <c r="D435" s="13" t="inlineStr">
        <is>
          <t>subcortical</t>
        </is>
      </c>
      <c r="E435" s="11" t="str">
        <f>SUBSTITUTE(SUBSTITUTE(_xlfn.TEXTBEFORE(A435,","), "-", ""), " ", "")</f>
        <v>Mackes</v>
      </c>
      <c r="F435" s="11"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1" t="str">
        <f>_xlfn.TEXTBEFORE(_xlfn.TEXTAFTER(A435, "("), ")")</f>
        <v>2020</v>
      </c>
      <c r="H435" s="11" t="str">
        <f>E435 &amp; IF(F435&lt;&gt;"", "_" &amp; SUBSTITUTE(F435," ",""), "_") &amp; IF(G435&lt;&gt;"", "_" &amp; G435, "_") &amp; IF(B435&lt;&gt;"", "_" &amp; B435, "")</f>
        <v>Mackes_etal_2020</v>
      </c>
      <c r="I435" s="11" t="str">
        <f>_xlfn.LET(
_xlpm.doi,IF(C435&lt;&gt;"",C435,_xlfn.TEXTAFTER(A435,"https://doi.org/")),
SUBSTITUTE(
SUBSTITUTE(
SUBSTITUTE(
SUBSTITUTE(
_xlpm.doi,
"/","%2F"),
":","%3A"),
"&lt;","%3C"),
"&gt;","%3E")
)</f>
        <v>10.1073%2Fpnas.1911264116</v>
      </c>
      <c r="J435" s="11" t="str">
        <f>TRIM(_xlfn.TEXTJOIN("_",FALSE(),H435,(SUBSTITUTE(SUBSTITUTE(D435," ",""), "_", ""))))</f>
        <v>Mackes_etal_2020_subcortical</v>
      </c>
      <c r="K435" s="11" t="str">
        <f>I435 &amp; "_" &amp; SUBSTITUTE(SUBSTITUTE(SUBSTITUTE(D435,CHAR(160),""), " ", ""), "_", "")</f>
        <v>10.1073%2Fpnas.1911264116_subcortical</v>
      </c>
      <c r="L435" s="10" t="str">
        <f t="array" ref="L435">IFERROR(INDEX(AUTO_Public_TSV_FileList!$A$1:$A$1000,MATCH(TRUE(),EXACT(K435,IFERROR(_xlfn.TEXTBEFORE(AUTO_Public_TSV_FileList!$A$1:$A$1000,".tsv"),"")),0)),"notfound")</f>
        <v>10.1073%2Fpnas.1911264116_subcortical.tsv</v>
      </c>
      <c r="M435" s="13" t="inlineStr">
        <is>
          <t>ERA adoptee subcortical volumes (7 nuclei; UK n=21, Romanian n=67); group summaries</t>
        </is>
      </c>
      <c r="N435" s="13" t="inlineStr">
        <is>
          <t>author-provided (personal communication)</t>
        </is>
      </c>
      <c r="O435" s="13"/>
      <c r="P435" s="13" t="inlineStr">
        <is>
          <t>FINISHED</t>
        </is>
      </c>
      <c r="Q435" s="13" t="inlineStr">
        <is>
          <t>Mackes_etal_2020_subcortical_snapshot.csv (restricted)</t>
        </is>
      </c>
      <c r="R435" s="13"/>
      <c r="S435" s="13"/>
      <c r="T435" s="13"/>
      <c r="U435" s="13"/>
      <c r="V435" s="13"/>
      <c r="W435" s="13" t="inlineStr">
        <is>
          <t>Humans</t>
        </is>
      </c>
      <c r="X435" s="13"/>
      <c r="Y435" s="13"/>
      <c r="Z435" s="13" t="inlineStr">
        <is>
          <t>subcortical regional volumes</t>
        </is>
      </c>
      <c r="AA435" s="13" t="inlineStr">
        <is>
          <t>MRI volumetry (FreeSurfer)</t>
        </is>
      </c>
      <c r="AB435" s="13" t="inlineStr">
        <is>
          <t>volume</t>
        </is>
      </c>
      <c r="AC435" s="13" t="inlineStr">
        <is>
          <t>ERA/Sonuga-Barke</t>
        </is>
      </c>
      <c r="AD435" s="13"/>
      <c r="AE435" s="13" t="inlineStr">
        <is>
          <t>primary</t>
        </is>
      </c>
      <c r="AF435" s="13"/>
      <c r="AG435" s="13"/>
    </row>
    <row r="436" ht="15" customHeight="1">
      <c r="A436" s="1" t="inlineStr">
        <is>
          <t>MacLarnon, A. (1996). The scaling of gross dimensions of the spinal cord in primates and other species. J Hum Evol, 30(1), 71-87. https://doi.org/10.1006/jhev.1996.0005</t>
        </is>
      </c>
      <c r="B436" s="13"/>
      <c r="C436" s="13"/>
      <c r="D436" s="1" t="inlineStr">
        <is>
          <t>Table 1</t>
        </is>
      </c>
      <c r="E436" s="10" t="str">
        <f>SUBSTITUTE(SUBSTITUTE(_xlfn.TEXTBEFORE(A436,","), "-", ""), " ", "")</f>
        <v>MacLarnon</v>
      </c>
      <c r="F436" s="10"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6" s="10" t="str">
        <f>_xlfn.TEXTBEFORE(_xlfn.TEXTAFTER(A436, "("), ")")</f>
        <v>1996</v>
      </c>
      <c r="H436" s="10" t="str">
        <f>E436 &amp; IF(F436&lt;&gt;"", "_" &amp; SUBSTITUTE(F436," ",""), "_") &amp; IF(G436&lt;&gt;"", "_" &amp; G436, "_") &amp; IF(B436&lt;&gt;"", "_" &amp; B436, "")</f>
        <v>MacLarnon__1996</v>
      </c>
      <c r="I436" s="10" t="str">
        <f>_xlfn.LET(
_xlpm.doi,IF(C436&lt;&gt;"",C436,_xlfn.TEXTAFTER(A436,"https://doi.org/")),
SUBSTITUTE(
SUBSTITUTE(
SUBSTITUTE(
SUBSTITUTE(
_xlpm.doi,
"/","%2F"),
":","%3A"),
"&lt;","%3C"),
"&gt;","%3E")
)</f>
        <v>10.1006%2Fjhev.1996.0005</v>
      </c>
      <c r="J436" s="10" t="str">
        <f>TRIM(_xlfn.TEXTJOIN("_",FALSE(),H436,(SUBSTITUTE(SUBSTITUTE(D436," ",""), "_", ""))))</f>
        <v>MacLarnon__1996_Table1</v>
      </c>
      <c r="K436" s="10" t="str">
        <f>I436 &amp; "_" &amp; SUBSTITUTE(SUBSTITUTE(SUBSTITUTE(D436,CHAR(160),"")," ",""),"_","")</f>
        <v>10.1006%2Fjhev.1996.0005_Table1</v>
      </c>
      <c r="L436" s="10" t="str">
        <f t="array" ref="L436">IFERROR(INDEX(AUTO_Public_TSV_FileList!$A$1:$A$1000,MATCH(TRUE(),EXACT(K436,IFERROR(_xlfn.TEXTBEFORE(AUTO_Public_TSV_FileList!$A$1:$A$1000,".tsv"),"")),0)),"notfound")</f>
        <v>10.1006%2Fjhev.1996.0005_Table1.tsv</v>
      </c>
      <c r="M436" s="1" t="inlineStr">
        <is>
          <t>Table 1 Data</t>
        </is>
      </c>
      <c r="N436" s="13"/>
      <c r="O436" s="13"/>
      <c r="P436" s="1" t="inlineStr">
        <is>
          <t>FINISHED</t>
        </is>
      </c>
      <c r="Q436" s="13"/>
      <c r="R436" s="13"/>
      <c r="S436" s="13"/>
      <c r="T436" s="13"/>
      <c r="U436" s="13"/>
      <c r="V436" s="13"/>
      <c r="W436" s="1" t="inlineStr">
        <is>
          <t>Primates</t>
        </is>
      </c>
      <c r="X436" s="1" t="inlineStr">
        <is>
          <t>spinal cord dimensions</t>
        </is>
      </c>
      <c r="Y436" s="13"/>
      <c r="Z436" s="13"/>
      <c r="AA436" s="13"/>
      <c r="AB436" s="1" t="inlineStr">
        <is>
          <t>spinal cord morphometry (volume)</t>
        </is>
      </c>
      <c r="AC436" s="13"/>
      <c r="AD436" s="13"/>
      <c r="AE436" s="1" t="inlineStr">
        <is>
          <t>primary</t>
        </is>
      </c>
      <c r="AF436" s="1"/>
      <c r="AG436" s="13"/>
    </row>
    <row r="437" ht="15" customHeight="1">
      <c r="A437" s="1" t="inlineStr">
        <is>
          <t>MacLeod, C. E. (2000). The cerebellum and its part in the evolution of the hominoid brain (Publication No. NQ61662) [Doctoral dissertation, Simon Fraser University]. Library and Archives Canada.</t>
        </is>
      </c>
      <c r="B437" s="13"/>
      <c r="C437" s="1" t="inlineStr">
        <is>
          <t>NQ:61662</t>
        </is>
      </c>
      <c r="D437" s="1" t="inlineStr">
        <is>
          <t>APPENDIX I</t>
        </is>
      </c>
      <c r="E437" s="10" t="str">
        <f>SUBSTITUTE(SUBSTITUTE(_xlfn.TEXTBEFORE(A437,","), "-", ""), " ", "")</f>
        <v>MacLeod</v>
      </c>
      <c r="F437" s="10"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7" s="10" t="str">
        <f>_xlfn.TEXTBEFORE(_xlfn.TEXTAFTER(A437, "("), ")")</f>
        <v>2000</v>
      </c>
      <c r="H437" s="10" t="str">
        <f>E437 &amp; IF(F437&lt;&gt;"", "_" &amp; SUBSTITUTE(F437," ",""), "_") &amp; IF(G437&lt;&gt;"", "_" &amp; G437, "_") &amp; IF(B437&lt;&gt;"", "_" &amp; B437, "")</f>
        <v>MacLeod__2000</v>
      </c>
      <c r="I437" s="10" t="str">
        <f>_xlfn.LET(
_xlpm.doi,IF(C437&lt;&gt;"",C437,_xlfn.TEXTAFTER(A437,"https://doi.org/")),
SUBSTITUTE(
SUBSTITUTE(
SUBSTITUTE(
SUBSTITUTE(
_xlpm.doi,
"/","%2F"),
":","%3A"),
"&lt;","%3C"),
"&gt;","%3E")
)</f>
        <v>NQ%3A61662</v>
      </c>
      <c r="J437" s="10" t="str">
        <f>TRIM(_xlfn.TEXTJOIN("_",FALSE(),H437,(SUBSTITUTE(SUBSTITUTE(D437," ",""), "_", ""))))</f>
        <v>MacLeod__2000_APPENDIXI</v>
      </c>
      <c r="K437" s="10" t="str">
        <f>I437 &amp; "_" &amp; SUBSTITUTE(SUBSTITUTE(SUBSTITUTE(D437,CHAR(160),"")," ",""),"_","")</f>
        <v>NQ%3A61662_APPENDIXI</v>
      </c>
      <c r="L437" s="10" t="str">
        <f t="array" ref="L437">IFERROR(INDEX(AUTO_Public_TSV_FileList!$A$1:$A$1000,MATCH(TRUE(),EXACT(K437,IFERROR(_xlfn.TEXTBEFORE(AUTO_Public_TSV_FileList!$A$1:$A$1000,".tsv"),"")),0)),"notfound")</f>
        <v>NQ%3A61662_APPENDIXI.tsv</v>
      </c>
      <c r="M437" s="1" t="inlineStr">
        <is>
          <t>APPENDIX I: DUESSELDORF RECORDS OF PRIMATES USED IN HIRNFORSCHUNG VOLUMETRIC STUDY</t>
        </is>
      </c>
      <c r="N437" s="13"/>
      <c r="O437" s="13"/>
      <c r="P437" s="1" t="inlineStr">
        <is>
          <t>FINISHED</t>
        </is>
      </c>
      <c r="Q437" s="13"/>
      <c r="R437" s="13"/>
      <c r="S437" s="13"/>
      <c r="T437" s="13"/>
      <c r="U437" s="13"/>
      <c r="V437" s="13"/>
      <c r="W437" s="13"/>
      <c r="X437" s="13"/>
      <c r="Y437" s="13"/>
      <c r="Z437" s="13"/>
      <c r="AA437" s="13"/>
      <c r="AB437" s="13"/>
      <c r="AC437" s="13"/>
      <c r="AD437" s="13"/>
      <c r="AE437" s="13"/>
      <c r="AF437" s="13"/>
      <c r="AG437" s="13"/>
    </row>
    <row r="438" ht="15" customHeight="1">
      <c r="A438" s="1" t="inlineStr">
        <is>
          <t>MacLeod, C. E., Zilles, K., Schleicher, A., Rilling, J. K., &amp; Gibson, K. R. (2003). Expansion of the neocerebellum in Hominoidea. J Hum Evol, 44(4), 401-429. https://doi.org/10.1016/s0047-2484(03)00028-9</t>
        </is>
      </c>
      <c r="B438" s="13"/>
      <c r="C438" s="13"/>
      <c r="D438" s="1" t="inlineStr">
        <is>
          <t>Table 1</t>
        </is>
      </c>
      <c r="E438" s="10" t="str">
        <f>SUBSTITUTE(SUBSTITUTE(_xlfn.TEXTBEFORE(A438,","), "-", ""), " ", "")</f>
        <v>MacLeod</v>
      </c>
      <c r="F438" s="10"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10" t="str">
        <f>_xlfn.TEXTBEFORE(_xlfn.TEXTAFTER(A438, "("), ")")</f>
        <v>2003</v>
      </c>
      <c r="H438" s="10" t="str">
        <f>E438 &amp; IF(F438&lt;&gt;"", "_" &amp; SUBSTITUTE(F438," ",""), "_") &amp; IF(G438&lt;&gt;"", "_" &amp; G438, "_") &amp; IF(B438&lt;&gt;"", "_" &amp; B438, "")</f>
        <v>MacLeod_etal_2003</v>
      </c>
      <c r="I438" s="10" t="str">
        <f>_xlfn.LET(
_xlpm.doi,IF(C438&lt;&gt;"",C438,_xlfn.TEXTAFTER(A438,"https://doi.org/")),
SUBSTITUTE(
SUBSTITUTE(
SUBSTITUTE(
SUBSTITUTE(
_xlpm.doi,
"/","%2F"),
":","%3A"),
"&lt;","%3C"),
"&gt;","%3E")
)</f>
        <v>10.1016%2Fs0047-2484(03)00028-9</v>
      </c>
      <c r="J438" s="10" t="str">
        <f>TRIM(_xlfn.TEXTJOIN("_",FALSE(),H438,(SUBSTITUTE(SUBSTITUTE(D438," ",""), "_", ""))))</f>
        <v>MacLeod_etal_2003_Table1</v>
      </c>
      <c r="K438" s="10" t="str">
        <f>I438 &amp; "_" &amp; SUBSTITUTE(SUBSTITUTE(SUBSTITUTE(D438,CHAR(160),"")," ",""),"_","")</f>
        <v>10.1016%2Fs0047-2484(03)00028-9_Table1</v>
      </c>
      <c r="L438" s="10" t="str">
        <f t="array" ref="L438">IFERROR(INDEX(AUTO_Public_TSV_FileList!$A$1:$A$1000,MATCH(TRUE(),EXACT(K438,IFERROR(_xlfn.TEXTBEFORE(AUTO_Public_TSV_FileList!$A$1:$A$1000,".tsv"),"")),0)),"notfound")</f>
        <v>10.1016%2Fs0047-2484(03)00028-9_Table1.tsv</v>
      </c>
      <c r="M438" s="1" t="inlineStr">
        <is>
          <t>Table 1 Volumetric data from the Yerkes sample</t>
        </is>
      </c>
      <c r="N438" s="13"/>
      <c r="O438" s="13"/>
      <c r="P438" s="1" t="inlineStr">
        <is>
          <t>FINISHED</t>
        </is>
      </c>
      <c r="Q438" s="13"/>
      <c r="R438" s="13"/>
      <c r="S438" s="13"/>
      <c r="T438" s="13"/>
      <c r="U438" s="13"/>
      <c r="V438" s="13"/>
      <c r="W438" s="1" t="inlineStr">
        <is>
          <t>Primates</t>
        </is>
      </c>
      <c r="X438" s="1" t="inlineStr">
        <is>
          <t>cerebellum / neocerebellum volume</t>
        </is>
      </c>
      <c r="Y438" s="13"/>
      <c r="Z438" s="1" t="inlineStr">
        <is>
          <t>MRI</t>
        </is>
      </c>
      <c r="AA438" s="1" t="inlineStr">
        <is>
          <t>volumetry</t>
        </is>
      </c>
      <c r="AB438" s="1" t="inlineStr">
        <is>
          <t>volume</t>
        </is>
      </c>
      <c r="AC438" s="1" t="inlineStr">
        <is>
          <t>Rilling</t>
        </is>
      </c>
      <c r="AD438" s="1" t="inlineStr">
        <is>
          <t>Rilling-Semendeferi MRIs</t>
        </is>
      </c>
      <c r="AE438" s="1" t="inlineStr">
        <is>
          <t>primary</t>
        </is>
      </c>
      <c r="AF438" s="1"/>
      <c r="AG438" s="13"/>
    </row>
    <row r="439" ht="15" customHeight="1">
      <c r="A439" s="1" t="inlineStr">
        <is>
          <t>MacLeod, C. E., Zilles, K., Schleicher, A., Rilling, J. K., &amp; Gibson, K. R. (2003). Expansion of the neocerebellum in Hominoidea. J Hum Evol, 44(4), 401-429. https://doi.org/10.1016/s0047-2484(03)00028-9</t>
        </is>
      </c>
      <c r="B439" s="13"/>
      <c r="C439" s="13"/>
      <c r="D439" s="1" t="inlineStr">
        <is>
          <t>Table 2</t>
        </is>
      </c>
      <c r="E439" s="10" t="str">
        <f>SUBSTITUTE(SUBSTITUTE(_xlfn.TEXTBEFORE(A439,","), "-", ""), " ", "")</f>
        <v>MacLeod</v>
      </c>
      <c r="F439" s="10"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10" t="str">
        <f>_xlfn.TEXTBEFORE(_xlfn.TEXTAFTER(A439, "("), ")")</f>
        <v>2003</v>
      </c>
      <c r="H439" s="10" t="str">
        <f>E439 &amp; IF(F439&lt;&gt;"", "_" &amp; SUBSTITUTE(F439," ",""), "_") &amp; IF(G439&lt;&gt;"", "_" &amp; G439, "_") &amp; IF(B439&lt;&gt;"", "_" &amp; B439, "")</f>
        <v>MacLeod_etal_2003</v>
      </c>
      <c r="I439" s="10" t="str">
        <f>_xlfn.LET(
_xlpm.doi,IF(C439&lt;&gt;"",C439,_xlfn.TEXTAFTER(A439,"https://doi.org/")),
SUBSTITUTE(
SUBSTITUTE(
SUBSTITUTE(
SUBSTITUTE(
_xlpm.doi,
"/","%2F"),
":","%3A"),
"&lt;","%3C"),
"&gt;","%3E")
)</f>
        <v>10.1016%2Fs0047-2484(03)00028-9</v>
      </c>
      <c r="J439" s="10" t="str">
        <f>TRIM(_xlfn.TEXTJOIN("_",FALSE(),H439,(SUBSTITUTE(SUBSTITUTE(D439," ",""), "_", ""))))</f>
        <v>MacLeod_etal_2003_Table2</v>
      </c>
      <c r="K439" s="10" t="str">
        <f>I439 &amp; "_" &amp; SUBSTITUTE(SUBSTITUTE(SUBSTITUTE(D439,CHAR(160),"")," ",""),"_","")</f>
        <v>10.1016%2Fs0047-2484(03)00028-9_Table2</v>
      </c>
      <c r="L439" s="10" t="str">
        <f t="array" ref="L439">IFERROR(INDEX(AUTO_Public_TSV_FileList!$A$1:$A$1000,MATCH(TRUE(),EXACT(K439,IFERROR(_xlfn.TEXTBEFORE(AUTO_Public_TSV_FileList!$A$1:$A$1000,".tsv"),"")),0)),"notfound")</f>
        <v>10.1016%2Fs0047-2484(03)00028-9_Table2.tsv</v>
      </c>
      <c r="M439" s="1" t="inlineStr">
        <is>
          <t>Table 2 Volumetric data from the Hirnforschung sample</t>
        </is>
      </c>
      <c r="N439" s="13"/>
      <c r="O439" s="13"/>
      <c r="P439" s="1" t="inlineStr">
        <is>
          <t>FINISHED</t>
        </is>
      </c>
      <c r="Q439" s="13"/>
      <c r="R439" s="13"/>
      <c r="S439" s="13"/>
      <c r="T439" s="13"/>
      <c r="U439" s="13"/>
      <c r="V439" s="13"/>
      <c r="W439" s="1" t="inlineStr">
        <is>
          <t>Primates</t>
        </is>
      </c>
      <c r="X439" s="1" t="inlineStr">
        <is>
          <t>cerebellum / neocerebellum volume</t>
        </is>
      </c>
      <c r="Y439" s="13"/>
      <c r="Z439" s="1" t="inlineStr">
        <is>
          <t>histological sections</t>
        </is>
      </c>
      <c r="AA439" s="1" t="inlineStr">
        <is>
          <t>volumetry</t>
        </is>
      </c>
      <c r="AB439" s="1" t="inlineStr">
        <is>
          <t>volume</t>
        </is>
      </c>
      <c r="AC439" s="1" t="inlineStr">
        <is>
          <t>Stephan, Zilles</t>
        </is>
      </c>
      <c r="AD439" s="1" t="inlineStr">
        <is>
          <t>Stephan, Zilles</t>
        </is>
      </c>
      <c r="AE439" s="1" t="inlineStr">
        <is>
          <t>primary</t>
        </is>
      </c>
      <c r="AF439" s="1"/>
      <c r="AG439" s="13"/>
    </row>
    <row r="440" ht="15" customHeight="1">
      <c r="A440" s="9" t="inlineStr">
        <is>
          <t>Manger PR, Prowse M, Haagensen M, Hemingway J (2012). Quantitative analysis of neocortical gyrencephaly in African elephants (Loxodonta africana) and six species of cetaceans: comparison with other mammals. J Comp Neurol 520(11):2430-2439. https://doi.org/10.1002/cne.23046</t>
        </is>
      </c>
      <c r="B440" s="28"/>
      <c r="C440" s="9"/>
      <c r="D440" s="9" t="inlineStr">
        <is>
          <t>Table 1</t>
        </is>
      </c>
      <c r="E440" s="10" t="str">
        <f>SUBSTITUTE(SUBSTITUTE(_xlfn.TEXTBEFORE(A440,","), "-", ""), " ", "")</f>
        <v>MangerPR</v>
      </c>
      <c r="F440" s="10"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0" s="10" t="str">
        <f>_xlfn.TEXTBEFORE(_xlfn.TEXTAFTER(A440, "("), ")")</f>
        <v>2012</v>
      </c>
      <c r="H440" s="10" t="str">
        <f>E440 &amp; IF(F440&lt;&gt;"", "_" &amp; SUBSTITUTE(F440," ",""), "_") &amp; IF(G440&lt;&gt;"", "_" &amp; G440, "_") &amp; IF(B440&lt;&gt;"", "_" &amp; B440, "")</f>
        <v>MangerPR__2012</v>
      </c>
      <c r="I440" s="10" t="str">
        <f>_xlfn.LET(
_xlpm.doi,IF(C440&lt;&gt;"",C440,_xlfn.TEXTAFTER(A440,"https://doi.org/")),
SUBSTITUTE(
SUBSTITUTE(
SUBSTITUTE(
SUBSTITUTE(
_xlpm.doi,
"/","%2F"),
":","%3A"),
"&lt;","%3C"),
"&gt;","%3E")
)</f>
        <v>10.1002%2Fcne.23046</v>
      </c>
      <c r="J440" s="10" t="str">
        <f>TRIM(_xlfn.TEXTJOIN("_",FALSE(),H440,(SUBSTITUTE(SUBSTITUTE(D440," ",""), "_", ""))))</f>
        <v>MangerPR__2012_Table1</v>
      </c>
      <c r="K440" s="10" t="str">
        <f>I440 &amp; "_" &amp; SUBSTITUTE(SUBSTITUTE(SUBSTITUTE(D440,CHAR(160),"")," ",""),"_","")</f>
        <v>10.1002%2Fcne.23046_Table1</v>
      </c>
      <c r="L440" s="10" t="str">
        <f t="array" ref="L440">IFERROR(INDEX(AUTO_Public_TSV_FileList!$A$1:$A$1000,MATCH(TRUE(),EXACT(K440,IFERROR(_xlfn.TEXTBEFORE(AUTO_Public_TSV_FileList!$A$1:$A$1000,".tsv"),"")),0)),"notfound")</f>
        <v>notfound</v>
      </c>
      <c r="M440" s="9" t="inlineStr">
        <is>
          <t>List of the Species, Brain Mass, and Gyrification Indices Analyzed in the Current Study</t>
        </is>
      </c>
      <c r="N440" s="9" t="inlineStr">
        <is>
          <t>PDF (printed table)</t>
        </is>
      </c>
      <c r="O440" s="9" t="inlineStr">
        <is>
          <t>30 animal rows (3 elephant individuals); primate row is a range summary (not built). GI for artiodactyls/5 carnivores copied from Pillay &amp; Manger 2007. Cited by Lewitus 2014 ref 73.</t>
        </is>
      </c>
      <c r="P440" s="9" t="inlineStr">
        <is>
          <t>PREPARED (CSV built; owner registry paste / public TSV pending; RA side-by-side check pending)</t>
        </is>
      </c>
      <c r="Q440" s="9" t="inlineStr">
        <is>
          <t>Manger_etal_2012_Table1_snapshot.csv</t>
        </is>
      </c>
      <c r="R440" s="9" t="inlineStr">
        <is>
          <t>https://doi.org/10.1002/cne.23046</t>
        </is>
      </c>
      <c r="S440" s="9"/>
      <c r="T440" s="9"/>
      <c r="U440" s="9"/>
      <c r="V440" s="9"/>
      <c r="W440" s="9" t="inlineStr">
        <is>
          <t>Mammals (elephant, cetaceans, artiodactyls, carnivores)</t>
        </is>
      </c>
      <c r="X440" s="9" t="inlineStr">
        <is>
          <t>Gyrification index</t>
        </is>
      </c>
      <c r="Y440" s="9" t="inlineStr">
        <is>
          <t>Brain mass</t>
        </is>
      </c>
      <c r="Z440" s="9" t="inlineStr">
        <is>
          <t>Brain (MRI / sections)</t>
        </is>
      </c>
      <c r="AA440" s="9" t="inlineStr">
        <is>
          <t>Contour ratio on MRI sections (Zilles et al. 1989)</t>
        </is>
      </c>
      <c r="AB440" s="9" t="inlineStr">
        <is>
          <t>Individual (elephant) / species</t>
        </is>
      </c>
      <c r="AC440" s="9"/>
      <c r="AD440" s="9"/>
      <c r="AE440" s="9" t="inlineStr">
        <is>
          <t>both</t>
        </is>
      </c>
      <c r="AF440" s="9" t="inlineStr">
        <is>
          <t>Pillay &amp; Manger 2007 (artiodactyls, 5 carnivores); Zilles et al. 1989 (primates)</t>
        </is>
      </c>
      <c r="AG440" s="9"/>
    </row>
    <row r="441" ht="15" customHeight="1">
      <c r="A441" s="1" t="inlineStr">
        <is>
          <t>Manger, P. R. (2006). An examination of cetacean brain structure with a novel hypothesis correlating thermogenesis to the evolution of a big brain. Biol Rev Camb Philos Soc, 81(2), 293-338. https://doi.org/10.1017/S1464793106007019</t>
        </is>
      </c>
      <c r="B441" s="13"/>
      <c r="C441" s="13"/>
      <c r="D441" s="1" t="inlineStr">
        <is>
          <t>Table 1</t>
        </is>
      </c>
      <c r="E441" s="10" t="str">
        <f>SUBSTITUTE(SUBSTITUTE(_xlfn.TEXTBEFORE(A441,","), "-", ""), " ", "")</f>
        <v>Manger</v>
      </c>
      <c r="F441" s="10"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1" s="10" t="str">
        <f>_xlfn.TEXTBEFORE(_xlfn.TEXTAFTER(A441, "("), ")")</f>
        <v>2006</v>
      </c>
      <c r="H441" s="10" t="str">
        <f>E441 &amp; IF(F441&lt;&gt;"", "_" &amp; SUBSTITUTE(F441," ",""), "_") &amp; IF(G441&lt;&gt;"", "_" &amp; G441, "_") &amp; IF(B441&lt;&gt;"", "_" &amp; B441, "")</f>
        <v>Manger__2006</v>
      </c>
      <c r="I441" s="10" t="str">
        <f>_xlfn.LET(
_xlpm.doi,IF(C441&lt;&gt;"",C441,_xlfn.TEXTAFTER(A441,"https://doi.org/")),
SUBSTITUTE(
SUBSTITUTE(
SUBSTITUTE(
SUBSTITUTE(
_xlpm.doi,
"/","%2F"),
":","%3A"),
"&lt;","%3C"),
"&gt;","%3E")
)</f>
        <v>10.1017%2FS1464793106007019</v>
      </c>
      <c r="J441" s="10" t="str">
        <f>TRIM(_xlfn.TEXTJOIN("_",FALSE(),H441,(SUBSTITUTE(SUBSTITUTE(D441," ",""), "_", ""))))</f>
        <v>Manger__2006_Table1</v>
      </c>
      <c r="K441" s="10" t="str">
        <f>I441 &amp; "_" &amp; SUBSTITUTE(SUBSTITUTE(SUBSTITUTE(D441,CHAR(160),"")," ",""),"_","")</f>
        <v>10.1017%2FS1464793106007019_Table1</v>
      </c>
      <c r="L441" s="10" t="str">
        <f t="array" ref="L441">IFERROR(INDEX(AUTO_Public_TSV_FileList!$A$1:$A$1000,MATCH(TRUE(),EXACT(K441,IFERROR(_xlfn.TEXTBEFORE(AUTO_Public_TSV_FileList!$A$1:$A$1000,".tsv"),"")),0)),"notfound")</f>
        <v>10.1017%2FS1464793106007019_Table1.tsv</v>
      </c>
      <c r="M441" s="13"/>
      <c r="N441" s="13"/>
      <c r="O441" s="13"/>
      <c r="P441" s="1" t="inlineStr">
        <is>
          <t>FINISHED</t>
        </is>
      </c>
      <c r="Q441" s="13"/>
      <c r="R441" s="13"/>
      <c r="S441" s="13"/>
      <c r="T441" s="13"/>
      <c r="U441" s="13"/>
      <c r="V441" s="13"/>
      <c r="W441" s="13"/>
      <c r="X441" s="13"/>
      <c r="Y441" s="13"/>
      <c r="Z441" s="13"/>
      <c r="AA441" s="13"/>
      <c r="AB441" s="13"/>
      <c r="AC441" s="13"/>
      <c r="AD441" s="13"/>
      <c r="AE441" s="13"/>
      <c r="AF441" s="13"/>
      <c r="AG441" s="13"/>
    </row>
    <row r="442" ht="15" customHeight="1">
      <c r="A442" s="1" t="inlineStr">
        <is>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is>
      </c>
      <c r="B442" s="13"/>
      <c r="C442" s="13"/>
      <c r="D442" s="1" t="inlineStr">
        <is>
          <t>speciespredictors</t>
        </is>
      </c>
      <c r="E442" s="10" t="str">
        <f>SUBSTITUTE(SUBSTITUTE(_xlfn.TEXTBEFORE(A442,","), "-", ""), " ", "")</f>
        <v>ManyPrimates</v>
      </c>
      <c r="F442" s="10"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10" t="str">
        <f>_xlfn.TEXTBEFORE(_xlfn.TEXTAFTER(A442, "("), ")")</f>
        <v>2022</v>
      </c>
      <c r="H442" s="10" t="str">
        <f>E442 &amp; IF(F442&lt;&gt;"", "_" &amp; SUBSTITUTE(F442," ",""), "_") &amp; IF(G442&lt;&gt;"", "_" &amp; G442, "_") &amp; IF(B442&lt;&gt;"", "_" &amp; B442, "")</f>
        <v>ManyPrimates_etal_2022</v>
      </c>
      <c r="I442" s="10" t="str">
        <f>_xlfn.LET(
_xlpm.doi,IF(C442&lt;&gt;"",C442,_xlfn.TEXTAFTER(A442,"https://doi.org/")),
SUBSTITUTE(
SUBSTITUTE(
SUBSTITUTE(
SUBSTITUTE(
_xlpm.doi,
"/","%2F"),
":","%3A"),
"&lt;","%3C"),
"&gt;","%3E")
)</f>
        <v>10.26451%2Fabc.09.04.06.2022</v>
      </c>
      <c r="J442" s="10" t="str">
        <f>TRIM(_xlfn.TEXTJOIN("_",FALSE(),H442,(SUBSTITUTE(SUBSTITUTE(D442," ",""), "_", ""))))</f>
        <v>ManyPrimates_etal_2022_speciespredictors</v>
      </c>
      <c r="K442" s="10" t="str">
        <f>I442 &amp; "_" &amp; SUBSTITUTE(SUBSTITUTE(SUBSTITUTE(D442,CHAR(160),"")," ",""),"_","")</f>
        <v>10.26451%2Fabc.09.04.06.2022_speciespredictors</v>
      </c>
      <c r="L442" s="10" t="str">
        <f t="array" ref="L442">IFERROR(INDEX(AUTO_Public_TSV_FileList!$A$1:$A$1000,MATCH(TRUE(),EXACT(K442,IFERROR(_xlfn.TEXTBEFORE(AUTO_Public_TSV_FileList!$A$1:$A$1000,".tsv"),"")),0)),"notfound")</f>
        <v>10.26451%2Fabc.09.04.06.2022_speciespredictors.tsv</v>
      </c>
      <c r="M442" s="13"/>
      <c r="N442" s="1" t="inlineStr">
        <is>
          <t>table</t>
        </is>
      </c>
      <c r="O442" s="13"/>
      <c r="P442" s="1" t="inlineStr">
        <is>
          <t>FINISHED</t>
        </is>
      </c>
      <c r="Q442" s="13"/>
      <c r="R442" s="1" t="inlineStr">
        <is>
          <t>https://github.com/ManyPrimates/mp1_short_term_memory/raw/master/data/species_predictors.xlsx</t>
        </is>
      </c>
      <c r="S442" s="13"/>
      <c r="T442" s="13"/>
      <c r="U442" s="13"/>
      <c r="V442" s="1"/>
      <c r="W442" s="1" t="inlineStr">
        <is>
          <t>Primates</t>
        </is>
      </c>
      <c r="X442" s="1" t="inlineStr">
        <is>
          <t>number of vocalizations</t>
        </is>
      </c>
      <c r="Y442" s="1" t="inlineStr">
        <is>
          <t>various secondary and primary data, e.g., ecology</t>
        </is>
      </c>
      <c r="Z442" s="13"/>
      <c r="AA442" s="13"/>
      <c r="AB442" s="1" t="inlineStr">
        <is>
          <t>behavioural (cognition / vocalization)</t>
        </is>
      </c>
      <c r="AC442" s="13"/>
      <c r="AD442" s="13"/>
      <c r="AE442" s="1" t="inlineStr">
        <is>
          <t>both</t>
        </is>
      </c>
      <c r="AF442" s="1"/>
      <c r="AG442" s="13"/>
    </row>
    <row r="443" ht="15" customHeight="1">
      <c r="A443" s="1" t="inlineStr">
        <is>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is>
      </c>
      <c r="B443" s="13"/>
      <c r="C443" s="13"/>
      <c r="D443" s="1" t="inlineStr">
        <is>
          <t>STM performance</t>
        </is>
      </c>
      <c r="E443" s="10" t="str">
        <f>SUBSTITUTE(SUBSTITUTE(_xlfn.TEXTBEFORE(A443,","), "-", ""), " ", "")</f>
        <v>ManyPrimates</v>
      </c>
      <c r="F443" s="10"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10" t="str">
        <f>_xlfn.TEXTBEFORE(_xlfn.TEXTAFTER(A443, "("), ")")</f>
        <v>2022</v>
      </c>
      <c r="H443" s="10" t="str">
        <f>E443 &amp; IF(F443&lt;&gt;"", "_" &amp; SUBSTITUTE(F443," ",""), "_") &amp; IF(G443&lt;&gt;"", "_" &amp; G443, "_") &amp; IF(B443&lt;&gt;"", "_" &amp; B443, "")</f>
        <v>ManyPrimates_etal_2022</v>
      </c>
      <c r="I443" s="10" t="str">
        <f>_xlfn.LET(
_xlpm.doi,IF(C443&lt;&gt;"",C443,_xlfn.TEXTAFTER(A443,"https://doi.org/")),
SUBSTITUTE(
SUBSTITUTE(
SUBSTITUTE(
SUBSTITUTE(
_xlpm.doi,
"/","%2F"),
":","%3A"),
"&lt;","%3C"),
"&gt;","%3E")
)</f>
        <v>10.26451%2Fabc.09.04.06.2022</v>
      </c>
      <c r="J443" s="10" t="str">
        <f>TRIM(_xlfn.TEXTJOIN("_",FALSE(),H443,(SUBSTITUTE(SUBSTITUTE(D443," ",""), "_", ""))))</f>
        <v>ManyPrimates_etal_2022_STMperformance</v>
      </c>
      <c r="K443" s="10" t="str">
        <f>I443 &amp; "_" &amp; SUBSTITUTE(SUBSTITUTE(SUBSTITUTE(D443,CHAR(160),"")," ",""),"_","")</f>
        <v>10.26451%2Fabc.09.04.06.2022_STMperformance</v>
      </c>
      <c r="L443" s="10" t="str">
        <f t="array" ref="L443">IFERROR(INDEX(AUTO_Public_TSV_FileList!$A$1:$A$1000,MATCH(TRUE(),EXACT(K443,IFERROR(_xlfn.TEXTBEFORE(AUTO_Public_TSV_FileList!$A$1:$A$1000,".tsv"),"")),0)),"notfound")</f>
        <v>10.26451%2Fabc.09.04.06.2022_STMperformance.tsv</v>
      </c>
      <c r="M443" s="13"/>
      <c r="N443" s="1"/>
      <c r="O443" s="13"/>
      <c r="P443" s="1"/>
      <c r="Q443" s="13"/>
      <c r="R443" s="1"/>
      <c r="S443" s="13"/>
      <c r="T443" s="13"/>
      <c r="U443" s="13"/>
      <c r="V443" s="1"/>
      <c r="W443" s="1"/>
      <c r="X443" s="1"/>
      <c r="Y443" s="1"/>
      <c r="Z443" s="13"/>
      <c r="AA443" s="13"/>
      <c r="AB443" s="1"/>
      <c r="AC443" s="13"/>
      <c r="AD443" s="13"/>
      <c r="AE443" s="1"/>
      <c r="AF443" s="1"/>
      <c r="AG443" s="13"/>
    </row>
    <row r="444" ht="15" customHeight="1">
      <c r="A444" s="1" t="inlineStr">
        <is>
          <t>Matano, S. (1986). A volumetric comparison of the vestibular nuclei in primates. Folia Primatol (Basel), 47(4), 189-203. https://doi.org/10.1159/000156277</t>
        </is>
      </c>
      <c r="B444" s="1"/>
      <c r="C444" s="13"/>
      <c r="D444" s="1" t="inlineStr">
        <is>
          <t>Table I</t>
        </is>
      </c>
      <c r="E444" s="10" t="str">
        <f>SUBSTITUTE(SUBSTITUTE(_xlfn.TEXTBEFORE(A444,","), "-", ""), " ", "")</f>
        <v>Matano</v>
      </c>
      <c r="F444" s="10"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4" s="10" t="str">
        <f>_xlfn.TEXTBEFORE(_xlfn.TEXTAFTER(A444, "("), ")")</f>
        <v>1986</v>
      </c>
      <c r="H444" s="10" t="str">
        <f>E444 &amp; IF(F444&lt;&gt;"", "_" &amp; SUBSTITUTE(F444," ",""), "_") &amp; IF(G444&lt;&gt;"", "_" &amp; G444, "_") &amp; IF(B444&lt;&gt;"", "_" &amp; B444, "")</f>
        <v>Matano__1986</v>
      </c>
      <c r="I444" s="10" t="str">
        <f>_xlfn.LET(
_xlpm.doi,IF(C444&lt;&gt;"",C444,_xlfn.TEXTAFTER(A444,"https://doi.org/")),
SUBSTITUTE(
SUBSTITUTE(
SUBSTITUTE(
SUBSTITUTE(
_xlpm.doi,
"/","%2F"),
":","%3A"),
"&lt;","%3C"),
"&gt;","%3E")
)</f>
        <v>10.1159%2F000156277</v>
      </c>
      <c r="J444" s="10" t="str">
        <f>TRIM(_xlfn.TEXTJOIN("_",FALSE(),H444,(SUBSTITUTE(SUBSTITUTE(D444," ",""), "_", ""))))</f>
        <v>Matano__1986_TableI</v>
      </c>
      <c r="K444" s="10" t="str">
        <f>I444 &amp; "_" &amp; SUBSTITUTE(SUBSTITUTE(SUBSTITUTE(D444,CHAR(160),"")," ",""),"_","")</f>
        <v>10.1159%2F000156277_TableI</v>
      </c>
      <c r="L444" s="10" t="str">
        <f t="array" ref="L444">IFERROR(INDEX(AUTO_Public_TSV_FileList!$A$1:$A$1000,MATCH(TRUE(),EXACT(K444,IFERROR(_xlfn.TEXTBEFORE(AUTO_Public_TSV_FileList!$A$1:$A$1000,".tsv"),"")),0)),"notfound")</f>
        <v>10.1159%2F000156277_TableI.tsv</v>
      </c>
      <c r="M444" s="13"/>
      <c r="N444" s="13"/>
      <c r="O444" s="13"/>
      <c r="P444" s="1" t="inlineStr">
        <is>
          <t>FINISHED</t>
        </is>
      </c>
      <c r="Q444" s="13"/>
      <c r="R444" s="13"/>
      <c r="S444" s="13"/>
      <c r="T444" s="13"/>
      <c r="U444" s="13"/>
      <c r="V444" s="13"/>
      <c r="W444" s="13"/>
      <c r="X444" s="13"/>
      <c r="Y444" s="13"/>
      <c r="Z444" s="1"/>
      <c r="AA444" s="13"/>
      <c r="AB444" s="13"/>
      <c r="AC444" s="1"/>
      <c r="AD444" s="1"/>
      <c r="AE444" s="13" t="inlineStr">
        <is>
          <t>both</t>
        </is>
      </c>
      <c r="AF444" s="13"/>
      <c r="AG444" s="13"/>
    </row>
    <row r="445" ht="15" customHeight="1">
      <c r="A445" s="1" t="inlineStr">
        <is>
          <t>Matano, S. (1992). A Comparative Neuroprimatological Study on the Inferior Olivary Nuclei (from the Stephan Collection). J Anthropol Soc Nip, 100(1), 69-82. https://doi.org/10.1537/ase1911.100.69</t>
        </is>
      </c>
      <c r="B445" s="1"/>
      <c r="C445" s="13"/>
      <c r="D445" s="1" t="inlineStr">
        <is>
          <t>Table 1</t>
        </is>
      </c>
      <c r="E445" s="10" t="str">
        <f>SUBSTITUTE(SUBSTITUTE(_xlfn.TEXTBEFORE(A445,","), "-", ""), " ", "")</f>
        <v>Matano</v>
      </c>
      <c r="F445" s="10"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5" s="10" t="str">
        <f>_xlfn.TEXTBEFORE(_xlfn.TEXTAFTER(A445, "("), ")")</f>
        <v>1992</v>
      </c>
      <c r="H445" s="10" t="str">
        <f>E445 &amp; IF(F445&lt;&gt;"", "_" &amp; SUBSTITUTE(F445," ",""), "_") &amp; IF(G445&lt;&gt;"", "_" &amp; G445, "_") &amp; IF(B445&lt;&gt;"", "_" &amp; B445, "")</f>
        <v>Matano__1992</v>
      </c>
      <c r="I445" s="10" t="str">
        <f>_xlfn.LET(
_xlpm.doi,IF(C445&lt;&gt;"",C445,_xlfn.TEXTAFTER(A445,"https://doi.org/")),
SUBSTITUTE(
SUBSTITUTE(
SUBSTITUTE(
SUBSTITUTE(
_xlpm.doi,
"/","%2F"),
":","%3A"),
"&lt;","%3C"),
"&gt;","%3E")
)</f>
        <v>10.1537%2Fase1911.100.69</v>
      </c>
      <c r="J445" s="10" t="str">
        <f>TRIM(_xlfn.TEXTJOIN("_",FALSE(),H445,(SUBSTITUTE(SUBSTITUTE(D445," ",""), "_", ""))))</f>
        <v>Matano__1992_Table1</v>
      </c>
      <c r="K445" s="10" t="str">
        <f>I445 &amp; "_" &amp; SUBSTITUTE(SUBSTITUTE(SUBSTITUTE(D445,CHAR(160),"")," ",""),"_","")</f>
        <v>10.1537%2Fase1911.100.69_Table1</v>
      </c>
      <c r="L445" s="10" t="str">
        <f t="array" ref="L445">IFERROR(INDEX(AUTO_Public_TSV_FileList!$A$1:$A$1000,MATCH(TRUE(),EXACT(K445,IFERROR(_xlfn.TEXTBEFORE(AUTO_Public_TSV_FileList!$A$1:$A$1000,".tsv"),"")),0)),"notfound")</f>
        <v>10.1537%2Fase1911.100.69_Table1.tsv</v>
      </c>
      <c r="M445" s="13" t="inlineStr">
        <is>
          <t>Table 1. Body weight, volumes¹) of the inferior olivary nuclei and eco-ethological characteristics²) in Scandentia and prosimians</t>
        </is>
      </c>
      <c r="N445" s="13"/>
      <c r="O445" s="13"/>
      <c r="P445" s="1" t="inlineStr">
        <is>
          <t>FINISHED</t>
        </is>
      </c>
      <c r="Q445" s="13"/>
      <c r="R445" s="13"/>
      <c r="S445" s="13"/>
      <c r="T445" s="13"/>
      <c r="U445" s="13"/>
      <c r="V445" s="13"/>
      <c r="W445" s="13"/>
      <c r="X445" s="13"/>
      <c r="Y445" s="13"/>
      <c r="Z445" s="1"/>
      <c r="AA445" s="13"/>
      <c r="AB445" s="13"/>
      <c r="AC445" s="1"/>
      <c r="AD445" s="1"/>
      <c r="AE445" s="13"/>
      <c r="AF445" s="13"/>
      <c r="AG445" s="13"/>
    </row>
    <row r="446" ht="15" customHeight="1">
      <c r="A446" s="1" t="inlineStr">
        <is>
          <t>Matano, S. (1992). A Comparative Neuroprimatological Study on the Inferior Olivary Nuclei (from the Stephan Collection). J Anthropol Soc Nip, 100(1), 69-82. https://doi.org/10.1537/ase1911.100.69</t>
        </is>
      </c>
      <c r="B446" s="1"/>
      <c r="C446" s="13"/>
      <c r="D446" s="1" t="inlineStr">
        <is>
          <t>Table 2</t>
        </is>
      </c>
      <c r="E446" s="10" t="str">
        <f>SUBSTITUTE(SUBSTITUTE(_xlfn.TEXTBEFORE(A446,","), "-", ""), " ", "")</f>
        <v>Matano</v>
      </c>
      <c r="F446" s="10"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6" s="10" t="str">
        <f>_xlfn.TEXTBEFORE(_xlfn.TEXTAFTER(A446, "("), ")")</f>
        <v>1992</v>
      </c>
      <c r="H446" s="10" t="str">
        <f>E446 &amp; IF(F446&lt;&gt;"", "_" &amp; SUBSTITUTE(F446," ",""), "_") &amp; IF(G446&lt;&gt;"", "_" &amp; G446, "_") &amp; IF(B446&lt;&gt;"", "_" &amp; B446, "")</f>
        <v>Matano__1992</v>
      </c>
      <c r="I446" s="10" t="str">
        <f>_xlfn.LET(
_xlpm.doi,IF(C446&lt;&gt;"",C446,_xlfn.TEXTAFTER(A446,"https://doi.org/")),
SUBSTITUTE(
SUBSTITUTE(
SUBSTITUTE(
SUBSTITUTE(
_xlpm.doi,
"/","%2F"),
":","%3A"),
"&lt;","%3C"),
"&gt;","%3E")
)</f>
        <v>10.1537%2Fase1911.100.69</v>
      </c>
      <c r="J446" s="10" t="str">
        <f>TRIM(_xlfn.TEXTJOIN("_",FALSE(),H446,(SUBSTITUTE(SUBSTITUTE(D446," ",""), "_", ""))))</f>
        <v>Matano__1992_Table2</v>
      </c>
      <c r="K446" s="10" t="str">
        <f>I446 &amp; "_" &amp; SUBSTITUTE(SUBSTITUTE(SUBSTITUTE(D446,CHAR(160),"")," ",""),"_","")</f>
        <v>10.1537%2Fase1911.100.69_Table2</v>
      </c>
      <c r="L446" s="10" t="str">
        <f t="array" ref="L446">IFERROR(INDEX(AUTO_Public_TSV_FileList!$A$1:$A$1000,MATCH(TRUE(),EXACT(K446,IFERROR(_xlfn.TEXTBEFORE(AUTO_Public_TSV_FileList!$A$1:$A$1000,".tsv"),"")),0)),"notfound")</f>
        <v>10.1537%2Fase1911.100.69_Table2.tsv</v>
      </c>
      <c r="M446" s="13" t="inlineStr">
        <is>
          <t>Table 2. Body weight, volumes¹) of the inferior olivary nuclei and eco-ethological characteristics²) in New World monkeys</t>
        </is>
      </c>
      <c r="N446" s="13"/>
      <c r="O446" s="13"/>
      <c r="P446" s="1" t="inlineStr">
        <is>
          <t>FINISHED</t>
        </is>
      </c>
      <c r="Q446" s="13"/>
      <c r="R446" s="13"/>
      <c r="S446" s="13"/>
      <c r="T446" s="13"/>
      <c r="U446" s="13"/>
      <c r="V446" s="13"/>
      <c r="W446" s="13"/>
      <c r="X446" s="13"/>
      <c r="Y446" s="13"/>
      <c r="Z446" s="1"/>
      <c r="AA446" s="13"/>
      <c r="AB446" s="13"/>
      <c r="AC446" s="1"/>
      <c r="AD446" s="1"/>
      <c r="AE446" s="13"/>
      <c r="AF446" s="13"/>
      <c r="AG446" s="13"/>
    </row>
    <row r="447" ht="15" customHeight="1">
      <c r="A447" s="1" t="inlineStr">
        <is>
          <t>Matano, S. (1992). A Comparative Neuroprimatological Study on the Inferior Olivary Nuclei (from the Stephan Collection). J Anthropol Soc Nip, 100(1), 69-82. https://doi.org/10.1537/ase1911.100.69</t>
        </is>
      </c>
      <c r="B447" s="1"/>
      <c r="C447" s="13"/>
      <c r="D447" s="1" t="inlineStr">
        <is>
          <t>Table 3</t>
        </is>
      </c>
      <c r="E447" s="10" t="str">
        <f>SUBSTITUTE(SUBSTITUTE(_xlfn.TEXTBEFORE(A447,","), "-", ""), " ", "")</f>
        <v>Matano</v>
      </c>
      <c r="F447" s="10"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7" s="10" t="str">
        <f>_xlfn.TEXTBEFORE(_xlfn.TEXTAFTER(A447, "("), ")")</f>
        <v>1992</v>
      </c>
      <c r="H447" s="10" t="str">
        <f>E447 &amp; IF(F447&lt;&gt;"", "_" &amp; SUBSTITUTE(F447," ",""), "_") &amp; IF(G447&lt;&gt;"", "_" &amp; G447, "_") &amp; IF(B447&lt;&gt;"", "_" &amp; B447, "")</f>
        <v>Matano__1992</v>
      </c>
      <c r="I447" s="10" t="str">
        <f>_xlfn.LET(
_xlpm.doi,IF(C447&lt;&gt;"",C447,_xlfn.TEXTAFTER(A447,"https://doi.org/")),
SUBSTITUTE(
SUBSTITUTE(
SUBSTITUTE(
SUBSTITUTE(
_xlpm.doi,
"/","%2F"),
":","%3A"),
"&lt;","%3C"),
"&gt;","%3E")
)</f>
        <v>10.1537%2Fase1911.100.69</v>
      </c>
      <c r="J447" s="10" t="str">
        <f>TRIM(_xlfn.TEXTJOIN("_",FALSE(),H447,(SUBSTITUTE(SUBSTITUTE(D447," ",""), "_", ""))))</f>
        <v>Matano__1992_Table3</v>
      </c>
      <c r="K447" s="10" t="str">
        <f>I447 &amp; "_" &amp; SUBSTITUTE(SUBSTITUTE(SUBSTITUTE(D447,CHAR(160),"")," ",""),"_","")</f>
        <v>10.1537%2Fase1911.100.69_Table3</v>
      </c>
      <c r="L447" s="10" t="str">
        <f t="array" ref="L447">IFERROR(INDEX(AUTO_Public_TSV_FileList!$A$1:$A$1000,MATCH(TRUE(),EXACT(K447,IFERROR(_xlfn.TEXTBEFORE(AUTO_Public_TSV_FileList!$A$1:$A$1000,".tsv"),"")),0)),"notfound")</f>
        <v>10.1537%2Fase1911.100.69_Table3.tsv</v>
      </c>
      <c r="M447" s="13"/>
      <c r="N447" s="13"/>
      <c r="O447" s="13"/>
      <c r="P447" s="1" t="inlineStr">
        <is>
          <t>FINISHED</t>
        </is>
      </c>
      <c r="Q447" s="13"/>
      <c r="R447" s="13"/>
      <c r="S447" s="13"/>
      <c r="T447" s="13"/>
      <c r="U447" s="13"/>
      <c r="V447" s="13"/>
      <c r="W447" s="13"/>
      <c r="X447" s="13"/>
      <c r="Y447" s="13"/>
      <c r="Z447" s="1"/>
      <c r="AA447" s="13"/>
      <c r="AB447" s="13"/>
      <c r="AC447" s="1"/>
      <c r="AD447" s="1"/>
      <c r="AE447" s="13" t="inlineStr">
        <is>
          <t>both</t>
        </is>
      </c>
      <c r="AF447" s="13"/>
      <c r="AG447" s="13"/>
    </row>
    <row r="448" ht="15" customHeight="1">
      <c r="A448" s="1" t="inlineStr">
        <is>
          <t>Matano, S. (1992). A Comparative Neuroprimatological Study on the Inferior Olivary Nuclei (from the Stephan Collection). J Anthropol Soc Nip, 100(1), 69-82. https://doi.org/10.1537/ase1911.100.69</t>
        </is>
      </c>
      <c r="B448" s="1"/>
      <c r="C448" s="13"/>
      <c r="D448" s="1" t="inlineStr">
        <is>
          <t>Table 4</t>
        </is>
      </c>
      <c r="E448" s="10" t="str">
        <f>SUBSTITUTE(SUBSTITUTE(_xlfn.TEXTBEFORE(A448,","), "-", ""), " ", "")</f>
        <v>Matano</v>
      </c>
      <c r="F448" s="10"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8" s="10" t="str">
        <f>_xlfn.TEXTBEFORE(_xlfn.TEXTAFTER(A448, "("), ")")</f>
        <v>1992</v>
      </c>
      <c r="H448" s="10" t="str">
        <f>E448 &amp; IF(F448&lt;&gt;"", "_" &amp; SUBSTITUTE(F448," ",""), "_") &amp; IF(G448&lt;&gt;"", "_" &amp; G448, "_") &amp; IF(B448&lt;&gt;"", "_" &amp; B448, "")</f>
        <v>Matano__1992</v>
      </c>
      <c r="I448" s="10" t="str">
        <f>_xlfn.LET(
_xlpm.doi,IF(C448&lt;&gt;"",C448,_xlfn.TEXTAFTER(A448,"https://doi.org/")),
SUBSTITUTE(
SUBSTITUTE(
SUBSTITUTE(
SUBSTITUTE(
_xlpm.doi,
"/","%2F"),
":","%3A"),
"&lt;","%3C"),
"&gt;","%3E")
)</f>
        <v>10.1537%2Fase1911.100.69</v>
      </c>
      <c r="J448" s="10" t="str">
        <f>TRIM(_xlfn.TEXTJOIN("_",FALSE(),H448,(SUBSTITUTE(SUBSTITUTE(D448," ",""), "_", ""))))</f>
        <v>Matano__1992_Table4</v>
      </c>
      <c r="K448" s="10" t="str">
        <f>I448 &amp; "_" &amp; SUBSTITUTE(SUBSTITUTE(SUBSTITUTE(D448,CHAR(160),"")," ",""),"_","")</f>
        <v>10.1537%2Fase1911.100.69_Table4</v>
      </c>
      <c r="L448" s="10" t="str">
        <f t="array" ref="L448">IFERROR(INDEX(AUTO_Public_TSV_FileList!$A$1:$A$1000,MATCH(TRUE(),EXACT(K448,IFERROR(_xlfn.TEXTBEFORE(AUTO_Public_TSV_FileList!$A$1:$A$1000,".tsv"),"")),0)),"notfound")</f>
        <v>10.1537%2Fase1911.100.69_Table4.tsv</v>
      </c>
      <c r="M448" s="13" t="inlineStr">
        <is>
          <t>Table 4. Body weight, volumes¹) of the inferior olivary nuclei and eco-ethological characteristics²) in apes and Man</t>
        </is>
      </c>
      <c r="N448" s="13"/>
      <c r="O448" s="13"/>
      <c r="P448" s="1" t="inlineStr">
        <is>
          <t>FINISHED</t>
        </is>
      </c>
      <c r="Q448" s="13"/>
      <c r="R448" s="13"/>
      <c r="S448" s="13"/>
      <c r="T448" s="13"/>
      <c r="U448" s="13"/>
      <c r="V448" s="13"/>
      <c r="W448" s="13"/>
      <c r="X448" s="13"/>
      <c r="Y448" s="13"/>
      <c r="Z448" s="1"/>
      <c r="AA448" s="13"/>
      <c r="AB448" s="13"/>
      <c r="AC448" s="1"/>
      <c r="AD448" s="1"/>
      <c r="AE448" s="13"/>
      <c r="AF448" s="13"/>
      <c r="AG448" s="13"/>
    </row>
    <row r="449" ht="15" customHeight="1">
      <c r="A449" s="1" t="inlineStr">
        <is>
          <t>Matano, S. (2001). Brief communication: Proportions of the ventral half of the cerebellar dentate nucleus in humans and great apes. Am J Phys Anthropol, 114(2), 163-165. https://doi.org/10.1002/1096-8644(200102)114:2&lt;163::AID-AJPA1016&gt;3.0.CO;2-F</t>
        </is>
      </c>
      <c r="B449" s="1"/>
      <c r="C449" s="13"/>
      <c r="D449" s="1" t="inlineStr">
        <is>
          <t>TABLE 2</t>
        </is>
      </c>
      <c r="E449" s="10" t="str">
        <f>SUBSTITUTE(SUBSTITUTE(_xlfn.TEXTBEFORE(A449,","), "-", ""), " ", "")</f>
        <v>Matano</v>
      </c>
      <c r="F449" s="10"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9" s="10" t="str">
        <f>_xlfn.TEXTBEFORE(_xlfn.TEXTAFTER(A449, "("), ")")</f>
        <v>2001</v>
      </c>
      <c r="H449" s="10" t="str">
        <f>E449 &amp; IF(F449&lt;&gt;"", "_" &amp; SUBSTITUTE(F449," ",""), "_") &amp; IF(G449&lt;&gt;"", "_" &amp; G449, "_") &amp; IF(B449&lt;&gt;"", "_" &amp; B449, "")</f>
        <v>Matano__2001</v>
      </c>
      <c r="I449" s="10" t="str">
        <f>_xlfn.LET(
_xlpm.doi,IF(C449&lt;&gt;"",C449,_xlfn.TEXTAFTER(A449,"https://doi.org/")),
SUBSTITUTE(
SUBSTITUTE(
SUBSTITUTE(
SUBSTITUTE(
_xlpm.doi,
"/","%2F"),
":","%3A"),
"&lt;","%3C"),
"&gt;","%3E")
)</f>
        <v>10.1002%2F1096-8644(200102)114%3A2&lt;163%3A%3AAID-AJPA1016&gt;3.0.CO;2-F</v>
      </c>
      <c r="J449" s="10" t="str">
        <f>TRIM(_xlfn.TEXTJOIN("_",FALSE(),H449,(SUBSTITUTE(SUBSTITUTE(D449," ",""), "_", ""))))</f>
        <v>Matano__2001_TABLE2</v>
      </c>
      <c r="K449" s="10" t="str">
        <f>I449 &amp; "_" &amp; SUBSTITUTE(SUBSTITUTE(SUBSTITUTE(D449,CHAR(160),"")," ",""),"_","")</f>
        <v>10.1002%2F1096-8644(200102)114%3A2&lt;163%3A%3AAID-AJPA1016&gt;3.0.CO;2-F_TABLE2</v>
      </c>
      <c r="L449" s="10" t="str">
        <f t="array" ref="L449">IFERROR(INDEX(AUTO_Public_TSV_FileList!$A$1:$A$1000,MATCH(TRUE(),EXACT(K449,IFERROR(_xlfn.TEXTBEFORE(AUTO_Public_TSV_FileList!$A$1:$A$1000,".tsv"),"")),0)),"notfound")</f>
        <v>notfound</v>
      </c>
      <c r="M449" s="1" t="inlineStr">
        <is>
          <t>TABLE 2. Volume of the dentate nucleus investigated (mm3)</t>
        </is>
      </c>
      <c r="N449" s="13"/>
      <c r="O449" s="13"/>
      <c r="P449" s="1" t="inlineStr">
        <is>
          <t>FINISHED</t>
        </is>
      </c>
      <c r="Q449" s="13"/>
      <c r="R449" s="13"/>
      <c r="S449" s="13"/>
      <c r="T449" s="13"/>
      <c r="U449" s="13"/>
      <c r="V449" s="13"/>
      <c r="W449" s="13"/>
      <c r="X449" s="13"/>
      <c r="Y449" s="13"/>
      <c r="Z449" s="13"/>
      <c r="AA449" s="13"/>
      <c r="AB449" s="13"/>
      <c r="AC449" s="13"/>
      <c r="AD449" s="13"/>
      <c r="AE449" s="13"/>
      <c r="AF449" s="13"/>
      <c r="AG449" s="13"/>
    </row>
    <row r="450" ht="15" customHeight="1">
      <c r="A450" s="1" t="inlineStr">
        <is>
          <t>Matano, S., Baron, G., Stephan, H., &amp; Frahm, H. D. (1985). Volume comparisons in the cerebellar complex of primates. II. Cerebellar nuclei. Folia Primatol (Basel), 44(3-4), 182-203. https://doi.org/10.1159/000156212</t>
        </is>
      </c>
      <c r="B450" s="1" t="inlineStr">
        <is>
          <t>a</t>
        </is>
      </c>
      <c r="C450" s="13"/>
      <c r="D450" s="1" t="inlineStr">
        <is>
          <t>Table 1</t>
        </is>
      </c>
      <c r="E450" s="10" t="str">
        <f>SUBSTITUTE(SUBSTITUTE(_xlfn.TEXTBEFORE(A450,","), "-", ""), " ", "")</f>
        <v>Matano</v>
      </c>
      <c r="F450" s="10"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10" t="str">
        <f>_xlfn.TEXTBEFORE(_xlfn.TEXTAFTER(A450, "("), ")")</f>
        <v>1985</v>
      </c>
      <c r="H450" s="10" t="str">
        <f>E450 &amp; IF(F450&lt;&gt;"", "_" &amp; SUBSTITUTE(F450," ",""), "_") &amp; IF(G450&lt;&gt;"", "_" &amp; G450, "_") &amp; IF(B450&lt;&gt;"", "_" &amp; B450, "")</f>
        <v>Matano_etal_1985_a</v>
      </c>
      <c r="I450" s="10" t="str">
        <f>_xlfn.LET(
_xlpm.doi,IF(C450&lt;&gt;"",C450,_xlfn.TEXTAFTER(A450,"https://doi.org/")),
SUBSTITUTE(
SUBSTITUTE(
SUBSTITUTE(
SUBSTITUTE(
_xlpm.doi,
"/","%2F"),
":","%3A"),
"&lt;","%3C"),
"&gt;","%3E")
)</f>
        <v>10.1159%2F000156212</v>
      </c>
      <c r="J450" s="10" t="str">
        <f>TRIM(_xlfn.TEXTJOIN("_",FALSE(),H450,(SUBSTITUTE(SUBSTITUTE(D450," ",""), "_", ""))))</f>
        <v>Matano_etal_1985_a_Table1</v>
      </c>
      <c r="K450" s="10" t="str">
        <f>I450 &amp; "_" &amp; SUBSTITUTE(SUBSTITUTE(SUBSTITUTE(D450,CHAR(160),"")," ",""),"_","")</f>
        <v>10.1159%2F000156212_Table1</v>
      </c>
      <c r="L450" s="10" t="str">
        <f t="array" ref="L450">IFERROR(INDEX(AUTO_Public_TSV_FileList!$A$1:$A$1000,MATCH(TRUE(),EXACT(K450,IFERROR(_xlfn.TEXTBEFORE(AUTO_Public_TSV_FileList!$A$1:$A$1000,".tsv"),"")),0)),"notfound")</f>
        <v>10.1159%2F000156212_Table1.tsv</v>
      </c>
      <c r="M450" s="13"/>
      <c r="N450" s="1" t="inlineStr">
        <is>
          <t>table</t>
        </is>
      </c>
      <c r="O450" s="13"/>
      <c r="P450" s="1" t="inlineStr">
        <is>
          <t>FINISHED</t>
        </is>
      </c>
      <c r="Q450" s="13"/>
      <c r="R450" s="13"/>
      <c r="S450" s="13"/>
      <c r="T450" s="13"/>
      <c r="U450" s="13"/>
      <c r="V450" s="13"/>
      <c r="W450" s="1" t="inlineStr">
        <is>
          <t>Insectivora, Scandentia &amp; Primates</t>
        </is>
      </c>
      <c r="X450" s="1" t="inlineStr">
        <is>
          <t>cerebellar nuclei volume</t>
        </is>
      </c>
      <c r="Y450" s="13"/>
      <c r="Z450" s="1" t="inlineStr">
        <is>
          <t>histological sections</t>
        </is>
      </c>
      <c r="AA450" s="1" t="inlineStr">
        <is>
          <t>volumetry</t>
        </is>
      </c>
      <c r="AB450" s="1" t="inlineStr">
        <is>
          <t>volume</t>
        </is>
      </c>
      <c r="AC450" s="1" t="inlineStr">
        <is>
          <t>Stephan</t>
        </is>
      </c>
      <c r="AD450" s="1" t="inlineStr">
        <is>
          <t>Stephan</t>
        </is>
      </c>
      <c r="AE450" s="1" t="inlineStr">
        <is>
          <t>both</t>
        </is>
      </c>
      <c r="AF450" s="1"/>
      <c r="AG450" s="13"/>
    </row>
    <row r="451" ht="15" customHeight="1">
      <c r="A451" s="1" t="inlineStr">
        <is>
          <t>Matano, S., Stephan, H., &amp; Baron, G. (1985). Volume comparisons in the cerebellar complex of primates. I. Ventral pons. Folia Primatol (Basel), 44(3-4), 171-181. https://doi.org/10.1159/000156211</t>
        </is>
      </c>
      <c r="B451" s="1" t="inlineStr">
        <is>
          <t>b</t>
        </is>
      </c>
      <c r="C451" s="13"/>
      <c r="D451" s="1" t="inlineStr">
        <is>
          <t>Table 1</t>
        </is>
      </c>
      <c r="E451" s="10" t="str">
        <f>SUBSTITUTE(SUBSTITUTE(_xlfn.TEXTBEFORE(A451,","), "-", ""), " ", "")</f>
        <v>Matano</v>
      </c>
      <c r="F451" s="10"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10" t="str">
        <f>_xlfn.TEXTBEFORE(_xlfn.TEXTAFTER(A451, "("), ")")</f>
        <v>1985</v>
      </c>
      <c r="H451" s="10" t="str">
        <f>E451 &amp; IF(F451&lt;&gt;"", "_" &amp; SUBSTITUTE(F451," ",""), "_") &amp; IF(G451&lt;&gt;"", "_" &amp; G451, "_") &amp; IF(B451&lt;&gt;"", "_" &amp; B451, "")</f>
        <v>Matano_etal_1985_b</v>
      </c>
      <c r="I451" s="10" t="str">
        <f>_xlfn.LET(
_xlpm.doi,IF(C451&lt;&gt;"",C451,_xlfn.TEXTAFTER(A451,"https://doi.org/")),
SUBSTITUTE(
SUBSTITUTE(
SUBSTITUTE(
SUBSTITUTE(
_xlpm.doi,
"/","%2F"),
":","%3A"),
"&lt;","%3C"),
"&gt;","%3E")
)</f>
        <v>10.1159%2F000156211</v>
      </c>
      <c r="J451" s="10" t="str">
        <f>TRIM(_xlfn.TEXTJOIN("_",FALSE(),H451,(SUBSTITUTE(SUBSTITUTE(D451," ",""), "_", ""))))</f>
        <v>Matano_etal_1985_b_Table1</v>
      </c>
      <c r="K451" s="10" t="str">
        <f>I451 &amp; "_" &amp; SUBSTITUTE(SUBSTITUTE(SUBSTITUTE(D451,CHAR(160),"")," ",""),"_","")</f>
        <v>10.1159%2F000156211_Table1</v>
      </c>
      <c r="L451" s="10" t="str">
        <f t="array" ref="L451">IFERROR(INDEX(AUTO_Public_TSV_FileList!$A$1:$A$1000,MATCH(TRUE(),EXACT(K451,IFERROR(_xlfn.TEXTBEFORE(AUTO_Public_TSV_FileList!$A$1:$A$1000,".tsv"),"")),0)),"notfound")</f>
        <v>10.1159%2F000156211_Table1.tsv</v>
      </c>
      <c r="M451" s="13"/>
      <c r="N451" s="13"/>
      <c r="O451" s="13"/>
      <c r="P451" s="1" t="inlineStr">
        <is>
          <t>FINISHED</t>
        </is>
      </c>
      <c r="Q451" s="13"/>
      <c r="R451" s="13"/>
      <c r="S451" s="13"/>
      <c r="T451" s="13"/>
      <c r="U451" s="13"/>
      <c r="V451" s="13"/>
      <c r="W451" s="13"/>
      <c r="X451" s="13"/>
      <c r="Y451" s="13"/>
      <c r="Z451" s="1" t="inlineStr">
        <is>
          <t>histological sections</t>
        </is>
      </c>
      <c r="AA451" s="13"/>
      <c r="AB451" s="13"/>
      <c r="AC451" s="1" t="inlineStr">
        <is>
          <t>Stephan</t>
        </is>
      </c>
      <c r="AD451" s="1" t="inlineStr">
        <is>
          <t>Stephan</t>
        </is>
      </c>
      <c r="AE451" s="13" t="inlineStr">
        <is>
          <t>primary</t>
        </is>
      </c>
      <c r="AF451" s="13"/>
      <c r="AG451" s="13"/>
    </row>
    <row r="452" ht="15" customHeight="1">
      <c r="A452" s="14" t="inlineStr">
        <is>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is>
      </c>
      <c r="B452" s="14"/>
      <c r="C452" s="14"/>
      <c r="D452" s="14" t="inlineStr">
        <is>
          <t>Fig6</t>
        </is>
      </c>
      <c r="E452" s="2" t="str">
        <f>SUBSTITUTE(SUBSTITUTE(_xlfn.TEXTBEFORE(A452,","), "-", ""), " ", "")</f>
        <v>Mayer</v>
      </c>
      <c r="F452" s="7"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7" t="str">
        <f>_xlfn.TEXTBEFORE(_xlfn.TEXTAFTER(A452, "("), ")")</f>
        <v>2019</v>
      </c>
      <c r="H452" s="2" t="str">
        <f>E452 &amp; IF(F452&lt;&gt;"", "_" &amp; SUBSTITUTE(F452," ",""), "_") &amp; IF(G452&lt;&gt;"", "_" &amp; G452, "_") &amp; IF(B452&lt;&gt;"", "_" &amp; B452, "")</f>
        <v>Mayer_etal_2019</v>
      </c>
      <c r="I452" s="2" t="str">
        <f>_xlfn.LET(_xlpm.doi,IF(C452&lt;&gt;"",C452,_xlfn.TEXTAFTER(A452,"https://doi.org/")),SUBSTITUTE(SUBSTITUTE(SUBSTITUTE(SUBSTITUTE(_xlpm.doi,"/","%2F"),":","%3A"),"&lt;","%3C"),"&gt;","%3E"))</f>
        <v>10.1523%2FJNEUROSCI.0556-19.2019</v>
      </c>
      <c r="J452" s="2" t="str">
        <f>TRIM(_xlfn.TEXTJOIN("_",FALSE(),H452,(SUBSTITUTE(SUBSTITUTE(D452," ",""), "_", ""))))</f>
        <v>Mayer_etal_2019_Fig6</v>
      </c>
      <c r="K452" s="7" t="str">
        <f>I452 &amp; "_" &amp; SUBSTITUTE(SUBSTITUTE(SUBSTITUTE(D452,CHAR(160),"")," ",""),"_","")</f>
        <v>10.1523%2FJNEUROSCI.0556-19.2019_Fig6</v>
      </c>
      <c r="L452" s="7" t="str">
        <f t="array" ref="L452">IFERROR(INDEX(AUTO_Public_TSV_FileList!$A$1:$A$1000,MATCH(TRUE(),EXACT(K452,IFERROR(_xlfn.TEXTBEFORE(AUTO_Public_TSV_FileList!$A$1:$A$1000,".tsv"),"")),0)),"notfound")</f>
        <v>notfound</v>
      </c>
      <c r="M452" s="14" t="inlineStr">
        <is>
          <t>Results text: hand/digit representation area within M1; three capuchin cases with printed numbers.</t>
        </is>
      </c>
      <c r="N452" s="14" t="inlineStr">
        <is>
          <t>Results text in source PDF</t>
        </is>
      </c>
      <c r="O452" s="14" t="inlineStr">
        <is>
          <t>Three values independently transcribed from article PDF page 8; one left hemisphere per case; hand representation only.</t>
        </is>
      </c>
      <c r="P452" s="14" t="inlineStr">
        <is>
          <t>BUILT from PDF Results text; public TSV pending</t>
        </is>
      </c>
      <c r="Q452" s="14" t="inlineStr">
        <is>
          <t>Mayer_etal_2019_Fig6_pdf_transcription.csv</t>
        </is>
      </c>
      <c r="R452" s="14" t="inlineStr">
        <is>
          <t>https://doi.org/10.1523/JNEUROSCI.0556-19.2019</t>
        </is>
      </c>
      <c r="S452" s="14" t="inlineStr">
        <is>
          <t>Results text confirms cases 15-01, 15-03 and 15-04; paper identifies Sapajus spp. and left hemisphere.</t>
        </is>
      </c>
      <c r="T452" s="14" t="inlineStr">
        <is>
          <t>Case 15-02 excluded: no exact area printed in Results text or a labeled table.</t>
        </is>
      </c>
      <c r="U452" s="14"/>
      <c r="V452" s="14" t="inlineStr">
        <is>
          <t>cortical surface area; primary motor cortex</t>
        </is>
      </c>
      <c r="W452" s="14" t="inlineStr">
        <is>
          <t>Sapajus spp.</t>
        </is>
      </c>
      <c r="X452" s="14" t="inlineStr">
        <is>
          <t>M1 hand/digit representation surface area (mm2)</t>
        </is>
      </c>
      <c r="Y452" s="14"/>
      <c r="Z452" s="14" t="inlineStr">
        <is>
          <t>ICMS motor maps</t>
        </is>
      </c>
      <c r="AA452" s="14" t="inlineStr">
        <is>
          <t>Voronoi tessellation of ICMS sites; Illustrator area measurement</t>
        </is>
      </c>
      <c r="AB452" s="14" t="inlineStr">
        <is>
          <t>surface area</t>
        </is>
      </c>
      <c r="AC452" s="14" t="inlineStr">
        <is>
          <t>Krubitzer / França</t>
        </is>
      </c>
      <c r="AD452" s="14"/>
      <c r="AE452" s="14" t="inlineStr">
        <is>
          <t>primary</t>
        </is>
      </c>
      <c r="AF452" s="14"/>
      <c r="AG452" s="14"/>
    </row>
    <row r="453" ht="15" customHeight="1">
      <c r="A453" s="1" t="inlineStr">
        <is>
          <t>McDowell, R. J., Didikoglu, A., Woelders, T., Gatt, M. J., Moffatt, F., Notash, S., Hut, R. A., Brown, T. M., &amp; Lucas, R. J. (2024). Beyond Lux: methods for species and photoreceptor-specific quantification of ambient light for mammals. BMC Biol, 22(1), 257. https://doi.org/10.1186/s12915-024-02038-1</t>
        </is>
      </c>
      <c r="B453" s="1"/>
      <c r="C453" s="13"/>
      <c r="D453" s="1" t="inlineStr">
        <is>
          <t>Table 1</t>
        </is>
      </c>
      <c r="E453" s="10" t="str">
        <f>SUBSTITUTE(SUBSTITUTE(_xlfn.TEXTBEFORE(A453,","), "-", ""), " ", "")</f>
        <v>McDowell</v>
      </c>
      <c r="F453" s="10"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10" t="str">
        <f>_xlfn.TEXTBEFORE(_xlfn.TEXTAFTER(A453, "("), ")")</f>
        <v>2024</v>
      </c>
      <c r="H453" s="10" t="str">
        <f>E453 &amp; IF(F453&lt;&gt;"", "_" &amp; SUBSTITUTE(F453," ",""), "_") &amp; IF(G453&lt;&gt;"", "_" &amp; G453, "_") &amp; IF(B453&lt;&gt;"", "_" &amp; B453, "")</f>
        <v>McDowell_etal_2024</v>
      </c>
      <c r="I453" s="10" t="str">
        <f>_xlfn.LET(
_xlpm.doi,IF(C453&lt;&gt;"",C453,_xlfn.TEXTAFTER(A453,"https://doi.org/")),
SUBSTITUTE(
SUBSTITUTE(
SUBSTITUTE(
SUBSTITUTE(
_xlpm.doi,
"/","%2F"),
":","%3A"),
"&lt;","%3C"),
"&gt;","%3E")
)</f>
        <v>10.1186%2Fs12915-024-02038-1</v>
      </c>
      <c r="J453" s="10" t="str">
        <f>TRIM(_xlfn.TEXTJOIN("_",FALSE(),H453,(SUBSTITUTE(SUBSTITUTE(D453," ",""), "_", ""))))</f>
        <v>McDowell_etal_2024_Table1</v>
      </c>
      <c r="K453" s="10" t="str">
        <f>I453 &amp; "_" &amp; SUBSTITUTE(SUBSTITUTE(SUBSTITUTE(D453,CHAR(160),"")," ",""),"_","")</f>
        <v>10.1186%2Fs12915-024-02038-1_Table1</v>
      </c>
      <c r="L453" s="10" t="str">
        <f t="array" ref="L453">IFERROR(INDEX(AUTO_Public_TSV_FileList!$A$1:$A$1000,MATCH(TRUE(),EXACT(K453,IFERROR(_xlfn.TEXTBEFORE(AUTO_Public_TSV_FileList!$A$1:$A$1000,".tsv"),"")),0)),"notfound")</f>
        <v>10.1186%2Fs12915-024-02038-1_Table1.tsv</v>
      </c>
      <c r="M453" s="13"/>
      <c r="N453" s="13"/>
      <c r="O453" s="13"/>
      <c r="P453" s="1"/>
      <c r="Q453" s="13"/>
      <c r="R453" s="13"/>
      <c r="S453" s="13"/>
      <c r="T453" s="13"/>
      <c r="U453" s="13"/>
      <c r="V453" s="13"/>
      <c r="W453" s="13"/>
      <c r="X453" s="13"/>
      <c r="Y453" s="13"/>
      <c r="Z453" s="1"/>
      <c r="AA453" s="13"/>
      <c r="AB453" s="13"/>
      <c r="AC453" s="1"/>
      <c r="AD453" s="1"/>
      <c r="AE453" s="13"/>
      <c r="AF453" s="13"/>
      <c r="AG453" s="13"/>
    </row>
    <row r="454" ht="15" customHeight="1">
      <c r="A454" s="17" t="inlineStr">
        <is>
          <t>McGuire, L. P., &amp; Ratcliffe, J. M. (2011). Light enough to travel: Migratory bats have smaller brains, but not larger hippocampi, than sedentary species. Biology Letters, 7, 233–236. https://doi.org/10.1098/rsbl.2010.0744</t>
        </is>
      </c>
      <c r="B454" s="17"/>
      <c r="C454" s="17"/>
      <c r="D454" s="17" t="inlineStr">
        <is>
          <t>Electronic Supplementary Material 1, Table 1</t>
        </is>
      </c>
      <c r="E454" s="10" t="str">
        <f>SUBSTITUTE(SUBSTITUTE(_xlfn.TEXTBEFORE(A454,","), "-", ""), " ", "")</f>
        <v>McGuire</v>
      </c>
      <c r="F454" s="10"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4" s="10" t="str">
        <f>_xlfn.TEXTBEFORE(_xlfn.TEXTAFTER(A454, "("), ")")</f>
        <v>2011</v>
      </c>
      <c r="H454" s="10" t="str">
        <f>E454 &amp; IF(F454&lt;&gt;"", "_" &amp; SUBSTITUTE(F454," ",""), "_") &amp; IF(G454&lt;&gt;"", "_" &amp; G454, "_") &amp; IF(B454&lt;&gt;"", "_" &amp; B454, "")</f>
        <v>McGuire__2011</v>
      </c>
      <c r="I454" s="10" t="str">
        <f>_xlfn.LET(
_xlpm.doi,IF(C454&lt;&gt;"",C454,_xlfn.TEXTAFTER(A454,"https://doi.org/")),
SUBSTITUTE(
SUBSTITUTE(
SUBSTITUTE(
SUBSTITUTE(
_xlpm.doi,
"/","%2F"),
":","%3A"),
"&lt;","%3C"),
"&gt;","%3E")
)</f>
        <v>10.1098%2Frsbl.2010.0744</v>
      </c>
      <c r="J454" s="10" t="str">
        <f>TRIM(_xlfn.TEXTJOIN("_",FALSE(),H454,(SUBSTITUTE(SUBSTITUTE(D454," ",""), "_", ""))))</f>
        <v>McGuire__2011_ElectronicSupplementaryMaterial1,Table1</v>
      </c>
      <c r="K454" s="10" t="str">
        <f>I454 &amp; "_" &amp; SUBSTITUTE(SUBSTITUTE(SUBSTITUTE(D454,CHAR(160),"")," ",""),"_","")</f>
        <v>10.1098%2Frsbl.2010.0744_ElectronicSupplementaryMaterial1,Table1</v>
      </c>
      <c r="L454" s="10" t="str">
        <f t="array" ref="L454">IFERROR(INDEX(AUTO_Public_TSV_FileList!$A$1:$A$1000,MATCH(TRUE(),EXACT(K454,IFERROR(_xlfn.TEXTBEFORE(AUTO_Public_TSV_FileList!$A$1:$A$1000,".tsv"),"")),0)),"notfound")</f>
        <v>notfound</v>
      </c>
      <c r="M454" s="13"/>
      <c r="N454" s="1" t="inlineStr">
        <is>
          <t>table</t>
        </is>
      </c>
      <c r="O454" s="13"/>
      <c r="P454" s="17"/>
      <c r="Q454" s="17"/>
      <c r="R454" s="17" t="inlineStr">
        <is>
          <t>https://doi.org/10.1098/rsbl.2010.0744</t>
        </is>
      </c>
      <c r="S454" s="17" t="inlineStr">
        <is>
          <t>Source paper and target table identified</t>
        </is>
      </c>
      <c r="T454" s="17" t="inlineStr">
        <is>
          <t>Verify taxonomy, specimen metadata, units, and structure ontology before merge</t>
        </is>
      </c>
      <c r="U454" s="17"/>
      <c r="V454" s="17" t="inlineStr">
        <is>
          <t>comparative neuroanatomy</t>
        </is>
      </c>
      <c r="W454" s="17" t="inlineStr">
        <is>
          <t>Chiroptera</t>
        </is>
      </c>
      <c r="X454" s="17" t="inlineStr">
        <is>
          <t>Body mass; whole brain; neocortex; hippocampus; medulla oblongata; cerebellum; migration category</t>
        </is>
      </c>
      <c r="Y454" s="17" t="inlineStr">
        <is>
          <t>body mass; whole brain; neocortex; hippocampus; medulla oblongata; cerebellum; migration category</t>
        </is>
      </c>
      <c r="Z454" s="17"/>
      <c r="AA454" s="17"/>
      <c r="AB454" s="17" t="inlineStr">
        <is>
          <t>volume (mm³); body mass (g)</t>
        </is>
      </c>
      <c r="AC454" s="17" t="inlineStr">
        <is>
          <t>Stephan</t>
        </is>
      </c>
      <c r="AD454" s="17" t="inlineStr">
        <is>
          <t>Stephan</t>
        </is>
      </c>
      <c r="AE454" s="17" t="inlineStr">
        <is>
          <t>secondary</t>
        </is>
      </c>
      <c r="AF454" s="17"/>
      <c r="AG454" s="17" t="inlineStr">
        <is>
          <t>Extract with provenance codes. Deduplicate against original bat sources and flag converted whole-brain volumes.</t>
        </is>
      </c>
    </row>
    <row r="455" ht="15" customHeight="1">
      <c r="A455" s="1" t="inlineStr">
        <is>
          <t>Medina-González, P. (2026). Joint Angular Excursions and Angular Range Utilization During Stance-Phase Locomotion in Terrestrial Mammals: A Comparative Morphofunctional Data Set. J Exp Zool A Ecol Integr Physiol, 345(4), 361-376. https://doi.org/10.1002/jez.70069</t>
        </is>
      </c>
      <c r="B455" s="13"/>
      <c r="C455" s="13"/>
      <c r="D455" s="13" t="inlineStr">
        <is>
          <t>Supplementary File 1</t>
        </is>
      </c>
      <c r="E455" s="10" t="str">
        <f>SUBSTITUTE(SUBSTITUTE(_xlfn.TEXTBEFORE(A455,","), "-", ""), " ", "")</f>
        <v>MedinaGonzález</v>
      </c>
      <c r="F455" s="10"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5" s="10" t="str">
        <f>_xlfn.TEXTBEFORE(_xlfn.TEXTAFTER(A455, "("), ")")</f>
        <v>2026</v>
      </c>
      <c r="H455" s="10" t="str">
        <f>E455 &amp; IF(F455&lt;&gt;"", "_" &amp; SUBSTITUTE(F455," ",""), "_") &amp; IF(G455&lt;&gt;"", "_" &amp; G455, "_") &amp; IF(B455&lt;&gt;"", "_" &amp; B455, "")</f>
        <v>MedinaGonzález__2026</v>
      </c>
      <c r="I455" s="10" t="str">
        <f>_xlfn.LET(
_xlpm.doi,IF(C455&lt;&gt;"",C455,_xlfn.TEXTAFTER(A455,"https://doi.org/")),
SUBSTITUTE(
SUBSTITUTE(
SUBSTITUTE(
SUBSTITUTE(
_xlpm.doi,
"/","%2F"),
":","%3A"),
"&lt;","%3C"),
"&gt;","%3E")
)</f>
        <v>10.1002%2Fjez.70069</v>
      </c>
      <c r="J455" s="10" t="str">
        <f>TRIM(_xlfn.TEXTJOIN("_",FALSE(),H455,(SUBSTITUTE(SUBSTITUTE(D455," ",""), "_", ""))))</f>
        <v>MedinaGonzález__2026_SupplementaryFile1</v>
      </c>
      <c r="K455" s="10" t="str">
        <f>I455 &amp; "_" &amp; SUBSTITUTE(SUBSTITUTE(SUBSTITUTE(D455,CHAR(160),"")," ",""),"_","")</f>
        <v>10.1002%2Fjez.70069_SupplementaryFile1</v>
      </c>
      <c r="L455" s="10" t="str">
        <f t="array" ref="L455">IFERROR(INDEX(AUTO_Public_TSV_FileList!$A$1:$A$1000,MATCH(TRUE(),EXACT(K455,IFERROR(_xlfn.TEXTBEFORE(AUTO_Public_TSV_FileList!$A$1:$A$1000,".tsv"),"")),0)),"notfound")</f>
        <v>10.1002%2Fjez.70069_SupplementaryFile1.tsv</v>
      </c>
      <c r="M455" s="13"/>
      <c r="N455" s="1" t="inlineStr">
        <is>
          <t>table</t>
        </is>
      </c>
      <c r="O455" s="13"/>
      <c r="P455" s="13"/>
      <c r="Q455" s="13"/>
      <c r="R455" s="13"/>
      <c r="S455" s="13"/>
      <c r="T455" s="13"/>
      <c r="U455" s="13"/>
      <c r="V455" s="13"/>
      <c r="W455" s="13"/>
      <c r="X455" s="13"/>
      <c r="Y455" s="13"/>
      <c r="Z455" s="13"/>
      <c r="AA455" s="13"/>
      <c r="AB455" s="13"/>
      <c r="AC455" s="13"/>
      <c r="AD455" s="13"/>
      <c r="AE455" s="13" t="inlineStr">
        <is>
          <t>both</t>
        </is>
      </c>
      <c r="AF455" s="13"/>
      <c r="AG455" s="13"/>
    </row>
    <row r="456" ht="15" customHeight="1">
      <c r="A456" s="1" t="inlineStr">
        <is>
          <t>Medina-González, P. (2026). Joint Angular Excursions and Angular Range Utilization During Stance-Phase Locomotion in Terrestrial Mammals: A Comparative Morphofunctional Data Set. J Exp Zool A Ecol Integr Physiol, 345(4), 361-376. https://doi.org/10.1002/jez.70069</t>
        </is>
      </c>
      <c r="B456" s="13"/>
      <c r="C456" s="13"/>
      <c r="D456" s="13" t="inlineStr">
        <is>
          <t>Supplementary File 2</t>
        </is>
      </c>
      <c r="E456" s="10" t="str">
        <f>SUBSTITUTE(SUBSTITUTE(_xlfn.TEXTBEFORE(A456,","), "-", ""), " ", "")</f>
        <v>MedinaGonzález</v>
      </c>
      <c r="F456" s="10"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6" s="10" t="str">
        <f>_xlfn.TEXTBEFORE(_xlfn.TEXTAFTER(A456, "("), ")")</f>
        <v>2026</v>
      </c>
      <c r="H456" s="10" t="str">
        <f>E456 &amp; IF(F456&lt;&gt;"", "_" &amp; SUBSTITUTE(F456," ",""), "_") &amp; IF(G456&lt;&gt;"", "_" &amp; G456, "_") &amp; IF(B456&lt;&gt;"", "_" &amp; B456, "")</f>
        <v>MedinaGonzález__2026</v>
      </c>
      <c r="I456" s="10" t="str">
        <f>_xlfn.LET(
_xlpm.doi,IF(C456&lt;&gt;"",C456,_xlfn.TEXTAFTER(A456,"https://doi.org/")),
SUBSTITUTE(
SUBSTITUTE(
SUBSTITUTE(
SUBSTITUTE(
_xlpm.doi,
"/","%2F"),
":","%3A"),
"&lt;","%3C"),
"&gt;","%3E")
)</f>
        <v>10.1002%2Fjez.70069</v>
      </c>
      <c r="J456" s="10" t="str">
        <f>TRIM(_xlfn.TEXTJOIN("_",FALSE(),H456,(SUBSTITUTE(SUBSTITUTE(D456," ",""), "_", ""))))</f>
        <v>MedinaGonzález__2026_SupplementaryFile2</v>
      </c>
      <c r="K456" s="10" t="str">
        <f>I456 &amp; "_" &amp; SUBSTITUTE(SUBSTITUTE(SUBSTITUTE(D456,CHAR(160),"")," ",""),"_","")</f>
        <v>10.1002%2Fjez.70069_SupplementaryFile2</v>
      </c>
      <c r="L456" s="10" t="str">
        <f t="array" ref="L456">IFERROR(INDEX(AUTO_Public_TSV_FileList!$A$1:$A$1000,MATCH(TRUE(),EXACT(K456,IFERROR(_xlfn.TEXTBEFORE(AUTO_Public_TSV_FileList!$A$1:$A$1000,".tsv"),"")),0)),"notfound")</f>
        <v>10.1002%2Fjez.70069_SupplementaryFile2.tsv</v>
      </c>
      <c r="M456" s="13"/>
      <c r="N456" s="1" t="inlineStr">
        <is>
          <t>table</t>
        </is>
      </c>
      <c r="O456" s="13"/>
      <c r="P456" s="13"/>
      <c r="Q456" s="13"/>
      <c r="R456" s="13"/>
      <c r="S456" s="13"/>
      <c r="T456" s="13"/>
      <c r="U456" s="13"/>
      <c r="V456" s="13"/>
      <c r="W456" s="13"/>
      <c r="X456" s="13"/>
      <c r="Y456" s="13"/>
      <c r="Z456" s="13"/>
      <c r="AA456" s="13"/>
      <c r="AB456" s="13"/>
      <c r="AC456" s="13"/>
      <c r="AD456" s="13"/>
      <c r="AE456" s="13" t="inlineStr">
        <is>
          <t>both</t>
        </is>
      </c>
      <c r="AF456" s="13"/>
      <c r="AG456" s="13"/>
    </row>
    <row r="457" ht="15" customHeight="1">
      <c r="A457" s="1" t="inlineStr">
        <is>
          <t>Medina-González, P. (2026). Joint Angular Excursions and Angular Range Utilization During Stance-Phase Locomotion in Terrestrial Mammals: A Comparative Morphofunctional Data Set. J Exp Zool A Ecol Integr Physiol, 345(4), 361-376. https://doi.org/10.1002/jez.70069</t>
        </is>
      </c>
      <c r="B457" s="13"/>
      <c r="C457" s="13"/>
      <c r="D457" s="13" t="inlineStr">
        <is>
          <t>Supplementary File 3</t>
        </is>
      </c>
      <c r="E457" s="10" t="str">
        <f>SUBSTITUTE(SUBSTITUTE(_xlfn.TEXTBEFORE(A457,","), "-", ""), " ", "")</f>
        <v>MedinaGonzález</v>
      </c>
      <c r="F457" s="10"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7" s="10" t="str">
        <f>_xlfn.TEXTBEFORE(_xlfn.TEXTAFTER(A457, "("), ")")</f>
        <v>2026</v>
      </c>
      <c r="H457" s="10" t="str">
        <f>E457 &amp; IF(F457&lt;&gt;"", "_" &amp; SUBSTITUTE(F457," ",""), "_") &amp; IF(G457&lt;&gt;"", "_" &amp; G457, "_") &amp; IF(B457&lt;&gt;"", "_" &amp; B457, "")</f>
        <v>MedinaGonzález__2026</v>
      </c>
      <c r="I457" s="10" t="str">
        <f>_xlfn.LET(
_xlpm.doi,IF(C457&lt;&gt;"",C457,_xlfn.TEXTAFTER(A457,"https://doi.org/")),
SUBSTITUTE(
SUBSTITUTE(
SUBSTITUTE(
SUBSTITUTE(
_xlpm.doi,
"/","%2F"),
":","%3A"),
"&lt;","%3C"),
"&gt;","%3E")
)</f>
        <v>10.1002%2Fjez.70069</v>
      </c>
      <c r="J457" s="10" t="str">
        <f>TRIM(_xlfn.TEXTJOIN("_",FALSE(),H457,(SUBSTITUTE(SUBSTITUTE(D457," ",""), "_", ""))))</f>
        <v>MedinaGonzález__2026_SupplementaryFile3</v>
      </c>
      <c r="K457" s="10" t="str">
        <f>I457 &amp; "_" &amp; SUBSTITUTE(SUBSTITUTE(SUBSTITUTE(D457,CHAR(160),"")," ",""),"_","")</f>
        <v>10.1002%2Fjez.70069_SupplementaryFile3</v>
      </c>
      <c r="L457" s="10" t="str">
        <f t="array" ref="L457">IFERROR(INDEX(AUTO_Public_TSV_FileList!$A$1:$A$1000,MATCH(TRUE(),EXACT(K457,IFERROR(_xlfn.TEXTBEFORE(AUTO_Public_TSV_FileList!$A$1:$A$1000,".tsv"),"")),0)),"notfound")</f>
        <v>10.1002%2Fjez.70069_SupplementaryFile3.tsv</v>
      </c>
      <c r="M457" s="13"/>
      <c r="N457" s="1" t="inlineStr">
        <is>
          <t>table</t>
        </is>
      </c>
      <c r="O457" s="13"/>
      <c r="P457" s="13"/>
      <c r="Q457" s="13"/>
      <c r="R457" s="13"/>
      <c r="S457" s="13"/>
      <c r="T457" s="13"/>
      <c r="U457" s="13"/>
      <c r="V457" s="13"/>
      <c r="W457" s="13"/>
      <c r="X457" s="13"/>
      <c r="Y457" s="13"/>
      <c r="Z457" s="13"/>
      <c r="AA457" s="13"/>
      <c r="AB457" s="13"/>
      <c r="AC457" s="13"/>
      <c r="AD457" s="13"/>
      <c r="AE457" s="13" t="inlineStr">
        <is>
          <t>both</t>
        </is>
      </c>
      <c r="AF457" s="13"/>
      <c r="AG457" s="13"/>
    </row>
    <row r="458" ht="15" customHeight="1">
      <c r="A458" s="9" t="inlineStr">
        <is>
          <t>Møhl, B. (1968). Auditory sensitivity of the common seal in air and water. The Journal of Auditory Research, 8, 27-38.</t>
        </is>
      </c>
      <c r="B458" s="9"/>
      <c r="C458" s="9" t="inlineStr">
        <is>
          <t>AN:1969-15508-001</t>
        </is>
      </c>
      <c r="D458" s="9" t="inlineStr">
        <is>
          <t>Table II</t>
        </is>
      </c>
      <c r="E458" s="11" t="str">
        <f>SUBSTITUTE(SUBSTITUTE(_xlfn.TEXTBEFORE(A458,","), "-", ""), " ", "")</f>
        <v>Møhl</v>
      </c>
      <c r="F458" s="10"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10" t="str">
        <f>_xlfn.TEXTBEFORE(_xlfn.TEXTAFTER(A458, "("), ")")</f>
        <v>1968</v>
      </c>
      <c r="H458" s="11" t="str">
        <f>E458 &amp; IF(F458&lt;&gt;"", "_" &amp; SUBSTITUTE(F458," ",""), "_") &amp; IF(G458&lt;&gt;"", "_" &amp; G458, "_") &amp; IF(B458&lt;&gt;"", "_" &amp; B458, "")</f>
        <v>Møhl__1968</v>
      </c>
      <c r="I458" s="11" t="str">
        <f>_xlfn.LET(_xlpm.doi,IF(C458&lt;&gt;"",C458,_xlfn.TEXTAFTER(A458,"https://doi.org/")),SUBSTITUTE(SUBSTITUTE(SUBSTITUTE(SUBSTITUTE(_xlpm.doi,"/","%2F"),":","%3A"),"&lt;","%3C"),"&gt;","%3E"))</f>
        <v>AN%3A1969-15508-001</v>
      </c>
      <c r="J458" s="11" t="str">
        <f>TRIM(_xlfn.TEXTJOIN("_",FALSE(),H458,(SUBSTITUTE(SUBSTITUTE(D458," ",""), "_", ""))))</f>
        <v>Møhl__1968_TableII</v>
      </c>
      <c r="K458" s="10" t="str">
        <f>I458 &amp; "_" &amp; SUBSTITUTE(SUBSTITUTE(SUBSTITUTE(D458,CHAR(160),"")," ",""),"_","")</f>
        <v>AN%3A1969-15508-001_TableII</v>
      </c>
      <c r="L458" s="10" t="str">
        <f t="array" ref="L458">IFERROR(INDEX(AUTO_Public_TSV_FileList!$A$1:$A$1000,MATCH(TRUE(),EXACT(K458,IFERROR(_xlfn.TEXTBEFORE(AUTO_Public_TSV_FileList!$A$1:$A$1000,".tsv"),"")),0)),"notfound")</f>
        <v>AN%3A1969-15508-001_TableII.tsv</v>
      </c>
      <c r="M458" s="9" t="inlineStr">
        <is>
          <t>Common seal (Phoca vitulina) audiogram in air and water, 20 rows across both media</t>
        </is>
      </c>
      <c r="N458" s="9" t="inlineStr">
        <is>
          <t>PDF table</t>
        </is>
      </c>
      <c r="O458" s="9" t="inlineStr">
        <is>
          <t>Registry row added 2026-09-27. No DOI exists (pre-1970s journal) -- Alt identifier JAudRes:8:27-38 used per house convention. Built same day; public TSV uploaded (renamed from a temporary placeholder DOI used before this row existed).</t>
        </is>
      </c>
      <c r="P458" s="9" t="inlineStr">
        <is>
          <t>FINISHED</t>
        </is>
      </c>
      <c r="Q458" s="9"/>
      <c r="R458" s="9"/>
      <c r="S458" s="9"/>
      <c r="T458" s="9"/>
      <c r="U458" s="9"/>
      <c r="V458" s="9"/>
      <c r="W458" s="9"/>
      <c r="X458" s="9"/>
      <c r="Y458" s="9"/>
      <c r="Z458" s="9"/>
      <c r="AA458" s="9"/>
      <c r="AB458" s="9"/>
      <c r="AC458" s="9"/>
      <c r="AD458" s="9"/>
      <c r="AE458" s="9"/>
      <c r="AF458" s="9"/>
      <c r="AG458" s="9"/>
    </row>
    <row r="459" ht="15" customHeight="1">
      <c r="A459" s="1" t="inlineStr">
        <is>
          <t>Mooney, T. A., Yamato, M., &amp; Branstetter, B. K. (2012). Hearing in Cetaceans: From Natural History to Experimental Biology. Advances in Marine Biology, 63, 197–246. https://doi.org/10.1016/B978-0-12-394282-1.00004-1</t>
        </is>
      </c>
      <c r="B459" s="9"/>
      <c r="C459" s="9"/>
      <c r="D459" s="1" t="inlineStr">
        <is>
          <t>Table 4.1</t>
        </is>
      </c>
      <c r="E459" s="10" t="str">
        <f>SUBSTITUTE(SUBSTITUTE(_xlfn.TEXTBEFORE(A459,","), "-", ""), " ", "")</f>
        <v>Mooney</v>
      </c>
      <c r="F459" s="10"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10" t="str">
        <f>_xlfn.TEXTBEFORE(_xlfn.TEXTAFTER(A459, "("), ")")</f>
        <v>2012</v>
      </c>
      <c r="H459" s="10" t="str">
        <f>E459 &amp; IF(F459&lt;&gt;"", "_" &amp; SUBSTITUTE(F459," ",""), "_") &amp; IF(G459&lt;&gt;"", "_" &amp; G459, "_") &amp; IF(B459&lt;&gt;"", "_" &amp; B459, "")</f>
        <v>Mooney_etal_2012</v>
      </c>
      <c r="I459" s="10" t="str">
        <f>_xlfn.LET(
_xlpm.doi,IF(C459&lt;&gt;"",C459,_xlfn.TEXTAFTER(A459,"https://doi.org/")),
SUBSTITUTE(
SUBSTITUTE(
SUBSTITUTE(
SUBSTITUTE(
_xlpm.doi,
"/","%2F"),
":","%3A"),
"&lt;","%3C"),
"&gt;","%3E")
)</f>
        <v>10.1016%2FB978-0-12-394282-1.00004-1</v>
      </c>
      <c r="J459" s="10" t="str">
        <f>TRIM(_xlfn.TEXTJOIN("_",FALSE(),H459,(SUBSTITUTE(SUBSTITUTE(D459," ",""), "_", ""))))</f>
        <v>Mooney_etal_2012_Table4.1</v>
      </c>
      <c r="K459" s="10" t="str">
        <f>I459 &amp; "_" &amp; SUBSTITUTE(SUBSTITUTE(SUBSTITUTE(D459,CHAR(160),""), " ", ""), "_", "")</f>
        <v>10.1016%2FB978-0-12-394282-1.00004-1_Table4.1</v>
      </c>
      <c r="L459" s="10" t="str">
        <f t="array" ref="L459">IFERROR(INDEX(AUTO_Public_TSV_FileList!$A$1:$A$1000,MATCH(TRUE(),EXACT(K459,IFERROR(_xlfn.TEXTBEFORE(AUTO_Public_TSV_FileList!$A$1:$A$1000,".tsv"),"")),0)),"notfound")</f>
        <v>10.1016%2FB978-0-12-394282-1.00004-1_Table4.1.tsv</v>
      </c>
      <c r="M459" s="13" t="inlineStr">
        <is>
          <t>Table 4.1. Odontocete audiograms chronologically from initial tests on the species</t>
        </is>
      </c>
      <c r="N459" s="1" t="inlineStr">
        <is>
          <t>table</t>
        </is>
      </c>
      <c r="O459" s="13" t="inlineStr">
        <is>
          <t>Public TSV upload to __Public/comparative-data pending (same infra timeout; retry together). Two rows (S. coeruleoalba, G. melas) print a best-sensitivity frequency range wider than the row's own hearing range -- transcribed exactly as printed, not corrected; see item README.</t>
        </is>
      </c>
      <c r="P459" s="1" t="inlineStr">
        <is>
          <t>FINISHED</t>
        </is>
      </c>
      <c r="Q459" s="9"/>
      <c r="R459" s="13" t="inlineStr">
        <is>
          <t>https://doi.org/10.1016/B978-0-12-394282-1.00004-1</t>
        </is>
      </c>
      <c r="S459" s="9"/>
      <c r="T459" s="9"/>
      <c r="U459" s="9"/>
      <c r="V459" s="13" t="inlineStr">
        <is>
          <t>Sensory</t>
        </is>
      </c>
      <c r="W459" s="1" t="inlineStr">
        <is>
          <t>Odontoceti (18 species, 31 published tests)</t>
        </is>
      </c>
      <c r="X459" s="1" t="inlineStr">
        <is>
          <t>audiogram (hearing range; frequency range of best sensitivity)</t>
        </is>
      </c>
      <c r="Y459" s="9"/>
      <c r="Z459" s="13" t="inlineStr">
        <is>
          <t>behavioral audiometry; auditory evoked potential (AEP)</t>
        </is>
      </c>
      <c r="AA459" s="13" t="inlineStr">
        <is>
          <t>psychoacoustic / electrophysiological testing (compiled review)</t>
        </is>
      </c>
      <c r="AB459" s="1" t="inlineStr">
        <is>
          <t>frequency (kHz)</t>
        </is>
      </c>
      <c r="AC459" s="1" t="inlineStr">
        <is>
          <t>Mooney</t>
        </is>
      </c>
      <c r="AD459" s="13" t="inlineStr">
        <is>
          <t>compiled from 20 primary studies (see item README/definitions)</t>
        </is>
      </c>
      <c r="AE459" s="1" t="inlineStr">
        <is>
          <t>secondary</t>
        </is>
      </c>
      <c r="AF459" s="1" t="inlineStr">
        <is>
          <t>compiled from 20 primary studies (see item README/definitions)</t>
        </is>
      </c>
      <c r="AG459" s="9"/>
    </row>
    <row r="460" ht="15" customHeight="1">
      <c r="A460" s="13" t="inlineStr">
        <is>
          <t>Mooney, T. A., Yamato, M., &amp; Branstetter, B. K. (2012). Hearing in cetaceans: From natural history to experimental biology. Advances in Marine Biology, 63, 197–246. https://doi.org/10.1016/B978-0-12-394282-1.00004-1</t>
        </is>
      </c>
      <c r="B460" s="13"/>
      <c r="C460" s="13"/>
      <c r="D460" s="13" t="inlineStr">
        <is>
          <t>Table 4.1</t>
        </is>
      </c>
      <c r="E460" s="10" t="str">
        <f>SUBSTITUTE(SUBSTITUTE(_xlfn.TEXTBEFORE(A460,","), "-", ""), " ", "")</f>
        <v>Mooney</v>
      </c>
      <c r="F460" s="10"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10" t="str">
        <f>_xlfn.TEXTBEFORE(_xlfn.TEXTAFTER(A460, "("), ")")</f>
        <v>2012</v>
      </c>
      <c r="H460" s="10" t="str">
        <f>E460 &amp; IF(F460&lt;&gt;"", "_" &amp; SUBSTITUTE(F460," ",""), "_") &amp; IF(G460&lt;&gt;"", "_" &amp; G460, "_") &amp; IF(B460&lt;&gt;"", "_" &amp; B460, "")</f>
        <v>Mooney_etal_2012</v>
      </c>
      <c r="I460" s="10" t="str">
        <f>_xlfn.LET(
_xlpm.doi,IF(C460&lt;&gt;"",C460,_xlfn.TEXTAFTER(A460,"https://doi.org/")),
SUBSTITUTE(
SUBSTITUTE(
SUBSTITUTE(
SUBSTITUTE(
_xlpm.doi,
"/","%2F"),
":","%3A"),
"&lt;","%3C"),
"&gt;","%3E")
)</f>
        <v>10.1016%2FB978-0-12-394282-1.00004-1</v>
      </c>
      <c r="J460" s="10" t="str">
        <f>TRIM(_xlfn.TEXTJOIN("_",FALSE(),H460,(SUBSTITUTE(SUBSTITUTE(D460," ",""), "_", ""))))</f>
        <v>Mooney_etal_2012_Table4.1</v>
      </c>
      <c r="K460" s="10" t="str">
        <f>I460 &amp; "_" &amp; SUBSTITUTE(SUBSTITUTE(SUBSTITUTE(D460,CHAR(160),"")," ",""),"_","")</f>
        <v>10.1016%2FB978-0-12-394282-1.00004-1_Table4.1</v>
      </c>
      <c r="L460" s="10" t="str">
        <f t="array" ref="L460">IFERROR(INDEX(AUTO_Public_TSV_FileList!$A$1:$A$1000,MATCH(TRUE(),EXACT(K460,IFERROR(_xlfn.TEXTBEFORE(AUTO_Public_TSV_FileList!$A$1:$A$1000,".tsv"),"")),0)),"notfound")</f>
        <v>10.1016%2FB978-0-12-394282-1.00004-1_Table4.1.tsv</v>
      </c>
      <c r="M460" s="13" t="inlineStr">
        <is>
          <t>Table 4.1 Odontocete audiograms chronologically from initial tests on the species</t>
        </is>
      </c>
      <c r="N460" s="13" t="inlineStr">
        <is>
          <t>PDF table</t>
        </is>
      </c>
      <c r="O460" s="13" t="inlineStr">
        <is>
          <t>~20 odontocete taxa: n, hearing range (kHz), best sensitivity range (kHz), method (behaviour vs physiology/AEP), reference. Footnotes: a varied by sex/age; b same animal as preceding study; c upper limit not established.</t>
        </is>
      </c>
      <c r="P460" s="13"/>
      <c r="Q460" s="13"/>
      <c r="R460" s="13" t="inlineStr">
        <is>
          <t>https://doi.org/10.1016/B978-0-12-394282-1.00004-1</t>
        </is>
      </c>
      <c r="S460" s="13"/>
      <c r="T460" s="13" t="inlineStr">
        <is>
          <t>S. coeruleoalba and G. melas rows appear to have range/best columns swapped as printed – verify against original refs; repeat tests on same animal</t>
        </is>
      </c>
      <c r="U460" s="13"/>
      <c r="V460" s="13" t="inlineStr">
        <is>
          <t>sensory hearing</t>
        </is>
      </c>
      <c r="W460" s="13" t="inlineStr">
        <is>
          <t>Odontoceti</t>
        </is>
      </c>
      <c r="X460" s="13" t="inlineStr">
        <is>
          <t>hearing range (kHz); best sensitivity range (kHz)</t>
        </is>
      </c>
      <c r="Y460" s="13" t="inlineStr">
        <is>
          <t>sample size; method</t>
        </is>
      </c>
      <c r="Z460" s="13"/>
      <c r="AA460" s="13" t="inlineStr">
        <is>
          <t>behavioural and AEP audiograms (compilation)</t>
        </is>
      </c>
      <c r="AB460" s="13" t="inlineStr">
        <is>
          <t>kHz</t>
        </is>
      </c>
      <c r="AC460" s="13" t="inlineStr">
        <is>
          <t>Mooney</t>
        </is>
      </c>
      <c r="AD460" s="13"/>
      <c r="AE460" s="13" t="inlineStr">
        <is>
          <t>secondary</t>
        </is>
      </c>
      <c r="AF460" s="13" t="inlineStr">
        <is>
          <t>see References column of table</t>
        </is>
      </c>
      <c r="AG460" s="13" t="inlineStr">
        <is>
          <t>Extract; record method.</t>
        </is>
      </c>
    </row>
    <row r="461" ht="15" customHeight="1">
      <c r="A461" s="13" t="inlineStr">
        <is>
          <t>Mooney, T. A., Yamato, M., &amp; Branstetter, B. K. (2012). Hearing in cetaceans: From natural history to experimental biology. Advances in Marine Biology, 63, 197–246. https://doi.org/10.1016/B978-0-12-394282-1.00004-1</t>
        </is>
      </c>
      <c r="B461" s="13"/>
      <c r="C461" s="13"/>
      <c r="D461" s="13" t="inlineStr">
        <is>
          <t>Text</t>
        </is>
      </c>
      <c r="E461" s="10" t="str">
        <f>SUBSTITUTE(SUBSTITUTE(_xlfn.TEXTBEFORE(A461,","), "-", ""), " ", "")</f>
        <v>Mooney</v>
      </c>
      <c r="F461" s="10"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10" t="str">
        <f>_xlfn.TEXTBEFORE(_xlfn.TEXTAFTER(A461, "("), ")")</f>
        <v>2012</v>
      </c>
      <c r="H461" s="10" t="str">
        <f>E461 &amp; IF(F461&lt;&gt;"", "_" &amp; SUBSTITUTE(F461," ",""), "_") &amp; IF(G461&lt;&gt;"", "_" &amp; G461, "_") &amp; IF(B461&lt;&gt;"", "_" &amp; B461, "")</f>
        <v>Mooney_etal_2012</v>
      </c>
      <c r="I461" s="10" t="str">
        <f>_xlfn.LET(
_xlpm.doi,IF(C461&lt;&gt;"",C461,_xlfn.TEXTAFTER(A461,"https://doi.org/")),
SUBSTITUTE(
SUBSTITUTE(
SUBSTITUTE(
SUBSTITUTE(
_xlpm.doi,
"/","%2F"),
":","%3A"),
"&lt;","%3C"),
"&gt;","%3E")
)</f>
        <v>10.1016%2FB978-0-12-394282-1.00004-1</v>
      </c>
      <c r="J461" s="10" t="str">
        <f>TRIM(_xlfn.TEXTJOIN("_",FALSE(),H461,(SUBSTITUTE(SUBSTITUTE(D461," ",""), "_", ""))))</f>
        <v>Mooney_etal_2012_Text</v>
      </c>
      <c r="K461" s="10" t="str">
        <f>I461 &amp; "_" &amp; SUBSTITUTE(SUBSTITUTE(SUBSTITUTE(D461,CHAR(160),"")," ",""),"_","")</f>
        <v>10.1016%2FB978-0-12-394282-1.00004-1_Text</v>
      </c>
      <c r="L461" s="10" t="str">
        <f t="array" ref="L461">IFERROR(INDEX(AUTO_Public_TSV_FileList!$A$1:$A$1000,MATCH(TRUE(),EXACT(K461,IFERROR(_xlfn.TEXTBEFORE(AUTO_Public_TSV_FileList!$A$1:$A$1000,".tsv"),"")),0)),"notfound")</f>
        <v>10.1016%2FB978-0-12-394282-1.00004-1_Text.tsv</v>
      </c>
      <c r="M461" s="13" t="inlineStr">
        <is>
          <t>Text. Localization, beam patterns, and mysticete hearing estimates</t>
        </is>
      </c>
      <c r="N461" s="13" t="inlineStr">
        <is>
          <t>text</t>
        </is>
      </c>
      <c r="O461" s="13" t="inlineStr">
        <is>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is>
      </c>
      <c r="P461" s="13"/>
      <c r="Q461" s="13"/>
      <c r="R461" s="13" t="inlineStr">
        <is>
          <t>https://doi.org/10.1016/B978-0-12-394282-1.00004-1</t>
        </is>
      </c>
      <c r="S461" s="13"/>
      <c r="T461" s="13" t="inlineStr">
        <is>
          <t>ITD printed as "7 ms" – likely 7 µs, verify; mysticete values are predictions</t>
        </is>
      </c>
      <c r="U461" s="13"/>
      <c r="V461" s="13" t="inlineStr">
        <is>
          <t>sensory hearing</t>
        </is>
      </c>
      <c r="W461" s="13" t="inlineStr">
        <is>
          <t>Cetacea</t>
        </is>
      </c>
      <c r="X461" s="13" t="inlineStr">
        <is>
          <t>minimum audible angle; hearing limits; receiving beam width</t>
        </is>
      </c>
      <c r="Y461" s="13"/>
      <c r="Z461" s="13"/>
      <c r="AA461" s="13" t="inlineStr">
        <is>
          <t>literature summary</t>
        </is>
      </c>
      <c r="AB461" s="13" t="inlineStr">
        <is>
          <t>degrees; kHz; dB re 1 µPa</t>
        </is>
      </c>
      <c r="AC461" s="13" t="inlineStr">
        <is>
          <t>Mooney</t>
        </is>
      </c>
      <c r="AD461" s="13"/>
      <c r="AE461" s="13" t="inlineStr">
        <is>
          <t>secondary</t>
        </is>
      </c>
      <c r="AF461" s="13" t="inlineStr">
        <is>
          <t>Renaud &amp; Popper (1975); Au &amp; Moore (1984); Nachtigall et al. (2005); Szymanski et al. (1999); Parks et al. (2007)</t>
        </is>
      </c>
      <c r="AG461" s="13" t="inlineStr">
        <is>
          <t>Extract selected values.</t>
        </is>
      </c>
    </row>
    <row r="462" ht="15" customHeight="1">
      <c r="A462" s="13" t="inlineStr">
        <is>
          <t>Morelli, A. M., Saada, A., &amp; Scholkmann, F. (2025). Myelin: A possible proton capacitor for energy storage during sleep and energy supply during wakefulness. Progress in Biophysics and Molecular Biology, 196, 91-101. https://doi.org/10.1016/j.pbiomolbio.2025.03.001</t>
        </is>
      </c>
      <c r="B462" s="13"/>
      <c r="C462" s="13"/>
      <c r="D462" s="13" t="inlineStr">
        <is>
          <t>Figure 5</t>
        </is>
      </c>
      <c r="E462" s="10" t="str">
        <f>SUBSTITUTE(SUBSTITUTE(_xlfn.TEXTBEFORE(A462,","), "-", ""), " ", "")</f>
        <v>Morelli</v>
      </c>
      <c r="F462" s="10"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10" t="str">
        <f>_xlfn.TEXTBEFORE(_xlfn.TEXTAFTER(A462, "("), ")")</f>
        <v>2025</v>
      </c>
      <c r="H462" s="10" t="str">
        <f>E462 &amp; IF(F462&lt;&gt;"", "_" &amp; SUBSTITUTE(F462," ",""), "_") &amp; IF(G462&lt;&gt;"", "_" &amp; G462, "_") &amp; IF(B462&lt;&gt;"", "_" &amp; B462, "")</f>
        <v>Morelli_etal_2025</v>
      </c>
      <c r="I462" s="10" t="str">
        <f>_xlfn.LET(
_xlpm.doi,IF(C462&lt;&gt;"",C462,_xlfn.TEXTAFTER(A462,"https://doi.org/")),
SUBSTITUTE(
SUBSTITUTE(
SUBSTITUTE(
SUBSTITUTE(
_xlpm.doi,
"/","%2F"),
":","%3A"),
"&lt;","%3C"),
"&gt;","%3E")
)</f>
        <v>10.1016%2Fj.pbiomolbio.2025.03.001</v>
      </c>
      <c r="J462" s="10" t="str">
        <f>TRIM(_xlfn.TEXTJOIN("_",FALSE(),H462,(SUBSTITUTE(SUBSTITUTE(D462," ",""), "_", ""))))</f>
        <v>Morelli_etal_2025_Figure5</v>
      </c>
      <c r="K462" s="10" t="str">
        <f>I462 &amp; "_" &amp; SUBSTITUTE(SUBSTITUTE(SUBSTITUTE(D462,CHAR(160),"")," ",""),"_","")</f>
        <v>10.1016%2Fj.pbiomolbio.2025.03.001_Figure5</v>
      </c>
      <c r="L462" s="10" t="str">
        <f t="array" ref="L462">IFERROR(INDEX(AUTO_Public_TSV_FileList!$A$1:$A$1000,MATCH(TRUE(),EXACT(K462,IFERROR(_xlfn.TEXTBEFORE(AUTO_Public_TSV_FileList!$A$1:$A$1000,".tsv"),"")),0)),"notfound")</f>
        <v>notfound</v>
      </c>
      <c r="M462" s="13" t="inlineStr">
        <is>
          <t>Fig. 5.Allometric scaling between white matter volume and sleep time.</t>
        </is>
      </c>
      <c r="N462" s="13"/>
      <c r="O462" s="13"/>
      <c r="P462" s="13"/>
      <c r="Q462" s="13"/>
      <c r="R462" s="13"/>
      <c r="S462" s="13"/>
      <c r="T462" s="13"/>
      <c r="U462" s="13"/>
      <c r="V462" s="13"/>
      <c r="W462" s="13"/>
      <c r="X462" s="13"/>
      <c r="Y462" s="13"/>
      <c r="Z462" s="13"/>
      <c r="AA462" s="13"/>
      <c r="AB462" s="13"/>
      <c r="AC462" s="13"/>
      <c r="AD462" s="13"/>
      <c r="AE462" s="13"/>
      <c r="AF462" s="13"/>
      <c r="AG462" s="13"/>
    </row>
    <row r="463" ht="15" customHeight="1">
      <c r="A463" s="13" t="inlineStr">
        <is>
          <t>Morgan, J. T., Barger, N., Amaral, D. G., &amp; Schumann, C. M. (2014). Stereological study of amygdala glial populations in adolescents and adults with autism spectrum disorder. PLoS ONE, 9(10), e110356. https://doi.org/10.1371/journal.pone.0110356</t>
        </is>
      </c>
      <c r="B463" s="13"/>
      <c r="C463" s="13"/>
      <c r="D463" s="13" t="inlineStr">
        <is>
          <t>Data S1</t>
        </is>
      </c>
      <c r="E463" s="10" t="str">
        <f>SUBSTITUTE(SUBSTITUTE(_xlfn.TEXTBEFORE(A463,","), "-", ""), " ", "")</f>
        <v>Morgan</v>
      </c>
      <c r="F463" s="10"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10" t="str">
        <f>_xlfn.TEXTBEFORE(_xlfn.TEXTAFTER(A463, "("), ")")</f>
        <v>2014</v>
      </c>
      <c r="H463" s="10" t="str">
        <f>E463 &amp; IF(F463&lt;&gt;"", "_" &amp; SUBSTITUTE(F463," ",""), "_") &amp; IF(G463&lt;&gt;"", "_" &amp; G463, "_") &amp; IF(B463&lt;&gt;"", "_" &amp; B463, "")</f>
        <v>Morgan_etal_2014</v>
      </c>
      <c r="I463" s="10" t="str">
        <f>_xlfn.LET(
_xlpm.doi,IF(C463&lt;&gt;"",C463,_xlfn.TEXTAFTER(A463,"https://doi.org/")),
SUBSTITUTE(
SUBSTITUTE(
SUBSTITUTE(
SUBSTITUTE(
_xlpm.doi,
"/","%2F"),
":","%3A"),
"&lt;","%3C"),
"&gt;","%3E")
)</f>
        <v>10.1371%2Fjournal.pone.0110356</v>
      </c>
      <c r="J463" s="10" t="str">
        <f>TRIM(_xlfn.TEXTJOIN("_",FALSE(),H463,(SUBSTITUTE(SUBSTITUTE(D463," ",""), "_", ""))))</f>
        <v>Morgan_etal_2014_DataS1</v>
      </c>
      <c r="K463" s="10" t="str">
        <f>I463 &amp; "_" &amp; SUBSTITUTE(SUBSTITUTE(SUBSTITUTE(D463,CHAR(160),"")," ",""),"_","")</f>
        <v>10.1371%2Fjournal.pone.0110356_DataS1</v>
      </c>
      <c r="L463" s="10" t="str">
        <f t="array" ref="L463">IFERROR(INDEX(AUTO_Public_TSV_FileList!$A$1:$A$1000,MATCH(TRUE(),EXACT(K463,IFERROR(_xlfn.TEXTBEFORE(AUTO_Public_TSV_FileList!$A$1:$A$1000,".tsv"),"")),0)),"notfound")</f>
        <v>10.1371%2Fjournal.pone.0110356_DataS1.tsv</v>
      </c>
      <c r="M463" s="13" t="inlineStr">
        <is>
          <t>Amygdala per-individual stereological cell counts (ASD + Control)</t>
        </is>
      </c>
      <c r="N463" s="13" t="inlineStr">
        <is>
          <t>supplementary dataset (xlsx)</t>
        </is>
      </c>
      <c r="O463" s="13"/>
      <c r="P463" s="13" t="inlineStr">
        <is>
          <t>FINISHED</t>
        </is>
      </c>
      <c r="Q463" s="13" t="inlineStr">
        <is>
          <t>Morgan_etal_2014_DataS1_snapshot.xlsx</t>
        </is>
      </c>
      <c r="R463" s="13"/>
      <c r="S463" s="13"/>
      <c r="T463" s="13"/>
      <c r="U463" s="13"/>
      <c r="V463" s="13"/>
      <c r="W463" s="13" t="inlineStr">
        <is>
          <t>Humans</t>
        </is>
      </c>
      <c r="X463" s="13"/>
      <c r="Y463" s="13"/>
      <c r="Z463" s="13" t="inlineStr">
        <is>
          <t>amygdala neuron &amp; glia number/density</t>
        </is>
      </c>
      <c r="AA463" s="13" t="inlineStr">
        <is>
          <t>stereology (optical fractionator)</t>
        </is>
      </c>
      <c r="AB463" s="13" t="inlineStr">
        <is>
          <t>cell count &amp; density</t>
        </is>
      </c>
      <c r="AC463" s="13" t="inlineStr">
        <is>
          <t>Schumann</t>
        </is>
      </c>
      <c r="AD463" s="13"/>
      <c r="AE463" s="13" t="inlineStr">
        <is>
          <t>primary</t>
        </is>
      </c>
      <c r="AF463" s="13"/>
      <c r="AG463" s="13"/>
    </row>
    <row r="464" ht="15" customHeight="1">
      <c r="A464" s="1" t="inlineStr">
        <is>
          <t>Mota, B., &amp; Herculano-Houzel, S. (2015). Cortical folding scales universally with surface area and thickness, not number of neurons. Science, 349(6243), 74-77. https://doi.org/10.1126/science.aaa9101</t>
        </is>
      </c>
      <c r="B464" s="13"/>
      <c r="C464" s="13"/>
      <c r="D464" s="1" t="inlineStr">
        <is>
          <t>Table S1</t>
        </is>
      </c>
      <c r="E464" s="10" t="str">
        <f>SUBSTITUTE(SUBSTITUTE(_xlfn.TEXTBEFORE(A464,","), "-", ""), " ", "")</f>
        <v>Mota</v>
      </c>
      <c r="F464" s="10"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4" s="10" t="str">
        <f>_xlfn.TEXTBEFORE(_xlfn.TEXTAFTER(A464, "("), ")")</f>
        <v>2015</v>
      </c>
      <c r="H464" s="10" t="str">
        <f>E464 &amp; IF(F464&lt;&gt;"", "_" &amp; SUBSTITUTE(F464," ",""), "_") &amp; IF(G464&lt;&gt;"", "_" &amp; G464, "_") &amp; IF(B464&lt;&gt;"", "_" &amp; B464, "")</f>
        <v>Mota__2015</v>
      </c>
      <c r="I464" s="10" t="str">
        <f>_xlfn.LET(
_xlpm.doi,IF(C464&lt;&gt;"",C464,_xlfn.TEXTAFTER(A464,"https://doi.org/")),
SUBSTITUTE(
SUBSTITUTE(
SUBSTITUTE(
SUBSTITUTE(
_xlpm.doi,
"/","%2F"),
":","%3A"),
"&lt;","%3C"),
"&gt;","%3E")
)</f>
        <v>10.1126%2Fscience.aaa9101</v>
      </c>
      <c r="J464" s="10" t="str">
        <f>TRIM(_xlfn.TEXTJOIN("_",FALSE(),H464,(SUBSTITUTE(SUBSTITUTE(D464," ",""), "_", ""))))</f>
        <v>Mota__2015_TableS1</v>
      </c>
      <c r="K464" s="10" t="str">
        <f>I464 &amp; "_" &amp; SUBSTITUTE(SUBSTITUTE(SUBSTITUTE(D464,CHAR(160),"")," ",""),"_","")</f>
        <v>10.1126%2Fscience.aaa9101_TableS1</v>
      </c>
      <c r="L464" s="10" t="str">
        <f t="array" ref="L464">IFERROR(INDEX(AUTO_Public_TSV_FileList!$A$1:$A$1000,MATCH(TRUE(),EXACT(K464,IFERROR(_xlfn.TEXTBEFORE(AUTO_Public_TSV_FileList!$A$1:$A$1000,".tsv"),"")),0)),"notfound")</f>
        <v>10.1126%2Fscience.aaa9101_TableS1.tsv</v>
      </c>
      <c r="M464" s="13"/>
      <c r="N464" s="13"/>
      <c r="O464" s="13"/>
      <c r="P464" s="13" t="inlineStr">
        <is>
          <t>FINISHED</t>
        </is>
      </c>
      <c r="Q464" s="13"/>
      <c r="R464" s="13"/>
      <c r="S464" s="13"/>
      <c r="T464" s="13"/>
      <c r="U464" s="13"/>
      <c r="V464" s="13"/>
      <c r="W464" s="1" t="inlineStr">
        <is>
          <t>Mammals</t>
        </is>
      </c>
      <c r="X464" s="1" t="inlineStr">
        <is>
          <t>cortical folding</t>
        </is>
      </c>
      <c r="Y464" s="13"/>
      <c r="Z464" s="13"/>
      <c r="AA464" s="13"/>
      <c r="AB464" s="1" t="inlineStr">
        <is>
          <t>cortical folding</t>
        </is>
      </c>
      <c r="AC464" s="13"/>
      <c r="AD464" s="13"/>
      <c r="AE464" s="1" t="inlineStr">
        <is>
          <t>both</t>
        </is>
      </c>
      <c r="AF464" s="1"/>
      <c r="AG464" s="13"/>
    </row>
    <row r="465" ht="15" customHeight="1">
      <c r="A465" s="1" t="inlineStr">
        <is>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is>
      </c>
      <c r="B465" s="13"/>
      <c r="C465" s="13"/>
      <c r="D465" s="1" t="inlineStr">
        <is>
          <t>Supplementary Table S1</t>
        </is>
      </c>
      <c r="E465" s="10" t="str">
        <f>SUBSTITUTE(SUBSTITUTE(_xlfn.TEXTBEFORE(A465,","), "-", ""), " ", "")</f>
        <v>Mota</v>
      </c>
      <c r="F465" s="10"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10" t="str">
        <f>_xlfn.TEXTBEFORE(_xlfn.TEXTAFTER(A465, "("), ")")</f>
        <v>2019</v>
      </c>
      <c r="H465" s="10" t="str">
        <f>E465 &amp; IF(F465&lt;&gt;"", "_" &amp; SUBSTITUTE(F465," ",""), "_") &amp; IF(G465&lt;&gt;"", "_" &amp; G465, "_") &amp; IF(B465&lt;&gt;"", "_" &amp; B465, "")</f>
        <v>Mota_etal_2019</v>
      </c>
      <c r="I465" s="10" t="str">
        <f>_xlfn.LET(
_xlpm.doi,IF(C465&lt;&gt;"",C465,_xlfn.TEXTAFTER(A465,"https://doi.org/")),
SUBSTITUTE(
SUBSTITUTE(
SUBSTITUTE(
SUBSTITUTE(
_xlpm.doi,
"/","%2F"),
":","%3A"),
"&lt;","%3C"),
"&gt;","%3E")
)</f>
        <v>10.1073%2Fpnas.1716956116</v>
      </c>
      <c r="J465" s="10" t="str">
        <f>TRIM(_xlfn.TEXTJOIN("_",FALSE(),H465,(SUBSTITUTE(SUBSTITUTE(D465," ",""), "_", ""))))</f>
        <v>Mota_etal_2019_SupplementaryTableS1</v>
      </c>
      <c r="K465" s="10" t="str">
        <f>I465 &amp; "_" &amp; SUBSTITUTE(SUBSTITUTE(SUBSTITUTE(D465,CHAR(160),"")," ",""),"_","")</f>
        <v>10.1073%2Fpnas.1716956116_SupplementaryTableS1</v>
      </c>
      <c r="L465" s="10" t="str">
        <f t="array" ref="L465">IFERROR(INDEX(AUTO_Public_TSV_FileList!$A$1:$A$1000,MATCH(TRUE(),EXACT(K465,IFERROR(_xlfn.TEXTBEFORE(AUTO_Public_TSV_FileList!$A$1:$A$1000,".tsv"),"")),0)),"notfound")</f>
        <v>10.1073%2Fpnas.1716956116_SupplementaryTableS1.tsv</v>
      </c>
      <c r="M465" s="1" t="inlineStr">
        <is>
          <t>Supplementary Table S1. Morphometrical and cell number data used in this study (“our dataset”).</t>
        </is>
      </c>
      <c r="N465" s="13"/>
      <c r="O465" s="13"/>
      <c r="P465" s="13" t="inlineStr">
        <is>
          <t>FINISHED</t>
        </is>
      </c>
      <c r="Q465" s="13"/>
      <c r="R465" s="13"/>
      <c r="S465" s="13"/>
      <c r="T465" s="13"/>
      <c r="U465" s="13"/>
      <c r="V465" s="13"/>
      <c r="W465" s="1" t="inlineStr">
        <is>
          <t>Mammals</t>
        </is>
      </c>
      <c r="X465" s="1" t="inlineStr">
        <is>
          <t>white matter &amp; folding</t>
        </is>
      </c>
      <c r="Y465" s="1" t="inlineStr">
        <is>
          <t>total and exposed cortical surface area</t>
        </is>
      </c>
      <c r="Z465" s="13"/>
      <c r="AA465" s="13"/>
      <c r="AB465" s="1" t="inlineStr">
        <is>
          <t>white matter volume / folding</t>
        </is>
      </c>
      <c r="AC465" s="13"/>
      <c r="AD465" s="13"/>
      <c r="AE465" s="1" t="inlineStr">
        <is>
          <t>both</t>
        </is>
      </c>
      <c r="AF465" s="1"/>
      <c r="AG465" s="13"/>
    </row>
    <row r="466" ht="15" customHeight="1">
      <c r="A466" s="13" t="inlineStr">
        <is>
          <t>Myhrvold, N. P., Baldridge, E., Chan, B., Sivam, D., Freeman, D. L., &amp; Ernest, S. K. M. (2015). An amniote life‐history database to perform comparative analyses with birds, mammals, and reptiles. Ecology, 96(11), 3109-3109. https://doi.org/10.1890/15-0846r.1</t>
        </is>
      </c>
      <c r="B466" s="13"/>
      <c r="C466" s="13"/>
      <c r="D466" s="13" t="inlineStr">
        <is>
          <t>xml:space="preserve"&gt;Amniote_Database_Aug_2015.csv </t>
        </is>
      </c>
      <c r="E466" s="10" t="str">
        <f>SUBSTITUTE(SUBSTITUTE(_xlfn.TEXTBEFORE(A466,","), "-", ""), " ", "")</f>
        <v>Myhrvold</v>
      </c>
      <c r="F466" s="10"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10" t="str">
        <f>_xlfn.TEXTBEFORE(_xlfn.TEXTAFTER(A466, "("), ")")</f>
        <v>2015</v>
      </c>
      <c r="H466" s="10" t="str">
        <f>E466 &amp; IF(F466&lt;&gt;"", "_" &amp; SUBSTITUTE(F466," ",""), "_") &amp; IF(G466&lt;&gt;"", "_" &amp; G466, "_") &amp; IF(B466&lt;&gt;"", "_" &amp; B466, "")</f>
        <v>Myhrvold_etal_2015</v>
      </c>
      <c r="I466" s="10" t="str">
        <f>_xlfn.LET(
_xlpm.doi,IF(C466&lt;&gt;"",C466,_xlfn.TEXTAFTER(A466,"https://doi.org/")),
SUBSTITUTE(
SUBSTITUTE(
SUBSTITUTE(
SUBSTITUTE(
_xlpm.doi,
"/","%2F"),
":","%3A"),
"&lt;","%3C"),
"&gt;","%3E")
)</f>
        <v>10.1890%2F15-0846r.1</v>
      </c>
      <c r="J466" s="10" t="str">
        <f>TRIM(_xlfn.TEXTJOIN("_",FALSE(),H466,(SUBSTITUTE(SUBSTITUTE(D466," ",""), "_", ""))))</f>
        <v>Myhrvold_etal_2015_xml:space="preserve"&gt;AmnioteDatabaseAug2015.csv</v>
      </c>
      <c r="K466" s="10" t="str">
        <f>I466 &amp; "_" &amp; SUBSTITUTE(SUBSTITUTE(SUBSTITUTE(D466,CHAR(160),"")," ",""),"_","")</f>
        <v>10.1890%2F15-0846r.1_xml:space="preserve"&gt;AmnioteDatabaseAug2015.csv</v>
      </c>
      <c r="L466" s="10" t="str">
        <f t="array" ref="L466">IFERROR(INDEX(AUTO_Public_TSV_FileList!$A$1:$A$1000,MATCH(TRUE(),EXACT(K466,IFERROR(_xlfn.TEXTBEFORE(AUTO_Public_TSV_FileList!$A$1:$A$1000,".tsv"),"")),0)),"notfound")</f>
        <v>notfound</v>
      </c>
      <c r="M466" s="13"/>
      <c r="N466" s="13"/>
      <c r="O466" s="13"/>
      <c r="P466" s="13"/>
      <c r="Q466" s="13"/>
      <c r="R466" s="13"/>
      <c r="S466" s="13"/>
      <c r="T466" s="13"/>
      <c r="U466" s="13"/>
      <c r="V466" s="13"/>
      <c r="W466" s="13"/>
      <c r="X466" s="13"/>
      <c r="Y466" s="13"/>
      <c r="Z466" s="13"/>
      <c r="AA466" s="13"/>
      <c r="AB466" s="13"/>
      <c r="AC466" s="13"/>
      <c r="AD466" s="13"/>
      <c r="AE466" s="13"/>
      <c r="AF466" s="13"/>
      <c r="AG466" s="13"/>
    </row>
    <row r="467" ht="15" customHeight="1">
      <c r="A467" s="13" t="inlineStr">
        <is>
          <t>Myhrvold, N. P., Baldridge, E., Chan, B., Sivam, D., Freeman, D. L., &amp; Ernest, S. K. M. (2015). An amniote life‐history database to perform comparative analyses with birds, mammals, and reptiles. Ecology, 96(11), 3109-3109. https://doi.org/10.1890/15-0846r.1</t>
        </is>
      </c>
      <c r="B467" s="13"/>
      <c r="C467" s="13"/>
      <c r="D467" s="13" t="inlineStr">
        <is>
          <t>Amniote_Database_References_Aug_2015.csv</t>
        </is>
      </c>
      <c r="E467" s="10" t="str">
        <f>SUBSTITUTE(SUBSTITUTE(_xlfn.TEXTBEFORE(A467,","), "-", ""), " ", "")</f>
        <v>Myhrvold</v>
      </c>
      <c r="F467" s="10"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10" t="str">
        <f>_xlfn.TEXTBEFORE(_xlfn.TEXTAFTER(A467, "("), ")")</f>
        <v>2015</v>
      </c>
      <c r="H467" s="10" t="str">
        <f>E467 &amp; IF(F467&lt;&gt;"", "_" &amp; SUBSTITUTE(F467," ",""), "_") &amp; IF(G467&lt;&gt;"", "_" &amp; G467, "_") &amp; IF(B467&lt;&gt;"", "_" &amp; B467, "")</f>
        <v>Myhrvold_etal_2015</v>
      </c>
      <c r="I467" s="10" t="str">
        <f>_xlfn.LET(
_xlpm.doi,IF(C467&lt;&gt;"",C467,_xlfn.TEXTAFTER(A467,"https://doi.org/")),
SUBSTITUTE(
SUBSTITUTE(
SUBSTITUTE(
SUBSTITUTE(
_xlpm.doi,
"/","%2F"),
":","%3A"),
"&lt;","%3C"),
"&gt;","%3E")
)</f>
        <v>10.1890%2F15-0846r.1</v>
      </c>
      <c r="J467" s="10" t="str">
        <f>TRIM(_xlfn.TEXTJOIN("_",FALSE(),H467,(SUBSTITUTE(SUBSTITUTE(D467," ",""), "_", ""))))</f>
        <v>Myhrvold_etal_2015_AmnioteDatabaseReferencesAug2015.csv</v>
      </c>
      <c r="K467" s="10" t="str">
        <f>I467 &amp; "_" &amp; SUBSTITUTE(SUBSTITUTE(SUBSTITUTE(D467,CHAR(160),"")," ",""),"_","")</f>
        <v>10.1890%2F15-0846r.1_AmnioteDatabaseReferencesAug2015.csv</v>
      </c>
      <c r="L467" s="10" t="str">
        <f t="array" ref="L467">IFERROR(INDEX(AUTO_Public_TSV_FileList!$A$1:$A$1000,MATCH(TRUE(),EXACT(K467,IFERROR(_xlfn.TEXTBEFORE(AUTO_Public_TSV_FileList!$A$1:$A$1000,".tsv"),"")),0)),"notfound")</f>
        <v>notfound</v>
      </c>
      <c r="M467" s="13"/>
      <c r="N467" s="13"/>
      <c r="O467" s="13"/>
      <c r="P467" s="13"/>
      <c r="Q467" s="13"/>
      <c r="R467" s="13"/>
      <c r="S467" s="13"/>
      <c r="T467" s="13"/>
      <c r="U467" s="13"/>
      <c r="V467" s="13"/>
      <c r="W467" s="13"/>
      <c r="X467" s="13"/>
      <c r="Y467" s="13"/>
      <c r="Z467" s="13"/>
      <c r="AA467" s="13"/>
      <c r="AB467" s="13"/>
      <c r="AC467" s="13"/>
      <c r="AD467" s="13"/>
      <c r="AE467" s="13"/>
      <c r="AF467" s="13"/>
      <c r="AG467" s="13"/>
    </row>
    <row r="468" ht="15" customHeight="1">
      <c r="A468" s="13" t="inlineStr">
        <is>
          <t>Myhrvold, N. P., Baldridge, E., Chan, B., Sivam, D., Freeman, D. L., &amp; Ernest, S. K. M. (2015). An amniote life‐history database to perform comparative analyses with birds, mammals, and reptiles. Ecology, 96(11), 3109-3109. https://doi.org/10.1890/15-0846r.1</t>
        </is>
      </c>
      <c r="B468" s="13"/>
      <c r="C468" s="13"/>
      <c r="D468" s="13" t="inlineStr">
        <is>
          <t>Amniote_Range_Count_Aug_2015.csv</t>
        </is>
      </c>
      <c r="E468" s="10" t="str">
        <f>SUBSTITUTE(SUBSTITUTE(_xlfn.TEXTBEFORE(A468,","), "-", ""), " ", "")</f>
        <v>Myhrvold</v>
      </c>
      <c r="F468" s="10"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10" t="str">
        <f>_xlfn.TEXTBEFORE(_xlfn.TEXTAFTER(A468, "("), ")")</f>
        <v>2015</v>
      </c>
      <c r="H468" s="10" t="str">
        <f>E468 &amp; IF(F468&lt;&gt;"", "_" &amp; SUBSTITUTE(F468," ",""), "_") &amp; IF(G468&lt;&gt;"", "_" &amp; G468, "_") &amp; IF(B468&lt;&gt;"", "_" &amp; B468, "")</f>
        <v>Myhrvold_etal_2015</v>
      </c>
      <c r="I468" s="10" t="str">
        <f>_xlfn.LET(
_xlpm.doi,IF(C468&lt;&gt;"",C468,_xlfn.TEXTAFTER(A468,"https://doi.org/")),
SUBSTITUTE(
SUBSTITUTE(
SUBSTITUTE(
SUBSTITUTE(
_xlpm.doi,
"/","%2F"),
":","%3A"),
"&lt;","%3C"),
"&gt;","%3E")
)</f>
        <v>10.1890%2F15-0846r.1</v>
      </c>
      <c r="J468" s="10" t="str">
        <f>TRIM(_xlfn.TEXTJOIN("_",FALSE(),H468,(SUBSTITUTE(SUBSTITUTE(D468," ",""), "_", ""))))</f>
        <v>Myhrvold_etal_2015_AmnioteRangeCountAug2015.csv</v>
      </c>
      <c r="K468" s="10" t="str">
        <f>I468 &amp; "_" &amp; SUBSTITUTE(SUBSTITUTE(SUBSTITUTE(D468,CHAR(160),"")," ",""),"_","")</f>
        <v>10.1890%2F15-0846r.1_AmnioteRangeCountAug2015.csv</v>
      </c>
      <c r="L468" s="10" t="str">
        <f t="array" ref="L468">IFERROR(INDEX(AUTO_Public_TSV_FileList!$A$1:$A$1000,MATCH(TRUE(),EXACT(K468,IFERROR(_xlfn.TEXTBEFORE(AUTO_Public_TSV_FileList!$A$1:$A$1000,".tsv"),"")),0)),"notfound")</f>
        <v>notfound</v>
      </c>
      <c r="M468" s="13"/>
      <c r="N468" s="13"/>
      <c r="O468" s="13"/>
      <c r="P468" s="13"/>
      <c r="Q468" s="13"/>
      <c r="R468" s="13"/>
      <c r="S468" s="13"/>
      <c r="T468" s="13"/>
      <c r="U468" s="13"/>
      <c r="V468" s="13"/>
      <c r="W468" s="13"/>
      <c r="X468" s="13"/>
      <c r="Y468" s="13"/>
      <c r="Z468" s="13"/>
      <c r="AA468" s="13"/>
      <c r="AB468" s="13"/>
      <c r="AC468" s="13"/>
      <c r="AD468" s="13"/>
      <c r="AE468" s="13"/>
      <c r="AF468" s="13"/>
      <c r="AG468" s="13"/>
    </row>
    <row r="469" ht="15" customHeight="1">
      <c r="A469" s="13" t="inlineStr">
        <is>
          <t>Myhrvold, N. P., Baldridge, E., Chan, B., Sivam, D., Freeman, D. L., &amp; Ernest, S. K. M. (2015). An amniote life‐history database to perform comparative analyses with birds, mammals, and reptiles. Ecology, 96(11), 3109-3109. https://doi.org/10.1890/15-0846r.1</t>
        </is>
      </c>
      <c r="B469" s="13"/>
      <c r="C469" s="13"/>
      <c r="D469" s="13" t="inlineStr">
        <is>
          <t>Amniote_Sparse_Table_Aug_2015.csv</t>
        </is>
      </c>
      <c r="E469" s="10" t="str">
        <f>SUBSTITUTE(SUBSTITUTE(_xlfn.TEXTBEFORE(A469,","), "-", ""), " ", "")</f>
        <v>Myhrvold</v>
      </c>
      <c r="F469" s="10"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10" t="str">
        <f>_xlfn.TEXTBEFORE(_xlfn.TEXTAFTER(A469, "("), ")")</f>
        <v>2015</v>
      </c>
      <c r="H469" s="10" t="str">
        <f>E469 &amp; IF(F469&lt;&gt;"", "_" &amp; SUBSTITUTE(F469," ",""), "_") &amp; IF(G469&lt;&gt;"", "_" &amp; G469, "_") &amp; IF(B469&lt;&gt;"", "_" &amp; B469, "")</f>
        <v>Myhrvold_etal_2015</v>
      </c>
      <c r="I469" s="10" t="str">
        <f>_xlfn.LET(
_xlpm.doi,IF(C469&lt;&gt;"",C469,_xlfn.TEXTAFTER(A469,"https://doi.org/")),
SUBSTITUTE(
SUBSTITUTE(
SUBSTITUTE(
SUBSTITUTE(
_xlpm.doi,
"/","%2F"),
":","%3A"),
"&lt;","%3C"),
"&gt;","%3E")
)</f>
        <v>10.1890%2F15-0846r.1</v>
      </c>
      <c r="J469" s="10" t="str">
        <f>TRIM(_xlfn.TEXTJOIN("_",FALSE(),H469,(SUBSTITUTE(SUBSTITUTE(D469," ",""), "_", ""))))</f>
        <v>Myhrvold_etal_2015_AmnioteSparseTableAug2015.csv</v>
      </c>
      <c r="K469" s="10" t="str">
        <f>I469 &amp; "_" &amp; SUBSTITUTE(SUBSTITUTE(SUBSTITUTE(D469,CHAR(160),"")," ",""),"_","")</f>
        <v>10.1890%2F15-0846r.1_AmnioteSparseTableAug2015.csv</v>
      </c>
      <c r="L469" s="10" t="str">
        <f t="array" ref="L469">IFERROR(INDEX(AUTO_Public_TSV_FileList!$A$1:$A$1000,MATCH(TRUE(),EXACT(K469,IFERROR(_xlfn.TEXTBEFORE(AUTO_Public_TSV_FileList!$A$1:$A$1000,".tsv"),"")),0)),"notfound")</f>
        <v>notfound</v>
      </c>
      <c r="M469" s="13"/>
      <c r="N469" s="13"/>
      <c r="O469" s="13"/>
      <c r="P469" s="13"/>
      <c r="Q469" s="13"/>
      <c r="R469" s="13"/>
      <c r="S469" s="13"/>
      <c r="T469" s="13"/>
      <c r="U469" s="13"/>
      <c r="V469" s="13"/>
      <c r="W469" s="13"/>
      <c r="X469" s="13"/>
      <c r="Y469" s="13"/>
      <c r="Z469" s="13"/>
      <c r="AA469" s="13"/>
      <c r="AB469" s="13"/>
      <c r="AC469" s="13"/>
      <c r="AD469" s="13"/>
      <c r="AE469" s="13"/>
      <c r="AF469" s="13"/>
      <c r="AG469" s="13"/>
    </row>
    <row r="470" ht="15" customHeight="1">
      <c r="A470" s="1" t="inlineStr">
        <is>
          <t>Navarrete, A. F., Reader, S. M., Street, S. E., Whalen, A., &amp; Laland, K. N. (2016). The coevolution of innovation and technical intelligence in primates. Philos Trans R Soc Lond B Biol Sci, 371(1690). https://doi.org/10.1098/rstb.2015.0186</t>
        </is>
      </c>
      <c r="B470" s="13"/>
      <c r="C470" s="13"/>
      <c r="D470" s="1" t="inlineStr">
        <is>
          <t>Data</t>
        </is>
      </c>
      <c r="E470" s="10" t="str">
        <f>SUBSTITUTE(SUBSTITUTE(_xlfn.TEXTBEFORE(A470,","), "-", ""), " ", "")</f>
        <v>Navarrete</v>
      </c>
      <c r="F470" s="10"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10" t="str">
        <f>_xlfn.TEXTBEFORE(_xlfn.TEXTAFTER(A470, "("), ")")</f>
        <v>2016</v>
      </c>
      <c r="H470" s="10" t="str">
        <f>E470 &amp; IF(F470&lt;&gt;"", "_" &amp; SUBSTITUTE(F470," ",""), "_") &amp; IF(G470&lt;&gt;"", "_" &amp; G470, "_") &amp; IF(B470&lt;&gt;"", "_" &amp; B470, "")</f>
        <v>Navarrete_etal_2016</v>
      </c>
      <c r="I470" s="10" t="str">
        <f>_xlfn.LET(
_xlpm.doi,IF(C470&lt;&gt;"",C470,_xlfn.TEXTAFTER(A470,"https://doi.org/")),
SUBSTITUTE(
SUBSTITUTE(
SUBSTITUTE(
SUBSTITUTE(
_xlpm.doi,
"/","%2F"),
":","%3A"),
"&lt;","%3C"),
"&gt;","%3E")
)</f>
        <v>10.1098%2Frstb.2015.0186</v>
      </c>
      <c r="J470" s="10" t="str">
        <f>TRIM(_xlfn.TEXTJOIN("_",FALSE(),H470,(SUBSTITUTE(SUBSTITUTE(D470," ",""), "_", ""))))</f>
        <v>Navarrete_etal_2016_Data</v>
      </c>
      <c r="K470" s="10" t="str">
        <f>I470 &amp; "_" &amp; SUBSTITUTE(SUBSTITUTE(SUBSTITUTE(D470,CHAR(160),"")," ",""),"_","")</f>
        <v>10.1098%2Frstb.2015.0186_Data</v>
      </c>
      <c r="L470" s="10" t="str">
        <f t="array" ref="L470">IFERROR(INDEX(AUTO_Public_TSV_FileList!$A$1:$A$1000,MATCH(TRUE(),EXACT(K470,IFERROR(_xlfn.TEXTBEFORE(AUTO_Public_TSV_FileList!$A$1:$A$1000,".tsv"),"")),0)),"notfound")</f>
        <v>10.1098%2Frstb.2015.0186_Data.tsv</v>
      </c>
      <c r="M470" s="13"/>
      <c r="N470" s="13"/>
      <c r="O470" s="13"/>
      <c r="P470" s="13" t="inlineStr">
        <is>
          <t>FINISHED</t>
        </is>
      </c>
      <c r="Q470" s="13" t="inlineStr">
        <is>
          <t>none - digital-native (ESMNavarreteReaderStreetWhalenLaland_dataset.csv; MD5 74eefe75e9e0bb2abcb84010e6317b87)</t>
        </is>
      </c>
      <c r="R470" s="13"/>
      <c r="S470" s="13"/>
      <c r="T470" s="13"/>
      <c r="U470" s="13"/>
      <c r="V470" s="13"/>
      <c r="W470" s="1"/>
      <c r="X470" s="1"/>
      <c r="Y470" s="1"/>
      <c r="Z470" s="13"/>
      <c r="AA470" s="13"/>
      <c r="AB470" s="1"/>
      <c r="AC470" s="13"/>
      <c r="AD470" s="13"/>
      <c r="AE470" s="1" t="inlineStr">
        <is>
          <t>both</t>
        </is>
      </c>
      <c r="AF470" s="1"/>
      <c r="AG470" s="13"/>
    </row>
    <row r="471" ht="15" customHeight="1">
      <c r="A471" s="1" t="inlineStr">
        <is>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is>
      </c>
      <c r="B471" s="13"/>
      <c r="C471" s="13"/>
      <c r="D471" s="13" t="inlineStr">
        <is>
          <t>Table 2</t>
        </is>
      </c>
      <c r="E471" s="10" t="str">
        <f>SUBSTITUTE(SUBSTITUTE(_xlfn.TEXTBEFORE(A471,","), "-", ""), " ", "")</f>
        <v>Nguyen</v>
      </c>
      <c r="F471" s="10"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10" t="str">
        <f>_xlfn.TEXTBEFORE(_xlfn.TEXTAFTER(A471, "("), ")")</f>
        <v>2019</v>
      </c>
      <c r="H471" s="10" t="str">
        <f>E471 &amp; IF(F471&lt;&gt;"", "_" &amp; SUBSTITUTE(F471," ",""), "_") &amp; IF(G471&lt;&gt;"", "_" &amp; G471, "_") &amp; IF(B471&lt;&gt;"", "_" &amp; B471, "")</f>
        <v>Nguyen_etal_2019</v>
      </c>
      <c r="I471" s="10" t="str">
        <f>_xlfn.LET(
_xlpm.doi,IF(C471&lt;&gt;"",C471,_xlfn.TEXTAFTER(A471,"https://doi.org/")),
SUBSTITUTE(
SUBSTITUTE(
SUBSTITUTE(
SUBSTITUTE(
_xlpm.doi,
"/","%2F"),
":","%3A"),
"&lt;","%3C"),
"&gt;","%3E")
)</f>
        <v>10.1002%2Fcne.24823</v>
      </c>
      <c r="J471" s="10" t="str">
        <f>TRIM(_xlfn.TEXTJOIN("_",FALSE(),H471,(SUBSTITUTE(SUBSTITUTE(D471," ",""), "_", ""))))</f>
        <v>Nguyen_etal_2019_Table2</v>
      </c>
      <c r="K471" s="10" t="str">
        <f>I471 &amp; "_" &amp; SUBSTITUTE(SUBSTITUTE(SUBSTITUTE(D471,CHAR(160),"")," ",""),"_","")</f>
        <v>10.1002%2Fcne.24823_Table2</v>
      </c>
      <c r="L471" s="10" t="str">
        <f t="array" ref="L471">IFERROR(INDEX(AUTO_Public_TSV_FileList!$A$1:$A$1000,MATCH(TRUE(),EXACT(K471,IFERROR(_xlfn.TEXTBEFORE(AUTO_Public_TSV_FileList!$A$1:$A$1000,".tsv"),"")),0)),"notfound")</f>
        <v>10.1002%2Fcne.24823_Table2.tsv</v>
      </c>
      <c r="M471" s="13" t="inlineStr">
        <is>
          <t>Table 2. Species by cortical region by neuron-type neuromorphology summary statistics</t>
        </is>
      </c>
      <c r="N471" s="13"/>
      <c r="O471" s="13"/>
      <c r="P471" s="13" t="inlineStr">
        <is>
          <t>FINISHED</t>
        </is>
      </c>
      <c r="Q471" s="13"/>
      <c r="R471" s="13"/>
      <c r="S471" s="13"/>
      <c r="T471" s="13"/>
      <c r="U471" s="13"/>
      <c r="V471" s="13"/>
      <c r="W471" s="13"/>
      <c r="X471" s="13"/>
      <c r="Y471" s="13"/>
      <c r="Z471" s="13"/>
      <c r="AA471" s="13"/>
      <c r="AB471" s="13"/>
      <c r="AC471" s="13"/>
      <c r="AD471" s="13"/>
      <c r="AE471" s="13" t="inlineStr">
        <is>
          <t>primary</t>
        </is>
      </c>
      <c r="AF471" s="13"/>
      <c r="AG471" s="13"/>
    </row>
    <row r="472" ht="15" customHeight="1">
      <c r="A472" s="13" t="inlineStr">
        <is>
          <t>Nimchinsky, E. A., Gilissen, E., Allman, J. M., Perl, D. P., Erwin, J. M., &amp; Hof, P. R. (1999). A neuronal morphologic type unique to humans and great apes. Proc Natl Acad Sci U S A, 96(9), 5268-5273. https://doi.org/10.1073/pnas.96.9.5268</t>
        </is>
      </c>
      <c r="B472" s="13"/>
      <c r="C472" s="13"/>
      <c r="D472" s="13" t="inlineStr">
        <is>
          <t>Table 1</t>
        </is>
      </c>
      <c r="E472" s="11" t="str">
        <f>SUBSTITUTE(SUBSTITUTE(_xlfn.TEXTBEFORE(A472,","), "-", ""), " ", "")</f>
        <v>Nimchinsky</v>
      </c>
      <c r="F472" s="11"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1" t="str">
        <f>_xlfn.TEXTBEFORE(_xlfn.TEXTAFTER(A472, "("), ")")</f>
        <v>1999</v>
      </c>
      <c r="H472" s="11" t="str">
        <f>E472 &amp; IF(F472&lt;&gt;"", "_" &amp; SUBSTITUTE(F472," ",""), "_") &amp; IF(G472&lt;&gt;"", "_" &amp; G472, "_") &amp; IF(B472&lt;&gt;"", "_" &amp; B472, "")</f>
        <v>Nimchinsky_etal_1999</v>
      </c>
      <c r="I472" s="11" t="str">
        <f>_xlfn.LET(
_xlpm.doi,IF(C472&lt;&gt;"",C472,_xlfn.TEXTAFTER(A472,"https://doi.org/")),
SUBSTITUTE(
SUBSTITUTE(
SUBSTITUTE(
SUBSTITUTE(
_xlpm.doi,
"/","%2F"),
":","%3A"),
"&lt;","%3C"),
"&gt;","%3E")
)</f>
        <v>10.1073%2Fpnas.96.9.5268</v>
      </c>
      <c r="J472" s="11" t="str">
        <f>TRIM(_xlfn.TEXTJOIN("_",FALSE(),H472,(SUBSTITUTE(SUBSTITUTE(D472," ",""), "_", ""))))</f>
        <v>Nimchinsky_etal_1999_Table1</v>
      </c>
      <c r="K472" s="11" t="str">
        <f>I472 &amp; "_" &amp; SUBSTITUTE(SUBSTITUTE(SUBSTITUTE(D472,CHAR(160),""), " ", ""), "_", "")</f>
        <v>10.1073%2Fpnas.96.9.5268_Table1</v>
      </c>
      <c r="L472" s="10" t="str">
        <f t="array" ref="L472">IFERROR(INDEX(AUTO_Public_TSV_FileList!$A$1:$A$1000,MATCH(TRUE(),EXACT(K472,IFERROR(_xlfn.TEXTBEFORE(AUTO_Public_TSV_FileList!$A$1:$A$1000,".tsv"),"")),0)),"notfound")</f>
        <v>10.1073%2Fpnas.96.9.5268_Table1.tsv</v>
      </c>
      <c r="M472" s="13"/>
      <c r="N472" s="13"/>
      <c r="O472" s="13" t="inlineStr">
        <is>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is>
      </c>
      <c r="P472" s="1" t="inlineStr">
        <is>
          <t>FINISHED</t>
        </is>
      </c>
      <c r="Q472" s="13"/>
      <c r="R472" s="13"/>
      <c r="S472" s="13"/>
      <c r="T472" s="13"/>
      <c r="U472" s="13"/>
      <c r="V472" s="13"/>
      <c r="W472" s="13"/>
      <c r="X472" s="13"/>
      <c r="Y472" s="13"/>
      <c r="Z472" s="13"/>
      <c r="AA472" s="13"/>
      <c r="AB472" s="13"/>
      <c r="AC472" s="13"/>
      <c r="AD472" s="13"/>
      <c r="AE472" s="13"/>
      <c r="AF472" s="13"/>
      <c r="AG472" s="13"/>
    </row>
    <row r="473" ht="15" customHeight="1">
      <c r="A473" s="13" t="inlineStr">
        <is>
          <t>Nimchinsky, E. A., Gilissen, E., Allman, J. M., Perl, D. P., Erwin, J. M., &amp; Hof, P. R. (1999). A neuronal morphologic type unique to humans and great apes. Proc Natl Acad Sci U S A, 96(9), 5268-5273. https://doi.org/10.1073/pnas.96.9.5268</t>
        </is>
      </c>
      <c r="B473" s="13"/>
      <c r="C473" s="13"/>
      <c r="D473" s="13" t="inlineStr">
        <is>
          <t>Table 2</t>
        </is>
      </c>
      <c r="E473" s="11" t="str">
        <f>SUBSTITUTE(SUBSTITUTE(_xlfn.TEXTBEFORE(A473,","), "-", ""), " ", "")</f>
        <v>Nimchinsky</v>
      </c>
      <c r="F473" s="11"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1" t="str">
        <f>_xlfn.TEXTBEFORE(_xlfn.TEXTAFTER(A473, "("), ")")</f>
        <v>1999</v>
      </c>
      <c r="H473" s="11" t="str">
        <f>E473 &amp; IF(F473&lt;&gt;"", "_" &amp; SUBSTITUTE(F473," ",""), "_") &amp; IF(G473&lt;&gt;"", "_" &amp; G473, "_") &amp; IF(B473&lt;&gt;"", "_" &amp; B473, "")</f>
        <v>Nimchinsky_etal_1999</v>
      </c>
      <c r="I473" s="11" t="str">
        <f>_xlfn.LET(
_xlpm.doi,IF(C473&lt;&gt;"",C473,_xlfn.TEXTAFTER(A473,"https://doi.org/")),
SUBSTITUTE(
SUBSTITUTE(
SUBSTITUTE(
SUBSTITUTE(
_xlpm.doi,
"/","%2F"),
":","%3A"),
"&lt;","%3C"),
"&gt;","%3E")
)</f>
        <v>10.1073%2Fpnas.96.9.5268</v>
      </c>
      <c r="J473" s="11" t="str">
        <f>TRIM(_xlfn.TEXTJOIN("_",FALSE(),H473,(SUBSTITUTE(SUBSTITUTE(D473," ",""), "_", ""))))</f>
        <v>Nimchinsky_etal_1999_Table2</v>
      </c>
      <c r="K473" s="11" t="str">
        <f>I473 &amp; "_" &amp; SUBSTITUTE(SUBSTITUTE(SUBSTITUTE(D473,CHAR(160),""), " ", ""), "_", "")</f>
        <v>10.1073%2Fpnas.96.9.5268_Table2</v>
      </c>
      <c r="L473" s="10" t="str">
        <f t="array" ref="L473">IFERROR(INDEX(AUTO_Public_TSV_FileList!$A$1:$A$1000,MATCH(TRUE(),EXACT(K473,IFERROR(_xlfn.TEXTBEFORE(AUTO_Public_TSV_FileList!$A$1:$A$1000,".tsv"),"")),0)),"notfound")</f>
        <v>10.1073%2Fpnas.96.9.5268_Table2.tsv</v>
      </c>
      <c r="M473" s="13"/>
      <c r="N473" s="13"/>
      <c r="O473" s="13" t="inlineStr">
        <is>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is>
      </c>
      <c r="P473" s="1" t="inlineStr">
        <is>
          <t>FINISHED</t>
        </is>
      </c>
      <c r="Q473" s="13"/>
      <c r="R473" s="13"/>
      <c r="S473" s="13"/>
      <c r="T473" s="13"/>
      <c r="U473" s="13"/>
      <c r="V473" s="13"/>
      <c r="W473" s="13"/>
      <c r="X473" s="13"/>
      <c r="Y473" s="13"/>
      <c r="Z473" s="13"/>
      <c r="AA473" s="13"/>
      <c r="AB473" s="13"/>
      <c r="AC473" s="13"/>
      <c r="AD473" s="13"/>
      <c r="AE473" s="13"/>
      <c r="AF473" s="13"/>
      <c r="AG473" s="13"/>
    </row>
    <row r="474" ht="15" customHeight="1">
      <c r="A474" s="9" t="inlineStr">
        <is>
          <t>Nudo, R. J., &amp; Masterton, R. B. (1988). Descending pathways to the spinal cord: A comparative study of 22 mammals. Journal of Comparative Neurology, 277(1), 53–79. https://doi.org/10.1002/cne.902770105</t>
        </is>
      </c>
      <c r="B474" s="9"/>
      <c r="C474" s="9"/>
      <c r="D474" s="9" t="inlineStr">
        <is>
          <t>TABLE 1</t>
        </is>
      </c>
      <c r="E474" s="11" t="str">
        <f>SUBSTITUTE(SUBSTITUTE(_xlfn.TEXTBEFORE(A474,","), "-", ""), " ", "")</f>
        <v>Nudo</v>
      </c>
      <c r="F474" s="10"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4" s="10" t="str">
        <f>_xlfn.TEXTBEFORE(_xlfn.TEXTAFTER(A474, "("), ")")</f>
        <v>1988</v>
      </c>
      <c r="H474" s="11" t="str">
        <f>E474 &amp; IF(F474&lt;&gt;"", "_" &amp; SUBSTITUTE(F474," ",""), "_") &amp; IF(G474&lt;&gt;"", "_" &amp; G474, "_") &amp; IF(B474&lt;&gt;"", "_" &amp; B474, "")</f>
        <v>Nudo__1988</v>
      </c>
      <c r="I474" s="11" t="str">
        <f>_xlfn.LET(_xlpm.doi,IF(C474&lt;&gt;"",C474,_xlfn.TEXTAFTER(A474,"https://doi.org/")),SUBSTITUTE(SUBSTITUTE(SUBSTITUTE(SUBSTITUTE(_xlpm.doi,"/","%2F"),":","%3A"),"&lt;","%3C"),"&gt;","%3E"))</f>
        <v>10.1002%2Fcne.902770105</v>
      </c>
      <c r="J474" s="11" t="str">
        <f>TRIM(_xlfn.TEXTJOIN("_",FALSE(),H474,(SUBSTITUTE(SUBSTITUTE(D474," ",""), "_", ""))))</f>
        <v>Nudo__1988_TABLE1</v>
      </c>
      <c r="K474" s="10" t="str">
        <f>I474 &amp; "_" &amp; SUBSTITUTE(SUBSTITUTE(SUBSTITUTE(D474,CHAR(160),"")," ",""),"_","")</f>
        <v>10.1002%2Fcne.902770105_TABLE1</v>
      </c>
      <c r="L474" s="10" t="str">
        <f t="array" ref="L474">IFERROR(INDEX(AUTO_Public_TSV_FileList!$A$1:$A$1000,MATCH(TRUE(),EXACT(K474,IFERROR(_xlfn.TEXTBEFORE(AUTO_Public_TSV_FileList!$A$1:$A$1000,".tsv"),"")),0)),"notfound")</f>
        <v>10.1002%2Fcne.902770105_TABLE1.tsv</v>
      </c>
      <c r="M474" s="9" t="inlineStr">
        <is>
          <t>TABLE 1. Species and Genera Represented</t>
        </is>
      </c>
      <c r="N474" s="9" t="inlineStr">
        <is>
          <t>PDF table</t>
        </is>
      </c>
      <c r="O474" s="9" t="inlineStr">
        <is>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is>
      </c>
      <c r="P474" s="9" t="inlineStr">
        <is>
          <t>candidate</t>
        </is>
      </c>
      <c r="Q474" s="9"/>
      <c r="R474" s="9" t="inlineStr">
        <is>
          <t>https://doi.org/10.1002/cne.902770105</t>
        </is>
      </c>
      <c r="S474" s="9" t="inlineStr">
        <is>
          <t>Citation and DOI confirmed via CrossRef (2026-09-30); not yet built.</t>
        </is>
      </c>
      <c r="T474" s="9" t="inlineStr">
        <is>
          <t>Same laboratory lineage as A01/A02.</t>
        </is>
      </c>
      <c r="U474" s="9"/>
      <c r="V474" s="9" t="inlineStr">
        <is>
          <t>corticospinal tract</t>
        </is>
      </c>
      <c r="W474" s="9" t="inlineStr">
        <is>
          <t>22 mammal species, 8 orders.</t>
        </is>
      </c>
      <c r="X474" s="9" t="inlineStr">
        <is>
          <t>descending pathways: 27 supraspinal cell groups projecting to the cord; per-species cell counts</t>
        </is>
      </c>
      <c r="Y474" s="9"/>
      <c r="Z474" s="9" t="inlineStr">
        <is>
          <t>histological sections (HRP retrograde labelling)</t>
        </is>
      </c>
      <c r="AA474" s="9" t="inlineStr">
        <is>
          <t>HRP retrograde tracing</t>
        </is>
      </c>
      <c r="AB474" s="9" t="inlineStr">
        <is>
          <t>cell count</t>
        </is>
      </c>
      <c r="AC474" s="9" t="inlineStr">
        <is>
          <t>Nudo/Masterton</t>
        </is>
      </c>
      <c r="AD474" s="9"/>
      <c r="AE474" s="9" t="inlineStr">
        <is>
          <t>primary</t>
        </is>
      </c>
      <c r="AF474" s="9"/>
      <c r="AG474" s="9" t="inlineStr">
        <is>
          <t>Priority 3. Access: Subscription (Wiley). Suggested home: New descending-pathways block (rubro-, reticulo-, vestibulospinal). Registry/roadmap status at scouting: Not registered.</t>
        </is>
      </c>
    </row>
    <row r="475" ht="15" customHeight="1">
      <c r="A475" s="9" t="inlineStr">
        <is>
          <t>Nudo, R. J., &amp; Masterton, R. B. (1990). Descending pathways to the spinal cord, III: Sites of origin of the corticospinal tract. Journal of Comparative Neurology, 296(4), 559–583. https://doi.org/10.1002/cne.902960405</t>
        </is>
      </c>
      <c r="B475" s="9" t="inlineStr">
        <is>
          <t>III</t>
        </is>
      </c>
      <c r="C475" s="9"/>
      <c r="D475" s="9" t="inlineStr">
        <is>
          <t>Results Text</t>
        </is>
      </c>
      <c r="E475" s="11" t="str">
        <f>SUBSTITUTE(SUBSTITUTE(_xlfn.TEXTBEFORE(A475,","), "-", ""), " ", "")</f>
        <v>Nudo</v>
      </c>
      <c r="F475" s="10"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5" s="10" t="str">
        <f>_xlfn.TEXTBEFORE(_xlfn.TEXTAFTER(A475, "("), ")")</f>
        <v>1990</v>
      </c>
      <c r="H475" s="11" t="str">
        <f>E475 &amp; IF(F475&lt;&gt;"", "_" &amp; SUBSTITUTE(F475," ",""), "_") &amp; IF(G475&lt;&gt;"", "_" &amp; G475, "_") &amp; IF(B475&lt;&gt;"", "_" &amp; B475, "")</f>
        <v>Nudo__1990_III</v>
      </c>
      <c r="I475" s="11" t="str">
        <f>_xlfn.LET(_xlpm.doi,IF(C475&lt;&gt;"",C475,_xlfn.TEXTAFTER(A475,"https://doi.org/")),SUBSTITUTE(SUBSTITUTE(SUBSTITUTE(SUBSTITUTE(_xlpm.doi,"/","%2F"),":","%3A"),"&lt;","%3C"),"&gt;","%3E"))</f>
        <v>10.1002%2Fcne.902960405</v>
      </c>
      <c r="J475" s="11" t="str">
        <f>TRIM(_xlfn.TEXTJOIN("_",FALSE(),H475,(SUBSTITUTE(SUBSTITUTE(D475," ",""), "_", ""))))</f>
        <v>Nudo__1990_III_ResultsText</v>
      </c>
      <c r="K475" s="10" t="str">
        <f>I475 &amp; "_" &amp; SUBSTITUTE(SUBSTITUTE(SUBSTITUTE(D475,CHAR(160),"")," ",""),"_","")</f>
        <v>10.1002%2Fcne.902960405_ResultsText</v>
      </c>
      <c r="L475" s="10" t="str">
        <f t="array" ref="L475">IFERROR(INDEX(AUTO_Public_TSV_FileList!$A$1:$A$1000,MATCH(TRUE(),EXACT(K475,IFERROR(_xlfn.TEXTBEFORE(AUTO_Public_TSV_FileList!$A$1:$A$1000,".tsv"),"")),0)),"notfound")</f>
        <v>10.1002%2Fcne.902960405_ResultsText.tsv</v>
      </c>
      <c r="M475" s="9" t="inlineStr">
        <is>
          <t>Per-species corticospinal-tract origin data (Regions A, B, C: labelled-cell counts, densities and areas) reported in Results text and Figures 8-17; the paper has no data table</t>
        </is>
      </c>
      <c r="N475" s="9" t="inlineStr">
        <is>
          <t>text</t>
        </is>
      </c>
      <c r="O475" s="9" t="inlineStr">
        <is>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is>
      </c>
      <c r="P475" s="9" t="inlineStr">
        <is>
          <t>candidate</t>
        </is>
      </c>
      <c r="Q475" s="9"/>
      <c r="R475" s="9" t="inlineStr">
        <is>
          <t>https://doi.org/10.1002/cne.902960405</t>
        </is>
      </c>
      <c r="S475" s="9" t="inlineStr">
        <is>
          <t>Citation and DOI confirmed via CrossRef (2026-09-30); not yet built.</t>
        </is>
      </c>
      <c r="T475" s="9" t="inlineStr">
        <is>
          <t>Probably the same HRP animals as Nudo et al. 1995 (registered): crosswalk species and animals first and keep one Nudo lineage.</t>
        </is>
      </c>
      <c r="U475" s="9"/>
      <c r="V475" s="9" t="inlineStr">
        <is>
          <t>corticospinal tract</t>
        </is>
      </c>
      <c r="W475" s="9" t="inlineStr">
        <is>
          <t>22 mammal species (primates, Glires, insectivores and others).</t>
        </is>
      </c>
      <c r="X475" s="9" t="inlineStr">
        <is>
          <t>M1: corticospinal-tract neuron number, density, laminar &amp; regional distribution; laterality</t>
        </is>
      </c>
      <c r="Y475" s="9"/>
      <c r="Z475" s="9" t="inlineStr">
        <is>
          <t>histological sections (HRP retrograde labelling)</t>
        </is>
      </c>
      <c r="AA475" s="9" t="inlineStr">
        <is>
          <t>HRP retrograde tracing after C1–C2 hemisection</t>
        </is>
      </c>
      <c r="AB475" s="9" t="inlineStr">
        <is>
          <t>cell count &amp; density</t>
        </is>
      </c>
      <c r="AC475" s="9" t="inlineStr">
        <is>
          <t>Nudo/Masterton</t>
        </is>
      </c>
      <c r="AD475" s="9"/>
      <c r="AE475" s="9" t="inlineStr">
        <is>
          <t>primary</t>
        </is>
      </c>
      <c r="AF475" s="9"/>
      <c r="AG475" s="9" t="inlineStr">
        <is>
          <t>Priority 1. Access: Subscription (Wiley). Suggested home: __merging_behaviour (CST axis); regional M1 counts in __merging_cellcounts. Registry/roadmap status at scouting: Not registered.</t>
        </is>
      </c>
    </row>
    <row r="476" ht="15" customHeight="1">
      <c r="A476" s="9" t="inlineStr">
        <is>
          <t>Nudo, R. J., &amp; Masterton, R. B. (1990). Descending pathways to the spinal cord, IV: Some factors related to the amount of cortex devoted to the corticospinal tract. Journal of Comparative Neurology, 296(4), 584–597. https://doi.org/10.1002/cne.902960406</t>
        </is>
      </c>
      <c r="B476" s="9" t="inlineStr">
        <is>
          <t>IV</t>
        </is>
      </c>
      <c r="C476" s="9"/>
      <c r="D476" s="9" t="inlineStr">
        <is>
          <t>Figure 2A</t>
        </is>
      </c>
      <c r="E476" s="11" t="str">
        <f>SUBSTITUTE(SUBSTITUTE(_xlfn.TEXTBEFORE(A476,","), "-", ""), " ", "")</f>
        <v>Nudo</v>
      </c>
      <c r="F476" s="10"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6" s="10" t="str">
        <f>_xlfn.TEXTBEFORE(_xlfn.TEXTAFTER(A476, "("), ")")</f>
        <v>1990</v>
      </c>
      <c r="H476" s="11" t="str">
        <f>E476 &amp; IF(F476&lt;&gt;"", "_" &amp; SUBSTITUTE(F476," ",""), "_") &amp; IF(G476&lt;&gt;"", "_" &amp; G476, "_") &amp; IF(B476&lt;&gt;"", "_" &amp; B476, "")</f>
        <v>Nudo__1990_IV</v>
      </c>
      <c r="I476" s="11" t="str">
        <f>_xlfn.LET(_xlpm.doi,IF(C476&lt;&gt;"",C476,_xlfn.TEXTAFTER(A476,"https://doi.org/")),SUBSTITUTE(SUBSTITUTE(SUBSTITUTE(SUBSTITUTE(_xlpm.doi,"/","%2F"),":","%3A"),"&lt;","%3C"),"&gt;","%3E"))</f>
        <v>10.1002%2Fcne.902960406</v>
      </c>
      <c r="J476" s="11" t="str">
        <f>TRIM(_xlfn.TEXTJOIN("_",FALSE(),H476,(SUBSTITUTE(SUBSTITUTE(D476," ",""), "_", ""))))</f>
        <v>Nudo__1990_IV_Figure2A</v>
      </c>
      <c r="K476" s="10" t="str">
        <f>I476 &amp; "_" &amp; SUBSTITUTE(SUBSTITUTE(SUBSTITUTE(D476,CHAR(160),"")," ",""),"_","")</f>
        <v>10.1002%2Fcne.902960406_Figure2A</v>
      </c>
      <c r="L476" s="10" t="str">
        <f t="array" ref="L476">IFERROR(INDEX(AUTO_Public_TSV_FileList!$A$1:$A$1000,MATCH(TRUE(),EXACT(K476,IFERROR(_xlfn.TEXTBEFORE(AUTO_Public_TSV_FileList!$A$1:$A$1000,".tsv"),"")),0)),"notfound")</f>
        <v>notfound</v>
      </c>
      <c r="M476" s="9" t="inlineStr">
        <is>
          <t>Fig. 2 A: Areas (in sq. mm.) of cortical regions originating corticospinal fibers, their sum ('CST cortex'), and area of total neocortex ('total cortex') for each of 22 mammals (printed as a table inside Figure 2)</t>
        </is>
      </c>
      <c r="N476" s="9" t="inlineStr">
        <is>
          <t>figure</t>
        </is>
      </c>
      <c r="O476" s="9" t="inlineStr">
        <is>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is>
      </c>
      <c r="P476" s="9" t="inlineStr">
        <is>
          <t>candidate</t>
        </is>
      </c>
      <c r="Q476" s="9"/>
      <c r="R476" s="9" t="inlineStr">
        <is>
          <t>https://doi.org/10.1002/cne.902960406</t>
        </is>
      </c>
      <c r="S476" s="9" t="inlineStr">
        <is>
          <t>Citation and DOI confirmed via CrossRef (2026-09-30); not yet built.</t>
        </is>
      </c>
      <c r="T476" s="9" t="inlineStr">
        <is>
          <t>Same animals as A01; neocortical surface may repeat Nudo et al. 1995 Table 1 — resolve, never average.</t>
        </is>
      </c>
      <c r="U476" s="9"/>
      <c r="V476" s="9" t="inlineStr">
        <is>
          <t>corticospinal tract</t>
        </is>
      </c>
      <c r="W476" s="9" t="inlineStr">
        <is>
          <t>Same 22 mammals as A01.</t>
        </is>
      </c>
      <c r="X476" s="9" t="inlineStr">
        <is>
          <t>M1: absolute area of each CST-origin cortical region; total CST cortex; total neocortex</t>
        </is>
      </c>
      <c r="Y476" s="9"/>
      <c r="Z476" s="9" t="inlineStr">
        <is>
          <t>histological sections (HRP retrograde labelling)</t>
        </is>
      </c>
      <c r="AA476" s="9" t="inlineStr">
        <is>
          <t>HRP retrograde tracing; cortical surface planimetry</t>
        </is>
      </c>
      <c r="AB476" s="9" t="inlineStr">
        <is>
          <t>cortical surface area</t>
        </is>
      </c>
      <c r="AC476" s="9" t="inlineStr">
        <is>
          <t>Nudo/Masterton</t>
        </is>
      </c>
      <c r="AD476" s="9"/>
      <c r="AE476" s="9" t="inlineStr">
        <is>
          <t>primary</t>
        </is>
      </c>
      <c r="AF476" s="9"/>
      <c r="AG476" s="9" t="inlineStr">
        <is>
          <t>Priority 2. Access: Subscription (Wiley). Suggested home: __merging_cortical_areas (new term: CST cortex area). Registry/roadmap status at scouting: Not registered.</t>
        </is>
      </c>
    </row>
    <row r="477" ht="15" customHeight="1">
      <c r="A477" s="1" t="inlineStr">
        <is>
          <t>Nudo, R. J., Sutherland, D. P., &amp; Masterton, R. B. (1995). Variation and evolution of mammalian corticospinal somata with special reference to primates. J Comp Neurol, 358(2), 181-205. https://doi.org/10.1002/cne.903580203</t>
        </is>
      </c>
      <c r="B477" s="13"/>
      <c r="C477" s="13"/>
      <c r="D477" s="1" t="inlineStr">
        <is>
          <t>TABLE 1</t>
        </is>
      </c>
      <c r="E477" s="10" t="str">
        <f>SUBSTITUTE(SUBSTITUTE(_xlfn.TEXTBEFORE(A477,","), "-", ""), " ", "")</f>
        <v>Nudo</v>
      </c>
      <c r="F477" s="10"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10" t="str">
        <f>_xlfn.TEXTBEFORE(_xlfn.TEXTAFTER(A477, "("), ")")</f>
        <v>1995</v>
      </c>
      <c r="H477" s="10" t="str">
        <f>E477 &amp; IF(F477&lt;&gt;"", "_" &amp; SUBSTITUTE(F477," ",""), "_") &amp; IF(G477&lt;&gt;"", "_" &amp; G477, "_") &amp; IF(B477&lt;&gt;"", "_" &amp; B477, "")</f>
        <v>Nudo_etal_1995</v>
      </c>
      <c r="I477" s="10" t="str">
        <f>_xlfn.LET(
_xlpm.doi,IF(C477&lt;&gt;"",C477,_xlfn.TEXTAFTER(A477,"https://doi.org/")),
SUBSTITUTE(
SUBSTITUTE(
SUBSTITUTE(
SUBSTITUTE(
_xlpm.doi,
"/","%2F"),
":","%3A"),
"&lt;","%3C"),
"&gt;","%3E")
)</f>
        <v>10.1002%2Fcne.903580203</v>
      </c>
      <c r="J477" s="10" t="str">
        <f>TRIM(_xlfn.TEXTJOIN("_",FALSE(),H477,(SUBSTITUTE(SUBSTITUTE(D477," ",""), "_", ""))))</f>
        <v>Nudo_etal_1995_TABLE1</v>
      </c>
      <c r="K477" s="10" t="str">
        <f>I477 &amp; "_" &amp; SUBSTITUTE(SUBSTITUTE(SUBSTITUTE(D477,CHAR(160),"")," ",""),"_","")</f>
        <v>10.1002%2Fcne.903580203_TABLE1</v>
      </c>
      <c r="L477" s="10" t="str">
        <f t="array" ref="L477">IFERROR(INDEX(AUTO_Public_TSV_FileList!$A$1:$A$1000,MATCH(TRUE(),EXACT(K477,IFERROR(_xlfn.TEXTBEFORE(AUTO_Public_TSV_FileList!$A$1:$A$1000,".tsv"),"")),0)),"notfound")</f>
        <v>10.1002%2Fcne.903580203_TABLE1.tsv</v>
      </c>
      <c r="M477" s="13"/>
      <c r="N477" s="1" t="inlineStr">
        <is>
          <t>table</t>
        </is>
      </c>
      <c r="O477" s="13"/>
      <c r="P477" s="13" t="inlineStr">
        <is>
          <t>FINISHED</t>
        </is>
      </c>
      <c r="Q477" s="13" t="inlineStr">
        <is>
          <t>none - digital-native (pnas.1517131113.sd01.source.zip; contained XLSX MD5 0b0454f3d3da43e405fb5d444f9a0e4f)</t>
        </is>
      </c>
      <c r="R477" s="13"/>
      <c r="S477" s="13"/>
      <c r="T477" s="13"/>
      <c r="U477" s="13"/>
      <c r="V477" s="13"/>
      <c r="W477" s="1" t="inlineStr">
        <is>
          <t>Mammals</t>
        </is>
      </c>
      <c r="X477" s="1" t="inlineStr">
        <is>
          <t>body weight, brain weight, neocortical surface area</t>
        </is>
      </c>
      <c r="Y477" s="1"/>
      <c r="Z477" s="13"/>
      <c r="AA477" s="13"/>
      <c r="AB477" s="1" t="inlineStr">
        <is>
          <t>body / brain mass + cortical surface area</t>
        </is>
      </c>
      <c r="AC477" s="1" t="inlineStr">
        <is>
          <t>Nudo/Masterton</t>
        </is>
      </c>
      <c r="AD477" s="13"/>
      <c r="AE477" s="1" t="inlineStr">
        <is>
          <t>primary</t>
        </is>
      </c>
      <c r="AF477" s="1"/>
      <c r="AG477" s="1" t="inlineStr">
        <is>
          <t>24 species. The paper states outright (p.184) that these values are 'retabulated here' from Nudo &amp; Masterton 1989 / 1990b, neither of which is in the repo - run crosspub_value_match.R if either is ever built.</t>
        </is>
      </c>
    </row>
    <row r="478" ht="15" customHeight="1">
      <c r="A478" s="1" t="inlineStr">
        <is>
          <t>Nudo, R. J., Sutherland, D. P., &amp; Masterton, R. B. (1995). Variation and evolution of mammalian corticospinal somata with special reference to primates. J Comp Neurol, 358(2), 181-205. https://doi.org/10.1002/cne.903580203</t>
        </is>
      </c>
      <c r="B478" s="13"/>
      <c r="C478" s="13"/>
      <c r="D478" s="1" t="inlineStr">
        <is>
          <t>TABLE 2</t>
        </is>
      </c>
      <c r="E478" s="10" t="str">
        <f>SUBSTITUTE(SUBSTITUTE(_xlfn.TEXTBEFORE(A478,","), "-", ""), " ", "")</f>
        <v>Nudo</v>
      </c>
      <c r="F478" s="10"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10" t="str">
        <f>_xlfn.TEXTBEFORE(_xlfn.TEXTAFTER(A478, "("), ")")</f>
        <v>1995</v>
      </c>
      <c r="H478" s="10" t="str">
        <f>E478 &amp; IF(F478&lt;&gt;"", "_" &amp; SUBSTITUTE(F478," ",""), "_") &amp; IF(G478&lt;&gt;"", "_" &amp; G478, "_") &amp; IF(B478&lt;&gt;"", "_" &amp; B478, "")</f>
        <v>Nudo_etal_1995</v>
      </c>
      <c r="I478" s="10" t="str">
        <f>_xlfn.LET(
_xlpm.doi,IF(C478&lt;&gt;"",C478,_xlfn.TEXTAFTER(A478,"https://doi.org/")),
SUBSTITUTE(
SUBSTITUTE(
SUBSTITUTE(
SUBSTITUTE(
_xlpm.doi,
"/","%2F"),
":","%3A"),
"&lt;","%3C"),
"&gt;","%3E")
)</f>
        <v>10.1002%2Fcne.903580203</v>
      </c>
      <c r="J478" s="10" t="str">
        <f>TRIM(_xlfn.TEXTJOIN("_",FALSE(),H478,(SUBSTITUTE(SUBSTITUTE(D478," ",""), "_", ""))))</f>
        <v>Nudo_etal_1995_TABLE2</v>
      </c>
      <c r="K478" s="10" t="str">
        <f>I478 &amp; "_" &amp; SUBSTITUTE(SUBSTITUTE(SUBSTITUTE(D478,CHAR(160),"")," ",""),"_","")</f>
        <v>10.1002%2Fcne.903580203_TABLE2</v>
      </c>
      <c r="L478" s="10" t="str">
        <f t="array" ref="L478">IFERROR(INDEX(AUTO_Public_TSV_FileList!$A$1:$A$1000,MATCH(TRUE(),EXACT(K478,IFERROR(_xlfn.TEXTBEFORE(AUTO_Public_TSV_FileList!$A$1:$A$1000,".tsv"),"")),0)),"notfound")</f>
        <v>10.1002%2Fcne.903580203_TABLE2.tsv</v>
      </c>
      <c r="M478" s="13"/>
      <c r="N478" s="1" t="inlineStr">
        <is>
          <t>table</t>
        </is>
      </c>
      <c r="O478" s="13"/>
      <c r="P478" s="13" t="inlineStr">
        <is>
          <t>FINISHED</t>
        </is>
      </c>
      <c r="Q478" s="1"/>
      <c r="R478" s="13"/>
      <c r="S478" s="13"/>
      <c r="T478" s="13"/>
      <c r="U478" s="13"/>
      <c r="V478" s="13"/>
      <c r="W478" s="1" t="inlineStr">
        <is>
          <t>Mammals</t>
        </is>
      </c>
      <c r="X478" s="1" t="inlineStr">
        <is>
          <t>number and percentage of corticospinal somata per cortical region</t>
        </is>
      </c>
      <c r="Y478" s="1"/>
      <c r="Z478" s="13"/>
      <c r="AA478" s="13"/>
      <c r="AB478" s="1" t="inlineStr">
        <is>
          <t>corticospinal neuron counts (regional)</t>
        </is>
      </c>
      <c r="AC478" s="1" t="inlineStr">
        <is>
          <t>Nudo/Masterton</t>
        </is>
      </c>
      <c r="AD478" s="13"/>
      <c r="AE478" s="1" t="inlineStr">
        <is>
          <t>primary</t>
        </is>
      </c>
      <c r="AF478" s="1"/>
      <c r="AG478" s="1" t="inlineStr">
        <is>
          <t>24 species x regions A/B/C/C'. Verified internally: correction term = 100/(100+soma diameter) in 24/24; corrected count = profiles x correction term in 24/24; regions sum to the total in 23/24 (green monkey off by 1, rounding). Printed 0 in C/C' is a TRUE zero (region absent).</t>
        </is>
      </c>
    </row>
    <row r="479" ht="15" customHeight="1">
      <c r="A479" s="1" t="inlineStr">
        <is>
          <t>Nudo, R. J., Sutherland, D. P., &amp; Masterton, R. B. (1995). Variation and evolution of mammalian corticospinal somata with special reference to primates. J Comp Neurol, 358(2), 181-205. https://doi.org/10.1002/cne.903580203</t>
        </is>
      </c>
      <c r="B479" s="13"/>
      <c r="C479" s="13"/>
      <c r="D479" s="1" t="inlineStr">
        <is>
          <t>TABLE 3</t>
        </is>
      </c>
      <c r="E479" s="10" t="str">
        <f>SUBSTITUTE(SUBSTITUTE(_xlfn.TEXTBEFORE(A479,","), "-", ""), " ", "")</f>
        <v>Nudo</v>
      </c>
      <c r="F479" s="10"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10" t="str">
        <f>_xlfn.TEXTBEFORE(_xlfn.TEXTAFTER(A479, "("), ")")</f>
        <v>1995</v>
      </c>
      <c r="H479" s="10" t="str">
        <f>E479 &amp; IF(F479&lt;&gt;"", "_" &amp; SUBSTITUTE(F479," ",""), "_") &amp; IF(G479&lt;&gt;"", "_" &amp; G479, "_") &amp; IF(B479&lt;&gt;"", "_" &amp; B479, "")</f>
        <v>Nudo_etal_1995</v>
      </c>
      <c r="I479" s="10" t="str">
        <f>_xlfn.LET(
_xlpm.doi,IF(C479&lt;&gt;"",C479,_xlfn.TEXTAFTER(A479,"https://doi.org/")),
SUBSTITUTE(
SUBSTITUTE(
SUBSTITUTE(
SUBSTITUTE(
_xlpm.doi,
"/","%2F"),
":","%3A"),
"&lt;","%3C"),
"&gt;","%3E")
)</f>
        <v>10.1002%2Fcne.903580203</v>
      </c>
      <c r="J479" s="10" t="str">
        <f>TRIM(_xlfn.TEXTJOIN("_",FALSE(),H479,(SUBSTITUTE(SUBSTITUTE(D479," ",""), "_", ""))))</f>
        <v>Nudo_etal_1995_TABLE3</v>
      </c>
      <c r="K479" s="10" t="str">
        <f>I479 &amp; "_" &amp; SUBSTITUTE(SUBSTITUTE(SUBSTITUTE(D479,CHAR(160),"")," ",""),"_","")</f>
        <v>10.1002%2Fcne.903580203_TABLE3</v>
      </c>
      <c r="L479" s="10" t="str">
        <f t="array" ref="L479">IFERROR(INDEX(AUTO_Public_TSV_FileList!$A$1:$A$1000,MATCH(TRUE(),EXACT(K479,IFERROR(_xlfn.TEXTBEFORE(AUTO_Public_TSV_FileList!$A$1:$A$1000,".tsv"),"")),0)),"notfound")</f>
        <v>10.1002%2Fcne.903580203_TABLE3.tsv</v>
      </c>
      <c r="M479" s="13"/>
      <c r="N479" s="1" t="inlineStr">
        <is>
          <t>table</t>
        </is>
      </c>
      <c r="O479" s="13"/>
      <c r="P479" s="13" t="inlineStr">
        <is>
          <t>FINISHED</t>
        </is>
      </c>
      <c r="Q479" s="1"/>
      <c r="R479" s="13"/>
      <c r="S479" s="13"/>
      <c r="T479" s="13"/>
      <c r="U479" s="13"/>
      <c r="V479" s="13"/>
      <c r="W479" s="1" t="inlineStr">
        <is>
          <t>Mammals</t>
        </is>
      </c>
      <c r="X479" s="1" t="inlineStr">
        <is>
          <t>corticospinal somata by taxonomic order</t>
        </is>
      </c>
      <c r="Y479" s="1"/>
      <c r="Z479" s="13"/>
      <c r="AA479" s="13"/>
      <c r="AB479" s="1" t="inlineStr">
        <is>
          <t>corticospinal neuron counts (order means)</t>
        </is>
      </c>
      <c r="AC479" s="1" t="inlineStr">
        <is>
          <t>Nudo/Masterton</t>
        </is>
      </c>
      <c r="AD479" s="13"/>
      <c r="AE479" s="1" t="inlineStr">
        <is>
          <t>secondary</t>
        </is>
      </c>
      <c r="AF479" s="1"/>
      <c r="AG479" s="1" t="inlineStr">
        <is>
          <t>9 orders. PROVED derived: all 72 cells reproduce exactly as the unweighted order-wise mean of TABLE 2. DO NOT MERGE - it would double-count TABLE 2.</t>
        </is>
      </c>
    </row>
    <row r="480" ht="15" customHeight="1">
      <c r="A480" s="1" t="inlineStr">
        <is>
          <t>Nudo, R. J., Sutherland, D. P., &amp; Masterton, R. B. (1995). Variation and evolution of mammalian corticospinal somata with special reference to primates. J Comp Neurol, 358(2), 181-205. https://doi.org/10.1002/cne.903580203</t>
        </is>
      </c>
      <c r="B480" s="13"/>
      <c r="C480" s="13"/>
      <c r="D480" s="1" t="inlineStr">
        <is>
          <t>TABLE 4</t>
        </is>
      </c>
      <c r="E480" s="10" t="str">
        <f>SUBSTITUTE(SUBSTITUTE(_xlfn.TEXTBEFORE(A480,","), "-", ""), " ", "")</f>
        <v>Nudo</v>
      </c>
      <c r="F480" s="10"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10" t="str">
        <f>_xlfn.TEXTBEFORE(_xlfn.TEXTAFTER(A480, "("), ")")</f>
        <v>1995</v>
      </c>
      <c r="H480" s="10" t="str">
        <f>E480 &amp; IF(F480&lt;&gt;"", "_" &amp; SUBSTITUTE(F480," ",""), "_") &amp; IF(G480&lt;&gt;"", "_" &amp; G480, "_") &amp; IF(B480&lt;&gt;"", "_" &amp; B480, "")</f>
        <v>Nudo_etal_1995</v>
      </c>
      <c r="I480" s="10" t="str">
        <f>_xlfn.LET(
_xlpm.doi,IF(C480&lt;&gt;"",C480,_xlfn.TEXTAFTER(A480,"https://doi.org/")),
SUBSTITUTE(
SUBSTITUTE(
SUBSTITUTE(
SUBSTITUTE(
_xlpm.doi,
"/","%2F"),
":","%3A"),
"&lt;","%3C"),
"&gt;","%3E")
)</f>
        <v>10.1002%2Fcne.903580203</v>
      </c>
      <c r="J480" s="10" t="str">
        <f>TRIM(_xlfn.TEXTJOIN("_",FALSE(),H480,(SUBSTITUTE(SUBSTITUTE(D480," ",""), "_", ""))))</f>
        <v>Nudo_etal_1995_TABLE4</v>
      </c>
      <c r="K480" s="10" t="str">
        <f>I480 &amp; "_" &amp; SUBSTITUTE(SUBSTITUTE(SUBSTITUTE(D480,CHAR(160),"")," ",""),"_","")</f>
        <v>10.1002%2Fcne.903580203_TABLE4</v>
      </c>
      <c r="L480" s="10" t="str">
        <f t="array" ref="L480">IFERROR(INDEX(AUTO_Public_TSV_FileList!$A$1:$A$1000,MATCH(TRUE(),EXACT(K480,IFERROR(_xlfn.TEXTBEFORE(AUTO_Public_TSV_FileList!$A$1:$A$1000,".tsv"),"")),0)),"notfound")</f>
        <v>10.1002%2Fcne.903580203_TABLE4.tsv</v>
      </c>
      <c r="M480" s="13"/>
      <c r="N480" s="1" t="inlineStr">
        <is>
          <t>table</t>
        </is>
      </c>
      <c r="O480" s="13"/>
      <c r="P480" s="13" t="inlineStr">
        <is>
          <t>FINISHED</t>
        </is>
      </c>
      <c r="Q480" s="1"/>
      <c r="R480" s="13"/>
      <c r="S480" s="13"/>
      <c r="T480" s="13"/>
      <c r="U480" s="13"/>
      <c r="V480" s="13"/>
      <c r="W480" s="1" t="inlineStr">
        <is>
          <t>Mammals</t>
        </is>
      </c>
      <c r="X480" s="1" t="inlineStr">
        <is>
          <t>maximum surface density of corticospinal somata</t>
        </is>
      </c>
      <c r="Y480" s="1"/>
      <c r="Z480" s="13"/>
      <c r="AA480" s="13"/>
      <c r="AB480" s="1" t="inlineStr">
        <is>
          <t>corticospinal soma density (cells/mm2)</t>
        </is>
      </c>
      <c r="AC480" s="1" t="inlineStr">
        <is>
          <t>Nudo/Masterton</t>
        </is>
      </c>
      <c r="AD480" s="13"/>
      <c r="AE480" s="1" t="inlineStr">
        <is>
          <t>primary</t>
        </is>
      </c>
      <c r="AF480" s="1"/>
      <c r="AG480" s="1" t="inlineStr">
        <is>
          <t>24 species. The caption's 'cells/mm' is a text-layer artefact - the page prints a true superscript 2. Region A &gt;= B, C, C' in 24/24.</t>
        </is>
      </c>
    </row>
    <row r="481" ht="15" customHeight="1">
      <c r="A481" s="1" t="inlineStr">
        <is>
          <t>Nudo, R. J., Sutherland, D. P., &amp; Masterton, R. B. (1995). Variation and evolution of mammalian corticospinal somata with special reference to primates. J Comp Neurol, 358(2), 181-205. https://doi.org/10.1002/cne.903580203</t>
        </is>
      </c>
      <c r="B481" s="13"/>
      <c r="C481" s="13"/>
      <c r="D481" s="1" t="inlineStr">
        <is>
          <t>TABLE 5</t>
        </is>
      </c>
      <c r="E481" s="10" t="str">
        <f>SUBSTITUTE(SUBSTITUTE(_xlfn.TEXTBEFORE(A481,","), "-", ""), " ", "")</f>
        <v>Nudo</v>
      </c>
      <c r="F481" s="10"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10" t="str">
        <f>_xlfn.TEXTBEFORE(_xlfn.TEXTAFTER(A481, "("), ")")</f>
        <v>1995</v>
      </c>
      <c r="H481" s="10" t="str">
        <f>E481 &amp; IF(F481&lt;&gt;"", "_" &amp; SUBSTITUTE(F481," ",""), "_") &amp; IF(G481&lt;&gt;"", "_" &amp; G481, "_") &amp; IF(B481&lt;&gt;"", "_" &amp; B481, "")</f>
        <v>Nudo_etal_1995</v>
      </c>
      <c r="I481" s="10" t="str">
        <f>_xlfn.LET(
_xlpm.doi,IF(C481&lt;&gt;"",C481,_xlfn.TEXTAFTER(A481,"https://doi.org/")),
SUBSTITUTE(
SUBSTITUTE(
SUBSTITUTE(
SUBSTITUTE(
_xlpm.doi,
"/","%2F"),
":","%3A"),
"&lt;","%3C"),
"&gt;","%3E")
)</f>
        <v>10.1002%2Fcne.903580203</v>
      </c>
      <c r="J481" s="10" t="str">
        <f>TRIM(_xlfn.TEXTJOIN("_",FALSE(),H481,(SUBSTITUTE(SUBSTITUTE(D481," ",""), "_", ""))))</f>
        <v>Nudo_etal_1995_TABLE5</v>
      </c>
      <c r="K481" s="10" t="str">
        <f>I481 &amp; "_" &amp; SUBSTITUTE(SUBSTITUTE(SUBSTITUTE(D481,CHAR(160),"")," ",""),"_","")</f>
        <v>10.1002%2Fcne.903580203_TABLE5</v>
      </c>
      <c r="L481" s="10" t="str">
        <f t="array" ref="L481">IFERROR(INDEX(AUTO_Public_TSV_FileList!$A$1:$A$1000,MATCH(TRUE(),EXACT(K481,IFERROR(_xlfn.TEXTBEFORE(AUTO_Public_TSV_FileList!$A$1:$A$1000,".tsv"),"")),0)),"notfound")</f>
        <v>10.1002%2Fcne.903580203_TABLE5.tsv</v>
      </c>
      <c r="M481" s="13"/>
      <c r="N481" s="1" t="inlineStr">
        <is>
          <t>table</t>
        </is>
      </c>
      <c r="O481" s="13"/>
      <c r="P481" s="13" t="inlineStr">
        <is>
          <t>FINISHED</t>
        </is>
      </c>
      <c r="Q481" s="1"/>
      <c r="R481" s="13"/>
      <c r="S481" s="13"/>
      <c r="T481" s="13"/>
      <c r="U481" s="13"/>
      <c r="V481" s="13"/>
      <c r="W481" s="1" t="inlineStr">
        <is>
          <t>Mammals</t>
        </is>
      </c>
      <c r="X481" s="1" t="inlineStr">
        <is>
          <t>nine morphological characteristics of corticospinal somata</t>
        </is>
      </c>
      <c r="Y481" s="1"/>
      <c r="Z481" s="13"/>
      <c r="AA481" s="13"/>
      <c r="AB481" s="1" t="inlineStr">
        <is>
          <t>corticospinal soma morphology</t>
        </is>
      </c>
      <c r="AC481" s="1" t="inlineStr">
        <is>
          <t>Nudo/Masterton</t>
        </is>
      </c>
      <c r="AD481" s="13"/>
      <c r="AE481" s="1" t="inlineStr">
        <is>
          <t>primary</t>
        </is>
      </c>
      <c r="AF481" s="1"/>
      <c r="AG481" s="1" t="inlineStr">
        <is>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is>
      </c>
    </row>
    <row r="482" ht="15" customHeight="1">
      <c r="A482" s="1" t="inlineStr">
        <is>
          <t>Olkowicz, S., Kocourek, M., Lucan, R. K., Portes, M., Fitch, W. T., Herculano-Houzel, S., &amp; Nemec, P. (2016). Birds have primate-like numbers of neurons in the forebrain. Proc Natl Acad Sci U S A, 113(26), 7255-7260. https://doi.org/10.1073/pnas.1517131113</t>
        </is>
      </c>
      <c r="B482" s="13"/>
      <c r="C482" s="13"/>
      <c r="D482" s="13" t="inlineStr">
        <is>
          <t>Dataset S1</t>
        </is>
      </c>
      <c r="E482" s="10" t="str">
        <f>SUBSTITUTE(SUBSTITUTE(_xlfn.TEXTBEFORE(A482,","), "-", ""), " ", "")</f>
        <v>Olkowicz</v>
      </c>
      <c r="F482" s="10"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10" t="str">
        <f>_xlfn.TEXTBEFORE(_xlfn.TEXTAFTER(A482, "("), ")")</f>
        <v>2016</v>
      </c>
      <c r="H482" s="10" t="str">
        <f>E482 &amp; IF(F482&lt;&gt;"", "_" &amp; SUBSTITUTE(F482," ",""), "_") &amp; IF(G482&lt;&gt;"", "_" &amp; G482, "_") &amp; IF(B482&lt;&gt;"", "_" &amp; B482, "")</f>
        <v>Olkowicz_etal_2016</v>
      </c>
      <c r="I482" s="10" t="str">
        <f>_xlfn.LET(
_xlpm.doi,IF(C482&lt;&gt;"",C482,_xlfn.TEXTAFTER(A482,"https://doi.org/")),
SUBSTITUTE(
SUBSTITUTE(
SUBSTITUTE(
SUBSTITUTE(
_xlpm.doi,
"/","%2F"),
":","%3A"),
"&lt;","%3C"),
"&gt;","%3E")
)</f>
        <v>10.1073%2Fpnas.1517131113</v>
      </c>
      <c r="J482" s="10" t="str">
        <f>TRIM(_xlfn.TEXTJOIN("_",FALSE(),H482,(SUBSTITUTE(SUBSTITUTE(D482," ",""), "_", ""))))</f>
        <v>Olkowicz_etal_2016_DatasetS1</v>
      </c>
      <c r="K482" s="10" t="str">
        <f>I482 &amp; "_" &amp; SUBSTITUTE(SUBSTITUTE(SUBSTITUTE(D482,CHAR(160),"")," ",""),"_","")</f>
        <v>10.1073%2Fpnas.1517131113_DatasetS1</v>
      </c>
      <c r="L482" s="10" t="str">
        <f t="array" ref="L482">IFERROR(INDEX(AUTO_Public_TSV_FileList!$A$1:$A$1000,MATCH(TRUE(),EXACT(K482,IFERROR(_xlfn.TEXTBEFORE(AUTO_Public_TSV_FileList!$A$1:$A$1000,".tsv"),"")),0)),"notfound")</f>
        <v>10.1073%2Fpnas.1517131113_DatasetS1.tsv</v>
      </c>
      <c r="M482" s="13" t="inlineStr">
        <is>
          <t>Dataset S1. Complete region-level neuron and non-neuron counts and densities</t>
        </is>
      </c>
      <c r="N482" s="13"/>
      <c r="O482" s="13"/>
      <c r="P482" s="13" t="inlineStr">
        <is>
          <t>FINISHED</t>
        </is>
      </c>
      <c r="Q482" s="13" t="inlineStr">
        <is>
          <t>none - digital-native (pnas.1517131113.sd01.source.zip; contained XLSX MD5 0b0454f3d3da43e405fb5d444f9a0e4f)</t>
        </is>
      </c>
      <c r="R482" s="13"/>
      <c r="S482" s="13"/>
      <c r="T482" s="13"/>
      <c r="U482" s="13"/>
      <c r="V482" s="13"/>
      <c r="W482" s="13"/>
      <c r="X482" s="13"/>
      <c r="Y482" s="13"/>
      <c r="Z482" s="13"/>
      <c r="AA482" s="13"/>
      <c r="AB482" s="13"/>
      <c r="AC482" s="13"/>
      <c r="AD482" s="13"/>
      <c r="AE482" s="13" t="inlineStr">
        <is>
          <t>primary</t>
        </is>
      </c>
      <c r="AF482" s="13"/>
      <c r="AG482" s="13"/>
    </row>
    <row r="483" ht="15" customHeight="1">
      <c r="A483" s="9" t="inlineStr">
        <is>
          <t>Owren, M. J., Hopp, S. L., Sinnott, J. M., &amp; Petersen, M. R. (1988). Absolute auditory thresholds in three Old World monkey species (Cercopithecus aethiops, C. neglectus, Macaca fuscata) and humans (Homo sapiens). Journal of Comparative Psychology, 102(2), 99-107. https://doi.org/10.1037/0735-7036.102.2.99</t>
        </is>
      </c>
      <c r="B483" s="9"/>
      <c r="C483" s="9"/>
      <c r="D483" s="9" t="inlineStr">
        <is>
          <t>Table 1 + Table 3</t>
        </is>
      </c>
      <c r="E483" s="11" t="str">
        <f>SUBSTITUTE(SUBSTITUTE(_xlfn.TEXTBEFORE(A483,","), "-", ""), " ", "")</f>
        <v>Owren</v>
      </c>
      <c r="F483" s="10"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0" t="str">
        <f>_xlfn.TEXTBEFORE(_xlfn.TEXTAFTER(A483, "("), ")")</f>
        <v>1988</v>
      </c>
      <c r="H483" s="11" t="str">
        <f>E483 &amp; IF(F483&lt;&gt;"", "_" &amp; SUBSTITUTE(F483," ",""), "_") &amp; IF(G483&lt;&gt;"", "_" &amp; G483, "_") &amp; IF(B483&lt;&gt;"", "_" &amp; B483, "")</f>
        <v>Owren_etal_1988</v>
      </c>
      <c r="I483" s="11" t="str">
        <f>_xlfn.LET(_xlpm.doi,IF(C483&lt;&gt;"",C483,_xlfn.TEXTAFTER(A483,"https://doi.org/")),SUBSTITUTE(SUBSTITUTE(SUBSTITUTE(SUBSTITUTE(_xlpm.doi,"/","%2F"),":","%3A"),"&lt;","%3C"),"&gt;","%3E"))</f>
        <v>10.1037%2F0735-7036.102.2.99</v>
      </c>
      <c r="J483" s="11" t="str">
        <f>TRIM(_xlfn.TEXTJOIN("_",FALSE(),H483,(SUBSTITUTE(SUBSTITUTE(D483," ",""), "_", ""))))</f>
        <v>Owren_etal_1988_Table1+Table3</v>
      </c>
      <c r="K483" s="10" t="str">
        <f>I483 &amp; "_" &amp; SUBSTITUTE(SUBSTITUTE(SUBSTITUTE(D483,CHAR(160),"")," ",""),"_","")</f>
        <v>10.1037%2F0735-7036.102.2.99_Table1+Table3</v>
      </c>
      <c r="L483" s="10" t="str">
        <f t="array" ref="L483">IFERROR(INDEX(AUTO_Public_TSV_FileList!$A$1:$A$1000,MATCH(TRUE(),EXACT(K483,IFERROR(_xlfn.TEXTBEFORE(AUTO_Public_TSV_FileList!$A$1:$A$1000,".tsv"),"")),0)),"notfound")</f>
        <v>10.1037%2F0735-7036.102.2.99_Table1+Table3.tsv</v>
      </c>
      <c r="M483" s="9" t="inlineStr">
        <is>
          <t>Absolute auditory thresholds for vervet, De Brazza's, Japanese macaque and human, 19-24 frequencies</t>
        </is>
      </c>
      <c r="N483" s="9" t="inlineStr">
        <is>
          <t>PDF table</t>
        </is>
      </c>
      <c r="O483" s="9" t="inlineStr">
        <is>
          <t>Registry row added 2026-09-27. Built same day; public TSV uploaded.</t>
        </is>
      </c>
      <c r="P483" s="9" t="inlineStr">
        <is>
          <t>FINISHED</t>
        </is>
      </c>
      <c r="Q483" s="9"/>
      <c r="R483" s="9"/>
      <c r="S483" s="9"/>
      <c r="T483" s="9"/>
      <c r="U483" s="9"/>
      <c r="V483" s="9"/>
      <c r="W483" s="9"/>
      <c r="X483" s="9"/>
      <c r="Y483" s="9"/>
      <c r="Z483" s="9"/>
      <c r="AA483" s="9"/>
      <c r="AB483" s="9"/>
      <c r="AC483" s="9"/>
      <c r="AD483" s="9"/>
      <c r="AE483" s="9"/>
      <c r="AF483" s="9"/>
      <c r="AG483" s="9"/>
    </row>
    <row r="484" ht="15" customHeight="1">
      <c r="A484" s="13" t="inlineStr">
        <is>
          <t>Palomero-Gallagher, N., &amp; Zilles, K. (2018). Differences in cytoarchitecture of Broca’s region between human, ape and macaque brains. Cortex. https://doi.org/10.1016/j.cortex.2018.09.008</t>
        </is>
      </c>
      <c r="B484" s="13"/>
      <c r="C484" s="13"/>
      <c r="D484" s="13" t="inlineStr">
        <is>
          <t>Table S3</t>
        </is>
      </c>
      <c r="E484" s="11" t="str">
        <f>SUBSTITUTE(SUBSTITUTE(_xlfn.TEXTBEFORE(A484,","), "-", ""), " ", "")</f>
        <v>PalomeroGallagher</v>
      </c>
      <c r="F484" s="10"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4" s="10" t="str">
        <f>_xlfn.TEXTBEFORE(_xlfn.TEXTAFTER(A484, "("), ")")</f>
        <v>2018</v>
      </c>
      <c r="H484" s="11" t="str">
        <f>E484 &amp; IF(F484&lt;&gt;"", "_" &amp; SUBSTITUTE(F484," ",""), "_") &amp; IF(G484&lt;&gt;"", "_" &amp; G484, "_") &amp; IF(B484&lt;&gt;"", "_" &amp; B484, "")</f>
        <v>PalomeroGallagher__2018</v>
      </c>
      <c r="I484" s="11" t="str">
        <f>_xlfn.LET(_xlpm.doi,IF(C484&lt;&gt;"",C484,_xlfn.TEXTAFTER(A484,"https://doi.org/")),SUBSTITUTE(SUBSTITUTE(SUBSTITUTE(SUBSTITUTE(_xlpm.doi,"/","%2F"),":","%3A"),"&lt;","%3C"),"&gt;","%3E"))</f>
        <v>10.1016%2Fj.cortex.2018.09.008</v>
      </c>
      <c r="J484" s="11" t="str">
        <f>TRIM(_xlfn.TEXTJOIN("_",FALSE(),H484,(SUBSTITUTE(SUBSTITUTE(D484," ",""), "_", ""))))</f>
        <v>PalomeroGallagher__2018_TableS3</v>
      </c>
      <c r="K484" s="10" t="str">
        <f>I484 &amp; "_" &amp; SUBSTITUTE(SUBSTITUTE(SUBSTITUTE(D484,CHAR(160),"")," ",""),"_","")</f>
        <v>10.1016%2Fj.cortex.2018.09.008_TableS3</v>
      </c>
      <c r="L484" s="10" t="str">
        <f t="array" ref="L484">IFERROR(INDEX(AUTO_Public_TSV_FileList!$A$1:$A$1000,MATCH(TRUE(),EXACT(K484,IFERROR(_xlfn.TEXTBEFORE(AUTO_Public_TSV_FileList!$A$1:$A$1000,".tsv"),"")),0)),"notfound")</f>
        <v>10.1016%2Fj.cortex.2018.09.008_TableS3.tsv</v>
      </c>
      <c r="M484" s="13" t="inlineStr">
        <is>
          <t>Supplementary table 3: Mean GLI (volume proportion of cell bodies per volume tissue) over all cortical layers, as well as in the supragranular, granular and infragranular strata of areas 44 and 45. Data pertaining figure 12.</t>
        </is>
      </c>
      <c r="N484" s="13" t="inlineStr">
        <is>
          <t>digital-native xlsx (journal supplementary file mmc1.xlsx, sheet 'Table S3')</t>
        </is>
      </c>
      <c r="O484" s="13" t="inlineStr">
        <is>
          <t>Per-specimen GLI summary; human 4 specimens, macaque 2-3, others single-specimen. Companion Tables S1/S2 (depth profiles, Figs. 10/11) not built in this item.</t>
        </is>
      </c>
      <c r="P484" s="13" t="inlineStr">
        <is>
          <t>FINISHED</t>
        </is>
      </c>
      <c r="Q484" s="13" t="inlineStr">
        <is>
          <t>PalomeroGallagher_Zilles_2018_TableS3_snapshot.xlsx (byte-identical copy-rename of 1-s2.0-S0010945218302958-mmc1.xlsx)</t>
        </is>
      </c>
      <c r="R484" s="13"/>
      <c r="S484" s="13"/>
      <c r="T484" s="13"/>
      <c r="U484" s="13"/>
      <c r="V484" s="13" t="inlineStr">
        <is>
          <t>cytoarchitecture; grey level index</t>
        </is>
      </c>
      <c r="W484" s="13" t="inlineStr">
        <is>
          <t>Homo sapiens; Pan paniscus; Pan troglodytes; Gorilla gorilla; Pongo pygmaeus; Hylobates lar; Macaca fascicularis</t>
        </is>
      </c>
      <c r="X484" s="13" t="inlineStr">
        <is>
          <t>grey level index (GLI, %), areas 44 and 45 (Broca-region homologs), by cortical stratum, per specimen</t>
        </is>
      </c>
      <c r="Y484" s="13"/>
      <c r="Z484" s="13" t="inlineStr">
        <is>
          <t>histological (cell-body stained sections)</t>
        </is>
      </c>
      <c r="AA484" s="13" t="inlineStr">
        <is>
          <t>layer-specific GLI image analysis</t>
        </is>
      </c>
      <c r="AB484" s="13" t="inlineStr">
        <is>
          <t>pct.GLI</t>
        </is>
      </c>
      <c r="AC484" s="13"/>
      <c r="AD484" s="13"/>
      <c r="AE484" s="13" t="inlineStr">
        <is>
          <t>primary</t>
        </is>
      </c>
      <c r="AF484" s="13"/>
      <c r="AG484" s="13" t="inlineStr">
        <is>
          <t>This paper already has a stub row in Sheet1 (Citation starts 'Palomero-Gallagher, N., &amp; Zilles, K. (2018)...', Item name 'PalomeroGallagher_Zilles_2018_' trailing underscore, Item number blank) - fill that row's Item number to 'TableS3' rather than appending a duplicate row.</t>
        </is>
      </c>
    </row>
    <row r="485" ht="15" customHeight="1">
      <c r="A485" s="13" t="inlineStr">
        <is>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is>
      </c>
      <c r="B485" s="13"/>
      <c r="C485" s="13"/>
      <c r="D485" s="13" t="inlineStr">
        <is>
          <t>Table 2</t>
        </is>
      </c>
      <c r="E485" s="10" t="str">
        <f>SUBSTITUTE(SUBSTITUTE(_xlfn.TEXTBEFORE(A485,","), "-", ""), " ", "")</f>
        <v>Peruffo</v>
      </c>
      <c r="F485" s="10"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10" t="str">
        <f>_xlfn.TEXTBEFORE(_xlfn.TEXTAFTER(A485, "("), ")")</f>
        <v>2019</v>
      </c>
      <c r="H485" s="10" t="str">
        <f>E485 &amp; IF(F485&lt;&gt;"", "_" &amp; SUBSTITUTE(F485," ",""), "_") &amp; IF(G485&lt;&gt;"", "_" &amp; G485, "_") &amp; IF(B485&lt;&gt;"", "_" &amp; B485, "")</f>
        <v>Peruffo_etal_2019</v>
      </c>
      <c r="I485" s="10" t="str">
        <f>_xlfn.LET(
_xlpm.doi,IF(C485&lt;&gt;"",C485,_xlfn.TEXTAFTER(A485,"https://doi.org/")),
SUBSTITUTE(
SUBSTITUTE(
SUBSTITUTE(
SUBSTITUTE(
_xlpm.doi,
"/","%2F"),
":","%3A"),
"&lt;","%3C"),
"&gt;","%3E")
)</f>
        <v>10.1007%2Fs00429-019-01885-x</v>
      </c>
      <c r="J485" s="10" t="str">
        <f>TRIM(_xlfn.TEXTJOIN("_",FALSE(),H485,(SUBSTITUTE(SUBSTITUTE(D485," ",""), "_", ""))))</f>
        <v>Peruffo_etal_2019_Table2</v>
      </c>
      <c r="K485" s="10" t="str">
        <f>I485 &amp; "_" &amp; SUBSTITUTE(SUBSTITUTE(SUBSTITUTE(D485,CHAR(160),"")," ",""),"_","")</f>
        <v>10.1007%2Fs00429-019-01885-x_Table2</v>
      </c>
      <c r="L485" s="10" t="str">
        <f t="array" ref="L485">IFERROR(INDEX(AUTO_Public_TSV_FileList!$A$1:$A$1000,MATCH(TRUE(),EXACT(K485,IFERROR(_xlfn.TEXTBEFORE(AUTO_Public_TSV_FileList!$A$1:$A$1000,".tsv"),"")),0)),"notfound")</f>
        <v>10.1007%2Fs00429-019-01885-x_Table2.tsv</v>
      </c>
      <c r="M485" s="13"/>
      <c r="N485" s="1" t="inlineStr">
        <is>
          <t>table</t>
        </is>
      </c>
      <c r="O485" s="13"/>
      <c r="P485" s="13" t="inlineStr">
        <is>
          <t>FINISHED</t>
        </is>
      </c>
      <c r="Q485" s="13"/>
      <c r="R485" s="13" t="inlineStr">
        <is>
          <t>https://link.springer.com/content/pdf/10.1007/s00429-019-01885-x.pdf</t>
        </is>
      </c>
      <c r="S485" s="13"/>
      <c r="T485" s="13"/>
      <c r="U485" s="13"/>
      <c r="V485" s="13" t="inlineStr">
        <is>
          <t>cortical layers</t>
        </is>
      </c>
      <c r="W485" s="13" t="inlineStr">
        <is>
          <t>Ovis aries</t>
        </is>
      </c>
      <c r="X485" s="13" t="inlineStr">
        <is>
          <t>M1 cortical-layer thickness</t>
        </is>
      </c>
      <c r="Y485" s="13"/>
      <c r="Z485" s="13" t="inlineStr">
        <is>
          <t>individuals plus printed species mean</t>
        </is>
      </c>
      <c r="AA485" s="13"/>
      <c r="AB485" s="13" t="inlineStr">
        <is>
          <t>absolute and proportional cortical-layer thickness</t>
        </is>
      </c>
      <c r="AC485" s="13"/>
      <c r="AD485" s="13"/>
      <c r="AE485" s="13" t="inlineStr">
        <is>
          <t>primary</t>
        </is>
      </c>
      <c r="AF485" s="13"/>
      <c r="AG485" s="13"/>
    </row>
    <row r="486" ht="15" customHeight="1">
      <c r="A486" s="1" t="inlineStr">
        <is>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is>
      </c>
      <c r="B486" s="13"/>
      <c r="C486" s="13"/>
      <c r="D486" s="1" t="inlineStr">
        <is>
          <t>Table 2</t>
        </is>
      </c>
      <c r="E486" s="10" t="str">
        <f>SUBSTITUTE(SUBSTITUTE(_xlfn.TEXTBEFORE(A486,","), "-", ""), " ", "")</f>
        <v>Peruffo</v>
      </c>
      <c r="F486" s="10"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0" t="str">
        <f>_xlfn.TEXTBEFORE(_xlfn.TEXTAFTER(A486, "("), ")")</f>
        <v>2019</v>
      </c>
      <c r="H486" s="10" t="str">
        <f>E486 &amp; IF(F486&lt;&gt;"", "_" &amp; SUBSTITUTE(F486," ",""), "_") &amp; IF(G486&lt;&gt;"", "_" &amp; G486, "_") &amp; IF(B486&lt;&gt;"", "_" &amp; B486, "")</f>
        <v>Peruffo_etal_2019</v>
      </c>
      <c r="I486" s="10" t="str">
        <f>_xlfn.LET(
_xlpm.doi,IF(C486&lt;&gt;"",C486,_xlfn.TEXTAFTER(A486,"https://doi.org/")),
SUBSTITUTE(
SUBSTITUTE(
SUBSTITUTE(
SUBSTITUTE(
_xlpm.doi,
"/","%2F"),
":","%3A"),
"&lt;","%3C"),
"&gt;","%3E")
)</f>
        <v>10.1007%2Fs00429-019-01885-x</v>
      </c>
      <c r="J486" s="10" t="str">
        <f>TRIM(_xlfn.TEXTJOIN("_",FALSE(),H486,(SUBSTITUTE(SUBSTITUTE(D486," ",""), "_", ""))))</f>
        <v>Peruffo_etal_2019_Table2</v>
      </c>
      <c r="K486" s="10" t="str">
        <f>I486 &amp; "_" &amp; SUBSTITUTE(SUBSTITUTE(SUBSTITUTE(D486,CHAR(160),"")," ",""),"_","")</f>
        <v>10.1007%2Fs00429-019-01885-x_Table2</v>
      </c>
      <c r="L486" s="10" t="str">
        <f t="array" ref="L486">IFERROR(INDEX(AUTO_Public_TSV_FileList!$A$1:$A$1000,MATCH(TRUE(),EXACT(K486,IFERROR(_xlfn.TEXTBEFORE(AUTO_Public_TSV_FileList!$A$1:$A$1000,".tsv"),"")),0)),"notfound")</f>
        <v>10.1007%2Fs00429-019-01885-x_Table2.tsv</v>
      </c>
      <c r="M486" s="13"/>
      <c r="N486" s="1" t="inlineStr">
        <is>
          <t>table</t>
        </is>
      </c>
      <c r="O486" s="13"/>
      <c r="P486" s="13" t="inlineStr">
        <is>
          <t>FINISHED</t>
        </is>
      </c>
      <c r="Q486" s="13"/>
      <c r="R486" s="13" t="inlineStr">
        <is>
          <t>https://link.springer.com/content/pdf/10.1007/s00429-019-01885-x.pdf</t>
        </is>
      </c>
      <c r="S486" s="13"/>
      <c r="T486" s="13"/>
      <c r="U486" s="13"/>
      <c r="V486" s="13" t="inlineStr">
        <is>
          <t>cortical layers</t>
        </is>
      </c>
      <c r="W486" s="1" t="inlineStr">
        <is>
          <t>Ovis aries</t>
        </is>
      </c>
      <c r="X486" s="1" t="inlineStr">
        <is>
          <t>M1 cortical-layer thickness</t>
        </is>
      </c>
      <c r="Y486" s="13"/>
      <c r="Z486" s="13" t="inlineStr">
        <is>
          <t>individuals plus printed species mean</t>
        </is>
      </c>
      <c r="AA486" s="1" t="inlineStr">
        <is>
          <t>isotropic fractionator</t>
        </is>
      </c>
      <c r="AB486" s="1" t="inlineStr">
        <is>
          <t>absolute and proportional cortical-layer thickness</t>
        </is>
      </c>
      <c r="AC486" s="1" t="inlineStr">
        <is>
          <t>Kaas</t>
        </is>
      </c>
      <c r="AD486" s="13"/>
      <c r="AE486" s="1" t="inlineStr">
        <is>
          <t>primary</t>
        </is>
      </c>
      <c r="AF486" s="1"/>
      <c r="AG486" s="13"/>
    </row>
    <row r="487" ht="15" customHeight="1">
      <c r="A487" s="1" t="inlineStr">
        <is>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is>
      </c>
      <c r="B487" s="13"/>
      <c r="C487" s="13"/>
      <c r="D487" s="1" t="inlineStr">
        <is>
          <t>Table 2</t>
        </is>
      </c>
      <c r="E487" s="10" t="str">
        <f>SUBSTITUTE(SUBSTITUTE(_xlfn.TEXTBEFORE(A487,","), "-", ""), " ", "")</f>
        <v>Peruffo</v>
      </c>
      <c r="F487" s="10"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10" t="str">
        <f>_xlfn.TEXTBEFORE(_xlfn.TEXTAFTER(A487, "("), ")")</f>
        <v>2019</v>
      </c>
      <c r="H487" s="10" t="str">
        <f>E487 &amp; IF(F487&lt;&gt;"", "_" &amp; SUBSTITUTE(F487," ",""), "_") &amp; IF(G487&lt;&gt;"", "_" &amp; G487, "_") &amp; IF(B487&lt;&gt;"", "_" &amp; B487, "")</f>
        <v>Peruffo_etal_2019</v>
      </c>
      <c r="I487" s="10" t="str">
        <f>_xlfn.LET(
_xlpm.doi,IF(C487&lt;&gt;"",C487,_xlfn.TEXTAFTER(A487,"https://doi.org/")),
SUBSTITUTE(
SUBSTITUTE(
SUBSTITUTE(
SUBSTITUTE(
_xlpm.doi,
"/","%2F"),
":","%3A"),
"&lt;","%3C"),
"&gt;","%3E")
)</f>
        <v>10.1007%2Fs00429-019-01885-x</v>
      </c>
      <c r="J487" s="10" t="str">
        <f>TRIM(_xlfn.TEXTJOIN("_",FALSE(),H487,(SUBSTITUTE(SUBSTITUTE(D487," ",""), "_", ""))))</f>
        <v>Peruffo_etal_2019_Table2</v>
      </c>
      <c r="K487" s="10" t="str">
        <f>I487 &amp; "_" &amp; SUBSTITUTE(SUBSTITUTE(SUBSTITUTE(D487,CHAR(160),"")," ",""),"_","")</f>
        <v>10.1007%2Fs00429-019-01885-x_Table2</v>
      </c>
      <c r="L487" s="10" t="str">
        <f t="array" ref="L487">IFERROR(INDEX(AUTO_Public_TSV_FileList!$A$1:$A$1000,MATCH(TRUE(),EXACT(K487,IFERROR(_xlfn.TEXTBEFORE(AUTO_Public_TSV_FileList!$A$1:$A$1000,".tsv"),"")),0)),"notfound")</f>
        <v>10.1007%2Fs00429-019-01885-x_Table2.tsv</v>
      </c>
      <c r="M487" s="13"/>
      <c r="N487" s="1" t="inlineStr">
        <is>
          <t>table</t>
        </is>
      </c>
      <c r="O487" s="13"/>
      <c r="P487" s="13" t="inlineStr">
        <is>
          <t>FINISHED</t>
        </is>
      </c>
      <c r="Q487" s="13"/>
      <c r="R487" s="13" t="inlineStr">
        <is>
          <t>https://link.springer.com/content/pdf/10.1007/s00429-019-01885-x.pdf</t>
        </is>
      </c>
      <c r="S487" s="13"/>
      <c r="T487" s="13"/>
      <c r="U487" s="13"/>
      <c r="V487" s="13" t="inlineStr">
        <is>
          <t>cortical layers</t>
        </is>
      </c>
      <c r="W487" s="1" t="inlineStr">
        <is>
          <t>Ovis aries</t>
        </is>
      </c>
      <c r="X487" s="1" t="inlineStr">
        <is>
          <t>M1 cortical-layer thickness</t>
        </is>
      </c>
      <c r="Y487" s="13"/>
      <c r="Z487" s="13" t="inlineStr">
        <is>
          <t>individuals plus printed species mean</t>
        </is>
      </c>
      <c r="AA487" s="1"/>
      <c r="AB487" s="1" t="inlineStr">
        <is>
          <t>absolute and proportional cortical-layer thickness</t>
        </is>
      </c>
      <c r="AC487" s="1" t="inlineStr">
        <is>
          <t>Zilles</t>
        </is>
      </c>
      <c r="AD487" s="13"/>
      <c r="AE487" s="1" t="inlineStr">
        <is>
          <t>primary</t>
        </is>
      </c>
      <c r="AF487" s="1"/>
      <c r="AG487" s="13"/>
    </row>
    <row r="488" ht="15" customHeight="1">
      <c r="A488" s="17" t="inlineStr">
        <is>
          <t>Pettigrew, J. D., Manger, P. R., &amp; Fine, S. L. B. (1998). The sensory world of the platypus. Philosophical Transactions of the Royal Society of London B, 353(1372), 1199–1210. https://doi.org/10.1098/rstb.1998.0276</t>
        </is>
      </c>
      <c r="B488" s="9"/>
      <c r="C488" s="9"/>
      <c r="D488" s="17" t="inlineStr">
        <is>
          <t>Table 2</t>
        </is>
      </c>
      <c r="E488" s="10" t="str">
        <f>SUBSTITUTE(SUBSTITUTE(_xlfn.TEXTBEFORE(A488,","), "-", ""), " ", "")</f>
        <v>Pettigrew</v>
      </c>
      <c r="F488" s="10"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10" t="str">
        <f>_xlfn.TEXTBEFORE(_xlfn.TEXTAFTER(A488, "("), ")")</f>
        <v>1998</v>
      </c>
      <c r="H488" s="10" t="str">
        <f>E488 &amp; IF(F488&lt;&gt;"", "_" &amp; SUBSTITUTE(F488," ",""), "_") &amp; IF(G488&lt;&gt;"", "_" &amp; G488, "_") &amp; IF(B488&lt;&gt;"", "_" &amp; B488, "")</f>
        <v>Pettigrew_etal_1998</v>
      </c>
      <c r="I488" s="10" t="str">
        <f>_xlfn.LET(
_xlpm.doi,IF(C488&lt;&gt;"",C488,_xlfn.TEXTAFTER(A488,"https://doi.org/")),
SUBSTITUTE(
SUBSTITUTE(
SUBSTITUTE(
SUBSTITUTE(
_xlpm.doi,
"/","%2F"),
":","%3A"),
"&lt;","%3C"),
"&gt;","%3E")
)</f>
        <v>10.1098%2Frstb.1998.0276</v>
      </c>
      <c r="J488" s="10" t="str">
        <f>TRIM(_xlfn.TEXTJOIN("_",FALSE(),H488,(SUBSTITUTE(SUBSTITUTE(D488," ",""), "_", ""))))</f>
        <v>Pettigrew_etal_1998_Table2</v>
      </c>
      <c r="K488" s="10" t="str">
        <f>I488 &amp; "_" &amp; SUBSTITUTE(SUBSTITUTE(SUBSTITUTE(D488,CHAR(160),""), " ", ""), "_", "")</f>
        <v>10.1098%2Frstb.1998.0276_Table2</v>
      </c>
      <c r="L488" s="10" t="str">
        <f t="array" ref="L488">IFERROR(INDEX(AUTO_Public_TSV_FileList!$A$1:$A$1000,MATCH(TRUE(),EXACT(K488,IFERROR(_xlfn.TEXTBEFORE(AUTO_Public_TSV_FileList!$A$1:$A$1000,".tsv"),"")),0)),"notfound")</f>
        <v>10.1098%2Frstb.1998.0276_Table2.tsv</v>
      </c>
      <c r="M488" s="13" t="inlineStr">
        <is>
          <t>Table 2. Visual cortical magnification and retinal acuity in some mammals</t>
        </is>
      </c>
      <c r="N488" s="17" t="inlineStr">
        <is>
          <t>table</t>
        </is>
      </c>
      <c r="O488" s="17" t="inlineStr">
        <is>
          <t>Public TSV upload to __Public/comparative-data pending (same infra timeout affecting the other new Heffner-batch items uploaded 2026-09-25; retry together).</t>
        </is>
      </c>
      <c r="P488" s="17" t="inlineStr">
        <is>
          <t>FINISHED</t>
        </is>
      </c>
      <c r="Q488" s="9"/>
      <c r="R488" s="17" t="inlineStr">
        <is>
          <t>https://doi.org/10.1098/rstb.1998.0276</t>
        </is>
      </c>
      <c r="S488" s="9"/>
      <c r="T488" s="9"/>
      <c r="U488" s="9"/>
      <c r="V488" s="17" t="inlineStr">
        <is>
          <t>Sensory</t>
        </is>
      </c>
      <c r="W488" s="17" t="inlineStr">
        <is>
          <t>Monotremata (platypus) + 12 comparison mammals</t>
        </is>
      </c>
      <c r="X488" s="17" t="inlineStr">
        <is>
          <t>visual cortical magnification factor; retinal-ganglion-cell acuity</t>
        </is>
      </c>
      <c r="Y488" s="9"/>
      <c r="Z488" s="17" t="inlineStr">
        <is>
          <t>retinal wholemount + electrophysiological cortical mapping</t>
        </is>
      </c>
      <c r="AA488" s="17" t="inlineStr">
        <is>
          <t>ganglion-cell density mapping; receptive-field mapping</t>
        </is>
      </c>
      <c r="AB488" s="17" t="inlineStr">
        <is>
          <t>magnification (mm/deg); acuity (cyc/deg)</t>
        </is>
      </c>
      <c r="AC488" s="17" t="inlineStr">
        <is>
          <t>Pettigrew</t>
        </is>
      </c>
      <c r="AD488" s="9"/>
      <c r="AE488" s="17" t="inlineStr">
        <is>
          <t>both</t>
        </is>
      </c>
      <c r="AF488" s="9"/>
      <c r="AG488" s="9"/>
    </row>
    <row r="489" ht="15" customHeight="1">
      <c r="A489" s="13" t="inlineStr">
        <is>
          <t>Pettigrew, J. D., Manger, P. R., &amp; Fine, S. L. B. (1998). The sensory world of the platypus. Philosophical Transactions of the Royal Society of London. Series B: Biological Sciences, 353(1372), 1199–1210. https://doi.org/10.1098/rstb.1998.0276</t>
        </is>
      </c>
      <c r="B489" s="13"/>
      <c r="C489" s="13"/>
      <c r="D489" s="13" t="inlineStr">
        <is>
          <t>Table 1</t>
        </is>
      </c>
      <c r="E489" s="11" t="str">
        <f>SUBSTITUTE(SUBSTITUTE(_xlfn.TEXTBEFORE(A489,","), "-", ""), " ", "")</f>
        <v>Pettigrew</v>
      </c>
      <c r="F489" s="10"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10" t="str">
        <f>_xlfn.TEXTBEFORE(_xlfn.TEXTAFTER(A489, "("), ")")</f>
        <v>1998</v>
      </c>
      <c r="H489" s="11" t="str">
        <f>E489 &amp; IF(F489&lt;&gt;"", "_" &amp; SUBSTITUTE(F489," ",""), "_") &amp; IF(G489&lt;&gt;"", "_" &amp; G489, "_") &amp; IF(B489&lt;&gt;"", "_" &amp; B489, "")</f>
        <v>Pettigrew_etal_1998</v>
      </c>
      <c r="I489" s="11" t="str">
        <f>_xlfn.LET(_xlpm.doi,IF(C489&lt;&gt;"",C489,_xlfn.TEXTAFTER(A489,"https://doi.org/")),SUBSTITUTE(SUBSTITUTE(SUBSTITUTE(SUBSTITUTE(_xlpm.doi,"/","%2F"),":","%3A"),"&lt;","%3C"),"&gt;","%3E"))</f>
        <v>10.1098%2Frstb.1998.0276</v>
      </c>
      <c r="J489" s="11" t="str">
        <f>TRIM(_xlfn.TEXTJOIN("_",FALSE(),H489,(SUBSTITUTE(SUBSTITUTE(D489," ",""), "_", ""))))</f>
        <v>Pettigrew_etal_1998_Table1</v>
      </c>
      <c r="K489" s="10" t="str">
        <f>I489 &amp; "_" &amp; SUBSTITUTE(SUBSTITUTE(SUBSTITUTE(D489,CHAR(160),"")," ",""),"_","")</f>
        <v>10.1098%2Frstb.1998.0276_Table1</v>
      </c>
      <c r="L489" s="10" t="str">
        <f t="array" ref="L489">IFERROR(INDEX(AUTO_Public_TSV_FileList!$A$1:$A$1000,MATCH(TRUE(),EXACT(K489,IFERROR(_xlfn.TEXTBEFORE(AUTO_Public_TSV_FileList!$A$1:$A$1000,".tsv"),"")),0)),"notfound")</f>
        <v>10.1098%2Frstb.1998.0276_Table1.tsv</v>
      </c>
      <c r="M489" s="13" t="inlineStr">
        <is>
          <t>Table 1. Cortical magnification factors at different recording sites on cortex</t>
        </is>
      </c>
      <c r="N489" s="13" t="inlineStr">
        <is>
          <t>PDF table</t>
        </is>
      </c>
      <c r="O489" s="13" t="inlineStr">
        <is>
          <t>Platypus only: recording-site separation (mm), receptive field separation (deg, approx.), magnification (mm/deg) for Vr and Vc.</t>
        </is>
      </c>
      <c r="P489" s="13"/>
      <c r="Q489" s="13"/>
      <c r="R489" s="13" t="inlineStr">
        <is>
          <t>https://doi.org/10.1098/rstb.1998.0276</t>
        </is>
      </c>
      <c r="S489" s="13"/>
      <c r="T489" s="13" t="inlineStr">
        <is>
          <t>single species; approximate values</t>
        </is>
      </c>
      <c r="U489" s="13"/>
      <c r="V489" s="13" t="inlineStr">
        <is>
          <t>sensory vision</t>
        </is>
      </c>
      <c r="W489" s="13" t="inlineStr">
        <is>
          <t>Ornithorhynchus anatinus</t>
        </is>
      </c>
      <c r="X489" s="13" t="inlineStr">
        <is>
          <t>cortical magnification factor (mm/deg)</t>
        </is>
      </c>
      <c r="Y489" s="13"/>
      <c r="Z489" s="13"/>
      <c r="AA489" s="13" t="inlineStr">
        <is>
          <t>electrophysiological mapping</t>
        </is>
      </c>
      <c r="AB489" s="13" t="inlineStr">
        <is>
          <t>mm; deg</t>
        </is>
      </c>
      <c r="AC489" s="13" t="inlineStr">
        <is>
          <t>Pettigrew</t>
        </is>
      </c>
      <c r="AD489" s="13"/>
      <c r="AE489" s="13" t="inlineStr">
        <is>
          <t>primary</t>
        </is>
      </c>
      <c r="AF489" s="13"/>
      <c r="AG489" s="13" t="inlineStr">
        <is>
          <t>Optional.</t>
        </is>
      </c>
    </row>
    <row r="490" ht="15" customHeight="1">
      <c r="A490" s="13" t="inlineStr">
        <is>
          <t>Pettigrew, J. D., Manger, P. R., &amp; Fine, S. L. B. (1998). The sensory world of the platypus. Philosophical Transactions of the Royal Society of London. Series B: Biological Sciences, 353(1372), 1199–1210. https://doi.org/10.1098/rstb.1998.0276</t>
        </is>
      </c>
      <c r="B490" s="13"/>
      <c r="C490" s="13"/>
      <c r="D490" s="13" t="inlineStr">
        <is>
          <t>Table 2</t>
        </is>
      </c>
      <c r="E490" s="11" t="str">
        <f>SUBSTITUTE(SUBSTITUTE(_xlfn.TEXTBEFORE(A490,","), "-", ""), " ", "")</f>
        <v>Pettigrew</v>
      </c>
      <c r="F490" s="10"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10" t="str">
        <f>_xlfn.TEXTBEFORE(_xlfn.TEXTAFTER(A490, "("), ")")</f>
        <v>1998</v>
      </c>
      <c r="H490" s="11" t="str">
        <f>E490 &amp; IF(F490&lt;&gt;"", "_" &amp; SUBSTITUTE(F490," ",""), "_") &amp; IF(G490&lt;&gt;"", "_" &amp; G490, "_") &amp; IF(B490&lt;&gt;"", "_" &amp; B490, "")</f>
        <v>Pettigrew_etal_1998</v>
      </c>
      <c r="I490" s="11" t="str">
        <f>_xlfn.LET(_xlpm.doi,IF(C490&lt;&gt;"",C490,_xlfn.TEXTAFTER(A490,"https://doi.org/")),SUBSTITUTE(SUBSTITUTE(SUBSTITUTE(SUBSTITUTE(_xlpm.doi,"/","%2F"),":","%3A"),"&lt;","%3C"),"&gt;","%3E"))</f>
        <v>10.1098%2Frstb.1998.0276</v>
      </c>
      <c r="J490" s="11" t="str">
        <f>TRIM(_xlfn.TEXTJOIN("_",FALSE(),H490,(SUBSTITUTE(SUBSTITUTE(D490," ",""), "_", ""))))</f>
        <v>Pettigrew_etal_1998_Table2</v>
      </c>
      <c r="K490" s="10" t="str">
        <f>I490 &amp; "_" &amp; SUBSTITUTE(SUBSTITUTE(SUBSTITUTE(D490,CHAR(160),"")," ",""),"_","")</f>
        <v>10.1098%2Frstb.1998.0276_Table2</v>
      </c>
      <c r="L490" s="10" t="str">
        <f t="array" ref="L490">IFERROR(INDEX(AUTO_Public_TSV_FileList!$A$1:$A$1000,MATCH(TRUE(),EXACT(K490,IFERROR(_xlfn.TEXTBEFORE(AUTO_Public_TSV_FileList!$A$1:$A$1000,".tsv"),"")),0)),"notfound")</f>
        <v>10.1098%2Frstb.1998.0276_Table2.tsv</v>
      </c>
      <c r="M490" s="13" t="inlineStr">
        <is>
          <t>Table 2. Visual cortical magnification and retinal acuity in some mammals</t>
        </is>
      </c>
      <c r="N490" s="13" t="inlineStr">
        <is>
          <t>PDF table</t>
        </is>
      </c>
      <c r="O490" s="13" t="inlineStr">
        <is>
          <t>13 spp: linear cortical magnification factor (mm cortex/deg), acuity from ganglion cell density (cycles/deg), ratio (cycles/mm); grouped by dominant retinogeniculate vs retinotectal pathway.</t>
        </is>
      </c>
      <c r="P490" s="13"/>
      <c r="Q490" s="13"/>
      <c r="R490" s="13" t="inlineStr">
        <is>
          <t>https://doi.org/10.1098/rstb.1998.0276</t>
        </is>
      </c>
      <c r="S490" s="13"/>
      <c r="T490" s="13" t="inlineStr">
        <is>
          <t>platypus acuity 1.8 in table vs ~2 cycles/deg in text</t>
        </is>
      </c>
      <c r="U490" s="13"/>
      <c r="V490" s="13" t="inlineStr">
        <is>
          <t>sensory vision</t>
        </is>
      </c>
      <c r="W490" s="13" t="inlineStr">
        <is>
          <t>Mammals (13 spp)</t>
        </is>
      </c>
      <c r="X490" s="13" t="inlineStr">
        <is>
          <t>retinal ganglion-cell acuity (cycles/deg); visual cortical magnification (mm/deg)</t>
        </is>
      </c>
      <c r="Y490" s="13" t="inlineStr">
        <is>
          <t>visual pathway type</t>
        </is>
      </c>
      <c r="Z490" s="13"/>
      <c r="AA490" s="13" t="inlineStr">
        <is>
          <t>literature compilation + platypus retina/cortex mapping</t>
        </is>
      </c>
      <c r="AB490" s="13" t="inlineStr">
        <is>
          <t>cycles/deg; mm/deg</t>
        </is>
      </c>
      <c r="AC490" s="13" t="inlineStr">
        <is>
          <t>Pettigrew</t>
        </is>
      </c>
      <c r="AD490" s="13"/>
      <c r="AE490" s="13" t="inlineStr">
        <is>
          <t>both</t>
        </is>
      </c>
      <c r="AF490" s="13"/>
      <c r="AG490" s="13" t="inlineStr">
        <is>
          <t>Extract; priority vision table.</t>
        </is>
      </c>
    </row>
    <row r="491" ht="15.75" customHeight="1">
      <c r="A491" s="13" t="inlineStr">
        <is>
          <t>Pettigrew, J. D., Manger, P. R., &amp; Fine, S. L. B. (1998). The sensory world of the platypus. Philosophical Transactions of the Royal Society of London. Series B: Biological Sciences, 353(1372), 1199–1210. https://doi.org/10.1098/rstb.1998.0276</t>
        </is>
      </c>
      <c r="B491" s="13"/>
      <c r="C491" s="13"/>
      <c r="D491" s="13" t="inlineStr">
        <is>
          <t>Text</t>
        </is>
      </c>
      <c r="E491" s="11" t="str">
        <f>SUBSTITUTE(SUBSTITUTE(_xlfn.TEXTBEFORE(A491,","), "-", ""), " ", "")</f>
        <v>Pettigrew</v>
      </c>
      <c r="F491" s="10"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0" t="str">
        <f>_xlfn.TEXTBEFORE(_xlfn.TEXTAFTER(A491, "("), ")")</f>
        <v>1998</v>
      </c>
      <c r="H491" s="11" t="str">
        <f>E491 &amp; IF(F491&lt;&gt;"", "_" &amp; SUBSTITUTE(F491," ",""), "_") &amp; IF(G491&lt;&gt;"", "_" &amp; G491, "_") &amp; IF(B491&lt;&gt;"", "_" &amp; B491, "")</f>
        <v>Pettigrew_etal_1998</v>
      </c>
      <c r="I491" s="11" t="str">
        <f>_xlfn.LET(_xlpm.doi,IF(C491&lt;&gt;"",C491,_xlfn.TEXTAFTER(A491,"https://doi.org/")),SUBSTITUTE(SUBSTITUTE(SUBSTITUTE(SUBSTITUTE(_xlpm.doi,"/","%2F"),":","%3A"),"&lt;","%3C"),"&gt;","%3E"))</f>
        <v>10.1098%2Frstb.1998.0276</v>
      </c>
      <c r="J491" s="11" t="str">
        <f>TRIM(_xlfn.TEXTJOIN("_",FALSE(),H491,(SUBSTITUTE(SUBSTITUTE(D491," ",""), "_", ""))))</f>
        <v>Pettigrew_etal_1998_Text</v>
      </c>
      <c r="K491" s="10" t="str">
        <f>I491 &amp; "_" &amp; SUBSTITUTE(SUBSTITUTE(SUBSTITUTE(D491,CHAR(160),"")," ",""),"_","")</f>
        <v>10.1098%2Frstb.1998.0276_Text</v>
      </c>
      <c r="L491" s="10" t="str">
        <f t="array" ref="L491">IFERROR(INDEX(AUTO_Public_TSV_FileList!$A$1:$A$1000,MATCH(TRUE(),EXACT(K491,IFERROR(_xlfn.TEXTBEFORE(AUTO_Public_TSV_FileList!$A$1:$A$1000,".tsv"),"")),0)),"notfound")</f>
        <v>10.1098%2Frstb.1998.0276_Text.tsv</v>
      </c>
      <c r="M491" s="13" t="inlineStr">
        <is>
          <t>Text. Platypus retina, hearing, and electroreception values</t>
        </is>
      </c>
      <c r="N491" s="13" t="inlineStr">
        <is>
          <t>text</t>
        </is>
      </c>
      <c r="O491" s="13" t="inlineStr">
        <is>
          <t>Peak RGC density 4,000 cells/mm²; centroperipheral gradient 3.5:1; total RGC ~40,000; acuity ~2 cycles/deg; hearing best frequency ~4 kHz, upper limit ~15 kHz (electrophysiological); ~40,000 bill electroreceptors; whole-animal electroreception threshold ~50 µV/cm vs afferent ~1–2 mV/cm.</t>
        </is>
      </c>
      <c r="P491" s="13"/>
      <c r="Q491" s="13"/>
      <c r="R491" s="13" t="inlineStr">
        <is>
          <t>https://doi.org/10.1098/rstb.1998.0276</t>
        </is>
      </c>
      <c r="S491" s="13"/>
      <c r="T491" s="13" t="inlineStr">
        <is>
          <t>units garbled in text layer – verify µV/mV against PDF; hearing values cited from earlier studies</t>
        </is>
      </c>
      <c r="U491" s="13"/>
      <c r="V491" s="13" t="inlineStr">
        <is>
          <t>sensory vision; sensory hearing; electroreception</t>
        </is>
      </c>
      <c r="W491" s="13" t="inlineStr">
        <is>
          <t>Ornithorhynchus anatinus</t>
        </is>
      </c>
      <c r="X491" s="13" t="inlineStr">
        <is>
          <t>RGC density; visual acuity; hearing range; electroreceptor number and threshold</t>
        </is>
      </c>
      <c r="Y491" s="13"/>
      <c r="Z491" s="13"/>
      <c r="AA491" s="13" t="inlineStr">
        <is>
          <t>review of retinal, auditory and electrosensory data</t>
        </is>
      </c>
      <c r="AB491" s="13" t="inlineStr">
        <is>
          <t>cells/mm²; cycles/deg; kHz; µV/cm</t>
        </is>
      </c>
      <c r="AC491" s="13" t="inlineStr">
        <is>
          <t>Pettigrew</t>
        </is>
      </c>
      <c r="AD491" s="13"/>
      <c r="AE491" s="13" t="inlineStr">
        <is>
          <t>both</t>
        </is>
      </c>
      <c r="AF491" s="13" t="inlineStr">
        <is>
          <t>Gates et al. (1974); Gregory et al. (1987)</t>
        </is>
      </c>
      <c r="AG491" s="13" t="inlineStr">
        <is>
          <t>Extract from text.</t>
        </is>
      </c>
    </row>
    <row r="492" ht="15.75" customHeight="1">
      <c r="A492" s="13" t="inlineStr">
        <is>
          <t>Pirlot, P. (1981). A quantitative approach to the marsupial brain in an eco-ethological perspective. Revue Canadienne de Biologie, 40(2), 229–250.</t>
        </is>
      </c>
      <c r="B492" s="13"/>
      <c r="C492" s="17" t="inlineStr">
        <is>
          <t>PMID:7280305</t>
        </is>
      </c>
      <c r="D492" s="13" t="inlineStr">
        <is>
          <t>TABLE I</t>
        </is>
      </c>
      <c r="E492" s="10" t="str">
        <f>SUBSTITUTE(SUBSTITUTE(_xlfn.TEXTBEFORE(A492,","), "-", ""), " ", "")</f>
        <v>Pirlot</v>
      </c>
      <c r="F492" s="10"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2" s="10" t="str">
        <f>_xlfn.TEXTBEFORE(_xlfn.TEXTAFTER(A492, "("), ")")</f>
        <v>1981</v>
      </c>
      <c r="H492" s="10" t="str">
        <f>E492 &amp; IF(F492&lt;&gt;"", "_" &amp; SUBSTITUTE(F492," ",""), "_") &amp; IF(G492&lt;&gt;"", "_" &amp; G492, "_") &amp; IF(B492&lt;&gt;"", "_" &amp; B492, "")</f>
        <v>Pirlot__1981</v>
      </c>
      <c r="I492" s="10" t="str">
        <f>_xlfn.LET(
_xlpm.doi,IF(C492&lt;&gt;"",C492,_xlfn.TEXTAFTER(A492,"https://doi.org/")),
SUBSTITUTE(
SUBSTITUTE(
SUBSTITUTE(
SUBSTITUTE(
_xlpm.doi,
"/","%2F"),
":","%3A"),
"&lt;","%3C"),
"&gt;","%3E")
)</f>
        <v>PMID%3A7280305</v>
      </c>
      <c r="J492" s="10" t="str">
        <f>TRIM(_xlfn.TEXTJOIN("_",FALSE(),H492,(SUBSTITUTE(SUBSTITUTE(D492," ",""), "_", ""))))</f>
        <v>Pirlot__1981_TABLEI</v>
      </c>
      <c r="K492" s="10" t="str">
        <f>I492 &amp; "_" &amp; SUBSTITUTE(SUBSTITUTE(SUBSTITUTE(D492,CHAR(160),"")," ",""),"_","")</f>
        <v>PMID%3A7280305_TABLEI</v>
      </c>
      <c r="L492" s="10" t="str">
        <f t="array" ref="L492">IFERROR(INDEX(AUTO_Public_TSV_FileList!$A$1:$A$1000,MATCH(TRUE(),EXACT(K492,IFERROR(_xlfn.TEXTBEFORE(AUTO_Public_TSV_FileList!$A$1:$A$1000,".tsv"),"")),0)),"notfound")</f>
        <v>PMID%3A7280305_TABLEI.tsv</v>
      </c>
      <c r="M492" s="13"/>
      <c r="N492" s="13" t="inlineStr">
        <is>
          <t>table</t>
        </is>
      </c>
      <c r="O492" s="13"/>
      <c r="P492" s="13"/>
      <c r="Q492" s="13"/>
      <c r="R492" s="13"/>
      <c r="S492" s="13"/>
      <c r="T492" s="13"/>
      <c r="U492" s="13"/>
      <c r="V492" s="13"/>
      <c r="W492" s="13"/>
      <c r="X492" s="13"/>
      <c r="Y492" s="13"/>
      <c r="Z492" s="13"/>
      <c r="AA492" s="13"/>
      <c r="AB492" s="13"/>
      <c r="AC492" s="13"/>
      <c r="AD492" s="13"/>
      <c r="AE492" s="13"/>
      <c r="AF492" s="13"/>
      <c r="AG492" s="13"/>
    </row>
    <row r="493" ht="15.75" customHeight="1">
      <c r="A493" s="13" t="inlineStr">
        <is>
          <t>Pirlot, P. (1981). A quantitative approach to the marsupial brain in an eco-ethological perspective. Revue Canadienne de Biologie, 40(2), 229–250.</t>
        </is>
      </c>
      <c r="B493" s="13"/>
      <c r="C493" s="17" t="inlineStr">
        <is>
          <t>PMID:7280305</t>
        </is>
      </c>
      <c r="D493" s="13" t="inlineStr">
        <is>
          <t>TABLE II</t>
        </is>
      </c>
      <c r="E493" s="10" t="str">
        <f>SUBSTITUTE(SUBSTITUTE(_xlfn.TEXTBEFORE(A493,","), "-", ""), " ", "")</f>
        <v>Pirlot</v>
      </c>
      <c r="F493" s="10"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3" s="10" t="str">
        <f>_xlfn.TEXTBEFORE(_xlfn.TEXTAFTER(A493, "("), ")")</f>
        <v>1981</v>
      </c>
      <c r="H493" s="10" t="str">
        <f>E493 &amp; IF(F493&lt;&gt;"", "_" &amp; SUBSTITUTE(F493," ",""), "_") &amp; IF(G493&lt;&gt;"", "_" &amp; G493, "_") &amp; IF(B493&lt;&gt;"", "_" &amp; B493, "")</f>
        <v>Pirlot__1981</v>
      </c>
      <c r="I493" s="10" t="str">
        <f>_xlfn.LET(
_xlpm.doi,IF(C493&lt;&gt;"",C493,_xlfn.TEXTAFTER(A493,"https://doi.org/")),
SUBSTITUTE(
SUBSTITUTE(
SUBSTITUTE(
SUBSTITUTE(
_xlpm.doi,
"/","%2F"),
":","%3A"),
"&lt;","%3C"),
"&gt;","%3E")
)</f>
        <v>PMID%3A7280305</v>
      </c>
      <c r="J493" s="10" t="str">
        <f>TRIM(_xlfn.TEXTJOIN("_",FALSE(),H493,(SUBSTITUTE(SUBSTITUTE(D493," ",""), "_", ""))))</f>
        <v>Pirlot__1981_TABLEII</v>
      </c>
      <c r="K493" s="10" t="str">
        <f>I493 &amp; "_" &amp; SUBSTITUTE(SUBSTITUTE(SUBSTITUTE(D493,CHAR(160),"")," ",""),"_","")</f>
        <v>PMID%3A7280305_TABLEII</v>
      </c>
      <c r="L493" s="10" t="str">
        <f t="array" ref="L493">IFERROR(INDEX(AUTO_Public_TSV_FileList!$A$1:$A$1000,MATCH(TRUE(),EXACT(K493,IFERROR(_xlfn.TEXTBEFORE(AUTO_Public_TSV_FileList!$A$1:$A$1000,".tsv"),"")),0)),"notfound")</f>
        <v>PMID%3A7280305_TABLEII.tsv</v>
      </c>
      <c r="M493" s="13"/>
      <c r="N493" s="13" t="inlineStr">
        <is>
          <t>table</t>
        </is>
      </c>
      <c r="O493" s="13"/>
      <c r="P493" s="13"/>
      <c r="Q493" s="13"/>
      <c r="R493" s="13"/>
      <c r="S493" s="13" t="inlineStr">
        <is>
          <t>One medulla value reads 66.0 on the scan but 566.0 in the data; 566.0 is right, because only that value makes the row add up to the printed total.</t>
        </is>
      </c>
      <c r="T493" s="13"/>
      <c r="U493" s="13"/>
      <c r="V493" s="13"/>
      <c r="W493" s="13"/>
      <c r="X493" s="13"/>
      <c r="Y493" s="13"/>
      <c r="Z493" s="13"/>
      <c r="AA493" s="13"/>
      <c r="AB493" s="13"/>
      <c r="AC493" s="13"/>
      <c r="AD493" s="13"/>
      <c r="AE493" s="13"/>
      <c r="AF493" s="13"/>
      <c r="AG493" s="13"/>
    </row>
    <row r="494" ht="15.75" customHeight="1">
      <c r="A494" s="13" t="inlineStr">
        <is>
          <t>Pirlot, P., &amp; Jiao, S. S. (1985). Quantitative morphology of the panda brain in comparison with the brains of the raccoon and the bear. Journal für Hirnforschung, 26(1), 17–22.</t>
        </is>
      </c>
      <c r="B494" s="13"/>
      <c r="C494" s="13" t="inlineStr">
        <is>
          <t>PMID:3989277</t>
        </is>
      </c>
      <c r="D494" s="13" t="inlineStr">
        <is>
          <t>Table 1</t>
        </is>
      </c>
      <c r="E494" s="10" t="str">
        <f>SUBSTITUTE(SUBSTITUTE(_xlfn.TEXTBEFORE(A494,","), "-", ""), " ", "")</f>
        <v>Pirlot</v>
      </c>
      <c r="F494" s="10"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4" s="10" t="str">
        <f>_xlfn.TEXTBEFORE(_xlfn.TEXTAFTER(A494, "("), ")")</f>
        <v>1985</v>
      </c>
      <c r="H494" s="10" t="str">
        <f>E494 &amp; IF(F494&lt;&gt;"", "_" &amp; SUBSTITUTE(F494," ",""), "_") &amp; IF(G494&lt;&gt;"", "_" &amp; G494, "_") &amp; IF(B494&lt;&gt;"", "_" &amp; B494, "")</f>
        <v>Pirlot__1985</v>
      </c>
      <c r="I494" s="10" t="str">
        <f>_xlfn.LET(
_xlpm.doi,IF(C494&lt;&gt;"",C494,_xlfn.TEXTAFTER(A494,"https://doi.org/")),
SUBSTITUTE(
SUBSTITUTE(
SUBSTITUTE(
SUBSTITUTE(
_xlpm.doi,
"/","%2F"),
":","%3A"),
"&lt;","%3C"),
"&gt;","%3E")
)</f>
        <v>PMID%3A3989277</v>
      </c>
      <c r="J494" s="10" t="str">
        <f>TRIM(_xlfn.TEXTJOIN("_",FALSE(),H494,(SUBSTITUTE(SUBSTITUTE(D494," ",""), "_", ""))))</f>
        <v>Pirlot__1985_Table1</v>
      </c>
      <c r="K494" s="10" t="str">
        <f>I494 &amp; "_" &amp; SUBSTITUTE(SUBSTITUTE(SUBSTITUTE(D494,CHAR(160),"")," ",""),"_","")</f>
        <v>PMID%3A3989277_Table1</v>
      </c>
      <c r="L494" s="10" t="str">
        <f t="array" ref="L494">IFERROR(INDEX(AUTO_Public_TSV_FileList!$A$1:$A$1000,MATCH(TRUE(),EXACT(K494,IFERROR(_xlfn.TEXTBEFORE(AUTO_Public_TSV_FileList!$A$1:$A$1000,".tsv"),"")),0)),"notfound")</f>
        <v>PMID%3A3989277_Table1.tsv</v>
      </c>
      <c r="M494" s="13"/>
      <c r="N494" s="13"/>
      <c r="O494" s="13"/>
      <c r="P494" s="13"/>
      <c r="Q494" s="13"/>
      <c r="R494" s="13"/>
      <c r="S494" s="13"/>
      <c r="T494" s="13"/>
      <c r="U494" s="13"/>
      <c r="V494" s="13"/>
      <c r="W494" s="13"/>
      <c r="X494" s="13"/>
      <c r="Y494" s="13"/>
      <c r="Z494" s="13"/>
      <c r="AA494" s="13"/>
      <c r="AB494" s="13"/>
      <c r="AC494" s="13"/>
      <c r="AD494" s="13"/>
      <c r="AE494" s="13"/>
      <c r="AF494" s="13"/>
      <c r="AG494" s="13"/>
    </row>
    <row r="495" ht="15.75" customHeight="1">
      <c r="A495" s="17" t="inlineStr">
        <is>
          <t>Pirlot, P., &amp; Kamiya, T. (1982). Relative Size of Brain and Brain Components in 3 Gliding Placentals (Dermoptera, Rodentia). Can J Zool, 60(4), 565-572. https://doi.org/10.1139/Z82-084</t>
        </is>
      </c>
      <c r="B495" s="17"/>
      <c r="C495" s="13"/>
      <c r="D495" s="17" t="inlineStr">
        <is>
          <t>Table 1</t>
        </is>
      </c>
      <c r="E495" s="10" t="str">
        <f>SUBSTITUTE(SUBSTITUTE(_xlfn.TEXTBEFORE(A495,","), "-", ""), " ", "")</f>
        <v>Pirlot</v>
      </c>
      <c r="F495" s="10"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5" s="10" t="str">
        <f>_xlfn.TEXTBEFORE(_xlfn.TEXTAFTER(A495, "("), ")")</f>
        <v>1982</v>
      </c>
      <c r="H495" s="10" t="str">
        <f>E495 &amp; IF(F495&lt;&gt;"", "_" &amp; SUBSTITUTE(F495," ",""), "_") &amp; IF(G495&lt;&gt;"", "_" &amp; G495, "_") &amp; IF(B495&lt;&gt;"", "_" &amp; B495, "")</f>
        <v>Pirlot__1982</v>
      </c>
      <c r="I495" s="10" t="str">
        <f>_xlfn.LET(
_xlpm.doi,IF(C495&lt;&gt;"",C495,_xlfn.TEXTAFTER(A495,"https://doi.org/")),
SUBSTITUTE(
SUBSTITUTE(
SUBSTITUTE(
SUBSTITUTE(
_xlpm.doi,
"/","%2F"),
":","%3A"),
"&lt;","%3C"),
"&gt;","%3E")
)</f>
        <v>10.1139%2FZ82-084</v>
      </c>
      <c r="J495" s="10" t="str">
        <f>TRIM(_xlfn.TEXTJOIN("_",FALSE(),H495,(SUBSTITUTE(SUBSTITUTE(D495," ",""), "_", ""))))</f>
        <v>Pirlot__1982_Table1</v>
      </c>
      <c r="K495" s="10" t="str">
        <f>I495 &amp; "_" &amp; SUBSTITUTE(SUBSTITUTE(SUBSTITUTE(D495,CHAR(160),"")," ",""),"_","")</f>
        <v>10.1139%2FZ82-084_Table1</v>
      </c>
      <c r="L495" s="10" t="str">
        <f t="array" ref="L495">IFERROR(INDEX(AUTO_Public_TSV_FileList!$A$1:$A$1000,MATCH(TRUE(),EXACT(K495,IFERROR(_xlfn.TEXTBEFORE(AUTO_Public_TSV_FileList!$A$1:$A$1000,".tsv"),"")),0)),"notfound")</f>
        <v>10.1139%2FZ82-084_Table1.tsv</v>
      </c>
      <c r="M495" s="13"/>
      <c r="N495" s="1" t="inlineStr">
        <is>
          <t>table</t>
        </is>
      </c>
      <c r="O495" s="13"/>
      <c r="P495" s="17" t="inlineStr">
        <is>
          <t>FINISHED</t>
        </is>
      </c>
      <c r="Q495" s="17"/>
      <c r="R495" s="17"/>
      <c r="S495" s="17" t="inlineStr">
        <is>
          <t>Source paper and target table identified</t>
        </is>
      </c>
      <c r="T495" s="17" t="inlineStr">
        <is>
          <t>Verify taxonomy, specimen metadata, units, and structure ontology before merge</t>
        </is>
      </c>
      <c r="U495" s="17"/>
      <c r="V495" s="17" t="inlineStr">
        <is>
          <t>comparative brain volumes</t>
        </is>
      </c>
      <c r="W495" s="17" t="inlineStr">
        <is>
          <t>Dermoptera and Rodentia</t>
        </is>
      </c>
      <c r="X495" s="17" t="inlineStr">
        <is>
          <t>Whole brain; olfactory bulb; neocortex; rhinencephalon; septum; diencephalon; striatum; hippocampus; mesencephalon; cerebellum; medulla; schizocortex</t>
        </is>
      </c>
      <c r="Y495" s="17"/>
      <c r="Z495" s="17"/>
      <c r="AA495" s="17" t="inlineStr">
        <is>
          <t>Paraffin serial sections, photographs, and volumetric estimation following Stephan procedures</t>
        </is>
      </c>
      <c r="AB495" s="17" t="inlineStr">
        <is>
          <t>volume (mm³); percentage of total brain</t>
        </is>
      </c>
      <c r="AC495" s="13"/>
      <c r="AD495" s="17"/>
      <c r="AE495" s="1" t="inlineStr">
        <is>
          <t>both</t>
        </is>
      </c>
      <c r="AF495" s="1"/>
      <c r="AG495" s="17" t="inlineStr">
        <is>
          <t>Directly compatible for the three focal specimens; pteropodid averages are secondary from Stephan et al. (1974).</t>
        </is>
      </c>
    </row>
    <row r="496" ht="15.75" customHeight="1">
      <c r="A496" s="17" t="inlineStr">
        <is>
          <t>Pirlot, P., &amp; Kamiya, T. (1985). Qualitative and quantitative brain morphology in the Sirenian Dugong dugong Erxl. Z Zool Syst Evol, 23(2), 147-155. https://doi.org/10.1111/j.1439-0469.1985.tb00577.x</t>
        </is>
      </c>
      <c r="B496" s="17"/>
      <c r="C496" s="17"/>
      <c r="D496" s="17" t="inlineStr">
        <is>
          <t>Table 1</t>
        </is>
      </c>
      <c r="E496" s="10" t="str">
        <f>SUBSTITUTE(SUBSTITUTE(_xlfn.TEXTBEFORE(A496,","), "-", ""), " ", "")</f>
        <v>Pirlot</v>
      </c>
      <c r="F496" s="10"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6" s="10" t="str">
        <f>_xlfn.TEXTBEFORE(_xlfn.TEXTAFTER(A496, "("), ")")</f>
        <v>1985</v>
      </c>
      <c r="H496" s="10" t="str">
        <f>E496 &amp; IF(F496&lt;&gt;"", "_" &amp; SUBSTITUTE(F496," ",""), "_") &amp; IF(G496&lt;&gt;"", "_" &amp; G496, "_") &amp; IF(B496&lt;&gt;"", "_" &amp; B496, "")</f>
        <v>Pirlot__1985</v>
      </c>
      <c r="I496" s="10" t="str">
        <f>_xlfn.LET(
_xlpm.doi,IF(C496&lt;&gt;"",C496,_xlfn.TEXTAFTER(A496,"https://doi.org/")),
SUBSTITUTE(
SUBSTITUTE(
SUBSTITUTE(
SUBSTITUTE(
_xlpm.doi,
"/","%2F"),
":","%3A"),
"&lt;","%3C"),
"&gt;","%3E")
)</f>
        <v>10.1111%2Fj.1439-0469.1985.tb00577.x</v>
      </c>
      <c r="J496" s="10" t="str">
        <f>TRIM(_xlfn.TEXTJOIN("_",FALSE(),H496,(SUBSTITUTE(SUBSTITUTE(D496," ",""), "_", ""))))</f>
        <v>Pirlot__1985_Table1</v>
      </c>
      <c r="K496" s="10" t="str">
        <f>I496 &amp; "_" &amp; SUBSTITUTE(SUBSTITUTE(SUBSTITUTE(D496,CHAR(160),"")," ",""),"_","")</f>
        <v>10.1111%2Fj.1439-0469.1985.tb00577.x_Table1</v>
      </c>
      <c r="L496" s="10" t="str">
        <f t="array" ref="L496">IFERROR(INDEX(AUTO_Public_TSV_FileList!$A$1:$A$1000,MATCH(TRUE(),EXACT(K496,IFERROR(_xlfn.TEXTBEFORE(AUTO_Public_TSV_FileList!$A$1:$A$1000,".tsv"),"")),0)),"notfound")</f>
        <v>10.1111%2Fj.1439-0469.1985.tb00577.x_Table1.tsv</v>
      </c>
      <c r="M496" s="13"/>
      <c r="N496" s="1" t="inlineStr">
        <is>
          <t>table</t>
        </is>
      </c>
      <c r="O496" s="13"/>
      <c r="P496" s="17" t="inlineStr">
        <is>
          <t>FINISHED</t>
        </is>
      </c>
      <c r="Q496" s="17"/>
      <c r="R496" s="17" t="inlineStr">
        <is>
          <t>https://doi.org/10.1111/j.1439-0469.1985.tb00577.x</t>
        </is>
      </c>
      <c r="S496" s="17" t="inlineStr">
        <is>
          <t>Source paper and target table identified</t>
        </is>
      </c>
      <c r="T496" s="17" t="inlineStr">
        <is>
          <t>Verify taxonomy, specimen metadata, units, and structure ontology before merge</t>
        </is>
      </c>
      <c r="U496" s="17"/>
      <c r="V496" s="17" t="inlineStr">
        <is>
          <t>comparative brain volumes</t>
        </is>
      </c>
      <c r="W496" s="17" t="inlineStr">
        <is>
          <t>Sirenia</t>
        </is>
      </c>
      <c r="X496" s="17" t="inlineStr">
        <is>
          <t>Whole brain; neocortex; rhinencephalon; septum; diencephalon; striatum; hippocampus; mesencephalon; cerebellum; medulla; schizocortex</t>
        </is>
      </c>
      <c r="Y496" s="17"/>
      <c r="Z496" s="17"/>
      <c r="AA496" s="17" t="inlineStr">
        <is>
          <t>Paraffin serial sections and volumetric estimation following Stephan-style procedures</t>
        </is>
      </c>
      <c r="AB496" s="17" t="inlineStr">
        <is>
          <t>volume (mm³); percentage of total brain</t>
        </is>
      </c>
      <c r="AC496" s="13"/>
      <c r="AD496" s="17"/>
      <c r="AE496" s="17" t="inlineStr">
        <is>
          <t>primary</t>
        </is>
      </c>
      <c r="AF496" s="17"/>
      <c r="AG496" s="17" t="inlineStr">
        <is>
          <t>Directly compatible at broad component level; single specimen.</t>
        </is>
      </c>
    </row>
    <row r="497" ht="15.75" customHeight="1">
      <c r="A497" s="13" t="inlineStr">
        <is>
          <t>Pirlot, P., &amp; Nelson, J. (1978). Volumetric analyses of monotreme brains. In A. M. L. (Ed.), Monotreme biology (pp. 171–180). The Royal Zoological Society of New South Wales.</t>
        </is>
      </c>
      <c r="B497" s="13"/>
      <c r="C497" s="13" t="inlineStr">
        <is>
          <t>OCLC:1340515946</t>
        </is>
      </c>
      <c r="D497" s="13" t="inlineStr">
        <is>
          <t>TABLE 3</t>
        </is>
      </c>
      <c r="E497" s="10" t="str">
        <f>SUBSTITUTE(SUBSTITUTE(_xlfn.TEXTBEFORE(A497,","), "-", ""), " ", "")</f>
        <v>Pirlot</v>
      </c>
      <c r="F497" s="10"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7" s="10" t="str">
        <f>_xlfn.TEXTBEFORE(_xlfn.TEXTAFTER(A497, "("), ")")</f>
        <v>1978</v>
      </c>
      <c r="H497" s="10" t="str">
        <f>E497 &amp; IF(F497&lt;&gt;"", "_" &amp; SUBSTITUTE(F497," ",""), "_") &amp; IF(G497&lt;&gt;"", "_" &amp; G497, "_") &amp; IF(B497&lt;&gt;"", "_" &amp; B497, "")</f>
        <v>Pirlot__1978</v>
      </c>
      <c r="I497" s="10" t="str">
        <f>_xlfn.LET(
_xlpm.doi,IF(C497&lt;&gt;"",C497,_xlfn.TEXTAFTER(A497,"https://doi.org/")),
SUBSTITUTE(
SUBSTITUTE(
SUBSTITUTE(
SUBSTITUTE(
_xlpm.doi,
"/","%2F"),
":","%3A"),
"&lt;","%3C"),
"&gt;","%3E")
)</f>
        <v>OCLC%3A1340515946</v>
      </c>
      <c r="J497" s="10" t="str">
        <f>TRIM(_xlfn.TEXTJOIN("_",FALSE(),H497,(SUBSTITUTE(SUBSTITUTE(D497," ",""), "_", ""))))</f>
        <v>Pirlot__1978_TABLE3</v>
      </c>
      <c r="K497" s="10" t="str">
        <f>I497 &amp; "_" &amp; SUBSTITUTE(SUBSTITUTE(SUBSTITUTE(D497,CHAR(160),"")," ",""),"_","")</f>
        <v>OCLC%3A1340515946_TABLE3</v>
      </c>
      <c r="L497" s="10" t="str">
        <f t="array" ref="L497">IFERROR(INDEX(AUTO_Public_TSV_FileList!$A$1:$A$1000,MATCH(TRUE(),EXACT(K497,IFERROR(_xlfn.TEXTBEFORE(AUTO_Public_TSV_FileList!$A$1:$A$1000,".tsv"),"")),0)),"notfound")</f>
        <v>OCLC%3A1340515946_TABLE3.tsv</v>
      </c>
      <c r="M497" s="13"/>
      <c r="N497" s="13"/>
      <c r="O497" s="13"/>
      <c r="P497" s="13"/>
      <c r="Q497" s="13"/>
      <c r="R497" s="13"/>
      <c r="S497" s="13"/>
      <c r="T497" s="13"/>
      <c r="U497" s="13"/>
      <c r="V497" s="13"/>
      <c r="W497" s="13"/>
      <c r="X497" s="13"/>
      <c r="Y497" s="13"/>
      <c r="Z497" s="13"/>
      <c r="AA497" s="13"/>
      <c r="AB497" s="13"/>
      <c r="AC497" s="13"/>
      <c r="AD497" s="13"/>
      <c r="AE497" s="13"/>
      <c r="AF497" s="13"/>
      <c r="AG497" s="13"/>
    </row>
    <row r="498" ht="15.75" customHeight="1">
      <c r="A498" s="1" t="inlineStr">
        <is>
          <t>Powell, L. E., Isler, K., &amp; Barton, R. A. (2017). Re-evaluating the link between brain size and behavioural ecology in primates. Proc Biol Sci, 284(1865). https://doi.org/10.1098/rspb.2017.1765</t>
        </is>
      </c>
      <c r="B498" s="13"/>
      <c r="C498" s="1"/>
      <c r="D498" s="1" t="inlineStr">
        <is>
          <t>Dataset 1</t>
        </is>
      </c>
      <c r="E498" s="10" t="str">
        <f>SUBSTITUTE(SUBSTITUTE(_xlfn.TEXTBEFORE(A498,","), "-", ""), " ", "")</f>
        <v>Powell</v>
      </c>
      <c r="F498" s="10"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10" t="str">
        <f>_xlfn.TEXTBEFORE(_xlfn.TEXTAFTER(A498, "("), ")")</f>
        <v>2017</v>
      </c>
      <c r="H498" s="10" t="str">
        <f>E498 &amp; IF(F498&lt;&gt;"", "_" &amp; SUBSTITUTE(F498," ",""), "_") &amp; IF(G498&lt;&gt;"", "_" &amp; G498, "_") &amp; IF(B498&lt;&gt;"", "_" &amp; B498, "")</f>
        <v>Powell_etal_2017</v>
      </c>
      <c r="I498" s="10" t="str">
        <f>_xlfn.LET(
_xlpm.doi,IF(C498&lt;&gt;"",C498,_xlfn.TEXTAFTER(A498,"https://doi.org/")),
SUBSTITUTE(
SUBSTITUTE(
SUBSTITUTE(
SUBSTITUTE(
_xlpm.doi,
"/","%2F"),
":","%3A"),
"&lt;","%3C"),
"&gt;","%3E")
)</f>
        <v>10.1098%2Frspb.2017.1765</v>
      </c>
      <c r="J498" s="10" t="str">
        <f>TRIM(_xlfn.TEXTJOIN("_",FALSE(),H498,(SUBSTITUTE(SUBSTITUTE(D498," ",""), "_", ""))))</f>
        <v>Powell_etal_2017_Dataset1</v>
      </c>
      <c r="K498" s="10" t="str">
        <f>I498 &amp; "_" &amp; SUBSTITUTE(SUBSTITUTE(SUBSTITUTE(D498,CHAR(160),"")," ",""),"_","")</f>
        <v>10.1098%2Frspb.2017.1765_Dataset1</v>
      </c>
      <c r="L498" s="10" t="str">
        <f t="array" ref="L498">IFERROR(INDEX(AUTO_Public_TSV_FileList!$A$1:$A$1000,MATCH(TRUE(),EXACT(K498,IFERROR(_xlfn.TEXTBEFORE(AUTO_Public_TSV_FileList!$A$1:$A$1000,".tsv"),"")),0)),"notfound")</f>
        <v>10.1098%2Frspb.2017.1765_Dataset1.tsv</v>
      </c>
      <c r="M498" s="13"/>
      <c r="N498" s="1" t="inlineStr">
        <is>
          <t>table</t>
        </is>
      </c>
      <c r="O498" s="13"/>
      <c r="P498" s="13" t="inlineStr">
        <is>
          <t>FINISHED</t>
        </is>
      </c>
      <c r="Q498" s="1"/>
      <c r="R498" s="1" t="inlineStr">
        <is>
          <t>https://figshare.com/ndownloader/files/9479092</t>
        </is>
      </c>
      <c r="S498" s="13"/>
      <c r="T498" s="13"/>
      <c r="U498" s="13"/>
      <c r="V498" s="1"/>
      <c r="W498" s="1" t="inlineStr">
        <is>
          <t>Primates</t>
        </is>
      </c>
      <c r="X498" s="1" t="inlineStr">
        <is>
          <t>ecology</t>
        </is>
      </c>
      <c r="Y498" s="1" t="inlineStr">
        <is>
          <t>Brain and body size</t>
        </is>
      </c>
      <c r="Z498" s="13"/>
      <c r="AA498" s="13"/>
      <c r="AB498" s="1" t="inlineStr">
        <is>
          <t>ecology</t>
        </is>
      </c>
      <c r="AC498" s="13"/>
      <c r="AD498" s="13"/>
      <c r="AE498" s="1" t="inlineStr">
        <is>
          <t>secondary</t>
        </is>
      </c>
      <c r="AF498" s="1"/>
      <c r="AG498" s="13"/>
    </row>
    <row r="499" ht="15.75" customHeight="1">
      <c r="A499" s="9" t="inlineStr">
        <is>
          <t>Preuss, T. M., &amp; Kaas, J. H. (1996). Cytochrome oxidase ‘blobs’ and other characteristics of primary visual cortex in a lemuroid primate, Cheirogaleus medius. Brain, Behavior and Evolution, 47(2), 103-112. https://doi.org/10.1159/000113231</t>
        </is>
      </c>
      <c r="B499" s="9"/>
      <c r="C499" s="9"/>
      <c r="D499" s="9" t="inlineStr">
        <is>
          <t>Results Text</t>
        </is>
      </c>
      <c r="E499" s="2" t="str">
        <f>SUBSTITUTE(SUBSTITUTE(_xlfn.TEXTBEFORE(A499,","), "-", ""), " ", "")</f>
        <v>Preuss</v>
      </c>
      <c r="F499" s="7"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99" s="7" t="str">
        <f>_xlfn.TEXTBEFORE(_xlfn.TEXTAFTER(A499, "("), ")")</f>
        <v>1996</v>
      </c>
      <c r="H499" s="2" t="str">
        <f>E499 &amp; IF(F499&lt;&gt;"", "_" &amp; SUBSTITUTE(F499," ",""), "_") &amp; IF(G499&lt;&gt;"", "_" &amp; G499, "_") &amp; IF(B499&lt;&gt;"", "_" &amp; B499, "")</f>
        <v>Preuss__1996</v>
      </c>
      <c r="I499" s="2" t="str">
        <f>_xlfn.LET(_xlpm.doi,IF(C499&lt;&gt;"",C499,_xlfn.TEXTAFTER(A499,"https://doi.org/")),SUBSTITUTE(SUBSTITUTE(SUBSTITUTE(SUBSTITUTE(_xlpm.doi,"/","%2F"),":","%3A"),"&lt;","%3C"),"&gt;","%3E"))</f>
        <v>10.1159%2F000113231</v>
      </c>
      <c r="J499" s="2" t="str">
        <f>TRIM(_xlfn.TEXTJOIN("_",FALSE(),H499,(SUBSTITUTE(SUBSTITUTE(D499," ",""), "_", ""))))</f>
        <v>Preuss__1996_ResultsText</v>
      </c>
      <c r="K499" s="7" t="str">
        <f>I499 &amp; "_" &amp; SUBSTITUTE(SUBSTITUTE(SUBSTITUTE(D499,CHAR(160),"")," ",""),"_","")</f>
        <v>10.1159%2F000113231_ResultsText</v>
      </c>
      <c r="L499" s="7" t="str">
        <f t="array" ref="L499">IFERROR(INDEX(AUTO_Public_TSV_FileList!$A$1:$A$1000,MATCH(TRUE(),EXACT(K499,IFERROR(_xlfn.TEXTBEFORE(AUTO_Public_TSV_FileList!$A$1:$A$1000,".tsv"),"")),0)),"notfound")</f>
        <v>10.1159%2F000113231_ResultsText.tsv</v>
      </c>
      <c r="M499" s="9"/>
      <c r="N499" s="9" t="inlineStr">
        <is>
          <t>PDF; constructed snapshot from Results text</t>
        </is>
      </c>
      <c r="O499" s="9" t="inlineStr">
        <is>
          <t>One adult female, approximately 20 years old, left hemisphere; not a species mean.</t>
        </is>
      </c>
      <c r="P499" s="9" t="inlineStr">
        <is>
          <t>PREPARED (CSV built; owner registry paste / public TSV pending)</t>
        </is>
      </c>
      <c r="Q499" s="9" t="inlineStr">
        <is>
          <t>Preuss_Kaas_1996_ResultsText_snapshot.csv</t>
        </is>
      </c>
      <c r="R499" s="9" t="inlineStr">
        <is>
          <t>https://doi.org/10.1159/000113231</t>
        </is>
      </c>
      <c r="S499" s="9" t="inlineStr">
        <is>
          <t>Single-specimen scope, cataracts/blindness, hemisphere, and cortical-mantle denominator recorded.</t>
        </is>
      </c>
      <c r="T499" s="9" t="inlineStr">
        <is>
          <t>Immersion-fixed postmortem brain; single aged individual.</t>
        </is>
      </c>
      <c r="U499" s="9"/>
      <c r="V499" s="9" t="inlineStr">
        <is>
          <t>V1 surface area; cortical modules</t>
        </is>
      </c>
      <c r="W499" s="9" t="inlineStr">
        <is>
          <t>Cheirogaleus medius</t>
        </is>
      </c>
      <c r="X499" s="9" t="inlineStr">
        <is>
          <t>V1 area 66 mm²; approximately 12% cortical mantle</t>
        </is>
      </c>
      <c r="Y499" s="9" t="inlineStr">
        <is>
          <t>median CO-blob width, length, and spacing</t>
        </is>
      </c>
      <c r="Z499" s="9" t="inlineStr">
        <is>
          <t>histological; flattened and transverse sections</t>
        </is>
      </c>
      <c r="AA499" s="9" t="inlineStr">
        <is>
          <t>immersion fixation; cytochrome oxidase, myelin, AChE, and Nissl architectonics</t>
        </is>
      </c>
      <c r="AB499" s="9" t="inlineStr">
        <is>
          <t>surface area mm2; percent; linear dimensions mm</t>
        </is>
      </c>
      <c r="AC499" s="9" t="inlineStr">
        <is>
          <t>Kaas</t>
        </is>
      </c>
      <c r="AD499" s="9"/>
      <c r="AE499" s="9" t="inlineStr">
        <is>
          <t>primary</t>
        </is>
      </c>
      <c r="AF499" s="9"/>
      <c r="AG499" s="9"/>
    </row>
    <row r="500" ht="15" customHeight="1">
      <c r="A500" s="1" t="inlineStr">
        <is>
          <t>Raghanti, M. A., Spurlock, L. B., Treichler, F. R., Weigel, S. E., Stimmelmayr, R., Butti, C., Thewissen, J. G., &amp; Hof, P. R. (2015). An analysis of von Economo neurons in the cerebral cortex of cetaceans, artiodactyls, and perissodactyls. Brain Struct Funct, 220(4), 2303-2314. https://doi.org/10.1007/s00429-014-0792-y</t>
        </is>
      </c>
      <c r="B500" s="13"/>
      <c r="C500" s="1"/>
      <c r="D500" s="1" t="inlineStr">
        <is>
          <t>Table 1</t>
        </is>
      </c>
      <c r="E500" s="10" t="str">
        <f>SUBSTITUTE(SUBSTITUTE(_xlfn.TEXTBEFORE(A500,","), "-", ""), " ", "")</f>
        <v>Raghanti</v>
      </c>
      <c r="F500" s="10"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10" t="str">
        <f>_xlfn.TEXTBEFORE(_xlfn.TEXTAFTER(A500, "("), ")")</f>
        <v>2015</v>
      </c>
      <c r="H500" s="10" t="str">
        <f>E500 &amp; IF(F500&lt;&gt;"", "_" &amp; SUBSTITUTE(F500," ",""), "_") &amp; IF(G500&lt;&gt;"", "_" &amp; G500, "_") &amp; IF(B500&lt;&gt;"", "_" &amp; B500, "")</f>
        <v>Raghanti_etal_2015</v>
      </c>
      <c r="I500" s="10" t="str">
        <f>_xlfn.LET(
_xlpm.doi,IF(C500&lt;&gt;"",C500,_xlfn.TEXTAFTER(A500,"https://doi.org/")),
SUBSTITUTE(
SUBSTITUTE(
SUBSTITUTE(
SUBSTITUTE(
_xlpm.doi,
"/","%2F"),
":","%3A"),
"&lt;","%3C"),
"&gt;","%3E")
)</f>
        <v>10.1007%2Fs00429-014-0792-y</v>
      </c>
      <c r="J500" s="10" t="str">
        <f>TRIM(_xlfn.TEXTJOIN("_",FALSE(),H500,(SUBSTITUTE(SUBSTITUTE(D500," ",""), "_", ""))))</f>
        <v>Raghanti_etal_2015_Table1</v>
      </c>
      <c r="K500" s="10" t="str">
        <f>I500 &amp; "_" &amp; SUBSTITUTE(SUBSTITUTE(SUBSTITUTE(D500,CHAR(160),"")," ",""),"_","")</f>
        <v>10.1007%2Fs00429-014-0792-y_Table1</v>
      </c>
      <c r="L500" s="10" t="str">
        <f t="array" ref="L500">IFERROR(INDEX(AUTO_Public_TSV_FileList!$A$1:$A$1000,MATCH(TRUE(),EXACT(K500,IFERROR(_xlfn.TEXTBEFORE(AUTO_Public_TSV_FileList!$A$1:$A$1000,".tsv"),"")),0)),"notfound")</f>
        <v>10.1007%2Fs00429-014-0792-y_Table1.tsv</v>
      </c>
      <c r="M500" s="13"/>
      <c r="N500" s="1"/>
      <c r="O500" s="13"/>
      <c r="P500" s="13"/>
      <c r="Q500" s="1"/>
      <c r="R500" s="1"/>
      <c r="S500" s="13"/>
      <c r="T500" s="13"/>
      <c r="U500" s="13"/>
      <c r="V500" s="1"/>
      <c r="W500" s="1"/>
      <c r="X500" s="1"/>
      <c r="Y500" s="1"/>
      <c r="Z500" s="13"/>
      <c r="AA500" s="13"/>
      <c r="AB500" s="1"/>
      <c r="AC500" s="13"/>
      <c r="AD500" s="13"/>
      <c r="AE500" s="1"/>
      <c r="AF500" s="1"/>
      <c r="AG500" s="13"/>
    </row>
    <row r="501" ht="15" customHeight="1">
      <c r="A501" s="9" t="inlineStr">
        <is>
          <t>Raghanti, M. A., Stimpson, C. D., Marcinkiewicz, J. L., Erwin, J. M., Hof, P. R., &amp; Sherwood, C. C. (2008). Cholinergic innervation of the frontal cortex: Differences among humans, chimpanzees, and macaque monkeys. Journal of Comparative Neurology, 506(3), 409–424. https://doi.org/10.1002/cne.21546</t>
        </is>
      </c>
      <c r="B501" s="9" t="inlineStr">
        <is>
          <t>a</t>
        </is>
      </c>
      <c r="C501" s="9"/>
      <c r="D501" s="9" t="inlineStr">
        <is>
          <t>Table 2</t>
        </is>
      </c>
      <c r="E501" s="11" t="str">
        <f>SUBSTITUTE(SUBSTITUTE(_xlfn.TEXTBEFORE(A501,","), "-", ""), " ", "")</f>
        <v>Raghanti</v>
      </c>
      <c r="F501" s="10"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10" t="str">
        <f>_xlfn.TEXTBEFORE(_xlfn.TEXTAFTER(A501, "("), ")")</f>
        <v>2008</v>
      </c>
      <c r="H501" s="11" t="str">
        <f>E501 &amp; IF(F501&lt;&gt;"", "_" &amp; SUBSTITUTE(F501," ",""), "_") &amp; IF(G501&lt;&gt;"", "_" &amp; G501, "_") &amp; IF(B501&lt;&gt;"", "_" &amp; B501, "")</f>
        <v>Raghanti_etal_2008_a</v>
      </c>
      <c r="I501" s="11" t="str">
        <f>_xlfn.LET(_xlpm.doi,IF(C501&lt;&gt;"",C501,_xlfn.TEXTAFTER(A501,"https://doi.org/")),SUBSTITUTE(SUBSTITUTE(SUBSTITUTE(SUBSTITUTE(_xlpm.doi,"/","%2F"),":","%3A"),"&lt;","%3C"),"&gt;","%3E"))</f>
        <v>10.1002%2Fcne.21546</v>
      </c>
      <c r="J501" s="11" t="str">
        <f>TRIM(_xlfn.TEXTJOIN("_",FALSE(),H501,(SUBSTITUTE(SUBSTITUTE(D501," ",""), "_", ""))))</f>
        <v>Raghanti_etal_2008_a_Table2</v>
      </c>
      <c r="K501" s="10" t="str">
        <f>I501 &amp; "_" &amp; SUBSTITUTE(SUBSTITUTE(SUBSTITUTE(D501,CHAR(160),"")," ",""),"_","")</f>
        <v>10.1002%2Fcne.21546_Table2</v>
      </c>
      <c r="L501" s="10" t="str">
        <f t="array" ref="L501">IFERROR(INDEX(AUTO_Public_TSV_FileList!$A$1:$A$1000,MATCH(TRUE(),EXACT(K501,IFERROR(_xlfn.TEXTBEFORE(AUTO_Public_TSV_FileList!$A$1:$A$1000,".tsv"),"")),0)),"notfound")</f>
        <v>10.1002%2Fcne.21546_Table2.tsv</v>
      </c>
      <c r="M501" s="9" t="inlineStr">
        <is>
          <t>Table 2. Mean ChAT-ir axon length density for each species/area/layer (areas 9, 32, 4)</t>
        </is>
      </c>
      <c r="N501" s="9" t="inlineStr">
        <is>
          <t>PDF table</t>
        </is>
      </c>
      <c r="O501" s="9" t="inlineStr">
        <is>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is>
      </c>
      <c r="P501" s="9" t="inlineStr">
        <is>
          <t>candidate</t>
        </is>
      </c>
      <c r="Q501" s="9"/>
      <c r="R501" s="9" t="inlineStr">
        <is>
          <t>https://doi.org/10.1002/cne.21546</t>
        </is>
      </c>
      <c r="S501" s="9" t="inlineStr">
        <is>
          <t>Citation and DOI confirmed via CrossRef (2026-09-30); not yet built.</t>
        </is>
      </c>
      <c r="T501" s="9" t="inlineStr">
        <is>
          <t>Same specimen lineage as C01 and C02.</t>
        </is>
      </c>
      <c r="U501" s="9"/>
      <c r="V501" s="9" t="inlineStr">
        <is>
          <t>neuromodulatory innervation</t>
        </is>
      </c>
      <c r="W501" s="9" t="inlineStr">
        <is>
          <t>Human, chimpanzee, macaque.</t>
        </is>
      </c>
      <c r="X501" s="9" t="inlineStr">
        <is>
          <t>areas 9, 32, 4 (M1): cholinergic (ChAT-ir) axon length density by layer</t>
        </is>
      </c>
      <c r="Y501" s="9" t="inlineStr">
        <is>
          <t>specimen sex, age, brain weight, post-mortem interval, fixation (Table 1)</t>
        </is>
      </c>
      <c r="Z501" s="9" t="inlineStr">
        <is>
          <t>histological sections (immunohistochemistry)</t>
        </is>
      </c>
      <c r="AA501" s="9" t="inlineStr">
        <is>
          <t>immunohistochemistry; stereology (axon length density)</t>
        </is>
      </c>
      <c r="AB501" s="9" t="inlineStr">
        <is>
          <t>axon length density</t>
        </is>
      </c>
      <c r="AC501" s="9" t="inlineStr">
        <is>
          <t>Raghanti/Sherwood</t>
        </is>
      </c>
      <c r="AD501" s="9" t="inlineStr">
        <is>
          <t>Sherwood, Hof</t>
        </is>
      </c>
      <c r="AE501" s="9" t="inlineStr">
        <is>
          <t>primary</t>
        </is>
      </c>
      <c r="AF501" s="9"/>
      <c r="AG501" s="9" t="inlineStr">
        <is>
          <t>Priority 1. Access: Subscription (Wiley). Suggested home: Neuromodulatory innervation (M1 regional); specimen registry. Registry/roadmap status at scouting: Not registered.</t>
        </is>
      </c>
    </row>
    <row r="502" ht="15" customHeight="1">
      <c r="A502" s="9" t="inlineStr">
        <is>
          <t>Raghanti, M. A., Stimpson, C. D., Marcinkiewicz, J. L., Erwin, J. M., Hof, P. R., &amp; Sherwood, C. C. (2008). Cortical dopaminergic innervation among humans, chimpanzees, and macaque monkeys: A comparative study. Neuroscience, 155(1), 203–220. https://doi.org/10.1016/j.neuroscience.2008.05.008</t>
        </is>
      </c>
      <c r="B502" s="9" t="inlineStr">
        <is>
          <t>c</t>
        </is>
      </c>
      <c r="C502" s="9"/>
      <c r="D502" s="9" t="inlineStr">
        <is>
          <t>Table 2</t>
        </is>
      </c>
      <c r="E502" s="11" t="str">
        <f>SUBSTITUTE(SUBSTITUTE(_xlfn.TEXTBEFORE(A502,","), "-", ""), " ", "")</f>
        <v>Raghanti</v>
      </c>
      <c r="F502" s="10"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10" t="str">
        <f>_xlfn.TEXTBEFORE(_xlfn.TEXTAFTER(A502, "("), ")")</f>
        <v>2008</v>
      </c>
      <c r="H502" s="11" t="str">
        <f>E502 &amp; IF(F502&lt;&gt;"", "_" &amp; SUBSTITUTE(F502," ",""), "_") &amp; IF(G502&lt;&gt;"", "_" &amp; G502, "_") &amp; IF(B502&lt;&gt;"", "_" &amp; B502, "")</f>
        <v>Raghanti_etal_2008_c</v>
      </c>
      <c r="I502" s="11" t="str">
        <f>_xlfn.LET(_xlpm.doi,IF(C502&lt;&gt;"",C502,_xlfn.TEXTAFTER(A502,"https://doi.org/")),SUBSTITUTE(SUBSTITUTE(SUBSTITUTE(SUBSTITUTE(_xlpm.doi,"/","%2F"),":","%3A"),"&lt;","%3C"),"&gt;","%3E"))</f>
        <v>10.1016%2Fj.neuroscience.2008.05.008</v>
      </c>
      <c r="J502" s="11" t="str">
        <f>TRIM(_xlfn.TEXTJOIN("_",FALSE(),H502,(SUBSTITUTE(SUBSTITUTE(D502," ",""), "_", ""))))</f>
        <v>Raghanti_etal_2008_c_Table2</v>
      </c>
      <c r="K502" s="10" t="str">
        <f>I502 &amp; "_" &amp; SUBSTITUTE(SUBSTITUTE(SUBSTITUTE(D502,CHAR(160),"")," ",""),"_","")</f>
        <v>10.1016%2Fj.neuroscience.2008.05.008_Table2</v>
      </c>
      <c r="L502" s="10" t="str">
        <f t="array" ref="L502">IFERROR(INDEX(AUTO_Public_TSV_FileList!$A$1:$A$1000,MATCH(TRUE(),EXACT(K502,IFERROR(_xlfn.TEXTBEFORE(AUTO_Public_TSV_FileList!$A$1:$A$1000,".tsv"),"")),0)),"notfound")</f>
        <v>10.1016%2Fj.neuroscience.2008.05.008_Table2.tsv</v>
      </c>
      <c r="M502" s="9" t="inlineStr">
        <is>
          <t>Table 2. Mean TH-ir axon length density for each species/layer/area (areas 9, 32, 4)</t>
        </is>
      </c>
      <c r="N502" s="9" t="inlineStr">
        <is>
          <t>PDF table</t>
        </is>
      </c>
      <c r="O502" s="9" t="inlineStr">
        <is>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is>
      </c>
      <c r="P502" s="9" t="inlineStr">
        <is>
          <t>candidate</t>
        </is>
      </c>
      <c r="Q502" s="9"/>
      <c r="R502" s="9" t="inlineStr">
        <is>
          <t>https://doi.org/10.1016/j.neuroscience.2008.05.008</t>
        </is>
      </c>
      <c r="S502" s="9" t="inlineStr">
        <is>
          <t>Citation and DOI confirmed via CrossRef (2026-09-30); not yet built.</t>
        </is>
      </c>
      <c r="T502" s="9" t="inlineStr">
        <is>
          <t>Same specimen lineage as C01 and C03.</t>
        </is>
      </c>
      <c r="U502" s="9"/>
      <c r="V502" s="9" t="inlineStr">
        <is>
          <t>neuromodulatory innervation</t>
        </is>
      </c>
      <c r="W502" s="9" t="inlineStr">
        <is>
          <t>Human, chimpanzee, macaque.</t>
        </is>
      </c>
      <c r="X502" s="9" t="inlineStr">
        <is>
          <t>areas 4 (M1), 9, 32: dopaminergic (TH-ir) axon length density &amp; neuron density by layer</t>
        </is>
      </c>
      <c r="Y502" s="9"/>
      <c r="Z502" s="9" t="inlineStr">
        <is>
          <t>histological sections (immunohistochemistry)</t>
        </is>
      </c>
      <c r="AA502" s="9" t="inlineStr">
        <is>
          <t>immunohistochemistry; stereology (axon length density)</t>
        </is>
      </c>
      <c r="AB502" s="9" t="inlineStr">
        <is>
          <t>axon length density; cell density</t>
        </is>
      </c>
      <c r="AC502" s="9" t="inlineStr">
        <is>
          <t>Raghanti/Sherwood</t>
        </is>
      </c>
      <c r="AD502" s="9" t="inlineStr">
        <is>
          <t>Sherwood, Hof</t>
        </is>
      </c>
      <c r="AE502" s="9" t="inlineStr">
        <is>
          <t>primary</t>
        </is>
      </c>
      <c r="AF502" s="9"/>
      <c r="AG502" s="9" t="inlineStr">
        <is>
          <t>Priority 1. Access: Open (PMC3177596). Suggested home: Neuromodulatory innervation (M1 regional). Registry/roadmap status at scouting: Not registered.</t>
        </is>
      </c>
    </row>
    <row r="503" ht="15" customHeight="1">
      <c r="A503" s="9" t="inlineStr">
        <is>
          <t>Raghanti, M. A., Stimpson, C. D., Marcinkiewicz, J. L., Erwin, J. M., Hof, P. R., &amp; Sherwood, C. C. (2008). Differences in cortical serotonergic innervation among humans, chimpanzees, and macaque monkeys: A comparative study. Cerebral Cortex, 18(3), 584–597. https://doi.org/10.1093/cercor/bhm089</t>
        </is>
      </c>
      <c r="B503" s="9" t="inlineStr">
        <is>
          <t>b</t>
        </is>
      </c>
      <c r="C503" s="9"/>
      <c r="D503" s="9" t="inlineStr">
        <is>
          <t>Table 2</t>
        </is>
      </c>
      <c r="E503" s="11" t="str">
        <f>SUBSTITUTE(SUBSTITUTE(_xlfn.TEXTBEFORE(A503,","), "-", ""), " ", "")</f>
        <v>Raghanti</v>
      </c>
      <c r="F503" s="10"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10" t="str">
        <f>_xlfn.TEXTBEFORE(_xlfn.TEXTAFTER(A503, "("), ")")</f>
        <v>2008</v>
      </c>
      <c r="H503" s="11" t="str">
        <f>E503 &amp; IF(F503&lt;&gt;"", "_" &amp; SUBSTITUTE(F503," ",""), "_") &amp; IF(G503&lt;&gt;"", "_" &amp; G503, "_") &amp; IF(B503&lt;&gt;"", "_" &amp; B503, "")</f>
        <v>Raghanti_etal_2008_b</v>
      </c>
      <c r="I503" s="11" t="str">
        <f>_xlfn.LET(_xlpm.doi,IF(C503&lt;&gt;"",C503,_xlfn.TEXTAFTER(A503,"https://doi.org/")),SUBSTITUTE(SUBSTITUTE(SUBSTITUTE(SUBSTITUTE(_xlpm.doi,"/","%2F"),":","%3A"),"&lt;","%3C"),"&gt;","%3E"))</f>
        <v>10.1093%2Fcercor%2Fbhm089</v>
      </c>
      <c r="J503" s="11" t="str">
        <f>TRIM(_xlfn.TEXTJOIN("_",FALSE(),H503,(SUBSTITUTE(SUBSTITUTE(D503," ",""), "_", ""))))</f>
        <v>Raghanti_etal_2008_b_Table2</v>
      </c>
      <c r="K503" s="10" t="str">
        <f>I503 &amp; "_" &amp; SUBSTITUTE(SUBSTITUTE(SUBSTITUTE(D503,CHAR(160),"")," ",""),"_","")</f>
        <v>10.1093%2Fcercor%2Fbhm089_Table2</v>
      </c>
      <c r="L503" s="10" t="str">
        <f t="array" ref="L503">IFERROR(INDEX(AUTO_Public_TSV_FileList!$A$1:$A$1000,MATCH(TRUE(),EXACT(K503,IFERROR(_xlfn.TEXTBEFORE(AUTO_Public_TSV_FileList!$A$1:$A$1000,".tsv"),"")),0)),"notfound")</f>
        <v>10.1093%2Fcercor%2Fbhm089_Table2.tsv</v>
      </c>
      <c r="M503" s="9" t="inlineStr">
        <is>
          <t>Table 2. Mean SERT-ir axon length density for each species/layer/area (areas 9, 32, 4)</t>
        </is>
      </c>
      <c r="N503" s="9" t="inlineStr">
        <is>
          <t>PDF table</t>
        </is>
      </c>
      <c r="O503" s="9" t="inlineStr">
        <is>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is>
      </c>
      <c r="P503" s="9" t="inlineStr">
        <is>
          <t>candidate</t>
        </is>
      </c>
      <c r="Q503" s="9"/>
      <c r="R503" s="9" t="inlineStr">
        <is>
          <t>https://doi.org/10.1093/cercor/bhm089</t>
        </is>
      </c>
      <c r="S503" s="9" t="inlineStr">
        <is>
          <t>Citation and DOI confirmed via CrossRef (2026-09-30); not yet built.</t>
        </is>
      </c>
      <c r="T503" s="9" t="inlineStr">
        <is>
          <t>C01–C03 share the same specimens: one specimen lineage, not three independent samples.</t>
        </is>
      </c>
      <c r="U503" s="9"/>
      <c r="V503" s="9" t="inlineStr">
        <is>
          <t>neuromodulatory innervation</t>
        </is>
      </c>
      <c r="W503" s="9" t="inlineStr">
        <is>
          <t>Human, chimpanzee, macaque.</t>
        </is>
      </c>
      <c r="X503" s="9" t="inlineStr">
        <is>
          <t>areas 4 (M1), 9, 32: serotonergic (SERT-ir) axon length density &amp; neuron density by layer</t>
        </is>
      </c>
      <c r="Y503" s="9"/>
      <c r="Z503" s="9" t="inlineStr">
        <is>
          <t>histological sections (immunohistochemistry)</t>
        </is>
      </c>
      <c r="AA503" s="9" t="inlineStr">
        <is>
          <t>immunohistochemistry; stereology (axon length density)</t>
        </is>
      </c>
      <c r="AB503" s="9" t="inlineStr">
        <is>
          <t>axon length density; cell density</t>
        </is>
      </c>
      <c r="AC503" s="9" t="inlineStr">
        <is>
          <t>Raghanti/Sherwood</t>
        </is>
      </c>
      <c r="AD503" s="9" t="inlineStr">
        <is>
          <t>Sherwood, Hof</t>
        </is>
      </c>
      <c r="AE503" s="9" t="inlineStr">
        <is>
          <t>primary</t>
        </is>
      </c>
      <c r="AF503" s="9"/>
      <c r="AG503" s="9" t="inlineStr">
        <is>
          <t>Priority 1. Access: Open copy (publisher PDF via Unpaywall). Suggested home: New measure class: neuromodulatory innervation (M1 regional). Registry/roadmap status at scouting: Not registered.</t>
        </is>
      </c>
    </row>
    <row r="504" ht="15" customHeight="1">
      <c r="A504" s="9" t="inlineStr">
        <is>
          <t>Ravizza, R. J., &amp; Masterton, B. (1972). Contribution of neocortex to sound localization in opossum (Didelphis virginiana). J Neurophysiol, 35(3), 344-356. https://doi.org/10.1152/jn.1972.35.3.344</t>
        </is>
      </c>
      <c r="B504" s="9"/>
      <c r="C504" s="9"/>
      <c r="D504" s="9" t="inlineStr">
        <is>
          <t>Results Text</t>
        </is>
      </c>
      <c r="E504" s="11" t="str">
        <f>SUBSTITUTE(SUBSTITUTE(_xlfn.TEXTBEFORE(A504,","), "-", ""), " ", "")</f>
        <v>Ravizza</v>
      </c>
      <c r="F504" s="10"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4" s="10" t="str">
        <f>_xlfn.TEXTBEFORE(_xlfn.TEXTAFTER(A504, "("), ")")</f>
        <v>1972</v>
      </c>
      <c r="H504" s="11" t="str">
        <f>E504 &amp; IF(F504&lt;&gt;"", "_" &amp; SUBSTITUTE(F504," ",""), "_") &amp; IF(G504&lt;&gt;"", "_" &amp; G504, "_") &amp; IF(B504&lt;&gt;"", "_" &amp; B504, "")</f>
        <v>Ravizza__1972</v>
      </c>
      <c r="I504" s="11" t="str">
        <f>_xlfn.LET(_xlpm.doi,IF(C504&lt;&gt;"",C504,_xlfn.TEXTAFTER(A504,"https://doi.org/")),SUBSTITUTE(SUBSTITUTE(SUBSTITUTE(SUBSTITUTE(_xlpm.doi,"/","%2F"),":","%3A"),"&lt;","%3C"),"&gt;","%3E"))</f>
        <v>10.1152%2Fjn.1972.35.3.344</v>
      </c>
      <c r="J504" s="11" t="str">
        <f>TRIM(_xlfn.TEXTJOIN("_",FALSE(),H504,(SUBSTITUTE(SUBSTITUTE(D504," ",""), "_", ""))))</f>
        <v>Ravizza__1972_ResultsText</v>
      </c>
      <c r="K504" s="10" t="str">
        <f>I504 &amp; "_" &amp; SUBSTITUTE(SUBSTITUTE(SUBSTITUTE(D504,CHAR(160),"")," ",""),"_","")</f>
        <v>10.1152%2Fjn.1972.35.3.344_ResultsText</v>
      </c>
      <c r="L504" s="10" t="str">
        <f t="array" ref="L504">IFERROR(INDEX(AUTO_Public_TSV_FileList!$A$1:$A$1000,MATCH(TRUE(),EXACT(K504,IFERROR(_xlfn.TEXTBEFORE(AUTO_Public_TSV_FileList!$A$1:$A$1000,".tsv"),"")),0)),"notfound")</f>
        <v>10.1152%2Fjn.1972.35.3.344_ResultsText.tsv</v>
      </c>
      <c r="M504" s="9" t="inlineStr">
        <is>
          <t>Minimum audible angle for normal vs decorticate opossums (lesion/ablation study, not a simple audiogram paper)</t>
        </is>
      </c>
      <c r="N504" s="9" t="inlineStr">
        <is>
          <t>text</t>
        </is>
      </c>
      <c r="O504" s="9" t="inlineStr">
        <is>
          <t>Registry row added 2026-09-27. N.B.: this is a bilateral-neocortical-ablation study; only the MAA datum (normal-opossum baseline + decorticate comparison) was extracted as comparative-hearing data. Built same day; public TSV uploaded.</t>
        </is>
      </c>
      <c r="P504" s="9" t="inlineStr">
        <is>
          <t>FINISHED</t>
        </is>
      </c>
      <c r="Q504" s="9"/>
      <c r="R504" s="9"/>
      <c r="S504" s="9"/>
      <c r="T504" s="9"/>
      <c r="U504" s="9"/>
      <c r="V504" s="9"/>
      <c r="W504" s="9"/>
      <c r="X504" s="9"/>
      <c r="Y504" s="9"/>
      <c r="Z504" s="9"/>
      <c r="AA504" s="9"/>
      <c r="AB504" s="9"/>
      <c r="AC504" s="9"/>
      <c r="AD504" s="9"/>
      <c r="AE504" s="9"/>
      <c r="AF504" s="9"/>
      <c r="AG504" s="9"/>
    </row>
    <row r="505" ht="15" customHeight="1">
      <c r="A505" s="9" t="inlineStr">
        <is>
          <t>Ravizza, R. J., Heffner, H. E., &amp; Masterton, B. (1969). Hearing in primitive mammals, I: Opossum (Didelphis virginianus). The Journal of Auditory Research, 9, 1-7.</t>
        </is>
      </c>
      <c r="B505" s="9"/>
      <c r="C505" s="9" t="inlineStr">
        <is>
          <t>AN:1970-12227-001</t>
        </is>
      </c>
      <c r="D505" s="9" t="inlineStr">
        <is>
          <t>Results Text</t>
        </is>
      </c>
      <c r="E505" s="11" t="str">
        <f>SUBSTITUTE(SUBSTITUTE(_xlfn.TEXTBEFORE(A505,","), "-", ""), " ", "")</f>
        <v>Ravizza</v>
      </c>
      <c r="F505" s="10"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10" t="str">
        <f>_xlfn.TEXTBEFORE(_xlfn.TEXTAFTER(A505, "("), ")")</f>
        <v>1969</v>
      </c>
      <c r="H505" s="11" t="str">
        <f>E505 &amp; IF(F505&lt;&gt;"", "_" &amp; SUBSTITUTE(F505," ",""), "_") &amp; IF(G505&lt;&gt;"", "_" &amp; G505, "_") &amp; IF(B505&lt;&gt;"", "_" &amp; B505, "")</f>
        <v>Ravizza_etal_1969</v>
      </c>
      <c r="I505" s="11" t="str">
        <f>_xlfn.LET(_xlpm.doi,IF(C505&lt;&gt;"",C505,_xlfn.TEXTAFTER(A505,"https://doi.org/")),SUBSTITUTE(SUBSTITUTE(SUBSTITUTE(SUBSTITUTE(_xlpm.doi,"/","%2F"),":","%3A"),"&lt;","%3C"),"&gt;","%3E"))</f>
        <v>AN%3A1970-12227-001</v>
      </c>
      <c r="J505" s="11" t="str">
        <f>TRIM(_xlfn.TEXTJOIN("_",FALSE(),H505,(SUBSTITUTE(SUBSTITUTE(D505," ",""), "_", ""))))</f>
        <v>Ravizza_etal_1969_ResultsText</v>
      </c>
      <c r="K505" s="10" t="str">
        <f>I505 &amp; "_" &amp; SUBSTITUTE(SUBSTITUTE(SUBSTITUTE(D505,CHAR(160),"")," ",""),"_","")</f>
        <v>AN%3A1970-12227-001_ResultsText</v>
      </c>
      <c r="L505" s="10" t="str">
        <f t="array" ref="L505">IFERROR(INDEX(AUTO_Public_TSV_FileList!$A$1:$A$1000,MATCH(TRUE(),EXACT(K505,IFERROR(_xlfn.TEXTBEFORE(AUTO_Public_TSV_FileList!$A$1:$A$1000,".tsv"),"")),0)),"notfound")</f>
        <v>AN%3A1970-12227-001_ResultsText.tsv</v>
      </c>
      <c r="M505" s="9" t="inlineStr">
        <is>
          <t>Opossum (Didelphis virginianus) hearing range and sensitivity, first paper in Ravizza/Heffner/Masterton primitive-mammals series</t>
        </is>
      </c>
      <c r="N505" s="9" t="inlineStr">
        <is>
          <t>text</t>
        </is>
      </c>
      <c r="O505" s="9" t="inlineStr">
        <is>
          <t>Registry row added 2026-09-27. No DOI exists (pre-1970s journal) -- Alt identifier JAudRes:9:1-7 used per house convention. Built same day; public TSV uploaded (renamed from a temporary placeholder DOI used before this row existed).</t>
        </is>
      </c>
      <c r="P505" s="9" t="inlineStr">
        <is>
          <t>FINISHED</t>
        </is>
      </c>
      <c r="Q505" s="9"/>
      <c r="R505" s="9"/>
      <c r="S505" s="9"/>
      <c r="T505" s="9"/>
      <c r="U505" s="9"/>
      <c r="V505" s="9"/>
      <c r="W505" s="9"/>
      <c r="X505" s="9"/>
      <c r="Y505" s="9"/>
      <c r="Z505" s="9"/>
      <c r="AA505" s="9"/>
      <c r="AB505" s="9"/>
      <c r="AC505" s="9"/>
      <c r="AD505" s="9"/>
      <c r="AE505" s="9"/>
      <c r="AF505" s="9"/>
      <c r="AG505" s="9"/>
    </row>
    <row r="506" ht="15" customHeight="1">
      <c r="A506" s="1" t="inlineStr">
        <is>
          <t>Reader, S. M., Hager, Y., &amp; Laland, K. N. (2011). The evolution of primate general and cultural intelligence. Phil Trans R Soc B, 366(1567), 1017-1027. https://doi.org/10.1098/rstb.2010.0342</t>
        </is>
      </c>
      <c r="B506" s="13"/>
      <c r="C506" s="1"/>
      <c r="D506" s="1" t="inlineStr">
        <is>
          <t>Data</t>
        </is>
      </c>
      <c r="E506" s="10" t="str">
        <f>SUBSTITUTE(SUBSTITUTE(_xlfn.TEXTBEFORE(A506,","), "-", ""), " ", "")</f>
        <v>Reader</v>
      </c>
      <c r="F506" s="10"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10" t="str">
        <f>_xlfn.TEXTBEFORE(_xlfn.TEXTAFTER(A506, "("), ")")</f>
        <v>2011</v>
      </c>
      <c r="H506" s="10" t="str">
        <f>E506 &amp; IF(F506&lt;&gt;"", "_" &amp; SUBSTITUTE(F506," ",""), "_") &amp; IF(G506&lt;&gt;"", "_" &amp; G506, "_") &amp; IF(B506&lt;&gt;"", "_" &amp; B506, "")</f>
        <v>Reader_etal_2011</v>
      </c>
      <c r="I506" s="10" t="str">
        <f>_xlfn.LET(
_xlpm.doi,IF(C506&lt;&gt;"",C506,_xlfn.TEXTAFTER(A506,"https://doi.org/")),
SUBSTITUTE(
SUBSTITUTE(
SUBSTITUTE(
SUBSTITUTE(
_xlpm.doi,
"/","%2F"),
":","%3A"),
"&lt;","%3C"),
"&gt;","%3E")
)</f>
        <v>10.1098%2Frstb.2010.0342</v>
      </c>
      <c r="J506" s="10" t="str">
        <f>TRIM(_xlfn.TEXTJOIN("_",FALSE(),H506,(SUBSTITUTE(SUBSTITUTE(D506," ",""), "_", ""))))</f>
        <v>Reader_etal_2011_Data</v>
      </c>
      <c r="K506" s="10" t="str">
        <f>I506 &amp; "_" &amp; SUBSTITUTE(SUBSTITUTE(SUBSTITUTE(D506,CHAR(160),"")," ",""),"_","")</f>
        <v>10.1098%2Frstb.2010.0342_Data</v>
      </c>
      <c r="L506" s="10" t="str">
        <f t="array" ref="L506">IFERROR(INDEX(AUTO_Public_TSV_FileList!$A$1:$A$1000,MATCH(TRUE(),EXACT(K506,IFERROR(_xlfn.TEXTBEFORE(AUTO_Public_TSV_FileList!$A$1:$A$1000,".tsv"),"")),0)),"notfound")</f>
        <v>10.1098%2Frstb.2010.0342_Data.tsv</v>
      </c>
      <c r="M506" s="13"/>
      <c r="N506" s="1" t="inlineStr">
        <is>
          <t>table</t>
        </is>
      </c>
      <c r="O506" s="13"/>
      <c r="P506" s="1" t="inlineStr">
        <is>
          <t>FINISHED</t>
        </is>
      </c>
      <c r="Q506" s="1"/>
      <c r="R506" s="1"/>
      <c r="S506" s="13"/>
      <c r="T506" s="13"/>
      <c r="U506" s="13"/>
      <c r="V506" s="1"/>
      <c r="W506" s="1" t="inlineStr">
        <is>
          <t>Primates</t>
        </is>
      </c>
      <c r="X506" s="1" t="inlineStr">
        <is>
          <t>behavioural innovation / technical intelligence</t>
        </is>
      </c>
      <c r="Y506" s="1"/>
      <c r="Z506" s="13"/>
      <c r="AA506" s="13"/>
      <c r="AB506" s="1" t="inlineStr">
        <is>
          <t>behavioural (report counts: innovation, tool use, extractive foraging, social learning)</t>
        </is>
      </c>
      <c r="AC506" s="1" t="inlineStr">
        <is>
          <t>Reader</t>
        </is>
      </c>
      <c r="AD506" s="13"/>
      <c r="AE506" s="1" t="inlineStr">
        <is>
          <t>primary</t>
        </is>
      </c>
      <c r="AF506" s="1"/>
      <c r="AG506" s="1" t="inlineStr">
        <is>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is>
      </c>
    </row>
    <row r="507" ht="15" customHeight="1">
      <c r="A507" s="9" t="inlineStr">
        <is>
          <t>Reep, R. L., &amp; O'Shea, T. J. (1990). Regional brain morphometry and lissencephaly in the Sirenia. Brain, Behavior and Evolution, 35(4), 185-194. https://doi.org/10.1159/000115866</t>
        </is>
      </c>
      <c r="B507" s="28"/>
      <c r="C507" s="9"/>
      <c r="D507" s="9" t="inlineStr">
        <is>
          <t>Table1</t>
        </is>
      </c>
      <c r="E507" s="10" t="str">
        <f>SUBSTITUTE(SUBSTITUTE(_xlfn.TEXTBEFORE(A507,","), "-", ""), " ", "")</f>
        <v>Reep</v>
      </c>
      <c r="F507" s="10"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7" s="10" t="str">
        <f>_xlfn.TEXTBEFORE(_xlfn.TEXTAFTER(A507, "("), ")")</f>
        <v>1990</v>
      </c>
      <c r="H507" s="10" t="str">
        <f>E507 &amp; IF(F507&lt;&gt;"", "_" &amp; SUBSTITUTE(F507," ",""), "_") &amp; IF(G507&lt;&gt;"", "_" &amp; G507, "_") &amp; IF(B507&lt;&gt;"", "_" &amp; B507, "")</f>
        <v>Reep__1990</v>
      </c>
      <c r="I507" s="10" t="str">
        <f>_xlfn.LET(
_xlpm.doi,IF(C507&lt;&gt;"",C507,_xlfn.TEXTAFTER(A507,"https://doi.org/")),
SUBSTITUTE(
SUBSTITUTE(
SUBSTITUTE(
SUBSTITUTE(
_xlpm.doi,
"/","%2F"),
":","%3A"),
"&lt;","%3C"),
"&gt;","%3E")
)</f>
        <v>10.1159%2F000115866</v>
      </c>
      <c r="J507" s="10" t="str">
        <f>TRIM(_xlfn.TEXTJOIN("_",FALSE(),H507,(SUBSTITUTE(SUBSTITUTE(D507," ",""), "_", ""))))</f>
        <v>Reep__1990_Table1</v>
      </c>
      <c r="K507" s="10" t="str">
        <f>I507 &amp; "_" &amp; SUBSTITUTE(SUBSTITUTE(SUBSTITUTE(D507,CHAR(160),"")," ",""),"_","")</f>
        <v>10.1159%2F000115866_Table1</v>
      </c>
      <c r="L507" s="10" t="str">
        <f t="array" ref="L507">IFERROR(INDEX(AUTO_Public_TSV_FileList!$A$1:$A$1000,MATCH(TRUE(),EXACT(K507,IFERROR(_xlfn.TEXTBEFORE(AUTO_Public_TSV_FileList!$A$1:$A$1000,".tsv"),"")),0)),"notfound")</f>
        <v>notfound</v>
      </c>
      <c r="M507" s="9" t="inlineStr">
        <is>
          <t>Table 1. Percent volume estimates of the major brain regions in 4 Florida manatees</t>
        </is>
      </c>
      <c r="N507" s="9" t="inlineStr">
        <is>
          <t>PDF table (scanned print, no text layer; constructed transcribed snapshot)</t>
        </is>
      </c>
      <c r="O507" s="9" t="inlineStr">
        <is>
          <t>Four Trichechus manatus brains + printed mean. Added because Lewitus et al. 2014 cites it (ref 83).</t>
        </is>
      </c>
      <c r="P507" s="9" t="inlineStr">
        <is>
          <t>PREPARED (CSV built; owner registry paste / public TSV pending; RA side-by-side check pending)</t>
        </is>
      </c>
      <c r="Q507" s="9" t="inlineStr">
        <is>
          <t>Reep_OShea_1990_Table1_snapshot.csv</t>
        </is>
      </c>
      <c r="R507" s="9" t="inlineStr">
        <is>
          <t>https://doi.org/10.1159/000115866</t>
        </is>
      </c>
      <c r="S507" s="9"/>
      <c r="T507" s="9"/>
      <c r="U507" s="9"/>
      <c r="V507" s="9"/>
      <c r="W507" s="9" t="inlineStr">
        <is>
          <t>Sirenia (Trichechus manatus)</t>
        </is>
      </c>
      <c r="X507" s="9" t="inlineStr">
        <is>
          <t>brain region volume percentages; brain weight</t>
        </is>
      </c>
      <c r="Y507" s="9" t="inlineStr">
        <is>
          <t>sections measured</t>
        </is>
      </c>
      <c r="Z507" s="9" t="inlineStr">
        <is>
          <t>fixed, celloidin-embedded brains sectioned coronally</t>
        </is>
      </c>
      <c r="AA507" s="9" t="inlineStr">
        <is>
          <t>computer-based morphometry of sections</t>
        </is>
      </c>
      <c r="AB507" s="9" t="inlineStr">
        <is>
          <t>regional volume fractions</t>
        </is>
      </c>
      <c r="AC507" s="9"/>
      <c r="AD507" s="9"/>
      <c r="AE507" s="9" t="inlineStr">
        <is>
          <t>primary</t>
        </is>
      </c>
      <c r="AF507" s="9"/>
      <c r="AG507" s="9"/>
    </row>
    <row r="508" ht="15" customHeight="1">
      <c r="A508" s="9" t="inlineStr">
        <is>
          <t>Reep, R. L., &amp; O'Shea, T. J. (1990). Regional brain morphometry and lissencephaly in the Sirenia. Brain, Behavior and Evolution, 35(4), 185-194. https://doi.org/10.1159/000115866</t>
        </is>
      </c>
      <c r="B508" s="28"/>
      <c r="C508" s="9"/>
      <c r="D508" s="9" t="inlineStr">
        <is>
          <t>Table3</t>
        </is>
      </c>
      <c r="E508" s="10" t="str">
        <f>SUBSTITUTE(SUBSTITUTE(_xlfn.TEXTBEFORE(A508,","), "-", ""), " ", "")</f>
        <v>Reep</v>
      </c>
      <c r="F508" s="10"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8" s="10" t="str">
        <f>_xlfn.TEXTBEFORE(_xlfn.TEXTAFTER(A508, "("), ")")</f>
        <v>1990</v>
      </c>
      <c r="H508" s="10" t="str">
        <f>E508 &amp; IF(F508&lt;&gt;"", "_" &amp; SUBSTITUTE(F508," ",""), "_") &amp; IF(G508&lt;&gt;"", "_" &amp; G508, "_") &amp; IF(B508&lt;&gt;"", "_" &amp; B508, "")</f>
        <v>Reep__1990</v>
      </c>
      <c r="I508" s="10" t="str">
        <f>_xlfn.LET(
_xlpm.doi,IF(C508&lt;&gt;"",C508,_xlfn.TEXTAFTER(A508,"https://doi.org/")),
SUBSTITUTE(
SUBSTITUTE(
SUBSTITUTE(
SUBSTITUTE(
_xlpm.doi,
"/","%2F"),
":","%3A"),
"&lt;","%3C"),
"&gt;","%3E")
)</f>
        <v>10.1159%2F000115866</v>
      </c>
      <c r="J508" s="10" t="str">
        <f>TRIM(_xlfn.TEXTJOIN("_",FALSE(),H508,(SUBSTITUTE(SUBSTITUTE(D508," ",""), "_", ""))))</f>
        <v>Reep__1990_Table3</v>
      </c>
      <c r="K508" s="10" t="str">
        <f>I508 &amp; "_" &amp; SUBSTITUTE(SUBSTITUTE(SUBSTITUTE(D508,CHAR(160),"")," ",""),"_","")</f>
        <v>10.1159%2F000115866_Table3</v>
      </c>
      <c r="L508" s="10" t="str">
        <f t="array" ref="L508">IFERROR(INDEX(AUTO_Public_TSV_FileList!$A$1:$A$1000,MATCH(TRUE(),EXACT(K508,IFERROR(_xlfn.TEXTBEFORE(AUTO_Public_TSV_FileList!$A$1:$A$1000,".tsv"),"")),0)),"notfound")</f>
        <v>notfound</v>
      </c>
      <c r="M508" s="9" t="inlineStr">
        <is>
          <t>Table 3. Cortical data derived from spaced sections in 2 Florida manatee brains</t>
        </is>
      </c>
      <c r="N508" s="9" t="inlineStr">
        <is>
          <t>PDF table (scanned print; transcribed snapshot)</t>
        </is>
      </c>
      <c r="O508" s="9" t="inlineStr">
        <is>
          <t>Two brains + mean; GI and cortical surface area.</t>
        </is>
      </c>
      <c r="P508" s="9" t="inlineStr">
        <is>
          <t>PREPARED (CSV built; owner registry paste / public TSV pending; RA side-by-side check pending)</t>
        </is>
      </c>
      <c r="Q508" s="9" t="inlineStr">
        <is>
          <t>Reep_OShea_1990_Table3_snapshot.csv</t>
        </is>
      </c>
      <c r="R508" s="9" t="inlineStr">
        <is>
          <t>https://doi.org/10.1159/000115866</t>
        </is>
      </c>
      <c r="S508" s="9"/>
      <c r="T508" s="9"/>
      <c r="U508" s="9"/>
      <c r="V508" s="9"/>
      <c r="W508" s="9" t="inlineStr">
        <is>
          <t>Sirenia (Trichechus manatus)</t>
        </is>
      </c>
      <c r="X508" s="9" t="inlineStr">
        <is>
          <t>gyration index; cortical surface area</t>
        </is>
      </c>
      <c r="Y508" s="9"/>
      <c r="Z508" s="9" t="inlineStr">
        <is>
          <t>fixed sectioned brains</t>
        </is>
      </c>
      <c r="AA508" s="9" t="inlineStr">
        <is>
          <t>morphometry of spaced sections</t>
        </is>
      </c>
      <c r="AB508" s="9" t="inlineStr">
        <is>
          <t>cortical folding</t>
        </is>
      </c>
      <c r="AC508" s="9"/>
      <c r="AD508" s="9"/>
      <c r="AE508" s="9" t="inlineStr">
        <is>
          <t>primary</t>
        </is>
      </c>
      <c r="AF508" s="9"/>
      <c r="AG508" s="9"/>
    </row>
    <row r="509" ht="15" customHeight="1">
      <c r="A509" s="18" t="inlineStr">
        <is>
          <t>Reep, R. L., &amp; O'Shea, T. J. (1990). Regional brain morphometry and lissencephaly in the Sirenia. Brain, Behavior and Evolution, 35(4), 185-194. https://doi.org/10.1159/000115866</t>
        </is>
      </c>
      <c r="B509" s="20"/>
      <c r="C509" s="18"/>
      <c r="D509" s="18" t="inlineStr">
        <is>
          <t>Table4</t>
        </is>
      </c>
      <c r="E509" s="10" t="str">
        <f>SUBSTITUTE(SUBSTITUTE(_xlfn.TEXTBEFORE(A509,","), "-", ""), " ", "")</f>
        <v>Reep</v>
      </c>
      <c r="F509" s="10"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9" s="10" t="str">
        <f>_xlfn.TEXTBEFORE(_xlfn.TEXTAFTER(A509, "("), ")")</f>
        <v>1990</v>
      </c>
      <c r="H509" s="10" t="str">
        <f>E509 &amp; IF(F509&lt;&gt;"", "_" &amp; SUBSTITUTE(F509," ",""), "_") &amp; IF(G509&lt;&gt;"", "_" &amp; G509, "_") &amp; IF(B509&lt;&gt;"", "_" &amp; B509, "")</f>
        <v>Reep__1990</v>
      </c>
      <c r="I509" s="10" t="str">
        <f>_xlfn.LET(
_xlpm.doi,IF(C509&lt;&gt;"",C509,_xlfn.TEXTAFTER(A509,"https://doi.org/")),
SUBSTITUTE(
SUBSTITUTE(
SUBSTITUTE(
SUBSTITUTE(
_xlpm.doi,
"/","%2F"),
":","%3A"),
"&lt;","%3C"),
"&gt;","%3E")
)</f>
        <v>10.1159%2F000115866</v>
      </c>
      <c r="J509" s="10" t="str">
        <f>TRIM(_xlfn.TEXTJOIN("_",FALSE(),H509,(SUBSTITUTE(SUBSTITUTE(D509," ",""), "_", ""))))</f>
        <v>Reep__1990_Table4</v>
      </c>
      <c r="K509" s="10" t="str">
        <f>I509 &amp; "_" &amp; SUBSTITUTE(SUBSTITUTE(SUBSTITUTE(D509,CHAR(160),"")," ",""),"_","")</f>
        <v>10.1159%2F000115866_Table4</v>
      </c>
      <c r="L509" s="10" t="str">
        <f t="array" ref="L509">IFERROR(INDEX(AUTO_Public_TSV_FileList!$A$1:$A$1000,MATCH(TRUE(),EXACT(K509,IFERROR(_xlfn.TEXTBEFORE(AUTO_Public_TSV_FileList!$A$1:$A$1000,".tsv"),"")),0)),"notfound")</f>
        <v>notfound</v>
      </c>
      <c r="M509" s="18" t="inlineStr">
        <is>
          <t>Table 4. Cortical gray matter thickness measured directly from slices of brains from 3 Florida manatees</t>
        </is>
      </c>
      <c r="N509" s="18" t="inlineStr">
        <is>
          <t>PDF table (scanned print; transcribed snapshot)</t>
        </is>
      </c>
      <c r="O509" s="18" t="inlineStr">
        <is>
          <t>Three brains + mean; printed mean 4.23 is not the mean of the three brain means (4.02).</t>
        </is>
      </c>
      <c r="P509" s="18" t="inlineStr">
        <is>
          <t>PREPARED (CSV built; owner registry paste / public TSV pending; RA side-by-side check pending)</t>
        </is>
      </c>
      <c r="Q509" s="18" t="inlineStr">
        <is>
          <t>Reep_OShea_1990_Table4_snapshot.csv</t>
        </is>
      </c>
      <c r="R509" s="18" t="inlineStr">
        <is>
          <t>https://doi.org/10.1159/000115866</t>
        </is>
      </c>
      <c r="S509" s="18"/>
      <c r="T509" s="18"/>
      <c r="U509" s="18"/>
      <c r="V509" s="18"/>
      <c r="W509" s="18" t="inlineStr">
        <is>
          <t>Sirenia (Trichechus manatus)</t>
        </is>
      </c>
      <c r="X509" s="18" t="inlineStr">
        <is>
          <t>cortical thickness</t>
        </is>
      </c>
      <c r="Y509" s="18"/>
      <c r="Z509" s="18" t="inlineStr">
        <is>
          <t>fixed brain slices</t>
        </is>
      </c>
      <c r="AA509" s="18" t="inlineStr">
        <is>
          <t>direct measurement</t>
        </is>
      </c>
      <c r="AB509" s="18" t="inlineStr">
        <is>
          <t>cortical thickness</t>
        </is>
      </c>
      <c r="AC509" s="18"/>
      <c r="AD509" s="18"/>
      <c r="AE509" s="18" t="inlineStr">
        <is>
          <t>primary</t>
        </is>
      </c>
      <c r="AF509" s="18"/>
      <c r="AG509" s="18"/>
    </row>
    <row r="510" ht="15" customHeight="1">
      <c r="A510" s="19" t="inlineStr">
        <is>
          <t>Reep, R. L., Finlay, B. L., &amp; Darlington, R. B. (2007). The limbic system in mammalian brain evolution. Brain Behav Evol, 70(1), 57-70. https://doi.org/10.1159/000101491</t>
        </is>
      </c>
      <c r="B510" s="19"/>
      <c r="C510" s="19"/>
      <c r="D510" s="19" t="inlineStr">
        <is>
          <t>Table 1</t>
        </is>
      </c>
      <c r="E510" s="10" t="str">
        <f>SUBSTITUTE(SUBSTITUTE(_xlfn.TEXTBEFORE(A510,","), "-", ""), " ", "")</f>
        <v>Reep</v>
      </c>
      <c r="F510" s="10"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10" t="str">
        <f>_xlfn.TEXTBEFORE(_xlfn.TEXTAFTER(A510, "("), ")")</f>
        <v>2007</v>
      </c>
      <c r="H510" s="10" t="str">
        <f>E510 &amp; IF(F510&lt;&gt;"", "_" &amp; SUBSTITUTE(F510," ",""), "_") &amp; IF(G510&lt;&gt;"", "_" &amp; G510, "_") &amp; IF(B510&lt;&gt;"", "_" &amp; B510, "")</f>
        <v>Reep_etal_2007</v>
      </c>
      <c r="I510" s="10" t="str">
        <f>_xlfn.LET(
_xlpm.doi,IF(C510&lt;&gt;"",C510,_xlfn.TEXTAFTER(A510,"https://doi.org/")),
SUBSTITUTE(
SUBSTITUTE(
SUBSTITUTE(
SUBSTITUTE(
_xlpm.doi,
"/","%2F"),
":","%3A"),
"&lt;","%3C"),
"&gt;","%3E")
)</f>
        <v>10.1159%2F000101491</v>
      </c>
      <c r="J510" s="10" t="str">
        <f>TRIM(_xlfn.TEXTJOIN("_",FALSE(),H510,(SUBSTITUTE(SUBSTITUTE(D510," ",""), "_", ""))))</f>
        <v>Reep_etal_2007_Table1</v>
      </c>
      <c r="K510" s="10" t="str">
        <f>I510 &amp; "_" &amp; SUBSTITUTE(SUBSTITUTE(SUBSTITUTE(D510,CHAR(160),"")," ",""),"_","")</f>
        <v>10.1159%2F000101491_Table1</v>
      </c>
      <c r="L510" s="10" t="str">
        <f t="array" ref="L510">IFERROR(INDEX(AUTO_Public_TSV_FileList!$A$1:$A$1000,MATCH(TRUE(),EXACT(K510,IFERROR(_xlfn.TEXTBEFORE(AUTO_Public_TSV_FileList!$A$1:$A$1000,".tsv"),"")),0)),"notfound")</f>
        <v>10.1159%2F000101491_Table1.tsv</v>
      </c>
      <c r="M510" s="19" t="inlineStr">
        <is>
          <t>Table 1. Estimated volumes (mm3) of brain components in 29 selected species, with University of Wisconsin specimen numbers indicated</t>
        </is>
      </c>
      <c r="N510" s="19" t="inlineStr">
        <is>
          <t>table</t>
        </is>
      </c>
      <c r="O510" s="19"/>
      <c r="P510" s="19" t="inlineStr">
        <is>
          <t>FINISHED</t>
        </is>
      </c>
      <c r="Q510" s="19"/>
      <c r="R510" s="19" t="inlineStr">
        <is>
          <t>https://doi.org/10.1159/000101491</t>
        </is>
      </c>
      <c r="S510" s="19" t="inlineStr">
        <is>
          <t>formatting-fix: misplaced thousands separators documented and normalized</t>
        </is>
      </c>
      <c r="T510" s="19" t="inlineStr">
        <is>
          <t>definition-mismatch: Reep diencephalon excludes globus pallidus and striatum includes it; overlap: amygdala is included in paleocortex; published bilateral estimate</t>
        </is>
      </c>
      <c r="U510" s="19"/>
      <c r="V510" s="19" t="inlineStr">
        <is>
          <t>major brain components / limbic system</t>
        </is>
      </c>
      <c r="W510" s="19" t="inlineStr">
        <is>
          <t>Mammals: Carnivora, Artiodactyla, Perissodactyla, Xenarthra, Sirenia</t>
        </is>
      </c>
      <c r="X510" s="19" t="inlineStr">
        <is>
          <t>regional brain-structure volumes</t>
        </is>
      </c>
      <c r="Y510" s="19" t="inlineStr">
        <is>
          <t>medulla; cerebellum; mesencephalon; diencephalon; striatum; septum; amygdala; paleocortex; hippocampus; schizocortex; isocortex</t>
        </is>
      </c>
      <c r="Z510" s="15" t="inlineStr">
        <is>
          <t>histological sections</t>
        </is>
      </c>
      <c r="AA510" s="19" t="inlineStr">
        <is>
          <t>histological section-area integration; shrinkage correction; one side x2</t>
        </is>
      </c>
      <c r="AB510" s="19" t="inlineStr">
        <is>
          <t>volume (mm3)</t>
        </is>
      </c>
      <c r="AC510" s="19" t="inlineStr">
        <is>
          <t>Reep/Finlay</t>
        </is>
      </c>
      <c r="AD510" s="19" t="inlineStr">
        <is>
          <t>University of Wisconsin Comparative Mammalian Brain Collection</t>
        </is>
      </c>
      <c r="AE510" s="19" t="inlineStr">
        <is>
          <t>primary</t>
        </is>
      </c>
      <c r="AF510" s="19"/>
      <c r="AG510" s="19" t="inlineStr">
        <is>
          <t>29 species and 29 specimen IDs; 319/319 volume cells independently matched to both printed table pages. Olingo and manatee misplaced thousands separators normalized without changing numeric value.</t>
        </is>
      </c>
    </row>
    <row r="511" ht="15" customHeight="1">
      <c r="A511" s="16" t="inlineStr">
        <is>
          <t>Reyes, L. D., Harland, T., Reep, R. L., Sherwood, C. C., &amp; Jacobs, B. (2016). Golgi Analysis of Neuron Morphology in the Presumptive Somatosensory Cortex and Visual Cortex of the Florida Manatee (Trichechus manatus latirostris). Brain, Behavior and Evolution, 87, 105–116. https://doi.org/10.1159/000445495</t>
        </is>
      </c>
      <c r="B511" s="16"/>
      <c r="C511" s="16"/>
      <c r="D511" s="16" t="inlineStr">
        <is>
          <t>Table 1</t>
        </is>
      </c>
      <c r="E511" s="10" t="str">
        <f>SUBSTITUTE(SUBSTITUTE(_xlfn.TEXTBEFORE(A511,","), "-", ""), " ", "")</f>
        <v>Reyes</v>
      </c>
      <c r="F511" s="10"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10" t="str">
        <f>_xlfn.TEXTBEFORE(_xlfn.TEXTAFTER(A511, "("), ")")</f>
        <v>2016</v>
      </c>
      <c r="H511" s="10" t="str">
        <f>E511 &amp; IF(F511&lt;&gt;"", "_" &amp; SUBSTITUTE(F511," ",""), "_") &amp; IF(G511&lt;&gt;"", "_" &amp; G511, "_") &amp; IF(B511&lt;&gt;"", "_" &amp; B511, "")</f>
        <v>Reyes_etal_2016</v>
      </c>
      <c r="I511" s="10" t="str">
        <f>_xlfn.LET(
_xlpm.doi,IF(C511&lt;&gt;"",C511,_xlfn.TEXTAFTER(A511,"https://doi.org/")),
SUBSTITUTE(
SUBSTITUTE(
SUBSTITUTE(
SUBSTITUTE(
_xlpm.doi,
"/","%2F"),
":","%3A"),
"&lt;","%3C"),
"&gt;","%3E")
)</f>
        <v>10.1159%2F000445495</v>
      </c>
      <c r="J511" s="10" t="str">
        <f>TRIM(_xlfn.TEXTJOIN("_",FALSE(),H511,(SUBSTITUTE(SUBSTITUTE(D511," ",""), "_", ""))))</f>
        <v>Reyes_etal_2016_Table1</v>
      </c>
      <c r="K511" s="10" t="str">
        <f>I511 &amp; "_" &amp; SUBSTITUTE(SUBSTITUTE(SUBSTITUTE(D511,CHAR(160),"")," ",""),"_","")</f>
        <v>10.1159%2F000445495_Table1</v>
      </c>
      <c r="L511" s="10" t="str">
        <f t="array" ref="L511">IFERROR(INDEX(AUTO_Public_TSV_FileList!$A$1:$A$1000,MATCH(TRUE(),EXACT(K511,IFERROR(_xlfn.TEXTBEFORE(AUTO_Public_TSV_FileList!$A$1:$A$1000,".tsv"),"")),0)),"notfound")</f>
        <v>10.1159%2F000445495_Table1.tsv</v>
      </c>
      <c r="M511" s="16" t="inlineStr">
        <is>
          <t>Table 1. Number of Golgi-impregnated neuron types traced for each area</t>
        </is>
      </c>
      <c r="N511" s="16" t="inlineStr">
        <is>
          <t>PDF table (flat frozen CSV snapshot)</t>
        </is>
      </c>
      <c r="O511" s="16" t="inlineStr">
        <is>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is>
      </c>
      <c r="P511" s="16" t="inlineStr">
        <is>
          <t>PREPARED (provisional CSV; owner registration / public TSV / R validation pending)</t>
        </is>
      </c>
      <c r="Q511" s="16" t="inlineStr">
        <is>
          <t>Reyes_etal_2016_Table1_snapshot.csv</t>
        </is>
      </c>
      <c r="R511" s="16" t="inlineStr">
        <is>
          <t>https://doi.org/10.1159/000445495</t>
        </is>
      </c>
      <c r="S511" s="16"/>
      <c r="T511" s="16" t="inlineStr">
        <is>
          <t>Collection-scoped taxonomy / source-dependency review remains open; no guessed taxon mapping.</t>
        </is>
      </c>
      <c r="U511" s="16"/>
      <c r="V511" s="16"/>
      <c r="W511" s="16"/>
      <c r="X511" s="16"/>
      <c r="Y511" s="16"/>
      <c r="Z511" s="16"/>
      <c r="AA511" s="16" t="inlineStr">
        <is>
          <t>Modified rapid Golgi stain; 120-μm sections; Neurolucida 3-D tracing; one adult female manatee; predominantly layers III/V. Selected neurons are not unbiased population counts.</t>
        </is>
      </c>
      <c r="AB511" s="16" t="inlineStr">
        <is>
          <t>Counts of traced neurons, n.</t>
        </is>
      </c>
      <c r="AC511" s="16"/>
      <c r="AD511" s="16"/>
      <c r="AE511" s="16" t="inlineStr">
        <is>
          <t>primary</t>
        </is>
      </c>
      <c r="AF511" s="16"/>
      <c r="AG511" s="16" t="inlineStr">
        <is>
          <t>Owner review and selective paste-values; regenerate file list and verify encoded authority before clean R build/validate.</t>
        </is>
      </c>
      <c r="AH511" s="16" t="inlineStr">
        <is>
          <t>14102026_AAdS</t>
        </is>
      </c>
    </row>
    <row r="512" ht="15" customHeight="1">
      <c r="A512" s="16" t="inlineStr">
        <is>
          <t>Reyes, L. D., Harland, T., Reep, R. L., Sherwood, C. C., &amp; Jacobs, B. (2016). Golgi Analysis of Neuron Morphology in the Presumptive Somatosensory Cortex and Visual Cortex of the Florida Manatee (Trichechus manatus latirostris). Brain, Behavior and Evolution, 87, 105–116. https://doi.org/10.1159/000445495</t>
        </is>
      </c>
      <c r="B512" s="16"/>
      <c r="C512" s="16"/>
      <c r="D512" s="16" t="inlineStr">
        <is>
          <t>Table 2</t>
        </is>
      </c>
      <c r="E512" s="10" t="str">
        <f>SUBSTITUTE(SUBSTITUTE(_xlfn.TEXTBEFORE(A512,","), "-", ""), " ", "")</f>
        <v>Reyes</v>
      </c>
      <c r="F512" s="10"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10" t="str">
        <f>_xlfn.TEXTBEFORE(_xlfn.TEXTAFTER(A512, "("), ")")</f>
        <v>2016</v>
      </c>
      <c r="H512" s="10" t="str">
        <f>E512 &amp; IF(F512&lt;&gt;"", "_" &amp; SUBSTITUTE(F512," ",""), "_") &amp; IF(G512&lt;&gt;"", "_" &amp; G512, "_") &amp; IF(B512&lt;&gt;"", "_" &amp; B512, "")</f>
        <v>Reyes_etal_2016</v>
      </c>
      <c r="I512" s="10" t="str">
        <f>_xlfn.LET(
_xlpm.doi,IF(C512&lt;&gt;"",C512,_xlfn.TEXTAFTER(A512,"https://doi.org/")),
SUBSTITUTE(
SUBSTITUTE(
SUBSTITUTE(
SUBSTITUTE(
_xlpm.doi,
"/","%2F"),
":","%3A"),
"&lt;","%3C"),
"&gt;","%3E")
)</f>
        <v>10.1159%2F000445495</v>
      </c>
      <c r="J512" s="10" t="str">
        <f>TRIM(_xlfn.TEXTJOIN("_",FALSE(),H512,(SUBSTITUTE(SUBSTITUTE(D512," ",""), "_", ""))))</f>
        <v>Reyes_etal_2016_Table2</v>
      </c>
      <c r="K512" s="10" t="str">
        <f>I512 &amp; "_" &amp; SUBSTITUTE(SUBSTITUTE(SUBSTITUTE(D512,CHAR(160),"")," ",""),"_","")</f>
        <v>10.1159%2F000445495_Table2</v>
      </c>
      <c r="L512" s="10" t="str">
        <f t="array" ref="L512">IFERROR(INDEX(AUTO_Public_TSV_FileList!$A$1:$A$1000,MATCH(TRUE(),EXACT(K512,IFERROR(_xlfn.TEXTBEFORE(AUTO_Public_TSV_FileList!$A$1:$A$1000,".tsv"),"")),0)),"notfound")</f>
        <v>10.1159%2F000445495_Table2.tsv</v>
      </c>
      <c r="M512" s="16" t="inlineStr">
        <is>
          <t>Table 2. Quantitative measures of pyramidal neuron dendrites in the manatee S1 (DL1 and CL2) and V1 (DL4) regions</t>
        </is>
      </c>
      <c r="N512" s="16" t="inlineStr">
        <is>
          <t>PDF table (flat frozen CSV snapshot)</t>
        </is>
      </c>
      <c r="O512" s="16" t="inlineStr">
        <is>
          <t>Table2 p.113; three summary rows. Whole apical+basilar arbor,10 neurons/region,1 animal. Analysis CSV is a provisional Python transformation matching the supplied R reader; not R validation. Public TSV withheld until owner registration; no official encoded filename assigned.</t>
        </is>
      </c>
      <c r="P512" s="16" t="inlineStr">
        <is>
          <t>PREPARED (provisional CSV; owner registration / public TSV / R validation pending)</t>
        </is>
      </c>
      <c r="Q512" s="16" t="inlineStr">
        <is>
          <t>Reyes_etal_2016_Table2_snapshot.csv</t>
        </is>
      </c>
      <c r="R512" s="16" t="inlineStr">
        <is>
          <t>https://doi.org/10.1159/000445495</t>
        </is>
      </c>
      <c r="S512" s="16"/>
      <c r="T512" s="16" t="inlineStr">
        <is>
          <t>Collection-scoped taxonomy / source-dependency review remains open; no guessed taxon mapping.</t>
        </is>
      </c>
      <c r="U512" s="16"/>
      <c r="V512" s="16"/>
      <c r="W512" s="16"/>
      <c r="X512" s="16"/>
      <c r="Y512" s="16"/>
      <c r="Z512" s="16"/>
      <c r="AA512" s="16" t="inlineStr">
        <is>
          <t>Modified rapid Golgi stain; 120-μm sections; Neurolucida 3-D tracing; one adult female manatee; predominantly layers III/V. Selected neurons are not unbiased population counts.</t>
        </is>
      </c>
      <c r="AB512" s="16" t="inlineStr">
        <is>
          <t>Soma μm2; dendritic length μm; segments/spines n; spine density n/μm; mean and SD separate.</t>
        </is>
      </c>
      <c r="AC512" s="16"/>
      <c r="AD512" s="16"/>
      <c r="AE512" s="16" t="inlineStr">
        <is>
          <t>primary</t>
        </is>
      </c>
      <c r="AF512" s="16"/>
      <c r="AG512" s="16" t="inlineStr">
        <is>
          <t>Owner review and selective paste-values; regenerate file list and verify encoded authority before clean R build/validate.</t>
        </is>
      </c>
      <c r="AH512" s="16" t="inlineStr">
        <is>
          <t>14102026_AAdS</t>
        </is>
      </c>
    </row>
    <row r="513" ht="15" customHeight="1">
      <c r="A513" s="16" t="inlineStr">
        <is>
          <t>Reyes, L. D., Harland, T., Reep, R. L., Sherwood, C. C., &amp; Jacobs, B. (2016). Golgi Analysis of Neuron Morphology in the Presumptive Somatosensory Cortex and Visual Cortex of the Florida Manatee (Trichechus manatus latirostris). Brain, Behavior and Evolution, 87, 105–116. https://doi.org/10.1159/000445495</t>
        </is>
      </c>
      <c r="B513" s="16"/>
      <c r="C513" s="16"/>
      <c r="D513" s="16" t="inlineStr">
        <is>
          <t>Table 3</t>
        </is>
      </c>
      <c r="E513" s="10" t="str">
        <f>SUBSTITUTE(SUBSTITUTE(_xlfn.TEXTBEFORE(A513,","), "-", ""), " ", "")</f>
        <v>Reyes</v>
      </c>
      <c r="F513" s="10"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10" t="str">
        <f>_xlfn.TEXTBEFORE(_xlfn.TEXTAFTER(A513, "("), ")")</f>
        <v>2016</v>
      </c>
      <c r="H513" s="10" t="str">
        <f>E513 &amp; IF(F513&lt;&gt;"", "_" &amp; SUBSTITUTE(F513," ",""), "_") &amp; IF(G513&lt;&gt;"", "_" &amp; G513, "_") &amp; IF(B513&lt;&gt;"", "_" &amp; B513, "")</f>
        <v>Reyes_etal_2016</v>
      </c>
      <c r="I513" s="10" t="str">
        <f>_xlfn.LET(
_xlpm.doi,IF(C513&lt;&gt;"",C513,_xlfn.TEXTAFTER(A513,"https://doi.org/")),
SUBSTITUTE(
SUBSTITUTE(
SUBSTITUTE(
SUBSTITUTE(
_xlpm.doi,
"/","%2F"),
":","%3A"),
"&lt;","%3C"),
"&gt;","%3E")
)</f>
        <v>10.1159%2F000445495</v>
      </c>
      <c r="J513" s="10" t="str">
        <f>TRIM(_xlfn.TEXTJOIN("_",FALSE(),H513,(SUBSTITUTE(SUBSTITUTE(D513," ",""), "_", ""))))</f>
        <v>Reyes_etal_2016_Table3</v>
      </c>
      <c r="K513" s="10" t="str">
        <f>I513 &amp; "_" &amp; SUBSTITUTE(SUBSTITUTE(SUBSTITUTE(D513,CHAR(160),"")," ",""),"_","")</f>
        <v>10.1159%2F000445495_Table3</v>
      </c>
      <c r="L513" s="10" t="str">
        <f t="array" ref="L513">IFERROR(INDEX(AUTO_Public_TSV_FileList!$A$1:$A$1000,MATCH(TRUE(),EXACT(K513,IFERROR(_xlfn.TEXTBEFORE(AUTO_Public_TSV_FileList!$A$1:$A$1000,".tsv"),"")),0)),"notfound")</f>
        <v>10.1159%2F000445495_Table3.tsv</v>
      </c>
      <c r="M513" s="16" t="inlineStr">
        <is>
          <t>Table 3. Quantitative measures of basilar dendrites of typical pyramidal neurons in the cortex of the Florida manatee, the African elephant, and the rock hyrax</t>
        </is>
      </c>
      <c r="N513" s="16" t="inlineStr">
        <is>
          <t>PDF table (flat frozen CSV snapshot)</t>
        </is>
      </c>
      <c r="O513" s="16" t="inlineStr">
        <is>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is>
      </c>
      <c r="P513" s="16" t="inlineStr">
        <is>
          <t>PREPARED (provisional CSV; owner registration / public TSV / R validation pending)</t>
        </is>
      </c>
      <c r="Q513" s="16" t="inlineStr">
        <is>
          <t>Reyes_etal_2016_Table3_snapshot.csv</t>
        </is>
      </c>
      <c r="R513" s="16" t="inlineStr">
        <is>
          <t>https://doi.org/10.1159/000445495</t>
        </is>
      </c>
      <c r="S513" s="16"/>
      <c r="T513" s="16" t="inlineStr">
        <is>
          <t>Collection-scoped taxonomy / source-dependency review remains open; no guessed taxon mapping.</t>
        </is>
      </c>
      <c r="U513" s="16"/>
      <c r="V513" s="16"/>
      <c r="W513" s="16"/>
      <c r="X513" s="16"/>
      <c r="Y513" s="16"/>
      <c r="Z513" s="16"/>
      <c r="AA513" s="16" t="inlineStr">
        <is>
          <t>Modified rapid Golgi stain; 120-μm sections; Neurolucida 3-D tracing; one adult female manatee; predominantly layers III/V. Selected neurons are not unbiased population counts.</t>
        </is>
      </c>
      <c r="AB513" s="16" t="inlineStr">
        <is>
          <t>Soma μm2; dendritic length μm; segments/spines n; spine density n/μm; mean and SD separate.</t>
        </is>
      </c>
      <c r="AC513" s="16"/>
      <c r="AD513" s="16"/>
      <c r="AE513" s="16" t="inlineStr">
        <is>
          <t>both</t>
        </is>
      </c>
      <c r="AF513" s="16"/>
      <c r="AG513" s="16" t="inlineStr">
        <is>
          <t>Owner review and selective paste-values; regenerate file list and verify encoded authority before clean R build/validate.</t>
        </is>
      </c>
      <c r="AH513" s="16" t="inlineStr">
        <is>
          <t>14102026_AAdS</t>
        </is>
      </c>
    </row>
    <row r="514" ht="15" customHeight="1">
      <c r="A514" s="15" t="inlineStr">
        <is>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is>
      </c>
      <c r="B514" s="19"/>
      <c r="C514" s="19"/>
      <c r="D514" s="15" t="inlineStr">
        <is>
          <t>Table 1</t>
        </is>
      </c>
      <c r="E514" s="10" t="str">
        <f>SUBSTITUTE(SUBSTITUTE(_xlfn.TEXTBEFORE(A514,","), "-", ""), " ", "")</f>
        <v>Ribeiro</v>
      </c>
      <c r="F514" s="10"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10" t="str">
        <f>_xlfn.TEXTBEFORE(_xlfn.TEXTAFTER(A514, "("), ")")</f>
        <v>2013</v>
      </c>
      <c r="H514" s="10" t="str">
        <f>E514 &amp; IF(F514&lt;&gt;"", "_" &amp; SUBSTITUTE(F514," ",""), "_") &amp; IF(G514&lt;&gt;"", "_" &amp; G514, "_") &amp; IF(B514&lt;&gt;"", "_" &amp; B514, "")</f>
        <v>Ribeiro_etal_2013</v>
      </c>
      <c r="I514" s="10" t="str">
        <f>_xlfn.LET(
_xlpm.doi,IF(C514&lt;&gt;"",C514,_xlfn.TEXTAFTER(A514,"https://doi.org/")),
SUBSTITUTE(
SUBSTITUTE(
SUBSTITUTE(
SUBSTITUTE(
_xlpm.doi,
"/","%2F"),
":","%3A"),
"&lt;","%3C"),
"&gt;","%3E")
)</f>
        <v>10.3389%2Ffnana.2013.00028</v>
      </c>
      <c r="J514" s="10" t="str">
        <f>TRIM(_xlfn.TEXTJOIN("_",FALSE(),H514,(SUBSTITUTE(SUBSTITUTE(D514," ",""), "_", ""))))</f>
        <v>Ribeiro_etal_2013_Table1</v>
      </c>
      <c r="K514" s="10" t="str">
        <f>I514 &amp; "_" &amp; SUBSTITUTE(SUBSTITUTE(SUBSTITUTE(D514,CHAR(160),"")," ",""),"_","")</f>
        <v>10.3389%2Ffnana.2013.00028_Table1</v>
      </c>
      <c r="L514" s="10" t="str">
        <f t="array" ref="L514">IFERROR(INDEX(AUTO_Public_TSV_FileList!$A$1:$A$1000,MATCH(TRUE(),EXACT(K514,IFERROR(_xlfn.TEXTBEFORE(AUTO_Public_TSV_FileList!$A$1:$A$1000,".tsv"),"")),0)),"notfound")</f>
        <v>10.3389%2Ffnana.2013.00028_Table1.tsv</v>
      </c>
      <c r="M514" s="19"/>
      <c r="N514" s="15" t="inlineStr">
        <is>
          <t>table</t>
        </is>
      </c>
      <c r="O514" s="19"/>
      <c r="P514" s="15" t="inlineStr">
        <is>
          <t>FINISHED</t>
        </is>
      </c>
      <c r="Q514" s="15"/>
      <c r="R514" s="19"/>
      <c r="S514" s="19"/>
      <c r="T514" s="19"/>
      <c r="U514" s="19"/>
      <c r="V514" s="19"/>
      <c r="W514" s="15" t="inlineStr">
        <is>
          <t>Humans</t>
        </is>
      </c>
      <c r="X514" s="15" t="inlineStr">
        <is>
          <t>regional neuronal and other-cell density in human cerebral cortex</t>
        </is>
      </c>
      <c r="Y514" s="19"/>
      <c r="Z514" s="19"/>
      <c r="AA514" s="19"/>
      <c r="AB514" s="15" t="inlineStr">
        <is>
          <t>cell density (regional cortex)</t>
        </is>
      </c>
      <c r="AC514" s="15" t="inlineStr">
        <is>
          <t>HH</t>
        </is>
      </c>
      <c r="AD514" s="19"/>
      <c r="AE514" s="15" t="inlineStr">
        <is>
          <t>primary</t>
        </is>
      </c>
      <c r="AF514" s="15"/>
      <c r="AG514" s="15" t="inlineStr">
        <is>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is>
      </c>
    </row>
    <row r="515" ht="15" customHeight="1">
      <c r="A515" t="inlineStr">
        <is>
          <t>Ricklefs, R. E. (2010). Life-history connections to rates of aging in terrestrial vertebrates. Proceedings of the National Academy of Sciences, 107(22), 10314–10319. https://doi.org/10.1073/pnas.1005862107</t>
        </is>
      </c>
      <c r="D515" t="inlineStr">
        <is>
          <t>Appendix 4</t>
        </is>
      </c>
      <c r="E515" s="2" t="str">
        <f>SUBSTITUTE(SUBSTITUTE(_xlfn.TEXTBEFORE(A515,","), "-", ""), " ", "")</f>
        <v>Ricklefs</v>
      </c>
      <c r="F515" s="7"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5" s="7" t="str">
        <f>_xlfn.TEXTBEFORE(_xlfn.TEXTAFTER(A515, "("), ")")</f>
        <v>2010</v>
      </c>
      <c r="H515" s="2" t="str">
        <f>E515 &amp; IF(F515&lt;&gt;"", "_" &amp; SUBSTITUTE(F515," ",""), "_") &amp; IF(G515&lt;&gt;"", "_" &amp; G515, "_") &amp; IF(B515&lt;&gt;"", "_" &amp; B515, "")</f>
        <v>Ricklefs__2010</v>
      </c>
      <c r="I515" s="2" t="str">
        <f>_xlfn.LET(_xlpm.doi,IF(C515&lt;&gt;"",C515,_xlfn.TEXTAFTER(A515,"https://doi.org/")),SUBSTITUTE(SUBSTITUTE(SUBSTITUTE(SUBSTITUTE(_xlpm.doi,"/","%2F"),":","%3A"),"&lt;","%3C"),"&gt;","%3E"))</f>
        <v>10.1073%2Fpnas.1005862107</v>
      </c>
      <c r="J515" s="2" t="str">
        <f>TRIM(_xlfn.TEXTJOIN("_",FALSE(),H515,(SUBSTITUTE(SUBSTITUTE(D515," ",""), "_", ""))))</f>
        <v>Ricklefs__2010_Appendix4</v>
      </c>
      <c r="K515" s="7" t="str">
        <f>I515 &amp; "_" &amp; SUBSTITUTE(SUBSTITUTE(SUBSTITUTE(D515,CHAR(160),"")," ",""),"_","")</f>
        <v>10.1073%2Fpnas.1005862107_Appendix4</v>
      </c>
      <c r="L515" s="7" t="str">
        <f t="array" ref="L515">IFERROR(INDEX(AUTO_Public_TSV_FileList!$A$1:$A$1000,MATCH(TRUE(),EXACT(K515,IFERROR(_xlfn.TEXTBEFORE(AUTO_Public_TSV_FileList!$A$1:$A$1000,".tsv"),"")),0)),"notfound")</f>
        <v>10.1073%2Fpnas.1005862107_Appendix4.tsv</v>
      </c>
      <c r="M515" t="inlineStr">
        <is>
          <t>SI Appendix 4. Parameters of Weibull functions fitted to survivorship (rate of actuarial aging, omega)</t>
        </is>
      </c>
      <c r="N515" t="inlineStr">
        <is>
          <t>journal supplementary PDF (born-digital text layer), SI pp. 5-17</t>
        </is>
      </c>
      <c r="O515" t="inlineStr">
        <is>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is>
      </c>
      <c r="P515" t="inlineStr">
        <is>
          <t>BUILT (R run 2026-10-23; public TSV written; RA side-by-side check pending)</t>
        </is>
      </c>
      <c r="Q515" t="inlineStr">
        <is>
          <t>Ricklefs__2010_Appendix4_snapshot.csv</t>
        </is>
      </c>
      <c r="R515" t="inlineStr">
        <is>
          <t>https://pmc.ncbi.nlm.nih.gov/articles/PMC2890449/</t>
        </is>
      </c>
      <c r="T515" t="inlineStr">
        <is>
          <t>Many misspelt binomials in mammals (taxonomy_check.csv); bird orders follow Sibley-Ahlquist</t>
        </is>
      </c>
      <c r="V515" t="inlineStr">
        <is>
          <t>aging / mortality</t>
        </is>
      </c>
      <c r="W515" t="inlineStr">
        <is>
          <t>terrestrial vertebrates: 230 mammal, 206 bird, 51 reptile/amphibian population rows</t>
        </is>
      </c>
      <c r="X515" t="inlineStr">
        <is>
          <t>rate of actuarial aging (omega); initial mortality m0; Weibull a, b</t>
        </is>
      </c>
      <c r="Y515" t="inlineStr">
        <is>
          <t>number of deaths; oldest age at death</t>
        </is>
      </c>
      <c r="Z515" t="inlineStr">
        <is>
          <t>zoo records (ISIS) and wild population studies</t>
        </is>
      </c>
      <c r="AA515" t="inlineStr">
        <is>
          <t>Weibull mortality model fitted to ages at death (zoo); literature fits (wild)</t>
        </is>
      </c>
      <c r="AB515" t="inlineStr">
        <is>
          <t>rate (per year); parameter; count; time (years)</t>
        </is>
      </c>
      <c r="AE515" t="inlineStr">
        <is>
          <t>both</t>
        </is>
      </c>
      <c r="AF515" t="inlineStr">
        <is>
          <t>wild rows: Ricklefs 1998, Lynch &amp; Fagan 2009, Loison et al. 1999; zoo rows: ISIS data analysed by the author</t>
        </is>
      </c>
      <c r="AG515" t="inlineStr">
        <is>
          <t>Unique ageing-rate table; one row per population fit, pool before species use</t>
        </is>
      </c>
    </row>
    <row r="516" ht="15" customHeight="1">
      <c r="A516" t="inlineStr">
        <is>
          <t>Ricklefs, R. E. (2010). Life-history connections to rates of aging in terrestrial vertebrates. Proceedings of the National Academy of Sciences, 107(22), 10314–10319. https://doi.org/10.1073/pnas.1005862107</t>
        </is>
      </c>
      <c r="D516" t="inlineStr">
        <is>
          <t>Appendix 6</t>
        </is>
      </c>
      <c r="E516" s="2" t="str">
        <f>SUBSTITUTE(SUBSTITUTE(_xlfn.TEXTBEFORE(A516,","), "-", ""), " ", "")</f>
        <v>Ricklefs</v>
      </c>
      <c r="F516" s="7"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6" s="7" t="str">
        <f>_xlfn.TEXTBEFORE(_xlfn.TEXTAFTER(A516, "("), ")")</f>
        <v>2010</v>
      </c>
      <c r="H516" s="2" t="str">
        <f>E516 &amp; IF(F516&lt;&gt;"", "_" &amp; SUBSTITUTE(F516," ",""), "_") &amp; IF(G516&lt;&gt;"", "_" &amp; G516, "_") &amp; IF(B516&lt;&gt;"", "_" &amp; B516, "")</f>
        <v>Ricklefs__2010</v>
      </c>
      <c r="I516" s="2" t="str">
        <f>_xlfn.LET(_xlpm.doi,IF(C516&lt;&gt;"",C516,_xlfn.TEXTAFTER(A516,"https://doi.org/")),SUBSTITUTE(SUBSTITUTE(SUBSTITUTE(SUBSTITUTE(_xlpm.doi,"/","%2F"),":","%3A"),"&lt;","%3C"),"&gt;","%3E"))</f>
        <v>10.1073%2Fpnas.1005862107</v>
      </c>
      <c r="J516" s="2" t="str">
        <f>TRIM(_xlfn.TEXTJOIN("_",FALSE(),H516,(SUBSTITUTE(SUBSTITUTE(D516," ",""), "_", ""))))</f>
        <v>Ricklefs__2010_Appendix6</v>
      </c>
      <c r="K516" s="7" t="str">
        <f>I516 &amp; "_" &amp; SUBSTITUTE(SUBSTITUTE(SUBSTITUTE(D516,CHAR(160),"")," ",""),"_","")</f>
        <v>10.1073%2Fpnas.1005862107_Appendix6</v>
      </c>
      <c r="L516" s="7" t="str">
        <f t="array" ref="L516">IFERROR(INDEX(AUTO_Public_TSV_FileList!$A$1:$A$1000,MATCH(TRUE(),EXACT(K516,IFERROR(_xlfn.TEXTBEFORE(AUTO_Public_TSV_FileList!$A$1:$A$1000,".tsv"),"")),0)),"notfound")</f>
        <v>10.1073%2Fpnas.1005862107_Appendix6.tsv</v>
      </c>
      <c r="M516" t="inlineStr">
        <is>
          <t>SI Appendix 6. Life history variables for the species used in this analysis (data from AnAge)</t>
        </is>
      </c>
      <c r="N516" t="inlineStr">
        <is>
          <t>journal supplementary PDF (born-digital text layer), SI pp. 19-29</t>
        </is>
      </c>
      <c r="O516" t="inlineStr">
        <is>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is>
      </c>
      <c r="P516" t="inlineStr">
        <is>
          <t>BUILT (R run 2026-10-23; public TSV written; RA side-by-side check pending)</t>
        </is>
      </c>
      <c r="Q516" t="inlineStr">
        <is>
          <t>Ricklefs__2010_Appendix6_snapshot.csv</t>
        </is>
      </c>
      <c r="R516" t="inlineStr">
        <is>
          <t>https://pmc.ncbi.nlm.nih.gov/articles/PMC2890449/</t>
        </is>
      </c>
      <c r="V516" t="inlineStr">
        <is>
          <t>life history</t>
        </is>
      </c>
      <c r="W516" t="inlineStr">
        <is>
          <t>terrestrial vertebrates: 168 mammals, 206 birds, 51 reptiles/amphibians</t>
        </is>
      </c>
      <c r="X516" t="inlineStr">
        <is>
          <t>female age at maturity; adult mass; neonate/weaning/egg mass; gestation; weaning; incubation; growth rate k; maximum longevity</t>
        </is>
      </c>
      <c r="AA516" t="inlineStr">
        <is>
          <t>compiled from AnAge</t>
        </is>
      </c>
      <c r="AB516" t="inlineStr">
        <is>
          <t>time (d, y); mass (g); length (m); rate (1/d)</t>
        </is>
      </c>
      <c r="AE516" t="inlineStr">
        <is>
          <t>secondary</t>
        </is>
      </c>
      <c r="AF516" t="inlineStr">
        <is>
          <t>AnAge (de Magalhães &amp; Costa 2009) c. 2009-2010</t>
        </is>
      </c>
      <c r="AG516" t="inlineStr">
        <is>
          <t>Dated AnAge extract: compare with deMagalhães_etal_2024 Build 15; do not merge as primary</t>
        </is>
      </c>
    </row>
    <row r="517" ht="15" customHeight="1">
      <c r="A517" s="21" t="inlineStr">
        <is>
          <t>Ridgway, S. (1990). The Central Nervous System of the Bottlenose Dolphin. https://doi.org/10.1016/B978-0-12-440280-5.50008-1</t>
        </is>
      </c>
      <c r="B517" s="21"/>
      <c r="C517" s="21"/>
      <c r="D517" s="21" t="inlineStr">
        <is>
          <t>Table 1</t>
        </is>
      </c>
      <c r="E517" s="11" t="str">
        <f>SUBSTITUTE(SUBSTITUTE(_xlfn.TEXTBEFORE(A517,","), "-", ""), " ", "")</f>
        <v>Ridgway</v>
      </c>
      <c r="F517" s="10"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7" s="10" t="str">
        <f>_xlfn.TEXTBEFORE(_xlfn.TEXTAFTER(A517, "("), ")")</f>
        <v>1990</v>
      </c>
      <c r="H517" s="11" t="str">
        <f>E517 &amp; IF(F517&lt;&gt;"", "_" &amp; SUBSTITUTE(F517," ",""), "_") &amp; IF(G517&lt;&gt;"", "_" &amp; G517, "_") &amp; IF(B517&lt;&gt;"", "_" &amp; B517, "")</f>
        <v>Ridgway__1990</v>
      </c>
      <c r="I517" s="11" t="str">
        <f>_xlfn.LET(_xlpm.doi,IF(C517&lt;&gt;"",C517,_xlfn.TEXTAFTER(A517,"https://doi.org/")),SUBSTITUTE(SUBSTITUTE(SUBSTITUTE(SUBSTITUTE(_xlpm.doi,"/","%2F"),":","%3A"),"&lt;","%3C"),"&gt;","%3E"))</f>
        <v>10.1016%2FB978-0-12-440280-5.50008-1</v>
      </c>
      <c r="J517" s="11" t="str">
        <f>TRIM(_xlfn.TEXTJOIN("_",FALSE(),H517,(SUBSTITUTE(SUBSTITUTE(D517," ",""), "_", ""))))</f>
        <v>Ridgway__1990_Table1</v>
      </c>
      <c r="K517" s="11" t="str">
        <f>I517 &amp; "_" &amp; SUBSTITUTE(SUBSTITUTE(SUBSTITUTE(D517,CHAR(160),"")," ",""),"_","")</f>
        <v>10.1016%2FB978-0-12-440280-5.50008-1_Table1</v>
      </c>
      <c r="L517" s="10" t="str">
        <f t="array" ref="L517">IFERROR(INDEX(AUTO_Public_TSV_FileList!$A$1:$A$1000,MATCH(TRUE(),EXACT(K517,IFERROR(_xlfn.TEXTBEFORE(AUTO_Public_TSV_FileList!$A$1:$A$1000,".tsv"),"")),0)),"notfound")</f>
        <v>10.1016%2FB978-0-12-440280-5.50008-1_Table1.tsv</v>
      </c>
      <c r="M517" s="21" t="inlineStr">
        <is>
          <t>Brain and body size of adult bottlenose dolphins</t>
        </is>
      </c>
      <c r="N517" s="15" t="inlineStr">
        <is>
          <t>table</t>
        </is>
      </c>
      <c r="O517" s="19" t="inlineStr">
        <is>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is>
      </c>
      <c r="P517" s="21" t="inlineStr">
        <is>
          <t>FINISHED</t>
        </is>
      </c>
      <c r="Q517" s="21"/>
      <c r="R517" s="21"/>
      <c r="S517" s="21" t="inlineStr">
        <is>
          <t>Source paper and target table identified</t>
        </is>
      </c>
      <c r="T517" s="21" t="inlineStr">
        <is>
          <t>Verify taxonomy, specimen metadata, units, and structure ontology before merge</t>
        </is>
      </c>
      <c r="U517" s="21"/>
      <c r="V517" s="21" t="inlineStr">
        <is>
          <t>comparative brain volumes</t>
        </is>
      </c>
      <c r="W517" s="21" t="inlineStr">
        <is>
          <t>Cetacea</t>
        </is>
      </c>
      <c r="X517" s="21" t="inlineStr">
        <is>
          <t>Body length; body mass; whole brain mass</t>
        </is>
      </c>
      <c r="Y517" s="21"/>
      <c r="Z517" s="21"/>
      <c r="AA517" s="21" t="inlineStr">
        <is>
          <t>Compilation of published and unpublished adult dolphin measurements</t>
        </is>
      </c>
      <c r="AB517" s="21" t="inlineStr">
        <is>
          <t>brain mass (kg); body mass (kg); body length (cm)</t>
        </is>
      </c>
      <c r="AC517" s="19"/>
      <c r="AD517" s="21"/>
      <c r="AE517" s="15" t="inlineStr">
        <is>
          <t>both</t>
        </is>
      </c>
      <c r="AF517" s="15"/>
      <c r="AG517" s="21" t="inlineStr">
        <is>
          <t>Useful for whole-brain data only, not a direct source of Stephan-style regional volumes. Stephan-compatible brain structure volumes</t>
        </is>
      </c>
    </row>
    <row r="518" ht="15" customHeight="1">
      <c r="A518" s="15" t="inlineStr">
        <is>
          <t>Rilling, J. K., &amp; Insel, T. R. (1998). Evolution of the cerebellum in primates: differences in relative volume among monkeys, apes and humans. Brain Behav Evol, 52(6), 308-314. https://doi.org/10.1159/000006575</t>
        </is>
      </c>
      <c r="B518" s="19"/>
      <c r="C518" s="19"/>
      <c r="D518" s="15" t="inlineStr">
        <is>
          <t>Table 1</t>
        </is>
      </c>
      <c r="E518" s="10" t="str">
        <f>SUBSTITUTE(SUBSTITUTE(_xlfn.TEXTBEFORE(A518,","), "-", ""), " ", "")</f>
        <v>Rilling</v>
      </c>
      <c r="F518" s="10"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8" s="10" t="str">
        <f>_xlfn.TEXTBEFORE(_xlfn.TEXTAFTER(A518, "("), ")")</f>
        <v>1998</v>
      </c>
      <c r="H518" s="10" t="str">
        <f>E518 &amp; IF(F518&lt;&gt;"", "_" &amp; SUBSTITUTE(F518," ",""), "_") &amp; IF(G518&lt;&gt;"", "_" &amp; G518, "_") &amp; IF(B518&lt;&gt;"", "_" &amp; B518, "")</f>
        <v>Rilling__1998</v>
      </c>
      <c r="I518" s="10" t="str">
        <f>_xlfn.LET(
_xlpm.doi,IF(C518&lt;&gt;"",C518,_xlfn.TEXTAFTER(A518,"https://doi.org/")),
SUBSTITUTE(
SUBSTITUTE(
SUBSTITUTE(
SUBSTITUTE(
_xlpm.doi,
"/","%2F"),
":","%3A"),
"&lt;","%3C"),
"&gt;","%3E")
)</f>
        <v>10.1159%2F000006575</v>
      </c>
      <c r="J518" s="10" t="str">
        <f>TRIM(_xlfn.TEXTJOIN("_",FALSE(),H518,(SUBSTITUTE(SUBSTITUTE(D518," ",""), "_", ""))))</f>
        <v>Rilling__1998_Table1</v>
      </c>
      <c r="K518" s="10" t="str">
        <f>I518 &amp; "_" &amp; SUBSTITUTE(SUBSTITUTE(SUBSTITUTE(D518,CHAR(160),"")," ",""),"_","")</f>
        <v>10.1159%2F000006575_Table1</v>
      </c>
      <c r="L518" s="10" t="str">
        <f t="array" ref="L518">IFERROR(INDEX(AUTO_Public_TSV_FileList!$A$1:$A$1000,MATCH(TRUE(),EXACT(K518,IFERROR(_xlfn.TEXTBEFORE(AUTO_Public_TSV_FileList!$A$1:$A$1000,".tsv"),"")),0)),"notfound")</f>
        <v>10.1159%2F000006575_Table1.tsv</v>
      </c>
      <c r="M518" s="15" t="inlineStr">
        <is>
          <t>Table 1. Mean (±ÛSEM) body weight, brain volume and cerebellum volume in 11 haplorhine primate species</t>
        </is>
      </c>
      <c r="N518" s="19"/>
      <c r="O518" s="19"/>
      <c r="P518" s="15" t="inlineStr">
        <is>
          <t>FINISHED</t>
        </is>
      </c>
      <c r="Q518" s="19"/>
      <c r="R518" s="19"/>
      <c r="S518" s="19"/>
      <c r="T518" s="19"/>
      <c r="U518" s="19"/>
      <c r="V518" s="19"/>
      <c r="W518" s="19" t="inlineStr">
        <is>
          <t>haplorhines</t>
        </is>
      </c>
      <c r="X518" s="19"/>
      <c r="Y518" s="19"/>
      <c r="Z518" s="15" t="inlineStr">
        <is>
          <t>MRI</t>
        </is>
      </c>
      <c r="AA518" s="15" t="inlineStr">
        <is>
          <t>volumetry</t>
        </is>
      </c>
      <c r="AB518" s="15" t="inlineStr">
        <is>
          <t>volume</t>
        </is>
      </c>
      <c r="AC518" s="15" t="inlineStr">
        <is>
          <t>Rilling</t>
        </is>
      </c>
      <c r="AD518" s="15" t="inlineStr">
        <is>
          <t>Rilling-Semendeferi MRIs</t>
        </is>
      </c>
      <c r="AE518" s="15" t="inlineStr">
        <is>
          <t>primary</t>
        </is>
      </c>
      <c r="AF518" s="15"/>
      <c r="AG518" s="19"/>
    </row>
    <row r="519" ht="15" customHeight="1">
      <c r="A519" s="15" t="inlineStr">
        <is>
          <t>Rilling, J. K., &amp; Insel, T. R. (1999). The primate neocortex in comparative perspective using magnetic resonance imaging. J Hum Evol, 37(2), 191-223. https://doi.org/10.1006/jhev.1999.0313</t>
        </is>
      </c>
      <c r="B519" s="19"/>
      <c r="C519" s="19"/>
      <c r="D519" s="15" t="inlineStr">
        <is>
          <t>Table 1</t>
        </is>
      </c>
      <c r="E519" s="10" t="str">
        <f>SUBSTITUTE(SUBSTITUTE(_xlfn.TEXTBEFORE(A519,","), "-", ""), " ", "")</f>
        <v>Rilling</v>
      </c>
      <c r="F519" s="10"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9" s="10" t="str">
        <f>_xlfn.TEXTBEFORE(_xlfn.TEXTAFTER(A519, "("), ")")</f>
        <v>1999</v>
      </c>
      <c r="H519" s="10" t="str">
        <f>E519 &amp; IF(F519&lt;&gt;"", "_" &amp; SUBSTITUTE(F519," ",""), "_") &amp; IF(G519&lt;&gt;"", "_" &amp; G519, "_") &amp; IF(B519&lt;&gt;"", "_" &amp; B519, "")</f>
        <v>Rilling__1999</v>
      </c>
      <c r="I519" s="10" t="str">
        <f>_xlfn.LET(
_xlpm.doi,IF(C519&lt;&gt;"",C519,_xlfn.TEXTAFTER(A519,"https://doi.org/")),
SUBSTITUTE(
SUBSTITUTE(
SUBSTITUTE(
SUBSTITUTE(
_xlpm.doi,
"/","%2F"),
":","%3A"),
"&lt;","%3C"),
"&gt;","%3E")
)</f>
        <v>10.1006%2Fjhev.1999.0313</v>
      </c>
      <c r="J519" s="10" t="str">
        <f>TRIM(_xlfn.TEXTJOIN("_",FALSE(),H519,(SUBSTITUTE(SUBSTITUTE(D519," ",""), "_", ""))))</f>
        <v>Rilling__1999_Table1</v>
      </c>
      <c r="K519" s="10" t="str">
        <f>I519 &amp; "_" &amp; SUBSTITUTE(SUBSTITUTE(SUBSTITUTE(D519,CHAR(160),"")," ",""),"_","")</f>
        <v>10.1006%2Fjhev.1999.0313_Table1</v>
      </c>
      <c r="L519" s="10" t="str">
        <f t="array" ref="L519">IFERROR(INDEX(AUTO_Public_TSV_FileList!$A$1:$A$1000,MATCH(TRUE(),EXACT(K519,IFERROR(_xlfn.TEXTBEFORE(AUTO_Public_TSV_FileList!$A$1:$A$1000,".tsv"),"")),0)),"notfound")</f>
        <v>10.1006%2Fjhev.1999.0313_Table1.tsv</v>
      </c>
      <c r="M519" s="15" t="inlineStr">
        <is>
          <t>Table 1 Data on 11 species of anthropoid primates</t>
        </is>
      </c>
      <c r="N519" s="19"/>
      <c r="O519" s="19"/>
      <c r="P519" s="15" t="inlineStr">
        <is>
          <t>FINISHED</t>
        </is>
      </c>
      <c r="Q519" s="19"/>
      <c r="R519" s="19"/>
      <c r="S519" s="19"/>
      <c r="T519" s="19"/>
      <c r="U519" s="19"/>
      <c r="V519" s="19"/>
      <c r="W519" s="19" t="inlineStr">
        <is>
          <t>anthropoid primates</t>
        </is>
      </c>
      <c r="X519" s="19"/>
      <c r="Y519" s="19"/>
      <c r="Z519" s="15" t="inlineStr">
        <is>
          <t>MRI</t>
        </is>
      </c>
      <c r="AA519" s="15" t="inlineStr">
        <is>
          <t>volumetry</t>
        </is>
      </c>
      <c r="AB519" s="15" t="inlineStr">
        <is>
          <t>volume</t>
        </is>
      </c>
      <c r="AC519" s="15" t="inlineStr">
        <is>
          <t>Rilling</t>
        </is>
      </c>
      <c r="AD519" s="15" t="inlineStr">
        <is>
          <t>Rilling-Semendeferi MRIs</t>
        </is>
      </c>
      <c r="AE519" s="15" t="inlineStr">
        <is>
          <t>primary</t>
        </is>
      </c>
      <c r="AF519" s="15"/>
      <c r="AG519" s="19"/>
    </row>
    <row r="520" ht="15" customHeight="1">
      <c r="A520" s="18" t="inlineStr">
        <is>
          <t>Rivara, C.-B., Sherwood, C. C., Bouras, C., &amp; Hof, P. R. (2003). Stereologic characterization and spatial distribution patterns of Betz cells in the human primary motor cortex. Anatomical Record Part A, 270A(2), 137–151. https://doi.org/10.1002/ar.a.10015</t>
        </is>
      </c>
      <c r="B520" s="18"/>
      <c r="C520" s="18"/>
      <c r="D520" s="18" t="inlineStr">
        <is>
          <t>Betz cells</t>
        </is>
      </c>
      <c r="E520" s="11" t="str">
        <f>SUBSTITUTE(SUBSTITUTE(_xlfn.TEXTBEFORE(A520,","), "-", ""), " ", "")</f>
        <v>Rivara</v>
      </c>
      <c r="F520" s="10"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10" t="str">
        <f>_xlfn.TEXTBEFORE(_xlfn.TEXTAFTER(A520, "("), ")")</f>
        <v>2003</v>
      </c>
      <c r="H520" s="11" t="str">
        <f>E520 &amp; IF(F520&lt;&gt;"", "_" &amp; SUBSTITUTE(F520," ",""), "_") &amp; IF(G520&lt;&gt;"", "_" &amp; G520, "_") &amp; IF(B520&lt;&gt;"", "_" &amp; B520, "")</f>
        <v>Rivara_etal_2003</v>
      </c>
      <c r="I520" s="11" t="str">
        <f>_xlfn.LET(_xlpm.doi,IF(C520&lt;&gt;"",C520,_xlfn.TEXTAFTER(A520,"https://doi.org/")),SUBSTITUTE(SUBSTITUTE(SUBSTITUTE(SUBSTITUTE(_xlpm.doi,"/","%2F"),":","%3A"),"&lt;","%3C"),"&gt;","%3E"))</f>
        <v>10.1002%2Far.a.10015</v>
      </c>
      <c r="J520" s="11" t="str">
        <f>TRIM(_xlfn.TEXTJOIN("_",FALSE(),H520,(SUBSTITUTE(SUBSTITUTE(D520," ",""), "_", ""))))</f>
        <v>Rivara_etal_2003_Betzcells</v>
      </c>
      <c r="K520" s="10" t="str">
        <f>I520 &amp; "_" &amp; SUBSTITUTE(SUBSTITUTE(SUBSTITUTE(D520,CHAR(160),"")," ",""),"_","")</f>
        <v>10.1002%2Far.a.10015_Betzcells</v>
      </c>
      <c r="L520" s="10" t="str">
        <f t="array" ref="L520">IFERROR(INDEX(AUTO_Public_TSV_FileList!$A$1:$A$1000,MATCH(TRUE(),EXACT(K520,IFERROR(_xlfn.TEXTBEFORE(AUTO_Public_TSV_FileList!$A$1:$A$1000,".tsv"),"")),0)),"notfound")</f>
        <v>notfound</v>
      </c>
      <c r="M520" s="18" t="inlineStr">
        <is>
          <t>Betz and layer Vb pyramidal cell number, volume and spatial distribution in area 4.</t>
        </is>
      </c>
      <c r="N520" s="18" t="inlineStr">
        <is>
          <t>PDF table</t>
        </is>
      </c>
      <c r="O520" s="18" t="inlineStr">
        <is>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is>
      </c>
      <c r="P520" s="18" t="inlineStr">
        <is>
          <t>candidate</t>
        </is>
      </c>
      <c r="Q520" s="18"/>
      <c r="R520" s="18" t="inlineStr">
        <is>
          <t>https://doi.org/10.1002/ar.a.10015</t>
        </is>
      </c>
      <c r="S520" s="18" t="inlineStr">
        <is>
          <t>Citation and DOI confirmed via CrossRef (2026-09-30); not yet built.</t>
        </is>
      </c>
      <c r="T520" s="18" t="inlineStr">
        <is>
          <t>Jacobs 2018 human values may derive from it: resolve, never average.</t>
        </is>
      </c>
      <c r="U520" s="18"/>
      <c r="V520" s="18" t="inlineStr">
        <is>
          <t>corticospinal tract</t>
        </is>
      </c>
      <c r="W520" s="18" t="inlineStr">
        <is>
          <t>6 neurologically normal elderly humans.</t>
        </is>
      </c>
      <c r="X520" s="18" t="inlineStr">
        <is>
          <t>M1 (area 4): Betz &amp; layer Vb pyramidal cell number, soma volume, spatial distribution</t>
        </is>
      </c>
      <c r="Y520" s="18"/>
      <c r="Z520" s="18" t="inlineStr">
        <is>
          <t>histological sections</t>
        </is>
      </c>
      <c r="AA520" s="18" t="inlineStr">
        <is>
          <t>stereology (optical fractionator; nucleator)</t>
        </is>
      </c>
      <c r="AB520" s="18" t="inlineStr">
        <is>
          <t>cell count; soma volume</t>
        </is>
      </c>
      <c r="AC520" s="18" t="inlineStr">
        <is>
          <t>Hof/Sherwood</t>
        </is>
      </c>
      <c r="AD520" s="18" t="inlineStr">
        <is>
          <t>Hof</t>
        </is>
      </c>
      <c r="AE520" s="18" t="inlineStr">
        <is>
          <t>primary</t>
        </is>
      </c>
      <c r="AF520" s="18"/>
      <c r="AG520" s="18" t="inlineStr">
        <is>
          <t>Priority 1. Access: Subscription (Wiley). Suggested home: __merging_cellcounts (regional M1); __merging_cell_morphology. Registry/roadmap status at scouting: Not registered — flagged in your roadmap.</t>
        </is>
      </c>
    </row>
    <row r="521" ht="15" customHeight="1">
      <c r="A521" s="18" t="inlineStr">
        <is>
          <t>Rockel, A. J., Hiorns, R. W., &amp; Powell, T. P. S. (1980). The basic uniformity in structure of the neocortex. Brain, 103(2), 221–244. https://doi.org/10.1093/brain/103.2.221</t>
        </is>
      </c>
      <c r="B521" s="18"/>
      <c r="C521" s="18"/>
      <c r="D521" s="18" t="inlineStr">
        <is>
          <t>TABLE 3</t>
        </is>
      </c>
      <c r="E521" s="11" t="str">
        <f>SUBSTITUTE(SUBSTITUTE(_xlfn.TEXTBEFORE(A521,","), "-", ""), " ", "")</f>
        <v>Rockel</v>
      </c>
      <c r="F521" s="10"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10" t="str">
        <f>_xlfn.TEXTBEFORE(_xlfn.TEXTAFTER(A521, "("), ")")</f>
        <v>1980</v>
      </c>
      <c r="H521" s="11" t="str">
        <f>E521 &amp; IF(F521&lt;&gt;"", "_" &amp; SUBSTITUTE(F521," ",""), "_") &amp; IF(G521&lt;&gt;"", "_" &amp; G521, "_") &amp; IF(B521&lt;&gt;"", "_" &amp; B521, "")</f>
        <v>Rockel_etal_1980</v>
      </c>
      <c r="I521" s="11" t="str">
        <f>_xlfn.LET(_xlpm.doi,IF(C521&lt;&gt;"",C521,_xlfn.TEXTAFTER(A521,"https://doi.org/")),SUBSTITUTE(SUBSTITUTE(SUBSTITUTE(SUBSTITUTE(_xlpm.doi,"/","%2F"),":","%3A"),"&lt;","%3C"),"&gt;","%3E"))</f>
        <v>10.1093%2Fbrain%2F103.2.221</v>
      </c>
      <c r="J521" s="11" t="str">
        <f>TRIM(_xlfn.TEXTJOIN("_",FALSE(),H521,(SUBSTITUTE(SUBSTITUTE(D521," ",""), "_", ""))))</f>
        <v>Rockel_etal_1980_TABLE3</v>
      </c>
      <c r="K521" s="10" t="str">
        <f>I521 &amp; "_" &amp; SUBSTITUTE(SUBSTITUTE(SUBSTITUTE(D521,CHAR(160),"")," ",""),"_","")</f>
        <v>10.1093%2Fbrain%2F103.2.221_TABLE3</v>
      </c>
      <c r="L521" s="10" t="str">
        <f t="array" ref="L521">IFERROR(INDEX(AUTO_Public_TSV_FileList!$A$1:$A$1000,MATCH(TRUE(),EXACT(K521,IFERROR(_xlfn.TEXTBEFORE(AUTO_Public_TSV_FileList!$A$1:$A$1000,".tsv"),"")),0)),"notfound")</f>
        <v>10.1093%2Fbrain%2F103.2.221_TABLE3.tsv</v>
      </c>
      <c r="M521" s="18" t="inlineStr">
        <is>
          <t>TABLE 3. COMPARISON OF CELL COUNTS (neurons per 30-um strip by cortical area and species)</t>
        </is>
      </c>
      <c r="N521" s="18" t="inlineStr">
        <is>
          <t>Printed PDF table; rendered p.226 is legible. OCR damages decimals/letters; AI page-based check, not human visual curation.</t>
        </is>
      </c>
      <c r="O521" s="18" t="inlineStr">
        <is>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is>
      </c>
      <c r="P521" s="18"/>
      <c r="Q521" s="18" t="inlineStr">
        <is>
          <t>Rockel_etal_1980_TABLE3_snapshot.csv</t>
        </is>
      </c>
      <c r="R521" s="18" t="inlineStr">
        <is>
          <t>https://doi.org/10.1093/brain/103.2.221</t>
        </is>
      </c>
      <c r="S521" s="18" t="inlineStr">
        <is>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is>
      </c>
      <c r="T521" s="18" t="inlineStr">
        <is>
          <t>Disputed by Haug 1987 (B04) and replicated by Carlo &amp; Stevens 2013 (B02): keep each as its own team. Collection-specific taxonomy/anatomy, fixation/staining, profile classification and method-comparable routing need owner review.</t>
        </is>
      </c>
      <c r="U521" s="18" t="inlineStr">
        <is>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is>
      </c>
      <c r="V521" s="18" t="inlineStr">
        <is>
          <t>historical cortical neuronal-profile counts</t>
        </is>
      </c>
      <c r="W521" s="18" t="inlineStr">
        <is>
          <t>Mouse; Rat; Cat; Monkey; Man (printed Table 3 labels; collection-specific accepted-name mapping pending)</t>
        </is>
      </c>
      <c r="X521" s="18" t="inlineStr">
        <is>
          <t>Motor, Somato-sensory, Frontal, Temporal, Parietal, Visual: full-depth neuronal-cell-body/nucleolar profile-count means and pooled within-animal SD in original per-prism unit; dependent author mean-of-means retained separately</t>
        </is>
      </c>
      <c r="Y521" s="18" t="inlineStr">
        <is>
          <t>None additionally extracted here; cortical thickness discussed elsewhere, not a Table 3 measurement.</t>
        </is>
      </c>
      <c r="Z521" s="18" t="inlineStr">
        <is>
          <t>Thionine-stained paraffin histological sections; nominal 25-um thickness</t>
        </is>
      </c>
      <c r="AA521" s="18" t="inlineStr">
        <is>
          <t>Historical light-microscopic neuronal-cell-body/nucleolar profile counts in nominal 30-um-width x 25-um-section full-depth traverses; possible glial inclusion, fixation/staining and obliquity effects; not unbiased stereology</t>
        </is>
      </c>
      <c r="AB521" s="18" t="inlineStr">
        <is>
          <t>Historical profile count per full-depth prism; mean and within-animal pooled-variance SD; separate method class, not modern neuron counts or density</t>
        </is>
      </c>
      <c r="AC521" s="18" t="inlineStr">
        <is>
          <t>Rockel/Powell</t>
        </is>
      </c>
      <c r="AD521" s="18"/>
      <c r="AE521" s="18" t="inlineStr">
        <is>
          <t>primary</t>
        </is>
      </c>
      <c r="AF521" s="18"/>
      <c r="AG521" s="18" t="inlineStr">
        <is>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is>
      </c>
    </row>
    <row r="522" ht="15" customHeight="1">
      <c r="A522" s="15" t="inlineStr">
        <is>
          <t>Ruf, T., &amp; Geiser, F. (2015). Daily torpor and hibernation in birds and mammals. Biol Rev Camb Philos Soc, 90(3), 891-926. https://doi.org/10.1111/brv.12137</t>
        </is>
      </c>
      <c r="B522" s="19"/>
      <c r="C522" s="19"/>
      <c r="D522" s="15" t="inlineStr">
        <is>
          <t>Table 1</t>
        </is>
      </c>
      <c r="E522" s="10" t="str">
        <f>SUBSTITUTE(SUBSTITUTE(_xlfn.TEXTBEFORE(A522,","), "-", ""), " ", "")</f>
        <v>Ruf</v>
      </c>
      <c r="F522" s="10"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2" s="10" t="str">
        <f>_xlfn.TEXTBEFORE(_xlfn.TEXTAFTER(A522, "("), ")")</f>
        <v>2015</v>
      </c>
      <c r="H522" s="10" t="str">
        <f>E522 &amp; IF(F522&lt;&gt;"", "_" &amp; SUBSTITUTE(F522," ",""), "_") &amp; IF(G522&lt;&gt;"", "_" &amp; G522, "_") &amp; IF(B522&lt;&gt;"", "_" &amp; B522, "")</f>
        <v>Ruf__2015</v>
      </c>
      <c r="I522" s="10" t="str">
        <f>_xlfn.LET(
_xlpm.doi,IF(C522&lt;&gt;"",C522,_xlfn.TEXTAFTER(A522,"https://doi.org/")),
SUBSTITUTE(
SUBSTITUTE(
SUBSTITUTE(
SUBSTITUTE(
_xlpm.doi,
"/","%2F"),
":","%3A"),
"&lt;","%3C"),
"&gt;","%3E")
)</f>
        <v>10.1111%2Fbrv.12137</v>
      </c>
      <c r="J522" s="10" t="str">
        <f>TRIM(_xlfn.TEXTJOIN("_",FALSE(),H522,(SUBSTITUTE(SUBSTITUTE(D522," ",""), "_", ""))))</f>
        <v>Ruf__2015_Table1</v>
      </c>
      <c r="K522" s="10" t="str">
        <f>I522 &amp; "_" &amp; SUBSTITUTE(SUBSTITUTE(SUBSTITUTE(D522,CHAR(160),"")," ",""),"_","")</f>
        <v>10.1111%2Fbrv.12137_Table1</v>
      </c>
      <c r="L522" s="10" t="str">
        <f t="array" ref="L522">IFERROR(INDEX(AUTO_Public_TSV_FileList!$A$1:$A$1000,MATCH(TRUE(),EXACT(K522,IFERROR(_xlfn.TEXTBEFORE(AUTO_Public_TSV_FileList!$A$1:$A$1000,".tsv"),"")),0)),"notfound")</f>
        <v>10.1111%2Fbrv.12137_Table1.tsv</v>
      </c>
      <c r="M522" s="19"/>
      <c r="N522" s="19"/>
      <c r="O522" s="19"/>
      <c r="P522" s="15" t="inlineStr">
        <is>
          <t>FINISHED</t>
        </is>
      </c>
      <c r="Q522" s="19"/>
      <c r="R522" s="19"/>
      <c r="S522" s="19"/>
      <c r="T522" s="19"/>
      <c r="U522" s="19"/>
      <c r="V522" s="19"/>
      <c r="W522" s="19"/>
      <c r="X522" s="19"/>
      <c r="Y522" s="19"/>
      <c r="Z522" s="19"/>
      <c r="AA522" s="19"/>
      <c r="AB522" s="19"/>
      <c r="AC522" s="19"/>
      <c r="AD522" s="19"/>
      <c r="AE522" s="19"/>
      <c r="AF522" s="19"/>
      <c r="AG522" s="19"/>
    </row>
    <row r="523" ht="15" customHeight="1">
      <c r="A523" t="inlineStr">
        <is>
          <t>Sacher, G. A., &amp; Staffeldt, E. F. (1974). Relation of gestation time to brain weight for placental mammals: Implications for the theory of vertebrate growth. The American Naturalist, 108(963), 593-615. https://doi.org/10.1086/282938</t>
        </is>
      </c>
      <c r="B523" s="20"/>
      <c r="D523" t="inlineStr">
        <is>
          <t>Appendix</t>
        </is>
      </c>
      <c r="E523" s="10" t="str">
        <f>SUBSTITUTE(SUBSTITUTE(_xlfn.TEXTBEFORE(A523,","), "-", ""), " ", "")</f>
        <v>Sacher</v>
      </c>
      <c r="F523" s="10"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3" s="10" t="str">
        <f>_xlfn.TEXTBEFORE(_xlfn.TEXTAFTER(A523, "("), ")")</f>
        <v>1974</v>
      </c>
      <c r="H523" s="10" t="str">
        <f>E523 &amp; IF(F523&lt;&gt;"", "_" &amp; SUBSTITUTE(F523," ",""), "_") &amp; IF(G523&lt;&gt;"", "_" &amp; G523, "_") &amp; IF(B523&lt;&gt;"", "_" &amp; B523, "")</f>
        <v>Sacher__1974</v>
      </c>
      <c r="I523" s="10" t="str">
        <f>_xlfn.LET(
_xlpm.doi,IF(C523&lt;&gt;"",C523,_xlfn.TEXTAFTER(A523,"https://doi.org/")),
SUBSTITUTE(
SUBSTITUTE(
SUBSTITUTE(
SUBSTITUTE(
_xlpm.doi,
"/","%2F"),
":","%3A"),
"&lt;","%3C"),
"&gt;","%3E")
)</f>
        <v>10.1086%2F282938</v>
      </c>
      <c r="J523" s="10" t="str">
        <f>TRIM(_xlfn.TEXTJOIN("_",FALSE(),H523,(SUBSTITUTE(SUBSTITUTE(D523," ",""), "_", ""))))</f>
        <v>Sacher__1974_Appendix</v>
      </c>
      <c r="K523" s="10" t="str">
        <f>I523 &amp; "_" &amp; SUBSTITUTE(SUBSTITUTE(SUBSTITUTE(D523,CHAR(160),"")," ",""),"_","")</f>
        <v>10.1086%2F282938_Appendix</v>
      </c>
      <c r="L523" s="10" t="str">
        <f t="array" ref="L523">IFERROR(INDEX(AUTO_Public_TSV_FileList!$A$1:$A$1000,MATCH(TRUE(),EXACT(K523,IFERROR(_xlfn.TEXTBEFORE(AUTO_Public_TSV_FileList!$A$1:$A$1000,".tsv"),"")),0)),"notfound")</f>
        <v>10.1086%2F282938_Appendix.tsv</v>
      </c>
      <c r="M523" t="inlineStr">
        <is>
          <t>Appendix table. Gestation time, litter size, neonatal and adult brain and body weights, advancement factors (105 placental and marsupial mammals)</t>
        </is>
      </c>
      <c r="N523" t="inlineStr">
        <is>
          <t>PDF table (scanned landscape printout; constructed transcribed snapshot)</t>
        </is>
      </c>
      <c r="O523" t="inlineStr">
        <is>
          <t>Scanned (JSTOR) landscape printout, journal pp. 609-612; text layer unusable so snapshot is transcribed. 13 asterisked species excluded by the authors from their analysis. Added because Lewitus et al. 2014 cites it (ref 11) for 31 species.</t>
        </is>
      </c>
      <c r="P523" t="inlineStr">
        <is>
          <t>PREPARED (CSV built; owner registry paste / public TSV pending; RA side-by-side check of gestation, litter size and reference numbers pending)</t>
        </is>
      </c>
      <c r="Q523" t="inlineStr">
        <is>
          <t>Sacher_Staffeldt_1974_Appendix_snapshot.csv</t>
        </is>
      </c>
      <c r="R523" t="inlineStr">
        <is>
          <t>https://www.jstor.org/stable/2459589</t>
        </is>
      </c>
      <c r="W523" t="inlineStr">
        <is>
          <t>Mammals</t>
        </is>
      </c>
      <c r="X523" t="inlineStr">
        <is>
          <t>neonatal and adult brain weight, body weight, gestation, litter size</t>
        </is>
      </c>
      <c r="Y523" t="inlineStr">
        <is>
          <t>advancement factors; placental type</t>
        </is>
      </c>
      <c r="Z523" t="inlineStr">
        <is>
          <t>weighed neonates (zoo/lab) and literature</t>
        </is>
      </c>
      <c r="AA523" t="inlineStr">
        <is>
          <t>literature compilation plus authors' own neonatal weighings</t>
        </is>
      </c>
      <c r="AB523" t="inlineStr">
        <is>
          <t>brain/body scaling; life history</t>
        </is>
      </c>
      <c r="AE523" t="inlineStr">
        <is>
          <t>both</t>
        </is>
      </c>
      <c r="AF523" t="inlineStr">
        <is>
          <t>Kenneth &amp; Ritchie 1953; International Zoo Yearbook 1959; Asdell 1964; numbered refs 1-37 for neonatal weights (some measured by the authors)</t>
        </is>
      </c>
    </row>
    <row r="524" ht="15" customHeight="1">
      <c r="A524" t="inlineStr">
        <is>
          <t>Sarko, D. K., Leitch, D. B., Girard, I., Sikes, R. S., &amp; Catania, K. C. (2011). Organization of somatosensory cortex in the northern grasshopper mouse (Onychomys leucogaster), a predatory rodent. Journal of Comparative Neurology, 519(1), 64-74. https://doi.org/10.1002/cne.22504</t>
        </is>
      </c>
      <c r="D524" t="inlineStr">
        <is>
          <t>Results Text</t>
        </is>
      </c>
      <c r="E524" s="2" t="str">
        <f>SUBSTITUTE(SUBSTITUTE(_xlfn.TEXTBEFORE(A524,","), "-", ""), " ", "")</f>
        <v>Sarko</v>
      </c>
      <c r="F524" s="7"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7" t="str">
        <f>_xlfn.TEXTBEFORE(_xlfn.TEXTAFTER(A524, "("), ")")</f>
        <v>2011</v>
      </c>
      <c r="H524" s="2" t="str">
        <f>E524 &amp; IF(F524&lt;&gt;"", "_" &amp; SUBSTITUTE(F524," ",""), "_") &amp; IF(G524&lt;&gt;"", "_" &amp; G524, "_") &amp; IF(B524&lt;&gt;"", "_" &amp; B524, "")</f>
        <v>Sarko_etal_2011</v>
      </c>
      <c r="I524" s="2" t="str">
        <f>_xlfn.LET(_xlpm.doi,IF(C524&lt;&gt;"",C524,_xlfn.TEXTAFTER(A524,"https://doi.org/")),SUBSTITUTE(SUBSTITUTE(SUBSTITUTE(SUBSTITUTE(_xlpm.doi,"/","%2F"),":","%3A"),"&lt;","%3C"),"&gt;","%3E"))</f>
        <v>10.1002%2Fcne.22504</v>
      </c>
      <c r="J524" s="2" t="str">
        <f>TRIM(_xlfn.TEXTJOIN("_",FALSE(),H524,(SUBSTITUTE(SUBSTITUTE(D524," ",""), "_", ""))))</f>
        <v>Sarko_etal_2011_ResultsText</v>
      </c>
      <c r="K524" s="7" t="str">
        <f>I524 &amp; "_" &amp; SUBSTITUTE(SUBSTITUTE(SUBSTITUTE(D524,CHAR(160),"")," ",""),"_","")</f>
        <v>10.1002%2Fcne.22504_ResultsText</v>
      </c>
      <c r="L524" s="7" t="str">
        <f t="array" ref="L524">IFERROR(INDEX(AUTO_Public_TSV_FileList!$A$1:$A$1000,MATCH(TRUE(),EXACT(K524,IFERROR(_xlfn.TEXTBEFORE(AUTO_Public_TSV_FileList!$A$1:$A$1000,".tsv"),"")),0)),"notfound")</f>
        <v>10.1002%2Fcne.22504_ResultsText.tsv</v>
      </c>
      <c r="N524" t="inlineStr">
        <is>
          <t>PDF; constructed snapshot from Results text</t>
        </is>
      </c>
      <c r="O524" t="inlineStr">
        <is>
          <t>Group summaries only: juvenile n=2 and adult n=4, reported as mean ± SD.</t>
        </is>
      </c>
      <c r="P524" t="inlineStr">
        <is>
          <t>PREPARED (CSV built; owner registry paste / public TSV pending)</t>
        </is>
      </c>
      <c r="Q524" t="inlineStr">
        <is>
          <t>Sarko_etal_2011_ResultsText_snapshot.csv</t>
        </is>
      </c>
      <c r="R524" t="inlineStr">
        <is>
          <t>https://doi.org/10.1002/cne.22504</t>
        </is>
      </c>
      <c r="S524" t="inlineStr">
        <is>
          <t>Approximate printed percentages retained only where reported.</t>
        </is>
      </c>
      <c r="T524" t="inlineStr">
        <is>
          <t>No individual-level area values.</t>
        </is>
      </c>
      <c r="V524" t="inlineStr">
        <is>
          <t>cortical surface area; sensory cortex</t>
        </is>
      </c>
      <c r="W524" t="inlineStr">
        <is>
          <t>Onychomys leucogaster</t>
        </is>
      </c>
      <c r="X524" t="inlineStr">
        <is>
          <t>total neocortex; V1; posteromedial barrel subfield of S1 (mean area mm²; SD)</t>
        </is>
      </c>
      <c r="Y524" t="inlineStr">
        <is>
          <t>juvenile versus adult</t>
        </is>
      </c>
      <c r="Z524" t="inlineStr">
        <is>
          <t>histological; flattened cortex</t>
        </is>
      </c>
      <c r="AA524" t="inlineStr">
        <is>
          <t>SERT/cytochrome-oxidase architectonics with electrophysiological mapping</t>
        </is>
      </c>
      <c r="AB524" t="inlineStr">
        <is>
          <t>mean surface area mm2; SD; approximate percent</t>
        </is>
      </c>
      <c r="AC524" t="inlineStr">
        <is>
          <t>Kaas</t>
        </is>
      </c>
      <c r="AE524" t="inlineStr">
        <is>
          <t>primary</t>
        </is>
      </c>
    </row>
    <row r="525" ht="15" customHeight="1">
      <c r="A525" t="inlineStr">
        <is>
          <t>Savage, V. M., Gillooly, J. F., Woodruff, W. H., West, G. B., Allen, A. P., Enquist, B. J., &amp; Brown, J. H. (2004). The predominance of quarter-power scaling in biology. Functional Ecology, 18(2), 257–282. https://doi.org/10.1111/j.0269-8463.2004.00856.x</t>
        </is>
      </c>
      <c r="D525" t="inlineStr">
        <is>
          <t>Appendix 1</t>
        </is>
      </c>
      <c r="E525" s="2" t="str">
        <f>SUBSTITUTE(SUBSTITUTE(_xlfn.TEXTBEFORE(A525,","), "-", ""), " ", "")</f>
        <v>Savage</v>
      </c>
      <c r="F525" s="7"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7" t="str">
        <f>_xlfn.TEXTBEFORE(_xlfn.TEXTAFTER(A525, "("), ")")</f>
        <v>2004</v>
      </c>
      <c r="H525" s="2" t="str">
        <f>E525 &amp; IF(F525&lt;&gt;"", "_" &amp; SUBSTITUTE(F525," ",""), "_") &amp; IF(G525&lt;&gt;"", "_" &amp; G525, "_") &amp; IF(B525&lt;&gt;"", "_" &amp; B525, "")</f>
        <v>Savage_etal_2004</v>
      </c>
      <c r="I525" s="2" t="str">
        <f>_xlfn.LET(_xlpm.doi,IF(C525&lt;&gt;"",C525,_xlfn.TEXTAFTER(A525,"https://doi.org/")),SUBSTITUTE(SUBSTITUTE(SUBSTITUTE(SUBSTITUTE(_xlpm.doi,"/","%2F"),":","%3A"),"&lt;","%3C"),"&gt;","%3E"))</f>
        <v>10.1111%2Fj.0269-8463.2004.00856.x</v>
      </c>
      <c r="J525" s="2" t="str">
        <f>TRIM(_xlfn.TEXTJOIN("_",FALSE(),H525,(SUBSTITUTE(SUBSTITUTE(D525," ",""), "_", ""))))</f>
        <v>Savage_etal_2004_Appendix1</v>
      </c>
      <c r="K525" s="7" t="str">
        <f>I525 &amp; "_" &amp; SUBSTITUTE(SUBSTITUTE(SUBSTITUTE(D525,CHAR(160),"")," ",""),"_","")</f>
        <v>10.1111%2Fj.0269-8463.2004.00856.x_Appendix1</v>
      </c>
      <c r="L525" s="7" t="str">
        <f t="array" ref="L525">IFERROR(INDEX(AUTO_Public_TSV_FileList!$A$1:$A$1000,MATCH(TRUE(),EXACT(K525,IFERROR(_xlfn.TEXTBEFORE(AUTO_Public_TSV_FileList!$A$1:$A$1000,".tsv"),"")),0)),"notfound")</f>
        <v>10.1111%2Fj.0269-8463.2004.00856.x_Appendix1.tsv</v>
      </c>
      <c r="M525" t="inlineStr">
        <is>
          <t>Appendix 1. Mammalian basal metabolic rate and body mass data (species averages)</t>
        </is>
      </c>
      <c r="N525" t="inlineStr">
        <is>
          <t>journal PDF table (born-digital text layer), 14 pages</t>
        </is>
      </c>
      <c r="O525" t="inlineStr">
        <is>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is>
      </c>
      <c r="P525" t="inlineStr">
        <is>
          <t>BUILT (R run 2026-10-23; public TSV written; RA side-by-side check pending)</t>
        </is>
      </c>
      <c r="Q525" t="inlineStr">
        <is>
          <t>Savage_etal_2004_Appendix1_snapshot.csv</t>
        </is>
      </c>
      <c r="R525" t="inlineStr">
        <is>
          <t>https://doi.org/10.1111/j.0269-8463.2004.00856.x</t>
        </is>
      </c>
      <c r="T525" t="inlineStr">
        <is>
          <t>Errata E001 Cervus elaphus printed under Canidae; E002 Perameles gunnii printed twice (Peramelidae and Peroryctidae)</t>
        </is>
      </c>
      <c r="V525" t="inlineStr">
        <is>
          <t>metabolism / body size</t>
        </is>
      </c>
      <c r="W525" t="inlineStr">
        <is>
          <t>Mammalia (626 species, 21 orders incl. monotremes, marsupials, bats)</t>
        </is>
      </c>
      <c r="X525" t="inlineStr">
        <is>
          <t>basal metabolic rate (W); body mass (g)</t>
        </is>
      </c>
      <c r="Y525" t="inlineStr">
        <is>
          <t>species averages (geometric means) and per-measurement values</t>
        </is>
      </c>
      <c r="AA525" t="inlineStr">
        <is>
          <t>literature compilation (Heusner 1991; Lovegrove 2000, 2003; White &amp; Seymour 2003; others), duplicates removed</t>
        </is>
      </c>
      <c r="AB525" t="inlineStr">
        <is>
          <t>mass (g); power (W)</t>
        </is>
      </c>
      <c r="AE525" t="inlineStr">
        <is>
          <t>secondary</t>
        </is>
      </c>
      <c r="AF525" t="inlineStr">
        <is>
          <t>White &amp; Seymour 2003 (547 rows), Lovegrove 2000 (171), Heusner 1991 (156), Lovegrove 2003 (67), Hart 1971 (36), McNab 1969 (21), 7 others</t>
        </is>
      </c>
      <c r="AG525" t="inlineStr">
        <is>
          <t>Use is_species_avg_row rows for species-level BMR/mass; one row per measurement otherwise</t>
        </is>
      </c>
    </row>
    <row r="526" ht="15" customHeight="1">
      <c r="A526" t="inlineStr">
        <is>
          <t>Sawaguchi, T (1988). Correlations of cerebral indices for 'extra' cortical parts and ecological variables in primates. Brain Behav Evol 32(3):129-140. https://doi.org/10.1159/000116540</t>
        </is>
      </c>
      <c r="B526" s="20"/>
      <c r="D526" t="inlineStr">
        <is>
          <t>Appendix</t>
        </is>
      </c>
      <c r="E526" s="10" t="str">
        <f>SUBSTITUTE(SUBSTITUTE(_xlfn.TEXTBEFORE(A526,","), "-", ""), " ", "")</f>
        <v>Sawaguchi</v>
      </c>
      <c r="F526" s="10"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6" s="10" t="str">
        <f>_xlfn.TEXTBEFORE(_xlfn.TEXTAFTER(A526, "("), ")")</f>
        <v>1988</v>
      </c>
      <c r="H526" s="10" t="str">
        <f>E526 &amp; IF(F526&lt;&gt;"", "_" &amp; SUBSTITUTE(F526," ",""), "_") &amp; IF(G526&lt;&gt;"", "_" &amp; G526, "_") &amp; IF(B526&lt;&gt;"", "_" &amp; B526, "")</f>
        <v>Sawaguchi__1988</v>
      </c>
      <c r="I526" s="10" t="str">
        <f>_xlfn.LET(
_xlpm.doi,IF(C526&lt;&gt;"",C526,_xlfn.TEXTAFTER(A526,"https://doi.org/")),
SUBSTITUTE(
SUBSTITUTE(
SUBSTITUTE(
SUBSTITUTE(
_xlpm.doi,
"/","%2F"),
":","%3A"),
"&lt;","%3C"),
"&gt;","%3E")
)</f>
        <v>10.1159%2F000116540</v>
      </c>
      <c r="J526" s="10" t="str">
        <f>TRIM(_xlfn.TEXTJOIN("_",FALSE(),H526,(SUBSTITUTE(SUBSTITUTE(D526," ",""), "_", ""))))</f>
        <v>Sawaguchi__1988_Appendix</v>
      </c>
      <c r="K526" s="10" t="str">
        <f>I526 &amp; "_" &amp; SUBSTITUTE(SUBSTITUTE(SUBSTITUTE(D526,CHAR(160),"")," ",""),"_","")</f>
        <v>10.1159%2F000116540_Appendix</v>
      </c>
      <c r="L526" s="10" t="str">
        <f t="array" ref="L526">IFERROR(INDEX(AUTO_Public_TSV_FileList!$A$1:$A$1000,MATCH(TRUE(),EXACT(K526,IFERROR(_xlfn.TEXTBEFORE(AUTO_Public_TSV_FileList!$A$1:$A$1000,".tsv"),"")),0)),"notfound")</f>
        <v>10.1159%2F000116540_Appendix.tsv</v>
      </c>
      <c r="M526" t="inlineStr">
        <is>
          <t>Appendix: Estimates of ecological variables, body weight, and brain weight for the species included in the analysis (47 primates)</t>
        </is>
      </c>
      <c r="N526" t="inlineStr">
        <is>
          <t>PDF (scan/print) -&gt; hand-transcribed CSV</t>
        </is>
      </c>
      <c r="O526" t="inlineStr">
        <is>
          <t>Nc/Ve/Se (the cerebral indices) are NOT printed; recomputed in the build script as derived columns. 3 printed HRi values disagree with HRt/TS.</t>
        </is>
      </c>
      <c r="P526" t="inlineStr">
        <is>
          <t>PREPARED (CSV built; owner registry paste / public TSV pending; RA side-by-side check pending)</t>
        </is>
      </c>
      <c r="Q526" t="inlineStr">
        <is>
          <t>Sawaguchi__1988_Appendix_snapshot.csv</t>
        </is>
      </c>
      <c r="R526" t="inlineStr">
        <is>
          <t>https://doi.org/10.1159/000116540</t>
        </is>
      </c>
      <c r="W526" t="inlineStr">
        <is>
          <t>Primates</t>
        </is>
      </c>
      <c r="X526" t="inlineStr">
        <is>
          <t>Troop size; home range (troop, individual); body weight; brain weight</t>
        </is>
      </c>
      <c r="Y526" t="inlineStr">
        <is>
          <t>Derived cerebral indices Nc, Ve, Se</t>
        </is>
      </c>
      <c r="Z526" t="inlineStr">
        <is>
          <t>Literature estimates (field studies; Harvey &amp; Clutton-Brock 1985)</t>
        </is>
      </c>
      <c r="AA526" t="inlineStr">
        <is>
          <t>Compilation from Milton &amp; May 1976, Clutton-Brock &amp; Harvey 1977, Harvey &amp; Clutton-Brock 1985</t>
        </is>
      </c>
      <c r="AB526" t="inlineStr">
        <is>
          <t>Mean</t>
        </is>
      </c>
      <c r="AE526" t="inlineStr">
        <is>
          <t>secondary</t>
        </is>
      </c>
      <c r="AF526" t="inlineStr">
        <is>
          <t>Milton &amp; May 1976; Clutton-Brock &amp; Harvey 1977a,b; Harvey &amp; Clutton-Brock 1985</t>
        </is>
      </c>
    </row>
    <row r="527" ht="15" customHeight="1">
      <c r="A527" s="15" t="inlineStr">
        <is>
          <t>Schenker, N. M., Desgouttes, A. M., &amp; Semendeferi, K. (2005). Neural connectivity and cortical substrates of cognition in hominoids. J Hum Evol, 49(5), 547-569. https://doi.org/10.1016/j.jhevol.2005.06.004</t>
        </is>
      </c>
      <c r="B527" s="19"/>
      <c r="C527" s="19"/>
      <c r="D527" s="15" t="inlineStr">
        <is>
          <t>Appendix 1</t>
        </is>
      </c>
      <c r="E527" s="10" t="str">
        <f>SUBSTITUTE(SUBSTITUTE(_xlfn.TEXTBEFORE(A527,","), "-", ""), " ", "")</f>
        <v>Schenker</v>
      </c>
      <c r="F527" s="10"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10" t="str">
        <f>_xlfn.TEXTBEFORE(_xlfn.TEXTAFTER(A527, "("), ")")</f>
        <v>2005</v>
      </c>
      <c r="H527" s="10" t="str">
        <f>E527 &amp; IF(F527&lt;&gt;"", "_" &amp; SUBSTITUTE(F527," ",""), "_") &amp; IF(G527&lt;&gt;"", "_" &amp; G527, "_") &amp; IF(B527&lt;&gt;"", "_" &amp; B527, "")</f>
        <v>Schenker_etal_2005</v>
      </c>
      <c r="I527" s="10" t="str">
        <f>_xlfn.LET(
_xlpm.doi,IF(C527&lt;&gt;"",C527,_xlfn.TEXTAFTER(A527,"https://doi.org/")),
SUBSTITUTE(
SUBSTITUTE(
SUBSTITUTE(
SUBSTITUTE(
_xlpm.doi,
"/","%2F"),
":","%3A"),
"&lt;","%3C"),
"&gt;","%3E")
)</f>
        <v>10.1016%2Fj.jhevol.2005.06.004</v>
      </c>
      <c r="J527" s="10" t="str">
        <f>TRIM(_xlfn.TEXTJOIN("_",FALSE(),H527,(SUBSTITUTE(SUBSTITUTE(D527," ",""), "_", ""))))</f>
        <v>Schenker_etal_2005_Appendix1</v>
      </c>
      <c r="K527" s="10" t="str">
        <f>I527 &amp; "_" &amp; SUBSTITUTE(SUBSTITUTE(SUBSTITUTE(D527,CHAR(160),"")," ",""),"_","")</f>
        <v>10.1016%2Fj.jhevol.2005.06.004_Appendix1</v>
      </c>
      <c r="L527" s="10" t="str">
        <f t="array" ref="L527">IFERROR(INDEX(AUTO_Public_TSV_FileList!$A$1:$A$1000,MATCH(TRUE(),EXACT(K527,IFERROR(_xlfn.TEXTBEFORE(AUTO_Public_TSV_FileList!$A$1:$A$1000,".tsv"),"")),0)),"notfound")</f>
        <v>10.1016%2Fj.jhevol.2005.06.004_Appendix1.tsv</v>
      </c>
      <c r="M527" s="19" t="inlineStr">
        <is>
          <t>Appendix 1 Individual total volumes for each region</t>
        </is>
      </c>
      <c r="N527" s="19"/>
      <c r="O527" s="19"/>
      <c r="P527" s="15"/>
      <c r="Q527" s="19"/>
      <c r="R527" s="19"/>
      <c r="S527" s="19"/>
      <c r="T527" s="19"/>
      <c r="U527" s="19"/>
      <c r="V527" s="19"/>
      <c r="W527" s="19"/>
      <c r="X527" s="19"/>
      <c r="Y527" s="19"/>
      <c r="Z527" s="19"/>
      <c r="AA527" s="19"/>
      <c r="AB527" s="19"/>
      <c r="AC527" s="19"/>
      <c r="AD527" s="19"/>
      <c r="AE527" s="19"/>
      <c r="AF527" s="19"/>
      <c r="AG527" s="19"/>
    </row>
    <row r="528" ht="15" customHeight="1">
      <c r="A528" s="15" t="inlineStr">
        <is>
          <t>Schenker, N. M., Desgouttes, A. M., &amp; Semendeferi, K. (2005). Neural connectivity and cortical substrates of cognition in hominoids. J Hum Evol, 49(5), 547-569. https://doi.org/10.1016/j.jhevol.2005.06.004</t>
        </is>
      </c>
      <c r="B528" s="19"/>
      <c r="C528" s="19"/>
      <c r="D528" s="15" t="inlineStr">
        <is>
          <t>Table 1</t>
        </is>
      </c>
      <c r="E528" s="10" t="str">
        <f>SUBSTITUTE(SUBSTITUTE(_xlfn.TEXTBEFORE(A528,","), "-", ""), " ", "")</f>
        <v>Schenker</v>
      </c>
      <c r="F528" s="10"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10" t="str">
        <f>_xlfn.TEXTBEFORE(_xlfn.TEXTAFTER(A528, "("), ")")</f>
        <v>2005</v>
      </c>
      <c r="H528" s="10" t="str">
        <f>E528 &amp; IF(F528&lt;&gt;"", "_" &amp; SUBSTITUTE(F528," ",""), "_") &amp; IF(G528&lt;&gt;"", "_" &amp; G528, "_") &amp; IF(B528&lt;&gt;"", "_" &amp; B528, "")</f>
        <v>Schenker_etal_2005</v>
      </c>
      <c r="I528" s="10" t="str">
        <f>_xlfn.LET(
_xlpm.doi,IF(C528&lt;&gt;"",C528,_xlfn.TEXTAFTER(A528,"https://doi.org/")),
SUBSTITUTE(
SUBSTITUTE(
SUBSTITUTE(
SUBSTITUTE(
_xlpm.doi,
"/","%2F"),
":","%3A"),
"&lt;","%3C"),
"&gt;","%3E")
)</f>
        <v>10.1016%2Fj.jhevol.2005.06.004</v>
      </c>
      <c r="J528" s="10" t="str">
        <f>TRIM(_xlfn.TEXTJOIN("_",FALSE(),H528,(SUBSTITUTE(SUBSTITUTE(D528," ",""), "_", ""))))</f>
        <v>Schenker_etal_2005_Table1</v>
      </c>
      <c r="K528" s="10" t="str">
        <f>I528 &amp; "_" &amp; SUBSTITUTE(SUBSTITUTE(SUBSTITUTE(D528,CHAR(160),"")," ",""),"_","")</f>
        <v>10.1016%2Fj.jhevol.2005.06.004_Table1</v>
      </c>
      <c r="L528" s="10" t="str">
        <f t="array" ref="L528">IFERROR(INDEX(AUTO_Public_TSV_FileList!$A$1:$A$1000,MATCH(TRUE(),EXACT(K528,IFERROR(_xlfn.TEXTBEFORE(AUTO_Public_TSV_FileList!$A$1:$A$1000,".tsv"),"")),0)),"notfound")</f>
        <v>10.1016%2Fj.jhevol.2005.06.004_Table1.tsv</v>
      </c>
      <c r="M528" s="19" t="inlineStr">
        <is>
          <t>Table 1 Mean volumes for each region of interest1</t>
        </is>
      </c>
      <c r="N528" s="19"/>
      <c r="O528" s="19"/>
      <c r="P528" s="15"/>
      <c r="Q528" s="19"/>
      <c r="R528" s="19"/>
      <c r="S528" s="19"/>
      <c r="T528" s="19"/>
      <c r="U528" s="19"/>
      <c r="V528" s="19"/>
      <c r="W528" s="19"/>
      <c r="X528" s="19"/>
      <c r="Y528" s="19"/>
      <c r="Z528" s="19"/>
      <c r="AA528" s="19"/>
      <c r="AB528" s="19"/>
      <c r="AC528" s="19"/>
      <c r="AD528" s="19"/>
      <c r="AE528" s="19"/>
      <c r="AF528" s="19"/>
      <c r="AG528" s="19"/>
    </row>
    <row r="529" ht="15" customHeight="1">
      <c r="A529" s="15" t="inlineStr">
        <is>
          <t>Schleifenbaum, C. (1973). Untersuchungen zur postnatalen Ontogenese des Gehirns von Großpudeln und Wölfen. Z Anat Entwicklungsgesch, 141(2), 179-205. https://doi.org/10.1007/BF00519885</t>
        </is>
      </c>
      <c r="B529" s="19"/>
      <c r="C529" s="19"/>
      <c r="D529" s="15" t="inlineStr">
        <is>
          <t>Tables 1-2</t>
        </is>
      </c>
      <c r="E529" s="10" t="str">
        <f>SUBSTITUTE(SUBSTITUTE(_xlfn.TEXTBEFORE(A529,","), "-", ""), " ", "")</f>
        <v>Schleifenbaum</v>
      </c>
      <c r="F529" s="10"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9" s="10" t="str">
        <f>_xlfn.TEXTBEFORE(_xlfn.TEXTAFTER(A529, "("), ")")</f>
        <v>1973</v>
      </c>
      <c r="H529" s="10" t="str">
        <f>E529 &amp; IF(F529&lt;&gt;"", "_" &amp; SUBSTITUTE(F529," ",""), "_") &amp; IF(G529&lt;&gt;"", "_" &amp; G529, "_") &amp; IF(B529&lt;&gt;"", "_" &amp; B529, "")</f>
        <v>Schleifenbaum__1973</v>
      </c>
      <c r="I529" s="10" t="str">
        <f>_xlfn.LET(
_xlpm.doi,IF(C529&lt;&gt;"",C529,_xlfn.TEXTAFTER(A529,"https://doi.org/")),
SUBSTITUTE(
SUBSTITUTE(
SUBSTITUTE(
SUBSTITUTE(
_xlpm.doi,
"/","%2F"),
":","%3A"),
"&lt;","%3C"),
"&gt;","%3E")
)</f>
        <v>10.1007%2FBF00519885</v>
      </c>
      <c r="J529" s="10" t="str">
        <f>TRIM(_xlfn.TEXTJOIN("_",FALSE(),H529,(SUBSTITUTE(SUBSTITUTE(D529," ",""), "_", ""))))</f>
        <v>Schleifenbaum__1973_Tables1-2</v>
      </c>
      <c r="K529" s="10" t="str">
        <f>I529 &amp; "_" &amp; SUBSTITUTE(SUBSTITUTE(SUBSTITUTE(D529,CHAR(160),"")," ",""),"_","")</f>
        <v>10.1007%2FBF00519885_Tables1-2</v>
      </c>
      <c r="L529" s="10" t="str">
        <f t="array" ref="L529">IFERROR(INDEX(AUTO_Public_TSV_FileList!$A$1:$A$1000,MATCH(TRUE(),EXACT(K529,IFERROR(_xlfn.TEXTBEFORE(AUTO_Public_TSV_FileList!$A$1:$A$1000,".tsv"),"")),0)),"notfound")</f>
        <v>10.1007%2FBF00519885_Tables1-2.tsv</v>
      </c>
      <c r="M529" s="19" t="inlineStr">
        <is>
          <t>Tables 1-2. Individual metadata, brain weight, and absolute regional volumes</t>
        </is>
      </c>
      <c r="N529" s="19"/>
      <c r="O529" s="19"/>
      <c r="P529" s="15" t="inlineStr">
        <is>
          <t>FINISHED</t>
        </is>
      </c>
      <c r="Q529" s="19"/>
      <c r="R529" s="19"/>
      <c r="S529" s="19"/>
      <c r="T529" s="19"/>
      <c r="U529" s="19"/>
      <c r="V529" s="19"/>
      <c r="W529" s="19"/>
      <c r="X529" s="19"/>
      <c r="Y529" s="19"/>
      <c r="Z529" s="19"/>
      <c r="AA529" s="19"/>
      <c r="AB529" s="19"/>
      <c r="AC529" s="19"/>
      <c r="AD529" s="19"/>
      <c r="AE529" s="19" t="inlineStr">
        <is>
          <t>primary</t>
        </is>
      </c>
      <c r="AF529" s="19"/>
      <c r="AG529" s="19"/>
    </row>
    <row r="530" ht="15" customHeight="1">
      <c r="A530" s="15" t="inlineStr">
        <is>
          <t>Schmidt, S., Türke, B., &amp; Vogler, B. (1984). Behavioural audiogram from the bat, Megaderma lyra (Geoffroy, 1810; Microchiroptera). Myotis, 21–22 (1983–1984), 62–66.</t>
        </is>
      </c>
      <c r="B530" s="19"/>
      <c r="C530" s="19" t="inlineStr">
        <is>
          <t>Myotis:21-22:62-66</t>
        </is>
      </c>
      <c r="D530" s="15" t="inlineStr">
        <is>
          <t>Text</t>
        </is>
      </c>
      <c r="E530" s="10" t="str">
        <f>SUBSTITUTE(SUBSTITUTE(_xlfn.TEXTBEFORE(A530,","), "-", ""), " ", "")</f>
        <v>Schmidt</v>
      </c>
      <c r="F530" s="10"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0" s="10" t="str">
        <f>_xlfn.TEXTBEFORE(_xlfn.TEXTAFTER(A530, "("), ")")</f>
        <v>1984</v>
      </c>
      <c r="H530" s="10" t="str">
        <f>E530 &amp; IF(F530&lt;&gt;"", "_" &amp; SUBSTITUTE(F530," ",""), "_") &amp; IF(G530&lt;&gt;"", "_" &amp; G530, "_") &amp; IF(B530&lt;&gt;"", "_" &amp; B530, "")</f>
        <v>Schmidt__1984</v>
      </c>
      <c r="I530" s="10" t="str">
        <f>_xlfn.LET(
_xlpm.doi,IF(C530&lt;&gt;"",C530,_xlfn.TEXTAFTER(A530,"https://doi.org/")),
SUBSTITUTE(
SUBSTITUTE(
SUBSTITUTE(
SUBSTITUTE(
_xlpm.doi,
"/","%2F"),
":","%3A"),
"&lt;","%3C"),
"&gt;","%3E")
)</f>
        <v>Myotis%3A21-22%3A62-66</v>
      </c>
      <c r="J530" s="10" t="str">
        <f>TRIM(_xlfn.TEXTJOIN("_",FALSE(),H530,(SUBSTITUTE(SUBSTITUTE(D530," ",""), "_", ""))))</f>
        <v>Schmidt__1984_Text</v>
      </c>
      <c r="K530" s="10" t="str">
        <f>I530 &amp; "_" &amp; SUBSTITUTE(SUBSTITUTE(SUBSTITUTE(D530,CHAR(160),"")," ",""),"_","")</f>
        <v>Myotis%3A21-22%3A62-66_Text</v>
      </c>
      <c r="L530" s="10" t="str">
        <f t="array" ref="L530">IFERROR(INDEX(AUTO_Public_TSV_FileList!$A$1:$A$1000,MATCH(TRUE(),EXACT(K530,IFERROR(_xlfn.TEXTBEFORE(AUTO_Public_TSV_FileList!$A$1:$A$1000,".tsv"),"")),0)),"notfound")</f>
        <v>Myotis%3A21-22%3A62-66_Text.tsv</v>
      </c>
      <c r="M530" s="19" t="inlineStr">
        <is>
          <t>Results text (printed pp. 62–66): behavioural audiogram of Megaderma lyra; no Fig. 2 digitisation</t>
        </is>
      </c>
      <c r="N530" s="19" t="inlineStr">
        <is>
          <t>Journal article PDF — Results text readable; Fig. 2 not digitised</t>
        </is>
      </c>
      <c r="O530" s="19" t="inlineStr">
        <is>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is>
      </c>
      <c r="P530" s="15"/>
      <c r="Q530" s="19"/>
      <c r="R530" s="19" t="inlineStr">
        <is>
          <t>https://alleninstitute.sharepoint.com/sites/MammalianM1/Shared%20Documents/General/Species/Evo-M1-Trait-Data/Schmidt_etal_1984/schmidt_etal_1984.pdf</t>
        </is>
      </c>
      <c r="S530" s="19"/>
      <c r="T530" s="19" t="inlineStr">
        <is>
          <t>Different sonic and ultrasonic sample sizes/threshold criteria; Fig. 2 not digitised. Text does not establish exact 60-dB SPL frequency limits; volume spans 1983–1984.</t>
        </is>
      </c>
      <c r="U530" s="19"/>
      <c r="V530" s="19" t="inlineStr">
        <is>
          <t>Sensory hearing</t>
        </is>
      </c>
      <c r="W530" s="19" t="inlineStr">
        <is>
          <t>Megaderma lyra</t>
        </is>
      </c>
      <c r="X530" s="19" t="inlineStr">
        <is>
          <t>Behavioural pure-tone hearing thresholds and frequency sensitivity</t>
        </is>
      </c>
      <c r="Y530" s="19" t="inlineStr">
        <is>
          <t>Sonic 1–22 kHz and ultrasonic 20–130 kHz observations; reported sensitivity spans 1–130 kHz, not exact 60-dB SPL limits.</t>
        </is>
      </c>
      <c r="Z530" s="19" t="inlineStr">
        <is>
          <t>Acoustic pure-tone stimuli (text results; Fig. 2 not digitised)</t>
        </is>
      </c>
      <c r="AA530" s="19" t="inlineStr">
        <is>
          <t>Behavioural audiometry: sonic thresholds in five bats at 75% correct; ultrasonic mainly one bat with another corroborating under a different criterion</t>
        </is>
      </c>
      <c r="AB530" s="19" t="inlineStr">
        <is>
          <t>Frequency (kHz) and pure-tone threshold (dB SPL)</t>
        </is>
      </c>
      <c r="AC530" s="19"/>
      <c r="AD530" s="19"/>
      <c r="AE530" s="19" t="inlineStr">
        <is>
          <t>primary</t>
        </is>
      </c>
      <c r="AF530" s="19"/>
      <c r="AG530" s="19" t="inlineStr">
        <is>
          <t>Build and validate from the existing text snapshot, retaining sample-size and threshold-criterion distinctions; digitise Fig. 2 only if needed and reviewed, then produce build/analysis documentation before any public TSV.</t>
        </is>
      </c>
    </row>
    <row r="531" ht="15" customHeight="1">
      <c r="A531" s="15" t="inlineStr">
        <is>
          <t>Schniter, E., &amp; Penaherrera-Aguirre, M. (2026). Evolution of primate vocal repertoires: vocal systems as embodied capital for mediating within-group conflict. Primates. https://doi.org/10.1007/s10329-026-01271-2</t>
        </is>
      </c>
      <c r="B531" s="19"/>
      <c r="C531" s="19"/>
      <c r="D531" s="15" t="inlineStr">
        <is>
          <t>data</t>
        </is>
      </c>
      <c r="E531" s="10" t="str">
        <f>SUBSTITUTE(SUBSTITUTE(_xlfn.TEXTBEFORE(A531,","), "-", ""), " ", "")</f>
        <v>Schniter</v>
      </c>
      <c r="F531" s="10"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1" s="10" t="str">
        <f>_xlfn.TEXTBEFORE(_xlfn.TEXTAFTER(A531, "("), ")")</f>
        <v>2026</v>
      </c>
      <c r="H531" s="10" t="str">
        <f>E531 &amp; IF(F531&lt;&gt;"", "_" &amp; SUBSTITUTE(F531," ",""), "_") &amp; IF(G531&lt;&gt;"", "_" &amp; G531, "_") &amp; IF(B531&lt;&gt;"", "_" &amp; B531, "")</f>
        <v>Schniter__2026</v>
      </c>
      <c r="I531" s="10" t="str">
        <f>_xlfn.LET(
_xlpm.doi,IF(C531&lt;&gt;"",C531,_xlfn.TEXTAFTER(A531,"https://doi.org/")),
SUBSTITUTE(
SUBSTITUTE(
SUBSTITUTE(
SUBSTITUTE(
_xlpm.doi,
"/","%2F"),
":","%3A"),
"&lt;","%3C"),
"&gt;","%3E")
)</f>
        <v>10.1007%2Fs10329-026-01271-2</v>
      </c>
      <c r="J531" s="10" t="str">
        <f>TRIM(_xlfn.TEXTJOIN("_",FALSE(),H531,(SUBSTITUTE(SUBSTITUTE(D531," ",""), "_", ""))))</f>
        <v>Schniter__2026_data</v>
      </c>
      <c r="K531" s="10" t="str">
        <f>I531 &amp; "_" &amp; SUBSTITUTE(SUBSTITUTE(SUBSTITUTE(D531,CHAR(160),"")," ",""),"_","")</f>
        <v>10.1007%2Fs10329-026-01271-2_data</v>
      </c>
      <c r="L531" s="10" t="str">
        <f t="array" ref="L531">IFERROR(INDEX(AUTO_Public_TSV_FileList!$A$1:$A$1000,MATCH(TRUE(),EXACT(K531,IFERROR(_xlfn.TEXTBEFORE(AUTO_Public_TSV_FileList!$A$1:$A$1000,".tsv"),"")),0)),"notfound")</f>
        <v>10.1007%2Fs10329-026-01271-2_data.tsv</v>
      </c>
      <c r="M531" s="15" t="inlineStr">
        <is>
          <t>data</t>
        </is>
      </c>
      <c r="N531" s="19"/>
      <c r="O531" s="19"/>
      <c r="P531" s="15" t="inlineStr">
        <is>
          <t>FINISHED</t>
        </is>
      </c>
      <c r="Q531" s="19"/>
      <c r="R531" s="19"/>
      <c r="S531" s="19"/>
      <c r="T531" s="19"/>
      <c r="U531" s="19"/>
      <c r="V531" s="19"/>
      <c r="W531" s="19"/>
      <c r="X531" s="15" t="inlineStr">
        <is>
          <t>vocal repertoire size</t>
        </is>
      </c>
      <c r="Y531" s="19"/>
      <c r="Z531" s="19"/>
      <c r="AA531" s="19"/>
      <c r="AB531" s="15" t="inlineStr">
        <is>
          <t>behavioural (vocal repertoire)</t>
        </is>
      </c>
      <c r="AC531" s="19"/>
      <c r="AD531" s="19"/>
      <c r="AE531" s="15" t="inlineStr">
        <is>
          <t>primary</t>
        </is>
      </c>
      <c r="AF531" s="15"/>
      <c r="AG531" s="19"/>
      <c r="AH531" s="16" t="inlineStr">
        <is>
          <t>Not applicable: tabulated and digital already</t>
        </is>
      </c>
    </row>
    <row r="532" ht="15" customHeight="1">
      <c r="A532" s="18" t="inlineStr">
        <is>
          <t>Schusterman, R. J. (1974). Auditory sensitivity of a California sea lion to airborne sound. J Acoust Soc Am, 56(4), 1248-1251. https://doi.org/10.1121/1.1903415</t>
        </is>
      </c>
      <c r="B532" s="18"/>
      <c r="C532" s="18"/>
      <c r="D532" s="18" t="inlineStr">
        <is>
          <t>Table I</t>
        </is>
      </c>
      <c r="E532" s="11" t="str">
        <f>SUBSTITUTE(SUBSTITUTE(_xlfn.TEXTBEFORE(A532,","), "-", ""), " ", "")</f>
        <v>Schusterman</v>
      </c>
      <c r="F532" s="10"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2" s="10" t="str">
        <f>_xlfn.TEXTBEFORE(_xlfn.TEXTAFTER(A532, "("), ")")</f>
        <v>1974</v>
      </c>
      <c r="H532" s="11" t="str">
        <f>E532 &amp; IF(F532&lt;&gt;"", "_" &amp; SUBSTITUTE(F532," ",""), "_") &amp; IF(G532&lt;&gt;"", "_" &amp; G532, "_") &amp; IF(B532&lt;&gt;"", "_" &amp; B532, "")</f>
        <v>Schusterman__1974</v>
      </c>
      <c r="I532" s="11" t="str">
        <f>_xlfn.LET(_xlpm.doi,IF(C532&lt;&gt;"",C532,_xlfn.TEXTAFTER(A532,"https://doi.org/")),SUBSTITUTE(SUBSTITUTE(SUBSTITUTE(SUBSTITUTE(_xlpm.doi,"/","%2F"),":","%3A"),"&lt;","%3C"),"&gt;","%3E"))</f>
        <v>10.1121%2F1.1903415</v>
      </c>
      <c r="J532" s="11" t="str">
        <f>TRIM(_xlfn.TEXTJOIN("_",FALSE(),H532,(SUBSTITUTE(SUBSTITUTE(D532," ",""), "_", ""))))</f>
        <v>Schusterman__1974_TableI</v>
      </c>
      <c r="K532" s="10" t="str">
        <f>I532 &amp; "_" &amp; SUBSTITUTE(SUBSTITUTE(SUBSTITUTE(D532,CHAR(160),"")," ",""),"_","")</f>
        <v>10.1121%2F1.1903415_TableI</v>
      </c>
      <c r="L532" s="10" t="str">
        <f t="array" ref="L532">IFERROR(INDEX(AUTO_Public_TSV_FileList!$A$1:$A$1000,MATCH(TRUE(),EXACT(K532,IFERROR(_xlfn.TEXTBEFORE(AUTO_Public_TSV_FileList!$A$1:$A$1000,".tsv"),"")),0)),"notfound")</f>
        <v>10.1121%2F1.1903415_TableI.tsv</v>
      </c>
      <c r="M532" s="18" t="inlineStr">
        <is>
          <t>Air-vs-water hearing loss (dB) for California sea lion, harp seal and harbor seal at each tested frequency</t>
        </is>
      </c>
      <c r="N532" s="18" t="inlineStr">
        <is>
          <t>PDF table</t>
        </is>
      </c>
      <c r="O532" s="18" t="inlineStr">
        <is>
          <t>Registry row added 2026-09-27. Built same day; public TSV uploaded.</t>
        </is>
      </c>
      <c r="P532" s="18" t="inlineStr">
        <is>
          <t>FINISHED</t>
        </is>
      </c>
      <c r="Q532" s="18"/>
      <c r="R532" s="18"/>
      <c r="S532" s="18"/>
      <c r="T532" s="18"/>
      <c r="U532" s="18"/>
      <c r="V532" s="18"/>
      <c r="W532" s="18"/>
      <c r="X532" s="18"/>
      <c r="Y532" s="18"/>
      <c r="Z532" s="18"/>
      <c r="AA532" s="18"/>
      <c r="AB532" s="18"/>
      <c r="AC532" s="18"/>
      <c r="AD532" s="18"/>
      <c r="AE532" s="18"/>
      <c r="AF532" s="18"/>
      <c r="AG532" s="18"/>
    </row>
    <row r="533" ht="15" customHeight="1">
      <c r="A533" s="18" t="inlineStr">
        <is>
          <t>Schusterman, R. J. (1981). Behavioral capabilities of seals and sea lions: A review of their hearing, visual, learning and diving skills. The Psychological Record, 31, 125-143. https://doi.org/10.1007/BF03394729</t>
        </is>
      </c>
      <c r="B533" s="18"/>
      <c r="C533" s="18"/>
      <c r="D533" s="18" t="inlineStr">
        <is>
          <t>Table 1</t>
        </is>
      </c>
      <c r="E533" s="11" t="str">
        <f>SUBSTITUTE(SUBSTITUTE(_xlfn.TEXTBEFORE(A533,","), "-", ""), " ", "")</f>
        <v>Schusterman</v>
      </c>
      <c r="F533" s="10"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3" s="10" t="str">
        <f>_xlfn.TEXTBEFORE(_xlfn.TEXTAFTER(A533, "("), ")")</f>
        <v>1981</v>
      </c>
      <c r="H533" s="11" t="str">
        <f>E533 &amp; IF(F533&lt;&gt;"", "_" &amp; SUBSTITUTE(F533," ",""), "_") &amp; IF(G533&lt;&gt;"", "_" &amp; G533, "_") &amp; IF(B533&lt;&gt;"", "_" &amp; B533, "")</f>
        <v>Schusterman__1981</v>
      </c>
      <c r="I533" s="11" t="str">
        <f>_xlfn.LET(_xlpm.doi,IF(C533&lt;&gt;"",C533,_xlfn.TEXTAFTER(A533,"https://doi.org/")),SUBSTITUTE(SUBSTITUTE(SUBSTITUTE(SUBSTITUTE(_xlpm.doi,"/","%2F"),":","%3A"),"&lt;","%3C"),"&gt;","%3E"))</f>
        <v>10.1007%2FBF03394729</v>
      </c>
      <c r="J533" s="11" t="str">
        <f>TRIM(_xlfn.TEXTJOIN("_",FALSE(),H533,(SUBSTITUTE(SUBSTITUTE(D533," ",""), "_", ""))))</f>
        <v>Schusterman__1981_Table1</v>
      </c>
      <c r="K533" s="10" t="str">
        <f>I533 &amp; "_" &amp; SUBSTITUTE(SUBSTITUTE(SUBSTITUTE(D533,CHAR(160),"")," ",""),"_","")</f>
        <v>10.1007%2FBF03394729_Table1</v>
      </c>
      <c r="L533" s="10" t="str">
        <f t="array" ref="L533">IFERROR(INDEX(AUTO_Public_TSV_FileList!$A$1:$A$1000,MATCH(TRUE(),EXACT(K533,IFERROR(_xlfn.TEXTBEFORE(AUTO_Public_TSV_FileList!$A$1:$A$1000,".tsv"),"")),0)),"notfound")</f>
        <v>10.1007%2FBF03394729_Table1.tsv</v>
      </c>
      <c r="M533" s="18" t="inlineStr">
        <is>
          <t>Compiled underwater-audiogram summary for 6 pinniped species, each row citing a primary source (review/compilation, not new data)</t>
        </is>
      </c>
      <c r="N533" s="18" t="inlineStr">
        <is>
          <t>PDF table</t>
        </is>
      </c>
      <c r="O533" s="18" t="inlineStr">
        <is>
          <t>Registry row added 2026-09-27. N.B.: this source is a REVIEW/COMPILATION -- every row cites a previously published primary study (see README for full citation table), not new Schusterman data. Built same day; public TSV uploaded.</t>
        </is>
      </c>
      <c r="P533" s="18" t="inlineStr">
        <is>
          <t>FINISHED</t>
        </is>
      </c>
      <c r="Q533" s="18"/>
      <c r="R533" s="18"/>
      <c r="S533" s="18"/>
      <c r="T533" s="18"/>
      <c r="U533" s="18"/>
      <c r="V533" s="18"/>
      <c r="W533" s="18"/>
      <c r="X533" s="18"/>
      <c r="Y533" s="18"/>
      <c r="Z533" s="18"/>
      <c r="AA533" s="18"/>
      <c r="AB533" s="18"/>
      <c r="AC533" s="18"/>
      <c r="AD533" s="18"/>
      <c r="AE533" s="18"/>
      <c r="AF533" s="18"/>
      <c r="AG533" s="18"/>
    </row>
    <row r="534" ht="15" customHeight="1">
      <c r="A534" s="18" t="inlineStr">
        <is>
          <t>Schusterman, R. J., &amp; Moore, P. W. B. (1980). Auditory sensitivity of northern fur seals (Callorhinus ursinus) and a California sea lion (Zalophus californianus) to airborne sound. J Acoust Soc Am, 68(S1), S6. https://doi.org/10.1121/1.2004876</t>
        </is>
      </c>
      <c r="B534" s="18"/>
      <c r="C534" s="18"/>
      <c r="D534" s="18" t="inlineStr">
        <is>
          <t>Results Text</t>
        </is>
      </c>
      <c r="E534" s="11" t="str">
        <f>SUBSTITUTE(SUBSTITUTE(_xlfn.TEXTBEFORE(A534,","), "-", ""), " ", "")</f>
        <v>Schusterman</v>
      </c>
      <c r="F534" s="10"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34" s="10" t="str">
        <f>_xlfn.TEXTBEFORE(_xlfn.TEXTAFTER(A534, "("), ")")</f>
        <v>1980</v>
      </c>
      <c r="H534" s="11" t="str">
        <f>E534 &amp; IF(F534&lt;&gt;"", "_" &amp; SUBSTITUTE(F534," ",""), "_") &amp; IF(G534&lt;&gt;"", "_" &amp; G534, "_") &amp; IF(B534&lt;&gt;"", "_" &amp; B534, "")</f>
        <v>Schusterman__1980</v>
      </c>
      <c r="I534" s="11" t="str">
        <f>_xlfn.LET(_xlpm.doi,IF(C534&lt;&gt;"",C534,_xlfn.TEXTAFTER(A534,"https://doi.org/")),SUBSTITUTE(SUBSTITUTE(SUBSTITUTE(SUBSTITUTE(_xlpm.doi,"/","%2F"),":","%3A"),"&lt;","%3C"),"&gt;","%3E"))</f>
        <v>10.1121%2F1.2004876</v>
      </c>
      <c r="J534" s="11" t="str">
        <f>TRIM(_xlfn.TEXTJOIN("_",FALSE(),H534,(SUBSTITUTE(SUBSTITUTE(D534," ",""), "_", ""))))</f>
        <v>Schusterman__1980_ResultsText</v>
      </c>
      <c r="K534" s="10" t="str">
        <f>I534 &amp; "_" &amp; SUBSTITUTE(SUBSTITUTE(SUBSTITUTE(D534,CHAR(160),"")," ",""),"_","")</f>
        <v>10.1121%2F1.2004876_ResultsText</v>
      </c>
      <c r="L534" s="10" t="str">
        <f t="array" ref="L534">IFERROR(INDEX(AUTO_Public_TSV_FileList!$A$1:$A$1000,MATCH(TRUE(),EXACT(K534,IFERROR(_xlfn.TEXTBEFORE(AUTO_Public_TSV_FileList!$A$1:$A$1000,".tsv"),"")),0)),"notfound")</f>
        <v>10.1121%2F1.2004876_ResultsText.tsv</v>
      </c>
      <c r="M534" s="18" t="inlineStr">
        <is>
          <t>First aerial audiograms for northern fur seal (n=2) and California sea lion (n=1) -- conference abstract</t>
        </is>
      </c>
      <c r="N534" s="18" t="inlineStr">
        <is>
          <t>text</t>
        </is>
      </c>
      <c r="O534" s="18" t="inlineStr">
        <is>
          <t>Registry row added 2026-09-27. Source is a 2-page conference-proceedings abstract, not a full journal article. Built same day; TSV upload pending (connector timeout, retry later).</t>
        </is>
      </c>
      <c r="P534" s="18" t="inlineStr">
        <is>
          <t>BUILT (TSV upload pending)</t>
        </is>
      </c>
      <c r="Q534" s="18"/>
      <c r="R534" s="18"/>
      <c r="S534" s="18"/>
      <c r="T534" s="18"/>
      <c r="U534" s="18"/>
      <c r="V534" s="18"/>
      <c r="W534" s="18"/>
      <c r="X534" s="18"/>
      <c r="Y534" s="18"/>
      <c r="Z534" s="18"/>
      <c r="AA534" s="18"/>
      <c r="AB534" s="18"/>
      <c r="AC534" s="18"/>
      <c r="AD534" s="18"/>
      <c r="AE534" s="18"/>
      <c r="AF534" s="18"/>
      <c r="AG534" s="18"/>
    </row>
    <row r="535" ht="15" customHeight="1">
      <c r="A535" t="inlineStr">
        <is>
          <t>Seelke, A. M. H., Dooley, J. C., &amp; Krubitzer, L. A. (2014). The cellular composition of the marsupial neocortex. Journal of Comparative Neurology, 522(10), 2286-2298. https://doi.org/10.1002/cne.23534</t>
        </is>
      </c>
      <c r="B535" s="20"/>
      <c r="D535" t="inlineStr">
        <is>
          <t>Table 1</t>
        </is>
      </c>
      <c r="E535" s="10" t="str">
        <f>SUBSTITUTE(SUBSTITUTE(_xlfn.TEXTBEFORE(A535,","), "-", ""), " ", "")</f>
        <v>Seelke</v>
      </c>
      <c r="F535" s="10"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10" t="str">
        <f>_xlfn.TEXTBEFORE(_xlfn.TEXTAFTER(A535, "("), ")")</f>
        <v>2014</v>
      </c>
      <c r="H535" s="10" t="str">
        <f>E535 &amp; IF(F535&lt;&gt;"", "_" &amp; SUBSTITUTE(F535," ",""), "_") &amp; IF(G535&lt;&gt;"", "_" &amp; G535, "_") &amp; IF(B535&lt;&gt;"", "_" &amp; B535, "")</f>
        <v>Seelke_etal_2014</v>
      </c>
      <c r="I535" s="10" t="str">
        <f>_xlfn.LET(
_xlpm.doi,IF(C535&lt;&gt;"",C535,_xlfn.TEXTAFTER(A535,"https://doi.org/")),
SUBSTITUTE(
SUBSTITUTE(
SUBSTITUTE(
SUBSTITUTE(
_xlpm.doi,
"/","%2F"),
":","%3A"),
"&lt;","%3C"),
"&gt;","%3E")
)</f>
        <v>10.1002%2Fcne.23534</v>
      </c>
      <c r="J535" s="10" t="str">
        <f>TRIM(_xlfn.TEXTJOIN("_",FALSE(),H535,(SUBSTITUTE(SUBSTITUTE(D535," ",""), "_", ""))))</f>
        <v>Seelke_etal_2014_Table1</v>
      </c>
      <c r="K535" s="10" t="str">
        <f>I535 &amp; "_" &amp; SUBSTITUTE(SUBSTITUTE(SUBSTITUTE(D535,CHAR(160),"")," ",""),"_","")</f>
        <v>10.1002%2Fcne.23534_Table1</v>
      </c>
      <c r="L535" s="10" t="str">
        <f t="array" ref="L535">IFERROR(INDEX(AUTO_Public_TSV_FileList!$A$1:$A$1000,MATCH(TRUE(),EXACT(K535,IFERROR(_xlfn.TEXTBEFORE(AUTO_Public_TSV_FileList!$A$1:$A$1000,".tsv"),"")),0)),"notfound")</f>
        <v>10.1002%2Fcne.23534_Table1.tsv</v>
      </c>
      <c r="M535" t="inlineStr">
        <is>
          <t>Table 1. Characteristics of the Study Subjects</t>
        </is>
      </c>
      <c r="N535" t="inlineStr">
        <is>
          <t>PDF table (constructed transcribed snapshot)</t>
        </is>
      </c>
      <c r="O535" t="inlineStr">
        <is>
          <t>Per-animal (5) age, weight, sex of Monodelphis domestica; isotropic-fractionator study (not stereology).</t>
        </is>
      </c>
      <c r="P535" t="inlineStr">
        <is>
          <t>PREPARED (CSV built; owner registry paste / public TSV pending; RA side-by-side check pending)</t>
        </is>
      </c>
      <c r="Q535" t="inlineStr">
        <is>
          <t>Seelke_etal_2014_Table1_snapshot.csv</t>
        </is>
      </c>
      <c r="R535" t="inlineStr">
        <is>
          <t>https://doi.org/10.1002/cne.23534</t>
        </is>
      </c>
      <c r="W535" t="inlineStr">
        <is>
          <t>Monodelphis domestica (short-tailed opossum)</t>
        </is>
      </c>
      <c r="X535" t="inlineStr">
        <is>
          <t>age; body weight</t>
        </is>
      </c>
      <c r="Y535" t="inlineStr">
        <is>
          <t>sex</t>
        </is>
      </c>
      <c r="Z535" t="inlineStr">
        <is>
          <t>live animals (laboratory colony)</t>
        </is>
      </c>
      <c r="AA535" t="inlineStr">
        <is>
          <t>specimen records</t>
        </is>
      </c>
      <c r="AB535" t="inlineStr">
        <is>
          <t>Age.days; Mass.g</t>
        </is>
      </c>
      <c r="AE535" t="inlineStr">
        <is>
          <t>primary</t>
        </is>
      </c>
    </row>
    <row r="536" ht="15" customHeight="1">
      <c r="A536" t="inlineStr">
        <is>
          <t>Seelke, A. M. H., Dooley, J. C., &amp; Krubitzer, L. A. (2014). The cellular composition of the marsupial neocortex. Journal of Comparative Neurology, 522(10), 2286-2298. https://doi.org/10.1002/cne.23534</t>
        </is>
      </c>
      <c r="B536" s="20"/>
      <c r="D536" t="inlineStr">
        <is>
          <t>Table 3</t>
        </is>
      </c>
      <c r="E536" s="10" t="str">
        <f>SUBSTITUTE(SUBSTITUTE(_xlfn.TEXTBEFORE(A536,","), "-", ""), " ", "")</f>
        <v>Seelke</v>
      </c>
      <c r="F536" s="10"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10" t="str">
        <f>_xlfn.TEXTBEFORE(_xlfn.TEXTAFTER(A536, "("), ")")</f>
        <v>2014</v>
      </c>
      <c r="H536" s="10" t="str">
        <f>E536 &amp; IF(F536&lt;&gt;"", "_" &amp; SUBSTITUTE(F536," ",""), "_") &amp; IF(G536&lt;&gt;"", "_" &amp; G536, "_") &amp; IF(B536&lt;&gt;"", "_" &amp; B536, "")</f>
        <v>Seelke_etal_2014</v>
      </c>
      <c r="I536" s="10" t="str">
        <f>_xlfn.LET(
_xlpm.doi,IF(C536&lt;&gt;"",C536,_xlfn.TEXTAFTER(A536,"https://doi.org/")),
SUBSTITUTE(
SUBSTITUTE(
SUBSTITUTE(
SUBSTITUTE(
_xlpm.doi,
"/","%2F"),
":","%3A"),
"&lt;","%3C"),
"&gt;","%3E")
)</f>
        <v>10.1002%2Fcne.23534</v>
      </c>
      <c r="J536" s="10" t="str">
        <f>TRIM(_xlfn.TEXTJOIN("_",FALSE(),H536,(SUBSTITUTE(SUBSTITUTE(D536," ",""), "_", ""))))</f>
        <v>Seelke_etal_2014_Table3</v>
      </c>
      <c r="K536" s="10" t="str">
        <f>I536 &amp; "_" &amp; SUBSTITUTE(SUBSTITUTE(SUBSTITUTE(D536,CHAR(160),"")," ",""),"_","")</f>
        <v>10.1002%2Fcne.23534_Table3</v>
      </c>
      <c r="L536" s="10" t="str">
        <f t="array" ref="L536">IFERROR(INDEX(AUTO_Public_TSV_FileList!$A$1:$A$1000,MATCH(TRUE(),EXACT(K536,IFERROR(_xlfn.TEXTBEFORE(AUTO_Public_TSV_FileList!$A$1:$A$1000,".tsv"),"")),0)),"notfound")</f>
        <v>10.1002%2Fcne.23534_Table3.tsv</v>
      </c>
      <c r="M536" t="inlineStr">
        <is>
          <t>Table 3. Cortical Field Weights</t>
        </is>
      </c>
      <c r="N536" t="inlineStr">
        <is>
          <t>PDF table (constructed transcribed snapshot)</t>
        </is>
      </c>
      <c r="O536" t="inlineStr">
        <is>
          <t>Group means (n=5 animals) of cortical region weights; +/- not labelled. Isotropic fractionator study. Lewitus 2014 ref 61 (see Table 4/5 for counts).</t>
        </is>
      </c>
      <c r="P536" t="inlineStr">
        <is>
          <t>PREPARED (CSV built; owner registry paste / public TSV pending; RA side-by-side check pending)</t>
        </is>
      </c>
      <c r="Q536" t="inlineStr">
        <is>
          <t>Seelke_etal_2014_Table3_snapshot.csv</t>
        </is>
      </c>
      <c r="R536" t="inlineStr">
        <is>
          <t>https://doi.org/10.1002/cne.23534</t>
        </is>
      </c>
      <c r="W536" t="inlineStr">
        <is>
          <t>Monodelphis domestica (short-tailed opossum)</t>
        </is>
      </c>
      <c r="X536" t="inlineStr">
        <is>
          <t>cortical region weights</t>
        </is>
      </c>
      <c r="Y536" t="inlineStr">
        <is>
          <t>percent of neocortex weight</t>
        </is>
      </c>
      <c r="Z536" t="inlineStr">
        <is>
          <t>fixed brain tissue (paraformaldehyde-perfused), dissociated nuclei</t>
        </is>
      </c>
      <c r="AA536" t="inlineStr">
        <is>
          <t>isotropic fractionator (DAPI nuclei count + NeuN flow cytometry)</t>
        </is>
      </c>
      <c r="AB536" t="inlineStr">
        <is>
          <t>Mass.g</t>
        </is>
      </c>
      <c r="AE536" t="inlineStr">
        <is>
          <t>primary</t>
        </is>
      </c>
    </row>
    <row r="537" ht="15" customHeight="1">
      <c r="A537" t="inlineStr">
        <is>
          <t>Seelke, A. M. H., Dooley, J. C., &amp; Krubitzer, L. A. (2014). The cellular composition of the marsupial neocortex. Journal of Comparative Neurology, 522(10), 2286-2298. https://doi.org/10.1002/cne.23534</t>
        </is>
      </c>
      <c r="B537" s="20"/>
      <c r="D537" t="inlineStr">
        <is>
          <t>Table 4</t>
        </is>
      </c>
      <c r="E537" s="10" t="str">
        <f>SUBSTITUTE(SUBSTITUTE(_xlfn.TEXTBEFORE(A537,","), "-", ""), " ", "")</f>
        <v>Seelke</v>
      </c>
      <c r="F537" s="10"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10" t="str">
        <f>_xlfn.TEXTBEFORE(_xlfn.TEXTAFTER(A537, "("), ")")</f>
        <v>2014</v>
      </c>
      <c r="H537" s="10" t="str">
        <f>E537 &amp; IF(F537&lt;&gt;"", "_" &amp; SUBSTITUTE(F537," ",""), "_") &amp; IF(G537&lt;&gt;"", "_" &amp; G537, "_") &amp; IF(B537&lt;&gt;"", "_" &amp; B537, "")</f>
        <v>Seelke_etal_2014</v>
      </c>
      <c r="I537" s="10" t="str">
        <f>_xlfn.LET(
_xlpm.doi,IF(C537&lt;&gt;"",C537,_xlfn.TEXTAFTER(A537,"https://doi.org/")),
SUBSTITUTE(
SUBSTITUTE(
SUBSTITUTE(
SUBSTITUTE(
_xlpm.doi,
"/","%2F"),
":","%3A"),
"&lt;","%3C"),
"&gt;","%3E")
)</f>
        <v>10.1002%2Fcne.23534</v>
      </c>
      <c r="J537" s="10" t="str">
        <f>TRIM(_xlfn.TEXTJOIN("_",FALSE(),H537,(SUBSTITUTE(SUBSTITUTE(D537," ",""), "_", ""))))</f>
        <v>Seelke_etal_2014_Table4</v>
      </c>
      <c r="K537" s="10" t="str">
        <f>I537 &amp; "_" &amp; SUBSTITUTE(SUBSTITUTE(SUBSTITUTE(D537,CHAR(160),"")," ",""),"_","")</f>
        <v>10.1002%2Fcne.23534_Table4</v>
      </c>
      <c r="L537" s="10" t="str">
        <f t="array" ref="L537">IFERROR(INDEX(AUTO_Public_TSV_FileList!$A$1:$A$1000,MATCH(TRUE(),EXACT(K537,IFERROR(_xlfn.TEXTBEFORE(AUTO_Public_TSV_FileList!$A$1:$A$1000,".tsv"),"")),0)),"notfound")</f>
        <v>10.1002%2Fcne.23534_Table4.tsv</v>
      </c>
      <c r="M537" t="inlineStr">
        <is>
          <t>Table 4. Proportion of Neurons Contained Within Each Cortical Region</t>
        </is>
      </c>
      <c r="N537" t="inlineStr">
        <is>
          <t>PDF table (constructed transcribed snapshot)</t>
        </is>
      </c>
      <c r="O537" t="inlineStr">
        <is>
          <t>Group means (n=5) of cells, % neurons, neurons, non-neurons per cortical region. Isotropic fractionator, not stereology. Lewitus 2014 ref 61. Text says V1 neurons 0.25 vs table 0.23.</t>
        </is>
      </c>
      <c r="P537" t="inlineStr">
        <is>
          <t>PREPARED (CSV built; owner registry paste / public TSV pending; RA side-by-side check pending)</t>
        </is>
      </c>
      <c r="Q537" t="inlineStr">
        <is>
          <t>Seelke_etal_2014_Table4_snapshot.csv</t>
        </is>
      </c>
      <c r="R537" t="inlineStr">
        <is>
          <t>https://doi.org/10.1002/cne.23534</t>
        </is>
      </c>
      <c r="W537" t="inlineStr">
        <is>
          <t>Monodelphis domestica (short-tailed opossum)</t>
        </is>
      </c>
      <c r="X537" t="inlineStr">
        <is>
          <t>total cells; neurons; non-neuronal cells; percent neurons</t>
        </is>
      </c>
      <c r="Y537" t="inlineStr">
        <is>
          <t>cortical region (V1, S1, A1, remaining)</t>
        </is>
      </c>
      <c r="Z537" t="inlineStr">
        <is>
          <t>fixed brain tissue (paraformaldehyde-perfused), dissociated nuclei</t>
        </is>
      </c>
      <c r="AA537" t="inlineStr">
        <is>
          <t>isotropic fractionator (DAPI nuclei count + NeuN flow cytometry)</t>
        </is>
      </c>
      <c r="AB537" t="inlineStr">
        <is>
          <t>C.n; N.n; O.n; p.C.N</t>
        </is>
      </c>
      <c r="AE537" t="inlineStr">
        <is>
          <t>primary</t>
        </is>
      </c>
    </row>
    <row r="538" ht="15" customHeight="1">
      <c r="A538" t="inlineStr">
        <is>
          <t>Seelke, A. M. H., Dooley, J. C., &amp; Krubitzer, L. A. (2014). The cellular composition of the marsupial neocortex. Journal of Comparative Neurology, 522(10), 2286-2298. https://doi.org/10.1002/cne.23534</t>
        </is>
      </c>
      <c r="B538" s="20"/>
      <c r="D538" t="inlineStr">
        <is>
          <t>Table 5</t>
        </is>
      </c>
      <c r="E538" s="10" t="str">
        <f>SUBSTITUTE(SUBSTITUTE(_xlfn.TEXTBEFORE(A538,","), "-", ""), " ", "")</f>
        <v>Seelke</v>
      </c>
      <c r="F538" s="10"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10" t="str">
        <f>_xlfn.TEXTBEFORE(_xlfn.TEXTAFTER(A538, "("), ")")</f>
        <v>2014</v>
      </c>
      <c r="H538" s="10" t="str">
        <f>E538 &amp; IF(F538&lt;&gt;"", "_" &amp; SUBSTITUTE(F538," ",""), "_") &amp; IF(G538&lt;&gt;"", "_" &amp; G538, "_") &amp; IF(B538&lt;&gt;"", "_" &amp; B538, "")</f>
        <v>Seelke_etal_2014</v>
      </c>
      <c r="I538" s="10" t="str">
        <f>_xlfn.LET(
_xlpm.doi,IF(C538&lt;&gt;"",C538,_xlfn.TEXTAFTER(A538,"https://doi.org/")),
SUBSTITUTE(
SUBSTITUTE(
SUBSTITUTE(
SUBSTITUTE(
_xlpm.doi,
"/","%2F"),
":","%3A"),
"&lt;","%3C"),
"&gt;","%3E")
)</f>
        <v>10.1002%2Fcne.23534</v>
      </c>
      <c r="J538" s="10" t="str">
        <f>TRIM(_xlfn.TEXTJOIN("_",FALSE(),H538,(SUBSTITUTE(SUBSTITUTE(D538," ",""), "_", ""))))</f>
        <v>Seelke_etal_2014_Table5</v>
      </c>
      <c r="K538" s="10" t="str">
        <f>I538 &amp; "_" &amp; SUBSTITUTE(SUBSTITUTE(SUBSTITUTE(D538,CHAR(160),"")," ",""),"_","")</f>
        <v>10.1002%2Fcne.23534_Table5</v>
      </c>
      <c r="L538" s="10" t="str">
        <f t="array" ref="L538">IFERROR(INDEX(AUTO_Public_TSV_FileList!$A$1:$A$1000,MATCH(TRUE(),EXACT(K538,IFERROR(_xlfn.TEXTBEFORE(AUTO_Public_TSV_FileList!$A$1:$A$1000,".tsv"),"")),0)),"notfound")</f>
        <v>10.1002%2Fcne.23534_Table5.tsv</v>
      </c>
      <c r="M538" t="inlineStr">
        <is>
          <t>Table 5. Cellular Density</t>
        </is>
      </c>
      <c r="N538" t="inlineStr">
        <is>
          <t>PDF table (constructed transcribed snapshot)</t>
        </is>
      </c>
      <c r="O538" t="inlineStr">
        <is>
          <t>Group means (n=5) of cell / neuron / non-neuron densities per g of cortex region. Isotropic fractionator. Lewitus 2014 ref 61.</t>
        </is>
      </c>
      <c r="P538" t="inlineStr">
        <is>
          <t>PREPARED (CSV built; owner registry paste / public TSV pending; RA side-by-side check pending)</t>
        </is>
      </c>
      <c r="Q538" t="inlineStr">
        <is>
          <t>Seelke_etal_2014_Table5_snapshot.csv</t>
        </is>
      </c>
      <c r="R538" t="inlineStr">
        <is>
          <t>https://doi.org/10.1002/cne.23534</t>
        </is>
      </c>
      <c r="W538" t="inlineStr">
        <is>
          <t>Monodelphis domestica (short-tailed opossum)</t>
        </is>
      </c>
      <c r="X538" t="inlineStr">
        <is>
          <t>cell, neuron and non-neuron density per g</t>
        </is>
      </c>
      <c r="Y538" t="inlineStr">
        <is>
          <t>cortical region</t>
        </is>
      </c>
      <c r="Z538" t="inlineStr">
        <is>
          <t>fixed brain tissue (paraformaldehyde-perfused), dissociated nuclei</t>
        </is>
      </c>
      <c r="AA538" t="inlineStr">
        <is>
          <t>isotropic fractionator (DAPI nuclei count + NeuN flow cytometry)</t>
        </is>
      </c>
      <c r="AB538" t="inlineStr">
        <is>
          <t>C.p.g; N.p.g; O.p.g</t>
        </is>
      </c>
      <c r="AE538" t="inlineStr">
        <is>
          <t>primary</t>
        </is>
      </c>
    </row>
    <row r="539" ht="15" customHeight="1">
      <c r="A539" t="inlineStr">
        <is>
          <t>Seelke, A. M. H., Yuan, S.-M., Perkeybile, A. M., Krubitzer, L. A., &amp; Bales, K. L. (2016). Early experiences can alter the size of cortical fields in prairie voles (Microtus ochrogaster). Environmental Epigenetics, 2(3), dvw019. https://doi.org/10.1093/eep/dvw019</t>
        </is>
      </c>
      <c r="D539" t="inlineStr">
        <is>
          <t>Table 2</t>
        </is>
      </c>
      <c r="E539" s="2" t="str">
        <f>SUBSTITUTE(SUBSTITUTE(_xlfn.TEXTBEFORE(A539,","), "-", ""), " ", "")</f>
        <v>Seelke</v>
      </c>
      <c r="F539" s="7"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7" t="str">
        <f>_xlfn.TEXTBEFORE(_xlfn.TEXTAFTER(A539, "("), ")")</f>
        <v>2016</v>
      </c>
      <c r="H539" s="2" t="str">
        <f>E539 &amp; IF(F539&lt;&gt;"", "_" &amp; SUBSTITUTE(F539," ",""), "_") &amp; IF(G539&lt;&gt;"", "_" &amp; G539, "_") &amp; IF(B539&lt;&gt;"", "_" &amp; B539, "")</f>
        <v>Seelke_etal_2016</v>
      </c>
      <c r="I539" s="2" t="str">
        <f>_xlfn.LET(_xlpm.doi,IF(C539&lt;&gt;"",C539,_xlfn.TEXTAFTER(A539,"https://doi.org/")),SUBSTITUTE(SUBSTITUTE(SUBSTITUTE(SUBSTITUTE(_xlpm.doi,"/","%2F"),":","%3A"),"&lt;","%3C"),"&gt;","%3E"))</f>
        <v>10.1093%2Feep%2Fdvw019</v>
      </c>
      <c r="J539" s="2" t="str">
        <f>TRIM(_xlfn.TEXTJOIN("_",FALSE(),H539,(SUBSTITUTE(SUBSTITUTE(D539," ",""), "_", ""))))</f>
        <v>Seelke_etal_2016_Table2</v>
      </c>
      <c r="K539" s="7" t="str">
        <f>I539 &amp; "_" &amp; SUBSTITUTE(SUBSTITUTE(SUBSTITUTE(D539,CHAR(160),"")," ",""),"_","")</f>
        <v>10.1093%2Feep%2Fdvw019_Table2</v>
      </c>
      <c r="L539" s="7" t="str">
        <f t="array" ref="L539">IFERROR(INDEX(AUTO_Public_TSV_FileList!$A$1:$A$1000,MATCH(TRUE(),EXACT(K539,IFERROR(_xlfn.TEXTBEFORE(AUTO_Public_TSV_FileList!$A$1:$A$1000,".tsv"),"")),0)),"notfound")</f>
        <v>10.1093%2Feep%2Fdvw019_Table2.tsv</v>
      </c>
      <c r="N539" t="inlineStr">
        <is>
          <t>digital-native PDF; manually transcribed printed table and Methods sample sizes</t>
        </is>
      </c>
      <c r="O539" t="inlineStr">
        <is>
          <t>Ten group × sex summaries, 64 animals total; values are mean ± SE percentages of adjusted cortical-sheet area.</t>
        </is>
      </c>
      <c r="P539" t="inlineStr">
        <is>
          <t>PREPARED (CSV built; owner registry paste / public TSV pending)</t>
        </is>
      </c>
      <c r="Q539" t="inlineStr">
        <is>
          <t>Seelke_etal_2016_Table2_snapshot.csv; Seelke_etal_2016_Table2_sample_sizes_snapshot.csv</t>
        </is>
      </c>
      <c r="R539" t="inlineStr">
        <is>
          <t>https://doi.org/10.1093/eep/dvw019</t>
        </is>
      </c>
      <c r="S539" t="inlineStr">
        <is>
          <t>Group/sex n values verified in Methods; hemisphere averaging recorded.</t>
        </is>
      </c>
      <c r="T539" t="inlineStr">
        <is>
          <t>No absolute mm² measurements available.</t>
        </is>
      </c>
      <c r="V539" t="inlineStr">
        <is>
          <t>cortical field proportions; developmental plasticity</t>
        </is>
      </c>
      <c r="W539" t="inlineStr">
        <is>
          <t>Microtus ochrogaster</t>
        </is>
      </c>
      <c r="X539" t="inlineStr">
        <is>
          <t>S1; S2/PV; M1; V1; V2; auditory cortex; total myelinated cortex (% cortical sheet)</t>
        </is>
      </c>
      <c r="Y539" t="inlineStr">
        <is>
          <t>sex; parental-contact and oxytocin treatment groups; SE</t>
        </is>
      </c>
      <c r="Z539" t="inlineStr">
        <is>
          <t>histological; flattened cortex</t>
        </is>
      </c>
      <c r="AA539" t="inlineStr">
        <is>
          <t>myelin-defined architectonic boundaries; planimetric area proportions</t>
        </is>
      </c>
      <c r="AB539" t="inlineStr">
        <is>
          <t>mean percent; SE</t>
        </is>
      </c>
      <c r="AC539" t="inlineStr">
        <is>
          <t>Krubitzer</t>
        </is>
      </c>
      <c r="AE539" t="inlineStr">
        <is>
          <t>primary</t>
        </is>
      </c>
    </row>
    <row r="540" ht="15" customHeight="1">
      <c r="A540" s="15" t="inlineStr">
        <is>
          <t>Semendeferi, K., &amp; Damasio, H. (2000). The brain and its main anatomical subdivisions in living hominoids using magnetic resonance imaging. J Hum Evol, 38(2), 317-332. https://doi.org/10.1006/jhev.1999.0381</t>
        </is>
      </c>
      <c r="B540" s="19"/>
      <c r="C540" s="19"/>
      <c r="D540" s="15" t="inlineStr">
        <is>
          <t>Table 2</t>
        </is>
      </c>
      <c r="E540" s="10" t="str">
        <f>SUBSTITUTE(SUBSTITUTE(_xlfn.TEXTBEFORE(A540,","), "-", ""), " ", "")</f>
        <v>Semendeferi</v>
      </c>
      <c r="F540" s="10"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40" s="10" t="str">
        <f>_xlfn.TEXTBEFORE(_xlfn.TEXTAFTER(A540, "("), ")")</f>
        <v>2000</v>
      </c>
      <c r="H540" s="10" t="str">
        <f>E540 &amp; IF(F540&lt;&gt;"", "_" &amp; SUBSTITUTE(F540," ",""), "_") &amp; IF(G540&lt;&gt;"", "_" &amp; G540, "_") &amp; IF(B540&lt;&gt;"", "_" &amp; B540, "")</f>
        <v>Semendeferi__2000</v>
      </c>
      <c r="I540" s="10" t="str">
        <f>_xlfn.LET(
_xlpm.doi,IF(C540&lt;&gt;"",C540,_xlfn.TEXTAFTER(A540,"https://doi.org/")),
SUBSTITUTE(
SUBSTITUTE(
SUBSTITUTE(
SUBSTITUTE(
_xlpm.doi,
"/","%2F"),
":","%3A"),
"&lt;","%3C"),
"&gt;","%3E")
)</f>
        <v>10.1006%2Fjhev.1999.0381</v>
      </c>
      <c r="J540" s="10" t="str">
        <f>TRIM(_xlfn.TEXTJOIN("_",FALSE(),H540,(SUBSTITUTE(SUBSTITUTE(D540," ",""), "_", ""))))</f>
        <v>Semendeferi__2000_Table2</v>
      </c>
      <c r="K540" s="10" t="str">
        <f>I540 &amp; "_" &amp; SUBSTITUTE(SUBSTITUTE(SUBSTITUTE(D540,CHAR(160),"")," ",""),"_","")</f>
        <v>10.1006%2Fjhev.1999.0381_Table2</v>
      </c>
      <c r="L540" s="10" t="str">
        <f t="array" ref="L540">IFERROR(INDEX(AUTO_Public_TSV_FileList!$A$1:$A$1000,MATCH(TRUE(),EXACT(K540,IFERROR(_xlfn.TEXTBEFORE(AUTO_Public_TSV_FileList!$A$1:$A$1000,".tsv"),"")),0)),"notfound")</f>
        <v>10.1006%2Fjhev.1999.0381_Table2.tsv</v>
      </c>
      <c r="M540" s="19"/>
      <c r="N540" s="19"/>
      <c r="O540" s="19"/>
      <c r="P540" s="15" t="inlineStr">
        <is>
          <t>FINISHED</t>
        </is>
      </c>
      <c r="Q540" s="19"/>
      <c r="R540" s="19"/>
      <c r="S540" s="19"/>
      <c r="T540" s="19"/>
      <c r="U540" s="19"/>
      <c r="V540" s="19"/>
      <c r="W540" s="19"/>
      <c r="X540" s="19"/>
      <c r="Y540" s="19"/>
      <c r="Z540" s="19"/>
      <c r="AA540" s="19"/>
      <c r="AB540" s="19"/>
      <c r="AC540" s="19"/>
      <c r="AD540" s="19"/>
      <c r="AE540" s="19"/>
      <c r="AF540" s="19"/>
      <c r="AG540" s="19"/>
    </row>
    <row r="541" ht="15" customHeight="1">
      <c r="A541" s="15" t="inlineStr">
        <is>
          <t>Semendeferi, K., Armstrong, E., Schleicher, A., Zilles, K., &amp; Van Hoesen, G. W. (1998). Limbic frontal cortex in hominoids: a comparative study of area 13. Am J Phys Anthropol, 106(2), 129-155. https://doi.org/10.1002/(SICI)1096-8644(199806)106:2&lt;129::AID-AJPA3&gt;3.0.CO;2-L</t>
        </is>
      </c>
      <c r="B541" s="19"/>
      <c r="C541" s="19"/>
      <c r="D541" s="15" t="inlineStr">
        <is>
          <t>TABLE 2</t>
        </is>
      </c>
      <c r="E541" s="10" t="str">
        <f>SUBSTITUTE(SUBSTITUTE(_xlfn.TEXTBEFORE(A541,","), "-", ""), " ", "")</f>
        <v>Semendeferi</v>
      </c>
      <c r="F541" s="10"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10" t="str">
        <f>_xlfn.TEXTBEFORE(_xlfn.TEXTAFTER(A541, "("), ")")</f>
        <v>1998</v>
      </c>
      <c r="H541" s="10" t="str">
        <f>E541 &amp; IF(F541&lt;&gt;"", "_" &amp; SUBSTITUTE(F541," ",""), "_") &amp; IF(G541&lt;&gt;"", "_" &amp; G541, "_") &amp; IF(B541&lt;&gt;"", "_" &amp; B541, "")</f>
        <v>Semendeferi_etal_1998</v>
      </c>
      <c r="I541" s="10" t="str">
        <f>_xlfn.LET(
_xlpm.doi,IF(C541&lt;&gt;"",C541,_xlfn.TEXTAFTER(A541,"https://doi.org/")),
SUBSTITUTE(
SUBSTITUTE(
SUBSTITUTE(
SUBSTITUTE(
_xlpm.doi,
"/","%2F"),
":","%3A"),
"&lt;","%3C"),
"&gt;","%3E")
)</f>
        <v>10.1002%2F(SICI)1096-8644(199806)106%3A2&lt;129%3A%3AAID-AJPA3&gt;3.0.CO;2-L</v>
      </c>
      <c r="J541" s="10" t="str">
        <f>TRIM(_xlfn.TEXTJOIN("_",FALSE(),H541,(SUBSTITUTE(SUBSTITUTE(D541," ",""), "_", ""))))</f>
        <v>Semendeferi_etal_1998_TABLE2</v>
      </c>
      <c r="K541" s="10" t="str">
        <f>I541 &amp; "_" &amp; SUBSTITUTE(SUBSTITUTE(SUBSTITUTE(D541,CHAR(160),"")," ",""),"_","")</f>
        <v>10.1002%2F(SICI)1096-8644(199806)106%3A2&lt;129%3A%3AAID-AJPA3&gt;3.0.CO;2-L_TABLE2</v>
      </c>
      <c r="L541" s="10" t="str">
        <f t="array" ref="L541">IFERROR(INDEX(AUTO_Public_TSV_FileList!$A$1:$A$1000,MATCH(TRUE(),EXACT(K541,IFERROR(_xlfn.TEXTBEFORE(AUTO_Public_TSV_FileList!$A$1:$A$1000,".tsv"),"")),0)),"notfound")</f>
        <v>notfound</v>
      </c>
      <c r="M541" s="15" t="inlineStr">
        <is>
          <t>TABLE 2. Volumes of the brain and area 13 in all hominoids</t>
        </is>
      </c>
      <c r="N541" s="19"/>
      <c r="O541" s="19"/>
      <c r="P541" s="15" t="inlineStr">
        <is>
          <t>FINISHED</t>
        </is>
      </c>
      <c r="Q541" s="19"/>
      <c r="R541" s="19"/>
      <c r="S541" s="19"/>
      <c r="T541" s="19"/>
      <c r="U541" s="19"/>
      <c r="V541" s="19"/>
      <c r="W541" s="15" t="inlineStr">
        <is>
          <t>Apes &amp; humans</t>
        </is>
      </c>
      <c r="X541" s="15" t="inlineStr">
        <is>
          <t>frontal lobe / limbic volume</t>
        </is>
      </c>
      <c r="Y541" s="19"/>
      <c r="Z541" s="15" t="inlineStr">
        <is>
          <t>histological sections</t>
        </is>
      </c>
      <c r="AA541" s="15" t="inlineStr">
        <is>
          <t>volumetry</t>
        </is>
      </c>
      <c r="AB541" s="15" t="inlineStr">
        <is>
          <t>volume</t>
        </is>
      </c>
      <c r="AC541" s="15" t="inlineStr">
        <is>
          <t>Zilles</t>
        </is>
      </c>
      <c r="AD541" s="19"/>
      <c r="AE541" s="15" t="inlineStr">
        <is>
          <t>primary</t>
        </is>
      </c>
      <c r="AF541" s="15"/>
      <c r="AG541" s="19"/>
    </row>
    <row r="542" ht="15" customHeight="1">
      <c r="A542" s="15" t="inlineStr">
        <is>
          <t>Semendeferi, K., Armstrong, E., Schleicher, A., Zilles, K., &amp; Van Hoesen, G. W. (1998). Limbic frontal cortex in hominoids: a comparative study of area 13. Am J Phys Anthropol, 106(2), 129-155. https://doi.org/10.1002/(SICI)1096-8644(199806)106:2&lt;129::AID-AJPA3&gt;3.0.CO;2-L</t>
        </is>
      </c>
      <c r="B542" s="19"/>
      <c r="C542" s="19"/>
      <c r="D542" s="15" t="inlineStr">
        <is>
          <t>TABLE 4</t>
        </is>
      </c>
      <c r="E542" s="10" t="str">
        <f>SUBSTITUTE(SUBSTITUTE(_xlfn.TEXTBEFORE(A542,","), "-", ""), " ", "")</f>
        <v>Semendeferi</v>
      </c>
      <c r="F542" s="10"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10" t="str">
        <f>_xlfn.TEXTBEFORE(_xlfn.TEXTAFTER(A542, "("), ")")</f>
        <v>1998</v>
      </c>
      <c r="H542" s="10" t="str">
        <f>E542 &amp; IF(F542&lt;&gt;"", "_" &amp; SUBSTITUTE(F542," ",""), "_") &amp; IF(G542&lt;&gt;"", "_" &amp; G542, "_") &amp; IF(B542&lt;&gt;"", "_" &amp; B542, "")</f>
        <v>Semendeferi_etal_1998</v>
      </c>
      <c r="I542" s="10" t="str">
        <f>_xlfn.LET(
_xlpm.doi,IF(C542&lt;&gt;"",C542,_xlfn.TEXTAFTER(A542,"https://doi.org/")),
SUBSTITUTE(
SUBSTITUTE(
SUBSTITUTE(
SUBSTITUTE(
_xlpm.doi,
"/","%2F"),
":","%3A"),
"&lt;","%3C"),
"&gt;","%3E")
)</f>
        <v>10.1002%2F(SICI)1096-8644(199806)106%3A2&lt;129%3A%3AAID-AJPA3&gt;3.0.CO;2-L</v>
      </c>
      <c r="J542" s="10" t="str">
        <f>TRIM(_xlfn.TEXTJOIN("_",FALSE(),H542,(SUBSTITUTE(SUBSTITUTE(D542," ",""), "_", ""))))</f>
        <v>Semendeferi_etal_1998_TABLE4</v>
      </c>
      <c r="K542" s="10" t="str">
        <f>I542 &amp; "_" &amp; SUBSTITUTE(SUBSTITUTE(SUBSTITUTE(D542,CHAR(160),"")," ",""),"_","")</f>
        <v>10.1002%2F(SICI)1096-8644(199806)106%3A2&lt;129%3A%3AAID-AJPA3&gt;3.0.CO;2-L_TABLE4</v>
      </c>
      <c r="L542" s="10" t="str">
        <f t="array" ref="L542">IFERROR(INDEX(AUTO_Public_TSV_FileList!$A$1:$A$1000,MATCH(TRUE(),EXACT(K542,IFERROR(_xlfn.TEXTBEFORE(AUTO_Public_TSV_FileList!$A$1:$A$1000,".tsv"),"")),0)),"notfound")</f>
        <v>notfound</v>
      </c>
      <c r="M542" s="15" t="inlineStr">
        <is>
          <t>TABLE 4. Grey-Level Index in area 13</t>
        </is>
      </c>
      <c r="N542" s="19"/>
      <c r="O542" s="19"/>
      <c r="P542" s="15"/>
      <c r="Q542" s="19"/>
      <c r="R542" s="19"/>
      <c r="S542" s="19"/>
      <c r="T542" s="19"/>
      <c r="U542" s="19"/>
      <c r="V542" s="19"/>
      <c r="W542" s="15" t="inlineStr">
        <is>
          <t>Apes &amp; humans</t>
        </is>
      </c>
      <c r="X542" s="15" t="inlineStr">
        <is>
          <t>frontal lobe / limbic volume</t>
        </is>
      </c>
      <c r="Y542" s="19"/>
      <c r="Z542" s="15" t="inlineStr">
        <is>
          <t>histological sections</t>
        </is>
      </c>
      <c r="AA542" s="15" t="inlineStr">
        <is>
          <t>volumetry</t>
        </is>
      </c>
      <c r="AB542" s="15" t="inlineStr">
        <is>
          <t>volume</t>
        </is>
      </c>
      <c r="AC542" s="15" t="inlineStr">
        <is>
          <t>Zilles</t>
        </is>
      </c>
      <c r="AD542" s="19"/>
      <c r="AE542" s="15" t="inlineStr">
        <is>
          <t>primary</t>
        </is>
      </c>
      <c r="AF542" s="15"/>
      <c r="AG542" s="19"/>
    </row>
    <row r="543" ht="15" customHeight="1">
      <c r="A543" s="15" t="inlineStr">
        <is>
          <t>Semendeferi, K., Armstrong, E., Schleicher, A., Zilles, K., &amp; Van Hoesen, G. W. (1998). Limbic frontal cortex in hominoids: a comparative study of area 13. Am J Phys Anthropol, 106(2), 129-155. https://doi.org/10.1002/(SICI)1096-8644(199806)106:2&lt;129::AID-AJPA3&gt;3.0.CO;2-L</t>
        </is>
      </c>
      <c r="B543" s="19"/>
      <c r="C543" s="19"/>
      <c r="D543" s="15" t="inlineStr">
        <is>
          <t>TABLE 5</t>
        </is>
      </c>
      <c r="E543" s="10" t="str">
        <f>SUBSTITUTE(SUBSTITUTE(_xlfn.TEXTBEFORE(A543,","), "-", ""), " ", "")</f>
        <v>Semendeferi</v>
      </c>
      <c r="F543" s="10"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10" t="str">
        <f>_xlfn.TEXTBEFORE(_xlfn.TEXTAFTER(A543, "("), ")")</f>
        <v>1998</v>
      </c>
      <c r="H543" s="10" t="str">
        <f>E543 &amp; IF(F543&lt;&gt;"", "_" &amp; SUBSTITUTE(F543," ",""), "_") &amp; IF(G543&lt;&gt;"", "_" &amp; G543, "_") &amp; IF(B543&lt;&gt;"", "_" &amp; B543, "")</f>
        <v>Semendeferi_etal_1998</v>
      </c>
      <c r="I543" s="10" t="str">
        <f>_xlfn.LET(
_xlpm.doi,IF(C543&lt;&gt;"",C543,_xlfn.TEXTAFTER(A543,"https://doi.org/")),
SUBSTITUTE(
SUBSTITUTE(
SUBSTITUTE(
SUBSTITUTE(
_xlpm.doi,
"/","%2F"),
":","%3A"),
"&lt;","%3C"),
"&gt;","%3E")
)</f>
        <v>10.1002%2F(SICI)1096-8644(199806)106%3A2&lt;129%3A%3AAID-AJPA3&gt;3.0.CO;2-L</v>
      </c>
      <c r="J543" s="10" t="str">
        <f>TRIM(_xlfn.TEXTJOIN("_",FALSE(),H543,(SUBSTITUTE(SUBSTITUTE(D543," ",""), "_", ""))))</f>
        <v>Semendeferi_etal_1998_TABLE5</v>
      </c>
      <c r="K543" s="10" t="str">
        <f>I543 &amp; "_" &amp; SUBSTITUTE(SUBSTITUTE(SUBSTITUTE(D543,CHAR(160),"")," ",""),"_","")</f>
        <v>10.1002%2F(SICI)1096-8644(199806)106%3A2&lt;129%3A%3AAID-AJPA3&gt;3.0.CO;2-L_TABLE5</v>
      </c>
      <c r="L543" s="10" t="str">
        <f t="array" ref="L543">IFERROR(INDEX(AUTO_Public_TSV_FileList!$A$1:$A$1000,MATCH(TRUE(),EXACT(K543,IFERROR(_xlfn.TEXTBEFORE(AUTO_Public_TSV_FileList!$A$1:$A$1000,".tsv"),"")),0)),"notfound")</f>
        <v>notfound</v>
      </c>
      <c r="M543" s="15" t="inlineStr">
        <is>
          <t>TABLE 5. Total numbers of neurons and neuronal_x000D_density (per mm3) in area 13</t>
        </is>
      </c>
      <c r="N543" s="19"/>
      <c r="O543" s="19"/>
      <c r="P543" s="15"/>
      <c r="Q543" s="19"/>
      <c r="R543" s="19"/>
      <c r="S543" s="19"/>
      <c r="T543" s="19"/>
      <c r="U543" s="19"/>
      <c r="V543" s="19"/>
      <c r="W543" s="15" t="inlineStr">
        <is>
          <t>Apes &amp; humans</t>
        </is>
      </c>
      <c r="X543" s="15" t="inlineStr">
        <is>
          <t>frontal lobe / limbic volume</t>
        </is>
      </c>
      <c r="Y543" s="19"/>
      <c r="Z543" s="15" t="inlineStr">
        <is>
          <t>histological sections</t>
        </is>
      </c>
      <c r="AA543" s="15" t="inlineStr">
        <is>
          <t>volumetry</t>
        </is>
      </c>
      <c r="AB543" s="15" t="inlineStr">
        <is>
          <t>volume</t>
        </is>
      </c>
      <c r="AC543" s="15" t="inlineStr">
        <is>
          <t>Zilles</t>
        </is>
      </c>
      <c r="AD543" s="19"/>
      <c r="AE543" s="15" t="inlineStr">
        <is>
          <t>primary</t>
        </is>
      </c>
      <c r="AF543" s="15"/>
      <c r="AG543" s="19"/>
    </row>
    <row r="544" ht="15" customHeight="1">
      <c r="A544" s="15" t="inlineStr">
        <is>
          <t>Semendeferi, K., Armstrong, E., Schleicher, A., Zilles, K., &amp; Van Hoesen, G. W. (2001). Prefrontal cortex in humans and apes: a comparative study of area 10. Am J Phys Anthropol, 114(3), 224-241. https://doi.org/10.1002/1096-8644(200103)114:3&lt;224::AID-AJPA1022&gt;3.0.CO;2-I</t>
        </is>
      </c>
      <c r="B544" s="19"/>
      <c r="C544" s="19"/>
      <c r="D544" s="15" t="inlineStr">
        <is>
          <t>TABLE 2</t>
        </is>
      </c>
      <c r="E544" s="10" t="str">
        <f>SUBSTITUTE(SUBSTITUTE(_xlfn.TEXTBEFORE(A544,","), "-", ""), " ", "")</f>
        <v>Semendeferi</v>
      </c>
      <c r="F544" s="10"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10" t="str">
        <f>_xlfn.TEXTBEFORE(_xlfn.TEXTAFTER(A544, "("), ")")</f>
        <v>2001</v>
      </c>
      <c r="H544" s="10" t="str">
        <f>E544 &amp; IF(F544&lt;&gt;"", "_" &amp; SUBSTITUTE(F544," ",""), "_") &amp; IF(G544&lt;&gt;"", "_" &amp; G544, "_") &amp; IF(B544&lt;&gt;"", "_" &amp; B544, "")</f>
        <v>Semendeferi_etal_2001</v>
      </c>
      <c r="I544" s="10" t="str">
        <f>_xlfn.LET(
_xlpm.doi,IF(C544&lt;&gt;"",C544,_xlfn.TEXTAFTER(A544,"https://doi.org/")),
SUBSTITUTE(
SUBSTITUTE(
SUBSTITUTE(
SUBSTITUTE(
_xlpm.doi,
"/","%2F"),
":","%3A"),
"&lt;","%3C"),
"&gt;","%3E")
)</f>
        <v>10.1002%2F1096-8644(200103)114%3A3&lt;224%3A%3AAID-AJPA1022&gt;3.0.CO;2-I</v>
      </c>
      <c r="J544" s="10" t="str">
        <f>TRIM(_xlfn.TEXTJOIN("_",FALSE(),H544,(SUBSTITUTE(SUBSTITUTE(D544," ",""), "_", ""))))</f>
        <v>Semendeferi_etal_2001_TABLE2</v>
      </c>
      <c r="K544" s="10" t="str">
        <f>I544 &amp; "_" &amp; SUBSTITUTE(SUBSTITUTE(SUBSTITUTE(D544,CHAR(160),"")," ",""),"_","")</f>
        <v>10.1002%2F1096-8644(200103)114%3A3&lt;224%3A%3AAID-AJPA1022&gt;3.0.CO;2-I_TABLE2</v>
      </c>
      <c r="L544" s="10" t="str">
        <f t="array" ref="L544">IFERROR(INDEX(AUTO_Public_TSV_FileList!$A$1:$A$1000,MATCH(TRUE(),EXACT(K544,IFERROR(_xlfn.TEXTBEFORE(AUTO_Public_TSV_FileList!$A$1:$A$1000,".tsv"),"")),0)),"notfound")</f>
        <v>notfound</v>
      </c>
      <c r="M544" s="15" t="inlineStr">
        <is>
          <t>TABLE 2. Volumes of the brain and area 10 in all hominoids</t>
        </is>
      </c>
      <c r="N544" s="19"/>
      <c r="O544" s="19"/>
      <c r="P544" s="15" t="inlineStr">
        <is>
          <t>FINISHED</t>
        </is>
      </c>
      <c r="Q544" s="19"/>
      <c r="R544" s="19"/>
      <c r="S544" s="19"/>
      <c r="T544" s="19"/>
      <c r="U544" s="19"/>
      <c r="V544" s="19"/>
      <c r="W544" s="15" t="inlineStr">
        <is>
          <t>Apes &amp; humans</t>
        </is>
      </c>
      <c r="X544" s="15" t="inlineStr">
        <is>
          <t>frontal cortex (area 10) volume</t>
        </is>
      </c>
      <c r="Y544" s="19"/>
      <c r="Z544" s="15" t="inlineStr">
        <is>
          <t>histological sections</t>
        </is>
      </c>
      <c r="AA544" s="15" t="inlineStr">
        <is>
          <t>volumetry</t>
        </is>
      </c>
      <c r="AB544" s="15" t="inlineStr">
        <is>
          <t>volume</t>
        </is>
      </c>
      <c r="AC544" s="15" t="inlineStr">
        <is>
          <t>Zilles</t>
        </is>
      </c>
      <c r="AD544" s="19"/>
      <c r="AE544" s="15" t="inlineStr">
        <is>
          <t>primary</t>
        </is>
      </c>
      <c r="AF544" s="15"/>
      <c r="AG544" s="19"/>
    </row>
    <row r="545" ht="15" customHeight="1">
      <c r="A545" s="15" t="inlineStr">
        <is>
          <t>Semendeferi, K., Armstrong, E., Schleicher, A., Zilles, K., &amp; Van Hoesen, G. W. (2001). Prefrontal cortex in humans and apes: a comparative study of area 10. Am J Phys Anthropol, 114(3), 224-241. https://doi.org/10.1002/1096-8644(200103)114:3&lt;224::AID-AJPA1022&gt;3.0.CO;2-I</t>
        </is>
      </c>
      <c r="B545" s="19"/>
      <c r="C545" s="19"/>
      <c r="D545" s="15" t="inlineStr">
        <is>
          <t>TABLE 3</t>
        </is>
      </c>
      <c r="E545" s="10" t="str">
        <f>SUBSTITUTE(SUBSTITUTE(_xlfn.TEXTBEFORE(A545,","), "-", ""), " ", "")</f>
        <v>Semendeferi</v>
      </c>
      <c r="F545" s="10"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10" t="str">
        <f>_xlfn.TEXTBEFORE(_xlfn.TEXTAFTER(A545, "("), ")")</f>
        <v>2001</v>
      </c>
      <c r="H545" s="10" t="str">
        <f>E545 &amp; IF(F545&lt;&gt;"", "_" &amp; SUBSTITUTE(F545," ",""), "_") &amp; IF(G545&lt;&gt;"", "_" &amp; G545, "_") &amp; IF(B545&lt;&gt;"", "_" &amp; B545, "")</f>
        <v>Semendeferi_etal_2001</v>
      </c>
      <c r="I545" s="10" t="str">
        <f>_xlfn.LET(
_xlpm.doi,IF(C545&lt;&gt;"",C545,_xlfn.TEXTAFTER(A545,"https://doi.org/")),
SUBSTITUTE(
SUBSTITUTE(
SUBSTITUTE(
SUBSTITUTE(
_xlpm.doi,
"/","%2F"),
":","%3A"),
"&lt;","%3C"),
"&gt;","%3E")
)</f>
        <v>10.1002%2F1096-8644(200103)114%3A3&lt;224%3A%3AAID-AJPA1022&gt;3.0.CO;2-I</v>
      </c>
      <c r="J545" s="10" t="str">
        <f>TRIM(_xlfn.TEXTJOIN("_",FALSE(),H545,(SUBSTITUTE(SUBSTITUTE(D545," ",""), "_", ""))))</f>
        <v>Semendeferi_etal_2001_TABLE3</v>
      </c>
      <c r="K545" s="10" t="str">
        <f>I545 &amp; "_" &amp; SUBSTITUTE(SUBSTITUTE(SUBSTITUTE(D545,CHAR(160),"")," ",""),"_","")</f>
        <v>10.1002%2F1096-8644(200103)114%3A3&lt;224%3A%3AAID-AJPA1022&gt;3.0.CO;2-I_TABLE3</v>
      </c>
      <c r="L545" s="10" t="str">
        <f t="array" ref="L545">IFERROR(INDEX(AUTO_Public_TSV_FileList!$A$1:$A$1000,MATCH(TRUE(),EXACT(K545,IFERROR(_xlfn.TEXTBEFORE(AUTO_Public_TSV_FileList!$A$1:$A$1000,".tsv"),"")),0)),"notfound")</f>
        <v>notfound</v>
      </c>
      <c r="M545" s="15" t="inlineStr">
        <is>
          <t>TABLE 3. Grey-level index in area 101</t>
        </is>
      </c>
      <c r="N545" s="19"/>
      <c r="O545" s="19"/>
      <c r="P545" s="15"/>
      <c r="Q545" s="19"/>
      <c r="R545" s="19"/>
      <c r="S545" s="19"/>
      <c r="T545" s="19"/>
      <c r="U545" s="19"/>
      <c r="V545" s="19"/>
      <c r="W545" s="15" t="inlineStr">
        <is>
          <t>Apes &amp; humans</t>
        </is>
      </c>
      <c r="X545" s="15" t="inlineStr">
        <is>
          <t>frontal cortex (area 10) volume</t>
        </is>
      </c>
      <c r="Y545" s="19"/>
      <c r="Z545" s="15" t="inlineStr">
        <is>
          <t>histological sections</t>
        </is>
      </c>
      <c r="AA545" s="15"/>
      <c r="AB545" s="15"/>
      <c r="AC545" s="15" t="inlineStr">
        <is>
          <t>Zilles</t>
        </is>
      </c>
      <c r="AD545" s="19"/>
      <c r="AE545" s="15" t="inlineStr">
        <is>
          <t>primary</t>
        </is>
      </c>
      <c r="AF545" s="15"/>
      <c r="AG545" s="19"/>
    </row>
    <row r="546" ht="15" customHeight="1">
      <c r="A546" s="15" t="inlineStr">
        <is>
          <t>Semendeferi, K., Armstrong, E., Schleicher, A., Zilles, K., &amp; Van Hoesen, G. W. (2001). Prefrontal cortex in humans and apes: a comparative study of area 10. Am J Phys Anthropol, 114(3), 224-241. https://doi.org/10.1002/1096-8644(200103)114:3&lt;224::AID-AJPA1022&gt;3.0.CO;2-I</t>
        </is>
      </c>
      <c r="B546" s="19"/>
      <c r="C546" s="19"/>
      <c r="D546" s="15" t="inlineStr">
        <is>
          <t>TABLE 4</t>
        </is>
      </c>
      <c r="E546" s="10" t="str">
        <f>SUBSTITUTE(SUBSTITUTE(_xlfn.TEXTBEFORE(A546,","), "-", ""), " ", "")</f>
        <v>Semendeferi</v>
      </c>
      <c r="F546" s="10"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10" t="str">
        <f>_xlfn.TEXTBEFORE(_xlfn.TEXTAFTER(A546, "("), ")")</f>
        <v>2001</v>
      </c>
      <c r="H546" s="10" t="str">
        <f>E546 &amp; IF(F546&lt;&gt;"", "_" &amp; SUBSTITUTE(F546," ",""), "_") &amp; IF(G546&lt;&gt;"", "_" &amp; G546, "_") &amp; IF(B546&lt;&gt;"", "_" &amp; B546, "")</f>
        <v>Semendeferi_etal_2001</v>
      </c>
      <c r="I546" s="10" t="str">
        <f>_xlfn.LET(
_xlpm.doi,IF(C546&lt;&gt;"",C546,_xlfn.TEXTAFTER(A546,"https://doi.org/")),
SUBSTITUTE(
SUBSTITUTE(
SUBSTITUTE(
SUBSTITUTE(
_xlpm.doi,
"/","%2F"),
":","%3A"),
"&lt;","%3C"),
"&gt;","%3E")
)</f>
        <v>10.1002%2F1096-8644(200103)114%3A3&lt;224%3A%3AAID-AJPA1022&gt;3.0.CO;2-I</v>
      </c>
      <c r="J546" s="10" t="str">
        <f>TRIM(_xlfn.TEXTJOIN("_",FALSE(),H546,(SUBSTITUTE(SUBSTITUTE(D546," ",""), "_", ""))))</f>
        <v>Semendeferi_etal_2001_TABLE4</v>
      </c>
      <c r="K546" s="10" t="str">
        <f>I546 &amp; "_" &amp; SUBSTITUTE(SUBSTITUTE(SUBSTITUTE(D546,CHAR(160),"")," ",""),"_","")</f>
        <v>10.1002%2F1096-8644(200103)114%3A3&lt;224%3A%3AAID-AJPA1022&gt;3.0.CO;2-I_TABLE4</v>
      </c>
      <c r="L546" s="10" t="str">
        <f t="array" ref="L546">IFERROR(INDEX(AUTO_Public_TSV_FileList!$A$1:$A$1000,MATCH(TRUE(),EXACT(K546,IFERROR(_xlfn.TEXTBEFORE(AUTO_Public_TSV_FileList!$A$1:$A$1000,".tsv"),"")),0)),"notfound")</f>
        <v>notfound</v>
      </c>
      <c r="M546" s="15" t="inlineStr">
        <is>
          <t>TABLE 4. Relative width of cortical layers in area 10</t>
        </is>
      </c>
      <c r="N546" s="19"/>
      <c r="O546" s="19"/>
      <c r="P546" s="15"/>
      <c r="Q546" s="19"/>
      <c r="R546" s="19"/>
      <c r="S546" s="19"/>
      <c r="T546" s="19"/>
      <c r="U546" s="19"/>
      <c r="V546" s="19"/>
      <c r="W546" s="15" t="inlineStr">
        <is>
          <t>Apes &amp; humans</t>
        </is>
      </c>
      <c r="X546" s="15" t="inlineStr">
        <is>
          <t>frontal cortex (area 10) volume</t>
        </is>
      </c>
      <c r="Y546" s="19"/>
      <c r="Z546" s="15" t="inlineStr">
        <is>
          <t>histological sections</t>
        </is>
      </c>
      <c r="AA546" s="19"/>
      <c r="AB546" s="19"/>
      <c r="AC546" s="15" t="inlineStr">
        <is>
          <t>Zilles</t>
        </is>
      </c>
      <c r="AD546" s="19"/>
      <c r="AE546" s="15" t="inlineStr">
        <is>
          <t>primary</t>
        </is>
      </c>
      <c r="AF546" s="15"/>
      <c r="AG546" s="19"/>
    </row>
    <row r="547" ht="15" customHeight="1">
      <c r="A547" s="15" t="inlineStr">
        <is>
          <t>Semendeferi, K., Lu, A., Schenker, N., &amp; Damasio, H. (2002). Humans and great apes share a large frontal cortex. Nat Neurosci, 5(3), 272-276. https://doi.org/10.1038/nn814</t>
        </is>
      </c>
      <c r="B547" s="19"/>
      <c r="C547" s="19"/>
      <c r="D547" s="15" t="inlineStr">
        <is>
          <t>Table 1</t>
        </is>
      </c>
      <c r="E547" s="10" t="str">
        <f>SUBSTITUTE(SUBSTITUTE(_xlfn.TEXTBEFORE(A547,","), "-", ""), " ", "")</f>
        <v>Semendeferi</v>
      </c>
      <c r="F547" s="10"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10" t="str">
        <f>_xlfn.TEXTBEFORE(_xlfn.TEXTAFTER(A547, "("), ")")</f>
        <v>2002</v>
      </c>
      <c r="H547" s="10" t="str">
        <f>E547 &amp; IF(F547&lt;&gt;"", "_" &amp; SUBSTITUTE(F547," ",""), "_") &amp; IF(G547&lt;&gt;"", "_" &amp; G547, "_") &amp; IF(B547&lt;&gt;"", "_" &amp; B547, "")</f>
        <v>Semendeferi_etal_2002</v>
      </c>
      <c r="I547" s="10" t="str">
        <f>_xlfn.LET(
_xlpm.doi,IF(C547&lt;&gt;"",C547,_xlfn.TEXTAFTER(A547,"https://doi.org/")),
SUBSTITUTE(
SUBSTITUTE(
SUBSTITUTE(
SUBSTITUTE(
_xlpm.doi,
"/","%2F"),
":","%3A"),
"&lt;","%3C"),
"&gt;","%3E")
)</f>
        <v>10.1038%2Fnn814</v>
      </c>
      <c r="J547" s="10" t="str">
        <f>TRIM(_xlfn.TEXTJOIN("_",FALSE(),H547,(SUBSTITUTE(SUBSTITUTE(D547," ",""), "_", ""))))</f>
        <v>Semendeferi_etal_2002_Table1</v>
      </c>
      <c r="K547" s="10" t="str">
        <f>I547 &amp; "_" &amp; SUBSTITUTE(SUBSTITUTE(SUBSTITUTE(D547,CHAR(160),"")," ",""),"_","")</f>
        <v>10.1038%2Fnn814_Table1</v>
      </c>
      <c r="L547" s="10" t="str">
        <f t="array" ref="L547">IFERROR(INDEX(AUTO_Public_TSV_FileList!$A$1:$A$1000,MATCH(TRUE(),EXACT(K547,IFERROR(_xlfn.TEXTBEFORE(AUTO_Public_TSV_FileList!$A$1:$A$1000,".tsv"),"")),0)),"notfound")</f>
        <v>10.1038%2Fnn814_Table1.tsv</v>
      </c>
      <c r="M547" s="15" t="inlineStr">
        <is>
          <t>Table 1. The relative size of the frontal cortex</t>
        </is>
      </c>
      <c r="N547" s="19"/>
      <c r="O547" s="19"/>
      <c r="P547" s="15" t="inlineStr">
        <is>
          <t>FINISHED</t>
        </is>
      </c>
      <c r="Q547" s="19"/>
      <c r="R547" s="19"/>
      <c r="S547" s="19"/>
      <c r="T547" s="19"/>
      <c r="U547" s="19"/>
      <c r="V547" s="19"/>
      <c r="W547" s="15" t="inlineStr">
        <is>
          <t>Apes &amp; humans</t>
        </is>
      </c>
      <c r="X547" s="15" t="inlineStr">
        <is>
          <t>frontal lobe volume</t>
        </is>
      </c>
      <c r="Y547" s="19"/>
      <c r="Z547" s="15" t="inlineStr">
        <is>
          <t>histological sections</t>
        </is>
      </c>
      <c r="AA547" s="15" t="inlineStr">
        <is>
          <t>volumetry</t>
        </is>
      </c>
      <c r="AB547" s="15" t="inlineStr">
        <is>
          <t>volume</t>
        </is>
      </c>
      <c r="AC547" s="15" t="inlineStr">
        <is>
          <t>Zilles</t>
        </is>
      </c>
      <c r="AD547" s="19"/>
      <c r="AE547" s="15" t="inlineStr">
        <is>
          <t>primary</t>
        </is>
      </c>
      <c r="AF547" s="15"/>
      <c r="AG547" s="19"/>
    </row>
    <row r="548" ht="15" customHeight="1">
      <c r="A548" s="15" t="inlineStr">
        <is>
          <t>Seymour, R. S., Angove, S. E., Snelling, E. P., &amp; Cassey, P. (2015). Scaling of cerebral blood perfusion in primates and marsupials. J Exp Biol, 218(Pt 16), 2631-2640. https://doi.org/10.1242/jeb.124826</t>
        </is>
      </c>
      <c r="B548" s="19"/>
      <c r="C548" s="19"/>
      <c r="D548" s="15" t="inlineStr">
        <is>
          <t>Table S1</t>
        </is>
      </c>
      <c r="E548" s="10" t="str">
        <f>SUBSTITUTE(SUBSTITUTE(_xlfn.TEXTBEFORE(A548,","), "-", ""), " ", "")</f>
        <v>Seymour</v>
      </c>
      <c r="F548" s="10"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10" t="str">
        <f>_xlfn.TEXTBEFORE(_xlfn.TEXTAFTER(A548, "("), ")")</f>
        <v>2015</v>
      </c>
      <c r="H548" s="10" t="str">
        <f>E548 &amp; IF(F548&lt;&gt;"", "_" &amp; SUBSTITUTE(F548," ",""), "_") &amp; IF(G548&lt;&gt;"", "_" &amp; G548, "_") &amp; IF(B548&lt;&gt;"", "_" &amp; B548, "")</f>
        <v>Seymour_etal_2015</v>
      </c>
      <c r="I548" s="10" t="str">
        <f>_xlfn.LET(
_xlpm.doi,IF(C548&lt;&gt;"",C548,_xlfn.TEXTAFTER(A548,"https://doi.org/")),
SUBSTITUTE(
SUBSTITUTE(
SUBSTITUTE(
SUBSTITUTE(
_xlpm.doi,
"/","%2F"),
":","%3A"),
"&lt;","%3C"),
"&gt;","%3E")
)</f>
        <v>10.1242%2Fjeb.124826</v>
      </c>
      <c r="J548" s="10" t="str">
        <f>TRIM(_xlfn.TEXTJOIN("_",FALSE(),H548,(SUBSTITUTE(SUBSTITUTE(D548," ",""), "_", ""))))</f>
        <v>Seymour_etal_2015_TableS1</v>
      </c>
      <c r="K548" s="10" t="str">
        <f>I548 &amp; "_" &amp; SUBSTITUTE(SUBSTITUTE(SUBSTITUTE(D548,CHAR(160),"")," ",""),"_","")</f>
        <v>10.1242%2Fjeb.124826_TableS1</v>
      </c>
      <c r="L548" s="10" t="str">
        <f t="array" ref="L548">IFERROR(INDEX(AUTO_Public_TSV_FileList!$A$1:$A$1000,MATCH(TRUE(),EXACT(K548,IFERROR(_xlfn.TEXTBEFORE(AUTO_Public_TSV_FileList!$A$1:$A$1000,".tsv"),"")),0)),"notfound")</f>
        <v>10.1242%2Fjeb.124826_TableS1.tsv</v>
      </c>
      <c r="M548" s="19"/>
      <c r="N548" s="19"/>
      <c r="O548" s="19"/>
      <c r="P548" s="15" t="inlineStr">
        <is>
          <t>FINISHED</t>
        </is>
      </c>
      <c r="Q548" s="19"/>
      <c r="R548" s="19"/>
      <c r="S548" s="19"/>
      <c r="T548" s="19"/>
      <c r="U548" s="19"/>
      <c r="V548" s="19"/>
      <c r="W548" s="19"/>
      <c r="X548" s="19"/>
      <c r="Y548" s="19"/>
      <c r="Z548" s="19"/>
      <c r="AA548" s="19"/>
      <c r="AB548" s="19"/>
      <c r="AC548" s="19"/>
      <c r="AD548" s="19"/>
      <c r="AE548" s="19"/>
      <c r="AF548" s="19"/>
      <c r="AG548" s="19"/>
    </row>
    <row r="549" ht="15" customHeight="1">
      <c r="A549" s="15" t="inlineStr">
        <is>
          <t>Seymour, R. S., Bosiocic, V., &amp; Snelling, E. P. (2017). Correction to 'Fossil skulls reveal that blood flow rate to the brain increased faster than brain volume during human evolution'. R Soc Open Sci, 4(8), 170846. https://doi.org/10.1098/rsos.170846</t>
        </is>
      </c>
      <c r="B549" s="19"/>
      <c r="C549" s="19"/>
      <c r="D549" s="15" t="inlineStr">
        <is>
          <t>Table S1</t>
        </is>
      </c>
      <c r="E549" s="10" t="str">
        <f>SUBSTITUTE(SUBSTITUTE(_xlfn.TEXTBEFORE(A549,","), "-", ""), " ", "")</f>
        <v>Seymour</v>
      </c>
      <c r="F549" s="10"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10" t="str">
        <f>_xlfn.TEXTBEFORE(_xlfn.TEXTAFTER(A549, "("), ")")</f>
        <v>2017</v>
      </c>
      <c r="H549" s="10" t="str">
        <f>E549 &amp; IF(F549&lt;&gt;"", "_" &amp; SUBSTITUTE(F549," ",""), "_") &amp; IF(G549&lt;&gt;"", "_" &amp; G549, "_") &amp; IF(B549&lt;&gt;"", "_" &amp; B549, "")</f>
        <v>Seymour_etal_2017</v>
      </c>
      <c r="I549" s="10" t="str">
        <f>_xlfn.LET(
_xlpm.doi,IF(C549&lt;&gt;"",C549,_xlfn.TEXTAFTER(A549,"https://doi.org/")),
SUBSTITUTE(
SUBSTITUTE(
SUBSTITUTE(
SUBSTITUTE(
_xlpm.doi,
"/","%2F"),
":","%3A"),
"&lt;","%3C"),
"&gt;","%3E")
)</f>
        <v>10.1098%2Frsos.170846</v>
      </c>
      <c r="J549" s="10" t="str">
        <f>TRIM(_xlfn.TEXTJOIN("_",FALSE(),H549,(SUBSTITUTE(SUBSTITUTE(D549," ",""), "_", ""))))</f>
        <v>Seymour_etal_2017_TableS1</v>
      </c>
      <c r="K549" s="10" t="str">
        <f>I549 &amp; "_" &amp; SUBSTITUTE(SUBSTITUTE(SUBSTITUTE(D549,CHAR(160),"")," ",""),"_","")</f>
        <v>10.1098%2Frsos.170846_TableS1</v>
      </c>
      <c r="L549" s="10" t="str">
        <f t="array" ref="L549">IFERROR(INDEX(AUTO_Public_TSV_FileList!$A$1:$A$1000,MATCH(TRUE(),EXACT(K549,IFERROR(_xlfn.TEXTBEFORE(AUTO_Public_TSV_FileList!$A$1:$A$1000,".tsv"),"")),0)),"notfound")</f>
        <v>10.1098%2Frsos.170846_TableS1.tsv</v>
      </c>
      <c r="M549" s="19"/>
      <c r="N549" s="19"/>
      <c r="O549" s="19"/>
      <c r="P549" s="15" t="inlineStr">
        <is>
          <t>FINISHED</t>
        </is>
      </c>
      <c r="Q549" s="19"/>
      <c r="R549" s="19"/>
      <c r="S549" s="19"/>
      <c r="T549" s="19"/>
      <c r="U549" s="19"/>
      <c r="V549" s="19"/>
      <c r="W549" s="19"/>
      <c r="X549" s="19"/>
      <c r="Y549" s="19"/>
      <c r="Z549" s="19"/>
      <c r="AA549" s="19"/>
      <c r="AB549" s="19"/>
      <c r="AC549" s="19"/>
      <c r="AD549" s="19"/>
      <c r="AE549" s="19"/>
      <c r="AF549" s="19"/>
      <c r="AG549" s="19"/>
    </row>
    <row r="550" ht="15" customHeight="1">
      <c r="A550" s="15" t="inlineStr">
        <is>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is>
      </c>
      <c r="B550" s="19"/>
      <c r="C550" s="19"/>
      <c r="D550" s="15" t="inlineStr">
        <is>
          <t>rspb20192208_si_002</t>
        </is>
      </c>
      <c r="E550" s="10" t="str">
        <f>SUBSTITUTE(SUBSTITUTE(_xlfn.TEXTBEFORE(A550,","), "-", ""), " ", "")</f>
        <v>Seymour</v>
      </c>
      <c r="F550" s="10"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10" t="str">
        <f>_xlfn.TEXTBEFORE(_xlfn.TEXTAFTER(A550, "("), ")")</f>
        <v>2019</v>
      </c>
      <c r="H550" s="10" t="str">
        <f>E550 &amp; IF(F550&lt;&gt;"", "_" &amp; SUBSTITUTE(F550," ",""), "_") &amp; IF(G550&lt;&gt;"", "_" &amp; G550, "_") &amp; IF(B550&lt;&gt;"", "_" &amp; B550, "")</f>
        <v>Seymour_etal_2019</v>
      </c>
      <c r="I550" s="10" t="str">
        <f>_xlfn.LET(
_xlpm.doi,IF(C550&lt;&gt;"",C550,_xlfn.TEXTAFTER(A550,"https://doi.org/")),
SUBSTITUTE(
SUBSTITUTE(
SUBSTITUTE(
SUBSTITUTE(
_xlpm.doi,
"/","%2F"),
":","%3A"),
"&lt;","%3C"),
"&gt;","%3E")
)</f>
        <v>10.1098%2Frspb.2019.2208</v>
      </c>
      <c r="J550" s="10" t="str">
        <f>TRIM(_xlfn.TEXTJOIN("_",FALSE(),H550,(SUBSTITUTE(SUBSTITUTE(D550," ",""), "_", ""))))</f>
        <v>Seymour_etal_2019_rspb20192208si002</v>
      </c>
      <c r="K550" s="10" t="str">
        <f>I550 &amp; "_" &amp; SUBSTITUTE(SUBSTITUTE(SUBSTITUTE(D550,CHAR(160),"")," ",""),"_","")</f>
        <v>10.1098%2Frspb.2019.2208_rspb20192208si002</v>
      </c>
      <c r="L550" s="10" t="str">
        <f t="array" ref="L550">IFERROR(INDEX(AUTO_Public_TSV_FileList!$A$1:$A$1000,MATCH(TRUE(),EXACT(K550,IFERROR(_xlfn.TEXTBEFORE(AUTO_Public_TSV_FileList!$A$1:$A$1000,".tsv"),"")),0)),"notfound")</f>
        <v>10.1098%2Frspb.2019.2208_rspb20192208si002.tsv</v>
      </c>
      <c r="M550" s="19"/>
      <c r="N550" s="19"/>
      <c r="O550" s="19"/>
      <c r="P550" s="15" t="inlineStr">
        <is>
          <t>FINISHED</t>
        </is>
      </c>
      <c r="Q550" s="19"/>
      <c r="R550" s="19"/>
      <c r="S550" s="19"/>
      <c r="T550" s="19"/>
      <c r="U550" s="19"/>
      <c r="V550" s="19"/>
      <c r="W550" s="19"/>
      <c r="X550" s="19"/>
      <c r="Y550" s="19"/>
      <c r="Z550" s="19"/>
      <c r="AA550" s="19"/>
      <c r="AB550" s="19"/>
      <c r="AC550" s="19"/>
      <c r="AD550" s="19"/>
      <c r="AE550" s="19"/>
      <c r="AF550" s="19"/>
      <c r="AG550" s="19"/>
    </row>
    <row r="551" ht="15" customHeight="1">
      <c r="A551" s="15" t="inlineStr">
        <is>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is>
      </c>
      <c r="B551" s="19"/>
      <c r="C551" s="19"/>
      <c r="D551" s="15" t="inlineStr">
        <is>
          <t>TABLE I</t>
        </is>
      </c>
      <c r="E551" s="10" t="str">
        <f>SUBSTITUTE(SUBSTITUTE(_xlfn.TEXTBEFORE(A551,","), "-", ""), " ", "")</f>
        <v>Sherwood</v>
      </c>
      <c r="F551" s="10"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10" t="str">
        <f>_xlfn.TEXTBEFORE(_xlfn.TEXTAFTER(A551, "("), ")")</f>
        <v>2004</v>
      </c>
      <c r="H551" s="10" t="str">
        <f>E551 &amp; IF(F551&lt;&gt;"", "_" &amp; SUBSTITUTE(F551," ",""), "_") &amp; IF(G551&lt;&gt;"", "_" &amp; G551, "_") &amp; IF(B551&lt;&gt;"", "_" &amp; B551, "")</f>
        <v>Sherwood_etal_2004</v>
      </c>
      <c r="I551" s="10" t="str">
        <f>_xlfn.LET(
_xlpm.doi,IF(C551&lt;&gt;"",C551,_xlfn.TEXTAFTER(A551,"https://doi.org/")),
SUBSTITUTE(
SUBSTITUTE(
SUBSTITUTE(
SUBSTITUTE(
_xlpm.doi,
"/","%2F"),
":","%3A"),
"&lt;","%3C"),
"&gt;","%3E")
)</f>
        <v>10.1002%2Fajp.20048</v>
      </c>
      <c r="J551" s="10" t="str">
        <f>TRIM(_xlfn.TEXTJOIN("_",FALSE(),H551,(SUBSTITUTE(SUBSTITUTE(D551," ",""), "_", ""))))</f>
        <v>Sherwood_etal_2004_TABLEI</v>
      </c>
      <c r="K551" s="10" t="str">
        <f>I551 &amp; "_" &amp; SUBSTITUTE(SUBSTITUTE(SUBSTITUTE(D551,CHAR(160),"")," ",""),"_","")</f>
        <v>10.1002%2Fajp.20048_TABLEI</v>
      </c>
      <c r="L551" s="10" t="str">
        <f t="array" ref="L551">IFERROR(INDEX(AUTO_Public_TSV_FileList!$A$1:$A$1000,MATCH(TRUE(),EXACT(K551,IFERROR(_xlfn.TEXTBEFORE(AUTO_Public_TSV_FileList!$A$1:$A$1000,".tsv"),"")),0)),"notfound")</f>
        <v>10.1002%2Fajp.20048_TABLEI.tsv</v>
      </c>
      <c r="M551" s="15" t="inlineStr">
        <is>
          <t>TABLE I. Structure Volumes From Formalin-Fixed Brains (Volumes in cm3)</t>
        </is>
      </c>
      <c r="N551" s="19"/>
      <c r="O551" s="19"/>
      <c r="P551" s="15" t="inlineStr">
        <is>
          <t>FINISHED</t>
        </is>
      </c>
      <c r="Q551" s="19"/>
      <c r="R551" s="19"/>
      <c r="S551" s="19"/>
      <c r="T551" s="19"/>
      <c r="U551" s="19"/>
      <c r="V551" s="19"/>
      <c r="W551" s="19"/>
      <c r="X551" s="19"/>
      <c r="Y551" s="19"/>
      <c r="Z551" s="15" t="inlineStr">
        <is>
          <t>MRI</t>
        </is>
      </c>
      <c r="AA551" s="15" t="inlineStr">
        <is>
          <t>volumetry</t>
        </is>
      </c>
      <c r="AB551" s="15" t="inlineStr">
        <is>
          <t>volume</t>
        </is>
      </c>
      <c r="AC551" s="15" t="inlineStr">
        <is>
          <t>Sherwood</t>
        </is>
      </c>
      <c r="AD551" s="15" t="inlineStr">
        <is>
          <t>Hof</t>
        </is>
      </c>
      <c r="AE551" s="15" t="inlineStr">
        <is>
          <t>primary</t>
        </is>
      </c>
      <c r="AF551" s="15"/>
      <c r="AG551" s="19"/>
    </row>
    <row r="552" ht="15" customHeight="1">
      <c r="A552" s="15" t="inlineStr">
        <is>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is>
      </c>
      <c r="B552" s="15"/>
      <c r="C552" s="19"/>
      <c r="D552" s="15" t="inlineStr">
        <is>
          <t>unpublishedviaDeCasien</t>
        </is>
      </c>
      <c r="E552" s="10" t="str">
        <f>SUBSTITUTE(SUBSTITUTE(_xlfn.TEXTBEFORE(A552,","), "-", ""), " ", "")</f>
        <v>Sherwood</v>
      </c>
      <c r="F552" s="10"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10" t="str">
        <f>_xlfn.TEXTBEFORE(_xlfn.TEXTAFTER(A552, "("), ")")</f>
        <v>2004</v>
      </c>
      <c r="H552" s="10" t="str">
        <f>E552 &amp; IF(F552&lt;&gt;"", "_" &amp; SUBSTITUTE(F552," ",""), "_") &amp; IF(G552&lt;&gt;"", "_" &amp; G552, "_") &amp; IF(B552&lt;&gt;"", "_" &amp; B552, "")</f>
        <v>Sherwood_etal_2004</v>
      </c>
      <c r="I552" s="10" t="str">
        <f>_xlfn.LET(
_xlpm.doi,IF(C552&lt;&gt;"",C552,_xlfn.TEXTAFTER(A552,"https://doi.org/")),
SUBSTITUTE(
SUBSTITUTE(
SUBSTITUTE(
SUBSTITUTE(
_xlpm.doi,
"/","%2F"),
":","%3A"),
"&lt;","%3C"),
"&gt;","%3E")
)</f>
        <v>10.1002%2Fajp.20048</v>
      </c>
      <c r="J552" s="10" t="str">
        <f>TRIM(_xlfn.TEXTJOIN("_",FALSE(),H552,(SUBSTITUTE(SUBSTITUTE(D552," ",""), "_", ""))))</f>
        <v>Sherwood_etal_2004_unpublishedviaDeCasien</v>
      </c>
      <c r="K552" s="10" t="str">
        <f>I552 &amp; "_" &amp; SUBSTITUTE(SUBSTITUTE(SUBSTITUTE(D552,CHAR(160),"")," ",""),"_","")</f>
        <v>10.1002%2Fajp.20048_unpublishedviaDeCasien</v>
      </c>
      <c r="L552" s="10" t="str">
        <f t="array" ref="L552">IFERROR(INDEX(AUTO_Public_TSV_FileList!$A$1:$A$1000,MATCH(TRUE(),EXACT(K552,IFERROR(_xlfn.TEXTBEFORE(AUTO_Public_TSV_FileList!$A$1:$A$1000,".tsv"),"")),0)),"notfound")</f>
        <v>10.1002%2Fajp.20048_unpublishedviaDeCasien.tsv</v>
      </c>
      <c r="M552" s="19"/>
      <c r="N552" s="19"/>
      <c r="O552" s="15" t="inlineStr">
        <is>
          <t>"Sherwood et al.64 and Barks et al.65 provided neocortex, hippocampus, striatum, thalamus, cerebellum, amygdala and insula measures for multiple gorilla species (Gorilla gorilla gorilla, G. g. graueri and G. beringei) from post-mortem MRI scans" (DeCasien and Higham 2019)</t>
        </is>
      </c>
      <c r="P552" s="15" t="inlineStr">
        <is>
          <t>FINISHED</t>
        </is>
      </c>
      <c r="Q552" s="19"/>
      <c r="R552" s="19"/>
      <c r="S552" s="19"/>
      <c r="T552" s="19"/>
      <c r="U552" s="19"/>
      <c r="V552" s="19"/>
      <c r="W552" s="19"/>
      <c r="X552" s="19"/>
      <c r="Y552" s="19"/>
      <c r="Z552" s="15" t="inlineStr">
        <is>
          <t>MRI</t>
        </is>
      </c>
      <c r="AA552" s="15" t="inlineStr">
        <is>
          <t>volumetry</t>
        </is>
      </c>
      <c r="AB552" s="15" t="inlineStr">
        <is>
          <t>volume</t>
        </is>
      </c>
      <c r="AC552" s="15" t="inlineStr">
        <is>
          <t>Sherwood</t>
        </is>
      </c>
      <c r="AD552" s="15" t="inlineStr">
        <is>
          <t>Hof</t>
        </is>
      </c>
      <c r="AE552" s="15" t="inlineStr">
        <is>
          <t>primary</t>
        </is>
      </c>
      <c r="AF552" s="15"/>
      <c r="AG552" s="19"/>
    </row>
    <row r="553" ht="15" customHeight="1">
      <c r="A553" s="15" t="inlineStr">
        <is>
          <t>Sherwood, C. C., Hof, P. R., Holloway, R. L., Semendeferi, K., Gannon, P. J., Frahm, H. D., &amp; Zilles, K. (2005). Evolution of the brainstem orofacial motor system in primates: a comparative study of trigeminal, facial, and hypoglossal nuclei. J Hum Evol, 48(1), 45-84. https://doi.org/10.1016/j.jhevol.2004.10.003</t>
        </is>
      </c>
      <c r="B553" s="15"/>
      <c r="C553" s="19"/>
      <c r="D553" s="15" t="inlineStr">
        <is>
          <t>Table 1</t>
        </is>
      </c>
      <c r="E553" s="10" t="str">
        <f>SUBSTITUTE(SUBSTITUTE(_xlfn.TEXTBEFORE(A553,","), "-", ""), " ", "")</f>
        <v>Sherwood</v>
      </c>
      <c r="F553" s="10"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10" t="str">
        <f>_xlfn.TEXTBEFORE(_xlfn.TEXTAFTER(A553, "("), ")")</f>
        <v>2005</v>
      </c>
      <c r="H553" s="10" t="str">
        <f>E553 &amp; IF(F553&lt;&gt;"", "_" &amp; SUBSTITUTE(F553," ",""), "_") &amp; IF(G553&lt;&gt;"", "_" &amp; G553, "_") &amp; IF(B553&lt;&gt;"", "_" &amp; B553, "")</f>
        <v>Sherwood_etal_2005</v>
      </c>
      <c r="I553" s="10" t="str">
        <f>_xlfn.LET(
_xlpm.doi,IF(C553&lt;&gt;"",C553,_xlfn.TEXTAFTER(A553,"https://doi.org/")),
SUBSTITUTE(
SUBSTITUTE(
SUBSTITUTE(
SUBSTITUTE(
_xlpm.doi,
"/","%2F"),
":","%3A"),
"&lt;","%3C"),
"&gt;","%3E")
)</f>
        <v>10.1016%2Fj.jhevol.2004.10.003</v>
      </c>
      <c r="J553" s="10" t="str">
        <f>TRIM(_xlfn.TEXTJOIN("_",FALSE(),H553,(SUBSTITUTE(SUBSTITUTE(D553," ",""), "_", ""))))</f>
        <v>Sherwood_etal_2005_Table1</v>
      </c>
      <c r="K553" s="10" t="str">
        <f>I553 &amp; "_" &amp; SUBSTITUTE(SUBSTITUTE(SUBSTITUTE(D553,CHAR(160),"")," ",""),"_","")</f>
        <v>10.1016%2Fj.jhevol.2004.10.003_Table1</v>
      </c>
      <c r="L553" s="10" t="str">
        <f t="array" ref="L553">IFERROR(INDEX(AUTO_Public_TSV_FileList!$A$1:$A$1000,MATCH(TRUE(),EXACT(K553,IFERROR(_xlfn.TEXTBEFORE(AUTO_Public_TSV_FileList!$A$1:$A$1000,".tsv"),"")),0)),"notfound")</f>
        <v>10.1016%2Fj.jhevol.2004.10.003_Table1.tsv</v>
      </c>
      <c r="M553" s="15" t="inlineStr">
        <is>
          <t>Brainstem orofacial motor nuclei in primates (Table 1)</t>
        </is>
      </c>
      <c r="N553" s="15" t="inlineStr">
        <is>
          <t>table</t>
        </is>
      </c>
      <c r="O553" s="19"/>
      <c r="P553" s="15" t="inlineStr">
        <is>
          <t>FINISHED</t>
        </is>
      </c>
      <c r="Q553" s="19"/>
      <c r="R553" s="19"/>
      <c r="S553" s="19"/>
      <c r="T553" s="19"/>
      <c r="U553" s="19"/>
      <c r="V553" s="19"/>
      <c r="W553" s="15" t="inlineStr">
        <is>
          <t>Primates (+ other mammals)</t>
        </is>
      </c>
      <c r="X553" s="15" t="inlineStr">
        <is>
          <t>brainstem motor nuclei volumes</t>
        </is>
      </c>
      <c r="Y553" s="19"/>
      <c r="Z553" s="15" t="inlineStr">
        <is>
          <t>histological sections</t>
        </is>
      </c>
      <c r="AA553" s="15" t="inlineStr">
        <is>
          <t>volumetry</t>
        </is>
      </c>
      <c r="AB553" s="15" t="inlineStr">
        <is>
          <t>volume</t>
        </is>
      </c>
      <c r="AC553" s="15" t="inlineStr">
        <is>
          <t>Stephan</t>
        </is>
      </c>
      <c r="AD553" s="15" t="inlineStr">
        <is>
          <t>Stephan, Zilles</t>
        </is>
      </c>
      <c r="AE553" s="15" t="inlineStr">
        <is>
          <t>primary</t>
        </is>
      </c>
      <c r="AF553" s="15"/>
      <c r="AG553" s="19"/>
    </row>
    <row r="554" ht="15" customHeight="1">
      <c r="A554" s="15" t="inlineStr">
        <is>
          <t>Sherwood, C. C., Holloway, R. L., Erwin, J. M., Schleicher, A., Zilles, K., &amp; Hof, P. R. (2004). Cortical orofacial motor representation in Old World Monkeys, great apes, and humans. I. Quantitative Analysis of Cytoarchitecture. Brain Behav Evol, 63(2), 61-81. https://doi.org/10.1159/000075672</t>
        </is>
      </c>
      <c r="B554" s="15" t="inlineStr">
        <is>
          <t>I</t>
        </is>
      </c>
      <c r="C554" s="19"/>
      <c r="D554" s="15" t="inlineStr">
        <is>
          <t>Table 4</t>
        </is>
      </c>
      <c r="E554" s="10" t="str">
        <f>SUBSTITUTE(SUBSTITUTE(_xlfn.TEXTBEFORE(A554,","), "-", ""), " ", "")</f>
        <v>Sherwood</v>
      </c>
      <c r="F554" s="10"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10" t="str">
        <f>_xlfn.TEXTBEFORE(_xlfn.TEXTAFTER(A554, "("), ")")</f>
        <v>2004</v>
      </c>
      <c r="H554" s="10" t="str">
        <f>E554 &amp; IF(F554&lt;&gt;"", "_" &amp; SUBSTITUTE(F554," ",""), "_") &amp; IF(G554&lt;&gt;"", "_" &amp; G554, "_") &amp; IF(B554&lt;&gt;"", "_" &amp; B554, "")</f>
        <v>Sherwood_etal_2004_I</v>
      </c>
      <c r="I554" s="10" t="str">
        <f>_xlfn.LET(
_xlpm.doi,IF(C554&lt;&gt;"",C554,_xlfn.TEXTAFTER(A554,"https://doi.org/")),
SUBSTITUTE(
SUBSTITUTE(
SUBSTITUTE(
SUBSTITUTE(
_xlpm.doi,
"/","%2F"),
":","%3A"),
"&lt;","%3C"),
"&gt;","%3E")
)</f>
        <v>10.1159%2F000075672</v>
      </c>
      <c r="J554" s="10" t="str">
        <f>TRIM(_xlfn.TEXTJOIN("_",FALSE(),H554,(SUBSTITUTE(SUBSTITUTE(D554," ",""), "_", ""))))</f>
        <v>Sherwood_etal_2004_I_Table4</v>
      </c>
      <c r="K554" s="10" t="str">
        <f>I554 &amp; "_" &amp; SUBSTITUTE(SUBSTITUTE(SUBSTITUTE(D554,CHAR(160),"")," ",""),"_","")</f>
        <v>10.1159%2F000075672_Table4</v>
      </c>
      <c r="L554" s="10" t="str">
        <f t="array" ref="L554">IFERROR(INDEX(AUTO_Public_TSV_FileList!$A$1:$A$1000,MATCH(TRUE(),EXACT(K554,IFERROR(_xlfn.TEXTBEFORE(AUTO_Public_TSV_FileList!$A$1:$A$1000,".tsv"),"")),0)),"notfound")</f>
        <v>10.1159%2F000075672_Table4.tsv</v>
      </c>
      <c r="M554" s="15" t="inlineStr">
        <is>
          <t>Table 4. GLI values for each cortical layer</t>
        </is>
      </c>
      <c r="N554" s="15" t="inlineStr">
        <is>
          <t>tables</t>
        </is>
      </c>
      <c r="O554" s="19"/>
      <c r="P554" s="15" t="inlineStr">
        <is>
          <t>FINISHED</t>
        </is>
      </c>
      <c r="Q554" s="19"/>
      <c r="R554" s="19"/>
      <c r="S554" s="19"/>
      <c r="T554" s="19"/>
      <c r="U554" s="19"/>
      <c r="V554" s="19"/>
      <c r="W554" s="15" t="inlineStr">
        <is>
          <t>Primates</t>
        </is>
      </c>
      <c r="X554" s="15" t="inlineStr">
        <is>
          <t>GLI: laminar and profiles</t>
        </is>
      </c>
      <c r="Y554" s="19"/>
      <c r="Z554" s="15" t="inlineStr">
        <is>
          <t>histological sections</t>
        </is>
      </c>
      <c r="AA554" s="19"/>
      <c r="AB554" s="15" t="inlineStr">
        <is>
          <t>cytoarchitecture (GLI laminar profiles)</t>
        </is>
      </c>
      <c r="AC554" s="15" t="inlineStr">
        <is>
          <t>Zilles</t>
        </is>
      </c>
      <c r="AD554" s="15" t="inlineStr">
        <is>
          <t>Zilles</t>
        </is>
      </c>
      <c r="AE554" s="15" t="inlineStr">
        <is>
          <t>primary</t>
        </is>
      </c>
      <c r="AF554" s="15"/>
      <c r="AG554" s="19"/>
    </row>
    <row r="555" ht="15" customHeight="1">
      <c r="A555" s="15" t="inlineStr">
        <is>
          <t>Sherwood, C. C., Holloway, R. L., Erwin, J. M., Schleicher, A., Zilles, K., &amp; Hof, P. R. (2004). Cortical orofacial motor representation in Old World Monkeys, great apes, and humans. I. Quantitative Analysis of Cytoarchitecture. Brain Behav Evol, 63(2), 61-81. https://doi.org/10.1159/000075672</t>
        </is>
      </c>
      <c r="B555" s="15" t="inlineStr">
        <is>
          <t>I</t>
        </is>
      </c>
      <c r="C555" s="19"/>
      <c r="D555" s="15" t="inlineStr">
        <is>
          <t>Table 5</t>
        </is>
      </c>
      <c r="E555" s="10" t="str">
        <f>SUBSTITUTE(SUBSTITUTE(_xlfn.TEXTBEFORE(A555,","), "-", ""), " ", "")</f>
        <v>Sherwood</v>
      </c>
      <c r="F555" s="10"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10" t="str">
        <f>_xlfn.TEXTBEFORE(_xlfn.TEXTAFTER(A555, "("), ")")</f>
        <v>2004</v>
      </c>
      <c r="H555" s="10" t="str">
        <f>E555 &amp; IF(F555&lt;&gt;"", "_" &amp; SUBSTITUTE(F555," ",""), "_") &amp; IF(G555&lt;&gt;"", "_" &amp; G555, "_") &amp; IF(B555&lt;&gt;"", "_" &amp; B555, "")</f>
        <v>Sherwood_etal_2004_I</v>
      </c>
      <c r="I555" s="10" t="str">
        <f>_xlfn.LET(
_xlpm.doi,IF(C555&lt;&gt;"",C555,_xlfn.TEXTAFTER(A555,"https://doi.org/")),
SUBSTITUTE(
SUBSTITUTE(
SUBSTITUTE(
SUBSTITUTE(
_xlpm.doi,
"/","%2F"),
":","%3A"),
"&lt;","%3C"),
"&gt;","%3E")
)</f>
        <v>10.1159%2F000075672</v>
      </c>
      <c r="J555" s="10" t="str">
        <f>TRIM(_xlfn.TEXTJOIN("_",FALSE(),H555,(SUBSTITUTE(SUBSTITUTE(D555," ",""), "_", ""))))</f>
        <v>Sherwood_etal_2004_I_Table5</v>
      </c>
      <c r="K555" s="10" t="str">
        <f>I555 &amp; "_" &amp; SUBSTITUTE(SUBSTITUTE(SUBSTITUTE(D555,CHAR(160),"")," ",""),"_","")</f>
        <v>10.1159%2F000075672_Table5</v>
      </c>
      <c r="L555" s="10" t="str">
        <f t="array" ref="L555">IFERROR(INDEX(AUTO_Public_TSV_FileList!$A$1:$A$1000,MATCH(TRUE(),EXACT(K555,IFERROR(_xlfn.TEXTBEFORE(AUTO_Public_TSV_FileList!$A$1:$A$1000,".tsv"),"")),0)),"notfound")</f>
        <v>10.1159%2F000075672_Table5.tsv</v>
      </c>
      <c r="M555" s="15" t="inlineStr">
        <is>
          <t>Table 5. Species mean values for 10 GLI profile feature vectors</t>
        </is>
      </c>
      <c r="N555" s="15" t="inlineStr">
        <is>
          <t>tables</t>
        </is>
      </c>
      <c r="O555" s="19"/>
      <c r="P555" s="15" t="inlineStr">
        <is>
          <t>FINISHED</t>
        </is>
      </c>
      <c r="Q555" s="19"/>
      <c r="R555" s="19"/>
      <c r="S555" s="19"/>
      <c r="T555" s="19"/>
      <c r="U555" s="19"/>
      <c r="V555" s="19"/>
      <c r="W555" s="15" t="inlineStr">
        <is>
          <t>Primates</t>
        </is>
      </c>
      <c r="X555" s="15" t="inlineStr">
        <is>
          <t>GLI: laminar and profiles</t>
        </is>
      </c>
      <c r="Y555" s="19"/>
      <c r="Z555" s="15" t="inlineStr">
        <is>
          <t>histological sections</t>
        </is>
      </c>
      <c r="AA555" s="15" t="inlineStr">
        <is>
          <t>volumetry</t>
        </is>
      </c>
      <c r="AB555" s="15" t="inlineStr">
        <is>
          <t>cytoarchitecture (GLI laminar profiles)</t>
        </is>
      </c>
      <c r="AC555" s="19"/>
      <c r="AD555" s="15" t="inlineStr">
        <is>
          <t>Stephan, Zilles</t>
        </is>
      </c>
      <c r="AE555" s="15" t="inlineStr">
        <is>
          <t>primary</t>
        </is>
      </c>
      <c r="AF555" s="15"/>
      <c r="AG555" s="19"/>
    </row>
    <row r="556" ht="15" customHeight="1">
      <c r="A556" s="15" t="inlineStr">
        <is>
          <t>Sherwood, C. C., Lee, P. W., Rivara, C. B., Holloway, R. L., Gilissen, E. P., Simmons, R. M., Hakeem, A., Allman, J. M., Erwin, J. M., &amp; Hof, P. R. (2003). Evolution of specialized pyramidal neurons in primate visual and motor cortex. Brain Behav Evol, 61(1), 28-44. https://doi.org/10.1159/000068879</t>
        </is>
      </c>
      <c r="B556" s="19"/>
      <c r="C556" s="19"/>
      <c r="D556" s="15" t="inlineStr">
        <is>
          <t>Table 1</t>
        </is>
      </c>
      <c r="E556" s="10" t="str">
        <f>SUBSTITUTE(SUBSTITUTE(_xlfn.TEXTBEFORE(A556,","), "-", ""), " ", "")</f>
        <v>Sherwood</v>
      </c>
      <c r="F556" s="10"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10" t="str">
        <f>_xlfn.TEXTBEFORE(_xlfn.TEXTAFTER(A556, "("), ")")</f>
        <v>2003</v>
      </c>
      <c r="H556" s="10" t="str">
        <f>E556 &amp; IF(F556&lt;&gt;"", "_" &amp; SUBSTITUTE(F556," ",""), "_") &amp; IF(G556&lt;&gt;"", "_" &amp; G556, "_") &amp; IF(B556&lt;&gt;"", "_" &amp; B556, "")</f>
        <v>Sherwood_etal_2003</v>
      </c>
      <c r="I556" s="10" t="str">
        <f>_xlfn.LET(
_xlpm.doi,IF(C556&lt;&gt;"",C556,_xlfn.TEXTAFTER(A556,"https://doi.org/")),
SUBSTITUTE(
SUBSTITUTE(
SUBSTITUTE(
SUBSTITUTE(
_xlpm.doi,
"/","%2F"),
":","%3A"),
"&lt;","%3C"),
"&gt;","%3E")
)</f>
        <v>10.1159%2F000068879</v>
      </c>
      <c r="J556" s="10" t="str">
        <f>TRIM(_xlfn.TEXTJOIN("_",FALSE(),H556,(SUBSTITUTE(SUBSTITUTE(D556," ",""), "_", ""))))</f>
        <v>Sherwood_etal_2003_Table1</v>
      </c>
      <c r="K556" s="10" t="str">
        <f>I556 &amp; "_" &amp; SUBSTITUTE(SUBSTITUTE(SUBSTITUTE(D556,CHAR(160),"")," ",""),"_","")</f>
        <v>10.1159%2F000068879_Table1</v>
      </c>
      <c r="L556" s="10" t="str">
        <f t="array" ref="L556">IFERROR(INDEX(AUTO_Public_TSV_FileList!$A$1:$A$1000,MATCH(TRUE(),EXACT(K556,IFERROR(_xlfn.TEXTBEFORE(AUTO_Public_TSV_FileList!$A$1:$A$1000,".tsv"),"")),0)),"notfound")</f>
        <v>10.1159%2F000068879_Table1.tsv</v>
      </c>
      <c r="M556" s="15" t="inlineStr">
        <is>
          <t>Table 1. Sample data used in analyses</t>
        </is>
      </c>
      <c r="N556" s="19"/>
      <c r="O556" s="19"/>
      <c r="P556" s="19"/>
      <c r="Q556" s="19"/>
      <c r="R556" s="19"/>
      <c r="S556" s="19"/>
      <c r="T556" s="19"/>
      <c r="U556" s="19"/>
      <c r="V556" s="19"/>
      <c r="W556" s="19"/>
      <c r="X556" s="19"/>
      <c r="Y556" s="19"/>
      <c r="Z556" s="19"/>
      <c r="AA556" s="19"/>
      <c r="AB556" s="19"/>
      <c r="AC556" s="19"/>
      <c r="AD556" s="19"/>
      <c r="AE556" s="19"/>
      <c r="AF556" s="19"/>
      <c r="AG556" s="19"/>
    </row>
    <row r="557" ht="16" customHeight="1">
      <c r="A557" t="inlineStr">
        <is>
          <t>Sherwood, C. C., Stimpson, C. D., Butti, C., Bonar, C. J., Newton, A. L., Allman, J. M., &amp; Hof, P. R. (2009). Neocortical neuron types in Xenarthra and Afrotheria: Implications for brain evolution in mammals. Brain Structure and Function, 213(3), 301-328. https://doi.org/10.1007/s00429-008-0198-9</t>
        </is>
      </c>
      <c r="B557" s="20"/>
      <c r="D557" t="inlineStr">
        <is>
          <t>Table 1</t>
        </is>
      </c>
      <c r="E557" s="10" t="str">
        <f>SUBSTITUTE(SUBSTITUTE(_xlfn.TEXTBEFORE(A557,","), "-", ""), " ", "")</f>
        <v>Sherwood</v>
      </c>
      <c r="F557" s="10"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10" t="str">
        <f>_xlfn.TEXTBEFORE(_xlfn.TEXTAFTER(A557, "("), ")")</f>
        <v>2009</v>
      </c>
      <c r="H557" s="10" t="str">
        <f>E557 &amp; IF(F557&lt;&gt;"", "_" &amp; SUBSTITUTE(F557," ",""), "_") &amp; IF(G557&lt;&gt;"", "_" &amp; G557, "_") &amp; IF(B557&lt;&gt;"", "_" &amp; B557, "")</f>
        <v>Sherwood_etal_2009</v>
      </c>
      <c r="I557" s="10" t="str">
        <f>_xlfn.LET(
_xlpm.doi,IF(C557&lt;&gt;"",C557,_xlfn.TEXTAFTER(A557,"https://doi.org/")),
SUBSTITUTE(
SUBSTITUTE(
SUBSTITUTE(
SUBSTITUTE(
_xlpm.doi,
"/","%2F"),
":","%3A"),
"&lt;","%3C"),
"&gt;","%3E")
)</f>
        <v>10.1007%2Fs00429-008-0198-9</v>
      </c>
      <c r="J557" s="10" t="str">
        <f>TRIM(_xlfn.TEXTJOIN("_",FALSE(),H557,(SUBSTITUTE(SUBSTITUTE(D557," ",""), "_", ""))))</f>
        <v>Sherwood_etal_2009_Table1</v>
      </c>
      <c r="K557" s="10" t="str">
        <f>I557 &amp; "_" &amp; SUBSTITUTE(SUBSTITUTE(SUBSTITUTE(D557,CHAR(160),"")," ",""),"_","")</f>
        <v>10.1007%2Fs00429-008-0198-9_Table1</v>
      </c>
      <c r="L557" s="10" t="str">
        <f t="array" ref="L557">IFERROR(INDEX(AUTO_Public_TSV_FileList!$A$1:$A$1000,MATCH(TRUE(),EXACT(K557,IFERROR(_xlfn.TEXTBEFORE(AUTO_Public_TSV_FileList!$A$1:$A$1000,".tsv"),"")),0)),"notfound")</f>
        <v>10.1007%2Fs00429-008-0198-9_Table1.tsv</v>
      </c>
      <c r="M557" t="inlineStr">
        <is>
          <t>Table 1. Specimens used in the study</t>
        </is>
      </c>
      <c r="N557" s="14" t="inlineStr">
        <is>
          <t>PDF table (constructed transcribed snapshot; text layer scrambled)</t>
        </is>
      </c>
      <c r="O557" s="14" t="inlineStr">
        <is>
          <t>Specimen-level (7 brains). Giant anteater brain mass 76 g is not measured (Bush &amp; Allman 2004 volumetric, x1.036). Immunohistochemistry study, not isotropic fractionator.</t>
        </is>
      </c>
      <c r="P557" s="14" t="inlineStr">
        <is>
          <t>PREPARED (CSV built; owner registry paste / public TSV pending; RA side-by-side check pending)</t>
        </is>
      </c>
      <c r="Q557" s="14" t="inlineStr">
        <is>
          <t>Sherwood_etal_2009_Table1_snapshot.csv</t>
        </is>
      </c>
      <c r="R557" t="inlineStr">
        <is>
          <t>https://doi.org/10.1007/s00429-008-0198-9</t>
        </is>
      </c>
      <c r="W557" s="14" t="inlineStr">
        <is>
          <t>Xenarthra and Afrotheria (sloth, anteaters, hyrax, elephant shrew)</t>
        </is>
      </c>
      <c r="X557" t="inlineStr">
        <is>
          <t>brain mass; body mass of specimens</t>
        </is>
      </c>
      <c r="Y557" t="inlineStr">
        <is>
          <t>sex; age; fixation length</t>
        </is>
      </c>
      <c r="Z557" t="inlineStr">
        <is>
          <t>histological (formalin-fixed brains)</t>
        </is>
      </c>
      <c r="AA557" s="14" t="inlineStr">
        <is>
          <t>specimen records</t>
        </is>
      </c>
      <c r="AB557" s="14" t="inlineStr">
        <is>
          <t>Mass.g; Mass.kg</t>
        </is>
      </c>
      <c r="AC557" s="14"/>
      <c r="AE557" s="14" t="inlineStr">
        <is>
          <t>primary</t>
        </is>
      </c>
    </row>
    <row r="558" ht="15" customHeight="1">
      <c r="A558" t="inlineStr">
        <is>
          <t>Sherwood, C. C., Stimpson, C. D., Butti, C., Bonar, C. J., Newton, A. L., Allman, J. M., &amp; Hof, P. R. (2009). Neocortical neuron types in Xenarthra and Afrotheria: Implications for brain evolution in mammals. Brain Structure and Function, 213(3), 301-328. https://doi.org/10.1007/s00429-008-0198-9</t>
        </is>
      </c>
      <c r="B558" s="20"/>
      <c r="D558" t="inlineStr">
        <is>
          <t>Table 3</t>
        </is>
      </c>
      <c r="E558" s="10" t="str">
        <f>SUBSTITUTE(SUBSTITUTE(_xlfn.TEXTBEFORE(A558,","), "-", ""), " ", "")</f>
        <v>Sherwood</v>
      </c>
      <c r="F558" s="10"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10" t="str">
        <f>_xlfn.TEXTBEFORE(_xlfn.TEXTAFTER(A558, "("), ")")</f>
        <v>2009</v>
      </c>
      <c r="H558" s="10" t="str">
        <f>E558 &amp; IF(F558&lt;&gt;"", "_" &amp; SUBSTITUTE(F558," ",""), "_") &amp; IF(G558&lt;&gt;"", "_" &amp; G558, "_") &amp; IF(B558&lt;&gt;"", "_" &amp; B558, "")</f>
        <v>Sherwood_etal_2009</v>
      </c>
      <c r="I558" s="10" t="str">
        <f>_xlfn.LET(
_xlpm.doi,IF(C558&lt;&gt;"",C558,_xlfn.TEXTAFTER(A558,"https://doi.org/")),
SUBSTITUTE(
SUBSTITUTE(
SUBSTITUTE(
SUBSTITUTE(
_xlpm.doi,
"/","%2F"),
":","%3A"),
"&lt;","%3C"),
"&gt;","%3E")
)</f>
        <v>10.1007%2Fs00429-008-0198-9</v>
      </c>
      <c r="J558" s="10" t="str">
        <f>TRIM(_xlfn.TEXTJOIN("_",FALSE(),H558,(SUBSTITUTE(SUBSTITUTE(D558," ",""), "_", ""))))</f>
        <v>Sherwood_etal_2009_Table3</v>
      </c>
      <c r="K558" s="10" t="str">
        <f>I558 &amp; "_" &amp; SUBSTITUTE(SUBSTITUTE(SUBSTITUTE(D558,CHAR(160),"")," ",""),"_","")</f>
        <v>10.1007%2Fs00429-008-0198-9_Table3</v>
      </c>
      <c r="L558" s="10" t="str">
        <f t="array" ref="L558">IFERROR(INDEX(AUTO_Public_TSV_FileList!$A$1:$A$1000,MATCH(TRUE(),EXACT(K558,IFERROR(_xlfn.TEXTBEFORE(AUTO_Public_TSV_FileList!$A$1:$A$1000,".tsv"),"")),0)),"notfound")</f>
        <v>10.1007%2Fs00429-008-0198-9_Table3.tsv</v>
      </c>
      <c r="M558" t="inlineStr">
        <is>
          <t>Table 3. Data used in the principal components analysis</t>
        </is>
      </c>
      <c r="N558" t="inlineStr">
        <is>
          <t>PDF table (constructed transcribed snapshot; text layer column order scrambled)</t>
        </is>
      </c>
      <c r="O558" t="inlineStr">
        <is>
          <t>Per-specimen (7) immunohistochemical percentages. Species not printed in table (inferred from Table 1). Lewitus 2014 ref 29 (2 species). All values are S1 (layers II-VI / layer V) percentages of Nissl neurons.</t>
        </is>
      </c>
      <c r="P558" t="inlineStr">
        <is>
          <t>PREPARED (CSV built; owner registry paste / public TSV pending; RA side-by-side check pending)</t>
        </is>
      </c>
      <c r="Q558" t="inlineStr">
        <is>
          <t>Sherwood_etal_2009_Table3_snapshot.csv</t>
        </is>
      </c>
      <c r="R558" t="inlineStr">
        <is>
          <t>https://doi.org/10.1007/s00429-008-0198-9</t>
        </is>
      </c>
      <c r="W558" t="inlineStr">
        <is>
          <t>Xenarthra and Afrotheria (sloth, anteaters, hyrax, elephant shrew)</t>
        </is>
      </c>
      <c r="X558" t="inlineStr">
        <is>
          <t>percent of neurons CB-, CR-, PV-, NPY-immunoreactive interneurons</t>
        </is>
      </c>
      <c r="Y558" t="inlineStr">
        <is>
          <t>NPNFP-ir neurons in layer V</t>
        </is>
      </c>
      <c r="Z558" t="inlineStr">
        <is>
          <t>histological (immunohistochemistry, formalin-fixed brains)</t>
        </is>
      </c>
      <c r="AA558" t="inlineStr">
        <is>
          <t>immunohistochemistry cell counts</t>
        </is>
      </c>
      <c r="AB558" t="inlineStr">
        <is>
          <t>percent of neurons</t>
        </is>
      </c>
      <c r="AE558" t="inlineStr">
        <is>
          <t>primary</t>
        </is>
      </c>
    </row>
    <row r="559" ht="15" customHeight="1">
      <c r="A559" s="31" t="inlineStr">
        <is>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is>
      </c>
      <c r="B559" s="31"/>
      <c r="C559" s="31"/>
      <c r="D559" s="31" t="inlineStr">
        <is>
          <t>Table 2</t>
        </is>
      </c>
      <c r="E559" s="11" t="str">
        <f>SUBSTITUTE(SUBSTITUTE(_xlfn.TEXTBEFORE(A559,","), "-", ""), " ", "")</f>
        <v>Sherwood</v>
      </c>
      <c r="F559" s="10"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10" t="str">
        <f>_xlfn.TEXTBEFORE(_xlfn.TEXTAFTER(A559, "("), ")")</f>
        <v>2006</v>
      </c>
      <c r="H559" s="11" t="str">
        <f>E559 &amp; IF(F559&lt;&gt;"", "_" &amp; SUBSTITUTE(F559," ",""), "_") &amp; IF(G559&lt;&gt;"", "_" &amp; G559, "_") &amp; IF(B559&lt;&gt;"", "_" &amp; B559, "")</f>
        <v>Sherwood_etal_2006</v>
      </c>
      <c r="I559" s="11" t="str">
        <f>_xlfn.LET(_xlpm.doi,IF(C559&lt;&gt;"",C559,_xlfn.TEXTAFTER(A559,"https://doi.org/")),SUBSTITUTE(SUBSTITUTE(SUBSTITUTE(SUBSTITUTE(_xlpm.doi,"/","%2F"),":","%3A"),"&lt;","%3C"),"&gt;","%3E"))</f>
        <v>10.1073%2Fpnas.0605843103</v>
      </c>
      <c r="J559" s="11" t="str">
        <f>TRIM(_xlfn.TEXTJOIN("_",FALSE(),H559,(SUBSTITUTE(SUBSTITUTE(D559," ",""), "_", ""))))</f>
        <v>Sherwood_etal_2006_Table2</v>
      </c>
      <c r="K559" s="10" t="str">
        <f>I559 &amp; "_" &amp; SUBSTITUTE(SUBSTITUTE(SUBSTITUTE(D559,CHAR(160),"")," ",""),"_","")</f>
        <v>10.1073%2Fpnas.0605843103_Table2</v>
      </c>
      <c r="L559" s="10" t="str">
        <f t="array" ref="L559">IFERROR(INDEX(AUTO_Public_TSV_FileList!$A$1:$A$1000,MATCH(TRUE(),EXACT(K559,IFERROR(_xlfn.TEXTBEFORE(AUTO_Public_TSV_FileList!$A$1:$A$1000,".tsv"),"")),0)),"notfound")</f>
        <v>10.1073%2Fpnas.0605843103_Table2.tsv</v>
      </c>
      <c r="M559" s="31" t="inlineStr">
        <is>
          <t>Table 2. Glia-neuron ratios in layer II/III of different areas in frontal cortex (areas 4, 9L, 32, 44; human, chimpanzee, macaque)</t>
        </is>
      </c>
      <c r="N559" s="31" t="inlineStr">
        <is>
          <t>PDF table</t>
        </is>
      </c>
      <c r="O559" s="31" t="inlineStr">
        <is>
          <t>Table 2 only: three species, four paired frontal regions, mean (standard error), n=6 biological specimens per species. Dimensionless original-author derived ratios; not counts/densities. Glia pool astrocytes+oligodendrocytes; microglia excluded.</t>
        </is>
      </c>
      <c r="P559" s="31"/>
      <c r="Q559" s="31" t="inlineStr">
        <is>
          <t>Sherwood_etal_2006_Table2_snapshot.csv</t>
        </is>
      </c>
      <c r="R559" s="31" t="inlineStr">
        <is>
          <t>https://doi.org/10.1073/pnas.0605843103</t>
        </is>
      </c>
      <c r="S559" s="31" t="inlineStr">
        <is>
          <t>Actual PDF/Table 2 source-string, Python-preview, schema/context and static-reader checks only; AI review is not human visual curation. Independent source/schema/static review passed; R NOT RUN. Existing article DOI already correct; no DOI correction. AI is not human visual curation.</t>
        </is>
      </c>
      <c r="T559" s="31" t="inlineStr">
        <is>
          <t>Specimen overlap with Raghanti/shared collections unresolved; taxonomy/anatomy review pending; same six specimens paired across four areas; ratio aggregation order unresolved; fixation heterogeneous.</t>
        </is>
      </c>
      <c r="U559" s="31" t="inlineStr">
        <is>
          <t>HOLD: derived ratios, correlated regions and specimen/Raghanti overlap; anatomy/taxonomy/method and human review; R NOT RUN; no independent count/density merge or publication.</t>
        </is>
      </c>
      <c r="V559" s="31" t="inlineStr">
        <is>
          <t>frontal cortical glia-neuron ratios</t>
        </is>
      </c>
      <c r="W559" s="31" t="inlineStr">
        <is>
          <t>Homo sapiens; Pan troglodytes; Macaca maura (Table 2 only)</t>
        </is>
      </c>
      <c r="X559" s="31" t="inlineStr">
        <is>
          <t>Dimensionless pooled-astrocyte/oligodendrocyte-to-neuron ratio in left combined layer II/III of areas 4, 9L, 32, 44; mean and SE; only Area 4 is M1</t>
        </is>
      </c>
      <c r="Y559" s="31"/>
      <c r="Z559" s="31" t="inlineStr">
        <is>
          <t>left postmortem hemisphere; Nissl-stained histological sections</t>
        </is>
      </c>
      <c r="AA559" s="31" t="inlineStr">
        <is>
          <t>optical disector; corrected cellular Nv using number-weighted mean section thickness; three 400-um-spaced sections; 30x30-um frames; 6-um disector; minimum 2-um guard zones</t>
        </is>
      </c>
      <c r="AB559" s="31" t="inlineStr">
        <is>
          <t>dimensionless original-derived ratio summary (mean and standard error), not cell counts/densities or percent</t>
        </is>
      </c>
      <c r="AC559" s="31" t="inlineStr">
        <is>
          <t>Sherwood</t>
        </is>
      </c>
      <c r="AD559" s="31" t="inlineStr">
        <is>
          <t>Sherwood, Hof</t>
        </is>
      </c>
      <c r="AE559" s="31" t="inlineStr">
        <is>
          <t>primary</t>
        </is>
      </c>
      <c r="AF559" s="31"/>
      <c r="AG559" s="31"/>
    </row>
    <row r="560" ht="15" customHeight="1">
      <c r="A560" t="inlineStr">
        <is>
          <t>Shoshani, J., Kupsky, W. J., &amp; Marchant, G. H. (2006). Elephant brain. Part I: Gross morphology, functions, comparative anatomy, and evolution. Brain Research Bulletin, 70(2), 124-157. https://doi.org/10.1016/j.brainresbull.2006.03.016</t>
        </is>
      </c>
      <c r="B560" s="20"/>
      <c r="D560" t="inlineStr">
        <is>
          <t>Table1</t>
        </is>
      </c>
      <c r="E560" s="10" t="str">
        <f>SUBSTITUTE(SUBSTITUTE(_xlfn.TEXTBEFORE(A560,","), "-", ""), " ", "")</f>
        <v>Shoshani</v>
      </c>
      <c r="F560" s="10"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10" t="str">
        <f>_xlfn.TEXTBEFORE(_xlfn.TEXTAFTER(A560, "("), ")")</f>
        <v>2006</v>
      </c>
      <c r="H560" s="10" t="str">
        <f>E560 &amp; IF(F560&lt;&gt;"", "_" &amp; SUBSTITUTE(F560," ",""), "_") &amp; IF(G560&lt;&gt;"", "_" &amp; G560, "_") &amp; IF(B560&lt;&gt;"", "_" &amp; B560, "")</f>
        <v>Shoshani_etal_2006</v>
      </c>
      <c r="I560" s="10" t="str">
        <f>_xlfn.LET(
_xlpm.doi,IF(C560&lt;&gt;"",C560,_xlfn.TEXTAFTER(A560,"https://doi.org/")),
SUBSTITUTE(
SUBSTITUTE(
SUBSTITUTE(
SUBSTITUTE(
_xlpm.doi,
"/","%2F"),
":","%3A"),
"&lt;","%3C"),
"&gt;","%3E")
)</f>
        <v>10.1016%2Fj.brainresbull.2006.03.016</v>
      </c>
      <c r="J560" s="10" t="str">
        <f>TRIM(_xlfn.TEXTJOIN("_",FALSE(),H560,(SUBSTITUTE(SUBSTITUTE(D560," ",""), "_", ""))))</f>
        <v>Shoshani_etal_2006_Table1</v>
      </c>
      <c r="K560" s="10" t="str">
        <f>I560 &amp; "_" &amp; SUBSTITUTE(SUBSTITUTE(SUBSTITUTE(D560,CHAR(160),"")," ",""),"_","")</f>
        <v>10.1016%2Fj.brainresbull.2006.03.016_Table1</v>
      </c>
      <c r="L560" s="10" t="str">
        <f t="array" ref="L560">IFERROR(INDEX(AUTO_Public_TSV_FileList!$A$1:$A$1000,MATCH(TRUE(),EXACT(K560,IFERROR(_xlfn.TEXTBEFORE(AUTO_Public_TSV_FileList!$A$1:$A$1000,".tsv"),"")),0)),"notfound")</f>
        <v>10.1016%2Fj.brainresbull.2006.03.016_Table1.tsv</v>
      </c>
      <c r="M560" t="inlineStr">
        <is>
          <t>Table 1. Brains and endocasts of proboscideans and other taxa examined or available for comparison in this study</t>
        </is>
      </c>
      <c r="N560" t="inlineStr">
        <is>
          <t>PDF table (born-digital, scrambled text layer; constructed transcribed snapshot)</t>
        </is>
      </c>
      <c r="O560" t="inlineStr">
        <is>
          <t>Per-specimen rows (44): elephants (7 examined here, 15 literature), 7 illustration-only records, 4 extinct endocasts, 11 non-elephant specimens. Added because Lewitus et al. 2014 cites it (ref 54). Sample 6 body weight prints 1793.300.</t>
        </is>
      </c>
      <c r="P560" t="inlineStr">
        <is>
          <t>PREPARED (CSV built; owner registry paste / public TSV pending; RA side-by-side check pending)</t>
        </is>
      </c>
      <c r="Q560" t="inlineStr">
        <is>
          <t>Shoshani_etal_2006_Table1_snapshot.csv</t>
        </is>
      </c>
      <c r="R560" t="inlineStr">
        <is>
          <t>https://doi.org/10.1016/j.brainresbull.2006.03.016</t>
        </is>
      </c>
      <c r="W560" t="inlineStr">
        <is>
          <t>Proboscidea; comparison mammals</t>
        </is>
      </c>
      <c r="X560" t="inlineStr">
        <is>
          <t>brain weight, body weight, cerebellum weight, EQ</t>
        </is>
      </c>
      <c r="Y560" t="inlineStr">
        <is>
          <t>dura mater weight; age; sex; captive/wild</t>
        </is>
      </c>
      <c r="Z560" t="inlineStr">
        <is>
          <t>fixed whole brains (formaldehyde) and literature records</t>
        </is>
      </c>
      <c r="AA560" t="inlineStr">
        <is>
          <t>gross weighing; literature compilation</t>
        </is>
      </c>
      <c r="AB560" t="inlineStr">
        <is>
          <t>brain weight; encephalization</t>
        </is>
      </c>
      <c r="AE560" t="inlineStr">
        <is>
          <t>both</t>
        </is>
      </c>
      <c r="AF560" t="inlineStr">
        <is>
          <t>Literature refs [4],[10],[21],[22],[23],[32],[48],[62],[66],[72],[76],[81],[87],[94],[104],[106],[117],[120],[125] (rows 8-33); EQ rows 34-44 adapted from a literature source</t>
        </is>
      </c>
    </row>
    <row r="561" ht="15" customHeight="1">
      <c r="A561" s="15" t="inlineStr">
        <is>
          <t>Shultz, S., &amp; Dunbar, R. I. M. (2010). Species differences in executive function correlate with hippocampus volume and neocortex ratio across nonhuman primates. J Comp Psych, 124(3), 252-260. https://doi.org/10.1037/a0018894</t>
        </is>
      </c>
      <c r="B561" s="19"/>
      <c r="C561" s="19"/>
      <c r="D561" s="15" t="inlineStr">
        <is>
          <t>Table S1</t>
        </is>
      </c>
      <c r="E561" s="10" t="str">
        <f>SUBSTITUTE(SUBSTITUTE(_xlfn.TEXTBEFORE(A561,","), "-", ""), " ", "")</f>
        <v>Shultz</v>
      </c>
      <c r="F561" s="10"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1" s="10" t="str">
        <f>_xlfn.TEXTBEFORE(_xlfn.TEXTAFTER(A561, "("), ")")</f>
        <v>2010</v>
      </c>
      <c r="H561" s="10" t="str">
        <f>E561 &amp; IF(F561&lt;&gt;"", "_" &amp; SUBSTITUTE(F561," ",""), "_") &amp; IF(G561&lt;&gt;"", "_" &amp; G561, "_") &amp; IF(B561&lt;&gt;"", "_" &amp; B561, "")</f>
        <v>Shultz__2010</v>
      </c>
      <c r="I561" s="10" t="str">
        <f>_xlfn.LET(
_xlpm.doi,IF(C561&lt;&gt;"",C561,_xlfn.TEXTAFTER(A561,"https://doi.org/")),
SUBSTITUTE(
SUBSTITUTE(
SUBSTITUTE(
SUBSTITUTE(
_xlpm.doi,
"/","%2F"),
":","%3A"),
"&lt;","%3C"),
"&gt;","%3E")
)</f>
        <v>10.1037%2Fa0018894</v>
      </c>
      <c r="J561" s="10" t="str">
        <f>TRIM(_xlfn.TEXTJOIN("_",FALSE(),H561,(SUBSTITUTE(SUBSTITUTE(D561," ",""), "_", ""))))</f>
        <v>Shultz__2010_TableS1</v>
      </c>
      <c r="K561" s="10" t="str">
        <f>I561 &amp; "_" &amp; SUBSTITUTE(SUBSTITUTE(SUBSTITUTE(D561,CHAR(160),"")," ",""),"_","")</f>
        <v>10.1037%2Fa0018894_TableS1</v>
      </c>
      <c r="L561" s="10" t="str">
        <f t="array" ref="L561">IFERROR(INDEX(AUTO_Public_TSV_FileList!$A$1:$A$1000,MATCH(TRUE(),EXACT(K561,IFERROR(_xlfn.TEXTBEFORE(AUTO_Public_TSV_FileList!$A$1:$A$1000,".tsv"),"")),0)),"notfound")</f>
        <v>notfound</v>
      </c>
      <c r="M561" s="21" t="inlineStr">
        <is>
          <t>Table S1 (Supplementary Online Material) — full information on the individual studies</t>
        </is>
      </c>
      <c r="N561" s="15" t="inlineStr">
        <is>
          <t>table</t>
        </is>
      </c>
      <c r="O561" s="21" t="inlineStr">
        <is>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is>
      </c>
      <c r="P561" s="21"/>
      <c r="Q561" s="21"/>
      <c r="R561" s="21" t="inlineStr">
        <is>
          <t>https://doi.org/10.1037/a0018894.supp</t>
        </is>
      </c>
      <c r="S561" s="21" t="inlineStr">
        <is>
          <t>All five main-paper tables read against the EndNote PDF on 2026-08-31; none carries species-level trait values. Supplement DOI confirmed via CrossRef (10.1037/a0018894.supp).</t>
        </is>
      </c>
      <c r="T561" s="21" t="inlineStr">
        <is>
          <t>Behavioural values are aggregated over 43 studies and averaged to one value per GENUS per task in the analysed dataset, so the analysed data are genus-level. Confirm whether Table S1 preserves species and study granularity before treating it as raw.</t>
        </is>
      </c>
      <c r="U561" s="21"/>
      <c r="V561" s="21" t="inlineStr">
        <is>
          <t>comparative intelligence</t>
        </is>
      </c>
      <c r="W561" s="21" t="inlineStr">
        <is>
          <t>Primates</t>
        </is>
      </c>
      <c r="X561" s="21" t="inlineStr">
        <is>
          <t>executive function; task performance</t>
        </is>
      </c>
      <c r="Y561" s="21" t="inlineStr">
        <is>
          <t>task performance (% correct) by species and task; sample sizes; original study sources</t>
        </is>
      </c>
      <c r="Z561" s="21"/>
      <c r="AA561" s="21"/>
      <c r="AB561" s="21" t="inlineStr">
        <is>
          <t>behavioural task performance (% correct)</t>
        </is>
      </c>
      <c r="AC561" s="19"/>
      <c r="AD561" s="21"/>
      <c r="AE561" s="21" t="inlineStr">
        <is>
          <t>secondary</t>
        </is>
      </c>
      <c r="AF561" s="21"/>
      <c r="AG561" s="21" t="inlineStr">
        <is>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is>
      </c>
    </row>
    <row r="562" ht="15" customHeight="1">
      <c r="A562" s="15" t="inlineStr">
        <is>
          <t>Siegel, J. M. (2022). Sleep function: an evolutionary perspective. Lancet Neurol, 21(10), 937-946. https://doi.org/10.1016/S1474-4422(22)00210-1</t>
        </is>
      </c>
      <c r="B562" s="19"/>
      <c r="C562" s="19"/>
      <c r="D562" s="15" t="inlineStr">
        <is>
          <t>Appendix</t>
        </is>
      </c>
      <c r="E562" s="10" t="str">
        <f>SUBSTITUTE(SUBSTITUTE(_xlfn.TEXTBEFORE(A562,","), "-", ""), " ", "")</f>
        <v>Siegel</v>
      </c>
      <c r="F562" s="10"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2" s="10" t="str">
        <f>_xlfn.TEXTBEFORE(_xlfn.TEXTAFTER(A562, "("), ")")</f>
        <v>2022</v>
      </c>
      <c r="H562" s="10" t="str">
        <f>E562 &amp; IF(F562&lt;&gt;"", "_" &amp; SUBSTITUTE(F562," ",""), "_") &amp; IF(G562&lt;&gt;"", "_" &amp; G562, "_") &amp; IF(B562&lt;&gt;"", "_" &amp; B562, "")</f>
        <v>Siegel__2022</v>
      </c>
      <c r="I562" s="10" t="str">
        <f>_xlfn.LET(
_xlpm.doi,IF(C562&lt;&gt;"",C562,_xlfn.TEXTAFTER(A562,"https://doi.org/")),
SUBSTITUTE(
SUBSTITUTE(
SUBSTITUTE(
SUBSTITUTE(
_xlpm.doi,
"/","%2F"),
":","%3A"),
"&lt;","%3C"),
"&gt;","%3E")
)</f>
        <v>10.1016%2FS1474-4422(22)00210-1</v>
      </c>
      <c r="J562" s="10" t="str">
        <f>TRIM(_xlfn.TEXTJOIN("_",FALSE(),H562,(SUBSTITUTE(SUBSTITUTE(D562," ",""), "_", ""))))</f>
        <v>Siegel__2022_Appendix</v>
      </c>
      <c r="K562" s="10" t="str">
        <f>I562 &amp; "_" &amp; SUBSTITUTE(SUBSTITUTE(SUBSTITUTE(D562,CHAR(160),"")," ",""),"_","")</f>
        <v>10.1016%2FS1474-4422(22)00210-1_Appendix</v>
      </c>
      <c r="L562" s="10" t="str">
        <f t="array" ref="L562">IFERROR(INDEX(AUTO_Public_TSV_FileList!$A$1:$A$1000,MATCH(TRUE(),EXACT(K562,IFERROR(_xlfn.TEXTBEFORE(AUTO_Public_TSV_FileList!$A$1:$A$1000,".tsv"),"")),0)),"notfound")</f>
        <v>notfound</v>
      </c>
      <c r="M562" s="21" t="inlineStr">
        <is>
          <t>Appendix: REM, non-REM, and total sleep amounts in homeotherms</t>
        </is>
      </c>
      <c r="N562" s="15"/>
      <c r="O562" s="21"/>
      <c r="P562" s="21"/>
      <c r="Q562" s="21"/>
      <c r="R562" s="21"/>
      <c r="S562" s="21"/>
      <c r="T562" s="21"/>
      <c r="U562" s="21"/>
      <c r="V562" s="21"/>
      <c r="W562" s="21"/>
      <c r="X562" s="21"/>
      <c r="Y562" s="21"/>
      <c r="Z562" s="21"/>
      <c r="AA562" s="21"/>
      <c r="AB562" s="21"/>
      <c r="AC562" s="19"/>
      <c r="AD562" s="21"/>
      <c r="AE562" s="21"/>
      <c r="AF562" s="21"/>
      <c r="AG562" s="21"/>
    </row>
    <row r="563" ht="15" customHeight="1">
      <c r="A563" s="15" t="inlineStr">
        <is>
          <t>Smaers, J. B., &amp; Soligo, C. (2013). Brain reorganization, not relative brain size, primarily characterizes anthropoid brain evolution. Proc Biol Sci, 280(1759), 20130269. https://doi.org/10.1098/rspb.2013.0269</t>
        </is>
      </c>
      <c r="B563" s="19"/>
      <c r="C563" s="15"/>
      <c r="D563" s="15" t="inlineStr">
        <is>
          <t>Supplement</t>
        </is>
      </c>
      <c r="E563" s="10" t="str">
        <f>SUBSTITUTE(SUBSTITUTE(_xlfn.TEXTBEFORE(A563,","), "-", ""), " ", "")</f>
        <v>Smaers</v>
      </c>
      <c r="F563" s="10"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3" s="10" t="str">
        <f>_xlfn.TEXTBEFORE(_xlfn.TEXTAFTER(A563, "("), ")")</f>
        <v>2013</v>
      </c>
      <c r="H563" s="10" t="str">
        <f>E563 &amp; IF(F563&lt;&gt;"", "_" &amp; SUBSTITUTE(F563," ",""), "_") &amp; IF(G563&lt;&gt;"", "_" &amp; G563, "_") &amp; IF(B563&lt;&gt;"", "_" &amp; B563, "")</f>
        <v>Smaers__2013</v>
      </c>
      <c r="I563" s="10" t="str">
        <f>_xlfn.LET(
_xlpm.doi,IF(C563&lt;&gt;"",C563,_xlfn.TEXTAFTER(A563,"https://doi.org/")),
SUBSTITUTE(
SUBSTITUTE(
SUBSTITUTE(
SUBSTITUTE(
_xlpm.doi,
"/","%2F"),
":","%3A"),
"&lt;","%3C"),
"&gt;","%3E")
)</f>
        <v>10.1098%2Frspb.2013.0269</v>
      </c>
      <c r="J563" s="10" t="str">
        <f>TRIM(_xlfn.TEXTJOIN("_",FALSE(),H563,(SUBSTITUTE(SUBSTITUTE(D563," ",""), "_", ""))))</f>
        <v>Smaers__2013_Supplement</v>
      </c>
      <c r="K563" s="10" t="str">
        <f>I563 &amp; "_" &amp; SUBSTITUTE(SUBSTITUTE(SUBSTITUTE(D563,CHAR(160),"")," ",""),"_","")</f>
        <v>10.1098%2Frspb.2013.0269_Supplement</v>
      </c>
      <c r="L563" s="10" t="str">
        <f t="array" ref="L563">IFERROR(INDEX(AUTO_Public_TSV_FileList!$A$1:$A$1000,MATCH(TRUE(),EXACT(K563,IFERROR(_xlfn.TEXTBEFORE(AUTO_Public_TSV_FileList!$A$1:$A$1000,".tsv"),"")),0)),"notfound")</f>
        <v>notfound</v>
      </c>
      <c r="M563" s="15" t="inlineStr">
        <is>
          <t>Brain region volumes and phylogenetic reorganization analysis.</t>
        </is>
      </c>
      <c r="N563" s="19"/>
      <c r="O563" s="19"/>
      <c r="P563" s="19"/>
      <c r="Q563" s="19"/>
      <c r="R563" s="19"/>
      <c r="S563" s="19"/>
      <c r="T563" s="19"/>
      <c r="U563" s="19"/>
      <c r="V563" s="19"/>
      <c r="W563" s="15" t="inlineStr">
        <is>
          <t>anthropoid primates</t>
        </is>
      </c>
      <c r="X563" s="15" t="inlineStr">
        <is>
          <t>brain region volumes / reorganization</t>
        </is>
      </c>
      <c r="Y563" s="19"/>
      <c r="Z563" s="15" t="inlineStr">
        <is>
          <t>histological sections</t>
        </is>
      </c>
      <c r="AA563" s="15" t="inlineStr">
        <is>
          <t>volumetry</t>
        </is>
      </c>
      <c r="AB563" s="15" t="inlineStr">
        <is>
          <t>volume</t>
        </is>
      </c>
      <c r="AC563" s="19"/>
      <c r="AD563" s="19"/>
      <c r="AE563" s="15" t="inlineStr">
        <is>
          <t>both</t>
        </is>
      </c>
      <c r="AF563" s="15"/>
      <c r="AG563" s="19"/>
    </row>
    <row r="564" ht="15" customHeight="1">
      <c r="A564" s="19" t="inlineStr">
        <is>
          <t>Smaers, J. B., Gómez-Robles, A., Parks, A. N., &amp; Sherwood, C. C. (2017). Exceptional Evolutionary Expansion of Prefrontal Cortex in Great Apes and Humans. Curr Biol, 27(5), 714-720. https://doi.org/10.1016/j.cub.2017.01.020</t>
        </is>
      </c>
      <c r="B564" s="19"/>
      <c r="C564" s="19"/>
      <c r="D564" s="15" t="inlineStr">
        <is>
          <t>Table S1 part 1</t>
        </is>
      </c>
      <c r="E564" s="10" t="str">
        <f>SUBSTITUTE(SUBSTITUTE(_xlfn.TEXTBEFORE(A564,","), "-", ""), " ", "")</f>
        <v>Smaers</v>
      </c>
      <c r="F564" s="10"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4" s="10" t="str">
        <f>_xlfn.TEXTBEFORE(_xlfn.TEXTAFTER(A564, "("), ")")</f>
        <v>2017</v>
      </c>
      <c r="H564" s="10" t="str">
        <f>E564 &amp; IF(F564&lt;&gt;"", "_" &amp; SUBSTITUTE(F564," ",""), "_") &amp; IF(G564&lt;&gt;"", "_" &amp; G564, "_") &amp; IF(B564&lt;&gt;"", "_" &amp; B564, "")</f>
        <v>Smaers__2017</v>
      </c>
      <c r="I564" s="10" t="str">
        <f>_xlfn.LET(
_xlpm.doi,IF(C564&lt;&gt;"",C564,_xlfn.TEXTAFTER(A564,"https://doi.org/")),
SUBSTITUTE(
SUBSTITUTE(
SUBSTITUTE(
SUBSTITUTE(
_xlpm.doi,
"/","%2F"),
":","%3A"),
"&lt;","%3C"),
"&gt;","%3E")
)</f>
        <v>10.1016%2Fj.cub.2017.01.020</v>
      </c>
      <c r="J564" s="10" t="str">
        <f>TRIM(_xlfn.TEXTJOIN("_",FALSE(),H564,(SUBSTITUTE(SUBSTITUTE(D564," ",""), "_", ""))))</f>
        <v>Smaers__2017_TableS1part1</v>
      </c>
      <c r="K564" s="10" t="str">
        <f>I564 &amp; "_" &amp; SUBSTITUTE(SUBSTITUTE(SUBSTITUTE(D564,CHAR(160),"")," ",""),"_","")</f>
        <v>10.1016%2Fj.cub.2017.01.020_TableS1part1</v>
      </c>
      <c r="L564" s="10" t="str">
        <f t="array" ref="L564">IFERROR(INDEX(AUTO_Public_TSV_FileList!$A$1:$A$1000,MATCH(TRUE(),EXACT(K564,IFERROR(_xlfn.TEXTBEFORE(AUTO_Public_TSV_FileList!$A$1:$A$1000,".tsv"),"")),0)),"notfound")</f>
        <v>10.1016%2Fj.cub.2017.01.020_TableS1part1.tsv</v>
      </c>
      <c r="M564" s="15" t="inlineStr">
        <is>
          <t>Exceptional expansion of prefrontal cortex (Table 1)</t>
        </is>
      </c>
      <c r="N564" s="15" t="inlineStr">
        <is>
          <t>table</t>
        </is>
      </c>
      <c r="O564" s="15" t="inlineStr">
        <is>
          <t>part 1 volumes</t>
        </is>
      </c>
      <c r="P564" s="15" t="inlineStr">
        <is>
          <t>FINISHED</t>
        </is>
      </c>
      <c r="Q564" s="19"/>
      <c r="R564" s="19"/>
      <c r="S564" s="15" t="inlineStr">
        <is>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is>
      </c>
      <c r="T564" s="19"/>
      <c r="U564" s="19"/>
      <c r="V564" s="19"/>
      <c r="W564" s="15" t="inlineStr">
        <is>
          <t>Primates</t>
        </is>
      </c>
      <c r="X564" s="15" t="inlineStr">
        <is>
          <t>prefrontal cortex size</t>
        </is>
      </c>
      <c r="Y564" s="19"/>
      <c r="Z564" s="15" t="inlineStr">
        <is>
          <t>histological sections</t>
        </is>
      </c>
      <c r="AA564" s="15" t="inlineStr">
        <is>
          <t>volumetry</t>
        </is>
      </c>
      <c r="AB564" s="15" t="inlineStr">
        <is>
          <t>volume</t>
        </is>
      </c>
      <c r="AC564" s="15" t="inlineStr">
        <is>
          <t>Smaers (compilation)</t>
        </is>
      </c>
      <c r="AD564" s="15" t="inlineStr">
        <is>
          <t>Stephan, Zilles</t>
        </is>
      </c>
      <c r="AE564" s="15" t="inlineStr">
        <is>
          <t>both</t>
        </is>
      </c>
      <c r="AF564" s="15"/>
      <c r="AG564" s="19"/>
    </row>
    <row r="565" ht="15" customHeight="1">
      <c r="A565" s="19" t="inlineStr">
        <is>
          <t>Smaers, J. B., Gómez-Robles, A., Parks, A. N., &amp; Sherwood, C. C. (2017). Exceptional Evolutionary Expansion of Prefrontal Cortex in Great Apes and Humans. Curr Biol, 27(5), 714-720. https://doi.org/10.1016/j.cub.2017.01.020</t>
        </is>
      </c>
      <c r="B565" s="19"/>
      <c r="C565" s="19"/>
      <c r="D565" s="15" t="inlineStr">
        <is>
          <t>Table S1 part 2</t>
        </is>
      </c>
      <c r="E565" s="10" t="str">
        <f>SUBSTITUTE(SUBSTITUTE(_xlfn.TEXTBEFORE(A565,","), "-", ""), " ", "")</f>
        <v>Smaers</v>
      </c>
      <c r="F565" s="10"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5" s="10" t="str">
        <f>_xlfn.TEXTBEFORE(_xlfn.TEXTAFTER(A565, "("), ")")</f>
        <v>2017</v>
      </c>
      <c r="H565" s="10" t="str">
        <f>E565 &amp; IF(F565&lt;&gt;"", "_" &amp; SUBSTITUTE(F565," ",""), "_") &amp; IF(G565&lt;&gt;"", "_" &amp; G565, "_") &amp; IF(B565&lt;&gt;"", "_" &amp; B565, "")</f>
        <v>Smaers__2017</v>
      </c>
      <c r="I565" s="10" t="str">
        <f>_xlfn.LET(
_xlpm.doi,IF(C565&lt;&gt;"",C565,_xlfn.TEXTAFTER(A565,"https://doi.org/")),
SUBSTITUTE(
SUBSTITUTE(
SUBSTITUTE(
SUBSTITUTE(
_xlpm.doi,
"/","%2F"),
":","%3A"),
"&lt;","%3C"),
"&gt;","%3E")
)</f>
        <v>10.1016%2Fj.cub.2017.01.020</v>
      </c>
      <c r="J565" s="10" t="str">
        <f>TRIM(_xlfn.TEXTJOIN("_",FALSE(),H565,(SUBSTITUTE(SUBSTITUTE(D565," ",""), "_", ""))))</f>
        <v>Smaers__2017_TableS1part2</v>
      </c>
      <c r="K565" s="10" t="str">
        <f>I565 &amp; "_" &amp; SUBSTITUTE(SUBSTITUTE(SUBSTITUTE(D565,CHAR(160),"")," ",""),"_","")</f>
        <v>10.1016%2Fj.cub.2017.01.020_TableS1part2</v>
      </c>
      <c r="L565" s="10" t="str">
        <f t="array" ref="L565">IFERROR(INDEX(AUTO_Public_TSV_FileList!$A$1:$A$1000,MATCH(TRUE(),EXACT(K565,IFERROR(_xlfn.TEXTBEFORE(AUTO_Public_TSV_FileList!$A$1:$A$1000,".tsv"),"")),0)),"notfound")</f>
        <v>10.1016%2Fj.cub.2017.01.020_TableS1part2.tsv</v>
      </c>
      <c r="M565" s="15" t="inlineStr">
        <is>
          <t>Exceptional expansion of prefrontal cortex (Table 1)</t>
        </is>
      </c>
      <c r="N565" s="15" t="inlineStr">
        <is>
          <t>table</t>
        </is>
      </c>
      <c r="O565" s="15" t="inlineStr">
        <is>
          <t>part 2 surface areas</t>
        </is>
      </c>
      <c r="P565" s="15" t="inlineStr">
        <is>
          <t>FINISHED</t>
        </is>
      </c>
      <c r="Q565" s="19"/>
      <c r="R565" s="19"/>
      <c r="S565" s="15" t="inlineStr">
        <is>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is>
      </c>
      <c r="T565" s="19"/>
      <c r="U565" s="19"/>
      <c r="V565" s="19"/>
      <c r="W565" s="15" t="inlineStr">
        <is>
          <t>Primates</t>
        </is>
      </c>
      <c r="X565" s="15" t="inlineStr">
        <is>
          <t>prefrontal cortex size</t>
        </is>
      </c>
      <c r="Y565" s="19"/>
      <c r="Z565" s="15" t="inlineStr">
        <is>
          <t>histological sections</t>
        </is>
      </c>
      <c r="AA565" s="15" t="inlineStr">
        <is>
          <t>volumetry</t>
        </is>
      </c>
      <c r="AB565" s="15" t="inlineStr">
        <is>
          <t>volume</t>
        </is>
      </c>
      <c r="AC565" s="15" t="inlineStr">
        <is>
          <t>Smaers (compilation)</t>
        </is>
      </c>
      <c r="AD565" s="15" t="inlineStr">
        <is>
          <t>Stephan, Zilles</t>
        </is>
      </c>
      <c r="AE565" s="15" t="inlineStr">
        <is>
          <t>both</t>
        </is>
      </c>
      <c r="AF565" s="15"/>
      <c r="AG565" s="19"/>
    </row>
    <row r="566" ht="15" customHeight="1">
      <c r="A566" s="15" t="inlineStr">
        <is>
          <t>Smaers, J. B., Schleicher, A., Zilles, K., &amp; Vinicius, L. (2010). Frontal white matter volume is associated with brain enlargement and higher structural connectivity in anthropoid primates. PLoS ONE, 5(2), e9123. https://doi.org/10.1371/journal.pone.0009123</t>
        </is>
      </c>
      <c r="B566" s="19"/>
      <c r="C566" s="19"/>
      <c r="D566" s="15" t="inlineStr">
        <is>
          <t>Table 1</t>
        </is>
      </c>
      <c r="E566" s="10" t="str">
        <f>SUBSTITUTE(SUBSTITUTE(_xlfn.TEXTBEFORE(A566,","), "-", ""), " ", "")</f>
        <v>Smaers</v>
      </c>
      <c r="F566" s="10"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10" t="str">
        <f>_xlfn.TEXTBEFORE(_xlfn.TEXTAFTER(A566, "("), ")")</f>
        <v>2010</v>
      </c>
      <c r="H566" s="10" t="str">
        <f>E566 &amp; IF(F566&lt;&gt;"", "_" &amp; SUBSTITUTE(F566," ",""), "_") &amp; IF(G566&lt;&gt;"", "_" &amp; G566, "_") &amp; IF(B566&lt;&gt;"", "_" &amp; B566, "")</f>
        <v>Smaers_etal_2010</v>
      </c>
      <c r="I566" s="10" t="str">
        <f>_xlfn.LET(
_xlpm.doi,IF(C566&lt;&gt;"",C566,_xlfn.TEXTAFTER(A566,"https://doi.org/")),
SUBSTITUTE(
SUBSTITUTE(
SUBSTITUTE(
SUBSTITUTE(
_xlpm.doi,
"/","%2F"),
":","%3A"),
"&lt;","%3C"),
"&gt;","%3E")
)</f>
        <v>10.1371%2Fjournal.pone.0009123</v>
      </c>
      <c r="J566" s="10" t="str">
        <f>TRIM(_xlfn.TEXTJOIN("_",FALSE(),H566,(SUBSTITUTE(SUBSTITUTE(D566," ",""), "_", ""))))</f>
        <v>Smaers_etal_2010_Table1</v>
      </c>
      <c r="K566" s="10" t="str">
        <f>I566 &amp; "_" &amp; SUBSTITUTE(SUBSTITUTE(SUBSTITUTE(D566,CHAR(160),"")," ",""),"_","")</f>
        <v>10.1371%2Fjournal.pone.0009123_Table1</v>
      </c>
      <c r="L566" s="10" t="str">
        <f t="array" ref="L566">IFERROR(INDEX(AUTO_Public_TSV_FileList!$A$1:$A$1000,MATCH(TRUE(),EXACT(K566,IFERROR(_xlfn.TEXTBEFORE(AUTO_Public_TSV_FileList!$A$1:$A$1000,".tsv"),"")),0)),"notfound")</f>
        <v>10.1371%2Fjournal.pone.0009123_Table1.tsv</v>
      </c>
      <c r="M566" s="15" t="inlineStr">
        <is>
          <t>Table 1. Volumetric measurements of neopallium and frontal lobe white and grey matter.</t>
        </is>
      </c>
      <c r="N566" s="19"/>
      <c r="O566" s="19"/>
      <c r="P566" s="19" t="inlineStr">
        <is>
          <t>FINISHED</t>
        </is>
      </c>
      <c r="Q566" s="19"/>
      <c r="R566" s="19"/>
      <c r="S566" s="19"/>
      <c r="T566" s="19"/>
      <c r="U566" s="19"/>
      <c r="V566" s="19"/>
      <c r="W566" s="19"/>
      <c r="X566" s="19"/>
      <c r="Y566" s="19"/>
      <c r="Z566" s="19"/>
      <c r="AA566" s="19"/>
      <c r="AB566" s="19"/>
      <c r="AC566" s="19"/>
      <c r="AD566" s="19"/>
      <c r="AE566" s="19"/>
      <c r="AF566" s="19"/>
      <c r="AG566" s="19"/>
    </row>
    <row r="567" ht="15" customHeight="1">
      <c r="A567" s="15" t="inlineStr">
        <is>
          <t>Smaers, J. B., Steele, J., Case, C. R., Cowper, A., Amunts, K., &amp; Zilles, K. (2011). Primate prefrontal cortex evolution: human brains are the extreme of a lateralized ape trend. Brain Behav Evol, 77(2), 67-78. https://doi.org/10.1159/000323671</t>
        </is>
      </c>
      <c r="B567" s="19"/>
      <c r="C567" s="19"/>
      <c r="D567" s="15" t="inlineStr">
        <is>
          <t>Supplementary Table 1</t>
        </is>
      </c>
      <c r="E567" s="10" t="str">
        <f>SUBSTITUTE(SUBSTITUTE(_xlfn.TEXTBEFORE(A567,","), "-", ""), " ", "")</f>
        <v>Smaers</v>
      </c>
      <c r="F567" s="10"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10" t="str">
        <f>_xlfn.TEXTBEFORE(_xlfn.TEXTAFTER(A567, "("), ")")</f>
        <v>2011</v>
      </c>
      <c r="H567" s="10" t="str">
        <f>E567 &amp; IF(F567&lt;&gt;"", "_" &amp; SUBSTITUTE(F567," ",""), "_") &amp; IF(G567&lt;&gt;"", "_" &amp; G567, "_") &amp; IF(B567&lt;&gt;"", "_" &amp; B567, "")</f>
        <v>Smaers_etal_2011</v>
      </c>
      <c r="I567" s="10" t="str">
        <f>_xlfn.LET(
_xlpm.doi,IF(C567&lt;&gt;"",C567,_xlfn.TEXTAFTER(A567,"https://doi.org/")),
SUBSTITUTE(
SUBSTITUTE(
SUBSTITUTE(
SUBSTITUTE(
_xlpm.doi,
"/","%2F"),
":","%3A"),
"&lt;","%3C"),
"&gt;","%3E")
)</f>
        <v>10.1159%2F000323671</v>
      </c>
      <c r="J567" s="10" t="str">
        <f>TRIM(_xlfn.TEXTJOIN("_",FALSE(),H567,(SUBSTITUTE(SUBSTITUTE(D567," ",""), "_", ""))))</f>
        <v>Smaers_etal_2011_SupplementaryTable1</v>
      </c>
      <c r="K567" s="10" t="str">
        <f>I567 &amp; "_" &amp; SUBSTITUTE(SUBSTITUTE(SUBSTITUTE(D567,CHAR(160),"")," ",""),"_","")</f>
        <v>10.1159%2F000323671_SupplementaryTable1</v>
      </c>
      <c r="L567" s="10" t="str">
        <f t="array" ref="L567">IFERROR(INDEX(AUTO_Public_TSV_FileList!$A$1:$A$1000,MATCH(TRUE(),EXACT(K567,IFERROR(_xlfn.TEXTBEFORE(AUTO_Public_TSV_FileList!$A$1:$A$1000,".tsv"),"")),0)),"notfound")</f>
        <v>10.1159%2F000323671_SupplementaryTable1.tsv</v>
      </c>
      <c r="M567" s="19"/>
      <c r="N567" s="15" t="inlineStr">
        <is>
          <t>table</t>
        </is>
      </c>
      <c r="O567" s="19"/>
      <c r="P567" s="19" t="inlineStr">
        <is>
          <t>FINISHED</t>
        </is>
      </c>
      <c r="Q567" s="19"/>
      <c r="R567" s="19"/>
      <c r="S567" s="19"/>
      <c r="T567" s="19"/>
      <c r="U567" s="19"/>
      <c r="V567" s="19"/>
      <c r="W567" s="15" t="inlineStr">
        <is>
          <t>Primates</t>
        </is>
      </c>
      <c r="X567" s="15" t="inlineStr">
        <is>
          <t>prefrontal cortex / cortical reorganization</t>
        </is>
      </c>
      <c r="Y567" s="19"/>
      <c r="Z567" s="15" t="inlineStr">
        <is>
          <t>histological sections</t>
        </is>
      </c>
      <c r="AA567" s="15" t="inlineStr">
        <is>
          <t>volumetry</t>
        </is>
      </c>
      <c r="AB567" s="15" t="inlineStr">
        <is>
          <t>volume</t>
        </is>
      </c>
      <c r="AC567" s="19"/>
      <c r="AD567" s="15" t="inlineStr">
        <is>
          <t>Stephan, Zilles</t>
        </is>
      </c>
      <c r="AE567" s="15" t="inlineStr">
        <is>
          <t>both</t>
        </is>
      </c>
      <c r="AF567" s="15"/>
      <c r="AG567" s="19"/>
    </row>
    <row r="568" ht="15" customHeight="1">
      <c r="A568" s="15" t="inlineStr">
        <is>
          <t>Smaers, J. B., Steele, J., Case, C. R., Cowper, A., Amunts, K., &amp; Zilles, K. (2011). Primate prefrontal cortex evolution: human brains are the extreme of a lateralized ape trend. Brain Behav Evol, 77(2), 67-78. https://doi.org/10.1159/000323671</t>
        </is>
      </c>
      <c r="B568" s="19"/>
      <c r="C568" s="19"/>
      <c r="D568" s="15" t="inlineStr">
        <is>
          <t>SupplementaryTable2</t>
        </is>
      </c>
      <c r="E568" s="10" t="str">
        <f>SUBSTITUTE(SUBSTITUTE(_xlfn.TEXTBEFORE(A568,","), "-", ""), " ", "")</f>
        <v>Smaers</v>
      </c>
      <c r="F568" s="10"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10" t="str">
        <f>_xlfn.TEXTBEFORE(_xlfn.TEXTAFTER(A568, "("), ")")</f>
        <v>2011</v>
      </c>
      <c r="H568" s="10" t="str">
        <f>E568 &amp; IF(F568&lt;&gt;"", "_" &amp; SUBSTITUTE(F568," ",""), "_") &amp; IF(G568&lt;&gt;"", "_" &amp; G568, "_") &amp; IF(B568&lt;&gt;"", "_" &amp; B568, "")</f>
        <v>Smaers_etal_2011</v>
      </c>
      <c r="I568" s="10" t="str">
        <f>_xlfn.LET(
_xlpm.doi,IF(C568&lt;&gt;"",C568,_xlfn.TEXTAFTER(A568,"https://doi.org/")),
SUBSTITUTE(
SUBSTITUTE(
SUBSTITUTE(
SUBSTITUTE(
_xlpm.doi,
"/","%2F"),
":","%3A"),
"&lt;","%3C"),
"&gt;","%3E")
)</f>
        <v>10.1159%2F000323671</v>
      </c>
      <c r="J568" s="10" t="str">
        <f>TRIM(_xlfn.TEXTJOIN("_",FALSE(),H568,(SUBSTITUTE(SUBSTITUTE(D568," ",""), "_", ""))))</f>
        <v>Smaers_etal_2011_SupplementaryTable2</v>
      </c>
      <c r="K568" s="10" t="str">
        <f>I568 &amp; "_" &amp; SUBSTITUTE(SUBSTITUTE(SUBSTITUTE(D568,CHAR(160),"")," ",""),"_","")</f>
        <v>10.1159%2F000323671_SupplementaryTable2</v>
      </c>
      <c r="L568" s="10" t="str">
        <f t="array" ref="L568">IFERROR(INDEX(AUTO_Public_TSV_FileList!$A$1:$A$1000,MATCH(TRUE(),EXACT(K568,IFERROR(_xlfn.TEXTBEFORE(AUTO_Public_TSV_FileList!$A$1:$A$1000,".tsv"),"")),0)),"notfound")</f>
        <v>10.1159%2F000323671_SupplementaryTable2.tsv</v>
      </c>
      <c r="M568" s="19"/>
      <c r="N568" s="15" t="inlineStr">
        <is>
          <t>table</t>
        </is>
      </c>
      <c r="O568" s="19"/>
      <c r="P568" s="19" t="inlineStr">
        <is>
          <t>FINISHED</t>
        </is>
      </c>
      <c r="Q568" s="19"/>
      <c r="R568" s="19"/>
      <c r="S568" s="19"/>
      <c r="T568" s="19"/>
      <c r="U568" s="19"/>
      <c r="V568" s="19"/>
      <c r="W568" s="15" t="inlineStr">
        <is>
          <t>Primates</t>
        </is>
      </c>
      <c r="X568" s="15" t="inlineStr">
        <is>
          <t>prefrontal cortex / cortical reorganization</t>
        </is>
      </c>
      <c r="Y568" s="19"/>
      <c r="Z568" s="15" t="inlineStr">
        <is>
          <t>histological sections</t>
        </is>
      </c>
      <c r="AA568" s="15" t="inlineStr">
        <is>
          <t>volumetry</t>
        </is>
      </c>
      <c r="AB568" s="15" t="inlineStr">
        <is>
          <t>volume</t>
        </is>
      </c>
      <c r="AC568" s="19"/>
      <c r="AD568" s="15" t="inlineStr">
        <is>
          <t>Stephan, Zilles</t>
        </is>
      </c>
      <c r="AE568" s="15" t="inlineStr">
        <is>
          <t>both</t>
        </is>
      </c>
      <c r="AF568" s="15"/>
      <c r="AG568" s="19"/>
    </row>
    <row r="569" ht="15" customHeight="1">
      <c r="A569" s="15" t="inlineStr">
        <is>
          <t>Smaers, J. B., Turner, A. H., Gómez-Robles, A., &amp; Sherwood, C. C. (2018). A cerebellar substrate for cognition evolved multiple times independently in mammals. eLife, 7, e35696. https://doi.org/10.7554/eLife.35696</t>
        </is>
      </c>
      <c r="B569" s="19"/>
      <c r="C569" s="15"/>
      <c r="D569" s="15" t="inlineStr">
        <is>
          <t>Figure 2 - data 1</t>
        </is>
      </c>
      <c r="E569" s="10" t="str">
        <f>SUBSTITUTE(SUBSTITUTE(_xlfn.TEXTBEFORE(A569,","), "-", ""), " ", "")</f>
        <v>Smaers</v>
      </c>
      <c r="F569" s="10"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10" t="str">
        <f>_xlfn.TEXTBEFORE(_xlfn.TEXTAFTER(A569, "("), ")")</f>
        <v>2018</v>
      </c>
      <c r="H569" s="10" t="str">
        <f>E569 &amp; IF(F569&lt;&gt;"", "_" &amp; SUBSTITUTE(F569," ",""), "_") &amp; IF(G569&lt;&gt;"", "_" &amp; G569, "_") &amp; IF(B569&lt;&gt;"", "_" &amp; B569, "")</f>
        <v>Smaers_etal_2018</v>
      </c>
      <c r="I569" s="10" t="str">
        <f>_xlfn.LET(
_xlpm.doi,IF(C569&lt;&gt;"",C569,_xlfn.TEXTAFTER(A569,"https://doi.org/")),
SUBSTITUTE(
SUBSTITUTE(
SUBSTITUTE(
SUBSTITUTE(
_xlpm.doi,
"/","%2F"),
":","%3A"),
"&lt;","%3C"),
"&gt;","%3E")
)</f>
        <v>10.7554%2FeLife.35696</v>
      </c>
      <c r="J569" s="10" t="str">
        <f>TRIM(_xlfn.TEXTJOIN("_",FALSE(),H569,(SUBSTITUTE(SUBSTITUTE(D569," ",""), "_", ""))))</f>
        <v>Smaers_etal_2018_Figure2-data1</v>
      </c>
      <c r="K569" s="10" t="str">
        <f>I569 &amp; "_" &amp; SUBSTITUTE(SUBSTITUTE(SUBSTITUTE(D569,CHAR(160),"")," ",""),"_","")</f>
        <v>10.7554%2FeLife.35696_Figure2-data1</v>
      </c>
      <c r="L569" s="10" t="str">
        <f t="array" ref="L569">IFERROR(INDEX(AUTO_Public_TSV_FileList!$A$1:$A$1000,MATCH(TRUE(),EXACT(K569,IFERROR(_xlfn.TEXTBEFORE(AUTO_Public_TSV_FileList!$A$1:$A$1000,".tsv"),"")),0)),"notfound")</f>
        <v>10.7554%2FeLife.35696_Figure2-data1.tsv</v>
      </c>
      <c r="M569" s="15" t="inlineStr">
        <is>
          <t>Cerebellum and cerebrotype volumes across mammals.</t>
        </is>
      </c>
      <c r="N569" s="19"/>
      <c r="O569" s="19"/>
      <c r="P569" s="19" t="inlineStr">
        <is>
          <t>FINISHED</t>
        </is>
      </c>
      <c r="Q569" s="19"/>
      <c r="R569" s="19"/>
      <c r="S569" s="19"/>
      <c r="T569" s="19"/>
      <c r="U569" s="19"/>
      <c r="V569" s="19"/>
      <c r="W569" s="15" t="inlineStr">
        <is>
          <t>Mammals</t>
        </is>
      </c>
      <c r="X569" s="15" t="inlineStr">
        <is>
          <t>cerebellum / cerebrotype volumes</t>
        </is>
      </c>
      <c r="Y569" s="19"/>
      <c r="Z569" s="15" t="inlineStr">
        <is>
          <t>histological sections</t>
        </is>
      </c>
      <c r="AA569" s="15" t="inlineStr">
        <is>
          <t>volumetry</t>
        </is>
      </c>
      <c r="AB569" s="15" t="inlineStr">
        <is>
          <t>volume</t>
        </is>
      </c>
      <c r="AC569" s="19"/>
      <c r="AD569" s="15" t="inlineStr">
        <is>
          <t>Stephan, Zilles</t>
        </is>
      </c>
      <c r="AE569" s="15" t="inlineStr">
        <is>
          <t>both</t>
        </is>
      </c>
      <c r="AF569" s="15"/>
      <c r="AG569" s="19"/>
    </row>
    <row r="570" ht="15" customHeight="1">
      <c r="A570" s="15" t="inlineStr">
        <is>
          <t>Stephan, H., &amp; Pirlot, P. (1970). Volumetric Comparisons of Brain Structures in Bats. Z Zool Syst Evol, 8(1), 200-236. https://doi.org/10.1111/j.1439-0469.1970.tb00876.x</t>
        </is>
      </c>
      <c r="B570" s="19"/>
      <c r="C570" s="15"/>
      <c r="D570" s="15" t="inlineStr">
        <is>
          <t>Table 1</t>
        </is>
      </c>
      <c r="E570" s="10" t="str">
        <f>SUBSTITUTE(SUBSTITUTE(_xlfn.TEXTBEFORE(A570,","), "-", ""), " ", "")</f>
        <v>Stephan</v>
      </c>
      <c r="F570" s="10"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70" s="10" t="str">
        <f>_xlfn.TEXTBEFORE(_xlfn.TEXTAFTER(A570, "("), ")")</f>
        <v>1970</v>
      </c>
      <c r="H570" s="10" t="str">
        <f>E570 &amp; IF(F570&lt;&gt;"", "_" &amp; SUBSTITUTE(F570," ",""), "_") &amp; IF(G570&lt;&gt;"", "_" &amp; G570, "_") &amp; IF(B570&lt;&gt;"", "_" &amp; B570, "")</f>
        <v>Stephan__1970</v>
      </c>
      <c r="I570" s="10" t="str">
        <f>_xlfn.LET(
_xlpm.doi,IF(C570&lt;&gt;"",C570,_xlfn.TEXTAFTER(A570,"https://doi.org/")),
SUBSTITUTE(
SUBSTITUTE(
SUBSTITUTE(
SUBSTITUTE(
_xlpm.doi,
"/","%2F"),
":","%3A"),
"&lt;","%3C"),
"&gt;","%3E")
)</f>
        <v>10.1111%2Fj.1439-0469.1970.tb00876.x</v>
      </c>
      <c r="J570" s="10" t="str">
        <f>TRIM(_xlfn.TEXTJOIN("_",FALSE(),H570,(SUBSTITUTE(SUBSTITUTE(D570," ",""), "_", ""))))</f>
        <v>Stephan__1970_Table1</v>
      </c>
      <c r="K570" s="10" t="str">
        <f>I570 &amp; "_" &amp; SUBSTITUTE(SUBSTITUTE(SUBSTITUTE(D570,CHAR(160),"")," ",""),"_","")</f>
        <v>10.1111%2Fj.1439-0469.1970.tb00876.x_Table1</v>
      </c>
      <c r="L570" s="10" t="str">
        <f t="array" ref="L570">IFERROR(INDEX(AUTO_Public_TSV_FileList!$A$1:$A$1000,MATCH(TRUE(),EXACT(K570,IFERROR(_xlfn.TEXTBEFORE(AUTO_Public_TSV_FileList!$A$1:$A$1000,".tsv"),"")),0)),"notfound")</f>
        <v>10.1111%2Fj.1439-0469.1970.tb00876.x_Table1.tsv</v>
      </c>
      <c r="M570" s="21" t="inlineStr">
        <is>
          <t>Absolute volume of the various structures or complexes (in mm3)</t>
        </is>
      </c>
      <c r="N570" s="15" t="inlineStr">
        <is>
          <t>table</t>
        </is>
      </c>
      <c r="O570" s="19"/>
      <c r="P570" s="21"/>
      <c r="Q570" s="21"/>
      <c r="R570" s="21" t="inlineStr">
        <is>
          <t>https://doi.org/10.1111/j.1439-0469.1970.tb00876.x</t>
        </is>
      </c>
      <c r="S570" s="21" t="inlineStr">
        <is>
          <t>Table caption, column definitions, species list and correction convention read directly from the PDF (pp. 202-205) on 2026-08-31; species list cross-checked against the Material and Methods listing of 18 species in 8 families.</t>
        </is>
      </c>
      <c r="T570" s="21" t="inlineStr">
        <is>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is>
      </c>
      <c r="U570" s="21"/>
      <c r="V570" s="19"/>
      <c r="W570" s="21" t="inlineStr">
        <is>
          <t>Mammals</t>
        </is>
      </c>
      <c r="X570" s="21" t="inlineStr">
        <is>
          <t>Brain structure volumes; total brain; body weight</t>
        </is>
      </c>
      <c r="Y570" s="21" t="inlineStr">
        <is>
          <t>Brain structure volumes (mm3); total brain volume; body weight (g)</t>
        </is>
      </c>
      <c r="Z570" s="21" t="inlineStr">
        <is>
          <t>histological sections</t>
        </is>
      </c>
      <c r="AA570" s="21" t="inlineStr">
        <is>
          <t>Serial 10 um paraffin sections; volumes by planimetry of enlarged photographs of sections at equal intervals; comparison by allometry against basal Insectivores</t>
        </is>
      </c>
      <c r="AB570" s="21" t="inlineStr">
        <is>
          <t>volume</t>
        </is>
      </c>
      <c r="AC570" s="21" t="inlineStr">
        <is>
          <t>Stephan</t>
        </is>
      </c>
      <c r="AD570" s="21" t="inlineStr">
        <is>
          <t>Stephan</t>
        </is>
      </c>
      <c r="AE570" s="21" t="inlineStr">
        <is>
          <t>primary</t>
        </is>
      </c>
      <c r="AF570" s="21"/>
      <c r="AG570" s="21" t="inlineStr">
        <is>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is>
      </c>
    </row>
    <row r="571" ht="15" customHeight="1">
      <c r="A571" s="15" t="inlineStr">
        <is>
          <t>Stephan, H., Baron, G., &amp; Frahm, H. D. (1982). Comparison of brain structure volumes in Insectivora and Primates. II. Accessory olfactory bulb (AOB). J Hirnforsch, 23(5), 575-591. https://www.ncbi.nlm.nih.gov/pubmed/7161483</t>
        </is>
      </c>
      <c r="B571" s="19"/>
      <c r="C571" s="15" t="inlineStr">
        <is>
          <t>PMID:7161483</t>
        </is>
      </c>
      <c r="D571" s="15" t="inlineStr">
        <is>
          <t>Table 1</t>
        </is>
      </c>
      <c r="E571" s="10" t="str">
        <f>SUBSTITUTE(SUBSTITUTE(_xlfn.TEXTBEFORE(A571,","), "-", ""), " ", "")</f>
        <v>Stephan</v>
      </c>
      <c r="F571" s="10"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10" t="str">
        <f>_xlfn.TEXTBEFORE(_xlfn.TEXTAFTER(A571, "("), ")")</f>
        <v>1982</v>
      </c>
      <c r="H571" s="10" t="str">
        <f>E571 &amp; IF(F571&lt;&gt;"", "_" &amp; SUBSTITUTE(F571," ",""), "_") &amp; IF(G571&lt;&gt;"", "_" &amp; G571, "_") &amp; IF(B571&lt;&gt;"", "_" &amp; B571, "")</f>
        <v>Stephan_etal_1982</v>
      </c>
      <c r="I571" s="10" t="str">
        <f>_xlfn.LET(
_xlpm.doi,IF(C571&lt;&gt;"",C571,_xlfn.TEXTAFTER(A571,"https://doi.org/")),
SUBSTITUTE(
SUBSTITUTE(
SUBSTITUTE(
SUBSTITUTE(
_xlpm.doi,
"/","%2F"),
":","%3A"),
"&lt;","%3C"),
"&gt;","%3E")
)</f>
        <v>PMID%3A7161483</v>
      </c>
      <c r="J571" s="10" t="str">
        <f>TRIM(_xlfn.TEXTJOIN("_",FALSE(),H571,(SUBSTITUTE(SUBSTITUTE(D571," ",""), "_", ""))))</f>
        <v>Stephan_etal_1982_Table1</v>
      </c>
      <c r="K571" s="10" t="str">
        <f>I571 &amp; "_" &amp; SUBSTITUTE(SUBSTITUTE(SUBSTITUTE(D571,CHAR(160),"")," ",""),"_","")</f>
        <v>PMID%3A7161483_Table1</v>
      </c>
      <c r="L571" s="10" t="str">
        <f t="array" ref="L571">IFERROR(INDEX(AUTO_Public_TSV_FileList!$A$1:$A$1000,MATCH(TRUE(),EXACT(K571,IFERROR(_xlfn.TEXTBEFORE(AUTO_Public_TSV_FileList!$A$1:$A$1000,".tsv"),"")),0)),"notfound")</f>
        <v>PMID%3A7161483_Table1.tsv</v>
      </c>
      <c r="M571" s="15" t="inlineStr">
        <is>
          <t>Table 1. Data on AOB and its three measured components in the 61 species. All volumes (columns 2 and 7-9) are in mm3.</t>
        </is>
      </c>
      <c r="N571" s="15" t="inlineStr">
        <is>
          <t>table</t>
        </is>
      </c>
      <c r="O571" s="19"/>
      <c r="P571" s="15" t="inlineStr">
        <is>
          <t>FINISHED</t>
        </is>
      </c>
      <c r="Q571" s="19"/>
      <c r="R571" s="19"/>
      <c r="S571" s="19"/>
      <c r="T571" s="19"/>
      <c r="U571" s="19"/>
      <c r="V571" s="19"/>
      <c r="W571" s="15" t="inlineStr">
        <is>
          <t>Insectivora, Scandentia &amp; Primates</t>
        </is>
      </c>
      <c r="X571" s="15" t="inlineStr">
        <is>
          <t>accessory olfactory bulb volume</t>
        </is>
      </c>
      <c r="Y571" s="19"/>
      <c r="Z571" s="15" t="inlineStr">
        <is>
          <t>histological sections</t>
        </is>
      </c>
      <c r="AA571" s="15" t="inlineStr">
        <is>
          <t>volumetry</t>
        </is>
      </c>
      <c r="AB571" s="15" t="inlineStr">
        <is>
          <t>volume</t>
        </is>
      </c>
      <c r="AC571" s="15" t="inlineStr">
        <is>
          <t>Stephan</t>
        </is>
      </c>
      <c r="AD571" s="15" t="inlineStr">
        <is>
          <t>Stephan</t>
        </is>
      </c>
      <c r="AE571" s="15" t="inlineStr">
        <is>
          <t>primary</t>
        </is>
      </c>
      <c r="AF571" s="15"/>
      <c r="AG571" s="19"/>
    </row>
    <row r="572" ht="15" customHeight="1">
      <c r="A572" s="15" t="inlineStr">
        <is>
          <t>Stephan, H., Baron, G., &amp; Frahm, H. D. (1988). Comparative size of brains and brain components. In H. D. Stelis &amp; J. Erwin (Eds.), Neurosciences (Vol. 4, pp. 1-38). Liss.</t>
        </is>
      </c>
      <c r="B572" s="19"/>
      <c r="C572" s="15" t="inlineStr">
        <is>
          <t>ISBN:0845140000</t>
        </is>
      </c>
      <c r="D572" s="15" t="inlineStr">
        <is>
          <t>TABLE 1</t>
        </is>
      </c>
      <c r="E572" s="10" t="str">
        <f>SUBSTITUTE(SUBSTITUTE(_xlfn.TEXTBEFORE(A572,","), "-", ""), " ", "")</f>
        <v>Stephan</v>
      </c>
      <c r="F572" s="10"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10" t="str">
        <f>_xlfn.TEXTBEFORE(_xlfn.TEXTAFTER(A572, "("), ")")</f>
        <v>1988</v>
      </c>
      <c r="H572" s="10" t="str">
        <f>E572 &amp; IF(F572&lt;&gt;"", "_" &amp; SUBSTITUTE(F572," ",""), "_") &amp; IF(G572&lt;&gt;"", "_" &amp; G572, "_") &amp; IF(B572&lt;&gt;"", "_" &amp; B572, "")</f>
        <v>Stephan_etal_1988</v>
      </c>
      <c r="I572" s="10" t="str">
        <f>_xlfn.LET(
_xlpm.doi,IF(C572&lt;&gt;"",C572,_xlfn.TEXTAFTER(A572,"https://doi.org/")),
SUBSTITUTE(
SUBSTITUTE(
SUBSTITUTE(
SUBSTITUTE(
_xlpm.doi,
"/","%2F"),
":","%3A"),
"&lt;","%3C"),
"&gt;","%3E")
)</f>
        <v>ISBN%3A0845140000</v>
      </c>
      <c r="J572" s="10" t="str">
        <f>TRIM(_xlfn.TEXTJOIN("_",FALSE(),H572,(SUBSTITUTE(SUBSTITUTE(D572," ",""), "_", ""))))</f>
        <v>Stephan_etal_1988_TABLE1</v>
      </c>
      <c r="K572" s="10" t="str">
        <f>I572 &amp; "_" &amp; SUBSTITUTE(SUBSTITUTE(SUBSTITUTE(D572,CHAR(160),"")," ",""),"_","")</f>
        <v>ISBN%3A0845140000_TABLE1</v>
      </c>
      <c r="L572" s="10" t="str">
        <f t="array" ref="L572">IFERROR(INDEX(AUTO_Public_TSV_FileList!$A$1:$A$1000,MATCH(TRUE(),EXACT(K572,IFERROR(_xlfn.TEXTBEFORE(AUTO_Public_TSV_FileList!$A$1:$A$1000,".tsv"),"")),0)),"notfound")</f>
        <v>ISBN%3A0845140000_TABLE1.tsv</v>
      </c>
      <c r="M572" s="15" t="inlineStr">
        <is>
          <t>TABLE I. Body Weights (BoWs in g), Brain Weights (BrWs in mg), and Encephalization Indexes (Els) of Tenrecinae, Scandentia, and the 45 Primate Species Whose Brain Structures Were Measured. Some Ecoethological Characteristics Are Given for the Primate Species</t>
        </is>
      </c>
      <c r="N572" s="19"/>
      <c r="O572" s="19"/>
      <c r="P572" s="19" t="inlineStr">
        <is>
          <t>FINISHED</t>
        </is>
      </c>
      <c r="Q572" s="19"/>
      <c r="R572" s="19"/>
      <c r="S572" s="19"/>
      <c r="T572" s="19"/>
      <c r="U572" s="19"/>
      <c r="V572" s="19"/>
      <c r="W572" s="19"/>
      <c r="X572" s="19"/>
      <c r="Y572" s="19"/>
      <c r="Z572" s="19"/>
      <c r="AA572" s="19"/>
      <c r="AB572" s="19"/>
      <c r="AC572" s="19"/>
      <c r="AD572" s="19"/>
      <c r="AE572" s="19"/>
      <c r="AF572" s="19"/>
      <c r="AG572" s="19"/>
    </row>
    <row r="573" ht="15" customHeight="1">
      <c r="A573" s="15" t="inlineStr">
        <is>
          <t>Stephan, H., Baron, G., &amp; Frahm, H. D. (1991). Insectivora (Vol. 1). Springer. https://doi.org/10.1007/978-1-4613-9124-1</t>
        </is>
      </c>
      <c r="B573" s="19"/>
      <c r="C573" s="15"/>
      <c r="D573" s="15" t="inlineStr">
        <is>
          <t>Table 10</t>
        </is>
      </c>
      <c r="E573" s="10" t="str">
        <f>SUBSTITUTE(SUBSTITUTE(_xlfn.TEXTBEFORE(A573,","), "-", ""), " ", "")</f>
        <v>Stephan</v>
      </c>
      <c r="F573" s="10"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10" t="str">
        <f>_xlfn.TEXTBEFORE(_xlfn.TEXTAFTER(A573, "("), ")")</f>
        <v>1991</v>
      </c>
      <c r="H573" s="10" t="str">
        <f>E573 &amp; IF(F573&lt;&gt;"", "_" &amp; SUBSTITUTE(F573," ",""), "_") &amp; IF(G573&lt;&gt;"", "_" &amp; G573, "_") &amp; IF(B573&lt;&gt;"", "_" &amp; B573, "")</f>
        <v>Stephan_etal_1991</v>
      </c>
      <c r="I573" s="10" t="str">
        <f>_xlfn.LET(
_xlpm.doi,IF(C573&lt;&gt;"",C573,_xlfn.TEXTAFTER(A573,"https://doi.org/")),
SUBSTITUTE(
SUBSTITUTE(
SUBSTITUTE(
SUBSTITUTE(
_xlpm.doi,
"/","%2F"),
":","%3A"),
"&lt;","%3C"),
"&gt;","%3E")
)</f>
        <v>10.1007%2F978-1-4613-9124-1</v>
      </c>
      <c r="J573" s="10" t="str">
        <f>TRIM(_xlfn.TEXTJOIN("_",FALSE(),H573,(SUBSTITUTE(SUBSTITUTE(D573," ",""), "_", ""))))</f>
        <v>Stephan_etal_1991_Table10</v>
      </c>
      <c r="K573" s="10" t="str">
        <f>I573 &amp; "_" &amp; SUBSTITUTE(SUBSTITUTE(SUBSTITUTE(D573,CHAR(160),"")," ",""),"_","")</f>
        <v>10.1007%2F978-1-4613-9124-1_Table10</v>
      </c>
      <c r="L573" s="10" t="str">
        <f t="array" ref="L573">IFERROR(INDEX(AUTO_Public_TSV_FileList!$A$1:$A$1000,MATCH(TRUE(),EXACT(K573,IFERROR(_xlfn.TEXTBEFORE(AUTO_Public_TSV_FileList!$A$1:$A$1000,".tsv"),"")),0)),"notfound")</f>
        <v>10.1007%2F978-1-4613-9124-1_Table10.tsv</v>
      </c>
      <c r="M573" s="15" t="inlineStr">
        <is>
          <t>Table 10. Volumes of the five fundamental brain parts</t>
        </is>
      </c>
      <c r="N573" s="19"/>
      <c r="O573" s="19"/>
      <c r="P573" s="19"/>
      <c r="Q573" s="19"/>
      <c r="R573" s="19"/>
      <c r="S573" s="19"/>
      <c r="T573" s="19"/>
      <c r="U573" s="19"/>
      <c r="V573" s="19"/>
      <c r="W573" s="15"/>
      <c r="X573" s="15"/>
      <c r="Y573" s="19"/>
      <c r="Z573" s="15"/>
      <c r="AA573" s="15"/>
      <c r="AB573" s="15"/>
      <c r="AC573" s="19"/>
      <c r="AD573" s="15"/>
      <c r="AE573" s="15"/>
      <c r="AF573" s="15"/>
      <c r="AG573" s="19"/>
    </row>
    <row r="574" ht="15" customHeight="1">
      <c r="A574" s="15" t="inlineStr">
        <is>
          <t>Stephan, H., Baron, G., &amp; Frahm, H. D. (1991). Insectivora (Vol. 1). Springer. https://doi.org/10.1007/978-1-4613-9124-1</t>
        </is>
      </c>
      <c r="B574" s="19"/>
      <c r="C574" s="15"/>
      <c r="D574" s="15" t="inlineStr">
        <is>
          <t>Table 13</t>
        </is>
      </c>
      <c r="E574" s="10" t="str">
        <f>SUBSTITUTE(SUBSTITUTE(_xlfn.TEXTBEFORE(A574,","), "-", ""), " ", "")</f>
        <v>Stephan</v>
      </c>
      <c r="F574" s="10"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10" t="str">
        <f>_xlfn.TEXTBEFORE(_xlfn.TEXTAFTER(A574, "("), ")")</f>
        <v>1991</v>
      </c>
      <c r="H574" s="10" t="str">
        <f>E574 &amp; IF(F574&lt;&gt;"", "_" &amp; SUBSTITUTE(F574," ",""), "_") &amp; IF(G574&lt;&gt;"", "_" &amp; G574, "_") &amp; IF(B574&lt;&gt;"", "_" &amp; B574, "")</f>
        <v>Stephan_etal_1991</v>
      </c>
      <c r="I574" s="10" t="str">
        <f>_xlfn.LET(
_xlpm.doi,IF(C574&lt;&gt;"",C574,_xlfn.TEXTAFTER(A574,"https://doi.org/")),
SUBSTITUTE(
SUBSTITUTE(
SUBSTITUTE(
SUBSTITUTE(
_xlpm.doi,
"/","%2F"),
":","%3A"),
"&lt;","%3C"),
"&gt;","%3E")
)</f>
        <v>10.1007%2F978-1-4613-9124-1</v>
      </c>
      <c r="J574" s="10" t="str">
        <f>TRIM(_xlfn.TEXTJOIN("_",FALSE(),H574,(SUBSTITUTE(SUBSTITUTE(D574," ",""), "_", ""))))</f>
        <v>Stephan_etal_1991_Table13</v>
      </c>
      <c r="K574" s="10" t="str">
        <f>I574 &amp; "_" &amp; SUBSTITUTE(SUBSTITUTE(SUBSTITUTE(D574,CHAR(160),"")," ",""),"_","")</f>
        <v>10.1007%2F978-1-4613-9124-1_Table13</v>
      </c>
      <c r="L574" s="10" t="str">
        <f t="array" ref="L574">IFERROR(INDEX(AUTO_Public_TSV_FileList!$A$1:$A$1000,MATCH(TRUE(),EXACT(K574,IFERROR(_xlfn.TEXTBEFORE(AUTO_Public_TSV_FileList!$A$1:$A$1000,".tsv"),"")),0)),"notfound")</f>
        <v>10.1007%2F978-1-4613-9124-1_Table13.tsv</v>
      </c>
      <c r="M574" s="15" t="inlineStr">
        <is>
          <t>Table 13. Volumes of the sensory trigeminal complex and of the tractus solitarii and funicular nuclei of the medulla oblongata</t>
        </is>
      </c>
      <c r="N574" s="19"/>
      <c r="O574" s="19"/>
      <c r="P574" s="19"/>
      <c r="Q574" s="19"/>
      <c r="R574" s="19"/>
      <c r="S574" s="19"/>
      <c r="T574" s="19"/>
      <c r="U574" s="19"/>
      <c r="V574" s="19"/>
      <c r="W574" s="15"/>
      <c r="X574" s="15"/>
      <c r="Y574" s="19"/>
      <c r="Z574" s="15"/>
      <c r="AA574" s="15"/>
      <c r="AB574" s="15"/>
      <c r="AC574" s="19"/>
      <c r="AD574" s="15"/>
      <c r="AE574" s="15"/>
      <c r="AF574" s="15"/>
      <c r="AG574" s="19"/>
    </row>
    <row r="575" ht="15" customHeight="1">
      <c r="A575" s="15" t="inlineStr">
        <is>
          <t>Stephan, H., Baron, G., &amp; Frahm, H. D. (1991). Insectivora (Vol. 1). Springer. https://doi.org/10.1007/978-1-4613-9124-1</t>
        </is>
      </c>
      <c r="B575" s="19"/>
      <c r="C575" s="15"/>
      <c r="D575" s="15" t="inlineStr">
        <is>
          <t>Table 16</t>
        </is>
      </c>
      <c r="E575" s="10" t="str">
        <f>SUBSTITUTE(SUBSTITUTE(_xlfn.TEXTBEFORE(A575,","), "-", ""), " ", "")</f>
        <v>Stephan</v>
      </c>
      <c r="F575" s="10"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10" t="str">
        <f>_xlfn.TEXTBEFORE(_xlfn.TEXTAFTER(A575, "("), ")")</f>
        <v>1991</v>
      </c>
      <c r="H575" s="10" t="str">
        <f>E575 &amp; IF(F575&lt;&gt;"", "_" &amp; SUBSTITUTE(F575," ",""), "_") &amp; IF(G575&lt;&gt;"", "_" &amp; G575, "_") &amp; IF(B575&lt;&gt;"", "_" &amp; B575, "")</f>
        <v>Stephan_etal_1991</v>
      </c>
      <c r="I575" s="10" t="str">
        <f>_xlfn.LET(
_xlpm.doi,IF(C575&lt;&gt;"",C575,_xlfn.TEXTAFTER(A575,"https://doi.org/")),
SUBSTITUTE(
SUBSTITUTE(
SUBSTITUTE(
SUBSTITUTE(
_xlpm.doi,
"/","%2F"),
":","%3A"),
"&lt;","%3C"),
"&gt;","%3E")
)</f>
        <v>10.1007%2F978-1-4613-9124-1</v>
      </c>
      <c r="J575" s="10" t="str">
        <f>TRIM(_xlfn.TEXTJOIN("_",FALSE(),H575,(SUBSTITUTE(SUBSTITUTE(D575," ",""), "_", ""))))</f>
        <v>Stephan_etal_1991_Table16</v>
      </c>
      <c r="K575" s="10" t="str">
        <f>I575 &amp; "_" &amp; SUBSTITUTE(SUBSTITUTE(SUBSTITUTE(D575,CHAR(160),"")," ",""),"_","")</f>
        <v>10.1007%2F978-1-4613-9124-1_Table16</v>
      </c>
      <c r="L575" s="10" t="str">
        <f t="array" ref="L575">IFERROR(INDEX(AUTO_Public_TSV_FileList!$A$1:$A$1000,MATCH(TRUE(),EXACT(K575,IFERROR(_xlfn.TEXTBEFORE(AUTO_Public_TSV_FileList!$A$1:$A$1000,".tsv"),"")),0)),"notfound")</f>
        <v>10.1007%2F978-1-4613-9124-1_Table16.tsv</v>
      </c>
      <c r="M575" s="15" t="inlineStr">
        <is>
          <t>Table 16. Volumes of some relay nuclei of the medulla oblongata</t>
        </is>
      </c>
      <c r="N575" s="19"/>
      <c r="O575" s="19"/>
      <c r="P575" s="19"/>
      <c r="Q575" s="19"/>
      <c r="R575" s="19"/>
      <c r="S575" s="19"/>
      <c r="T575" s="19"/>
      <c r="U575" s="19"/>
      <c r="V575" s="19"/>
      <c r="W575" s="15"/>
      <c r="X575" s="15"/>
      <c r="Y575" s="19"/>
      <c r="Z575" s="15"/>
      <c r="AA575" s="15"/>
      <c r="AB575" s="15"/>
      <c r="AC575" s="19"/>
      <c r="AD575" s="15"/>
      <c r="AE575" s="15"/>
      <c r="AF575" s="15"/>
      <c r="AG575" s="19"/>
    </row>
    <row r="576" ht="15" customHeight="1">
      <c r="A576" s="15" t="inlineStr">
        <is>
          <t>Stephan, H., Baron, G., &amp; Frahm, H. D. (1991). Insectivora (Vol. 1). Springer. https://doi.org/10.1007/978-1-4613-9124-1</t>
        </is>
      </c>
      <c r="B576" s="19"/>
      <c r="C576" s="15"/>
      <c r="D576" s="15" t="inlineStr">
        <is>
          <t>Table 19</t>
        </is>
      </c>
      <c r="E576" s="10" t="str">
        <f>SUBSTITUTE(SUBSTITUTE(_xlfn.TEXTBEFORE(A576,","), "-", ""), " ", "")</f>
        <v>Stephan</v>
      </c>
      <c r="F576" s="10"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10" t="str">
        <f>_xlfn.TEXTBEFORE(_xlfn.TEXTAFTER(A576, "("), ")")</f>
        <v>1991</v>
      </c>
      <c r="H576" s="10" t="str">
        <f>E576 &amp; IF(F576&lt;&gt;"", "_" &amp; SUBSTITUTE(F576," ",""), "_") &amp; IF(G576&lt;&gt;"", "_" &amp; G576, "_") &amp; IF(B576&lt;&gt;"", "_" &amp; B576, "")</f>
        <v>Stephan_etal_1991</v>
      </c>
      <c r="I576" s="10" t="str">
        <f>_xlfn.LET(
_xlpm.doi,IF(C576&lt;&gt;"",C576,_xlfn.TEXTAFTER(A576,"https://doi.org/")),
SUBSTITUTE(
SUBSTITUTE(
SUBSTITUTE(
SUBSTITUTE(
_xlpm.doi,
"/","%2F"),
":","%3A"),
"&lt;","%3C"),
"&gt;","%3E")
)</f>
        <v>10.1007%2F978-1-4613-9124-1</v>
      </c>
      <c r="J576" s="10" t="str">
        <f>TRIM(_xlfn.TEXTJOIN("_",FALSE(),H576,(SUBSTITUTE(SUBSTITUTE(D576," ",""), "_", ""))))</f>
        <v>Stephan_etal_1991_Table19</v>
      </c>
      <c r="K576" s="10" t="str">
        <f>I576 &amp; "_" &amp; SUBSTITUTE(SUBSTITUTE(SUBSTITUTE(D576,CHAR(160),"")," ",""),"_","")</f>
        <v>10.1007%2F978-1-4613-9124-1_Table19</v>
      </c>
      <c r="L576" s="10" t="str">
        <f t="array" ref="L576">IFERROR(INDEX(AUTO_Public_TSV_FileList!$A$1:$A$1000,MATCH(TRUE(),EXACT(K576,IFERROR(_xlfn.TEXTBEFORE(AUTO_Public_TSV_FileList!$A$1:$A$1000,".tsv"),"")),0)),"notfound")</f>
        <v>10.1007%2F978-1-4613-9124-1_Table19.tsv</v>
      </c>
      <c r="M576" s="15" t="inlineStr">
        <is>
          <t>Table 19. Volumes of motor nuclei of the medulla oblongata</t>
        </is>
      </c>
      <c r="N576" s="19"/>
      <c r="O576" s="19"/>
      <c r="P576" s="19"/>
      <c r="Q576" s="19"/>
      <c r="R576" s="19"/>
      <c r="S576" s="19"/>
      <c r="T576" s="19"/>
      <c r="U576" s="19"/>
      <c r="V576" s="19"/>
      <c r="W576" s="15"/>
      <c r="X576" s="15"/>
      <c r="Y576" s="19"/>
      <c r="Z576" s="15"/>
      <c r="AA576" s="15"/>
      <c r="AB576" s="15"/>
      <c r="AC576" s="19"/>
      <c r="AD576" s="15"/>
      <c r="AE576" s="15"/>
      <c r="AF576" s="15"/>
      <c r="AG576" s="19"/>
    </row>
    <row r="577" ht="15" customHeight="1">
      <c r="A577" s="15" t="inlineStr">
        <is>
          <t>Stephan, H., Baron, G., &amp; Frahm, H. D. (1991). Insectivora (Vol. 1). Springer. https://doi.org/10.1007/978-1-4613-9124-1</t>
        </is>
      </c>
      <c r="B577" s="19"/>
      <c r="C577" s="15"/>
      <c r="D577" s="15" t="inlineStr">
        <is>
          <t>Table 2</t>
        </is>
      </c>
      <c r="E577" s="10" t="str">
        <f>SUBSTITUTE(SUBSTITUTE(_xlfn.TEXTBEFORE(A577,","), "-", ""), " ", "")</f>
        <v>Stephan</v>
      </c>
      <c r="F577" s="10"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10" t="str">
        <f>_xlfn.TEXTBEFORE(_xlfn.TEXTAFTER(A577, "("), ")")</f>
        <v>1991</v>
      </c>
      <c r="H577" s="10" t="str">
        <f>E577 &amp; IF(F577&lt;&gt;"", "_" &amp; SUBSTITUTE(F577," ",""), "_") &amp; IF(G577&lt;&gt;"", "_" &amp; G577, "_") &amp; IF(B577&lt;&gt;"", "_" &amp; B577, "")</f>
        <v>Stephan_etal_1991</v>
      </c>
      <c r="I577" s="10" t="str">
        <f>_xlfn.LET(
_xlpm.doi,IF(C577&lt;&gt;"",C577,_xlfn.TEXTAFTER(A577,"https://doi.org/")),
SUBSTITUTE(
SUBSTITUTE(
SUBSTITUTE(
SUBSTITUTE(
_xlpm.doi,
"/","%2F"),
":","%3A"),
"&lt;","%3C"),
"&gt;","%3E")
)</f>
        <v>10.1007%2F978-1-4613-9124-1</v>
      </c>
      <c r="J577" s="10" t="str">
        <f>TRIM(_xlfn.TEXTJOIN("_",FALSE(),H577,(SUBSTITUTE(SUBSTITUTE(D577," ",""), "_", ""))))</f>
        <v>Stephan_etal_1991_Table2</v>
      </c>
      <c r="K577" s="10" t="str">
        <f>I577 &amp; "_" &amp; SUBSTITUTE(SUBSTITUTE(SUBSTITUTE(D577,CHAR(160),"")," ",""),"_","")</f>
        <v>10.1007%2F978-1-4613-9124-1_Table2</v>
      </c>
      <c r="L577" s="10" t="str">
        <f t="array" ref="L577">IFERROR(INDEX(AUTO_Public_TSV_FileList!$A$1:$A$1000,MATCH(TRUE(),EXACT(K577,IFERROR(_xlfn.TEXTBEFORE(AUTO_Public_TSV_FileList!$A$1:$A$1000,".tsv"),"")),0)),"notfound")</f>
        <v>10.1007%2F978-1-4613-9124-1_Table2.tsv</v>
      </c>
      <c r="M577" s="15" t="inlineStr">
        <is>
          <t>Table 2. Linear measures of brains in mm</t>
        </is>
      </c>
      <c r="N577" s="19"/>
      <c r="O577" s="19"/>
      <c r="P577" s="19"/>
      <c r="Q577" s="19"/>
      <c r="R577" s="19"/>
      <c r="S577" s="19"/>
      <c r="T577" s="19"/>
      <c r="U577" s="19"/>
      <c r="V577" s="19"/>
      <c r="W577" s="15"/>
      <c r="X577" s="15"/>
      <c r="Y577" s="19"/>
      <c r="Z577" s="15"/>
      <c r="AA577" s="15"/>
      <c r="AB577" s="15"/>
      <c r="AC577" s="19"/>
      <c r="AD577" s="15"/>
      <c r="AE577" s="15"/>
      <c r="AF577" s="15"/>
      <c r="AG577" s="19"/>
    </row>
    <row r="578" ht="15" customHeight="1">
      <c r="A578" s="15" t="inlineStr">
        <is>
          <t>Stephan, H., Baron, G., &amp; Frahm, H. D. (1991). Insectivora (Vol. 1). Springer. https://doi.org/10.1007/978-1-4613-9124-1</t>
        </is>
      </c>
      <c r="B578" s="19"/>
      <c r="C578" s="15"/>
      <c r="D578" s="15" t="inlineStr">
        <is>
          <t>Table 22</t>
        </is>
      </c>
      <c r="E578" s="10" t="str">
        <f>SUBSTITUTE(SUBSTITUTE(_xlfn.TEXTBEFORE(A578,","), "-", ""), " ", "")</f>
        <v>Stephan</v>
      </c>
      <c r="F578" s="10"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10" t="str">
        <f>_xlfn.TEXTBEFORE(_xlfn.TEXTAFTER(A578, "("), ")")</f>
        <v>1991</v>
      </c>
      <c r="H578" s="10" t="str">
        <f>E578 &amp; IF(F578&lt;&gt;"", "_" &amp; SUBSTITUTE(F578," ",""), "_") &amp; IF(G578&lt;&gt;"", "_" &amp; G578, "_") &amp; IF(B578&lt;&gt;"", "_" &amp; B578, "")</f>
        <v>Stephan_etal_1991</v>
      </c>
      <c r="I578" s="10" t="str">
        <f>_xlfn.LET(
_xlpm.doi,IF(C578&lt;&gt;"",C578,_xlfn.TEXTAFTER(A578,"https://doi.org/")),
SUBSTITUTE(
SUBSTITUTE(
SUBSTITUTE(
SUBSTITUTE(
_xlpm.doi,
"/","%2F"),
":","%3A"),
"&lt;","%3C"),
"&gt;","%3E")
)</f>
        <v>10.1007%2F978-1-4613-9124-1</v>
      </c>
      <c r="J578" s="10" t="str">
        <f>TRIM(_xlfn.TEXTJOIN("_",FALSE(),H578,(SUBSTITUTE(SUBSTITUTE(D578," ",""), "_", ""))))</f>
        <v>Stephan_etal_1991_Table22</v>
      </c>
      <c r="K578" s="10" t="str">
        <f>I578 &amp; "_" &amp; SUBSTITUTE(SUBSTITUTE(SUBSTITUTE(D578,CHAR(160),"")," ",""),"_","")</f>
        <v>10.1007%2F978-1-4613-9124-1_Table22</v>
      </c>
      <c r="L578" s="10" t="str">
        <f t="array" ref="L578">IFERROR(INDEX(AUTO_Public_TSV_FileList!$A$1:$A$1000,MATCH(TRUE(),EXACT(K578,IFERROR(_xlfn.TEXTBEFORE(AUTO_Public_TSV_FileList!$A$1:$A$1000,".tsv"),"")),0)),"notfound")</f>
        <v>10.1007%2F978-1-4613-9124-1_Table22.tsv</v>
      </c>
      <c r="M578" s="15" t="inlineStr">
        <is>
          <t>Table 22. Volumes of the vestibular nuclei of the medulla oblongata</t>
        </is>
      </c>
      <c r="N578" s="19"/>
      <c r="O578" s="19"/>
      <c r="P578" s="19"/>
      <c r="Q578" s="19"/>
      <c r="R578" s="19"/>
      <c r="S578" s="19"/>
      <c r="T578" s="19"/>
      <c r="U578" s="19"/>
      <c r="V578" s="19"/>
      <c r="W578" s="15"/>
      <c r="X578" s="15"/>
      <c r="Y578" s="19"/>
      <c r="Z578" s="15"/>
      <c r="AA578" s="15"/>
      <c r="AB578" s="15"/>
      <c r="AC578" s="19"/>
      <c r="AD578" s="15"/>
      <c r="AE578" s="15"/>
      <c r="AF578" s="15"/>
      <c r="AG578" s="19"/>
    </row>
    <row r="579" ht="15" customHeight="1">
      <c r="A579" s="15" t="inlineStr">
        <is>
          <t>Stephan, H., Baron, G., &amp; Frahm, H. D. (1991). Insectivora (Vol. 1). Springer. https://doi.org/10.1007/978-1-4613-9124-1</t>
        </is>
      </c>
      <c r="B579" s="19"/>
      <c r="C579" s="15"/>
      <c r="D579" s="15" t="inlineStr">
        <is>
          <t>Table 25</t>
        </is>
      </c>
      <c r="E579" s="10" t="str">
        <f>SUBSTITUTE(SUBSTITUTE(_xlfn.TEXTBEFORE(A579,","), "-", ""), " ", "")</f>
        <v>Stephan</v>
      </c>
      <c r="F579" s="10"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10" t="str">
        <f>_xlfn.TEXTBEFORE(_xlfn.TEXTAFTER(A579, "("), ")")</f>
        <v>1991</v>
      </c>
      <c r="H579" s="10" t="str">
        <f>E579 &amp; IF(F579&lt;&gt;"", "_" &amp; SUBSTITUTE(F579," ",""), "_") &amp; IF(G579&lt;&gt;"", "_" &amp; G579, "_") &amp; IF(B579&lt;&gt;"", "_" &amp; B579, "")</f>
        <v>Stephan_etal_1991</v>
      </c>
      <c r="I579" s="10" t="str">
        <f>_xlfn.LET(
_xlpm.doi,IF(C579&lt;&gt;"",C579,_xlfn.TEXTAFTER(A579,"https://doi.org/")),
SUBSTITUTE(
SUBSTITUTE(
SUBSTITUTE(
SUBSTITUTE(
_xlpm.doi,
"/","%2F"),
":","%3A"),
"&lt;","%3C"),
"&gt;","%3E")
)</f>
        <v>10.1007%2F978-1-4613-9124-1</v>
      </c>
      <c r="J579" s="10" t="str">
        <f>TRIM(_xlfn.TEXTJOIN("_",FALSE(),H579,(SUBSTITUTE(SUBSTITUTE(D579," ",""), "_", ""))))</f>
        <v>Stephan_etal_1991_Table25</v>
      </c>
      <c r="K579" s="10" t="str">
        <f>I579 &amp; "_" &amp; SUBSTITUTE(SUBSTITUTE(SUBSTITUTE(D579,CHAR(160),"")," ",""),"_","")</f>
        <v>10.1007%2F978-1-4613-9124-1_Table25</v>
      </c>
      <c r="L579" s="10" t="str">
        <f t="array" ref="L579">IFERROR(INDEX(AUTO_Public_TSV_FileList!$A$1:$A$1000,MATCH(TRUE(),EXACT(K579,IFERROR(_xlfn.TEXTBEFORE(AUTO_Public_TSV_FileList!$A$1:$A$1000,".tsv"),"")),0)),"notfound")</f>
        <v>10.1007%2F978-1-4613-9124-1_Table25.tsv</v>
      </c>
      <c r="M579" s="15" t="inlineStr">
        <is>
          <t>Table 25. Volumes of the auditory nuclei of the medulla oblongata</t>
        </is>
      </c>
      <c r="N579" s="19"/>
      <c r="O579" s="19"/>
      <c r="P579" s="19"/>
      <c r="Q579" s="19"/>
      <c r="R579" s="19"/>
      <c r="S579" s="19"/>
      <c r="T579" s="19"/>
      <c r="U579" s="19"/>
      <c r="V579" s="19"/>
      <c r="W579" s="15"/>
      <c r="X579" s="15"/>
      <c r="Y579" s="19"/>
      <c r="Z579" s="15"/>
      <c r="AA579" s="15"/>
      <c r="AB579" s="15"/>
      <c r="AC579" s="19"/>
      <c r="AD579" s="15"/>
      <c r="AE579" s="15"/>
      <c r="AF579" s="15"/>
      <c r="AG579" s="19"/>
    </row>
    <row r="580" ht="15" customHeight="1">
      <c r="A580" s="15" t="inlineStr">
        <is>
          <t>Stephan, H., Baron, G., &amp; Frahm, H. D. (1991). Insectivora (Vol. 1). Springer. https://doi.org/10.1007/978-1-4613-9124-1</t>
        </is>
      </c>
      <c r="B580" s="19"/>
      <c r="C580" s="15"/>
      <c r="D580" s="15" t="inlineStr">
        <is>
          <t>Table 28</t>
        </is>
      </c>
      <c r="E580" s="10" t="str">
        <f>SUBSTITUTE(SUBSTITUTE(_xlfn.TEXTBEFORE(A580,","), "-", ""), " ", "")</f>
        <v>Stephan</v>
      </c>
      <c r="F580" s="10"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10" t="str">
        <f>_xlfn.TEXTBEFORE(_xlfn.TEXTAFTER(A580, "("), ")")</f>
        <v>1991</v>
      </c>
      <c r="H580" s="10" t="str">
        <f>E580 &amp; IF(F580&lt;&gt;"", "_" &amp; SUBSTITUTE(F580," ",""), "_") &amp; IF(G580&lt;&gt;"", "_" &amp; G580, "_") &amp; IF(B580&lt;&gt;"", "_" &amp; B580, "")</f>
        <v>Stephan_etal_1991</v>
      </c>
      <c r="I580" s="10" t="str">
        <f>_xlfn.LET(
_xlpm.doi,IF(C580&lt;&gt;"",C580,_xlfn.TEXTAFTER(A580,"https://doi.org/")),
SUBSTITUTE(
SUBSTITUTE(
SUBSTITUTE(
SUBSTITUTE(
_xlpm.doi,
"/","%2F"),
":","%3A"),
"&lt;","%3C"),
"&gt;","%3E")
)</f>
        <v>10.1007%2F978-1-4613-9124-1</v>
      </c>
      <c r="J580" s="10" t="str">
        <f>TRIM(_xlfn.TEXTJOIN("_",FALSE(),H580,(SUBSTITUTE(SUBSTITUTE(D580," ",""), "_", ""))))</f>
        <v>Stephan_etal_1991_Table28</v>
      </c>
      <c r="K580" s="10" t="str">
        <f>I580 &amp; "_" &amp; SUBSTITUTE(SUBSTITUTE(SUBSTITUTE(D580,CHAR(160),"")," ",""),"_","")</f>
        <v>10.1007%2F978-1-4613-9124-1_Table28</v>
      </c>
      <c r="L580" s="10" t="str">
        <f t="array" ref="L580">IFERROR(INDEX(AUTO_Public_TSV_FileList!$A$1:$A$1000,MATCH(TRUE(),EXACT(K580,IFERROR(_xlfn.TEXTBEFORE(AUTO_Public_TSV_FileList!$A$1:$A$1000,".tsv"),"")),0)),"notfound")</f>
        <v>10.1007%2F978-1-4613-9124-1_Table28.tsv</v>
      </c>
      <c r="M580" s="15" t="inlineStr">
        <is>
          <t>Table 28. Volumes of mesencephalic components</t>
        </is>
      </c>
      <c r="N580" s="19"/>
      <c r="O580" s="19"/>
      <c r="P580" s="19"/>
      <c r="Q580" s="19"/>
      <c r="R580" s="19"/>
      <c r="S580" s="19"/>
      <c r="T580" s="19"/>
      <c r="U580" s="19"/>
      <c r="V580" s="19"/>
      <c r="W580" s="15"/>
      <c r="X580" s="15"/>
      <c r="Y580" s="19"/>
      <c r="Z580" s="15"/>
      <c r="AA580" s="15"/>
      <c r="AB580" s="15"/>
      <c r="AC580" s="19"/>
      <c r="AD580" s="15"/>
      <c r="AE580" s="15"/>
      <c r="AF580" s="15"/>
      <c r="AG580" s="19"/>
    </row>
    <row r="581" ht="15" customHeight="1">
      <c r="A581" s="15" t="inlineStr">
        <is>
          <t>Stephan, H., Baron, G., &amp; Frahm, H. D. (1991). Insectivora (Vol. 1). Springer. https://doi.org/10.1007/978-1-4613-9124-1</t>
        </is>
      </c>
      <c r="B581" s="19"/>
      <c r="C581" s="15"/>
      <c r="D581" s="15" t="inlineStr">
        <is>
          <t>Table 31</t>
        </is>
      </c>
      <c r="E581" s="10" t="str">
        <f>SUBSTITUTE(SUBSTITUTE(_xlfn.TEXTBEFORE(A581,","), "-", ""), " ", "")</f>
        <v>Stephan</v>
      </c>
      <c r="F581" s="10"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10" t="str">
        <f>_xlfn.TEXTBEFORE(_xlfn.TEXTAFTER(A581, "("), ")")</f>
        <v>1991</v>
      </c>
      <c r="H581" s="10" t="str">
        <f>E581 &amp; IF(F581&lt;&gt;"", "_" &amp; SUBSTITUTE(F581," ",""), "_") &amp; IF(G581&lt;&gt;"", "_" &amp; G581, "_") &amp; IF(B581&lt;&gt;"", "_" &amp; B581, "")</f>
        <v>Stephan_etal_1991</v>
      </c>
      <c r="I581" s="10" t="str">
        <f>_xlfn.LET(
_xlpm.doi,IF(C581&lt;&gt;"",C581,_xlfn.TEXTAFTER(A581,"https://doi.org/")),
SUBSTITUTE(
SUBSTITUTE(
SUBSTITUTE(
SUBSTITUTE(
_xlpm.doi,
"/","%2F"),
":","%3A"),
"&lt;","%3C"),
"&gt;","%3E")
)</f>
        <v>10.1007%2F978-1-4613-9124-1</v>
      </c>
      <c r="J581" s="10" t="str">
        <f>TRIM(_xlfn.TEXTJOIN("_",FALSE(),H581,(SUBSTITUTE(SUBSTITUTE(D581," ",""), "_", ""))))</f>
        <v>Stephan_etal_1991_Table31</v>
      </c>
      <c r="K581" s="10" t="str">
        <f>I581 &amp; "_" &amp; SUBSTITUTE(SUBSTITUTE(SUBSTITUTE(D581,CHAR(160),"")," ",""),"_","")</f>
        <v>10.1007%2F978-1-4613-9124-1_Table31</v>
      </c>
      <c r="L581" s="10" t="str">
        <f t="array" ref="L581">IFERROR(INDEX(AUTO_Public_TSV_FileList!$A$1:$A$1000,MATCH(TRUE(),EXACT(K581,IFERROR(_xlfn.TEXTBEFORE(AUTO_Public_TSV_FileList!$A$1:$A$1000,".tsv"),"")),0)),"notfound")</f>
        <v>10.1007%2F978-1-4613-9124-1_Table31.tsv</v>
      </c>
      <c r="M581" s="15" t="inlineStr">
        <is>
          <t>Table 31. Volumes of cerebellar nuclei and ventral pons</t>
        </is>
      </c>
      <c r="N581" s="19"/>
      <c r="O581" s="19"/>
      <c r="P581" s="19"/>
      <c r="Q581" s="19"/>
      <c r="R581" s="19"/>
      <c r="S581" s="19"/>
      <c r="T581" s="19"/>
      <c r="U581" s="19"/>
      <c r="V581" s="19"/>
      <c r="W581" s="15"/>
      <c r="X581" s="15"/>
      <c r="Y581" s="19"/>
      <c r="Z581" s="15"/>
      <c r="AA581" s="15"/>
      <c r="AB581" s="15"/>
      <c r="AC581" s="19"/>
      <c r="AD581" s="15"/>
      <c r="AE581" s="15"/>
      <c r="AF581" s="15"/>
      <c r="AG581" s="19"/>
    </row>
    <row r="582" ht="15" customHeight="1">
      <c r="A582" s="15" t="inlineStr">
        <is>
          <t>Stephan, H., Baron, G., &amp; Frahm, H. D. (1991). Insectivora (Vol. 1). Springer. https://doi.org/10.1007/978-1-4613-9124-1</t>
        </is>
      </c>
      <c r="B582" s="19"/>
      <c r="C582" s="15"/>
      <c r="D582" s="15" t="inlineStr">
        <is>
          <t>Table 34</t>
        </is>
      </c>
      <c r="E582" s="10" t="str">
        <f>SUBSTITUTE(SUBSTITUTE(_xlfn.TEXTBEFORE(A582,","), "-", ""), " ", "")</f>
        <v>Stephan</v>
      </c>
      <c r="F582" s="10"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10" t="str">
        <f>_xlfn.TEXTBEFORE(_xlfn.TEXTAFTER(A582, "("), ")")</f>
        <v>1991</v>
      </c>
      <c r="H582" s="10" t="str">
        <f>E582 &amp; IF(F582&lt;&gt;"", "_" &amp; SUBSTITUTE(F582," ",""), "_") &amp; IF(G582&lt;&gt;"", "_" &amp; G582, "_") &amp; IF(B582&lt;&gt;"", "_" &amp; B582, "")</f>
        <v>Stephan_etal_1991</v>
      </c>
      <c r="I582" s="10" t="str">
        <f>_xlfn.LET(
_xlpm.doi,IF(C582&lt;&gt;"",C582,_xlfn.TEXTAFTER(A582,"https://doi.org/")),
SUBSTITUTE(
SUBSTITUTE(
SUBSTITUTE(
SUBSTITUTE(
_xlpm.doi,
"/","%2F"),
":","%3A"),
"&lt;","%3C"),
"&gt;","%3E")
)</f>
        <v>10.1007%2F978-1-4613-9124-1</v>
      </c>
      <c r="J582" s="10" t="str">
        <f>TRIM(_xlfn.TEXTJOIN("_",FALSE(),H582,(SUBSTITUTE(SUBSTITUTE(D582," ",""), "_", ""))))</f>
        <v>Stephan_etal_1991_Table34</v>
      </c>
      <c r="K582" s="10" t="str">
        <f>I582 &amp; "_" &amp; SUBSTITUTE(SUBSTITUTE(SUBSTITUTE(D582,CHAR(160),"")," ",""),"_","")</f>
        <v>10.1007%2F978-1-4613-9124-1_Table34</v>
      </c>
      <c r="L582" s="10" t="str">
        <f t="array" ref="L582">IFERROR(INDEX(AUTO_Public_TSV_FileList!$A$1:$A$1000,MATCH(TRUE(),EXACT(K582,IFERROR(_xlfn.TEXTBEFORE(AUTO_Public_TSV_FileList!$A$1:$A$1000,".tsv"),"")),0)),"notfound")</f>
        <v>10.1007%2F978-1-4613-9124-1_Table34.tsv</v>
      </c>
      <c r="M582" s="15" t="inlineStr">
        <is>
          <t>Table 34. Volumes of diencephalic components</t>
        </is>
      </c>
      <c r="N582" s="19"/>
      <c r="O582" s="19"/>
      <c r="P582" s="19"/>
      <c r="Q582" s="19"/>
      <c r="R582" s="19"/>
      <c r="S582" s="19"/>
      <c r="T582" s="19"/>
      <c r="U582" s="19"/>
      <c r="V582" s="19"/>
      <c r="W582" s="15"/>
      <c r="X582" s="15"/>
      <c r="Y582" s="19"/>
      <c r="Z582" s="15"/>
      <c r="AA582" s="15"/>
      <c r="AB582" s="15"/>
      <c r="AC582" s="19"/>
      <c r="AD582" s="15"/>
      <c r="AE582" s="15"/>
      <c r="AF582" s="15"/>
      <c r="AG582" s="19"/>
    </row>
    <row r="583" ht="15" customHeight="1">
      <c r="A583" s="15" t="inlineStr">
        <is>
          <t>Stephan, H., Baron, G., &amp; Frahm, H. D. (1991). Insectivora (Vol. 1). Springer. https://doi.org/10.1007/978-1-4613-9124-1</t>
        </is>
      </c>
      <c r="B583" s="19"/>
      <c r="C583" s="15"/>
      <c r="D583" s="15" t="inlineStr">
        <is>
          <t>Table 37</t>
        </is>
      </c>
      <c r="E583" s="10" t="str">
        <f>SUBSTITUTE(SUBSTITUTE(_xlfn.TEXTBEFORE(A583,","), "-", ""), " ", "")</f>
        <v>Stephan</v>
      </c>
      <c r="F583" s="10"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10" t="str">
        <f>_xlfn.TEXTBEFORE(_xlfn.TEXTAFTER(A583, "("), ")")</f>
        <v>1991</v>
      </c>
      <c r="H583" s="10" t="str">
        <f>E583 &amp; IF(F583&lt;&gt;"", "_" &amp; SUBSTITUTE(F583," ",""), "_") &amp; IF(G583&lt;&gt;"", "_" &amp; G583, "_") &amp; IF(B583&lt;&gt;"", "_" &amp; B583, "")</f>
        <v>Stephan_etal_1991</v>
      </c>
      <c r="I583" s="10" t="str">
        <f>_xlfn.LET(
_xlpm.doi,IF(C583&lt;&gt;"",C583,_xlfn.TEXTAFTER(A583,"https://doi.org/")),
SUBSTITUTE(
SUBSTITUTE(
SUBSTITUTE(
SUBSTITUTE(
_xlpm.doi,
"/","%2F"),
":","%3A"),
"&lt;","%3C"),
"&gt;","%3E")
)</f>
        <v>10.1007%2F978-1-4613-9124-1</v>
      </c>
      <c r="J583" s="10" t="str">
        <f>TRIM(_xlfn.TEXTJOIN("_",FALSE(),H583,(SUBSTITUTE(SUBSTITUTE(D583," ",""), "_", ""))))</f>
        <v>Stephan_etal_1991_Table37</v>
      </c>
      <c r="K583" s="10" t="str">
        <f>I583 &amp; "_" &amp; SUBSTITUTE(SUBSTITUTE(SUBSTITUTE(D583,CHAR(160),"")," ",""),"_","")</f>
        <v>10.1007%2F978-1-4613-9124-1_Table37</v>
      </c>
      <c r="L583" s="10" t="str">
        <f t="array" ref="L583">IFERROR(INDEX(AUTO_Public_TSV_FileList!$A$1:$A$1000,MATCH(TRUE(),EXACT(K583,IFERROR(_xlfn.TEXTBEFORE(AUTO_Public_TSV_FileList!$A$1:$A$1000,".tsv"),"")),0)),"notfound")</f>
        <v>10.1007%2F978-1-4613-9124-1_Table37.tsv</v>
      </c>
      <c r="M583" s="15" t="inlineStr">
        <is>
          <t>Table 37. Volumes of subthalamic components and geniculate bodies</t>
        </is>
      </c>
      <c r="N583" s="19"/>
      <c r="O583" s="19"/>
      <c r="P583" s="19"/>
      <c r="Q583" s="19"/>
      <c r="R583" s="19"/>
      <c r="S583" s="19"/>
      <c r="T583" s="19"/>
      <c r="U583" s="19"/>
      <c r="V583" s="19"/>
      <c r="W583" s="15"/>
      <c r="X583" s="15"/>
      <c r="Y583" s="19"/>
      <c r="Z583" s="15"/>
      <c r="AA583" s="15"/>
      <c r="AB583" s="15"/>
      <c r="AC583" s="19"/>
      <c r="AD583" s="15"/>
      <c r="AE583" s="15"/>
      <c r="AF583" s="15"/>
      <c r="AG583" s="19"/>
    </row>
    <row r="584" ht="15" customHeight="1">
      <c r="A584" s="15" t="inlineStr">
        <is>
          <t>Stephan, H., Baron, G., &amp; Frahm, H. D. (1991). Insectivora (Vol. 1). Springer. https://doi.org/10.1007/978-1-4613-9124-1</t>
        </is>
      </c>
      <c r="B584" s="19"/>
      <c r="C584" s="15"/>
      <c r="D584" s="15" t="inlineStr">
        <is>
          <t>Table 40</t>
        </is>
      </c>
      <c r="E584" s="10" t="str">
        <f>SUBSTITUTE(SUBSTITUTE(_xlfn.TEXTBEFORE(A584,","), "-", ""), " ", "")</f>
        <v>Stephan</v>
      </c>
      <c r="F584" s="10"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10" t="str">
        <f>_xlfn.TEXTBEFORE(_xlfn.TEXTAFTER(A584, "("), ")")</f>
        <v>1991</v>
      </c>
      <c r="H584" s="10" t="str">
        <f>E584 &amp; IF(F584&lt;&gt;"", "_" &amp; SUBSTITUTE(F584," ",""), "_") &amp; IF(G584&lt;&gt;"", "_" &amp; G584, "_") &amp; IF(B584&lt;&gt;"", "_" &amp; B584, "")</f>
        <v>Stephan_etal_1991</v>
      </c>
      <c r="I584" s="10" t="str">
        <f>_xlfn.LET(
_xlpm.doi,IF(C584&lt;&gt;"",C584,_xlfn.TEXTAFTER(A584,"https://doi.org/")),
SUBSTITUTE(
SUBSTITUTE(
SUBSTITUTE(
SUBSTITUTE(
_xlpm.doi,
"/","%2F"),
":","%3A"),
"&lt;","%3C"),
"&gt;","%3E")
)</f>
        <v>10.1007%2F978-1-4613-9124-1</v>
      </c>
      <c r="J584" s="10" t="str">
        <f>TRIM(_xlfn.TEXTJOIN("_",FALSE(),H584,(SUBSTITUTE(SUBSTITUTE(D584," ",""), "_", ""))))</f>
        <v>Stephan_etal_1991_Table40</v>
      </c>
      <c r="K584" s="10" t="str">
        <f>I584 &amp; "_" &amp; SUBSTITUTE(SUBSTITUTE(SUBSTITUTE(D584,CHAR(160),"")," ",""),"_","")</f>
        <v>10.1007%2F978-1-4613-9124-1_Table40</v>
      </c>
      <c r="L584" s="10" t="str">
        <f t="array" ref="L584">IFERROR(INDEX(AUTO_Public_TSV_FileList!$A$1:$A$1000,MATCH(TRUE(),EXACT(K584,IFERROR(_xlfn.TEXTBEFORE(AUTO_Public_TSV_FileList!$A$1:$A$1000,".tsv"),"")),0)),"notfound")</f>
        <v>10.1007%2F978-1-4613-9124-1_Table40.tsv</v>
      </c>
      <c r="M584" s="15" t="inlineStr">
        <is>
          <t>Table 40. Volumes of some periventricular and septal structures</t>
        </is>
      </c>
      <c r="N584" s="19"/>
      <c r="O584" s="19"/>
      <c r="P584" s="19"/>
      <c r="Q584" s="19"/>
      <c r="R584" s="19"/>
      <c r="S584" s="19"/>
      <c r="T584" s="19"/>
      <c r="U584" s="19"/>
      <c r="V584" s="19"/>
      <c r="W584" s="15"/>
      <c r="X584" s="15"/>
      <c r="Y584" s="19"/>
      <c r="Z584" s="15"/>
      <c r="AA584" s="15"/>
      <c r="AB584" s="15"/>
      <c r="AC584" s="19"/>
      <c r="AD584" s="15"/>
      <c r="AE584" s="15"/>
      <c r="AF584" s="15"/>
      <c r="AG584" s="19"/>
    </row>
    <row r="585" ht="15" customHeight="1">
      <c r="A585" s="15" t="inlineStr">
        <is>
          <t>Stephan, H., Baron, G., &amp; Frahm, H. D. (1991). Insectivora (Vol. 1). Springer. https://doi.org/10.1007/978-1-4613-9124-1</t>
        </is>
      </c>
      <c r="B585" s="19"/>
      <c r="C585" s="15"/>
      <c r="D585" s="15" t="inlineStr">
        <is>
          <t>Table 43</t>
        </is>
      </c>
      <c r="E585" s="10" t="str">
        <f>SUBSTITUTE(SUBSTITUTE(_xlfn.TEXTBEFORE(A585,","), "-", ""), " ", "")</f>
        <v>Stephan</v>
      </c>
      <c r="F585" s="10"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10" t="str">
        <f>_xlfn.TEXTBEFORE(_xlfn.TEXTAFTER(A585, "("), ")")</f>
        <v>1991</v>
      </c>
      <c r="H585" s="10" t="str">
        <f>E585 &amp; IF(F585&lt;&gt;"", "_" &amp; SUBSTITUTE(F585," ",""), "_") &amp; IF(G585&lt;&gt;"", "_" &amp; G585, "_") &amp; IF(B585&lt;&gt;"", "_" &amp; B585, "")</f>
        <v>Stephan_etal_1991</v>
      </c>
      <c r="I585" s="10" t="str">
        <f>_xlfn.LET(
_xlpm.doi,IF(C585&lt;&gt;"",C585,_xlfn.TEXTAFTER(A585,"https://doi.org/")),
SUBSTITUTE(
SUBSTITUTE(
SUBSTITUTE(
SUBSTITUTE(
_xlpm.doi,
"/","%2F"),
":","%3A"),
"&lt;","%3C"),
"&gt;","%3E")
)</f>
        <v>10.1007%2F978-1-4613-9124-1</v>
      </c>
      <c r="J585" s="10" t="str">
        <f>TRIM(_xlfn.TEXTJOIN("_",FALSE(),H585,(SUBSTITUTE(SUBSTITUTE(D585," ",""), "_", ""))))</f>
        <v>Stephan_etal_1991_Table43</v>
      </c>
      <c r="K585" s="10" t="str">
        <f>I585 &amp; "_" &amp; SUBSTITUTE(SUBSTITUTE(SUBSTITUTE(D585,CHAR(160),"")," ",""),"_","")</f>
        <v>10.1007%2F978-1-4613-9124-1_Table43</v>
      </c>
      <c r="L585" s="10" t="str">
        <f t="array" ref="L585">IFERROR(INDEX(AUTO_Public_TSV_FileList!$A$1:$A$1000,MATCH(TRUE(),EXACT(K585,IFERROR(_xlfn.TEXTBEFORE(AUTO_Public_TSV_FileList!$A$1:$A$1000,".tsv"),"")),0)),"notfound")</f>
        <v>10.1007%2F978-1-4613-9124-1_Table43.tsv</v>
      </c>
      <c r="M585" s="15" t="inlineStr">
        <is>
          <t>Table 43. Volumes of telencephalic components</t>
        </is>
      </c>
      <c r="N585" s="19"/>
      <c r="O585" s="19"/>
      <c r="P585" s="19"/>
      <c r="Q585" s="19"/>
      <c r="R585" s="19"/>
      <c r="S585" s="19"/>
      <c r="T585" s="19"/>
      <c r="U585" s="19"/>
      <c r="V585" s="19"/>
      <c r="W585" s="15"/>
      <c r="X585" s="15"/>
      <c r="Y585" s="19"/>
      <c r="Z585" s="15"/>
      <c r="AA585" s="15"/>
      <c r="AB585" s="15"/>
      <c r="AC585" s="19"/>
      <c r="AD585" s="15"/>
      <c r="AE585" s="15"/>
      <c r="AF585" s="15"/>
      <c r="AG585" s="19"/>
    </row>
    <row r="586" ht="15" customHeight="1">
      <c r="A586" s="15" t="inlineStr">
        <is>
          <t>Stephan, H., Baron, G., &amp; Frahm, H. D. (1991). Insectivora (Vol. 1). Springer. https://doi.org/10.1007/978-1-4613-9124-1</t>
        </is>
      </c>
      <c r="B586" s="19"/>
      <c r="C586" s="15"/>
      <c r="D586" s="15" t="inlineStr">
        <is>
          <t>Table 46</t>
        </is>
      </c>
      <c r="E586" s="10" t="str">
        <f>SUBSTITUTE(SUBSTITUTE(_xlfn.TEXTBEFORE(A586,","), "-", ""), " ", "")</f>
        <v>Stephan</v>
      </c>
      <c r="F586" s="10"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10" t="str">
        <f>_xlfn.TEXTBEFORE(_xlfn.TEXTAFTER(A586, "("), ")")</f>
        <v>1991</v>
      </c>
      <c r="H586" s="10" t="str">
        <f>E586 &amp; IF(F586&lt;&gt;"", "_" &amp; SUBSTITUTE(F586," ",""), "_") &amp; IF(G586&lt;&gt;"", "_" &amp; G586, "_") &amp; IF(B586&lt;&gt;"", "_" &amp; B586, "")</f>
        <v>Stephan_etal_1991</v>
      </c>
      <c r="I586" s="10" t="str">
        <f>_xlfn.LET(
_xlpm.doi,IF(C586&lt;&gt;"",C586,_xlfn.TEXTAFTER(A586,"https://doi.org/")),
SUBSTITUTE(
SUBSTITUTE(
SUBSTITUTE(
SUBSTITUTE(
_xlpm.doi,
"/","%2F"),
":","%3A"),
"&lt;","%3C"),
"&gt;","%3E")
)</f>
        <v>10.1007%2F978-1-4613-9124-1</v>
      </c>
      <c r="J586" s="10" t="str">
        <f>TRIM(_xlfn.TEXTJOIN("_",FALSE(),H586,(SUBSTITUTE(SUBSTITUTE(D586," ",""), "_", ""))))</f>
        <v>Stephan_etal_1991_Table46</v>
      </c>
      <c r="K586" s="10" t="str">
        <f>I586 &amp; "_" &amp; SUBSTITUTE(SUBSTITUTE(SUBSTITUTE(D586,CHAR(160),"")," ",""),"_","")</f>
        <v>10.1007%2F978-1-4613-9124-1_Table46</v>
      </c>
      <c r="L586" s="10" t="str">
        <f t="array" ref="L586">IFERROR(INDEX(AUTO_Public_TSV_FileList!$A$1:$A$1000,MATCH(TRUE(),EXACT(K586,IFERROR(_xlfn.TEXTBEFORE(AUTO_Public_TSV_FileList!$A$1:$A$1000,".tsv"),"")),0)),"notfound")</f>
        <v>10.1007%2F978-1-4613-9124-1_Table46.tsv</v>
      </c>
      <c r="M586" s="15" t="inlineStr">
        <is>
          <t>Table 46. Volumes of main olfactory bulbs and some of its layers</t>
        </is>
      </c>
      <c r="N586" s="19"/>
      <c r="O586" s="19"/>
      <c r="P586" s="19"/>
      <c r="Q586" s="19"/>
      <c r="R586" s="19"/>
      <c r="S586" s="19"/>
      <c r="T586" s="19"/>
      <c r="U586" s="19"/>
      <c r="V586" s="19"/>
      <c r="W586" s="15"/>
      <c r="X586" s="15"/>
      <c r="Y586" s="19"/>
      <c r="Z586" s="15"/>
      <c r="AA586" s="15"/>
      <c r="AB586" s="15"/>
      <c r="AC586" s="19"/>
      <c r="AD586" s="15"/>
      <c r="AE586" s="15"/>
      <c r="AF586" s="15"/>
      <c r="AG586" s="19"/>
    </row>
    <row r="587" ht="15" customHeight="1">
      <c r="A587" s="15" t="inlineStr">
        <is>
          <t>Stephan, H., Baron, G., &amp; Frahm, H. D. (1991). Insectivora (Vol. 1). Springer. https://doi.org/10.1007/978-1-4613-9124-1</t>
        </is>
      </c>
      <c r="B587" s="19"/>
      <c r="C587" s="15"/>
      <c r="D587" s="15" t="inlineStr">
        <is>
          <t>Table 49</t>
        </is>
      </c>
      <c r="E587" s="10" t="str">
        <f>SUBSTITUTE(SUBSTITUTE(_xlfn.TEXTBEFORE(A587,","), "-", ""), " ", "")</f>
        <v>Stephan</v>
      </c>
      <c r="F587" s="10"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10" t="str">
        <f>_xlfn.TEXTBEFORE(_xlfn.TEXTAFTER(A587, "("), ")")</f>
        <v>1991</v>
      </c>
      <c r="H587" s="10" t="str">
        <f>E587 &amp; IF(F587&lt;&gt;"", "_" &amp; SUBSTITUTE(F587," ",""), "_") &amp; IF(G587&lt;&gt;"", "_" &amp; G587, "_") &amp; IF(B587&lt;&gt;"", "_" &amp; B587, "")</f>
        <v>Stephan_etal_1991</v>
      </c>
      <c r="I587" s="10" t="str">
        <f>_xlfn.LET(
_xlpm.doi,IF(C587&lt;&gt;"",C587,_xlfn.TEXTAFTER(A587,"https://doi.org/")),
SUBSTITUTE(
SUBSTITUTE(
SUBSTITUTE(
SUBSTITUTE(
_xlpm.doi,
"/","%2F"),
":","%3A"),
"&lt;","%3C"),
"&gt;","%3E")
)</f>
        <v>10.1007%2F978-1-4613-9124-1</v>
      </c>
      <c r="J587" s="10" t="str">
        <f>TRIM(_xlfn.TEXTJOIN("_",FALSE(),H587,(SUBSTITUTE(SUBSTITUTE(D587," ",""), "_", ""))))</f>
        <v>Stephan_etal_1991_Table49</v>
      </c>
      <c r="K587" s="10" t="str">
        <f>I587 &amp; "_" &amp; SUBSTITUTE(SUBSTITUTE(SUBSTITUTE(D587,CHAR(160),"")," ",""),"_","")</f>
        <v>10.1007%2F978-1-4613-9124-1_Table49</v>
      </c>
      <c r="L587" s="10" t="str">
        <f t="array" ref="L587">IFERROR(INDEX(AUTO_Public_TSV_FileList!$A$1:$A$1000,MATCH(TRUE(),EXACT(K587,IFERROR(_xlfn.TEXTBEFORE(AUTO_Public_TSV_FileList!$A$1:$A$1000,".tsv"),"")),0)),"notfound")</f>
        <v>10.1007%2F978-1-4613-9124-1_Table49.tsv</v>
      </c>
      <c r="M587" s="15" t="inlineStr">
        <is>
          <t>Table 49. Volumes of accessory olfactory bulbs and some of its layers</t>
        </is>
      </c>
      <c r="N587" s="19"/>
      <c r="O587" s="19"/>
      <c r="P587" s="19"/>
      <c r="Q587" s="19"/>
      <c r="R587" s="19"/>
      <c r="S587" s="19"/>
      <c r="T587" s="19"/>
      <c r="U587" s="19"/>
      <c r="V587" s="19"/>
      <c r="W587" s="15"/>
      <c r="X587" s="15"/>
      <c r="Y587" s="19"/>
      <c r="Z587" s="15"/>
      <c r="AA587" s="15"/>
      <c r="AB587" s="15"/>
      <c r="AC587" s="19"/>
      <c r="AD587" s="15"/>
      <c r="AE587" s="15"/>
      <c r="AF587" s="15"/>
      <c r="AG587" s="19"/>
    </row>
    <row r="588" ht="15" customHeight="1">
      <c r="A588" s="15" t="inlineStr">
        <is>
          <t>Stephan, H., Baron, G., &amp; Frahm, H. D. (1991). Insectivora (Vol. 1). Springer. https://doi.org/10.1007/978-1-4613-9124-1</t>
        </is>
      </c>
      <c r="B588" s="19"/>
      <c r="C588" s="15"/>
      <c r="D588" s="15" t="inlineStr">
        <is>
          <t>Table 5</t>
        </is>
      </c>
      <c r="E588" s="10" t="str">
        <f>SUBSTITUTE(SUBSTITUTE(_xlfn.TEXTBEFORE(A588,","), "-", ""), " ", "")</f>
        <v>Stephan</v>
      </c>
      <c r="F588" s="10"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10" t="str">
        <f>_xlfn.TEXTBEFORE(_xlfn.TEXTAFTER(A588, "("), ")")</f>
        <v>1991</v>
      </c>
      <c r="H588" s="10" t="str">
        <f>E588 &amp; IF(F588&lt;&gt;"", "_" &amp; SUBSTITUTE(F588," ",""), "_") &amp; IF(G588&lt;&gt;"", "_" &amp; G588, "_") &amp; IF(B588&lt;&gt;"", "_" &amp; B588, "")</f>
        <v>Stephan_etal_1991</v>
      </c>
      <c r="I588" s="10" t="str">
        <f>_xlfn.LET(
_xlpm.doi,IF(C588&lt;&gt;"",C588,_xlfn.TEXTAFTER(A588,"https://doi.org/")),
SUBSTITUTE(
SUBSTITUTE(
SUBSTITUTE(
SUBSTITUTE(
_xlpm.doi,
"/","%2F"),
":","%3A"),
"&lt;","%3C"),
"&gt;","%3E")
)</f>
        <v>10.1007%2F978-1-4613-9124-1</v>
      </c>
      <c r="J588" s="10" t="str">
        <f>TRIM(_xlfn.TEXTJOIN("_",FALSE(),H588,(SUBSTITUTE(SUBSTITUTE(D588," ",""), "_", ""))))</f>
        <v>Stephan_etal_1991_Table5</v>
      </c>
      <c r="K588" s="10" t="str">
        <f>I588 &amp; "_" &amp; SUBSTITUTE(SUBSTITUTE(SUBSTITUTE(D588,CHAR(160),"")," ",""),"_","")</f>
        <v>10.1007%2F978-1-4613-9124-1_Table5</v>
      </c>
      <c r="L588" s="10" t="str">
        <f t="array" ref="L588">IFERROR(INDEX(AUTO_Public_TSV_FileList!$A$1:$A$1000,MATCH(TRUE(),EXACT(K588,IFERROR(_xlfn.TEXTBEFORE(AUTO_Public_TSV_FileList!$A$1:$A$1000,".tsv"),"")),0)),"notfound")</f>
        <v>10.1007%2F978-1-4613-9124-1_Table5.tsv</v>
      </c>
      <c r="M588" s="15" t="inlineStr">
        <is>
          <t>Table 5. Average body weights (BoW) and brain weights (BrW) of 53 species of Insectivora. n = number of individuals; CV = coefficient of variation</t>
        </is>
      </c>
      <c r="N588" s="19"/>
      <c r="O588" s="19"/>
      <c r="P588" s="19"/>
      <c r="Q588" s="19"/>
      <c r="R588" s="19"/>
      <c r="S588" s="19"/>
      <c r="T588" s="19"/>
      <c r="U588" s="19"/>
      <c r="V588" s="19"/>
      <c r="W588" s="15"/>
      <c r="X588" s="15"/>
      <c r="Y588" s="19"/>
      <c r="Z588" s="15"/>
      <c r="AA588" s="15"/>
      <c r="AB588" s="15"/>
      <c r="AC588" s="19"/>
      <c r="AD588" s="15"/>
      <c r="AE588" s="15"/>
      <c r="AF588" s="15"/>
      <c r="AG588" s="19"/>
    </row>
    <row r="589" ht="15" customHeight="1">
      <c r="A589" s="15" t="inlineStr">
        <is>
          <t>Stephan, H., Baron, G., &amp; Frahm, H. D. (1991). Insectivora (Vol. 1). Springer. https://doi.org/10.1007/978-1-4613-9124-1</t>
        </is>
      </c>
      <c r="B589" s="19"/>
      <c r="C589" s="15"/>
      <c r="D589" s="15" t="inlineStr">
        <is>
          <t>Table 52</t>
        </is>
      </c>
      <c r="E589" s="10" t="str">
        <f>SUBSTITUTE(SUBSTITUTE(_xlfn.TEXTBEFORE(A589,","), "-", ""), " ", "")</f>
        <v>Stephan</v>
      </c>
      <c r="F589" s="10"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10" t="str">
        <f>_xlfn.TEXTBEFORE(_xlfn.TEXTAFTER(A589, "("), ")")</f>
        <v>1991</v>
      </c>
      <c r="H589" s="10" t="str">
        <f>E589 &amp; IF(F589&lt;&gt;"", "_" &amp; SUBSTITUTE(F589," ",""), "_") &amp; IF(G589&lt;&gt;"", "_" &amp; G589, "_") &amp; IF(B589&lt;&gt;"", "_" &amp; B589, "")</f>
        <v>Stephan_etal_1991</v>
      </c>
      <c r="I589" s="10" t="str">
        <f>_xlfn.LET(
_xlpm.doi,IF(C589&lt;&gt;"",C589,_xlfn.TEXTAFTER(A589,"https://doi.org/")),
SUBSTITUTE(
SUBSTITUTE(
SUBSTITUTE(
SUBSTITUTE(
_xlpm.doi,
"/","%2F"),
":","%3A"),
"&lt;","%3C"),
"&gt;","%3E")
)</f>
        <v>10.1007%2F978-1-4613-9124-1</v>
      </c>
      <c r="J589" s="10" t="str">
        <f>TRIM(_xlfn.TEXTJOIN("_",FALSE(),H589,(SUBSTITUTE(SUBSTITUTE(D589," ",""), "_", ""))))</f>
        <v>Stephan_etal_1991_Table52</v>
      </c>
      <c r="K589" s="10" t="str">
        <f>I589 &amp; "_" &amp; SUBSTITUTE(SUBSTITUTE(SUBSTITUTE(D589,CHAR(160),"")," ",""),"_","")</f>
        <v>10.1007%2F978-1-4613-9124-1_Table52</v>
      </c>
      <c r="L589" s="10" t="str">
        <f t="array" ref="L589">IFERROR(INDEX(AUTO_Public_TSV_FileList!$A$1:$A$1000,MATCH(TRUE(),EXACT(K589,IFERROR(_xlfn.TEXTBEFORE(AUTO_Public_TSV_FileList!$A$1:$A$1000,".tsv"),"")),0)),"notfound")</f>
        <v>10.1007%2F978-1-4613-9124-1_Table52.tsv</v>
      </c>
      <c r="M589" s="15" t="inlineStr">
        <is>
          <t>Table 52. Volumes of paleocortical components</t>
        </is>
      </c>
      <c r="N589" s="19"/>
      <c r="O589" s="19"/>
      <c r="P589" s="19"/>
      <c r="Q589" s="19"/>
      <c r="R589" s="19"/>
      <c r="S589" s="19"/>
      <c r="T589" s="19"/>
      <c r="U589" s="19"/>
      <c r="V589" s="19"/>
      <c r="W589" s="15"/>
      <c r="X589" s="15"/>
      <c r="Y589" s="19"/>
      <c r="Z589" s="15"/>
      <c r="AA589" s="15"/>
      <c r="AB589" s="15"/>
      <c r="AC589" s="19"/>
      <c r="AD589" s="15"/>
      <c r="AE589" s="15"/>
      <c r="AF589" s="15"/>
      <c r="AG589" s="19"/>
    </row>
    <row r="590" ht="15" customHeight="1">
      <c r="A590" s="15" t="inlineStr">
        <is>
          <t>Stephan, H., Baron, G., &amp; Frahm, H. D. (1991). Insectivora (Vol. 1). Springer. https://doi.org/10.1007/978-1-4613-9124-1</t>
        </is>
      </c>
      <c r="B590" s="19"/>
      <c r="C590" s="15"/>
      <c r="D590" s="15" t="inlineStr">
        <is>
          <t>Table 55</t>
        </is>
      </c>
      <c r="E590" s="10" t="str">
        <f>SUBSTITUTE(SUBSTITUTE(_xlfn.TEXTBEFORE(A590,","), "-", ""), " ", "")</f>
        <v>Stephan</v>
      </c>
      <c r="F590" s="10"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10" t="str">
        <f>_xlfn.TEXTBEFORE(_xlfn.TEXTAFTER(A590, "("), ")")</f>
        <v>1991</v>
      </c>
      <c r="H590" s="10" t="str">
        <f>E590 &amp; IF(F590&lt;&gt;"", "_" &amp; SUBSTITUTE(F590," ",""), "_") &amp; IF(G590&lt;&gt;"", "_" &amp; G590, "_") &amp; IF(B590&lt;&gt;"", "_" &amp; B590, "")</f>
        <v>Stephan_etal_1991</v>
      </c>
      <c r="I590" s="10" t="str">
        <f>_xlfn.LET(
_xlpm.doi,IF(C590&lt;&gt;"",C590,_xlfn.TEXTAFTER(A590,"https://doi.org/")),
SUBSTITUTE(
SUBSTITUTE(
SUBSTITUTE(
SUBSTITUTE(
_xlpm.doi,
"/","%2F"),
":","%3A"),
"&lt;","%3C"),
"&gt;","%3E")
)</f>
        <v>10.1007%2F978-1-4613-9124-1</v>
      </c>
      <c r="J590" s="10" t="str">
        <f>TRIM(_xlfn.TEXTJOIN("_",FALSE(),H590,(SUBSTITUTE(SUBSTITUTE(D590," ",""), "_", ""))))</f>
        <v>Stephan_etal_1991_Table55</v>
      </c>
      <c r="K590" s="10" t="str">
        <f>I590 &amp; "_" &amp; SUBSTITUTE(SUBSTITUTE(SUBSTITUTE(D590,CHAR(160),"")," ",""),"_","")</f>
        <v>10.1007%2F978-1-4613-9124-1_Table55</v>
      </c>
      <c r="L590" s="10" t="str">
        <f t="array" ref="L590">IFERROR(INDEX(AUTO_Public_TSV_FileList!$A$1:$A$1000,MATCH(TRUE(),EXACT(K590,IFERROR(_xlfn.TEXTBEFORE(AUTO_Public_TSV_FileList!$A$1:$A$1000,".tsv"),"")),0)),"notfound")</f>
        <v>10.1007%2F978-1-4613-9124-1_Table55.tsv</v>
      </c>
      <c r="M590" s="15" t="inlineStr">
        <is>
          <t>Table 55. Volumes of amygdala and some amygdaloid components</t>
        </is>
      </c>
      <c r="N590" s="19"/>
      <c r="O590" s="19"/>
      <c r="P590" s="19"/>
      <c r="Q590" s="19"/>
      <c r="R590" s="19"/>
      <c r="S590" s="19"/>
      <c r="T590" s="19"/>
      <c r="U590" s="19"/>
      <c r="V590" s="19"/>
      <c r="W590" s="15"/>
      <c r="X590" s="15"/>
      <c r="Y590" s="19"/>
      <c r="Z590" s="15"/>
      <c r="AA590" s="15"/>
      <c r="AB590" s="15"/>
      <c r="AC590" s="19"/>
      <c r="AD590" s="15"/>
      <c r="AE590" s="15"/>
      <c r="AF590" s="15"/>
      <c r="AG590" s="19"/>
    </row>
    <row r="591" ht="15" customHeight="1">
      <c r="A591" s="15" t="inlineStr">
        <is>
          <t>Stephan, H., Baron, G., &amp; Frahm, H. D. (1991). Insectivora (Vol. 1). Springer. https://doi.org/10.1007/978-1-4613-9124-1</t>
        </is>
      </c>
      <c r="B591" s="19"/>
      <c r="C591" s="15"/>
      <c r="D591" s="15" t="inlineStr">
        <is>
          <t>Table 58</t>
        </is>
      </c>
      <c r="E591" s="10" t="str">
        <f>SUBSTITUTE(SUBSTITUTE(_xlfn.TEXTBEFORE(A591,","), "-", ""), " ", "")</f>
        <v>Stephan</v>
      </c>
      <c r="F591" s="10"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10" t="str">
        <f>_xlfn.TEXTBEFORE(_xlfn.TEXTAFTER(A591, "("), ")")</f>
        <v>1991</v>
      </c>
      <c r="H591" s="10" t="str">
        <f>E591 &amp; IF(F591&lt;&gt;"", "_" &amp; SUBSTITUTE(F591," ",""), "_") &amp; IF(G591&lt;&gt;"", "_" &amp; G591, "_") &amp; IF(B591&lt;&gt;"", "_" &amp; B591, "")</f>
        <v>Stephan_etal_1991</v>
      </c>
      <c r="I591" s="10" t="str">
        <f>_xlfn.LET(
_xlpm.doi,IF(C591&lt;&gt;"",C591,_xlfn.TEXTAFTER(A591,"https://doi.org/")),
SUBSTITUTE(
SUBSTITUTE(
SUBSTITUTE(
SUBSTITUTE(
_xlpm.doi,
"/","%2F"),
":","%3A"),
"&lt;","%3C"),
"&gt;","%3E")
)</f>
        <v>10.1007%2F978-1-4613-9124-1</v>
      </c>
      <c r="J591" s="10" t="str">
        <f>TRIM(_xlfn.TEXTJOIN("_",FALSE(),H591,(SUBSTITUTE(SUBSTITUTE(D591," ",""), "_", ""))))</f>
        <v>Stephan_etal_1991_Table58</v>
      </c>
      <c r="K591" s="10" t="str">
        <f>I591 &amp; "_" &amp; SUBSTITUTE(SUBSTITUTE(SUBSTITUTE(D591,CHAR(160),"")," ",""),"_","")</f>
        <v>10.1007%2F978-1-4613-9124-1_Table58</v>
      </c>
      <c r="L591" s="10" t="str">
        <f t="array" ref="L591">IFERROR(INDEX(AUTO_Public_TSV_FileList!$A$1:$A$1000,MATCH(TRUE(),EXACT(K591,IFERROR(_xlfn.TEXTBEFORE(AUTO_Public_TSV_FileList!$A$1:$A$1000,".tsv"),"")),0)),"notfound")</f>
        <v>10.1007%2F978-1-4613-9124-1_Table58.tsv</v>
      </c>
      <c r="M591" s="15" t="inlineStr">
        <is>
          <t>Table 58. Volumes of hippocampal components</t>
        </is>
      </c>
      <c r="N591" s="19"/>
      <c r="O591" s="19"/>
      <c r="P591" s="19"/>
      <c r="Q591" s="19"/>
      <c r="R591" s="19"/>
      <c r="S591" s="19"/>
      <c r="T591" s="19"/>
      <c r="U591" s="19"/>
      <c r="V591" s="19"/>
      <c r="W591" s="15"/>
      <c r="X591" s="15"/>
      <c r="Y591" s="19"/>
      <c r="Z591" s="15"/>
      <c r="AA591" s="15"/>
      <c r="AB591" s="15"/>
      <c r="AC591" s="19"/>
      <c r="AD591" s="15"/>
      <c r="AE591" s="15"/>
      <c r="AF591" s="15"/>
      <c r="AG591" s="19"/>
    </row>
    <row r="592" ht="15" customHeight="1">
      <c r="A592" s="15" t="inlineStr">
        <is>
          <t>Stephan, H., Baron, G., &amp; Frahm, H. D. (1991). Insectivora (Vol. 1). Springer. https://doi.org/10.1007/978-1-4613-9124-1</t>
        </is>
      </c>
      <c r="B592" s="19"/>
      <c r="C592" s="15"/>
      <c r="D592" s="15" t="inlineStr">
        <is>
          <t>Table 61</t>
        </is>
      </c>
      <c r="E592" s="10" t="str">
        <f>SUBSTITUTE(SUBSTITUTE(_xlfn.TEXTBEFORE(A592,","), "-", ""), " ", "")</f>
        <v>Stephan</v>
      </c>
      <c r="F592" s="10"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10" t="str">
        <f>_xlfn.TEXTBEFORE(_xlfn.TEXTAFTER(A592, "("), ")")</f>
        <v>1991</v>
      </c>
      <c r="H592" s="10" t="str">
        <f>E592 &amp; IF(F592&lt;&gt;"", "_" &amp; SUBSTITUTE(F592," ",""), "_") &amp; IF(G592&lt;&gt;"", "_" &amp; G592, "_") &amp; IF(B592&lt;&gt;"", "_" &amp; B592, "")</f>
        <v>Stephan_etal_1991</v>
      </c>
      <c r="I592" s="10" t="str">
        <f>_xlfn.LET(
_xlpm.doi,IF(C592&lt;&gt;"",C592,_xlfn.TEXTAFTER(A592,"https://doi.org/")),
SUBSTITUTE(
SUBSTITUTE(
SUBSTITUTE(
SUBSTITUTE(
_xlpm.doi,
"/","%2F"),
":","%3A"),
"&lt;","%3C"),
"&gt;","%3E")
)</f>
        <v>10.1007%2F978-1-4613-9124-1</v>
      </c>
      <c r="J592" s="10" t="str">
        <f>TRIM(_xlfn.TEXTJOIN("_",FALSE(),H592,(SUBSTITUTE(SUBSTITUTE(D592," ",""), "_", ""))))</f>
        <v>Stephan_etal_1991_Table61</v>
      </c>
      <c r="K592" s="10" t="str">
        <f>I592 &amp; "_" &amp; SUBSTITUTE(SUBSTITUTE(SUBSTITUTE(D592,CHAR(160),"")," ",""),"_","")</f>
        <v>10.1007%2F978-1-4613-9124-1_Table61</v>
      </c>
      <c r="L592" s="10" t="str">
        <f t="array" ref="L592">IFERROR(INDEX(AUTO_Public_TSV_FileList!$A$1:$A$1000,MATCH(TRUE(),EXACT(K592,IFERROR(_xlfn.TEXTBEFORE(AUTO_Public_TSV_FileList!$A$1:$A$1000,".tsv"),"")),0)),"notfound")</f>
        <v>10.1007%2F978-1-4613-9124-1_Table61.tsv</v>
      </c>
      <c r="M592" s="15" t="inlineStr">
        <is>
          <t>Table 61. Volumes of neocortical components</t>
        </is>
      </c>
      <c r="N592" s="19"/>
      <c r="O592" s="19"/>
      <c r="P592" s="19"/>
      <c r="Q592" s="19"/>
      <c r="R592" s="19"/>
      <c r="S592" s="19"/>
      <c r="T592" s="19"/>
      <c r="U592" s="19"/>
      <c r="V592" s="19"/>
      <c r="W592" s="15"/>
      <c r="X592" s="15"/>
      <c r="Y592" s="19"/>
      <c r="Z592" s="15"/>
      <c r="AA592" s="15"/>
      <c r="AB592" s="15"/>
      <c r="AC592" s="19"/>
      <c r="AD592" s="15"/>
      <c r="AE592" s="15"/>
      <c r="AF592" s="15"/>
      <c r="AG592" s="19"/>
    </row>
    <row r="593" ht="15" customHeight="1">
      <c r="A593" s="15" t="inlineStr">
        <is>
          <t>Stephan, H., Baron, G., &amp; Frahm, H. D. (1991). Insectivora (Vol. 1). Springer. https://doi.org/10.1007/978-1-4613-9124-1</t>
        </is>
      </c>
      <c r="B593" s="19"/>
      <c r="C593" s="15"/>
      <c r="D593" s="15" t="inlineStr">
        <is>
          <t>Table 64</t>
        </is>
      </c>
      <c r="E593" s="10" t="str">
        <f>SUBSTITUTE(SUBSTITUTE(_xlfn.TEXTBEFORE(A593,","), "-", ""), " ", "")</f>
        <v>Stephan</v>
      </c>
      <c r="F593" s="10"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10" t="str">
        <f>_xlfn.TEXTBEFORE(_xlfn.TEXTAFTER(A593, "("), ")")</f>
        <v>1991</v>
      </c>
      <c r="H593" s="10" t="str">
        <f>E593 &amp; IF(F593&lt;&gt;"", "_" &amp; SUBSTITUTE(F593," ",""), "_") &amp; IF(G593&lt;&gt;"", "_" &amp; G593, "_") &amp; IF(B593&lt;&gt;"", "_" &amp; B593, "")</f>
        <v>Stephan_etal_1991</v>
      </c>
      <c r="I593" s="10" t="str">
        <f>_xlfn.LET(
_xlpm.doi,IF(C593&lt;&gt;"",C593,_xlfn.TEXTAFTER(A593,"https://doi.org/")),
SUBSTITUTE(
SUBSTITUTE(
SUBSTITUTE(
SUBSTITUTE(
_xlpm.doi,
"/","%2F"),
":","%3A"),
"&lt;","%3C"),
"&gt;","%3E")
)</f>
        <v>10.1007%2F978-1-4613-9124-1</v>
      </c>
      <c r="J593" s="10" t="str">
        <f>TRIM(_xlfn.TEXTJOIN("_",FALSE(),H593,(SUBSTITUTE(SUBSTITUTE(D593," ",""), "_", ""))))</f>
        <v>Stephan_etal_1991_Table64</v>
      </c>
      <c r="K593" s="10" t="str">
        <f>I593 &amp; "_" &amp; SUBSTITUTE(SUBSTITUTE(SUBSTITUTE(D593,CHAR(160),"")," ",""),"_","")</f>
        <v>10.1007%2F978-1-4613-9124-1_Table64</v>
      </c>
      <c r="L593" s="10" t="str">
        <f t="array" ref="L593">IFERROR(INDEX(AUTO_Public_TSV_FileList!$A$1:$A$1000,MATCH(TRUE(),EXACT(K593,IFERROR(_xlfn.TEXTBEFORE(AUTO_Public_TSV_FileList!$A$1:$A$1000,".tsv"),"")),0)),"notfound")</f>
        <v>10.1007%2F978-1-4613-9124-1_Table64.tsv</v>
      </c>
      <c r="M593" s="15" t="inlineStr">
        <is>
          <t>Table 64. Volumes of neocortical grey (NG), area striata grey (ASG), percentage of ASG relative to NG, and size indices of ASG related to the average of the four Tenrecinae (A vTn = 100)</t>
        </is>
      </c>
      <c r="N593" s="19"/>
      <c r="O593" s="19"/>
      <c r="P593" s="19"/>
      <c r="Q593" s="19"/>
      <c r="R593" s="19"/>
      <c r="S593" s="19"/>
      <c r="T593" s="19"/>
      <c r="U593" s="19"/>
      <c r="V593" s="19"/>
      <c r="W593" s="15"/>
      <c r="X593" s="15"/>
      <c r="Y593" s="19"/>
      <c r="Z593" s="15"/>
      <c r="AA593" s="15"/>
      <c r="AB593" s="15"/>
      <c r="AC593" s="19"/>
      <c r="AD593" s="15"/>
      <c r="AE593" s="15"/>
      <c r="AF593" s="15"/>
      <c r="AG593" s="19"/>
    </row>
    <row r="594" ht="15" customHeight="1">
      <c r="A594" s="15" t="inlineStr">
        <is>
          <t>Stephan, H., Baron, G., &amp; Frahm, H. D. (1991). Insectivora (Vol. 1). Springer. https://doi.org/10.1007/978-1-4613-9124-1</t>
        </is>
      </c>
      <c r="B594" s="19"/>
      <c r="C594" s="15"/>
      <c r="D594" s="15" t="inlineStr">
        <is>
          <t>Table 65</t>
        </is>
      </c>
      <c r="E594" s="10" t="str">
        <f>SUBSTITUTE(SUBSTITUTE(_xlfn.TEXTBEFORE(A594,","), "-", ""), " ", "")</f>
        <v>Stephan</v>
      </c>
      <c r="F594" s="10"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10" t="str">
        <f>_xlfn.TEXTBEFORE(_xlfn.TEXTAFTER(A594, "("), ")")</f>
        <v>1991</v>
      </c>
      <c r="H594" s="10" t="str">
        <f>E594 &amp; IF(F594&lt;&gt;"", "_" &amp; SUBSTITUTE(F594," ",""), "_") &amp; IF(G594&lt;&gt;"", "_" &amp; G594, "_") &amp; IF(B594&lt;&gt;"", "_" &amp; B594, "")</f>
        <v>Stephan_etal_1991</v>
      </c>
      <c r="I594" s="10" t="str">
        <f>_xlfn.LET(
_xlpm.doi,IF(C594&lt;&gt;"",C594,_xlfn.TEXTAFTER(A594,"https://doi.org/")),
SUBSTITUTE(
SUBSTITUTE(
SUBSTITUTE(
SUBSTITUTE(
_xlpm.doi,
"/","%2F"),
":","%3A"),
"&lt;","%3C"),
"&gt;","%3E")
)</f>
        <v>10.1007%2F978-1-4613-9124-1</v>
      </c>
      <c r="J594" s="10" t="str">
        <f>TRIM(_xlfn.TEXTJOIN("_",FALSE(),H594,(SUBSTITUTE(SUBSTITUTE(D594," ",""), "_", ""))))</f>
        <v>Stephan_etal_1991_Table65</v>
      </c>
      <c r="K594" s="10" t="str">
        <f>I594 &amp; "_" &amp; SUBSTITUTE(SUBSTITUTE(SUBSTITUTE(D594,CHAR(160),"")," ",""),"_","")</f>
        <v>10.1007%2F978-1-4613-9124-1_Table65</v>
      </c>
      <c r="L594" s="10" t="str">
        <f t="array" ref="L594">IFERROR(INDEX(AUTO_Public_TSV_FileList!$A$1:$A$1000,MATCH(TRUE(),EXACT(K594,IFERROR(_xlfn.TEXTBEFORE(AUTO_Public_TSV_FileList!$A$1:$A$1000,".tsv"),"")),0)),"notfound")</f>
        <v>10.1007%2F978-1-4613-9124-1_Table65.tsv</v>
      </c>
      <c r="M594" s="15" t="inlineStr">
        <is>
          <t>Table 65. Volumes of diencephalon components based on data given by Bauchot (1979b)</t>
        </is>
      </c>
      <c r="N594" s="19"/>
      <c r="O594" s="19"/>
      <c r="P594" s="19"/>
      <c r="Q594" s="19"/>
      <c r="R594" s="19"/>
      <c r="S594" s="19"/>
      <c r="T594" s="19"/>
      <c r="U594" s="19"/>
      <c r="V594" s="19"/>
      <c r="W594" s="15"/>
      <c r="X594" s="15"/>
      <c r="Y594" s="19"/>
      <c r="Z594" s="15"/>
      <c r="AA594" s="15"/>
      <c r="AB594" s="15"/>
      <c r="AC594" s="19"/>
      <c r="AD594" s="15"/>
      <c r="AE594" s="15"/>
      <c r="AF594" s="15"/>
      <c r="AG594" s="19"/>
    </row>
    <row r="595" ht="15" customHeight="1">
      <c r="A595" s="15" t="inlineStr">
        <is>
          <t>Stephan, H., Baron, G., &amp; Frahm, H. D. (1991). Insectivora (Vol. 1). Springer. https://doi.org/10.1007/978-1-4613-9124-1</t>
        </is>
      </c>
      <c r="B595" s="19"/>
      <c r="C595" s="15"/>
      <c r="D595" s="15" t="inlineStr">
        <is>
          <t>Table 68</t>
        </is>
      </c>
      <c r="E595" s="10" t="str">
        <f>SUBSTITUTE(SUBSTITUTE(_xlfn.TEXTBEFORE(A595,","), "-", ""), " ", "")</f>
        <v>Stephan</v>
      </c>
      <c r="F595" s="10"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10" t="str">
        <f>_xlfn.TEXTBEFORE(_xlfn.TEXTAFTER(A595, "("), ")")</f>
        <v>1991</v>
      </c>
      <c r="H595" s="10" t="str">
        <f>E595 &amp; IF(F595&lt;&gt;"", "_" &amp; SUBSTITUTE(F595," ",""), "_") &amp; IF(G595&lt;&gt;"", "_" &amp; G595, "_") &amp; IF(B595&lt;&gt;"", "_" &amp; B595, "")</f>
        <v>Stephan_etal_1991</v>
      </c>
      <c r="I595" s="10" t="str">
        <f>_xlfn.LET(
_xlpm.doi,IF(C595&lt;&gt;"",C595,_xlfn.TEXTAFTER(A595,"https://doi.org/")),
SUBSTITUTE(
SUBSTITUTE(
SUBSTITUTE(
SUBSTITUTE(
_xlpm.doi,
"/","%2F"),
":","%3A"),
"&lt;","%3C"),
"&gt;","%3E")
)</f>
        <v>10.1007%2F978-1-4613-9124-1</v>
      </c>
      <c r="J595" s="10" t="str">
        <f>TRIM(_xlfn.TEXTJOIN("_",FALSE(),H595,(SUBSTITUTE(SUBSTITUTE(D595," ",""), "_", ""))))</f>
        <v>Stephan_etal_1991_Table68</v>
      </c>
      <c r="K595" s="10" t="str">
        <f>I595 &amp; "_" &amp; SUBSTITUTE(SUBSTITUTE(SUBSTITUTE(D595,CHAR(160),"")," ",""),"_","")</f>
        <v>10.1007%2F978-1-4613-9124-1_Table68</v>
      </c>
      <c r="L595" s="10" t="str">
        <f t="array" ref="L595">IFERROR(INDEX(AUTO_Public_TSV_FileList!$A$1:$A$1000,MATCH(TRUE(),EXACT(K595,IFERROR(_xlfn.TEXTBEFORE(AUTO_Public_TSV_FileList!$A$1:$A$1000,".tsv"),"")),0)),"notfound")</f>
        <v>10.1007%2F978-1-4613-9124-1_Table68.tsv</v>
      </c>
      <c r="M595" s="15" t="inlineStr">
        <is>
          <t>Table 68. Volumes of thalamus components based on data given by Bauchot (1979b)</t>
        </is>
      </c>
      <c r="N595" s="19"/>
      <c r="O595" s="19"/>
      <c r="P595" s="19"/>
      <c r="Q595" s="19"/>
      <c r="R595" s="19"/>
      <c r="S595" s="19"/>
      <c r="T595" s="19"/>
      <c r="U595" s="19"/>
      <c r="V595" s="19"/>
      <c r="W595" s="15"/>
      <c r="X595" s="15"/>
      <c r="Y595" s="19"/>
      <c r="Z595" s="15"/>
      <c r="AA595" s="15"/>
      <c r="AB595" s="15"/>
      <c r="AC595" s="19"/>
      <c r="AD595" s="15"/>
      <c r="AE595" s="15"/>
      <c r="AF595" s="15"/>
      <c r="AG595" s="19"/>
    </row>
    <row r="596" ht="15" customHeight="1">
      <c r="A596" s="15" t="inlineStr">
        <is>
          <t>Stephan, H., Baron, G., &amp; Frahm, H. D. (1991). Insectivora (Vol. 1). Springer. https://doi.org/10.1007/978-1-4613-9124-1</t>
        </is>
      </c>
      <c r="B596" s="19"/>
      <c r="C596" s="15"/>
      <c r="D596" s="15" t="inlineStr">
        <is>
          <t>Table 71</t>
        </is>
      </c>
      <c r="E596" s="10" t="str">
        <f>SUBSTITUTE(SUBSTITUTE(_xlfn.TEXTBEFORE(A596,","), "-", ""), " ", "")</f>
        <v>Stephan</v>
      </c>
      <c r="F596" s="10"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10" t="str">
        <f>_xlfn.TEXTBEFORE(_xlfn.TEXTAFTER(A596, "("), ")")</f>
        <v>1991</v>
      </c>
      <c r="H596" s="10" t="str">
        <f>E596 &amp; IF(F596&lt;&gt;"", "_" &amp; SUBSTITUTE(F596," ",""), "_") &amp; IF(G596&lt;&gt;"", "_" &amp; G596, "_") &amp; IF(B596&lt;&gt;"", "_" &amp; B596, "")</f>
        <v>Stephan_etal_1991</v>
      </c>
      <c r="I596" s="10" t="str">
        <f>_xlfn.LET(
_xlpm.doi,IF(C596&lt;&gt;"",C596,_xlfn.TEXTAFTER(A596,"https://doi.org/")),
SUBSTITUTE(
SUBSTITUTE(
SUBSTITUTE(
SUBSTITUTE(
_xlpm.doi,
"/","%2F"),
":","%3A"),
"&lt;","%3C"),
"&gt;","%3E")
)</f>
        <v>10.1007%2F978-1-4613-9124-1</v>
      </c>
      <c r="J596" s="10" t="str">
        <f>TRIM(_xlfn.TEXTJOIN("_",FALSE(),H596,(SUBSTITUTE(SUBSTITUTE(D596," ",""), "_", ""))))</f>
        <v>Stephan_etal_1991_Table71</v>
      </c>
      <c r="K596" s="10" t="str">
        <f>I596 &amp; "_" &amp; SUBSTITUTE(SUBSTITUTE(SUBSTITUTE(D596,CHAR(160),"")," ",""),"_","")</f>
        <v>10.1007%2F978-1-4613-9124-1_Table71</v>
      </c>
      <c r="L596" s="10" t="str">
        <f t="array" ref="L596">IFERROR(INDEX(AUTO_Public_TSV_FileList!$A$1:$A$1000,MATCH(TRUE(),EXACT(K596,IFERROR(_xlfn.TEXTBEFORE(AUTO_Public_TSV_FileList!$A$1:$A$1000,".tsv"),"")),0)),"notfound")</f>
        <v>notfound</v>
      </c>
      <c r="M596" s="15" t="inlineStr">
        <is>
          <t>Table 71. Area measurements of commissures and chiasma opticum in mm2</t>
        </is>
      </c>
      <c r="N596" s="19"/>
      <c r="O596" s="19"/>
      <c r="P596" s="19"/>
      <c r="Q596" s="19"/>
      <c r="R596" s="19"/>
      <c r="S596" s="19"/>
      <c r="T596" s="19"/>
      <c r="U596" s="19"/>
      <c r="V596" s="19"/>
      <c r="W596" s="15"/>
      <c r="X596" s="15"/>
      <c r="Y596" s="19"/>
      <c r="Z596" s="15"/>
      <c r="AA596" s="15"/>
      <c r="AB596" s="15"/>
      <c r="AC596" s="19"/>
      <c r="AD596" s="15"/>
      <c r="AE596" s="15"/>
      <c r="AF596" s="15"/>
      <c r="AG596" s="19"/>
    </row>
    <row r="597" ht="15" customHeight="1">
      <c r="A597" s="15" t="inlineStr">
        <is>
          <t>Stephan, H., Baron, G., &amp; Frahm, H. D. (1991). Insectivora (Vol. 1). Springer. https://doi.org/10.1007/978-1-4613-9124-1</t>
        </is>
      </c>
      <c r="B597" s="19"/>
      <c r="C597" s="15"/>
      <c r="D597" s="15" t="inlineStr">
        <is>
          <t>Table 8</t>
        </is>
      </c>
      <c r="E597" s="10" t="str">
        <f>SUBSTITUTE(SUBSTITUTE(_xlfn.TEXTBEFORE(A597,","), "-", ""), " ", "")</f>
        <v>Stephan</v>
      </c>
      <c r="F597" s="10"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10" t="str">
        <f>_xlfn.TEXTBEFORE(_xlfn.TEXTAFTER(A597, "("), ")")</f>
        <v>1991</v>
      </c>
      <c r="H597" s="10" t="str">
        <f>E597 &amp; IF(F597&lt;&gt;"", "_" &amp; SUBSTITUTE(F597," ",""), "_") &amp; IF(G597&lt;&gt;"", "_" &amp; G597, "_") &amp; IF(B597&lt;&gt;"", "_" &amp; B597, "")</f>
        <v>Stephan_etal_1991</v>
      </c>
      <c r="I597" s="10" t="str">
        <f>_xlfn.LET(
_xlpm.doi,IF(C597&lt;&gt;"",C597,_xlfn.TEXTAFTER(A597,"https://doi.org/")),
SUBSTITUTE(
SUBSTITUTE(
SUBSTITUTE(
SUBSTITUTE(
_xlpm.doi,
"/","%2F"),
":","%3A"),
"&lt;","%3C"),
"&gt;","%3E")
)</f>
        <v>10.1007%2F978-1-4613-9124-1</v>
      </c>
      <c r="J597" s="10" t="str">
        <f>TRIM(_xlfn.TEXTJOIN("_",FALSE(),H597,(SUBSTITUTE(SUBSTITUTE(D597," ",""), "_", ""))))</f>
        <v>Stephan_etal_1991_Table8</v>
      </c>
      <c r="K597" s="10" t="str">
        <f>I597 &amp; "_" &amp; SUBSTITUTE(SUBSTITUTE(SUBSTITUTE(D597,CHAR(160),"")," ",""),"_","")</f>
        <v>10.1007%2F978-1-4613-9124-1_Table8</v>
      </c>
      <c r="L597" s="10" t="str">
        <f t="array" ref="L597">IFERROR(INDEX(AUTO_Public_TSV_FileList!$A$1:$A$1000,MATCH(TRUE(),EXACT(K597,IFERROR(_xlfn.TEXTBEFORE(AUTO_Public_TSV_FileList!$A$1:$A$1000,".tsv"),"")),0)),"notfound")</f>
        <v>10.1007%2F978-1-4613-9124-1_Table8.tsv</v>
      </c>
      <c r="M597" s="15" t="inlineStr">
        <is>
          <t>Table 8. Volumes of net brain (NET), ventricles (VENT) and rests (REST) and their percentages relative to standard brain volumes (= 100%)</t>
        </is>
      </c>
      <c r="N597" s="19"/>
      <c r="O597" s="19"/>
      <c r="P597" s="19"/>
      <c r="Q597" s="19"/>
      <c r="R597" s="19"/>
      <c r="S597" s="19"/>
      <c r="T597" s="19"/>
      <c r="U597" s="19"/>
      <c r="V597" s="19"/>
      <c r="W597" s="15"/>
      <c r="X597" s="15"/>
      <c r="Y597" s="19"/>
      <c r="Z597" s="15"/>
      <c r="AA597" s="15"/>
      <c r="AB597" s="15"/>
      <c r="AC597" s="19"/>
      <c r="AD597" s="15"/>
      <c r="AE597" s="15"/>
      <c r="AF597" s="15"/>
      <c r="AG597" s="19"/>
    </row>
    <row r="598" ht="15" customHeight="1">
      <c r="A598" s="15" t="inlineStr">
        <is>
          <t>Stephan, H., Bauchot, R., &amp; Andy, O. J. (1970). Data on the size of the brain and of the various brain parts in insectivores and primates. In C. R. Noback &amp; W. Montagna (Eds.), The Primate Brain (pp. 289-296). Appleton-Century-Crofts</t>
        </is>
      </c>
      <c r="B598" s="19"/>
      <c r="C598" s="15" t="inlineStr">
        <is>
          <t>ISBN:0390672505</t>
        </is>
      </c>
      <c r="D598" s="15" t="inlineStr">
        <is>
          <t>TABLE 1</t>
        </is>
      </c>
      <c r="E598" s="10" t="str">
        <f>SUBSTITUTE(SUBSTITUTE(_xlfn.TEXTBEFORE(A598,","), "-", ""), " ", "")</f>
        <v>Stephan</v>
      </c>
      <c r="F598" s="10"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10" t="str">
        <f>_xlfn.TEXTBEFORE(_xlfn.TEXTAFTER(A598, "("), ")")</f>
        <v>1970</v>
      </c>
      <c r="H598" s="10" t="str">
        <f>E598 &amp; IF(F598&lt;&gt;"", "_" &amp; SUBSTITUTE(F598," ",""), "_") &amp; IF(G598&lt;&gt;"", "_" &amp; G598, "_") &amp; IF(B598&lt;&gt;"", "_" &amp; B598, "")</f>
        <v>Stephan_etal_1970</v>
      </c>
      <c r="I598" s="10" t="str">
        <f>_xlfn.LET(
_xlpm.doi,IF(C598&lt;&gt;"",C598,_xlfn.TEXTAFTER(A598,"https://doi.org/")),
SUBSTITUTE(
SUBSTITUTE(
SUBSTITUTE(
SUBSTITUTE(
_xlpm.doi,
"/","%2F"),
":","%3A"),
"&lt;","%3C"),
"&gt;","%3E")
)</f>
        <v>ISBN%3A0390672505</v>
      </c>
      <c r="J598" s="10" t="str">
        <f>TRIM(_xlfn.TEXTJOIN("_",FALSE(),H598,(SUBSTITUTE(SUBSTITUTE(D598," ",""), "_", ""))))</f>
        <v>Stephan_etal_1970_TABLE1</v>
      </c>
      <c r="K598" s="10" t="str">
        <f>I598 &amp; "_" &amp; SUBSTITUTE(SUBSTITUTE(SUBSTITUTE(D598,CHAR(160),"")," ",""),"_","")</f>
        <v>ISBN%3A0390672505_TABLE1</v>
      </c>
      <c r="L598" s="10" t="str">
        <f t="array" ref="L598">IFERROR(INDEX(AUTO_Public_TSV_FileList!$A$1:$A$1000,MATCH(TRUE(),EXACT(K598,IFERROR(_xlfn.TEXTBEFORE(AUTO_Public_TSV_FileList!$A$1:$A$1000,".tsv"),"")),0)),"notfound")</f>
        <v>ISBN%3A0390672505_TABLE1.tsv</v>
      </c>
      <c r="M598" s="15" t="inlineStr">
        <is>
          <t>TABLE 1 Data on body and brain weight (in g and mg) and volume of the fundemental brain sections (in mm3) in Insectivores</t>
        </is>
      </c>
      <c r="N598" s="15" t="inlineStr">
        <is>
          <t>table</t>
        </is>
      </c>
      <c r="O598" s="19"/>
      <c r="P598" s="19" t="inlineStr">
        <is>
          <t>FINISHED</t>
        </is>
      </c>
      <c r="Q598" s="19"/>
      <c r="R598" s="19"/>
      <c r="S598" s="19"/>
      <c r="T598" s="19"/>
      <c r="U598" s="19"/>
      <c r="V598" s="19"/>
      <c r="W598" s="15" t="inlineStr">
        <is>
          <t>Insectivora, Scandentia</t>
        </is>
      </c>
      <c r="X598" s="19"/>
      <c r="Y598" s="19"/>
      <c r="Z598" s="15" t="inlineStr">
        <is>
          <t>histological sections</t>
        </is>
      </c>
      <c r="AA598" s="15" t="inlineStr">
        <is>
          <t>volumetry</t>
        </is>
      </c>
      <c r="AB598" s="15" t="inlineStr">
        <is>
          <t>volume</t>
        </is>
      </c>
      <c r="AC598" s="19"/>
      <c r="AD598" s="15" t="inlineStr">
        <is>
          <t>Stephan</t>
        </is>
      </c>
      <c r="AE598" s="15" t="inlineStr">
        <is>
          <t>primary</t>
        </is>
      </c>
      <c r="AF598" s="15"/>
      <c r="AG598" s="19"/>
    </row>
    <row r="599" ht="15" customHeight="1">
      <c r="A599" s="15" t="inlineStr">
        <is>
          <t>Stephan, H., Bauchot, R., &amp; Andy, O. J. (1970). Data on the size of the brain and of the various brain parts in insectivores and primates. In C. R. Noback &amp; W. Montagna (Eds.), The Primate Brain (pp. 289-296). Appleton-Century-Crofts</t>
        </is>
      </c>
      <c r="B599" s="19"/>
      <c r="C599" s="15" t="inlineStr">
        <is>
          <t>ISBN:0390672505</t>
        </is>
      </c>
      <c r="D599" s="15" t="inlineStr">
        <is>
          <t>TABLE 2</t>
        </is>
      </c>
      <c r="E599" s="10" t="str">
        <f>SUBSTITUTE(SUBSTITUTE(_xlfn.TEXTBEFORE(A599,","), "-", ""), " ", "")</f>
        <v>Stephan</v>
      </c>
      <c r="F599" s="10"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10" t="str">
        <f>_xlfn.TEXTBEFORE(_xlfn.TEXTAFTER(A599, "("), ")")</f>
        <v>1970</v>
      </c>
      <c r="H599" s="10" t="str">
        <f>E599 &amp; IF(F599&lt;&gt;"", "_" &amp; SUBSTITUTE(F599," ",""), "_") &amp; IF(G599&lt;&gt;"", "_" &amp; G599, "_") &amp; IF(B599&lt;&gt;"", "_" &amp; B599, "")</f>
        <v>Stephan_etal_1970</v>
      </c>
      <c r="I599" s="10" t="str">
        <f>_xlfn.LET(
_xlpm.doi,IF(C599&lt;&gt;"",C599,_xlfn.TEXTAFTER(A599,"https://doi.org/")),
SUBSTITUTE(
SUBSTITUTE(
SUBSTITUTE(
SUBSTITUTE(
_xlpm.doi,
"/","%2F"),
":","%3A"),
"&lt;","%3C"),
"&gt;","%3E")
)</f>
        <v>ISBN%3A0390672505</v>
      </c>
      <c r="J599" s="10" t="str">
        <f>TRIM(_xlfn.TEXTJOIN("_",FALSE(),H599,(SUBSTITUTE(SUBSTITUTE(D599," ",""), "_", ""))))</f>
        <v>Stephan_etal_1970_TABLE2</v>
      </c>
      <c r="K599" s="10" t="str">
        <f>I599 &amp; "_" &amp; SUBSTITUTE(SUBSTITUTE(SUBSTITUTE(D599,CHAR(160),"")," ",""),"_","")</f>
        <v>ISBN%3A0390672505_TABLE2</v>
      </c>
      <c r="L599" s="10" t="str">
        <f t="array" ref="L599">IFERROR(INDEX(AUTO_Public_TSV_FileList!$A$1:$A$1000,MATCH(TRUE(),EXACT(K599,IFERROR(_xlfn.TEXTBEFORE(AUTO_Public_TSV_FileList!$A$1:$A$1000,".tsv"),"")),0)),"notfound")</f>
        <v>ISBN%3A0390672505_TABLE2.tsv</v>
      </c>
      <c r="M599" s="15" t="inlineStr">
        <is>
          <t>TABLE 2 Data on body and brain weight (in g and mg) and volume of the fundemental brain sections (in mm3) in Prosimians</t>
        </is>
      </c>
      <c r="N599" s="15" t="inlineStr">
        <is>
          <t>table</t>
        </is>
      </c>
      <c r="O599" s="19"/>
      <c r="P599" s="19" t="inlineStr">
        <is>
          <t>FINISHED</t>
        </is>
      </c>
      <c r="Q599" s="19"/>
      <c r="R599" s="19"/>
      <c r="S599" s="19"/>
      <c r="T599" s="19"/>
      <c r="U599" s="19"/>
      <c r="V599" s="19"/>
      <c r="W599" s="15" t="inlineStr">
        <is>
          <t>Primates</t>
        </is>
      </c>
      <c r="X599" s="19"/>
      <c r="Y599" s="19"/>
      <c r="Z599" s="15" t="inlineStr">
        <is>
          <t>histological sections</t>
        </is>
      </c>
      <c r="AA599" s="15" t="inlineStr">
        <is>
          <t>volumetry</t>
        </is>
      </c>
      <c r="AB599" s="15" t="inlineStr">
        <is>
          <t>volume</t>
        </is>
      </c>
      <c r="AC599" s="19"/>
      <c r="AD599" s="15" t="inlineStr">
        <is>
          <t>Stephan</t>
        </is>
      </c>
      <c r="AE599" s="15" t="inlineStr">
        <is>
          <t>primary</t>
        </is>
      </c>
      <c r="AF599" s="15"/>
      <c r="AG599" s="19"/>
    </row>
    <row r="600" ht="15" customHeight="1">
      <c r="A600" s="1" t="inlineStr">
        <is>
          <t>Stephan, H., Bauchot, R., &amp; Andy, O. J. (1970). Data on the size of the brain and of the various brain parts in insectivores and primates. In C. R. Noback &amp; W. Montagna (Eds.), The Primate Brain (pp. 289-296). Appleton-Century-Crofts</t>
        </is>
      </c>
      <c r="B600" s="13"/>
      <c r="C600" s="1" t="inlineStr">
        <is>
          <t>ISBN:0390672505</t>
        </is>
      </c>
      <c r="D600" s="1" t="inlineStr">
        <is>
          <t>TABLE 3</t>
        </is>
      </c>
      <c r="E600" s="10" t="str">
        <f>SUBSTITUTE(SUBSTITUTE(_xlfn.TEXTBEFORE(A600,","), "-", ""), " ", "")</f>
        <v>Stephan</v>
      </c>
      <c r="F600" s="10"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10" t="str">
        <f>_xlfn.TEXTBEFORE(_xlfn.TEXTAFTER(A600, "("), ")")</f>
        <v>1970</v>
      </c>
      <c r="H600" s="10" t="str">
        <f>E600 &amp; IF(F600&lt;&gt;"", "_" &amp; SUBSTITUTE(F600," ",""), "_") &amp; IF(G600&lt;&gt;"", "_" &amp; G600, "_") &amp; IF(B600&lt;&gt;"", "_" &amp; B600, "")</f>
        <v>Stephan_etal_1970</v>
      </c>
      <c r="I600" s="10" t="str">
        <f>_xlfn.LET(
_xlpm.doi,IF(C600&lt;&gt;"",C600,_xlfn.TEXTAFTER(A600,"https://doi.org/")),
SUBSTITUTE(
SUBSTITUTE(
SUBSTITUTE(
SUBSTITUTE(
_xlpm.doi,
"/","%2F"),
":","%3A"),
"&lt;","%3C"),
"&gt;","%3E")
)</f>
        <v>ISBN%3A0390672505</v>
      </c>
      <c r="J600" s="10" t="str">
        <f>TRIM(_xlfn.TEXTJOIN("_",FALSE(),H600,(SUBSTITUTE(SUBSTITUTE(D600," ",""), "_", ""))))</f>
        <v>Stephan_etal_1970_TABLE3</v>
      </c>
      <c r="K600" s="10" t="str">
        <f>I600 &amp; "_" &amp; SUBSTITUTE(SUBSTITUTE(SUBSTITUTE(D600,CHAR(160),"")," ",""),"_","")</f>
        <v>ISBN%3A0390672505_TABLE3</v>
      </c>
      <c r="L600" s="10" t="str">
        <f t="array" ref="L600">IFERROR(INDEX(AUTO_Public_TSV_FileList!$A$1:$A$1000,MATCH(TRUE(),EXACT(K600,IFERROR(_xlfn.TEXTBEFORE(AUTO_Public_TSV_FileList!$A$1:$A$1000,".tsv"),"")),0)),"notfound")</f>
        <v>ISBN%3A0390672505_TABLE3.tsv</v>
      </c>
      <c r="M600" s="15" t="inlineStr">
        <is>
          <t>TABLE 3 Data on body and brain weight (in g and mg) and volume of the fundemental brain sections (in mm3) in Simians</t>
        </is>
      </c>
      <c r="N600" s="15" t="inlineStr">
        <is>
          <t>table</t>
        </is>
      </c>
      <c r="O600" s="19"/>
      <c r="P600" s="19" t="inlineStr">
        <is>
          <t>FINISHED</t>
        </is>
      </c>
      <c r="Q600" s="19"/>
      <c r="R600" s="19"/>
      <c r="S600" s="19"/>
      <c r="T600" s="19"/>
      <c r="U600" s="19"/>
      <c r="V600" s="19"/>
      <c r="W600" s="15" t="inlineStr">
        <is>
          <t>Primates</t>
        </is>
      </c>
      <c r="X600" s="19"/>
      <c r="Y600" s="19"/>
      <c r="Z600" s="15" t="inlineStr">
        <is>
          <t>histological sections</t>
        </is>
      </c>
      <c r="AA600" s="15" t="inlineStr">
        <is>
          <t>volumetry</t>
        </is>
      </c>
      <c r="AB600" s="15" t="inlineStr">
        <is>
          <t>volume</t>
        </is>
      </c>
      <c r="AC600" s="19"/>
      <c r="AD600" s="15" t="inlineStr">
        <is>
          <t>Stephan</t>
        </is>
      </c>
      <c r="AE600" s="15" t="inlineStr">
        <is>
          <t>primary</t>
        </is>
      </c>
      <c r="AF600" s="15"/>
      <c r="AG600" s="19"/>
    </row>
    <row r="601" ht="15" customHeight="1">
      <c r="A601" s="1" t="inlineStr">
        <is>
          <t>Stephan, H., Bauchot, R., &amp; Andy, O. J. (1970). Data on the size of the brain and of the various brain parts in insectivores and primates. In C. R. Noback &amp; W. Montagna (Eds.), The Primate Brain (pp. 289-296). Appleton-Century-Crofts</t>
        </is>
      </c>
      <c r="B601" s="13"/>
      <c r="C601" s="1" t="inlineStr">
        <is>
          <t>ISBN:0390672505</t>
        </is>
      </c>
      <c r="D601" s="1" t="inlineStr">
        <is>
          <t>TABLE 4</t>
        </is>
      </c>
      <c r="E601" s="10" t="str">
        <f>SUBSTITUTE(SUBSTITUTE(_xlfn.TEXTBEFORE(A601,","), "-", ""), " ", "")</f>
        <v>Stephan</v>
      </c>
      <c r="F601" s="10"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10" t="str">
        <f>_xlfn.TEXTBEFORE(_xlfn.TEXTAFTER(A601, "("), ")")</f>
        <v>1970</v>
      </c>
      <c r="H601" s="10" t="str">
        <f>E601 &amp; IF(F601&lt;&gt;"", "_" &amp; SUBSTITUTE(F601," ",""), "_") &amp; IF(G601&lt;&gt;"", "_" &amp; G601, "_") &amp; IF(B601&lt;&gt;"", "_" &amp; B601, "")</f>
        <v>Stephan_etal_1970</v>
      </c>
      <c r="I601" s="10" t="str">
        <f>_xlfn.LET(
_xlpm.doi,IF(C601&lt;&gt;"",C601,_xlfn.TEXTAFTER(A601,"https://doi.org/")),
SUBSTITUTE(
SUBSTITUTE(
SUBSTITUTE(
SUBSTITUTE(
_xlpm.doi,
"/","%2F"),
":","%3A"),
"&lt;","%3C"),
"&gt;","%3E")
)</f>
        <v>ISBN%3A0390672505</v>
      </c>
      <c r="J601" s="10" t="str">
        <f>TRIM(_xlfn.TEXTJOIN("_",FALSE(),H601,(SUBSTITUTE(SUBSTITUTE(D601," ",""), "_", ""))))</f>
        <v>Stephan_etal_1970_TABLE4</v>
      </c>
      <c r="K601" s="10" t="str">
        <f>I601 &amp; "_" &amp; SUBSTITUTE(SUBSTITUTE(SUBSTITUTE(D601,CHAR(160),"")," ",""),"_","")</f>
        <v>ISBN%3A0390672505_TABLE4</v>
      </c>
      <c r="L601" s="10" t="str">
        <f t="array" ref="L601">IFERROR(INDEX(AUTO_Public_TSV_FileList!$A$1:$A$1000,MATCH(TRUE(),EXACT(K601,IFERROR(_xlfn.TEXTBEFORE(AUTO_Public_TSV_FileList!$A$1:$A$1000,".tsv"),"")),0)),"notfound")</f>
        <v>ISBN%3A0390672505_TABLE4.tsv</v>
      </c>
      <c r="M601" s="15" t="inlineStr">
        <is>
          <t>TABLE 4 Volume of the various components of the telencephalon in Insectivores (in mm3)</t>
        </is>
      </c>
      <c r="N601" s="15" t="inlineStr">
        <is>
          <t>table</t>
        </is>
      </c>
      <c r="O601" s="19"/>
      <c r="P601" s="19" t="inlineStr">
        <is>
          <t>FINISHED</t>
        </is>
      </c>
      <c r="Q601" s="19"/>
      <c r="R601" s="19"/>
      <c r="S601" s="19"/>
      <c r="T601" s="19"/>
      <c r="U601" s="19"/>
      <c r="V601" s="19"/>
      <c r="W601" s="15" t="inlineStr">
        <is>
          <t>Insectivora, Scandentia</t>
        </is>
      </c>
      <c r="X601" s="19"/>
      <c r="Y601" s="19"/>
      <c r="Z601" s="15" t="inlineStr">
        <is>
          <t>histological sections</t>
        </is>
      </c>
      <c r="AA601" s="15" t="inlineStr">
        <is>
          <t>volumetry</t>
        </is>
      </c>
      <c r="AB601" s="15" t="inlineStr">
        <is>
          <t>volume</t>
        </is>
      </c>
      <c r="AC601" s="19"/>
      <c r="AD601" s="15" t="inlineStr">
        <is>
          <t>Stephan</t>
        </is>
      </c>
      <c r="AE601" s="15" t="inlineStr">
        <is>
          <t>primary</t>
        </is>
      </c>
      <c r="AF601" s="15"/>
      <c r="AG601" s="19"/>
    </row>
    <row r="602" ht="15" customHeight="1">
      <c r="A602" s="1" t="inlineStr">
        <is>
          <t>Stephan, H., Bauchot, R., &amp; Andy, O. J. (1970). Data on the size of the brain and of the various brain parts in insectivores and primates. In C. R. Noback &amp; W. Montagna (Eds.), The Primate Brain (pp. 289-296). Appleton-Century-Crofts</t>
        </is>
      </c>
      <c r="B602" s="13"/>
      <c r="C602" s="1" t="inlineStr">
        <is>
          <t>ISBN:0390672505</t>
        </is>
      </c>
      <c r="D602" s="1" t="inlineStr">
        <is>
          <t>TABLE 5</t>
        </is>
      </c>
      <c r="E602" s="10" t="str">
        <f>SUBSTITUTE(SUBSTITUTE(_xlfn.TEXTBEFORE(A602,","), "-", ""), " ", "")</f>
        <v>Stephan</v>
      </c>
      <c r="F602" s="10"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10" t="str">
        <f>_xlfn.TEXTBEFORE(_xlfn.TEXTAFTER(A602, "("), ")")</f>
        <v>1970</v>
      </c>
      <c r="H602" s="10" t="str">
        <f>E602 &amp; IF(F602&lt;&gt;"", "_" &amp; SUBSTITUTE(F602," ",""), "_") &amp; IF(G602&lt;&gt;"", "_" &amp; G602, "_") &amp; IF(B602&lt;&gt;"", "_" &amp; B602, "")</f>
        <v>Stephan_etal_1970</v>
      </c>
      <c r="I602" s="10" t="str">
        <f>_xlfn.LET(
_xlpm.doi,IF(C602&lt;&gt;"",C602,_xlfn.TEXTAFTER(A602,"https://doi.org/")),
SUBSTITUTE(
SUBSTITUTE(
SUBSTITUTE(
SUBSTITUTE(
_xlpm.doi,
"/","%2F"),
":","%3A"),
"&lt;","%3C"),
"&gt;","%3E")
)</f>
        <v>ISBN%3A0390672505</v>
      </c>
      <c r="J602" s="10" t="str">
        <f>TRIM(_xlfn.TEXTJOIN("_",FALSE(),H602,(SUBSTITUTE(SUBSTITUTE(D602," ",""), "_", ""))))</f>
        <v>Stephan_etal_1970_TABLE5</v>
      </c>
      <c r="K602" s="10" t="str">
        <f>I602 &amp; "_" &amp; SUBSTITUTE(SUBSTITUTE(SUBSTITUTE(D602,CHAR(160),"")," ",""),"_","")</f>
        <v>ISBN%3A0390672505_TABLE5</v>
      </c>
      <c r="L602" s="10" t="str">
        <f t="array" ref="L602">IFERROR(INDEX(AUTO_Public_TSV_FileList!$A$1:$A$1000,MATCH(TRUE(),EXACT(K602,IFERROR(_xlfn.TEXTBEFORE(AUTO_Public_TSV_FileList!$A$1:$A$1000,".tsv"),"")),0)),"notfound")</f>
        <v>ISBN%3A0390672505_TABLE5.tsv</v>
      </c>
      <c r="M602" s="15" t="inlineStr">
        <is>
          <t>TABLE 5 Volume of the various components of the telencephalon in Prosimians (in mm3)</t>
        </is>
      </c>
      <c r="N602" s="15" t="inlineStr">
        <is>
          <t>table</t>
        </is>
      </c>
      <c r="O602" s="19"/>
      <c r="P602" s="19" t="inlineStr">
        <is>
          <t>FINISHED</t>
        </is>
      </c>
      <c r="Q602" s="19"/>
      <c r="R602" s="19"/>
      <c r="S602" s="19"/>
      <c r="T602" s="19"/>
      <c r="U602" s="19"/>
      <c r="V602" s="19"/>
      <c r="W602" s="15" t="inlineStr">
        <is>
          <t>Primates</t>
        </is>
      </c>
      <c r="X602" s="19"/>
      <c r="Y602" s="19"/>
      <c r="Z602" s="15" t="inlineStr">
        <is>
          <t>histological sections</t>
        </is>
      </c>
      <c r="AA602" s="15" t="inlineStr">
        <is>
          <t>volumetry</t>
        </is>
      </c>
      <c r="AB602" s="15" t="inlineStr">
        <is>
          <t>volume</t>
        </is>
      </c>
      <c r="AC602" s="19"/>
      <c r="AD602" s="15" t="inlineStr">
        <is>
          <t>Stephan</t>
        </is>
      </c>
      <c r="AE602" s="15" t="inlineStr">
        <is>
          <t>primary</t>
        </is>
      </c>
      <c r="AF602" s="15"/>
      <c r="AG602" s="19"/>
    </row>
    <row r="603" ht="15" customHeight="1">
      <c r="A603" s="1" t="inlineStr">
        <is>
          <t>Stephan, H., Bauchot, R., &amp; Andy, O. J. (1970). Data on the size of the brain and of the various brain parts in insectivores and primates. In C. R. Noback &amp; W. Montagna (Eds.), The Primate Brain (pp. 289-296). Appleton-Century-Crofts</t>
        </is>
      </c>
      <c r="B603" s="13"/>
      <c r="C603" s="1" t="inlineStr">
        <is>
          <t>ISBN:0390672505</t>
        </is>
      </c>
      <c r="D603" s="1" t="inlineStr">
        <is>
          <t>TABLE 6</t>
        </is>
      </c>
      <c r="E603" s="10" t="str">
        <f>SUBSTITUTE(SUBSTITUTE(_xlfn.TEXTBEFORE(A603,","), "-", ""), " ", "")</f>
        <v>Stephan</v>
      </c>
      <c r="F603" s="10"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10" t="str">
        <f>_xlfn.TEXTBEFORE(_xlfn.TEXTAFTER(A603, "("), ")")</f>
        <v>1970</v>
      </c>
      <c r="H603" s="10" t="str">
        <f>E603 &amp; IF(F603&lt;&gt;"", "_" &amp; SUBSTITUTE(F603," ",""), "_") &amp; IF(G603&lt;&gt;"", "_" &amp; G603, "_") &amp; IF(B603&lt;&gt;"", "_" &amp; B603, "")</f>
        <v>Stephan_etal_1970</v>
      </c>
      <c r="I603" s="10" t="str">
        <f>_xlfn.LET(
_xlpm.doi,IF(C603&lt;&gt;"",C603,_xlfn.TEXTAFTER(A603,"https://doi.org/")),
SUBSTITUTE(
SUBSTITUTE(
SUBSTITUTE(
SUBSTITUTE(
_xlpm.doi,
"/","%2F"),
":","%3A"),
"&lt;","%3C"),
"&gt;","%3E")
)</f>
        <v>ISBN%3A0390672505</v>
      </c>
      <c r="J603" s="10" t="str">
        <f>TRIM(_xlfn.TEXTJOIN("_",FALSE(),H603,(SUBSTITUTE(SUBSTITUTE(D603," ",""), "_", ""))))</f>
        <v>Stephan_etal_1970_TABLE6</v>
      </c>
      <c r="K603" s="10" t="str">
        <f>I603 &amp; "_" &amp; SUBSTITUTE(SUBSTITUTE(SUBSTITUTE(D603,CHAR(160),"")," ",""),"_","")</f>
        <v>ISBN%3A0390672505_TABLE6</v>
      </c>
      <c r="L603" s="10" t="str">
        <f t="array" ref="L603">IFERROR(INDEX(AUTO_Public_TSV_FileList!$A$1:$A$1000,MATCH(TRUE(),EXACT(K603,IFERROR(_xlfn.TEXTBEFORE(AUTO_Public_TSV_FileList!$A$1:$A$1000,".tsv"),"")),0)),"notfound")</f>
        <v>ISBN%3A0390672505_TABLE6.tsv</v>
      </c>
      <c r="M603" s="15" t="inlineStr">
        <is>
          <t>TABLE 6 Volume of the various components of the telencephalon in Simians (in mm3)</t>
        </is>
      </c>
      <c r="N603" s="15" t="inlineStr">
        <is>
          <t>table</t>
        </is>
      </c>
      <c r="O603" s="19"/>
      <c r="P603" s="19" t="inlineStr">
        <is>
          <t>FINISHED</t>
        </is>
      </c>
      <c r="Q603" s="19"/>
      <c r="R603" s="19"/>
      <c r="S603" s="19"/>
      <c r="T603" s="19"/>
      <c r="U603" s="19"/>
      <c r="V603" s="19"/>
      <c r="W603" s="15" t="inlineStr">
        <is>
          <t>Primates</t>
        </is>
      </c>
      <c r="X603" s="19"/>
      <c r="Y603" s="19"/>
      <c r="Z603" s="15" t="inlineStr">
        <is>
          <t>histological sections</t>
        </is>
      </c>
      <c r="AA603" s="15" t="inlineStr">
        <is>
          <t>volumetry</t>
        </is>
      </c>
      <c r="AB603" s="15" t="inlineStr">
        <is>
          <t>volume</t>
        </is>
      </c>
      <c r="AC603" s="19"/>
      <c r="AD603" s="15" t="inlineStr">
        <is>
          <t>Stephan</t>
        </is>
      </c>
      <c r="AE603" s="15" t="inlineStr">
        <is>
          <t>primary</t>
        </is>
      </c>
      <c r="AF603" s="15"/>
      <c r="AG603" s="19"/>
    </row>
    <row r="604" ht="15" customHeight="1">
      <c r="A604" s="1" t="inlineStr">
        <is>
          <t>Stephan, H., Bauchot, R., &amp; Andy, O. J. (1970). Data on the size of the brain and of the various brain parts in insectivores and primates. In C. R. Noback &amp; W. Montagna (Eds.), The Primate Brain (pp. 289-296). Appleton-Century-Crofts</t>
        </is>
      </c>
      <c r="B604" s="13"/>
      <c r="C604" s="1" t="inlineStr">
        <is>
          <t>ISBN:0390672505</t>
        </is>
      </c>
      <c r="D604" s="1" t="inlineStr">
        <is>
          <t>Tables 1-6</t>
        </is>
      </c>
      <c r="E604" s="10" t="str">
        <f>SUBSTITUTE(SUBSTITUTE(_xlfn.TEXTBEFORE(A604,","), "-", ""), " ", "")</f>
        <v>Stephan</v>
      </c>
      <c r="F604" s="10"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10" t="str">
        <f>_xlfn.TEXTBEFORE(_xlfn.TEXTAFTER(A604, "("), ")")</f>
        <v>1970</v>
      </c>
      <c r="H604" s="10" t="str">
        <f>E604 &amp; IF(F604&lt;&gt;"", "_" &amp; SUBSTITUTE(F604," ",""), "_") &amp; IF(G604&lt;&gt;"", "_" &amp; G604, "_") &amp; IF(B604&lt;&gt;"", "_" &amp; B604, "")</f>
        <v>Stephan_etal_1970</v>
      </c>
      <c r="I604" s="10" t="str">
        <f>_xlfn.LET(
_xlpm.doi,IF(C604&lt;&gt;"",C604,_xlfn.TEXTAFTER(A604,"https://doi.org/")),
SUBSTITUTE(
SUBSTITUTE(
SUBSTITUTE(
SUBSTITUTE(
_xlpm.doi,
"/","%2F"),
":","%3A"),
"&lt;","%3C"),
"&gt;","%3E")
)</f>
        <v>ISBN%3A0390672505</v>
      </c>
      <c r="J604" s="10" t="str">
        <f>TRIM(_xlfn.TEXTJOIN("_",FALSE(),H604,(SUBSTITUTE(SUBSTITUTE(D604," ",""), "_", ""))))</f>
        <v>Stephan_etal_1970_Tables1-6</v>
      </c>
      <c r="K604" s="10" t="str">
        <f>I604 &amp; "_" &amp; SUBSTITUTE(SUBSTITUTE(SUBSTITUTE(D604,CHAR(160),"")," ",""),"_","")</f>
        <v>ISBN%3A0390672505_Tables1-6</v>
      </c>
      <c r="L604" s="10" t="str">
        <f t="array" ref="L604">IFERROR(INDEX(AUTO_Public_TSV_FileList!$A$1:$A$1000,MATCH(TRUE(),EXACT(K604,IFERROR(_xlfn.TEXTBEFORE(AUTO_Public_TSV_FileList!$A$1:$A$1000,".tsv"),"")),0)),"notfound")</f>
        <v>ISBN%3A0390672505_Tables1-6.tsv</v>
      </c>
      <c r="M604" s="19"/>
      <c r="N604" s="15" t="inlineStr">
        <is>
          <t>tables combined</t>
        </is>
      </c>
      <c r="O604" s="15" t="inlineStr">
        <is>
          <t>Tables 1-6 combined</t>
        </is>
      </c>
      <c r="P604" s="15" t="inlineStr">
        <is>
          <t>FINISHED</t>
        </is>
      </c>
      <c r="Q604" s="19"/>
      <c r="R604" s="19"/>
      <c r="S604" s="19"/>
      <c r="T604" s="19"/>
      <c r="U604" s="19"/>
      <c r="V604" s="19"/>
      <c r="W604" s="15" t="inlineStr">
        <is>
          <t>Insectivora, Scandentia &amp; Primates</t>
        </is>
      </c>
      <c r="X604" s="19"/>
      <c r="Y604" s="19"/>
      <c r="Z604" s="15" t="inlineStr">
        <is>
          <t>histological sections</t>
        </is>
      </c>
      <c r="AA604" s="15" t="inlineStr">
        <is>
          <t>volumetry</t>
        </is>
      </c>
      <c r="AB604" s="15" t="inlineStr">
        <is>
          <t>volume</t>
        </is>
      </c>
      <c r="AC604" s="15" t="inlineStr">
        <is>
          <t>Stephan</t>
        </is>
      </c>
      <c r="AD604" s="15" t="inlineStr">
        <is>
          <t>Stephan</t>
        </is>
      </c>
      <c r="AE604" s="15" t="inlineStr">
        <is>
          <t>primary</t>
        </is>
      </c>
      <c r="AF604" s="15"/>
      <c r="AG604" s="19"/>
    </row>
    <row r="605" ht="15" customHeight="1">
      <c r="A605" s="1" t="inlineStr">
        <is>
          <t>Stephan, H., Frahm, H. D., &amp; Baron, G. (1984). Comparison of brain structure volumes in insectivora and primates. IV. Non-cortical visual structures. J Hirnforsch, 25(4), 385-403. https://www.ncbi.nlm.nih.gov/pubmed/6481154</t>
        </is>
      </c>
      <c r="B605" s="13"/>
      <c r="C605" s="1" t="inlineStr">
        <is>
          <t>PMID:6481154</t>
        </is>
      </c>
      <c r="D605" s="1" t="inlineStr">
        <is>
          <t>Table 1</t>
        </is>
      </c>
      <c r="E605" s="10" t="str">
        <f>SUBSTITUTE(SUBSTITUTE(_xlfn.TEXTBEFORE(A605,","), "-", ""), " ", "")</f>
        <v>Stephan</v>
      </c>
      <c r="F605" s="10"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10" t="str">
        <f>_xlfn.TEXTBEFORE(_xlfn.TEXTAFTER(A605, "("), ")")</f>
        <v>1984</v>
      </c>
      <c r="H605" s="10" t="str">
        <f>E605 &amp; IF(F605&lt;&gt;"", "_" &amp; SUBSTITUTE(F605," ",""), "_") &amp; IF(G605&lt;&gt;"", "_" &amp; G605, "_") &amp; IF(B605&lt;&gt;"", "_" &amp; B605, "")</f>
        <v>Stephan_etal_1984</v>
      </c>
      <c r="I605" s="10" t="str">
        <f>_xlfn.LET(
_xlpm.doi,IF(C605&lt;&gt;"",C605,_xlfn.TEXTAFTER(A605,"https://doi.org/")),
SUBSTITUTE(
SUBSTITUTE(
SUBSTITUTE(
SUBSTITUTE(
_xlpm.doi,
"/","%2F"),
":","%3A"),
"&lt;","%3C"),
"&gt;","%3E")
)</f>
        <v>PMID%3A6481154</v>
      </c>
      <c r="J605" s="10" t="str">
        <f>TRIM(_xlfn.TEXTJOIN("_",FALSE(),H605,(SUBSTITUTE(SUBSTITUTE(D605," ",""), "_", ""))))</f>
        <v>Stephan_etal_1984_Table1</v>
      </c>
      <c r="K605" s="10" t="str">
        <f>I605 &amp; "_" &amp; SUBSTITUTE(SUBSTITUTE(SUBSTITUTE(D605,CHAR(160),"")," ",""),"_","")</f>
        <v>PMID%3A6481154_Table1</v>
      </c>
      <c r="L605" s="10" t="str">
        <f t="array" ref="L605">IFERROR(INDEX(AUTO_Public_TSV_FileList!$A$1:$A$1000,MATCH(TRUE(),EXACT(K605,IFERROR(_xlfn.TEXTBEFORE(AUTO_Public_TSV_FileList!$A$1:$A$1000,".tsv"),"")),0)),"notfound")</f>
        <v>PMID%3A6481154_Table1.tsv</v>
      </c>
      <c r="M605" s="15" t="inlineStr">
        <is>
          <t>Table 1. Data on half surface of eyes (HSE), cross-sectional areas of nervus opticus (NOA), and the dorsal lateral geniculate body (CGL).</t>
        </is>
      </c>
      <c r="N605" s="15" t="inlineStr">
        <is>
          <t>table</t>
        </is>
      </c>
      <c r="O605" s="19"/>
      <c r="P605" s="15" t="inlineStr">
        <is>
          <t>FINISHED</t>
        </is>
      </c>
      <c r="Q605" s="19"/>
      <c r="R605" s="19"/>
      <c r="S605" s="19"/>
      <c r="T605" s="19"/>
      <c r="U605" s="19"/>
      <c r="V605" s="19"/>
      <c r="W605" s="15" t="inlineStr">
        <is>
          <t>Insectivora, Scandentia &amp; Primates</t>
        </is>
      </c>
      <c r="X605" s="15" t="inlineStr">
        <is>
          <t>non-cortical visual structure volumes</t>
        </is>
      </c>
      <c r="Y605" s="19"/>
      <c r="Z605" s="15" t="inlineStr">
        <is>
          <t>histological sections</t>
        </is>
      </c>
      <c r="AA605" s="15" t="inlineStr">
        <is>
          <t>volumetry</t>
        </is>
      </c>
      <c r="AB605" s="15" t="inlineStr">
        <is>
          <t>volume</t>
        </is>
      </c>
      <c r="AC605" s="15" t="inlineStr">
        <is>
          <t>Stephan</t>
        </is>
      </c>
      <c r="AD605" s="15" t="inlineStr">
        <is>
          <t>Stephan</t>
        </is>
      </c>
      <c r="AE605" s="15" t="inlineStr">
        <is>
          <t>primary</t>
        </is>
      </c>
      <c r="AF605" s="15"/>
      <c r="AG605" s="19"/>
    </row>
    <row r="606" ht="15" customHeight="1">
      <c r="A606" s="1" t="inlineStr">
        <is>
          <t>Stephan, H., Frahm, H. D., &amp; Baron, G. (1987). Comparison of brain structure volumes in Insectivora and primates. VII. Amygdaloid components. J Hirnforsch, 28(5), 571-584. https://www.ncbi.nlm.nih.gov/pubmed/3693895</t>
        </is>
      </c>
      <c r="B606" s="13"/>
      <c r="C606" s="1" t="inlineStr">
        <is>
          <t>PMID:3693895</t>
        </is>
      </c>
      <c r="D606" s="1" t="inlineStr">
        <is>
          <t>Table 1</t>
        </is>
      </c>
      <c r="E606" s="10" t="str">
        <f>SUBSTITUTE(SUBSTITUTE(_xlfn.TEXTBEFORE(A606,","), "-", ""), " ", "")</f>
        <v>Stephan</v>
      </c>
      <c r="F606" s="10"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10" t="str">
        <f>_xlfn.TEXTBEFORE(_xlfn.TEXTAFTER(A606, "("), ")")</f>
        <v>1987</v>
      </c>
      <c r="H606" s="10" t="str">
        <f>E606 &amp; IF(F606&lt;&gt;"", "_" &amp; SUBSTITUTE(F606," ",""), "_") &amp; IF(G606&lt;&gt;"", "_" &amp; G606, "_") &amp; IF(B606&lt;&gt;"", "_" &amp; B606, "")</f>
        <v>Stephan_etal_1987</v>
      </c>
      <c r="I606" s="10" t="str">
        <f>_xlfn.LET(
_xlpm.doi,IF(C606&lt;&gt;"",C606,_xlfn.TEXTAFTER(A606,"https://doi.org/")),
SUBSTITUTE(
SUBSTITUTE(
SUBSTITUTE(
SUBSTITUTE(
_xlpm.doi,
"/","%2F"),
":","%3A"),
"&lt;","%3C"),
"&gt;","%3E")
)</f>
        <v>PMID%3A3693895</v>
      </c>
      <c r="J606" s="10" t="str">
        <f>TRIM(_xlfn.TEXTJOIN("_",FALSE(),H606,(SUBSTITUTE(SUBSTITUTE(D606," ",""), "_", ""))))</f>
        <v>Stephan_etal_1987_Table1</v>
      </c>
      <c r="K606" s="10" t="str">
        <f>I606 &amp; "_" &amp; SUBSTITUTE(SUBSTITUTE(SUBSTITUTE(D606,CHAR(160),"")," ",""),"_","")</f>
        <v>PMID%3A3693895_Table1</v>
      </c>
      <c r="L606" s="10" t="str">
        <f t="array" ref="L606">IFERROR(INDEX(AUTO_Public_TSV_FileList!$A$1:$A$1000,MATCH(TRUE(),EXACT(K606,IFERROR(_xlfn.TEXTBEFORE(AUTO_Public_TSV_FileList!$A$1:$A$1000,".tsv"),"")),0)),"notfound")</f>
        <v>PMID%3A3693895_Table1.tsv</v>
      </c>
      <c r="M606" s="15" t="inlineStr">
        <is>
          <t>Table 1. Volumes and indices of the amygdala (AMY) and amygdaloid components (LAM, MAM, MCB, NTO) in Macroscelidea, Insectivora and Scandentia</t>
        </is>
      </c>
      <c r="N606" s="15" t="inlineStr">
        <is>
          <t>table</t>
        </is>
      </c>
      <c r="O606" s="19"/>
      <c r="P606" s="15" t="inlineStr">
        <is>
          <t>FINISHED</t>
        </is>
      </c>
      <c r="Q606" s="19"/>
      <c r="R606" s="19"/>
      <c r="S606" s="19"/>
      <c r="T606" s="19"/>
      <c r="U606" s="19"/>
      <c r="V606" s="19"/>
      <c r="W606" s="15" t="inlineStr">
        <is>
          <t>Insectivora, Scandentia &amp; Primates</t>
        </is>
      </c>
      <c r="X606" s="15" t="inlineStr">
        <is>
          <t>amygdaloid component volumes</t>
        </is>
      </c>
      <c r="Y606" s="19"/>
      <c r="Z606" s="15" t="inlineStr">
        <is>
          <t>histological sections</t>
        </is>
      </c>
      <c r="AA606" s="15" t="inlineStr">
        <is>
          <t>volumetry</t>
        </is>
      </c>
      <c r="AB606" s="15" t="inlineStr">
        <is>
          <t>volume</t>
        </is>
      </c>
      <c r="AC606" s="15" t="inlineStr">
        <is>
          <t>Stephan</t>
        </is>
      </c>
      <c r="AD606" s="15" t="inlineStr">
        <is>
          <t>Stephan</t>
        </is>
      </c>
      <c r="AE606" s="15" t="inlineStr">
        <is>
          <t>primary</t>
        </is>
      </c>
      <c r="AF606" s="15"/>
      <c r="AG606" s="19"/>
    </row>
    <row r="607" ht="15" customHeight="1">
      <c r="A607" s="1" t="inlineStr">
        <is>
          <t>Stephan, H., Frahm, H., &amp; Baron, G. (1981). New and revised data on volumes of brain structures in insectivores and primates. Folia Primatol (Basel), 35(1), 1-29. https://doi.org/10.1159/000155963</t>
        </is>
      </c>
      <c r="B607" s="13"/>
      <c r="C607" s="13"/>
      <c r="D607" s="1" t="inlineStr">
        <is>
          <t>Table I</t>
        </is>
      </c>
      <c r="E607" s="10" t="str">
        <f>SUBSTITUTE(SUBSTITUTE(_xlfn.TEXTBEFORE(A607,","), "-", ""), " ", "")</f>
        <v>Stephan</v>
      </c>
      <c r="F607" s="10"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10" t="str">
        <f>_xlfn.TEXTBEFORE(_xlfn.TEXTAFTER(A607, "("), ")")</f>
        <v>1981</v>
      </c>
      <c r="H607" s="10" t="str">
        <f>E607 &amp; IF(F607&lt;&gt;"", "_" &amp; SUBSTITUTE(F607," ",""), "_") &amp; IF(G607&lt;&gt;"", "_" &amp; G607, "_") &amp; IF(B607&lt;&gt;"", "_" &amp; B607, "")</f>
        <v>Stephan_etal_1981</v>
      </c>
      <c r="I607" s="10" t="str">
        <f>_xlfn.LET(
_xlpm.doi,IF(C607&lt;&gt;"",C607,_xlfn.TEXTAFTER(A607,"https://doi.org/")),
SUBSTITUTE(
SUBSTITUTE(
SUBSTITUTE(
SUBSTITUTE(
_xlpm.doi,
"/","%2F"),
":","%3A"),
"&lt;","%3C"),
"&gt;","%3E")
)</f>
        <v>10.1159%2F000155963</v>
      </c>
      <c r="J607" s="10" t="str">
        <f>TRIM(_xlfn.TEXTJOIN("_",FALSE(),H607,(SUBSTITUTE(SUBSTITUTE(D607," ",""), "_", ""))))</f>
        <v>Stephan_etal_1981_TableI</v>
      </c>
      <c r="K607" s="10" t="str">
        <f>I607 &amp; "_" &amp; SUBSTITUTE(SUBSTITUTE(SUBSTITUTE(D607,CHAR(160),"")," ",""),"_","")</f>
        <v>10.1159%2F000155963_TableI</v>
      </c>
      <c r="L607" s="10" t="str">
        <f t="array" ref="L607">IFERROR(INDEX(AUTO_Public_TSV_FileList!$A$1:$A$1000,MATCH(TRUE(),EXACT(K607,IFERROR(_xlfn.TEXTBEFORE(AUTO_Public_TSV_FileList!$A$1:$A$1000,".tsv"),"")),0)),"notfound")</f>
        <v>10.1159%2F000155963_TableI.tsv</v>
      </c>
      <c r="M607" s="15" t="inlineStr">
        <is>
          <t>Table I. Data on body weights (g). brain weights (mg). and volumes or total brain and fundamental brain parts (mm3) in insectivores</t>
        </is>
      </c>
      <c r="N607" s="15" t="inlineStr">
        <is>
          <t>table</t>
        </is>
      </c>
      <c r="O607" s="19"/>
      <c r="P607" s="15" t="inlineStr">
        <is>
          <t>FINISHED</t>
        </is>
      </c>
      <c r="Q607" s="19"/>
      <c r="R607" s="19"/>
      <c r="S607" s="19"/>
      <c r="T607" s="19"/>
      <c r="U607" s="19"/>
      <c r="V607" s="19"/>
      <c r="W607" s="15" t="inlineStr">
        <is>
          <t>Insectivora, Scandentia &amp; Primates</t>
        </is>
      </c>
      <c r="X607" s="15" t="inlineStr">
        <is>
          <t>brain structure volumes</t>
        </is>
      </c>
      <c r="Y607" s="19"/>
      <c r="Z607" s="15" t="inlineStr">
        <is>
          <t>histological sections</t>
        </is>
      </c>
      <c r="AA607" s="15" t="inlineStr">
        <is>
          <t>volumetry</t>
        </is>
      </c>
      <c r="AB607" s="15" t="inlineStr">
        <is>
          <t>volume</t>
        </is>
      </c>
      <c r="AC607" s="15" t="inlineStr">
        <is>
          <t>Stephan</t>
        </is>
      </c>
      <c r="AD607" s="15" t="inlineStr">
        <is>
          <t>Stephan</t>
        </is>
      </c>
      <c r="AE607" s="15" t="inlineStr">
        <is>
          <t>primary</t>
        </is>
      </c>
      <c r="AF607" s="15"/>
      <c r="AG607" s="19"/>
    </row>
    <row r="608" ht="15" customHeight="1">
      <c r="A608" s="1" t="inlineStr">
        <is>
          <t>Stephan, H., Frahm, H., &amp; Baron, G. (1981). New and revised data on volumes of brain structures in insectivores and primates. Folia Primatol (Basel), 35(1), 1-29. https://doi.org/10.1159/000155963</t>
        </is>
      </c>
      <c r="B608" s="13"/>
      <c r="C608" s="13"/>
      <c r="D608" s="1" t="inlineStr">
        <is>
          <t>Table II</t>
        </is>
      </c>
      <c r="E608" s="10" t="str">
        <f>SUBSTITUTE(SUBSTITUTE(_xlfn.TEXTBEFORE(A608,","), "-", ""), " ", "")</f>
        <v>Stephan</v>
      </c>
      <c r="F608" s="10"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10" t="str">
        <f>_xlfn.TEXTBEFORE(_xlfn.TEXTAFTER(A608, "("), ")")</f>
        <v>1981</v>
      </c>
      <c r="H608" s="10" t="str">
        <f>E608 &amp; IF(F608&lt;&gt;"", "_" &amp; SUBSTITUTE(F608," ",""), "_") &amp; IF(G608&lt;&gt;"", "_" &amp; G608, "_") &amp; IF(B608&lt;&gt;"", "_" &amp; B608, "")</f>
        <v>Stephan_etal_1981</v>
      </c>
      <c r="I608" s="10" t="str">
        <f>_xlfn.LET(
_xlpm.doi,IF(C608&lt;&gt;"",C608,_xlfn.TEXTAFTER(A608,"https://doi.org/")),
SUBSTITUTE(
SUBSTITUTE(
SUBSTITUTE(
SUBSTITUTE(
_xlpm.doi,
"/","%2F"),
":","%3A"),
"&lt;","%3C"),
"&gt;","%3E")
)</f>
        <v>10.1159%2F000155963</v>
      </c>
      <c r="J608" s="10" t="str">
        <f>TRIM(_xlfn.TEXTJOIN("_",FALSE(),H608,(SUBSTITUTE(SUBSTITUTE(D608," ",""), "_", ""))))</f>
        <v>Stephan_etal_1981_TableII</v>
      </c>
      <c r="K608" s="10" t="str">
        <f>I608 &amp; "_" &amp; SUBSTITUTE(SUBSTITUTE(SUBSTITUTE(D608,CHAR(160),"")," ",""),"_","")</f>
        <v>10.1159%2F000155963_TableII</v>
      </c>
      <c r="L608" s="10" t="str">
        <f t="array" ref="L608">IFERROR(INDEX(AUTO_Public_TSV_FileList!$A$1:$A$1000,MATCH(TRUE(),EXACT(K608,IFERROR(_xlfn.TEXTBEFORE(AUTO_Public_TSV_FileList!$A$1:$A$1000,".tsv"),"")),0)),"notfound")</f>
        <v>10.1159%2F000155963_TableII.tsv</v>
      </c>
      <c r="M608" s="15" t="inlineStr">
        <is>
          <t>Table II. Data on body weights (g), brain weights (mg), and volumes of total brain and fundamental brain parts (mm1) in prosimians; for comments on structures see table I</t>
        </is>
      </c>
      <c r="N608" s="15" t="inlineStr">
        <is>
          <t>table</t>
        </is>
      </c>
      <c r="O608" s="19"/>
      <c r="P608" s="15" t="inlineStr">
        <is>
          <t>FINISHED</t>
        </is>
      </c>
      <c r="Q608" s="19"/>
      <c r="R608" s="19"/>
      <c r="S608" s="19"/>
      <c r="T608" s="19"/>
      <c r="U608" s="19"/>
      <c r="V608" s="19"/>
      <c r="W608" s="15" t="inlineStr">
        <is>
          <t>Insectivora, Scandentia &amp; Primates</t>
        </is>
      </c>
      <c r="X608" s="15" t="inlineStr">
        <is>
          <t>brain structure volumes</t>
        </is>
      </c>
      <c r="Y608" s="19"/>
      <c r="Z608" s="15" t="inlineStr">
        <is>
          <t>histological sections</t>
        </is>
      </c>
      <c r="AA608" s="15" t="inlineStr">
        <is>
          <t>volumetry</t>
        </is>
      </c>
      <c r="AB608" s="15" t="inlineStr">
        <is>
          <t>volume</t>
        </is>
      </c>
      <c r="AC608" s="15" t="inlineStr">
        <is>
          <t>Stephan</t>
        </is>
      </c>
      <c r="AD608" s="15" t="inlineStr">
        <is>
          <t>Stephan</t>
        </is>
      </c>
      <c r="AE608" s="15" t="inlineStr">
        <is>
          <t>primary</t>
        </is>
      </c>
      <c r="AF608" s="15"/>
      <c r="AG608" s="19"/>
    </row>
    <row r="609" ht="13" customHeight="1">
      <c r="A609" s="1" t="inlineStr">
        <is>
          <t>Stephan, H., Frahm, H., &amp; Baron, G. (1981). New and revised data on volumes of brain structures in insectivores and primates. Folia Primatol (Basel), 35(1), 1-29. https://doi.org/10.1159/000155963</t>
        </is>
      </c>
      <c r="B609" s="13"/>
      <c r="C609" s="13"/>
      <c r="D609" s="1" t="inlineStr">
        <is>
          <t>Table III</t>
        </is>
      </c>
      <c r="E609" s="10" t="str">
        <f>SUBSTITUTE(SUBSTITUTE(_xlfn.TEXTBEFORE(A609,","), "-", ""), " ", "")</f>
        <v>Stephan</v>
      </c>
      <c r="F609" s="10"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10" t="str">
        <f>_xlfn.TEXTBEFORE(_xlfn.TEXTAFTER(A609, "("), ")")</f>
        <v>1981</v>
      </c>
      <c r="H609" s="10" t="str">
        <f>E609 &amp; IF(F609&lt;&gt;"", "_" &amp; SUBSTITUTE(F609," ",""), "_") &amp; IF(G609&lt;&gt;"", "_" &amp; G609, "_") &amp; IF(B609&lt;&gt;"", "_" &amp; B609, "")</f>
        <v>Stephan_etal_1981</v>
      </c>
      <c r="I609" s="10" t="str">
        <f>_xlfn.LET(
_xlpm.doi,IF(C609&lt;&gt;"",C609,_xlfn.TEXTAFTER(A609,"https://doi.org/")),
SUBSTITUTE(
SUBSTITUTE(
SUBSTITUTE(
SUBSTITUTE(
_xlpm.doi,
"/","%2F"),
":","%3A"),
"&lt;","%3C"),
"&gt;","%3E")
)</f>
        <v>10.1159%2F000155963</v>
      </c>
      <c r="J609" s="10" t="str">
        <f>TRIM(_xlfn.TEXTJOIN("_",FALSE(),H609,(SUBSTITUTE(SUBSTITUTE(D609," ",""), "_", ""))))</f>
        <v>Stephan_etal_1981_TableIII</v>
      </c>
      <c r="K609" s="10" t="str">
        <f>I609 &amp; "_" &amp; SUBSTITUTE(SUBSTITUTE(SUBSTITUTE(D609,CHAR(160),"")," ",""),"_","")</f>
        <v>10.1159%2F000155963_TableIII</v>
      </c>
      <c r="L609" s="10" t="str">
        <f t="array" ref="L609">IFERROR(INDEX(AUTO_Public_TSV_FileList!$A$1:$A$1000,MATCH(TRUE(),EXACT(K609,IFERROR(_xlfn.TEXTBEFORE(AUTO_Public_TSV_FileList!$A$1:$A$1000,".tsv"),"")),0)),"notfound")</f>
        <v>10.1159%2F000155963_TableIII.tsv</v>
      </c>
      <c r="M609" s="15" t="inlineStr">
        <is>
          <t>Table III. Data on body weights (g). brain weights (mg), and volumes or total brain and fundamental brain pans (mm&gt;) in simians; for comments on structures see table I</t>
        </is>
      </c>
      <c r="N609" s="15" t="inlineStr">
        <is>
          <t>table</t>
        </is>
      </c>
      <c r="O609" s="19"/>
      <c r="P609" s="15" t="inlineStr">
        <is>
          <t>FINISHED</t>
        </is>
      </c>
      <c r="Q609" s="19"/>
      <c r="R609" s="19"/>
      <c r="S609" s="19"/>
      <c r="T609" s="19"/>
      <c r="U609" s="19"/>
      <c r="V609" s="19"/>
      <c r="W609" s="15" t="inlineStr">
        <is>
          <t>Insectivora, Scandentia &amp; Primates</t>
        </is>
      </c>
      <c r="X609" s="15" t="inlineStr">
        <is>
          <t>brain structure volumes</t>
        </is>
      </c>
      <c r="Y609" s="19"/>
      <c r="Z609" s="15" t="inlineStr">
        <is>
          <t>histological sections</t>
        </is>
      </c>
      <c r="AA609" s="15" t="inlineStr">
        <is>
          <t>volumetry</t>
        </is>
      </c>
      <c r="AB609" s="15" t="inlineStr">
        <is>
          <t>volume</t>
        </is>
      </c>
      <c r="AC609" s="15" t="inlineStr">
        <is>
          <t>Stephan</t>
        </is>
      </c>
      <c r="AD609" s="15" t="inlineStr">
        <is>
          <t>Stephan</t>
        </is>
      </c>
      <c r="AE609" s="15" t="inlineStr">
        <is>
          <t>primary</t>
        </is>
      </c>
      <c r="AF609" s="15"/>
      <c r="AG609" s="19"/>
    </row>
    <row r="610" ht="18" customHeight="1">
      <c r="A610" s="1" t="inlineStr">
        <is>
          <t>Stephan, H., Frahm, H., &amp; Baron, G. (1981). New and revised data on volumes of brain structures in insectivores and primates. Folia Primatol (Basel), 35(1), 1-29. https://doi.org/10.1159/000155963</t>
        </is>
      </c>
      <c r="B610" s="13"/>
      <c r="C610" s="13"/>
      <c r="D610" s="1" t="inlineStr">
        <is>
          <t>Table IV</t>
        </is>
      </c>
      <c r="E610" s="10" t="str">
        <f>SUBSTITUTE(SUBSTITUTE(_xlfn.TEXTBEFORE(A610,","), "-", ""), " ", "")</f>
        <v>Stephan</v>
      </c>
      <c r="F610" s="10"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10" t="str">
        <f>_xlfn.TEXTBEFORE(_xlfn.TEXTAFTER(A610, "("), ")")</f>
        <v>1981</v>
      </c>
      <c r="H610" s="10" t="str">
        <f>E610 &amp; IF(F610&lt;&gt;"", "_" &amp; SUBSTITUTE(F610," ",""), "_") &amp; IF(G610&lt;&gt;"", "_" &amp; G610, "_") &amp; IF(B610&lt;&gt;"", "_" &amp; B610, "")</f>
        <v>Stephan_etal_1981</v>
      </c>
      <c r="I610" s="10" t="str">
        <f>_xlfn.LET(
_xlpm.doi,IF(C610&lt;&gt;"",C610,_xlfn.TEXTAFTER(A610,"https://doi.org/")),
SUBSTITUTE(
SUBSTITUTE(
SUBSTITUTE(
SUBSTITUTE(
_xlpm.doi,
"/","%2F"),
":","%3A"),
"&lt;","%3C"),
"&gt;","%3E")
)</f>
        <v>10.1159%2F000155963</v>
      </c>
      <c r="J610" s="10" t="str">
        <f>TRIM(_xlfn.TEXTJOIN("_",FALSE(),H610,(SUBSTITUTE(SUBSTITUTE(D610," ",""), "_", ""))))</f>
        <v>Stephan_etal_1981_TableIV</v>
      </c>
      <c r="K610" s="10" t="str">
        <f>I610 &amp; "_" &amp; SUBSTITUTE(SUBSTITUTE(SUBSTITUTE(D610,CHAR(160),"")," ",""),"_","")</f>
        <v>10.1159%2F000155963_TableIV</v>
      </c>
      <c r="L610" s="10" t="str">
        <f t="array" ref="L610">IFERROR(INDEX(AUTO_Public_TSV_FileList!$A$1:$A$1000,MATCH(TRUE(),EXACT(K610,IFERROR(_xlfn.TEXTBEFORE(AUTO_Public_TSV_FileList!$A$1:$A$1000,".tsv"),"")),0)),"notfound")</f>
        <v>10.1159%2F000155963_TableIV.tsv</v>
      </c>
      <c r="M610" s="1" t="inlineStr">
        <is>
          <t>Table IV: Volumes of the telencephalon and of its components (mm3) in insectivores</t>
        </is>
      </c>
      <c r="N610" s="1" t="inlineStr">
        <is>
          <t>table</t>
        </is>
      </c>
      <c r="O610" s="13"/>
      <c r="P610" s="1" t="inlineStr">
        <is>
          <t>FINISHED</t>
        </is>
      </c>
      <c r="Q610" s="13"/>
      <c r="R610" s="13"/>
      <c r="S610" s="13"/>
      <c r="T610" s="13"/>
      <c r="U610" s="13"/>
      <c r="V610" s="13"/>
      <c r="W610" s="1" t="inlineStr">
        <is>
          <t>Insectivora, Scandentia &amp; Primates</t>
        </is>
      </c>
      <c r="X610" s="1" t="inlineStr">
        <is>
          <t>brain structure volumes</t>
        </is>
      </c>
      <c r="Y610" s="13"/>
      <c r="Z610" s="1" t="inlineStr">
        <is>
          <t>histological sections</t>
        </is>
      </c>
      <c r="AA610" s="1" t="inlineStr">
        <is>
          <t>volumetry</t>
        </is>
      </c>
      <c r="AB610" s="1" t="inlineStr">
        <is>
          <t>volume</t>
        </is>
      </c>
      <c r="AC610" s="1" t="inlineStr">
        <is>
          <t>Stephan</t>
        </is>
      </c>
      <c r="AD610" s="1" t="inlineStr">
        <is>
          <t>Stephan</t>
        </is>
      </c>
      <c r="AE610" s="1" t="inlineStr">
        <is>
          <t>primary</t>
        </is>
      </c>
      <c r="AF610" s="1"/>
      <c r="AG610" s="13"/>
      <c r="AH610" s="14"/>
    </row>
    <row r="611" ht="18" customHeight="1">
      <c r="A611" s="1" t="inlineStr">
        <is>
          <t>Stephan, H., Frahm, H., &amp; Baron, G. (1981). New and revised data on volumes of brain structures in insectivores and primates. Folia Primatol (Basel), 35(1), 1-29. https://doi.org/10.1159/000155963</t>
        </is>
      </c>
      <c r="B611" s="13"/>
      <c r="C611" s="1"/>
      <c r="D611" s="1" t="inlineStr">
        <is>
          <t>Table IX</t>
        </is>
      </c>
      <c r="E611" s="10" t="str">
        <f>SUBSTITUTE(SUBSTITUTE(_xlfn.TEXTBEFORE(A611,","), "-", ""), " ", "")</f>
        <v>Stephan</v>
      </c>
      <c r="F611" s="10"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10" t="str">
        <f>_xlfn.TEXTBEFORE(_xlfn.TEXTAFTER(A611, "("), ")")</f>
        <v>1981</v>
      </c>
      <c r="H611" s="10" t="str">
        <f>E611 &amp; IF(F611&lt;&gt;"", "_" &amp; SUBSTITUTE(F611," ",""), "_") &amp; IF(G611&lt;&gt;"", "_" &amp; G611, "_") &amp; IF(B611&lt;&gt;"", "_" &amp; B611, "")</f>
        <v>Stephan_etal_1981</v>
      </c>
      <c r="I611" s="10" t="str">
        <f>_xlfn.LET(
_xlpm.doi,IF(C611&lt;&gt;"",C611,_xlfn.TEXTAFTER(A611,"https://doi.org/")),
SUBSTITUTE(
SUBSTITUTE(
SUBSTITUTE(
SUBSTITUTE(
_xlpm.doi,
"/","%2F"),
":","%3A"),
"&lt;","%3C"),
"&gt;","%3E")
)</f>
        <v>10.1159%2F000155963</v>
      </c>
      <c r="J611" s="10" t="str">
        <f>TRIM(_xlfn.TEXTJOIN("_",FALSE(),H611,(SUBSTITUTE(SUBSTITUTE(D611," ",""), "_", ""))))</f>
        <v>Stephan_etal_1981_TableIX</v>
      </c>
      <c r="K611" s="10" t="str">
        <f>I611 &amp; "_" &amp; SUBSTITUTE(SUBSTITUTE(SUBSTITUTE(D611,CHAR(160),"")," ",""),"_","")</f>
        <v>10.1159%2F000155963_TableIX</v>
      </c>
      <c r="L611" s="10" t="str">
        <f t="array" ref="L611">IFERROR(INDEX(AUTO_Public_TSV_FileList!$A$1:$A$1000,MATCH(TRUE(),EXACT(K611,IFERROR(_xlfn.TEXTBEFORE(AUTO_Public_TSV_FileList!$A$1:$A$1000,".tsv"),"")),0)),"notfound")</f>
        <v>10.1159%2F000155963_TableIX.tsv</v>
      </c>
      <c r="M611" s="1" t="inlineStr">
        <is>
          <t>Table IX. Volumes of visual cortex (area striata) and lateral geniculate body (mm3) in primates</t>
        </is>
      </c>
      <c r="N611" s="13"/>
      <c r="O611" s="13"/>
      <c r="P611" s="1" t="inlineStr">
        <is>
          <t>FINISHED</t>
        </is>
      </c>
      <c r="Q611" s="13"/>
      <c r="R611" s="13"/>
      <c r="S611" s="13"/>
      <c r="T611" s="13"/>
      <c r="U611" s="13"/>
      <c r="V611" s="13"/>
      <c r="W611" s="13"/>
      <c r="X611" s="13"/>
      <c r="Y611" s="13"/>
      <c r="Z611" s="13"/>
      <c r="AA611" s="13"/>
      <c r="AB611" s="13"/>
      <c r="AC611" s="13"/>
      <c r="AD611" s="13"/>
      <c r="AE611" s="13"/>
      <c r="AF611" s="13"/>
      <c r="AG611" s="13"/>
      <c r="AH611" s="14"/>
    </row>
    <row r="612" ht="18" customHeight="1">
      <c r="A612" s="1" t="inlineStr">
        <is>
          <t>Stephan, H., Frahm, H., &amp; Baron, G. (1981). New and revised data on volumes of brain structures in insectivores and primates. Folia Primatol (Basel), 35(1), 1-29. https://doi.org/10.1159/000155963</t>
        </is>
      </c>
      <c r="B612" s="13"/>
      <c r="C612" s="13"/>
      <c r="D612" s="1" t="inlineStr">
        <is>
          <t>Table V</t>
        </is>
      </c>
      <c r="E612" s="10" t="str">
        <f>SUBSTITUTE(SUBSTITUTE(_xlfn.TEXTBEFORE(A612,","), "-", ""), " ", "")</f>
        <v>Stephan</v>
      </c>
      <c r="F612" s="10"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10" t="str">
        <f>_xlfn.TEXTBEFORE(_xlfn.TEXTAFTER(A612, "("), ")")</f>
        <v>1981</v>
      </c>
      <c r="H612" s="10" t="str">
        <f>E612 &amp; IF(F612&lt;&gt;"", "_" &amp; SUBSTITUTE(F612," ",""), "_") &amp; IF(G612&lt;&gt;"", "_" &amp; G612, "_") &amp; IF(B612&lt;&gt;"", "_" &amp; B612, "")</f>
        <v>Stephan_etal_1981</v>
      </c>
      <c r="I612" s="10" t="str">
        <f>_xlfn.LET(
_xlpm.doi,IF(C612&lt;&gt;"",C612,_xlfn.TEXTAFTER(A612,"https://doi.org/")),
SUBSTITUTE(
SUBSTITUTE(
SUBSTITUTE(
SUBSTITUTE(
_xlpm.doi,
"/","%2F"),
":","%3A"),
"&lt;","%3C"),
"&gt;","%3E")
)</f>
        <v>10.1159%2F000155963</v>
      </c>
      <c r="J612" s="10" t="str">
        <f>TRIM(_xlfn.TEXTJOIN("_",FALSE(),H612,(SUBSTITUTE(SUBSTITUTE(D612," ",""), "_", ""))))</f>
        <v>Stephan_etal_1981_TableV</v>
      </c>
      <c r="K612" s="10" t="str">
        <f>I612 &amp; "_" &amp; SUBSTITUTE(SUBSTITUTE(SUBSTITUTE(D612,CHAR(160),"")," ",""),"_","")</f>
        <v>10.1159%2F000155963_TableV</v>
      </c>
      <c r="L612" s="10" t="str">
        <f t="array" ref="L612">IFERROR(INDEX(AUTO_Public_TSV_FileList!$A$1:$A$1000,MATCH(TRUE(),EXACT(K612,IFERROR(_xlfn.TEXTBEFORE(AUTO_Public_TSV_FileList!$A$1:$A$1000,".tsv"),"")),0)),"notfound")</f>
        <v>10.1159%2F000155963_TableV.tsv</v>
      </c>
      <c r="M612" s="1" t="inlineStr">
        <is>
          <t>Table V. Volumes of the telencephalon and of its components (mm3) in prosimians; for comments on structures see table IV</t>
        </is>
      </c>
      <c r="N612" s="1" t="inlineStr">
        <is>
          <t>table</t>
        </is>
      </c>
      <c r="O612" s="13"/>
      <c r="P612" s="1" t="inlineStr">
        <is>
          <t>FINISHED</t>
        </is>
      </c>
      <c r="Q612" s="13"/>
      <c r="R612" s="13"/>
      <c r="S612" s="13"/>
      <c r="T612" s="13"/>
      <c r="U612" s="13"/>
      <c r="V612" s="13"/>
      <c r="W612" s="1" t="inlineStr">
        <is>
          <t>Insectivora, Scandentia &amp; Primates</t>
        </is>
      </c>
      <c r="X612" s="1" t="inlineStr">
        <is>
          <t>brain structure volumes</t>
        </is>
      </c>
      <c r="Y612" s="13"/>
      <c r="Z612" s="1" t="inlineStr">
        <is>
          <t>histological sections</t>
        </is>
      </c>
      <c r="AA612" s="1" t="inlineStr">
        <is>
          <t>volumetry</t>
        </is>
      </c>
      <c r="AB612" s="1" t="inlineStr">
        <is>
          <t>volume</t>
        </is>
      </c>
      <c r="AC612" s="1" t="inlineStr">
        <is>
          <t>Stephan</t>
        </is>
      </c>
      <c r="AD612" s="1" t="inlineStr">
        <is>
          <t>Stephan</t>
        </is>
      </c>
      <c r="AE612" s="1" t="inlineStr">
        <is>
          <t>primary</t>
        </is>
      </c>
      <c r="AF612" s="1"/>
      <c r="AG612" s="13"/>
      <c r="AH612" s="14"/>
    </row>
    <row r="613" ht="18" customHeight="1">
      <c r="A613" s="1" t="inlineStr">
        <is>
          <t>Stephan, H., Frahm, H., &amp; Baron, G. (1981). New and revised data on volumes of brain structures in insectivores and primates. Folia Primatol (Basel), 35(1), 1-29. https://doi.org/10.1159/000155963</t>
        </is>
      </c>
      <c r="B613" s="13"/>
      <c r="C613" s="13"/>
      <c r="D613" s="1" t="inlineStr">
        <is>
          <t>Table VI</t>
        </is>
      </c>
      <c r="E613" s="10" t="str">
        <f>SUBSTITUTE(SUBSTITUTE(_xlfn.TEXTBEFORE(A613,","), "-", ""), " ", "")</f>
        <v>Stephan</v>
      </c>
      <c r="F613" s="10"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10" t="str">
        <f>_xlfn.TEXTBEFORE(_xlfn.TEXTAFTER(A613, "("), ")")</f>
        <v>1981</v>
      </c>
      <c r="H613" s="10" t="str">
        <f>E613 &amp; IF(F613&lt;&gt;"", "_" &amp; SUBSTITUTE(F613," ",""), "_") &amp; IF(G613&lt;&gt;"", "_" &amp; G613, "_") &amp; IF(B613&lt;&gt;"", "_" &amp; B613, "")</f>
        <v>Stephan_etal_1981</v>
      </c>
      <c r="I613" s="10" t="str">
        <f>_xlfn.LET(
_xlpm.doi,IF(C613&lt;&gt;"",C613,_xlfn.TEXTAFTER(A613,"https://doi.org/")),
SUBSTITUTE(
SUBSTITUTE(
SUBSTITUTE(
SUBSTITUTE(
_xlpm.doi,
"/","%2F"),
":","%3A"),
"&lt;","%3C"),
"&gt;","%3E")
)</f>
        <v>10.1159%2F000155963</v>
      </c>
      <c r="J613" s="10" t="str">
        <f>TRIM(_xlfn.TEXTJOIN("_",FALSE(),H613,(SUBSTITUTE(SUBSTITUTE(D613," ",""), "_", ""))))</f>
        <v>Stephan_etal_1981_TableVI</v>
      </c>
      <c r="K613" s="10" t="str">
        <f>I613 &amp; "_" &amp; SUBSTITUTE(SUBSTITUTE(SUBSTITUTE(D613,CHAR(160),"")," ",""),"_","")</f>
        <v>10.1159%2F000155963_TableVI</v>
      </c>
      <c r="L613" s="10" t="str">
        <f t="array" ref="L613">IFERROR(INDEX(AUTO_Public_TSV_FileList!$A$1:$A$1000,MATCH(TRUE(),EXACT(K613,IFERROR(_xlfn.TEXTBEFORE(AUTO_Public_TSV_FileList!$A$1:$A$1000,".tsv"),"")),0)),"notfound")</f>
        <v>10.1159%2F000155963_TableVI.tsv</v>
      </c>
      <c r="M613" s="1" t="inlineStr">
        <is>
          <t>Table VI. Volumes of the telencephalon and of its components (mm3) in simians: for comments on structures see table IV</t>
        </is>
      </c>
      <c r="N613" s="1" t="inlineStr">
        <is>
          <t>table</t>
        </is>
      </c>
      <c r="O613" s="13"/>
      <c r="P613" s="1" t="inlineStr">
        <is>
          <t>FINISHED</t>
        </is>
      </c>
      <c r="Q613" s="13"/>
      <c r="R613" s="13"/>
      <c r="S613" s="13"/>
      <c r="T613" s="13"/>
      <c r="U613" s="13"/>
      <c r="V613" s="13"/>
      <c r="W613" s="1" t="inlineStr">
        <is>
          <t>Insectivora, Scandentia &amp; Primates</t>
        </is>
      </c>
      <c r="X613" s="1" t="inlineStr">
        <is>
          <t>brain structure volumes</t>
        </is>
      </c>
      <c r="Y613" s="13"/>
      <c r="Z613" s="1" t="inlineStr">
        <is>
          <t>histological sections</t>
        </is>
      </c>
      <c r="AA613" s="1" t="inlineStr">
        <is>
          <t>volumetry</t>
        </is>
      </c>
      <c r="AB613" s="1" t="inlineStr">
        <is>
          <t>volume</t>
        </is>
      </c>
      <c r="AC613" s="1" t="inlineStr">
        <is>
          <t>Stephan</t>
        </is>
      </c>
      <c r="AD613" s="1" t="inlineStr">
        <is>
          <t>Stephan</t>
        </is>
      </c>
      <c r="AE613" s="1" t="inlineStr">
        <is>
          <t>primary</t>
        </is>
      </c>
      <c r="AF613" s="1"/>
      <c r="AG613" s="13"/>
      <c r="AH613" s="14"/>
    </row>
    <row r="614" ht="18" customHeight="1">
      <c r="A614" s="1" t="inlineStr">
        <is>
          <t>Stephan, H., Frahm, H., &amp; Baron, G. (1981). New and revised data on volumes of brain structures in insectivores and primates. Folia Primatol (Basel), 35(1), 1-29. https://doi.org/10.1159/000155963</t>
        </is>
      </c>
      <c r="B614" s="13"/>
      <c r="C614" s="1"/>
      <c r="D614" s="1" t="inlineStr">
        <is>
          <t>Table VII</t>
        </is>
      </c>
      <c r="E614" s="10" t="str">
        <f>SUBSTITUTE(SUBSTITUTE(_xlfn.TEXTBEFORE(A614,","), "-", ""), " ", "")</f>
        <v>Stephan</v>
      </c>
      <c r="F614" s="10"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10" t="str">
        <f>_xlfn.TEXTBEFORE(_xlfn.TEXTAFTER(A614, "("), ")")</f>
        <v>1981</v>
      </c>
      <c r="H614" s="10" t="str">
        <f>E614 &amp; IF(F614&lt;&gt;"", "_" &amp; SUBSTITUTE(F614," ",""), "_") &amp; IF(G614&lt;&gt;"", "_" &amp; G614, "_") &amp; IF(B614&lt;&gt;"", "_" &amp; B614, "")</f>
        <v>Stephan_etal_1981</v>
      </c>
      <c r="I614" s="10" t="str">
        <f>_xlfn.LET(
_xlpm.doi,IF(C614&lt;&gt;"",C614,_xlfn.TEXTAFTER(A614,"https://doi.org/")),
SUBSTITUTE(
SUBSTITUTE(
SUBSTITUTE(
SUBSTITUTE(
_xlpm.doi,
"/","%2F"),
":","%3A"),
"&lt;","%3C"),
"&gt;","%3E")
)</f>
        <v>10.1159%2F000155963</v>
      </c>
      <c r="J614" s="10" t="str">
        <f>TRIM(_xlfn.TEXTJOIN("_",FALSE(),H614,(SUBSTITUTE(SUBSTITUTE(D614," ",""), "_", ""))))</f>
        <v>Stephan_etal_1981_TableVII</v>
      </c>
      <c r="K614" s="10" t="str">
        <f>I614 &amp; "_" &amp; SUBSTITUTE(SUBSTITUTE(SUBSTITUTE(D614,CHAR(160),"")," ",""),"_","")</f>
        <v>10.1159%2F000155963_TableVII</v>
      </c>
      <c r="L614" s="10" t="str">
        <f t="array" ref="L614">IFERROR(INDEX(AUTO_Public_TSV_FileList!$A$1:$A$1000,MATCH(TRUE(),EXACT(K614,IFERROR(_xlfn.TEXTBEFORE(AUTO_Public_TSV_FileList!$A$1:$A$1000,".tsv"),"")),0)),"notfound")</f>
        <v>10.1159%2F000155963_TableVII.tsv</v>
      </c>
      <c r="M614" s="1" t="inlineStr">
        <is>
          <t>Table VIl. Volumes of components of the diencephalon (mm3) in insectivores</t>
        </is>
      </c>
      <c r="N614" s="1" t="inlineStr">
        <is>
          <t>table</t>
        </is>
      </c>
      <c r="O614" s="13"/>
      <c r="P614" s="1" t="inlineStr">
        <is>
          <t>FINISHED</t>
        </is>
      </c>
      <c r="Q614" s="13"/>
      <c r="R614" s="13"/>
      <c r="S614" s="13"/>
      <c r="T614" s="13"/>
      <c r="U614" s="13"/>
      <c r="V614" s="13"/>
      <c r="W614" s="1" t="inlineStr">
        <is>
          <t>Insectivora, Scandentia &amp; Primates</t>
        </is>
      </c>
      <c r="X614" s="1" t="inlineStr">
        <is>
          <t>brain structure volumes</t>
        </is>
      </c>
      <c r="Y614" s="13"/>
      <c r="Z614" s="1" t="inlineStr">
        <is>
          <t>histological sections</t>
        </is>
      </c>
      <c r="AA614" s="1" t="inlineStr">
        <is>
          <t>volumetry</t>
        </is>
      </c>
      <c r="AB614" s="1" t="inlineStr">
        <is>
          <t>volume</t>
        </is>
      </c>
      <c r="AC614" s="1" t="inlineStr">
        <is>
          <t>Stephan</t>
        </is>
      </c>
      <c r="AD614" s="1" t="inlineStr">
        <is>
          <t>Stephan</t>
        </is>
      </c>
      <c r="AE614" s="1" t="inlineStr">
        <is>
          <t>primary</t>
        </is>
      </c>
      <c r="AF614" s="1"/>
      <c r="AG614" s="13"/>
      <c r="AH614" s="14"/>
    </row>
    <row r="615" ht="18" customHeight="1">
      <c r="A615" s="1" t="inlineStr">
        <is>
          <t>Stephan, H., Frahm, H., &amp; Baron, G. (1981). New and revised data on volumes of brain structures in insectivores and primates. Folia Primatol (Basel), 35(1), 1-29. https://doi.org/10.1159/000155963</t>
        </is>
      </c>
      <c r="B615" s="13"/>
      <c r="C615" s="1"/>
      <c r="D615" s="1" t="inlineStr">
        <is>
          <t>Table VIII</t>
        </is>
      </c>
      <c r="E615" s="10" t="str">
        <f>SUBSTITUTE(SUBSTITUTE(_xlfn.TEXTBEFORE(A615,","), "-", ""), " ", "")</f>
        <v>Stephan</v>
      </c>
      <c r="F615" s="10"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10" t="str">
        <f>_xlfn.TEXTBEFORE(_xlfn.TEXTAFTER(A615, "("), ")")</f>
        <v>1981</v>
      </c>
      <c r="H615" s="10" t="str">
        <f>E615 &amp; IF(F615&lt;&gt;"", "_" &amp; SUBSTITUTE(F615," ",""), "_") &amp; IF(G615&lt;&gt;"", "_" &amp; G615, "_") &amp; IF(B615&lt;&gt;"", "_" &amp; B615, "")</f>
        <v>Stephan_etal_1981</v>
      </c>
      <c r="I615" s="10" t="str">
        <f>_xlfn.LET(
_xlpm.doi,IF(C615&lt;&gt;"",C615,_xlfn.TEXTAFTER(A615,"https://doi.org/")),
SUBSTITUTE(
SUBSTITUTE(
SUBSTITUTE(
SUBSTITUTE(
_xlpm.doi,
"/","%2F"),
":","%3A"),
"&lt;","%3C"),
"&gt;","%3E")
)</f>
        <v>10.1159%2F000155963</v>
      </c>
      <c r="J615" s="10" t="str">
        <f>TRIM(_xlfn.TEXTJOIN("_",FALSE(),H615,(SUBSTITUTE(SUBSTITUTE(D615," ",""), "_", ""))))</f>
        <v>Stephan_etal_1981_TableVIII</v>
      </c>
      <c r="K615" s="10" t="str">
        <f>I615 &amp; "_" &amp; SUBSTITUTE(SUBSTITUTE(SUBSTITUTE(D615,CHAR(160),"")," ",""),"_","")</f>
        <v>10.1159%2F000155963_TableVIII</v>
      </c>
      <c r="L615" s="10" t="str">
        <f t="array" ref="L615">IFERROR(INDEX(AUTO_Public_TSV_FileList!$A$1:$A$1000,MATCH(TRUE(),EXACT(K615,IFERROR(_xlfn.TEXTBEFORE(AUTO_Public_TSV_FileList!$A$1:$A$1000,".tsv"),"")),0)),"notfound")</f>
        <v>10.1159%2F000155963_TableVIII.tsv</v>
      </c>
      <c r="M615" s="1" t="inlineStr">
        <is>
          <t>Table VIII. Volumes of components of the diencephalon (mm3) in primates</t>
        </is>
      </c>
      <c r="N615" s="13"/>
      <c r="O615" s="13"/>
      <c r="P615" s="1" t="inlineStr">
        <is>
          <t>FINISHED</t>
        </is>
      </c>
      <c r="Q615" s="13"/>
      <c r="R615" s="13"/>
      <c r="S615" s="13"/>
      <c r="T615" s="13"/>
      <c r="U615" s="13"/>
      <c r="V615" s="13"/>
      <c r="W615" s="13"/>
      <c r="X615" s="13"/>
      <c r="Y615" s="13"/>
      <c r="Z615" s="13"/>
      <c r="AA615" s="13"/>
      <c r="AB615" s="13"/>
      <c r="AC615" s="13"/>
      <c r="AD615" s="13"/>
      <c r="AE615" s="13"/>
      <c r="AF615" s="13"/>
      <c r="AG615" s="13"/>
      <c r="AH615" s="14"/>
    </row>
    <row r="616" ht="18" customHeight="1">
      <c r="A616" s="1" t="inlineStr">
        <is>
          <t>Stephan, H., Frahm, H., &amp; Baron, G. (1981). New and revised data on volumes of brain structures in insectivores and primates. Folia Primatol (Basel), 35(1), 1-29. https://doi.org/10.1159/000155963</t>
        </is>
      </c>
      <c r="B616" s="13"/>
      <c r="C616" s="1"/>
      <c r="D616" s="1" t="inlineStr">
        <is>
          <t>Table X</t>
        </is>
      </c>
      <c r="E616" s="10" t="str">
        <f>SUBSTITUTE(SUBSTITUTE(_xlfn.TEXTBEFORE(A616,","), "-", ""), " ", "")</f>
        <v>Stephan</v>
      </c>
      <c r="F616" s="10"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10" t="str">
        <f>_xlfn.TEXTBEFORE(_xlfn.TEXTAFTER(A616, "("), ")")</f>
        <v>1981</v>
      </c>
      <c r="H616" s="10" t="str">
        <f>E616 &amp; IF(F616&lt;&gt;"", "_" &amp; SUBSTITUTE(F616," ",""), "_") &amp; IF(G616&lt;&gt;"", "_" &amp; G616, "_") &amp; IF(B616&lt;&gt;"", "_" &amp; B616, "")</f>
        <v>Stephan_etal_1981</v>
      </c>
      <c r="I616" s="10" t="str">
        <f>_xlfn.LET(
_xlpm.doi,IF(C616&lt;&gt;"",C616,_xlfn.TEXTAFTER(A616,"https://doi.org/")),
SUBSTITUTE(
SUBSTITUTE(
SUBSTITUTE(
SUBSTITUTE(
_xlpm.doi,
"/","%2F"),
":","%3A"),
"&lt;","%3C"),
"&gt;","%3E")
)</f>
        <v>10.1159%2F000155963</v>
      </c>
      <c r="J616" s="10" t="str">
        <f>TRIM(_xlfn.TEXTJOIN("_",FALSE(),H616,(SUBSTITUTE(SUBSTITUTE(D616," ",""), "_", ""))))</f>
        <v>Stephan_etal_1981_TableX</v>
      </c>
      <c r="K616" s="10" t="str">
        <f>I616 &amp; "_" &amp; SUBSTITUTE(SUBSTITUTE(SUBSTITUTE(D616,CHAR(160),"")," ",""),"_","")</f>
        <v>10.1159%2F000155963_TableX</v>
      </c>
      <c r="L616" s="10" t="str">
        <f t="array" ref="L616">IFERROR(INDEX(AUTO_Public_TSV_FileList!$A$1:$A$1000,MATCH(TRUE(),EXACT(K616,IFERROR(_xlfn.TEXTBEFORE(AUTO_Public_TSV_FileList!$A$1:$A$1000,".tsv"),"")),0)),"notfound")</f>
        <v>10.1159%2F000155963_TableX.tsv</v>
      </c>
      <c r="M616" s="1" t="inlineStr">
        <is>
          <t>Table X. Volume of paleocortex, of amygdala and ils various components (mm3) in insectivores</t>
        </is>
      </c>
      <c r="N616" s="13"/>
      <c r="O616" s="13"/>
      <c r="P616" s="1" t="inlineStr">
        <is>
          <t>FINISHED</t>
        </is>
      </c>
      <c r="Q616" s="13"/>
      <c r="R616" s="13"/>
      <c r="S616" s="13"/>
      <c r="T616" s="13"/>
      <c r="U616" s="13"/>
      <c r="V616" s="13"/>
      <c r="W616" s="13"/>
      <c r="X616" s="13"/>
      <c r="Y616" s="13"/>
      <c r="Z616" s="13"/>
      <c r="AA616" s="13"/>
      <c r="AB616" s="13"/>
      <c r="AC616" s="13"/>
      <c r="AD616" s="13"/>
      <c r="AE616" s="13"/>
      <c r="AF616" s="13"/>
      <c r="AG616" s="13"/>
      <c r="AH616" s="14"/>
    </row>
    <row r="617" ht="18" customHeight="1">
      <c r="A617" s="1" t="inlineStr">
        <is>
          <t>Stephan, H., Frahm, H., &amp; Baron, G. (1981). New and revised data on volumes of brain structures in insectivores and primates. Folia Primatol (Basel), 35(1), 1-29. https://doi.org/10.1159/000155963</t>
        </is>
      </c>
      <c r="B617" s="13"/>
      <c r="C617" s="13"/>
      <c r="D617" s="1" t="inlineStr">
        <is>
          <t>Table XI</t>
        </is>
      </c>
      <c r="E617" s="10" t="str">
        <f>SUBSTITUTE(SUBSTITUTE(_xlfn.TEXTBEFORE(A617,","), "-", ""), " ", "")</f>
        <v>Stephan</v>
      </c>
      <c r="F617" s="10"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10" t="str">
        <f>_xlfn.TEXTBEFORE(_xlfn.TEXTAFTER(A617, "("), ")")</f>
        <v>1981</v>
      </c>
      <c r="H617" s="10" t="str">
        <f>E617 &amp; IF(F617&lt;&gt;"", "_" &amp; SUBSTITUTE(F617," ",""), "_") &amp; IF(G617&lt;&gt;"", "_" &amp; G617, "_") &amp; IF(B617&lt;&gt;"", "_" &amp; B617, "")</f>
        <v>Stephan_etal_1981</v>
      </c>
      <c r="I617" s="10" t="str">
        <f>_xlfn.LET(
_xlpm.doi,IF(C617&lt;&gt;"",C617,_xlfn.TEXTAFTER(A617,"https://doi.org/")),
SUBSTITUTE(
SUBSTITUTE(
SUBSTITUTE(
SUBSTITUTE(
_xlpm.doi,
"/","%2F"),
":","%3A"),
"&lt;","%3C"),
"&gt;","%3E")
)</f>
        <v>10.1159%2F000155963</v>
      </c>
      <c r="J617" s="10" t="str">
        <f>TRIM(_xlfn.TEXTJOIN("_",FALSE(),H617,(SUBSTITUTE(SUBSTITUTE(D617," ",""), "_", ""))))</f>
        <v>Stephan_etal_1981_TableXI</v>
      </c>
      <c r="K617" s="10" t="str">
        <f>I617 &amp; "_" &amp; SUBSTITUTE(SUBSTITUTE(SUBSTITUTE(D617,CHAR(160),"")," ",""),"_","")</f>
        <v>10.1159%2F000155963_TableXI</v>
      </c>
      <c r="L617" s="10" t="str">
        <f t="array" ref="L617">IFERROR(INDEX(AUTO_Public_TSV_FileList!$A$1:$A$1000,MATCH(TRUE(),EXACT(K617,IFERROR(_xlfn.TEXTBEFORE(AUTO_Public_TSV_FileList!$A$1:$A$1000,".tsv"),"")),0)),"notfound")</f>
        <v>10.1159%2F000155963_TableXI.tsv</v>
      </c>
      <c r="M617" s="1" t="inlineStr">
        <is>
          <t>Table XI. Volumes of paleocortex, of amygdala and its various components (mm3) in primates: for comments on structures see table X</t>
        </is>
      </c>
      <c r="N617" s="1" t="inlineStr">
        <is>
          <t>table</t>
        </is>
      </c>
      <c r="O617" s="13"/>
      <c r="P617" s="1" t="inlineStr">
        <is>
          <t>FINISHED</t>
        </is>
      </c>
      <c r="Q617" s="13"/>
      <c r="R617" s="13"/>
      <c r="S617" s="13"/>
      <c r="T617" s="13"/>
      <c r="U617" s="13"/>
      <c r="V617" s="13"/>
      <c r="W617" s="1" t="inlineStr">
        <is>
          <t>Insectivora, Scandentia &amp; Primates</t>
        </is>
      </c>
      <c r="X617" s="1" t="inlineStr">
        <is>
          <t>brain structure volumes</t>
        </is>
      </c>
      <c r="Y617" s="13"/>
      <c r="Z617" s="1" t="inlineStr">
        <is>
          <t>histological sections</t>
        </is>
      </c>
      <c r="AA617" s="1" t="inlineStr">
        <is>
          <t>volumetry</t>
        </is>
      </c>
      <c r="AB617" s="1" t="inlineStr">
        <is>
          <t>volume</t>
        </is>
      </c>
      <c r="AC617" s="1" t="inlineStr">
        <is>
          <t>Stephan</t>
        </is>
      </c>
      <c r="AD617" s="1" t="inlineStr">
        <is>
          <t>Stephan</t>
        </is>
      </c>
      <c r="AE617" s="1" t="inlineStr">
        <is>
          <t>primary</t>
        </is>
      </c>
      <c r="AF617" s="1"/>
      <c r="AG617" s="13"/>
      <c r="AH617" s="14"/>
    </row>
    <row r="618" ht="18" customHeight="1">
      <c r="A618" s="1" t="inlineStr">
        <is>
          <t>Stephan, H., Frahm, H., &amp; Baron, G. (1981). New and revised data on volumes of brain structures in insectivores and primates. Folia Primatol (Basel), 35(1), 1-29. https://doi.org/10.1159/000155963</t>
        </is>
      </c>
      <c r="B618" s="13"/>
      <c r="C618" s="13"/>
      <c r="D618" s="1" t="inlineStr">
        <is>
          <t>Table XII</t>
        </is>
      </c>
      <c r="E618" s="10" t="str">
        <f>SUBSTITUTE(SUBSTITUTE(_xlfn.TEXTBEFORE(A618,","), "-", ""), " ", "")</f>
        <v>Stephan</v>
      </c>
      <c r="F618" s="10"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10" t="str">
        <f>_xlfn.TEXTBEFORE(_xlfn.TEXTAFTER(A618, "("), ")")</f>
        <v>1981</v>
      </c>
      <c r="H618" s="10" t="str">
        <f>E618 &amp; IF(F618&lt;&gt;"", "_" &amp; SUBSTITUTE(F618," ",""), "_") &amp; IF(G618&lt;&gt;"", "_" &amp; G618, "_") &amp; IF(B618&lt;&gt;"", "_" &amp; B618, "")</f>
        <v>Stephan_etal_1981</v>
      </c>
      <c r="I618" s="10" t="str">
        <f>_xlfn.LET(
_xlpm.doi,IF(C618&lt;&gt;"",C618,_xlfn.TEXTAFTER(A618,"https://doi.org/")),
SUBSTITUTE(
SUBSTITUTE(
SUBSTITUTE(
SUBSTITUTE(
_xlpm.doi,
"/","%2F"),
":","%3A"),
"&lt;","%3C"),
"&gt;","%3E")
)</f>
        <v>10.1159%2F000155963</v>
      </c>
      <c r="J618" s="10" t="str">
        <f>TRIM(_xlfn.TEXTJOIN("_",FALSE(),H618,(SUBSTITUTE(SUBSTITUTE(D618," ",""), "_", ""))))</f>
        <v>Stephan_etal_1981_TableXII</v>
      </c>
      <c r="K618" s="10" t="str">
        <f>I618 &amp; "_" &amp; SUBSTITUTE(SUBSTITUTE(SUBSTITUTE(D618,CHAR(160),"")," ",""),"_","")</f>
        <v>10.1159%2F000155963_TableXII</v>
      </c>
      <c r="L618" s="10" t="str">
        <f t="array" ref="L618">IFERROR(INDEX(AUTO_Public_TSV_FileList!$A$1:$A$1000,MATCH(TRUE(),EXACT(K618,IFERROR(_xlfn.TEXTBEFORE(AUTO_Public_TSV_FileList!$A$1:$A$1000,".tsv"),"")),0)),"notfound")</f>
        <v>10.1159%2F000155963_TableXII.tsv</v>
      </c>
      <c r="M618" s="1" t="inlineStr">
        <is>
          <t>Table XII. Volumes of vestibular complex and its various components (mm3) in insectivores</t>
        </is>
      </c>
      <c r="N618" s="1" t="inlineStr">
        <is>
          <t>table</t>
        </is>
      </c>
      <c r="O618" s="13"/>
      <c r="P618" s="1" t="inlineStr">
        <is>
          <t>FINISHED</t>
        </is>
      </c>
      <c r="Q618" s="13"/>
      <c r="R618" s="13"/>
      <c r="S618" s="13"/>
      <c r="T618" s="13"/>
      <c r="U618" s="13"/>
      <c r="V618" s="13"/>
      <c r="W618" s="1" t="inlineStr">
        <is>
          <t>Insectivora, Scandentia &amp; Primates</t>
        </is>
      </c>
      <c r="X618" s="1" t="inlineStr">
        <is>
          <t>brain structure volumes</t>
        </is>
      </c>
      <c r="Y618" s="13"/>
      <c r="Z618" s="1" t="inlineStr">
        <is>
          <t>histological sections</t>
        </is>
      </c>
      <c r="AA618" s="1" t="inlineStr">
        <is>
          <t>volumetry</t>
        </is>
      </c>
      <c r="AB618" s="1" t="inlineStr">
        <is>
          <t>volume</t>
        </is>
      </c>
      <c r="AC618" s="1" t="inlineStr">
        <is>
          <t>Stephan</t>
        </is>
      </c>
      <c r="AD618" s="1" t="inlineStr">
        <is>
          <t>Stephan</t>
        </is>
      </c>
      <c r="AE618" s="1" t="inlineStr">
        <is>
          <t>primary</t>
        </is>
      </c>
      <c r="AF618" s="1"/>
      <c r="AG618" s="13"/>
      <c r="AH618" s="9"/>
    </row>
    <row r="619" ht="18" customHeight="1">
      <c r="A619" s="1" t="inlineStr">
        <is>
          <t>Stephan, H., Frahm, H., &amp; Baron, G. (1981). New and revised data on volumes of brain structures in insectivores and primates. Folia Primatol (Basel), 35(1), 1-29. https://doi.org/10.1159/000155963</t>
        </is>
      </c>
      <c r="B619" s="13"/>
      <c r="C619" s="13"/>
      <c r="D619" s="1" t="inlineStr">
        <is>
          <t>Table XIII</t>
        </is>
      </c>
      <c r="E619" s="10" t="str">
        <f>SUBSTITUTE(SUBSTITUTE(_xlfn.TEXTBEFORE(A619,","), "-", ""), " ", "")</f>
        <v>Stephan</v>
      </c>
      <c r="F619" s="10"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10" t="str">
        <f>_xlfn.TEXTBEFORE(_xlfn.TEXTAFTER(A619, "("), ")")</f>
        <v>1981</v>
      </c>
      <c r="H619" s="10" t="str">
        <f>E619 &amp; IF(F619&lt;&gt;"", "_" &amp; SUBSTITUTE(F619," ",""), "_") &amp; IF(G619&lt;&gt;"", "_" &amp; G619, "_") &amp; IF(B619&lt;&gt;"", "_" &amp; B619, "")</f>
        <v>Stephan_etal_1981</v>
      </c>
      <c r="I619" s="10" t="str">
        <f>_xlfn.LET(
_xlpm.doi,IF(C619&lt;&gt;"",C619,_xlfn.TEXTAFTER(A619,"https://doi.org/")),
SUBSTITUTE(
SUBSTITUTE(
SUBSTITUTE(
SUBSTITUTE(
_xlpm.doi,
"/","%2F"),
":","%3A"),
"&lt;","%3C"),
"&gt;","%3E")
)</f>
        <v>10.1159%2F000155963</v>
      </c>
      <c r="J619" s="10" t="str">
        <f>TRIM(_xlfn.TEXTJOIN("_",FALSE(),H619,(SUBSTITUTE(SUBSTITUTE(D619," ",""), "_", ""))))</f>
        <v>Stephan_etal_1981_TableXIII</v>
      </c>
      <c r="K619" s="10" t="str">
        <f>I619 &amp; "_" &amp; SUBSTITUTE(SUBSTITUTE(SUBSTITUTE(D619,CHAR(160),"")," ",""),"_","")</f>
        <v>10.1159%2F000155963_TableXIII</v>
      </c>
      <c r="L619" s="10" t="str">
        <f t="array" ref="L619">IFERROR(INDEX(AUTO_Public_TSV_FileList!$A$1:$A$1000,MATCH(TRUE(),EXACT(K619,IFERROR(_xlfn.TEXTBEFORE(AUTO_Public_TSV_FileList!$A$1:$A$1000,".tsv"),"")),0)),"notfound")</f>
        <v>10.1159%2F000155963_TableXIII.tsv</v>
      </c>
      <c r="M619" s="1" t="inlineStr">
        <is>
          <t>Table XIII. Volumes of vestibular complex and its various components (mm3) in primates</t>
        </is>
      </c>
      <c r="N619" s="1" t="inlineStr">
        <is>
          <t>table</t>
        </is>
      </c>
      <c r="O619" s="13"/>
      <c r="P619" s="1" t="inlineStr">
        <is>
          <t>FINISHED</t>
        </is>
      </c>
      <c r="Q619" s="13"/>
      <c r="R619" s="13"/>
      <c r="S619" s="13"/>
      <c r="T619" s="13"/>
      <c r="U619" s="13"/>
      <c r="V619" s="13"/>
      <c r="W619" s="1" t="inlineStr">
        <is>
          <t>Insectivora, Scandentia &amp; Primates</t>
        </is>
      </c>
      <c r="X619" s="1" t="inlineStr">
        <is>
          <t>brain structure volumes</t>
        </is>
      </c>
      <c r="Y619" s="13"/>
      <c r="Z619" s="1" t="inlineStr">
        <is>
          <t>histological sections</t>
        </is>
      </c>
      <c r="AA619" s="1" t="inlineStr">
        <is>
          <t>volumetry</t>
        </is>
      </c>
      <c r="AB619" s="1" t="inlineStr">
        <is>
          <t>volume</t>
        </is>
      </c>
      <c r="AC619" s="1" t="inlineStr">
        <is>
          <t>Stephan</t>
        </is>
      </c>
      <c r="AD619" s="1" t="inlineStr">
        <is>
          <t>Stephan</t>
        </is>
      </c>
      <c r="AE619" s="1" t="inlineStr">
        <is>
          <t>primary</t>
        </is>
      </c>
      <c r="AF619" s="1"/>
      <c r="AG619" s="13"/>
      <c r="AH619" s="9"/>
    </row>
    <row r="620" ht="16" customHeight="1">
      <c r="A620" s="15" t="inlineStr">
        <is>
          <t>Stephan, H., Frahm, H., &amp; Baron, G. (1981). New and revised data on volumes of brain structures in insectivores and primates. Folia Primatol (Basel), 35(1), 1-29. https://doi.org/10.1159/000155963</t>
        </is>
      </c>
      <c r="B620" s="19"/>
      <c r="C620" s="19"/>
      <c r="D620" s="15" t="inlineStr">
        <is>
          <t>Table XIV</t>
        </is>
      </c>
      <c r="E620" s="10" t="str">
        <f>SUBSTITUTE(SUBSTITUTE(_xlfn.TEXTBEFORE(A620,","), "-", ""), " ", "")</f>
        <v>Stephan</v>
      </c>
      <c r="F620" s="10"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10" t="str">
        <f>_xlfn.TEXTBEFORE(_xlfn.TEXTAFTER(A620, "("), ")")</f>
        <v>1981</v>
      </c>
      <c r="H620" s="10" t="str">
        <f>E620 &amp; IF(F620&lt;&gt;"", "_" &amp; SUBSTITUTE(F620," ",""), "_") &amp; IF(G620&lt;&gt;"", "_" &amp; G620, "_") &amp; IF(B620&lt;&gt;"", "_" &amp; B620, "")</f>
        <v>Stephan_etal_1981</v>
      </c>
      <c r="I620" s="10" t="str">
        <f>_xlfn.LET(
_xlpm.doi,IF(C620&lt;&gt;"",C620,_xlfn.TEXTAFTER(A620,"https://doi.org/")),
SUBSTITUTE(
SUBSTITUTE(
SUBSTITUTE(
SUBSTITUTE(
_xlpm.doi,
"/","%2F"),
":","%3A"),
"&lt;","%3C"),
"&gt;","%3E")
)</f>
        <v>10.1159%2F000155963</v>
      </c>
      <c r="J620" s="10" t="str">
        <f>TRIM(_xlfn.TEXTJOIN("_",FALSE(),H620,(SUBSTITUTE(SUBSTITUTE(D620," ",""), "_", ""))))</f>
        <v>Stephan_etal_1981_TableXIV</v>
      </c>
      <c r="K620" s="10" t="str">
        <f>I620 &amp; "_" &amp; SUBSTITUTE(SUBSTITUTE(SUBSTITUTE(D620,CHAR(160),"")," ",""),"_","")</f>
        <v>10.1159%2F000155963_TableXIV</v>
      </c>
      <c r="L620" s="10" t="str">
        <f t="array" ref="L620">IFERROR(INDEX(AUTO_Public_TSV_FileList!$A$1:$A$1000,MATCH(TRUE(),EXACT(K620,IFERROR(_xlfn.TEXTBEFORE(AUTO_Public_TSV_FileList!$A$1:$A$1000,".tsv"),"")),0)),"notfound")</f>
        <v>10.1159%2F000155963_TableXIV.tsv</v>
      </c>
      <c r="M620" s="15" t="inlineStr">
        <is>
          <t>Table XIV. Volumes of various periventricular structures (mm 3) in insectivores</t>
        </is>
      </c>
      <c r="N620" s="15" t="inlineStr">
        <is>
          <t>table</t>
        </is>
      </c>
      <c r="O620" s="19"/>
      <c r="P620" s="15" t="inlineStr">
        <is>
          <t>FINISHED</t>
        </is>
      </c>
      <c r="Q620" s="19"/>
      <c r="R620" s="19"/>
      <c r="S620" s="19"/>
      <c r="T620" s="19"/>
      <c r="U620" s="19"/>
      <c r="V620" s="19"/>
      <c r="W620" s="15" t="inlineStr">
        <is>
          <t>Insectivora, Scandentia &amp; Primates</t>
        </is>
      </c>
      <c r="X620" s="15" t="inlineStr">
        <is>
          <t>brain structure volumes</t>
        </is>
      </c>
      <c r="Y620" s="19"/>
      <c r="Z620" s="15" t="inlineStr">
        <is>
          <t>histological sections</t>
        </is>
      </c>
      <c r="AA620" s="15" t="inlineStr">
        <is>
          <t>volumetry</t>
        </is>
      </c>
      <c r="AB620" s="15" t="inlineStr">
        <is>
          <t>volume</t>
        </is>
      </c>
      <c r="AC620" s="15" t="inlineStr">
        <is>
          <t>Stephan</t>
        </is>
      </c>
      <c r="AD620" s="15" t="inlineStr">
        <is>
          <t>Stephan</t>
        </is>
      </c>
      <c r="AE620" s="15" t="inlineStr">
        <is>
          <t>primary</t>
        </is>
      </c>
      <c r="AF620" s="15"/>
      <c r="AG620" s="19"/>
      <c r="AH620" s="18"/>
    </row>
    <row r="621" ht="16" customHeight="1">
      <c r="A621" s="15" t="inlineStr">
        <is>
          <t>Stephan, H., Frahm, H., &amp; Baron, G. (1981). New and revised data on volumes of brain structures in insectivores and primates. Folia Primatol (Basel), 35(1), 1-29. https://doi.org/10.1159/000155963</t>
        </is>
      </c>
      <c r="B621" s="19"/>
      <c r="C621" s="19"/>
      <c r="D621" s="15" t="inlineStr">
        <is>
          <t>Table XV</t>
        </is>
      </c>
      <c r="E621" s="10" t="str">
        <f>SUBSTITUTE(SUBSTITUTE(_xlfn.TEXTBEFORE(A621,","), "-", ""), " ", "")</f>
        <v>Stephan</v>
      </c>
      <c r="F621" s="10"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10" t="str">
        <f>_xlfn.TEXTBEFORE(_xlfn.TEXTAFTER(A621, "("), ")")</f>
        <v>1981</v>
      </c>
      <c r="H621" s="10" t="str">
        <f>E621 &amp; IF(F621&lt;&gt;"", "_" &amp; SUBSTITUTE(F621," ",""), "_") &amp; IF(G621&lt;&gt;"", "_" &amp; G621, "_") &amp; IF(B621&lt;&gt;"", "_" &amp; B621, "")</f>
        <v>Stephan_etal_1981</v>
      </c>
      <c r="I621" s="10" t="str">
        <f>_xlfn.LET(
_xlpm.doi,IF(C621&lt;&gt;"",C621,_xlfn.TEXTAFTER(A621,"https://doi.org/")),
SUBSTITUTE(
SUBSTITUTE(
SUBSTITUTE(
SUBSTITUTE(
_xlpm.doi,
"/","%2F"),
":","%3A"),
"&lt;","%3C"),
"&gt;","%3E")
)</f>
        <v>10.1159%2F000155963</v>
      </c>
      <c r="J621" s="10" t="str">
        <f>TRIM(_xlfn.TEXTJOIN("_",FALSE(),H621,(SUBSTITUTE(SUBSTITUTE(D621," ",""), "_", ""))))</f>
        <v>Stephan_etal_1981_TableXV</v>
      </c>
      <c r="K621" s="10" t="str">
        <f>I621 &amp; "_" &amp; SUBSTITUTE(SUBSTITUTE(SUBSTITUTE(D621,CHAR(160),"")," ",""),"_","")</f>
        <v>10.1159%2F000155963_TableXV</v>
      </c>
      <c r="L621" s="10" t="str">
        <f t="array" ref="L621">IFERROR(INDEX(AUTO_Public_TSV_FileList!$A$1:$A$1000,MATCH(TRUE(),EXACT(K621,IFERROR(_xlfn.TEXTBEFORE(AUTO_Public_TSV_FileList!$A$1:$A$1000,".tsv"),"")),0)),"notfound")</f>
        <v>10.1159%2F000155963_TableXV.tsv</v>
      </c>
      <c r="M621" s="15" t="inlineStr">
        <is>
          <t>Table XV. Volumes of various periventricular structures (mm3) in prosimians</t>
        </is>
      </c>
      <c r="N621" s="15" t="inlineStr">
        <is>
          <t>table</t>
        </is>
      </c>
      <c r="O621" s="19"/>
      <c r="P621" s="15" t="inlineStr">
        <is>
          <t>FINISHED</t>
        </is>
      </c>
      <c r="Q621" s="19"/>
      <c r="R621" s="19"/>
      <c r="S621" s="19"/>
      <c r="T621" s="19"/>
      <c r="U621" s="19"/>
      <c r="V621" s="19"/>
      <c r="W621" s="15" t="inlineStr">
        <is>
          <t>Insectivora, Scandentia &amp; Primates</t>
        </is>
      </c>
      <c r="X621" s="15" t="inlineStr">
        <is>
          <t>brain structure volumes</t>
        </is>
      </c>
      <c r="Y621" s="19"/>
      <c r="Z621" s="15" t="inlineStr">
        <is>
          <t>histological sections</t>
        </is>
      </c>
      <c r="AA621" s="15" t="inlineStr">
        <is>
          <t>volumetry</t>
        </is>
      </c>
      <c r="AB621" s="15" t="inlineStr">
        <is>
          <t>volume</t>
        </is>
      </c>
      <c r="AC621" s="15" t="inlineStr">
        <is>
          <t>Stephan</t>
        </is>
      </c>
      <c r="AD621" s="15" t="inlineStr">
        <is>
          <t>Stephan</t>
        </is>
      </c>
      <c r="AE621" s="15" t="inlineStr">
        <is>
          <t>primary</t>
        </is>
      </c>
      <c r="AF621" s="15"/>
      <c r="AG621" s="19"/>
      <c r="AH621" s="18"/>
    </row>
    <row r="622" ht="16" customHeight="1">
      <c r="A622" s="15" t="inlineStr">
        <is>
          <t>Stephan, H., Frahm, H., &amp; Baron, G. (1981). New and revised data on volumes of brain structures in insectivores and primates. Folia Primatol (Basel), 35(1), 1-29. https://doi.org/10.1159/000155963</t>
        </is>
      </c>
      <c r="B622" s="19"/>
      <c r="C622" s="19"/>
      <c r="D622" s="15" t="inlineStr">
        <is>
          <t>Table XVI</t>
        </is>
      </c>
      <c r="E622" s="10" t="str">
        <f>SUBSTITUTE(SUBSTITUTE(_xlfn.TEXTBEFORE(A622,","), "-", ""), " ", "")</f>
        <v>Stephan</v>
      </c>
      <c r="F622" s="10"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10" t="str">
        <f>_xlfn.TEXTBEFORE(_xlfn.TEXTAFTER(A622, "("), ")")</f>
        <v>1981</v>
      </c>
      <c r="H622" s="10" t="str">
        <f>E622 &amp; IF(F622&lt;&gt;"", "_" &amp; SUBSTITUTE(F622," ",""), "_") &amp; IF(G622&lt;&gt;"", "_" &amp; G622, "_") &amp; IF(B622&lt;&gt;"", "_" &amp; B622, "")</f>
        <v>Stephan_etal_1981</v>
      </c>
      <c r="I622" s="10" t="str">
        <f>_xlfn.LET(
_xlpm.doi,IF(C622&lt;&gt;"",C622,_xlfn.TEXTAFTER(A622,"https://doi.org/")),
SUBSTITUTE(
SUBSTITUTE(
SUBSTITUTE(
SUBSTITUTE(
_xlpm.doi,
"/","%2F"),
":","%3A"),
"&lt;","%3C"),
"&gt;","%3E")
)</f>
        <v>10.1159%2F000155963</v>
      </c>
      <c r="J622" s="10" t="str">
        <f>TRIM(_xlfn.TEXTJOIN("_",FALSE(),H622,(SUBSTITUTE(SUBSTITUTE(D622," ",""), "_", ""))))</f>
        <v>Stephan_etal_1981_TableXVI</v>
      </c>
      <c r="K622" s="10" t="str">
        <f>I622 &amp; "_" &amp; SUBSTITUTE(SUBSTITUTE(SUBSTITUTE(D622,CHAR(160),"")," ",""),"_","")</f>
        <v>10.1159%2F000155963_TableXVI</v>
      </c>
      <c r="L622" s="10" t="str">
        <f t="array" ref="L622">IFERROR(INDEX(AUTO_Public_TSV_FileList!$A$1:$A$1000,MATCH(TRUE(),EXACT(K622,IFERROR(_xlfn.TEXTBEFORE(AUTO_Public_TSV_FileList!$A$1:$A$1000,".tsv"),"")),0)),"notfound")</f>
        <v>10.1159%2F000155963_TableXVI.tsv</v>
      </c>
      <c r="M622" s="15" t="inlineStr">
        <is>
          <t>Table XVI. Volumes of various periventricular structures (mm3) in simians</t>
        </is>
      </c>
      <c r="N622" s="15" t="inlineStr">
        <is>
          <t>table</t>
        </is>
      </c>
      <c r="O622" s="19"/>
      <c r="P622" s="15" t="inlineStr">
        <is>
          <t>FINISHED</t>
        </is>
      </c>
      <c r="Q622" s="19"/>
      <c r="R622" s="19"/>
      <c r="S622" s="19"/>
      <c r="T622" s="19"/>
      <c r="U622" s="19"/>
      <c r="V622" s="19"/>
      <c r="W622" s="15" t="inlineStr">
        <is>
          <t>Insectivora, Scandentia &amp; Primates</t>
        </is>
      </c>
      <c r="X622" s="15" t="inlineStr">
        <is>
          <t>brain structure volumes</t>
        </is>
      </c>
      <c r="Y622" s="19"/>
      <c r="Z622" s="15" t="inlineStr">
        <is>
          <t>histological sections</t>
        </is>
      </c>
      <c r="AA622" s="15" t="inlineStr">
        <is>
          <t>volumetry</t>
        </is>
      </c>
      <c r="AB622" s="15" t="inlineStr">
        <is>
          <t>volume</t>
        </is>
      </c>
      <c r="AC622" s="15" t="inlineStr">
        <is>
          <t>Stephan</t>
        </is>
      </c>
      <c r="AD622" s="15" t="inlineStr">
        <is>
          <t>Stephan</t>
        </is>
      </c>
      <c r="AE622" s="15" t="inlineStr">
        <is>
          <t>primary</t>
        </is>
      </c>
      <c r="AF622" s="15"/>
      <c r="AG622" s="19"/>
      <c r="AH622" s="18"/>
    </row>
    <row r="623" ht="16" customHeight="1">
      <c r="A623" s="15" t="inlineStr">
        <is>
          <t>Stimpson, C. D., Barger, N., Taglialatella, J. P., Gendron-Fitzpatrick, A., Hof, P. R., Hopkins, W. D., &amp; Sherwood, C. C. (2015). Differential serotonergic innervation of the amygdala in bonobos and chimpanzees. Soc Cogn Affect Neurosci. https://doi.org/10.1093/scan/nsv128</t>
        </is>
      </c>
      <c r="B623" s="19"/>
      <c r="C623" s="19"/>
      <c r="D623" s="15" t="inlineStr">
        <is>
          <t>Table_S1</t>
        </is>
      </c>
      <c r="E623" s="10" t="str">
        <f>SUBSTITUTE(SUBSTITUTE(_xlfn.TEXTBEFORE(A623,","), "-", ""), " ", "")</f>
        <v>Stimpson</v>
      </c>
      <c r="F623" s="10"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10" t="str">
        <f>_xlfn.TEXTBEFORE(_xlfn.TEXTAFTER(A623, "("), ")")</f>
        <v>2015</v>
      </c>
      <c r="H623" s="10" t="str">
        <f>E623 &amp; IF(F623&lt;&gt;"", "_" &amp; SUBSTITUTE(F623," ",""), "_") &amp; IF(G623&lt;&gt;"", "_" &amp; G623, "_") &amp; IF(B623&lt;&gt;"", "_" &amp; B623, "")</f>
        <v>Stimpson_etal_2015</v>
      </c>
      <c r="I623" s="10" t="str">
        <f>_xlfn.LET(
_xlpm.doi,IF(C623&lt;&gt;"",C623,_xlfn.TEXTAFTER(A623,"https://doi.org/")),
SUBSTITUTE(
SUBSTITUTE(
SUBSTITUTE(
SUBSTITUTE(
_xlpm.doi,
"/","%2F"),
":","%3A"),
"&lt;","%3C"),
"&gt;","%3E")
)</f>
        <v>10.1093%2Fscan%2Fnsv128</v>
      </c>
      <c r="J623" s="10" t="str">
        <f>TRIM(_xlfn.TEXTJOIN("_",FALSE(),H623,(SUBSTITUTE(SUBSTITUTE(D623," ",""), "_", ""))))</f>
        <v>Stimpson_etal_2015_TableS1</v>
      </c>
      <c r="K623" s="10" t="str">
        <f>I623 &amp; "_" &amp; SUBSTITUTE(SUBSTITUTE(SUBSTITUTE(D623,CHAR(160),"")," ",""),"_","")</f>
        <v>10.1093%2Fscan%2Fnsv128_TableS1</v>
      </c>
      <c r="L623" s="10" t="str">
        <f t="array" ref="L623">IFERROR(INDEX(AUTO_Public_TSV_FileList!$A$1:$A$1000,MATCH(TRUE(),EXACT(K623,IFERROR(_xlfn.TEXTBEFORE(AUTO_Public_TSV_FileList!$A$1:$A$1000,".tsv"),"")),0)),"notfound")</f>
        <v>10.1093%2Fscan%2Fnsv128_TableS1.tsv</v>
      </c>
      <c r="M623" s="15" t="inlineStr">
        <is>
          <t>Table_S1</t>
        </is>
      </c>
      <c r="N623" s="15" t="inlineStr">
        <is>
          <t>table</t>
        </is>
      </c>
      <c r="O623" s="19"/>
      <c r="P623" s="15" t="inlineStr">
        <is>
          <t>FINISHED</t>
        </is>
      </c>
      <c r="Q623" s="19"/>
      <c r="R623" s="19"/>
      <c r="S623" s="19"/>
      <c r="T623" s="19"/>
      <c r="U623" s="19"/>
      <c r="V623" s="19"/>
      <c r="W623" s="19"/>
      <c r="X623" s="19"/>
      <c r="Y623" s="19"/>
      <c r="Z623" s="15" t="inlineStr">
        <is>
          <t>histological sections</t>
        </is>
      </c>
      <c r="AA623" s="15" t="inlineStr">
        <is>
          <t>volumetry</t>
        </is>
      </c>
      <c r="AB623" s="15" t="inlineStr">
        <is>
          <t>volume</t>
        </is>
      </c>
      <c r="AC623" s="15" t="inlineStr">
        <is>
          <t>Sherwood</t>
        </is>
      </c>
      <c r="AD623" s="15" t="inlineStr">
        <is>
          <t>Sherwood</t>
        </is>
      </c>
      <c r="AE623" s="15" t="inlineStr">
        <is>
          <t>primary</t>
        </is>
      </c>
      <c r="AF623" s="15"/>
      <c r="AG623" s="19"/>
      <c r="AH623" s="18"/>
    </row>
    <row r="624" ht="16" customHeight="1">
      <c r="A624" s="15" t="inlineStr">
        <is>
          <t>Stimpson, C. D., Barger, N., Taglialatella, J. P., Gendron-Fitzpatrick, A., Hof, P. R., Hopkins, W. D., &amp; Sherwood, C. C. (2015). Differential serotonergic innervation of the amygdala in bonobos and chimpanzees. Soc Cogn Affect Neurosci. https://doi.org/10.1093/scan/nsv128</t>
        </is>
      </c>
      <c r="B624" s="19"/>
      <c r="C624" s="19"/>
      <c r="D624" s="15" t="inlineStr">
        <is>
          <t>Table_S2</t>
        </is>
      </c>
      <c r="E624" s="10" t="str">
        <f>SUBSTITUTE(SUBSTITUTE(_xlfn.TEXTBEFORE(A624,","), "-", ""), " ", "")</f>
        <v>Stimpson</v>
      </c>
      <c r="F624" s="10"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10" t="str">
        <f>_xlfn.TEXTBEFORE(_xlfn.TEXTAFTER(A624, "("), ")")</f>
        <v>2015</v>
      </c>
      <c r="H624" s="10" t="str">
        <f>E624 &amp; IF(F624&lt;&gt;"", "_" &amp; SUBSTITUTE(F624," ",""), "_") &amp; IF(G624&lt;&gt;"", "_" &amp; G624, "_") &amp; IF(B624&lt;&gt;"", "_" &amp; B624, "")</f>
        <v>Stimpson_etal_2015</v>
      </c>
      <c r="I624" s="10" t="str">
        <f>_xlfn.LET(
_xlpm.doi,IF(C624&lt;&gt;"",C624,_xlfn.TEXTAFTER(A624,"https://doi.org/")),
SUBSTITUTE(
SUBSTITUTE(
SUBSTITUTE(
SUBSTITUTE(
_xlpm.doi,
"/","%2F"),
":","%3A"),
"&lt;","%3C"),
"&gt;","%3E")
)</f>
        <v>10.1093%2Fscan%2Fnsv128</v>
      </c>
      <c r="J624" s="10" t="str">
        <f>TRIM(_xlfn.TEXTJOIN("_",FALSE(),H624,(SUBSTITUTE(SUBSTITUTE(D624," ",""), "_", ""))))</f>
        <v>Stimpson_etal_2015_TableS2</v>
      </c>
      <c r="K624" s="10" t="str">
        <f>I624 &amp; "_" &amp; SUBSTITUTE(SUBSTITUTE(SUBSTITUTE(D624,CHAR(160),"")," ",""),"_","")</f>
        <v>10.1093%2Fscan%2Fnsv128_TableS2</v>
      </c>
      <c r="L624" s="10" t="str">
        <f t="array" ref="L624">IFERROR(INDEX(AUTO_Public_TSV_FileList!$A$1:$A$1000,MATCH(TRUE(),EXACT(K624,IFERROR(_xlfn.TEXTBEFORE(AUTO_Public_TSV_FileList!$A$1:$A$1000,".tsv"),"")),0)),"notfound")</f>
        <v>10.1093%2Fscan%2Fnsv128_TableS2.tsv</v>
      </c>
      <c r="M624" s="15" t="inlineStr">
        <is>
          <t>Table_S2</t>
        </is>
      </c>
      <c r="N624" s="15" t="inlineStr">
        <is>
          <t>table</t>
        </is>
      </c>
      <c r="O624" s="19"/>
      <c r="P624" s="15" t="inlineStr">
        <is>
          <t>FINISHED</t>
        </is>
      </c>
      <c r="Q624" s="19"/>
      <c r="R624" s="19"/>
      <c r="S624" s="19"/>
      <c r="T624" s="19"/>
      <c r="U624" s="19"/>
      <c r="V624" s="19"/>
      <c r="W624" s="19"/>
      <c r="X624" s="19"/>
      <c r="Y624" s="19"/>
      <c r="Z624" s="15" t="inlineStr">
        <is>
          <t>histological sections</t>
        </is>
      </c>
      <c r="AA624" s="15" t="inlineStr">
        <is>
          <t>volumetry</t>
        </is>
      </c>
      <c r="AB624" s="15" t="inlineStr">
        <is>
          <t>volume</t>
        </is>
      </c>
      <c r="AC624" s="15" t="inlineStr">
        <is>
          <t>Sherwood</t>
        </is>
      </c>
      <c r="AD624" s="15" t="inlineStr">
        <is>
          <t>Sherwood</t>
        </is>
      </c>
      <c r="AE624" s="15" t="inlineStr">
        <is>
          <t>primary</t>
        </is>
      </c>
      <c r="AF624" s="15"/>
      <c r="AG624" s="19"/>
      <c r="AH624" s="18"/>
    </row>
    <row r="625" ht="16" customHeight="1">
      <c r="A625" s="15" t="inlineStr">
        <is>
          <t>Taniguchi, M., Iwahashi, M., Oka, Y., Tiong, S. Y. X., &amp; Sato, M. (2022). Fezf2-positive fork cell-like neurons in the mouse insular cortex. PLoS ONE, 17(9), e0274170. https://doi.org/10.1371/journal.pone.0274170</t>
        </is>
      </c>
      <c r="B625" s="19"/>
      <c r="C625" s="19"/>
      <c r="D625" s="15" t="inlineStr">
        <is>
          <t>Findings</t>
        </is>
      </c>
      <c r="E625" s="10" t="str">
        <f>SUBSTITUTE(SUBSTITUTE(_xlfn.TEXTBEFORE(A625,","), "-", ""), " ", "")</f>
        <v>Taniguchi</v>
      </c>
      <c r="F625" s="10"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10" t="str">
        <f>_xlfn.TEXTBEFORE(_xlfn.TEXTAFTER(A625, "("), ")")</f>
        <v>2022</v>
      </c>
      <c r="H625" s="10" t="str">
        <f>E625 &amp; IF(F625&lt;&gt;"", "_" &amp; SUBSTITUTE(F625," ",""), "_") &amp; IF(G625&lt;&gt;"", "_" &amp; G625, "_") &amp; IF(B625&lt;&gt;"", "_" &amp; B625, "")</f>
        <v>Taniguchi_etal_2022</v>
      </c>
      <c r="I625" s="10" t="str">
        <f>_xlfn.LET(
_xlpm.doi,IF(C625&lt;&gt;"",C625,_xlfn.TEXTAFTER(A625,"https://doi.org/")),
SUBSTITUTE(
SUBSTITUTE(
SUBSTITUTE(
SUBSTITUTE(
_xlpm.doi,
"/","%2F"),
":","%3A"),
"&lt;","%3C"),
"&gt;","%3E")
)</f>
        <v>10.1371%2Fjournal.pone.0274170</v>
      </c>
      <c r="J625" s="10" t="str">
        <f>TRIM(_xlfn.TEXTJOIN("_",FALSE(),H625,(SUBSTITUTE(SUBSTITUTE(D625," ",""), "_", ""))))</f>
        <v>Taniguchi_etal_2022_Findings</v>
      </c>
      <c r="K625" s="10" t="str">
        <f>I625 &amp; "_" &amp; SUBSTITUTE(SUBSTITUTE(SUBSTITUTE(D625,CHAR(160),"")," ",""),"_","")</f>
        <v>10.1371%2Fjournal.pone.0274170_Findings</v>
      </c>
      <c r="L625" s="10" t="str">
        <f t="array" ref="L625">IFERROR(INDEX(AUTO_Public_TSV_FileList!$A$1:$A$1000,MATCH(TRUE(),EXACT(K625,IFERROR(_xlfn.TEXTBEFORE(AUTO_Public_TSV_FileList!$A$1:$A$1000,".tsv"),"")),0)),"notfound")</f>
        <v>10.1371%2Fjournal.pone.0274170_Findings.tsv</v>
      </c>
      <c r="M625" s="15"/>
      <c r="N625" s="15"/>
      <c r="O625" s="19"/>
      <c r="P625" s="15"/>
      <c r="Q625" s="19"/>
      <c r="R625" s="19"/>
      <c r="S625" s="19"/>
      <c r="T625" s="19"/>
      <c r="U625" s="19"/>
      <c r="V625" s="19"/>
      <c r="W625" s="19"/>
      <c r="X625" s="19"/>
      <c r="Y625" s="19"/>
      <c r="Z625" s="15"/>
      <c r="AA625" s="15"/>
      <c r="AB625" s="15"/>
      <c r="AC625" s="15"/>
      <c r="AD625" s="15"/>
      <c r="AE625" s="15"/>
      <c r="AF625" s="15"/>
      <c r="AG625" s="19"/>
      <c r="AH625" s="18"/>
    </row>
    <row r="626" ht="16" customHeight="1">
      <c r="A626" s="18" t="inlineStr">
        <is>
          <t>Terhune, J. M., &amp; Ronald, K. (1972). The harp seal, Pagophilus groenlandicus (Erxleben, 1777). III. The underwater audiogram. Canadian Journal of Zoology, 50(5), 565-569. https://doi.org/10.1139/z72-077</t>
        </is>
      </c>
      <c r="B626" s="18"/>
      <c r="C626" s="18"/>
      <c r="D626" s="18" t="inlineStr">
        <is>
          <t>Table 1</t>
        </is>
      </c>
      <c r="E626" s="11" t="str">
        <f>SUBSTITUTE(SUBSTITUTE(_xlfn.TEXTBEFORE(A626,","), "-", ""), " ", "")</f>
        <v>Terhune</v>
      </c>
      <c r="F626" s="10"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6" s="10" t="str">
        <f>_xlfn.TEXTBEFORE(_xlfn.TEXTAFTER(A626, "("), ")")</f>
        <v>1972</v>
      </c>
      <c r="H626" s="11" t="str">
        <f>E626 &amp; IF(F626&lt;&gt;"", "_" &amp; SUBSTITUTE(F626," ",""), "_") &amp; IF(G626&lt;&gt;"", "_" &amp; G626, "_") &amp; IF(B626&lt;&gt;"", "_" &amp; B626, "")</f>
        <v>Terhune__1972</v>
      </c>
      <c r="I626" s="11" t="str">
        <f>_xlfn.LET(_xlpm.doi,IF(C626&lt;&gt;"",C626,_xlfn.TEXTAFTER(A626,"https://doi.org/")),SUBSTITUTE(SUBSTITUTE(SUBSTITUTE(SUBSTITUTE(_xlpm.doi,"/","%2F"),":","%3A"),"&lt;","%3C"),"&gt;","%3E"))</f>
        <v>10.1139%2Fz72-077</v>
      </c>
      <c r="J626" s="11" t="str">
        <f>TRIM(_xlfn.TEXTJOIN("_",FALSE(),H626,(SUBSTITUTE(SUBSTITUTE(D626," ",""), "_", ""))))</f>
        <v>Terhune__1972_Table1</v>
      </c>
      <c r="K626" s="10" t="str">
        <f>I626 &amp; "_" &amp; SUBSTITUTE(SUBSTITUTE(SUBSTITUTE(D626,CHAR(160),"")," ",""),"_","")</f>
        <v>10.1139%2Fz72-077_Table1</v>
      </c>
      <c r="L626" s="10" t="str">
        <f t="array" ref="L626">IFERROR(INDEX(AUTO_Public_TSV_FileList!$A$1:$A$1000,MATCH(TRUE(),EXACT(K626,IFERROR(_xlfn.TEXTBEFORE(AUTO_Public_TSV_FileList!$A$1:$A$1000,".tsv"),"")),0)),"notfound")</f>
        <v>10.1139%2Fz72-077_Table1.tsv</v>
      </c>
      <c r="M626" s="18" t="inlineStr">
        <is>
          <t>Harp seal (Pagophilus groenlandicus) underwater audiogram, 0.76-100 kHz, single trained female</t>
        </is>
      </c>
      <c r="N626" s="18" t="inlineStr">
        <is>
          <t>PDF table</t>
        </is>
      </c>
      <c r="O626" s="18" t="inlineStr">
        <is>
          <t>Registry row added 2026-09-27. Built same day; TSV upload pending (connector timeout, retry later).</t>
        </is>
      </c>
      <c r="P626" s="18" t="inlineStr">
        <is>
          <t>BUILT (TSV upload pending)</t>
        </is>
      </c>
      <c r="Q626" s="18"/>
      <c r="R626" s="18"/>
      <c r="S626" s="18"/>
      <c r="T626" s="18"/>
      <c r="U626" s="18"/>
      <c r="V626" s="18"/>
      <c r="W626" s="18"/>
      <c r="X626" s="18"/>
      <c r="Y626" s="18"/>
      <c r="Z626" s="18"/>
      <c r="AA626" s="18"/>
      <c r="AB626" s="18"/>
      <c r="AC626" s="18"/>
      <c r="AD626" s="18"/>
      <c r="AE626" s="18"/>
      <c r="AF626" s="18"/>
      <c r="AG626" s="18"/>
      <c r="AH626" s="18"/>
    </row>
    <row r="627" ht="16" customHeight="1">
      <c r="A627" s="18" t="inlineStr">
        <is>
          <t>Terhune, J. M., &amp; Ronald, K. (1975). Underwater hearing sensitivity of two ringed seals (Pusa hispida). Canadian Journal of Zoology, 53(3), 227-231. https://doi.org/10.1139/z75-028</t>
        </is>
      </c>
      <c r="B627" s="18"/>
      <c r="C627" s="18"/>
      <c r="D627" s="18" t="inlineStr">
        <is>
          <t>Table 1</t>
        </is>
      </c>
      <c r="E627" s="11" t="str">
        <f>SUBSTITUTE(SUBSTITUTE(_xlfn.TEXTBEFORE(A627,","), "-", ""), " ", "")</f>
        <v>Terhune</v>
      </c>
      <c r="F627" s="10"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7" s="10" t="str">
        <f>_xlfn.TEXTBEFORE(_xlfn.TEXTAFTER(A627, "("), ")")</f>
        <v>1975</v>
      </c>
      <c r="H627" s="11" t="str">
        <f>E627 &amp; IF(F627&lt;&gt;"", "_" &amp; SUBSTITUTE(F627," ",""), "_") &amp; IF(G627&lt;&gt;"", "_" &amp; G627, "_") &amp; IF(B627&lt;&gt;"", "_" &amp; B627, "")</f>
        <v>Terhune__1975</v>
      </c>
      <c r="I627" s="11" t="str">
        <f>_xlfn.LET(_xlpm.doi,IF(C627&lt;&gt;"",C627,_xlfn.TEXTAFTER(A627,"https://doi.org/")),SUBSTITUTE(SUBSTITUTE(SUBSTITUTE(SUBSTITUTE(_xlpm.doi,"/","%2F"),":","%3A"),"&lt;","%3C"),"&gt;","%3E"))</f>
        <v>10.1139%2Fz75-028</v>
      </c>
      <c r="J627" s="11" t="str">
        <f>TRIM(_xlfn.TEXTJOIN("_",FALSE(),H627,(SUBSTITUTE(SUBSTITUTE(D627," ",""), "_", ""))))</f>
        <v>Terhune__1975_Table1</v>
      </c>
      <c r="K627" s="10" t="str">
        <f>I627 &amp; "_" &amp; SUBSTITUTE(SUBSTITUTE(SUBSTITUTE(D627,CHAR(160),"")," ",""),"_","")</f>
        <v>10.1139%2Fz75-028_Table1</v>
      </c>
      <c r="L627" s="10" t="str">
        <f t="array" ref="L627">IFERROR(INDEX(AUTO_Public_TSV_FileList!$A$1:$A$1000,MATCH(TRUE(),EXACT(K627,IFERROR(_xlfn.TEXTBEFORE(AUTO_Public_TSV_FileList!$A$1:$A$1000,".tsv"),"")),0)),"notfound")</f>
        <v>10.1139%2Fz75-028_Table1.tsv</v>
      </c>
      <c r="M627" s="18" t="inlineStr">
        <is>
          <t>Ringed seal (Pusa hispida) underwater hearing sensitivity, two subjects</t>
        </is>
      </c>
      <c r="N627" s="18" t="inlineStr">
        <is>
          <t>PDF table</t>
        </is>
      </c>
      <c r="O627" s="18" t="inlineStr">
        <is>
          <t>Registry row added 2026-09-27. Species flag: distinct species from the companion Terhune_Ronald_1972 folder (harp seal) despite similar folder naming -- confirmed via title/abstract. Built same day; TSV upload pending (connector timeout, retry later).</t>
        </is>
      </c>
      <c r="P627" s="18" t="inlineStr">
        <is>
          <t>BUILT (TSV upload pending)</t>
        </is>
      </c>
      <c r="Q627" s="18"/>
      <c r="R627" s="18"/>
      <c r="S627" s="18"/>
      <c r="T627" s="18"/>
      <c r="U627" s="18"/>
      <c r="V627" s="18"/>
      <c r="W627" s="18"/>
      <c r="X627" s="18"/>
      <c r="Y627" s="18"/>
      <c r="Z627" s="18"/>
      <c r="AA627" s="18"/>
      <c r="AB627" s="18"/>
      <c r="AC627" s="18"/>
      <c r="AD627" s="18"/>
      <c r="AE627" s="18"/>
      <c r="AF627" s="18"/>
      <c r="AG627" s="18"/>
      <c r="AH627" s="18"/>
    </row>
    <row r="628" ht="16" customHeight="1">
      <c r="A628" t="inlineStr">
        <is>
          <t>Thomas, J., Chun, N., Au, W., &amp; Pugh, K. (1988). Underwater audiogram of a false killer whale (Pseudorca crassidens). J Acoust Soc Am, 84(3), 936-940. https://doi.org/10.1121/1.396662</t>
        </is>
      </c>
      <c r="D628" t="inlineStr">
        <is>
          <t>Table I</t>
        </is>
      </c>
      <c r="E628" s="11" t="str">
        <f>SUBSTITUTE(SUBSTITUTE(_xlfn.TEXTBEFORE(A628,","), "-", ""), " ", "")</f>
        <v>Thomas</v>
      </c>
      <c r="F628" s="10"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10" t="str">
        <f>_xlfn.TEXTBEFORE(_xlfn.TEXTAFTER(A628, "("), ")")</f>
        <v>1988</v>
      </c>
      <c r="H628" s="11" t="str">
        <f>E628 &amp; IF(F628&lt;&gt;"", "_" &amp; SUBSTITUTE(F628," ",""), "_") &amp; IF(G628&lt;&gt;"", "_" &amp; G628, "_") &amp; IF(B628&lt;&gt;"", "_" &amp; B628, "")</f>
        <v>Thomas_etal_1988</v>
      </c>
      <c r="I628" s="11" t="str">
        <f>_xlfn.LET(_xlpm.doi,IF(C628&lt;&gt;"",C628,_xlfn.TEXTAFTER(A628,"https://doi.org/")),SUBSTITUTE(SUBSTITUTE(SUBSTITUTE(SUBSTITUTE(_xlpm.doi,"/","%2F"),":","%3A"),"&lt;","%3C"),"&gt;","%3E"))</f>
        <v>10.1121%2F1.396662</v>
      </c>
      <c r="J628" s="11" t="str">
        <f>TRIM(_xlfn.TEXTJOIN("_",FALSE(),H628,(SUBSTITUTE(SUBSTITUTE(D628," ",""), "_", ""))))</f>
        <v>Thomas_etal_1988_TableI</v>
      </c>
      <c r="K628" s="10" t="str">
        <f>I628 &amp; "_" &amp; SUBSTITUTE(SUBSTITUTE(SUBSTITUTE(D628,CHAR(160),"")," ",""),"_","")</f>
        <v>10.1121%2F1.396662_TableI</v>
      </c>
      <c r="L628" s="10" t="str">
        <f t="array" ref="L628">IFERROR(INDEX(AUTO_Public_TSV_FileList!$A$1:$A$1000,MATCH(TRUE(),EXACT(K628,IFERROR(_xlfn.TEXTBEFORE(AUTO_Public_TSV_FileList!$A$1:$A$1000,".tsv"),"")),0)),"notfound")</f>
        <v>10.1121%2F1.396662_TableI.tsv</v>
      </c>
      <c r="M628" t="inlineStr">
        <is>
          <t>False killer whale (Pseudorca crassidens) underwater thresholds, 2-115 kHz, two transducers</t>
        </is>
      </c>
      <c r="N628" t="inlineStr">
        <is>
          <t>PDF table</t>
        </is>
      </c>
      <c r="O628" t="inlineStr">
        <is>
          <t>Registry row added 2026-09-27. Built same day; TSV upload pending (connector timeout, retry later).</t>
        </is>
      </c>
      <c r="P628" t="inlineStr">
        <is>
          <t>BUILT (TSV upload pending)</t>
        </is>
      </c>
    </row>
    <row r="629" ht="16" customHeight="1">
      <c r="A629" s="15" t="inlineStr">
        <is>
          <t>Todorov, O. S., Weisbecker, V., Gilissen, E., Zilles, K., &amp; de Sousa, A. A. (2019). Primate hippocampus size and organization are predicted by sociality but not diet. Proc Biol Sci, 286(1914), 20191712. https://doi.org/10.1098/rspb.2019.1712</t>
        </is>
      </c>
      <c r="B629" s="19"/>
      <c r="C629" s="19"/>
      <c r="D629" s="15" t="inlineStr">
        <is>
          <t>rspb20191712_si_001</t>
        </is>
      </c>
      <c r="E629" s="10" t="str">
        <f>SUBSTITUTE(SUBSTITUTE(_xlfn.TEXTBEFORE(A629,","), "-", ""), " ", "")</f>
        <v>Todorov</v>
      </c>
      <c r="F629" s="10"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10" t="str">
        <f>_xlfn.TEXTBEFORE(_xlfn.TEXTAFTER(A629, "("), ")")</f>
        <v>2019</v>
      </c>
      <c r="H629" s="10" t="str">
        <f>E629 &amp; IF(F629&lt;&gt;"", "_" &amp; SUBSTITUTE(F629," ",""), "_") &amp; IF(G629&lt;&gt;"", "_" &amp; G629, "_") &amp; IF(B629&lt;&gt;"", "_" &amp; B629, "")</f>
        <v>Todorov_etal_2019</v>
      </c>
      <c r="I629" s="10" t="str">
        <f>_xlfn.LET(
_xlpm.doi,IF(C629&lt;&gt;"",C629,_xlfn.TEXTAFTER(A629,"https://doi.org/")),
SUBSTITUTE(
SUBSTITUTE(
SUBSTITUTE(
SUBSTITUTE(
_xlpm.doi,
"/","%2F"),
":","%3A"),
"&lt;","%3C"),
"&gt;","%3E")
)</f>
        <v>10.1098%2Frspb.2019.1712</v>
      </c>
      <c r="J629" s="10" t="str">
        <f>TRIM(_xlfn.TEXTJOIN("_",FALSE(),H629,(SUBSTITUTE(SUBSTITUTE(D629," ",""), "_", ""))))</f>
        <v>Todorov_etal_2019_rspb20191712si001</v>
      </c>
      <c r="K629" s="10" t="str">
        <f>I629 &amp; "_" &amp; SUBSTITUTE(SUBSTITUTE(SUBSTITUTE(D629,CHAR(160),"")," ",""),"_","")</f>
        <v>10.1098%2Frspb.2019.1712_rspb20191712si001</v>
      </c>
      <c r="L629" s="10" t="str">
        <f t="array" ref="L629">IFERROR(INDEX(AUTO_Public_TSV_FileList!$A$1:$A$1000,MATCH(TRUE(),EXACT(K629,IFERROR(_xlfn.TEXTBEFORE(AUTO_Public_TSV_FileList!$A$1:$A$1000,".tsv"),"")),0)),"notfound")</f>
        <v>notfound</v>
      </c>
      <c r="M629" s="15" t="inlineStr">
        <is>
          <t>Datasets of hippocampal subsection and brain area dimorphism plus the phylogenetic tree used from Primate hippocampus size and organization are predicted by sociality but not diet.</t>
        </is>
      </c>
      <c r="N629" s="15"/>
      <c r="O629" s="19"/>
      <c r="P629" s="15"/>
      <c r="Q629" s="19"/>
      <c r="R629" s="19"/>
      <c r="S629" s="19"/>
      <c r="T629" s="19"/>
      <c r="U629" s="19"/>
      <c r="V629" s="19"/>
      <c r="W629" s="19"/>
      <c r="X629" s="19"/>
      <c r="Y629" s="19"/>
      <c r="Z629" s="15"/>
      <c r="AA629" s="15"/>
      <c r="AB629" s="15"/>
      <c r="AC629" s="15"/>
      <c r="AD629" s="15"/>
      <c r="AE629" s="15"/>
      <c r="AF629" s="15"/>
      <c r="AG629" s="19"/>
    </row>
    <row r="630" ht="15" customHeight="1">
      <c r="A630" s="21" t="inlineStr">
        <is>
          <t>Tschudin, A. J.-P. C. (1998). Relative neocortex size and its correlates in dolphins: Comparisons with humans and implications for mental evolution (Doctoral dissertation, University of Natal).</t>
        </is>
      </c>
      <c r="B630" s="21"/>
      <c r="C630" s="21" t="inlineStr">
        <is>
          <t>CorpusID:142614626</t>
        </is>
      </c>
      <c r="D630" s="21" t="inlineStr">
        <is>
          <t>Table 2.5</t>
        </is>
      </c>
      <c r="E630" s="11" t="str">
        <f>SUBSTITUTE(SUBSTITUTE(_xlfn.TEXTBEFORE(A630,","), "-", ""), " ", "")</f>
        <v>Tschudin</v>
      </c>
      <c r="F630" s="10"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0" s="10" t="str">
        <f>_xlfn.TEXTBEFORE(_xlfn.TEXTAFTER(A630, "("), ")")</f>
        <v>1998</v>
      </c>
      <c r="H630" s="11" t="str">
        <f>E630 &amp; IF(F630&lt;&gt;"", "_" &amp; SUBSTITUTE(F630," ",""), "_") &amp; IF(G630&lt;&gt;"", "_" &amp; G630, "_") &amp; IF(B630&lt;&gt;"", "_" &amp; B630, "")</f>
        <v>Tschudin__1998</v>
      </c>
      <c r="I630" s="11" t="str">
        <f>_xlfn.LET(_xlpm.doi,IF(C630&lt;&gt;"",C630,_xlfn.TEXTAFTER(A630,"https://doi.org/")),SUBSTITUTE(SUBSTITUTE(SUBSTITUTE(SUBSTITUTE(_xlpm.doi,"/","%2F"),":","%3A"),"&lt;","%3C"),"&gt;","%3E"))</f>
        <v>CorpusID%3A142614626</v>
      </c>
      <c r="J630" s="11" t="str">
        <f>TRIM(_xlfn.TEXTJOIN("_",FALSE(),H630,(SUBSTITUTE(SUBSTITUTE(D630," ",""), "_", ""))))</f>
        <v>Tschudin__1998_Table2.5</v>
      </c>
      <c r="K630" s="11" t="str">
        <f>I630 &amp; "_" &amp; SUBSTITUTE(SUBSTITUTE(SUBSTITUTE(D630,CHAR(160),"")," ",""),"_","")</f>
        <v>CorpusID%3A142614626_Table2.5</v>
      </c>
      <c r="L630" s="10" t="str">
        <f t="array" ref="L630">IFERROR(INDEX(AUTO_Public_TSV_FileList!$A$1:$A$1000,MATCH(TRUE(),EXACT(K630,IFERROR(_xlfn.TEXTBEFORE(AUTO_Public_TSV_FileList!$A$1:$A$1000,".tsv"),"")),0)),"notfound")</f>
        <v>CorpusID%3A142614626_Table2.5.tsv</v>
      </c>
      <c r="M630" s="21" t="inlineStr">
        <is>
          <t>Odontocete neuroanatomical volumes and ratios from MRI</t>
        </is>
      </c>
      <c r="N630" s="15" t="inlineStr">
        <is>
          <t>table</t>
        </is>
      </c>
      <c r="O630" s="19" t="inlineStr">
        <is>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is>
      </c>
      <c r="P630" s="21" t="inlineStr">
        <is>
          <t>FINISHED</t>
        </is>
      </c>
      <c r="Q630" s="21"/>
      <c r="R630" s="21"/>
      <c r="S630" s="21" t="inlineStr">
        <is>
          <t>Source paper and target table identified</t>
        </is>
      </c>
      <c r="T630" s="21" t="inlineStr">
        <is>
          <t>Verify taxonomy, specimen metadata, units, and structure ontology before merge</t>
        </is>
      </c>
      <c r="U630" s="21"/>
      <c r="V630" s="21" t="inlineStr">
        <is>
          <t>comparative brain volumes</t>
        </is>
      </c>
      <c r="W630" s="21" t="inlineStr">
        <is>
          <t>Cetacea</t>
        </is>
      </c>
      <c r="X630" s="21" t="inlineStr">
        <is>
          <t>Total brain; neocortex; posterior fossa; brainstem; cerebellum; neocortex ratio</t>
        </is>
      </c>
      <c r="Y630" s="21"/>
      <c r="Z630" s="21"/>
      <c r="AA630" s="21" t="inlineStr">
        <is>
          <t>Postmortem MRI with digitized coronal segmentation; fresh and frozen-defrosted specimens</t>
        </is>
      </c>
      <c r="AB630" s="21" t="inlineStr">
        <is>
          <t>volume (cm³); ratio</t>
        </is>
      </c>
      <c r="AC630" s="19"/>
      <c r="AD630" s="21"/>
      <c r="AE630" s="21" t="inlineStr">
        <is>
          <t>primary</t>
        </is>
      </c>
      <c r="AF630" s="21"/>
      <c r="AG630" s="21" t="inlineStr">
        <is>
          <t>Compatible for broad regions, but MRI boundaries differ from classic Stephan histological definitions. Stephan-compatible brain structure volumes</t>
        </is>
      </c>
    </row>
    <row r="631" ht="15" customHeight="1">
      <c r="A631" s="15" t="inlineStr">
        <is>
          <t>Turner, E. C., Young, N. A., Reed, J. L., Collins, C. E., Flaherty, D. K., Gabi, M., &amp; Kaas, J. H. (2016). Distributions of cells and neurons across the cortical sheet in old world macaques. Brain Behav Evol, 88(1), 1-13. https://doi.org/10.1159/000446762</t>
        </is>
      </c>
      <c r="B631" s="19"/>
      <c r="C631" s="19"/>
      <c r="D631" s="15" t="inlineStr">
        <is>
          <t>Table 1</t>
        </is>
      </c>
      <c r="E631" s="10" t="str">
        <f>SUBSTITUTE(SUBSTITUTE(_xlfn.TEXTBEFORE(A631,","), "-", ""), " ", "")</f>
        <v>Turner</v>
      </c>
      <c r="F631" s="10"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10" t="str">
        <f>_xlfn.TEXTBEFORE(_xlfn.TEXTAFTER(A631, "("), ")")</f>
        <v>2016</v>
      </c>
      <c r="H631" s="10" t="str">
        <f>E631 &amp; IF(F631&lt;&gt;"", "_" &amp; SUBSTITUTE(F631," ",""), "_") &amp; IF(G631&lt;&gt;"", "_" &amp; G631, "_") &amp; IF(B631&lt;&gt;"", "_" &amp; B631, "")</f>
        <v>Turner_etal_2016</v>
      </c>
      <c r="I631" s="10" t="str">
        <f>_xlfn.LET(
_xlpm.doi,IF(C631&lt;&gt;"",C631,_xlfn.TEXTAFTER(A631,"https://doi.org/")),
SUBSTITUTE(
SUBSTITUTE(
SUBSTITUTE(
SUBSTITUTE(
_xlpm.doi,
"/","%2F"),
":","%3A"),
"&lt;","%3C"),
"&gt;","%3E")
)</f>
        <v>10.1159%2F000446762</v>
      </c>
      <c r="J631" s="10" t="str">
        <f>TRIM(_xlfn.TEXTJOIN("_",FALSE(),H631,(SUBSTITUTE(SUBSTITUTE(D631," ",""), "_", ""))))</f>
        <v>Turner_etal_2016_Table1</v>
      </c>
      <c r="K631" s="10" t="str">
        <f>I631 &amp; "_" &amp; SUBSTITUTE(SUBSTITUTE(SUBSTITUTE(D631,CHAR(160),"")," ",""),"_","")</f>
        <v>10.1159%2F000446762_Table1</v>
      </c>
      <c r="L631" s="10" t="str">
        <f t="array" ref="L631">IFERROR(INDEX(AUTO_Public_TSV_FileList!$A$1:$A$1000,MATCH(TRUE(),EXACT(K631,IFERROR(_xlfn.TEXTBEFORE(AUTO_Public_TSV_FileList!$A$1:$A$1000,".tsv"),"")),0)),"notfound")</f>
        <v>10.1159%2F000446762_Table1.tsv</v>
      </c>
      <c r="M631" s="15" t="inlineStr">
        <is>
          <t>Table 1. Summary of experimental cases</t>
        </is>
      </c>
      <c r="N631" s="19"/>
      <c r="O631" s="19"/>
      <c r="P631" s="19" t="inlineStr">
        <is>
          <t>FINISHED</t>
        </is>
      </c>
      <c r="Q631" s="19"/>
      <c r="R631" s="19"/>
      <c r="S631" s="19"/>
      <c r="T631" s="19"/>
      <c r="U631" s="19"/>
      <c r="V631" s="19"/>
      <c r="W631" s="15" t="inlineStr">
        <is>
          <t>Mammals</t>
        </is>
      </c>
      <c r="X631" s="15" t="inlineStr">
        <is>
          <t>Brain surface total area</t>
        </is>
      </c>
      <c r="Y631" s="19"/>
      <c r="Z631" s="19"/>
      <c r="AA631" s="19"/>
      <c r="AB631" s="15" t="inlineStr">
        <is>
          <t>cortical surface area</t>
        </is>
      </c>
      <c r="AC631" s="19"/>
      <c r="AD631" s="19"/>
      <c r="AE631" s="15" t="inlineStr">
        <is>
          <t>primary</t>
        </is>
      </c>
      <c r="AF631" s="15"/>
      <c r="AG631" s="19"/>
    </row>
    <row r="632" ht="15" customHeight="1">
      <c r="A632" s="19" t="inlineStr">
        <is>
          <t>Upham, N. S., Esselstyn, J. A., &amp; Jetz, W. (2019). Inferring the mammal tree: Species-level sets of phylogenies for questions in ecology, evolution, and conservation. PLoS Biology, 17(12), e3000494. https://doi.org/10.1371/journal.pbio.3000494</t>
        </is>
      </c>
      <c r="B632" s="19"/>
      <c r="C632" s="19"/>
      <c r="D632" s="19" t="inlineStr">
        <is>
          <t>Completed 100</t>
        </is>
      </c>
      <c r="E632" s="11" t="str">
        <f>SUBSTITUTE(SUBSTITUTE(_xlfn.TEXTBEFORE(A632,","), "-", ""), " ", "")</f>
        <v>Upham</v>
      </c>
      <c r="F632" s="10"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10" t="str">
        <f>_xlfn.TEXTBEFORE(_xlfn.TEXTAFTER(A632, "("), ")")</f>
        <v>2019</v>
      </c>
      <c r="H632" s="11" t="str">
        <f>E632 &amp; IF(F632&lt;&gt;"", "_" &amp; SUBSTITUTE(F632," ",""), "_") &amp; IF(G632&lt;&gt;"", "_" &amp; G632, "_") &amp; IF(B632&lt;&gt;"", "_" &amp; B632, "")</f>
        <v>Upham_etal_2019</v>
      </c>
      <c r="I632" s="11" t="str">
        <f>_xlfn.LET(_xlpm.doi,IF(C632&lt;&gt;"",C632,_xlfn.TEXTAFTER(A632,"https://doi.org/")),SUBSTITUTE(SUBSTITUTE(SUBSTITUTE(SUBSTITUTE(_xlpm.doi,"/","%2F"),":","%3A"),"&lt;","%3C"),"&gt;","%3E"))</f>
        <v>10.1371%2Fjournal.pbio.3000494</v>
      </c>
      <c r="J632" s="11" t="str">
        <f>TRIM(_xlfn.TEXTJOIN("_",FALSE(),H632,(SUBSTITUTE(SUBSTITUTE(D632," ",""), "_", ""))))</f>
        <v>Upham_etal_2019_Completed100</v>
      </c>
      <c r="K632" s="10" t="str">
        <f>I632 &amp; "_" &amp; SUBSTITUTE(SUBSTITUTE(SUBSTITUTE(D632,CHAR(160),"")," ",""),"_","")</f>
        <v>10.1371%2Fjournal.pbio.3000494_Completed100</v>
      </c>
      <c r="L632" s="10" t="str">
        <f t="array" ref="L632">IFERROR(INDEX(AUTO_Public_TSV_FileList!$A$1:$A$1000,MATCH(TRUE(),EXACT(K632,IFERROR(_xlfn.TEXTBEFORE(AUTO_Public_TSV_FileList!$A$1:$A$1000,".tsv"),"")),0)),"notfound")</f>
        <v>notfound</v>
      </c>
      <c r="M632" s="19" t="inlineStr">
        <is>
          <t>MamPhy v1 completed-species trees (5,911 sp, topoCons, NDexp): random sample of 100 from the 10k pseudoposterior, via VertLife phylosubsets tree-pruner</t>
        </is>
      </c>
      <c r="N632" s="15" t="inlineStr">
        <is>
          <t>tree</t>
        </is>
      </c>
      <c r="O632" s="19" t="inlineStr">
        <is>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is>
      </c>
      <c r="P632" s="19"/>
      <c r="Q632" s="19"/>
      <c r="R632" s="19"/>
      <c r="S632" s="19"/>
      <c r="T632" s="19"/>
      <c r="U632" s="19"/>
      <c r="V632" s="19"/>
      <c r="W632" s="19"/>
      <c r="X632" s="19"/>
      <c r="Y632" s="19"/>
      <c r="Z632" s="19"/>
      <c r="AA632" s="19"/>
      <c r="AB632" s="19"/>
      <c r="AC632" s="19"/>
      <c r="AD632" s="19"/>
      <c r="AE632" s="19"/>
      <c r="AF632" s="19"/>
      <c r="AG632" s="19"/>
    </row>
    <row r="633" ht="15" customHeight="1">
      <c r="A633" s="15" t="inlineStr">
        <is>
          <t>Upham, N. S., Esselstyn, J. A., &amp; Jetz, W. (2019). Inferring the mammal tree: Species-level sets of phylogenies for questions in ecology, evolution, and conservation. PLoS Biology, 17(12), e3000494. https://doi.org/10.1371/journal.pbio.3000494</t>
        </is>
      </c>
      <c r="B633" s="19"/>
      <c r="C633" s="19"/>
      <c r="D633" s="15" t="inlineStr">
        <is>
          <t>DNA only MCC</t>
        </is>
      </c>
      <c r="E633" s="11" t="str">
        <f>SUBSTITUTE(SUBSTITUTE(_xlfn.TEXTBEFORE(A633,","), "-", ""), " ", "")</f>
        <v>Upham</v>
      </c>
      <c r="F633" s="10"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10" t="str">
        <f>_xlfn.TEXTBEFORE(_xlfn.TEXTAFTER(A633, "("), ")")</f>
        <v>2019</v>
      </c>
      <c r="H633" s="11" t="str">
        <f>E633 &amp; IF(F633&lt;&gt;"", "_" &amp; SUBSTITUTE(F633," ",""), "_") &amp; IF(G633&lt;&gt;"", "_" &amp; G633, "_") &amp; IF(B633&lt;&gt;"", "_" &amp; B633, "")</f>
        <v>Upham_etal_2019</v>
      </c>
      <c r="I633" s="11" t="str">
        <f>_xlfn.LET(_xlpm.doi,IF(C633&lt;&gt;"",C633,_xlfn.TEXTAFTER(A633,"https://doi.org/")),SUBSTITUTE(SUBSTITUTE(SUBSTITUTE(SUBSTITUTE(_xlpm.doi,"/","%2F"),":","%3A"),"&lt;","%3C"),"&gt;","%3E"))</f>
        <v>10.1371%2Fjournal.pbio.3000494</v>
      </c>
      <c r="J633" s="11" t="str">
        <f>TRIM(_xlfn.TEXTJOIN("_",FALSE(),H633,(SUBSTITUTE(SUBSTITUTE(D633," ",""), "_", ""))))</f>
        <v>Upham_etal_2019_DNAonlyMCC</v>
      </c>
      <c r="K633" s="10" t="str">
        <f>I633 &amp; "_" &amp; SUBSTITUTE(SUBSTITUTE(SUBSTITUTE(D633,CHAR(160),"")," ",""),"_","")</f>
        <v>10.1371%2Fjournal.pbio.3000494_DNAonlyMCC</v>
      </c>
      <c r="L633" s="10" t="str">
        <f t="array" ref="L633">IFERROR(INDEX(AUTO_Public_TSV_FileList!$A$1:$A$1000,MATCH(TRUE(),EXACT(K633,IFERROR(_xlfn.TEXTBEFORE(AUTO_Public_TSV_FileList!$A$1:$A$1000,".tsv"),"")),0)),"notfound")</f>
        <v>10.1371%2Fjournal.pbio.3000494_DNAonlyMCC.tsv</v>
      </c>
      <c r="M633" s="15" t="inlineStr">
        <is>
          <t>MamPhy v1 DNA-only maximum clade credibility tree</t>
        </is>
      </c>
      <c r="N633" s="15" t="inlineStr">
        <is>
          <t>tree</t>
        </is>
      </c>
      <c r="O633" s="19"/>
      <c r="P633" s="19" t="inlineStr">
        <is>
          <t>FINISHED</t>
        </is>
      </c>
      <c r="Q633" s="19"/>
      <c r="R633" s="19"/>
      <c r="S633" s="19"/>
      <c r="T633" s="19"/>
      <c r="U633" s="19"/>
      <c r="V633" s="19"/>
      <c r="W633" s="19"/>
      <c r="X633" s="19"/>
      <c r="Y633" s="19"/>
      <c r="Z633" s="19"/>
      <c r="AA633" s="19"/>
      <c r="AB633" s="19"/>
      <c r="AC633" s="19"/>
      <c r="AD633" s="19"/>
      <c r="AE633" s="19"/>
      <c r="AF633" s="19"/>
      <c r="AG633" s="19"/>
    </row>
    <row r="634" ht="15" customHeight="1">
      <c r="A634" s="19" t="inlineStr">
        <is>
          <t>Van Essen, D. C., &amp; Drury, H. A. (1997). Structural and functional analyses of human cerebral cortex using a surface-based atlas. J Neurosci, 17(18), 7079-7102. https://doi.org/10.1523/JNEUROSCI.17-18-07079.1997</t>
        </is>
      </c>
      <c r="B634" s="19"/>
      <c r="C634" s="19"/>
      <c r="D634" s="19" t="inlineStr">
        <is>
          <t>Table 1</t>
        </is>
      </c>
      <c r="E634" s="10" t="str">
        <f>SUBSTITUTE(SUBSTITUTE(_xlfn.TEXTBEFORE(A634,","), "-", ""), " ", "")</f>
        <v>VanEssen</v>
      </c>
      <c r="F634" s="10"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4" s="10" t="str">
        <f>_xlfn.TEXTBEFORE(_xlfn.TEXTAFTER(A634, "("), ")")</f>
        <v>1997</v>
      </c>
      <c r="H634" s="10" t="str">
        <f>E634 &amp; IF(F634&lt;&gt;"", "_" &amp; SUBSTITUTE(F634," ",""), "_") &amp; IF(G634&lt;&gt;"", "_" &amp; G634, "_") &amp; IF(B634&lt;&gt;"", "_" &amp; B634, "")</f>
        <v>VanEssen__1997</v>
      </c>
      <c r="I634" s="10" t="str">
        <f>_xlfn.LET(
_xlpm.doi,IF(C634&lt;&gt;"",C634,_xlfn.TEXTAFTER(A634,"https://doi.org/")),
SUBSTITUTE(
SUBSTITUTE(
SUBSTITUTE(
SUBSTITUTE(
_xlpm.doi,
"/","%2F"),
":","%3A"),
"&lt;","%3C"),
"&gt;","%3E")
)</f>
        <v>10.1523%2FJNEUROSCI.17-18-07079.1997</v>
      </c>
      <c r="J634" s="10" t="str">
        <f>TRIM(_xlfn.TEXTJOIN("_",FALSE(),H634,(SUBSTITUTE(SUBSTITUTE(D634," ",""), "_", ""))))</f>
        <v>VanEssen__1997_Table1</v>
      </c>
      <c r="K634" s="10" t="str">
        <f>I634 &amp; "_" &amp; SUBSTITUTE(SUBSTITUTE(SUBSTITUTE(D634,CHAR(160),"")," ",""),"_","")</f>
        <v>10.1523%2FJNEUROSCI.17-18-07079.1997_Table1</v>
      </c>
      <c r="L634" s="10" t="str">
        <f t="array" ref="L634">IFERROR(INDEX(AUTO_Public_TSV_FileList!$A$1:$A$1000,MATCH(TRUE(),EXACT(K634,IFERROR(_xlfn.TEXTBEFORE(AUTO_Public_TSV_FileList!$A$1:$A$1000,".tsv"),"")),0)),"notfound")</f>
        <v>10.1523%2FJNEUROSCI.17-18-07079.1997_Table1.tsv</v>
      </c>
      <c r="M634" s="19" t="inlineStr">
        <is>
          <t>Table 1. Surface area measurements of cortical lobes</t>
        </is>
      </c>
      <c r="N634" s="19"/>
      <c r="O634" s="19"/>
      <c r="P634" s="19"/>
      <c r="Q634" s="19"/>
      <c r="R634" s="19"/>
      <c r="S634" s="19"/>
      <c r="T634" s="19"/>
      <c r="U634" s="19"/>
      <c r="V634" s="19"/>
      <c r="W634" s="19"/>
      <c r="X634" s="19"/>
      <c r="Y634" s="19"/>
      <c r="Z634" s="19"/>
      <c r="AA634" s="19"/>
      <c r="AB634" s="19"/>
      <c r="AC634" s="19"/>
      <c r="AD634" s="19"/>
      <c r="AE634" s="19"/>
      <c r="AF634" s="19"/>
      <c r="AG634" s="19"/>
    </row>
    <row r="635" ht="15" customHeight="1">
      <c r="A635" s="19" t="inlineStr">
        <is>
          <t>Van Essen, D. C., &amp; Drury, H. A. (1997). Structural and functional analyses of human cerebral cortex using a surface-based atlas. J Neurosci, 17(18), 7079-7102. https://doi.org/10.1523/JNEUROSCI.17-18-07079.1997</t>
        </is>
      </c>
      <c r="D635" t="inlineStr">
        <is>
          <t>ResultsTextCitedV1Ranges</t>
        </is>
      </c>
      <c r="E635" s="2" t="str">
        <f>SUBSTITUTE(SUBSTITUTE(_xlfn.TEXTBEFORE(A635,","), "-", ""), " ", "")</f>
        <v>VanEssen</v>
      </c>
      <c r="F635" s="7"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5" s="7" t="str">
        <f>_xlfn.TEXTBEFORE(_xlfn.TEXTAFTER(A635, "("), ")")</f>
        <v>1997</v>
      </c>
      <c r="H635" s="2" t="str">
        <f>E635 &amp; IF(F635&lt;&gt;"", "_" &amp; SUBSTITUTE(F635," ",""), "_") &amp; IF(G635&lt;&gt;"", "_" &amp; G635, "_") &amp; IF(B635&lt;&gt;"", "_" &amp; B635, "")</f>
        <v>VanEssen__1997</v>
      </c>
      <c r="I635" s="2" t="str">
        <f>_xlfn.LET(_xlpm.doi,IF(C635&lt;&gt;"",C635,_xlfn.TEXTAFTER(A635,"https://doi.org/")),SUBSTITUTE(SUBSTITUTE(SUBSTITUTE(SUBSTITUTE(_xlpm.doi,"/","%2F"),":","%3A"),"&lt;","%3C"),"&gt;","%3E"))</f>
        <v>10.1523%2FJNEUROSCI.17-18-07079.1997</v>
      </c>
      <c r="J635" s="2" t="str">
        <f>TRIM(_xlfn.TEXTJOIN("_",FALSE(),H635,(SUBSTITUTE(SUBSTITUTE(D635," ",""), "_", ""))))</f>
        <v>VanEssen__1997_ResultsTextCitedV1Ranges</v>
      </c>
      <c r="K635" s="7" t="str">
        <f>I635 &amp; "_" &amp; SUBSTITUTE(SUBSTITUTE(SUBSTITUTE(D635,CHAR(160),"")," ",""),"_","")</f>
        <v>10.1523%2FJNEUROSCI.17-18-07079.1997_ResultsTextCitedV1Ranges</v>
      </c>
      <c r="L635" s="7" t="str">
        <f t="array" ref="L635">IFERROR(INDEX(AUTO_Public_TSV_FileList!$A$1:$A$1000,MATCH(TRUE(),EXACT(K635,IFERROR(_xlfn.TEXTBEFORE(AUTO_Public_TSV_FileList!$A$1:$A$1000,".tsv"),"")),0)),"notfound")</f>
        <v>notfound</v>
      </c>
      <c r="M635" t="inlineStr">
        <is>
          <t>Results: Estimating the extent of area V1 — cited single-hemisphere human V1 ranges from Filiminoff 1932 and Stensaas et al. 1974</t>
        </is>
      </c>
      <c r="N635" t="inlineStr">
        <is>
          <t>Results text; secondary citation</t>
        </is>
      </c>
      <c r="O635" t="inlineStr">
        <is>
          <t>Cited range endpoints transcribed from Van Essen &amp; Drury PDF page 11. Secondary provenance only; no midpoint or independent V1 observation.</t>
        </is>
      </c>
      <c r="P635" t="inlineStr">
        <is>
          <t>BUILT as secondary citation; primary source extraction pending</t>
        </is>
      </c>
      <c r="Q635" t="inlineStr">
        <is>
          <t>VanEssen_Drury_1997_CitedV1Ranges_pdf_transcription.csv</t>
        </is>
      </c>
      <c r="R635" t="inlineStr">
        <is>
          <t>https://doi.org/10.1523/JNEUROSCI.17-18-07079.1997</t>
        </is>
      </c>
      <c r="S635" t="inlineStr">
        <is>
          <t>Filiminoff 1932 scan found in local EndNote and copied to paper folder.</t>
        </is>
      </c>
      <c r="T635" t="inlineStr">
        <is>
          <t>Stensaas 1974 PDF missing; no primary case-level data independently verified.</t>
        </is>
      </c>
      <c r="V635" t="inlineStr">
        <is>
          <t>primary visual cortex; source provenance</t>
        </is>
      </c>
      <c r="W635" t="inlineStr">
        <is>
          <t>Homo sapiens</t>
        </is>
      </c>
      <c r="X635" t="inlineStr">
        <is>
          <t>V1 area range (mm2), secondary cited endpoints</t>
        </is>
      </c>
      <c r="Z635" t="inlineStr">
        <is>
          <t>literature citation</t>
        </is>
      </c>
      <c r="AA635" t="inlineStr">
        <is>
          <t>range conversion cm2 to mm2 (x100)</t>
        </is>
      </c>
      <c r="AB635" t="inlineStr">
        <is>
          <t>surface area range</t>
        </is>
      </c>
      <c r="AE635" t="inlineStr">
        <is>
          <t>secondary</t>
        </is>
      </c>
      <c r="AF635" t="inlineStr">
        <is>
          <t>Filiminoff 1932; Stensaas et al. 1974</t>
        </is>
      </c>
    </row>
    <row r="636" ht="15" customHeight="1">
      <c r="A636" s="19" t="inlineStr">
        <is>
          <t>Veilleux, C. C., &amp; Kirk, E. C. (2014). Visual acuity in mammals: Effects of eye size and ecology. Brain Behav Evol, 83(1), 43-53. https://doi.org/10.1159/000357830</t>
        </is>
      </c>
      <c r="B636" s="19"/>
      <c r="C636" s="19"/>
      <c r="D636" s="19" t="inlineStr">
        <is>
          <t>Supplemental Table 1</t>
        </is>
      </c>
      <c r="E636" s="10" t="str">
        <f>SUBSTITUTE(SUBSTITUTE(_xlfn.TEXTBEFORE(A636,","), "-", ""), " ", "")</f>
        <v>Veilleux</v>
      </c>
      <c r="F636" s="10"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6" s="10" t="str">
        <f>_xlfn.TEXTBEFORE(_xlfn.TEXTAFTER(A636, "("), ")")</f>
        <v>2014</v>
      </c>
      <c r="H636" s="10" t="str">
        <f>E636 &amp; IF(F636&lt;&gt;"", "_" &amp; SUBSTITUTE(F636," ",""), "_") &amp; IF(G636&lt;&gt;"", "_" &amp; G636, "_") &amp; IF(B636&lt;&gt;"", "_" &amp; B636, "")</f>
        <v>Veilleux__2014</v>
      </c>
      <c r="I636" s="10" t="str">
        <f>_xlfn.LET(
_xlpm.doi,IF(C636&lt;&gt;"",C636,_xlfn.TEXTAFTER(A636,"https://doi.org/")),
SUBSTITUTE(
SUBSTITUTE(
SUBSTITUTE(
SUBSTITUTE(
_xlpm.doi,
"/","%2F"),
":","%3A"),
"&lt;","%3C"),
"&gt;","%3E")
)</f>
        <v>10.1159%2F000357830</v>
      </c>
      <c r="J636" s="10" t="str">
        <f>TRIM(_xlfn.TEXTJOIN("_",FALSE(),H636,(SUBSTITUTE(SUBSTITUTE(D636," ",""), "_", ""))))</f>
        <v>Veilleux__2014_SupplementalTable1</v>
      </c>
      <c r="K636" s="10" t="str">
        <f>I636 &amp; "_" &amp; SUBSTITUTE(SUBSTITUTE(SUBSTITUTE(D636,CHAR(160),"")," ",""),"_","")</f>
        <v>10.1159%2F000357830_SupplementalTable1</v>
      </c>
      <c r="L636" s="10" t="str">
        <f t="array" ref="L636">IFERROR(INDEX(AUTO_Public_TSV_FileList!$A$1:$A$1000,MATCH(TRUE(),EXACT(K636,IFERROR(_xlfn.TEXTBEFORE(AUTO_Public_TSV_FileList!$A$1:$A$1000,".tsv"),"")),0)),"notfound")</f>
        <v>10.1159%2F000357830_SupplementalTable1.tsv</v>
      </c>
      <c r="M636" s="19" t="inlineStr">
        <is>
          <t>Supplemental Table 1. Visual and Ecological Comparative Mammalian Dataset.</t>
        </is>
      </c>
      <c r="N636" s="15" t="inlineStr">
        <is>
          <t>table</t>
        </is>
      </c>
      <c r="O636" s="21" t="inlineStr">
        <is>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is>
      </c>
      <c r="P636" s="21"/>
      <c r="Q636" s="21"/>
      <c r="R636" s="21" t="inlineStr">
        <is>
          <t>https://doi.org/10.1159/000357830</t>
        </is>
      </c>
      <c r="S636" s="21" t="inlineStr">
        <is>
          <t>Column abbreviations, units and category codes read from the supplement's own legend; species and order blocks read from the supplement PDF (2026-08-31). Main-paper Tables 1-2 checked and confirmed to be regression output only.</t>
        </is>
      </c>
      <c r="T636" s="21" t="inlineStr">
        <is>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is>
      </c>
      <c r="U636" s="21"/>
      <c r="V636" s="21"/>
      <c r="W636" s="21" t="inlineStr">
        <is>
          <t>Mammals</t>
        </is>
      </c>
      <c r="X636" s="21" t="inlineStr">
        <is>
          <t>maximum visual acuity; eye axial diameter; body mass; maximum running speed; activity pattern; diet</t>
        </is>
      </c>
      <c r="Y636" s="21"/>
      <c r="Z636" s="21"/>
      <c r="AA636" s="21" t="inlineStr">
        <is>
          <t>Behavioral acuity where available; otherwise anatomical acuity computed from eye length and peak retinal ganglion-cell or cone density following Pettigrew et al. (1988), with activity-pattern k values revised by the authors</t>
        </is>
      </c>
      <c r="AB636" s="21" t="inlineStr">
        <is>
          <t>visual acuity (cycles/degree); eye length (mm)</t>
        </is>
      </c>
      <c r="AC636" s="21"/>
      <c r="AD636" s="21"/>
      <c r="AE636" s="19" t="inlineStr">
        <is>
          <t>both</t>
        </is>
      </c>
      <c r="AF636" s="19"/>
      <c r="AG636" s="21" t="inlineStr">
        <is>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is>
      </c>
    </row>
    <row r="637" ht="15" customHeight="1">
      <c r="A637" s="19" t="inlineStr">
        <is>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is>
      </c>
      <c r="B637" s="19"/>
      <c r="C637" s="19"/>
      <c r="D637" s="19" t="inlineStr">
        <is>
          <t>normative volumes</t>
        </is>
      </c>
      <c r="E637" s="11" t="str">
        <f>SUBSTITUTE(SUBSTITUTE(_xlfn.TEXTBEFORE(A637,","), "-", ""), " ", "")</f>
        <v>Walhovd</v>
      </c>
      <c r="F637" s="11"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11" t="str">
        <f>_xlfn.TEXTBEFORE(_xlfn.TEXTAFTER(A637, "("), ")")</f>
        <v>2011</v>
      </c>
      <c r="H637" s="11" t="str">
        <f>E637 &amp; IF(F637&lt;&gt;"", "_" &amp; SUBSTITUTE(F637," ",""), "_") &amp; IF(G637&lt;&gt;"", "_" &amp; G637, "_") &amp; IF(B637&lt;&gt;"", "_" &amp; B637, "")</f>
        <v>Walhovd_etal_2011</v>
      </c>
      <c r="I637" s="11" t="str">
        <f>_xlfn.LET(
_xlpm.doi,IF(C637&lt;&gt;"",C637,_xlfn.TEXTAFTER(A637,"https://doi.org/")),
SUBSTITUTE(
SUBSTITUTE(
SUBSTITUTE(
SUBSTITUTE(
_xlpm.doi,
"/","%2F"),
":","%3A"),
"&lt;","%3C"),
"&gt;","%3E")
)</f>
        <v>10.1016%2Fj.neurobiolaging.2009.05.013</v>
      </c>
      <c r="J637" s="11" t="str">
        <f>TRIM(_xlfn.TEXTJOIN("_",FALSE(),H637,(SUBSTITUTE(SUBSTITUTE(D637," ",""), "_", ""))))</f>
        <v>Walhovd_etal_2011_normativevolumes</v>
      </c>
      <c r="K637" s="11" t="str">
        <f>I637 &amp; "_" &amp; SUBSTITUTE(SUBSTITUTE(SUBSTITUTE(D637,CHAR(160),""), " ", ""), "_", "")</f>
        <v>10.1016%2Fj.neurobiolaging.2009.05.013_normativevolumes</v>
      </c>
      <c r="L637" s="10" t="str">
        <f t="array" ref="L637">IFERROR(INDEX(AUTO_Public_TSV_FileList!$A$1:$A$1000,MATCH(TRUE(),EXACT(K637,IFERROR(_xlfn.TEXTBEFORE(AUTO_Public_TSV_FileList!$A$1:$A$1000,".tsv"),"")),0)),"notfound")</f>
        <v>10.1016%2Fj.neurobiolaging.2009.05.013_normativevolumes.tsv</v>
      </c>
      <c r="M637" s="19" t="inlineStr">
        <is>
          <t>Normative regional brain volumes (n=262, 18-29 yr)</t>
        </is>
      </c>
      <c r="N637" s="19" t="inlineStr">
        <is>
          <t>published table</t>
        </is>
      </c>
      <c r="O637" s="19"/>
      <c r="P637" s="19" t="inlineStr">
        <is>
          <t>FINISHED</t>
        </is>
      </c>
      <c r="Q637" s="19" t="inlineStr">
        <is>
          <t>Walhovd_etal_2011_normative_snapshot.csv</t>
        </is>
      </c>
      <c r="R637" s="19"/>
      <c r="S637" s="19"/>
      <c r="T637" s="19"/>
      <c r="U637" s="19"/>
      <c r="V637" s="19"/>
      <c r="W637" s="19" t="inlineStr">
        <is>
          <t>Humans</t>
        </is>
      </c>
      <c r="X637" s="19"/>
      <c r="Y637" s="19"/>
      <c r="Z637" s="19" t="inlineStr">
        <is>
          <t>regional brain volumes</t>
        </is>
      </c>
      <c r="AA637" s="19" t="inlineStr">
        <is>
          <t>MRI volumetry (FreeSurfer)</t>
        </is>
      </c>
      <c r="AB637" s="19" t="inlineStr">
        <is>
          <t>volume</t>
        </is>
      </c>
      <c r="AC637" s="19" t="inlineStr">
        <is>
          <t>Fjell/Walhovd</t>
        </is>
      </c>
      <c r="AD637" s="19"/>
      <c r="AE637" s="19" t="inlineStr">
        <is>
          <t>secondary</t>
        </is>
      </c>
      <c r="AF637" s="19"/>
      <c r="AG637" s="19"/>
    </row>
    <row r="638" ht="15" customHeight="1">
      <c r="A638" t="inlineStr">
        <is>
          <t>Walker, R., Burger, O., Wagner, J., &amp; Von Rueden, C. R. (2006). Evolution of brain size and juvenile periods in primates. Journal of Human Evolution, 51(5), 480-489. https://doi.org/10.1016/j.jhevol.2006.06.002</t>
        </is>
      </c>
      <c r="B638" s="20"/>
      <c r="D638" t="inlineStr">
        <is>
          <t>Table 8</t>
        </is>
      </c>
      <c r="E638" s="10" t="str">
        <f>SUBSTITUTE(SUBSTITUTE(_xlfn.TEXTBEFORE(A638,","), "-", ""), " ", "")</f>
        <v>Walker</v>
      </c>
      <c r="F638" s="10"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10" t="str">
        <f>_xlfn.TEXTBEFORE(_xlfn.TEXTAFTER(A638, "("), ")")</f>
        <v>2006</v>
      </c>
      <c r="H638" s="10" t="str">
        <f>E638 &amp; IF(F638&lt;&gt;"", "_" &amp; SUBSTITUTE(F638," ",""), "_") &amp; IF(G638&lt;&gt;"", "_" &amp; G638, "_") &amp; IF(B638&lt;&gt;"", "_" &amp; B638, "")</f>
        <v>Walker_etal_2006</v>
      </c>
      <c r="I638" s="10" t="str">
        <f>_xlfn.LET(
_xlpm.doi,IF(C638&lt;&gt;"",C638,_xlfn.TEXTAFTER(A638,"https://doi.org/")),
SUBSTITUTE(
SUBSTITUTE(
SUBSTITUTE(
SUBSTITUTE(
_xlpm.doi,
"/","%2F"),
":","%3A"),
"&lt;","%3C"),
"&gt;","%3E")
)</f>
        <v>10.1016%2Fj.jhevol.2006.06.002</v>
      </c>
      <c r="J638" s="10" t="str">
        <f>TRIM(_xlfn.TEXTJOIN("_",FALSE(),H638,(SUBSTITUTE(SUBSTITUTE(D638," ",""), "_", ""))))</f>
        <v>Walker_etal_2006_Table8</v>
      </c>
      <c r="K638" s="10" t="str">
        <f>I638 &amp; "_" &amp; SUBSTITUTE(SUBSTITUTE(SUBSTITUTE(D638,CHAR(160),"")," ",""),"_","")</f>
        <v>10.1016%2Fj.jhevol.2006.06.002_Table8</v>
      </c>
      <c r="L638" s="10" t="str">
        <f t="array" ref="L638">IFERROR(INDEX(AUTO_Public_TSV_FileList!$A$1:$A$1000,MATCH(TRUE(),EXACT(K638,IFERROR(_xlfn.TEXTBEFORE(AUTO_Public_TSV_FileList!$A$1:$A$1000,".tsv"),"")),0)),"notfound")</f>
        <v>10.1016%2Fj.jhevol.2006.06.002_Table8.tsv</v>
      </c>
      <c r="M638" t="inlineStr">
        <is>
          <t>Table 8. Comparison between observed brain ratios in humans and those expected from primate regressions (chimpanzee brain ratios are included for comparison)</t>
        </is>
      </c>
      <c r="N638" t="inlineStr">
        <is>
          <t>PDF table (constructed transcribed snapshot)</t>
        </is>
      </c>
      <c r="O638" t="inlineStr">
        <is>
          <t>Two species, five brain ratios; human Predicted is a regression output. Walker 2006 prints no species-level juvenile-period data (external Kaplan et al. 2003 database); Lewitus 2014 cites this paper as dataset-wide source for primate juvenile periods.</t>
        </is>
      </c>
      <c r="P638" t="inlineStr">
        <is>
          <t>PREPARED (CSV built; owner registry paste / public TSV pending; RA side-by-side check pending)</t>
        </is>
      </c>
      <c r="Q638" t="inlineStr">
        <is>
          <t>Walker_etal_2006_Table8_snapshot.csv</t>
        </is>
      </c>
      <c r="R638" t="inlineStr">
        <is>
          <t>https://doi.org/10.1016/j.jhevol.2006.06.002</t>
        </is>
      </c>
      <c r="W638" t="inlineStr">
        <is>
          <t>Primates (Homo sapiens, Pan troglodytes)</t>
        </is>
      </c>
      <c r="X638" t="inlineStr">
        <is>
          <t>neocortex ratio, nonvisual neocortex ratio, executive-to-brainstem ratio</t>
        </is>
      </c>
      <c r="Y638" t="inlineStr">
        <is>
          <t>observed vs predicted human values</t>
        </is>
      </c>
      <c r="Z638" t="inlineStr">
        <is>
          <t>brain-component volumes (Stephan collection via Reader &amp; MacDonald 2003)</t>
        </is>
      </c>
      <c r="AA638" t="inlineStr">
        <is>
          <t>ratios from literature volumes; predictions from multiple regressions</t>
        </is>
      </c>
      <c r="AB638" t="inlineStr">
        <is>
          <t>brain ratios</t>
        </is>
      </c>
      <c r="AE638" t="inlineStr">
        <is>
          <t>both</t>
        </is>
      </c>
      <c r="AF638" t="inlineStr">
        <is>
          <t>Reader &amp; MacDonald 2003 (from Stephan et al. 1970, 1981, 1988)</t>
        </is>
      </c>
    </row>
    <row r="639" ht="15" customHeight="1">
      <c r="A639" s="15" t="inlineStr">
        <is>
          <t>Weaver, A. G. H. (2001). The cerebellum and cognitive evolution in Pliocene and Pleistocene hominids (Publication No. 3017523) [Doctoral dissertation, The University of New Mexico]. ProQuest Dissertations &amp; Theses Global.</t>
        </is>
      </c>
      <c r="B639" s="19"/>
      <c r="C639" s="15" t="inlineStr">
        <is>
          <t>UMI:3017523</t>
        </is>
      </c>
      <c r="D639" s="15" t="inlineStr">
        <is>
          <t>Notes for Table A-15</t>
        </is>
      </c>
      <c r="E639" s="10" t="str">
        <f>SUBSTITUTE(SUBSTITUTE(_xlfn.TEXTBEFORE(A639,","), "-", ""), " ", "")</f>
        <v>Weaver</v>
      </c>
      <c r="F639" s="10"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9" s="10" t="str">
        <f>_xlfn.TEXTBEFORE(_xlfn.TEXTAFTER(A639, "("), ")")</f>
        <v>2001</v>
      </c>
      <c r="H639" s="10" t="str">
        <f>E639 &amp; IF(F639&lt;&gt;"", "_" &amp; SUBSTITUTE(F639," ",""), "_") &amp; IF(G639&lt;&gt;"", "_" &amp; G639, "_") &amp; IF(B639&lt;&gt;"", "_" &amp; B639, "")</f>
        <v>Weaver__2001</v>
      </c>
      <c r="I639" s="10" t="str">
        <f>_xlfn.LET(
_xlpm.doi,IF(C639&lt;&gt;"",C639,_xlfn.TEXTAFTER(A639,"https://doi.org/")),
SUBSTITUTE(
SUBSTITUTE(
SUBSTITUTE(
SUBSTITUTE(
_xlpm.doi,
"/","%2F"),
":","%3A"),
"&lt;","%3C"),
"&gt;","%3E")
)</f>
        <v>UMI%3A3017523</v>
      </c>
      <c r="J639" s="10" t="str">
        <f>TRIM(_xlfn.TEXTJOIN("_",FALSE(),H639,(SUBSTITUTE(SUBSTITUTE(D639," ",""), "_", ""))))</f>
        <v>Weaver__2001_NotesforTableA-15</v>
      </c>
      <c r="K639" s="10" t="str">
        <f>I639 &amp; "_" &amp; SUBSTITUTE(SUBSTITUTE(SUBSTITUTE(D639,CHAR(160),"")," ",""),"_","")</f>
        <v>UMI%3A3017523_NotesforTableA-15</v>
      </c>
      <c r="L639" s="10" t="str">
        <f t="array" ref="L639">IFERROR(INDEX(AUTO_Public_TSV_FileList!$A$1:$A$1000,MATCH(TRUE(),EXACT(K639,IFERROR(_xlfn.TEXTBEFORE(AUTO_Public_TSV_FileList!$A$1:$A$1000,".tsv"),"")),0)),"notfound")</f>
        <v>UMI%3A3017523_NotesforTableA-15.tsv</v>
      </c>
      <c r="M639" s="15" t="inlineStr">
        <is>
          <t>Notes for Table A-15</t>
        </is>
      </c>
      <c r="N639" s="19"/>
      <c r="O639" s="19"/>
      <c r="P639" s="15" t="inlineStr">
        <is>
          <t>FINISHED</t>
        </is>
      </c>
      <c r="Q639" s="19"/>
      <c r="R639" s="19"/>
      <c r="S639" s="19"/>
      <c r="T639" s="19"/>
      <c r="U639" s="19"/>
      <c r="V639" s="19"/>
      <c r="W639" s="19"/>
      <c r="X639" s="19"/>
      <c r="Y639" s="19"/>
      <c r="Z639" s="19"/>
      <c r="AA639" s="19"/>
      <c r="AB639" s="19"/>
      <c r="AC639" s="19"/>
      <c r="AD639" s="19"/>
      <c r="AE639" s="19"/>
      <c r="AF639" s="19"/>
      <c r="AG639" s="19"/>
    </row>
    <row r="640" ht="15" customHeight="1">
      <c r="A640" s="15" t="inlineStr">
        <is>
          <t>Weaver, A. G. H. (2001). The cerebellum and cognitive evolution in Pliocene and Pleistocene hominids (Publication No. 3017523) [Doctoral dissertation, The University of New Mexico]. ProQuest Dissertations &amp; Theses Global.</t>
        </is>
      </c>
      <c r="B640" s="19"/>
      <c r="C640" s="15" t="inlineStr">
        <is>
          <t>UMI:3017523</t>
        </is>
      </c>
      <c r="D640" s="15" t="inlineStr">
        <is>
          <t>Table A-11</t>
        </is>
      </c>
      <c r="E640" s="10" t="str">
        <f>SUBSTITUTE(SUBSTITUTE(_xlfn.TEXTBEFORE(A640,","), "-", ""), " ", "")</f>
        <v>Weaver</v>
      </c>
      <c r="F640" s="10"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0" s="10" t="str">
        <f>_xlfn.TEXTBEFORE(_xlfn.TEXTAFTER(A640, "("), ")")</f>
        <v>2001</v>
      </c>
      <c r="H640" s="10" t="str">
        <f>E640 &amp; IF(F640&lt;&gt;"", "_" &amp; SUBSTITUTE(F640," ",""), "_") &amp; IF(G640&lt;&gt;"", "_" &amp; G640, "_") &amp; IF(B640&lt;&gt;"", "_" &amp; B640, "")</f>
        <v>Weaver__2001</v>
      </c>
      <c r="I640" s="10" t="str">
        <f>_xlfn.LET(
_xlpm.doi,IF(C640&lt;&gt;"",C640,_xlfn.TEXTAFTER(A640,"https://doi.org/")),
SUBSTITUTE(
SUBSTITUTE(
SUBSTITUTE(
SUBSTITUTE(
_xlpm.doi,
"/","%2F"),
":","%3A"),
"&lt;","%3C"),
"&gt;","%3E")
)</f>
        <v>UMI%3A3017523</v>
      </c>
      <c r="J640" s="10" t="str">
        <f>TRIM(_xlfn.TEXTJOIN("_",FALSE(),H640,(SUBSTITUTE(SUBSTITUTE(D640," ",""), "_", ""))))</f>
        <v>Weaver__2001_TableA-11</v>
      </c>
      <c r="K640" s="10" t="str">
        <f>I640 &amp; "_" &amp; SUBSTITUTE(SUBSTITUTE(SUBSTITUTE(D640,CHAR(160),"")," ",""),"_","")</f>
        <v>UMI%3A3017523_TableA-11</v>
      </c>
      <c r="L640" s="10" t="str">
        <f t="array" ref="L640">IFERROR(INDEX(AUTO_Public_TSV_FileList!$A$1:$A$1000,MATCH(TRUE(),EXACT(K640,IFERROR(_xlfn.TEXTBEFORE(AUTO_Public_TSV_FileList!$A$1:$A$1000,".tsv"),"")),0)),"notfound")</f>
        <v>UMI%3A3017523_TableA-11.tsv</v>
      </c>
      <c r="M640" s="15" t="inlineStr">
        <is>
          <t>Table A-11: PCF and CBLM Volume from MRI Scans (34 specimens).</t>
        </is>
      </c>
      <c r="N640" s="19"/>
      <c r="O640" s="19"/>
      <c r="P640" s="15" t="inlineStr">
        <is>
          <t>FINISHED</t>
        </is>
      </c>
      <c r="Q640" s="19"/>
      <c r="R640" s="19"/>
      <c r="S640" s="19"/>
      <c r="T640" s="19"/>
      <c r="U640" s="19"/>
      <c r="V640" s="19"/>
      <c r="W640" s="19"/>
      <c r="X640" s="19"/>
      <c r="Y640" s="19"/>
      <c r="Z640" s="19"/>
      <c r="AA640" s="19"/>
      <c r="AB640" s="19"/>
      <c r="AC640" s="19"/>
      <c r="AD640" s="19"/>
      <c r="AE640" s="19"/>
      <c r="AF640" s="19"/>
      <c r="AG640" s="19"/>
    </row>
    <row r="641" ht="15" customHeight="1">
      <c r="A641" s="15" t="inlineStr">
        <is>
          <t>Weaver, A. G. H. (2001). The cerebellum and cognitive evolution in Pliocene and Pleistocene hominids (Publication No. 3017523) [Doctoral dissertation, The University of New Mexico]. ProQuest Dissertations &amp; Theses Global.</t>
        </is>
      </c>
      <c r="B641" s="19"/>
      <c r="C641" s="15" t="inlineStr">
        <is>
          <t>UMI:3017523</t>
        </is>
      </c>
      <c r="D641" s="15" t="inlineStr">
        <is>
          <t>Table A-15</t>
        </is>
      </c>
      <c r="E641" s="10" t="str">
        <f>SUBSTITUTE(SUBSTITUTE(_xlfn.TEXTBEFORE(A641,","), "-", ""), " ", "")</f>
        <v>Weaver</v>
      </c>
      <c r="F641" s="10"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1" s="10" t="str">
        <f>_xlfn.TEXTBEFORE(_xlfn.TEXTAFTER(A641, "("), ")")</f>
        <v>2001</v>
      </c>
      <c r="H641" s="10" t="str">
        <f>E641 &amp; IF(F641&lt;&gt;"", "_" &amp; SUBSTITUTE(F641," ",""), "_") &amp; IF(G641&lt;&gt;"", "_" &amp; G641, "_") &amp; IF(B641&lt;&gt;"", "_" &amp; B641, "")</f>
        <v>Weaver__2001</v>
      </c>
      <c r="I641" s="10" t="str">
        <f>_xlfn.LET(
_xlpm.doi,IF(C641&lt;&gt;"",C641,_xlfn.TEXTAFTER(A641,"https://doi.org/")),
SUBSTITUTE(
SUBSTITUTE(
SUBSTITUTE(
SUBSTITUTE(
_xlpm.doi,
"/","%2F"),
":","%3A"),
"&lt;","%3C"),
"&gt;","%3E")
)</f>
        <v>UMI%3A3017523</v>
      </c>
      <c r="J641" s="10" t="str">
        <f>TRIM(_xlfn.TEXTJOIN("_",FALSE(),H641,(SUBSTITUTE(SUBSTITUTE(D641," ",""), "_", ""))))</f>
        <v>Weaver__2001_TableA-15</v>
      </c>
      <c r="K641" s="10" t="str">
        <f>I641 &amp; "_" &amp; SUBSTITUTE(SUBSTITUTE(SUBSTITUTE(D641,CHAR(160),"")," ",""),"_","")</f>
        <v>UMI%3A3017523_TableA-15</v>
      </c>
      <c r="L641" s="10" t="str">
        <f t="array" ref="L641">IFERROR(INDEX(AUTO_Public_TSV_FileList!$A$1:$A$1000,MATCH(TRUE(),EXACT(K641,IFERROR(_xlfn.TEXTBEFORE(AUTO_Public_TSV_FileList!$A$1:$A$1000,".tsv"),"")),0)),"notfound")</f>
        <v>UMI%3A3017523_TableA-15.tsv</v>
      </c>
      <c r="M641" s="15" t="inlineStr">
        <is>
          <t>Table A-15: Data for Raw and Derived Variables</t>
        </is>
      </c>
      <c r="N641" s="19"/>
      <c r="O641" s="19"/>
      <c r="P641" s="15" t="inlineStr">
        <is>
          <t>FINISHED</t>
        </is>
      </c>
      <c r="Q641" s="19"/>
      <c r="R641" s="19"/>
      <c r="S641" s="19"/>
      <c r="T641" s="19"/>
      <c r="U641" s="19"/>
      <c r="V641" s="19"/>
      <c r="W641" s="19"/>
      <c r="X641" s="19"/>
      <c r="Y641" s="19"/>
      <c r="Z641" s="19"/>
      <c r="AA641" s="19"/>
      <c r="AB641" s="19"/>
      <c r="AC641" s="19"/>
      <c r="AD641" s="19"/>
      <c r="AE641" s="19"/>
      <c r="AF641" s="19"/>
      <c r="AG641" s="19"/>
    </row>
    <row r="642" ht="15" customHeight="1">
      <c r="A642" s="19" t="inlineStr">
        <is>
          <t>Weibel, E. R., Bacigalupe, L. D., Schmitt, B., &amp; Hoppeler, H. (2004). Allometric scaling of maximal metabolic rate in mammals: muscle aerobic capacity as determinant factor. Respir Physiol Neurobiol, 140(2), 115-132. https://doi.org/10.1016/j.resp.2004.01.006</t>
        </is>
      </c>
      <c r="B642" s="19"/>
      <c r="C642" s="19"/>
      <c r="D642" s="19" t="inlineStr">
        <is>
          <t>Table 1</t>
        </is>
      </c>
      <c r="E642" s="10" t="str">
        <f>SUBSTITUTE(SUBSTITUTE(_xlfn.TEXTBEFORE(A642,","), "-", ""), " ", "")</f>
        <v>Weibel</v>
      </c>
      <c r="F642" s="10"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10" t="str">
        <f>_xlfn.TEXTBEFORE(_xlfn.TEXTAFTER(A642, "("), ")")</f>
        <v>2004</v>
      </c>
      <c r="H642" s="10" t="str">
        <f>E642 &amp; IF(F642&lt;&gt;"", "_" &amp; SUBSTITUTE(F642," ",""), "_") &amp; IF(G642&lt;&gt;"", "_" &amp; G642, "_") &amp; IF(B642&lt;&gt;"", "_" &amp; B642, "")</f>
        <v>Weibel_etal_2004</v>
      </c>
      <c r="I642" s="10" t="str">
        <f>_xlfn.LET(
_xlpm.doi,IF(C642&lt;&gt;"",C642,_xlfn.TEXTAFTER(A642,"https://doi.org/")),
SUBSTITUTE(
SUBSTITUTE(
SUBSTITUTE(
SUBSTITUTE(
_xlpm.doi,
"/","%2F"),
":","%3A"),
"&lt;","%3C"),
"&gt;","%3E")
)</f>
        <v>10.1016%2Fj.resp.2004.01.006</v>
      </c>
      <c r="J642" s="10" t="str">
        <f>TRIM(_xlfn.TEXTJOIN("_",FALSE(),H642,(SUBSTITUTE(SUBSTITUTE(D642," ",""), "_", ""))))</f>
        <v>Weibel_etal_2004_Table1</v>
      </c>
      <c r="K642" s="10" t="str">
        <f>I642 &amp; "_" &amp; SUBSTITUTE(SUBSTITUTE(SUBSTITUTE(D642,CHAR(160),"")," ",""),"_","")</f>
        <v>10.1016%2Fj.resp.2004.01.006_Table1</v>
      </c>
      <c r="L642" s="10" t="str">
        <f t="array" ref="L642">IFERROR(INDEX(AUTO_Public_TSV_FileList!$A$1:$A$1000,MATCH(TRUE(),EXACT(K642,IFERROR(_xlfn.TEXTBEFORE(AUTO_Public_TSV_FileList!$A$1:$A$1000,".tsv"),"")),0)),"notfound")</f>
        <v>10.1016%2Fj.resp.2004.01.006_Table1.tsv</v>
      </c>
      <c r="M642" s="19" t="inlineStr">
        <is>
          <t>Table 1 VO2 max and body mass for 34 mammalian species (see reference list in Appendix A for sources)</t>
        </is>
      </c>
      <c r="N642" s="19"/>
      <c r="O642" s="19"/>
      <c r="P642" s="19"/>
      <c r="Q642" s="19"/>
      <c r="R642" s="19"/>
      <c r="S642" s="19"/>
      <c r="T642" s="19"/>
      <c r="U642" s="19"/>
      <c r="V642" s="19"/>
      <c r="W642" s="19"/>
      <c r="X642" s="19"/>
      <c r="Y642" s="19"/>
      <c r="Z642" s="19"/>
      <c r="AA642" s="19"/>
      <c r="AB642" s="19"/>
      <c r="AC642" s="19"/>
      <c r="AD642" s="19"/>
      <c r="AE642" s="19"/>
      <c r="AF642" s="19"/>
      <c r="AG642" s="19"/>
    </row>
    <row r="643" ht="15" customHeight="1">
      <c r="A643" s="19" t="inlineStr">
        <is>
          <t>Weibel, E. R., Bacigalupe, L. D., Schmitt, B., &amp; Hoppeler, H. (2004). Allometric scaling of maximal metabolic rate in mammals: muscle aerobic capacity as determinant factor. Respir Physiol Neurobiol, 140(2), 115-132. https://doi.org/10.1016/j.resp.2004.01.006</t>
        </is>
      </c>
      <c r="B643" s="19"/>
      <c r="C643" s="19"/>
      <c r="D643" s="19" t="inlineStr">
        <is>
          <t>Table A.1</t>
        </is>
      </c>
      <c r="E643" s="10" t="str">
        <f>SUBSTITUTE(SUBSTITUTE(_xlfn.TEXTBEFORE(A643,","), "-", ""), " ", "")</f>
        <v>Weibel</v>
      </c>
      <c r="F643" s="10"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10" t="str">
        <f>_xlfn.TEXTBEFORE(_xlfn.TEXTAFTER(A643, "("), ")")</f>
        <v>2004</v>
      </c>
      <c r="H643" s="10" t="str">
        <f>E643 &amp; IF(F643&lt;&gt;"", "_" &amp; SUBSTITUTE(F643," ",""), "_") &amp; IF(G643&lt;&gt;"", "_" &amp; G643, "_") &amp; IF(B643&lt;&gt;"", "_" &amp; B643, "")</f>
        <v>Weibel_etal_2004</v>
      </c>
      <c r="I643" s="10" t="str">
        <f>_xlfn.LET(
_xlpm.doi,IF(C643&lt;&gt;"",C643,_xlfn.TEXTAFTER(A643,"https://doi.org/")),
SUBSTITUTE(
SUBSTITUTE(
SUBSTITUTE(
SUBSTITUTE(
_xlpm.doi,
"/","%2F"),
":","%3A"),
"&lt;","%3C"),
"&gt;","%3E")
)</f>
        <v>10.1016%2Fj.resp.2004.01.006</v>
      </c>
      <c r="J643" s="10" t="str">
        <f>TRIM(_xlfn.TEXTJOIN("_",FALSE(),H643,(SUBSTITUTE(SUBSTITUTE(D643," ",""), "_", ""))))</f>
        <v>Weibel_etal_2004_TableA.1</v>
      </c>
      <c r="K643" s="10" t="str">
        <f>I643 &amp; "_" &amp; SUBSTITUTE(SUBSTITUTE(SUBSTITUTE(D643,CHAR(160),"")," ",""),"_","")</f>
        <v>10.1016%2Fj.resp.2004.01.006_TableA.1</v>
      </c>
      <c r="L643" s="10" t="str">
        <f t="array" ref="L643">IFERROR(INDEX(AUTO_Public_TSV_FileList!$A$1:$A$1000,MATCH(TRUE(),EXACT(K643,IFERROR(_xlfn.TEXTBEFORE(AUTO_Public_TSV_FileList!$A$1:$A$1000,".tsv"),"")),0)),"notfound")</f>
        <v>10.1016%2Fj.resp.2004.01.006_TableA.1.tsv</v>
      </c>
      <c r="M643" s="19" t="inlineStr">
        <is>
          <t>Table A.1 Estimates of VO2 max and body mass in mammalian species</t>
        </is>
      </c>
      <c r="N643" s="19"/>
      <c r="O643" s="19"/>
      <c r="P643" s="19"/>
      <c r="Q643" s="19"/>
      <c r="R643" s="19"/>
      <c r="S643" s="19"/>
      <c r="T643" s="19"/>
      <c r="U643" s="19"/>
      <c r="V643" s="19"/>
      <c r="W643" s="19"/>
      <c r="X643" s="19"/>
      <c r="Y643" s="19"/>
      <c r="Z643" s="19"/>
      <c r="AA643" s="19"/>
      <c r="AB643" s="19"/>
      <c r="AC643" s="19"/>
      <c r="AD643" s="19"/>
      <c r="AE643" s="19"/>
      <c r="AF643" s="19"/>
      <c r="AG643" s="19"/>
    </row>
    <row r="644" ht="15" customHeight="1">
      <c r="A644" t="inlineStr">
        <is>
          <t>Weigl, R. (2005). Longevity of mammals in captivity; from the living collections of the world. Kleine Senckenberg-Reihe, 48. ISBN 9783510613793.</t>
        </is>
      </c>
      <c r="C644" t="inlineStr">
        <is>
          <t>ISBN:9783510613793</t>
        </is>
      </c>
      <c r="D644" t="inlineStr">
        <is>
          <t>Records</t>
        </is>
      </c>
      <c r="E644" s="2" t="str">
        <f>SUBSTITUTE(SUBSTITUTE(_xlfn.TEXTBEFORE(A644,","), "-", ""), " ", "")</f>
        <v>Weigl</v>
      </c>
      <c r="F644" s="7"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4" s="7" t="str">
        <f>_xlfn.TEXTBEFORE(_xlfn.TEXTAFTER(A644, "("), ")")</f>
        <v>2005</v>
      </c>
      <c r="H644" s="2" t="str">
        <f>E644 &amp; IF(F644&lt;&gt;"", "_" &amp; SUBSTITUTE(F644," ",""), "_") &amp; IF(G644&lt;&gt;"", "_" &amp; G644, "_") &amp; IF(B644&lt;&gt;"", "_" &amp; B644, "")</f>
        <v>Weigl__2005</v>
      </c>
      <c r="I644" s="2" t="str">
        <f>_xlfn.LET(_xlpm.doi,IF(C644&lt;&gt;"",C644,_xlfn.TEXTAFTER(A644,"https://doi.org/")),SUBSTITUTE(SUBSTITUTE(SUBSTITUTE(SUBSTITUTE(_xlpm.doi,"/","%2F"),":","%3A"),"&lt;","%3C"),"&gt;","%3E"))</f>
        <v>ISBN%3A9783510613793</v>
      </c>
      <c r="J644" s="2" t="str">
        <f>TRIM(_xlfn.TEXTJOIN("_",FALSE(),H644,(SUBSTITUTE(SUBSTITUTE(D644," ",""), "_", ""))))</f>
        <v>Weigl__2005_Records</v>
      </c>
      <c r="K644" s="7" t="str">
        <f>I644 &amp; "_" &amp; SUBSTITUTE(SUBSTITUTE(SUBSTITUTE(D644,CHAR(160),"")," ",""),"_","")</f>
        <v>ISBN%3A9783510613793_Records</v>
      </c>
      <c r="L644" s="7" t="str">
        <f t="array" ref="L644">IFERROR(INDEX(AUTO_Public_TSV_FileList!$A$1:$A$1000,MATCH(TRUE(),EXACT(K644,IFERROR(_xlfn.TEXTBEFORE(AUTO_Public_TSV_FileList!$A$1:$A$1000,".tsv"),"")),0)),"notfound")</f>
        <v>ISBN%3A9783510613793_Records.tsv</v>
      </c>
      <c r="M644" t="inlineStr">
        <is>
          <t>Longevity of mammals in captivity; from the living collections of the world</t>
        </is>
      </c>
      <c r="N644" t="inlineStr">
        <is>
          <t>scanned PDF (191 pages including loan cover sheet)</t>
        </is>
      </c>
      <c r="O644" t="inlineStr">
        <is>
          <t>One OCR draft table of 4,532 candidate mammal records from printed pages 21–199. Primary ages on pages 21–25, 97, 101, 105, and 107 (233 rows) visually checked; remaining fields/pages require review. Registered CSV/TSV are provisional and excluded from merges.</t>
        </is>
      </c>
      <c r="P644" t="inlineStr">
        <is>
          <t>OCR DRAFT (visual review pending)</t>
        </is>
      </c>
      <c r="Q644" t="inlineStr">
        <is>
          <t>Weigl__2005_Records_snapshot.csv</t>
        </is>
      </c>
      <c r="U644" t="inlineStr">
        <is>
          <t>Do not merge draft OCR as verified data</t>
        </is>
      </c>
      <c r="V644" t="inlineStr">
        <is>
          <t>captive mammal longevity</t>
        </is>
      </c>
      <c r="W644" t="inlineStr">
        <is>
          <t>Mammalia</t>
        </is>
      </c>
      <c r="X644" t="inlineStr">
        <is>
          <t>longevity</t>
        </is>
      </c>
      <c r="Y644" t="inlineStr">
        <is>
          <t>individual records; dates; ages in years and months</t>
        </is>
      </c>
      <c r="Z644" t="inlineStr">
        <is>
          <t>zoo and other captive records</t>
        </is>
      </c>
      <c r="AA644" t="inlineStr">
        <is>
          <t>compiled living-collection records</t>
        </is>
      </c>
      <c r="AB644" t="inlineStr">
        <is>
          <t>age and duration</t>
        </is>
      </c>
      <c r="AE644" t="inlineStr">
        <is>
          <t>secondary</t>
        </is>
      </c>
      <c r="AF644" t="inlineStr">
        <is>
          <t>institutional records compiled by Weigl</t>
        </is>
      </c>
      <c r="AG644" t="inlineStr">
        <is>
          <t>Transcribe printed names and individual records before species summaries; check original records where possible.</t>
        </is>
      </c>
    </row>
    <row r="645" ht="15" customHeight="1">
      <c r="A645" t="inlineStr">
        <is>
          <t>Weisbecker, V., &amp; Goswami, A. (2010). Brain size, life history, and metabolism at the marsupial/placental dichotomy. Proceedings of the National Academy of Sciences, 107(37), 16216-16221. https://doi.org/10.1073/pnas.0906486107</t>
        </is>
      </c>
      <c r="B645" s="20"/>
      <c r="D645" t="inlineStr">
        <is>
          <t>TableS6</t>
        </is>
      </c>
      <c r="E645" s="10" t="str">
        <f>SUBSTITUTE(SUBSTITUTE(_xlfn.TEXTBEFORE(A645,","), "-", ""), " ", "")</f>
        <v>Weisbecker</v>
      </c>
      <c r="F645" s="10"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5" s="10" t="str">
        <f>_xlfn.TEXTBEFORE(_xlfn.TEXTAFTER(A645, "("), ")")</f>
        <v>2010</v>
      </c>
      <c r="H645" s="10" t="str">
        <f>E645 &amp; IF(F645&lt;&gt;"", "_" &amp; SUBSTITUTE(F645," ",""), "_") &amp; IF(G645&lt;&gt;"", "_" &amp; G645, "_") &amp; IF(B645&lt;&gt;"", "_" &amp; B645, "")</f>
        <v>Weisbecker__2010</v>
      </c>
      <c r="I645" s="10" t="str">
        <f>_xlfn.LET(
_xlpm.doi,IF(C645&lt;&gt;"",C645,_xlfn.TEXTAFTER(A645,"https://doi.org/")),
SUBSTITUTE(
SUBSTITUTE(
SUBSTITUTE(
SUBSTITUTE(
_xlpm.doi,
"/","%2F"),
":","%3A"),
"&lt;","%3C"),
"&gt;","%3E")
)</f>
        <v>10.1073%2Fpnas.0906486107</v>
      </c>
      <c r="J645" s="10" t="str">
        <f>TRIM(_xlfn.TEXTJOIN("_",FALSE(),H645,(SUBSTITUTE(SUBSTITUTE(D645," ",""), "_", ""))))</f>
        <v>Weisbecker__2010_TableS6</v>
      </c>
      <c r="K645" s="10" t="str">
        <f>I645 &amp; "_" &amp; SUBSTITUTE(SUBSTITUTE(SUBSTITUTE(D645,CHAR(160),"")," ",""),"_","")</f>
        <v>10.1073%2Fpnas.0906486107_TableS6</v>
      </c>
      <c r="L645" s="10" t="str">
        <f t="array" ref="L645">IFERROR(INDEX(AUTO_Public_TSV_FileList!$A$1:$A$1000,MATCH(TRUE(),EXACT(K645,IFERROR(_xlfn.TEXTBEFORE(AUTO_Public_TSV_FileList!$A$1:$A$1000,".tsv"),"")),0)),"notfound")</f>
        <v>10.1073%2Fpnas.0906486107_TableS6.tsv</v>
      </c>
      <c r="M645" t="inlineStr">
        <is>
          <t>SI Table S6. Parameters used in the partial correlation and residual regression analyses of marsupials</t>
        </is>
      </c>
      <c r="N645" t="inlineStr">
        <is>
          <t>PDF table in SI Appendix (born-digital; constructed transcribed snapshot)</t>
        </is>
      </c>
      <c r="O645" t="inlineStr">
        <is>
          <t>52 marsupials (45 with gestation + 7 without). SI file has only the marsupial table; placental data are not in the SI. No per-row source codes printed. Added because Lewitus et al. 2014 cites it (ref 38).</t>
        </is>
      </c>
      <c r="P645" t="inlineStr">
        <is>
          <t>PREPARED (CSV built; owner registry paste / public TSV pending; RA side-by-side check pending)</t>
        </is>
      </c>
      <c r="Q645" t="inlineStr">
        <is>
          <t>Weisbecker_Goswami_2010_TableS6_snapshot.csv</t>
        </is>
      </c>
      <c r="R645" t="inlineStr">
        <is>
          <t>https://doi.org/10.1073/pnas.0906486107</t>
        </is>
      </c>
      <c r="W645" t="inlineStr">
        <is>
          <t>Marsupials</t>
        </is>
      </c>
      <c r="X645" t="inlineStr">
        <is>
          <t>brain weight, body weight, BMR, gestation, lactation, litter size</t>
        </is>
      </c>
      <c r="Z645" t="inlineStr">
        <is>
          <t>literature compilation</t>
        </is>
      </c>
      <c r="AA645" t="inlineStr">
        <is>
          <t>literature compilation</t>
        </is>
      </c>
      <c r="AB645" t="inlineStr">
        <is>
          <t>life history; metabolism; brain size</t>
        </is>
      </c>
      <c r="AE645" t="inlineStr">
        <is>
          <t>secondary</t>
        </is>
      </c>
      <c r="AF645" t="inlineStr">
        <is>
          <t>Literature compilation (sources not printed per row in the SI; litter size from Fisher et al.)</t>
        </is>
      </c>
    </row>
    <row r="646" ht="15" customHeight="1">
      <c r="A646" t="inlineStr">
        <is>
          <t>Wenstrup, J. J. (1984). Auditory-Sensitivity in the Fish-Catching Bat, Noctilio-Leporinus. J Comp Physiol, 155, 91-101. https://doi.org/10.1007/Bf00610934</t>
        </is>
      </c>
      <c r="D646" t="inlineStr">
        <is>
          <t>Figure 8</t>
        </is>
      </c>
      <c r="E646" s="11" t="str">
        <f>SUBSTITUTE(SUBSTITUTE(_xlfn.TEXTBEFORE(A646,","), "-", ""), " ", "")</f>
        <v>Wenstrup</v>
      </c>
      <c r="F646" s="10"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6" s="10" t="str">
        <f>_xlfn.TEXTBEFORE(_xlfn.TEXTAFTER(A646, "("), ")")</f>
        <v>1984</v>
      </c>
      <c r="H646" s="11" t="str">
        <f>E646 &amp; IF(F646&lt;&gt;"", "_" &amp; SUBSTITUTE(F646," ",""), "_") &amp; IF(G646&lt;&gt;"", "_" &amp; G646, "_") &amp; IF(B646&lt;&gt;"", "_" &amp; B646, "")</f>
        <v>Wenstrup__1984</v>
      </c>
      <c r="I646" s="11" t="str">
        <f>_xlfn.LET(_xlpm.doi,IF(C646&lt;&gt;"",C646,_xlfn.TEXTAFTER(A646,"https://doi.org/")),SUBSTITUTE(SUBSTITUTE(SUBSTITUTE(SUBSTITUTE(_xlpm.doi,"/","%2F"),":","%3A"),"&lt;","%3C"),"&gt;","%3E"))</f>
        <v>10.1007%2FBf00610934</v>
      </c>
      <c r="J646" s="11" t="str">
        <f>TRIM(_xlfn.TEXTJOIN("_",FALSE(),H646,(SUBSTITUTE(SUBSTITUTE(D646," ",""), "_", ""))))</f>
        <v>Wenstrup__1984_Figure8</v>
      </c>
      <c r="K646" s="10" t="str">
        <f>I646 &amp; "_" &amp; SUBSTITUTE(SUBSTITUTE(SUBSTITUTE(D646,CHAR(160),"")," ",""),"_","")</f>
        <v>10.1007%2FBf00610934_Figure8</v>
      </c>
      <c r="L646" s="10" t="str">
        <f t="array" ref="L646">IFERROR(INDEX(AUTO_Public_TSV_FileList!$A$1:$A$1000,MATCH(TRUE(),EXACT(K646,IFERROR(_xlfn.TEXTBEFORE(AUTO_Public_TSV_FileList!$A$1:$A$1000,".tsv"),"")),0)),"notfound")</f>
        <v>notfound</v>
      </c>
      <c r="M646" t="inlineStr">
        <is>
          <t>Behavioral audiograms of three microchiropteran bats (comparison)</t>
        </is>
      </c>
      <c r="N646" t="inlineStr">
        <is>
          <t>figure</t>
        </is>
      </c>
      <c r="O646" t="inlineStr">
        <is>
          <t>Not built -- see Figures3-5 item (priority 1) for this folder's built data.</t>
        </is>
      </c>
      <c r="P646" t="inlineStr">
        <is>
          <t>candidate</t>
        </is>
      </c>
      <c r="R646" s="23" t="inlineStr">
        <is>
          <t>https://doi.org/10.1007/Bf00610934</t>
        </is>
      </c>
      <c r="V646" t="inlineStr">
        <is>
          <t>sensory hearing</t>
        </is>
      </c>
      <c r="W646" t="inlineStr">
        <is>
          <t>Chiroptera (3 spp; Noctilio, Rhinolophus + 1)</t>
        </is>
      </c>
      <c r="X646" t="inlineStr">
        <is>
          <t>audiogram thresholds</t>
        </is>
      </c>
      <c r="Z646" t="inlineStr">
        <is>
          <t>behavioral audiometry (compiled review)</t>
        </is>
      </c>
      <c r="AA646" t="inlineStr">
        <is>
          <t>literature compilation</t>
        </is>
      </c>
      <c r="AB646" t="inlineStr">
        <is>
          <t>dB SPL; kHz</t>
        </is>
      </c>
      <c r="AC646" t="inlineStr">
        <is>
          <t>Wenstrup</t>
        </is>
      </c>
      <c r="AE646" t="inlineStr">
        <is>
          <t>secondary</t>
        </is>
      </c>
      <c r="AF646" t="inlineStr">
        <is>
          <t>legend cites sources</t>
        </is>
      </c>
      <c r="AG646" t="inlineStr">
        <is>
          <t>optional comparative compilation; check overlap with registered Heffner items</t>
        </is>
      </c>
    </row>
    <row r="647" ht="15" customHeight="1">
      <c r="A647" t="inlineStr">
        <is>
          <t>Wenstrup, J. J. (1984). Auditory-Sensitivity in the Fish-Catching Bat, Noctilio-Leporinus. J Comp Physiol, 155, 91-101. https://doi.org/10.1007/Bf00610934</t>
        </is>
      </c>
      <c r="D647" t="inlineStr">
        <is>
          <t>Figures 3-5</t>
        </is>
      </c>
      <c r="E647" s="11" t="str">
        <f>SUBSTITUTE(SUBSTITUTE(_xlfn.TEXTBEFORE(A647,","), "-", ""), " ", "")</f>
        <v>Wenstrup</v>
      </c>
      <c r="F647" s="10"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7" s="10" t="str">
        <f>_xlfn.TEXTBEFORE(_xlfn.TEXTAFTER(A647, "("), ")")</f>
        <v>1984</v>
      </c>
      <c r="H647" s="11" t="str">
        <f>E647 &amp; IF(F647&lt;&gt;"", "_" &amp; SUBSTITUTE(F647," ",""), "_") &amp; IF(G647&lt;&gt;"", "_" &amp; G647, "_") &amp; IF(B647&lt;&gt;"", "_" &amp; B647, "")</f>
        <v>Wenstrup__1984</v>
      </c>
      <c r="I647" s="11" t="str">
        <f>_xlfn.LET(_xlpm.doi,IF(C647&lt;&gt;"",C647,_xlfn.TEXTAFTER(A647,"https://doi.org/")),SUBSTITUTE(SUBSTITUTE(SUBSTITUTE(SUBSTITUTE(_xlpm.doi,"/","%2F"),":","%3A"),"&lt;","%3C"),"&gt;","%3E"))</f>
        <v>10.1007%2FBf00610934</v>
      </c>
      <c r="J647" s="11" t="str">
        <f>TRIM(_xlfn.TEXTJOIN("_",FALSE(),H647,(SUBSTITUTE(SUBSTITUTE(D647," ",""), "_", ""))))</f>
        <v>Wenstrup__1984_Figures3-5</v>
      </c>
      <c r="K647" s="10" t="str">
        <f>I647 &amp; "_" &amp; SUBSTITUTE(SUBSTITUTE(SUBSTITUTE(D647,CHAR(160),"")," ",""),"_","")</f>
        <v>10.1007%2FBf00610934_Figures3-5</v>
      </c>
      <c r="L647" s="10" t="str">
        <f t="array" ref="L647">IFERROR(INDEX(AUTO_Public_TSV_FileList!$A$1:$A$1000,MATCH(TRUE(),EXACT(K647,IFERROR(_xlfn.TEXTBEFORE(AUTO_Public_TSV_FileList!$A$1:$A$1000,".tsv"),"")),0)),"notfound")</f>
        <v>10.1007%2FBf00610934_Figures3-5.tsv</v>
      </c>
      <c r="M647" t="inlineStr">
        <is>
          <t>Behavioral audiograms for fish-catching bats NL7, NL9 and NL21</t>
        </is>
      </c>
      <c r="N647" t="inlineStr">
        <is>
          <t>figure</t>
        </is>
      </c>
      <c r="O647" t="inlineStr">
        <is>
          <t>Built 2026-09-27: despite item name, built from Results text (p.96) not by digitizing the figures -- text states low-freq limit avg 7 kHz, high-freq limit 101/115 kHz (NL9/NL21), CF-region sensitivity range -1 to +4 dB SPL. TSV upload pending (connector timeout, retry later).</t>
        </is>
      </c>
      <c r="P647" t="inlineStr">
        <is>
          <t>BUILT (TSV upload pending)</t>
        </is>
      </c>
      <c r="R647" s="23" t="inlineStr">
        <is>
          <t>https://doi.org/10.1007/Bf00610934</t>
        </is>
      </c>
      <c r="V647" t="inlineStr">
        <is>
          <t>sensory hearing</t>
        </is>
      </c>
      <c r="W647" t="inlineStr">
        <is>
          <t>Noctilio leporinus (3 individuals)</t>
        </is>
      </c>
      <c r="X647" t="inlineStr">
        <is>
          <t>audiogram thresholds</t>
        </is>
      </c>
      <c r="Z647" t="inlineStr">
        <is>
          <t>behavioral (conditioned suppression/avoidance)</t>
        </is>
      </c>
      <c r="AA647" t="inlineStr">
        <is>
          <t>behavioral audiometry (operant)</t>
        </is>
      </c>
      <c r="AB647" t="inlineStr">
        <is>
          <t>threshold (dB SPL) by frequency (kHz)</t>
        </is>
      </c>
      <c r="AC647" t="inlineStr">
        <is>
          <t>Wenstrup</t>
        </is>
      </c>
      <c r="AE647" t="inlineStr">
        <is>
          <t>primary</t>
        </is>
      </c>
      <c r="AG647" t="inlineStr">
        <is>
          <t>extract first — direct source of values already used in SensoryData</t>
        </is>
      </c>
    </row>
    <row r="648" ht="15" customHeight="1">
      <c r="A648" s="15" t="inlineStr">
        <is>
          <t>Wilman, H., Belmaker, J., Simpson, J., de la Rosa, C., Rivadeneira, M. M., &amp; Jetz, W. (2014). EltonTraits 1.0: Species‐level foraging attributes of the world's birds and mammals. Ecology, 95(7), 2027-2027. https://doi.org/10.1890/13-1917.1</t>
        </is>
      </c>
      <c r="B648" s="19"/>
      <c r="C648" s="19"/>
      <c r="D648" s="15" t="inlineStr">
        <is>
          <t>MamFuncDat</t>
        </is>
      </c>
      <c r="E648" s="10" t="str">
        <f>SUBSTITUTE(SUBSTITUTE(_xlfn.TEXTBEFORE(A648,","), "-", ""), " ", "")</f>
        <v>Wilman</v>
      </c>
      <c r="F648" s="10"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10" t="str">
        <f>_xlfn.TEXTBEFORE(_xlfn.TEXTAFTER(A648, "("), ")")</f>
        <v>2014</v>
      </c>
      <c r="H648" s="10" t="str">
        <f>E648 &amp; IF(F648&lt;&gt;"", "_" &amp; SUBSTITUTE(F648," ",""), "_") &amp; IF(G648&lt;&gt;"", "_" &amp; G648, "_") &amp; IF(B648&lt;&gt;"", "_" &amp; B648, "")</f>
        <v>Wilman_etal_2014</v>
      </c>
      <c r="I648" s="10" t="str">
        <f>_xlfn.LET(
_xlpm.doi,IF(C648&lt;&gt;"",C648,_xlfn.TEXTAFTER(A648,"https://doi.org/")),
SUBSTITUTE(
SUBSTITUTE(
SUBSTITUTE(
SUBSTITUTE(
_xlpm.doi,
"/","%2F"),
":","%3A"),
"&lt;","%3C"),
"&gt;","%3E")
)</f>
        <v>10.1890%2F13-1917.1</v>
      </c>
      <c r="J648" s="10" t="str">
        <f>TRIM(_xlfn.TEXTJOIN("_",FALSE(),H648,(SUBSTITUTE(SUBSTITUTE(D648," ",""), "_", ""))))</f>
        <v>Wilman_etal_2014_MamFuncDat</v>
      </c>
      <c r="K648" s="10" t="str">
        <f>I648 &amp; "_" &amp; SUBSTITUTE(SUBSTITUTE(SUBSTITUTE(D648,CHAR(160),"")," ",""),"_","")</f>
        <v>10.1890%2F13-1917.1_MamFuncDat</v>
      </c>
      <c r="L648" s="10" t="str">
        <f t="array" ref="L648">IFERROR(INDEX(AUTO_Public_TSV_FileList!$A$1:$A$1000,MATCH(TRUE(),EXACT(K648,IFERROR(_xlfn.TEXTBEFORE(AUTO_Public_TSV_FileList!$A$1:$A$1000,".tsv"),"")),0)),"notfound")</f>
        <v>10.1890%2F13-1917.1_MamFuncDat.tsv</v>
      </c>
      <c r="M648" s="19"/>
      <c r="N648" s="19"/>
      <c r="O648" s="19"/>
      <c r="P648" s="19" t="inlineStr">
        <is>
          <t>FINISHED</t>
        </is>
      </c>
      <c r="Q648" s="19"/>
      <c r="R648" s="19"/>
      <c r="S648" s="19"/>
      <c r="T648" s="19"/>
      <c r="U648" s="19"/>
      <c r="V648" s="19"/>
      <c r="W648" s="15" t="inlineStr">
        <is>
          <t>Mammals</t>
        </is>
      </c>
      <c r="X648" s="15" t="inlineStr">
        <is>
          <t>diet &amp; body mass (functional traits)</t>
        </is>
      </c>
      <c r="Y648" s="19"/>
      <c r="Z648" s="19"/>
      <c r="AA648" s="19"/>
      <c r="AB648" s="15" t="inlineStr">
        <is>
          <t>ecological traits (diet, body mass)</t>
        </is>
      </c>
      <c r="AC648" s="19"/>
      <c r="AD648" s="19"/>
      <c r="AE648" s="15" t="inlineStr">
        <is>
          <t>secondary</t>
        </is>
      </c>
      <c r="AF648" s="15"/>
      <c r="AG648" s="19"/>
    </row>
    <row r="649" ht="15" customHeight="1">
      <c r="A649" s="15" t="inlineStr">
        <is>
          <t>Wimberly, A. N., Slater, G. J., &amp; Granatosky, M. C. (2021). Evolutionary history of quadrupedal walking gaits shows mammalian release from locomotor constraint. Proc Biol Sci, 288(1957), 20210937. https://doi.org/10.1098/rspb.2021.0937</t>
        </is>
      </c>
      <c r="B649" s="19"/>
      <c r="C649" s="19"/>
      <c r="D649" s="15" t="inlineStr">
        <is>
          <t>MammalGait</t>
        </is>
      </c>
      <c r="E649" s="10" t="str">
        <f>SUBSTITUTE(SUBSTITUTE(_xlfn.TEXTBEFORE(A649,","), "-", ""), " ", "")</f>
        <v>Wimberly</v>
      </c>
      <c r="F649" s="10"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10" t="str">
        <f>_xlfn.TEXTBEFORE(_xlfn.TEXTAFTER(A649, "("), ")")</f>
        <v>2021</v>
      </c>
      <c r="H649" s="10" t="str">
        <f>E649 &amp; IF(F649&lt;&gt;"", "_" &amp; SUBSTITUTE(F649," ",""), "_") &amp; IF(G649&lt;&gt;"", "_" &amp; G649, "_") &amp; IF(B649&lt;&gt;"", "_" &amp; B649, "")</f>
        <v>Wimberly_etal_2021</v>
      </c>
      <c r="I649" s="10" t="str">
        <f>_xlfn.LET(
_xlpm.doi,IF(C649&lt;&gt;"",C649,_xlfn.TEXTAFTER(A649,"https://doi.org/")),
SUBSTITUTE(
SUBSTITUTE(
SUBSTITUTE(
SUBSTITUTE(
_xlpm.doi,
"/","%2F"),
":","%3A"),
"&lt;","%3C"),
"&gt;","%3E")
)</f>
        <v>10.1098%2Frspb.2021.0937</v>
      </c>
      <c r="J649" s="10" t="str">
        <f>TRIM(_xlfn.TEXTJOIN("_",FALSE(),H649,(SUBSTITUTE(SUBSTITUTE(D649," ",""), "_", ""))))</f>
        <v>Wimberly_etal_2021_MammalGait</v>
      </c>
      <c r="K649" s="10" t="str">
        <f>I649 &amp; "_" &amp; SUBSTITUTE(SUBSTITUTE(SUBSTITUTE(D649,CHAR(160),"")," ",""),"_","")</f>
        <v>10.1098%2Frspb.2021.0937_MammalGait</v>
      </c>
      <c r="L649" s="10" t="str">
        <f t="array" ref="L649">IFERROR(INDEX(AUTO_Public_TSV_FileList!$A$1:$A$1000,MATCH(TRUE(),EXACT(K649,IFERROR(_xlfn.TEXTBEFORE(AUTO_Public_TSV_FileList!$A$1:$A$1000,".tsv"),"")),0)),"notfound")</f>
        <v>10.1098%2Frspb.2021.0937_MammalGait.tsv</v>
      </c>
      <c r="M649" s="19"/>
      <c r="N649" s="19"/>
      <c r="O649" s="19"/>
      <c r="P649" s="15" t="inlineStr">
        <is>
          <t>FINISHED</t>
        </is>
      </c>
      <c r="Q649" s="19"/>
      <c r="R649" s="19"/>
      <c r="S649" s="19"/>
      <c r="T649" s="19"/>
      <c r="U649" s="19"/>
      <c r="V649" s="19"/>
      <c r="W649" s="15"/>
      <c r="X649" s="19"/>
      <c r="Y649" s="19"/>
      <c r="Z649" s="19"/>
      <c r="AA649" s="19"/>
      <c r="AB649" s="15"/>
      <c r="AC649" s="19"/>
      <c r="AD649" s="19"/>
      <c r="AE649" s="15"/>
      <c r="AF649" s="15"/>
      <c r="AG649" s="19"/>
    </row>
    <row r="650" ht="15" customHeight="1">
      <c r="A650" s="15" t="inlineStr">
        <is>
          <t>Winkler, S. L., &amp; Bryant, G. A. (2021). Play vocalisations and human laughter: a comparative review. Bioacoustics, 1-28. https://doi.org/10.1080/09524622.2021.1905065</t>
        </is>
      </c>
      <c r="B650" s="19"/>
      <c r="C650" s="19"/>
      <c r="D650" s="15" t="inlineStr">
        <is>
          <t>Figure 1</t>
        </is>
      </c>
      <c r="E650" s="11" t="str">
        <f>SUBSTITUTE(SUBSTITUTE(_xlfn.TEXTBEFORE(A650,","), "-", ""), " ", "")</f>
        <v>Winkler</v>
      </c>
      <c r="F650" s="10"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0" s="10" t="str">
        <f>_xlfn.TEXTBEFORE(_xlfn.TEXTAFTER(A650, "("), ")")</f>
        <v>2021</v>
      </c>
      <c r="H650" s="11" t="str">
        <f>E650 &amp; IF(F650&lt;&gt;"", "_" &amp; SUBSTITUTE(F650," ",""), "_") &amp; IF(G650&lt;&gt;"", "_" &amp; G650, "_") &amp; IF(B650&lt;&gt;"", "_" &amp; B650, "")</f>
        <v>Winkler__2021</v>
      </c>
      <c r="I650" s="11" t="str">
        <f>_xlfn.LET(_xlpm.doi,IF(C650&lt;&gt;"",C650,_xlfn.TEXTAFTER(A650,"https://doi.org/")),SUBSTITUTE(SUBSTITUTE(SUBSTITUTE(SUBSTITUTE(_xlpm.doi,"/","%2F"),":","%3A"),"&lt;","%3C"),"&gt;","%3E"))</f>
        <v>10.1080%2F09524622.2021.1905065</v>
      </c>
      <c r="J650" s="11" t="str">
        <f>TRIM(_xlfn.TEXTJOIN("_",FALSE(),H650,(SUBSTITUTE(SUBSTITUTE(D650," ",""), "_", ""))))</f>
        <v>Winkler__2021_Figure1</v>
      </c>
      <c r="K650" s="10" t="str">
        <f>I650 &amp; "_" &amp; SUBSTITUTE(SUBSTITUTE(SUBSTITUTE(D650,CHAR(160),"")," ",""),"_","")</f>
        <v>10.1080%2F09524622.2021.1905065_Figure1</v>
      </c>
      <c r="L650" s="10" t="str">
        <f t="array" ref="L650">IFERROR(INDEX(AUTO_Public_TSV_FileList!$A$1:$A$1000,MATCH(TRUE(),EXACT(K650,IFERROR(_xlfn.TEXTBEFORE(AUTO_Public_TSV_FileList!$A$1:$A$1000,".tsv"),"")),0)),"notfound")</f>
        <v>10.1080%2F09524622.2021.1905065_Figure1.tsv</v>
      </c>
      <c r="M650" s="15" t="inlineStr">
        <is>
          <t>Figure 1. Cladogram of species reported to produce play vocalisations</t>
        </is>
      </c>
      <c r="N650" s="19" t="inlineStr">
        <is>
          <t>figure</t>
        </is>
      </c>
      <c r="O650" s="19"/>
      <c r="P650" s="19" t="inlineStr">
        <is>
          <t>FINISHED</t>
        </is>
      </c>
      <c r="Q650" s="19"/>
      <c r="R650" s="19"/>
      <c r="S650" s="19"/>
      <c r="T650" s="19"/>
      <c r="U650" s="19"/>
      <c r="V650" s="19"/>
      <c r="W650" s="19"/>
      <c r="X650" s="19"/>
      <c r="Y650" s="19"/>
      <c r="Z650" s="19"/>
      <c r="AA650" s="19"/>
      <c r="AB650" s="19"/>
      <c r="AC650" s="19"/>
      <c r="AD650" s="19"/>
      <c r="AE650" s="19"/>
      <c r="AF650" s="19"/>
      <c r="AG650" s="19"/>
    </row>
    <row r="651" ht="15" customHeight="1">
      <c r="A651" s="19" t="inlineStr">
        <is>
          <t>Winkler, S. L., &amp; Bryant, G. A. (2021). Play vocalisations and human laughter: a comparative review. Bioacoustics, 1-28. https://doi.org/10.1080/09524622.2021.1905065</t>
        </is>
      </c>
      <c r="B651" s="19"/>
      <c r="C651" s="19"/>
      <c r="D651" s="19" t="inlineStr">
        <is>
          <t>Figure 1</t>
        </is>
      </c>
      <c r="E651" s="11" t="str">
        <f>SUBSTITUTE(SUBSTITUTE(_xlfn.TEXTBEFORE(A651,","), "-", ""), " ", "")</f>
        <v>Winkler</v>
      </c>
      <c r="F651" s="10"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1" s="10" t="str">
        <f>_xlfn.TEXTBEFORE(_xlfn.TEXTAFTER(A651, "("), ")")</f>
        <v>2021</v>
      </c>
      <c r="H651" s="11" t="str">
        <f>E651 &amp; IF(F651&lt;&gt;"", "_" &amp; SUBSTITUTE(F651," ",""), "_") &amp; IF(G651&lt;&gt;"", "_" &amp; G651, "_") &amp; IF(B651&lt;&gt;"", "_" &amp; B651, "")</f>
        <v>Winkler__2021</v>
      </c>
      <c r="I651" s="11" t="str">
        <f>_xlfn.LET(_xlpm.doi,IF(C651&lt;&gt;"",C651,_xlfn.TEXTAFTER(A651,"https://doi.org/")),SUBSTITUTE(SUBSTITUTE(SUBSTITUTE(SUBSTITUTE(_xlpm.doi,"/","%2F"),":","%3A"),"&lt;","%3C"),"&gt;","%3E"))</f>
        <v>10.1080%2F09524622.2021.1905065</v>
      </c>
      <c r="J651" s="11" t="str">
        <f>TRIM(_xlfn.TEXTJOIN("_",FALSE(),H651,(SUBSTITUTE(SUBSTITUTE(D651," ",""), "_", ""))))</f>
        <v>Winkler__2021_Figure1</v>
      </c>
      <c r="K651" s="10" t="str">
        <f>I651 &amp; "_" &amp; SUBSTITUTE(SUBSTITUTE(SUBSTITUTE(D651,CHAR(160),"")," ",""),"_","")</f>
        <v>10.1080%2F09524622.2021.1905065_Figure1</v>
      </c>
      <c r="L651" s="10" t="str">
        <f t="array" ref="L651">IFERROR(INDEX(AUTO_Public_TSV_FileList!$A$1:$A$1000,MATCH(TRUE(),EXACT(K651,IFERROR(_xlfn.TEXTBEFORE(AUTO_Public_TSV_FileList!$A$1:$A$1000,".tsv"),"")),0)),"notfound")</f>
        <v>10.1080%2F09524622.2021.1905065_Figure1.tsv</v>
      </c>
      <c r="M651" s="19" t="inlineStr">
        <is>
          <t>Figure 1. Cladogram of species reported to produce play vocalisations</t>
        </is>
      </c>
      <c r="N651" s="19" t="inlineStr">
        <is>
          <t>figure</t>
        </is>
      </c>
      <c r="O651" s="19"/>
      <c r="P651" s="19" t="inlineStr">
        <is>
          <t>FINISHED</t>
        </is>
      </c>
      <c r="Q651" s="19"/>
      <c r="R651" s="19"/>
      <c r="S651" s="19"/>
      <c r="T651" s="19"/>
      <c r="U651" s="19"/>
      <c r="V651" s="19"/>
      <c r="W651" s="19"/>
      <c r="X651" s="19"/>
      <c r="Y651" s="19"/>
      <c r="Z651" s="19"/>
      <c r="AA651" s="19"/>
      <c r="AB651" s="19"/>
      <c r="AC651" s="19"/>
      <c r="AD651" s="19"/>
      <c r="AE651" s="19"/>
      <c r="AF651" s="19"/>
      <c r="AG651" s="19"/>
    </row>
    <row r="652" ht="15" customHeight="1">
      <c r="A652" s="15" t="inlineStr">
        <is>
          <t>Young, N. A., Collins, C. E., &amp; Kaas, J. H. (2013). Cell and neuron densities in the primary motor cortex of primates [Original Research]. Front Neural Circuits, 7(30), 30. https://doi.org/10.3389/fncir.2013.00030</t>
        </is>
      </c>
      <c r="B652" s="19"/>
      <c r="C652" s="19"/>
      <c r="D652" s="15" t="inlineStr">
        <is>
          <t>Table 1</t>
        </is>
      </c>
      <c r="E652" s="11" t="str">
        <f>SUBSTITUTE(SUBSTITUTE(_xlfn.TEXTBEFORE(A652,","), "-", ""), " ", "")</f>
        <v>Young</v>
      </c>
      <c r="F652" s="10"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10" t="str">
        <f>_xlfn.TEXTBEFORE(_xlfn.TEXTAFTER(A652, "("), ")")</f>
        <v>2013</v>
      </c>
      <c r="H652" s="11" t="str">
        <f>E652 &amp; IF(F652&lt;&gt;"", "_" &amp; SUBSTITUTE(F652," ",""), "_") &amp; IF(G652&lt;&gt;"", "_" &amp; G652, "_") &amp; IF(B652&lt;&gt;"", "_" &amp; B652, "")</f>
        <v>Young_etal_2013</v>
      </c>
      <c r="I652" s="11" t="str">
        <f>_xlfn.LET(_xlpm.doi,IF(C652&lt;&gt;"",C652,_xlfn.TEXTAFTER(A652,"https://doi.org/")),SUBSTITUTE(SUBSTITUTE(SUBSTITUTE(SUBSTITUTE(_xlpm.doi,"/","%2F"),":","%3A"),"&lt;","%3C"),"&gt;","%3E"))</f>
        <v>10.3389%2Ffncir.2013.00030</v>
      </c>
      <c r="J652" s="11" t="str">
        <f>TRIM(_xlfn.TEXTJOIN("_",FALSE(),H652,(SUBSTITUTE(SUBSTITUTE(D652," ",""), "_", ""))))</f>
        <v>Young_etal_2013_Table1</v>
      </c>
      <c r="K652" s="10" t="str">
        <f>I652 &amp; "_" &amp; SUBSTITUTE(SUBSTITUTE(SUBSTITUTE(D652,CHAR(160),"")," ",""),"_","")</f>
        <v>10.3389%2Ffncir.2013.00030_Table1</v>
      </c>
      <c r="L652" s="10" t="str">
        <f t="array" ref="L652">IFERROR(INDEX(AUTO_Public_TSV_FileList!$A$1:$A$1000,MATCH(TRUE(),EXACT(K652,IFERROR(_xlfn.TEXTBEFORE(AUTO_Public_TSV_FileList!$A$1:$A$1000,".tsv"),"")),0)),"notfound")</f>
        <v>10.3389%2Ffncir.2013.00030_Table1.tsv</v>
      </c>
      <c r="M652" s="15" t="inlineStr">
        <is>
          <t>Table 1. Cell and neuron densities in the primary motor cortex (M1) of primates</t>
        </is>
      </c>
      <c r="N652" s="15" t="inlineStr">
        <is>
          <t>table</t>
        </is>
      </c>
      <c r="O652" s="19"/>
      <c r="P652" s="19" t="inlineStr">
        <is>
          <t>FINISHED</t>
        </is>
      </c>
      <c r="Q652" s="19"/>
      <c r="R652" s="19"/>
      <c r="S652" s="19"/>
      <c r="T652" s="19"/>
      <c r="U652" s="19"/>
      <c r="V652" s="19"/>
      <c r="W652" s="19"/>
      <c r="X652" s="19"/>
      <c r="Y652" s="19"/>
      <c r="Z652" s="19"/>
      <c r="AA652" s="19"/>
      <c r="AB652" s="19"/>
      <c r="AC652" s="19"/>
      <c r="AD652" s="19"/>
      <c r="AE652" s="19"/>
      <c r="AF652" s="19"/>
      <c r="AG652" s="19"/>
    </row>
    <row r="653" ht="15" customHeight="1">
      <c r="A653" s="19" t="inlineStr">
        <is>
          <t>Young, N. A., Collins, C. E., &amp; Kaas, J. H. (2013). Cell and neuron densities in the primary motor cortex of primates [Original Research]. Front Neural Circuits, 7(30), 30. https://doi.org/10.3389/fncir.2013.00030</t>
        </is>
      </c>
      <c r="B653" s="19"/>
      <c r="C653" s="19"/>
      <c r="D653" s="19" t="inlineStr">
        <is>
          <t>Table 1</t>
        </is>
      </c>
      <c r="E653" s="11" t="str">
        <f>SUBSTITUTE(SUBSTITUTE(_xlfn.TEXTBEFORE(A653,","), "-", ""), " ", "")</f>
        <v>Young</v>
      </c>
      <c r="F653" s="10"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10" t="str">
        <f>_xlfn.TEXTBEFORE(_xlfn.TEXTAFTER(A653, "("), ")")</f>
        <v>2013</v>
      </c>
      <c r="H653" s="11" t="str">
        <f>E653 &amp; IF(F653&lt;&gt;"", "_" &amp; SUBSTITUTE(F653," ",""), "_") &amp; IF(G653&lt;&gt;"", "_" &amp; G653, "_") &amp; IF(B653&lt;&gt;"", "_" &amp; B653, "")</f>
        <v>Young_etal_2013</v>
      </c>
      <c r="I653" s="11" t="str">
        <f>_xlfn.LET(_xlpm.doi,IF(C653&lt;&gt;"",C653,_xlfn.TEXTAFTER(A653,"https://doi.org/")),SUBSTITUTE(SUBSTITUTE(SUBSTITUTE(SUBSTITUTE(_xlpm.doi,"/","%2F"),":","%3A"),"&lt;","%3C"),"&gt;","%3E"))</f>
        <v>10.3389%2Ffncir.2013.00030</v>
      </c>
      <c r="J653" s="11" t="str">
        <f>TRIM(_xlfn.TEXTJOIN("_",FALSE(),H653,(SUBSTITUTE(SUBSTITUTE(D653," ",""), "_", ""))))</f>
        <v>Young_etal_2013_Table1</v>
      </c>
      <c r="K653" s="10" t="str">
        <f>I653 &amp; "_" &amp; SUBSTITUTE(SUBSTITUTE(SUBSTITUTE(D653,CHAR(160),"")," ",""),"_","")</f>
        <v>10.3389%2Ffncir.2013.00030_Table1</v>
      </c>
      <c r="L653" s="10" t="str">
        <f t="array" ref="L653">IFERROR(INDEX(AUTO_Public_TSV_FileList!$A$1:$A$1000,MATCH(TRUE(),EXACT(K653,IFERROR(_xlfn.TEXTBEFORE(AUTO_Public_TSV_FileList!$A$1:$A$1000,".tsv"),"")),0)),"notfound")</f>
        <v>10.3389%2Ffncir.2013.00030_Table1.tsv</v>
      </c>
      <c r="M653" s="19" t="inlineStr">
        <is>
          <t>Table 1. Cell and neuron densities in the primary motor cortex (M1) of primates</t>
        </is>
      </c>
      <c r="N653" s="15" t="inlineStr">
        <is>
          <t>table</t>
        </is>
      </c>
      <c r="O653" s="19"/>
      <c r="P653" s="19" t="inlineStr">
        <is>
          <t>FINISHED</t>
        </is>
      </c>
      <c r="Q653" s="19"/>
      <c r="R653" s="19"/>
      <c r="S653" s="19"/>
      <c r="T653" s="19"/>
      <c r="U653" s="19"/>
      <c r="V653" s="19"/>
      <c r="W653" s="19"/>
      <c r="X653" s="19"/>
      <c r="Y653" s="19"/>
      <c r="Z653" s="19"/>
      <c r="AA653" s="19"/>
      <c r="AB653" s="19"/>
      <c r="AC653" s="19"/>
      <c r="AD653" s="19"/>
      <c r="AE653" s="19"/>
      <c r="AF653" s="19"/>
      <c r="AG653" s="19"/>
    </row>
    <row r="654" ht="15" customHeight="1">
      <c r="A654" s="19" t="inlineStr">
        <is>
          <t>Young, N. A., Collins, C. E., &amp; Kaas, J. H. (2013). Cell and neuron densities in the primary motor cortex of primates [Original Research]. Front Neural Circuits, 7(30), 30. https://doi.org/10.3389/fncir.2013.00030</t>
        </is>
      </c>
      <c r="D654" t="inlineStr">
        <is>
          <t>ResultsTextSurface</t>
        </is>
      </c>
      <c r="E654" s="2" t="str">
        <f>SUBSTITUTE(SUBSTITUTE(_xlfn.TEXTBEFORE(A654,","), "-", ""), " ", "")</f>
        <v>Young</v>
      </c>
      <c r="F654" s="7"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7" t="str">
        <f>_xlfn.TEXTBEFORE(_xlfn.TEXTAFTER(A654, "("), ")")</f>
        <v>2013</v>
      </c>
      <c r="H654" s="2" t="str">
        <f>E654 &amp; IF(F654&lt;&gt;"", "_" &amp; SUBSTITUTE(F654," ",""), "_") &amp; IF(G654&lt;&gt;"", "_" &amp; G654, "_") &amp; IF(B654&lt;&gt;"", "_" &amp; B654, "")</f>
        <v>Young_etal_2013</v>
      </c>
      <c r="I654" s="2" t="str">
        <f>_xlfn.LET(_xlpm.doi,IF(C654&lt;&gt;"",C654,_xlfn.TEXTAFTER(A654,"https://doi.org/")),SUBSTITUTE(SUBSTITUTE(SUBSTITUTE(SUBSTITUTE(_xlpm.doi,"/","%2F"),":","%3A"),"&lt;","%3C"),"&gt;","%3E"))</f>
        <v>10.3389%2Ffncir.2013.00030</v>
      </c>
      <c r="J654" s="2" t="str">
        <f>TRIM(_xlfn.TEXTJOIN("_",FALSE(),H654,(SUBSTITUTE(SUBSTITUTE(D654," ",""), "_", ""))))</f>
        <v>Young_etal_2013_ResultsTextSurface</v>
      </c>
      <c r="K654" s="7" t="str">
        <f>I654 &amp; "_" &amp; SUBSTITUTE(SUBSTITUTE(SUBSTITUTE(D654,CHAR(160),"")," ",""),"_","")</f>
        <v>10.3389%2Ffncir.2013.00030_ResultsTextSurface</v>
      </c>
      <c r="L654" s="7" t="str">
        <f t="array" ref="L654">IFERROR(INDEX(AUTO_Public_TSV_FileList!$A$1:$A$1000,MATCH(TRUE(),EXACT(K654,IFERROR(_xlfn.TEXTBEFORE(AUTO_Public_TSV_FileList!$A$1:$A$1000,".tsv"),"")),0)),"notfound")</f>
        <v>notfound</v>
      </c>
      <c r="M654" t="inlineStr">
        <is>
          <t>Results text: whole flattened-hemisphere cortical surface areas for galagos, owl monkey, squirrel monkey, macaque, and baboons</t>
        </is>
      </c>
      <c r="N654" t="inlineStr">
        <is>
          <t>Results text</t>
        </is>
      </c>
      <c r="O654" t="inlineStr">
        <is>
          <t>Eight case values independently transcribed from PDF Results text; case overlap with Collins 2010/Turner 2016 requires review before merge.</t>
        </is>
      </c>
      <c r="P654" t="inlineStr">
        <is>
          <t>BUILT; case-level overlap review required before merge</t>
        </is>
      </c>
      <c r="Q654" t="inlineStr">
        <is>
          <t>Young_etal_2013_ResultsTextSurface_pdf_transcription.csv</t>
        </is>
      </c>
      <c r="R654" t="inlineStr">
        <is>
          <t>https://doi.org/10.3389/fncir.2013.00030</t>
        </is>
      </c>
      <c r="S654" t="inlineStr">
        <is>
          <t>Values independently transcribed from source PDF Results sections.</t>
        </is>
      </c>
      <c r="T654" t="inlineStr">
        <is>
          <t>Galago and baboon case overlap; macaque 15,200 is rounded relative to Turner 2016.</t>
        </is>
      </c>
      <c r="V654" t="inlineStr">
        <is>
          <t>whole cortical surface area</t>
        </is>
      </c>
      <c r="W654" t="inlineStr">
        <is>
          <t>Primates</t>
        </is>
      </c>
      <c r="X654" t="inlineStr">
        <is>
          <t>Cortical surface area, one flattened hemisphere (mm2)</t>
        </is>
      </c>
      <c r="Z654" t="inlineStr">
        <is>
          <t>flattened cortical hemispheres</t>
        </is>
      </c>
      <c r="AA654" t="inlineStr">
        <is>
          <t>Results text transcription</t>
        </is>
      </c>
      <c r="AB654" t="inlineStr">
        <is>
          <t>surface area</t>
        </is>
      </c>
      <c r="AC654" t="inlineStr">
        <is>
          <t>Kaas lab</t>
        </is>
      </c>
      <c r="AE654" t="inlineStr">
        <is>
          <t>primary</t>
        </is>
      </c>
    </row>
    <row r="655" ht="15" customHeight="1">
      <c r="A655" s="15" t="inlineStr">
        <is>
          <t>Young, N. A., Szabo, C. A., Phelix, C. F., Flaherty, D. K., Balaram, P., Foust-Yeoman, K. B., Collins, C. E., &amp; Kaas, J. H. (2013). Epileptic baboons have lower numbers of neurons in specific areas of cortex. Proc Natl Acad Sci U S A, 110(47), 19107-19112. https://doi.org/10.1073/pnas.1318894110</t>
        </is>
      </c>
      <c r="B655" s="15" t="inlineStr">
        <is>
          <t>b</t>
        </is>
      </c>
      <c r="C655" s="19"/>
      <c r="D655" s="15" t="inlineStr">
        <is>
          <t>Table 1</t>
        </is>
      </c>
      <c r="E655" s="11" t="str">
        <f>SUBSTITUTE(SUBSTITUTE(_xlfn.TEXTBEFORE(A655,","), "-", ""), " ", "")</f>
        <v>Young</v>
      </c>
      <c r="F655" s="10"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10" t="str">
        <f>_xlfn.TEXTBEFORE(_xlfn.TEXTAFTER(A655, "("), ")")</f>
        <v>2013</v>
      </c>
      <c r="H655" s="11" t="str">
        <f>E655 &amp; IF(F655&lt;&gt;"", "_" &amp; SUBSTITUTE(F655," ",""), "_") &amp; IF(G655&lt;&gt;"", "_" &amp; G655, "_") &amp; IF(B655&lt;&gt;"", "_" &amp; B655, "")</f>
        <v>Young_etal_2013_b</v>
      </c>
      <c r="I655" s="11" t="str">
        <f>_xlfn.LET(_xlpm.doi,IF(C655&lt;&gt;"",C655,_xlfn.TEXTAFTER(A655,"https://doi.org/")),SUBSTITUTE(SUBSTITUTE(SUBSTITUTE(SUBSTITUTE(_xlpm.doi,"/","%2F"),":","%3A"),"&lt;","%3C"),"&gt;","%3E"))</f>
        <v>10.1073%2Fpnas.1318894110</v>
      </c>
      <c r="J655" s="11" t="str">
        <f>TRIM(_xlfn.TEXTJOIN("_",FALSE(),H655,(SUBSTITUTE(SUBSTITUTE(D655," ",""), "_", ""))))</f>
        <v>Young_etal_2013_b_Table1</v>
      </c>
      <c r="K655" s="10" t="str">
        <f>I655 &amp; "_" &amp; SUBSTITUTE(SUBSTITUTE(SUBSTITUTE(D655,CHAR(160),"")," ",""),"_","")</f>
        <v>10.1073%2Fpnas.1318894110_Table1</v>
      </c>
      <c r="L655" s="10" t="str">
        <f t="array" ref="L655">IFERROR(INDEX(AUTO_Public_TSV_FileList!$A$1:$A$1000,MATCH(TRUE(),EXACT(K655,IFERROR(_xlfn.TEXTBEFORE(AUTO_Public_TSV_FileList!$A$1:$A$1000,".tsv"),"")),0)),"notfound")</f>
        <v>10.1073%2Fpnas.1318894110_Table1.tsv</v>
      </c>
      <c r="M655" s="15" t="inlineStr">
        <is>
          <t>Table 1. Epileptic baboons have lower numbers of neurons in specific areas of cortex</t>
        </is>
      </c>
      <c r="N655" s="15" t="inlineStr">
        <is>
          <t>table</t>
        </is>
      </c>
      <c r="O655" s="19"/>
      <c r="P655" s="19" t="inlineStr">
        <is>
          <t>FINISHED</t>
        </is>
      </c>
      <c r="Q655" s="19"/>
      <c r="R655" s="19"/>
      <c r="S655" s="19"/>
      <c r="T655" s="19"/>
      <c r="U655" s="19"/>
      <c r="V655" s="19"/>
      <c r="W655" s="19"/>
      <c r="X655" s="19"/>
      <c r="Y655" s="19"/>
      <c r="Z655" s="19"/>
      <c r="AA655" s="19"/>
      <c r="AB655" s="19"/>
      <c r="AC655" s="19"/>
      <c r="AD655" s="19"/>
      <c r="AE655" s="19"/>
      <c r="AF655" s="19"/>
      <c r="AG655" s="19"/>
    </row>
    <row r="656" ht="15" customHeight="1">
      <c r="A656" s="19" t="inlineStr">
        <is>
          <t>Young, N. A., Szabo, C. A., Phelix, C. F., Flaherty, D. K., Balaram, P., Foust-Yeoman, K. B., Collins, C. E., &amp; Kaas, J. H. (2013). Epileptic baboons have lower numbers of neurons in specific areas of cortex. Proc Natl Acad Sci U S A, 110(47), 19107-19112. https://doi.org/10.1073/pnas.1318894110</t>
        </is>
      </c>
      <c r="B656" s="19" t="inlineStr">
        <is>
          <t>b</t>
        </is>
      </c>
      <c r="C656" s="19"/>
      <c r="D656" s="19" t="inlineStr">
        <is>
          <t>Table 1</t>
        </is>
      </c>
      <c r="E656" s="11" t="str">
        <f>SUBSTITUTE(SUBSTITUTE(_xlfn.TEXTBEFORE(A656,","), "-", ""), " ", "")</f>
        <v>Young</v>
      </c>
      <c r="F656" s="10"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10" t="str">
        <f>_xlfn.TEXTBEFORE(_xlfn.TEXTAFTER(A656, "("), ")")</f>
        <v>2013</v>
      </c>
      <c r="H656" s="11" t="str">
        <f>E656 &amp; IF(F656&lt;&gt;"", "_" &amp; SUBSTITUTE(F656," ",""), "_") &amp; IF(G656&lt;&gt;"", "_" &amp; G656, "_") &amp; IF(B656&lt;&gt;"", "_" &amp; B656, "")</f>
        <v>Young_etal_2013_b</v>
      </c>
      <c r="I656" s="11" t="str">
        <f>_xlfn.LET(_xlpm.doi,IF(C656&lt;&gt;"",C656,_xlfn.TEXTAFTER(A656,"https://doi.org/")),SUBSTITUTE(SUBSTITUTE(SUBSTITUTE(SUBSTITUTE(_xlpm.doi,"/","%2F"),":","%3A"),"&lt;","%3C"),"&gt;","%3E"))</f>
        <v>10.1073%2Fpnas.1318894110</v>
      </c>
      <c r="J656" s="11" t="str">
        <f>TRIM(_xlfn.TEXTJOIN("_",FALSE(),H656,(SUBSTITUTE(SUBSTITUTE(D656," ",""), "_", ""))))</f>
        <v>Young_etal_2013_b_Table1</v>
      </c>
      <c r="K656" s="10" t="str">
        <f>I656 &amp; "_" &amp; SUBSTITUTE(SUBSTITUTE(SUBSTITUTE(D656,CHAR(160),"")," ",""),"_","")</f>
        <v>10.1073%2Fpnas.1318894110_Table1</v>
      </c>
      <c r="L656" s="10" t="str">
        <f t="array" ref="L656">IFERROR(INDEX(AUTO_Public_TSV_FileList!$A$1:$A$1000,MATCH(TRUE(),EXACT(K656,IFERROR(_xlfn.TEXTBEFORE(AUTO_Public_TSV_FileList!$A$1:$A$1000,".tsv"),"")),0)),"notfound")</f>
        <v>10.1073%2Fpnas.1318894110_Table1.tsv</v>
      </c>
      <c r="M656" s="19" t="inlineStr">
        <is>
          <t>Table 1. Epileptic baboons have lower numbers of neurons in specific areas of cortex</t>
        </is>
      </c>
      <c r="N656" s="15" t="inlineStr">
        <is>
          <t>table</t>
        </is>
      </c>
      <c r="O656" s="19"/>
      <c r="P656" s="19" t="inlineStr">
        <is>
          <t>FINISHED</t>
        </is>
      </c>
      <c r="Q656" s="19"/>
      <c r="R656" s="19"/>
      <c r="S656" s="19"/>
      <c r="T656" s="19"/>
      <c r="U656" s="19"/>
      <c r="V656" s="19"/>
      <c r="W656" s="19"/>
      <c r="X656" s="19"/>
      <c r="Y656" s="19"/>
      <c r="Z656" s="19"/>
      <c r="AA656" s="19"/>
      <c r="AB656" s="19"/>
      <c r="AC656" s="19"/>
      <c r="AD656" s="19"/>
      <c r="AE656" s="19"/>
      <c r="AF656" s="19"/>
      <c r="AG656" s="19"/>
    </row>
    <row r="657" ht="15" customHeight="1">
      <c r="A657" s="18" t="inlineStr">
        <is>
          <t>Yuen, M. M. L., Nachtigall, P. E., Breese, M., &amp; Supin, A. Ya. (2005). Behavioral and auditory evoked potential audiograms of a false killer whale (Pseudorca crassidens). J Acoust Soc Am, 118(4), 2688-2695. https://doi.org/10.1121/1.2010350</t>
        </is>
      </c>
      <c r="B657" s="18"/>
      <c r="C657" s="18"/>
      <c r="D657" s="18" t="inlineStr">
        <is>
          <t>Table I</t>
        </is>
      </c>
      <c r="E657" s="11" t="str">
        <f>SUBSTITUTE(SUBSTITUTE(_xlfn.TEXTBEFORE(A657,","), "-", ""), " ", "")</f>
        <v>Yuen</v>
      </c>
      <c r="F657" s="10"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10" t="str">
        <f>_xlfn.TEXTBEFORE(_xlfn.TEXTAFTER(A657, "("), ")")</f>
        <v>2005</v>
      </c>
      <c r="H657" s="11" t="str">
        <f>E657 &amp; IF(F657&lt;&gt;"", "_" &amp; SUBSTITUTE(F657," ",""), "_") &amp; IF(G657&lt;&gt;"", "_" &amp; G657, "_") &amp; IF(B657&lt;&gt;"", "_" &amp; B657, "")</f>
        <v>Yuen_etal_2005</v>
      </c>
      <c r="I657" s="11" t="str">
        <f>_xlfn.LET(_xlpm.doi,IF(C657&lt;&gt;"",C657,_xlfn.TEXTAFTER(A657,"https://doi.org/")),SUBSTITUTE(SUBSTITUTE(SUBSTITUTE(SUBSTITUTE(_xlpm.doi,"/","%2F"),":","%3A"),"&lt;","%3C"),"&gt;","%3E"))</f>
        <v>10.1121%2F1.2010350</v>
      </c>
      <c r="J657" s="11" t="str">
        <f>TRIM(_xlfn.TEXTJOIN("_",FALSE(),H657,(SUBSTITUTE(SUBSTITUTE(D657," ",""), "_", ""))))</f>
        <v>Yuen_etal_2005_TableI</v>
      </c>
      <c r="K657" s="10" t="str">
        <f>I657 &amp; "_" &amp; SUBSTITUTE(SUBSTITUTE(SUBSTITUTE(D657,CHAR(160),"")," ",""),"_","")</f>
        <v>10.1121%2F1.2010350_TableI</v>
      </c>
      <c r="L657" s="10" t="str">
        <f t="array" ref="L657">IFERROR(INDEX(AUTO_Public_TSV_FileList!$A$1:$A$1000,MATCH(TRUE(),EXACT(K657,IFERROR(_xlfn.TEXTBEFORE(AUTO_Public_TSV_FileList!$A$1:$A$1000,".tsv"),"")),0)),"notfound")</f>
        <v>10.1121%2F1.2010350_TableI.tsv</v>
      </c>
      <c r="M657" t="inlineStr">
        <is>
          <t>False killer whale behavioral audiogram thresholds (2001 and 2004 sessions), likely same subject as Thomas_etal_1988</t>
        </is>
      </c>
      <c r="N657" t="inlineStr">
        <is>
          <t>PDF table</t>
        </is>
      </c>
      <c r="O657" t="inlineStr">
        <is>
          <t>Registry row added 2026-09-27. Built same day; TSV upload pending (connector timeout, retry later).</t>
        </is>
      </c>
      <c r="P657" t="inlineStr">
        <is>
          <t>BUILT (TSV upload pending)</t>
        </is>
      </c>
    </row>
    <row r="658" ht="15" customHeight="1">
      <c r="A658" s="19" t="inlineStr">
        <is>
          <t>Zhang, K., &amp; Sejnowski, T. J. (2000). A universal scaling law between gray matter and white matter of cerebral cortex. Proc Natl Acad Sci U S A, 97(10), 5621-5626. https://doi.org/10.1073/pnas.090504197</t>
        </is>
      </c>
      <c r="B658" s="19"/>
      <c r="C658" s="19"/>
      <c r="D658" s="19" t="inlineStr">
        <is>
          <t>Figure 2</t>
        </is>
      </c>
      <c r="E658" s="11" t="str">
        <f>SUBSTITUTE(SUBSTITUTE(_xlfn.TEXTBEFORE(A658,","), "-", ""), " ", "")</f>
        <v>Zhang</v>
      </c>
      <c r="F658" s="10"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8" s="10" t="str">
        <f>_xlfn.TEXTBEFORE(_xlfn.TEXTAFTER(A658, "("), ")")</f>
        <v>2000</v>
      </c>
      <c r="H658" s="11" t="str">
        <f>E658 &amp; IF(F658&lt;&gt;"", "_" &amp; SUBSTITUTE(F658," ",""), "_") &amp; IF(G658&lt;&gt;"", "_" &amp; G658, "_") &amp; IF(B658&lt;&gt;"", "_" &amp; B658, "")</f>
        <v>Zhang__2000</v>
      </c>
      <c r="I658" s="11" t="str">
        <f>_xlfn.LET(_xlpm.doi,IF(C658&lt;&gt;"",C658,_xlfn.TEXTAFTER(A658,"https://doi.org/")),SUBSTITUTE(SUBSTITUTE(SUBSTITUTE(SUBSTITUTE(_xlpm.doi,"/","%2F"),":","%3A"),"&lt;","%3C"),"&gt;","%3E"))</f>
        <v>10.1073%2Fpnas.090504197</v>
      </c>
      <c r="J658" s="11" t="str">
        <f>TRIM(_xlfn.TEXTJOIN("_",FALSE(),H658,(SUBSTITUTE(SUBSTITUTE(D658," ",""), "_", ""))))</f>
        <v>Zhang__2000_Figure2</v>
      </c>
      <c r="K658" s="10" t="str">
        <f>I658 &amp; "_" &amp; SUBSTITUTE(SUBSTITUTE(SUBSTITUTE(D658,CHAR(160),"")," ",""),"_","")</f>
        <v>10.1073%2Fpnas.090504197_Figure2</v>
      </c>
      <c r="L658" s="10" t="str">
        <f t="array" ref="L658">IFERROR(INDEX(AUTO_Public_TSV_FileList!$A$1:$A$1000,MATCH(TRUE(),EXACT(K658,IFERROR(_xlfn.TEXTBEFORE(AUTO_Public_TSV_FileList!$A$1:$A$1000,".tsv"),"")),0)),"notfound")</f>
        <v>10.1073%2Fpnas.090504197_Figure2.tsv</v>
      </c>
      <c r="M658" s="19"/>
      <c r="N658" s="15"/>
      <c r="O658" s="19"/>
      <c r="P658" s="19"/>
      <c r="Q658" s="19"/>
      <c r="R658" s="19"/>
      <c r="S658" s="19"/>
      <c r="T658" s="19"/>
      <c r="U658" s="19"/>
      <c r="V658" s="19"/>
      <c r="W658" s="19"/>
      <c r="X658" s="19"/>
      <c r="Y658" s="19"/>
      <c r="Z658" s="19"/>
      <c r="AA658" s="19"/>
      <c r="AB658" s="19"/>
      <c r="AC658" s="19"/>
      <c r="AD658" s="19"/>
      <c r="AE658" s="19"/>
      <c r="AF658" s="19"/>
      <c r="AG658" s="19"/>
    </row>
    <row r="659" ht="15" customHeight="1">
      <c r="A659" s="19" t="inlineStr">
        <is>
          <t>Zhang, K., &amp; Sejnowski, T. J. (2000). A universal scaling law between gray matter and white matter of cerebral cortex. Proc Natl Acad Sci U S A, 97(10), 5621-5626. https://doi.org/10.1073/pnas.090504197</t>
        </is>
      </c>
      <c r="B659" s="19"/>
      <c r="C659" s="19"/>
      <c r="D659" s="19" t="inlineStr">
        <is>
          <t>Figure 3</t>
        </is>
      </c>
      <c r="E659" s="11" t="str">
        <f>SUBSTITUTE(SUBSTITUTE(_xlfn.TEXTBEFORE(A659,","), "-", ""), " ", "")</f>
        <v>Zhang</v>
      </c>
      <c r="F659" s="10"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9" s="10" t="str">
        <f>_xlfn.TEXTBEFORE(_xlfn.TEXTAFTER(A659, "("), ")")</f>
        <v>2000</v>
      </c>
      <c r="H659" s="11" t="str">
        <f>E659 &amp; IF(F659&lt;&gt;"", "_" &amp; SUBSTITUTE(F659," ",""), "_") &amp; IF(G659&lt;&gt;"", "_" &amp; G659, "_") &amp; IF(B659&lt;&gt;"", "_" &amp; B659, "")</f>
        <v>Zhang__2000</v>
      </c>
      <c r="I659" s="11" t="str">
        <f>_xlfn.LET(_xlpm.doi,IF(C659&lt;&gt;"",C659,_xlfn.TEXTAFTER(A659,"https://doi.org/")),SUBSTITUTE(SUBSTITUTE(SUBSTITUTE(SUBSTITUTE(_xlpm.doi,"/","%2F"),":","%3A"),"&lt;","%3C"),"&gt;","%3E"))</f>
        <v>10.1073%2Fpnas.090504197</v>
      </c>
      <c r="J659" s="11" t="str">
        <f>TRIM(_xlfn.TEXTJOIN("_",FALSE(),H659,(SUBSTITUTE(SUBSTITUTE(D659," ",""), "_", ""))))</f>
        <v>Zhang__2000_Figure3</v>
      </c>
      <c r="K659" s="10" t="str">
        <f>I659 &amp; "_" &amp; SUBSTITUTE(SUBSTITUTE(SUBSTITUTE(D659,CHAR(160),"")," ",""),"_","")</f>
        <v>10.1073%2Fpnas.090504197_Figure3</v>
      </c>
      <c r="L659" s="10" t="str">
        <f t="array" ref="L659">IFERROR(INDEX(AUTO_Public_TSV_FileList!$A$1:$A$1000,MATCH(TRUE(),EXACT(K659,IFERROR(_xlfn.TEXTBEFORE(AUTO_Public_TSV_FileList!$A$1:$A$1000,".tsv"),"")),0)),"notfound")</f>
        <v>10.1073%2Fpnas.090504197_Figure3.tsv</v>
      </c>
      <c r="M659" s="19"/>
      <c r="N659" s="15"/>
      <c r="O659" s="19"/>
      <c r="P659" s="19"/>
      <c r="Q659" s="19"/>
      <c r="R659" s="19"/>
      <c r="S659" s="19"/>
      <c r="T659" s="19"/>
      <c r="U659" s="19"/>
      <c r="V659" s="19"/>
      <c r="W659" s="19"/>
      <c r="X659" s="19"/>
      <c r="Y659" s="19"/>
      <c r="Z659" s="19"/>
      <c r="AA659" s="19"/>
      <c r="AB659" s="19"/>
      <c r="AC659" s="19"/>
      <c r="AD659" s="19"/>
      <c r="AE659" s="19"/>
      <c r="AF659" s="19"/>
      <c r="AG659" s="19"/>
    </row>
    <row r="660" ht="15" customHeight="1">
      <c r="A660" s="19" t="inlineStr">
        <is>
          <t>Zhu, P., Liu, W., Zhang, X., Li, M., Liu, G., Yu, Y., Li, Z., Li, X., Du, J., Wang, X., Grueter, C. C., Li, M., &amp; Zhou, X. (2023). Correlated evolution of social organization and lifespan in mammals. Nat Commun, 14(1), 372. https://doi.org/10.1038/s41467-023-35869-7</t>
        </is>
      </c>
      <c r="B660" s="19"/>
      <c r="C660" s="19"/>
      <c r="D660" s="19" t="inlineStr">
        <is>
          <t>Supplementary Data 1</t>
        </is>
      </c>
      <c r="E660" s="11" t="str">
        <f>SUBSTITUTE(SUBSTITUTE(_xlfn.TEXTBEFORE(A660,","), "-", ""), " ", "")</f>
        <v>Zhu</v>
      </c>
      <c r="F660" s="10"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10" t="str">
        <f>_xlfn.TEXTBEFORE(_xlfn.TEXTAFTER(A660, "("), ")")</f>
        <v>2023</v>
      </c>
      <c r="H660" s="11" t="str">
        <f>E660 &amp; IF(F660&lt;&gt;"", "_" &amp; SUBSTITUTE(F660," ",""), "_") &amp; IF(G660&lt;&gt;"", "_" &amp; G660, "_") &amp; IF(B660&lt;&gt;"", "_" &amp; B660, "")</f>
        <v>Zhu_etal_2023</v>
      </c>
      <c r="I660" s="11" t="str">
        <f>_xlfn.LET(_xlpm.doi,IF(C660&lt;&gt;"",C660,_xlfn.TEXTAFTER(A660,"https://doi.org/")),SUBSTITUTE(SUBSTITUTE(SUBSTITUTE(SUBSTITUTE(_xlpm.doi,"/","%2F"),":","%3A"),"&lt;","%3C"),"&gt;","%3E"))</f>
        <v>10.1038%2Fs41467-023-35869-7</v>
      </c>
      <c r="J660" s="11" t="str">
        <f>TRIM(_xlfn.TEXTJOIN("_",FALSE(),H660,(SUBSTITUTE(SUBSTITUTE(D660," ",""), "_", ""))))</f>
        <v>Zhu_etal_2023_SupplementaryData1</v>
      </c>
      <c r="K660" s="10" t="str">
        <f>I660 &amp; "_" &amp; SUBSTITUTE(SUBSTITUTE(SUBSTITUTE(D660,CHAR(160),"")," ",""),"_","")</f>
        <v>10.1038%2Fs41467-023-35869-7_SupplementaryData1</v>
      </c>
      <c r="L660" s="10" t="str">
        <f t="array" ref="L660">IFERROR(INDEX(AUTO_Public_TSV_FileList!$A$1:$A$1000,MATCH(TRUE(),EXACT(K660,IFERROR(_xlfn.TEXTBEFORE(AUTO_Public_TSV_FileList!$A$1:$A$1000,".tsv"),"")),0)),"notfound")</f>
        <v>10.1038%2Fs41467-023-35869-7_SupplementaryData1.tsv</v>
      </c>
      <c r="M660" s="19" t="inlineStr">
        <is>
          <t>Supplementary Data 1: Social organization and longevity of 974 mammalian species</t>
        </is>
      </c>
      <c r="O660" s="15" t="inlineStr">
        <is>
          <t>41467_2023_35869_MOESM3_ESM.xlsx</t>
        </is>
      </c>
      <c r="P660" s="19"/>
      <c r="Q660" s="19"/>
      <c r="R660" s="19"/>
      <c r="S660" s="19"/>
      <c r="T660" s="19"/>
      <c r="U660" s="19"/>
      <c r="V660" s="19"/>
      <c r="W660" s="19"/>
      <c r="X660" s="19"/>
      <c r="Y660" s="19"/>
      <c r="Z660" s="19"/>
      <c r="AA660" s="19"/>
      <c r="AB660" s="19"/>
      <c r="AC660" s="19"/>
      <c r="AD660" s="19"/>
      <c r="AE660" s="19"/>
      <c r="AF660" s="19"/>
      <c r="AG660" s="19"/>
    </row>
    <row r="661" ht="15" customHeight="1">
      <c r="A661" s="19" t="inlineStr">
        <is>
          <t>Zhu, P., Liu, W., Zhang, X., Li, M., Liu, G., Yu, Y., Li, Z., Li, X., Du, J., Wang, X., Grueter, C. C., Li, M., &amp; Zhou, X. (2023). Correlated evolution of social organization and lifespan in mammals. Nat Commun, 14(1), 372. https://doi.org/10.1038/s41467-023-35869-7</t>
        </is>
      </c>
      <c r="B661" s="19"/>
      <c r="C661" s="19"/>
      <c r="D661" s="19" t="inlineStr">
        <is>
          <t>Supplementary Data 3</t>
        </is>
      </c>
      <c r="E661" s="11" t="str">
        <f>SUBSTITUTE(SUBSTITUTE(_xlfn.TEXTBEFORE(A661,","), "-", ""), " ", "")</f>
        <v>Zhu</v>
      </c>
      <c r="F661" s="10"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10" t="str">
        <f>_xlfn.TEXTBEFORE(_xlfn.TEXTAFTER(A661, "("), ")")</f>
        <v>2023</v>
      </c>
      <c r="H661" s="11" t="str">
        <f>E661 &amp; IF(F661&lt;&gt;"", "_" &amp; SUBSTITUTE(F661," ",""), "_") &amp; IF(G661&lt;&gt;"", "_" &amp; G661, "_") &amp; IF(B661&lt;&gt;"", "_" &amp; B661, "")</f>
        <v>Zhu_etal_2023</v>
      </c>
      <c r="I661" s="11" t="str">
        <f>_xlfn.LET(_xlpm.doi,IF(C661&lt;&gt;"",C661,_xlfn.TEXTAFTER(A661,"https://doi.org/")),SUBSTITUTE(SUBSTITUTE(SUBSTITUTE(SUBSTITUTE(_xlpm.doi,"/","%2F"),":","%3A"),"&lt;","%3C"),"&gt;","%3E"))</f>
        <v>10.1038%2Fs41467-023-35869-7</v>
      </c>
      <c r="J661" s="11" t="str">
        <f>TRIM(_xlfn.TEXTJOIN("_",FALSE(),H661,(SUBSTITUTE(SUBSTITUTE(D661," ",""), "_", ""))))</f>
        <v>Zhu_etal_2023_SupplementaryData3</v>
      </c>
      <c r="K661" s="10" t="str">
        <f>I661 &amp; "_" &amp; SUBSTITUTE(SUBSTITUTE(SUBSTITUTE(D661,CHAR(160),"")," ",""),"_","")</f>
        <v>10.1038%2Fs41467-023-35869-7_SupplementaryData3</v>
      </c>
      <c r="L661" s="10" t="str">
        <f t="array" ref="L661">IFERROR(INDEX(AUTO_Public_TSV_FileList!$A$1:$A$1000,MATCH(TRUE(),EXACT(K661,IFERROR(_xlfn.TEXTBEFORE(AUTO_Public_TSV_FileList!$A$1:$A$1000,".tsv"),"")),0)),"notfound")</f>
        <v>10.1038%2Fs41467-023-35869-7_SupplementaryData3.tsv</v>
      </c>
      <c r="M661" s="19" t="inlineStr">
        <is>
          <t>Supplementary Data 3: Six traits of 94 mammalian species used in RNA-seq sequencing and analyses.</t>
        </is>
      </c>
      <c r="O661" s="15" t="inlineStr">
        <is>
          <t>41467_2023_35869_MOESM3_ESM.xlsx</t>
        </is>
      </c>
      <c r="P661" s="19"/>
      <c r="Q661" s="19"/>
      <c r="R661" s="19"/>
      <c r="S661" s="19"/>
      <c r="T661" s="19"/>
      <c r="U661" s="19"/>
      <c r="V661" s="19"/>
      <c r="W661" s="19"/>
      <c r="X661" s="19"/>
      <c r="Y661" s="19"/>
      <c r="Z661" s="19"/>
      <c r="AA661" s="19"/>
      <c r="AB661" s="19"/>
      <c r="AC661" s="19"/>
      <c r="AD661" s="19"/>
      <c r="AE661" s="19"/>
      <c r="AF661" s="19"/>
      <c r="AG661" s="19"/>
    </row>
    <row r="662" ht="15" customHeight="1">
      <c r="A662" s="19" t="inlineStr">
        <is>
          <t>Zhu, P., Liu, W., Zhang, X., Li, M., Liu, G., Yu, Y., Li, Z., Li, X., Du, J., Wang, X., Grueter, C. C., Li, M., &amp; Zhou, X. (2023). Correlated evolution of social organization and lifespan in mammals. Nat Commun, 14(1), 372. https://doi.org/10.1038/s41467-023-35869-7</t>
        </is>
      </c>
      <c r="B662" s="19"/>
      <c r="C662" s="19"/>
      <c r="D662" s="19" t="inlineStr">
        <is>
          <t>Supplementary References</t>
        </is>
      </c>
      <c r="E662" s="11" t="str">
        <f>SUBSTITUTE(SUBSTITUTE(_xlfn.TEXTBEFORE(A662,","), "-", ""), " ", "")</f>
        <v>Zhu</v>
      </c>
      <c r="F662" s="10"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10" t="str">
        <f>_xlfn.TEXTBEFORE(_xlfn.TEXTAFTER(A662, "("), ")")</f>
        <v>2023</v>
      </c>
      <c r="H662" s="11" t="str">
        <f>E662 &amp; IF(F662&lt;&gt;"", "_" &amp; SUBSTITUTE(F662," ",""), "_") &amp; IF(G662&lt;&gt;"", "_" &amp; G662, "_") &amp; IF(B662&lt;&gt;"", "_" &amp; B662, "")</f>
        <v>Zhu_etal_2023</v>
      </c>
      <c r="I662" s="11" t="str">
        <f>_xlfn.LET(_xlpm.doi,IF(C662&lt;&gt;"",C662,_xlfn.TEXTAFTER(A662,"https://doi.org/")),SUBSTITUTE(SUBSTITUTE(SUBSTITUTE(SUBSTITUTE(_xlpm.doi,"/","%2F"),":","%3A"),"&lt;","%3C"),"&gt;","%3E"))</f>
        <v>10.1038%2Fs41467-023-35869-7</v>
      </c>
      <c r="J662" s="11" t="str">
        <f>TRIM(_xlfn.TEXTJOIN("_",FALSE(),H662,(SUBSTITUTE(SUBSTITUTE(D662," ",""), "_", ""))))</f>
        <v>Zhu_etal_2023_SupplementaryReferences</v>
      </c>
      <c r="K662" s="10" t="str">
        <f>I662 &amp; "_" &amp; SUBSTITUTE(SUBSTITUTE(SUBSTITUTE(D662,CHAR(160),"")," ",""),"_","")</f>
        <v>10.1038%2Fs41467-023-35869-7_SupplementaryReferences</v>
      </c>
      <c r="L662" s="10" t="str">
        <f t="array" ref="L662">IFERROR(INDEX(AUTO_Public_TSV_FileList!$A$1:$A$1000,MATCH(TRUE(),EXACT(K662,IFERROR(_xlfn.TEXTBEFORE(AUTO_Public_TSV_FileList!$A$1:$A$1000,".tsv"),"")),0)),"notfound")</f>
        <v>10.1038%2Fs41467-023-35869-7_SupplementaryReferences.tsv</v>
      </c>
      <c r="M662" s="19" t="inlineStr">
        <is>
          <t>Supplementary References</t>
        </is>
      </c>
      <c r="O662" s="15" t="inlineStr">
        <is>
          <t>41467_2023_35869_MOESM1_ESM.pdf</t>
        </is>
      </c>
      <c r="P662" s="19"/>
      <c r="Q662" s="19"/>
      <c r="R662" s="19"/>
      <c r="S662" s="19"/>
      <c r="T662" s="19"/>
      <c r="U662" s="19"/>
      <c r="V662" s="19"/>
      <c r="W662" s="19"/>
      <c r="X662" s="19"/>
      <c r="Y662" s="19"/>
      <c r="Z662" s="19"/>
      <c r="AA662" s="19"/>
      <c r="AB662" s="19"/>
      <c r="AC662" s="19"/>
      <c r="AD662" s="19"/>
      <c r="AE662" s="19"/>
      <c r="AF662" s="19"/>
      <c r="AG662" s="19"/>
    </row>
    <row r="663" ht="15" customHeight="1">
      <c r="A663" s="19" t="inlineStr">
        <is>
          <t>Zilles, K., &amp; Rehkämper, G. (1988). The brain, with special reference to the telencephalon. In J. H. Schwartz (Ed.), Orang-Utan Biology (pp. 157-176). Oxford University Press.</t>
        </is>
      </c>
      <c r="B663" s="19"/>
      <c r="C663" s="19" t="inlineStr">
        <is>
          <t>ISBN:9780195043716</t>
        </is>
      </c>
      <c r="D663" s="19" t="inlineStr">
        <is>
          <t>Table 12-1</t>
        </is>
      </c>
      <c r="E663" s="11" t="str">
        <f>SUBSTITUTE(SUBSTITUTE(_xlfn.TEXTBEFORE(A663,","), "-", ""), " ", "")</f>
        <v>Zilles</v>
      </c>
      <c r="F663" s="10"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63" s="10" t="str">
        <f>_xlfn.TEXTBEFORE(_xlfn.TEXTAFTER(A663, "("), ")")</f>
        <v>1988</v>
      </c>
      <c r="H663" s="11" t="str">
        <f>E663 &amp; IF(F663&lt;&gt;"", "_" &amp; SUBSTITUTE(F663," ",""), "_") &amp; IF(G663&lt;&gt;"", "_" &amp; G663, "_") &amp; IF(B663&lt;&gt;"", "_" &amp; B663, "")</f>
        <v>Zilles__1988</v>
      </c>
      <c r="I663" s="11" t="str">
        <f>_xlfn.LET(_xlpm.doi,IF(C663&lt;&gt;"",C663,_xlfn.TEXTAFTER(A663,"https://doi.org/")),SUBSTITUTE(SUBSTITUTE(SUBSTITUTE(SUBSTITUTE(_xlpm.doi,"/","%2F"),":","%3A"),"&lt;","%3C"),"&gt;","%3E"))</f>
        <v>ISBN%3A9780195043716</v>
      </c>
      <c r="J663" s="11" t="str">
        <f>TRIM(_xlfn.TEXTJOIN("_",FALSE(),H663,(SUBSTITUTE(SUBSTITUTE(D663," ",""), "_", ""))))</f>
        <v>Zilles__1988_Table12-1</v>
      </c>
      <c r="K663" s="10" t="str">
        <f>I663 &amp; "_" &amp; SUBSTITUTE(SUBSTITUTE(SUBSTITUTE(D663,CHAR(160),"")," ",""),"_","")</f>
        <v>ISBN%3A9780195043716_Table12-1</v>
      </c>
      <c r="L663" s="10" t="str">
        <f t="array" ref="L663">IFERROR(INDEX(AUTO_Public_TSV_FileList!$A$1:$A$1000,MATCH(TRUE(),EXACT(K663,IFERROR(_xlfn.TEXTBEFORE(AUTO_Public_TSV_FileList!$A$1:$A$1000,".tsv"),"")),0)),"notfound")</f>
        <v>ISBN%3A9780195043716_Table12-1.tsv</v>
      </c>
      <c r="M663" s="19" t="inlineStr">
        <is>
          <t>TABLE 12-1. Brain and Body Weights from Literature</t>
        </is>
      </c>
      <c r="N663" s="15" t="inlineStr">
        <is>
          <t>table</t>
        </is>
      </c>
      <c r="O663" s="19"/>
      <c r="P663" s="19"/>
      <c r="Q663" s="19"/>
      <c r="R663" s="19"/>
      <c r="S663" s="19"/>
      <c r="T663" s="19"/>
      <c r="U663" s="19"/>
      <c r="V663" s="19"/>
      <c r="W663" s="19"/>
      <c r="X663" s="19"/>
      <c r="Y663" s="19"/>
      <c r="Z663" s="19"/>
      <c r="AA663" s="19"/>
      <c r="AB663" s="19"/>
      <c r="AC663" s="19"/>
      <c r="AD663" s="19"/>
      <c r="AE663" s="19"/>
      <c r="AF663" s="19"/>
      <c r="AG663" s="19"/>
    </row>
    <row r="664" ht="16" customHeight="1">
      <c r="A664" s="30" t="inlineStr">
        <is>
          <t>Zilles, K., &amp; Rehkämper, G. (1988). The brain, with special reference to the telencephalon. In J. H. Schwartz (Ed.), Orang-Utan Biology (pp. 157-176). Oxford University Press.</t>
        </is>
      </c>
      <c r="B664" s="12"/>
      <c r="C664" s="30" t="inlineStr">
        <is>
          <t>ISBN:9780195043716</t>
        </is>
      </c>
      <c r="D664" s="30" t="inlineStr">
        <is>
          <t>Table 12-2</t>
        </is>
      </c>
      <c r="E664" s="11" t="str">
        <f>SUBSTITUTE(SUBSTITUTE(_xlfn.TEXTBEFORE(A664,","), "-", ""), " ", "")</f>
        <v>Zilles</v>
      </c>
      <c r="F664" s="10"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64" s="10" t="str">
        <f>_xlfn.TEXTBEFORE(_xlfn.TEXTAFTER(A664, "("), ")")</f>
        <v>1988</v>
      </c>
      <c r="H664" s="11" t="str">
        <f>E664 &amp; IF(F664&lt;&gt;"", "_" &amp; SUBSTITUTE(F664," ",""), "_") &amp; IF(G664&lt;&gt;"", "_" &amp; G664, "_") &amp; IF(B664&lt;&gt;"", "_" &amp; B664, "")</f>
        <v>Zilles__1988</v>
      </c>
      <c r="I664" s="11" t="str">
        <f>_xlfn.LET(_xlpm.doi,IF(C664&lt;&gt;"",C664,_xlfn.TEXTAFTER(A664,"https://doi.org/")),SUBSTITUTE(SUBSTITUTE(SUBSTITUTE(SUBSTITUTE(_xlpm.doi,"/","%2F"),":","%3A"),"&lt;","%3C"),"&gt;","%3E"))</f>
        <v>ISBN%3A9780195043716</v>
      </c>
      <c r="J664" s="11" t="str">
        <f>TRIM(_xlfn.TEXTJOIN("_",FALSE(),H664,(SUBSTITUTE(SUBSTITUTE(D664," ",""), "_", ""))))</f>
        <v>Zilles__1988_Table12-2</v>
      </c>
      <c r="K664" s="10" t="str">
        <f>I664 &amp; "_" &amp; SUBSTITUTE(SUBSTITUTE(SUBSTITUTE(D664,CHAR(160),"")," ",""),"_","")</f>
        <v>ISBN%3A9780195043716_Table12-2</v>
      </c>
      <c r="L664" s="10" t="str">
        <f t="array" ref="L664">IFERROR(INDEX(AUTO_Public_TSV_FileList!$A$1:$A$1000,MATCH(TRUE(),EXACT(K664,IFERROR(_xlfn.TEXTBEFORE(AUTO_Public_TSV_FileList!$A$1:$A$1000,".tsv"),"")),0)),"notfound")</f>
        <v>ISBN%3A9780195043716_Table12-2.tsv</v>
      </c>
      <c r="M664" s="15" t="inlineStr">
        <is>
          <t>TABLE 12-2. Volumes of Brain Components and Their Percentages of Total Brain Volume</t>
        </is>
      </c>
      <c r="N664" s="15" t="inlineStr">
        <is>
          <t>table</t>
        </is>
      </c>
      <c r="O664" s="19"/>
      <c r="P664" s="19" t="inlineStr">
        <is>
          <t>FINISHED</t>
        </is>
      </c>
      <c r="Q664" s="19"/>
      <c r="R664" s="19"/>
      <c r="S664" s="19"/>
      <c r="T664" s="19"/>
      <c r="U664" s="19"/>
      <c r="V664" s="19"/>
      <c r="W664" s="19"/>
      <c r="X664" s="19"/>
      <c r="Y664" s="19"/>
      <c r="Z664" s="19"/>
      <c r="AA664" s="19"/>
      <c r="AB664" s="19"/>
      <c r="AC664" s="19"/>
      <c r="AD664" s="19"/>
      <c r="AE664" s="19"/>
      <c r="AF664" s="19"/>
      <c r="AG664" s="19"/>
    </row>
    <row r="665" ht="16" customHeight="1">
      <c r="A665" s="12" t="inlineStr">
        <is>
          <t>Zilles, K., &amp; Rehkämper, G. (1988). The brain, with special reference to the telencephalon. In J. H. Schwartz (Ed.), Orang-Utan Biology (pp. 157-176). Oxford University Press.</t>
        </is>
      </c>
      <c r="B665" s="12"/>
      <c r="C665" s="12" t="inlineStr">
        <is>
          <t>ISBN:9780195043716</t>
        </is>
      </c>
      <c r="D665" s="12" t="inlineStr">
        <is>
          <t>Table 12-3</t>
        </is>
      </c>
      <c r="E665" s="11" t="str">
        <f>SUBSTITUTE(SUBSTITUTE(_xlfn.TEXTBEFORE(A665,","), "-", ""), " ", "")</f>
        <v>Zilles</v>
      </c>
      <c r="F665" s="10"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65" s="10" t="str">
        <f>_xlfn.TEXTBEFORE(_xlfn.TEXTAFTER(A665, "("), ")")</f>
        <v>1988</v>
      </c>
      <c r="H665" s="11" t="str">
        <f>E665 &amp; IF(F665&lt;&gt;"", "_" &amp; SUBSTITUTE(F665," ",""), "_") &amp; IF(G665&lt;&gt;"", "_" &amp; G665, "_") &amp; IF(B665&lt;&gt;"", "_" &amp; B665, "")</f>
        <v>Zilles__1988</v>
      </c>
      <c r="I665" s="11" t="str">
        <f>_xlfn.LET(_xlpm.doi,IF(C665&lt;&gt;"",C665,_xlfn.TEXTAFTER(A665,"https://doi.org/")),SUBSTITUTE(SUBSTITUTE(SUBSTITUTE(SUBSTITUTE(_xlpm.doi,"/","%2F"),":","%3A"),"&lt;","%3C"),"&gt;","%3E"))</f>
        <v>ISBN%3A9780195043716</v>
      </c>
      <c r="J665" s="11" t="str">
        <f>TRIM(_xlfn.TEXTJOIN("_",FALSE(),H665,(SUBSTITUTE(SUBSTITUTE(D665," ",""), "_", ""))))</f>
        <v>Zilles__1988_Table12-3</v>
      </c>
      <c r="K665" s="10" t="str">
        <f>I665 &amp; "_" &amp; SUBSTITUTE(SUBSTITUTE(SUBSTITUTE(D665,CHAR(160),"")," ",""),"_","")</f>
        <v>ISBN%3A9780195043716_Table12-3</v>
      </c>
      <c r="L665" s="10" t="str">
        <f t="array" ref="L665">IFERROR(INDEX(AUTO_Public_TSV_FileList!$A$1:$A$1000,MATCH(TRUE(),EXACT(K665,IFERROR(_xlfn.TEXTBEFORE(AUTO_Public_TSV_FileList!$A$1:$A$1000,".tsv"),"")),0)),"notfound")</f>
        <v>ISBN%3A9780195043716_Table12-3.tsv</v>
      </c>
      <c r="M665" s="19" t="inlineStr">
        <is>
          <t>TABLE 12-3. Indices of Brain Structure Size in Pongo and Other Hominoidea</t>
        </is>
      </c>
      <c r="N665" s="15" t="inlineStr">
        <is>
          <t>table</t>
        </is>
      </c>
      <c r="O665" s="19"/>
      <c r="P665" s="19"/>
      <c r="Q665" s="19"/>
      <c r="R665" s="19"/>
      <c r="S665" s="19"/>
      <c r="T665" s="19"/>
      <c r="U665" s="19"/>
      <c r="V665" s="19"/>
      <c r="W665" s="19"/>
      <c r="X665" s="19"/>
      <c r="Y665" s="19"/>
      <c r="Z665" s="19"/>
      <c r="AA665" s="19"/>
      <c r="AB665" s="19"/>
      <c r="AC665" s="19"/>
      <c r="AD665" s="19"/>
      <c r="AE665" s="19"/>
      <c r="AF665" s="19"/>
      <c r="AG665" s="19"/>
      <c r="AH665" s="18"/>
    </row>
    <row r="666" ht="16" customHeight="1">
      <c r="A666" s="12" t="inlineStr">
        <is>
          <t>Zilles, K., &amp; Rehkämper, G. (1988). The brain, with special reference to the telencephalon. In J. H. Schwartz (Ed.), Orang-Utan Biology (pp. 157-176). Oxford University Press.</t>
        </is>
      </c>
      <c r="B666" s="12"/>
      <c r="C666" s="12" t="inlineStr">
        <is>
          <t>ISBN:9780195043716</t>
        </is>
      </c>
      <c r="D666" s="15" t="inlineStr">
        <is>
          <t>Text</t>
        </is>
      </c>
      <c r="E666" s="11" t="str">
        <f>SUBSTITUTE(SUBSTITUTE(_xlfn.TEXTBEFORE(A666,","), "-", ""), " ", "")</f>
        <v>Zilles</v>
      </c>
      <c r="F666" s="10"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66" s="10" t="str">
        <f>_xlfn.TEXTBEFORE(_xlfn.TEXTAFTER(A666, "("), ")")</f>
        <v>1988</v>
      </c>
      <c r="H666" s="11" t="str">
        <f>E666 &amp; IF(F666&lt;&gt;"", "_" &amp; SUBSTITUTE(F666," ",""), "_") &amp; IF(G666&lt;&gt;"", "_" &amp; G666, "_") &amp; IF(B666&lt;&gt;"", "_" &amp; B666, "")</f>
        <v>Zilles__1988</v>
      </c>
      <c r="I666" s="11" t="str">
        <f>_xlfn.LET(_xlpm.doi,IF(C666&lt;&gt;"",C666,_xlfn.TEXTAFTER(A666,"https://doi.org/")),SUBSTITUTE(SUBSTITUTE(SUBSTITUTE(SUBSTITUTE(_xlpm.doi,"/","%2F"),":","%3A"),"&lt;","%3C"),"&gt;","%3E"))</f>
        <v>ISBN%3A9780195043716</v>
      </c>
      <c r="J666" s="11" t="str">
        <f>TRIM(_xlfn.TEXTJOIN("_",FALSE(),H666,(SUBSTITUTE(SUBSTITUTE(D666," ",""), "_", ""))))</f>
        <v>Zilles__1988_Text</v>
      </c>
      <c r="K666" s="10" t="str">
        <f>I666 &amp; "_" &amp; SUBSTITUTE(SUBSTITUTE(SUBSTITUTE(D666,CHAR(160),"")," ",""),"_","")</f>
        <v>ISBN%3A9780195043716_Text</v>
      </c>
      <c r="L666" s="10" t="str">
        <f t="array" ref="L666">IFERROR(INDEX(AUTO_Public_TSV_FileList!$A$1:$A$1000,MATCH(TRUE(),EXACT(K666,IFERROR(_xlfn.TEXTBEFORE(AUTO_Public_TSV_FileList!$A$1:$A$1000,".tsv"),"")),0)),"notfound")</f>
        <v>ISBN%3A9780195043716_Text.tsv</v>
      </c>
      <c r="M666" s="19"/>
      <c r="N666" s="15"/>
      <c r="O666" s="19"/>
      <c r="P666" s="19"/>
      <c r="Q666" s="19"/>
      <c r="R666" s="19"/>
      <c r="S666" s="19"/>
      <c r="T666" s="19"/>
      <c r="U666" s="19"/>
      <c r="V666" s="19"/>
      <c r="W666" s="19"/>
      <c r="X666" s="19"/>
      <c r="Y666" s="19"/>
      <c r="Z666" s="19"/>
      <c r="AA666" s="19"/>
      <c r="AB666" s="19"/>
      <c r="AC666" s="19"/>
      <c r="AD666" s="19"/>
      <c r="AE666" s="19"/>
      <c r="AF666" s="19"/>
      <c r="AG666" s="19"/>
      <c r="AH666" s="18"/>
    </row>
    <row r="667" ht="16" customHeight="1">
      <c r="A667" s="12" t="inlineStr">
        <is>
          <t>Zilles, K., Amunts, K., &amp; Smaers, J. B. (2011). Three brain collections for comparative neuroanatomy and neuroimaging. Ann N Y Acad Sci, 1225(S1), E94-E104. https://doi.org/10.1111/j.1749-6632.2011.05978.x</t>
        </is>
      </c>
      <c r="B667" s="12"/>
      <c r="C667" s="12"/>
      <c r="D667" s="12" t="inlineStr">
        <is>
          <t>Table S1</t>
        </is>
      </c>
      <c r="E667" s="11" t="str">
        <f>SUBSTITUTE(SUBSTITUTE(_xlfn.TEXTBEFORE(A667,","), "-", ""), " ", "")</f>
        <v>Zilles</v>
      </c>
      <c r="F667" s="10"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10" t="str">
        <f>_xlfn.TEXTBEFORE(_xlfn.TEXTAFTER(A667, "("), ")")</f>
        <v>2011</v>
      </c>
      <c r="H667" s="11" t="str">
        <f>E667 &amp; IF(F667&lt;&gt;"", "_" &amp; SUBSTITUTE(F667," ",""), "_") &amp; IF(G667&lt;&gt;"", "_" &amp; G667, "_") &amp; IF(B667&lt;&gt;"", "_" &amp; B667, "")</f>
        <v>Zilles_etal_2011</v>
      </c>
      <c r="I667" s="11" t="str">
        <f>_xlfn.LET(_xlpm.doi,IF(C667&lt;&gt;"",C667,_xlfn.TEXTAFTER(A667,"https://doi.org/")),SUBSTITUTE(SUBSTITUTE(SUBSTITUTE(SUBSTITUTE(_xlpm.doi,"/","%2F"),":","%3A"),"&lt;","%3C"),"&gt;","%3E"))</f>
        <v>10.1111%2Fj.1749-6632.2011.05978.x</v>
      </c>
      <c r="J667" s="11" t="str">
        <f>TRIM(_xlfn.TEXTJOIN("_",FALSE(),H667,(SUBSTITUTE(SUBSTITUTE(D667," ",""), "_", ""))))</f>
        <v>Zilles_etal_2011_TableS1</v>
      </c>
      <c r="K667" s="10" t="str">
        <f>I667 &amp; "_" &amp; SUBSTITUTE(SUBSTITUTE(SUBSTITUTE(D667,CHAR(160),"")," ",""),"_","")</f>
        <v>10.1111%2Fj.1749-6632.2011.05978.x_TableS1</v>
      </c>
      <c r="L667" s="10" t="str">
        <f t="array" ref="L667">IFERROR(INDEX(AUTO_Public_TSV_FileList!$A$1:$A$1000,MATCH(TRUE(),EXACT(K667,IFERROR(_xlfn.TEXTBEFORE(AUTO_Public_TSV_FileList!$A$1:$A$1000,".tsv"),"")),0)),"notfound")</f>
        <v>10.1111%2Fj.1749-6632.2011.05978.x_TableS1.tsv</v>
      </c>
      <c r="M667" s="19" t="inlineStr">
        <is>
          <t>Table S1. Stephan collection</t>
        </is>
      </c>
      <c r="N667" s="15"/>
      <c r="O667" s="19"/>
      <c r="P667" s="19"/>
      <c r="Q667" s="19"/>
      <c r="R667" s="19"/>
      <c r="S667" s="19"/>
      <c r="T667" s="19"/>
      <c r="U667" s="19"/>
      <c r="V667" s="19"/>
      <c r="W667" s="19"/>
      <c r="X667" s="19"/>
      <c r="Y667" s="19"/>
      <c r="Z667" s="19"/>
      <c r="AA667" s="19"/>
      <c r="AB667" s="19"/>
      <c r="AC667" s="19"/>
      <c r="AD667" s="19"/>
      <c r="AE667" s="19"/>
      <c r="AF667" s="19"/>
      <c r="AG667" s="19"/>
      <c r="AH667" s="18"/>
    </row>
    <row r="668" ht="15" customHeight="1">
      <c r="A668" s="12" t="inlineStr">
        <is>
          <t>Zilles, K., Amunts, K., &amp; Smaers, J. B. (2011). Three brain collections for comparative neuroanatomy and neuroimaging. Ann N Y Acad Sci, 1225(S1), E94-E104. https://doi.org/10.1111/j.1749-6632.2011.05978.x</t>
        </is>
      </c>
      <c r="B668" s="12"/>
      <c r="C668" s="12"/>
      <c r="D668" s="12" t="inlineStr">
        <is>
          <t>Table S2</t>
        </is>
      </c>
      <c r="E668" s="11" t="str">
        <f>SUBSTITUTE(SUBSTITUTE(_xlfn.TEXTBEFORE(A668,","), "-", ""), " ", "")</f>
        <v>Zilles</v>
      </c>
      <c r="F668" s="10"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10" t="str">
        <f>_xlfn.TEXTBEFORE(_xlfn.TEXTAFTER(A668, "("), ")")</f>
        <v>2011</v>
      </c>
      <c r="H668" s="11" t="str">
        <f>E668 &amp; IF(F668&lt;&gt;"", "_" &amp; SUBSTITUTE(F668," ",""), "_") &amp; IF(G668&lt;&gt;"", "_" &amp; G668, "_") &amp; IF(B668&lt;&gt;"", "_" &amp; B668, "")</f>
        <v>Zilles_etal_2011</v>
      </c>
      <c r="I668" s="11" t="str">
        <f>_xlfn.LET(_xlpm.doi,IF(C668&lt;&gt;"",C668,_xlfn.TEXTAFTER(A668,"https://doi.org/")),SUBSTITUTE(SUBSTITUTE(SUBSTITUTE(SUBSTITUTE(_xlpm.doi,"/","%2F"),":","%3A"),"&lt;","%3C"),"&gt;","%3E"))</f>
        <v>10.1111%2Fj.1749-6632.2011.05978.x</v>
      </c>
      <c r="J668" s="11" t="str">
        <f>TRIM(_xlfn.TEXTJOIN("_",FALSE(),H668,(SUBSTITUTE(SUBSTITUTE(D668," ",""), "_", ""))))</f>
        <v>Zilles_etal_2011_TableS2</v>
      </c>
      <c r="K668" s="10" t="str">
        <f>I668 &amp; "_" &amp; SUBSTITUTE(SUBSTITUTE(SUBSTITUTE(D668,CHAR(160),"")," ",""),"_","")</f>
        <v>10.1111%2Fj.1749-6632.2011.05978.x_TableS2</v>
      </c>
      <c r="L668" s="10" t="str">
        <f t="array" ref="L668">IFERROR(INDEX(AUTO_Public_TSV_FileList!$A$1:$A$1000,MATCH(TRUE(),EXACT(K668,IFERROR(_xlfn.TEXTBEFORE(AUTO_Public_TSV_FileList!$A$1:$A$1000,".tsv"),"")),0)),"notfound")</f>
        <v>10.1111%2Fj.1749-6632.2011.05978.x_TableS2.tsv</v>
      </c>
      <c r="M668" s="19" t="inlineStr">
        <is>
          <t>Table S2. Zilles collection vertebrates</t>
        </is>
      </c>
      <c r="N668" s="15"/>
      <c r="O668" s="19"/>
      <c r="P668" s="19"/>
      <c r="Q668" s="19"/>
      <c r="R668" s="19"/>
      <c r="S668" s="19"/>
      <c r="T668" s="19"/>
      <c r="U668" s="19"/>
      <c r="V668" s="19"/>
      <c r="W668" s="19"/>
      <c r="X668" s="19"/>
      <c r="Y668" s="19"/>
      <c r="Z668" s="19"/>
      <c r="AA668" s="19"/>
      <c r="AB668" s="19"/>
      <c r="AC668" s="19"/>
      <c r="AD668" s="19"/>
      <c r="AE668" s="19"/>
      <c r="AF668" s="19"/>
      <c r="AG668" s="19"/>
      <c r="AH668" s="18"/>
    </row>
    <row r="669" ht="15" customHeight="1">
      <c r="A669" s="12" t="inlineStr">
        <is>
          <t>Zilles, K., Amunts, K., &amp; Smaers, J. B. (2011). Three brain collections for comparative neuroanatomy and neuroimaging. Ann N Y Acad Sci, 1225(S1), E94-E104. https://doi.org/10.1111/j.1749-6632.2011.05978.x</t>
        </is>
      </c>
      <c r="B669" s="12"/>
      <c r="C669" s="12"/>
      <c r="D669" s="12" t="inlineStr">
        <is>
          <t>Table S3</t>
        </is>
      </c>
      <c r="E669" s="11" t="str">
        <f>SUBSTITUTE(SUBSTITUTE(_xlfn.TEXTBEFORE(A669,","), "-", ""), " ", "")</f>
        <v>Zilles</v>
      </c>
      <c r="F669" s="10"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10" t="str">
        <f>_xlfn.TEXTBEFORE(_xlfn.TEXTAFTER(A669, "("), ")")</f>
        <v>2011</v>
      </c>
      <c r="H669" s="11" t="str">
        <f>E669 &amp; IF(F669&lt;&gt;"", "_" &amp; SUBSTITUTE(F669," ",""), "_") &amp; IF(G669&lt;&gt;"", "_" &amp; G669, "_") &amp; IF(B669&lt;&gt;"", "_" &amp; B669, "")</f>
        <v>Zilles_etal_2011</v>
      </c>
      <c r="I669" s="11" t="str">
        <f>_xlfn.LET(_xlpm.doi,IF(C669&lt;&gt;"",C669,_xlfn.TEXTAFTER(A669,"https://doi.org/")),SUBSTITUTE(SUBSTITUTE(SUBSTITUTE(SUBSTITUTE(_xlpm.doi,"/","%2F"),":","%3A"),"&lt;","%3C"),"&gt;","%3E"))</f>
        <v>10.1111%2Fj.1749-6632.2011.05978.x</v>
      </c>
      <c r="J669" s="11" t="str">
        <f>TRIM(_xlfn.TEXTJOIN("_",FALSE(),H669,(SUBSTITUTE(SUBSTITUTE(D669," ",""), "_", ""))))</f>
        <v>Zilles_etal_2011_TableS3</v>
      </c>
      <c r="K669" s="10" t="str">
        <f>I669 &amp; "_" &amp; SUBSTITUTE(SUBSTITUTE(SUBSTITUTE(D669,CHAR(160),"")," ",""),"_","")</f>
        <v>10.1111%2Fj.1749-6632.2011.05978.x_TableS3</v>
      </c>
      <c r="L669" s="10" t="str">
        <f t="array" ref="L669">IFERROR(INDEX(AUTO_Public_TSV_FileList!$A$1:$A$1000,MATCH(TRUE(),EXACT(K669,IFERROR(_xlfn.TEXTBEFORE(AUTO_Public_TSV_FileList!$A$1:$A$1000,".tsv"),"")),0)),"notfound")</f>
        <v>10.1111%2Fj.1749-6632.2011.05978.x_TableS3.tsv</v>
      </c>
      <c r="M669" s="19" t="inlineStr">
        <is>
          <t>Table S3. Zilles-Amunts collection Homo sapiens</t>
        </is>
      </c>
      <c r="N669" s="15"/>
      <c r="O669" s="19"/>
      <c r="P669" s="19"/>
      <c r="Q669" s="19"/>
      <c r="R669" s="19"/>
      <c r="S669" s="19"/>
      <c r="T669" s="19"/>
      <c r="U669" s="19"/>
      <c r="V669" s="19"/>
      <c r="W669" s="19"/>
      <c r="X669" s="19"/>
      <c r="Y669" s="19"/>
      <c r="Z669" s="19"/>
      <c r="AA669" s="19"/>
      <c r="AB669" s="19"/>
      <c r="AC669" s="19"/>
      <c r="AD669" s="19"/>
      <c r="AE669" s="19"/>
      <c r="AF669" s="19"/>
      <c r="AG669" s="19"/>
      <c r="AH669" s="18"/>
    </row>
    <row r="670" ht="15" customHeight="1">
      <c r="A670" s="16" t="inlineStr">
        <is>
          <t>Zilles, K., Armstrong, E., Moser, K. H., Schleicher, A., &amp; Stephan, H. (1989). Gyrification in the Cerebral Cortex of Primates. Brain, Behavior and Evolution, 34(3), 143–150. https://doi.org/10.1159/000116500</t>
        </is>
      </c>
      <c r="B670" s="16"/>
      <c r="C670" s="16"/>
      <c r="D670" s="16" t="inlineStr">
        <is>
          <t>Table 1</t>
        </is>
      </c>
      <c r="E670" s="2" t="str">
        <f>SUBSTITUTE(SUBSTITUTE(_xlfn.TEXTBEFORE(A670,","), "-", ""), " ", "")</f>
        <v>Zilles</v>
      </c>
      <c r="F670" s="7"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7" t="str">
        <f>_xlfn.TEXTBEFORE(_xlfn.TEXTAFTER(A670, "("), ")")</f>
        <v>1989</v>
      </c>
      <c r="H670" s="2" t="str">
        <f>E670 &amp; IF(F670&lt;&gt;"", "_" &amp; SUBSTITUTE(F670," ",""), "_") &amp; IF(G670&lt;&gt;"", "_" &amp; G670, "_") &amp; IF(B670&lt;&gt;"", "_" &amp; B670, "")</f>
        <v>Zilles_etal_1989</v>
      </c>
      <c r="I670" s="2" t="str">
        <f>_xlfn.LET(_xlpm.doi,IF(C670&lt;&gt;"",C670,_xlfn.TEXTAFTER(A670,"https://doi.org/")),SUBSTITUTE(SUBSTITUTE(SUBSTITUTE(SUBSTITUTE(_xlpm.doi,"/","%2F"),":","%3A"),"&lt;","%3C"),"&gt;","%3E"))</f>
        <v>10.1159%2F000116500</v>
      </c>
      <c r="J670" s="2" t="str">
        <f>TRIM(_xlfn.TEXTJOIN("_",FALSE(),H670,(SUBSTITUTE(SUBSTITUTE(D670," ",""), "_", ""))))</f>
        <v>Zilles_etal_1989_Table1</v>
      </c>
      <c r="K670" s="7" t="str">
        <f>I670 &amp; "_" &amp; SUBSTITUTE(SUBSTITUTE(SUBSTITUTE(D670,CHAR(160),"")," ",""),"_","")</f>
        <v>10.1159%2F000116500_Table1</v>
      </c>
      <c r="L670" s="7" t="str">
        <f t="array" ref="L670">IFERROR(INDEX(AUTO_Public_TSV_FileList!$A$1:$A$1000,MATCH(TRUE(),EXACT(K670,IFERROR(_xlfn.TEXTBEFORE(AUTO_Public_TSV_FileList!$A$1:$A$1000,".tsv"),"")),0)),"notfound")</f>
        <v>10.1159%2F000116500_Table1.tsv</v>
      </c>
      <c r="M670" s="16" t="inlineStr">
        <is>
          <t>Table 1. Body weight (S) in grams, brain weight (E) in grams, neopallial volume (NEO) in cubic centimeters, and GIs of the right (GIR) and left (GIL) hemispheres of all species studied: most of the body weight, brain weight and neopallial volume data are from Stephan et al. [20]</t>
        </is>
      </c>
      <c r="N670" s="16" t="inlineStr">
        <is>
          <t>PDF table (flat frozen CSV snapshot)</t>
        </is>
      </c>
      <c r="O670" s="16" t="inlineStr">
        <is>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is>
      </c>
      <c r="P670" s="16" t="inlineStr">
        <is>
          <t>PREPARED (provisional CSV; owner registration / public TSV / R validation pending)</t>
        </is>
      </c>
      <c r="Q670" s="16" t="inlineStr">
        <is>
          <t>Zilles_etal_1989_Table1_snapshot.csv</t>
        </is>
      </c>
      <c r="R670" s="16" t="inlineStr">
        <is>
          <t>https://europepmc.org/article/MED/2512000</t>
        </is>
      </c>
      <c r="S670" s="16"/>
      <c r="T670" s="16" t="inlineStr">
        <is>
          <t>Collection-scoped taxonomy / source-dependency review remains open; no guessed taxon mapping.</t>
        </is>
      </c>
      <c r="U670" s="16"/>
      <c r="V670" s="16"/>
      <c r="W670" s="16"/>
      <c r="X670" s="16"/>
      <c r="Y670" s="16"/>
      <c r="Z670" s="16"/>
      <c r="AA670" s="16" t="inlineStr">
        <is>
          <t>Serial20-μm histological sections; cresyl violet; approximately40 equidistant sections/brain; digitized contours; GI=sum complete contours/sum outer contours.</t>
        </is>
      </c>
      <c r="AB670" s="16" t="inlineStr">
        <is>
          <t>Body g; brain mg (source g×1000); neopallium mm3 (source cm3×1000); dimensionless right/left GI.</t>
        </is>
      </c>
      <c r="AC670" s="16"/>
      <c r="AD670" s="16"/>
      <c r="AE670" s="16" t="inlineStr">
        <is>
          <t>both</t>
        </is>
      </c>
      <c r="AF670" s="16"/>
      <c r="AG670" s="16" t="inlineStr">
        <is>
          <t>Owner review and selective paste-values; regenerate file list and verify encoded authority before clean R build/validate.</t>
        </is>
      </c>
      <c r="AH670" s="16"/>
    </row>
    <row r="671" ht="16" customHeight="1">
      <c r="A671" s="12" t="inlineStr">
        <is>
          <t>Zilles, K., Armstrong, E., Schlaug, G., &amp; Schleicher, A. (1986). Quantitative cytoarchitectonics of the posterior cingulate cortex in primates. J Comp Neurol, 253(4), 514-524. https://doi.org/10.1002/cne.902530408</t>
        </is>
      </c>
      <c r="B671" s="12"/>
      <c r="C671" s="12"/>
      <c r="D671" s="12" t="inlineStr">
        <is>
          <t>Table 1</t>
        </is>
      </c>
      <c r="E671" s="11" t="str">
        <f>SUBSTITUTE(SUBSTITUTE(_xlfn.TEXTBEFORE(A671,","), "-", ""), " ", "")</f>
        <v>Zilles</v>
      </c>
      <c r="F671" s="10"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10" t="str">
        <f>_xlfn.TEXTBEFORE(_xlfn.TEXTAFTER(A671, "("), ")")</f>
        <v>1986</v>
      </c>
      <c r="H671" s="11" t="str">
        <f>E671 &amp; IF(F671&lt;&gt;"", "_" &amp; SUBSTITUTE(F671," ",""), "_") &amp; IF(G671&lt;&gt;"", "_" &amp; G671, "_") &amp; IF(B671&lt;&gt;"", "_" &amp; B671, "")</f>
        <v>Zilles_etal_1986</v>
      </c>
      <c r="I671" s="11" t="str">
        <f>_xlfn.LET(_xlpm.doi,IF(C671&lt;&gt;"",C671,_xlfn.TEXTAFTER(A671,"https://doi.org/")),SUBSTITUTE(SUBSTITUTE(SUBSTITUTE(SUBSTITUTE(_xlpm.doi,"/","%2F"),":","%3A"),"&lt;","%3C"),"&gt;","%3E"))</f>
        <v>10.1002%2Fcne.902530408</v>
      </c>
      <c r="J671" s="11" t="str">
        <f>TRIM(_xlfn.TEXTJOIN("_",FALSE(),H671,(SUBSTITUTE(SUBSTITUTE(D671," ",""), "_", ""))))</f>
        <v>Zilles_etal_1986_Table1</v>
      </c>
      <c r="K671" s="10" t="str">
        <f>I671 &amp; "_" &amp; SUBSTITUTE(SUBSTITUTE(SUBSTITUTE(D671,CHAR(160),"")," ",""),"_","")</f>
        <v>10.1002%2Fcne.902530408_Table1</v>
      </c>
      <c r="L671" s="10" t="str">
        <f t="array" ref="L671">IFERROR(INDEX(AUTO_Public_TSV_FileList!$A$1:$A$1000,MATCH(TRUE(),EXACT(K671,IFERROR(_xlfn.TEXTBEFORE(AUTO_Public_TSV_FileList!$A$1:$A$1000,".tsv"),"")),0)),"notfound")</f>
        <v>10.1002%2Fcne.902530408_Table1.tsv</v>
      </c>
      <c r="M671" s="19"/>
      <c r="N671" s="15"/>
      <c r="O671" s="19"/>
      <c r="P671" s="19"/>
      <c r="Q671" s="19"/>
      <c r="R671" s="19"/>
      <c r="S671" s="19"/>
      <c r="T671" s="19"/>
      <c r="U671" s="19"/>
      <c r="V671" s="19"/>
      <c r="W671" s="19"/>
      <c r="X671" s="19"/>
      <c r="Y671" s="19"/>
      <c r="Z671" s="19"/>
      <c r="AA671" s="19"/>
      <c r="AB671" s="19"/>
      <c r="AC671" s="19"/>
      <c r="AD671" s="19"/>
      <c r="AE671" s="19"/>
      <c r="AF671" s="19"/>
      <c r="AG671" s="19"/>
      <c r="AH671" s="18"/>
    </row>
    <row r="672" ht="15" customHeight="1">
      <c r="A672" s="12" t="inlineStr">
        <is>
          <t>Zilles, K., Armstrong, E., Schlaug, G., &amp; Schleicher, A. (1986). Quantitative cytoarchitectonics of the posterior cingulate cortex in primates. J Comp Neurol, 253(4), 514-524. https://doi.org/10.1002/cne.902530408</t>
        </is>
      </c>
      <c r="B672" s="12"/>
      <c r="C672" s="12"/>
      <c r="D672" s="12" t="inlineStr">
        <is>
          <t>Table 2</t>
        </is>
      </c>
      <c r="E672" s="11" t="str">
        <f>SUBSTITUTE(SUBSTITUTE(_xlfn.TEXTBEFORE(A672,","), "-", ""), " ", "")</f>
        <v>Zilles</v>
      </c>
      <c r="F672" s="10"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10" t="str">
        <f>_xlfn.TEXTBEFORE(_xlfn.TEXTAFTER(A672, "("), ")")</f>
        <v>1986</v>
      </c>
      <c r="H672" s="11" t="str">
        <f>E672 &amp; IF(F672&lt;&gt;"", "_" &amp; SUBSTITUTE(F672," ",""), "_") &amp; IF(G672&lt;&gt;"", "_" &amp; G672, "_") &amp; IF(B672&lt;&gt;"", "_" &amp; B672, "")</f>
        <v>Zilles_etal_1986</v>
      </c>
      <c r="I672" s="11" t="str">
        <f>_xlfn.LET(_xlpm.doi,IF(C672&lt;&gt;"",C672,_xlfn.TEXTAFTER(A672,"https://doi.org/")),SUBSTITUTE(SUBSTITUTE(SUBSTITUTE(SUBSTITUTE(_xlpm.doi,"/","%2F"),":","%3A"),"&lt;","%3C"),"&gt;","%3E"))</f>
        <v>10.1002%2Fcne.902530408</v>
      </c>
      <c r="J672" s="11" t="str">
        <f>TRIM(_xlfn.TEXTJOIN("_",FALSE(),H672,(SUBSTITUTE(SUBSTITUTE(D672," ",""), "_", ""))))</f>
        <v>Zilles_etal_1986_Table2</v>
      </c>
      <c r="K672" s="10" t="str">
        <f>I672 &amp; "_" &amp; SUBSTITUTE(SUBSTITUTE(SUBSTITUTE(D672,CHAR(160),"")," ",""),"_","")</f>
        <v>10.1002%2Fcne.902530408_Table2</v>
      </c>
      <c r="L672" s="10" t="str">
        <f t="array" ref="L672">IFERROR(INDEX(AUTO_Public_TSV_FileList!$A$1:$A$1000,MATCH(TRUE(),EXACT(K672,IFERROR(_xlfn.TEXTBEFORE(AUTO_Public_TSV_FileList!$A$1:$A$1000,".tsv"),"")),0)),"notfound")</f>
        <v>10.1002%2Fcne.902530408_Table2.tsv</v>
      </c>
      <c r="M672" s="19"/>
      <c r="N672" s="15"/>
      <c r="O672" s="19"/>
      <c r="P672" s="19"/>
      <c r="Q672" s="19"/>
      <c r="R672" s="19"/>
      <c r="S672" s="19"/>
      <c r="T672" s="19"/>
      <c r="U672" s="19"/>
      <c r="V672" s="19"/>
      <c r="W672" s="19"/>
      <c r="X672" s="19"/>
      <c r="Y672" s="19"/>
      <c r="Z672" s="19"/>
      <c r="AA672" s="19"/>
      <c r="AB672" s="19"/>
      <c r="AC672" s="19"/>
      <c r="AD672" s="19"/>
      <c r="AE672" s="19"/>
      <c r="AF672" s="19"/>
      <c r="AG672" s="19"/>
      <c r="AH672" s="18"/>
    </row>
    <row r="673" ht="15" customHeight="1">
      <c r="A673" s="30" t="inlineStr">
        <is>
          <t>Zilles, K., Palomero-Gallagher, N., &amp; Amunts, K. (2013). Development of cortical folding during evolution and ontogeny. Trends Neurosci, 36(5), 275-284. https://doi.org/10.1016/j.tins.2013.01.006</t>
        </is>
      </c>
      <c r="B673" s="12"/>
      <c r="C673" s="12"/>
      <c r="D673" s="30" t="inlineStr">
        <is>
          <t>Table 1</t>
        </is>
      </c>
      <c r="E673" s="11" t="str">
        <f>SUBSTITUTE(SUBSTITUTE(_xlfn.TEXTBEFORE(A673,","), "-", ""), " ", "")</f>
        <v>Zilles</v>
      </c>
      <c r="F673" s="10"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10" t="str">
        <f>_xlfn.TEXTBEFORE(_xlfn.TEXTAFTER(A673, "("), ")")</f>
        <v>2013</v>
      </c>
      <c r="H673" s="11" t="str">
        <f>E673 &amp; IF(F673&lt;&gt;"", "_" &amp; SUBSTITUTE(F673," ",""), "_") &amp; IF(G673&lt;&gt;"", "_" &amp; G673, "_") &amp; IF(B673&lt;&gt;"", "_" &amp; B673, "")</f>
        <v>Zilles_etal_2013</v>
      </c>
      <c r="I673" s="11" t="str">
        <f>_xlfn.LET(_xlpm.doi,IF(C673&lt;&gt;"",C673,_xlfn.TEXTAFTER(A673,"https://doi.org/")),SUBSTITUTE(SUBSTITUTE(SUBSTITUTE(SUBSTITUTE(_xlpm.doi,"/","%2F"),":","%3A"),"&lt;","%3C"),"&gt;","%3E"))</f>
        <v>10.1016%2Fj.tins.2013.01.006</v>
      </c>
      <c r="J673" s="11" t="str">
        <f>TRIM(_xlfn.TEXTJOIN("_",FALSE(),H673,(SUBSTITUTE(SUBSTITUTE(D673," ",""), "_", ""))))</f>
        <v>Zilles_etal_2013_Table1</v>
      </c>
      <c r="K673" s="10" t="str">
        <f>I673 &amp; "_" &amp; SUBSTITUTE(SUBSTITUTE(SUBSTITUTE(D673,CHAR(160),"")," ",""),"_","")</f>
        <v>10.1016%2Fj.tins.2013.01.006_Table1</v>
      </c>
      <c r="L673" s="10" t="str">
        <f t="array" ref="L673">IFERROR(INDEX(AUTO_Public_TSV_FileList!$A$1:$A$1000,MATCH(TRUE(),EXACT(K673,IFERROR(_xlfn.TEXTBEFORE(AUTO_Public_TSV_FileList!$A$1:$A$1000,".tsv"),"")),0)),"notfound")</f>
        <v>10.1016%2Fj.tins.2013.01.006_Table1.tsv</v>
      </c>
      <c r="M673" s="15" t="inlineStr">
        <is>
          <t>Table 1. Brain size and gyrification index (GI) in various mammalian orders, families, and species</t>
        </is>
      </c>
      <c r="N673" s="15" t="inlineStr">
        <is>
          <t>table</t>
        </is>
      </c>
      <c r="O673" s="19"/>
      <c r="P673" s="19" t="inlineStr">
        <is>
          <t>FINISHED</t>
        </is>
      </c>
      <c r="Q673" s="19"/>
      <c r="R673" s="19"/>
      <c r="S673" s="19"/>
      <c r="T673" s="19"/>
      <c r="U673" s="19"/>
      <c r="V673" s="19"/>
      <c r="W673" s="19"/>
      <c r="X673" s="19"/>
      <c r="Y673" s="19"/>
      <c r="Z673" s="19"/>
      <c r="AA673" s="19"/>
      <c r="AB673" s="19"/>
      <c r="AC673" s="19"/>
      <c r="AD673" s="19"/>
      <c r="AE673" s="19"/>
      <c r="AF673" s="19"/>
      <c r="AG673" s="19"/>
      <c r="AH673" s="18"/>
    </row>
    <row r="674" ht="16" customHeight="1">
      <c r="A674" s="12" t="inlineStr">
        <is>
          <t>Zilles, K., Palomero-Gallagher, N., &amp; Amunts, K. (2013). Development of cortical folding during evolution and ontogeny. Trends Neurosci, 36(5), 275-284. https://doi.org/10.1016/j.tins.2013.01.006</t>
        </is>
      </c>
      <c r="B674" s="12"/>
      <c r="C674" s="12"/>
      <c r="D674" s="12" t="inlineStr">
        <is>
          <t>Table 1</t>
        </is>
      </c>
      <c r="E674" s="2" t="str">
        <f>SUBSTITUTE(SUBSTITUTE(_xlfn.TEXTBEFORE(A674,","), "-", ""), " ", "")</f>
        <v>Zilles</v>
      </c>
      <c r="F674" s="7"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7" t="str">
        <f>_xlfn.TEXTBEFORE(_xlfn.TEXTAFTER(A674, "("), ")")</f>
        <v>2013</v>
      </c>
      <c r="H674" s="2" t="str">
        <f>E674 &amp; IF(F674&lt;&gt;"", "_" &amp; SUBSTITUTE(F674," ",""), "_") &amp; IF(G674&lt;&gt;"", "_" &amp; G674, "_") &amp; IF(B674&lt;&gt;"", "_" &amp; B674, "")</f>
        <v>Zilles_etal_2013</v>
      </c>
      <c r="I674" s="2" t="str">
        <f>_xlfn.LET(_xlpm.doi,IF(C674&lt;&gt;"",C674,_xlfn.TEXTAFTER(A674,"https://doi.org/")),SUBSTITUTE(SUBSTITUTE(SUBSTITUTE(SUBSTITUTE(_xlpm.doi,"/","%2F"),":","%3A"),"&lt;","%3C"),"&gt;","%3E"))</f>
        <v>10.1016%2Fj.tins.2013.01.006</v>
      </c>
      <c r="J674" s="2" t="str">
        <f>TRIM(_xlfn.TEXTJOIN("_",FALSE(),H674,(SUBSTITUTE(SUBSTITUTE(D674," ",""), "_", ""))))</f>
        <v>Zilles_etal_2013_Table1</v>
      </c>
      <c r="K674" s="7" t="str">
        <f>I674 &amp; "_" &amp; SUBSTITUTE(SUBSTITUTE(SUBSTITUTE(D674,CHAR(160),"")," ",""),"_","")</f>
        <v>10.1016%2Fj.tins.2013.01.006_Table1</v>
      </c>
      <c r="L674" s="7" t="str">
        <f t="array" ref="L674">IFERROR(INDEX(AUTO_Public_TSV_FileList!$A$1:$A$1000,MATCH(TRUE(),EXACT(K674,IFERROR(_xlfn.TEXTBEFORE(AUTO_Public_TSV_FileList!$A$1:$A$1000,".tsv"),"")),0)),"notfound")</f>
        <v>10.1016%2Fj.tins.2013.01.006_Table1.tsv</v>
      </c>
      <c r="M674" s="19" t="inlineStr">
        <is>
          <t>Table 1. Brain size and gyrification index (GI) in various mammalian orders, families, and species</t>
        </is>
      </c>
      <c r="N674" s="15" t="inlineStr">
        <is>
          <t>table</t>
        </is>
      </c>
      <c r="O674" s="19"/>
      <c r="P674" s="19" t="inlineStr">
        <is>
          <t>FINISHED</t>
        </is>
      </c>
      <c r="Q674" s="19"/>
      <c r="R674" s="19"/>
      <c r="S674" s="19"/>
      <c r="T674" s="19"/>
      <c r="U674" s="19"/>
      <c r="V674" s="19"/>
      <c r="W674" s="19"/>
      <c r="X674" s="19"/>
      <c r="Y674" s="19"/>
      <c r="Z674" s="19"/>
      <c r="AA674" s="19"/>
      <c r="AB674" s="19"/>
      <c r="AC674" s="19"/>
      <c r="AD674" s="19"/>
      <c r="AE674" s="19"/>
      <c r="AF674" s="19"/>
      <c r="AG674" s="19"/>
      <c r="AH674" s="18"/>
    </row>
    <row r="742" ht="16" customHeight="1">
      <c r="A742" s="6" t="inlineStr">
        <is>
          <t>Morgan, J. T., Barger, N., Amaral, D. G., &amp; Schumann, C. M. (2014). Stereological study of amygdala glial populations in adolescents and adults with autism spectrum disorder. PLoS ONE, 9(10), e110356. https://doi.org/10.1371/journal.pone.0110356</t>
        </is>
      </c>
      <c r="D742" s="6" t="inlineStr">
        <is>
          <t>Data S1</t>
        </is>
      </c>
      <c r="E742" s="6" t="str">
        <f>SUBSTITUTE(SUBSTITUTE(_xlfn.TEXTBEFORE(A742,","), "-", ""), " ", "")</f>
        <v>Morgan</v>
      </c>
      <c r="F742" s="6" t="str">
        <f t="array" ref="F742">_xlfn.LET(
 _xlpm.authors,_xlfn.TEXTBEFORE(A742," ("&amp;G742&amp;")"),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2" s="6" t="str">
        <f>_xlfn.TEXTBEFORE(_xlfn.TEXTAFTER(A742, "("), ")")</f>
        <v>2014</v>
      </c>
      <c r="H742" s="6" t="str">
        <f>E742 &amp; IF(F742&lt;&gt;"", "_" &amp; SUBSTITUTE(F742," ",""), "_") &amp; IF(G742&lt;&gt;"", "_" &amp; G742, "_") &amp; IF(B742&lt;&gt;"", "_" &amp; B742, "")</f>
        <v>Morgan_etal_2014</v>
      </c>
      <c r="I742" s="6" t="str">
        <f>_xlfn.LET(
_xlpm.doi,IF(C742&lt;&gt;"",C742,_xlfn.TEXTAFTER(A742,"https://doi.org/")),
SUBSTITUTE(
SUBSTITUTE(
SUBSTITUTE(
SUBSTITUTE(
_xlpm.doi,
"/","%2F"),
":","%3A"),
"&lt;","%3C"),
"&gt;","%3E")
)</f>
        <v>10.1371%2Fjournal.pone.0110356</v>
      </c>
      <c r="J742" s="6" t="str">
        <f>TRIM(_xlfn.TEXTJOIN("_",FALSE(),H742,(SUBSTITUTE(SUBSTITUTE(D742," ",""), "_", ""))))</f>
        <v>Morgan_etal_2014_DataS1</v>
      </c>
      <c r="K742" t="str">
        <f>I742 &amp; "_" &amp; SUBSTITUTE(SUBSTITUTE(SUBSTITUTE(D742,CHAR(160),""), " ", ""), "_", "")</f>
        <v>10.1371%2Fjournal.pone.0110356_DataS1</v>
      </c>
      <c r="L742" t="str">
        <f t="array" ref="L742">IFERROR(INDEX(AUTO_Public_TSV_FileList!$A$1:$A$1000,MATCH(TRUE(),EXACT(K742,IFERROR(_xlfn.TEXTBEFORE(AUTO_Public_TSV_FileList!$A$1:$A$1000,".tsv"),"")),0)),"notfound")</f>
        <v>10.1371%2Fjournal.pone.0110356_DataS1.tsv</v>
      </c>
      <c r="N742" s="13" t="inlineStr">
        <is>
          <t>supplementary dataset (xlsx)</t>
        </is>
      </c>
      <c r="O742" s="13" t="inlineStr">
        <is>
          <t>Amygdala per-individual stereological cell counts (ASD + Control)</t>
        </is>
      </c>
      <c r="P742" s="13" t="inlineStr">
        <is>
          <t>Control group</t>
        </is>
      </c>
      <c r="Q742" s="13" t="inlineStr">
        <is>
          <t>Morgan_etal_2014_DataS1_snapshot.xlsx</t>
        </is>
      </c>
      <c r="W742" s="13" t="inlineStr">
        <is>
          <t>Humans</t>
        </is>
      </c>
      <c r="AA742" s="13" t="inlineStr">
        <is>
          <t>stereology (optical fractionator)</t>
        </is>
      </c>
      <c r="AB742" s="13" t="inlineStr">
        <is>
          <t>cell count &amp; density</t>
        </is>
      </c>
      <c r="AC742" s="13" t="inlineStr">
        <is>
          <t>Schumann</t>
        </is>
      </c>
      <c r="AE742" s="13" t="inlineStr">
        <is>
          <t>primary</t>
        </is>
      </c>
    </row>
    <row r="743" ht="16" customHeight="1">
      <c r="A743" s="6" t="inlineStr">
        <is>
          <t>Hanson, K. L., Lew, C. H., Hrvoj-Mihic, B., Groeniger, K. M., Halgren, E., Bellugi, U., &amp; Semendeferi, K. (2018). Increased glia density in the caudate nucleus in Williams syndrome. Developmental Neurobiology, 78(5), 531-545. https://doi.org/10.1002/dneu.22554</t>
        </is>
      </c>
      <c r="D743" s="6" t="inlineStr">
        <is>
          <t>Table 2</t>
        </is>
      </c>
      <c r="E743" s="6" t="str">
        <f>SUBSTITUTE(SUBSTITUTE(_xlfn.TEXTBEFORE(A743,","), "-", ""), " ", "")</f>
        <v>Hanson</v>
      </c>
      <c r="F743" s="6" t="str">
        <f t="array" ref="F743">_xlfn.LET(
 _xlpm.authors,_xlfn.TEXTBEFORE(A743," ("&amp;G743&amp;")"),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3" s="6" t="str">
        <f>_xlfn.TEXTBEFORE(_xlfn.TEXTAFTER(A743, "("), ")")</f>
        <v>2018</v>
      </c>
      <c r="H743" s="6" t="str">
        <f>E743 &amp; IF(F743&lt;&gt;"", "_" &amp; SUBSTITUTE(F743," ",""), "_") &amp; IF(G743&lt;&gt;"", "_" &amp; G743, "_") &amp; IF(B743&lt;&gt;"", "_" &amp; B743, "")</f>
        <v>Hanson_etal_2018</v>
      </c>
      <c r="I743" s="6" t="str">
        <f>_xlfn.LET(
_xlpm.doi,IF(C743&lt;&gt;"",C743,_xlfn.TEXTAFTER(A743,"https://doi.org/")),
SUBSTITUTE(
SUBSTITUTE(
SUBSTITUTE(
SUBSTITUTE(
_xlpm.doi,
"/","%2F"),
":","%3A"),
"&lt;","%3C"),
"&gt;","%3E")
)</f>
        <v>10.1002%2Fdneu.22554</v>
      </c>
      <c r="J743" s="6" t="str">
        <f>TRIM(_xlfn.TEXTJOIN("_",FALSE(),H743,(SUBSTITUTE(SUBSTITUTE(D743," ",""), "_", ""))))</f>
        <v>Hanson_etal_2018_Table2</v>
      </c>
      <c r="K743" t="str">
        <f>I743 &amp; "_" &amp; SUBSTITUTE(SUBSTITUTE(SUBSTITUTE(D743,CHAR(160),""), " ", ""), "_", "")</f>
        <v>10.1002%2Fdneu.22554_Table2</v>
      </c>
      <c r="L743" t="str">
        <f t="array" ref="L743">IFERROR(INDEX(AUTO_Public_TSV_FileList!$A$1:$A$1000,MATCH(TRUE(),EXACT(K743,IFERROR(_xlfn.TEXTBEFORE(AUTO_Public_TSV_FileList!$A$1:$A$1000,".tsv"),"")),0)),"notfound")</f>
        <v>10.1002%2Fdneu.22554_Table2.tsv</v>
      </c>
      <c r="N743" s="13" t="inlineStr">
        <is>
          <t>table (from PDF)</t>
        </is>
      </c>
      <c r="O743" s="13" t="inlineStr">
        <is>
          <t>Striatal neuron/glia density, glia:neuron ratio, soma area (dC/mC/aP/NA)</t>
        </is>
      </c>
      <c r="P743" s="13" t="inlineStr">
        <is>
          <t>TD group</t>
        </is>
      </c>
      <c r="Q743" s="13" t="inlineStr">
        <is>
          <t>Hanson_etal_2018_Table2_snapshot.csv</t>
        </is>
      </c>
      <c r="W743" s="13" t="inlineStr">
        <is>
          <t>Humans</t>
        </is>
      </c>
      <c r="AA743" s="13" t="inlineStr">
        <is>
          <t>stereology (optical disector)</t>
        </is>
      </c>
      <c r="AB743" s="13" t="inlineStr">
        <is>
          <t>cell density</t>
        </is>
      </c>
      <c r="AC743" s="13" t="inlineStr">
        <is>
          <t>Semendeferi</t>
        </is>
      </c>
      <c r="AE743" s="13" t="inlineStr">
        <is>
          <t>primary</t>
        </is>
      </c>
    </row>
    <row r="744" ht="16" customHeight="1">
      <c r="A744" s="6" t="inlineStr">
        <is>
          <t>Hanson, K. L., Lew, C. H., Hrvoj-Mihic, B., Groeniger, K. M., Halgren, E., Bellugi, U., &amp; Semendeferi, K. (2018). Increased glia density in the caudate nucleus in Williams syndrome. Developmental Neurobiology, 78(5), 531-545. https://doi.org/10.1002/dneu.22554</t>
        </is>
      </c>
      <c r="D744" s="6" t="inlineStr">
        <is>
          <t>Table 3</t>
        </is>
      </c>
      <c r="E744" s="6" t="str">
        <f>SUBSTITUTE(SUBSTITUTE(_xlfn.TEXTBEFORE(A744,","), "-", ""), " ", "")</f>
        <v>Hanson</v>
      </c>
      <c r="F744" s="6" t="str">
        <f t="array" ref="F744">_xlfn.LET(
 _xlpm.authors,_xlfn.TEXTBEFORE(A744," ("&amp;G744&amp;")"),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4" s="6" t="str">
        <f>_xlfn.TEXTBEFORE(_xlfn.TEXTAFTER(A744, "("), ")")</f>
        <v>2018</v>
      </c>
      <c r="H744" s="6" t="str">
        <f>E744 &amp; IF(F744&lt;&gt;"", "_" &amp; SUBSTITUTE(F744," ",""), "_") &amp; IF(G744&lt;&gt;"", "_" &amp; G744, "_") &amp; IF(B744&lt;&gt;"", "_" &amp; B744, "")</f>
        <v>Hanson_etal_2018</v>
      </c>
      <c r="I744" s="6" t="str">
        <f>_xlfn.LET(
_xlpm.doi,IF(C744&lt;&gt;"",C744,_xlfn.TEXTAFTER(A744,"https://doi.org/")),
SUBSTITUTE(
SUBSTITUTE(
SUBSTITUTE(
SUBSTITUTE(
_xlpm.doi,
"/","%2F"),
":","%3A"),
"&lt;","%3C"),
"&gt;","%3E")
)</f>
        <v>10.1002%2Fdneu.22554</v>
      </c>
      <c r="J744" s="6" t="str">
        <f>TRIM(_xlfn.TEXTJOIN("_",FALSE(),H744,(SUBSTITUTE(SUBSTITUTE(D744," ",""), "_", ""))))</f>
        <v>Hanson_etal_2018_Table3</v>
      </c>
      <c r="K744" t="str">
        <f>I744 &amp; "_" &amp; SUBSTITUTE(SUBSTITUTE(SUBSTITUTE(D744,CHAR(160),""), " ", ""), "_", "")</f>
        <v>10.1002%2Fdneu.22554_Table3</v>
      </c>
      <c r="L744" t="str">
        <f t="array" ref="L744">IFERROR(INDEX(AUTO_Public_TSV_FileList!$A$1:$A$1000,MATCH(TRUE(),EXACT(K744,IFERROR(_xlfn.TEXTBEFORE(AUTO_Public_TSV_FileList!$A$1:$A$1000,".tsv"),"")),0)),"notfound")</f>
        <v>10.1002%2Fdneu.22554_Table3.tsv</v>
      </c>
      <c r="N744" s="13" t="inlineStr">
        <is>
          <t>table (from PDF)</t>
        </is>
      </c>
      <c r="O744" s="13" t="inlineStr">
        <is>
          <t>Oligodendrocyte density + % of glia (dorsal/medial caudate)</t>
        </is>
      </c>
      <c r="P744" s="13" t="inlineStr">
        <is>
          <t>TD group</t>
        </is>
      </c>
      <c r="Q744" s="13" t="inlineStr">
        <is>
          <t>Hanson_etal_2018_Table3_snapshot.csv</t>
        </is>
      </c>
      <c r="W744" s="13" t="inlineStr">
        <is>
          <t>Humans</t>
        </is>
      </c>
      <c r="AA744" s="13" t="inlineStr">
        <is>
          <t>stereology (optical disector)</t>
        </is>
      </c>
      <c r="AB744" s="13" t="inlineStr">
        <is>
          <t>cell density</t>
        </is>
      </c>
      <c r="AC744" s="13" t="inlineStr">
        <is>
          <t>Semendeferi</t>
        </is>
      </c>
      <c r="AE744" s="13" t="inlineStr">
        <is>
          <t>primary</t>
        </is>
      </c>
    </row>
    <row r="745" ht="16" customHeight="1">
      <c r="A745" s="6" t="inlineStr">
        <is>
          <t>Karlsen, A. S., &amp; Pakkenberg, B. (2011). Total numbers of neurons and glial cells in cortex and basal ganglia of aged brains with Down syndrome. Cerebral Cortex, 21(11), 2519-2524. https://doi.org/10.1093/cercor/bhr033</t>
        </is>
      </c>
      <c r="D745" s="6" t="inlineStr">
        <is>
          <t>Table 2</t>
        </is>
      </c>
      <c r="E745" s="6" t="str">
        <f>SUBSTITUTE(SUBSTITUTE(_xlfn.TEXTBEFORE(A745,","), "-", ""), " ", "")</f>
        <v>Karlsen</v>
      </c>
      <c r="F745" s="6" t="str">
        <f t="array" ref="F745">_xlfn.LET(
 _xlpm.authors,_xlfn.TEXTBEFORE(A745," ("&amp;G745&amp;")"),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5" s="6" t="str">
        <f>_xlfn.TEXTBEFORE(_xlfn.TEXTAFTER(A745, "("), ")")</f>
        <v>2011</v>
      </c>
      <c r="H745" s="6" t="str">
        <f>E745 &amp; IF(F745&lt;&gt;"", "_" &amp; SUBSTITUTE(F745," ",""), "_") &amp; IF(G745&lt;&gt;"", "_" &amp; G745, "_") &amp; IF(B745&lt;&gt;"", "_" &amp; B745, "")</f>
        <v>Karlsen__2011</v>
      </c>
      <c r="I745" s="6" t="str">
        <f>_xlfn.LET(
_xlpm.doi,IF(C745&lt;&gt;"",C745,_xlfn.TEXTAFTER(A745,"https://doi.org/")),
SUBSTITUTE(
SUBSTITUTE(
SUBSTITUTE(
SUBSTITUTE(
_xlpm.doi,
"/","%2F"),
":","%3A"),
"&lt;","%3C"),
"&gt;","%3E")
)</f>
        <v>10.1093%2Fcercor%2Fbhr033</v>
      </c>
      <c r="J745" s="6" t="str">
        <f>TRIM(_xlfn.TEXTJOIN("_",FALSE(),H745,(SUBSTITUTE(SUBSTITUTE(D745," ",""), "_", ""))))</f>
        <v>Karlsen__2011_Table2</v>
      </c>
      <c r="K745" t="str">
        <f>I745 &amp; "_" &amp; SUBSTITUTE(SUBSTITUTE(SUBSTITUTE(D745,CHAR(160),""), " ", ""), "_", "")</f>
        <v>10.1093%2Fcercor%2Fbhr033_Table2</v>
      </c>
      <c r="L745" t="str">
        <f t="array" ref="L745">IFERROR(INDEX(AUTO_Public_TSV_FileList!$A$1:$A$1000,MATCH(TRUE(),EXACT(K745,IFERROR(_xlfn.TEXTBEFORE(AUTO_Public_TSV_FileList!$A$1:$A$1000,".tsv"),"")),0)),"notfound")</f>
        <v>10.1093%2Fcercor%2Fbhr033_Table2.tsv</v>
      </c>
      <c r="N745" s="13" t="inlineStr">
        <is>
          <t>table (published)</t>
        </is>
      </c>
      <c r="O745" s="13" t="inlineStr">
        <is>
          <t>Neocortical volumes/surface/thickness (Control vs DS)</t>
        </is>
      </c>
      <c r="P745" s="13" t="inlineStr">
        <is>
          <t>published Table 2</t>
        </is>
      </c>
      <c r="Q745" s="13" t="inlineStr">
        <is>
          <t>Karlsen_Pakkenberg_2011_Table2_snapshot.csv</t>
        </is>
      </c>
      <c r="W745" s="13" t="inlineStr">
        <is>
          <t>Humans</t>
        </is>
      </c>
      <c r="AA745" s="13" t="inlineStr">
        <is>
          <t>stereology (Cavalieri)</t>
        </is>
      </c>
      <c r="AB745" s="13" t="inlineStr">
        <is>
          <t>volume</t>
        </is>
      </c>
      <c r="AC745" s="13" t="inlineStr">
        <is>
          <t>Pakkenberg</t>
        </is>
      </c>
      <c r="AE745" s="13" t="inlineStr">
        <is>
          <t>primary</t>
        </is>
      </c>
    </row>
    <row r="746" ht="16" customHeight="1">
      <c r="A746" s="6" t="inlineStr">
        <is>
          <t>Karlsen, A. S., &amp; Pakkenberg, B. (2011). Total numbers of neurons and glial cells in cortex and basal ganglia of aged brains with Down syndrome. Cerebral Cortex, 21(11), 2519-2524. https://doi.org/10.1093/cercor/bhr033</t>
        </is>
      </c>
      <c r="D746" s="6" t="inlineStr">
        <is>
          <t>authordata (group means)</t>
        </is>
      </c>
      <c r="E746" s="6" t="str">
        <f>SUBSTITUTE(SUBSTITUTE(_xlfn.TEXTBEFORE(A746,","), "-", ""), " ", "")</f>
        <v>Karlsen</v>
      </c>
      <c r="F746" s="6" t="str">
        <f t="array" ref="F746">_xlfn.LET(
 _xlpm.authors,_xlfn.TEXTBEFORE(A746," ("&amp;G746&amp;")"),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6" s="6" t="str">
        <f>_xlfn.TEXTBEFORE(_xlfn.TEXTAFTER(A746, "("), ")")</f>
        <v>2011</v>
      </c>
      <c r="H746" s="6" t="str">
        <f>E746 &amp; IF(F746&lt;&gt;"", "_" &amp; SUBSTITUTE(F746," ",""), "_") &amp; IF(G746&lt;&gt;"", "_" &amp; G746, "_") &amp; IF(B746&lt;&gt;"", "_" &amp; B746, "")</f>
        <v>Karlsen__2011</v>
      </c>
      <c r="I746" s="6" t="str">
        <f>_xlfn.LET(
_xlpm.doi,IF(C746&lt;&gt;"",C746,_xlfn.TEXTAFTER(A746,"https://doi.org/")),
SUBSTITUTE(
SUBSTITUTE(
SUBSTITUTE(
SUBSTITUTE(
_xlpm.doi,
"/","%2F"),
":","%3A"),
"&lt;","%3C"),
"&gt;","%3E")
)</f>
        <v>10.1093%2Fcercor%2Fbhr033</v>
      </c>
      <c r="J746" s="6" t="str">
        <f>TRIM(_xlfn.TEXTJOIN("_",FALSE(),H746,(SUBSTITUTE(SUBSTITUTE(D746," ",""), "_", ""))))</f>
        <v>Karlsen__2011_authordata(groupmeans)</v>
      </c>
      <c r="K746" t="str">
        <f>I746 &amp; "_" &amp; SUBSTITUTE(SUBSTITUTE(SUBSTITUTE(D746,CHAR(160),""), " ", ""), "_", "")</f>
        <v>10.1093%2Fcercor%2Fbhr033_authordata(groupmeans)</v>
      </c>
      <c r="L746" t="str">
        <f t="array" ref="L746">IFERROR(INDEX(AUTO_Public_TSV_FileList!$A$1:$A$1000,MATCH(TRUE(),EXACT(K746,IFERROR(_xlfn.TEXTBEFORE(AUTO_Public_TSV_FileList!$A$1:$A$1000,".tsv"),"")),0)),"notfound")</f>
        <v>10.1093%2Fcercor%2Fbhr033_authordata(groupmeans).tsv</v>
      </c>
      <c r="N746" s="13" t="inlineStr">
        <is>
          <t>author-provided (personal communication)</t>
        </is>
      </c>
      <c r="O746" s="13" t="inlineStr">
        <is>
          <t>Neocortical neuron &amp; glia-subtype counts/densities (group means)</t>
        </is>
      </c>
      <c r="P746" s="13" t="inlineStr">
        <is>
          <t>RESTRICTED: personal communication (B. Pakkenberg); group means only; raw in ____Unpublished__</t>
        </is>
      </c>
      <c r="Q746" s="13" t="inlineStr">
        <is>
          <t>(restricted raw workbooks - ____Unpublished__Karlsen_Pakkenberg_2011)</t>
        </is>
      </c>
      <c r="W746" s="13" t="inlineStr">
        <is>
          <t>Humans</t>
        </is>
      </c>
      <c r="AA746" s="13" t="inlineStr">
        <is>
          <t>stereology (optical disector)</t>
        </is>
      </c>
      <c r="AB746" s="13" t="inlineStr">
        <is>
          <t>cell count &amp; density</t>
        </is>
      </c>
      <c r="AC746" s="13" t="inlineStr">
        <is>
          <t>Pakkenberg</t>
        </is>
      </c>
      <c r="AE746" s="13" t="inlineStr">
        <is>
          <t>primary</t>
        </is>
      </c>
    </row>
    <row r="747" ht="16" customHeight="1">
      <c r="A747" s="6" t="inlineStr">
        <is>
          <t>Karlsen, A. S., &amp; Pakkenberg, B. (2011). Total numbers of neurons and glial cells in cortex and basal ganglia of aged brains with Down syndrome. Cerebral Cortex, 21(11), 2519-2524. https://doi.org/10.1093/cercor/bhr033</t>
        </is>
      </c>
      <c r="D747" s="6" t="inlineStr">
        <is>
          <t>reported values</t>
        </is>
      </c>
      <c r="E747" s="6" t="str">
        <f>SUBSTITUTE(SUBSTITUTE(_xlfn.TEXTBEFORE(A747,","), "-", ""), " ", "")</f>
        <v>Karlsen</v>
      </c>
      <c r="F747" s="6" t="str">
        <f t="array" ref="F747">_xlfn.LET(
 _xlpm.authors,_xlfn.TEXTBEFORE(A747," ("&amp;G747&amp;")"),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7" s="6" t="str">
        <f>_xlfn.TEXTBEFORE(_xlfn.TEXTAFTER(A747, "("), ")")</f>
        <v>2011</v>
      </c>
      <c r="H747" s="6" t="str">
        <f>E747 &amp; IF(F747&lt;&gt;"", "_" &amp; SUBSTITUTE(F747," ",""), "_") &amp; IF(G747&lt;&gt;"", "_" &amp; G747, "_") &amp; IF(B747&lt;&gt;"", "_" &amp; B747, "")</f>
        <v>Karlsen__2011</v>
      </c>
      <c r="I747" s="6" t="str">
        <f>_xlfn.LET(
_xlpm.doi,IF(C747&lt;&gt;"",C747,_xlfn.TEXTAFTER(A747,"https://doi.org/")),
SUBSTITUTE(
SUBSTITUTE(
SUBSTITUTE(
SUBSTITUTE(
_xlpm.doi,
"/","%2F"),
":","%3A"),
"&lt;","%3C"),
"&gt;","%3E")
)</f>
        <v>10.1093%2Fcercor%2Fbhr033</v>
      </c>
      <c r="J747" s="6" t="str">
        <f>TRIM(_xlfn.TEXTJOIN("_",FALSE(),H747,(SUBSTITUTE(SUBSTITUTE(D747," ",""), "_", ""))))</f>
        <v>Karlsen__2011_reportedvalues</v>
      </c>
      <c r="K747" t="str">
        <f>I747 &amp; "_" &amp; SUBSTITUTE(SUBSTITUTE(SUBSTITUTE(D747,CHAR(160),""), " ", ""), "_", "")</f>
        <v>10.1093%2Fcercor%2Fbhr033_reportedvalues</v>
      </c>
      <c r="L747" t="str">
        <f t="array" ref="L747">IFERROR(INDEX(AUTO_Public_TSV_FileList!$A$1:$A$1000,MATCH(TRUE(),EXACT(K747,IFERROR(_xlfn.TEXTBEFORE(AUTO_Public_TSV_FileList!$A$1:$A$1000,".tsv"),"")),0)),"notfound")</f>
        <v>10.1093%2Fcercor%2Fbhr033_reportedvalues.tsv</v>
      </c>
      <c r="N747" s="13" t="inlineStr">
        <is>
          <t>table (published text)</t>
        </is>
      </c>
      <c r="O747" s="13" t="inlineStr">
        <is>
          <t>Published Results-text values incl. BASAL GANGLIA cell numbers/densities</t>
        </is>
      </c>
      <c r="P747" s="13" t="inlineStr">
        <is>
          <t>published text values</t>
        </is>
      </c>
      <c r="Q747" s="13" t="inlineStr">
        <is>
          <t>Karlsen_Pakkenberg_2011_reported_values_snapshot.csv</t>
        </is>
      </c>
      <c r="W747" s="13" t="inlineStr">
        <is>
          <t>Humans</t>
        </is>
      </c>
      <c r="AA747" s="13" t="inlineStr">
        <is>
          <t>stereology (optical disector)</t>
        </is>
      </c>
      <c r="AB747" s="13" t="inlineStr">
        <is>
          <t>cell count &amp; density</t>
        </is>
      </c>
      <c r="AC747" s="13" t="inlineStr">
        <is>
          <t>Pakkenberg</t>
        </is>
      </c>
      <c r="AE747" s="13" t="inlineStr">
        <is>
          <t>primary</t>
        </is>
      </c>
    </row>
    <row r="748" ht="16" customHeight="1">
      <c r="A748" s="6" t="inlineStr">
        <is>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is>
      </c>
      <c r="D748" s="6" t="inlineStr">
        <is>
          <t>normative volumes</t>
        </is>
      </c>
      <c r="E748" s="6" t="str">
        <f>SUBSTITUTE(SUBSTITUTE(_xlfn.TEXTBEFORE(A748,","), "-", ""), " ", "")</f>
        <v>Walhovd</v>
      </c>
      <c r="F748" s="6" t="str">
        <f t="array" ref="F748">_xlfn.LET(
 _xlpm.authors,_xlfn.TEXTBEFORE(A748," ("&amp;G748&amp;")"),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8" s="6" t="str">
        <f>_xlfn.TEXTBEFORE(_xlfn.TEXTAFTER(A748, "("), ")")</f>
        <v>2011</v>
      </c>
      <c r="H748" s="6" t="str">
        <f>E748 &amp; IF(F748&lt;&gt;"", "_" &amp; SUBSTITUTE(F748," ",""), "_") &amp; IF(G748&lt;&gt;"", "_" &amp; G748, "_") &amp; IF(B748&lt;&gt;"", "_" &amp; B748, "")</f>
        <v>Walhovd_etal_2011</v>
      </c>
      <c r="I748" s="6" t="str">
        <f>_xlfn.LET(
_xlpm.doi,IF(C748&lt;&gt;"",C748,_xlfn.TEXTAFTER(A748,"https://doi.org/")),
SUBSTITUTE(
SUBSTITUTE(
SUBSTITUTE(
SUBSTITUTE(
_xlpm.doi,
"/","%2F"),
":","%3A"),
"&lt;","%3C"),
"&gt;","%3E")
)</f>
        <v>10.1016%2Fj.neurobiolaging.2009.05.013</v>
      </c>
      <c r="J748" s="6" t="str">
        <f>TRIM(_xlfn.TEXTJOIN("_",FALSE(),H748,(SUBSTITUTE(SUBSTITUTE(D748," ",""), "_", ""))))</f>
        <v>Walhovd_etal_2011_normativevolumes</v>
      </c>
      <c r="K748" t="str">
        <f>I748 &amp; "_" &amp; SUBSTITUTE(SUBSTITUTE(SUBSTITUTE(D748,CHAR(160),""), " ", ""), "_", "")</f>
        <v>10.1016%2Fj.neurobiolaging.2009.05.013_normativevolumes</v>
      </c>
      <c r="L748" t="str">
        <f t="array" ref="L748">IFERROR(INDEX(AUTO_Public_TSV_FileList!$A$1:$A$1000,MATCH(TRUE(),EXACT(K748,IFERROR(_xlfn.TEXTBEFORE(AUTO_Public_TSV_FileList!$A$1:$A$1000,".tsv"),"")),0)),"notfound")</f>
        <v>10.1016%2Fj.neurobiolaging.2009.05.013_normativevolumes.tsv</v>
      </c>
      <c r="N748" s="13" t="inlineStr">
        <is>
          <t>published table</t>
        </is>
      </c>
      <c r="O748" s="13" t="inlineStr">
        <is>
          <t>Normative regional brain volumes (n=262, 18-29 yr)</t>
        </is>
      </c>
      <c r="P748" s="13" t="inlineStr">
        <is>
          <t>normative comparison group</t>
        </is>
      </c>
      <c r="Q748" s="13" t="inlineStr">
        <is>
          <t>Walhovd_etal_2011_normative_snapshot.csv</t>
        </is>
      </c>
      <c r="W748" s="13" t="inlineStr">
        <is>
          <t>Humans</t>
        </is>
      </c>
      <c r="AA748" s="13" t="inlineStr">
        <is>
          <t>MRI volumetry (FreeSurfer)</t>
        </is>
      </c>
      <c r="AB748" s="13" t="inlineStr">
        <is>
          <t>volume</t>
        </is>
      </c>
      <c r="AC748" s="13" t="inlineStr">
        <is>
          <t>Fjell/Walhovd</t>
        </is>
      </c>
      <c r="AE748" s="13" t="inlineStr">
        <is>
          <t>secondary</t>
        </is>
      </c>
    </row>
    <row r="749" ht="16" customHeight="1">
      <c r="A749" s="6" t="inlineStr">
        <is>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is>
      </c>
      <c r="D749" s="6" t="inlineStr">
        <is>
          <t>ERABIS (cortical)</t>
        </is>
      </c>
      <c r="E749" s="6" t="str">
        <f>SUBSTITUTE(SUBSTITUTE(_xlfn.TEXTBEFORE(A749,","), "-", ""), " ", "")</f>
        <v>Mackes</v>
      </c>
      <c r="F749" s="6" t="str">
        <f t="array" ref="F749">_xlfn.LET(
 _xlpm.authors,_xlfn.TEXTBEFORE(A749," ("&amp;G749&amp;")"),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9" s="6" t="str">
        <f>_xlfn.TEXTBEFORE(_xlfn.TEXTAFTER(A749, "("), ")")</f>
        <v>2020</v>
      </c>
      <c r="H749" s="6" t="str">
        <f>E749 &amp; IF(F749&lt;&gt;"", "_" &amp; SUBSTITUTE(F749," ",""), "_") &amp; IF(G749&lt;&gt;"", "_" &amp; G749, "_") &amp; IF(B749&lt;&gt;"", "_" &amp; B749, "")</f>
        <v>Mackes_etal_2020</v>
      </c>
      <c r="I749" s="6" t="str">
        <f>_xlfn.LET(
_xlpm.doi,IF(C749&lt;&gt;"",C749,_xlfn.TEXTAFTER(A749,"https://doi.org/")),
SUBSTITUTE(
SUBSTITUTE(
SUBSTITUTE(
SUBSTITUTE(
_xlpm.doi,
"/","%2F"),
":","%3A"),
"&lt;","%3C"),
"&gt;","%3E")
)</f>
        <v>10.1073%2Fpnas.1911264116</v>
      </c>
      <c r="J749" s="6" t="str">
        <f>TRIM(_xlfn.TEXTJOIN("_",FALSE(),H749,(SUBSTITUTE(SUBSTITUTE(D749," ",""), "_", ""))))</f>
        <v>Mackes_etal_2020_ERABIS(cortical)</v>
      </c>
      <c r="K749" t="str">
        <f>I749 &amp; "_" &amp; SUBSTITUTE(SUBSTITUTE(SUBSTITUTE(D749,CHAR(160),""), " ", ""), "_", "")</f>
        <v>10.1073%2Fpnas.1911264116_ERABIS(cortical)</v>
      </c>
      <c r="L749" t="str">
        <f t="array" ref="L749">IFERROR(INDEX(AUTO_Public_TSV_FileList!$A$1:$A$1000,MATCH(TRUE(),EXACT(K749,IFERROR(_xlfn.TEXTBEFORE(AUTO_Public_TSV_FileList!$A$1:$A$1000,".tsv"),"")),0)),"notfound")</f>
        <v>10.1073%2Fpnas.1911264116_ERABIS(cortical).tsv</v>
      </c>
      <c r="N749" s="13" t="inlineStr">
        <is>
          <t>author-provided (personal communication)</t>
        </is>
      </c>
      <c r="O749" s="13" t="inlineStr">
        <is>
          <t>ERA adoptee cortical volumes (Desikan-Killiany; UK n=21, Romanian n=67); group summaries</t>
        </is>
      </c>
      <c r="P749" s="13" t="inlineStr">
        <is>
          <t>RESTRICTED: ERA personal communication; group summaries; raw in ____Unpublished__</t>
        </is>
      </c>
      <c r="Q749" s="13" t="inlineStr">
        <is>
          <t>(restricted raw ERABIS xlsx - ____Unpublished__Mackes_etal_2020)</t>
        </is>
      </c>
      <c r="W749" s="13" t="inlineStr">
        <is>
          <t>Humans</t>
        </is>
      </c>
      <c r="AA749" s="13" t="inlineStr">
        <is>
          <t>MRI volumetry (FreeSurfer 6.0)</t>
        </is>
      </c>
      <c r="AB749" s="13" t="inlineStr">
        <is>
          <t>volume</t>
        </is>
      </c>
      <c r="AC749" s="13" t="inlineStr">
        <is>
          <t>ERA/Sonuga-Barke</t>
        </is>
      </c>
      <c r="AE749" s="13" t="inlineStr">
        <is>
          <t>primary</t>
        </is>
      </c>
    </row>
    <row r="750">
      <c r="A750" t="inlineStr">
        <is>
          <t>Heesy, C. P., Kamilar, J. M., &amp; Willms, J. (2011). Retinogeniculostriate pathway components scale with orbit convergence only in primates and not in other mammals. Brain, Behavior and Evolution, 77(2), 105-115. https://doi.org/10.1159/000324860</t>
        </is>
      </c>
      <c r="D750" t="inlineStr">
        <is>
          <t>Table1</t>
        </is>
      </c>
      <c r="E750" t="str">
        <f>SUBSTITUTE(SUBSTITUTE(_xlfn.TEXTBEFORE(A750,","), "-", ""), " ", "")</f>
        <v>Heesy</v>
      </c>
      <c r="F750" t="str">
        <f>_xlfn.LET(
_xlpm.authors,_xlfn.TEXTBEFORE(A750," ("&amp;G750&amp;")"),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50" t="str">
        <f>_xlfn.TEXTBEFORE(_xlfn.TEXTAFTER(A750, "("), ")")</f>
        <v>2011</v>
      </c>
      <c r="H750" t="str">
        <f>E750 &amp; IF(F750&lt;&gt;"", "_" &amp; SUBSTITUTE(F750," ",""), "_") &amp; IF(G750&lt;&gt;"", "_" &amp; G750, "_") &amp; IF(B750&lt;&gt;"", "_" &amp; B750, "")</f>
        <v>Heesy_etal_2011</v>
      </c>
      <c r="I750" t="str">
        <f>_xlfn.LET(
_xlpm.doi,IF(C750&lt;&gt;"",C750,_xlfn.TEXTAFTER(A750,"https://doi.org/")),
SUBSTITUTE(
SUBSTITUTE(
SUBSTITUTE(
SUBSTITUTE(
_xlpm.doi,
"/","%2F"),
":","%3A"),
"&lt;","%3C"),
"&gt;","%3E")
)</f>
        <v>10.1159%2F000324860</v>
      </c>
      <c r="J750" t="str">
        <f>TRIM(_xlfn.TEXTJOIN("_",FALSE(),H750,(SUBSTITUTE(SUBSTITUTE(D750," ",""), "_", ""))))</f>
        <v>Heesy_etal_2011_Table1</v>
      </c>
      <c r="K750" t="str">
        <f>I750 &amp; "_" &amp; SUBSTITUTE(SUBSTITUTE(SUBSTITUTE(D750,CHAR(160),""), " ", ""), "_", "")</f>
        <v>10.1159%2F000324860_Table1</v>
      </c>
      <c r="L750" t="str">
        <f t="array" ref="L750:L750">IFERROR(INDEX('AUTO_Public_TSV_FileList'!$A$1:$A$1000,MATCH(TRUE(),EXACT(K750,IFERROR(_xlfn.TEXTBEFORE('AUTO_Public_TSV_FileList'!$A$1:$A$1000,".tsv"),"")),0)),"notfound")</f>
        <v>notfound</v>
      </c>
      <c r="M750" t="inlineStr">
        <is>
          <t>Table 1. Morphometric and ecological data</t>
        </is>
      </c>
      <c r="N750" t="inlineStr">
        <is>
          <t>PDF (born-digital text layer, not scanned)</t>
        </is>
      </c>
      <c r="P750" t="inlineStr">
        <is>
          <t>FINISHED</t>
        </is>
      </c>
      <c r="V750" t="inlineStr">
        <is>
          <t>visual system; orbit convergence</t>
        </is>
      </c>
      <c r="W750" t="inlineStr">
        <is>
          <t>Mammalia (84 taxa, 11 orders)</t>
        </is>
      </c>
      <c r="X750" t="inlineStr">
        <is>
          <t>orbit convergence; brain volume; optic tract volume; LGN volume; V1 volume; body mass; activity pattern</t>
        </is>
      </c>
      <c r="AE750" t="inlineStr">
        <is>
          <t>both</t>
        </is>
      </c>
    </row>
    <row r="751">
      <c r="A751" t="inlineStr">
        <is>
          <t>de Castro, F. (2025). FmrBT: A comprehensive data set of field metabolic rates, body mass and ambient temperature. Scientific Data, 12(1), 1589. https://doi.org/10.1038/s41597-025-05868-y</t>
        </is>
      </c>
      <c r="D751" t="inlineStr">
        <is>
          <t>SciDataPub</t>
        </is>
      </c>
      <c r="E751" t="str">
        <f>SUBSTITUTE(SUBSTITUTE(_xlfn.TEXTBEFORE(A751,","), "-", ""), " ", "")</f>
        <v>deCastro</v>
      </c>
      <c r="F751" t="str">
        <f>_xlfn.LET(
_xlpm.authors,_xlfn.TEXTBEFORE(A751," ("&amp;G751&amp;")"),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51" t="str">
        <f>_xlfn.TEXTBEFORE(_xlfn.TEXTAFTER(A751, "("), ")")</f>
        <v>2025</v>
      </c>
      <c r="H751" t="str">
        <f>E751 &amp; IF(F751&lt;&gt;"", "_" &amp; SUBSTITUTE(F751," ",""), "_") &amp; IF(G751&lt;&gt;"", "_" &amp; G751, "_") &amp; IF(B751&lt;&gt;"", "_" &amp; B751, "")</f>
        <v>deCastro__2025</v>
      </c>
      <c r="I751" t="str">
        <f>_xlfn.LET(
_xlpm.doi,IF(C751&lt;&gt;"",C751,_xlfn.TEXTAFTER(A751,"https://doi.org/")),
SUBSTITUTE(
SUBSTITUTE(
SUBSTITUTE(
SUBSTITUTE(
_xlpm.doi,
"/","%2F"),
":","%3A"),
"&lt;","%3C"),
"&gt;","%3E")
)</f>
        <v>10.1038%2Fs41597-025-05868-y</v>
      </c>
      <c r="J751" t="str">
        <f>TRIM(_xlfn.TEXTJOIN("_",FALSE(),H751,(SUBSTITUTE(SUBSTITUTE(D751," ",""), "_", ""))))</f>
        <v>deCastro__2025_SciDataPub</v>
      </c>
      <c r="K751" t="str">
        <f>I751 &amp; "_" &amp; SUBSTITUTE(SUBSTITUTE(SUBSTITUTE(D751,CHAR(160),""), " ", ""), "_", "")</f>
        <v>10.1038%2Fs41597-025-05868-y_SciDataPub</v>
      </c>
      <c r="L751" t="str">
        <f t="array" ref="L751:L751">IFERROR(INDEX('AUTO_Public_TSV_FileList'!$A$1:$A$1000,MATCH(TRUE(),EXACT(K751,IFERROR(_xlfn.TEXTBEFORE('AUTO_Public_TSV_FileList'!$A$1:$A$1000,".tsv"),"")),0)),"notfound")</f>
        <v>notfound</v>
      </c>
      <c r="M751" t="inlineStr">
        <is>
          <t>FieldMR_SciDataPub.xls, sheet 'Alldata'</t>
        </is>
      </c>
      <c r="N751" t="inlineStr">
        <is>
          <t>xls (digital-native, journal supplementary data)</t>
        </is>
      </c>
      <c r="P751" t="inlineStr">
        <is>
          <t>FINISHED</t>
        </is>
      </c>
      <c r="V751" t="inlineStr">
        <is>
          <t>field metabolic rate; body mass; ambient temperature</t>
        </is>
      </c>
      <c r="W751" t="inlineStr">
        <is>
          <t>Animalia (&gt;700 species: mammals, birds, reptiles, fish, invertebrates, unicellular organisms)</t>
        </is>
      </c>
      <c r="X751" t="inlineStr">
        <is>
          <t>field metabolic rate; body mass; ambient temperature</t>
        </is>
      </c>
      <c r="AE751" t="inlineStr">
        <is>
          <t>primary</t>
        </is>
      </c>
    </row>
  </sheetData>
  <autoFilter ref="A1:AH711"/>
  <hyperlinks>
    <hyperlink ref="R59" r:id="rId1h"/>
    <hyperlink ref="R60" r:id="rId2h"/>
    <hyperlink ref="R73" r:id="rId3h"/>
    <hyperlink ref="R74" r:id="rId4h"/>
    <hyperlink ref="R156" r:id="rId5h"/>
    <hyperlink ref="R157" r:id="rId6h"/>
    <hyperlink ref="R168" r:id="rId7h"/>
    <hyperlink ref="R193" r:id="rId8h"/>
    <hyperlink ref="R194" r:id="rId9h"/>
    <hyperlink ref="R207" r:id="rId10h"/>
    <hyperlink ref="R214" r:id="rId11h"/>
    <hyperlink ref="R219" r:id="rId12h"/>
    <hyperlink ref="R226" r:id="rId13h"/>
    <hyperlink ref="R227" r:id="rId14h"/>
    <hyperlink ref="R228" r:id="rId15h"/>
    <hyperlink ref="R235" r:id="rId16h"/>
    <hyperlink ref="R236" r:id="rId17h"/>
    <hyperlink ref="R237" r:id="rId18h"/>
    <hyperlink ref="R238" r:id="rId19h"/>
    <hyperlink ref="R241" r:id="rId20h"/>
    <hyperlink ref="R242" r:id="rId21h"/>
    <hyperlink ref="R243" r:id="rId22h"/>
    <hyperlink ref="R245" r:id="rId23h"/>
    <hyperlink ref="R246" r:id="rId24h"/>
    <hyperlink ref="R250" r:id="rId25h"/>
    <hyperlink ref="R251" r:id="rId26h"/>
    <hyperlink ref="R252" r:id="rId27h"/>
    <hyperlink ref="R253" r:id="rId28h"/>
    <hyperlink ref="R254" r:id="rId29h"/>
    <hyperlink ref="R255" r:id="rId30h"/>
    <hyperlink ref="R256" r:id="rId31h"/>
    <hyperlink ref="R260" r:id="rId32h"/>
    <hyperlink ref="R315" r:id="rId33h"/>
    <hyperlink ref="R316" r:id="rId34h"/>
    <hyperlink ref="R392" r:id="rId35h"/>
    <hyperlink ref="R393" r:id="rId36h"/>
    <hyperlink ref="R397" r:id="rId37h"/>
    <hyperlink ref="R398" r:id="rId38h"/>
    <hyperlink ref="R399" r:id="rId39h"/>
    <hyperlink ref="R410" r:id="rId40h"/>
    <hyperlink ref="R411" r:id="rId41h"/>
    <hyperlink ref="R454" r:id="rId42h"/>
    <hyperlink ref="R488" r:id="rId43h"/>
    <hyperlink ref="R496" r:id="rId44h"/>
    <hyperlink ref="R646" r:id="rId45h"/>
    <hyperlink ref="R647" r:id="rId46h"/>
  </hyperlinks>
  <pageMargins left="0.7" right="0.7" top="0.75" bottom="0.75" header="0.511811023622047" footer="0.511811023622047"/>
  <pageSetup orientation="portrait" paperSize="9"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1" summaryRight="1"/>
    <pageSetUpPr/>
  </sheetPr>
  <dimension ref="A1"/>
  <sheetViews>
    <sheetView workbookViewId="0">
      <selection activeCell="B27" sqref="B2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39" t="inlineStr">
        <is>
          <t>Citation (APA 7th-Annotated)</t>
        </is>
      </c>
      <c r="B1" s="39" t="inlineStr">
        <is>
          <t>sequence</t>
        </is>
      </c>
      <c r="C1" s="39" t="inlineStr">
        <is>
          <t>xml:space="preserve"&gt;DOI if different from article or doi Alt </t>
        </is>
      </c>
      <c r="D1" s="39" t="inlineStr">
        <is>
          <t>Item number</t>
        </is>
      </c>
      <c r="E1" s="7" t="inlineStr">
        <is>
          <t>1st Author</t>
        </is>
      </c>
      <c r="F1" s="7" t="inlineStr">
        <is>
          <t>other author(s)</t>
        </is>
      </c>
      <c r="G1" s="7" t="inlineStr">
        <is>
          <t>year</t>
        </is>
      </c>
      <c r="H1" s="7" t="inlineStr">
        <is>
          <t>Publication name</t>
        </is>
      </c>
      <c r="I1" s="7" t="inlineStr">
        <is>
          <t>DOI (or Alt)</t>
        </is>
      </c>
      <c r="J1" s="7" t="inlineStr">
        <is>
          <t>Item name</t>
        </is>
      </c>
      <c r="K1" s="7" t="inlineStr">
        <is>
          <t>Item encoded</t>
        </is>
      </c>
      <c r="L1" s="7" t="inlineStr">
        <is>
          <t>Public TSV match from AUTO_Public_TSV_FileList (generated by _tools/file_list.R; do not edit manually)</t>
        </is>
      </c>
      <c r="M1" s="39" t="inlineStr">
        <is>
          <t>Item full original title</t>
        </is>
      </c>
      <c r="N1" s="39" t="inlineStr">
        <is>
          <t>Source format</t>
        </is>
      </c>
      <c r="O1" s="39" t="inlineStr">
        <is>
          <t>N.B.</t>
        </is>
      </c>
      <c r="P1" s="39" t="inlineStr">
        <is>
          <t>Progress stage</t>
        </is>
      </c>
      <c r="Q1" s="39" t="inlineStr">
        <is>
          <t>Snapshot name if unchanged</t>
        </is>
      </c>
      <c r="R1" s="39" t="inlineStr">
        <is>
          <t>Source URL link</t>
        </is>
      </c>
      <c r="S1" s="39" t="inlineStr">
        <is>
          <t>Flags pre-addressed</t>
        </is>
      </c>
      <c r="T1" s="39" t="inlineStr">
        <is>
          <t>Flags possible</t>
        </is>
      </c>
      <c r="U1" s="39" t="inlineStr">
        <is>
          <t>Flags active (skips)</t>
        </is>
      </c>
      <c r="V1" s="39" t="inlineStr">
        <is>
          <t>Topic</t>
        </is>
      </c>
      <c r="W1" s="1" t="inlineStr">
        <is>
          <t>Taxon</t>
        </is>
      </c>
      <c r="X1" s="39" t="inlineStr">
        <is>
          <t>Main Trait(s)</t>
        </is>
      </c>
      <c r="Y1" s="39" t="inlineStr">
        <is>
          <t>Other Trait(s)</t>
        </is>
      </c>
      <c r="Z1" s="1" t="inlineStr">
        <is>
          <t>Material type (e.g. histological, MRI)</t>
        </is>
      </c>
      <c r="AA1" s="39" t="inlineStr">
        <is>
          <t>Method</t>
        </is>
      </c>
      <c r="AB1" s="39" t="inlineStr">
        <is>
          <t>Measure type</t>
        </is>
      </c>
      <c r="AC1" s="39" t="inlineStr">
        <is>
          <t>Team</t>
        </is>
      </c>
      <c r="AD1" s="39" t="inlineStr">
        <is>
          <t>Collection</t>
        </is>
      </c>
      <c r="AE1" s="39" t="inlineStr">
        <is>
          <t>Data role (primary/secondary/both)</t>
        </is>
      </c>
      <c r="AF1" s="1" t="inlineStr">
        <is>
          <t>Source (if secondary)</t>
        </is>
      </c>
      <c r="AG1" s="36" t="inlineStr">
        <is>
          <t>recommendation</t>
        </is>
      </c>
    </row>
    <row r="2" ht="16" customHeight="1">
      <c r="A2" s="37" t="inlineStr">
        <is>
          <t>Changizi, M. A., &amp; He, D. (2005). Four correlates of complex behavioral networks: Differentiation, behavior, connectivity, and compartmentalization. Complexity, 10(6), 13–40. https://doi.org/10.1002/cplx.20085</t>
        </is>
      </c>
      <c r="B2" s="8"/>
      <c r="C2" s="8"/>
      <c r="D2" s="37" t="inlineStr">
        <is>
          <t>Table 1</t>
        </is>
      </c>
      <c r="E2" s="7" t="n">
        <f>SUBSTITUTE(SUBSTITUTE(_xlfn.TEXTBEFORE(A2,","), "-", ""), " ", "")</f>
        <v/>
      </c>
      <c r="F2" s="7" t="n">
        <f>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
      </c>
      <c r="G2" s="7" t="n">
        <f>_xlfn.TEXTBEFORE(_xlfn.TEXTAFTER(A2, "("), ")")</f>
        <v/>
      </c>
      <c r="H2" s="7" t="n">
        <f>E2 &amp; IF(F2&lt;&gt;"", "_" &amp; F2, "_") &amp; IF(G2&lt;&gt;"", "_" &amp; G2, "_") &amp; IF(B2&lt;&gt;"", "_" &amp; B2, "")</f>
        <v/>
      </c>
      <c r="I2" s="7" t="n">
        <f>_xlfn.LET(
_xlpm.doi,IF(C2&lt;&gt;"",C2,_xlfn.TEXTAFTER(A2,"https://doi.org/")),
SUBSTITUTE(
SUBSTITUTE(
SUBSTITUTE(
SUBSTITUTE(
_xlpm.doi,
"/","%2F"),
":","%3A"),
"&lt;","%3C"),
"&gt;","%3E")
)</f>
        <v/>
      </c>
      <c r="J2" s="7" t="n">
        <f>TRIM(_xlfn.TEXTJOIN("_",FALSE(),H2,(SUBSTITUTE(SUBSTITUTE(D2," ",""), "_", ""))))</f>
        <v/>
      </c>
      <c r="K2" s="7" t="n">
        <f>I2 &amp; "_" &amp; SUBSTITUTE(SUBSTITUTE(SUBSTITUTE(D2,CHAR(160),"")," ",""),"_","")</f>
        <v/>
      </c>
      <c r="L2" s="7" t="n">
        <f t="array" ref="L2">IFERROR(INDEX(AUTO_Public_TSV_FileList!$A$1:$A$1000,MATCH(TRUE(),EXACT(K2,IFERROR(_xlfn.TEXTBEFORE(AUTO_Public_TSV_FileList!$A$1:$A$1000,".tsv"),"")),0)),"notfound")</f>
        <v/>
      </c>
      <c r="M2" s="8" t="inlineStr">
        <is>
          <t>Examples of hierarchical relationships between nodes and structures across network types.</t>
        </is>
      </c>
      <c r="N2" s="37" t="inlineStr">
        <is>
          <t>PDF table</t>
        </is>
      </c>
      <c r="O2" s="8" t="inlineStr">
        <is>
          <t>Conceptual table, not species-level intelligence; include only if network-complexity metadata are in scope.</t>
        </is>
      </c>
      <c r="Q2" s="8"/>
      <c r="R2" s="8" t="inlineStr">
        <is>
          <t>https://doi.org/10.1002/cplx.20085</t>
        </is>
      </c>
      <c r="S2" s="8" t="inlineStr">
        <is>
          <t>Source table and interpretation checked against attached PDF</t>
        </is>
      </c>
      <c r="T2" s="8" t="inlineStr">
        <is>
          <t>Verify taxon names and whether values are raw, derived, or model summaries before merge</t>
        </is>
      </c>
      <c r="U2" s="8"/>
      <c r="V2" s="8" t="inlineStr">
        <is>
          <t>comparative cognition</t>
        </is>
      </c>
      <c r="W2" s="37"/>
      <c r="X2" s="8" t="inlineStr">
        <is>
          <t>Behavioral-network organization</t>
        </is>
      </c>
      <c r="Y2" s="8" t="inlineStr">
        <is>
          <t>Behavioral-network organization</t>
        </is>
      </c>
      <c r="Z2" s="8"/>
      <c r="AA2" s="8"/>
      <c r="AB2" s="37" t="inlineStr">
        <is>
          <t>conceptual categories</t>
        </is>
      </c>
      <c r="AC2" s="8"/>
      <c r="AD2" s="8"/>
      <c r="AE2" s="37" t="inlineStr">
        <is>
          <t>secondary</t>
        </is>
      </c>
      <c r="AF2" s="37"/>
      <c r="AG2" s="36" t="inlineStr">
        <is>
          <t>No numerical data. Retain only as conceptual metadata about network differentiation.</t>
        </is>
      </c>
    </row>
    <row r="3" ht="16" customHeight="1">
      <c r="A3" s="37" t="inlineStr">
        <is>
          <t>Changizi, M. A., &amp; He, D. (2005). Four correlates of complex behavioral networks: Differentiation, behavior, connectivity, and compartmentalization. Complexity, 10(6), 13–40. https://doi.org/10.1002/cplx.20085</t>
        </is>
      </c>
      <c r="B3" s="8"/>
      <c r="C3" s="8"/>
      <c r="D3" s="37" t="inlineStr">
        <is>
          <t>Table 2</t>
        </is>
      </c>
      <c r="E3" s="7" t="n">
        <f>SUBSTITUTE(SUBSTITUTE(_xlfn.TEXTBEFORE(A3,","), "-", ""), " ", "")</f>
        <v/>
      </c>
      <c r="F3" s="7" t="n">
        <f>_xlfn.LET(
_xlpm.authors,_xlfn.TEXTBEFORE(A3," ("&amp;G3&amp;")"),
_xlpm.hasAmp,ISNUMBER(SEARCH("&amp;",_xlpm.authors)),
_xlpm.commasBeforeAmp,IF(_xlpm.hasAmp,LEN(_xlfn.TEXTBEFORE(_xlpm.authors,"&amp;"))-LEN(SUBSTITUTE(_xlfn.TEXTBEFORE(_xlpm.authors,"&amp;"),",","")),0),
IF(NOT(_xlpm.hasAmp),"",IF(_xlpm.commasBeforeAmp&gt;2,"etal",TRIM(_xlfn.TEXTBEFORE(_xlfn.TEXTAFTER(_xlpm.authors,"&amp; "),","))))
)</f>
        <v/>
      </c>
      <c r="G3" s="7" t="n">
        <f>_xlfn.TEXTBEFORE(_xlfn.TEXTAFTER(A3, "("), ")")</f>
        <v/>
      </c>
      <c r="H3" s="7" t="n">
        <f>E3 &amp; IF(F3&lt;&gt;"", "_" &amp; F3, "_") &amp; IF(G3&lt;&gt;"", "_" &amp; G3, "_") &amp; IF(B3&lt;&gt;"", "_" &amp; B3, "")</f>
        <v/>
      </c>
      <c r="I3" s="7" t="n">
        <f>_xlfn.LET(
_xlpm.doi,IF(C3&lt;&gt;"",C3,_xlfn.TEXTAFTER(A3,"https://doi.org/")),
SUBSTITUTE(
SUBSTITUTE(
SUBSTITUTE(
SUBSTITUTE(
_xlpm.doi,
"/","%2F"),
":","%3A"),
"&lt;","%3C"),
"&gt;","%3E")
)</f>
        <v/>
      </c>
      <c r="J3" s="7" t="n">
        <f>TRIM(_xlfn.TEXTJOIN("_",FALSE(),H3,(SUBSTITUTE(SUBSTITUTE(D3," ",""), "_", ""))))</f>
        <v/>
      </c>
      <c r="K3" s="7" t="n">
        <f>I3 &amp; "_" &amp; SUBSTITUTE(SUBSTITUTE(SUBSTITUTE(D3,CHAR(160),"")," ",""),"_","")</f>
        <v/>
      </c>
      <c r="L3" s="7" t="n">
        <f t="array" ref="L3">IFERROR(INDEX(AUTO_Public_TSV_FileList!$A$1:$A$1000,MATCH(TRUE(),EXACT(K3,IFERROR(_xlfn.TEXTBEFORE(AUTO_Public_TSV_FileList!$A$1:$A$1000,".tsv"),"")),0)),"notfound")</f>
        <v/>
      </c>
      <c r="M3" s="8" t="inlineStr">
        <is>
          <t>Examples of lower-level and higher-level behavioral relationships across systems.</t>
        </is>
      </c>
      <c r="N3" s="37" t="inlineStr">
        <is>
          <t>PDF table</t>
        </is>
      </c>
      <c r="O3" s="8" t="inlineStr">
        <is>
          <t>Conceptual table, not a directly mergeable comparative species dataset.</t>
        </is>
      </c>
      <c r="Q3" s="8"/>
      <c r="R3" s="8" t="inlineStr">
        <is>
          <t>https://doi.org/10.1002/cplx.20085</t>
        </is>
      </c>
      <c r="S3" s="8" t="inlineStr">
        <is>
          <t>Source table and interpretation checked against attached PDF</t>
        </is>
      </c>
      <c r="T3" s="8" t="inlineStr">
        <is>
          <t>Verify taxon names and whether values are raw, derived, or model summaries before merge</t>
        </is>
      </c>
      <c r="U3" s="8"/>
      <c r="V3" s="8" t="inlineStr">
        <is>
          <t>comparative cognition</t>
        </is>
      </c>
      <c r="W3" s="37"/>
      <c r="X3" s="8" t="inlineStr">
        <is>
          <t>Behavioral hierarchy; repertoire complexity</t>
        </is>
      </c>
      <c r="Y3" s="8" t="inlineStr">
        <is>
          <t>Behavioral hierarchy; repertoire complexity</t>
        </is>
      </c>
      <c r="Z3" s="8"/>
      <c r="AA3" s="8"/>
      <c r="AB3" s="37" t="inlineStr">
        <is>
          <t>conceptual categories</t>
        </is>
      </c>
      <c r="AC3" s="8"/>
      <c r="AD3" s="8"/>
      <c r="AE3" s="37" t="inlineStr">
        <is>
          <t>secondary</t>
        </is>
      </c>
      <c r="AF3" s="37"/>
      <c r="AG3" s="36" t="inlineStr">
        <is>
          <t>No numerical data. Conceptual description of behavioral hierarchy only.</t>
        </is>
      </c>
    </row>
    <row r="4" ht="16" customHeight="1">
      <c r="A4" s="37" t="inlineStr">
        <is>
          <t>Deaner, R. O., Isler, K., Burkart, J., &amp; van Schaik, C. P. (2007). Overall brain size, and not encephalization quotient, best predicts cognitive ability across non-human primates. Brain, Behavior and Evolution, 70(2), 115–124. https://doi.org/10.1159/000102973</t>
        </is>
      </c>
      <c r="B4" s="8"/>
      <c r="C4" s="8"/>
      <c r="D4" s="37" t="inlineStr">
        <is>
          <t>Table 1</t>
        </is>
      </c>
      <c r="E4" s="25" t="n">
        <f>SUBSTITUTE(SUBSTITUTE(_xlfn.TEXTBEFORE(A4,","), "-", ""), " ", "")</f>
        <v/>
      </c>
      <c r="F4" s="25" t="n">
        <f>_xlfn.LET(
_xlpm.authors,_xlfn.TEXTBEFORE(A4," ("&amp;G4&amp;")"),
_xlpm.hasAmp,ISNUMBER(SEARCH("&amp;",_xlpm.authors)),
_xlpm.commasBeforeAmp,IF(_xlpm.hasAmp,LEN(_xlfn.TEXTBEFORE(_xlpm.authors,"&amp;"))-LEN(SUBSTITUTE(_xlfn.TEXTBEFORE(_xlpm.authors,"&amp;"),",","")),0),
IF(NOT(_xlpm.hasAmp),"",IF(_xlpm.commasBeforeAmp&gt;2,"etal",TRIM(_xlfn.TEXTBEFORE(_xlfn.TEXTAFTER(_xlpm.authors,"&amp; "),","))))
)</f>
        <v/>
      </c>
      <c r="G4" s="25" t="n">
        <f>_xlfn.TEXTBEFORE(_xlfn.TEXTAFTER(A4, "("), ")")</f>
        <v/>
      </c>
      <c r="H4" s="25" t="n">
        <f>E4 &amp; IF(F4&lt;&gt;"", "_" &amp; F4, "_") &amp; IF(G4&lt;&gt;"", "_" &amp; G4, "_") &amp; IF(B4&lt;&gt;"", "_" &amp; B4, "")</f>
        <v/>
      </c>
      <c r="I4" s="25" t="n">
        <f>_xlfn.LET(
_xlpm.doi,IF(C4&lt;&gt;"",C4,_xlfn.TEXTAFTER(A4,"https://doi.org/")),
SUBSTITUTE(
SUBSTITUTE(
SUBSTITUTE(
SUBSTITUTE(
_xlpm.doi,
"/","%2F"),
":","%3A"),
"&lt;","%3C"),
"&gt;","%3E")
)</f>
        <v/>
      </c>
      <c r="J4" s="25" t="n">
        <f>TRIM(_xlfn.TEXTJOIN("_",FALSE(),H4,(SUBSTITUTE(SUBSTITUTE(D4," ",""), "_", ""))))</f>
        <v/>
      </c>
      <c r="K4" s="25" t="n">
        <f>I4 &amp; "_" &amp; SUBSTITUTE(SUBSTITUTE(SUBSTITUTE(D4,CHAR(160),"")," ",""),"_","")</f>
        <v/>
      </c>
      <c r="L4" s="25" t="n">
        <f t="array" ref="L4">IFERROR(INDEX(AUTO_Public_TSV_FileList!$A$1:$A$1000,MATCH(TRUE(),EXACT(K4,IFERROR(_xlfn.TEXTBEFORE(AUTO_Public_TSV_FileList!$A$1:$A$1000,".tsv"),"")),0)),"notfound")</f>
        <v/>
      </c>
      <c r="M4" s="8" t="inlineStr">
        <is>
          <t>Relationships between global cognitive ability and neuroanatomical measures/body weight using unweighted, weighted, and independent-contrast analyses.</t>
        </is>
      </c>
      <c r="N4" s="37" t="inlineStr">
        <is>
          <t>PDF table</t>
        </is>
      </c>
      <c r="O4" s="8" t="inlineStr">
        <is>
          <t>Statistical summary. Taxon-level cognition values are inherited from Deaner et al. (2006), not reproduced in this table.</t>
        </is>
      </c>
      <c r="Q4" s="8"/>
      <c r="R4" s="8" t="inlineStr">
        <is>
          <t>https://doi.org/10.1159/000102973</t>
        </is>
      </c>
      <c r="S4" s="8" t="inlineStr">
        <is>
          <t>Source table and interpretation checked against attached PDF</t>
        </is>
      </c>
      <c r="T4" s="8" t="inlineStr">
        <is>
          <t>Verify taxon names and whether values are raw, derived, or model summaries before merge</t>
        </is>
      </c>
      <c r="U4" s="8"/>
      <c r="V4" s="8" t="inlineStr">
        <is>
          <t>comparative cognition</t>
        </is>
      </c>
      <c r="W4" s="37" t="inlineStr">
        <is>
          <t>Primates</t>
        </is>
      </c>
      <c r="X4" s="8" t="inlineStr">
        <is>
          <t>General cognition; brain size; EQ; neocortex</t>
        </is>
      </c>
      <c r="Y4" s="8" t="inlineStr">
        <is>
          <t>General cognition; brain size; EQ; neocortex</t>
        </is>
      </c>
      <c r="Z4" s="8"/>
      <c r="AA4" s="8"/>
      <c r="AB4" s="37" t="inlineStr">
        <is>
          <t>r-squared / F / p</t>
        </is>
      </c>
      <c r="AC4" s="8"/>
      <c r="AD4" s="8"/>
      <c r="AE4" s="37" t="inlineStr">
        <is>
          <t>secondary</t>
        </is>
      </c>
      <c r="AF4" s="37"/>
      <c r="AG4" s="36" t="inlineStr">
        <is>
          <t>Useful correlation evidence, not taxon data. It does not reproduce the genus cognitive scores or neuroanatomical values.</t>
        </is>
      </c>
    </row>
    <row r="5" ht="16" customHeight="1">
      <c r="A5" s="37" t="inlineStr">
        <is>
          <t>Deaner, R. O., van Schaik, C. P., &amp; Johnson, V. E. (2006). Do some taxa have better domain-general cognition than others? A meta-analysis. Evol Psychol, 4, 149–196. https://doi.org/10.1177/147470490600400114</t>
        </is>
      </c>
      <c r="B5" s="8"/>
      <c r="C5" s="8"/>
      <c r="D5" s="37" t="inlineStr">
        <is>
          <t>Table 2</t>
        </is>
      </c>
      <c r="E5" s="7" t="n">
        <f>SUBSTITUTE(SUBSTITUTE(_xlfn.TEXTBEFORE(A5,","), "-", ""), " ", "")</f>
        <v/>
      </c>
      <c r="F5" s="7" t="n">
        <f>_xlfn.LET(
_xlpm.authors,_xlfn.TEXTBEFORE(A5," ("&amp;G5&amp;")"),
_xlpm.hasAmp,ISNUMBER(SEARCH("&amp;",_xlpm.authors)),
_xlpm.commasBeforeAmp,IF(_xlpm.hasAmp,LEN(_xlfn.TEXTBEFORE(_xlpm.authors,"&amp;"))-LEN(SUBSTITUTE(_xlfn.TEXTBEFORE(_xlpm.authors,"&amp;"),",","")),0),
IF(NOT(_xlpm.hasAmp),"",IF(_xlpm.commasBeforeAmp&gt;2,"etal",TRIM(_xlfn.TEXTBEFORE(_xlfn.TEXTAFTER(_xlpm.authors,"&amp; "),","))))
)</f>
        <v/>
      </c>
      <c r="G5" s="7" t="n">
        <f>_xlfn.TEXTBEFORE(_xlfn.TEXTAFTER(A5, "("), ")")</f>
        <v/>
      </c>
      <c r="H5" s="7" t="n">
        <f>E5 &amp; IF(F5&lt;&gt;"", "_" &amp; F5, "_") &amp; IF(G5&lt;&gt;"", "_" &amp; G5, "_") &amp; IF(B5&lt;&gt;"", "_" &amp; B5, "")</f>
        <v/>
      </c>
      <c r="I5" s="7" t="n">
        <f>_xlfn.LET(
_xlpm.doi,IF(C5&lt;&gt;"",C5,_xlfn.TEXTAFTER(A5,"https://doi.org/")),
SUBSTITUTE(
SUBSTITUTE(
SUBSTITUTE(
SUBSTITUTE(
_xlpm.doi,
"/","%2F"),
":","%3A"),
"&lt;","%3C"),
"&gt;","%3E")
)</f>
        <v/>
      </c>
      <c r="J5" s="7" t="n">
        <f>TRIM(_xlfn.TEXTJOIN("_",FALSE(),H5,(SUBSTITUTE(SUBSTITUTE(D5," ",""), "_", ""))))</f>
        <v/>
      </c>
      <c r="K5" s="7" t="n">
        <f>I5 &amp; "_" &amp; SUBSTITUTE(SUBSTITUTE(SUBSTITUTE(D5,CHAR(160),"")," ",""),"_","")</f>
        <v/>
      </c>
      <c r="L5" s="7" t="n">
        <f t="array" ref="L5">IFERROR(INDEX(AUTO_Public_TSV_FileList!$A$1:$A$1000,MATCH(TRUE(),EXACT(K5,IFERROR(_xlfn.TEXTBEFORE(AUTO_Public_TSV_FileList!$A$1:$A$1000,".tsv"),"")),0)),"notfound")</f>
        <v/>
      </c>
      <c r="M5" s="8" t="inlineStr">
        <is>
          <t>Predictive ability of eight hierarchical Bayesian model variants.</t>
        </is>
      </c>
      <c r="N5" s="37" t="inlineStr">
        <is>
          <t>PDF table</t>
        </is>
      </c>
      <c r="O5" s="8" t="inlineStr">
        <is>
          <t>Summary statistics rather than taxon-level measurements.</t>
        </is>
      </c>
      <c r="Q5" s="8"/>
      <c r="R5" s="8"/>
      <c r="S5" s="8" t="inlineStr">
        <is>
          <t>Source table and interpretation checked against attached PDF</t>
        </is>
      </c>
      <c r="T5" s="8" t="inlineStr">
        <is>
          <t>Verify taxon names and whether values are raw, derived, or model summaries before merge</t>
        </is>
      </c>
      <c r="U5" s="8"/>
      <c r="V5" s="8" t="inlineStr">
        <is>
          <t>comparative cognition</t>
        </is>
      </c>
      <c r="W5" s="37" t="inlineStr">
        <is>
          <t>Primates</t>
        </is>
      </c>
      <c r="X5" s="8" t="inlineStr">
        <is>
          <t>Model performance; general cognition</t>
        </is>
      </c>
      <c r="Y5" s="8" t="inlineStr">
        <is>
          <t>Model performance; general cognition</t>
        </is>
      </c>
      <c r="Z5" s="8"/>
      <c r="AA5" s="8"/>
      <c r="AB5" s="37" t="inlineStr">
        <is>
          <t>model summary</t>
        </is>
      </c>
      <c r="AC5" s="8"/>
      <c r="AD5" s="8"/>
      <c r="AE5" s="37" t="inlineStr">
        <is>
          <t>secondary</t>
        </is>
      </c>
      <c r="AF5" s="37"/>
      <c r="AG5" s="36" t="inlineStr">
        <is>
          <t>No taxon traits. Useful only as model-validation metadata.</t>
        </is>
      </c>
    </row>
    <row r="6" ht="16" customHeight="1">
      <c r="A6" s="37" t="inlineStr">
        <is>
          <t>Deaner, R. O., van Schaik, C. P., &amp; Johnson, V. E. (2006). Do some taxa have better domain-general cognition than others? A meta-analysis. Evol Psychol, 4, 149–196. https://doi.org/10.1177/147470490600400114</t>
        </is>
      </c>
      <c r="B6" s="8"/>
      <c r="C6" s="8"/>
      <c r="D6" s="37" t="inlineStr">
        <is>
          <t>Table 3</t>
        </is>
      </c>
      <c r="E6" s="7" t="n">
        <f>SUBSTITUTE(SUBSTITUTE(_xlfn.TEXTBEFORE(A6,","), "-", ""), " ", "")</f>
        <v/>
      </c>
      <c r="F6" s="7" t="n">
        <f>_xlfn.LET(
_xlpm.authors,_xlfn.TEXTBEFORE(A6," ("&amp;G6&amp;")"),
_xlpm.hasAmp,ISNUMBER(SEARCH("&amp;",_xlpm.authors)),
_xlpm.commasBeforeAmp,IF(_xlpm.hasAmp,LEN(_xlfn.TEXTBEFORE(_xlpm.authors,"&amp;"))-LEN(SUBSTITUTE(_xlfn.TEXTBEFORE(_xlpm.authors,"&amp;"),",","")),0),
IF(NOT(_xlpm.hasAmp),"",IF(_xlpm.commasBeforeAmp&gt;2,"etal",TRIM(_xlfn.TEXTBEFORE(_xlfn.TEXTAFTER(_xlpm.authors,"&amp; "),","))))
)</f>
        <v/>
      </c>
      <c r="G6" s="7" t="n">
        <f>_xlfn.TEXTBEFORE(_xlfn.TEXTAFTER(A6, "("), ")")</f>
        <v/>
      </c>
      <c r="H6" s="7" t="n">
        <f>E6 &amp; IF(F6&lt;&gt;"", "_" &amp; F6, "_") &amp; IF(G6&lt;&gt;"", "_" &amp; G6, "_") &amp; IF(B6&lt;&gt;"", "_" &amp; B6, "")</f>
        <v/>
      </c>
      <c r="I6" s="7" t="n">
        <f>_xlfn.LET(
_xlpm.doi,IF(C6&lt;&gt;"",C6,_xlfn.TEXTAFTER(A6,"https://doi.org/")),
SUBSTITUTE(
SUBSTITUTE(
SUBSTITUTE(
SUBSTITUTE(
_xlpm.doi,
"/","%2F"),
":","%3A"),
"&lt;","%3C"),
"&gt;","%3E")
)</f>
        <v/>
      </c>
      <c r="J6" s="7" t="n">
        <f>TRIM(_xlfn.TEXTJOIN("_",FALSE(),H6,(SUBSTITUTE(SUBSTITUTE(D6," ",""), "_", ""))))</f>
        <v/>
      </c>
      <c r="K6" s="7" t="n">
        <f>I6 &amp; "_" &amp; SUBSTITUTE(SUBSTITUTE(SUBSTITUTE(D6,CHAR(160),"")," ",""),"_","")</f>
        <v/>
      </c>
      <c r="L6" s="7" t="n">
        <f t="array" ref="L6">IFERROR(INDEX(AUTO_Public_TSV_FileList!$A$1:$A$1000,MATCH(TRUE(),EXACT(K6,IFERROR(_xlfn.TEXTBEFORE(AUTO_Public_TSV_FileList!$A$1:$A$1000,".tsv"),"")),0)),"notfound")</f>
        <v/>
      </c>
      <c r="M6" s="8" t="inlineStr">
        <is>
          <t>Pair-wise probabilities comparing mean global cognitive variables among taxonomic groupings.</t>
        </is>
      </c>
      <c r="N6" s="37" t="inlineStr">
        <is>
          <t>PDF table</t>
        </is>
      </c>
      <c r="O6" s="8" t="inlineStr">
        <is>
          <t>Taxonomic-group summary; higher global variable means indicate worse performance in this table.</t>
        </is>
      </c>
      <c r="Q6" s="8"/>
      <c r="R6" s="8"/>
      <c r="S6" s="8" t="inlineStr">
        <is>
          <t>Source table and interpretation checked against attached PDF</t>
        </is>
      </c>
      <c r="T6" s="8" t="inlineStr">
        <is>
          <t>Verify taxon names and whether values are raw, derived, or model summaries before merge</t>
        </is>
      </c>
      <c r="U6" s="8"/>
      <c r="V6" s="8" t="inlineStr">
        <is>
          <t>comparative cognition</t>
        </is>
      </c>
      <c r="W6" s="37" t="inlineStr">
        <is>
          <t>Primates</t>
        </is>
      </c>
      <c r="X6" s="8" t="inlineStr">
        <is>
          <t>Domain-general cognition</t>
        </is>
      </c>
      <c r="Y6" s="8" t="inlineStr">
        <is>
          <t>Domain-general cognition</t>
        </is>
      </c>
      <c r="Z6" s="8"/>
      <c r="AA6" s="8"/>
      <c r="AB6" s="37" t="inlineStr">
        <is>
          <t>posterior probability</t>
        </is>
      </c>
      <c r="AC6" s="8"/>
      <c r="AD6" s="8"/>
      <c r="AE6" s="37" t="inlineStr">
        <is>
          <t>secondary</t>
        </is>
      </c>
      <c r="AF6" s="37"/>
      <c r="AG6" s="36" t="inlineStr">
        <is>
          <t>Optional clade-level result. Useful for group comparisons, but not species or genus scores.</t>
        </is>
      </c>
    </row>
    <row r="7" ht="16" customHeight="1">
      <c r="A7" s="37" t="inlineStr">
        <is>
          <t>Reader, S. M., &amp; Laland, K. N. (2002). Social intelligence, innovation, and enhanced brain size in primates. Proceedings of the National Academy of Sciences, 99(7), 4436–4441. https://doi.org/10.1073/pnas.062041299</t>
        </is>
      </c>
      <c r="B7" s="8"/>
      <c r="C7" s="8"/>
      <c r="D7" s="37" t="inlineStr">
        <is>
          <t>Table 1</t>
        </is>
      </c>
      <c r="E7" s="7" t="n">
        <f>SUBSTITUTE(SUBSTITUTE(_xlfn.TEXTBEFORE(A7,","), "-", ""), " ", "")</f>
        <v/>
      </c>
      <c r="F7" s="7" t="n">
        <f>_xlfn.LET(
_xlpm.authors,_xlfn.TEXTBEFORE(A7," ("&amp;G7&amp;")"),
_xlpm.hasAmp,ISNUMBER(SEARCH("&amp;",_xlpm.authors)),
_xlpm.commasBeforeAmp,IF(_xlpm.hasAmp,LEN(_xlfn.TEXTBEFORE(_xlpm.authors,"&amp;"))-LEN(SUBSTITUTE(_xlfn.TEXTBEFORE(_xlpm.authors,"&amp;"),",","")),0),
IF(NOT(_xlpm.hasAmp),"",IF(_xlpm.commasBeforeAmp&gt;2,"etal",TRIM(_xlfn.TEXTBEFORE(_xlfn.TEXTAFTER(_xlpm.authors,"&amp; "),","))))
)</f>
        <v/>
      </c>
      <c r="G7" s="7" t="n">
        <f>_xlfn.TEXTBEFORE(_xlfn.TEXTAFTER(A7, "("), ")")</f>
        <v/>
      </c>
      <c r="H7" s="7" t="n">
        <f>E7 &amp; IF(F7&lt;&gt;"", "_" &amp; F7, "_") &amp; IF(G7&lt;&gt;"", "_" &amp; G7, "_") &amp; IF(B7&lt;&gt;"", "_" &amp; B7, "")</f>
        <v/>
      </c>
      <c r="I7" s="7" t="n">
        <f>_xlfn.LET(
_xlpm.doi,IF(C7&lt;&gt;"",C7,_xlfn.TEXTAFTER(A7,"https://doi.org/")),
SUBSTITUTE(
SUBSTITUTE(
SUBSTITUTE(
SUBSTITUTE(
_xlpm.doi,
"/","%2F"),
":","%3A"),
"&lt;","%3C"),
"&gt;","%3E")
)</f>
        <v/>
      </c>
      <c r="J7" s="7" t="n">
        <f>TRIM(_xlfn.TEXTJOIN("_",FALSE(),H7,(SUBSTITUTE(SUBSTITUTE(D7," ",""), "_", ""))))</f>
        <v/>
      </c>
      <c r="K7" s="7" t="n">
        <f>I7 &amp; "_" &amp; SUBSTITUTE(SUBSTITUTE(SUBSTITUTE(D7,CHAR(160),"")," ",""),"_","")</f>
        <v/>
      </c>
      <c r="L7" s="7" t="n">
        <f t="array" ref="L7">IFERROR(INDEX(AUTO_Public_TSV_FileList!$A$1:$A$1000,MATCH(TRUE(),EXACT(K7,IFERROR(_xlfn.TEXTBEFORE(AUTO_Public_TSV_FileList!$A$1:$A$1000,".tsv"),"")),0)),"notfound")</f>
        <v/>
      </c>
      <c r="M7" s="8" t="inlineStr">
        <is>
          <t>P values from reanalysis of a limited field-only dataset for innovation, social learning, tool use, and executive brain ratio.</t>
        </is>
      </c>
      <c r="N7" s="37" t="inlineStr">
        <is>
          <t>PDF table</t>
        </is>
      </c>
      <c r="O7" s="8" t="inlineStr">
        <is>
          <t>Summary statistics only; raw species values are stated to be available from the authors, not printed in the table.</t>
        </is>
      </c>
      <c r="Q7" s="8"/>
      <c r="R7" s="8" t="inlineStr">
        <is>
          <t>https://doi.org/10.1073/pnas.062041299</t>
        </is>
      </c>
      <c r="S7" s="8" t="inlineStr">
        <is>
          <t>Source table and interpretation checked against attached PDF</t>
        </is>
      </c>
      <c r="T7" s="8" t="inlineStr">
        <is>
          <t>Verify taxon names and whether values are raw, derived, or model summaries before merge</t>
        </is>
      </c>
      <c r="U7" s="8"/>
      <c r="V7" s="8" t="inlineStr">
        <is>
          <t>comparative cognition</t>
        </is>
      </c>
      <c r="W7" s="37" t="inlineStr">
        <is>
          <t>Primates</t>
        </is>
      </c>
      <c r="X7" s="8" t="inlineStr">
        <is>
          <t>Innovation; social learning; tool use; executive brain ratio</t>
        </is>
      </c>
      <c r="Y7" s="8" t="inlineStr">
        <is>
          <t>Innovation; social learning; tool use; executive brain ratio</t>
        </is>
      </c>
      <c r="Z7" s="8"/>
      <c r="AA7" s="8"/>
      <c r="AB7" s="37" t="inlineStr">
        <is>
          <t>p value</t>
        </is>
      </c>
      <c r="AC7" s="8"/>
      <c r="AD7" s="8"/>
      <c r="AE7" s="37" t="inlineStr">
        <is>
          <t>secondary</t>
        </is>
      </c>
      <c r="AF7" s="37"/>
      <c r="AG7" s="36" t="inlineStr">
        <is>
          <t>Do not extract as species data. It is a statistical summary. The underlying 2002 species counts are present in the Reader et al. 2011 CSV and are marked as superseded.</t>
        </is>
      </c>
    </row>
    <row r="8" ht="16" customHeight="1">
      <c r="A8" s="37" t="inlineStr">
        <is>
          <t>Reader, S. M., Hager, Y., &amp; Laland, K. N. (2011). The evolution of primate general and cultural intelligence. Philosophical Transactions of the Royal Society B: Biological Sciences, 366(1567), 1017–1027. https://doi.org/10.1098/rstb.2010.0342</t>
        </is>
      </c>
      <c r="B8" s="8"/>
      <c r="C8" s="8"/>
      <c r="D8" s="37" t="inlineStr">
        <is>
          <t>Table 1</t>
        </is>
      </c>
      <c r="E8" s="7" t="n">
        <f>SUBSTITUTE(SUBSTITUTE(_xlfn.TEXTBEFORE(A8,","), "-", ""), " ", "")</f>
        <v/>
      </c>
      <c r="F8" s="7" t="n">
        <f>_xlfn.LET(
_xlpm.authors,_xlfn.TEXTBEFORE(A8," ("&amp;G8&amp;")"),
_xlpm.hasAmp,ISNUMBER(SEARCH("&amp;",_xlpm.authors)),
_xlpm.commasBeforeAmp,IF(_xlpm.hasAmp,LEN(_xlfn.TEXTBEFORE(_xlpm.authors,"&amp;"))-LEN(SUBSTITUTE(_xlfn.TEXTBEFORE(_xlpm.authors,"&amp;"),",","")),0),
IF(NOT(_xlpm.hasAmp),"",IF(_xlpm.commasBeforeAmp&gt;2,"etal",TRIM(_xlfn.TEXTBEFORE(_xlfn.TEXTAFTER(_xlpm.authors,"&amp; "),","))))
)</f>
        <v/>
      </c>
      <c r="G8" s="7" t="n">
        <f>_xlfn.TEXTBEFORE(_xlfn.TEXTAFTER(A8, "("), ")")</f>
        <v/>
      </c>
      <c r="H8" s="7" t="n">
        <f>E8 &amp; IF(F8&lt;&gt;"", "_" &amp; F8, "_") &amp; IF(G8&lt;&gt;"", "_" &amp; G8, "_") &amp; IF(B8&lt;&gt;"", "_" &amp; B8, "")</f>
        <v/>
      </c>
      <c r="I8" s="7" t="n">
        <f>_xlfn.LET(
_xlpm.doi,IF(C8&lt;&gt;"",C8,_xlfn.TEXTAFTER(A8,"https://doi.org/")),
SUBSTITUTE(
SUBSTITUTE(
SUBSTITUTE(
SUBSTITUTE(
_xlpm.doi,
"/","%2F"),
":","%3A"),
"&lt;","%3C"),
"&gt;","%3E")
)</f>
        <v/>
      </c>
      <c r="J8" s="7" t="n">
        <f>TRIM(_xlfn.TEXTJOIN("_",FALSE(),H8,(SUBSTITUTE(SUBSTITUTE(D8," ",""), "_", ""))))</f>
        <v/>
      </c>
      <c r="K8" s="7" t="n">
        <f>I8 &amp; "_" &amp; SUBSTITUTE(SUBSTITUTE(SUBSTITUTE(D8,CHAR(160),"")," ",""),"_","")</f>
        <v/>
      </c>
      <c r="L8" s="7" t="n">
        <f t="array" ref="L8">IFERROR(INDEX(AUTO_Public_TSV_FileList!$A$1:$A$1000,MATCH(TRUE(),EXACT(K8,IFERROR(_xlfn.TEXTBEFORE(AUTO_Public_TSV_FileList!$A$1:$A$1000,".tsv"),"")),0)),"notfound")</f>
        <v/>
      </c>
      <c r="M8" s="8" t="inlineStr">
        <is>
          <t>PCA loadings for five cognitive measures and the primate general-intelligence component gS1.</t>
        </is>
      </c>
      <c r="N8" s="37" t="inlineStr">
        <is>
          <t>PDF table</t>
        </is>
      </c>
      <c r="O8" s="8" t="inlineStr">
        <is>
          <t>Summary across 62 species; species-level scores are not printed in this table.</t>
        </is>
      </c>
      <c r="Q8" s="8"/>
      <c r="R8" s="8" t="inlineStr">
        <is>
          <t>https://doi.org/10.1098/rstb.2010.0342</t>
        </is>
      </c>
      <c r="S8" s="8" t="inlineStr">
        <is>
          <t>Source table and interpretation checked against attached PDF</t>
        </is>
      </c>
      <c r="T8" s="8" t="inlineStr">
        <is>
          <t>Verify taxon names and whether values are raw, derived, or model summaries before merge</t>
        </is>
      </c>
      <c r="U8" s="8"/>
      <c r="V8" s="8" t="inlineStr">
        <is>
          <t>comparative cognition</t>
        </is>
      </c>
      <c r="W8" s="37" t="inlineStr">
        <is>
          <t>Primates</t>
        </is>
      </c>
      <c r="X8" s="8" t="inlineStr">
        <is>
          <t>General intelligence; innovation; social learning; tool use; extractive foraging; deception</t>
        </is>
      </c>
      <c r="Y8" s="8" t="inlineStr">
        <is>
          <t>General intelligence; innovation; social learning; tool use; extractive foraging; deception</t>
        </is>
      </c>
      <c r="Z8" s="8"/>
      <c r="AA8" s="8"/>
      <c r="AB8" s="37" t="inlineStr">
        <is>
          <t>PCA loading</t>
        </is>
      </c>
      <c r="AC8" s="8"/>
      <c r="AD8" s="8"/>
      <c r="AE8" s="37" t="inlineStr">
        <is>
          <t>secondary</t>
        </is>
      </c>
      <c r="AF8" s="37"/>
      <c r="AG8" s="36" t="inlineStr">
        <is>
          <t>Useful construct-validation result. It does not print the 62 species’ scores.</t>
        </is>
      </c>
    </row>
    <row r="9" ht="16" customHeight="1">
      <c r="A9" s="37" t="inlineStr">
        <is>
          <t>Reader, S. M., Hager, Y., &amp; Laland, K. N. (2011). The evolution of primate general and cultural intelligence. Philosophical Transactions of the Royal Society B: Biological Sciences, 366(1567), 1017–1027. https://doi.org/10.1098/rstb.2010.0342</t>
        </is>
      </c>
      <c r="B9" s="8"/>
      <c r="C9" s="8"/>
      <c r="D9" s="37" t="inlineStr">
        <is>
          <t>Table 2</t>
        </is>
      </c>
      <c r="E9" s="7" t="n">
        <f>SUBSTITUTE(SUBSTITUTE(_xlfn.TEXTBEFORE(A9,","), "-", ""), " ", "")</f>
        <v/>
      </c>
      <c r="F9" s="7" t="n">
        <f>_xlfn.LET(
_xlpm.authors,_xlfn.TEXTBEFORE(A9," ("&amp;G9&amp;")"),
_xlpm.hasAmp,ISNUMBER(SEARCH("&amp;",_xlpm.authors)),
_xlpm.commasBeforeAmp,IF(_xlpm.hasAmp,LEN(_xlfn.TEXTBEFORE(_xlpm.authors,"&amp;"))-LEN(SUBSTITUTE(_xlfn.TEXTBEFORE(_xlpm.authors,"&amp;"),",","")),0),
IF(NOT(_xlpm.hasAmp),"",IF(_xlpm.commasBeforeAmp&gt;2,"etal",TRIM(_xlfn.TEXTBEFORE(_xlfn.TEXTAFTER(_xlpm.authors,"&amp; "),","))))
)</f>
        <v/>
      </c>
      <c r="G9" s="7" t="n">
        <f>_xlfn.TEXTBEFORE(_xlfn.TEXTAFTER(A9, "("), ")")</f>
        <v/>
      </c>
      <c r="H9" s="7" t="n">
        <f>E9 &amp; IF(F9&lt;&gt;"", "_" &amp; F9, "_") &amp; IF(G9&lt;&gt;"", "_" &amp; G9, "_") &amp; IF(B9&lt;&gt;"", "_" &amp; B9, "")</f>
        <v/>
      </c>
      <c r="I9" s="7" t="n">
        <f>_xlfn.LET(
_xlpm.doi,IF(C9&lt;&gt;"",C9,_xlfn.TEXTAFTER(A9,"https://doi.org/")),
SUBSTITUTE(
SUBSTITUTE(
SUBSTITUTE(
SUBSTITUTE(
_xlpm.doi,
"/","%2F"),
":","%3A"),
"&lt;","%3C"),
"&gt;","%3E")
)</f>
        <v/>
      </c>
      <c r="J9" s="7" t="n">
        <f>TRIM(_xlfn.TEXTJOIN("_",FALSE(),H9,(SUBSTITUTE(SUBSTITUTE(D9," ",""), "_", ""))))</f>
        <v/>
      </c>
      <c r="K9" s="7" t="n">
        <f>I9 &amp; "_" &amp; SUBSTITUTE(SUBSTITUTE(SUBSTITUTE(D9,CHAR(160),"")," ",""),"_","")</f>
        <v/>
      </c>
      <c r="L9" s="7" t="n">
        <f t="array" ref="L9">IFERROR(INDEX(AUTO_Public_TSV_FileList!$A$1:$A$1000,MATCH(TRUE(),EXACT(K9,IFERROR(_xlfn.TEXTBEFORE(AUTO_Public_TSV_FileList!$A$1:$A$1000,".tsv"),"")),0)),"notfound")</f>
        <v/>
      </c>
      <c r="M9" s="8" t="inlineStr">
        <is>
          <t>PCA loadings for eight cognitive and socio-ecological measures and components gS2 and component 2.</t>
        </is>
      </c>
      <c r="N9" s="37" t="inlineStr">
        <is>
          <t>PDF table</t>
        </is>
      </c>
      <c r="O9" s="8" t="inlineStr">
        <is>
          <t>Summary across 44 species.</t>
        </is>
      </c>
      <c r="Q9" s="8"/>
      <c r="R9" s="8" t="inlineStr">
        <is>
          <t>https://doi.org/10.1098/rstb.2010.0342</t>
        </is>
      </c>
      <c r="S9" s="8" t="inlineStr">
        <is>
          <t>Source table and interpretation checked against attached PDF</t>
        </is>
      </c>
      <c r="T9" s="8" t="inlineStr">
        <is>
          <t>Verify taxon names and whether values are raw, derived, or model summaries before merge</t>
        </is>
      </c>
      <c r="U9" s="8"/>
      <c r="V9" s="8" t="inlineStr">
        <is>
          <t>comparative cognition</t>
        </is>
      </c>
      <c r="W9" s="37" t="inlineStr">
        <is>
          <t>Primates</t>
        </is>
      </c>
      <c r="X9" s="8" t="inlineStr">
        <is>
          <t>General intelligence; diet; group size; behavioral flexibility</t>
        </is>
      </c>
      <c r="Y9" s="8" t="inlineStr">
        <is>
          <t>General intelligence; diet; group size; behavioral flexibility</t>
        </is>
      </c>
      <c r="Z9" s="8"/>
      <c r="AA9" s="8"/>
      <c r="AB9" s="37" t="inlineStr">
        <is>
          <t>PCA loading</t>
        </is>
      </c>
      <c r="AC9" s="8"/>
      <c r="AD9" s="8"/>
      <c r="AE9" s="37" t="inlineStr">
        <is>
          <t>secondary</t>
        </is>
      </c>
      <c r="AF9" s="37"/>
      <c r="AG9" s="36" t="inlineStr">
        <is>
          <t>Useful construct-validation result. No species values.</t>
        </is>
      </c>
    </row>
    <row r="10" ht="16" customHeight="1">
      <c r="A10" s="37" t="inlineStr">
        <is>
          <t>Reader, S. M., Hager, Y., &amp; Laland, K. N. (2011). The evolution of primate general and cultural intelligence. Philosophical Transactions of the Royal Society B: Biological Sciences, 366(1567), 1017–1027. https://doi.org/10.1098/rstb.2010.0342</t>
        </is>
      </c>
      <c r="B10" s="8"/>
      <c r="C10" s="8"/>
      <c r="D10" s="37" t="inlineStr">
        <is>
          <t>Table 3</t>
        </is>
      </c>
      <c r="E10" s="7" t="n">
        <f>SUBSTITUTE(SUBSTITUTE(_xlfn.TEXTBEFORE(A10,","), "-", ""), " ", "")</f>
        <v/>
      </c>
      <c r="F10" s="7" t="n">
        <f>_xlfn.LET(
_xlpm.authors,_xlfn.TEXTBEFORE(A10," ("&amp;G10&amp;")"),
_xlpm.hasAmp,ISNUMBER(SEARCH("&amp;",_xlpm.authors)),
_xlpm.commasBeforeAmp,IF(_xlpm.hasAmp,LEN(_xlfn.TEXTBEFORE(_xlpm.authors,"&amp;"))-LEN(SUBSTITUTE(_xlfn.TEXTBEFORE(_xlpm.authors,"&amp;"),",","")),0),
IF(NOT(_xlpm.hasAmp),"",IF(_xlpm.commasBeforeAmp&gt;2,"etal",TRIM(_xlfn.TEXTBEFORE(_xlfn.TEXTAFTER(_xlpm.authors,"&amp; "),","))))
)</f>
        <v/>
      </c>
      <c r="G10" s="7" t="n">
        <f>_xlfn.TEXTBEFORE(_xlfn.TEXTAFTER(A10, "("), ")")</f>
        <v/>
      </c>
      <c r="H10" s="7" t="n">
        <f>E10 &amp; IF(F10&lt;&gt;"", "_" &amp; F10, "_") &amp; IF(G10&lt;&gt;"", "_" &amp; G10, "_") &amp; IF(B10&lt;&gt;"", "_" &amp; B10, "")</f>
        <v/>
      </c>
      <c r="I10" s="7" t="n">
        <f>_xlfn.LET(
_xlpm.doi,IF(C10&lt;&gt;"",C10,_xlfn.TEXTAFTER(A10,"https://doi.org/")),
SUBSTITUTE(
SUBSTITUTE(
SUBSTITUTE(
SUBSTITUTE(
_xlpm.doi,
"/","%2F"),
":","%3A"),
"&lt;","%3C"),
"&gt;","%3E")
)</f>
        <v/>
      </c>
      <c r="J10" s="7" t="n">
        <f>TRIM(_xlfn.TEXTJOIN("_",FALSE(),H10,(SUBSTITUTE(SUBSTITUTE(D10," ",""), "_", ""))))</f>
        <v/>
      </c>
      <c r="K10" s="7" t="n">
        <f>I10 &amp; "_" &amp; SUBSTITUTE(SUBSTITUTE(SUBSTITUTE(D10,CHAR(160),"")," ",""),"_","")</f>
        <v/>
      </c>
      <c r="L10" s="7" t="n">
        <f t="array" ref="L10">IFERROR(INDEX(AUTO_Public_TSV_FileList!$A$1:$A$1000,MATCH(TRUE(),EXACT(K10,IFERROR(_xlfn.TEXTBEFORE(AUTO_Public_TSV_FileList!$A$1:$A$1000,".tsv"),"")),0)),"notfound")</f>
        <v/>
      </c>
      <c r="M10" s="8" t="inlineStr">
        <is>
          <t>Correlation matrix for cognitive and socio-ecological measures across primate species.</t>
        </is>
      </c>
      <c r="N10" s="37" t="inlineStr">
        <is>
          <t>PDF table</t>
        </is>
      </c>
      <c r="O10" s="8" t="inlineStr">
        <is>
          <t>Measures are corrected for research effort as described in the article.</t>
        </is>
      </c>
      <c r="Q10" s="8"/>
      <c r="R10" s="8" t="inlineStr">
        <is>
          <t>https://doi.org/10.1098/rstb.2010.0342</t>
        </is>
      </c>
      <c r="S10" s="8" t="inlineStr">
        <is>
          <t>Source table and interpretation checked against attached PDF</t>
        </is>
      </c>
      <c r="T10" s="8" t="inlineStr">
        <is>
          <t>Verify taxon names and whether values are raw, derived, or model summaries before merge</t>
        </is>
      </c>
      <c r="U10" s="8"/>
      <c r="V10" s="8" t="inlineStr">
        <is>
          <t>comparative cognition</t>
        </is>
      </c>
      <c r="W10" s="37" t="inlineStr">
        <is>
          <t>Primates</t>
        </is>
      </c>
      <c r="X10" s="8" t="inlineStr">
        <is>
          <t>Behavioral flexibility; diet; group size</t>
        </is>
      </c>
      <c r="Y10" s="8" t="inlineStr">
        <is>
          <t>Behavioral flexibility; diet; group size</t>
        </is>
      </c>
      <c r="Z10" s="8"/>
      <c r="AA10" s="8"/>
      <c r="AB10" s="37" t="inlineStr">
        <is>
          <t>correlation coefficient</t>
        </is>
      </c>
      <c r="AC10" s="8"/>
      <c r="AD10" s="8"/>
      <c r="AE10" s="37" t="inlineStr">
        <is>
          <t>secondary</t>
        </is>
      </c>
      <c r="AF10" s="37"/>
      <c r="AG10" s="36" t="inlineStr">
        <is>
          <t>Useful correlation evidence. Not a source of species observations.</t>
        </is>
      </c>
    </row>
    <row r="11" ht="16" customHeight="1">
      <c r="A11" s="37" t="inlineStr">
        <is>
          <t>Reader, S. M., Hager, Y., &amp; Laland, K. N. (2011). The evolution of primate general and cultural intelligence. Philosophical Transactions of the Royal Society B: Biological Sciences, 366(1567), 1017–1027. https://doi.org/10.1098/rstb.2010.0342</t>
        </is>
      </c>
      <c r="B11" s="8"/>
      <c r="C11" s="8"/>
      <c r="D11" s="37" t="inlineStr">
        <is>
          <t>Table 4</t>
        </is>
      </c>
      <c r="E11" s="7" t="n">
        <f>SUBSTITUTE(SUBSTITUTE(_xlfn.TEXTBEFORE(A11,","), "-", ""), " ", "")</f>
        <v/>
      </c>
      <c r="F11" s="7" t="n">
        <f>_xlfn.LET(
_xlpm.authors,_xlfn.TEXTBEFORE(A11," ("&amp;G11&amp;")"),
_xlpm.hasAmp,ISNUMBER(SEARCH("&amp;",_xlpm.authors)),
_xlpm.commasBeforeAmp,IF(_xlpm.hasAmp,LEN(_xlfn.TEXTBEFORE(_xlpm.authors,"&amp;"))-LEN(SUBSTITUTE(_xlfn.TEXTBEFORE(_xlpm.authors,"&amp;"),",","")),0),
IF(NOT(_xlpm.hasAmp),"",IF(_xlpm.commasBeforeAmp&gt;2,"etal",TRIM(_xlfn.TEXTBEFORE(_xlfn.TEXTAFTER(_xlpm.authors,"&amp; "),","))))
)</f>
        <v/>
      </c>
      <c r="G11" s="7" t="n">
        <f>_xlfn.TEXTBEFORE(_xlfn.TEXTAFTER(A11, "("), ")")</f>
        <v/>
      </c>
      <c r="H11" s="7" t="n">
        <f>E11 &amp; IF(F11&lt;&gt;"", "_" &amp; F11, "_") &amp; IF(G11&lt;&gt;"", "_" &amp; G11, "_") &amp; IF(B11&lt;&gt;"", "_" &amp; B11, "")</f>
        <v/>
      </c>
      <c r="I11" s="7" t="n">
        <f>_xlfn.LET(
_xlpm.doi,IF(C11&lt;&gt;"",C11,_xlfn.TEXTAFTER(A11,"https://doi.org/")),
SUBSTITUTE(
SUBSTITUTE(
SUBSTITUTE(
SUBSTITUTE(
_xlpm.doi,
"/","%2F"),
":","%3A"),
"&lt;","%3C"),
"&gt;","%3E")
)</f>
        <v/>
      </c>
      <c r="J11" s="7" t="n">
        <f>TRIM(_xlfn.TEXTJOIN("_",FALSE(),H11,(SUBSTITUTE(SUBSTITUTE(D11," ",""), "_", ""))))</f>
        <v/>
      </c>
      <c r="K11" s="7" t="n">
        <f>I11 &amp; "_" &amp; SUBSTITUTE(SUBSTITUTE(SUBSTITUTE(D11,CHAR(160),"")," ",""),"_","")</f>
        <v/>
      </c>
      <c r="L11" s="7" t="n">
        <f t="array" ref="L11">IFERROR(INDEX(AUTO_Public_TSV_FileList!$A$1:$A$1000,MATCH(TRUE(),EXACT(K11,IFERROR(_xlfn.TEXTBEFORE(AUTO_Public_TSV_FileList!$A$1:$A$1000,".tsv"),"")),0)),"notfound")</f>
        <v/>
      </c>
      <c r="M11" s="8" t="inlineStr">
        <is>
          <t>Regressions relating primate general intelligence gS1 to four brain-size measures.</t>
        </is>
      </c>
      <c r="N11" s="37" t="inlineStr">
        <is>
          <t>PDF table</t>
        </is>
      </c>
      <c r="O11" s="8" t="inlineStr">
        <is>
          <t>Statistical summary; includes across-species and independent-contrast analyses.</t>
        </is>
      </c>
      <c r="Q11" s="8"/>
      <c r="R11" s="8" t="inlineStr">
        <is>
          <t>https://doi.org/10.1098/rstb.2010.0342</t>
        </is>
      </c>
      <c r="S11" s="8" t="inlineStr">
        <is>
          <t>Source table and interpretation checked against attached PDF</t>
        </is>
      </c>
      <c r="T11" s="8" t="inlineStr">
        <is>
          <t>Verify taxon names and whether values are raw, derived, or model summaries before merge</t>
        </is>
      </c>
      <c r="U11" s="8"/>
      <c r="V11" s="8" t="inlineStr">
        <is>
          <t>comparative cognition</t>
        </is>
      </c>
      <c r="W11" s="37" t="inlineStr">
        <is>
          <t>Primates</t>
        </is>
      </c>
      <c r="X11" s="8" t="inlineStr">
        <is>
          <t>General intelligence; neocortex; executive brain ratio</t>
        </is>
      </c>
      <c r="Y11" s="8" t="inlineStr">
        <is>
          <t>General intelligence; neocortex; executive brain ratio</t>
        </is>
      </c>
      <c r="Z11" s="8"/>
      <c r="AA11" s="8"/>
      <c r="AB11" s="37" t="inlineStr">
        <is>
          <t>r-squared / F / p</t>
        </is>
      </c>
      <c r="AC11" s="8"/>
      <c r="AD11" s="8"/>
      <c r="AE11" s="37" t="inlineStr">
        <is>
          <t>secondary</t>
        </is>
      </c>
      <c r="AF11" s="37"/>
      <c r="AG11" s="36" t="inlineStr">
        <is>
          <t>Useful brain–intelligence validation. No species scores or brain measurements.</t>
        </is>
      </c>
    </row>
    <row r="12" ht="16" customHeight="1">
      <c r="A12" s="37" t="inlineStr">
        <is>
          <t>Shultz, S., &amp; Dunbar, R. I. M. (2010). Species differences in executive function correlate with hippocampus volume and neocortex ratio across nonhuman primates. Journal of Comparative Psychology, 124(3), 252–260. https://doi.org/10.1037/a0018894</t>
        </is>
      </c>
      <c r="B12" s="8"/>
      <c r="C12" s="8"/>
      <c r="D12" s="37" t="inlineStr">
        <is>
          <t>Table 1</t>
        </is>
      </c>
      <c r="E12" s="7" t="n">
        <f>SUBSTITUTE(SUBSTITUTE(_xlfn.TEXTBEFORE(A12,","), "-", ""), " ", "")</f>
        <v/>
      </c>
      <c r="F12" s="7" t="n">
        <f>_xlfn.LET(
_xlpm.authors,_xlfn.TEXTBEFORE(A12," ("&amp;G12&amp;")"),
_xlpm.hasAmp,ISNUMBER(SEARCH("&amp;",_xlpm.authors)),
_xlpm.commasBeforeAmp,IF(_xlpm.hasAmp,LEN(_xlfn.TEXTBEFORE(_xlpm.authors,"&amp;"))-LEN(SUBSTITUTE(_xlfn.TEXTBEFORE(_xlpm.authors,"&amp;"),",","")),0),
IF(NOT(_xlpm.hasAmp),"",IF(_xlpm.commasBeforeAmp&gt;2,"etal",TRIM(_xlfn.TEXTBEFORE(_xlfn.TEXTAFTER(_xlpm.authors,"&amp; "),","))))
)</f>
        <v/>
      </c>
      <c r="G12" s="7" t="n">
        <f>_xlfn.TEXTBEFORE(_xlfn.TEXTAFTER(A12, "("), ")")</f>
        <v/>
      </c>
      <c r="H12" s="7" t="n">
        <f>E12 &amp; IF(F12&lt;&gt;"", "_" &amp; F12, "_") &amp; IF(G12&lt;&gt;"", "_" &amp; G12, "_") &amp; IF(B12&lt;&gt;"", "_" &amp; B12, "")</f>
        <v/>
      </c>
      <c r="I12" s="7" t="n">
        <f>_xlfn.LET(
_xlpm.doi,IF(C12&lt;&gt;"",C12,_xlfn.TEXTAFTER(A12,"https://doi.org/")),
SUBSTITUTE(
SUBSTITUTE(
SUBSTITUTE(
SUBSTITUTE(
_xlpm.doi,
"/","%2F"),
":","%3A"),
"&lt;","%3C"),
"&gt;","%3E")
)</f>
        <v/>
      </c>
      <c r="J12" s="7" t="n">
        <f>TRIM(_xlfn.TEXTJOIN("_",FALSE(),H12,(SUBSTITUTE(SUBSTITUTE(D12," ",""), "_", ""))))</f>
        <v/>
      </c>
      <c r="K12" s="7" t="n">
        <f>I12 &amp; "_" &amp; SUBSTITUTE(SUBSTITUTE(SUBSTITUTE(D12,CHAR(160),"")," ",""),"_","")</f>
        <v/>
      </c>
      <c r="L12" s="7" t="n">
        <f t="array" ref="L12">IFERROR(INDEX(AUTO_Public_TSV_FileList!$A$1:$A$1000,MATCH(TRUE(),EXACT(K12,IFERROR(_xlfn.TEXTBEFORE(AUTO_Public_TSV_FileList!$A$1:$A$1000,".tsv"),"")),0)),"notfound")</f>
        <v/>
      </c>
      <c r="M12" s="8" t="inlineStr">
        <is>
          <t>Presence/absence matrix showing which primate genera were represented in eight executive-function tasks.</t>
        </is>
      </c>
      <c r="N12" s="37" t="inlineStr">
        <is>
          <t>PDF table</t>
        </is>
      </c>
      <c r="O12" s="8" t="inlineStr">
        <is>
          <t>Useful coverage metadata, not performance values.</t>
        </is>
      </c>
      <c r="Q12" s="8"/>
      <c r="R12" s="8" t="inlineStr">
        <is>
          <t>https://doi.org/10.1037/a0018894</t>
        </is>
      </c>
      <c r="S12" s="8" t="inlineStr">
        <is>
          <t>Source table and interpretation checked against attached PDF</t>
        </is>
      </c>
      <c r="T12" s="8" t="inlineStr">
        <is>
          <t>Verify taxon names and whether values are raw, derived, or model summaries before merge</t>
        </is>
      </c>
      <c r="U12" s="8"/>
      <c r="V12" s="8" t="inlineStr">
        <is>
          <t>comparative cognition</t>
        </is>
      </c>
      <c r="W12" s="37" t="inlineStr">
        <is>
          <t>Primates</t>
        </is>
      </c>
      <c r="X12" s="8" t="inlineStr">
        <is>
          <t>Executive function task coverage</t>
        </is>
      </c>
      <c r="Y12" s="8" t="inlineStr">
        <is>
          <t>Executive function task coverage</t>
        </is>
      </c>
      <c r="Z12" s="8"/>
      <c r="AA12" s="8"/>
      <c r="AB12" s="37" t="inlineStr">
        <is>
          <t>presence/absence</t>
        </is>
      </c>
      <c r="AC12" s="8"/>
      <c r="AD12" s="8"/>
      <c r="AE12" s="37" t="inlineStr">
        <is>
          <t>secondary</t>
        </is>
      </c>
      <c r="AF12" s="37"/>
      <c r="AG12" s="36" t="inlineStr">
        <is>
          <t>Useful sampling metadata only. It identifies taxon/task coverage, not performance scores.</t>
        </is>
      </c>
    </row>
    <row r="13" ht="16" customHeight="1">
      <c r="A13" s="37" t="inlineStr">
        <is>
          <t>Shultz, S., &amp; Dunbar, R. I. M. (2010). Species differences in executive function correlate with hippocampus volume and neocortex ratio across nonhuman primates. Journal of Comparative Psychology, 124(3), 252–260. https://doi.org/10.1037/a0018894</t>
        </is>
      </c>
      <c r="B13" s="8"/>
      <c r="C13" s="8"/>
      <c r="D13" s="37" t="inlineStr">
        <is>
          <t>Table 2</t>
        </is>
      </c>
      <c r="E13" s="7" t="n">
        <f>SUBSTITUTE(SUBSTITUTE(_xlfn.TEXTBEFORE(A13,","), "-", ""), " ", "")</f>
        <v/>
      </c>
      <c r="F13" s="7" t="n">
        <f>_xlfn.LET(
_xlpm.authors,_xlfn.TEXTBEFORE(A13," ("&amp;G13&amp;")"),
_xlpm.hasAmp,ISNUMBER(SEARCH("&amp;",_xlpm.authors)),
_xlpm.commasBeforeAmp,IF(_xlpm.hasAmp,LEN(_xlfn.TEXTBEFORE(_xlpm.authors,"&amp;"))-LEN(SUBSTITUTE(_xlfn.TEXTBEFORE(_xlpm.authors,"&amp;"),",","")),0),
IF(NOT(_xlpm.hasAmp),"",IF(_xlpm.commasBeforeAmp&gt;2,"etal",TRIM(_xlfn.TEXTBEFORE(_xlfn.TEXTAFTER(_xlpm.authors,"&amp; "),","))))
)</f>
        <v/>
      </c>
      <c r="G13" s="7" t="n">
        <f>_xlfn.TEXTBEFORE(_xlfn.TEXTAFTER(A13, "("), ")")</f>
        <v/>
      </c>
      <c r="H13" s="7" t="n">
        <f>E13 &amp; IF(F13&lt;&gt;"", "_" &amp; F13, "_") &amp; IF(G13&lt;&gt;"", "_" &amp; G13, "_") &amp; IF(B13&lt;&gt;"", "_" &amp; B13, "")</f>
        <v/>
      </c>
      <c r="I13" s="7" t="n">
        <f>_xlfn.LET(
_xlpm.doi,IF(C13&lt;&gt;"",C13,_xlfn.TEXTAFTER(A13,"https://doi.org/")),
SUBSTITUTE(
SUBSTITUTE(
SUBSTITUTE(
SUBSTITUTE(
_xlpm.doi,
"/","%2F"),
":","%3A"),
"&lt;","%3C"),
"&gt;","%3E")
)</f>
        <v/>
      </c>
      <c r="J13" s="7" t="n">
        <f>TRIM(_xlfn.TEXTJOIN("_",FALSE(),H13,(SUBSTITUTE(SUBSTITUTE(D13," ",""), "_", ""))))</f>
        <v/>
      </c>
      <c r="K13" s="7" t="n">
        <f>I13 &amp; "_" &amp; SUBSTITUTE(SUBSTITUTE(SUBSTITUTE(D13,CHAR(160),"")," ",""),"_","")</f>
        <v/>
      </c>
      <c r="L13" s="7" t="n">
        <f t="array" ref="L13">IFERROR(INDEX(AUTO_Public_TSV_FileList!$A$1:$A$1000,MATCH(TRUE(),EXACT(K13,IFERROR(_xlfn.TEXTBEFORE(AUTO_Public_TSV_FileList!$A$1:$A$1000,".tsv"),"")),0)),"notfound")</f>
        <v/>
      </c>
      <c r="M13" s="8" t="inlineStr">
        <is>
          <t>Univariate associations between executive-task performance and brain component measures.</t>
        </is>
      </c>
      <c r="N13" s="37" t="inlineStr">
        <is>
          <t>PDF table</t>
        </is>
      </c>
      <c r="O13" s="8" t="inlineStr">
        <is>
          <t>Model summary across tasks.</t>
        </is>
      </c>
      <c r="Q13" s="8"/>
      <c r="R13" s="8" t="inlineStr">
        <is>
          <t>https://doi.org/10.1037/a0018894</t>
        </is>
      </c>
      <c r="S13" s="8" t="inlineStr">
        <is>
          <t>Source table and interpretation checked against attached PDF</t>
        </is>
      </c>
      <c r="T13" s="8" t="inlineStr">
        <is>
          <t>Verify taxon names and whether values are raw, derived, or model summaries before merge</t>
        </is>
      </c>
      <c r="U13" s="8"/>
      <c r="V13" s="8" t="inlineStr">
        <is>
          <t>comparative cognition</t>
        </is>
      </c>
      <c r="W13" s="37" t="inlineStr">
        <is>
          <t>Primates</t>
        </is>
      </c>
      <c r="X13" s="8" t="inlineStr">
        <is>
          <t>Executive function; brain components</t>
        </is>
      </c>
      <c r="Y13" s="8" t="inlineStr">
        <is>
          <t>Executive function; brain components</t>
        </is>
      </c>
      <c r="Z13" s="8"/>
      <c r="AA13" s="8"/>
      <c r="AB13" s="37" t="inlineStr">
        <is>
          <t>slope / F / p / adjusted R-squared</t>
        </is>
      </c>
      <c r="AC13" s="8"/>
      <c r="AD13" s="8"/>
      <c r="AE13" s="37" t="inlineStr">
        <is>
          <t>secondary</t>
        </is>
      </c>
      <c r="AF13" s="37"/>
      <c r="AG13" s="36" t="inlineStr">
        <is>
          <t>Useful correlation summary. No species-level observations.</t>
        </is>
      </c>
    </row>
    <row r="14" ht="16" customHeight="1">
      <c r="A14" s="37" t="inlineStr">
        <is>
          <t>Shultz, S., &amp; Dunbar, R. I. M. (2010). Species differences in executive function correlate with hippocampus volume and neocortex ratio across nonhuman primates. Journal of Comparative Psychology, 124(3), 252–260. https://doi.org/10.1037/a0018894</t>
        </is>
      </c>
      <c r="B14" s="8"/>
      <c r="C14" s="8"/>
      <c r="D14" s="37" t="inlineStr">
        <is>
          <t>Table 3</t>
        </is>
      </c>
      <c r="E14" s="7" t="n">
        <f>SUBSTITUTE(SUBSTITUTE(_xlfn.TEXTBEFORE(A14,","), "-", ""), " ", "")</f>
        <v/>
      </c>
      <c r="F14" s="7" t="n">
        <f>_xlfn.LET(
_xlpm.authors,_xlfn.TEXTBEFORE(A14," ("&amp;G14&amp;")"),
_xlpm.hasAmp,ISNUMBER(SEARCH("&amp;",_xlpm.authors)),
_xlpm.commasBeforeAmp,IF(_xlpm.hasAmp,LEN(_xlfn.TEXTBEFORE(_xlpm.authors,"&amp;"))-LEN(SUBSTITUTE(_xlfn.TEXTBEFORE(_xlpm.authors,"&amp;"),",","")),0),
IF(NOT(_xlpm.hasAmp),"",IF(_xlpm.commasBeforeAmp&gt;2,"etal",TRIM(_xlfn.TEXTBEFORE(_xlfn.TEXTAFTER(_xlpm.authors,"&amp; "),","))))
)</f>
        <v/>
      </c>
      <c r="G14" s="7" t="n">
        <f>_xlfn.TEXTBEFORE(_xlfn.TEXTAFTER(A14, "("), ")")</f>
        <v/>
      </c>
      <c r="H14" s="7" t="n">
        <f>E14 &amp; IF(F14&lt;&gt;"", "_" &amp; F14, "_") &amp; IF(G14&lt;&gt;"", "_" &amp; G14, "_") &amp; IF(B14&lt;&gt;"", "_" &amp; B14, "")</f>
        <v/>
      </c>
      <c r="I14" s="7" t="n">
        <f>_xlfn.LET(
_xlpm.doi,IF(C14&lt;&gt;"",C14,_xlfn.TEXTAFTER(A14,"https://doi.org/")),
SUBSTITUTE(
SUBSTITUTE(
SUBSTITUTE(
SUBSTITUTE(
_xlpm.doi,
"/","%2F"),
":","%3A"),
"&lt;","%3C"),
"&gt;","%3E")
)</f>
        <v/>
      </c>
      <c r="J14" s="7" t="n">
        <f>TRIM(_xlfn.TEXTJOIN("_",FALSE(),H14,(SUBSTITUTE(SUBSTITUTE(D14," ",""), "_", ""))))</f>
        <v/>
      </c>
      <c r="K14" s="7" t="n">
        <f>I14 &amp; "_" &amp; SUBSTITUTE(SUBSTITUTE(SUBSTITUTE(D14,CHAR(160),"")," ",""),"_","")</f>
        <v/>
      </c>
      <c r="L14" s="7" t="n">
        <f t="array" ref="L14">IFERROR(INDEX(AUTO_Public_TSV_FileList!$A$1:$A$1000,MATCH(TRUE(),EXACT(K14,IFERROR(_xlfn.TEXTBEFORE(AUTO_Public_TSV_FileList!$A$1:$A$1000,".tsv"),"")),0)),"notfound")</f>
        <v/>
      </c>
      <c r="M14" s="8" t="inlineStr">
        <is>
          <t>Best multivariate models relating executive performance to hippocampus, neocortex ratio, and brain measures.</t>
        </is>
      </c>
      <c r="N14" s="37" t="inlineStr">
        <is>
          <t>PDF table</t>
        </is>
      </c>
      <c r="O14" s="8" t="inlineStr">
        <is>
          <t>Model summary across tasks.</t>
        </is>
      </c>
      <c r="Q14" s="8"/>
      <c r="R14" s="8" t="inlineStr">
        <is>
          <t>https://doi.org/10.1037/a0018894</t>
        </is>
      </c>
      <c r="S14" s="8" t="inlineStr">
        <is>
          <t>Source table and interpretation checked against attached PDF</t>
        </is>
      </c>
      <c r="T14" s="8" t="inlineStr">
        <is>
          <t>Verify taxon names and whether values are raw, derived, or model summaries before merge</t>
        </is>
      </c>
      <c r="U14" s="8"/>
      <c r="V14" s="8" t="inlineStr">
        <is>
          <t>comparative cognition</t>
        </is>
      </c>
      <c r="W14" s="37" t="inlineStr">
        <is>
          <t>Primates</t>
        </is>
      </c>
      <c r="X14" s="8" t="inlineStr">
        <is>
          <t>Executive function; hippocampus; neocortex; brain size</t>
        </is>
      </c>
      <c r="Y14" s="8" t="inlineStr">
        <is>
          <t>Executive function; hippocampus; neocortex; brain size</t>
        </is>
      </c>
      <c r="Z14" s="8"/>
      <c r="AA14" s="8"/>
      <c r="AB14" s="37" t="inlineStr">
        <is>
          <t>model coefficients / BIC / weight</t>
        </is>
      </c>
      <c r="AC14" s="8"/>
      <c r="AD14" s="8"/>
      <c r="AE14" s="37" t="inlineStr">
        <is>
          <t>secondary</t>
        </is>
      </c>
      <c r="AF14" s="37"/>
      <c r="AG14" s="36" t="inlineStr">
        <is>
          <t>Useful model evidence. No species rows.</t>
        </is>
      </c>
    </row>
    <row r="15" ht="16" customHeight="1">
      <c r="A15" s="37" t="inlineStr">
        <is>
          <t>Shultz, S., &amp; Dunbar, R. I. M. (2010). Species differences in executive function correlate with hippocampus volume and neocortex ratio across nonhuman primates. Journal of Comparative Psychology, 124(3), 252–260. https://doi.org/10.1037/a0018894</t>
        </is>
      </c>
      <c r="B15" s="8"/>
      <c r="C15" s="8"/>
      <c r="D15" s="37" t="inlineStr">
        <is>
          <t>Table 4</t>
        </is>
      </c>
      <c r="E15" s="7" t="n">
        <f>SUBSTITUTE(SUBSTITUTE(_xlfn.TEXTBEFORE(A15,","), "-", ""), " ", "")</f>
        <v/>
      </c>
      <c r="F15" s="7" t="n">
        <f>_xlfn.LET(
_xlpm.authors,_xlfn.TEXTBEFORE(A15," ("&amp;G15&amp;")"),
_xlpm.hasAmp,ISNUMBER(SEARCH("&amp;",_xlpm.authors)),
_xlpm.commasBeforeAmp,IF(_xlpm.hasAmp,LEN(_xlfn.TEXTBEFORE(_xlpm.authors,"&amp;"))-LEN(SUBSTITUTE(_xlfn.TEXTBEFORE(_xlpm.authors,"&amp;"),",","")),0),
IF(NOT(_xlpm.hasAmp),"",IF(_xlpm.commasBeforeAmp&gt;2,"etal",TRIM(_xlfn.TEXTBEFORE(_xlfn.TEXTAFTER(_xlpm.authors,"&amp; "),","))))
)</f>
        <v/>
      </c>
      <c r="G15" s="7" t="n">
        <f>_xlfn.TEXTBEFORE(_xlfn.TEXTAFTER(A15, "("), ")")</f>
        <v/>
      </c>
      <c r="H15" s="7" t="n">
        <f>E15 &amp; IF(F15&lt;&gt;"", "_" &amp; F15, "_") &amp; IF(G15&lt;&gt;"", "_" &amp; G15, "_") &amp; IF(B15&lt;&gt;"", "_" &amp; B15, "")</f>
        <v/>
      </c>
      <c r="I15" s="7" t="n">
        <f>_xlfn.LET(
_xlpm.doi,IF(C15&lt;&gt;"",C15,_xlfn.TEXTAFTER(A15,"https://doi.org/")),
SUBSTITUTE(
SUBSTITUTE(
SUBSTITUTE(
SUBSTITUTE(
_xlpm.doi,
"/","%2F"),
":","%3A"),
"&lt;","%3C"),
"&gt;","%3E")
)</f>
        <v/>
      </c>
      <c r="J15" s="7" t="n">
        <f>TRIM(_xlfn.TEXTJOIN("_",FALSE(),H15,(SUBSTITUTE(SUBSTITUTE(D15," ",""), "_", ""))))</f>
        <v/>
      </c>
      <c r="K15" s="7" t="n">
        <f>I15 &amp; "_" &amp; SUBSTITUTE(SUBSTITUTE(SUBSTITUTE(D15,CHAR(160),"")," ",""),"_","")</f>
        <v/>
      </c>
      <c r="L15" s="7" t="n">
        <f t="array" ref="L15">IFERROR(INDEX(AUTO_Public_TSV_FileList!$A$1:$A$1000,MATCH(TRUE(),EXACT(K15,IFERROR(_xlfn.TEXTBEFORE(AUTO_Public_TSV_FileList!$A$1:$A$1000,".tsv"),"")),0)),"notfound")</f>
        <v/>
      </c>
      <c r="M15" s="8" t="inlineStr">
        <is>
          <t>Task-specific correlation coefficients between performance and brain-size measures.</t>
        </is>
      </c>
      <c r="N15" s="37" t="inlineStr">
        <is>
          <t>PDF table</t>
        </is>
      </c>
      <c r="O15" s="8" t="inlineStr">
        <is>
          <t>Comparative task-level summary, not species rows.</t>
        </is>
      </c>
      <c r="Q15" s="8"/>
      <c r="R15" s="8" t="inlineStr">
        <is>
          <t>https://doi.org/10.1037/a0018894</t>
        </is>
      </c>
      <c r="S15" s="8" t="inlineStr">
        <is>
          <t>Source table and interpretation checked against attached PDF</t>
        </is>
      </c>
      <c r="T15" s="8" t="inlineStr">
        <is>
          <t>Verify taxon names and whether values are raw, derived, or model summaries before merge</t>
        </is>
      </c>
      <c r="U15" s="8"/>
      <c r="V15" s="8" t="inlineStr">
        <is>
          <t>comparative cognition</t>
        </is>
      </c>
      <c r="W15" s="37" t="inlineStr">
        <is>
          <t>Primates</t>
        </is>
      </c>
      <c r="X15" s="8" t="inlineStr">
        <is>
          <t>Executive tasks; brain components</t>
        </is>
      </c>
      <c r="Y15" s="8" t="inlineStr">
        <is>
          <t>Executive tasks; brain components</t>
        </is>
      </c>
      <c r="Z15" s="8"/>
      <c r="AA15" s="8"/>
      <c r="AB15" s="37" t="inlineStr">
        <is>
          <t>correlation coefficient</t>
        </is>
      </c>
      <c r="AC15" s="8"/>
      <c r="AD15" s="8"/>
      <c r="AE15" s="37" t="inlineStr">
        <is>
          <t>secondary</t>
        </is>
      </c>
      <c r="AF15" s="37"/>
      <c r="AG15" s="36" t="inlineStr">
        <is>
          <t>Useful model evidence. No species rows.</t>
        </is>
      </c>
    </row>
    <row r="16" ht="16" customHeight="1">
      <c r="A16" s="37" t="inlineStr">
        <is>
          <t>Shultz, S., &amp; Dunbar, R. I. M. (2010). Species differences in executive function correlate with hippocampus volume and neocortex ratio across nonhuman primates. Journal of Comparative Psychology, 124(3), 252–260. https://doi.org/10.1037/a0018894</t>
        </is>
      </c>
      <c r="B16" s="8"/>
      <c r="C16" s="8"/>
      <c r="D16" s="37" t="inlineStr">
        <is>
          <t>Table 5</t>
        </is>
      </c>
      <c r="E16" s="7" t="n">
        <f>SUBSTITUTE(SUBSTITUTE(_xlfn.TEXTBEFORE(A16,","), "-", ""), " ", "")</f>
        <v/>
      </c>
      <c r="F16" s="7" t="n">
        <f>_xlfn.LET(
_xlpm.authors,_xlfn.TEXTBEFORE(A16," ("&amp;G16&amp;")"),
_xlpm.hasAmp,ISNUMBER(SEARCH("&amp;",_xlpm.authors)),
_xlpm.commasBeforeAmp,IF(_xlpm.hasAmp,LEN(_xlfn.TEXTBEFORE(_xlpm.authors,"&amp;"))-LEN(SUBSTITUTE(_xlfn.TEXTBEFORE(_xlpm.authors,"&amp;"),",","")),0),
IF(NOT(_xlpm.hasAmp),"",IF(_xlpm.commasBeforeAmp&gt;2,"etal",TRIM(_xlfn.TEXTBEFORE(_xlfn.TEXTAFTER(_xlpm.authors,"&amp; "),","))))
)</f>
        <v/>
      </c>
      <c r="G16" s="7" t="n">
        <f>_xlfn.TEXTBEFORE(_xlfn.TEXTAFTER(A16, "("), ")")</f>
        <v/>
      </c>
      <c r="H16" s="7" t="n">
        <f>E16 &amp; IF(F16&lt;&gt;"", "_" &amp; F16, "_") &amp; IF(G16&lt;&gt;"", "_" &amp; G16, "_") &amp; IF(B16&lt;&gt;"", "_" &amp; B16, "")</f>
        <v/>
      </c>
      <c r="I16" s="7" t="n">
        <f>_xlfn.LET(
_xlpm.doi,IF(C16&lt;&gt;"",C16,_xlfn.TEXTAFTER(A16,"https://doi.org/")),
SUBSTITUTE(
SUBSTITUTE(
SUBSTITUTE(
SUBSTITUTE(
_xlpm.doi,
"/","%2F"),
":","%3A"),
"&lt;","%3C"),
"&gt;","%3E")
)</f>
        <v/>
      </c>
      <c r="J16" s="7" t="n">
        <f>TRIM(_xlfn.TEXTJOIN("_",FALSE(),H16,(SUBSTITUTE(SUBSTITUTE(D16," ",""), "_", ""))))</f>
        <v/>
      </c>
      <c r="K16" s="7" t="n">
        <f>I16 &amp; "_" &amp; SUBSTITUTE(SUBSTITUTE(SUBSTITUTE(D16,CHAR(160),"")," ",""),"_","")</f>
        <v/>
      </c>
      <c r="L16" s="7" t="n">
        <f t="array" ref="L16">IFERROR(INDEX(AUTO_Public_TSV_FileList!$A$1:$A$1000,MATCH(TRUE(),EXACT(K16,IFERROR(_xlfn.TEXTBEFORE(AUTO_Public_TSV_FileList!$A$1:$A$1000,".tsv"),"")),0)),"notfound")</f>
        <v/>
      </c>
      <c r="M16" s="8" t="inlineStr">
        <is>
          <t>Task-by-task model comparison using BIC for alternative brain measures.</t>
        </is>
      </c>
      <c r="N16" s="37" t="inlineStr">
        <is>
          <t>PDF table</t>
        </is>
      </c>
      <c r="O16" s="8" t="inlineStr">
        <is>
          <t>Model comparison summary.</t>
        </is>
      </c>
      <c r="Q16" s="8"/>
      <c r="R16" s="8" t="inlineStr">
        <is>
          <t>https://doi.org/10.1037/a0018894</t>
        </is>
      </c>
      <c r="S16" s="8" t="inlineStr">
        <is>
          <t>Source table and interpretation checked against attached PDF</t>
        </is>
      </c>
      <c r="T16" s="8" t="inlineStr">
        <is>
          <t>Verify taxon names and whether values are raw, derived, or model summaries before merge</t>
        </is>
      </c>
      <c r="U16" s="8"/>
      <c r="V16" s="8" t="inlineStr">
        <is>
          <t>comparative cognition</t>
        </is>
      </c>
      <c r="W16" s="37" t="inlineStr">
        <is>
          <t>Primates</t>
        </is>
      </c>
      <c r="X16" s="8" t="inlineStr">
        <is>
          <t>Executive tasks; brain components</t>
        </is>
      </c>
      <c r="Y16" s="8" t="inlineStr">
        <is>
          <t>Executive tasks; brain components</t>
        </is>
      </c>
      <c r="Z16" s="8"/>
      <c r="AA16" s="8"/>
      <c r="AB16" s="37" t="inlineStr">
        <is>
          <t>BIC</t>
        </is>
      </c>
      <c r="AC16" s="8"/>
      <c r="AD16" s="8"/>
      <c r="AE16" s="37" t="inlineStr">
        <is>
          <t>secondary</t>
        </is>
      </c>
      <c r="AF16" s="37"/>
      <c r="AG16" s="36" t="inlineStr">
        <is>
          <t>Model-selection metadata only.</t>
        </is>
      </c>
    </row>
    <row r="17" ht="16" customHeight="1">
      <c r="A17" s="39" t="inlineStr">
        <is>
          <t>Weaver, A. H. (2005). Reciprocal evolution of the cerebellum and neocortex in fossil humans. Proc Natl Acad Sci U S A, 102(10), 3576-3580. https://doi.org/10.1073/pnas.0500692102</t>
        </is>
      </c>
      <c r="C17" s="39"/>
      <c r="D17" s="39"/>
      <c r="E17" s="10" t="n">
        <f>SUBSTITUTE(SUBSTITUTE(_xlfn.TEXTBEFORE(A17,","), "-", ""), " ", "")</f>
        <v/>
      </c>
      <c r="F17" s="10" t="n">
        <f>_xlfn.LET(
_xlpm.authors,_xlfn.TEXTBEFORE(A17," ("&amp;G17&amp;")"),
_xlpm.hasAmp,ISNUMBER(SEARCH("&amp;",_xlpm.authors)),
_xlpm.commasBeforeAmp,IF(_xlpm.hasAmp,LEN(_xlfn.TEXTBEFORE(_xlpm.authors,"&amp;"))-LEN(SUBSTITUTE(_xlfn.TEXTBEFORE(_xlpm.authors,"&amp;"),",","")),0),
IF(NOT(_xlpm.hasAmp),"",IF(_xlpm.commasBeforeAmp&gt;2,"etal",TRIM(_xlfn.TEXTBEFORE(_xlfn.TEXTAFTER(_xlpm.authors,"&amp; "),","))))
)</f>
        <v/>
      </c>
      <c r="G17" s="10" t="n">
        <f>_xlfn.TEXTBEFORE(_xlfn.TEXTAFTER(A17, "("), ")")</f>
        <v/>
      </c>
      <c r="H17" s="10" t="n">
        <f>E17 &amp; IF(F17&lt;&gt;"", "_" &amp; F17, "_") &amp; IF(G17&lt;&gt;"", "_" &amp; G17, "_") &amp; IF(B17&lt;&gt;"", "_" &amp; B17, "")</f>
        <v/>
      </c>
      <c r="I17" s="10" t="n">
        <f>_xlfn.LET(
_xlpm.doi,IF(C17&lt;&gt;"",C17,_xlfn.TEXTAFTER(A17,"https://doi.org/")),
SUBSTITUTE(
SUBSTITUTE(
SUBSTITUTE(
SUBSTITUTE(
_xlpm.doi,
"/","%2F"),
":","%3A"),
"&lt;","%3C"),
"&gt;","%3E")
)</f>
        <v/>
      </c>
      <c r="J17" s="10" t="n">
        <f>TRIM(_xlfn.TEXTJOIN("_",FALSE(),H17,(SUBSTITUTE(SUBSTITUTE(D17," ",""), "_", ""))))</f>
        <v/>
      </c>
      <c r="K17" s="10" t="n">
        <f>I17 &amp; "_" &amp; SUBSTITUTE(SUBSTITUTE(SUBSTITUTE(D17,CHAR(160),"")," ",""),"_","")</f>
        <v/>
      </c>
      <c r="L17" s="10" t="n">
        <f t="array" ref="L17">IFERROR(INDEX(AUTO_Public_TSV_FileList!$A$1:$A$1000,MATCH(TRUE(),EXACT(K17,IFERROR(_xlfn.TEXTBEFORE(AUTO_Public_TSV_FileList!$A$1:$A$1000,".tsv"),"")),0)),"notfound")</f>
        <v/>
      </c>
      <c r="M17" s="39"/>
      <c r="O17" s="39" t="inlineStr">
        <is>
          <t>no new extractable data table; quantitative content is derived from or reuses Weaver 2001 data already built in this repository. Retained to prevent duplicate work.</t>
        </is>
      </c>
      <c r="P17" s="36"/>
    </row>
    <row r="18" ht="16" customHeight="1">
      <c r="A18" t="inlineStr">
        <is>
          <t>Smaers, J. B., Mulvaney, P. I., Soligo, C., Zilles, K., &amp; Amunts, K. (2012). Sexual dimorphism and laterality in the evolution of the primate prefrontal cortex. Brain, Behavior and Evolution, 79(3), 205–212. https://doi.org/10.1159/000336115</t>
        </is>
      </c>
      <c r="E18" s="10" t="n">
        <f>SUBSTITUTE(SUBSTITUTE(_xlfn.TEXTBEFORE(A18,","), "-", ""), " ", "")</f>
        <v/>
      </c>
      <c r="F18" s="10" t="n">
        <f>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
      </c>
      <c r="G18" s="10" t="n">
        <f>_xlfn.TEXTBEFORE(_xlfn.TEXTAFTER(A18, "("), ")")</f>
        <v/>
      </c>
      <c r="H18" s="10" t="n">
        <f>E18 &amp; IF(F18&lt;&gt;"", "_" &amp; F18, "_") &amp; IF(G18&lt;&gt;"", "_" &amp; G18, "_") &amp; IF(B18&lt;&gt;"", "_" &amp; B18, "")</f>
        <v/>
      </c>
      <c r="I18" s="10" t="n">
        <f>_xlfn.LET(
_xlpm.doi,IF(C18&lt;&gt;"",C18,_xlfn.TEXTAFTER(A18,"https://doi.org/")),
SUBSTITUTE(
SUBSTITUTE(
SUBSTITUTE(
SUBSTITUTE(
_xlpm.doi,
"/","%2F"),
":","%3A"),
"&lt;","%3C"),
"&gt;","%3E")
)</f>
        <v/>
      </c>
      <c r="J18" s="10" t="n">
        <f>TRIM(_xlfn.TEXTJOIN("_",FALSE(),H18,(SUBSTITUTE(SUBSTITUTE(D18," ",""), "_", ""))))</f>
        <v/>
      </c>
      <c r="K18" s="10" t="n">
        <f>I18 &amp; "_" &amp; SUBSTITUTE(SUBSTITUTE(SUBSTITUTE(D18,CHAR(160),"")," ",""),"_","")</f>
        <v/>
      </c>
      <c r="L18" s="10" t="n">
        <f t="array" ref="L18">IFERROR(INDEX(AUTO_Public_TSV_FileList!$A$1:$A$1000,MATCH(TRUE(),EXACT(K18,IFERROR(_xlfn.TEXTBEFORE(AUTO_Public_TSV_FileList!$A$1:$A$1000,".tsv"),"")),0)),"notfound")</f>
        <v/>
      </c>
      <c r="O18" s="39" t="inlineStr">
        <is>
          <t>no new extractable data table; quantitative content is derived from or reuses Weaver 2001 data already built in this repository. Retained to prevent duplicate work.</t>
        </is>
      </c>
    </row>
    <row r="19" ht="16" customHeight="1">
      <c r="A19" t="inlineStr">
        <is>
          <t>Armstrong, E., Zilles, K., Schlaug, G., &amp; Schleicher, A. (1986). Comparative aspects of the primate posterior cingulate cortex. Journal of Comparative Neurology, 253(4), 539–548.</t>
        </is>
      </c>
      <c r="E19" s="10" t="n">
        <f>SUBSTITUTE(SUBSTITUTE(_xlfn.TEXTBEFORE(A19,","), "-", ""), " ", "")</f>
        <v/>
      </c>
      <c r="F19" s="10" t="n">
        <f>_xlfn.LET(
_xlpm.authors,_xlfn.TEXTBEFORE(A19," ("&amp;G19&amp;")"),
_xlpm.hasAmp,ISNUMBER(SEARCH("&amp;",_xlpm.authors)),
_xlpm.commasBeforeAmp,IF(_xlpm.hasAmp,LEN(_xlfn.TEXTBEFORE(_xlpm.authors,"&amp;"))-LEN(SUBSTITUTE(_xlfn.TEXTBEFORE(_xlpm.authors,"&amp;"),",","")),0),
IF(NOT(_xlpm.hasAmp),"",IF(_xlpm.commasBeforeAmp&gt;2,"etal",TRIM(_xlfn.TEXTBEFORE(_xlfn.TEXTAFTER(_xlpm.authors,"&amp; "),","))))
)</f>
        <v/>
      </c>
      <c r="G19" s="10" t="n">
        <f>_xlfn.TEXTBEFORE(_xlfn.TEXTAFTER(A19, "("), ")")</f>
        <v/>
      </c>
      <c r="H19" s="10" t="n">
        <f>E19 &amp; IF(F19&lt;&gt;"", "_" &amp; F19, "_") &amp; IF(G19&lt;&gt;"", "_" &amp; G19, "_") &amp; IF(B19&lt;&gt;"", "_" &amp; B19, "")</f>
        <v/>
      </c>
      <c r="I19" s="10" t="n">
        <f>_xlfn.LET(
_xlpm.doi,IF(C19&lt;&gt;"",C19,_xlfn.TEXTAFTER(A19,"https://doi.org/")),
SUBSTITUTE(
SUBSTITUTE(
SUBSTITUTE(
SUBSTITUTE(
_xlpm.doi,
"/","%2F"),
":","%3A"),
"&lt;","%3C"),
"&gt;","%3E")
)</f>
        <v/>
      </c>
      <c r="J19" s="10" t="n">
        <f>TRIM(_xlfn.TEXTJOIN("_",FALSE(),H19,(SUBSTITUTE(SUBSTITUTE(D19," ",""), "_", ""))))</f>
        <v/>
      </c>
      <c r="K19" s="10" t="n">
        <f>I19 &amp; "_" &amp; SUBSTITUTE(SUBSTITUTE(SUBSTITUTE(D19,CHAR(160),"")," ",""),"_","")</f>
        <v/>
      </c>
      <c r="L19" s="10" t="n">
        <f t="array" ref="L19">IFERROR(INDEX(AUTO_Public_TSV_FileList!$A$1:$A$1000,MATCH(TRUE(),EXACT(K19,IFERROR(_xlfn.TEXTBEFORE(AUTO_Public_TSV_FileList!$A$1:$A$1000,".tsv"),"")),0)),"notfound")</f>
        <v/>
      </c>
      <c r="O19" s="39" t="inlineStr">
        <is>
          <t>no new extractable data table; quantitative content is derived from or reuses Weaver 2001 data already built in this repository. Retained to prevent duplicate work.</t>
        </is>
      </c>
    </row>
    <row r="20" ht="16" customHeight="1">
      <c r="A20" t="inlineStr">
        <is>
          <t>Pirlot, P. (1987). Contemporary brain morphology in ecological and ethological perspectives. Journal für Hirnforschung, 28(2), 145–211.</t>
        </is>
      </c>
      <c r="E20" s="10" t="n">
        <f>SUBSTITUTE(SUBSTITUTE(_xlfn.TEXTBEFORE(A20,","), "-", ""), " ", "")</f>
        <v/>
      </c>
      <c r="F20" s="10" t="n">
        <f>_xlfn.LET(
_xlpm.authors,_xlfn.TEXTBEFORE(A20," ("&amp;G20&amp;")"),
_xlpm.hasAmp,ISNUMBER(SEARCH("&amp;",_xlpm.authors)),
_xlpm.commasBeforeAmp,IF(_xlpm.hasAmp,LEN(_xlfn.TEXTBEFORE(_xlpm.authors,"&amp;"))-LEN(SUBSTITUTE(_xlfn.TEXTBEFORE(_xlpm.authors,"&amp;"),",","")),0),
IF(NOT(_xlpm.hasAmp),"",IF(_xlpm.commasBeforeAmp&gt;2,"etal",TRIM(_xlfn.TEXTBEFORE(_xlfn.TEXTAFTER(_xlpm.authors,"&amp; "),","))))
)</f>
        <v/>
      </c>
      <c r="G20" s="10" t="n">
        <f>_xlfn.TEXTBEFORE(_xlfn.TEXTAFTER(A20, "("), ")")</f>
        <v/>
      </c>
      <c r="H20" s="10" t="n">
        <f>E20 &amp; IF(F20&lt;&gt;"", "_" &amp; F20, "_") &amp; IF(G20&lt;&gt;"", "_" &amp; G20, "_") &amp; IF(B20&lt;&gt;"", "_" &amp; B20, "")</f>
        <v/>
      </c>
      <c r="I20" s="10" t="n">
        <f>_xlfn.LET(
_xlpm.doi,IF(C20&lt;&gt;"",C20,_xlfn.TEXTAFTER(A20,"https://doi.org/")),
SUBSTITUTE(
SUBSTITUTE(
SUBSTITUTE(
SUBSTITUTE(
_xlpm.doi,
"/","%2F"),
":","%3A"),
"&lt;","%3C"),
"&gt;","%3E")
)</f>
        <v/>
      </c>
      <c r="J20" s="10" t="n">
        <f>TRIM(_xlfn.TEXTJOIN("_",FALSE(),H20,(SUBSTITUTE(SUBSTITUTE(D20," ",""), "_", ""))))</f>
        <v/>
      </c>
      <c r="K20" s="10" t="n">
        <f>I20 &amp; "_" &amp; SUBSTITUTE(SUBSTITUTE(SUBSTITUTE(D20,CHAR(160),"")," ",""),"_","")</f>
        <v/>
      </c>
      <c r="L20" s="10" t="n">
        <f t="array" ref="L20">IFERROR(INDEX(AUTO_Public_TSV_FileList!$A$1:$A$1000,MATCH(TRUE(),EXACT(K20,IFERROR(_xlfn.TEXTBEFORE(AUTO_Public_TSV_FileList!$A$1:$A$1000,".tsv"),"")),0)),"notfound")</f>
        <v/>
      </c>
      <c r="O20" s="38" t="inlineStr">
        <is>
          <t>not raw data</t>
        </is>
      </c>
    </row>
    <row r="21" ht="16" customHeight="1">
      <c r="A21" t="inlineStr">
        <is>
          <t>Kamiya, T., &amp; Pirlot, P. (1988). The brain of the Malayan bear (Helarctos malayanus). Zeitschrift für Zoologische Systematik und Evolutionsforschung, 26(3), 225–235. https://doi.org/10.1111/j.1439-0469.1988.tb00312.x</t>
        </is>
      </c>
      <c r="E21" s="11" t="n">
        <f>SUBSTITUTE(SUBSTITUTE(_xlfn.TEXTBEFORE(A21,","), "-", ""), " ", "")</f>
        <v/>
      </c>
      <c r="F21" s="10" t="n">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 s="10" t="n">
        <f>_xlfn.TEXTBEFORE(_xlfn.TEXTAFTER(A21, "("), ")")</f>
        <v/>
      </c>
      <c r="H21" s="11" t="n">
        <f>E21 &amp; IF(F21&lt;&gt;"", "_" &amp; F21, "_") &amp; IF(G21&lt;&gt;"", "_" &amp; G21, "_") &amp; IF(B21&lt;&gt;"", "_" &amp; B21, "")</f>
        <v/>
      </c>
      <c r="I21" s="11" t="n">
        <f>_xlfn.LET(_xlpm.doi,IF(C21&lt;&gt;"",C21,_xlfn.TEXTAFTER(A21,"https://doi.org/")),SUBSTITUTE(SUBSTITUTE(SUBSTITUTE(SUBSTITUTE(_xlpm.doi,"/","%2F"),":","%3A"),"&lt;","%3C"),"&gt;","%3E"))</f>
        <v/>
      </c>
      <c r="J21" s="11" t="n">
        <f>TRIM(_xlfn.TEXTJOIN("_",FALSE(),H21,(SUBSTITUTE(SUBSTITUTE(D21," ",""), "_", ""))))</f>
        <v/>
      </c>
      <c r="K21" s="10" t="n">
        <f>I21 &amp; "_" &amp; SUBSTITUTE(SUBSTITUTE(SUBSTITUTE(D21,CHAR(160),"")," ",""),"_","")</f>
        <v/>
      </c>
      <c r="L21" s="10" t="n">
        <f t="array" ref="L21">IFERROR(INDEX(AUTO_Public_TSV_FileList!$A$1:$A$1000,MATCH(TRUE(),EXACT(K21,IFERROR(_xlfn.TEXTBEFORE(AUTO_Public_TSV_FileList!$A$1:$A$1000,".tsv"),"")),0)),"notfound")</f>
        <v/>
      </c>
      <c r="O21" s="38" t="inlineStr">
        <is>
          <t>not raw data</t>
        </is>
      </c>
    </row>
    <row r="22" ht="16" customHeight="1">
      <c r="A22" t="inlineStr">
        <is>
          <t>Pirlot, P. (1974). Size and activity of brain structures. Zeitschrift für Zoologische Systematik und Evolutionsforschung, 12(1), 152–155. https://doi.org/10.1111/j.1439-0469.1974.tb00162.x</t>
        </is>
      </c>
      <c r="E22" s="11" t="n">
        <f>SUBSTITUTE(SUBSTITUTE(_xlfn.TEXTBEFORE(A22,","), "-", ""), " ", "")</f>
        <v/>
      </c>
      <c r="F22" s="10" t="n">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10" t="n">
        <f>_xlfn.TEXTBEFORE(_xlfn.TEXTAFTER(A22, "("), ")")</f>
        <v/>
      </c>
      <c r="H22" s="11" t="n">
        <f>E22 &amp; IF(F22&lt;&gt;"", "_" &amp; F22, "_") &amp; IF(G22&lt;&gt;"", "_" &amp; G22, "_") &amp; IF(B22&lt;&gt;"", "_" &amp; B22, "")</f>
        <v/>
      </c>
      <c r="I22" s="11" t="n">
        <f>_xlfn.LET(_xlpm.doi,IF(C22&lt;&gt;"",C22,_xlfn.TEXTAFTER(A22,"https://doi.org/")),SUBSTITUTE(SUBSTITUTE(SUBSTITUTE(SUBSTITUTE(_xlpm.doi,"/","%2F"),":","%3A"),"&lt;","%3C"),"&gt;","%3E"))</f>
        <v/>
      </c>
      <c r="J22" s="11" t="n">
        <f>TRIM(_xlfn.TEXTJOIN("_",FALSE(),H22,(SUBSTITUTE(SUBSTITUTE(D22," ",""), "_", ""))))</f>
        <v/>
      </c>
      <c r="K22" s="10" t="n">
        <f>I22 &amp; "_" &amp; SUBSTITUTE(SUBSTITUTE(SUBSTITUTE(D22,CHAR(160),"")," ",""),"_","")</f>
        <v/>
      </c>
      <c r="L22" s="10" t="n">
        <f t="array" ref="L22">IFERROR(INDEX(AUTO_Public_TSV_FileList!$A$1:$A$1000,MATCH(TRUE(),EXACT(K22,IFERROR(_xlfn.TEXTBEFORE(AUTO_Public_TSV_FileList!$A$1:$A$1000,".tsv"),"")),0)),"notfound")</f>
        <v/>
      </c>
      <c r="O22" s="38" t="inlineStr">
        <is>
          <t>no data</t>
        </is>
      </c>
    </row>
    <row r="23" ht="16" customHeight="1">
      <c r="A23" t="inlineStr">
        <is>
          <t>Jolicoeur, P., Pirlot, P., Baron, G., &amp; Stephan, H. (1984). Brain structure and correlation patterns in Insectivora, Chiroptera, and Primates. Systematic Zoology, 33(1), 14–29.</t>
        </is>
      </c>
      <c r="E23" s="10" t="n">
        <f>SUBSTITUTE(SUBSTITUTE(_xlfn.TEXTBEFORE(A23,","), "-", ""), " ", "")</f>
        <v/>
      </c>
      <c r="F23" s="10" t="n">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
      </c>
      <c r="G23" s="10" t="n">
        <f>_xlfn.TEXTBEFORE(_xlfn.TEXTAFTER(A23, "("), ")")</f>
        <v/>
      </c>
      <c r="H23" s="10" t="n">
        <f>E23 &amp; IF(F23&lt;&gt;"", "_" &amp; F23, "_") &amp; IF(G23&lt;&gt;"", "_" &amp; G23, "_") &amp; IF(B23&lt;&gt;"", "_" &amp; B23, "")</f>
        <v/>
      </c>
      <c r="I23" s="10" t="n">
        <f>_xlfn.LET(
_xlpm.doi,IF(C23&lt;&gt;"",C23,_xlfn.TEXTAFTER(A23,"https://doi.org/")),
SUBSTITUTE(
SUBSTITUTE(
SUBSTITUTE(
SUBSTITUTE(
_xlpm.doi,
"/","%2F"),
":","%3A"),
"&lt;","%3C"),
"&gt;","%3E")
)</f>
        <v/>
      </c>
      <c r="J23" s="10" t="n">
        <f>TRIM(_xlfn.TEXTJOIN("_",FALSE(),H23,(SUBSTITUTE(SUBSTITUTE(D23," ",""), "_", ""))))</f>
        <v/>
      </c>
      <c r="K23" s="10" t="n">
        <f>I23 &amp; "_" &amp; SUBSTITUTE(SUBSTITUTE(SUBSTITUTE(D23,CHAR(160),"")," ",""),"_","")</f>
        <v/>
      </c>
      <c r="L23" s="10" t="n">
        <f t="array" ref="L23">IFERROR(INDEX(AUTO_Public_TSV_FileList!$A$1:$A$1000,MATCH(TRUE(),EXACT(K23,IFERROR(_xlfn.TEXTBEFORE(AUTO_Public_TSV_FileList!$A$1:$A$1000,".tsv"),"")),0)),"notfound")</f>
        <v/>
      </c>
      <c r="O23" s="38" t="inlineStr">
        <is>
          <t>not raw data</t>
        </is>
      </c>
    </row>
    <row r="24" ht="15" customHeight="1">
      <c r="A24" s="13" t="inlineStr">
        <is>
          <t>Dicke, U., &amp; Roth, G. (2016). Neuronal factors determining high intelligence. Philos Trans R Soc Lond B Biol Sci, 371(1685), 20150180. https://doi.org/10.1098/rstb.2015.0180</t>
        </is>
      </c>
      <c r="D24" s="13"/>
      <c r="E24" s="10" t="n">
        <f>SUBSTITUTE(SUBSTITUTE(_xlfn.TEXTBEFORE(A24,","), "-", ""), " ", "")</f>
        <v/>
      </c>
      <c r="F24" s="10" t="n">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
      </c>
      <c r="G24" s="10" t="n">
        <f>_xlfn.TEXTBEFORE(_xlfn.TEXTAFTER(A24, "("), ")")</f>
        <v/>
      </c>
      <c r="H24" s="10" t="n">
        <f>E24 &amp; IF(F24&lt;&gt;"", "_" &amp; F24, "_") &amp; IF(G24&lt;&gt;"", "_" &amp; G24, "_") &amp; IF(B24&lt;&gt;"", "_" &amp; B24, "")</f>
        <v/>
      </c>
      <c r="I24" s="10" t="n">
        <f>_xlfn.LET(
_xlpm.doi,IF(C24&lt;&gt;"",C24,_xlfn.TEXTAFTER(A24,"https://doi.org/")),
SUBSTITUTE(
SUBSTITUTE(
SUBSTITUTE(
SUBSTITUTE(
_xlpm.doi,
"/","%2F"),
":","%3A"),
"&lt;","%3C"),
"&gt;","%3E")
)</f>
        <v/>
      </c>
      <c r="J24" s="10" t="n">
        <f>TRIM(_xlfn.TEXTJOIN("_",FALSE(),H24,(SUBSTITUTE(SUBSTITUTE(D24," ",""), "_", ""))))</f>
        <v/>
      </c>
      <c r="K24" s="10" t="n">
        <f>I24 &amp; "_" &amp; SUBSTITUTE(SUBSTITUTE(SUBSTITUTE(D24,CHAR(160),"")," ",""),"_","")</f>
        <v/>
      </c>
      <c r="L24" s="10" t="n">
        <f t="array" ref="L24">IFERROR(INDEX(AUTO_Public_TSV_FileList!$A$1:$A$1000,MATCH(TRUE(),EXACT(K24,IFERROR(_xlfn.TEXTBEFORE(AUTO_Public_TSV_FileList!$A$1:$A$1000,".tsv"),"")),0)),"notfound")</f>
        <v/>
      </c>
      <c r="M24" s="13"/>
      <c r="N24" s="13" t="inlineStr">
        <is>
          <t>all secondary data</t>
        </is>
      </c>
      <c r="O24" s="13"/>
      <c r="P24" s="13"/>
      <c r="Q24" s="13"/>
      <c r="R24" s="13"/>
      <c r="S24" s="13"/>
      <c r="T24" s="13"/>
      <c r="U24" s="13"/>
      <c r="V24" s="13"/>
      <c r="W24" s="13"/>
      <c r="X24" s="13"/>
      <c r="Y24" s="13"/>
      <c r="Z24" s="13"/>
      <c r="AA24" s="13"/>
      <c r="AB24" s="13"/>
      <c r="AC24" s="13"/>
      <c r="AD24" s="13"/>
      <c r="AE24" s="13"/>
      <c r="AF24" s="13"/>
      <c r="AG24" s="13"/>
    </row>
  </sheetData>
  <pageMargins left="0.7" right="0.7" top="0.75" bottom="0.75" header="0.3" footer="0.3"/>
  <pageSetup orientation="portrait" paperSize="9"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1" summaryRight="1"/>
    <pageSetUpPr/>
  </sheetPr>
  <dimension ref="A1"/>
  <sheetViews>
    <sheetView workbookViewId="0">
      <selection activeCell="A1" sqref="A1"/>
    </sheetView>
  </sheetViews>
  <sheetFormatPr defaultRowHeight="15.0" baseColWidth="10"/>
  <sheetData/>
  <pageMargins left="0.7" right="0.7" top="0.75" bottom="0.75" header="0.3" footer="0.3"/>
  <pageSetup orientation="portrait" paperSize="9"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3</v>
      </c>
    </row>
    <row r="2">
      <c r="A2" t="s">
        <v>4</v>
      </c>
    </row>
    <row r="3">
      <c r="A3" t="s">
        <v>5</v>
      </c>
    </row>
    <row r="4">
      <c r="A4" t="s">
        <v>6</v>
      </c>
    </row>
    <row r="5">
      <c r="A5" t="s">
        <v>7</v>
      </c>
    </row>
    <row r="6">
      <c r="A6" t="s">
        <v>8</v>
      </c>
    </row>
    <row r="7">
      <c r="A7" t="s">
        <v>9</v>
      </c>
    </row>
    <row r="8">
      <c r="A8" t="s">
        <v>10</v>
      </c>
    </row>
    <row r="9">
      <c r="A9" t="s">
        <v>11</v>
      </c>
    </row>
    <row r="10">
      <c r="A10" t="s">
        <v>12</v>
      </c>
    </row>
    <row r="11">
      <c r="A11" t="s">
        <v>13</v>
      </c>
    </row>
    <row r="12">
      <c r="A12" t="s">
        <v>14</v>
      </c>
    </row>
    <row r="13">
      <c r="A13" t="s">
        <v>15</v>
      </c>
    </row>
    <row r="14">
      <c r="A14" t="s">
        <v>16</v>
      </c>
    </row>
    <row r="15">
      <c r="A15" t="s">
        <v>17</v>
      </c>
    </row>
    <row r="16">
      <c r="A16" t="s">
        <v>18</v>
      </c>
    </row>
    <row r="17">
      <c r="A17" t="s">
        <v>19</v>
      </c>
    </row>
    <row r="18">
      <c r="A18" t="s">
        <v>20</v>
      </c>
    </row>
    <row r="19">
      <c r="A19" t="s">
        <v>21</v>
      </c>
    </row>
    <row r="20">
      <c r="A20" t="s">
        <v>22</v>
      </c>
    </row>
    <row r="21">
      <c r="A21" t="s">
        <v>23</v>
      </c>
    </row>
    <row r="22">
      <c r="A22" t="s">
        <v>24</v>
      </c>
    </row>
    <row r="23">
      <c r="A23" t="s">
        <v>25</v>
      </c>
    </row>
    <row r="24">
      <c r="A24" t="s">
        <v>26</v>
      </c>
    </row>
    <row r="25">
      <c r="A25" t="s">
        <v>27</v>
      </c>
    </row>
    <row r="26">
      <c r="A26" t="s">
        <v>28</v>
      </c>
    </row>
    <row r="27">
      <c r="A27" t="s">
        <v>29</v>
      </c>
    </row>
    <row r="28">
      <c r="A28" t="s">
        <v>30</v>
      </c>
    </row>
    <row r="29">
      <c r="A29" t="s">
        <v>31</v>
      </c>
    </row>
    <row r="30">
      <c r="A30" t="s">
        <v>32</v>
      </c>
    </row>
    <row r="31">
      <c r="A31" t="s">
        <v>33</v>
      </c>
    </row>
    <row r="32">
      <c r="A32" t="s">
        <v>34</v>
      </c>
    </row>
    <row r="33">
      <c r="A33" t="s">
        <v>35</v>
      </c>
    </row>
    <row r="34">
      <c r="A34" t="s">
        <v>36</v>
      </c>
    </row>
    <row r="35">
      <c r="A35" t="s">
        <v>37</v>
      </c>
    </row>
    <row r="36">
      <c r="A36" t="s">
        <v>38</v>
      </c>
    </row>
    <row r="37">
      <c r="A37" t="s">
        <v>39</v>
      </c>
    </row>
    <row r="38">
      <c r="A38" t="s">
        <v>40</v>
      </c>
    </row>
    <row r="39">
      <c r="A39" t="s">
        <v>41</v>
      </c>
    </row>
    <row r="40">
      <c r="A40" t="s">
        <v>42</v>
      </c>
    </row>
    <row r="41">
      <c r="A41" t="s">
        <v>43</v>
      </c>
    </row>
    <row r="42">
      <c r="A42" t="s">
        <v>44</v>
      </c>
    </row>
    <row r="43">
      <c r="A43" t="s">
        <v>45</v>
      </c>
    </row>
    <row r="44">
      <c r="A44" t="s">
        <v>46</v>
      </c>
    </row>
    <row r="45">
      <c r="A45" t="s">
        <v>47</v>
      </c>
    </row>
    <row r="46">
      <c r="A46" t="s">
        <v>48</v>
      </c>
    </row>
    <row r="47">
      <c r="A47" t="s">
        <v>49</v>
      </c>
    </row>
    <row r="48">
      <c r="A48" t="s">
        <v>50</v>
      </c>
    </row>
    <row r="49">
      <c r="A49" t="s">
        <v>51</v>
      </c>
    </row>
    <row r="50">
      <c r="A50" t="s">
        <v>52</v>
      </c>
    </row>
    <row r="51">
      <c r="A51" t="s">
        <v>53</v>
      </c>
    </row>
    <row r="52">
      <c r="A52" t="s">
        <v>54</v>
      </c>
    </row>
    <row r="53">
      <c r="A53" t="s">
        <v>55</v>
      </c>
    </row>
    <row r="54">
      <c r="A54" t="s">
        <v>56</v>
      </c>
    </row>
    <row r="55">
      <c r="A55" t="s">
        <v>57</v>
      </c>
    </row>
    <row r="56">
      <c r="A56" t="s">
        <v>58</v>
      </c>
    </row>
    <row r="57">
      <c r="A57" t="s">
        <v>59</v>
      </c>
    </row>
    <row r="58">
      <c r="A58" t="s">
        <v>60</v>
      </c>
    </row>
    <row r="59">
      <c r="A59" t="s">
        <v>61</v>
      </c>
    </row>
    <row r="60">
      <c r="A60" t="s">
        <v>62</v>
      </c>
    </row>
    <row r="61">
      <c r="A61" t="s">
        <v>63</v>
      </c>
    </row>
    <row r="62">
      <c r="A62" t="s">
        <v>64</v>
      </c>
    </row>
    <row r="63">
      <c r="A63" t="s">
        <v>65</v>
      </c>
    </row>
    <row r="64">
      <c r="A64" t="s">
        <v>66</v>
      </c>
    </row>
    <row r="65">
      <c r="A65" t="s">
        <v>67</v>
      </c>
    </row>
    <row r="66">
      <c r="A66" t="s">
        <v>68</v>
      </c>
    </row>
    <row r="67">
      <c r="A67" t="s">
        <v>69</v>
      </c>
    </row>
    <row r="68">
      <c r="A68" t="s">
        <v>70</v>
      </c>
    </row>
    <row r="69">
      <c r="A69" t="s">
        <v>71</v>
      </c>
    </row>
    <row r="70">
      <c r="A70" t="s">
        <v>72</v>
      </c>
    </row>
    <row r="71">
      <c r="A71" t="s">
        <v>73</v>
      </c>
    </row>
    <row r="72">
      <c r="A72" t="s">
        <v>74</v>
      </c>
    </row>
    <row r="73">
      <c r="A73" t="s">
        <v>75</v>
      </c>
    </row>
    <row r="74">
      <c r="A74" t="s">
        <v>76</v>
      </c>
    </row>
    <row r="75">
      <c r="A75" t="s">
        <v>77</v>
      </c>
    </row>
    <row r="76">
      <c r="A76" t="s">
        <v>78</v>
      </c>
    </row>
    <row r="77">
      <c r="A77" t="s">
        <v>79</v>
      </c>
    </row>
    <row r="78">
      <c r="A78" t="s">
        <v>80</v>
      </c>
    </row>
    <row r="79">
      <c r="A79" t="s">
        <v>81</v>
      </c>
    </row>
    <row r="80">
      <c r="A80" t="s">
        <v>82</v>
      </c>
    </row>
    <row r="81">
      <c r="A81" t="s">
        <v>83</v>
      </c>
    </row>
    <row r="82">
      <c r="A82" t="s">
        <v>84</v>
      </c>
    </row>
    <row r="83">
      <c r="A83" t="s">
        <v>85</v>
      </c>
    </row>
    <row r="84">
      <c r="A84" t="s">
        <v>86</v>
      </c>
    </row>
    <row r="85">
      <c r="A85" t="s">
        <v>87</v>
      </c>
    </row>
    <row r="86">
      <c r="A86" t="s">
        <v>88</v>
      </c>
    </row>
    <row r="87">
      <c r="A87" t="s">
        <v>89</v>
      </c>
    </row>
    <row r="88">
      <c r="A88" t="s">
        <v>90</v>
      </c>
    </row>
    <row r="89">
      <c r="A89" t="s">
        <v>91</v>
      </c>
    </row>
    <row r="90">
      <c r="A90" t="s">
        <v>92</v>
      </c>
    </row>
    <row r="91">
      <c r="A91" t="s">
        <v>93</v>
      </c>
    </row>
    <row r="92">
      <c r="A92" t="s">
        <v>94</v>
      </c>
    </row>
    <row r="93">
      <c r="A93" t="s">
        <v>95</v>
      </c>
    </row>
    <row r="94">
      <c r="A94" t="s">
        <v>96</v>
      </c>
    </row>
    <row r="95">
      <c r="A95" t="s">
        <v>97</v>
      </c>
    </row>
    <row r="96">
      <c r="A96" t="s">
        <v>98</v>
      </c>
    </row>
    <row r="97">
      <c r="A97" t="s">
        <v>99</v>
      </c>
    </row>
    <row r="98">
      <c r="A98" t="s">
        <v>100</v>
      </c>
    </row>
    <row r="99">
      <c r="A99" t="s">
        <v>101</v>
      </c>
    </row>
    <row r="100">
      <c r="A100" t="s">
        <v>102</v>
      </c>
    </row>
    <row r="101">
      <c r="A101" t="s">
        <v>103</v>
      </c>
    </row>
    <row r="102">
      <c r="A102" t="s">
        <v>104</v>
      </c>
    </row>
    <row r="103">
      <c r="A103" t="s">
        <v>105</v>
      </c>
    </row>
    <row r="104">
      <c r="A104" t="s">
        <v>106</v>
      </c>
    </row>
    <row r="105">
      <c r="A105" t="s">
        <v>107</v>
      </c>
    </row>
    <row r="106">
      <c r="A106" t="s">
        <v>108</v>
      </c>
    </row>
    <row r="107">
      <c r="A107" t="s">
        <v>109</v>
      </c>
    </row>
    <row r="108">
      <c r="A108" t="s">
        <v>110</v>
      </c>
    </row>
    <row r="109">
      <c r="A109" t="s">
        <v>111</v>
      </c>
    </row>
    <row r="110">
      <c r="A110" t="s">
        <v>112</v>
      </c>
    </row>
    <row r="111">
      <c r="A111" t="s">
        <v>113</v>
      </c>
    </row>
    <row r="112">
      <c r="A112" t="s">
        <v>114</v>
      </c>
    </row>
    <row r="113">
      <c r="A113" t="s">
        <v>115</v>
      </c>
    </row>
    <row r="114">
      <c r="A114" t="s">
        <v>116</v>
      </c>
    </row>
    <row r="115">
      <c r="A115" t="s">
        <v>117</v>
      </c>
    </row>
    <row r="116">
      <c r="A116" t="s">
        <v>118</v>
      </c>
    </row>
    <row r="117">
      <c r="A117" t="s">
        <v>119</v>
      </c>
    </row>
    <row r="118">
      <c r="A118" t="s">
        <v>120</v>
      </c>
    </row>
    <row r="119">
      <c r="A119" t="s">
        <v>121</v>
      </c>
    </row>
    <row r="120">
      <c r="A120" t="s">
        <v>122</v>
      </c>
    </row>
    <row r="121">
      <c r="A121" t="s">
        <v>123</v>
      </c>
    </row>
    <row r="122">
      <c r="A122" t="s">
        <v>124</v>
      </c>
    </row>
    <row r="123">
      <c r="A123" t="s">
        <v>125</v>
      </c>
    </row>
    <row r="124">
      <c r="A124" t="s">
        <v>126</v>
      </c>
    </row>
    <row r="125">
      <c r="A125" t="s">
        <v>127</v>
      </c>
    </row>
    <row r="126">
      <c r="A126" t="s">
        <v>128</v>
      </c>
    </row>
    <row r="127">
      <c r="A127" t="s">
        <v>129</v>
      </c>
    </row>
    <row r="128">
      <c r="A128" t="s">
        <v>130</v>
      </c>
    </row>
    <row r="129">
      <c r="A129" t="s">
        <v>131</v>
      </c>
    </row>
    <row r="130">
      <c r="A130" t="s">
        <v>132</v>
      </c>
    </row>
    <row r="131">
      <c r="A131" t="s">
        <v>133</v>
      </c>
    </row>
    <row r="132">
      <c r="A132" t="s">
        <v>134</v>
      </c>
    </row>
    <row r="133">
      <c r="A133" t="s">
        <v>135</v>
      </c>
    </row>
    <row r="134">
      <c r="A134" t="s">
        <v>136</v>
      </c>
    </row>
    <row r="135">
      <c r="A135" t="s">
        <v>137</v>
      </c>
    </row>
    <row r="136">
      <c r="A136" t="s">
        <v>138</v>
      </c>
    </row>
    <row r="137">
      <c r="A137" t="s">
        <v>139</v>
      </c>
    </row>
    <row r="138">
      <c r="A138" t="s">
        <v>140</v>
      </c>
    </row>
    <row r="139">
      <c r="A139" t="s">
        <v>141</v>
      </c>
    </row>
    <row r="140">
      <c r="A140" t="s">
        <v>142</v>
      </c>
    </row>
    <row r="141">
      <c r="A141" t="s">
        <v>143</v>
      </c>
    </row>
    <row r="142">
      <c r="A142" t="s">
        <v>144</v>
      </c>
    </row>
    <row r="143">
      <c r="A143" t="s">
        <v>145</v>
      </c>
    </row>
    <row r="144">
      <c r="A144" t="s">
        <v>146</v>
      </c>
    </row>
    <row r="145">
      <c r="A145" t="s">
        <v>147</v>
      </c>
    </row>
    <row r="146">
      <c r="A146" t="s">
        <v>148</v>
      </c>
    </row>
    <row r="147">
      <c r="A147" t="s">
        <v>149</v>
      </c>
    </row>
    <row r="148">
      <c r="A148" t="s">
        <v>150</v>
      </c>
    </row>
    <row r="149">
      <c r="A149" t="s">
        <v>151</v>
      </c>
    </row>
    <row r="150">
      <c r="A150" t="s">
        <v>152</v>
      </c>
    </row>
    <row r="151">
      <c r="A151" t="s">
        <v>153</v>
      </c>
    </row>
    <row r="152">
      <c r="A152" t="s">
        <v>154</v>
      </c>
    </row>
    <row r="153">
      <c r="A153" t="s">
        <v>155</v>
      </c>
    </row>
    <row r="154">
      <c r="A154" t="s">
        <v>156</v>
      </c>
    </row>
    <row r="155">
      <c r="A155" t="s">
        <v>157</v>
      </c>
    </row>
    <row r="156">
      <c r="A156" t="s">
        <v>158</v>
      </c>
    </row>
    <row r="157">
      <c r="A157" t="s">
        <v>159</v>
      </c>
    </row>
    <row r="158">
      <c r="A158" t="s">
        <v>160</v>
      </c>
    </row>
    <row r="159">
      <c r="A159" t="s">
        <v>161</v>
      </c>
    </row>
    <row r="160">
      <c r="A160" t="s">
        <v>162</v>
      </c>
    </row>
    <row r="161">
      <c r="A161" t="s">
        <v>163</v>
      </c>
    </row>
    <row r="162">
      <c r="A162" t="s">
        <v>164</v>
      </c>
    </row>
    <row r="163">
      <c r="A163" t="s">
        <v>165</v>
      </c>
    </row>
    <row r="164">
      <c r="A164" t="s">
        <v>166</v>
      </c>
    </row>
    <row r="165">
      <c r="A165" t="s">
        <v>167</v>
      </c>
    </row>
    <row r="166">
      <c r="A166" t="s">
        <v>168</v>
      </c>
    </row>
    <row r="167">
      <c r="A167" t="s">
        <v>169</v>
      </c>
    </row>
    <row r="168">
      <c r="A168" t="s">
        <v>170</v>
      </c>
    </row>
    <row r="169">
      <c r="A169" t="s">
        <v>171</v>
      </c>
    </row>
    <row r="170">
      <c r="A170" t="s">
        <v>172</v>
      </c>
    </row>
    <row r="171">
      <c r="A171" t="s">
        <v>173</v>
      </c>
    </row>
    <row r="172">
      <c r="A172" t="s">
        <v>174</v>
      </c>
    </row>
    <row r="173">
      <c r="A173" t="s">
        <v>175</v>
      </c>
    </row>
    <row r="174">
      <c r="A174" t="s">
        <v>176</v>
      </c>
    </row>
    <row r="175">
      <c r="A175" t="s">
        <v>177</v>
      </c>
    </row>
    <row r="176">
      <c r="A176" t="s">
        <v>178</v>
      </c>
    </row>
    <row r="177">
      <c r="A177" t="s">
        <v>179</v>
      </c>
    </row>
    <row r="178">
      <c r="A178" t="s">
        <v>180</v>
      </c>
    </row>
    <row r="179">
      <c r="A179" t="s">
        <v>181</v>
      </c>
    </row>
    <row r="180">
      <c r="A180" t="s">
        <v>182</v>
      </c>
    </row>
    <row r="181">
      <c r="A181" t="s">
        <v>183</v>
      </c>
    </row>
    <row r="182">
      <c r="A182" t="s">
        <v>184</v>
      </c>
    </row>
    <row r="183">
      <c r="A183" t="s">
        <v>185</v>
      </c>
    </row>
    <row r="184">
      <c r="A184" t="s">
        <v>186</v>
      </c>
    </row>
    <row r="185">
      <c r="A185" t="s">
        <v>187</v>
      </c>
    </row>
    <row r="186">
      <c r="A186" t="s">
        <v>188</v>
      </c>
    </row>
    <row r="187">
      <c r="A187" t="s">
        <v>189</v>
      </c>
    </row>
    <row r="188">
      <c r="A188" t="s">
        <v>190</v>
      </c>
    </row>
    <row r="189">
      <c r="A189" t="s">
        <v>191</v>
      </c>
    </row>
    <row r="190">
      <c r="A190" t="s">
        <v>192</v>
      </c>
    </row>
    <row r="191">
      <c r="A191" t="s">
        <v>193</v>
      </c>
    </row>
    <row r="192">
      <c r="A192" t="s">
        <v>194</v>
      </c>
    </row>
    <row r="193">
      <c r="A193" t="s">
        <v>195</v>
      </c>
    </row>
    <row r="194">
      <c r="A194" t="s">
        <v>196</v>
      </c>
    </row>
    <row r="195">
      <c r="A195" t="s">
        <v>197</v>
      </c>
    </row>
    <row r="196">
      <c r="A196" t="s">
        <v>198</v>
      </c>
    </row>
    <row r="197">
      <c r="A197" t="s">
        <v>199</v>
      </c>
    </row>
    <row r="198">
      <c r="A198" t="s">
        <v>200</v>
      </c>
    </row>
    <row r="199">
      <c r="A199" t="s">
        <v>201</v>
      </c>
    </row>
    <row r="200">
      <c r="A200" t="s">
        <v>202</v>
      </c>
    </row>
    <row r="201">
      <c r="A201" t="s">
        <v>203</v>
      </c>
    </row>
    <row r="202">
      <c r="A202" t="s">
        <v>204</v>
      </c>
    </row>
    <row r="203">
      <c r="A203" t="s">
        <v>205</v>
      </c>
    </row>
    <row r="204">
      <c r="A204" t="s">
        <v>206</v>
      </c>
    </row>
    <row r="205">
      <c r="A205" t="s">
        <v>207</v>
      </c>
    </row>
    <row r="206">
      <c r="A206" t="s">
        <v>208</v>
      </c>
    </row>
    <row r="207">
      <c r="A207" t="s">
        <v>209</v>
      </c>
    </row>
    <row r="208">
      <c r="A208" t="s">
        <v>210</v>
      </c>
    </row>
    <row r="209">
      <c r="A209" t="s">
        <v>211</v>
      </c>
    </row>
    <row r="210">
      <c r="A210" t="s">
        <v>212</v>
      </c>
    </row>
    <row r="211">
      <c r="A211" t="s">
        <v>213</v>
      </c>
    </row>
    <row r="212">
      <c r="A212" t="s">
        <v>214</v>
      </c>
    </row>
    <row r="213">
      <c r="A213" t="s">
        <v>215</v>
      </c>
    </row>
    <row r="214">
      <c r="A214" t="s">
        <v>216</v>
      </c>
    </row>
    <row r="215">
      <c r="A215" t="s">
        <v>217</v>
      </c>
    </row>
    <row r="216">
      <c r="A216" t="s">
        <v>218</v>
      </c>
    </row>
    <row r="217">
      <c r="A217" t="s">
        <v>219</v>
      </c>
    </row>
    <row r="218">
      <c r="A218" t="s">
        <v>220</v>
      </c>
    </row>
    <row r="219">
      <c r="A219" t="s">
        <v>221</v>
      </c>
    </row>
    <row r="220">
      <c r="A220" t="s">
        <v>222</v>
      </c>
    </row>
    <row r="221">
      <c r="A221" t="s">
        <v>223</v>
      </c>
    </row>
    <row r="222">
      <c r="A222" t="s">
        <v>224</v>
      </c>
    </row>
    <row r="223">
      <c r="A223" t="s">
        <v>225</v>
      </c>
    </row>
    <row r="224">
      <c r="A224" t="s">
        <v>226</v>
      </c>
    </row>
    <row r="225">
      <c r="A225" t="s">
        <v>227</v>
      </c>
    </row>
    <row r="226">
      <c r="A226" t="s">
        <v>228</v>
      </c>
    </row>
    <row r="227">
      <c r="A227" t="s">
        <v>229</v>
      </c>
    </row>
    <row r="228">
      <c r="A228" t="s">
        <v>230</v>
      </c>
    </row>
    <row r="229">
      <c r="A229" t="s">
        <v>231</v>
      </c>
    </row>
    <row r="230">
      <c r="A230" t="s">
        <v>232</v>
      </c>
    </row>
    <row r="231">
      <c r="A231" t="s">
        <v>233</v>
      </c>
    </row>
    <row r="232">
      <c r="A232" t="s">
        <v>234</v>
      </c>
    </row>
    <row r="233">
      <c r="A233" t="s">
        <v>235</v>
      </c>
    </row>
    <row r="234">
      <c r="A234" t="s">
        <v>236</v>
      </c>
    </row>
    <row r="235">
      <c r="A235" t="s">
        <v>237</v>
      </c>
    </row>
    <row r="236">
      <c r="A236" t="s">
        <v>238</v>
      </c>
    </row>
    <row r="237">
      <c r="A237" t="s">
        <v>239</v>
      </c>
    </row>
    <row r="238">
      <c r="A238" t="s">
        <v>240</v>
      </c>
    </row>
    <row r="239">
      <c r="A239" t="s">
        <v>241</v>
      </c>
    </row>
    <row r="240">
      <c r="A240" t="s">
        <v>242</v>
      </c>
    </row>
    <row r="241">
      <c r="A241" t="s">
        <v>243</v>
      </c>
    </row>
    <row r="242">
      <c r="A242" t="s">
        <v>244</v>
      </c>
    </row>
    <row r="243">
      <c r="A243" t="s">
        <v>245</v>
      </c>
    </row>
    <row r="244">
      <c r="A244" t="s">
        <v>246</v>
      </c>
    </row>
    <row r="245">
      <c r="A245" t="s">
        <v>247</v>
      </c>
    </row>
    <row r="246">
      <c r="A246" t="s">
        <v>248</v>
      </c>
    </row>
    <row r="247">
      <c r="A247" t="s">
        <v>249</v>
      </c>
    </row>
    <row r="248">
      <c r="A248" t="s">
        <v>250</v>
      </c>
    </row>
    <row r="249">
      <c r="A249" t="s">
        <v>251</v>
      </c>
    </row>
    <row r="250">
      <c r="A250" t="s">
        <v>252</v>
      </c>
    </row>
    <row r="251">
      <c r="A251" t="s">
        <v>253</v>
      </c>
    </row>
    <row r="252">
      <c r="A252" t="s">
        <v>254</v>
      </c>
    </row>
    <row r="253">
      <c r="A253" t="s">
        <v>255</v>
      </c>
    </row>
    <row r="254">
      <c r="A254" t="s">
        <v>256</v>
      </c>
    </row>
    <row r="255">
      <c r="A255" t="s">
        <v>257</v>
      </c>
    </row>
    <row r="256">
      <c r="A256" t="s">
        <v>258</v>
      </c>
    </row>
    <row r="257">
      <c r="A257" t="s">
        <v>259</v>
      </c>
    </row>
    <row r="258">
      <c r="A258" t="s">
        <v>260</v>
      </c>
    </row>
    <row r="259">
      <c r="A259" t="s">
        <v>261</v>
      </c>
    </row>
    <row r="260">
      <c r="A260" t="s">
        <v>262</v>
      </c>
    </row>
    <row r="261">
      <c r="A261" t="s">
        <v>263</v>
      </c>
    </row>
    <row r="262">
      <c r="A262" t="s">
        <v>264</v>
      </c>
    </row>
    <row r="263">
      <c r="A263" t="s">
        <v>265</v>
      </c>
    </row>
    <row r="264">
      <c r="A264" t="s">
        <v>266</v>
      </c>
    </row>
    <row r="265">
      <c r="A265" t="s">
        <v>267</v>
      </c>
    </row>
    <row r="266">
      <c r="A266" t="s">
        <v>268</v>
      </c>
    </row>
    <row r="267">
      <c r="A267" t="s">
        <v>269</v>
      </c>
    </row>
    <row r="268">
      <c r="A268" t="s">
        <v>270</v>
      </c>
    </row>
    <row r="269">
      <c r="A269" t="s">
        <v>271</v>
      </c>
    </row>
    <row r="270">
      <c r="A270" t="s">
        <v>272</v>
      </c>
    </row>
    <row r="271">
      <c r="A271" t="s">
        <v>273</v>
      </c>
    </row>
    <row r="272">
      <c r="A272" t="s">
        <v>274</v>
      </c>
    </row>
    <row r="273">
      <c r="A273" t="s">
        <v>275</v>
      </c>
    </row>
    <row r="274">
      <c r="A274" t="s">
        <v>276</v>
      </c>
    </row>
    <row r="275">
      <c r="A275" t="s">
        <v>277</v>
      </c>
    </row>
    <row r="276">
      <c r="A276" t="s">
        <v>278</v>
      </c>
    </row>
    <row r="277">
      <c r="A277" t="s">
        <v>279</v>
      </c>
    </row>
    <row r="278">
      <c r="A278" t="s">
        <v>280</v>
      </c>
    </row>
    <row r="279">
      <c r="A279" t="s">
        <v>281</v>
      </c>
    </row>
    <row r="280">
      <c r="A280" t="s">
        <v>282</v>
      </c>
    </row>
    <row r="281">
      <c r="A281" t="s">
        <v>283</v>
      </c>
    </row>
    <row r="282">
      <c r="A282" t="s">
        <v>284</v>
      </c>
    </row>
    <row r="283">
      <c r="A283" t="s">
        <v>285</v>
      </c>
    </row>
    <row r="284">
      <c r="A284" t="s">
        <v>286</v>
      </c>
    </row>
    <row r="285">
      <c r="A285" t="s">
        <v>287</v>
      </c>
    </row>
    <row r="286">
      <c r="A286" t="s">
        <v>288</v>
      </c>
    </row>
    <row r="287">
      <c r="A287" t="s">
        <v>289</v>
      </c>
    </row>
    <row r="288">
      <c r="A288" t="s">
        <v>290</v>
      </c>
    </row>
    <row r="289">
      <c r="A289" t="s">
        <v>291</v>
      </c>
    </row>
    <row r="290">
      <c r="A290" t="s">
        <v>292</v>
      </c>
    </row>
    <row r="291">
      <c r="A291" t="s">
        <v>293</v>
      </c>
    </row>
    <row r="292">
      <c r="A292" t="s">
        <v>294</v>
      </c>
    </row>
    <row r="293">
      <c r="A293" t="s">
        <v>295</v>
      </c>
    </row>
    <row r="294">
      <c r="A294" t="s">
        <v>296</v>
      </c>
    </row>
    <row r="295">
      <c r="A295" t="s">
        <v>297</v>
      </c>
    </row>
    <row r="296">
      <c r="A296" t="s">
        <v>298</v>
      </c>
    </row>
    <row r="297">
      <c r="A297" t="s">
        <v>299</v>
      </c>
    </row>
    <row r="298">
      <c r="A298" t="s">
        <v>300</v>
      </c>
    </row>
    <row r="299">
      <c r="A299" t="s">
        <v>301</v>
      </c>
    </row>
    <row r="300">
      <c r="A300" t="s">
        <v>302</v>
      </c>
    </row>
    <row r="301">
      <c r="A301" t="s">
        <v>303</v>
      </c>
    </row>
    <row r="302">
      <c r="A302" t="s">
        <v>304</v>
      </c>
    </row>
    <row r="303">
      <c r="A303" t="s">
        <v>305</v>
      </c>
    </row>
    <row r="304">
      <c r="A304" t="s">
        <v>306</v>
      </c>
    </row>
    <row r="305">
      <c r="A305" t="s">
        <v>307</v>
      </c>
    </row>
    <row r="306">
      <c r="A306" t="s">
        <v>308</v>
      </c>
    </row>
    <row r="307">
      <c r="A307" t="s">
        <v>309</v>
      </c>
    </row>
    <row r="308">
      <c r="A308" t="s">
        <v>310</v>
      </c>
    </row>
    <row r="309">
      <c r="A309" t="s">
        <v>311</v>
      </c>
    </row>
    <row r="310">
      <c r="A310" t="s">
        <v>312</v>
      </c>
    </row>
    <row r="311">
      <c r="A311" t="s">
        <v>313</v>
      </c>
    </row>
    <row r="312">
      <c r="A312" t="s">
        <v>314</v>
      </c>
    </row>
    <row r="313">
      <c r="A313" t="s">
        <v>315</v>
      </c>
    </row>
    <row r="314">
      <c r="A314" t="s">
        <v>316</v>
      </c>
    </row>
    <row r="315">
      <c r="A315" t="s">
        <v>317</v>
      </c>
    </row>
    <row r="316">
      <c r="A316" t="s">
        <v>318</v>
      </c>
    </row>
    <row r="317">
      <c r="A317" t="s">
        <v>319</v>
      </c>
    </row>
    <row r="318">
      <c r="A318" t="s">
        <v>320</v>
      </c>
    </row>
    <row r="319">
      <c r="A319" t="s">
        <v>321</v>
      </c>
    </row>
    <row r="320">
      <c r="A320" t="s">
        <v>322</v>
      </c>
    </row>
    <row r="321">
      <c r="A321" t="s">
        <v>323</v>
      </c>
    </row>
    <row r="322">
      <c r="A322" t="s">
        <v>324</v>
      </c>
    </row>
    <row r="323">
      <c r="A323" t="s">
        <v>325</v>
      </c>
    </row>
    <row r="324">
      <c r="A324" t="s">
        <v>326</v>
      </c>
    </row>
    <row r="325">
      <c r="A325" t="s">
        <v>327</v>
      </c>
    </row>
    <row r="326">
      <c r="A326" t="s">
        <v>328</v>
      </c>
    </row>
    <row r="327">
      <c r="A327" t="s">
        <v>329</v>
      </c>
    </row>
    <row r="328">
      <c r="A328" t="s">
        <v>330</v>
      </c>
    </row>
    <row r="329">
      <c r="A329" t="s">
        <v>331</v>
      </c>
    </row>
    <row r="330">
      <c r="A330" t="s">
        <v>332</v>
      </c>
    </row>
    <row r="331">
      <c r="A331" t="s">
        <v>333</v>
      </c>
    </row>
    <row r="332">
      <c r="A332" t="s">
        <v>334</v>
      </c>
    </row>
    <row r="333">
      <c r="A333" t="s">
        <v>335</v>
      </c>
    </row>
    <row r="334">
      <c r="A334" t="s">
        <v>336</v>
      </c>
    </row>
    <row r="335">
      <c r="A335" t="s">
        <v>337</v>
      </c>
    </row>
    <row r="336">
      <c r="A336" t="s">
        <v>338</v>
      </c>
    </row>
    <row r="337">
      <c r="A337" t="s">
        <v>339</v>
      </c>
    </row>
    <row r="338">
      <c r="A338" t="s">
        <v>340</v>
      </c>
    </row>
    <row r="339">
      <c r="A339" t="s">
        <v>341</v>
      </c>
    </row>
    <row r="340">
      <c r="A340" t="s">
        <v>342</v>
      </c>
    </row>
    <row r="341">
      <c r="A341" t="s">
        <v>343</v>
      </c>
    </row>
    <row r="342">
      <c r="A342" t="s">
        <v>344</v>
      </c>
    </row>
    <row r="343">
      <c r="A343" t="s">
        <v>345</v>
      </c>
    </row>
    <row r="344">
      <c r="A344" t="s">
        <v>346</v>
      </c>
    </row>
    <row r="345">
      <c r="A345" t="s">
        <v>347</v>
      </c>
    </row>
    <row r="346">
      <c r="A346" t="s">
        <v>348</v>
      </c>
    </row>
    <row r="347">
      <c r="A347" t="s">
        <v>349</v>
      </c>
    </row>
    <row r="348">
      <c r="A348" t="s">
        <v>350</v>
      </c>
    </row>
    <row r="349">
      <c r="A349" t="s">
        <v>351</v>
      </c>
    </row>
    <row r="350">
      <c r="A350" t="s">
        <v>352</v>
      </c>
    </row>
    <row r="351">
      <c r="A351" t="s">
        <v>353</v>
      </c>
    </row>
    <row r="352">
      <c r="A352" t="s">
        <v>354</v>
      </c>
    </row>
    <row r="353">
      <c r="A353" t="s">
        <v>355</v>
      </c>
    </row>
    <row r="354">
      <c r="A354" t="s">
        <v>356</v>
      </c>
    </row>
    <row r="355">
      <c r="A355" t="s">
        <v>357</v>
      </c>
    </row>
    <row r="356">
      <c r="A356" t="s">
        <v>358</v>
      </c>
    </row>
    <row r="357">
      <c r="A357" t="s">
        <v>359</v>
      </c>
    </row>
    <row r="358">
      <c r="A358" t="s">
        <v>360</v>
      </c>
    </row>
    <row r="359">
      <c r="A359" t="s">
        <v>361</v>
      </c>
    </row>
    <row r="360">
      <c r="A360" t="s">
        <v>362</v>
      </c>
    </row>
    <row r="361">
      <c r="A361" t="s">
        <v>363</v>
      </c>
    </row>
    <row r="362">
      <c r="A362" t="s">
        <v>364</v>
      </c>
    </row>
    <row r="363">
      <c r="A363" t="s">
        <v>365</v>
      </c>
    </row>
    <row r="364">
      <c r="A364" t="s">
        <v>366</v>
      </c>
    </row>
    <row r="365">
      <c r="A365" t="s">
        <v>367</v>
      </c>
    </row>
    <row r="366">
      <c r="A366" t="s">
        <v>368</v>
      </c>
    </row>
    <row r="367">
      <c r="A367" t="s">
        <v>369</v>
      </c>
    </row>
    <row r="368">
      <c r="A368" t="s">
        <v>370</v>
      </c>
    </row>
    <row r="369">
      <c r="A369" t="s">
        <v>371</v>
      </c>
    </row>
    <row r="370">
      <c r="A370" t="s">
        <v>372</v>
      </c>
    </row>
    <row r="371">
      <c r="A371" t="s">
        <v>373</v>
      </c>
    </row>
    <row r="372">
      <c r="A372" t="s">
        <v>374</v>
      </c>
    </row>
    <row r="373">
      <c r="A373" t="s">
        <v>375</v>
      </c>
    </row>
    <row r="374">
      <c r="A374" t="s">
        <v>376</v>
      </c>
    </row>
    <row r="375">
      <c r="A375" t="s">
        <v>377</v>
      </c>
    </row>
    <row r="376">
      <c r="A376" t="s">
        <v>378</v>
      </c>
    </row>
    <row r="377">
      <c r="A377" t="s">
        <v>379</v>
      </c>
    </row>
    <row r="378">
      <c r="A378" t="s">
        <v>380</v>
      </c>
    </row>
    <row r="379">
      <c r="A379" t="s">
        <v>381</v>
      </c>
    </row>
    <row r="380">
      <c r="A380" t="s">
        <v>382</v>
      </c>
    </row>
    <row r="381">
      <c r="A381" t="s">
        <v>383</v>
      </c>
    </row>
    <row r="382">
      <c r="A382" t="s">
        <v>384</v>
      </c>
    </row>
    <row r="383">
      <c r="A383" t="s">
        <v>385</v>
      </c>
    </row>
    <row r="384">
      <c r="A384" t="s">
        <v>386</v>
      </c>
    </row>
    <row r="385">
      <c r="A385" t="s">
        <v>387</v>
      </c>
    </row>
    <row r="386">
      <c r="A386" t="s">
        <v>388</v>
      </c>
    </row>
    <row r="387">
      <c r="A387" t="s">
        <v>389</v>
      </c>
    </row>
    <row r="388">
      <c r="A388" t="s">
        <v>390</v>
      </c>
    </row>
    <row r="389">
      <c r="A389" t="s">
        <v>391</v>
      </c>
    </row>
    <row r="390">
      <c r="A390" t="s">
        <v>392</v>
      </c>
    </row>
    <row r="391">
      <c r="A391" t="s">
        <v>393</v>
      </c>
    </row>
    <row r="392">
      <c r="A392" t="s">
        <v>394</v>
      </c>
    </row>
    <row r="393">
      <c r="A393" t="s">
        <v>395</v>
      </c>
    </row>
    <row r="394">
      <c r="A394" t="s">
        <v>396</v>
      </c>
    </row>
    <row r="395">
      <c r="A395" t="s">
        <v>397</v>
      </c>
    </row>
    <row r="396">
      <c r="A396" t="s">
        <v>398</v>
      </c>
    </row>
    <row r="397">
      <c r="A397" t="s">
        <v>399</v>
      </c>
    </row>
    <row r="398">
      <c r="A398" t="s">
        <v>400</v>
      </c>
    </row>
    <row r="399">
      <c r="A399" t="s">
        <v>401</v>
      </c>
    </row>
    <row r="400">
      <c r="A400" t="s">
        <v>402</v>
      </c>
    </row>
    <row r="401">
      <c r="A401" t="s">
        <v>403</v>
      </c>
    </row>
    <row r="402">
      <c r="A402" t="s">
        <v>404</v>
      </c>
    </row>
    <row r="403">
      <c r="A403" t="s">
        <v>405</v>
      </c>
    </row>
    <row r="404">
      <c r="A404" t="s">
        <v>406</v>
      </c>
    </row>
    <row r="405">
      <c r="A405" t="s">
        <v>407</v>
      </c>
    </row>
    <row r="406">
      <c r="A406" t="s">
        <v>408</v>
      </c>
    </row>
    <row r="407">
      <c r="A407" t="s">
        <v>409</v>
      </c>
    </row>
    <row r="408">
      <c r="A408" t="s">
        <v>410</v>
      </c>
    </row>
    <row r="409">
      <c r="A409" t="s">
        <v>411</v>
      </c>
    </row>
    <row r="410">
      <c r="A410" t="s">
        <v>412</v>
      </c>
    </row>
    <row r="411">
      <c r="A411" t="s">
        <v>413</v>
      </c>
    </row>
    <row r="412">
      <c r="A412" t="s">
        <v>414</v>
      </c>
    </row>
    <row r="413">
      <c r="A413" t="s">
        <v>415</v>
      </c>
    </row>
    <row r="414">
      <c r="A414" t="s">
        <v>416</v>
      </c>
    </row>
    <row r="415">
      <c r="A415" t="s">
        <v>417</v>
      </c>
    </row>
    <row r="416">
      <c r="A416" t="s">
        <v>418</v>
      </c>
    </row>
    <row r="417">
      <c r="A417" t="s">
        <v>419</v>
      </c>
    </row>
    <row r="418">
      <c r="A418" t="s">
        <v>420</v>
      </c>
    </row>
    <row r="419">
      <c r="A419" t="s">
        <v>421</v>
      </c>
    </row>
    <row r="420">
      <c r="A420" t="s">
        <v>422</v>
      </c>
    </row>
    <row r="421">
      <c r="A421" t="s">
        <v>423</v>
      </c>
    </row>
    <row r="422">
      <c r="A422" t="s">
        <v>424</v>
      </c>
    </row>
    <row r="423">
      <c r="A423" t="s">
        <v>425</v>
      </c>
    </row>
    <row r="424">
      <c r="A424" t="s">
        <v>426</v>
      </c>
    </row>
    <row r="425">
      <c r="A425" t="s">
        <v>427</v>
      </c>
    </row>
    <row r="426">
      <c r="A426" t="s">
        <v>428</v>
      </c>
    </row>
    <row r="427">
      <c r="A427" t="s">
        <v>429</v>
      </c>
    </row>
    <row r="428">
      <c r="A428" t="s">
        <v>430</v>
      </c>
    </row>
    <row r="429">
      <c r="A429" t="s">
        <v>431</v>
      </c>
    </row>
    <row r="430">
      <c r="A430" t="s">
        <v>432</v>
      </c>
    </row>
    <row r="431">
      <c r="A431" t="s">
        <v>433</v>
      </c>
    </row>
    <row r="432">
      <c r="A432" t="s">
        <v>434</v>
      </c>
    </row>
    <row r="433">
      <c r="A433" t="s">
        <v>435</v>
      </c>
    </row>
    <row r="434">
      <c r="A434" t="s">
        <v>436</v>
      </c>
    </row>
    <row r="435">
      <c r="A435" t="s">
        <v>437</v>
      </c>
    </row>
    <row r="436">
      <c r="A436" t="s">
        <v>438</v>
      </c>
    </row>
    <row r="437">
      <c r="A437" t="s">
        <v>439</v>
      </c>
    </row>
    <row r="438">
      <c r="A438" t="s">
        <v>440</v>
      </c>
    </row>
    <row r="439">
      <c r="A439" t="s">
        <v>441</v>
      </c>
    </row>
    <row r="440">
      <c r="A440" t="s">
        <v>442</v>
      </c>
    </row>
    <row r="441">
      <c r="A441" t="s">
        <v>443</v>
      </c>
    </row>
    <row r="442">
      <c r="A442" t="s">
        <v>444</v>
      </c>
    </row>
    <row r="443">
      <c r="A443" t="s">
        <v>445</v>
      </c>
    </row>
    <row r="444">
      <c r="A444" t="s">
        <v>446</v>
      </c>
    </row>
    <row r="445">
      <c r="A445" t="s">
        <v>447</v>
      </c>
    </row>
    <row r="446">
      <c r="A446" t="s">
        <v>448</v>
      </c>
    </row>
    <row r="447">
      <c r="A447" t="s">
        <v>449</v>
      </c>
    </row>
    <row r="448">
      <c r="A448" t="s">
        <v>450</v>
      </c>
    </row>
    <row r="449">
      <c r="A449" t="s">
        <v>451</v>
      </c>
    </row>
    <row r="450">
      <c r="A450" t="s">
        <v>452</v>
      </c>
    </row>
    <row r="451">
      <c r="A451" t="s">
        <v>453</v>
      </c>
    </row>
    <row r="452">
      <c r="A452" t="s">
        <v>454</v>
      </c>
    </row>
    <row r="453">
      <c r="A453" t="s">
        <v>455</v>
      </c>
    </row>
    <row r="454">
      <c r="A454" t="s">
        <v>456</v>
      </c>
    </row>
    <row r="455">
      <c r="A455" t="s">
        <v>457</v>
      </c>
    </row>
    <row r="456">
      <c r="A456" t="s">
        <v>458</v>
      </c>
    </row>
    <row r="457">
      <c r="A457" t="s">
        <v>459</v>
      </c>
    </row>
    <row r="458">
      <c r="A458" t="s">
        <v>460</v>
      </c>
    </row>
    <row r="459">
      <c r="A459" t="s">
        <v>461</v>
      </c>
    </row>
    <row r="460">
      <c r="A460" t="s">
        <v>462</v>
      </c>
    </row>
    <row r="461">
      <c r="A461" t="s">
        <v>463</v>
      </c>
    </row>
    <row r="462">
      <c r="A462" t="s">
        <v>464</v>
      </c>
    </row>
    <row r="463">
      <c r="A463" t="s">
        <v>465</v>
      </c>
    </row>
    <row r="464">
      <c r="A464" t="s">
        <v>466</v>
      </c>
    </row>
    <row r="465">
      <c r="A465" t="s">
        <v>467</v>
      </c>
    </row>
    <row r="466">
      <c r="A466" t="s">
        <v>468</v>
      </c>
    </row>
    <row r="467">
      <c r="A467" t="s">
        <v>469</v>
      </c>
    </row>
    <row r="468">
      <c r="A468" t="s">
        <v>470</v>
      </c>
    </row>
    <row r="469">
      <c r="A469" t="s">
        <v>471</v>
      </c>
    </row>
    <row r="470">
      <c r="A470" t="s">
        <v>472</v>
      </c>
    </row>
    <row r="471">
      <c r="A471" t="s">
        <v>473</v>
      </c>
    </row>
    <row r="472">
      <c r="A472" t="s">
        <v>474</v>
      </c>
    </row>
    <row r="473">
      <c r="A473" t="s">
        <v>475</v>
      </c>
    </row>
    <row r="474">
      <c r="A474" t="s">
        <v>476</v>
      </c>
    </row>
    <row r="475">
      <c r="A475" t="s">
        <v>477</v>
      </c>
    </row>
    <row r="476">
      <c r="A476" t="s">
        <v>478</v>
      </c>
    </row>
    <row r="477">
      <c r="A477" t="s">
        <v>479</v>
      </c>
    </row>
    <row r="478">
      <c r="A478" t="s">
        <v>480</v>
      </c>
    </row>
    <row r="479">
      <c r="A479" t="s">
        <v>481</v>
      </c>
    </row>
    <row r="480">
      <c r="A480" t="s">
        <v>482</v>
      </c>
    </row>
    <row r="481">
      <c r="A481" t="s">
        <v>483</v>
      </c>
    </row>
    <row r="482">
      <c r="A482" t="s">
        <v>484</v>
      </c>
    </row>
    <row r="483">
      <c r="A483" t="s">
        <v>485</v>
      </c>
    </row>
    <row r="484">
      <c r="A484" t="s">
        <v>486</v>
      </c>
    </row>
    <row r="485">
      <c r="A485" t="s">
        <v>487</v>
      </c>
    </row>
    <row r="486">
      <c r="A486" t="s">
        <v>488</v>
      </c>
    </row>
    <row r="487">
      <c r="A487" t="s">
        <v>489</v>
      </c>
    </row>
    <row r="488">
      <c r="A488" t="s">
        <v>490</v>
      </c>
    </row>
    <row r="489">
      <c r="A489" t="s">
        <v>491</v>
      </c>
    </row>
    <row r="490">
      <c r="A490" t="s">
        <v>492</v>
      </c>
    </row>
    <row r="491">
      <c r="A491" t="s">
        <v>493</v>
      </c>
    </row>
    <row r="492">
      <c r="A492" t="s">
        <v>494</v>
      </c>
    </row>
    <row r="493">
      <c r="A493" t="s">
        <v>495</v>
      </c>
    </row>
    <row r="494">
      <c r="A494" t="s">
        <v>496</v>
      </c>
    </row>
    <row r="495">
      <c r="A495" t="s">
        <v>497</v>
      </c>
    </row>
    <row r="496">
      <c r="A496" t="s">
        <v>498</v>
      </c>
    </row>
    <row r="497">
      <c r="A497" t="s">
        <v>499</v>
      </c>
    </row>
    <row r="498">
      <c r="A498" t="s">
        <v>500</v>
      </c>
    </row>
    <row r="499">
      <c r="A499" t="s">
        <v>501</v>
      </c>
    </row>
    <row r="500">
      <c r="A500" t="s">
        <v>502</v>
      </c>
    </row>
    <row r="501">
      <c r="A501" t="s">
        <v>503</v>
      </c>
    </row>
    <row r="502">
      <c r="A502" t="s">
        <v>504</v>
      </c>
    </row>
    <row r="503">
      <c r="A503" t="s">
        <v>505</v>
      </c>
    </row>
    <row r="504">
      <c r="A504" t="s">
        <v>506</v>
      </c>
    </row>
    <row r="505">
      <c r="A505" t="s">
        <v>507</v>
      </c>
    </row>
    <row r="506">
      <c r="A506" t="s">
        <v>508</v>
      </c>
    </row>
    <row r="507">
      <c r="A507" t="s">
        <v>509</v>
      </c>
    </row>
    <row r="508">
      <c r="A508" t="s">
        <v>510</v>
      </c>
    </row>
    <row r="509">
      <c r="A509" t="s">
        <v>511</v>
      </c>
    </row>
    <row r="510">
      <c r="A510" t="s">
        <v>512</v>
      </c>
    </row>
    <row r="511">
      <c r="A511" t="s">
        <v>513</v>
      </c>
    </row>
    <row r="512">
      <c r="A512" t="s">
        <v>514</v>
      </c>
    </row>
    <row r="513">
      <c r="A513" t="s">
        <v>515</v>
      </c>
    </row>
    <row r="514">
      <c r="A514" t="s">
        <v>516</v>
      </c>
    </row>
    <row r="515">
      <c r="A515" t="s">
        <v>517</v>
      </c>
    </row>
    <row r="516">
      <c r="A516" t="s">
        <v>518</v>
      </c>
    </row>
    <row r="517">
      <c r="A517" t="s">
        <v>519</v>
      </c>
    </row>
    <row r="518">
      <c r="A518" t="s">
        <v>520</v>
      </c>
    </row>
    <row r="519">
      <c r="A519" t="s">
        <v>521</v>
      </c>
    </row>
    <row r="520">
      <c r="A520" t="s">
        <v>522</v>
      </c>
    </row>
    <row r="521">
      <c r="A521" t="s">
        <v>523</v>
      </c>
    </row>
    <row r="522">
      <c r="A522" t="s">
        <v>524</v>
      </c>
    </row>
    <row r="523">
      <c r="A523" t="s">
        <v>525</v>
      </c>
    </row>
    <row r="524">
      <c r="A524" t="s">
        <v>526</v>
      </c>
    </row>
    <row r="525">
      <c r="A525" t="s">
        <v>527</v>
      </c>
    </row>
    <row r="526">
      <c r="A526" t="s">
        <v>528</v>
      </c>
    </row>
    <row r="527">
      <c r="A527" t="s">
        <v>529</v>
      </c>
    </row>
    <row r="528">
      <c r="A528" t="s">
        <v>530</v>
      </c>
    </row>
    <row r="529">
      <c r="A529" t="s">
        <v>531</v>
      </c>
    </row>
    <row r="530">
      <c r="A530" t="s">
        <v>532</v>
      </c>
    </row>
    <row r="531">
      <c r="A531" t="s">
        <v>533</v>
      </c>
    </row>
    <row r="532">
      <c r="A532" t="s">
        <v>534</v>
      </c>
    </row>
    <row r="533">
      <c r="A533" t="s">
        <v>535</v>
      </c>
    </row>
    <row r="534">
      <c r="A534" t="s">
        <v>536</v>
      </c>
    </row>
    <row r="535">
      <c r="A535" t="s">
        <v>537</v>
      </c>
    </row>
    <row r="536">
      <c r="A536" t="s">
        <v>538</v>
      </c>
    </row>
    <row r="537">
      <c r="A537" t="s">
        <v>539</v>
      </c>
    </row>
    <row r="538">
      <c r="A538" t="s">
        <v>540</v>
      </c>
    </row>
    <row r="539">
      <c r="A539" t="s">
        <v>541</v>
      </c>
    </row>
    <row r="540">
      <c r="A540" t="s">
        <v>542</v>
      </c>
    </row>
    <row r="541">
      <c r="A541" t="s">
        <v>543</v>
      </c>
    </row>
    <row r="542">
      <c r="A542" t="s">
        <v>544</v>
      </c>
    </row>
    <row r="543">
      <c r="A543" t="s">
        <v>545</v>
      </c>
    </row>
    <row r="544">
      <c r="A544" t="s">
        <v>546</v>
      </c>
    </row>
    <row r="545">
      <c r="A545" t="s">
        <v>547</v>
      </c>
    </row>
    <row r="546">
      <c r="A546" t="s">
        <v>548</v>
      </c>
    </row>
    <row r="547">
      <c r="A547" t="s">
        <v>549</v>
      </c>
    </row>
    <row r="548">
      <c r="A548" t="s">
        <v>550</v>
      </c>
    </row>
    <row r="549">
      <c r="A549" t="s">
        <v>551</v>
      </c>
    </row>
    <row r="550">
      <c r="A550" t="s">
        <v>552</v>
      </c>
    </row>
    <row r="551">
      <c r="A551" t="s">
        <v>553</v>
      </c>
    </row>
    <row r="552">
      <c r="A552" t="s">
        <v>554</v>
      </c>
    </row>
    <row r="553">
      <c r="A553" t="s">
        <v>555</v>
      </c>
    </row>
    <row r="554">
      <c r="A554" t="s">
        <v>556</v>
      </c>
    </row>
    <row r="555">
      <c r="A555" t="s">
        <v>557</v>
      </c>
    </row>
    <row r="556">
      <c r="A556" t="s">
        <v>558</v>
      </c>
    </row>
    <row r="557">
      <c r="A557" t="s">
        <v>559</v>
      </c>
    </row>
    <row r="558">
      <c r="A558" t="s">
        <v>560</v>
      </c>
    </row>
    <row r="559">
      <c r="A559" t="s">
        <v>561</v>
      </c>
    </row>
    <row r="560">
      <c r="A560" t="s">
        <v>562</v>
      </c>
    </row>
    <row r="561">
      <c r="A561" t="s">
        <v>563</v>
      </c>
    </row>
    <row r="562">
      <c r="A562" t="s">
        <v>564</v>
      </c>
    </row>
    <row r="563">
      <c r="A563" t="s">
        <v>565</v>
      </c>
    </row>
    <row r="564">
      <c r="A564" t="s">
        <v>566</v>
      </c>
    </row>
    <row r="565">
      <c r="A565" t="s">
        <v>567</v>
      </c>
    </row>
    <row r="566">
      <c r="A566" t="s">
        <v>568</v>
      </c>
    </row>
    <row r="567">
      <c r="A567" t="s">
        <v>569</v>
      </c>
    </row>
    <row r="568">
      <c r="A568" t="s">
        <v>570</v>
      </c>
    </row>
    <row r="569">
      <c r="A569" t="s">
        <v>571</v>
      </c>
    </row>
    <row r="570">
      <c r="A570" t="s">
        <v>572</v>
      </c>
    </row>
    <row r="571">
      <c r="A571" t="s">
        <v>573</v>
      </c>
    </row>
    <row r="572">
      <c r="A572" t="s">
        <v>574</v>
      </c>
    </row>
    <row r="573">
      <c r="A573" t="s">
        <v>575</v>
      </c>
    </row>
    <row r="574">
      <c r="A574" t="s">
        <v>576</v>
      </c>
    </row>
    <row r="575">
      <c r="A575" t="s">
        <v>577</v>
      </c>
    </row>
    <row r="576">
      <c r="A576" t="s">
        <v>578</v>
      </c>
    </row>
    <row r="577">
      <c r="A577" t="s">
        <v>579</v>
      </c>
    </row>
    <row r="578">
      <c r="A578" t="s">
        <v>580</v>
      </c>
    </row>
    <row r="579">
      <c r="A579" t="s">
        <v>581</v>
      </c>
    </row>
    <row r="580">
      <c r="A580" t="s">
        <v>582</v>
      </c>
    </row>
    <row r="581">
      <c r="A581" t="s">
        <v>583</v>
      </c>
    </row>
    <row r="582">
      <c r="A582" t="s">
        <v>584</v>
      </c>
    </row>
    <row r="583">
      <c r="A583" t="s">
        <v>585</v>
      </c>
    </row>
    <row r="584">
      <c r="A584" t="s">
        <v>586</v>
      </c>
    </row>
    <row r="585">
      <c r="A585" t="s">
        <v>587</v>
      </c>
    </row>
    <row r="586">
      <c r="A586" t="s">
        <v>588</v>
      </c>
    </row>
    <row r="587">
      <c r="A587" t="s">
        <v>589</v>
      </c>
    </row>
    <row r="588">
      <c r="A588" t="s">
        <v>590</v>
      </c>
    </row>
    <row r="589">
      <c r="A589" t="s">
        <v>591</v>
      </c>
    </row>
    <row r="590">
      <c r="A590" t="s">
        <v>592</v>
      </c>
    </row>
    <row r="591">
      <c r="A591" t="s">
        <v>593</v>
      </c>
    </row>
    <row r="592">
      <c r="A592" t="s">
        <v>594</v>
      </c>
    </row>
    <row r="593">
      <c r="A593" t="s">
        <v>595</v>
      </c>
    </row>
    <row r="594">
      <c r="A594" t="s">
        <v>596</v>
      </c>
    </row>
    <row r="595">
      <c r="A595" t="s">
        <v>597</v>
      </c>
    </row>
    <row r="596">
      <c r="A596" t="s">
        <v>598</v>
      </c>
    </row>
    <row r="597">
      <c r="A597" t="s">
        <v>599</v>
      </c>
    </row>
    <row r="598">
      <c r="A598" t="s">
        <v>600</v>
      </c>
    </row>
    <row r="599">
      <c r="A599" t="s">
        <v>601</v>
      </c>
    </row>
    <row r="600">
      <c r="A600" t="s">
        <v>602</v>
      </c>
    </row>
    <row r="601">
      <c r="A601" t="s">
        <v>603</v>
      </c>
    </row>
    <row r="602">
      <c r="A602" t="s">
        <v>604</v>
      </c>
    </row>
    <row r="603">
      <c r="A603" t="s">
        <v>605</v>
      </c>
    </row>
    <row r="604">
      <c r="A604" t="s">
        <v>606</v>
      </c>
    </row>
    <row r="605">
      <c r="A605" t="s">
        <v>607</v>
      </c>
    </row>
    <row r="606">
      <c r="A606" t="s">
        <v>608</v>
      </c>
    </row>
    <row r="607">
      <c r="A607" t="s">
        <v>609</v>
      </c>
    </row>
    <row r="608">
      <c r="A608" t="s">
        <v>610</v>
      </c>
    </row>
    <row r="609">
      <c r="A609" t="s">
        <v>611</v>
      </c>
    </row>
    <row r="610">
      <c r="A610" t="s">
        <v>612</v>
      </c>
    </row>
    <row r="611">
      <c r="A611" t="s">
        <v>613</v>
      </c>
    </row>
    <row r="612">
      <c r="A612" t="s">
        <v>614</v>
      </c>
    </row>
    <row r="613">
      <c r="A613" t="s">
        <v>615</v>
      </c>
    </row>
    <row r="614">
      <c r="A614" t="s">
        <v>616</v>
      </c>
    </row>
    <row r="615">
      <c r="A615" t="s">
        <v>617</v>
      </c>
    </row>
    <row r="616">
      <c r="A616" t="s">
        <v>618</v>
      </c>
    </row>
    <row r="617">
      <c r="A617" t="s">
        <v>619</v>
      </c>
    </row>
    <row r="618">
      <c r="A618" t="s">
        <v>620</v>
      </c>
    </row>
    <row r="619">
      <c r="A619" t="s">
        <v>621</v>
      </c>
    </row>
    <row r="620">
      <c r="A620" t="s">
        <v>622</v>
      </c>
    </row>
    <row r="621">
      <c r="A621" t="s">
        <v>623</v>
      </c>
    </row>
    <row r="622">
      <c r="A622" t="s">
        <v>624</v>
      </c>
    </row>
    <row r="623">
      <c r="A623" t="s">
        <v>625</v>
      </c>
    </row>
    <row r="624">
      <c r="A624" t="s">
        <v>626</v>
      </c>
    </row>
    <row r="625">
      <c r="A625" t="s">
        <v>627</v>
      </c>
    </row>
    <row r="626">
      <c r="A626" t="s">
        <v>628</v>
      </c>
    </row>
    <row r="627">
      <c r="A627" t="s">
        <v>629</v>
      </c>
    </row>
    <row r="628">
      <c r="A628" t="s">
        <v>630</v>
      </c>
    </row>
    <row r="629">
      <c r="A629" t="s">
        <v>631</v>
      </c>
    </row>
    <row r="630">
      <c r="A630" t="s">
        <v>632</v>
      </c>
    </row>
    <row r="631">
      <c r="A631" t="s">
        <v>633</v>
      </c>
    </row>
    <row r="632">
      <c r="A632" t="s">
        <v>634</v>
      </c>
    </row>
    <row r="633">
      <c r="A633" t="s">
        <v>635</v>
      </c>
    </row>
    <row r="634">
      <c r="A634" t="s">
        <v>636</v>
      </c>
    </row>
    <row r="635">
      <c r="A635" t="s">
        <v>637</v>
      </c>
    </row>
    <row r="636">
      <c r="A636" t="s">
        <v>638</v>
      </c>
    </row>
    <row r="637">
      <c r="A637" t="s">
        <v>639</v>
      </c>
    </row>
    <row r="638">
      <c r="A638" t="s">
        <v>640</v>
      </c>
    </row>
    <row r="639">
      <c r="A639" t="s">
        <v>641</v>
      </c>
    </row>
    <row r="640">
      <c r="A640" t="s">
        <v>642</v>
      </c>
    </row>
    <row r="641">
      <c r="A641" t="s">
        <v>643</v>
      </c>
    </row>
    <row r="642">
      <c r="A642" t="s">
        <v>644</v>
      </c>
    </row>
    <row r="643">
      <c r="A643" t="s">
        <v>645</v>
      </c>
    </row>
    <row r="644">
      <c r="A644" t="s">
        <v>646</v>
      </c>
    </row>
    <row r="645">
      <c r="A645" t="s">
        <v>647</v>
      </c>
    </row>
    <row r="646">
      <c r="A646" t="s">
        <v>648</v>
      </c>
    </row>
    <row r="647">
      <c r="A647" t="s">
        <v>649</v>
      </c>
    </row>
    <row r="648">
      <c r="A648" t="s">
        <v>650</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53227D88-ED24-494F-8F48-821102458A1D}"/>
</file>

<file path=customXml/itemProps2.xml><?xml version="1.0" encoding="utf-8"?>
<ds:datastoreItem xmlns:ds="http://schemas.openxmlformats.org/officeDocument/2006/customXml" ds:itemID="{2B367AB3-14B0-47D3-952A-3CFB364345B6}"/>
</file>

<file path=customXml/itemProps3.xml><?xml version="1.0" encoding="utf-8"?>
<ds:datastoreItem xmlns:ds="http://schemas.openxmlformats.org/officeDocument/2006/customXml" ds:itemID="{DB9CA672-B790-4DAA-A55F-13E2F164F56E}"/>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de Sousa</cp:lastModifiedBy>
  <cp:revision>0</cp:revision>
  <dcterms:created xsi:type="dcterms:W3CDTF">2026-08-21T05:50:13Z</dcterms:created>
  <dcterms:modified xsi:type="dcterms:W3CDTF">2026-10-24T04:19:48Z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