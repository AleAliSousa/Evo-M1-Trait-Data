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4" documentId="11_183E40340B8E58E2936C77BA7BBE85CDA9CF2B7F" xr6:coauthVersionLast="47" xr6:coauthVersionMax="47" xr10:uidLastSave="{1A90E1BA-3AA3-8543-9EED-A21AA9942DF2}"/>
  <bookViews>
    <workbookView xWindow="36260" yWindow="-5960" windowWidth="39560" windowHeight="28300" xr2:uid="{00000000-000D-0000-FFFF-FFFF00000000}"/>
  </bookViews>
  <sheets>
    <sheet name="Sheet1" sheetId="1" r:id="rId1"/>
    <sheet name="Pipeline" sheetId="3" r:id="rId2"/>
    <sheet name="Conflicts" sheetId="4" r:id="rId3"/>
    <sheet name="FileList"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a="1"/>
  <c r="M3" i="1" s="1"/>
  <c r="M4" i="1" a="1"/>
  <c r="M4" i="1"/>
  <c r="M5" i="1" a="1"/>
  <c r="M5" i="1" s="1"/>
  <c r="M6" i="1" a="1"/>
  <c r="M6" i="1" s="1"/>
  <c r="M7" i="1" a="1"/>
  <c r="M7" i="1" s="1"/>
  <c r="M8" i="1" a="1"/>
  <c r="M8" i="1" s="1"/>
  <c r="M9" i="1" a="1"/>
  <c r="M9" i="1"/>
  <c r="M10" i="1" a="1"/>
  <c r="M10" i="1" s="1"/>
  <c r="M11" i="1" a="1"/>
  <c r="M11" i="1" s="1"/>
  <c r="M12" i="1" a="1"/>
  <c r="M12" i="1" s="1"/>
  <c r="M13" i="1" a="1"/>
  <c r="M13" i="1" s="1"/>
  <c r="M14" i="1" a="1"/>
  <c r="M14" i="1"/>
  <c r="M15" i="1" a="1"/>
  <c r="M15" i="1" s="1"/>
  <c r="M16" i="1" a="1"/>
  <c r="M16" i="1" s="1"/>
  <c r="M17" i="1" a="1"/>
  <c r="M17" i="1" s="1"/>
  <c r="M18" i="1" a="1"/>
  <c r="M18" i="1" s="1"/>
  <c r="M19" i="1" a="1"/>
  <c r="M19" i="1"/>
  <c r="M20" i="1" a="1"/>
  <c r="M20" i="1" s="1"/>
  <c r="M21" i="1" a="1"/>
  <c r="M21" i="1" s="1"/>
  <c r="M22" i="1" a="1"/>
  <c r="M22" i="1" s="1"/>
  <c r="M23" i="1" a="1"/>
  <c r="M23" i="1" s="1"/>
  <c r="M25" i="1" a="1"/>
  <c r="M25" i="1" s="1"/>
  <c r="M26" i="1" a="1"/>
  <c r="M26" i="1" s="1"/>
  <c r="M27" i="1" a="1"/>
  <c r="M27" i="1" s="1"/>
  <c r="M28" i="1" a="1"/>
  <c r="M28" i="1" s="1"/>
  <c r="M29" i="1" a="1"/>
  <c r="M29" i="1"/>
  <c r="M30" i="1" a="1"/>
  <c r="M30" i="1" s="1"/>
  <c r="M31" i="1" a="1"/>
  <c r="M31" i="1" s="1"/>
  <c r="M32" i="1" a="1"/>
  <c r="M32" i="1" s="1"/>
  <c r="M33" i="1" a="1"/>
  <c r="M33" i="1" s="1"/>
  <c r="M34" i="1" a="1"/>
  <c r="M34" i="1"/>
  <c r="M35" i="1" a="1"/>
  <c r="M35" i="1" s="1"/>
  <c r="M36" i="1" a="1"/>
  <c r="M36" i="1" s="1"/>
  <c r="M37" i="1" a="1"/>
  <c r="M37" i="1" s="1"/>
  <c r="M38" i="1" a="1"/>
  <c r="M38" i="1" s="1"/>
  <c r="M39" i="1" a="1"/>
  <c r="M39" i="1"/>
  <c r="M40" i="1" a="1"/>
  <c r="M40" i="1" s="1"/>
  <c r="M41" i="1" a="1"/>
  <c r="M41" i="1" s="1"/>
  <c r="M42" i="1" a="1"/>
  <c r="M42" i="1" s="1"/>
  <c r="M43" i="1" a="1"/>
  <c r="M43" i="1" s="1"/>
  <c r="M44" i="1" a="1"/>
  <c r="M44" i="1"/>
  <c r="M45" i="1" a="1"/>
  <c r="M45" i="1" s="1"/>
  <c r="M46" i="1" a="1"/>
  <c r="M46" i="1" s="1"/>
  <c r="M47" i="1" a="1"/>
  <c r="M47" i="1" s="1"/>
  <c r="M48" i="1" a="1"/>
  <c r="M48" i="1" s="1"/>
  <c r="M49" i="1" a="1"/>
  <c r="M49" i="1"/>
  <c r="M50" i="1" a="1"/>
  <c r="M50" i="1" s="1"/>
  <c r="M51" i="1" a="1"/>
  <c r="M51" i="1" s="1"/>
  <c r="M52" i="1" a="1"/>
  <c r="M52" i="1" s="1"/>
  <c r="M53" i="1" a="1"/>
  <c r="M53" i="1" s="1"/>
  <c r="M54" i="1" a="1"/>
  <c r="M54" i="1" s="1"/>
  <c r="M55" i="1" a="1"/>
  <c r="M55" i="1" s="1"/>
  <c r="M56" i="1" a="1"/>
  <c r="M56" i="1" s="1"/>
  <c r="M57" i="1" a="1"/>
  <c r="M57" i="1" s="1"/>
  <c r="M58" i="1" a="1"/>
  <c r="M58" i="1" s="1"/>
  <c r="M59" i="1" a="1"/>
  <c r="M59" i="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2" i="1" a="1"/>
  <c r="M2" i="1" s="1"/>
  <c r="T75" i="1"/>
  <c r="H75" i="1"/>
  <c r="L75" i="1" s="1"/>
  <c r="G75" i="1"/>
  <c r="F75" i="1"/>
  <c r="E75" i="1"/>
  <c r="D75" i="1" s="1"/>
  <c r="K75" i="1" s="1"/>
  <c r="C75" i="1"/>
  <c r="T74" i="1"/>
  <c r="K74" i="1"/>
  <c r="H74" i="1"/>
  <c r="L74" i="1" s="1"/>
  <c r="G74" i="1"/>
  <c r="F74" i="1"/>
  <c r="E74" i="1"/>
  <c r="D74" i="1" s="1"/>
  <c r="C74" i="1"/>
  <c r="H73" i="1"/>
  <c r="L73" i="1" s="1"/>
  <c r="G73" i="1"/>
  <c r="F73" i="1"/>
  <c r="E73" i="1"/>
  <c r="D73" i="1" s="1"/>
  <c r="K73" i="1" s="1"/>
  <c r="C73" i="1"/>
  <c r="K72" i="1"/>
  <c r="H72" i="1"/>
  <c r="L72" i="1" s="1"/>
  <c r="G72" i="1"/>
  <c r="F72" i="1"/>
  <c r="E72" i="1"/>
  <c r="D72" i="1" s="1"/>
  <c r="C72" i="1"/>
  <c r="H71" i="1"/>
  <c r="L71" i="1" s="1"/>
  <c r="G71" i="1"/>
  <c r="F71" i="1"/>
  <c r="E71" i="1"/>
  <c r="D71" i="1" s="1"/>
  <c r="K71" i="1" s="1"/>
  <c r="C71" i="1"/>
  <c r="H70" i="1"/>
  <c r="L70" i="1" s="1"/>
  <c r="G70" i="1"/>
  <c r="F70" i="1"/>
  <c r="E70" i="1"/>
  <c r="D70" i="1" s="1"/>
  <c r="K70" i="1" s="1"/>
  <c r="C70" i="1"/>
  <c r="K69" i="1"/>
  <c r="H69" i="1"/>
  <c r="L69" i="1" s="1"/>
  <c r="G69" i="1"/>
  <c r="F69" i="1"/>
  <c r="E69" i="1"/>
  <c r="D69" i="1" s="1"/>
  <c r="C69" i="1"/>
  <c r="T68" i="1"/>
  <c r="L68" i="1"/>
  <c r="H68" i="1"/>
  <c r="G68" i="1"/>
  <c r="F68" i="1"/>
  <c r="D68" i="1" s="1"/>
  <c r="K68" i="1" s="1"/>
  <c r="E68" i="1"/>
  <c r="C68" i="1"/>
  <c r="T67" i="1"/>
  <c r="L67" i="1"/>
  <c r="H67" i="1"/>
  <c r="G67" i="1"/>
  <c r="F67" i="1"/>
  <c r="E67" i="1"/>
  <c r="D67" i="1"/>
  <c r="K67" i="1" s="1"/>
  <c r="C67" i="1"/>
  <c r="T66" i="1"/>
  <c r="L66" i="1"/>
  <c r="H66" i="1"/>
  <c r="G66" i="1"/>
  <c r="F66" i="1"/>
  <c r="E66" i="1"/>
  <c r="D66" i="1" s="1"/>
  <c r="K66" i="1" s="1"/>
  <c r="C66" i="1"/>
  <c r="H65" i="1"/>
  <c r="L65" i="1" s="1"/>
  <c r="G65" i="1"/>
  <c r="F65" i="1"/>
  <c r="E65" i="1"/>
  <c r="D65" i="1" s="1"/>
  <c r="K65" i="1" s="1"/>
  <c r="C65" i="1"/>
  <c r="H64" i="1"/>
  <c r="L64" i="1" s="1"/>
  <c r="G64" i="1"/>
  <c r="F64" i="1"/>
  <c r="E64" i="1"/>
  <c r="D64" i="1" s="1"/>
  <c r="K64" i="1" s="1"/>
  <c r="C64" i="1"/>
  <c r="T63" i="1"/>
  <c r="H63" i="1"/>
  <c r="L63" i="1" s="1"/>
  <c r="G63" i="1"/>
  <c r="F63" i="1"/>
  <c r="D63" i="1" s="1"/>
  <c r="K63" i="1" s="1"/>
  <c r="E63" i="1"/>
  <c r="C63" i="1"/>
  <c r="H62" i="1"/>
  <c r="L62" i="1" s="1"/>
  <c r="G62" i="1"/>
  <c r="F62" i="1"/>
  <c r="D62" i="1" s="1"/>
  <c r="K62" i="1" s="1"/>
  <c r="E62" i="1"/>
  <c r="C62" i="1"/>
  <c r="H61" i="1"/>
  <c r="L61" i="1" s="1"/>
  <c r="G61" i="1"/>
  <c r="F61" i="1"/>
  <c r="D61" i="1" s="1"/>
  <c r="K61" i="1" s="1"/>
  <c r="E61" i="1"/>
  <c r="C61" i="1"/>
  <c r="H60" i="1"/>
  <c r="L60" i="1" s="1"/>
  <c r="G60" i="1"/>
  <c r="F60" i="1"/>
  <c r="D60" i="1" s="1"/>
  <c r="K60" i="1" s="1"/>
  <c r="E60" i="1"/>
  <c r="C60" i="1"/>
  <c r="H59" i="1"/>
  <c r="L59" i="1" s="1"/>
  <c r="G59" i="1"/>
  <c r="F59" i="1"/>
  <c r="D59" i="1" s="1"/>
  <c r="K59" i="1" s="1"/>
  <c r="E59" i="1"/>
  <c r="C59" i="1"/>
  <c r="H58" i="1"/>
  <c r="L58" i="1" s="1"/>
  <c r="G58" i="1"/>
  <c r="F58" i="1"/>
  <c r="D58" i="1" s="1"/>
  <c r="K58" i="1" s="1"/>
  <c r="E58" i="1"/>
  <c r="C58" i="1"/>
  <c r="H57" i="1"/>
  <c r="L57" i="1" s="1"/>
  <c r="G57" i="1"/>
  <c r="F57" i="1"/>
  <c r="D57" i="1" s="1"/>
  <c r="K57" i="1" s="1"/>
  <c r="E57" i="1"/>
  <c r="C57" i="1"/>
  <c r="H56" i="1"/>
  <c r="L56" i="1" s="1"/>
  <c r="G56" i="1"/>
  <c r="F56" i="1"/>
  <c r="D56" i="1" s="1"/>
  <c r="K56" i="1" s="1"/>
  <c r="E56" i="1"/>
  <c r="C56" i="1"/>
  <c r="H55" i="1"/>
  <c r="L55" i="1" s="1"/>
  <c r="G55" i="1"/>
  <c r="F55" i="1"/>
  <c r="D55" i="1" s="1"/>
  <c r="K55" i="1" s="1"/>
  <c r="E55" i="1"/>
  <c r="C55" i="1"/>
  <c r="H54" i="1"/>
  <c r="L54" i="1" s="1"/>
  <c r="G54" i="1"/>
  <c r="F54" i="1"/>
  <c r="D54" i="1" s="1"/>
  <c r="K54" i="1" s="1"/>
  <c r="E54" i="1"/>
  <c r="C54" i="1"/>
  <c r="T53" i="1"/>
  <c r="L53" i="1"/>
  <c r="H53" i="1"/>
  <c r="G53" i="1"/>
  <c r="D53" i="1" s="1"/>
  <c r="K53" i="1" s="1"/>
  <c r="F53" i="1"/>
  <c r="E53" i="1"/>
  <c r="C53" i="1"/>
  <c r="T52" i="1"/>
  <c r="H52" i="1"/>
  <c r="L52" i="1" s="1"/>
  <c r="G52" i="1"/>
  <c r="F52" i="1"/>
  <c r="E52" i="1"/>
  <c r="D52" i="1" s="1"/>
  <c r="K52" i="1" s="1"/>
  <c r="C52" i="1"/>
  <c r="T51" i="1"/>
  <c r="L51" i="1"/>
  <c r="H51" i="1"/>
  <c r="G51" i="1"/>
  <c r="F51" i="1"/>
  <c r="E51" i="1"/>
  <c r="D51" i="1" s="1"/>
  <c r="K51" i="1" s="1"/>
  <c r="C51" i="1"/>
  <c r="T50" i="1"/>
  <c r="L50" i="1"/>
  <c r="H50" i="1"/>
  <c r="G50" i="1"/>
  <c r="F50" i="1"/>
  <c r="E50" i="1"/>
  <c r="D50" i="1" s="1"/>
  <c r="K50" i="1" s="1"/>
  <c r="C50" i="1"/>
  <c r="L49" i="1"/>
  <c r="H49" i="1"/>
  <c r="G49" i="1"/>
  <c r="F49" i="1"/>
  <c r="E49" i="1"/>
  <c r="D49" i="1" s="1"/>
  <c r="K49" i="1" s="1"/>
  <c r="C49" i="1"/>
  <c r="L48" i="1"/>
  <c r="H48" i="1"/>
  <c r="G48" i="1"/>
  <c r="F48" i="1"/>
  <c r="E48" i="1"/>
  <c r="C48" i="1"/>
  <c r="L47" i="1"/>
  <c r="H47" i="1"/>
  <c r="G47" i="1"/>
  <c r="F47" i="1"/>
  <c r="E47" i="1"/>
  <c r="C47" i="1"/>
  <c r="L46" i="1"/>
  <c r="H46" i="1"/>
  <c r="G46" i="1"/>
  <c r="F46" i="1"/>
  <c r="E46" i="1"/>
  <c r="D46" i="1" s="1"/>
  <c r="K46" i="1" s="1"/>
  <c r="C46" i="1"/>
  <c r="L45" i="1"/>
  <c r="H45" i="1"/>
  <c r="G45" i="1"/>
  <c r="F45" i="1"/>
  <c r="E45" i="1"/>
  <c r="D45" i="1" s="1"/>
  <c r="K45" i="1" s="1"/>
  <c r="C45" i="1"/>
  <c r="L44" i="1"/>
  <c r="H44" i="1"/>
  <c r="G44" i="1"/>
  <c r="F44" i="1"/>
  <c r="E44" i="1"/>
  <c r="C44" i="1"/>
  <c r="L43" i="1"/>
  <c r="H43" i="1"/>
  <c r="G43" i="1"/>
  <c r="F43" i="1"/>
  <c r="E43" i="1"/>
  <c r="C43" i="1"/>
  <c r="L42" i="1"/>
  <c r="H42" i="1"/>
  <c r="G42" i="1"/>
  <c r="F42" i="1"/>
  <c r="E42" i="1"/>
  <c r="D42" i="1" s="1"/>
  <c r="K42" i="1" s="1"/>
  <c r="C42" i="1"/>
  <c r="L41" i="1"/>
  <c r="H41" i="1"/>
  <c r="G41" i="1"/>
  <c r="F41" i="1"/>
  <c r="E41" i="1"/>
  <c r="D41" i="1" s="1"/>
  <c r="K41" i="1" s="1"/>
  <c r="C41" i="1"/>
  <c r="L40" i="1"/>
  <c r="H40" i="1"/>
  <c r="G40" i="1"/>
  <c r="F40" i="1"/>
  <c r="E40" i="1"/>
  <c r="C40" i="1"/>
  <c r="L39" i="1"/>
  <c r="H39" i="1"/>
  <c r="G39" i="1"/>
  <c r="F39" i="1"/>
  <c r="E39" i="1"/>
  <c r="C39" i="1"/>
  <c r="L38" i="1"/>
  <c r="H38" i="1"/>
  <c r="G38" i="1"/>
  <c r="F38" i="1"/>
  <c r="E38" i="1"/>
  <c r="C38" i="1"/>
  <c r="L37" i="1"/>
  <c r="H37" i="1"/>
  <c r="G37" i="1"/>
  <c r="F37" i="1"/>
  <c r="E37" i="1"/>
  <c r="C37" i="1"/>
  <c r="L36" i="1"/>
  <c r="H36" i="1"/>
  <c r="G36" i="1"/>
  <c r="F36" i="1"/>
  <c r="E36" i="1"/>
  <c r="D36" i="1" s="1"/>
  <c r="K36" i="1" s="1"/>
  <c r="C36" i="1"/>
  <c r="L35" i="1"/>
  <c r="H35" i="1"/>
  <c r="G35" i="1"/>
  <c r="F35" i="1"/>
  <c r="E35" i="1"/>
  <c r="D35" i="1" s="1"/>
  <c r="K35" i="1" s="1"/>
  <c r="C35" i="1"/>
  <c r="L34" i="1"/>
  <c r="H34" i="1"/>
  <c r="G34" i="1"/>
  <c r="F34" i="1"/>
  <c r="E34" i="1"/>
  <c r="C34" i="1"/>
  <c r="L33" i="1"/>
  <c r="H33" i="1"/>
  <c r="G33" i="1"/>
  <c r="F33" i="1"/>
  <c r="E33" i="1"/>
  <c r="C33" i="1"/>
  <c r="L32" i="1"/>
  <c r="H32" i="1"/>
  <c r="G32" i="1"/>
  <c r="F32" i="1"/>
  <c r="E32" i="1"/>
  <c r="D32" i="1" s="1"/>
  <c r="K32" i="1" s="1"/>
  <c r="C32" i="1"/>
  <c r="T31" i="1"/>
  <c r="H31" i="1"/>
  <c r="L31" i="1" s="1"/>
  <c r="G31" i="1"/>
  <c r="F31" i="1"/>
  <c r="E31" i="1"/>
  <c r="D31" i="1"/>
  <c r="K31" i="1" s="1"/>
  <c r="C31" i="1"/>
  <c r="T30" i="1"/>
  <c r="K30" i="1"/>
  <c r="H30" i="1"/>
  <c r="L30" i="1" s="1"/>
  <c r="G30" i="1"/>
  <c r="F30" i="1"/>
  <c r="E30" i="1"/>
  <c r="D30" i="1"/>
  <c r="C30" i="1"/>
  <c r="H29" i="1"/>
  <c r="L29" i="1" s="1"/>
  <c r="G29" i="1"/>
  <c r="F29" i="1"/>
  <c r="E29" i="1"/>
  <c r="D29" i="1" s="1"/>
  <c r="K29" i="1" s="1"/>
  <c r="C29" i="1"/>
  <c r="H28" i="1"/>
  <c r="L28" i="1" s="1"/>
  <c r="G28" i="1"/>
  <c r="F28" i="1"/>
  <c r="E28" i="1"/>
  <c r="D28" i="1" s="1"/>
  <c r="K28" i="1" s="1"/>
  <c r="C28" i="1"/>
  <c r="H27" i="1"/>
  <c r="L27" i="1" s="1"/>
  <c r="G27" i="1"/>
  <c r="F27" i="1"/>
  <c r="E27" i="1"/>
  <c r="D27" i="1" s="1"/>
  <c r="K27" i="1" s="1"/>
  <c r="C27" i="1"/>
  <c r="H26" i="1"/>
  <c r="L26" i="1" s="1"/>
  <c r="G26" i="1"/>
  <c r="F26" i="1"/>
  <c r="E26" i="1"/>
  <c r="D26" i="1"/>
  <c r="K26" i="1" s="1"/>
  <c r="C26" i="1"/>
  <c r="K25" i="1"/>
  <c r="H25" i="1"/>
  <c r="L25" i="1" s="1"/>
  <c r="G25" i="1"/>
  <c r="F25" i="1"/>
  <c r="E25" i="1"/>
  <c r="D25" i="1"/>
  <c r="C25" i="1"/>
  <c r="H24" i="1"/>
  <c r="L24" i="1" s="1"/>
  <c r="M24" i="1" s="1" a="1"/>
  <c r="M24" i="1" s="1"/>
  <c r="G24" i="1"/>
  <c r="F24" i="1"/>
  <c r="E24" i="1"/>
  <c r="C24" i="1"/>
  <c r="H23" i="1"/>
  <c r="L23" i="1" s="1"/>
  <c r="G23" i="1"/>
  <c r="F23" i="1"/>
  <c r="E23" i="1"/>
  <c r="D23" i="1" s="1"/>
  <c r="K23" i="1" s="1"/>
  <c r="C23" i="1"/>
  <c r="H22" i="1"/>
  <c r="L22" i="1" s="1"/>
  <c r="G22" i="1"/>
  <c r="F22" i="1"/>
  <c r="E22" i="1"/>
  <c r="D22" i="1" s="1"/>
  <c r="K22" i="1" s="1"/>
  <c r="C22" i="1"/>
  <c r="L21" i="1"/>
  <c r="H21" i="1"/>
  <c r="G21" i="1"/>
  <c r="F21" i="1"/>
  <c r="E21" i="1"/>
  <c r="D21" i="1"/>
  <c r="K21" i="1" s="1"/>
  <c r="C21" i="1"/>
  <c r="H20" i="1"/>
  <c r="L20" i="1" s="1"/>
  <c r="G20" i="1"/>
  <c r="F20" i="1"/>
  <c r="E20" i="1"/>
  <c r="D20" i="1"/>
  <c r="K20" i="1" s="1"/>
  <c r="C20" i="1"/>
  <c r="L19" i="1"/>
  <c r="H19" i="1"/>
  <c r="G19" i="1"/>
  <c r="F19" i="1"/>
  <c r="E19" i="1"/>
  <c r="D19" i="1"/>
  <c r="K19" i="1" s="1"/>
  <c r="C19" i="1"/>
  <c r="L18" i="1"/>
  <c r="K18" i="1"/>
  <c r="H18" i="1"/>
  <c r="G18" i="1"/>
  <c r="F18" i="1"/>
  <c r="E18" i="1"/>
  <c r="D18" i="1"/>
  <c r="C18" i="1"/>
  <c r="H17" i="1"/>
  <c r="L17" i="1" s="1"/>
  <c r="G17" i="1"/>
  <c r="F17" i="1"/>
  <c r="D17" i="1" s="1"/>
  <c r="K17" i="1" s="1"/>
  <c r="E17" i="1"/>
  <c r="C17" i="1"/>
  <c r="L16" i="1"/>
  <c r="H16" i="1"/>
  <c r="G16" i="1"/>
  <c r="F16" i="1"/>
  <c r="E16" i="1"/>
  <c r="D16" i="1" s="1"/>
  <c r="K16" i="1" s="1"/>
  <c r="C16" i="1"/>
  <c r="H15" i="1"/>
  <c r="L15" i="1" s="1"/>
  <c r="G15" i="1"/>
  <c r="F15" i="1"/>
  <c r="D15" i="1" s="1"/>
  <c r="K15" i="1" s="1"/>
  <c r="E15" i="1"/>
  <c r="C15" i="1"/>
  <c r="H14" i="1"/>
  <c r="L14" i="1" s="1"/>
  <c r="G14" i="1"/>
  <c r="F14" i="1"/>
  <c r="E14" i="1"/>
  <c r="D14" i="1" s="1"/>
  <c r="K14" i="1" s="1"/>
  <c r="C14" i="1"/>
  <c r="H13" i="1"/>
  <c r="L13" i="1" s="1"/>
  <c r="G13" i="1"/>
  <c r="F13" i="1"/>
  <c r="E13" i="1"/>
  <c r="D13" i="1"/>
  <c r="K13" i="1" s="1"/>
  <c r="C13" i="1"/>
  <c r="T12" i="1"/>
  <c r="L12" i="1"/>
  <c r="H12" i="1"/>
  <c r="G12" i="1"/>
  <c r="F12" i="1"/>
  <c r="E12" i="1"/>
  <c r="C12" i="1"/>
  <c r="L11" i="1"/>
  <c r="H11" i="1"/>
  <c r="G11" i="1"/>
  <c r="F11" i="1"/>
  <c r="E11" i="1"/>
  <c r="D11" i="1" s="1"/>
  <c r="K11" i="1" s="1"/>
  <c r="C11" i="1"/>
  <c r="L10" i="1"/>
  <c r="H10" i="1"/>
  <c r="G10" i="1"/>
  <c r="F10" i="1"/>
  <c r="E10" i="1"/>
  <c r="D10" i="1" s="1"/>
  <c r="K10" i="1" s="1"/>
  <c r="C10" i="1"/>
  <c r="T9" i="1"/>
  <c r="L9" i="1"/>
  <c r="H9" i="1"/>
  <c r="G9" i="1"/>
  <c r="F9" i="1"/>
  <c r="E9" i="1"/>
  <c r="D9" i="1"/>
  <c r="K9" i="1" s="1"/>
  <c r="C9" i="1"/>
  <c r="H8" i="1"/>
  <c r="L8" i="1" s="1"/>
  <c r="G8" i="1"/>
  <c r="F8" i="1"/>
  <c r="D8" i="1" s="1"/>
  <c r="K8" i="1" s="1"/>
  <c r="E8" i="1"/>
  <c r="C8" i="1"/>
  <c r="L7" i="1"/>
  <c r="H7" i="1"/>
  <c r="G7" i="1"/>
  <c r="F7" i="1"/>
  <c r="E7" i="1"/>
  <c r="D7" i="1" s="1"/>
  <c r="K7" i="1" s="1"/>
  <c r="C7" i="1"/>
  <c r="T6" i="1"/>
  <c r="H6" i="1"/>
  <c r="L6" i="1" s="1"/>
  <c r="G6" i="1"/>
  <c r="F6" i="1"/>
  <c r="E6" i="1"/>
  <c r="C6" i="1"/>
  <c r="L5" i="1"/>
  <c r="H5" i="1"/>
  <c r="G5" i="1"/>
  <c r="F5" i="1"/>
  <c r="E5" i="1"/>
  <c r="C5" i="1"/>
  <c r="L4" i="1"/>
  <c r="H4" i="1"/>
  <c r="G4" i="1"/>
  <c r="F4" i="1"/>
  <c r="E4" i="1"/>
  <c r="D4" i="1" s="1"/>
  <c r="K4" i="1" s="1"/>
  <c r="C4" i="1"/>
  <c r="L3" i="1"/>
  <c r="H3" i="1"/>
  <c r="G3" i="1"/>
  <c r="F3" i="1"/>
  <c r="E3" i="1"/>
  <c r="C3" i="1"/>
  <c r="H2" i="1"/>
  <c r="L2" i="1" s="1"/>
  <c r="G2" i="1"/>
  <c r="F2" i="1"/>
  <c r="E2" i="1"/>
  <c r="D2" i="1" s="1"/>
  <c r="K2" i="1" s="1"/>
  <c r="C2" i="1"/>
  <c r="D24" i="1" l="1"/>
  <c r="K24" i="1" s="1"/>
  <c r="D3" i="1"/>
  <c r="K3" i="1" s="1"/>
  <c r="D12" i="1"/>
  <c r="K12" i="1" s="1"/>
  <c r="D39" i="1"/>
  <c r="K39" i="1" s="1"/>
  <c r="D38" i="1"/>
  <c r="K38" i="1" s="1"/>
  <c r="D48" i="1"/>
  <c r="K48" i="1" s="1"/>
  <c r="D34" i="1"/>
  <c r="K34" i="1" s="1"/>
  <c r="D44" i="1"/>
  <c r="K44" i="1" s="1"/>
  <c r="D37" i="1"/>
  <c r="K37" i="1" s="1"/>
  <c r="D47" i="1"/>
  <c r="K47" i="1" s="1"/>
  <c r="D6" i="1"/>
  <c r="K6" i="1" s="1"/>
  <c r="D40" i="1"/>
  <c r="K40" i="1" s="1"/>
  <c r="D5" i="1"/>
  <c r="K5" i="1" s="1"/>
  <c r="D33" i="1"/>
  <c r="K33" i="1" s="1"/>
  <c r="D43" i="1"/>
  <c r="K4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<sst xmlns="http://schemas.openxmlformats.org/spreadsheetml/2006/main" count="782" uniqueCount="407">
  <si>
    <t>Citation (APA 7th-Annotated)</t>
  </si>
  <si>
    <t>sequence</t>
  </si>
  <si>
    <t>end</t>
  </si>
  <si>
    <t>Publication name</t>
  </si>
  <si>
    <t>1st Author</t>
  </si>
  <si>
    <t>other author(s)</t>
  </si>
  <si>
    <t>year</t>
  </si>
  <si>
    <t>DOI (or Alt)</t>
  </si>
  <si>
    <t>DOI if different from article</t>
  </si>
  <si>
    <t>Item number</t>
  </si>
  <si>
    <t>Item name</t>
  </si>
  <si>
    <t>Item encoded</t>
  </si>
  <si>
    <t>Item in directory FileList</t>
  </si>
  <si>
    <t>Item full name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</si>
  <si>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</si>
  <si>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</si>
  <si>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</si>
  <si>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</si>
  <si>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</si>
  <si>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</si>
  <si>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</si>
  <si>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</si>
  <si>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</si>
  <si>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</si>
  <si>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</si>
  <si>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</si>
  <si>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</si>
  <si>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</si>
  <si>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</si>
  <si>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</si>
  <si>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</si>
  <si>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</si>
  <si>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</si>
  <si>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</si>
  <si>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</si>
  <si>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</si>
  <si>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</si>
  <si>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Avelino-de-Souza, K., Patzke, N., Karlsson, K. A. E., Manger, P. R., &amp; Herculano-Houzel, S. (2025). Cellular Composition of the Brain of a Northern Minke Whale. J Comp Neurol, 533(9), e70089. https://doi.org/10.1002/cne.70089</t>
  </si>
  <si>
    <t>TABLE 1</t>
  </si>
  <si>
    <t>table</t>
  </si>
  <si>
    <t>neuron number</t>
  </si>
  <si>
    <t>primary</t>
  </si>
  <si>
    <t>Baron, G., Frahm, H. D., Bhatnagar, K. P., &amp; Stephan, H. (1983). Comparison of brain structure volumes in Insectivora and Primates. III. Main olfactory bulb (MOB). J Hirnforsch, 24(5), 551-568. https://www.ncbi.nlm.nih.gov/pubmed/6663055</t>
  </si>
  <si>
    <t>10.0000/placeholder.1</t>
  </si>
  <si>
    <t>Table 1</t>
  </si>
  <si>
    <t>NO - not digitized</t>
  </si>
  <si>
    <t>Baron, G., Stephan, H., &amp; Frahm, H. D. (1987). Comparison of brain structure volumes in Insectivora and Primates. VI. Paleocortical components. J Hirnforsch, 28(4), 463-477. http://www.ncbi.nlm.nih.gov/pubmed/3116076</t>
  </si>
  <si>
    <t>10.0000/placeholder.2</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</si>
  <si>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</si>
  <si>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</si>
  <si>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</si>
  <si>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</si>
  <si>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</si>
  <si>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</si>
  <si>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</si>
  <si>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</si>
  <si>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</si>
  <si>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</si>
  <si>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</si>
  <si>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</si>
  <si>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</si>
  <si>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</si>
  <si>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</si>
  <si>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</si>
  <si>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</si>
  <si>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</si>
  <si>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</si>
  <si>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</si>
  <si>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</si>
  <si>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</si>
  <si>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</si>
  <si>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</si>
  <si>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 Cellular composition of the spinal cord</t>
  </si>
  <si>
    <t>added</t>
  </si>
  <si>
    <t>Burish_etal_2010_Table1_snapshot.csv</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</si>
  <si>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</si>
  <si>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</si>
  <si>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</si>
  <si>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</si>
  <si>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</si>
  <si>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</si>
  <si>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</si>
  <si>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</si>
  <si>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</si>
  <si>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</si>
  <si>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</si>
  <si>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</si>
  <si>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</si>
  <si>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</si>
  <si>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</si>
  <si>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</si>
  <si>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</si>
  <si>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</si>
  <si>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</si>
  <si>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</si>
  <si>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</si>
  <si>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</si>
  <si>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</si>
  <si>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</si>
  <si>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</si>
  <si>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</si>
  <si>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</si>
  <si>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</si>
  <si>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</si>
  <si>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</si>
  <si>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</si>
  <si>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</si>
  <si>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</si>
  <si>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</si>
  <si>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</si>
  <si>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</si>
  <si>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</si>
  <si>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</si>
  <si>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</si>
  <si>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</si>
  <si>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</si>
  <si>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</si>
  <si>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</si>
  <si>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</si>
  <si>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</si>
  <si>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</si>
  <si>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</si>
  <si>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</si>
  <si>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</si>
  <si>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 xml:space="preserve">mostly Stephan and other Ddorf studies </t>
  </si>
  <si>
    <t>Supplementary Data 1-Activity Period</t>
  </si>
  <si>
    <t>Activity Period</t>
  </si>
  <si>
    <t>Supplementary Data 1-Diet</t>
  </si>
  <si>
    <t>Diet</t>
  </si>
  <si>
    <t>Supplementary Data 1-Social System</t>
  </si>
  <si>
    <t>Social System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</si>
  <si>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</si>
  <si>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</si>
  <si>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</si>
  <si>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</si>
  <si>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</si>
  <si>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</si>
  <si>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</si>
  <si>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</si>
  <si>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</si>
  <si>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</si>
  <si>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</si>
  <si>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</si>
  <si>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</si>
  <si>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</si>
  <si>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</si>
  <si>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</si>
  <si>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</si>
  <si>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</si>
  <si>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unpublished</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</si>
  <si>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</si>
  <si>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</si>
  <si>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 xml:space="preserve">pdf </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</si>
  <si>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</si>
  <si>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</si>
  <si>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</si>
  <si>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</si>
  <si>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</si>
  <si>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</si>
  <si>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</si>
  <si>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</si>
  <si>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</si>
  <si>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</si>
  <si>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</si>
  <si>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</si>
  <si>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</si>
  <si>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</si>
  <si>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</si>
  <si>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</si>
  <si>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</si>
  <si>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</si>
  <si>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</si>
  <si>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</si>
  <si>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</si>
  <si>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</si>
  <si>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</si>
  <si>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</si>
  <si>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</si>
  <si>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</si>
  <si>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</si>
  <si>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</si>
  <si>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</si>
  <si>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</si>
  <si>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</si>
  <si>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</si>
  <si>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</si>
  <si>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</si>
  <si>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</si>
  <si>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</si>
  <si>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</si>
  <si>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</si>
  <si>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</si>
  <si>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</si>
  <si>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</si>
  <si>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</si>
  <si>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</si>
  <si>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https://karger.com/bbe/article-pdf/86/3-4/145/2264694/000437413.pdf</t>
  </si>
  <si>
    <t>placental mammals</t>
  </si>
  <si>
    <t>Table 2</t>
  </si>
  <si>
    <t>Table 2. Cerebellum</t>
  </si>
  <si>
    <t>HerculanoHouzel_etal_2015_Table2_snapshot.xlsx</t>
  </si>
  <si>
    <t>HerculanoHouzel_etal_2015_Table2.csv</t>
  </si>
  <si>
    <t>Table 3</t>
  </si>
  <si>
    <t>Table 3. RoB</t>
  </si>
  <si>
    <t>HerculanoHouzel_etal_2015_Table3_snapshot.xlsx</t>
  </si>
  <si>
    <t>HerculanoHouzel_etal_2015_Table3.csv</t>
  </si>
  <si>
    <t>Table 4</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</si>
  <si>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</si>
  <si>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</si>
  <si>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</si>
  <si>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</si>
  <si>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</si>
  <si>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</si>
  <si>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</si>
  <si>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</si>
  <si>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</si>
  <si>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</si>
  <si>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</si>
  <si>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region size</t>
  </si>
  <si>
    <t>bats</t>
  </si>
  <si>
    <t>TABLE 2 Numbers of neurons and neuronal density (neurons/mg)</t>
  </si>
  <si>
    <t>HerculanoHouzel_etal_2020_TABLE2_snapshot.csv</t>
  </si>
  <si>
    <t>HerculanoHouzel_etal_2020_Table2.csv</t>
  </si>
  <si>
    <t>Cell numbers</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</si>
  <si>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</si>
  <si>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</si>
  <si>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</si>
  <si>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S3</t>
  </si>
  <si>
    <t>Tree.nex</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</si>
  <si>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</si>
  <si>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</si>
  <si>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</si>
  <si>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</si>
  <si>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</si>
  <si>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</si>
  <si>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</si>
  <si>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</si>
  <si>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</si>
  <si>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</si>
  <si>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</si>
  <si>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</si>
  <si>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</si>
  <si>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</si>
  <si>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</si>
  <si>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</si>
  <si>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</si>
  <si>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</si>
  <si>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</si>
  <si>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</si>
  <si>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</si>
  <si>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</si>
  <si>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</si>
  <si>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</si>
  <si>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</si>
  <si>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</si>
  <si>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</si>
  <si>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</si>
  <si>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 xml:space="preserve">Table S1. Brain mass and brain region volumes </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</si>
  <si>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</si>
  <si>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</si>
  <si>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</si>
  <si>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</si>
  <si>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</si>
  <si>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</si>
  <si>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</si>
  <si>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</si>
  <si>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</si>
  <si>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</si>
  <si>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</si>
  <si>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</si>
  <si>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</si>
  <si>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</si>
  <si>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</si>
  <si>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</si>
  <si>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</si>
  <si>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</si>
  <si>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</si>
  <si>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</si>
  <si>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</si>
  <si>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</si>
  <si>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</si>
  <si>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</si>
  <si>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</si>
  <si>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</si>
  <si>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</si>
  <si>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</si>
  <si>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</si>
  <si>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</si>
  <si>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</si>
  <si>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</si>
  <si>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</si>
  <si>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</si>
  <si>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</si>
  <si>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</si>
  <si>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</si>
  <si>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</si>
  <si>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</si>
  <si>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</si>
  <si>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</si>
  <si>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</si>
  <si>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</si>
  <si>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</si>
  <si>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</si>
  <si>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</si>
  <si>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</si>
  <si>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</si>
  <si>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</si>
  <si>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</si>
  <si>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</si>
  <si>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</si>
  <si>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</si>
  <si>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</si>
  <si>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</si>
  <si>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</si>
  <si>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</si>
  <si>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</si>
  <si>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</si>
  <si>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</si>
  <si>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</si>
  <si>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</si>
  <si>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</si>
  <si>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</si>
  <si>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</si>
  <si>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</si>
  <si>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</si>
  <si>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</si>
  <si>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</si>
  <si>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</si>
  <si>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</si>
  <si>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</si>
  <si>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</si>
  <si>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</si>
  <si>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</si>
  <si>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</si>
  <si>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</si>
  <si>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</si>
  <si>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</si>
  <si>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</si>
  <si>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</si>
  <si>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</si>
  <si>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</si>
  <si>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</si>
  <si>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</si>
  <si>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</si>
  <si>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</si>
  <si>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</si>
  <si>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</si>
  <si>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Files</t>
  </si>
  <si>
    <t>10.0000%2Fplaceholder.1_Table1.tsv</t>
  </si>
  <si>
    <t>10.1002%2Fcne.24605_TABLE1.tsv</t>
  </si>
  <si>
    <t>10.1002%2Fcne.24605_TABLE2.tsv</t>
  </si>
  <si>
    <t>10.1002%2Fcne.24985_TABLE1.tsv</t>
  </si>
  <si>
    <t>10.1002%2Fcne.24985_TABLE2.tsv</t>
  </si>
  <si>
    <t>10.1002%2Fcne.25669_TABLE1.tsv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</si>
  <si>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</si>
  <si>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</si>
  <si>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</si>
  <si>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</si>
  <si>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</si>
  <si>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</si>
  <si>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</si>
  <si>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</si>
  <si>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</si>
  <si>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</si>
  <si>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</si>
  <si>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</si>
  <si>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</si>
  <si>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</si>
  <si>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</si>
  <si>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</si>
  <si>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</si>
  <si>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</si>
  <si>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10.1093%2Fjmammal%2Fgyz043_SupplementaryDataSD1.tsv</t>
  </si>
  <si>
    <t>10.1093%2Fjmammal%2Fgyz043.ReadMe.md</t>
  </si>
  <si>
    <t>10.1093%2Foso%2F9780198568742.003.0006_Table6.1.tsv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</si>
  <si>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</si>
  <si>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</si>
  <si>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</si>
  <si>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</si>
  <si>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</si>
  <si>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</si>
  <si>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</si>
  <si>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</si>
  <si>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</si>
  <si>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</si>
  <si>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</si>
  <si>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</si>
  <si>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</si>
  <si>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</si>
  <si>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</si>
  <si>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</si>
  <si>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</si>
  <si>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10.1523%2FJNEUROSCI.2339-19.2020_unpublished.tsv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</si>
  <si>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</si>
  <si>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</si>
  <si>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</si>
  <si>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</si>
  <si>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</si>
  <si>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</si>
  <si>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</si>
  <si>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</si>
  <si>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</si>
  <si>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10.6084%2Fm9.figshare.c.3899422.v1_Dataset1.tsv</t>
  </si>
  <si>
    <t>10.7554%2FeLife.77875_Supplementaryfile3.tsv</t>
  </si>
  <si>
    <t>10.7554%2FeLife.77875_Table1.tsv</t>
  </si>
  <si>
    <t>NA.tsv</t>
  </si>
  <si>
    <t>README.md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</si>
</sst>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sz val="12"/>
      <color theme="1"/>
      <name val="Calibri"/>
      <family val="2"/>
      <scheme val="minor"/>
    </font>
    <font>
      <sz val="12"/>
      <color rgb="FF3F3F76"/>
      <name val="Calibri"/>
      <family val="2"/>
      <scheme val="minor"/>
    </font>
    <font>
      <b/>
      <sz val="12"/>
      <color rgb="FF3F3F76"/>
      <name val="Calibri"/>
      <family val="2"/>
      <scheme val="minor"/>
    </font>
    <font>
      <u/>
      <sz val="12"/>
      <color theme="10"/>
      <name val="Calibri"/>
      <family val="2"/>
      <scheme val="minor"/>
    </font>
    <font>
      <sz val="12"/>
      <color theme="1"/>
      <name val="Calibri"/>
      <family val="2"/>
    </font>
    <font>
      <sz val="12"/>
      <color rgb="FF000000"/>
      <name val="Calibri"/>
      <family val="2"/>
      <scheme val="minor"/>
    </font>
    <font>
      <sz val="12"/>
      <color rgb="FFFF0000"/>
      <name val="Calibri"/>
      <family val="2"/>
      <scheme val="minor"/>
    </font>
    <font>
      <sz val="12"/>
      <color rgb="FFFF0000"/>
      <name val="Calibri"/>
      <family val="2"/>
    </font>
    <font>
      <sz val="12"/>
      <color rgb="FF000000"/>
      <name val="Calibri"/>
      <family val="2"/>
    </font>
    <font>
      <b/>
      <sz val="12"/>
      <color theme="1"/>
      <name val="Calibri"/>
      <family val="2"/>
    </font>
    <font>
      <b/>
      <sz val="12"/>
      <color theme="1"/>
      <name val="Calibri"/>
      <family val="2"/>
      <scheme val="minor"/>
    </font>
    <font>
      <i/>
      <sz val="12"/>
      <color theme="1"/>
      <name val="Calibri"/>
      <family val="2"/>
      <scheme val="minor"/>
    </font>
  </fonts>
  <fills count="4">
    <fill>
      <patternFill patternType="none"/>
    </fill>
    <fill>
      <patternFill patternType="gray125"/>
    </fill>
    <fill>
      <patternFill patternType="solid">
        <fgColor rgb="FFFFCC99"/>
      </patternFill>
    </fill>
    <fill>
      <patternFill patternType="solid">
        <fgColor rgb="FFFFFF00"/>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17">
    <xf numFmtId="0" fontId="0" fillId="0" borderId="0" xfId="0"/>
    <xf numFmtId="0" fontId="1" fillId="0" borderId="0" xfId="0" applyFont="1"/>
    <xf numFmtId="0" fontId="2" fillId="2" borderId="1" xfId="0" applyFont="1" applyFill="1" applyBorder="1"/>
    <xf numFmtId="49" fontId="2" fillId="2" borderId="1" xfId="0" applyNumberFormat="1" applyFont="1" applyFill="1" applyBorder="1"/>
    <xf numFmtId="0" fontId="3" fillId="2" borderId="1" xfId="0" applyFont="1" applyFill="1" applyBorder="1"/>
    <xf numFmtId="0" fontId="4" fillId="2" borderId="1" xfId="0" applyFont="1" applyFill="1" applyBorder="1"/>
    <xf numFmtId="0" fontId="2" fillId="2" borderId="1" xfId="0" applyFont="1" applyFill="1" applyBorder="1" applyAlignment="1">
      <alignment wrapText="1"/>
    </xf>
    <xf numFmtId="0" fontId="5" fillId="0" borderId="0" xfId="0" applyFont="1"/>
    <xf numFmtId="0" fontId="6" fillId="0" borderId="0" xfId="0" applyFont="1"/>
    <xf numFmtId="0" fontId="7" fillId="0" borderId="0" xfId="0" applyFont="1"/>
    <xf numFmtId="0" fontId="8" fillId="0" borderId="0" xfId="0" applyFont="1"/>
    <xf numFmtId="0" fontId="7" fillId="3" borderId="0" xfId="0" applyFont="1" applyFill="1"/>
    <xf numFmtId="0" fontId="9" fillId="0" borderId="0" xfId="0" applyFont="1"/>
    <xf numFmtId="0" fontId="10" fillId="0" borderId="0" xfId="0" applyFont="1"/>
    <xf numFmtId="0" fontId="11" fillId="0" borderId="0" xfId="0" applyFont="1"/>
    <xf numFmtId="0" fontId="12" fillId="0" borderId="0" xfId="0" applyFont="1"/>
    <xf numFmtId="0" fontId="5"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75"/>
  <sheetViews>
    <sheetView tabSelected="1" zoomScale="93" zoomScaleNormal="93" workbookViewId="0">
      <pane xSplit="10" ySplit="1" topLeftCell="K2" activePane="bottomRight" state="frozen"/>
      <selection pane="topRight" activeCell="B1" sqref="B1"/>
      <selection pane="bottomLeft" activeCell="A2" sqref="A2"/>
      <selection pane="bottomRight" activeCell="I35" sqref="I35"/>
    </sheetView>
  </sheetViews>
  <sheetFormatPr baseColWidth="10" defaultRowHeight="16" x14ac:dyDescent="0.2"/>
  <cols>
    <col min="1" max="1" width="42.1640625" customWidth="1"/>
    <col min="2" max="2" width="16.83203125" customWidth="1"/>
    <col min="3" max="3" width="2" customWidth="1"/>
    <col min="4" max="4" width="23.6640625" customWidth="1"/>
    <col min="5" max="5" width="16.83203125" customWidth="1"/>
    <col min="6" max="6" width="15" customWidth="1"/>
    <col min="7" max="7" width="5.1640625" customWidth="1"/>
    <col min="8" max="8" width="12" customWidth="1"/>
    <col min="9" max="9" width="37.5" customWidth="1"/>
    <col min="10" max="10" width="34.83203125" customWidth="1"/>
    <col min="11" max="11" width="31.1640625" customWidth="1"/>
    <col min="12" max="12" width="46.5" customWidth="1"/>
    <col min="13" max="13" width="49.83203125" customWidth="1"/>
    <col min="14" max="14" width="15.33203125" customWidth="1"/>
    <col min="15" max="15" width="24" customWidth="1"/>
    <col min="16" max="16" width="10" customWidth="1"/>
    <col min="17" max="20" width="14.1640625" customWidth="1"/>
    <col min="21" max="21" width="13.83203125" customWidth="1"/>
    <col min="22" max="22" width="12.6640625" customWidth="1"/>
    <col min="23" max="23" width="22.1640625" customWidth="1"/>
    <col min="24" max="24" width="14.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12.1640625" customWidth="1"/>
  </cols>
  <sheetData>
    <row r="1" spans="1:37" ht="16" customHeight="1" x14ac:dyDescent="0.2">
      <c r="A1" s="4" t="s">
        <v>0</v>
      </c>
      <c r="B1" s="4" t="s">
        <v>1</v>
      </c>
      <c r="C1" s="14" t="s">
        <v>2</v>
      </c>
      <c r="D1" s="14" t="s">
        <v>3</v>
      </c>
      <c r="E1" s="13" t="s">
        <v>4</v>
      </c>
      <c r="F1" s="13" t="s">
        <v>5</v>
      </c>
      <c r="G1" s="13" t="s">
        <v>6</v>
      </c>
      <c r="H1" s="14" t="s">
        <v>7</v>
      </c>
      <c r="I1" s="4" t="s">
        <v>8</v>
      </c>
      <c r="J1" s="4" t="s">
        <v>9</v>
      </c>
      <c r="K1" s="14" t="s">
        <v>10</v>
      </c>
      <c r="L1" s="14" t="s">
        <v>11</v>
      </c>
      <c r="M1" s="14"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row>
    <row r="2" spans="1:37" ht="16" customHeight="1" x14ac:dyDescent="0.2">
      <c r="A2" s="2" t="s">
        <v>37</v>
      </c>
      <c r="C2" t="str">
        <f t="shared" ref="C2" si="0">RIGHT(A2,1)</f>
        <v>9</v>
      </c>
      <c r="D2" t="str">
        <f t="shared" ref="D2" si="1">E2 &amp; IF(F2&lt;&gt;"", "_" &amp; F2, "_") &amp; IF(G2&lt;&gt;"", "_" &amp; G2, "_") &amp; IF(B2&lt;&gt;"", "_" &amp; B2, "")</f>
        <v>AvelinodeSouza_etal_2025</v>
      </c>
      <c r="E2" s="7" t="str">
        <f t="shared" ref="E2" si="2">SUBSTITUTE(SUBSTITUTE(_xlfn.TEXTBEFORE(A2,","), "-", ""), " ", "")</f>
        <v>AvelinodeSouza</v>
      </c>
      <c r="F2" s="7" t="str">
        <f t="shared" ref="F2" si="3">IF(ISNUMBER(FIND("&amp;", A2)),
    IF(LEN(A2)-LEN(SUBSTITUTE(A2, ",", ""))&gt;=6, "etal", MID(A2, SEARCH("&amp; ", A2)+2, SEARCH(",", A2, SEARCH("&amp; ", A2)+2) - SEARCH("&amp; ", A2)-2)),
    ""
)</f>
        <v>etal</v>
      </c>
      <c r="G2" s="7" t="str">
        <f t="shared" ref="G2" si="4">_xlfn.TEXTBEFORE(_xlfn.TEXTAFTER(A2, "("), ")")</f>
        <v>2025</v>
      </c>
      <c r="H2" t="str">
        <f t="shared" ref="H2" si="5">_xlfn.TEXTAFTER(A2,"https://doi.org/")</f>
        <v>10.1002/cne.70089</v>
      </c>
      <c r="J2" s="2" t="s">
        <v>38</v>
      </c>
      <c r="K2" s="1" t="str">
        <f t="shared" ref="K2" si="6">TRIM(_xlfn.TEXTJOIN("_",FALSE,D2,(SUBSTITUTE(SUBSTITUTE(J2," ",""), "_", ""))))</f>
        <v>AvelinodeSouza_etal_2025_TABLE1</v>
      </c>
      <c r="L2" s="1" t="str">
        <f t="shared" ref="L2:L43" si="7">IF(ISBLANK(I2),TRIM(SUBSTITUTE(SUBSTITUTE(SUBSTITUTE(_xlfn.TEXTJOIN("_", FALSE, H2, SUBSTITUTE(J2,"_", "")), "/", "%2F"), ":", "%3A"), " ", "")),TRIM(SUBSTITUTE(SUBSTITUTE(SUBSTITUTE(_xlfn.TEXTJOIN("_", FALSE, I2, SUBSTITUTE(J2,"_", "")), "/", "%2F"), ":", "%3A"), " ", "")))</f>
        <v>10.1002%2Fcne.70089_TABLE1</v>
      </c>
      <c r="M2" t="str" cm="1">
        <f t="array" ref="M2">IFERROR(INDEX(FileList!$A$1:$A$100, MATCH(L2, _xlfn.TEXTBEFORE(FileList!$A$1:$A$100, ".tsv"), 0)), "notfound")</f>
        <v>notfound</v>
      </c>
      <c r="V2" s="2" t="s">
        <v>39</v>
      </c>
      <c r="Y2" s="2" t="s">
        <v>40</v>
      </c>
      <c r="Z2" s="2" t="s">
        <v>41</v>
      </c>
    </row>
    <row r="3" spans="1:37" ht="16" customHeight="1" x14ac:dyDescent="0.2">
      <c r="A3" s="2" t="s">
        <v>42</v>
      </c>
      <c r="C3" t="str">
        <f t="shared" ref="C3:C4" si="8">RIGHT(A3,1)</f>
        <v>5</v>
      </c>
      <c r="D3" t="str">
        <f t="shared" ref="D3" si="9">E3 &amp; IF(F3&lt;&gt;"", "_" &amp; F3, "_") &amp; IF(G3&lt;&gt;"", "_" &amp; G3, "_") &amp; IF(B3&lt;&gt;"", "_" &amp; B3, "")</f>
        <v>Baron_etal_1983</v>
      </c>
      <c r="E3" s="7" t="str">
        <f t="shared" ref="E3" si="10">SUBSTITUTE(SUBSTITUTE(_xlfn.TEXTBEFORE(A3,","), "-", ""), " ", "")</f>
        <v>Baron</v>
      </c>
      <c r="F3" s="7" t="str">
        <f t="shared" ref="F3" si="11">IF(ISNUMBER(FIND("&amp;", A3)),
    IF(LEN(A3)-LEN(SUBSTITUTE(A3, ",", ""))&gt;=6, "etal", MID(A3, SEARCH("&amp; ", A3)+2, SEARCH(",", A3, SEARCH("&amp; ", A3)+2) - SEARCH("&amp; ", A3)-2)),
    ""
)</f>
        <v>etal</v>
      </c>
      <c r="G3" s="7" t="str">
        <f t="shared" ref="G3" si="12">_xlfn.TEXTBEFORE(_xlfn.TEXTAFTER(A3, "("), ")")</f>
        <v>1983</v>
      </c>
      <c r="H3" t="e">
        <f t="shared" ref="H3" si="13">_xlfn.TEXTAFTER(A3,"https://doi.org/")</f>
        <v>#N/A</v>
      </c>
      <c r="I3" s="2" t="s">
        <v>43</v>
      </c>
      <c r="J3" s="2" t="s">
        <v>44</v>
      </c>
      <c r="K3" s="1" t="str">
        <f t="shared" ref="K3" si="14">TRIM(_xlfn.TEXTJOIN("_",FALSE,D3,(SUBSTITUTE(SUBSTITUTE(J3," ",""), "_", ""))))</f>
        <v>Baron_etal_1983_Table1</v>
      </c>
      <c r="L3" s="1" t="str">
        <f t="shared" ref="L3" si="15">IF(ISBLANK(I3),TRIM(SUBSTITUTE(SUBSTITUTE(SUBSTITUTE(_xlfn.TEXTJOIN("_", FALSE, H3, SUBSTITUTE(J3,"_", "")), "/", "%2F"), ":", "%3A"), " ", "")),TRIM(SUBSTITUTE(SUBSTITUTE(SUBSTITUTE(_xlfn.TEXTJOIN("_", FALSE, I3, SUBSTITUTE(J3,"_", "")), "/", "%2F"), ":", "%3A"), " ", "")))</f>
        <v>10.0000%2Fplaceholder.1_Table1</v>
      </c>
      <c r="M3" t="str" cm="1">
        <f t="array" ref="M3">IFERROR(INDEX(FileList!$A$1:$A$100, MATCH(L3, _xlfn.TEXTBEFORE(FileList!$A$1:$A$100, ".tsv"), 0)), "notfound")</f>
        <v>10.0000%2Fplaceholder.1_Table1.tsv</v>
      </c>
      <c r="V3" s="2" t="s">
        <v>39</v>
      </c>
      <c r="W3" s="2" t="s">
        <v>45</v>
      </c>
      <c r="Z3" s="2" t="s">
        <v>41</v>
      </c>
    </row>
    <row r="4" spans="1:37" ht="16" customHeight="1" x14ac:dyDescent="0.2">
      <c r="A4" s="2" t="s">
        <v>46</v>
      </c>
      <c r="C4" t="str">
        <f t="shared" si="8"/>
        <v>6</v>
      </c>
      <c r="D4" t="str">
        <f t="shared" ref="D4" si="16">E4 &amp; IF(F4&lt;&gt;"", "_" &amp; F4, "_") &amp; IF(G4&lt;&gt;"", "_" &amp; G4, "_") &amp; IF(B4&lt;&gt;"", "_" &amp; B4, "")</f>
        <v>Baron_etal_1987</v>
      </c>
      <c r="E4" s="7" t="str">
        <f t="shared" ref="E4" si="17">SUBSTITUTE(SUBSTITUTE(_xlfn.TEXTBEFORE(A4,","), "-", ""), " ", "")</f>
        <v>Baron</v>
      </c>
      <c r="F4" s="7" t="str">
        <f t="shared" ref="F4" si="18">IF(ISNUMBER(FIND("&amp;", A4)),
    IF(LEN(A4)-LEN(SUBSTITUTE(A4, ",", ""))&gt;=6, "etal", MID(A4, SEARCH("&amp; ", A4)+2, SEARCH(",", A4, SEARCH("&amp; ", A4)+2) - SEARCH("&amp; ", A4)-2)),
    ""
)</f>
        <v>etal</v>
      </c>
      <c r="G4" s="7" t="str">
        <f t="shared" ref="G4" si="19">_xlfn.TEXTBEFORE(_xlfn.TEXTAFTER(A4, "("), ")")</f>
        <v>1987</v>
      </c>
      <c r="H4" t="e">
        <f t="shared" ref="H4" si="20">_xlfn.TEXTAFTER(A4,"https://doi.org/")</f>
        <v>#N/A</v>
      </c>
      <c r="I4" s="2" t="s">
        <v>47</v>
      </c>
      <c r="J4" s="2" t="s">
        <v>44</v>
      </c>
      <c r="K4" s="1" t="str">
        <f t="shared" ref="K4" si="21">TRIM(_xlfn.TEXTJOIN("_",FALSE,D4,(SUBSTITUTE(SUBSTITUTE(J4," ",""), "_", ""))))</f>
        <v>Baron_etal_1987_Table1</v>
      </c>
      <c r="L4" s="1" t="str">
        <f t="shared" ref="L4" si="22">IF(ISBLANK(I4),TRIM(SUBSTITUTE(SUBSTITUTE(SUBSTITUTE(_xlfn.TEXTJOIN("_", FALSE, H4, SUBSTITUTE(J4,"_", "")), "/", "%2F"), ":", "%3A"), " ", "")),TRIM(SUBSTITUTE(SUBSTITUTE(SUBSTITUTE(_xlfn.TEXTJOIN("_", FALSE, I4, SUBSTITUTE(J4,"_", "")), "/", "%2F"), ":", "%3A"), " ", "")))</f>
        <v>10.0000%2Fplaceholder.2_Table1</v>
      </c>
      <c r="M4" t="str" cm="1">
        <f t="array" ref="M4">IFERROR(INDEX(FileList!$A$1:$A$100, MATCH(L4, _xlfn.TEXTBEFORE(FileList!$A$1:$A$100, ".tsv"), 0)), "notfound")</f>
        <v>notfound</v>
      </c>
      <c r="V4" s="2" t="s">
        <v>39</v>
      </c>
      <c r="W4" s="2" t="s">
        <v>45</v>
      </c>
      <c r="Z4" s="2" t="s">
        <v>41</v>
      </c>
    </row>
    <row r="5" spans="1:37" ht="16" customHeight="1" x14ac:dyDescent="0.2">
      <c r="A5" s="2" t="s">
        <v>48</v>
      </c>
      <c r="C5" t="str">
        <f t="shared" ref="C5:C43" si="23">RIGHT(A5,1)</f>
        <v>0</v>
      </c>
      <c r="D5" t="str">
        <f t="shared" ref="D5:D43" si="24">E5 &amp; IF(F5&lt;&gt;"", "_" &amp; F5, "_") &amp; IF(G5&lt;&gt;"", "_" &amp; G5, "_") &amp; IF(B5&lt;&gt;"", "_" &amp; B5, "")</f>
        <v>Brodmann__1913</v>
      </c>
      <c r="E5" s="7" t="str">
        <f t="shared" ref="E5:E43" si="25">SUBSTITUTE(SUBSTITUTE(_xlfn.TEXTBEFORE(A5,","), "-", ""), " ", "")</f>
        <v>Brodmann</v>
      </c>
      <c r="F5" s="7" t="str">
        <f t="shared" ref="F5:F43" si="26">IF(ISNUMBER(FIND("&amp;", A5)),
    IF(LEN(A5)-LEN(SUBSTITUTE(A5, ",", ""))&gt;=6, "etal", MID(A5, SEARCH("&amp; ", A5)+2, SEARCH(",", A5, SEARCH("&amp; ", A5)+2) - SEARCH("&amp; ", A5)-2)),
    ""
)</f>
        <v/>
      </c>
      <c r="G5" s="7" t="str">
        <f t="shared" ref="G5:G43" si="27">_xlfn.TEXTBEFORE(_xlfn.TEXTAFTER(A5, "("), ")")</f>
        <v>1913</v>
      </c>
      <c r="H5" t="e">
        <f t="shared" ref="H5:H43" si="28">_xlfn.TEXTAFTER(A5,"https://doi.org/")</f>
        <v>#N/A</v>
      </c>
      <c r="I5" s="2" t="s">
        <v>49</v>
      </c>
      <c r="J5" s="2" t="s">
        <v>50</v>
      </c>
      <c r="K5" s="1" t="str">
        <f t="shared" ref="K5:K43" si="29">TRIM(_xlfn.TEXTJOIN("_",FALSE,D5,(SUBSTITUTE(SUBSTITUTE(J5," ",""), "_", ""))))</f>
        <v>Brodmann__1913_Tabelle1</v>
      </c>
      <c r="L5" s="1" t="str">
        <f t="shared" si="7"/>
        <v>10.0000%2Fplaceholder_Tabelle1</v>
      </c>
      <c r="M5" t="str" cm="1">
        <f t="array" ref="M5">IFERROR(INDEX(FileList!$A$1:$A$100, MATCH(L5, _xlfn.TEXTBEFORE(FileList!$A$1:$A$100, ".tsv"), 0)), "notfound")</f>
        <v>notfound</v>
      </c>
    </row>
    <row r="6" spans="1:37" ht="17" customHeight="1" x14ac:dyDescent="0.2">
      <c r="A6" s="2" t="s">
        <v>51</v>
      </c>
      <c r="C6" t="str">
        <f t="shared" si="23"/>
        <v>3</v>
      </c>
      <c r="D6" t="str">
        <f t="shared" si="24"/>
        <v>Burger_etal_2019</v>
      </c>
      <c r="E6" s="7" t="str">
        <f t="shared" si="25"/>
        <v>Burger</v>
      </c>
      <c r="F6" s="7" t="str">
        <f t="shared" si="26"/>
        <v>etal</v>
      </c>
      <c r="G6" s="7" t="str">
        <f t="shared" si="27"/>
        <v>2019</v>
      </c>
      <c r="H6" t="str">
        <f t="shared" si="28"/>
        <v>10.1093/jmammal/gyz043</v>
      </c>
      <c r="J6" s="2" t="s">
        <v>52</v>
      </c>
      <c r="K6" s="1" t="str">
        <f t="shared" si="29"/>
        <v>Burger_etal_2019_SupplementaryDataSD1</v>
      </c>
      <c r="L6" s="11" t="str">
        <f t="shared" si="7"/>
        <v>10.1093%2Fjmammal%2Fgyz043_SupplementaryDataSD1</v>
      </c>
      <c r="M6" t="str" cm="1">
        <f t="array" ref="M6">IFERROR(INDEX(FileList!$A$1:$A$100, MATCH(L6, _xlfn.TEXTBEFORE(FileList!$A$1:$A$100, ".tsv"), 0)), "notfound")</f>
        <v>10.1093%2Fjmammal%2Fgyz043_SupplementaryDataSD1.tsv</v>
      </c>
      <c r="O6" s="2" t="s">
        <v>53</v>
      </c>
      <c r="P6" s="2" t="s">
        <v>54</v>
      </c>
      <c r="Q6" s="2" t="s">
        <v>55</v>
      </c>
      <c r="R6" s="2" t="s">
        <v>56</v>
      </c>
      <c r="S6" s="2" t="s">
        <v>57</v>
      </c>
      <c r="T6" s="2" t="str">
        <f>IF(S6="N", R6, "write file name")</f>
        <v>gyz043_suppl_Supplement_Data.csv</v>
      </c>
      <c r="U6" s="2" t="s">
        <v>58</v>
      </c>
      <c r="V6" s="2" t="s">
        <v>39</v>
      </c>
      <c r="W6" s="2" t="s">
        <v>59</v>
      </c>
      <c r="Y6" s="2" t="s">
        <v>60</v>
      </c>
      <c r="Z6" s="2" t="s">
        <v>61</v>
      </c>
      <c r="AD6" s="2" t="s">
        <v>62</v>
      </c>
      <c r="AE6" s="2" t="s">
        <v>63</v>
      </c>
      <c r="AI6" s="2">
        <v>17</v>
      </c>
      <c r="AK6" s="2">
        <v>23</v>
      </c>
    </row>
    <row r="7" spans="1:37" ht="17" customHeight="1" x14ac:dyDescent="0.2">
      <c r="A7" s="2" t="s">
        <v>64</v>
      </c>
      <c r="C7" t="str">
        <f t="shared" si="23"/>
        <v>9</v>
      </c>
      <c r="D7" t="str">
        <f t="shared" si="24"/>
        <v>Burish_etal_2010</v>
      </c>
      <c r="E7" s="12" t="str">
        <f t="shared" si="25"/>
        <v>Burish</v>
      </c>
      <c r="F7" s="7" t="str">
        <f t="shared" si="26"/>
        <v>etal</v>
      </c>
      <c r="G7" s="12" t="str">
        <f t="shared" si="27"/>
        <v>2010</v>
      </c>
      <c r="H7" t="str">
        <f t="shared" si="28"/>
        <v>10.1159/000319019</v>
      </c>
      <c r="J7" s="2" t="s">
        <v>65</v>
      </c>
      <c r="K7" s="8" t="str">
        <f t="shared" si="29"/>
        <v>Burish_etal_2010_SupplementaryTable1</v>
      </c>
      <c r="L7" s="8" t="str">
        <f t="shared" si="7"/>
        <v>10.1159%2F000319019_SupplementaryTable1</v>
      </c>
      <c r="M7" t="str" cm="1">
        <f t="array" ref="M7">IFERROR(INDEX(FileList!$A$1:$A$100, MATCH(L7, _xlfn.TEXTBEFORE(FileList!$A$1:$A$100, ".tsv"), 0)), "notfound")</f>
        <v>10.1159%2F000319019_SupplementaryTable1.tsv</v>
      </c>
      <c r="N7" s="2" t="s">
        <v>66</v>
      </c>
      <c r="P7" s="2" t="s">
        <v>67</v>
      </c>
      <c r="R7" s="2" t="s">
        <v>68</v>
      </c>
      <c r="Z7" s="2" t="s">
        <v>69</v>
      </c>
      <c r="AC7" s="2" t="s">
        <v>70</v>
      </c>
      <c r="AE7" s="2" t="s">
        <v>71</v>
      </c>
    </row>
    <row r="8" spans="1:37" ht="16" customHeight="1" x14ac:dyDescent="0.2">
      <c r="A8" s="2" t="s">
        <v>64</v>
      </c>
      <c r="C8" t="str">
        <f t="shared" si="23"/>
        <v>9</v>
      </c>
      <c r="D8" t="str">
        <f t="shared" si="24"/>
        <v>Burish_etal_2010</v>
      </c>
      <c r="E8" s="12" t="str">
        <f t="shared" si="25"/>
        <v>Burish</v>
      </c>
      <c r="F8" s="7" t="str">
        <f t="shared" si="26"/>
        <v>etal</v>
      </c>
      <c r="G8" s="12" t="str">
        <f t="shared" si="27"/>
        <v>2010</v>
      </c>
      <c r="H8" t="str">
        <f t="shared" si="28"/>
        <v>10.1159/000319019</v>
      </c>
      <c r="J8" s="2" t="s">
        <v>44</v>
      </c>
      <c r="K8" s="8" t="str">
        <f t="shared" si="29"/>
        <v>Burish_etal_2010_Table1</v>
      </c>
      <c r="L8" s="8" t="str">
        <f t="shared" si="7"/>
        <v>10.1159%2F000319019_Table1</v>
      </c>
      <c r="M8" t="str" cm="1">
        <f t="array" ref="M8">IFERROR(INDEX(FileList!$A$1:$A$100, MATCH(L8, _xlfn.TEXTBEFORE(FileList!$A$1:$A$100, ".tsv"), 0)), "notfound")</f>
        <v>10.1159%2F000319019_Table1.tsv</v>
      </c>
      <c r="N8" s="2" t="s">
        <v>72</v>
      </c>
      <c r="P8" s="2" t="s">
        <v>54</v>
      </c>
      <c r="Q8" s="2" t="s">
        <v>73</v>
      </c>
      <c r="R8" s="2" t="s">
        <v>74</v>
      </c>
      <c r="Z8" s="2" t="s">
        <v>75</v>
      </c>
      <c r="AC8" s="2" t="s">
        <v>70</v>
      </c>
      <c r="AE8" s="2" t="s">
        <v>71</v>
      </c>
    </row>
    <row r="9" spans="1:37" ht="16" customHeight="1" x14ac:dyDescent="0.2">
      <c r="A9" s="2" t="s">
        <v>76</v>
      </c>
      <c r="C9" t="str">
        <f t="shared" si="23"/>
        <v>5</v>
      </c>
      <c r="D9" t="str">
        <f t="shared" si="24"/>
        <v>Caspar_etal_2022</v>
      </c>
      <c r="E9" s="7" t="str">
        <f t="shared" si="25"/>
        <v>Caspar</v>
      </c>
      <c r="F9" s="7" t="str">
        <f t="shared" si="26"/>
        <v>etal</v>
      </c>
      <c r="G9" s="7" t="str">
        <f t="shared" si="27"/>
        <v>2022</v>
      </c>
      <c r="H9" t="str">
        <f t="shared" si="28"/>
        <v>10.7554/eLife.77875</v>
      </c>
      <c r="J9" s="2" t="s">
        <v>77</v>
      </c>
      <c r="K9" s="1" t="str">
        <f t="shared" si="29"/>
        <v>Caspar_etal_2022_Supplementaryfile3</v>
      </c>
      <c r="L9" s="1" t="str">
        <f t="shared" si="7"/>
        <v>10.7554%2FeLife.77875_Supplementaryfile3</v>
      </c>
      <c r="M9" t="str" cm="1">
        <f t="array" ref="M9">IFERROR(INDEX(FileList!$A$1:$A$100, MATCH(L9, _xlfn.TEXTBEFORE(FileList!$A$1:$A$100, ".tsv"), 0)), "notfound")</f>
        <v>10.7554%2FeLife.77875_Supplementaryfile3.tsv</v>
      </c>
      <c r="N9" s="2" t="s">
        <v>78</v>
      </c>
      <c r="P9" s="2" t="s">
        <v>54</v>
      </c>
      <c r="Q9" s="2" t="s">
        <v>73</v>
      </c>
      <c r="R9" s="2" t="s">
        <v>79</v>
      </c>
      <c r="S9" s="2" t="s">
        <v>57</v>
      </c>
      <c r="T9" s="2" t="str">
        <f>IF(S9="N", R9, "write file name")</f>
        <v>elife-77875-supp3-v1.xlsx</v>
      </c>
      <c r="U9" s="2" t="s">
        <v>80</v>
      </c>
      <c r="V9" s="2" t="s">
        <v>39</v>
      </c>
      <c r="W9" s="2" t="s">
        <v>81</v>
      </c>
      <c r="X9" s="2" t="s">
        <v>82</v>
      </c>
      <c r="Y9" s="2" t="s">
        <v>83</v>
      </c>
      <c r="Z9" s="2" t="s">
        <v>61</v>
      </c>
      <c r="AE9" s="2" t="s">
        <v>84</v>
      </c>
      <c r="AI9" s="2">
        <v>5</v>
      </c>
      <c r="AK9" s="2">
        <v>12</v>
      </c>
    </row>
    <row r="10" spans="1:37" ht="16" customHeight="1" x14ac:dyDescent="0.2">
      <c r="A10" s="2" t="s">
        <v>76</v>
      </c>
      <c r="C10" t="str">
        <f t="shared" si="23"/>
        <v>5</v>
      </c>
      <c r="D10" t="str">
        <f t="shared" si="24"/>
        <v>Caspar_etal_2022</v>
      </c>
      <c r="E10" s="7" t="str">
        <f t="shared" si="25"/>
        <v>Caspar</v>
      </c>
      <c r="F10" s="7" t="str">
        <f t="shared" si="26"/>
        <v>etal</v>
      </c>
      <c r="G10" s="7" t="str">
        <f t="shared" si="27"/>
        <v>2022</v>
      </c>
      <c r="H10" t="str">
        <f t="shared" si="28"/>
        <v>10.7554/eLife.77875</v>
      </c>
      <c r="J10" s="2" t="s">
        <v>44</v>
      </c>
      <c r="K10" s="1" t="str">
        <f t="shared" si="29"/>
        <v>Caspar_etal_2022_Table1</v>
      </c>
      <c r="L10" s="1" t="str">
        <f t="shared" si="7"/>
        <v>10.7554%2FeLife.77875_Table1</v>
      </c>
      <c r="M10" t="str" cm="1">
        <f t="array" ref="M10">IFERROR(INDEX(FileList!$A$1:$A$100, MATCH(L10, _xlfn.TEXTBEFORE(FileList!$A$1:$A$100, ".tsv"), 0)), "notfound")</f>
        <v>10.7554%2FeLife.77875_Table1.tsv</v>
      </c>
      <c r="N10" s="2" t="s">
        <v>85</v>
      </c>
      <c r="P10" s="2" t="s">
        <v>54</v>
      </c>
      <c r="Q10" s="2" t="s">
        <v>73</v>
      </c>
      <c r="R10" s="2" t="s">
        <v>86</v>
      </c>
      <c r="S10" s="2" t="s">
        <v>87</v>
      </c>
      <c r="T10" s="2" t="s">
        <v>88</v>
      </c>
      <c r="U10" s="2" t="s">
        <v>89</v>
      </c>
      <c r="V10" s="2" t="s">
        <v>39</v>
      </c>
      <c r="W10" s="2" t="s">
        <v>90</v>
      </c>
      <c r="X10" s="2" t="s">
        <v>91</v>
      </c>
      <c r="Y10" s="2" t="s">
        <v>92</v>
      </c>
      <c r="Z10" s="2" t="s">
        <v>93</v>
      </c>
      <c r="AD10" s="2" t="s">
        <v>94</v>
      </c>
      <c r="AE10" s="2" t="s">
        <v>84</v>
      </c>
      <c r="AI10" s="2">
        <v>7</v>
      </c>
      <c r="AK10" s="2">
        <v>8</v>
      </c>
    </row>
    <row r="11" spans="1:37" ht="16" customHeight="1" x14ac:dyDescent="0.2">
      <c r="A11" s="2" t="s">
        <v>95</v>
      </c>
      <c r="C11" t="str">
        <f t="shared" si="23"/>
        <v>5</v>
      </c>
      <c r="D11" t="str">
        <f t="shared" si="24"/>
        <v>Changizi__2001</v>
      </c>
      <c r="E11" s="7" t="str">
        <f t="shared" si="25"/>
        <v>Changizi</v>
      </c>
      <c r="F11" s="7" t="str">
        <f t="shared" si="26"/>
        <v/>
      </c>
      <c r="G11" s="7" t="str">
        <f t="shared" si="27"/>
        <v>2001</v>
      </c>
      <c r="H11" t="str">
        <f t="shared" si="28"/>
        <v>10.1007/s004220000205</v>
      </c>
      <c r="J11" s="2" t="s">
        <v>96</v>
      </c>
      <c r="K11" s="1" t="str">
        <f t="shared" si="29"/>
        <v>Changizi__2001_Figure3</v>
      </c>
      <c r="L11" s="1" t="str">
        <f t="shared" si="7"/>
        <v>10.1007%2Fs004220000205_Figure3</v>
      </c>
      <c r="M11" t="str" cm="1">
        <f t="array" ref="M11">IFERROR(INDEX(FileList!$A$1:$A$100, MATCH(L11, _xlfn.TEXTBEFORE(FileList!$A$1:$A$100, ".tsv"), 0)), "notfound")</f>
        <v>10.1007%2Fs004220000205_Figure3.tsv</v>
      </c>
      <c r="P11" s="2" t="s">
        <v>97</v>
      </c>
      <c r="Q11" s="2" t="s">
        <v>98</v>
      </c>
      <c r="R11" s="2" t="s">
        <v>99</v>
      </c>
      <c r="S11" s="2" t="s">
        <v>87</v>
      </c>
      <c r="T11" s="2" t="s">
        <v>100</v>
      </c>
      <c r="U11" s="2" t="s">
        <v>89</v>
      </c>
      <c r="V11" s="2" t="s">
        <v>101</v>
      </c>
      <c r="W11" s="2" t="s">
        <v>102</v>
      </c>
      <c r="Y11" s="2" t="s">
        <v>103</v>
      </c>
      <c r="Z11" s="2" t="s">
        <v>104</v>
      </c>
      <c r="AD11" s="2" t="s">
        <v>105</v>
      </c>
      <c r="AI11" s="2" t="s">
        <v>106</v>
      </c>
    </row>
    <row r="12" spans="1:37" ht="16" customHeight="1" x14ac:dyDescent="0.2">
      <c r="A12" s="2" t="s">
        <v>107</v>
      </c>
      <c r="C12" t="str">
        <f t="shared" si="23"/>
        <v>3</v>
      </c>
      <c r="D12" t="str">
        <f t="shared" si="24"/>
        <v>Chen_Wiens_2020</v>
      </c>
      <c r="E12" s="7" t="str">
        <f t="shared" si="25"/>
        <v>Chen</v>
      </c>
      <c r="F12" s="7" t="str">
        <f t="shared" si="26"/>
        <v>Wiens</v>
      </c>
      <c r="G12" s="7" t="str">
        <f t="shared" si="27"/>
        <v>2020</v>
      </c>
      <c r="H12" t="str">
        <f t="shared" si="28"/>
        <v>10.1038/s41467-020-14356-3</v>
      </c>
      <c r="J12" s="2" t="s">
        <v>108</v>
      </c>
      <c r="K12" s="1" t="str">
        <f t="shared" si="29"/>
        <v>Chen_Wiens_2020_SupplementaryData3</v>
      </c>
      <c r="L12" s="1" t="str">
        <f t="shared" si="7"/>
        <v>10.1038%2Fs41467-020-14356-3_SupplementaryData3</v>
      </c>
      <c r="M12" t="str" cm="1">
        <f t="array" ref="M12">IFERROR(INDEX(FileList!$A$1:$A$100, MATCH(L12, _xlfn.TEXTBEFORE(FileList!$A$1:$A$100, ".tsv"), 0)), "notfound")</f>
        <v>10.1038%2Fs41467-020-14356-3_SupplementaryData3.tsv</v>
      </c>
      <c r="P12" s="2" t="s">
        <v>54</v>
      </c>
      <c r="Q12" s="2" t="s">
        <v>73</v>
      </c>
      <c r="R12" s="2" t="s">
        <v>109</v>
      </c>
      <c r="S12" s="2" t="s">
        <v>57</v>
      </c>
      <c r="T12" s="2" t="str">
        <f>IF(S12="N", R12, "write file name")</f>
        <v>41467_2020_14356_MOESM6_ESM.xlsx</v>
      </c>
      <c r="U12" s="2" t="s">
        <v>80</v>
      </c>
      <c r="V12" s="2" t="s">
        <v>39</v>
      </c>
      <c r="W12" s="2" t="s">
        <v>81</v>
      </c>
      <c r="X12" s="2" t="s">
        <v>110</v>
      </c>
      <c r="Y12" s="2" t="s">
        <v>111</v>
      </c>
      <c r="Z12" s="2" t="s">
        <v>61</v>
      </c>
      <c r="AC12" s="2" t="s">
        <v>112</v>
      </c>
      <c r="AD12" s="2" t="s">
        <v>113</v>
      </c>
      <c r="AE12" s="2" t="s">
        <v>114</v>
      </c>
      <c r="AI12" s="2">
        <v>10</v>
      </c>
      <c r="AK12" s="2">
        <v>13</v>
      </c>
    </row>
    <row r="13" spans="1:37" ht="16" customHeight="1" x14ac:dyDescent="0.2">
      <c r="A13" s="2" t="s">
        <v>115</v>
      </c>
      <c r="C13" t="str">
        <f t="shared" si="23"/>
        <v>7</v>
      </c>
      <c r="D13" t="str">
        <f t="shared" si="24"/>
        <v>Collins_etal_2010</v>
      </c>
      <c r="E13" s="7" t="str">
        <f t="shared" si="25"/>
        <v>Collins</v>
      </c>
      <c r="F13" s="7" t="str">
        <f t="shared" si="26"/>
        <v>etal</v>
      </c>
      <c r="G13" s="7" t="str">
        <f t="shared" si="27"/>
        <v>2010</v>
      </c>
      <c r="H13" t="str">
        <f t="shared" si="28"/>
        <v>10.1073/pnas.1010356107</v>
      </c>
      <c r="J13" s="2" t="s">
        <v>116</v>
      </c>
      <c r="K13" t="str">
        <f t="shared" si="29"/>
        <v>Collins_etal_2010_DatasetS1</v>
      </c>
      <c r="L13" t="str">
        <f t="shared" si="7"/>
        <v>10.1073%2Fpnas.1010356107_DatasetS1</v>
      </c>
      <c r="M13" t="str" cm="1">
        <f t="array" ref="M13">IFERROR(INDEX(FileList!$A$1:$A$100, MATCH(L13, _xlfn.TEXTBEFORE(FileList!$A$1:$A$100, ".tsv"), 0)), "notfound")</f>
        <v>notfound</v>
      </c>
      <c r="Y13" s="2" t="s">
        <v>117</v>
      </c>
      <c r="Z13" s="2" t="s">
        <v>41</v>
      </c>
    </row>
    <row r="14" spans="1:37" ht="16" customHeight="1" x14ac:dyDescent="0.2">
      <c r="A14" s="2" t="s">
        <v>118</v>
      </c>
      <c r="C14" t="str">
        <f t="shared" si="23"/>
        <v>0</v>
      </c>
      <c r="D14" t="str">
        <f t="shared" si="24"/>
        <v>DeCasien_Higham_2019</v>
      </c>
      <c r="E14" s="7" t="str">
        <f t="shared" si="25"/>
        <v>DeCasien</v>
      </c>
      <c r="F14" s="7" t="str">
        <f t="shared" si="26"/>
        <v>Higham</v>
      </c>
      <c r="G14" s="7" t="str">
        <f t="shared" si="27"/>
        <v>2019</v>
      </c>
      <c r="H14" t="str">
        <f t="shared" si="28"/>
        <v>10.1038/s41559-019-0969-0</v>
      </c>
      <c r="J14" s="2" t="s">
        <v>119</v>
      </c>
      <c r="K14" t="str">
        <f t="shared" si="29"/>
        <v>DeCasien_Higham_2019_SupplementaryData1-BrainRegion</v>
      </c>
      <c r="L14" t="str">
        <f t="shared" si="7"/>
        <v>10.1038%2Fs41559-019-0969-0_SupplementaryData1-BrainRegion</v>
      </c>
      <c r="M14" t="str" cm="1">
        <f t="array" ref="M14">IFERROR(INDEX(FileList!$A$1:$A$100, MATCH(L14, _xlfn.TEXTBEFORE(FileList!$A$1:$A$100, ".tsv"), 0)), "notfound")</f>
        <v>notfound</v>
      </c>
      <c r="N14" s="2" t="s">
        <v>120</v>
      </c>
      <c r="U14" s="2" t="s">
        <v>80</v>
      </c>
      <c r="V14" s="2" t="s">
        <v>121</v>
      </c>
      <c r="W14" s="2" t="s">
        <v>81</v>
      </c>
      <c r="X14" s="2" t="s">
        <v>122</v>
      </c>
      <c r="Y14" s="2" t="s">
        <v>123</v>
      </c>
      <c r="Z14" s="2" t="s">
        <v>61</v>
      </c>
      <c r="AD14" s="2" t="s">
        <v>124</v>
      </c>
      <c r="AE14" s="2" t="s">
        <v>84</v>
      </c>
    </row>
    <row r="15" spans="1:37" ht="16" customHeight="1" x14ac:dyDescent="0.2">
      <c r="A15" s="2" t="s">
        <v>118</v>
      </c>
      <c r="C15" t="str">
        <f t="shared" ref="C15" si="30">RIGHT(A15,1)</f>
        <v>0</v>
      </c>
      <c r="D15" t="str">
        <f t="shared" ref="D15" si="31">E15 &amp; IF(F15&lt;&gt;"", "_" &amp; F15, "_") &amp; IF(G15&lt;&gt;"", "_" &amp; G15, "_") &amp; IF(B15&lt;&gt;"", "_" &amp; B15, "")</f>
        <v>DeCasien_Higham_2019</v>
      </c>
      <c r="E15" s="7" t="str">
        <f t="shared" ref="E15" si="32">SUBSTITUTE(SUBSTITUTE(_xlfn.TEXTBEFORE(A15,","), "-", ""), " ", "")</f>
        <v>DeCasien</v>
      </c>
      <c r="F15" s="7" t="str">
        <f t="shared" ref="F15" si="33">IF(ISNUMBER(FIND("&amp;", A15)),
    IF(LEN(A15)-LEN(SUBSTITUTE(A15, ",", ""))&gt;=6, "etal", MID(A15, SEARCH("&amp; ", A15)+2, SEARCH(",", A15, SEARCH("&amp; ", A15)+2) - SEARCH("&amp; ", A15)-2)),
    ""
)</f>
        <v>Higham</v>
      </c>
      <c r="G15" s="7" t="str">
        <f t="shared" ref="G15" si="34">_xlfn.TEXTBEFORE(_xlfn.TEXTAFTER(A15, "("), ")")</f>
        <v>2019</v>
      </c>
      <c r="H15" t="str">
        <f t="shared" ref="H15" si="35">_xlfn.TEXTAFTER(A15,"https://doi.org/")</f>
        <v>10.1038/s41559-019-0969-0</v>
      </c>
      <c r="J15" s="2" t="s">
        <v>125</v>
      </c>
      <c r="K15" t="str">
        <f>TRIM(_xlfn.TEXTJOIN("_",FALSE,D15,(SUBSTITUTE(SUBSTITUTE(J16," ",""), "_", ""))))</f>
        <v>DeCasien_Higham_2019_SupplementaryData1-Diet</v>
      </c>
      <c r="L15" t="str">
        <f>IF(ISBLANK(I15),TRIM(SUBSTITUTE(SUBSTITUTE(SUBSTITUTE(_xlfn.TEXTJOIN("_", FALSE, H15, SUBSTITUTE(J16,"_", "")), "/", "%2F"), ":", "%3A"), " ", "")),TRIM(SUBSTITUTE(SUBSTITUTE(SUBSTITUTE(_xlfn.TEXTJOIN("_", FALSE, I15, SUBSTITUTE(J16,"_", "")), "/", "%2F"), ":", "%3A"), " ", "")))</f>
        <v>10.1038%2Fs41559-019-0969-0_SupplementaryData1-Diet</v>
      </c>
      <c r="M15" t="str" cm="1">
        <f t="array" ref="M15">IFERROR(INDEX(FileList!$A$1:$A$100, MATCH(L15, _xlfn.TEXTBEFORE(FileList!$A$1:$A$100, ".tsv"), 0)), "notfound")</f>
        <v>notfound</v>
      </c>
      <c r="N15" s="2" t="s">
        <v>120</v>
      </c>
      <c r="U15" s="2" t="s">
        <v>80</v>
      </c>
      <c r="V15" s="2" t="s">
        <v>121</v>
      </c>
      <c r="W15" s="2" t="s">
        <v>81</v>
      </c>
      <c r="X15" s="2" t="s">
        <v>122</v>
      </c>
      <c r="Y15" s="2" t="s">
        <v>126</v>
      </c>
      <c r="Z15" s="2" t="s">
        <v>61</v>
      </c>
      <c r="AE15" s="2" t="s">
        <v>84</v>
      </c>
    </row>
    <row r="16" spans="1:37" ht="16" customHeight="1" x14ac:dyDescent="0.2">
      <c r="A16" s="2" t="s">
        <v>118</v>
      </c>
      <c r="C16" t="str">
        <f t="shared" ref="C16" si="36">RIGHT(A16,1)</f>
        <v>0</v>
      </c>
      <c r="D16" t="str">
        <f t="shared" ref="D16" si="37">E16 &amp; IF(F16&lt;&gt;"", "_" &amp; F16, "_") &amp; IF(G16&lt;&gt;"", "_" &amp; G16, "_") &amp; IF(B16&lt;&gt;"", "_" &amp; B16, "")</f>
        <v>DeCasien_Higham_2019</v>
      </c>
      <c r="E16" s="7" t="str">
        <f t="shared" ref="E16" si="38">SUBSTITUTE(SUBSTITUTE(_xlfn.TEXTBEFORE(A16,","), "-", ""), " ", "")</f>
        <v>DeCasien</v>
      </c>
      <c r="F16" s="7" t="str">
        <f t="shared" ref="F16" si="39">IF(ISNUMBER(FIND("&amp;", A16)),
    IF(LEN(A16)-LEN(SUBSTITUTE(A16, ",", ""))&gt;=6, "etal", MID(A16, SEARCH("&amp; ", A16)+2, SEARCH(",", A16, SEARCH("&amp; ", A16)+2) - SEARCH("&amp; ", A16)-2)),
    ""
)</f>
        <v>Higham</v>
      </c>
      <c r="G16" s="7" t="str">
        <f t="shared" ref="G16" si="40">_xlfn.TEXTBEFORE(_xlfn.TEXTAFTER(A16, "("), ")")</f>
        <v>2019</v>
      </c>
      <c r="H16" t="str">
        <f t="shared" ref="H16" si="41">_xlfn.TEXTAFTER(A16,"https://doi.org/")</f>
        <v>10.1038/s41559-019-0969-0</v>
      </c>
      <c r="J16" s="2" t="s">
        <v>127</v>
      </c>
      <c r="K16" t="str">
        <f>TRIM(_xlfn.TEXTJOIN("_",FALSE,D16,(SUBSTITUTE(SUBSTITUTE(J17," ",""), "_", ""))))</f>
        <v>DeCasien_Higham_2019_SupplementaryData1-SocialSystem</v>
      </c>
      <c r="L16" t="str">
        <f>IF(ISBLANK(I16),TRIM(SUBSTITUTE(SUBSTITUTE(SUBSTITUTE(_xlfn.TEXTJOIN("_", FALSE, H16, SUBSTITUTE(J17,"_", "")), "/", "%2F"), ":", "%3A"), " ", "")),TRIM(SUBSTITUTE(SUBSTITUTE(SUBSTITUTE(_xlfn.TEXTJOIN("_", FALSE, I16, SUBSTITUTE(J17,"_", "")), "/", "%2F"), ":", "%3A"), " ", "")))</f>
        <v>10.1038%2Fs41559-019-0969-0_SupplementaryData1-SocialSystem</v>
      </c>
      <c r="M16" t="str" cm="1">
        <f t="array" ref="M16">IFERROR(INDEX(FileList!$A$1:$A$100, MATCH(L16, _xlfn.TEXTBEFORE(FileList!$A$1:$A$100, ".tsv"), 0)), "notfound")</f>
        <v>notfound</v>
      </c>
      <c r="N16" s="2" t="s">
        <v>120</v>
      </c>
      <c r="U16" s="2" t="s">
        <v>80</v>
      </c>
      <c r="V16" s="2" t="s">
        <v>121</v>
      </c>
      <c r="W16" s="2" t="s">
        <v>81</v>
      </c>
      <c r="X16" s="2" t="s">
        <v>122</v>
      </c>
      <c r="Y16" s="2" t="s">
        <v>128</v>
      </c>
      <c r="Z16" s="2" t="s">
        <v>61</v>
      </c>
      <c r="AE16" s="2" t="s">
        <v>84</v>
      </c>
    </row>
    <row r="17" spans="1:37" ht="16" customHeight="1" x14ac:dyDescent="0.2">
      <c r="A17" s="2" t="s">
        <v>118</v>
      </c>
      <c r="C17" t="str">
        <f t="shared" ref="C17" si="42">RIGHT(A17,1)</f>
        <v>0</v>
      </c>
      <c r="D17" t="str">
        <f t="shared" ref="D17" si="43">E17 &amp; IF(F17&lt;&gt;"", "_" &amp; F17, "_") &amp; IF(G17&lt;&gt;"", "_" &amp; G17, "_") &amp; IF(B17&lt;&gt;"", "_" &amp; B17, "")</f>
        <v>DeCasien_Higham_2019</v>
      </c>
      <c r="E17" s="7" t="str">
        <f t="shared" ref="E17" si="44">SUBSTITUTE(SUBSTITUTE(_xlfn.TEXTBEFORE(A17,","), "-", ""), " ", "")</f>
        <v>DeCasien</v>
      </c>
      <c r="F17" s="7" t="str">
        <f t="shared" ref="F17" si="45">IF(ISNUMBER(FIND("&amp;", A17)),
    IF(LEN(A17)-LEN(SUBSTITUTE(A17, ",", ""))&gt;=6, "etal", MID(A17, SEARCH("&amp; ", A17)+2, SEARCH(",", A17, SEARCH("&amp; ", A17)+2) - SEARCH("&amp; ", A17)-2)),
    ""
)</f>
        <v>Higham</v>
      </c>
      <c r="G17" s="7" t="str">
        <f t="shared" ref="G17" si="46">_xlfn.TEXTBEFORE(_xlfn.TEXTAFTER(A17, "("), ")")</f>
        <v>2019</v>
      </c>
      <c r="H17" t="str">
        <f t="shared" ref="H17" si="47">_xlfn.TEXTAFTER(A17,"https://doi.org/")</f>
        <v>10.1038/s41559-019-0969-0</v>
      </c>
      <c r="J17" s="2" t="s">
        <v>129</v>
      </c>
      <c r="K17" t="str">
        <f t="shared" ref="K17" si="48">TRIM(_xlfn.TEXTJOIN("_",FALSE,D17,(SUBSTITUTE(SUBSTITUTE(J17," ",""), "_", ""))))</f>
        <v>DeCasien_Higham_2019_SupplementaryData1-SocialSystem</v>
      </c>
      <c r="L17" t="str">
        <f t="shared" ref="L17" si="49">IF(ISBLANK(I17),TRIM(SUBSTITUTE(SUBSTITUTE(SUBSTITUTE(_xlfn.TEXTJOIN("_", FALSE, H17, SUBSTITUTE(J17,"_", "")), "/", "%2F"), ":", "%3A"), " ", "")),TRIM(SUBSTITUTE(SUBSTITUTE(SUBSTITUTE(_xlfn.TEXTJOIN("_", FALSE, I17, SUBSTITUTE(J17,"_", "")), "/", "%2F"), ":", "%3A"), " ", "")))</f>
        <v>10.1038%2Fs41559-019-0969-0_SupplementaryData1-SocialSystem</v>
      </c>
      <c r="M17" t="str" cm="1">
        <f t="array" ref="M17">IFERROR(INDEX(FileList!$A$1:$A$100, MATCH(L17, _xlfn.TEXTBEFORE(FileList!$A$1:$A$100, ".tsv"), 0)), "notfound")</f>
        <v>notfound</v>
      </c>
      <c r="N17" s="2" t="s">
        <v>120</v>
      </c>
      <c r="U17" s="2" t="s">
        <v>80</v>
      </c>
      <c r="V17" s="2" t="s">
        <v>121</v>
      </c>
      <c r="W17" s="2" t="s">
        <v>81</v>
      </c>
      <c r="X17" s="2" t="s">
        <v>122</v>
      </c>
      <c r="Y17" s="2" t="s">
        <v>130</v>
      </c>
      <c r="Z17" s="2" t="s">
        <v>61</v>
      </c>
      <c r="AE17" s="2" t="s">
        <v>84</v>
      </c>
    </row>
    <row r="18" spans="1:37" ht="16" customHeight="1" x14ac:dyDescent="0.2">
      <c r="A18" s="2" t="s">
        <v>131</v>
      </c>
      <c r="C18" t="str">
        <f t="shared" si="23"/>
        <v>6</v>
      </c>
      <c r="D18" t="str">
        <f t="shared" si="24"/>
        <v>DosSantos_etal_2017</v>
      </c>
      <c r="E18" s="7" t="str">
        <f t="shared" si="25"/>
        <v>DosSantos</v>
      </c>
      <c r="F18" s="7" t="str">
        <f t="shared" si="26"/>
        <v>etal</v>
      </c>
      <c r="G18" s="7" t="str">
        <f t="shared" si="27"/>
        <v>2017</v>
      </c>
      <c r="H18" t="str">
        <f t="shared" si="28"/>
        <v>10.1159/000452856</v>
      </c>
      <c r="J18" s="2" t="s">
        <v>132</v>
      </c>
      <c r="K18" s="1" t="str">
        <f t="shared" si="29"/>
        <v>DosSantos_etal_2017_TableS1</v>
      </c>
      <c r="L18" s="1" t="str">
        <f t="shared" si="7"/>
        <v>10.1159%2F000452856_TableS1</v>
      </c>
      <c r="M18" t="str" cm="1">
        <f t="array" ref="M18">IFERROR(INDEX(FileList!$A$1:$A$100, MATCH(L18, _xlfn.TEXTBEFORE(FileList!$A$1:$A$100, ".tsv"), 0)), "notfound")</f>
        <v>10.1159%2F000452856_TableS1.tsv</v>
      </c>
      <c r="O18" s="2" t="s">
        <v>133</v>
      </c>
      <c r="P18" s="2" t="s">
        <v>54</v>
      </c>
      <c r="Q18" s="2" t="s">
        <v>73</v>
      </c>
      <c r="R18" s="2" t="s">
        <v>134</v>
      </c>
      <c r="S18" s="2" t="s">
        <v>87</v>
      </c>
      <c r="T18" s="2" t="s">
        <v>135</v>
      </c>
      <c r="U18" s="2" t="s">
        <v>136</v>
      </c>
      <c r="V18" s="2" t="s">
        <v>137</v>
      </c>
      <c r="W18" s="2" t="s">
        <v>81</v>
      </c>
      <c r="X18" s="2" t="s">
        <v>138</v>
      </c>
      <c r="Y18" s="2" t="s">
        <v>139</v>
      </c>
      <c r="Z18" s="2" t="s">
        <v>41</v>
      </c>
      <c r="AA18" s="2" t="s">
        <v>140</v>
      </c>
      <c r="AB18" s="2" t="s">
        <v>140</v>
      </c>
      <c r="AE18" s="2" t="s">
        <v>141</v>
      </c>
      <c r="AF18" s="2" t="s">
        <v>142</v>
      </c>
      <c r="AI18" s="2">
        <v>0</v>
      </c>
      <c r="AK18" s="2">
        <v>0</v>
      </c>
    </row>
    <row r="19" spans="1:37" ht="16" customHeight="1" x14ac:dyDescent="0.2">
      <c r="A19" s="2" t="s">
        <v>143</v>
      </c>
      <c r="C19" t="str">
        <f t="shared" si="23"/>
        <v>0</v>
      </c>
      <c r="D19" t="str">
        <f t="shared" si="24"/>
        <v>DosSantos_etal_2020</v>
      </c>
      <c r="E19" s="7" t="str">
        <f t="shared" si="25"/>
        <v>DosSantos</v>
      </c>
      <c r="F19" s="7" t="str">
        <f t="shared" si="26"/>
        <v>etal</v>
      </c>
      <c r="G19" s="7" t="str">
        <f t="shared" si="27"/>
        <v>2020</v>
      </c>
      <c r="H19" t="str">
        <f t="shared" si="28"/>
        <v>10.1523/JNEUROSCI.2339-19.2020</v>
      </c>
      <c r="J19" s="2" t="s">
        <v>44</v>
      </c>
      <c r="K19" s="1" t="str">
        <f t="shared" si="29"/>
        <v>DosSantos_etal_2020_Table1</v>
      </c>
      <c r="L19" s="1" t="str">
        <f t="shared" si="7"/>
        <v>10.1523%2FJNEUROSCI.2339-19.2020_Table1</v>
      </c>
      <c r="M19" t="str" cm="1">
        <f t="array" ref="M19">IFERROR(INDEX(FileList!$A$1:$A$100, MATCH(L19, _xlfn.TEXTBEFORE(FileList!$A$1:$A$100, ".tsv"), 0)), "notfound")</f>
        <v>10.1523%2FJNEUROSCI.2339-19.2020_Table1.tsv</v>
      </c>
      <c r="P19" s="2" t="s">
        <v>54</v>
      </c>
      <c r="Q19" s="2" t="s">
        <v>73</v>
      </c>
      <c r="R19" s="3" t="s">
        <v>144</v>
      </c>
      <c r="S19" s="2" t="s">
        <v>87</v>
      </c>
      <c r="T19" s="2" t="s">
        <v>145</v>
      </c>
      <c r="U19" s="2" t="s">
        <v>146</v>
      </c>
      <c r="V19" s="2" t="s">
        <v>39</v>
      </c>
      <c r="Y19" s="2" t="s">
        <v>139</v>
      </c>
      <c r="Z19" s="2" t="s">
        <v>147</v>
      </c>
      <c r="AA19" s="2" t="s">
        <v>140</v>
      </c>
      <c r="AB19" s="2" t="s">
        <v>140</v>
      </c>
      <c r="AE19" s="2" t="s">
        <v>148</v>
      </c>
      <c r="AI19" s="2">
        <v>4</v>
      </c>
      <c r="AK19" s="2">
        <v>10</v>
      </c>
    </row>
    <row r="20" spans="1:37" ht="16" customHeight="1" x14ac:dyDescent="0.2">
      <c r="A20" s="2" t="s">
        <v>143</v>
      </c>
      <c r="C20" t="str">
        <f t="shared" ref="C20" si="50">RIGHT(A20,1)</f>
        <v>0</v>
      </c>
      <c r="D20" t="str">
        <f t="shared" ref="D20" si="51">E20 &amp; IF(F20&lt;&gt;"", "_" &amp; F20, "_") &amp; IF(G20&lt;&gt;"", "_" &amp; G20, "_") &amp; IF(B20&lt;&gt;"", "_" &amp; B20, "")</f>
        <v>DosSantos_etal_2020</v>
      </c>
      <c r="E20" s="7" t="str">
        <f t="shared" ref="E20" si="52">SUBSTITUTE(SUBSTITUTE(_xlfn.TEXTBEFORE(A20,","), "-", ""), " ", "")</f>
        <v>DosSantos</v>
      </c>
      <c r="F20" s="7" t="str">
        <f t="shared" ref="F20" si="53">IF(ISNUMBER(FIND("&amp;", A20)),
    IF(LEN(A20)-LEN(SUBSTITUTE(A20, ",", ""))&gt;=6, "etal", MID(A20, SEARCH("&amp; ", A20)+2, SEARCH(",", A20, SEARCH("&amp; ", A20)+2) - SEARCH("&amp; ", A20)-2)),
    ""
)</f>
        <v>etal</v>
      </c>
      <c r="G20" s="7" t="str">
        <f t="shared" ref="G20" si="54">_xlfn.TEXTBEFORE(_xlfn.TEXTAFTER(A20, "("), ")")</f>
        <v>2020</v>
      </c>
      <c r="H20" t="str">
        <f t="shared" ref="H20" si="55">_xlfn.TEXTAFTER(A20,"https://doi.org/")</f>
        <v>10.1523/JNEUROSCI.2339-19.2020</v>
      </c>
      <c r="J20" s="2" t="s">
        <v>149</v>
      </c>
      <c r="K20" s="1" t="str">
        <f t="shared" ref="K20" si="56">TRIM(_xlfn.TEXTJOIN("_",FALSE,D20,(SUBSTITUTE(SUBSTITUTE(J20," ",""), "_", ""))))</f>
        <v>DosSantos_etal_2020_unpublished</v>
      </c>
      <c r="L20" s="1" t="str">
        <f t="shared" ref="L20" si="57">IF(ISBLANK(I20),TRIM(SUBSTITUTE(SUBSTITUTE(SUBSTITUTE(_xlfn.TEXTJOIN("_", FALSE, H20, SUBSTITUTE(J20,"_", "")), "/", "%2F"), ":", "%3A"), " ", "")),TRIM(SUBSTITUTE(SUBSTITUTE(SUBSTITUTE(_xlfn.TEXTJOIN("_", FALSE, I20, SUBSTITUTE(J20,"_", "")), "/", "%2F"), ":", "%3A"), " ", "")))</f>
        <v>10.1523%2FJNEUROSCI.2339-19.2020_unpublished</v>
      </c>
      <c r="M20" t="str" cm="1">
        <f t="array" ref="M20">IFERROR(INDEX(FileList!$A$1:$A$100, MATCH(L20, _xlfn.TEXTBEFORE(FileList!$A$1:$A$100, ".tsv"), 0)), "notfound")</f>
        <v>10.1523%2FJNEUROSCI.2339-19.2020_unpublished.tsv</v>
      </c>
      <c r="P20" s="2" t="s">
        <v>54</v>
      </c>
      <c r="Q20" s="2" t="s">
        <v>73</v>
      </c>
      <c r="R20" s="3" t="s">
        <v>144</v>
      </c>
      <c r="S20" s="2" t="s">
        <v>87</v>
      </c>
      <c r="T20" s="2" t="s">
        <v>145</v>
      </c>
      <c r="U20" s="2" t="s">
        <v>146</v>
      </c>
      <c r="V20" s="2" t="s">
        <v>39</v>
      </c>
      <c r="Y20" s="2" t="s">
        <v>139</v>
      </c>
      <c r="Z20" s="2" t="s">
        <v>147</v>
      </c>
      <c r="AA20" s="2" t="s">
        <v>140</v>
      </c>
      <c r="AB20" s="2" t="s">
        <v>140</v>
      </c>
      <c r="AE20" s="2" t="s">
        <v>148</v>
      </c>
      <c r="AI20" s="2">
        <v>4</v>
      </c>
      <c r="AK20" s="2">
        <v>10</v>
      </c>
    </row>
    <row r="21" spans="1:37" ht="16" customHeight="1" x14ac:dyDescent="0.2">
      <c r="A21" s="2" t="s">
        <v>150</v>
      </c>
      <c r="C21" t="str">
        <f t="shared" si="23"/>
        <v>5</v>
      </c>
      <c r="D21" t="str">
        <f t="shared" si="24"/>
        <v>Falcone_etal_2019</v>
      </c>
      <c r="E21" s="7" t="str">
        <f t="shared" si="25"/>
        <v>Falcone</v>
      </c>
      <c r="F21" s="7" t="str">
        <f t="shared" si="26"/>
        <v>etal</v>
      </c>
      <c r="G21" s="7" t="str">
        <f t="shared" si="27"/>
        <v>2019</v>
      </c>
      <c r="H21" t="str">
        <f t="shared" si="28"/>
        <v>10.1002/cne.24605</v>
      </c>
      <c r="J21" s="2" t="s">
        <v>38</v>
      </c>
      <c r="K21" t="str">
        <f t="shared" si="29"/>
        <v>Falcone_etal_2019_TABLE1</v>
      </c>
      <c r="L21" t="str">
        <f t="shared" si="7"/>
        <v>10.1002%2Fcne.24605_TABLE1</v>
      </c>
      <c r="M21" t="str" cm="1">
        <f t="array" ref="M21">IFERROR(INDEX(FileList!$A$1:$A$100, MATCH(L21, _xlfn.TEXTBEFORE(FileList!$A$1:$A$100, ".tsv"), 0)), "notfound")</f>
        <v>10.1002%2Fcne.24605_TABLE1.tsv</v>
      </c>
      <c r="N21" s="2" t="s">
        <v>151</v>
      </c>
      <c r="R21" s="3"/>
      <c r="U21" s="2" t="s">
        <v>152</v>
      </c>
      <c r="Z21" s="2" t="s">
        <v>41</v>
      </c>
    </row>
    <row r="22" spans="1:37" ht="16" customHeight="1" x14ac:dyDescent="0.2">
      <c r="A22" s="2" t="s">
        <v>150</v>
      </c>
      <c r="C22" t="str">
        <f t="shared" ref="C22" si="58">RIGHT(A22,1)</f>
        <v>5</v>
      </c>
      <c r="D22" t="str">
        <f t="shared" ref="D22" si="59">E22 &amp; IF(F22&lt;&gt;"", "_" &amp; F22, "_") &amp; IF(G22&lt;&gt;"", "_" &amp; G22, "_") &amp; IF(B22&lt;&gt;"", "_" &amp; B22, "")</f>
        <v>Falcone_etal_2019</v>
      </c>
      <c r="E22" s="7" t="str">
        <f t="shared" ref="E22" si="60">SUBSTITUTE(SUBSTITUTE(_xlfn.TEXTBEFORE(A22,","), "-", ""), " ", "")</f>
        <v>Falcone</v>
      </c>
      <c r="F22" s="7" t="str">
        <f t="shared" ref="F22" si="61">IF(ISNUMBER(FIND("&amp;", A22)),
    IF(LEN(A22)-LEN(SUBSTITUTE(A22, ",", ""))&gt;=6, "etal", MID(A22, SEARCH("&amp; ", A22)+2, SEARCH(",", A22, SEARCH("&amp; ", A22)+2) - SEARCH("&amp; ", A22)-2)),
    ""
)</f>
        <v>etal</v>
      </c>
      <c r="G22" s="7" t="str">
        <f t="shared" ref="G22" si="62">_xlfn.TEXTBEFORE(_xlfn.TEXTAFTER(A22, "("), ")")</f>
        <v>2019</v>
      </c>
      <c r="H22" t="str">
        <f t="shared" ref="H22" si="63">_xlfn.TEXTAFTER(A22,"https://doi.org/")</f>
        <v>10.1002/cne.24605</v>
      </c>
      <c r="J22" s="2" t="s">
        <v>153</v>
      </c>
      <c r="K22" t="str">
        <f t="shared" ref="K22" si="64">TRIM(_xlfn.TEXTJOIN("_",FALSE,D22,(SUBSTITUTE(SUBSTITUTE(J22," ",""), "_", ""))))</f>
        <v>Falcone_etal_2019_TABLE2</v>
      </c>
      <c r="L22" t="str">
        <f t="shared" ref="L22" si="65">IF(ISBLANK(I22),TRIM(SUBSTITUTE(SUBSTITUTE(SUBSTITUTE(_xlfn.TEXTJOIN("_", FALSE, H22, SUBSTITUTE(J22,"_", "")), "/", "%2F"), ":", "%3A"), " ", "")),TRIM(SUBSTITUTE(SUBSTITUTE(SUBSTITUTE(_xlfn.TEXTJOIN("_", FALSE, I22, SUBSTITUTE(J22,"_", "")), "/", "%2F"), ":", "%3A"), " ", "")))</f>
        <v>10.1002%2Fcne.24605_TABLE2</v>
      </c>
      <c r="M22" t="str" cm="1">
        <f t="array" ref="M22">IFERROR(INDEX(FileList!$A$1:$A$100, MATCH(L22, _xlfn.TEXTBEFORE(FileList!$A$1:$A$100, ".tsv"), 0)), "notfound")</f>
        <v>10.1002%2Fcne.24605_TABLE2.tsv</v>
      </c>
      <c r="N22" s="2" t="s">
        <v>154</v>
      </c>
      <c r="R22" s="3"/>
      <c r="U22" s="2" t="s">
        <v>152</v>
      </c>
      <c r="Z22" s="2" t="s">
        <v>41</v>
      </c>
    </row>
    <row r="23" spans="1:37" ht="16" customHeight="1" x14ac:dyDescent="0.2">
      <c r="A23" s="2" t="s">
        <v>155</v>
      </c>
      <c r="C23" t="str">
        <f t="shared" si="23"/>
        <v>6</v>
      </c>
      <c r="D23" t="str">
        <f t="shared" si="24"/>
        <v>Finlay_etal_2006</v>
      </c>
      <c r="E23" s="7" t="str">
        <f t="shared" si="25"/>
        <v>Finlay</v>
      </c>
      <c r="F23" s="7" t="str">
        <f t="shared" si="26"/>
        <v>etal</v>
      </c>
      <c r="G23" s="7" t="str">
        <f t="shared" si="27"/>
        <v>2006</v>
      </c>
      <c r="H23" t="str">
        <f t="shared" si="28"/>
        <v>10.1093/oso/9780198568742.003.0006</v>
      </c>
      <c r="J23" s="2" t="s">
        <v>156</v>
      </c>
      <c r="K23" s="1" t="str">
        <f t="shared" si="29"/>
        <v>Finlay_etal_2006_Table6.1</v>
      </c>
      <c r="L23" s="1" t="str">
        <f t="shared" si="7"/>
        <v>10.1093%2Foso%2F9780198568742.003.0006_Table6.1</v>
      </c>
      <c r="M23" t="str" cm="1">
        <f t="array" ref="M23">IFERROR(INDEX(FileList!$A$1:$A$100, MATCH(L23, _xlfn.TEXTBEFORE(FileList!$A$1:$A$100, ".tsv"), 0)), "notfound")</f>
        <v>10.1093%2Foso%2F9780198568742.003.0006_Table6.1.tsv</v>
      </c>
      <c r="N23" s="6"/>
      <c r="P23" s="2" t="s">
        <v>97</v>
      </c>
      <c r="Q23" s="2" t="s">
        <v>98</v>
      </c>
      <c r="R23" s="2" t="s">
        <v>157</v>
      </c>
      <c r="S23" s="2" t="s">
        <v>87</v>
      </c>
      <c r="T23" s="2" t="s">
        <v>158</v>
      </c>
      <c r="U23" s="2" t="s">
        <v>152</v>
      </c>
      <c r="V23" s="2" t="s">
        <v>39</v>
      </c>
      <c r="W23" s="2" t="s">
        <v>90</v>
      </c>
      <c r="X23" s="2" t="s">
        <v>159</v>
      </c>
      <c r="Y23" s="2" t="s">
        <v>160</v>
      </c>
      <c r="Z23" s="2" t="s">
        <v>104</v>
      </c>
      <c r="AD23" s="2" t="s">
        <v>161</v>
      </c>
      <c r="AE23" s="2" t="s">
        <v>63</v>
      </c>
      <c r="AI23" s="2">
        <v>3</v>
      </c>
      <c r="AK23" s="2">
        <v>8</v>
      </c>
    </row>
    <row r="24" spans="1:37" ht="16" customHeight="1" x14ac:dyDescent="0.2">
      <c r="A24" s="2" t="s">
        <v>162</v>
      </c>
      <c r="C24" t="str">
        <f t="shared" si="23"/>
        <v>x</v>
      </c>
      <c r="D24" t="str">
        <f t="shared" si="24"/>
        <v>Fu_etal_2013</v>
      </c>
      <c r="E24" s="12" t="str">
        <f t="shared" si="25"/>
        <v>Fu</v>
      </c>
      <c r="F24" s="7" t="str">
        <f t="shared" si="26"/>
        <v>etal</v>
      </c>
      <c r="G24" s="12" t="str">
        <f t="shared" si="27"/>
        <v>2013</v>
      </c>
      <c r="H24" t="str">
        <f t="shared" si="28"/>
        <v>10.1007/s00429-012-0462-x</v>
      </c>
      <c r="J24" s="2" t="s">
        <v>44</v>
      </c>
      <c r="K24" s="8" t="str">
        <f t="shared" si="29"/>
        <v>Fu_etal_2013_Table1</v>
      </c>
      <c r="L24" s="8" t="str">
        <f t="shared" si="7"/>
        <v>10.1007%2Fs00429-012-0462-x_Table1</v>
      </c>
      <c r="M24" t="str" cm="1">
        <f t="array" ref="M24">IFERROR(INDEX(FileList!$A$1:$A$100, MATCH(L24, _xlfn.TEXTBEFORE(FileList!$A$1:$A$100, ".tsv"), 0)), "notfound")</f>
        <v>notfound</v>
      </c>
      <c r="N24" s="2" t="s">
        <v>163</v>
      </c>
      <c r="P24" s="2" t="s">
        <v>164</v>
      </c>
      <c r="Z24" s="2" t="s">
        <v>165</v>
      </c>
      <c r="AC24" s="2" t="s">
        <v>70</v>
      </c>
    </row>
    <row r="25" spans="1:37" ht="15" customHeight="1" x14ac:dyDescent="0.2">
      <c r="A25" s="2" t="s">
        <v>166</v>
      </c>
      <c r="C25" t="str">
        <f t="shared" si="23"/>
        <v>6</v>
      </c>
      <c r="D25" t="str">
        <f t="shared" si="24"/>
        <v>Garwicz_etal_2009</v>
      </c>
      <c r="E25" s="7" t="str">
        <f t="shared" si="25"/>
        <v>Garwicz</v>
      </c>
      <c r="F25" s="7" t="str">
        <f t="shared" si="26"/>
        <v>etal</v>
      </c>
      <c r="G25" s="7" t="str">
        <f t="shared" si="27"/>
        <v>2009</v>
      </c>
      <c r="H25" t="str">
        <f t="shared" si="28"/>
        <v>10.1073/pnas.0905777106</v>
      </c>
      <c r="J25" s="2" t="s">
        <v>132</v>
      </c>
      <c r="K25" t="str">
        <f t="shared" si="29"/>
        <v>Garwicz_etal_2009_TableS1</v>
      </c>
      <c r="L25" t="str">
        <f t="shared" si="7"/>
        <v>10.1073%2Fpnas.0905777106_TableS1</v>
      </c>
      <c r="M25" t="str" cm="1">
        <f t="array" ref="M25">IFERROR(INDEX(FileList!$A$1:$A$100, MATCH(L25, _xlfn.TEXTBEFORE(FileList!$A$1:$A$100, ".tsv"), 0)), "notfound")</f>
        <v>10.1073%2Fpnas.0905777106_TableS1.tsv</v>
      </c>
      <c r="N25" s="2" t="s">
        <v>167</v>
      </c>
      <c r="U25" s="2" t="s">
        <v>89</v>
      </c>
      <c r="W25" s="2" t="s">
        <v>81</v>
      </c>
      <c r="X25" s="5" t="s">
        <v>168</v>
      </c>
    </row>
    <row r="26" spans="1:37" ht="16" customHeight="1" x14ac:dyDescent="0.2">
      <c r="A26" s="2" t="s">
        <v>166</v>
      </c>
      <c r="C26" t="str">
        <f t="shared" si="23"/>
        <v>6</v>
      </c>
      <c r="D26" t="str">
        <f t="shared" si="24"/>
        <v>Garwicz_etal_2009</v>
      </c>
      <c r="E26" s="7" t="str">
        <f t="shared" si="25"/>
        <v>Garwicz</v>
      </c>
      <c r="F26" s="7" t="str">
        <f t="shared" si="26"/>
        <v>etal</v>
      </c>
      <c r="G26" s="7" t="str">
        <f t="shared" si="27"/>
        <v>2009</v>
      </c>
      <c r="H26" t="str">
        <f t="shared" si="28"/>
        <v>10.1073/pnas.0905777106</v>
      </c>
      <c r="J26" s="2" t="s">
        <v>169</v>
      </c>
      <c r="K26" t="str">
        <f t="shared" si="29"/>
        <v>Garwicz_etal_2009_TableS2</v>
      </c>
      <c r="L26" t="str">
        <f t="shared" si="7"/>
        <v>10.1073%2Fpnas.0905777106_TableS2</v>
      </c>
      <c r="M26" t="str" cm="1">
        <f t="array" ref="M26">IFERROR(INDEX(FileList!$A$1:$A$100, MATCH(L26, _xlfn.TEXTBEFORE(FileList!$A$1:$A$100, ".tsv"), 0)), "notfound")</f>
        <v>notfound</v>
      </c>
      <c r="N26" s="2" t="s">
        <v>170</v>
      </c>
      <c r="U26" s="2" t="s">
        <v>89</v>
      </c>
      <c r="W26" s="2" t="s">
        <v>81</v>
      </c>
      <c r="X26" s="5" t="s">
        <v>168</v>
      </c>
    </row>
    <row r="27" spans="1:37" ht="16" customHeight="1" x14ac:dyDescent="0.2">
      <c r="A27" s="2" t="s">
        <v>171</v>
      </c>
      <c r="C27" t="str">
        <f t="shared" si="23"/>
        <v>0</v>
      </c>
      <c r="D27" t="str">
        <f t="shared" si="24"/>
        <v>Genoud_etal_2018</v>
      </c>
      <c r="E27" s="12" t="str">
        <f t="shared" si="25"/>
        <v>Genoud</v>
      </c>
      <c r="F27" s="7" t="str">
        <f t="shared" si="26"/>
        <v>etal</v>
      </c>
      <c r="G27" s="12" t="str">
        <f t="shared" si="27"/>
        <v>2018</v>
      </c>
      <c r="H27" t="str">
        <f t="shared" si="28"/>
        <v>10.1111/brv.12350</v>
      </c>
      <c r="J27" s="2" t="s">
        <v>169</v>
      </c>
      <c r="K27" s="8" t="str">
        <f t="shared" si="29"/>
        <v>Genoud_etal_2018_TableS2</v>
      </c>
      <c r="L27" s="8" t="str">
        <f t="shared" si="7"/>
        <v>10.1111%2Fbrv.12350_TableS2</v>
      </c>
      <c r="M27" t="str" cm="1">
        <f t="array" ref="M27">IFERROR(INDEX(FileList!$A$1:$A$100, MATCH(L27, _xlfn.TEXTBEFORE(FileList!$A$1:$A$100, ".tsv"), 0)), "notfound")</f>
        <v>notfound</v>
      </c>
      <c r="N27" s="2" t="s">
        <v>172</v>
      </c>
      <c r="P27" s="2" t="s">
        <v>164</v>
      </c>
      <c r="AC27" s="2" t="s">
        <v>173</v>
      </c>
    </row>
    <row r="28" spans="1:37" ht="16" customHeight="1" x14ac:dyDescent="0.2">
      <c r="A28" s="2" t="s">
        <v>174</v>
      </c>
      <c r="C28" t="str">
        <f t="shared" si="23"/>
        <v>8</v>
      </c>
      <c r="D28" t="str">
        <f t="shared" si="24"/>
        <v>Granatosky__2018</v>
      </c>
      <c r="E28" s="12" t="str">
        <f t="shared" si="25"/>
        <v>Granatosky</v>
      </c>
      <c r="F28" s="7" t="str">
        <f t="shared" si="26"/>
        <v/>
      </c>
      <c r="G28" s="12" t="str">
        <f t="shared" si="27"/>
        <v>2018</v>
      </c>
      <c r="H28" t="str">
        <f t="shared" si="28"/>
        <v>10.1111/jzo.12608</v>
      </c>
      <c r="J28" s="2" t="s">
        <v>132</v>
      </c>
      <c r="K28" s="8" t="str">
        <f t="shared" si="29"/>
        <v>Granatosky__2018_TableS1</v>
      </c>
      <c r="L28" s="8" t="str">
        <f t="shared" si="7"/>
        <v>10.1111%2Fjzo.12608_TableS1</v>
      </c>
      <c r="M28" t="str" cm="1">
        <f t="array" ref="M28">IFERROR(INDEX(FileList!$A$1:$A$100, MATCH(L28, _xlfn.TEXTBEFORE(FileList!$A$1:$A$100, ".tsv"), 0)), "notfound")</f>
        <v>notfound</v>
      </c>
      <c r="N28" s="2" t="s">
        <v>175</v>
      </c>
      <c r="P28" s="2" t="s">
        <v>164</v>
      </c>
    </row>
    <row r="29" spans="1:37" ht="16" customHeight="1" x14ac:dyDescent="0.2">
      <c r="A29" s="2" t="s">
        <v>176</v>
      </c>
      <c r="C29" t="str">
        <f t="shared" si="23"/>
        <v>1</v>
      </c>
      <c r="D29" t="str">
        <f t="shared" si="24"/>
        <v>Heffner_Masterton_1975</v>
      </c>
      <c r="E29" s="7" t="str">
        <f t="shared" si="25"/>
        <v>Heffner</v>
      </c>
      <c r="F29" s="7" t="str">
        <f t="shared" si="26"/>
        <v>Masterton</v>
      </c>
      <c r="G29" s="7" t="str">
        <f t="shared" si="27"/>
        <v>1975</v>
      </c>
      <c r="H29" t="str">
        <f t="shared" si="28"/>
        <v>10.1159/000124401</v>
      </c>
      <c r="J29" s="2" t="s">
        <v>177</v>
      </c>
      <c r="K29" s="1" t="str">
        <f t="shared" si="29"/>
        <v>Heffner_Masterton_1975_TableI</v>
      </c>
      <c r="L29" s="1" t="str">
        <f t="shared" si="7"/>
        <v>10.1159%2F000124401_TableI</v>
      </c>
      <c r="M29" t="str" cm="1">
        <f t="array" ref="M29">IFERROR(INDEX(FileList!$A$1:$A$100, MATCH(L29, _xlfn.TEXTBEFORE(FileList!$A$1:$A$100, ".tsv"), 0)), "notfound")</f>
        <v>10.1159%2F000124401_TableI.tsv</v>
      </c>
      <c r="P29" s="2" t="s">
        <v>54</v>
      </c>
      <c r="Q29" s="2" t="s">
        <v>73</v>
      </c>
      <c r="R29" s="2" t="s">
        <v>178</v>
      </c>
      <c r="S29" s="2" t="s">
        <v>87</v>
      </c>
      <c r="T29" s="2" t="s">
        <v>179</v>
      </c>
      <c r="U29" s="2" t="s">
        <v>89</v>
      </c>
      <c r="V29" s="2" t="s">
        <v>39</v>
      </c>
      <c r="W29" s="2" t="s">
        <v>102</v>
      </c>
      <c r="Y29" s="2" t="s">
        <v>180</v>
      </c>
      <c r="Z29" s="2" t="s">
        <v>181</v>
      </c>
      <c r="AC29" s="2" t="s">
        <v>182</v>
      </c>
      <c r="AE29" s="2" t="s">
        <v>63</v>
      </c>
      <c r="AI29" s="2">
        <v>7</v>
      </c>
      <c r="AK29" s="2">
        <v>12</v>
      </c>
    </row>
    <row r="30" spans="1:37" ht="16" customHeight="1" x14ac:dyDescent="0.2">
      <c r="A30" s="2" t="s">
        <v>183</v>
      </c>
      <c r="C30" t="str">
        <f t="shared" si="23"/>
        <v>4</v>
      </c>
      <c r="D30" t="str">
        <f t="shared" si="24"/>
        <v>Heffner_Masterton_1983</v>
      </c>
      <c r="E30" s="7" t="str">
        <f t="shared" si="25"/>
        <v>Heffner</v>
      </c>
      <c r="F30" s="7" t="str">
        <f t="shared" si="26"/>
        <v>Masterton</v>
      </c>
      <c r="G30" s="7" t="str">
        <f t="shared" si="27"/>
        <v>1983</v>
      </c>
      <c r="H30" t="str">
        <f t="shared" si="28"/>
        <v>10.1159/000121494</v>
      </c>
      <c r="J30" s="2" t="s">
        <v>177</v>
      </c>
      <c r="K30" s="1" t="str">
        <f t="shared" si="29"/>
        <v>Heffner_Masterton_1983_TableI</v>
      </c>
      <c r="L30" s="1" t="str">
        <f t="shared" si="7"/>
        <v>10.1159%2F000121494_TableI</v>
      </c>
      <c r="M30" t="str" cm="1">
        <f t="array" ref="M30">IFERROR(INDEX(FileList!$A$1:$A$100, MATCH(L30, _xlfn.TEXTBEFORE(FileList!$A$1:$A$100, ".tsv"), 0)), "notfound")</f>
        <v>notfound</v>
      </c>
      <c r="P30" s="2" t="s">
        <v>164</v>
      </c>
      <c r="Q30" s="2" t="s">
        <v>98</v>
      </c>
      <c r="R30" s="3"/>
      <c r="T30" s="2" t="str">
        <f>IF(S30="N", R30, "write file name")</f>
        <v>write file name</v>
      </c>
      <c r="U30" s="2" t="s">
        <v>89</v>
      </c>
      <c r="V30" s="2" t="s">
        <v>39</v>
      </c>
      <c r="W30" s="2" t="s">
        <v>102</v>
      </c>
      <c r="Y30" s="2" t="s">
        <v>180</v>
      </c>
      <c r="AE30" s="2" t="s">
        <v>63</v>
      </c>
      <c r="AG30" s="2" t="s">
        <v>184</v>
      </c>
    </row>
    <row r="31" spans="1:37" ht="16" customHeight="1" x14ac:dyDescent="0.2">
      <c r="A31" s="2" t="s">
        <v>185</v>
      </c>
      <c r="C31" t="str">
        <f t="shared" si="23"/>
        <v>8</v>
      </c>
      <c r="D31" t="str">
        <f t="shared" si="24"/>
        <v>Heldstab_etal_2016</v>
      </c>
      <c r="E31" s="7" t="str">
        <f t="shared" si="25"/>
        <v>Heldstab</v>
      </c>
      <c r="F31" s="7" t="str">
        <f t="shared" si="26"/>
        <v>etal</v>
      </c>
      <c r="G31" s="7" t="str">
        <f t="shared" si="27"/>
        <v>2016</v>
      </c>
      <c r="H31" t="str">
        <f t="shared" si="28"/>
        <v>10.1038/srep24528</v>
      </c>
      <c r="J31" s="2" t="s">
        <v>132</v>
      </c>
      <c r="K31" s="1" t="str">
        <f t="shared" si="29"/>
        <v>Heldstab_etal_2016_TableS1</v>
      </c>
      <c r="L31" s="1" t="str">
        <f t="shared" si="7"/>
        <v>10.1038%2Fsrep24528_TableS1</v>
      </c>
      <c r="M31" t="str" cm="1">
        <f t="array" ref="M31">IFERROR(INDEX(FileList!$A$1:$A$100, MATCH(L31, _xlfn.TEXTBEFORE(FileList!$A$1:$A$100, ".tsv"), 0)), "notfound")</f>
        <v>notfound</v>
      </c>
      <c r="P31" s="2" t="s">
        <v>164</v>
      </c>
      <c r="Q31" s="2" t="s">
        <v>98</v>
      </c>
      <c r="R31" s="3"/>
      <c r="T31" s="2" t="str">
        <f>IF(S31="N", R31, "write file name")</f>
        <v>write file name</v>
      </c>
      <c r="U31" s="2" t="s">
        <v>89</v>
      </c>
      <c r="V31" s="2" t="s">
        <v>39</v>
      </c>
      <c r="Y31" s="2" t="s">
        <v>186</v>
      </c>
      <c r="AE31" s="2" t="s">
        <v>84</v>
      </c>
    </row>
    <row r="32" spans="1:37" ht="16" customHeight="1" x14ac:dyDescent="0.2">
      <c r="A32" s="2" t="s">
        <v>187</v>
      </c>
      <c r="C32" t="str">
        <f t="shared" si="23"/>
        <v>5</v>
      </c>
      <c r="D32" t="str">
        <f t="shared" si="24"/>
        <v>HerculanoHouzel_etal_2013</v>
      </c>
      <c r="E32" s="7" t="str">
        <f t="shared" si="25"/>
        <v>HerculanoHouzel</v>
      </c>
      <c r="F32" s="7" t="str">
        <f t="shared" si="26"/>
        <v>etal</v>
      </c>
      <c r="G32" s="7" t="str">
        <f t="shared" si="27"/>
        <v>2013</v>
      </c>
      <c r="H32" t="str">
        <f t="shared" si="28"/>
        <v>10.3389/fnana.2013.00035</v>
      </c>
      <c r="J32" s="2" t="s">
        <v>188</v>
      </c>
      <c r="K32" s="1" t="str">
        <f t="shared" si="29"/>
        <v>HerculanoHouzel_etal_2013_Figure2TopLeft</v>
      </c>
      <c r="L32" s="1" t="str">
        <f t="shared" si="7"/>
        <v>10.3389%2Ffnana.2013.00035_Figure2TopLeft</v>
      </c>
      <c r="M32" t="str" cm="1">
        <f t="array" ref="M32">IFERROR(INDEX(FileList!$A$1:$A$100, MATCH(L32, _xlfn.TEXTBEFORE(FileList!$A$1:$A$100, ".tsv"), 0)), "notfound")</f>
        <v>10.3389%2Ffnana.2013.00035_Figure2TopLeft.tsv</v>
      </c>
      <c r="Q32" s="2" t="s">
        <v>55</v>
      </c>
      <c r="AI32" s="2" t="s">
        <v>189</v>
      </c>
    </row>
    <row r="33" spans="1:37" ht="19" customHeight="1" x14ac:dyDescent="0.2">
      <c r="A33" s="2" t="s">
        <v>187</v>
      </c>
      <c r="C33" t="str">
        <f t="shared" si="23"/>
        <v>5</v>
      </c>
      <c r="D33" t="str">
        <f t="shared" si="24"/>
        <v>HerculanoHouzel_etal_2013</v>
      </c>
      <c r="E33" s="7" t="str">
        <f t="shared" si="25"/>
        <v>HerculanoHouzel</v>
      </c>
      <c r="F33" s="7" t="str">
        <f t="shared" si="26"/>
        <v>etal</v>
      </c>
      <c r="G33" s="7" t="str">
        <f t="shared" si="27"/>
        <v>2013</v>
      </c>
      <c r="H33" t="str">
        <f t="shared" si="28"/>
        <v>10.3389/fnana.2013.00035</v>
      </c>
      <c r="J33" s="2" t="s">
        <v>190</v>
      </c>
      <c r="K33" s="1" t="str">
        <f t="shared" si="29"/>
        <v>HerculanoHouzel_etal_2013_Table1-a</v>
      </c>
      <c r="L33" s="1" t="str">
        <f t="shared" si="7"/>
        <v>10.3389%2Ffnana.2013.00035_Table1-a</v>
      </c>
      <c r="M33" t="str" cm="1">
        <f t="array" ref="M33">IFERROR(INDEX(FileList!$A$1:$A$100, MATCH(L33, _xlfn.TEXTBEFORE(FileList!$A$1:$A$100, ".tsv"), 0)), "notfound")</f>
        <v>10.3389%2Ffnana.2013.00035_Table1-a.tsv</v>
      </c>
      <c r="Q33" s="2" t="s">
        <v>55</v>
      </c>
      <c r="AI33" s="2" t="s">
        <v>189</v>
      </c>
    </row>
    <row r="34" spans="1:37" ht="17" customHeight="1" x14ac:dyDescent="0.2">
      <c r="A34" s="2" t="s">
        <v>187</v>
      </c>
      <c r="C34" t="str">
        <f t="shared" si="23"/>
        <v>5</v>
      </c>
      <c r="D34" t="str">
        <f t="shared" si="24"/>
        <v>HerculanoHouzel_etal_2013</v>
      </c>
      <c r="E34" s="7" t="str">
        <f t="shared" si="25"/>
        <v>HerculanoHouzel</v>
      </c>
      <c r="F34" s="7" t="str">
        <f t="shared" si="26"/>
        <v>etal</v>
      </c>
      <c r="G34" s="7" t="str">
        <f t="shared" si="27"/>
        <v>2013</v>
      </c>
      <c r="H34" t="str">
        <f t="shared" si="28"/>
        <v>10.3389/fnana.2013.00035</v>
      </c>
      <c r="J34" s="2" t="s">
        <v>191</v>
      </c>
      <c r="K34" s="1" t="str">
        <f t="shared" si="29"/>
        <v>HerculanoHouzel_etal_2013_Table1-b</v>
      </c>
      <c r="L34" s="1" t="str">
        <f t="shared" si="7"/>
        <v>10.3389%2Ffnana.2013.00035_Table1-b</v>
      </c>
      <c r="M34" t="str" cm="1">
        <f t="array" ref="M34">IFERROR(INDEX(FileList!$A$1:$A$100, MATCH(L34, _xlfn.TEXTBEFORE(FileList!$A$1:$A$100, ".tsv"), 0)), "notfound")</f>
        <v>10.3389%2Ffnana.2013.00035_Table1-b.tsv</v>
      </c>
      <c r="Q34" s="2" t="s">
        <v>55</v>
      </c>
      <c r="AI34" s="2" t="s">
        <v>189</v>
      </c>
    </row>
    <row r="35" spans="1:37" ht="17" customHeight="1" x14ac:dyDescent="0.2">
      <c r="A35" s="2" t="s">
        <v>192</v>
      </c>
      <c r="C35" t="str">
        <f t="shared" si="23"/>
        <v>3</v>
      </c>
      <c r="D35" t="str">
        <f t="shared" si="24"/>
        <v>HerculanoHouzel_etal_2015</v>
      </c>
      <c r="E35" s="7" t="str">
        <f t="shared" si="25"/>
        <v>HerculanoHouzel</v>
      </c>
      <c r="F35" s="7" t="str">
        <f t="shared" si="26"/>
        <v>etal</v>
      </c>
      <c r="G35" s="7" t="str">
        <f t="shared" si="27"/>
        <v>2015</v>
      </c>
      <c r="H35" t="str">
        <f t="shared" si="28"/>
        <v>10.1159/000437413</v>
      </c>
      <c r="J35" s="2" t="s">
        <v>44</v>
      </c>
      <c r="K35" s="1" t="str">
        <f t="shared" si="29"/>
        <v>HerculanoHouzel_etal_2015_Table1</v>
      </c>
      <c r="L35" s="1" t="str">
        <f t="shared" si="7"/>
        <v>10.1159%2F000437413_Table1</v>
      </c>
      <c r="M35" t="str" cm="1">
        <f t="array" ref="M35">IFERROR(INDEX(FileList!$A$1:$A$100, MATCH(L35, _xlfn.TEXTBEFORE(FileList!$A$1:$A$100, ".tsv"), 0)), "notfound")</f>
        <v>10.1159%2F000437413_Table1.tsv</v>
      </c>
      <c r="N35" s="2" t="s">
        <v>193</v>
      </c>
      <c r="P35" s="2" t="s">
        <v>54</v>
      </c>
      <c r="Q35" s="2" t="s">
        <v>73</v>
      </c>
      <c r="R35" s="3" t="s">
        <v>194</v>
      </c>
      <c r="S35" s="2" t="s">
        <v>87</v>
      </c>
      <c r="T35" s="2" t="s">
        <v>195</v>
      </c>
      <c r="U35" s="2" t="s">
        <v>89</v>
      </c>
      <c r="V35" s="2" t="s">
        <v>39</v>
      </c>
      <c r="W35" s="2" t="s">
        <v>90</v>
      </c>
      <c r="X35" s="2" t="s">
        <v>196</v>
      </c>
      <c r="Y35" s="2" t="s">
        <v>139</v>
      </c>
      <c r="AA35" s="2" t="s">
        <v>140</v>
      </c>
      <c r="AB35" s="2" t="s">
        <v>140</v>
      </c>
      <c r="AE35" s="2" t="s">
        <v>197</v>
      </c>
      <c r="AI35" s="2">
        <v>9</v>
      </c>
      <c r="AK35" s="2">
        <v>15</v>
      </c>
    </row>
    <row r="36" spans="1:37" ht="17" customHeight="1" x14ac:dyDescent="0.2">
      <c r="A36" s="2" t="s">
        <v>192</v>
      </c>
      <c r="C36" t="str">
        <f t="shared" si="23"/>
        <v>3</v>
      </c>
      <c r="D36" t="str">
        <f t="shared" si="24"/>
        <v>HerculanoHouzel_etal_2015</v>
      </c>
      <c r="E36" s="7" t="str">
        <f t="shared" si="25"/>
        <v>HerculanoHouzel</v>
      </c>
      <c r="F36" s="7" t="str">
        <f t="shared" si="26"/>
        <v>etal</v>
      </c>
      <c r="G36" s="7" t="str">
        <f t="shared" si="27"/>
        <v>2015</v>
      </c>
      <c r="H36" t="str">
        <f t="shared" si="28"/>
        <v>10.1159/000437413</v>
      </c>
      <c r="J36" s="2" t="s">
        <v>198</v>
      </c>
      <c r="K36" s="1" t="str">
        <f t="shared" si="29"/>
        <v>HerculanoHouzel_etal_2015_Table2</v>
      </c>
      <c r="L36" s="1" t="str">
        <f t="shared" si="7"/>
        <v>10.1159%2F000437413_Table2</v>
      </c>
      <c r="M36" t="str" cm="1">
        <f t="array" ref="M36">IFERROR(INDEX(FileList!$A$1:$A$100, MATCH(L36, _xlfn.TEXTBEFORE(FileList!$A$1:$A$100, ".tsv"), 0)), "notfound")</f>
        <v>10.1159%2F000437413_Table2.tsv</v>
      </c>
      <c r="N36" s="2" t="s">
        <v>199</v>
      </c>
      <c r="P36" s="2" t="s">
        <v>54</v>
      </c>
      <c r="Q36" s="2" t="s">
        <v>73</v>
      </c>
      <c r="R36" s="3" t="s">
        <v>200</v>
      </c>
      <c r="S36" s="2" t="s">
        <v>87</v>
      </c>
      <c r="T36" s="2" t="s">
        <v>201</v>
      </c>
      <c r="U36" s="2" t="s">
        <v>89</v>
      </c>
      <c r="V36" s="2" t="s">
        <v>39</v>
      </c>
      <c r="W36" s="2" t="s">
        <v>90</v>
      </c>
      <c r="X36" s="2" t="s">
        <v>196</v>
      </c>
      <c r="Y36" s="2" t="s">
        <v>139</v>
      </c>
      <c r="AA36" s="2" t="s">
        <v>140</v>
      </c>
      <c r="AB36" s="2" t="s">
        <v>140</v>
      </c>
      <c r="AE36" s="2" t="s">
        <v>197</v>
      </c>
      <c r="AI36" s="2">
        <v>9</v>
      </c>
      <c r="AK36" s="2">
        <v>16</v>
      </c>
    </row>
    <row r="37" spans="1:37" ht="17" customHeight="1" x14ac:dyDescent="0.2">
      <c r="A37" s="2" t="s">
        <v>192</v>
      </c>
      <c r="C37" t="str">
        <f t="shared" si="23"/>
        <v>3</v>
      </c>
      <c r="D37" t="str">
        <f t="shared" si="24"/>
        <v>HerculanoHouzel_etal_2015</v>
      </c>
      <c r="E37" s="7" t="str">
        <f t="shared" si="25"/>
        <v>HerculanoHouzel</v>
      </c>
      <c r="F37" s="7" t="str">
        <f t="shared" si="26"/>
        <v>etal</v>
      </c>
      <c r="G37" s="7" t="str">
        <f t="shared" si="27"/>
        <v>2015</v>
      </c>
      <c r="H37" t="str">
        <f t="shared" si="28"/>
        <v>10.1159/000437413</v>
      </c>
      <c r="J37" s="2" t="s">
        <v>202</v>
      </c>
      <c r="K37" s="1" t="str">
        <f t="shared" si="29"/>
        <v>HerculanoHouzel_etal_2015_Table3</v>
      </c>
      <c r="L37" s="1" t="str">
        <f t="shared" si="7"/>
        <v>10.1159%2F000437413_Table3</v>
      </c>
      <c r="M37" t="str" cm="1">
        <f t="array" ref="M37">IFERROR(INDEX(FileList!$A$1:$A$100, MATCH(L37, _xlfn.TEXTBEFORE(FileList!$A$1:$A$100, ".tsv"), 0)), "notfound")</f>
        <v>10.1159%2F000437413_Table3.tsv</v>
      </c>
      <c r="N37" s="2" t="s">
        <v>203</v>
      </c>
      <c r="P37" s="2" t="s">
        <v>54</v>
      </c>
      <c r="Q37" s="2" t="s">
        <v>73</v>
      </c>
      <c r="R37" s="3" t="s">
        <v>204</v>
      </c>
      <c r="S37" s="2" t="s">
        <v>87</v>
      </c>
      <c r="T37" s="2" t="s">
        <v>205</v>
      </c>
      <c r="U37" s="2" t="s">
        <v>89</v>
      </c>
      <c r="V37" s="2" t="s">
        <v>39</v>
      </c>
      <c r="W37" s="2" t="s">
        <v>90</v>
      </c>
      <c r="X37" s="2" t="s">
        <v>196</v>
      </c>
      <c r="Y37" s="2" t="s">
        <v>139</v>
      </c>
      <c r="AA37" s="2" t="s">
        <v>140</v>
      </c>
      <c r="AB37" s="2" t="s">
        <v>140</v>
      </c>
      <c r="AE37" s="2" t="s">
        <v>197</v>
      </c>
      <c r="AI37" s="2">
        <v>9</v>
      </c>
      <c r="AK37" s="2">
        <v>15</v>
      </c>
    </row>
    <row r="38" spans="1:37" ht="16" customHeight="1" x14ac:dyDescent="0.2">
      <c r="A38" s="2" t="s">
        <v>192</v>
      </c>
      <c r="C38" t="str">
        <f t="shared" si="23"/>
        <v>3</v>
      </c>
      <c r="D38" t="str">
        <f t="shared" si="24"/>
        <v>HerculanoHouzel_etal_2015</v>
      </c>
      <c r="E38" s="7" t="str">
        <f t="shared" si="25"/>
        <v>HerculanoHouzel</v>
      </c>
      <c r="F38" s="7" t="str">
        <f t="shared" si="26"/>
        <v>etal</v>
      </c>
      <c r="G38" s="7" t="str">
        <f t="shared" si="27"/>
        <v>2015</v>
      </c>
      <c r="H38" t="str">
        <f t="shared" si="28"/>
        <v>10.1159/000437413</v>
      </c>
      <c r="J38" s="2" t="s">
        <v>206</v>
      </c>
      <c r="K38" s="1" t="str">
        <f t="shared" si="29"/>
        <v>HerculanoHouzel_etal_2015_Table4</v>
      </c>
      <c r="L38" s="1" t="str">
        <f t="shared" si="7"/>
        <v>10.1159%2F000437413_Table4</v>
      </c>
      <c r="M38" t="str" cm="1">
        <f t="array" ref="M38">IFERROR(INDEX(FileList!$A$1:$A$100, MATCH(L38, _xlfn.TEXTBEFORE(FileList!$A$1:$A$100, ".tsv"), 0)), "notfound")</f>
        <v>10.1159%2F000437413_Table4.tsv</v>
      </c>
      <c r="N38" s="2" t="s">
        <v>207</v>
      </c>
      <c r="P38" s="2" t="s">
        <v>54</v>
      </c>
      <c r="Q38" s="2" t="s">
        <v>73</v>
      </c>
      <c r="R38" s="3" t="s">
        <v>208</v>
      </c>
      <c r="S38" s="2" t="s">
        <v>87</v>
      </c>
      <c r="T38" s="2" t="s">
        <v>209</v>
      </c>
      <c r="U38" s="2" t="s">
        <v>89</v>
      </c>
      <c r="V38" s="2" t="s">
        <v>39</v>
      </c>
      <c r="W38" s="2" t="s">
        <v>90</v>
      </c>
      <c r="X38" s="2" t="s">
        <v>196</v>
      </c>
      <c r="Y38" s="2" t="s">
        <v>139</v>
      </c>
      <c r="AA38" s="2" t="s">
        <v>140</v>
      </c>
      <c r="AB38" s="2" t="s">
        <v>140</v>
      </c>
      <c r="AE38" s="2" t="s">
        <v>197</v>
      </c>
      <c r="AI38" s="2">
        <v>8</v>
      </c>
      <c r="AK38" s="2">
        <v>12</v>
      </c>
    </row>
    <row r="39" spans="1:37" ht="16" customHeight="1" x14ac:dyDescent="0.2">
      <c r="A39" s="2" t="s">
        <v>192</v>
      </c>
      <c r="C39" t="str">
        <f t="shared" si="23"/>
        <v>3</v>
      </c>
      <c r="D39" t="str">
        <f t="shared" si="24"/>
        <v>HerculanoHouzel_etal_2015</v>
      </c>
      <c r="E39" s="7" t="str">
        <f t="shared" si="25"/>
        <v>HerculanoHouzel</v>
      </c>
      <c r="F39" s="7" t="str">
        <f t="shared" si="26"/>
        <v>etal</v>
      </c>
      <c r="G39" s="7" t="str">
        <f t="shared" si="27"/>
        <v>2015</v>
      </c>
      <c r="H39" t="str">
        <f t="shared" si="28"/>
        <v>10.1159/000437413</v>
      </c>
      <c r="J39" s="2" t="s">
        <v>210</v>
      </c>
      <c r="K39" s="1" t="str">
        <f t="shared" si="29"/>
        <v>HerculanoHouzel_etal_2015_Table5</v>
      </c>
      <c r="L39" s="1" t="str">
        <f t="shared" si="7"/>
        <v>10.1159%2F000437413_Table5</v>
      </c>
      <c r="M39" t="str" cm="1">
        <f t="array" ref="M39">IFERROR(INDEX(FileList!$A$1:$A$100, MATCH(L39, _xlfn.TEXTBEFORE(FileList!$A$1:$A$100, ".tsv"), 0)), "notfound")</f>
        <v>10.1159%2F000437413_Table5.tsv</v>
      </c>
      <c r="N39" s="2" t="s">
        <v>211</v>
      </c>
      <c r="P39" s="2" t="s">
        <v>54</v>
      </c>
      <c r="Q39" s="2" t="s">
        <v>73</v>
      </c>
      <c r="R39" s="3" t="s">
        <v>212</v>
      </c>
      <c r="S39" s="2" t="s">
        <v>87</v>
      </c>
      <c r="T39" s="2" t="s">
        <v>213</v>
      </c>
      <c r="U39" s="2" t="s">
        <v>89</v>
      </c>
      <c r="V39" s="2" t="s">
        <v>39</v>
      </c>
      <c r="W39" s="2" t="s">
        <v>90</v>
      </c>
      <c r="X39" s="2" t="s">
        <v>196</v>
      </c>
      <c r="Y39" s="2" t="s">
        <v>139</v>
      </c>
      <c r="AA39" s="2" t="s">
        <v>140</v>
      </c>
      <c r="AB39" s="2" t="s">
        <v>140</v>
      </c>
      <c r="AE39" s="2" t="s">
        <v>197</v>
      </c>
      <c r="AI39" s="2">
        <v>9</v>
      </c>
      <c r="AK39" s="2">
        <v>15</v>
      </c>
    </row>
    <row r="40" spans="1:37" ht="16" customHeight="1" x14ac:dyDescent="0.2">
      <c r="A40" s="2" t="s">
        <v>214</v>
      </c>
      <c r="C40" t="str">
        <f t="shared" si="23"/>
        <v>5</v>
      </c>
      <c r="D40" t="str">
        <f t="shared" si="24"/>
        <v>HerculanoHouzel_etal_2020</v>
      </c>
      <c r="E40" s="7" t="str">
        <f t="shared" si="25"/>
        <v>HerculanoHouzel</v>
      </c>
      <c r="F40" s="7" t="str">
        <f t="shared" si="26"/>
        <v>etal</v>
      </c>
      <c r="G40" s="7" t="str">
        <f t="shared" si="27"/>
        <v>2020</v>
      </c>
      <c r="H40" t="str">
        <f t="shared" si="28"/>
        <v>10.1002/cne.24985</v>
      </c>
      <c r="J40" s="2" t="s">
        <v>38</v>
      </c>
      <c r="K40" s="1" t="str">
        <f t="shared" si="29"/>
        <v>HerculanoHouzel_etal_2020_TABLE1</v>
      </c>
      <c r="L40" s="1" t="str">
        <f t="shared" si="7"/>
        <v>10.1002%2Fcne.24985_TABLE1</v>
      </c>
      <c r="M40" t="str" cm="1">
        <f t="array" ref="M40">IFERROR(INDEX(FileList!$A$1:$A$100, MATCH(L40, _xlfn.TEXTBEFORE(FileList!$A$1:$A$100, ".tsv"), 0)), "notfound")</f>
        <v>10.1002%2Fcne.24985_TABLE1.tsv</v>
      </c>
      <c r="N40" s="2" t="s">
        <v>215</v>
      </c>
      <c r="P40" s="2" t="s">
        <v>54</v>
      </c>
      <c r="Q40" s="2" t="s">
        <v>73</v>
      </c>
      <c r="R40" s="3" t="s">
        <v>216</v>
      </c>
      <c r="S40" s="2" t="s">
        <v>87</v>
      </c>
      <c r="T40" s="2" t="s">
        <v>217</v>
      </c>
      <c r="U40" s="2" t="s">
        <v>89</v>
      </c>
      <c r="V40" s="2" t="s">
        <v>39</v>
      </c>
      <c r="W40" s="2" t="s">
        <v>102</v>
      </c>
      <c r="Y40" s="2" t="s">
        <v>218</v>
      </c>
      <c r="AA40" s="2" t="s">
        <v>140</v>
      </c>
      <c r="AB40" s="2" t="s">
        <v>140</v>
      </c>
      <c r="AE40" s="2" t="s">
        <v>219</v>
      </c>
      <c r="AI40" s="2">
        <v>0</v>
      </c>
      <c r="AJ40" s="2">
        <v>0</v>
      </c>
      <c r="AK40" s="2">
        <v>0</v>
      </c>
    </row>
    <row r="41" spans="1:37" ht="16" customHeight="1" x14ac:dyDescent="0.2">
      <c r="A41" s="2" t="s">
        <v>214</v>
      </c>
      <c r="C41" t="str">
        <f t="shared" si="23"/>
        <v>5</v>
      </c>
      <c r="D41" t="str">
        <f t="shared" si="24"/>
        <v>HerculanoHouzel_etal_2020</v>
      </c>
      <c r="E41" s="7" t="str">
        <f t="shared" si="25"/>
        <v>HerculanoHouzel</v>
      </c>
      <c r="F41" s="7" t="str">
        <f t="shared" si="26"/>
        <v>etal</v>
      </c>
      <c r="G41" s="7" t="str">
        <f t="shared" si="27"/>
        <v>2020</v>
      </c>
      <c r="H41" t="str">
        <f t="shared" si="28"/>
        <v>10.1002/cne.24985</v>
      </c>
      <c r="J41" s="2" t="s">
        <v>153</v>
      </c>
      <c r="K41" s="1" t="str">
        <f t="shared" si="29"/>
        <v>HerculanoHouzel_etal_2020_TABLE2</v>
      </c>
      <c r="L41" s="1" t="str">
        <f t="shared" si="7"/>
        <v>10.1002%2Fcne.24985_TABLE2</v>
      </c>
      <c r="M41" t="str" cm="1">
        <f t="array" ref="M41">IFERROR(INDEX(FileList!$A$1:$A$100, MATCH(L41, _xlfn.TEXTBEFORE(FileList!$A$1:$A$100, ".tsv"), 0)), "notfound")</f>
        <v>10.1002%2Fcne.24985_TABLE2.tsv</v>
      </c>
      <c r="N41" s="2" t="s">
        <v>220</v>
      </c>
      <c r="P41" s="2" t="s">
        <v>54</v>
      </c>
      <c r="Q41" s="2" t="s">
        <v>73</v>
      </c>
      <c r="R41" s="3" t="s">
        <v>221</v>
      </c>
      <c r="S41" s="2" t="s">
        <v>87</v>
      </c>
      <c r="T41" s="2" t="s">
        <v>222</v>
      </c>
      <c r="U41" s="2" t="s">
        <v>89</v>
      </c>
      <c r="V41" s="2" t="s">
        <v>39</v>
      </c>
      <c r="W41" s="2" t="s">
        <v>102</v>
      </c>
      <c r="Y41" s="2" t="s">
        <v>223</v>
      </c>
      <c r="AA41" s="2" t="s">
        <v>140</v>
      </c>
      <c r="AB41" s="2" t="s">
        <v>140</v>
      </c>
      <c r="AE41" s="2" t="s">
        <v>219</v>
      </c>
      <c r="AI41" s="2">
        <v>0</v>
      </c>
      <c r="AJ41" s="2">
        <v>0</v>
      </c>
      <c r="AK41" s="2">
        <v>0</v>
      </c>
    </row>
    <row r="42" spans="1:37" ht="16" customHeight="1" x14ac:dyDescent="0.2">
      <c r="A42" s="2" t="s">
        <v>224</v>
      </c>
      <c r="C42" t="str">
        <f t="shared" si="23"/>
        <v>4</v>
      </c>
      <c r="D42" t="str">
        <f t="shared" si="24"/>
        <v>Isler_etal_2008</v>
      </c>
      <c r="E42" s="7" t="str">
        <f t="shared" si="25"/>
        <v>Isler</v>
      </c>
      <c r="F42" s="7" t="str">
        <f t="shared" si="26"/>
        <v>etal</v>
      </c>
      <c r="G42" s="7" t="str">
        <f t="shared" si="27"/>
        <v>2008</v>
      </c>
      <c r="H42" t="str">
        <f t="shared" si="28"/>
        <v>10.1016/j.jhevol.2008.08.004</v>
      </c>
      <c r="J42" s="2" t="s">
        <v>198</v>
      </c>
      <c r="K42" s="1" t="str">
        <f t="shared" si="29"/>
        <v>Isler_etal_2008_Table2</v>
      </c>
      <c r="L42" s="1" t="str">
        <f t="shared" si="7"/>
        <v>10.1016%2Fj.jhevol.2008.08.004_Table2</v>
      </c>
      <c r="M42" t="str" cm="1">
        <f t="array" ref="M42">IFERROR(INDEX(FileList!$A$1:$A$100, MATCH(L42, _xlfn.TEXTBEFORE(FileList!$A$1:$A$100, ".tsv"), 0)), "notfound")</f>
        <v>10.1016%2Fj.jhevol.2008.08.004_Table2.tsv</v>
      </c>
      <c r="Q42" s="2" t="s">
        <v>55</v>
      </c>
      <c r="AI42" s="2">
        <v>6</v>
      </c>
      <c r="AK42" s="2">
        <v>7</v>
      </c>
    </row>
    <row r="43" spans="1:37" ht="16" customHeight="1" x14ac:dyDescent="0.2">
      <c r="A43" s="2" t="s">
        <v>224</v>
      </c>
      <c r="C43" t="str">
        <f t="shared" si="23"/>
        <v>4</v>
      </c>
      <c r="D43" t="str">
        <f t="shared" si="24"/>
        <v>Isler_etal_2008</v>
      </c>
      <c r="E43" s="7" t="str">
        <f t="shared" si="25"/>
        <v>Isler</v>
      </c>
      <c r="F43" s="7" t="str">
        <f t="shared" si="26"/>
        <v>etal</v>
      </c>
      <c r="G43" s="7" t="str">
        <f t="shared" si="27"/>
        <v>2008</v>
      </c>
      <c r="H43" t="str">
        <f t="shared" si="28"/>
        <v>10.1016/j.jhevol.2008.08.004</v>
      </c>
      <c r="J43" s="2" t="s">
        <v>225</v>
      </c>
      <c r="K43" s="1" t="str">
        <f t="shared" si="29"/>
        <v>Isler_etal_2008_Table7</v>
      </c>
      <c r="L43" s="1" t="str">
        <f t="shared" si="7"/>
        <v>10.1016%2Fj.jhevol.2008.08.004_Table7</v>
      </c>
      <c r="M43" t="str" cm="1">
        <f t="array" ref="M43">IFERROR(INDEX(FileList!$A$1:$A$100, MATCH(L43, _xlfn.TEXTBEFORE(FileList!$A$1:$A$100, ".tsv"), 0)), "notfound")</f>
        <v>10.1016%2Fj.jhevol.2008.08.004_Table7.tsv</v>
      </c>
      <c r="Q43" s="2" t="s">
        <v>55</v>
      </c>
      <c r="AI43" s="2">
        <v>3</v>
      </c>
      <c r="AK43" s="2">
        <v>6</v>
      </c>
    </row>
    <row r="44" spans="1:37" ht="16" customHeight="1" x14ac:dyDescent="0.2">
      <c r="A44" s="2" t="s">
        <v>224</v>
      </c>
      <c r="C44" t="str">
        <f t="shared" ref="C44:C75" si="66">RIGHT(A44,1)</f>
        <v>4</v>
      </c>
      <c r="D44" t="str">
        <f t="shared" ref="D44:D75" si="67">E44 &amp; IF(F44&lt;&gt;"", "_" &amp; F44, "_") &amp; IF(G44&lt;&gt;"", "_" &amp; G44, "_") &amp; IF(B44&lt;&gt;"", "_" &amp; B44, "")</f>
        <v>Isler_etal_2008</v>
      </c>
      <c r="E44" s="7" t="str">
        <f t="shared" ref="E44:E75" si="68">SUBSTITUTE(SUBSTITUTE(_xlfn.TEXTBEFORE(A44,","), "-", ""), " ", "")</f>
        <v>Isler</v>
      </c>
      <c r="F44" s="7" t="str">
        <f t="shared" ref="F44:F75" si="69">IF(ISNUMBER(FIND("&amp;", A44)),
    IF(LEN(A44)-LEN(SUBSTITUTE(A44, ",", ""))&gt;=6, "etal", MID(A44, SEARCH("&amp; ", A44)+2, SEARCH(",", A44, SEARCH("&amp; ", A44)+2) - SEARCH("&amp; ", A44)-2)),
    ""
)</f>
        <v>etal</v>
      </c>
      <c r="G44" s="7" t="str">
        <f t="shared" ref="G44:G75" si="70">_xlfn.TEXTBEFORE(_xlfn.TEXTAFTER(A44, "("), ")")</f>
        <v>2008</v>
      </c>
      <c r="H44" t="str">
        <f t="shared" ref="H44:H75" si="71">_xlfn.TEXTAFTER(A44,"https://doi.org/")</f>
        <v>10.1016/j.jhevol.2008.08.004</v>
      </c>
      <c r="J44" s="2" t="s">
        <v>132</v>
      </c>
      <c r="K44" s="1" t="str">
        <f t="shared" ref="K44:K75" si="72">TRIM(_xlfn.TEXTJOIN("_",FALSE,D44,(SUBSTITUTE(SUBSTITUTE(J44," ",""), "_", ""))))</f>
        <v>Isler_etal_2008_TableS1</v>
      </c>
      <c r="L44" s="1" t="str">
        <f t="shared" ref="L44:L75" si="73">IF(ISBLANK(I44),TRIM(SUBSTITUTE(SUBSTITUTE(SUBSTITUTE(_xlfn.TEXTJOIN("_", FALSE, H44, SUBSTITUTE(J44,"_", "")), "/", "%2F"), ":", "%3A"), " ", "")),TRIM(SUBSTITUTE(SUBSTITUTE(SUBSTITUTE(_xlfn.TEXTJOIN("_", FALSE, I44, SUBSTITUTE(J44,"_", "")), "/", "%2F"), ":", "%3A"), " ", "")))</f>
        <v>10.1016%2Fj.jhevol.2008.08.004_TableS1</v>
      </c>
      <c r="M44" t="str" cm="1">
        <f t="array" ref="M44">IFERROR(INDEX(FileList!$A$1:$A$100, MATCH(L44, _xlfn.TEXTBEFORE(FileList!$A$1:$A$100, ".tsv"), 0)), "notfound")</f>
        <v>10.1016%2Fj.jhevol.2008.08.004_TableS1.tsv</v>
      </c>
      <c r="Q44" s="2" t="s">
        <v>55</v>
      </c>
      <c r="AI44" s="2" t="s">
        <v>226</v>
      </c>
    </row>
    <row r="45" spans="1:37" ht="16" customHeight="1" x14ac:dyDescent="0.2">
      <c r="A45" s="2" t="s">
        <v>224</v>
      </c>
      <c r="C45" t="str">
        <f t="shared" si="66"/>
        <v>4</v>
      </c>
      <c r="D45" t="str">
        <f t="shared" si="67"/>
        <v>Isler_etal_2008</v>
      </c>
      <c r="E45" s="7" t="str">
        <f t="shared" si="68"/>
        <v>Isler</v>
      </c>
      <c r="F45" s="7" t="str">
        <f t="shared" si="69"/>
        <v>etal</v>
      </c>
      <c r="G45" s="7" t="str">
        <f t="shared" si="70"/>
        <v>2008</v>
      </c>
      <c r="H45" t="str">
        <f t="shared" si="71"/>
        <v>10.1016/j.jhevol.2008.08.004</v>
      </c>
      <c r="J45" s="2" t="s">
        <v>169</v>
      </c>
      <c r="K45" s="1" t="str">
        <f t="shared" si="72"/>
        <v>Isler_etal_2008_TableS2</v>
      </c>
      <c r="L45" s="1" t="str">
        <f t="shared" si="73"/>
        <v>10.1016%2Fj.jhevol.2008.08.004_TableS2</v>
      </c>
      <c r="M45" t="str" cm="1">
        <f t="array" ref="M45">IFERROR(INDEX(FileList!$A$1:$A$100, MATCH(L45, _xlfn.TEXTBEFORE(FileList!$A$1:$A$100, ".tsv"), 0)), "notfound")</f>
        <v>10.1016%2Fj.jhevol.2008.08.004_TableS2.tsv</v>
      </c>
      <c r="Q45" s="2" t="s">
        <v>55</v>
      </c>
      <c r="AI45" s="2">
        <v>8</v>
      </c>
      <c r="AK45" s="2">
        <v>11</v>
      </c>
    </row>
    <row r="46" spans="1:37" ht="16" customHeight="1" x14ac:dyDescent="0.2">
      <c r="A46" s="2" t="s">
        <v>224</v>
      </c>
      <c r="C46" t="str">
        <f t="shared" si="66"/>
        <v>4</v>
      </c>
      <c r="D46" t="str">
        <f t="shared" si="67"/>
        <v>Isler_etal_2008</v>
      </c>
      <c r="E46" s="7" t="str">
        <f t="shared" si="68"/>
        <v>Isler</v>
      </c>
      <c r="F46" s="7" t="str">
        <f t="shared" si="69"/>
        <v>etal</v>
      </c>
      <c r="G46" s="7" t="str">
        <f t="shared" si="70"/>
        <v>2008</v>
      </c>
      <c r="H46" t="str">
        <f t="shared" si="71"/>
        <v>10.1016/j.jhevol.2008.08.004</v>
      </c>
      <c r="J46" s="2" t="s">
        <v>227</v>
      </c>
      <c r="K46" s="1" t="str">
        <f t="shared" si="72"/>
        <v>Isler_etal_2008_TableS3</v>
      </c>
      <c r="L46" s="1" t="str">
        <f t="shared" si="73"/>
        <v>10.1016%2Fj.jhevol.2008.08.004_TableS3</v>
      </c>
      <c r="M46" t="str" cm="1">
        <f t="array" ref="M46">IFERROR(INDEX(FileList!$A$1:$A$100, MATCH(L46, _xlfn.TEXTBEFORE(FileList!$A$1:$A$100, ".tsv"), 0)), "notfound")</f>
        <v>10.1016%2Fj.jhevol.2008.08.004_TableS3.tsv</v>
      </c>
      <c r="Q46" s="2" t="s">
        <v>55</v>
      </c>
      <c r="AI46" s="2">
        <v>7</v>
      </c>
      <c r="AK46" s="2">
        <v>10</v>
      </c>
    </row>
    <row r="47" spans="1:37" ht="16" customHeight="1" x14ac:dyDescent="0.2">
      <c r="A47" s="2" t="s">
        <v>224</v>
      </c>
      <c r="C47" t="str">
        <f t="shared" si="66"/>
        <v>4</v>
      </c>
      <c r="D47" t="str">
        <f t="shared" si="67"/>
        <v>Isler_etal_2008</v>
      </c>
      <c r="E47" s="10" t="str">
        <f t="shared" si="68"/>
        <v>Isler</v>
      </c>
      <c r="F47" s="7" t="str">
        <f t="shared" si="69"/>
        <v>etal</v>
      </c>
      <c r="G47" s="10" t="str">
        <f t="shared" si="70"/>
        <v>2008</v>
      </c>
      <c r="H47" s="9" t="str">
        <f t="shared" si="71"/>
        <v>10.1016/j.jhevol.2008.08.004</v>
      </c>
      <c r="J47" s="2" t="s">
        <v>228</v>
      </c>
      <c r="K47" s="9" t="str">
        <f t="shared" si="72"/>
        <v>Isler_etal_2008_Tree.nex</v>
      </c>
      <c r="L47" s="11" t="str">
        <f t="shared" si="73"/>
        <v>10.1016%2Fj.jhevol.2008.08.004_Tree.nex</v>
      </c>
      <c r="M47" t="str" cm="1">
        <f t="array" ref="M47">IFERROR(INDEX(FileList!$A$1:$A$100, MATCH(L47, _xlfn.TEXTBEFORE(FileList!$A$1:$A$100, ".tsv"), 0)), "notfound")</f>
        <v>notfound</v>
      </c>
      <c r="Q47" s="2" t="s">
        <v>55</v>
      </c>
    </row>
    <row r="48" spans="1:37" ht="16" customHeight="1" x14ac:dyDescent="0.2">
      <c r="A48" s="2" t="s">
        <v>229</v>
      </c>
      <c r="C48" t="str">
        <f t="shared" si="66"/>
        <v>x</v>
      </c>
      <c r="D48" t="str">
        <f t="shared" si="67"/>
        <v>Iwaniuk_etal_1999</v>
      </c>
      <c r="E48" s="12" t="str">
        <f t="shared" si="68"/>
        <v>Iwaniuk</v>
      </c>
      <c r="F48" s="7" t="str">
        <f t="shared" si="69"/>
        <v>etal</v>
      </c>
      <c r="G48" s="12" t="str">
        <f t="shared" si="70"/>
        <v>1999</v>
      </c>
      <c r="H48" t="str">
        <f t="shared" si="71"/>
        <v>10.1016/s0166-4328(98)00151-x</v>
      </c>
      <c r="J48" s="2" t="s">
        <v>230</v>
      </c>
      <c r="K48" s="8" t="str">
        <f t="shared" si="72"/>
        <v>Iwaniuk_etal_1999_References</v>
      </c>
      <c r="L48" s="8" t="str">
        <f t="shared" si="73"/>
        <v>10.1016%2Fs0166-4328(98)00151-x_References</v>
      </c>
      <c r="M48" t="str" cm="1">
        <f t="array" ref="M48">IFERROR(INDEX(FileList!$A$1:$A$100, MATCH(L48, _xlfn.TEXTBEFORE(FileList!$A$1:$A$100, ".tsv"), 0)), "notfound")</f>
        <v>notfound</v>
      </c>
      <c r="N48" s="2" t="s">
        <v>230</v>
      </c>
      <c r="P48" s="2" t="s">
        <v>164</v>
      </c>
      <c r="V48" s="2" t="s">
        <v>231</v>
      </c>
      <c r="W48" s="2" t="s">
        <v>102</v>
      </c>
    </row>
    <row r="49" spans="1:37" ht="16" customHeight="1" x14ac:dyDescent="0.2">
      <c r="A49" s="2" t="s">
        <v>229</v>
      </c>
      <c r="C49" t="str">
        <f t="shared" si="66"/>
        <v>x</v>
      </c>
      <c r="D49" t="str">
        <f t="shared" si="67"/>
        <v>Iwaniuk_etal_1999</v>
      </c>
      <c r="E49" s="12" t="str">
        <f t="shared" si="68"/>
        <v>Iwaniuk</v>
      </c>
      <c r="F49" s="7" t="str">
        <f t="shared" si="69"/>
        <v>etal</v>
      </c>
      <c r="G49" s="12" t="str">
        <f t="shared" si="70"/>
        <v>1999</v>
      </c>
      <c r="H49" t="str">
        <f t="shared" si="71"/>
        <v>10.1016/s0166-4328(98)00151-x</v>
      </c>
      <c r="J49" s="2" t="s">
        <v>44</v>
      </c>
      <c r="K49" s="8" t="str">
        <f t="shared" si="72"/>
        <v>Iwaniuk_etal_1999_Table1</v>
      </c>
      <c r="L49" s="8" t="str">
        <f t="shared" si="73"/>
        <v>10.1016%2Fs0166-4328(98)00151-x_Table1</v>
      </c>
      <c r="M49" t="str" cm="1">
        <f t="array" ref="M49">IFERROR(INDEX(FileList!$A$1:$A$100, MATCH(L49, _xlfn.TEXTBEFORE(FileList!$A$1:$A$100, ".tsv"), 0)), "notfound")</f>
        <v>10.1016%2Fs0166-4328(98)00151-x_Table1.tsv</v>
      </c>
      <c r="N49" s="2" t="s">
        <v>232</v>
      </c>
      <c r="P49" s="2" t="s">
        <v>164</v>
      </c>
      <c r="V49" s="2" t="s">
        <v>39</v>
      </c>
      <c r="W49" s="2" t="s">
        <v>102</v>
      </c>
    </row>
    <row r="50" spans="1:37" ht="16" customHeight="1" x14ac:dyDescent="0.2">
      <c r="A50" s="2" t="s">
        <v>233</v>
      </c>
      <c r="C50" t="str">
        <f t="shared" si="66"/>
        <v>9</v>
      </c>
      <c r="D50" t="str">
        <f t="shared" si="67"/>
        <v>Iwaniuk_etal_2001</v>
      </c>
      <c r="E50" s="7" t="str">
        <f t="shared" si="68"/>
        <v>Iwaniuk</v>
      </c>
      <c r="F50" s="7" t="str">
        <f t="shared" si="69"/>
        <v>etal</v>
      </c>
      <c r="G50" s="7" t="str">
        <f t="shared" si="70"/>
        <v>2001</v>
      </c>
      <c r="H50" t="str">
        <f t="shared" si="71"/>
        <v>10.1037/0735-7036.115.1.29</v>
      </c>
      <c r="J50" s="2" t="s">
        <v>44</v>
      </c>
      <c r="K50" s="1" t="str">
        <f t="shared" si="72"/>
        <v>Iwaniuk_etal_2001_Table1</v>
      </c>
      <c r="L50" s="1" t="str">
        <f t="shared" si="73"/>
        <v>10.1037%2F0735-7036.115.1.29_Table1</v>
      </c>
      <c r="M50" t="str" cm="1">
        <f t="array" ref="M50">IFERROR(INDEX(FileList!$A$1:$A$100, MATCH(L50, _xlfn.TEXTBEFORE(FileList!$A$1:$A$100, ".tsv"), 0)), "notfound")</f>
        <v>10.1037%2F0735-7036.115.1.29_Table1.tsv</v>
      </c>
      <c r="N50" s="2" t="s">
        <v>234</v>
      </c>
      <c r="P50" s="2" t="s">
        <v>235</v>
      </c>
      <c r="Q50" s="2" t="s">
        <v>98</v>
      </c>
      <c r="R50" s="3"/>
      <c r="T50" s="2" t="str">
        <f>IF(S50="N", R50, "write file name")</f>
        <v>write file name</v>
      </c>
      <c r="U50" s="2" t="s">
        <v>89</v>
      </c>
      <c r="V50" s="2" t="s">
        <v>39</v>
      </c>
      <c r="Y50" s="2" t="s">
        <v>236</v>
      </c>
      <c r="AE50" s="2" t="s">
        <v>237</v>
      </c>
    </row>
    <row r="51" spans="1:37" ht="16" customHeight="1" x14ac:dyDescent="0.2">
      <c r="A51" s="2" t="s">
        <v>233</v>
      </c>
      <c r="C51" t="str">
        <f t="shared" si="66"/>
        <v>9</v>
      </c>
      <c r="D51" t="str">
        <f t="shared" si="67"/>
        <v>Iwaniuk_etal_2001</v>
      </c>
      <c r="E51" s="7" t="str">
        <f t="shared" si="68"/>
        <v>Iwaniuk</v>
      </c>
      <c r="F51" s="7" t="str">
        <f t="shared" si="69"/>
        <v>etal</v>
      </c>
      <c r="G51" s="7" t="str">
        <f t="shared" si="70"/>
        <v>2001</v>
      </c>
      <c r="H51" t="str">
        <f t="shared" si="71"/>
        <v>10.1037/0735-7036.115.1.29</v>
      </c>
      <c r="J51" s="2" t="s">
        <v>198</v>
      </c>
      <c r="K51" s="1" t="str">
        <f t="shared" si="72"/>
        <v>Iwaniuk_etal_2001_Table2</v>
      </c>
      <c r="L51" s="1" t="str">
        <f t="shared" si="73"/>
        <v>10.1037%2F0735-7036.115.1.29_Table2</v>
      </c>
      <c r="M51" t="str" cm="1">
        <f t="array" ref="M51">IFERROR(INDEX(FileList!$A$1:$A$100, MATCH(L51, _xlfn.TEXTBEFORE(FileList!$A$1:$A$100, ".tsv"), 0)), "notfound")</f>
        <v>10.1037%2F0735-7036.115.1.29_Table2.tsv</v>
      </c>
      <c r="N51" s="2" t="s">
        <v>238</v>
      </c>
      <c r="P51" s="2" t="s">
        <v>235</v>
      </c>
      <c r="Q51" s="2" t="s">
        <v>98</v>
      </c>
      <c r="R51" s="3"/>
      <c r="T51" s="2" t="str">
        <f>IF(S51="N", R51, "write file name")</f>
        <v>write file name</v>
      </c>
      <c r="U51" s="2" t="s">
        <v>89</v>
      </c>
      <c r="V51" s="2" t="s">
        <v>39</v>
      </c>
      <c r="Y51" s="2" t="s">
        <v>236</v>
      </c>
      <c r="AE51" s="2" t="s">
        <v>237</v>
      </c>
    </row>
    <row r="52" spans="1:37" ht="16" customHeight="1" x14ac:dyDescent="0.2">
      <c r="A52" s="2" t="s">
        <v>233</v>
      </c>
      <c r="C52" t="str">
        <f t="shared" si="66"/>
        <v>9</v>
      </c>
      <c r="D52" t="str">
        <f t="shared" si="67"/>
        <v>Iwaniuk_etal_2001</v>
      </c>
      <c r="E52" s="7" t="str">
        <f t="shared" si="68"/>
        <v>Iwaniuk</v>
      </c>
      <c r="F52" s="7" t="str">
        <f t="shared" si="69"/>
        <v>etal</v>
      </c>
      <c r="G52" s="7" t="str">
        <f t="shared" si="70"/>
        <v>2001</v>
      </c>
      <c r="H52" t="str">
        <f t="shared" si="71"/>
        <v>10.1037/0735-7036.115.1.29</v>
      </c>
      <c r="J52" s="2" t="s">
        <v>202</v>
      </c>
      <c r="K52" s="1" t="str">
        <f t="shared" si="72"/>
        <v>Iwaniuk_etal_2001_Table3</v>
      </c>
      <c r="L52" s="1" t="str">
        <f t="shared" si="73"/>
        <v>10.1037%2F0735-7036.115.1.29_Table3</v>
      </c>
      <c r="M52" t="str" cm="1">
        <f t="array" ref="M52">IFERROR(INDEX(FileList!$A$1:$A$100, MATCH(L52, _xlfn.TEXTBEFORE(FileList!$A$1:$A$100, ".tsv"), 0)), "notfound")</f>
        <v>10.1037%2F0735-7036.115.1.29_Table3.tsv</v>
      </c>
      <c r="N52" s="2" t="s">
        <v>239</v>
      </c>
      <c r="P52" s="2" t="s">
        <v>235</v>
      </c>
      <c r="Q52" s="2" t="s">
        <v>98</v>
      </c>
      <c r="R52" s="3"/>
      <c r="T52" s="2" t="str">
        <f>IF(S52="N", R52, "write file name")</f>
        <v>write file name</v>
      </c>
      <c r="U52" s="2" t="s">
        <v>89</v>
      </c>
      <c r="V52" s="2" t="s">
        <v>39</v>
      </c>
      <c r="Y52" s="2" t="s">
        <v>236</v>
      </c>
      <c r="AE52" s="2" t="s">
        <v>237</v>
      </c>
    </row>
    <row r="53" spans="1:37" ht="16" customHeight="1" x14ac:dyDescent="0.2">
      <c r="A53" s="2" t="s">
        <v>233</v>
      </c>
      <c r="C53" t="str">
        <f t="shared" si="66"/>
        <v>9</v>
      </c>
      <c r="D53" t="str">
        <f t="shared" si="67"/>
        <v>Iwaniuk_etal_2001</v>
      </c>
      <c r="E53" s="7" t="str">
        <f t="shared" si="68"/>
        <v>Iwaniuk</v>
      </c>
      <c r="F53" s="7" t="str">
        <f t="shared" si="69"/>
        <v>etal</v>
      </c>
      <c r="G53" s="7" t="str">
        <f t="shared" si="70"/>
        <v>2001</v>
      </c>
      <c r="H53" t="str">
        <f t="shared" si="71"/>
        <v>10.1037/0735-7036.115.1.29</v>
      </c>
      <c r="J53" s="2" t="s">
        <v>206</v>
      </c>
      <c r="K53" s="1" t="str">
        <f t="shared" si="72"/>
        <v>Iwaniuk_etal_2001_Table4</v>
      </c>
      <c r="L53" s="1" t="str">
        <f t="shared" si="73"/>
        <v>10.1037%2F0735-7036.115.1.29_Table4</v>
      </c>
      <c r="M53" t="str" cm="1">
        <f t="array" ref="M53">IFERROR(INDEX(FileList!$A$1:$A$100, MATCH(L53, _xlfn.TEXTBEFORE(FileList!$A$1:$A$100, ".tsv"), 0)), "notfound")</f>
        <v>10.1037%2F0735-7036.115.1.29_Table4.tsv</v>
      </c>
      <c r="N53" s="2" t="s">
        <v>240</v>
      </c>
      <c r="P53" s="2" t="s">
        <v>235</v>
      </c>
      <c r="Q53" s="2" t="s">
        <v>98</v>
      </c>
      <c r="R53" s="3"/>
      <c r="T53" s="2" t="str">
        <f>IF(S53="N", R53, "write file name")</f>
        <v>write file name</v>
      </c>
      <c r="U53" s="2" t="s">
        <v>89</v>
      </c>
      <c r="V53" s="2" t="s">
        <v>39</v>
      </c>
      <c r="Y53" s="2" t="s">
        <v>236</v>
      </c>
      <c r="AE53" s="2" t="s">
        <v>237</v>
      </c>
    </row>
    <row r="54" spans="1:37" ht="16" customHeight="1" x14ac:dyDescent="0.2">
      <c r="A54" s="2" t="s">
        <v>241</v>
      </c>
      <c r="C54" t="str">
        <f t="shared" si="66"/>
        <v>8</v>
      </c>
      <c r="D54" t="str">
        <f t="shared" si="67"/>
        <v>JardimMesseder_etal_2017</v>
      </c>
      <c r="E54" s="7" t="str">
        <f t="shared" si="68"/>
        <v>JardimMesseder</v>
      </c>
      <c r="F54" s="7" t="str">
        <f t="shared" si="69"/>
        <v>etal</v>
      </c>
      <c r="G54" s="7" t="str">
        <f t="shared" si="70"/>
        <v>2017</v>
      </c>
      <c r="H54" t="str">
        <f t="shared" si="71"/>
        <v>10.3389/fnana.2017.00118</v>
      </c>
      <c r="J54" s="2" t="s">
        <v>44</v>
      </c>
      <c r="K54" s="1" t="str">
        <f t="shared" si="72"/>
        <v>JardimMesseder_etal_2017_Table1</v>
      </c>
      <c r="L54" s="1" t="str">
        <f t="shared" si="73"/>
        <v>10.3389%2Ffnana.2017.00118_Table1</v>
      </c>
      <c r="M54" t="str" cm="1">
        <f t="array" ref="M54">IFERROR(INDEX(FileList!$A$1:$A$100, MATCH(L54, _xlfn.TEXTBEFORE(FileList!$A$1:$A$100, ".tsv"), 0)), "notfound")</f>
        <v>10.3389%2Ffnana.2017.00118_Table1.tsv</v>
      </c>
      <c r="N54" s="2" t="s">
        <v>242</v>
      </c>
      <c r="P54" s="2" t="s">
        <v>54</v>
      </c>
      <c r="Q54" s="2" t="s">
        <v>73</v>
      </c>
      <c r="R54" s="3" t="s">
        <v>243</v>
      </c>
      <c r="S54" s="2" t="s">
        <v>87</v>
      </c>
      <c r="T54" s="2" t="s">
        <v>244</v>
      </c>
      <c r="U54" s="2" t="s">
        <v>89</v>
      </c>
      <c r="V54" s="2" t="s">
        <v>39</v>
      </c>
      <c r="W54" s="2" t="s">
        <v>90</v>
      </c>
      <c r="X54" s="2" t="s">
        <v>245</v>
      </c>
      <c r="Y54" s="2" t="s">
        <v>139</v>
      </c>
      <c r="Z54" s="2" t="s">
        <v>41</v>
      </c>
      <c r="AA54" s="2" t="s">
        <v>140</v>
      </c>
      <c r="AB54" s="2" t="s">
        <v>140</v>
      </c>
      <c r="AE54" s="2" t="s">
        <v>246</v>
      </c>
      <c r="AI54" s="2">
        <v>2</v>
      </c>
      <c r="AK54" s="2">
        <v>3</v>
      </c>
    </row>
    <row r="55" spans="1:37" ht="16" customHeight="1" x14ac:dyDescent="0.2">
      <c r="A55" s="2" t="s">
        <v>247</v>
      </c>
      <c r="C55" t="str">
        <f t="shared" si="66"/>
        <v>9</v>
      </c>
      <c r="D55" t="str">
        <f t="shared" si="67"/>
        <v>Karl_etal_2024</v>
      </c>
      <c r="E55" s="7" t="str">
        <f t="shared" si="68"/>
        <v>Karl</v>
      </c>
      <c r="F55" s="7" t="str">
        <f t="shared" si="69"/>
        <v>etal</v>
      </c>
      <c r="G55" s="7" t="str">
        <f t="shared" si="70"/>
        <v>2024</v>
      </c>
      <c r="H55" t="str">
        <f t="shared" si="71"/>
        <v>10.1002/cne.25669</v>
      </c>
      <c r="J55" s="2" t="s">
        <v>38</v>
      </c>
      <c r="K55" t="str">
        <f t="shared" si="72"/>
        <v>Karl_etal_2024_TABLE1</v>
      </c>
      <c r="L55" t="str">
        <f t="shared" si="73"/>
        <v>10.1002%2Fcne.25669_TABLE1</v>
      </c>
      <c r="M55" t="str" cm="1">
        <f t="array" ref="M55">IFERROR(INDEX(FileList!$A$1:$A$100, MATCH(L55, _xlfn.TEXTBEFORE(FileList!$A$1:$A$100, ".tsv"), 0)), "notfound")</f>
        <v>10.1002%2Fcne.25669_TABLE1.tsv</v>
      </c>
      <c r="N55" s="2" t="s">
        <v>248</v>
      </c>
      <c r="R55" s="3"/>
      <c r="U55" s="2" t="s">
        <v>89</v>
      </c>
      <c r="V55" s="2" t="s">
        <v>39</v>
      </c>
      <c r="W55" s="2" t="s">
        <v>102</v>
      </c>
      <c r="Y55" s="2" t="s">
        <v>249</v>
      </c>
      <c r="Z55" s="2" t="s">
        <v>41</v>
      </c>
    </row>
    <row r="56" spans="1:37" ht="16" customHeight="1" x14ac:dyDescent="0.2">
      <c r="A56" s="2" t="s">
        <v>250</v>
      </c>
      <c r="C56" t="str">
        <f t="shared" si="66"/>
        <v>8</v>
      </c>
      <c r="D56" t="str">
        <f t="shared" si="67"/>
        <v>Kverkova_etal_2018</v>
      </c>
      <c r="E56" s="7" t="str">
        <f t="shared" si="68"/>
        <v>Kverkova</v>
      </c>
      <c r="F56" s="7" t="str">
        <f t="shared" si="69"/>
        <v>etal</v>
      </c>
      <c r="G56" s="7" t="str">
        <f t="shared" si="70"/>
        <v>2018</v>
      </c>
      <c r="H56" t="str">
        <f t="shared" si="71"/>
        <v>10.1038/s41598-018-26062-8</v>
      </c>
      <c r="J56" s="2" t="s">
        <v>44</v>
      </c>
      <c r="K56" s="1" t="str">
        <f t="shared" si="72"/>
        <v>Kverkova_etal_2018_Table1</v>
      </c>
      <c r="L56" s="1" t="str">
        <f t="shared" si="73"/>
        <v>10.1038%2Fs41598-018-26062-8_Table1</v>
      </c>
      <c r="M56" t="str" cm="1">
        <f t="array" ref="M56">IFERROR(INDEX(FileList!$A$1:$A$100, MATCH(L56, _xlfn.TEXTBEFORE(FileList!$A$1:$A$100, ".tsv"), 0)), "notfound")</f>
        <v>10.1038%2Fs41598-018-26062-8_Table1.tsv</v>
      </c>
      <c r="N56" s="2" t="s">
        <v>251</v>
      </c>
      <c r="P56" s="2" t="s">
        <v>54</v>
      </c>
      <c r="Q56" s="2" t="s">
        <v>73</v>
      </c>
      <c r="R56" s="3" t="s">
        <v>252</v>
      </c>
      <c r="S56" s="2" t="s">
        <v>87</v>
      </c>
      <c r="T56" s="2" t="s">
        <v>253</v>
      </c>
      <c r="U56" s="2" t="s">
        <v>254</v>
      </c>
      <c r="V56" s="2" t="s">
        <v>39</v>
      </c>
      <c r="Y56" s="2" t="s">
        <v>255</v>
      </c>
      <c r="Z56" s="2" t="s">
        <v>41</v>
      </c>
      <c r="AB56" s="2" t="s">
        <v>140</v>
      </c>
      <c r="AE56" s="2" t="s">
        <v>256</v>
      </c>
      <c r="AI56" s="2">
        <v>1</v>
      </c>
      <c r="AK56" s="2">
        <v>1</v>
      </c>
    </row>
    <row r="57" spans="1:37" ht="16" customHeight="1" x14ac:dyDescent="0.2">
      <c r="A57" s="2" t="s">
        <v>250</v>
      </c>
      <c r="C57" t="str">
        <f t="shared" si="66"/>
        <v>8</v>
      </c>
      <c r="D57" t="str">
        <f t="shared" si="67"/>
        <v>Kverkova_etal_2018</v>
      </c>
      <c r="E57" s="7" t="str">
        <f t="shared" si="68"/>
        <v>Kverkova</v>
      </c>
      <c r="F57" s="7" t="str">
        <f t="shared" si="69"/>
        <v>etal</v>
      </c>
      <c r="G57" s="7" t="str">
        <f t="shared" si="70"/>
        <v>2018</v>
      </c>
      <c r="H57" t="str">
        <f t="shared" si="71"/>
        <v>10.1038/s41598-018-26062-8</v>
      </c>
      <c r="J57" s="2" t="s">
        <v>132</v>
      </c>
      <c r="K57" s="1" t="str">
        <f t="shared" si="72"/>
        <v>Kverkova_etal_2018_TableS1</v>
      </c>
      <c r="L57" s="1" t="str">
        <f t="shared" si="73"/>
        <v>10.1038%2Fs41598-018-26062-8_TableS1</v>
      </c>
      <c r="M57" t="str" cm="1">
        <f t="array" ref="M57">IFERROR(INDEX(FileList!$A$1:$A$100, MATCH(L57, _xlfn.TEXTBEFORE(FileList!$A$1:$A$100, ".tsv"), 0)), "notfound")</f>
        <v>10.1038%2Fs41598-018-26062-8_TableS1.tsv</v>
      </c>
      <c r="N57" s="2" t="s">
        <v>257</v>
      </c>
      <c r="P57" s="2" t="s">
        <v>54</v>
      </c>
      <c r="Q57" s="2" t="s">
        <v>73</v>
      </c>
      <c r="R57" s="3" t="s">
        <v>258</v>
      </c>
      <c r="S57" s="2" t="s">
        <v>87</v>
      </c>
      <c r="T57" s="2" t="s">
        <v>253</v>
      </c>
      <c r="U57" s="2" t="s">
        <v>254</v>
      </c>
      <c r="V57" s="2" t="s">
        <v>39</v>
      </c>
      <c r="W57" s="2" t="s">
        <v>90</v>
      </c>
      <c r="X57" s="2" t="s">
        <v>259</v>
      </c>
      <c r="Y57" s="2" t="s">
        <v>218</v>
      </c>
      <c r="Z57" s="2" t="s">
        <v>260</v>
      </c>
      <c r="AB57" s="2" t="s">
        <v>140</v>
      </c>
      <c r="AE57" s="2" t="s">
        <v>256</v>
      </c>
      <c r="AI57" s="2">
        <v>1</v>
      </c>
      <c r="AK57" s="2">
        <v>1</v>
      </c>
    </row>
    <row r="58" spans="1:37" ht="16" customHeight="1" x14ac:dyDescent="0.2">
      <c r="A58" s="2" t="s">
        <v>250</v>
      </c>
      <c r="C58" t="str">
        <f t="shared" si="66"/>
        <v>8</v>
      </c>
      <c r="D58" t="str">
        <f t="shared" si="67"/>
        <v>Kverkova_etal_2018</v>
      </c>
      <c r="E58" s="7" t="str">
        <f t="shared" si="68"/>
        <v>Kverkova</v>
      </c>
      <c r="F58" s="7" t="str">
        <f t="shared" si="69"/>
        <v>etal</v>
      </c>
      <c r="G58" s="7" t="str">
        <f t="shared" si="70"/>
        <v>2018</v>
      </c>
      <c r="H58" t="str">
        <f t="shared" si="71"/>
        <v>10.1038/s41598-018-26062-8</v>
      </c>
      <c r="J58" s="2" t="s">
        <v>261</v>
      </c>
      <c r="K58" s="1" t="str">
        <f t="shared" si="72"/>
        <v>Kverkova_etal_2018_TableS5</v>
      </c>
      <c r="L58" s="1" t="str">
        <f t="shared" si="73"/>
        <v>10.1038%2Fs41598-018-26062-8_TableS5</v>
      </c>
      <c r="M58" t="str" cm="1">
        <f t="array" ref="M58">IFERROR(INDEX(FileList!$A$1:$A$100, MATCH(L58, _xlfn.TEXTBEFORE(FileList!$A$1:$A$100, ".tsv"), 0)), "notfound")</f>
        <v>10.1038%2Fs41598-018-26062-8_TableS5.tsv</v>
      </c>
      <c r="N58" s="2" t="s">
        <v>262</v>
      </c>
      <c r="P58" s="2" t="s">
        <v>54</v>
      </c>
      <c r="Q58" s="2" t="s">
        <v>73</v>
      </c>
      <c r="R58" s="3" t="s">
        <v>263</v>
      </c>
      <c r="S58" s="2" t="s">
        <v>87</v>
      </c>
      <c r="T58" s="2" t="s">
        <v>264</v>
      </c>
      <c r="U58" s="2" t="s">
        <v>265</v>
      </c>
      <c r="V58" s="2" t="s">
        <v>39</v>
      </c>
      <c r="W58" s="2" t="s">
        <v>90</v>
      </c>
      <c r="X58" s="2" t="s">
        <v>259</v>
      </c>
      <c r="Y58" s="2" t="s">
        <v>223</v>
      </c>
      <c r="Z58" s="2" t="s">
        <v>41</v>
      </c>
      <c r="AB58" s="2" t="s">
        <v>140</v>
      </c>
      <c r="AE58" s="2" t="s">
        <v>256</v>
      </c>
      <c r="AI58" s="2">
        <v>1</v>
      </c>
      <c r="AK58" s="2">
        <v>1</v>
      </c>
    </row>
    <row r="59" spans="1:37" ht="16" customHeight="1" x14ac:dyDescent="0.2">
      <c r="A59" s="2" t="s">
        <v>266</v>
      </c>
      <c r="C59" t="str">
        <f t="shared" si="66"/>
        <v>4</v>
      </c>
      <c r="D59" t="str">
        <f t="shared" si="67"/>
        <v>Lewitus_etal_2013</v>
      </c>
      <c r="E59" s="10" t="str">
        <f t="shared" si="68"/>
        <v>Lewitus</v>
      </c>
      <c r="F59" s="7" t="str">
        <f t="shared" si="69"/>
        <v>etal</v>
      </c>
      <c r="G59" s="10" t="str">
        <f t="shared" si="70"/>
        <v>2013</v>
      </c>
      <c r="H59" s="9" t="str">
        <f t="shared" si="71"/>
        <v>10.3389/fnhum.2013.00424</v>
      </c>
      <c r="J59" s="2" t="s">
        <v>267</v>
      </c>
      <c r="K59" s="9" t="str">
        <f t="shared" si="72"/>
        <v>Lewitus_etal_2013_TableS2partial</v>
      </c>
      <c r="L59" s="11" t="str">
        <f t="shared" si="73"/>
        <v>10.3389%2Ffnhum.2013.00424_TableS2partial</v>
      </c>
      <c r="M59" t="str" cm="1">
        <f t="array" ref="M59">IFERROR(INDEX(FileList!$A$1:$A$100, MATCH(L59, _xlfn.TEXTBEFORE(FileList!$A$1:$A$100, ".tsv"), 0)), "notfound")</f>
        <v>10.3389%2Ffnhum.2013.00424_TableS2partial.tsv</v>
      </c>
      <c r="Q59" s="2" t="s">
        <v>55</v>
      </c>
      <c r="AA59" s="2" t="s">
        <v>268</v>
      </c>
      <c r="AI59" s="2">
        <v>7</v>
      </c>
      <c r="AK59" s="2">
        <v>14</v>
      </c>
    </row>
    <row r="60" spans="1:37" ht="16" customHeight="1" x14ac:dyDescent="0.2">
      <c r="A60" s="2" t="s">
        <v>269</v>
      </c>
      <c r="C60" t="str">
        <f t="shared" si="66"/>
        <v>0</v>
      </c>
      <c r="D60" t="str">
        <f t="shared" si="67"/>
        <v>Lewitus_etal_2014</v>
      </c>
      <c r="E60" s="7" t="str">
        <f t="shared" si="68"/>
        <v>Lewitus</v>
      </c>
      <c r="F60" s="7" t="str">
        <f t="shared" si="69"/>
        <v>etal</v>
      </c>
      <c r="G60" s="7" t="str">
        <f t="shared" si="70"/>
        <v>2014</v>
      </c>
      <c r="H60" t="str">
        <f t="shared" si="71"/>
        <v>10.1371/journal.pbio.1002000</v>
      </c>
      <c r="J60" s="2" t="s">
        <v>132</v>
      </c>
      <c r="K60" s="1" t="str">
        <f t="shared" si="72"/>
        <v>Lewitus_etal_2014_TableS1</v>
      </c>
      <c r="L60" s="1" t="str">
        <f t="shared" si="73"/>
        <v>10.1371%2Fjournal.pbio.1002000_TableS1</v>
      </c>
      <c r="M60" t="str" cm="1">
        <f t="array" ref="M60">IFERROR(INDEX(FileList!$A$1:$A$100, MATCH(L60, _xlfn.TEXTBEFORE(FileList!$A$1:$A$100, ".tsv"), 0)), "notfound")</f>
        <v>10.1371%2Fjournal.pbio.1002000_TableS1.tsv</v>
      </c>
      <c r="N60" s="2" t="s">
        <v>270</v>
      </c>
      <c r="Q60" s="2" t="s">
        <v>55</v>
      </c>
      <c r="AA60" s="2" t="s">
        <v>268</v>
      </c>
      <c r="AI60" s="2">
        <v>9</v>
      </c>
      <c r="AK60" s="2">
        <v>20</v>
      </c>
    </row>
    <row r="61" spans="1:37" ht="16" customHeight="1" x14ac:dyDescent="0.2">
      <c r="A61" s="2" t="s">
        <v>269</v>
      </c>
      <c r="C61" t="str">
        <f t="shared" si="66"/>
        <v>0</v>
      </c>
      <c r="D61" t="str">
        <f t="shared" si="67"/>
        <v>Lewitus_etal_2014</v>
      </c>
      <c r="E61" s="7" t="str">
        <f t="shared" si="68"/>
        <v>Lewitus</v>
      </c>
      <c r="F61" s="7" t="str">
        <f t="shared" si="69"/>
        <v>etal</v>
      </c>
      <c r="G61" s="7" t="str">
        <f t="shared" si="70"/>
        <v>2014</v>
      </c>
      <c r="H61" t="str">
        <f t="shared" si="71"/>
        <v>10.1371/journal.pbio.1002000</v>
      </c>
      <c r="J61" s="2" t="s">
        <v>271</v>
      </c>
      <c r="K61" s="1" t="str">
        <f t="shared" si="72"/>
        <v>Lewitus_etal_2014_TableS8</v>
      </c>
      <c r="L61" s="1" t="str">
        <f t="shared" si="73"/>
        <v>10.1371%2Fjournal.pbio.1002000_TableS8</v>
      </c>
      <c r="M61" t="str" cm="1">
        <f t="array" ref="M61">IFERROR(INDEX(FileList!$A$1:$A$100, MATCH(L61, _xlfn.TEXTBEFORE(FileList!$A$1:$A$100, ".tsv"), 0)), "notfound")</f>
        <v>10.1371%2Fjournal.pbio.1002000_TableS8.tsv</v>
      </c>
      <c r="N61" s="2" t="s">
        <v>272</v>
      </c>
      <c r="Q61" s="2" t="s">
        <v>55</v>
      </c>
      <c r="AA61" s="2" t="s">
        <v>268</v>
      </c>
      <c r="AI61" s="2">
        <v>6</v>
      </c>
      <c r="AK61" s="2">
        <v>13</v>
      </c>
    </row>
    <row r="62" spans="1:37" ht="15.75" customHeight="1" x14ac:dyDescent="0.2">
      <c r="A62" s="2" t="s">
        <v>273</v>
      </c>
      <c r="C62" t="str">
        <f t="shared" si="66"/>
        <v>5</v>
      </c>
      <c r="D62" t="str">
        <f t="shared" si="67"/>
        <v>MacLarnon__1996</v>
      </c>
      <c r="E62" s="12" t="str">
        <f t="shared" si="68"/>
        <v>MacLarnon</v>
      </c>
      <c r="F62" s="7" t="str">
        <f t="shared" si="69"/>
        <v/>
      </c>
      <c r="G62" s="12" t="str">
        <f t="shared" si="70"/>
        <v>1996</v>
      </c>
      <c r="H62" t="str">
        <f t="shared" si="71"/>
        <v>10.1006/jhev.1996.0005</v>
      </c>
      <c r="J62" s="2" t="s">
        <v>44</v>
      </c>
      <c r="K62" s="8" t="str">
        <f t="shared" si="72"/>
        <v>MacLarnon__1996_Table1</v>
      </c>
      <c r="L62" s="8" t="str">
        <f t="shared" si="73"/>
        <v>10.1006%2Fjhev.1996.0005_Table1</v>
      </c>
      <c r="M62" t="str" cm="1">
        <f t="array" ref="M62">IFERROR(INDEX(FileList!$A$1:$A$100, MATCH(L62, _xlfn.TEXTBEFORE(FileList!$A$1:$A$100, ".tsv"), 0)), "notfound")</f>
        <v>10.1006%2Fjhev.1996.0005_Table1.tsv</v>
      </c>
      <c r="N62" s="2" t="s">
        <v>274</v>
      </c>
      <c r="P62" s="2" t="s">
        <v>164</v>
      </c>
    </row>
    <row r="63" spans="1:37" ht="15.75" customHeight="1" x14ac:dyDescent="0.2">
      <c r="A63" s="2" t="s">
        <v>275</v>
      </c>
      <c r="C63" t="str">
        <f t="shared" si="66"/>
        <v>2</v>
      </c>
      <c r="D63" t="str">
        <f t="shared" si="67"/>
        <v>ManyPrimates__2022</v>
      </c>
      <c r="E63" s="7" t="str">
        <f t="shared" si="68"/>
        <v>ManyPrimates</v>
      </c>
      <c r="F63" s="7" t="str">
        <f t="shared" si="69"/>
        <v/>
      </c>
      <c r="G63" s="7" t="str">
        <f t="shared" si="70"/>
        <v>2022</v>
      </c>
      <c r="H63" t="str">
        <f t="shared" si="71"/>
        <v>10.26451/abc.09.04.06.2022</v>
      </c>
      <c r="J63" s="2" t="s">
        <v>276</v>
      </c>
      <c r="K63" s="1" t="str">
        <f t="shared" si="72"/>
        <v>ManyPrimates__2022_data/speciespredictors.xlsx</v>
      </c>
      <c r="L63" s="1" t="str">
        <f t="shared" si="73"/>
        <v>10.26451%2Fabc.09.04.06.2022_data%2Fspeciespredictors.xlsx</v>
      </c>
      <c r="M63" t="str" cm="1">
        <f t="array" ref="M63">IFERROR(INDEX(FileList!$A$1:$A$100, MATCH(L63, _xlfn.TEXTBEFORE(FileList!$A$1:$A$100, ".tsv"), 0)), "notfound")</f>
        <v>notfound</v>
      </c>
      <c r="P63" s="2" t="s">
        <v>277</v>
      </c>
      <c r="Q63" s="2" t="s">
        <v>98</v>
      </c>
      <c r="R63" s="3"/>
      <c r="T63" s="2" t="str">
        <f>IF(S63="N", R63, "write file name")</f>
        <v>write file name</v>
      </c>
      <c r="U63" s="2" t="s">
        <v>80</v>
      </c>
      <c r="V63" s="2" t="s">
        <v>39</v>
      </c>
      <c r="W63" s="2" t="s">
        <v>81</v>
      </c>
      <c r="X63" s="2" t="s">
        <v>278</v>
      </c>
      <c r="Y63" s="2" t="s">
        <v>279</v>
      </c>
      <c r="Z63" s="2" t="s">
        <v>61</v>
      </c>
      <c r="AC63" s="2" t="s">
        <v>280</v>
      </c>
      <c r="AE63" s="2" t="s">
        <v>84</v>
      </c>
    </row>
    <row r="64" spans="1:37" ht="15.75" customHeight="1" x14ac:dyDescent="0.2">
      <c r="A64" s="2" t="s">
        <v>281</v>
      </c>
      <c r="C64" t="str">
        <f t="shared" si="66"/>
        <v>1</v>
      </c>
      <c r="D64" t="str">
        <f t="shared" si="67"/>
        <v>Mota_etal_2015</v>
      </c>
      <c r="E64" s="7" t="str">
        <f t="shared" si="68"/>
        <v>Mota</v>
      </c>
      <c r="F64" s="7" t="str">
        <f t="shared" si="69"/>
        <v>etal</v>
      </c>
      <c r="G64" s="7" t="str">
        <f t="shared" si="70"/>
        <v>2015</v>
      </c>
      <c r="H64" t="str">
        <f t="shared" si="71"/>
        <v>10.1126/science.aaa9101</v>
      </c>
      <c r="J64" s="2" t="s">
        <v>132</v>
      </c>
      <c r="K64" s="1" t="str">
        <f t="shared" si="72"/>
        <v>Mota_etal_2015_TableS1</v>
      </c>
      <c r="L64" s="1" t="str">
        <f t="shared" si="73"/>
        <v>10.1126%2Fscience.aaa9101_TableS1</v>
      </c>
      <c r="M64" t="str" cm="1">
        <f t="array" ref="M64">IFERROR(INDEX(FileList!$A$1:$A$100, MATCH(L64, _xlfn.TEXTBEFORE(FileList!$A$1:$A$100, ".tsv"), 0)), "notfound")</f>
        <v>10.1126%2Fscience.aaa9101_TableS1.tsv</v>
      </c>
      <c r="Q64" s="2" t="s">
        <v>55</v>
      </c>
      <c r="AI64" s="2">
        <v>10</v>
      </c>
      <c r="AK64" s="2">
        <v>15</v>
      </c>
    </row>
    <row r="65" spans="1:35" ht="15.75" customHeight="1" x14ac:dyDescent="0.2">
      <c r="A65" s="2" t="s">
        <v>282</v>
      </c>
      <c r="C65" t="str">
        <f t="shared" si="66"/>
        <v>6</v>
      </c>
      <c r="D65" t="str">
        <f t="shared" si="67"/>
        <v>Mota_etal_2019</v>
      </c>
      <c r="E65" s="12" t="str">
        <f t="shared" si="68"/>
        <v>Mota</v>
      </c>
      <c r="F65" s="7" t="str">
        <f t="shared" si="69"/>
        <v>etal</v>
      </c>
      <c r="G65" s="12" t="str">
        <f t="shared" si="70"/>
        <v>2019</v>
      </c>
      <c r="H65" t="str">
        <f t="shared" si="71"/>
        <v>10.1073/pnas.1716956116</v>
      </c>
      <c r="J65" s="2" t="s">
        <v>283</v>
      </c>
      <c r="K65" s="8" t="str">
        <f t="shared" si="72"/>
        <v>Mota_etal_2019_SupplementaryTableS1</v>
      </c>
      <c r="L65" s="8" t="str">
        <f t="shared" si="73"/>
        <v>10.1073%2Fpnas.1716956116_SupplementaryTableS1</v>
      </c>
      <c r="M65" t="str" cm="1">
        <f t="array" ref="M65">IFERROR(INDEX(FileList!$A$1:$A$100, MATCH(L65, _xlfn.TEXTBEFORE(FileList!$A$1:$A$100, ".tsv"), 0)), "notfound")</f>
        <v>notfound</v>
      </c>
      <c r="N65" s="2" t="s">
        <v>284</v>
      </c>
      <c r="P65" s="2" t="s">
        <v>164</v>
      </c>
      <c r="AC65" s="2" t="s">
        <v>285</v>
      </c>
    </row>
    <row r="66" spans="1:35" ht="15.75" customHeight="1" x14ac:dyDescent="0.2">
      <c r="A66" s="2" t="s">
        <v>286</v>
      </c>
      <c r="C66" t="str">
        <f t="shared" si="66"/>
        <v>5</v>
      </c>
      <c r="D66" t="str">
        <f t="shared" si="67"/>
        <v>Powell_etal_2017</v>
      </c>
      <c r="E66" s="7" t="str">
        <f t="shared" si="68"/>
        <v>Powell</v>
      </c>
      <c r="F66" s="7" t="str">
        <f t="shared" si="69"/>
        <v>etal</v>
      </c>
      <c r="G66" s="7" t="str">
        <f t="shared" si="70"/>
        <v>2017</v>
      </c>
      <c r="H66" t="str">
        <f t="shared" si="71"/>
        <v>10.1098/rspb.2017.1765</v>
      </c>
      <c r="I66" s="2" t="s">
        <v>287</v>
      </c>
      <c r="J66" s="2" t="s">
        <v>288</v>
      </c>
      <c r="K66" s="1" t="str">
        <f t="shared" si="72"/>
        <v>Powell_etal_2017_Dataset1</v>
      </c>
      <c r="L66" s="1" t="str">
        <f t="shared" si="73"/>
        <v>10.6084%2Fm9.figshare.c.3899422.v1_Dataset1</v>
      </c>
      <c r="M66" t="str" cm="1">
        <f t="array" ref="M66">IFERROR(INDEX(FileList!$A$1:$A$100, MATCH(L66, _xlfn.TEXTBEFORE(FileList!$A$1:$A$100, ".tsv"), 0)), "notfound")</f>
        <v>10.6084%2Fm9.figshare.c.3899422.v1_Dataset1.tsv</v>
      </c>
      <c r="P66" s="2" t="s">
        <v>164</v>
      </c>
      <c r="Q66" s="2" t="s">
        <v>98</v>
      </c>
      <c r="R66" s="3"/>
      <c r="T66" s="2" t="str">
        <f>IF(S66="N", R66, "write file name")</f>
        <v>write file name</v>
      </c>
      <c r="U66" s="2" t="s">
        <v>80</v>
      </c>
      <c r="V66" s="2" t="s">
        <v>39</v>
      </c>
      <c r="W66" s="2" t="s">
        <v>81</v>
      </c>
      <c r="X66" s="2" t="s">
        <v>289</v>
      </c>
      <c r="Y66" s="2" t="s">
        <v>290</v>
      </c>
      <c r="Z66" s="2" t="s">
        <v>61</v>
      </c>
      <c r="AC66" s="2" t="s">
        <v>60</v>
      </c>
      <c r="AE66" s="2" t="s">
        <v>84</v>
      </c>
    </row>
    <row r="67" spans="1:35" ht="15.75" customHeight="1" x14ac:dyDescent="0.2">
      <c r="A67" s="2" t="s">
        <v>291</v>
      </c>
      <c r="B67" s="2" t="s">
        <v>292</v>
      </c>
      <c r="C67" t="str">
        <f t="shared" si="66"/>
        <v>2</v>
      </c>
      <c r="D67" t="str">
        <f t="shared" si="67"/>
        <v>Sherwood_etal_2004_I</v>
      </c>
      <c r="E67" s="7" t="str">
        <f t="shared" si="68"/>
        <v>Sherwood</v>
      </c>
      <c r="F67" s="7" t="str">
        <f t="shared" si="69"/>
        <v>etal</v>
      </c>
      <c r="G67" s="7" t="str">
        <f t="shared" si="70"/>
        <v>2004</v>
      </c>
      <c r="H67" t="str">
        <f t="shared" si="71"/>
        <v>10.1159/000075672</v>
      </c>
      <c r="J67" s="2" t="s">
        <v>206</v>
      </c>
      <c r="K67" s="1" t="str">
        <f t="shared" si="72"/>
        <v>Sherwood_etal_2004_I_Table4</v>
      </c>
      <c r="L67" s="1" t="str">
        <f t="shared" si="73"/>
        <v>10.1159%2F000075672_Table4</v>
      </c>
      <c r="M67" t="str" cm="1">
        <f t="array" ref="M67">IFERROR(INDEX(FileList!$A$1:$A$100, MATCH(L67, _xlfn.TEXTBEFORE(FileList!$A$1:$A$100, ".tsv"), 0)), "notfound")</f>
        <v>notfound</v>
      </c>
      <c r="N67" s="2" t="s">
        <v>293</v>
      </c>
      <c r="P67" s="2" t="s">
        <v>277</v>
      </c>
      <c r="Q67" s="2" t="s">
        <v>98</v>
      </c>
      <c r="R67" s="3"/>
      <c r="T67" s="2" t="str">
        <f>IF(S67="N", R67, "write file name")</f>
        <v>write file name</v>
      </c>
      <c r="U67" s="2" t="s">
        <v>89</v>
      </c>
      <c r="V67" s="2" t="s">
        <v>294</v>
      </c>
      <c r="Y67" s="2" t="s">
        <v>295</v>
      </c>
      <c r="Z67" s="2" t="s">
        <v>41</v>
      </c>
      <c r="AE67" s="2" t="s">
        <v>84</v>
      </c>
    </row>
    <row r="68" spans="1:35" ht="15.75" customHeight="1" x14ac:dyDescent="0.2">
      <c r="A68" s="2" t="s">
        <v>291</v>
      </c>
      <c r="B68" s="2" t="s">
        <v>292</v>
      </c>
      <c r="C68" t="str">
        <f t="shared" si="66"/>
        <v>2</v>
      </c>
      <c r="D68" t="str">
        <f t="shared" si="67"/>
        <v>Sherwood_etal_2004_I</v>
      </c>
      <c r="E68" s="7" t="str">
        <f t="shared" si="68"/>
        <v>Sherwood</v>
      </c>
      <c r="F68" s="7" t="str">
        <f t="shared" si="69"/>
        <v>etal</v>
      </c>
      <c r="G68" s="7" t="str">
        <f t="shared" si="70"/>
        <v>2004</v>
      </c>
      <c r="H68" t="str">
        <f t="shared" si="71"/>
        <v>10.1159/000075672</v>
      </c>
      <c r="J68" s="2" t="s">
        <v>210</v>
      </c>
      <c r="K68" s="1" t="str">
        <f t="shared" si="72"/>
        <v>Sherwood_etal_2004_I_Table5</v>
      </c>
      <c r="L68" s="1" t="str">
        <f t="shared" si="73"/>
        <v>10.1159%2F000075672_Table5</v>
      </c>
      <c r="M68" t="str" cm="1">
        <f t="array" ref="M68">IFERROR(INDEX(FileList!$A$1:$A$100, MATCH(L68, _xlfn.TEXTBEFORE(FileList!$A$1:$A$100, ".tsv"), 0)), "notfound")</f>
        <v>notfound</v>
      </c>
      <c r="N68" s="2" t="s">
        <v>296</v>
      </c>
      <c r="P68" s="2" t="s">
        <v>277</v>
      </c>
      <c r="Q68" s="2" t="s">
        <v>98</v>
      </c>
      <c r="R68" s="3"/>
      <c r="T68" s="2" t="str">
        <f>IF(S68="N", R68, "write file name")</f>
        <v>write file name</v>
      </c>
      <c r="U68" s="2" t="s">
        <v>89</v>
      </c>
      <c r="V68" s="2" t="s">
        <v>294</v>
      </c>
      <c r="Y68" s="2" t="s">
        <v>295</v>
      </c>
      <c r="Z68" s="2" t="s">
        <v>41</v>
      </c>
      <c r="AE68" s="2" t="s">
        <v>84</v>
      </c>
    </row>
    <row r="69" spans="1:35" ht="15.75" customHeight="1" x14ac:dyDescent="0.2">
      <c r="A69" s="2" t="s">
        <v>297</v>
      </c>
      <c r="C69" t="str">
        <f t="shared" si="66"/>
        <v>1</v>
      </c>
      <c r="D69" t="str">
        <f t="shared" si="67"/>
        <v>Smaers_etal_2011</v>
      </c>
      <c r="E69" s="12" t="str">
        <f t="shared" si="68"/>
        <v>Smaers</v>
      </c>
      <c r="F69" s="7" t="str">
        <f t="shared" si="69"/>
        <v>etal</v>
      </c>
      <c r="G69" s="12" t="str">
        <f t="shared" si="70"/>
        <v>2011</v>
      </c>
      <c r="H69" t="str">
        <f t="shared" si="71"/>
        <v>10.1159/000323671</v>
      </c>
      <c r="J69" s="2" t="s">
        <v>298</v>
      </c>
      <c r="K69" s="8" t="str">
        <f t="shared" si="72"/>
        <v>Smaers_etal_2011_SupplementaryTable1</v>
      </c>
      <c r="L69" s="8" t="str">
        <f t="shared" si="73"/>
        <v>10.1159%2F000323671_SupplementaryTable1</v>
      </c>
      <c r="M69" t="str" cm="1">
        <f t="array" ref="M69">IFERROR(INDEX(FileList!$A$1:$A$100, MATCH(L69, _xlfn.TEXTBEFORE(FileList!$A$1:$A$100, ".tsv"), 0)), "notfound")</f>
        <v>10.1159%2F000323671_SupplementaryTable1.tsv</v>
      </c>
      <c r="Q69" s="2" t="s">
        <v>55</v>
      </c>
      <c r="AI69" s="2" t="s">
        <v>299</v>
      </c>
    </row>
    <row r="70" spans="1:35" ht="15.75" customHeight="1" x14ac:dyDescent="0.2">
      <c r="A70" s="2" t="s">
        <v>297</v>
      </c>
      <c r="C70" t="str">
        <f t="shared" si="66"/>
        <v>1</v>
      </c>
      <c r="D70" t="str">
        <f t="shared" si="67"/>
        <v>Smaers_etal_2011</v>
      </c>
      <c r="E70" s="12" t="str">
        <f t="shared" si="68"/>
        <v>Smaers</v>
      </c>
      <c r="F70" s="7" t="str">
        <f t="shared" si="69"/>
        <v>etal</v>
      </c>
      <c r="G70" s="12" t="str">
        <f t="shared" si="70"/>
        <v>2011</v>
      </c>
      <c r="H70" t="str">
        <f t="shared" si="71"/>
        <v>10.1159/000323671</v>
      </c>
      <c r="J70" s="2" t="s">
        <v>300</v>
      </c>
      <c r="K70" s="8" t="str">
        <f t="shared" si="72"/>
        <v>Smaers_etal_2011_SupplementaryTable2</v>
      </c>
      <c r="L70" s="8" t="str">
        <f t="shared" si="73"/>
        <v>10.1159%2F000323671_SupplementaryTable2</v>
      </c>
      <c r="M70" t="str" cm="1">
        <f t="array" ref="M70">IFERROR(INDEX(FileList!$A$1:$A$100, MATCH(L70, _xlfn.TEXTBEFORE(FileList!$A$1:$A$100, ".tsv"), 0)), "notfound")</f>
        <v>10.1159%2F000323671_SupplementaryTable2.tsv</v>
      </c>
      <c r="Q70" s="2" t="s">
        <v>55</v>
      </c>
      <c r="AI70" s="2" t="s">
        <v>299</v>
      </c>
    </row>
    <row r="71" spans="1:35" ht="15.75" customHeight="1" x14ac:dyDescent="0.2">
      <c r="A71" s="2" t="s">
        <v>301</v>
      </c>
      <c r="C71" t="str">
        <f t="shared" si="66"/>
        <v>2</v>
      </c>
      <c r="D71" t="str">
        <f t="shared" si="67"/>
        <v>Turner_etal_2016</v>
      </c>
      <c r="E71" s="12" t="str">
        <f t="shared" si="68"/>
        <v>Turner</v>
      </c>
      <c r="F71" s="7" t="str">
        <f t="shared" si="69"/>
        <v>etal</v>
      </c>
      <c r="G71" s="12" t="str">
        <f t="shared" si="70"/>
        <v>2016</v>
      </c>
      <c r="H71" t="str">
        <f t="shared" si="71"/>
        <v>10.1159/000446762</v>
      </c>
      <c r="J71" s="2" t="s">
        <v>44</v>
      </c>
      <c r="K71" s="8" t="str">
        <f t="shared" si="72"/>
        <v>Turner_etal_2016_Table1</v>
      </c>
      <c r="L71" s="8" t="str">
        <f t="shared" si="73"/>
        <v>10.1159%2F000446762_Table1</v>
      </c>
      <c r="M71" t="str" cm="1">
        <f t="array" ref="M71">IFERROR(INDEX(FileList!$A$1:$A$100, MATCH(L71, _xlfn.TEXTBEFORE(FileList!$A$1:$A$100, ".tsv"), 0)), "notfound")</f>
        <v>notfound</v>
      </c>
      <c r="N71" s="2" t="s">
        <v>302</v>
      </c>
      <c r="Y71" s="2" t="s">
        <v>303</v>
      </c>
    </row>
    <row r="72" spans="1:35" ht="15.75" customHeight="1" x14ac:dyDescent="0.2">
      <c r="A72" s="2" t="s">
        <v>304</v>
      </c>
      <c r="C72" t="str">
        <f t="shared" si="66"/>
        <v>1</v>
      </c>
      <c r="D72" t="str">
        <f t="shared" si="67"/>
        <v>Wilman_etal_2014</v>
      </c>
      <c r="E72" s="12" t="str">
        <f t="shared" si="68"/>
        <v>Wilman</v>
      </c>
      <c r="F72" s="7" t="str">
        <f t="shared" si="69"/>
        <v>etal</v>
      </c>
      <c r="G72" s="12" t="str">
        <f t="shared" si="70"/>
        <v>2014</v>
      </c>
      <c r="H72" t="str">
        <f t="shared" si="71"/>
        <v>10.1890/13-1917.1</v>
      </c>
      <c r="J72" s="2" t="s">
        <v>305</v>
      </c>
      <c r="K72" s="8" t="str">
        <f t="shared" si="72"/>
        <v>Wilman_etal_2014_MamFuncDat.txt</v>
      </c>
      <c r="L72" s="8" t="str">
        <f t="shared" si="73"/>
        <v>10.1890%2F13-1917.1_MamFuncDat.txt</v>
      </c>
      <c r="M72" t="str" cm="1">
        <f t="array" ref="M72">IFERROR(INDEX(FileList!$A$1:$A$100, MATCH(L72, _xlfn.TEXTBEFORE(FileList!$A$1:$A$100, ".tsv"), 0)), "notfound")</f>
        <v>notfound</v>
      </c>
    </row>
    <row r="73" spans="1:35" ht="15.75" customHeight="1" x14ac:dyDescent="0.2">
      <c r="A73" s="2" t="s">
        <v>306</v>
      </c>
      <c r="C73" t="str">
        <f t="shared" si="66"/>
        <v>7</v>
      </c>
      <c r="D73" t="str">
        <f t="shared" si="67"/>
        <v>Wimberly_etal_2021</v>
      </c>
      <c r="E73" s="12" t="str">
        <f t="shared" si="68"/>
        <v>Wimberly</v>
      </c>
      <c r="F73" s="7" t="str">
        <f t="shared" si="69"/>
        <v>etal</v>
      </c>
      <c r="G73" s="12" t="str">
        <f t="shared" si="70"/>
        <v>2021</v>
      </c>
      <c r="H73" t="str">
        <f t="shared" si="71"/>
        <v>10.1098/rspb.2021.0937</v>
      </c>
      <c r="J73" s="2" t="s">
        <v>307</v>
      </c>
      <c r="K73" s="8" t="str">
        <f t="shared" si="72"/>
        <v>Wimberly_etal_2021_mammalgait.txt</v>
      </c>
      <c r="L73" s="8" t="str">
        <f t="shared" si="73"/>
        <v>10.1098%2Frspb.2021.0937_mammalgait.txt</v>
      </c>
      <c r="M73" t="str" cm="1">
        <f t="array" ref="M73">IFERROR(INDEX(FileList!$A$1:$A$100, MATCH(L73, _xlfn.TEXTBEFORE(FileList!$A$1:$A$100, ".tsv"), 0)), "notfound")</f>
        <v>notfound</v>
      </c>
      <c r="P73" s="2" t="s">
        <v>164</v>
      </c>
    </row>
    <row r="74" spans="1:35" x14ac:dyDescent="0.2">
      <c r="A74" s="2" t="s">
        <v>308</v>
      </c>
      <c r="C74" t="str">
        <f t="shared" si="66"/>
        <v>5</v>
      </c>
      <c r="D74" t="str">
        <f t="shared" si="67"/>
        <v>Winkler_Bryant_2021</v>
      </c>
      <c r="E74" s="7" t="str">
        <f t="shared" si="68"/>
        <v>Winkler</v>
      </c>
      <c r="F74" s="7" t="str">
        <f t="shared" si="69"/>
        <v>Bryant</v>
      </c>
      <c r="G74" s="7" t="str">
        <f t="shared" si="70"/>
        <v>2021</v>
      </c>
      <c r="H74" t="str">
        <f t="shared" si="71"/>
        <v>10.1080/09524622.2021.1905065</v>
      </c>
      <c r="J74" s="2" t="s">
        <v>309</v>
      </c>
      <c r="K74" s="1" t="str">
        <f t="shared" si="72"/>
        <v>Winkler_Bryant_2021_Figure1</v>
      </c>
      <c r="L74" s="1" t="str">
        <f t="shared" si="73"/>
        <v>10.1080%2F09524622.2021.1905065_Figure1</v>
      </c>
      <c r="M74" t="str" cm="1">
        <f t="array" ref="M74">IFERROR(INDEX(FileList!$A$1:$A$100, MATCH(L74, _xlfn.TEXTBEFORE(FileList!$A$1:$A$100, ".tsv"), 0)), "notfound")</f>
        <v>notfound</v>
      </c>
      <c r="P74" s="2" t="s">
        <v>164</v>
      </c>
      <c r="Q74" s="2" t="s">
        <v>98</v>
      </c>
      <c r="R74" s="3"/>
      <c r="T74" s="2" t="str">
        <f>IF(S74="N", R74, "write file name")</f>
        <v>write file name</v>
      </c>
      <c r="U74" s="2" t="s">
        <v>89</v>
      </c>
      <c r="V74" s="2" t="s">
        <v>310</v>
      </c>
      <c r="Y74" s="2" t="s">
        <v>311</v>
      </c>
      <c r="AE74" s="2" t="s">
        <v>63</v>
      </c>
    </row>
    <row r="75" spans="1:35" x14ac:dyDescent="0.2">
      <c r="A75" s="2" t="s">
        <v>312</v>
      </c>
      <c r="C75" t="str">
        <f t="shared" si="66"/>
        <v>0</v>
      </c>
      <c r="D75" t="str">
        <f t="shared" si="67"/>
        <v>Young_etal_2013</v>
      </c>
      <c r="E75" s="7" t="str">
        <f t="shared" si="68"/>
        <v>Young</v>
      </c>
      <c r="F75" s="7" t="str">
        <f t="shared" si="69"/>
        <v>etal</v>
      </c>
      <c r="G75" s="7" t="str">
        <f t="shared" si="70"/>
        <v>2013</v>
      </c>
      <c r="H75" t="str">
        <f t="shared" si="71"/>
        <v>10.3389/fncir.2013.00030</v>
      </c>
      <c r="J75" s="2" t="s">
        <v>44</v>
      </c>
      <c r="K75" s="1" t="str">
        <f t="shared" si="72"/>
        <v>Young_etal_2013_Table1</v>
      </c>
      <c r="L75" s="1" t="str">
        <f t="shared" si="73"/>
        <v>10.3389%2Ffncir.2013.00030_Table1</v>
      </c>
      <c r="M75" t="str" cm="1">
        <f t="array" ref="M75">IFERROR(INDEX(FileList!$A$1:$A$100, MATCH(L75, _xlfn.TEXTBEFORE(FileList!$A$1:$A$100, ".tsv"), 0)), "notfound")</f>
        <v>notfound</v>
      </c>
      <c r="P75" s="2" t="s">
        <v>277</v>
      </c>
      <c r="Q75" s="2" t="s">
        <v>98</v>
      </c>
      <c r="R75" s="3"/>
      <c r="T75" s="2" t="str">
        <f>IF(S75="N", R75, "write file name")</f>
        <v>write file name</v>
      </c>
      <c r="U75" s="2" t="s">
        <v>152</v>
      </c>
      <c r="V75" s="2" t="s">
        <v>39</v>
      </c>
      <c r="Y75" s="2" t="s">
        <v>313</v>
      </c>
      <c r="Z75" s="2" t="s">
        <v>41</v>
      </c>
      <c r="AE75" s="2" t="s">
        <v>84</v>
      </c>
    </row>
  </sheetData>
  <hyperlinks>
    <hyperlink ref="X10"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9" r:id="rId2" xr:uid="{00000000-0004-0000-0000-000001000000}"/>
    <hyperlink ref="X12" r:id="rId3" xr:uid="{00000000-0004-0000-0000-000002000000}"/>
    <hyperlink ref="X18" r:id="rId4" xr:uid="{00000000-0004-0000-0000-000003000000}"/>
    <hyperlink ref="X23" r:id="rId5" xr:uid="{00000000-0004-0000-0000-000004000000}"/>
    <hyperlink ref="X63" r:id="rId6" xr:uid="{00000000-0004-0000-0000-000005000000}"/>
    <hyperlink ref="X66" r:id="rId7" xr:uid="{00000000-0004-0000-0000-000006000000}"/>
    <hyperlink ref="X35" r:id="rId8" xr:uid="{00000000-0004-0000-0000-000007000000}"/>
    <hyperlink ref="X28:X31" r:id="rId9" display="https://karger.com/bbe/article-pdf/86/3-4/145/2264694/000437413.pdf" xr:uid="{00000000-0004-0000-0000-000008000000}"/>
    <hyperlink ref="X58" r:id="rId10" xr:uid="{00000000-0004-0000-0000-000009000000}"/>
    <hyperlink ref="X57" r:id="rId11" xr:uid="{00000000-0004-0000-0000-00000A000000}"/>
    <hyperlink ref="X54" r:id="rId12" xr:uid="{00000000-0004-0000-0000-00000B000000}"/>
    <hyperlink ref="X25" r:id="rId13" xr:uid="{00000000-0004-0000-0000-00000C000000}"/>
    <hyperlink ref="X26" r:id="rId14" xr:uid="{00000000-0004-0000-0000-00000D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314</v>
      </c>
    </row>
    <row r="2" spans="1:2" x14ac:dyDescent="0.2">
      <c r="A2" t="s">
        <v>315</v>
      </c>
    </row>
    <row r="3" spans="1:2" x14ac:dyDescent="0.2">
      <c r="A3" s="7" t="s">
        <v>316</v>
      </c>
      <c r="B3" t="s">
        <v>317</v>
      </c>
    </row>
    <row r="4" spans="1:2" x14ac:dyDescent="0.2">
      <c r="A4" s="7" t="s">
        <v>318</v>
      </c>
      <c r="B4" t="s">
        <v>319</v>
      </c>
    </row>
    <row r="5" spans="1:2" x14ac:dyDescent="0.2">
      <c r="A5" s="7" t="s">
        <v>320</v>
      </c>
      <c r="B5" t="s">
        <v>321</v>
      </c>
    </row>
    <row r="6" spans="1:2" x14ac:dyDescent="0.2">
      <c r="A6" s="7" t="s">
        <v>322</v>
      </c>
      <c r="B6" t="s">
        <v>323</v>
      </c>
    </row>
    <row r="7" spans="1:2" x14ac:dyDescent="0.2">
      <c r="A7" s="7" t="s">
        <v>324</v>
      </c>
      <c r="B7" t="s">
        <v>325</v>
      </c>
    </row>
    <row r="8" spans="1:2" x14ac:dyDescent="0.2">
      <c r="A8" s="7" t="s">
        <v>326</v>
      </c>
      <c r="B8" t="s">
        <v>327</v>
      </c>
    </row>
    <row r="9" spans="1:2" x14ac:dyDescent="0.2">
      <c r="A9" s="7" t="s">
        <v>328</v>
      </c>
      <c r="B9" t="s">
        <v>329</v>
      </c>
    </row>
    <row r="10" spans="1:2" x14ac:dyDescent="0.2">
      <c r="A10" s="7" t="s">
        <v>330</v>
      </c>
      <c r="B10" t="s">
        <v>331</v>
      </c>
    </row>
    <row r="11" spans="1:2" x14ac:dyDescent="0.2">
      <c r="A11" s="7" t="s">
        <v>332</v>
      </c>
      <c r="B11" t="s">
        <v>333</v>
      </c>
    </row>
    <row r="12" spans="1:2" ht="17" customHeight="1" x14ac:dyDescent="0.2">
      <c r="A12" s="16" t="s">
        <v>334</v>
      </c>
      <c r="B12" t="s">
        <v>335</v>
      </c>
    </row>
    <row r="13" spans="1:2" x14ac:dyDescent="0.2">
      <c r="A13" s="15" t="s">
        <v>336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337</v>
      </c>
    </row>
    <row r="2" spans="1:3" x14ac:dyDescent="0.2">
      <c r="C2" t="s">
        <v>338</v>
      </c>
    </row>
    <row r="3" spans="1:3" x14ac:dyDescent="0.2">
      <c r="A3">
        <v>1</v>
      </c>
      <c r="B3" t="s">
        <v>339</v>
      </c>
      <c r="C3" t="s">
        <v>340</v>
      </c>
    </row>
    <row r="4" spans="1:3" x14ac:dyDescent="0.2">
      <c r="A4">
        <v>2</v>
      </c>
      <c r="B4" t="s">
        <v>341</v>
      </c>
      <c r="C4" t="s">
        <v>342</v>
      </c>
    </row>
    <row r="5" spans="1:3" x14ac:dyDescent="0.2">
      <c r="A5">
        <v>3</v>
      </c>
      <c r="B5" t="s">
        <v>343</v>
      </c>
      <c r="C5" t="s">
        <v>344</v>
      </c>
    </row>
    <row r="6" spans="1:3" x14ac:dyDescent="0.2">
      <c r="A6">
        <v>4</v>
      </c>
      <c r="B6" t="s">
        <v>345</v>
      </c>
      <c r="C6" t="s">
        <v>346</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0"/>
  <sheetViews>
    <sheetView workbookViewId="0">
      <selection activeCell="A53" sqref="A53"/>
    </sheetView>
  </sheetViews>
  <sheetFormatPr baseColWidth="10" defaultRowHeight="16" x14ac:dyDescent="0.2"/>
  <sheetData>
    <row r="1" spans="1:1" x14ac:dyDescent="0.2">
      <c r="A1" t="s">
        <v>347</v>
      </c>
    </row>
    <row r="2" spans="1:1" x14ac:dyDescent="0.2">
      <c r="A2" t="s">
        <v>348</v>
      </c>
    </row>
    <row r="3" spans="1:1" x14ac:dyDescent="0.2">
      <c r="A3" t="s">
        <v>349</v>
      </c>
    </row>
    <row r="4" spans="1:1" x14ac:dyDescent="0.2">
      <c r="A4" t="s">
        <v>350</v>
      </c>
    </row>
    <row r="5" spans="1:1" x14ac:dyDescent="0.2">
      <c r="A5" t="s">
        <v>351</v>
      </c>
    </row>
    <row r="6" spans="1:1" x14ac:dyDescent="0.2">
      <c r="A6" t="s">
        <v>352</v>
      </c>
    </row>
    <row r="7" spans="1:1" x14ac:dyDescent="0.2">
      <c r="A7" t="s">
        <v>353</v>
      </c>
    </row>
    <row r="8" spans="1:1" x14ac:dyDescent="0.2">
      <c r="A8" t="s">
        <v>354</v>
      </c>
    </row>
    <row r="9" spans="1:1" x14ac:dyDescent="0.2">
      <c r="A9" t="s">
        <v>355</v>
      </c>
    </row>
    <row r="10" spans="1:1" x14ac:dyDescent="0.2">
      <c r="A10" t="s">
        <v>356</v>
      </c>
    </row>
    <row r="11" spans="1:1" x14ac:dyDescent="0.2">
      <c r="A11" t="s">
        <v>357</v>
      </c>
    </row>
    <row r="12" spans="1:1" x14ac:dyDescent="0.2">
      <c r="A12" t="s">
        <v>358</v>
      </c>
    </row>
    <row r="13" spans="1:1" x14ac:dyDescent="0.2">
      <c r="A13" t="s">
        <v>359</v>
      </c>
    </row>
    <row r="14" spans="1:1" x14ac:dyDescent="0.2">
      <c r="A14" t="s">
        <v>360</v>
      </c>
    </row>
    <row r="15" spans="1:1" x14ac:dyDescent="0.2">
      <c r="A15" t="s">
        <v>361</v>
      </c>
    </row>
    <row r="16" spans="1:1" x14ac:dyDescent="0.2">
      <c r="A16" t="s">
        <v>362</v>
      </c>
    </row>
    <row r="17" spans="1:1" x14ac:dyDescent="0.2">
      <c r="A17" t="s">
        <v>363</v>
      </c>
    </row>
    <row r="18" spans="1:1" x14ac:dyDescent="0.2">
      <c r="A18" t="s">
        <v>364</v>
      </c>
    </row>
    <row r="19" spans="1:1" x14ac:dyDescent="0.2">
      <c r="A19" t="s">
        <v>365</v>
      </c>
    </row>
    <row r="20" spans="1:1" x14ac:dyDescent="0.2">
      <c r="A20" t="s">
        <v>366</v>
      </c>
    </row>
    <row r="21" spans="1:1" x14ac:dyDescent="0.2">
      <c r="A21" t="s">
        <v>367</v>
      </c>
    </row>
    <row r="22" spans="1:1" x14ac:dyDescent="0.2">
      <c r="A22" t="s">
        <v>368</v>
      </c>
    </row>
    <row r="23" spans="1:1" x14ac:dyDescent="0.2">
      <c r="A23" t="s">
        <v>369</v>
      </c>
    </row>
    <row r="24" spans="1:1" x14ac:dyDescent="0.2">
      <c r="A24" t="s">
        <v>370</v>
      </c>
    </row>
    <row r="25" spans="1:1" x14ac:dyDescent="0.2">
      <c r="A25" t="s">
        <v>371</v>
      </c>
    </row>
    <row r="26" spans="1:1" x14ac:dyDescent="0.2">
      <c r="A26" t="s">
        <v>372</v>
      </c>
    </row>
    <row r="27" spans="1:1" x14ac:dyDescent="0.2">
      <c r="A27" t="s">
        <v>373</v>
      </c>
    </row>
    <row r="28" spans="1:1" x14ac:dyDescent="0.2">
      <c r="A28" t="s">
        <v>374</v>
      </c>
    </row>
    <row r="29" spans="1:1" x14ac:dyDescent="0.2">
      <c r="A29" t="s">
        <v>375</v>
      </c>
    </row>
    <row r="30" spans="1:1" x14ac:dyDescent="0.2">
      <c r="A30" t="s">
        <v>376</v>
      </c>
    </row>
    <row r="31" spans="1:1" x14ac:dyDescent="0.2">
      <c r="A31" t="s">
        <v>377</v>
      </c>
    </row>
    <row r="32" spans="1:1" x14ac:dyDescent="0.2">
      <c r="A32" t="s">
        <v>378</v>
      </c>
    </row>
    <row r="33" spans="1:1" x14ac:dyDescent="0.2">
      <c r="A33" t="s">
        <v>379</v>
      </c>
    </row>
    <row r="34" spans="1:1" x14ac:dyDescent="0.2">
      <c r="A34" t="s">
        <v>380</v>
      </c>
    </row>
    <row r="35" spans="1:1" x14ac:dyDescent="0.2">
      <c r="A35" t="s">
        <v>381</v>
      </c>
    </row>
    <row r="36" spans="1:1" x14ac:dyDescent="0.2">
      <c r="A36" t="s">
        <v>382</v>
      </c>
    </row>
    <row r="37" spans="1:1" x14ac:dyDescent="0.2">
      <c r="A37" t="s">
        <v>383</v>
      </c>
    </row>
    <row r="38" spans="1:1" x14ac:dyDescent="0.2">
      <c r="A38" t="s">
        <v>384</v>
      </c>
    </row>
    <row r="39" spans="1:1" x14ac:dyDescent="0.2">
      <c r="A39" t="s">
        <v>385</v>
      </c>
    </row>
    <row r="40" spans="1:1" x14ac:dyDescent="0.2">
      <c r="A40" t="s">
        <v>386</v>
      </c>
    </row>
    <row r="41" spans="1:1" x14ac:dyDescent="0.2">
      <c r="A41" t="s">
        <v>387</v>
      </c>
    </row>
    <row r="42" spans="1:1" x14ac:dyDescent="0.2">
      <c r="A42" t="s">
        <v>388</v>
      </c>
    </row>
    <row r="43" spans="1:1" x14ac:dyDescent="0.2">
      <c r="A43" t="s">
        <v>389</v>
      </c>
    </row>
    <row r="44" spans="1:1" x14ac:dyDescent="0.2">
      <c r="A44" t="s">
        <v>390</v>
      </c>
    </row>
    <row r="45" spans="1:1" x14ac:dyDescent="0.2">
      <c r="A45" t="s">
        <v>391</v>
      </c>
    </row>
    <row r="46" spans="1:1" x14ac:dyDescent="0.2">
      <c r="A46" t="s">
        <v>392</v>
      </c>
    </row>
    <row r="47" spans="1:1" x14ac:dyDescent="0.2">
      <c r="A47" t="s">
        <v>393</v>
      </c>
    </row>
    <row r="48" spans="1:1" x14ac:dyDescent="0.2">
      <c r="A48" t="s">
        <v>394</v>
      </c>
    </row>
    <row r="49" spans="1:1" x14ac:dyDescent="0.2">
      <c r="A49" t="s">
        <v>395</v>
      </c>
    </row>
    <row r="50" spans="1:1" x14ac:dyDescent="0.2">
      <c r="A50" t="s">
        <v>396</v>
      </c>
    </row>
    <row r="51" spans="1:1" x14ac:dyDescent="0.2">
      <c r="A51" t="s">
        <v>397</v>
      </c>
    </row>
    <row r="52" spans="1:1" x14ac:dyDescent="0.2">
      <c r="A52" t="s">
        <v>398</v>
      </c>
    </row>
    <row r="53" spans="1:1" x14ac:dyDescent="0.2">
      <c r="A53" t="s">
        <v>399</v>
      </c>
    </row>
    <row r="54" spans="1:1" x14ac:dyDescent="0.2">
      <c r="A54" t="s">
        <v>400</v>
      </c>
    </row>
    <row r="55" spans="1:1" x14ac:dyDescent="0.2">
      <c r="A55" t="s">
        <v>401</v>
      </c>
    </row>
    <row r="56" spans="1:1" x14ac:dyDescent="0.2">
      <c r="A56" t="s">
        <v>402</v>
      </c>
    </row>
    <row r="57" spans="1:1" x14ac:dyDescent="0.2">
      <c r="A57" t="s">
        <v>403</v>
      </c>
    </row>
    <row r="58" spans="1:1" x14ac:dyDescent="0.2">
      <c r="A58" t="s">
        <v>404</v>
      </c>
    </row>
    <row r="59" spans="1:1" x14ac:dyDescent="0.2">
      <c r="A59" t="s">
        <v>405</v>
      </c>
    </row>
    <row r="60" spans="1:1" x14ac:dyDescent="0.2">
      <c r="A60" t="s">
        <v>406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B17503E-83FD-408E-9E6B-866099B922BA}">
  <ds:schemaRefs>
    <ds:schemaRef ds:uri="http://www.w3.org/XML/1998/namespace"/>
    <ds:schemaRef ds:uri="http://purl.org/dc/dcmitype/"/>
    <ds:schemaRef ds:uri="http://purl.org/dc/terms/"/>
    <ds:schemaRef ds:uri="http://schemas.microsoft.com/office/infopath/2007/PartnerControls"/>
    <ds:schemaRef ds:uri="http://purl.org/dc/elements/1.1/"/>
    <ds:schemaRef ds:uri="http://schemas.microsoft.com/office/2006/documentManagement/types"/>
    <ds:schemaRef ds:uri="http://schemas.openxmlformats.org/package/2006/metadata/core-properties"/>
    <ds:schemaRef ds:uri="3bad6c6a-329d-45e9-b8b0-1ebecc8a8764"/>
    <ds:schemaRef ds:uri="8e1efd23-f4ba-42d2-85fd-6a510437bae6"/>
    <ds:schemaRef ds:uri="http://schemas.microsoft.com/office/2006/metadata/properties"/>
  </ds:schemaRefs>
</ds:datastoreItem>
</file>

<file path=customXml/itemProps2.xml><?xml version="1.0" encoding="utf-8"?>
<ds:datastoreItem xmlns:ds="http://schemas.openxmlformats.org/officeDocument/2006/customXml" ds:itemID="{555FC3CB-E0E5-408A-9545-EC56C1DD4546}">
  <ds:schemaRefs>
    <ds:schemaRef ds:uri="http://schemas.microsoft.com/sharepoint/v3/contenttype/forms"/>
  </ds:schemaRefs>
</ds:datastoreItem>
</file>

<file path=customXml/itemProps3.xml><?xml version="1.0" encoding="utf-8"?>
<ds:datastoreItem xmlns:ds="http://schemas.openxmlformats.org/officeDocument/2006/customXml" ds:itemID="{4C4F9F0F-C38C-4AF1-ADEA-C21BFC1145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2026-02-25T23:59:08Z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