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132" documentId="11_C9899FD343DE0E1AAF8ABA0755916B8CA43B56A8" xr6:coauthVersionLast="47" xr6:coauthVersionMax="47" xr10:uidLastSave="{1DC69BEE-ECF6-7341-9E7D-55FD4B558599}"/>
  <bookViews>
    <workbookView xWindow="40140" yWindow="-5860" windowWidth="36160" windowHeight="28200" xr2:uid="{00000000-000D-0000-FFFF-FFFF00000000}"/>
  </bookViews>
  <sheets>
    <sheet name="Sheet1" sheetId="1" r:id="rId1"/>
    <sheet name="FileList"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07" i="1" l="1"/>
  <c r="G207" i="1"/>
  <c r="F207" i="1" s="1"/>
  <c r="K207" i="1" s="1"/>
  <c r="H207" i="1"/>
  <c r="I207" i="1"/>
  <c r="J207" i="1"/>
  <c r="L207" i="1"/>
  <c r="M207" i="1" s="1" a="1"/>
  <c r="M207" i="1" s="1"/>
  <c r="E65" i="1"/>
  <c r="G65" i="1"/>
  <c r="I65" i="1"/>
  <c r="H65" i="1" s="1"/>
  <c r="J65" i="1"/>
  <c r="L65" i="1" s="1"/>
  <c r="M65" i="1" s="1" a="1"/>
  <c r="M65" i="1" s="1"/>
  <c r="J222" i="1"/>
  <c r="L222" i="1" s="1"/>
  <c r="M222" i="1" s="1" a="1"/>
  <c r="M222" i="1" s="1"/>
  <c r="I222" i="1"/>
  <c r="H222" i="1" s="1"/>
  <c r="G222" i="1"/>
  <c r="E222" i="1"/>
  <c r="J253" i="1"/>
  <c r="L253" i="1" s="1"/>
  <c r="M253" i="1" s="1" a="1"/>
  <c r="M253" i="1" s="1"/>
  <c r="I253" i="1"/>
  <c r="H253" i="1" s="1"/>
  <c r="G253" i="1"/>
  <c r="E253" i="1"/>
  <c r="J252" i="1"/>
  <c r="L252" i="1" s="1"/>
  <c r="M252" i="1" s="1" a="1"/>
  <c r="M252" i="1" s="1"/>
  <c r="I252" i="1"/>
  <c r="H252" i="1" s="1"/>
  <c r="G252" i="1"/>
  <c r="E252" i="1"/>
  <c r="J251" i="1"/>
  <c r="L251" i="1" s="1"/>
  <c r="M251" i="1" s="1" a="1"/>
  <c r="M251" i="1" s="1"/>
  <c r="I251" i="1"/>
  <c r="H251" i="1" s="1"/>
  <c r="G251" i="1"/>
  <c r="E251" i="1"/>
  <c r="J250" i="1"/>
  <c r="L250" i="1" s="1"/>
  <c r="M250" i="1" s="1" a="1"/>
  <c r="M250" i="1" s="1"/>
  <c r="I250" i="1"/>
  <c r="H250" i="1" s="1"/>
  <c r="G250" i="1"/>
  <c r="E250" i="1"/>
  <c r="J249" i="1"/>
  <c r="L249" i="1" s="1"/>
  <c r="M249" i="1" s="1" a="1"/>
  <c r="M249" i="1" s="1"/>
  <c r="I249" i="1"/>
  <c r="H249" i="1" s="1"/>
  <c r="G249" i="1"/>
  <c r="E249" i="1"/>
  <c r="J248" i="1"/>
  <c r="L248" i="1" s="1"/>
  <c r="M248" i="1" s="1" a="1"/>
  <c r="M248" i="1" s="1"/>
  <c r="I248" i="1"/>
  <c r="H248" i="1" s="1"/>
  <c r="G248" i="1"/>
  <c r="E248" i="1"/>
  <c r="J247" i="1"/>
  <c r="L247" i="1" s="1"/>
  <c r="M247" i="1" s="1" a="1"/>
  <c r="M247" i="1" s="1"/>
  <c r="I247" i="1"/>
  <c r="H247" i="1" s="1"/>
  <c r="G247" i="1"/>
  <c r="E247" i="1"/>
  <c r="J246" i="1"/>
  <c r="L246" i="1" s="1"/>
  <c r="M246" i="1" s="1" a="1"/>
  <c r="M246" i="1" s="1"/>
  <c r="I246" i="1"/>
  <c r="H246" i="1" s="1"/>
  <c r="G246" i="1"/>
  <c r="E246" i="1"/>
  <c r="J245" i="1"/>
  <c r="L245" i="1" s="1"/>
  <c r="M245" i="1" s="1" a="1"/>
  <c r="M245" i="1" s="1"/>
  <c r="I245" i="1"/>
  <c r="H245" i="1" s="1"/>
  <c r="G245" i="1"/>
  <c r="E245" i="1"/>
  <c r="J244" i="1"/>
  <c r="L244" i="1" s="1"/>
  <c r="M244" i="1" s="1" a="1"/>
  <c r="M244" i="1" s="1"/>
  <c r="I244" i="1"/>
  <c r="H244" i="1" s="1"/>
  <c r="G244" i="1"/>
  <c r="E244" i="1"/>
  <c r="J243" i="1"/>
  <c r="L243" i="1" s="1"/>
  <c r="M243" i="1" s="1" a="1"/>
  <c r="M243" i="1" s="1"/>
  <c r="I243" i="1"/>
  <c r="H243" i="1" s="1"/>
  <c r="G243" i="1"/>
  <c r="E243" i="1"/>
  <c r="J242" i="1"/>
  <c r="L242" i="1" s="1"/>
  <c r="M242" i="1" s="1" a="1"/>
  <c r="M242" i="1" s="1"/>
  <c r="I242" i="1"/>
  <c r="H242" i="1" s="1"/>
  <c r="G242" i="1"/>
  <c r="E242" i="1"/>
  <c r="J241" i="1"/>
  <c r="L241" i="1" s="1"/>
  <c r="M241" i="1" s="1" a="1"/>
  <c r="M241" i="1" s="1"/>
  <c r="I241" i="1"/>
  <c r="H241" i="1" s="1"/>
  <c r="G241" i="1"/>
  <c r="E241" i="1"/>
  <c r="J240" i="1"/>
  <c r="L240" i="1" s="1"/>
  <c r="M240" i="1" s="1" a="1"/>
  <c r="M240" i="1" s="1"/>
  <c r="I240" i="1"/>
  <c r="H240" i="1" s="1"/>
  <c r="G240" i="1"/>
  <c r="E240" i="1"/>
  <c r="J239" i="1"/>
  <c r="L239" i="1" s="1"/>
  <c r="M239" i="1" s="1" a="1"/>
  <c r="M239" i="1" s="1"/>
  <c r="I239" i="1"/>
  <c r="H239" i="1" s="1"/>
  <c r="G239" i="1"/>
  <c r="E239" i="1"/>
  <c r="J238" i="1"/>
  <c r="L238" i="1" s="1"/>
  <c r="M238" i="1" s="1" a="1"/>
  <c r="M238" i="1" s="1"/>
  <c r="I238" i="1"/>
  <c r="H238" i="1" s="1"/>
  <c r="G238" i="1"/>
  <c r="E238" i="1"/>
  <c r="J237" i="1"/>
  <c r="L237" i="1" s="1"/>
  <c r="M237" i="1" s="1" a="1"/>
  <c r="M237" i="1" s="1"/>
  <c r="I237" i="1"/>
  <c r="H237" i="1" s="1"/>
  <c r="G237" i="1"/>
  <c r="E237" i="1"/>
  <c r="J236" i="1"/>
  <c r="L236" i="1" s="1"/>
  <c r="M236" i="1" s="1" a="1"/>
  <c r="M236" i="1" s="1"/>
  <c r="I236" i="1"/>
  <c r="H236" i="1" s="1"/>
  <c r="G236" i="1"/>
  <c r="E236" i="1"/>
  <c r="J235" i="1"/>
  <c r="L235" i="1" s="1"/>
  <c r="M235" i="1" s="1" a="1"/>
  <c r="M235" i="1" s="1"/>
  <c r="I235" i="1"/>
  <c r="H235" i="1" s="1"/>
  <c r="G235" i="1"/>
  <c r="E235" i="1"/>
  <c r="J234" i="1"/>
  <c r="L234" i="1" s="1"/>
  <c r="M234" i="1" s="1" a="1"/>
  <c r="M234" i="1" s="1"/>
  <c r="I234" i="1"/>
  <c r="H234" i="1" s="1"/>
  <c r="G234" i="1"/>
  <c r="E234" i="1"/>
  <c r="J233" i="1"/>
  <c r="L233" i="1" s="1"/>
  <c r="M233" i="1" s="1" a="1"/>
  <c r="M233" i="1" s="1"/>
  <c r="I233" i="1"/>
  <c r="H233" i="1" s="1"/>
  <c r="G233" i="1"/>
  <c r="E233" i="1"/>
  <c r="J232" i="1"/>
  <c r="L232" i="1" s="1"/>
  <c r="M232" i="1" s="1" a="1"/>
  <c r="M232" i="1" s="1"/>
  <c r="I232" i="1"/>
  <c r="H232" i="1" s="1"/>
  <c r="G232" i="1"/>
  <c r="E232" i="1"/>
  <c r="J231" i="1"/>
  <c r="L231" i="1" s="1"/>
  <c r="M231" i="1" s="1" a="1"/>
  <c r="M231" i="1" s="1"/>
  <c r="I231" i="1"/>
  <c r="H231" i="1" s="1"/>
  <c r="G231" i="1"/>
  <c r="E231" i="1"/>
  <c r="J229" i="1"/>
  <c r="L229" i="1" s="1"/>
  <c r="M229" i="1" s="1" a="1"/>
  <c r="M229" i="1" s="1"/>
  <c r="I229" i="1"/>
  <c r="H229" i="1" s="1"/>
  <c r="G229" i="1"/>
  <c r="E229" i="1"/>
  <c r="J230" i="1"/>
  <c r="L230" i="1" s="1"/>
  <c r="M230" i="1" s="1" a="1"/>
  <c r="M230" i="1" s="1"/>
  <c r="I230" i="1"/>
  <c r="H230" i="1" s="1"/>
  <c r="G230" i="1"/>
  <c r="E230" i="1"/>
  <c r="J295" i="1"/>
  <c r="L295" i="1" s="1"/>
  <c r="M295" i="1" s="1" a="1"/>
  <c r="M295" i="1" s="1"/>
  <c r="I295" i="1"/>
  <c r="H295" i="1" s="1"/>
  <c r="G295" i="1"/>
  <c r="E295" i="1"/>
  <c r="J294" i="1"/>
  <c r="L294" i="1" s="1"/>
  <c r="M294" i="1" s="1" a="1"/>
  <c r="M294" i="1" s="1"/>
  <c r="I294" i="1"/>
  <c r="H294" i="1" s="1"/>
  <c r="G294" i="1"/>
  <c r="E294" i="1"/>
  <c r="J293" i="1"/>
  <c r="L293" i="1" s="1"/>
  <c r="M293" i="1" s="1" a="1"/>
  <c r="M293" i="1" s="1"/>
  <c r="I293" i="1"/>
  <c r="H293" i="1" s="1"/>
  <c r="G293" i="1"/>
  <c r="E293" i="1"/>
  <c r="T292" i="1"/>
  <c r="J292" i="1"/>
  <c r="L292" i="1" s="1"/>
  <c r="M292" i="1" s="1" a="1"/>
  <c r="M292" i="1" s="1"/>
  <c r="I292" i="1"/>
  <c r="H292" i="1" s="1"/>
  <c r="G292" i="1"/>
  <c r="E292" i="1"/>
  <c r="T291" i="1"/>
  <c r="J291" i="1"/>
  <c r="L291" i="1" s="1"/>
  <c r="M291" i="1" s="1" a="1"/>
  <c r="M291" i="1" s="1"/>
  <c r="I291" i="1"/>
  <c r="H291" i="1" s="1"/>
  <c r="G291" i="1"/>
  <c r="E291" i="1"/>
  <c r="J290" i="1"/>
  <c r="L290" i="1" s="1"/>
  <c r="M290" i="1" s="1" a="1"/>
  <c r="M290" i="1" s="1"/>
  <c r="I290" i="1"/>
  <c r="H290" i="1" s="1"/>
  <c r="G290" i="1"/>
  <c r="E290" i="1"/>
  <c r="J289" i="1"/>
  <c r="L289" i="1" s="1"/>
  <c r="M289" i="1" s="1" a="1"/>
  <c r="M289" i="1" s="1"/>
  <c r="I289" i="1"/>
  <c r="H289" i="1" s="1"/>
  <c r="G289" i="1"/>
  <c r="E289" i="1"/>
  <c r="J288" i="1"/>
  <c r="L288" i="1" s="1"/>
  <c r="M288" i="1" s="1" a="1"/>
  <c r="M288" i="1" s="1"/>
  <c r="I288" i="1"/>
  <c r="H288" i="1" s="1"/>
  <c r="G288" i="1"/>
  <c r="E288" i="1"/>
  <c r="J287" i="1"/>
  <c r="L287" i="1" s="1"/>
  <c r="M287" i="1" s="1" a="1"/>
  <c r="M287" i="1" s="1"/>
  <c r="I287" i="1"/>
  <c r="H287" i="1" s="1"/>
  <c r="G287" i="1"/>
  <c r="E287" i="1"/>
  <c r="J286" i="1"/>
  <c r="L286" i="1" s="1"/>
  <c r="M286" i="1" s="1" a="1"/>
  <c r="M286" i="1" s="1"/>
  <c r="I286" i="1"/>
  <c r="H286" i="1" s="1"/>
  <c r="G286" i="1"/>
  <c r="E286" i="1"/>
  <c r="J285" i="1"/>
  <c r="L285" i="1" s="1"/>
  <c r="M285" i="1" s="1" a="1"/>
  <c r="M285" i="1" s="1"/>
  <c r="I285" i="1"/>
  <c r="H285" i="1" s="1"/>
  <c r="G285" i="1"/>
  <c r="E285" i="1"/>
  <c r="J284" i="1"/>
  <c r="L284" i="1" s="1"/>
  <c r="M284" i="1" s="1" a="1"/>
  <c r="M284" i="1" s="1"/>
  <c r="I284" i="1"/>
  <c r="H284" i="1" s="1"/>
  <c r="G284" i="1"/>
  <c r="E284" i="1"/>
  <c r="J283" i="1"/>
  <c r="L283" i="1" s="1"/>
  <c r="M283" i="1" s="1" a="1"/>
  <c r="M283" i="1" s="1"/>
  <c r="I283" i="1"/>
  <c r="H283" i="1" s="1"/>
  <c r="G283" i="1"/>
  <c r="E283" i="1"/>
  <c r="J282" i="1"/>
  <c r="L282" i="1" s="1"/>
  <c r="M282" i="1" s="1" a="1"/>
  <c r="M282" i="1" s="1"/>
  <c r="I282" i="1"/>
  <c r="H282" i="1" s="1"/>
  <c r="G282" i="1"/>
  <c r="E282" i="1"/>
  <c r="J281" i="1"/>
  <c r="L281" i="1" s="1"/>
  <c r="M281" i="1" s="1" a="1"/>
  <c r="M281" i="1" s="1"/>
  <c r="I281" i="1"/>
  <c r="H281" i="1" s="1"/>
  <c r="G281" i="1"/>
  <c r="E281" i="1"/>
  <c r="J280" i="1"/>
  <c r="L280" i="1" s="1"/>
  <c r="M280" i="1" s="1" a="1"/>
  <c r="M280" i="1" s="1"/>
  <c r="I280" i="1"/>
  <c r="H280" i="1" s="1"/>
  <c r="G280" i="1"/>
  <c r="E280" i="1"/>
  <c r="J279" i="1"/>
  <c r="L279" i="1" s="1"/>
  <c r="M279" i="1" s="1" a="1"/>
  <c r="M279" i="1" s="1"/>
  <c r="I279" i="1"/>
  <c r="H279" i="1" s="1"/>
  <c r="G279" i="1"/>
  <c r="E279" i="1"/>
  <c r="J278" i="1"/>
  <c r="L278" i="1" s="1"/>
  <c r="M278" i="1" s="1" a="1"/>
  <c r="M278" i="1" s="1"/>
  <c r="I278" i="1"/>
  <c r="H278" i="1" s="1"/>
  <c r="G278" i="1"/>
  <c r="E278" i="1"/>
  <c r="J277" i="1"/>
  <c r="L277" i="1" s="1"/>
  <c r="M277" i="1" s="1" a="1"/>
  <c r="M277" i="1" s="1"/>
  <c r="I277" i="1"/>
  <c r="H277" i="1" s="1"/>
  <c r="G277" i="1"/>
  <c r="E277" i="1"/>
  <c r="J276" i="1"/>
  <c r="L276" i="1" s="1"/>
  <c r="M276" i="1" s="1" a="1"/>
  <c r="M276" i="1" s="1"/>
  <c r="I276" i="1"/>
  <c r="H276" i="1" s="1"/>
  <c r="G276" i="1"/>
  <c r="E276" i="1"/>
  <c r="J275" i="1"/>
  <c r="L275" i="1" s="1"/>
  <c r="M275" i="1" s="1" a="1"/>
  <c r="M275" i="1" s="1"/>
  <c r="I275" i="1"/>
  <c r="H275" i="1" s="1"/>
  <c r="G275" i="1"/>
  <c r="E275" i="1"/>
  <c r="J274" i="1"/>
  <c r="L274" i="1" s="1"/>
  <c r="M274" i="1" s="1" a="1"/>
  <c r="M274" i="1" s="1"/>
  <c r="I274" i="1"/>
  <c r="H274" i="1" s="1"/>
  <c r="G274" i="1"/>
  <c r="E274" i="1"/>
  <c r="J273" i="1"/>
  <c r="L273" i="1" s="1"/>
  <c r="M273" i="1" s="1" a="1"/>
  <c r="M273" i="1" s="1"/>
  <c r="I273" i="1"/>
  <c r="H273" i="1" s="1"/>
  <c r="G273" i="1"/>
  <c r="E273" i="1"/>
  <c r="J272" i="1"/>
  <c r="L272" i="1" s="1"/>
  <c r="M272" i="1" s="1" a="1"/>
  <c r="M272" i="1" s="1"/>
  <c r="I272" i="1"/>
  <c r="H272" i="1" s="1"/>
  <c r="G272" i="1"/>
  <c r="E272" i="1"/>
  <c r="J271" i="1"/>
  <c r="L271" i="1" s="1"/>
  <c r="M271" i="1" s="1" a="1"/>
  <c r="M271" i="1" s="1"/>
  <c r="I271" i="1"/>
  <c r="H271" i="1" s="1"/>
  <c r="G271" i="1"/>
  <c r="E271" i="1"/>
  <c r="J270" i="1"/>
  <c r="L270" i="1" s="1"/>
  <c r="M270" i="1" s="1" a="1"/>
  <c r="M270" i="1" s="1"/>
  <c r="I270" i="1"/>
  <c r="H270" i="1" s="1"/>
  <c r="G270" i="1"/>
  <c r="E270" i="1"/>
  <c r="J269" i="1"/>
  <c r="L269" i="1" s="1"/>
  <c r="M269" i="1" s="1" a="1"/>
  <c r="M269" i="1" s="1"/>
  <c r="I269" i="1"/>
  <c r="H269" i="1" s="1"/>
  <c r="G269" i="1"/>
  <c r="E269" i="1"/>
  <c r="J268" i="1"/>
  <c r="L268" i="1" s="1"/>
  <c r="M268" i="1" s="1" a="1"/>
  <c r="M268" i="1" s="1"/>
  <c r="I268" i="1"/>
  <c r="H268" i="1" s="1"/>
  <c r="G268" i="1"/>
  <c r="E268" i="1"/>
  <c r="J267" i="1"/>
  <c r="L267" i="1" s="1"/>
  <c r="M267" i="1" s="1" a="1"/>
  <c r="M267" i="1" s="1"/>
  <c r="I267" i="1"/>
  <c r="H267" i="1" s="1"/>
  <c r="G267" i="1"/>
  <c r="E267" i="1"/>
  <c r="J266" i="1"/>
  <c r="L266" i="1" s="1"/>
  <c r="M266" i="1" s="1" a="1"/>
  <c r="M266" i="1" s="1"/>
  <c r="I266" i="1"/>
  <c r="H266" i="1" s="1"/>
  <c r="G266" i="1"/>
  <c r="E266" i="1"/>
  <c r="J265" i="1"/>
  <c r="L265" i="1" s="1"/>
  <c r="M265" i="1" s="1" a="1"/>
  <c r="M265" i="1" s="1"/>
  <c r="I265" i="1"/>
  <c r="H265" i="1" s="1"/>
  <c r="G265" i="1"/>
  <c r="E265" i="1"/>
  <c r="J264" i="1"/>
  <c r="L264" i="1" s="1"/>
  <c r="M264" i="1" s="1" a="1"/>
  <c r="M264" i="1" s="1"/>
  <c r="I264" i="1"/>
  <c r="H264" i="1" s="1"/>
  <c r="G264" i="1"/>
  <c r="E264" i="1"/>
  <c r="J263" i="1"/>
  <c r="L263" i="1" s="1"/>
  <c r="M263" i="1" s="1" a="1"/>
  <c r="M263" i="1" s="1"/>
  <c r="I263" i="1"/>
  <c r="H263" i="1" s="1"/>
  <c r="G263" i="1"/>
  <c r="E263" i="1"/>
  <c r="J262" i="1"/>
  <c r="L262" i="1" s="1"/>
  <c r="M262" i="1" s="1" a="1"/>
  <c r="M262" i="1" s="1"/>
  <c r="I262" i="1"/>
  <c r="H262" i="1" s="1"/>
  <c r="G262" i="1"/>
  <c r="E262" i="1"/>
  <c r="J261" i="1"/>
  <c r="L261" i="1" s="1"/>
  <c r="M261" i="1" s="1" a="1"/>
  <c r="M261" i="1" s="1"/>
  <c r="I261" i="1"/>
  <c r="H261" i="1" s="1"/>
  <c r="G261" i="1"/>
  <c r="E261" i="1"/>
  <c r="J260" i="1"/>
  <c r="L260" i="1" s="1"/>
  <c r="M260" i="1" s="1" a="1"/>
  <c r="M260" i="1" s="1"/>
  <c r="I260" i="1"/>
  <c r="H260" i="1" s="1"/>
  <c r="G260" i="1"/>
  <c r="E260" i="1"/>
  <c r="J259" i="1"/>
  <c r="L259" i="1" s="1"/>
  <c r="M259" i="1" s="1" a="1"/>
  <c r="M259" i="1" s="1"/>
  <c r="I259" i="1"/>
  <c r="H259" i="1" s="1"/>
  <c r="G259" i="1"/>
  <c r="E259" i="1"/>
  <c r="J258" i="1"/>
  <c r="L258" i="1" s="1"/>
  <c r="M258" i="1" s="1" a="1"/>
  <c r="M258" i="1" s="1"/>
  <c r="I258" i="1"/>
  <c r="H258" i="1" s="1"/>
  <c r="G258" i="1"/>
  <c r="E258" i="1"/>
  <c r="J257" i="1"/>
  <c r="L257" i="1" s="1"/>
  <c r="M257" i="1" s="1" a="1"/>
  <c r="M257" i="1" s="1"/>
  <c r="I257" i="1"/>
  <c r="H257" i="1" s="1"/>
  <c r="G257" i="1"/>
  <c r="E257" i="1"/>
  <c r="J256" i="1"/>
  <c r="L256" i="1" s="1"/>
  <c r="M256" i="1" s="1" a="1"/>
  <c r="M256" i="1" s="1"/>
  <c r="I256" i="1"/>
  <c r="H256" i="1" s="1"/>
  <c r="G256" i="1"/>
  <c r="E256" i="1"/>
  <c r="J255" i="1"/>
  <c r="L255" i="1" s="1"/>
  <c r="M255" i="1" s="1" a="1"/>
  <c r="M255" i="1" s="1"/>
  <c r="I255" i="1"/>
  <c r="H255" i="1" s="1"/>
  <c r="G255" i="1"/>
  <c r="E255" i="1"/>
  <c r="J254" i="1"/>
  <c r="L254" i="1" s="1"/>
  <c r="M254" i="1" s="1" a="1"/>
  <c r="M254" i="1" s="1"/>
  <c r="I254" i="1"/>
  <c r="H254" i="1" s="1"/>
  <c r="G254" i="1"/>
  <c r="E254" i="1"/>
  <c r="J228" i="1"/>
  <c r="L228" i="1" s="1"/>
  <c r="M228" i="1" s="1" a="1"/>
  <c r="M228" i="1" s="1"/>
  <c r="I228" i="1"/>
  <c r="H228" i="1" s="1"/>
  <c r="G228" i="1"/>
  <c r="E228" i="1"/>
  <c r="J227" i="1"/>
  <c r="L227" i="1" s="1"/>
  <c r="M227" i="1" s="1" a="1"/>
  <c r="M227" i="1" s="1"/>
  <c r="I227" i="1"/>
  <c r="H227" i="1" s="1"/>
  <c r="G227" i="1"/>
  <c r="E227" i="1"/>
  <c r="J226" i="1"/>
  <c r="L226" i="1" s="1"/>
  <c r="M226" i="1" s="1" a="1"/>
  <c r="M226" i="1" s="1"/>
  <c r="I226" i="1"/>
  <c r="H226" i="1" s="1"/>
  <c r="G226" i="1"/>
  <c r="E226" i="1"/>
  <c r="J225" i="1"/>
  <c r="L225" i="1" s="1"/>
  <c r="M225" i="1" s="1" a="1"/>
  <c r="M225" i="1" s="1"/>
  <c r="I225" i="1"/>
  <c r="H225" i="1" s="1"/>
  <c r="G225" i="1"/>
  <c r="E225" i="1"/>
  <c r="J224" i="1"/>
  <c r="L224" i="1" s="1"/>
  <c r="M224" i="1" s="1" a="1"/>
  <c r="M224" i="1" s="1"/>
  <c r="I224" i="1"/>
  <c r="H224" i="1" s="1"/>
  <c r="G224" i="1"/>
  <c r="E224" i="1"/>
  <c r="J223" i="1"/>
  <c r="L223" i="1" s="1"/>
  <c r="M223" i="1" s="1" a="1"/>
  <c r="M223" i="1" s="1"/>
  <c r="I223" i="1"/>
  <c r="H223" i="1" s="1"/>
  <c r="G223" i="1"/>
  <c r="E223" i="1"/>
  <c r="J221" i="1"/>
  <c r="L221" i="1" s="1"/>
  <c r="M221" i="1" s="1" a="1"/>
  <c r="M221" i="1" s="1"/>
  <c r="I221" i="1"/>
  <c r="H221" i="1" s="1"/>
  <c r="G221" i="1"/>
  <c r="E221" i="1"/>
  <c r="T220" i="1"/>
  <c r="J220" i="1"/>
  <c r="L220" i="1" s="1"/>
  <c r="M220" i="1" s="1" a="1"/>
  <c r="M220" i="1" s="1"/>
  <c r="I220" i="1"/>
  <c r="H220" i="1" s="1"/>
  <c r="G220" i="1"/>
  <c r="E220" i="1"/>
  <c r="T219" i="1"/>
  <c r="J219" i="1"/>
  <c r="L219" i="1" s="1"/>
  <c r="M219" i="1" s="1" a="1"/>
  <c r="M219" i="1" s="1"/>
  <c r="I219" i="1"/>
  <c r="H219" i="1" s="1"/>
  <c r="G219" i="1"/>
  <c r="E219" i="1"/>
  <c r="J218" i="1"/>
  <c r="L218" i="1" s="1"/>
  <c r="M218" i="1" s="1" a="1"/>
  <c r="M218" i="1" s="1"/>
  <c r="I218" i="1"/>
  <c r="H218" i="1" s="1"/>
  <c r="G218" i="1"/>
  <c r="E218" i="1"/>
  <c r="J217" i="1"/>
  <c r="L217" i="1" s="1"/>
  <c r="M217" i="1" s="1" a="1"/>
  <c r="M217" i="1" s="1"/>
  <c r="I217" i="1"/>
  <c r="H217" i="1" s="1"/>
  <c r="G217" i="1"/>
  <c r="E217" i="1"/>
  <c r="J216" i="1"/>
  <c r="L216" i="1" s="1"/>
  <c r="M216" i="1" s="1" a="1"/>
  <c r="M216" i="1" s="1"/>
  <c r="I216" i="1"/>
  <c r="H216" i="1" s="1"/>
  <c r="G216" i="1"/>
  <c r="E216" i="1"/>
  <c r="J215" i="1"/>
  <c r="L215" i="1" s="1"/>
  <c r="M215" i="1" s="1" a="1"/>
  <c r="M215" i="1" s="1"/>
  <c r="I215" i="1"/>
  <c r="H215" i="1" s="1"/>
  <c r="G215" i="1"/>
  <c r="E215" i="1"/>
  <c r="J214" i="1"/>
  <c r="L214" i="1" s="1"/>
  <c r="M214" i="1" s="1" a="1"/>
  <c r="M214" i="1" s="1"/>
  <c r="I214" i="1"/>
  <c r="H214" i="1" s="1"/>
  <c r="G214" i="1"/>
  <c r="E214" i="1"/>
  <c r="J213" i="1"/>
  <c r="L213" i="1" s="1"/>
  <c r="M213" i="1" s="1" a="1"/>
  <c r="M213" i="1" s="1"/>
  <c r="I213" i="1"/>
  <c r="H213" i="1" s="1"/>
  <c r="G213" i="1"/>
  <c r="E213" i="1"/>
  <c r="J212" i="1"/>
  <c r="L212" i="1" s="1"/>
  <c r="M212" i="1" s="1" a="1"/>
  <c r="M212" i="1" s="1"/>
  <c r="I212" i="1"/>
  <c r="H212" i="1" s="1"/>
  <c r="G212" i="1"/>
  <c r="E212" i="1"/>
  <c r="J211" i="1"/>
  <c r="L211" i="1" s="1"/>
  <c r="M211" i="1" s="1" a="1"/>
  <c r="M211" i="1" s="1"/>
  <c r="I211" i="1"/>
  <c r="H211" i="1" s="1"/>
  <c r="G211" i="1"/>
  <c r="E211" i="1"/>
  <c r="J210" i="1"/>
  <c r="L210" i="1" s="1"/>
  <c r="M210" i="1" s="1" a="1"/>
  <c r="M210" i="1" s="1"/>
  <c r="I210" i="1"/>
  <c r="H210" i="1" s="1"/>
  <c r="G210" i="1"/>
  <c r="E210" i="1"/>
  <c r="J209" i="1"/>
  <c r="L209" i="1" s="1"/>
  <c r="M209" i="1" s="1" a="1"/>
  <c r="M209" i="1" s="1"/>
  <c r="I209" i="1"/>
  <c r="H209" i="1" s="1"/>
  <c r="G209" i="1"/>
  <c r="E209" i="1"/>
  <c r="J208" i="1"/>
  <c r="L208" i="1" s="1"/>
  <c r="M208" i="1" s="1" a="1"/>
  <c r="M208" i="1" s="1"/>
  <c r="I208" i="1"/>
  <c r="H208" i="1" s="1"/>
  <c r="G208" i="1"/>
  <c r="E208" i="1"/>
  <c r="J206" i="1"/>
  <c r="L206" i="1" s="1"/>
  <c r="M206" i="1" s="1" a="1"/>
  <c r="M206" i="1" s="1"/>
  <c r="I206" i="1"/>
  <c r="H206" i="1" s="1"/>
  <c r="G206" i="1"/>
  <c r="E206" i="1"/>
  <c r="J205" i="1"/>
  <c r="L205" i="1" s="1"/>
  <c r="M205" i="1" s="1" a="1"/>
  <c r="M205" i="1" s="1"/>
  <c r="I205" i="1"/>
  <c r="H205" i="1" s="1"/>
  <c r="G205" i="1"/>
  <c r="E205" i="1"/>
  <c r="J204" i="1"/>
  <c r="L204" i="1" s="1"/>
  <c r="M204" i="1" s="1" a="1"/>
  <c r="M204" i="1" s="1"/>
  <c r="I204" i="1"/>
  <c r="H204" i="1" s="1"/>
  <c r="G204" i="1"/>
  <c r="E204" i="1"/>
  <c r="J203" i="1"/>
  <c r="L203" i="1" s="1"/>
  <c r="M203" i="1" s="1" a="1"/>
  <c r="M203" i="1" s="1"/>
  <c r="I203" i="1"/>
  <c r="H203" i="1" s="1"/>
  <c r="G203" i="1"/>
  <c r="E203" i="1"/>
  <c r="J202" i="1"/>
  <c r="L202" i="1" s="1"/>
  <c r="M202" i="1" s="1" a="1"/>
  <c r="M202" i="1" s="1"/>
  <c r="I202" i="1"/>
  <c r="H202" i="1" s="1"/>
  <c r="G202" i="1"/>
  <c r="E202" i="1"/>
  <c r="T201" i="1"/>
  <c r="J201" i="1"/>
  <c r="L201" i="1" s="1"/>
  <c r="M201" i="1" s="1" a="1"/>
  <c r="M201" i="1" s="1"/>
  <c r="I201" i="1"/>
  <c r="H201" i="1" s="1"/>
  <c r="G201" i="1"/>
  <c r="E201" i="1"/>
  <c r="J200" i="1"/>
  <c r="L200" i="1" s="1"/>
  <c r="M200" i="1" s="1" a="1"/>
  <c r="M200" i="1" s="1"/>
  <c r="I200" i="1"/>
  <c r="H200" i="1" s="1"/>
  <c r="G200" i="1"/>
  <c r="E200" i="1"/>
  <c r="J199" i="1"/>
  <c r="L199" i="1" s="1"/>
  <c r="M199" i="1" s="1" a="1"/>
  <c r="M199" i="1" s="1"/>
  <c r="I199" i="1"/>
  <c r="H199" i="1" s="1"/>
  <c r="G199" i="1"/>
  <c r="E199" i="1"/>
  <c r="J198" i="1"/>
  <c r="L198" i="1" s="1"/>
  <c r="M198" i="1" s="1" a="1"/>
  <c r="M198" i="1" s="1"/>
  <c r="I198" i="1"/>
  <c r="H198" i="1" s="1"/>
  <c r="G198" i="1"/>
  <c r="E198" i="1"/>
  <c r="J197" i="1"/>
  <c r="L197" i="1" s="1"/>
  <c r="M197" i="1" s="1" a="1"/>
  <c r="M197" i="1" s="1"/>
  <c r="I197" i="1"/>
  <c r="H197" i="1" s="1"/>
  <c r="G197" i="1"/>
  <c r="E197" i="1"/>
  <c r="J196" i="1"/>
  <c r="L196" i="1" s="1"/>
  <c r="M196" i="1" s="1" a="1"/>
  <c r="M196" i="1" s="1"/>
  <c r="I196" i="1"/>
  <c r="H196" i="1" s="1"/>
  <c r="G196" i="1"/>
  <c r="E196" i="1"/>
  <c r="J195" i="1"/>
  <c r="L195" i="1" s="1"/>
  <c r="M195" i="1" s="1" a="1"/>
  <c r="M195" i="1" s="1"/>
  <c r="I195" i="1"/>
  <c r="H195" i="1" s="1"/>
  <c r="G195" i="1"/>
  <c r="E195" i="1"/>
  <c r="J194" i="1"/>
  <c r="L194" i="1" s="1"/>
  <c r="M194" i="1" s="1" a="1"/>
  <c r="M194" i="1" s="1"/>
  <c r="I194" i="1"/>
  <c r="H194" i="1" s="1"/>
  <c r="G194" i="1"/>
  <c r="E194" i="1"/>
  <c r="J193" i="1"/>
  <c r="L193" i="1" s="1"/>
  <c r="M193" i="1" s="1" a="1"/>
  <c r="M193" i="1" s="1"/>
  <c r="I193" i="1"/>
  <c r="H193" i="1" s="1"/>
  <c r="G193" i="1"/>
  <c r="E193" i="1"/>
  <c r="J192" i="1"/>
  <c r="L192" i="1" s="1"/>
  <c r="M192" i="1" s="1" a="1"/>
  <c r="M192" i="1" s="1"/>
  <c r="I192" i="1"/>
  <c r="H192" i="1" s="1"/>
  <c r="G192" i="1"/>
  <c r="E192" i="1"/>
  <c r="J191" i="1"/>
  <c r="L191" i="1" s="1"/>
  <c r="M191" i="1" s="1" a="1"/>
  <c r="M191" i="1" s="1"/>
  <c r="I191" i="1"/>
  <c r="H191" i="1" s="1"/>
  <c r="G191" i="1"/>
  <c r="E191" i="1"/>
  <c r="J190" i="1"/>
  <c r="L190" i="1" s="1"/>
  <c r="M190" i="1" s="1" a="1"/>
  <c r="M190" i="1" s="1"/>
  <c r="I190" i="1"/>
  <c r="H190" i="1" s="1"/>
  <c r="G190" i="1"/>
  <c r="E190" i="1"/>
  <c r="J189" i="1"/>
  <c r="L189" i="1" s="1"/>
  <c r="M189" i="1" s="1" a="1"/>
  <c r="M189" i="1" s="1"/>
  <c r="I189" i="1"/>
  <c r="H189" i="1" s="1"/>
  <c r="G189" i="1"/>
  <c r="E189" i="1"/>
  <c r="J188" i="1"/>
  <c r="L188" i="1" s="1"/>
  <c r="M188" i="1" s="1" a="1"/>
  <c r="M188" i="1" s="1"/>
  <c r="I188" i="1"/>
  <c r="H188" i="1" s="1"/>
  <c r="G188" i="1"/>
  <c r="E188" i="1"/>
  <c r="J187" i="1"/>
  <c r="L187" i="1" s="1"/>
  <c r="M187" i="1" s="1" a="1"/>
  <c r="M187" i="1" s="1"/>
  <c r="I187" i="1"/>
  <c r="H187" i="1" s="1"/>
  <c r="G187" i="1"/>
  <c r="E187" i="1"/>
  <c r="J186" i="1"/>
  <c r="L186" i="1" s="1"/>
  <c r="M186" i="1" s="1" a="1"/>
  <c r="M186" i="1" s="1"/>
  <c r="I186" i="1"/>
  <c r="H186" i="1" s="1"/>
  <c r="G186" i="1"/>
  <c r="E186" i="1"/>
  <c r="J185" i="1"/>
  <c r="L185" i="1" s="1"/>
  <c r="M185" i="1" s="1" a="1"/>
  <c r="M185" i="1" s="1"/>
  <c r="I185" i="1"/>
  <c r="H185" i="1" s="1"/>
  <c r="G185" i="1"/>
  <c r="E185" i="1"/>
  <c r="T184" i="1"/>
  <c r="J184" i="1"/>
  <c r="L184" i="1" s="1"/>
  <c r="M184" i="1" s="1" a="1"/>
  <c r="M184" i="1" s="1"/>
  <c r="I184" i="1"/>
  <c r="H184" i="1" s="1"/>
  <c r="G184" i="1"/>
  <c r="E184" i="1"/>
  <c r="J183" i="1"/>
  <c r="L183" i="1" s="1"/>
  <c r="M183" i="1" s="1" a="1"/>
  <c r="M183" i="1" s="1"/>
  <c r="I183" i="1"/>
  <c r="H183" i="1" s="1"/>
  <c r="G183" i="1"/>
  <c r="E183" i="1"/>
  <c r="J182" i="1"/>
  <c r="L182" i="1" s="1"/>
  <c r="M182" i="1" s="1" a="1"/>
  <c r="M182" i="1" s="1"/>
  <c r="I182" i="1"/>
  <c r="H182" i="1" s="1"/>
  <c r="G182" i="1"/>
  <c r="E182" i="1"/>
  <c r="J181" i="1"/>
  <c r="L181" i="1" s="1"/>
  <c r="M181" i="1" s="1" a="1"/>
  <c r="M181" i="1" s="1"/>
  <c r="I181" i="1"/>
  <c r="H181" i="1" s="1"/>
  <c r="G181" i="1"/>
  <c r="E181" i="1"/>
  <c r="J180" i="1"/>
  <c r="L180" i="1" s="1"/>
  <c r="M180" i="1" s="1" a="1"/>
  <c r="M180" i="1" s="1"/>
  <c r="I180" i="1"/>
  <c r="H180" i="1" s="1"/>
  <c r="G180" i="1"/>
  <c r="E180" i="1"/>
  <c r="J179" i="1"/>
  <c r="L179" i="1" s="1"/>
  <c r="M179" i="1" s="1" a="1"/>
  <c r="M179" i="1" s="1"/>
  <c r="I179" i="1"/>
  <c r="H179" i="1" s="1"/>
  <c r="G179" i="1"/>
  <c r="E179" i="1"/>
  <c r="J178" i="1"/>
  <c r="L178" i="1" s="1"/>
  <c r="M178" i="1" s="1" a="1"/>
  <c r="M178" i="1" s="1"/>
  <c r="I178" i="1"/>
  <c r="H178" i="1" s="1"/>
  <c r="G178" i="1"/>
  <c r="E178" i="1"/>
  <c r="J177" i="1"/>
  <c r="L177" i="1" s="1"/>
  <c r="M177" i="1" s="1" a="1"/>
  <c r="M177" i="1" s="1"/>
  <c r="I177" i="1"/>
  <c r="H177" i="1" s="1"/>
  <c r="G177" i="1"/>
  <c r="E177" i="1"/>
  <c r="J176" i="1"/>
  <c r="L176" i="1" s="1"/>
  <c r="M176" i="1" s="1" a="1"/>
  <c r="M176" i="1" s="1"/>
  <c r="I176" i="1"/>
  <c r="H176" i="1" s="1"/>
  <c r="G176" i="1"/>
  <c r="E176" i="1"/>
  <c r="J175" i="1"/>
  <c r="L175" i="1" s="1"/>
  <c r="M175" i="1" s="1" a="1"/>
  <c r="M175" i="1" s="1"/>
  <c r="I175" i="1"/>
  <c r="H175" i="1" s="1"/>
  <c r="G175" i="1"/>
  <c r="E175" i="1"/>
  <c r="J174" i="1"/>
  <c r="L174" i="1" s="1"/>
  <c r="M174" i="1" s="1" a="1"/>
  <c r="M174" i="1" s="1"/>
  <c r="I174" i="1"/>
  <c r="H174" i="1" s="1"/>
  <c r="G174" i="1"/>
  <c r="E174" i="1"/>
  <c r="J173" i="1"/>
  <c r="L173" i="1" s="1"/>
  <c r="M173" i="1" s="1" a="1"/>
  <c r="M173" i="1" s="1"/>
  <c r="I173" i="1"/>
  <c r="H173" i="1" s="1"/>
  <c r="G173" i="1"/>
  <c r="E173" i="1"/>
  <c r="J172" i="1"/>
  <c r="L172" i="1" s="1"/>
  <c r="M172" i="1" s="1" a="1"/>
  <c r="M172" i="1" s="1"/>
  <c r="I172" i="1"/>
  <c r="H172" i="1" s="1"/>
  <c r="G172" i="1"/>
  <c r="E172" i="1"/>
  <c r="J171" i="1"/>
  <c r="L171" i="1" s="1"/>
  <c r="M171" i="1" s="1" a="1"/>
  <c r="M171" i="1" s="1"/>
  <c r="I171" i="1"/>
  <c r="H171" i="1" s="1"/>
  <c r="G171" i="1"/>
  <c r="E171" i="1"/>
  <c r="J170" i="1"/>
  <c r="L170" i="1" s="1"/>
  <c r="M170" i="1" s="1" a="1"/>
  <c r="M170" i="1" s="1"/>
  <c r="I170" i="1"/>
  <c r="H170" i="1" s="1"/>
  <c r="G170" i="1"/>
  <c r="E170" i="1"/>
  <c r="J169" i="1"/>
  <c r="L169" i="1" s="1"/>
  <c r="M169" i="1" s="1" a="1"/>
  <c r="M169" i="1" s="1"/>
  <c r="I169" i="1"/>
  <c r="H169" i="1" s="1"/>
  <c r="G169" i="1"/>
  <c r="E169" i="1"/>
  <c r="J168" i="1"/>
  <c r="L168" i="1" s="1"/>
  <c r="M168" i="1" s="1" a="1"/>
  <c r="M168" i="1" s="1"/>
  <c r="I168" i="1"/>
  <c r="H168" i="1" s="1"/>
  <c r="G168" i="1"/>
  <c r="E168" i="1"/>
  <c r="J167" i="1"/>
  <c r="L167" i="1" s="1"/>
  <c r="M167" i="1" s="1" a="1"/>
  <c r="M167" i="1" s="1"/>
  <c r="I167" i="1"/>
  <c r="H167" i="1" s="1"/>
  <c r="G167" i="1"/>
  <c r="E167" i="1"/>
  <c r="J166" i="1"/>
  <c r="L166" i="1" s="1"/>
  <c r="M166" i="1" s="1" a="1"/>
  <c r="M166" i="1" s="1"/>
  <c r="I166" i="1"/>
  <c r="H166" i="1" s="1"/>
  <c r="G166" i="1"/>
  <c r="E166" i="1"/>
  <c r="J165" i="1"/>
  <c r="L165" i="1" s="1"/>
  <c r="M165" i="1" s="1" a="1"/>
  <c r="M165" i="1" s="1"/>
  <c r="I165" i="1"/>
  <c r="H165" i="1" s="1"/>
  <c r="G165" i="1"/>
  <c r="E165" i="1"/>
  <c r="J164" i="1"/>
  <c r="L164" i="1" s="1"/>
  <c r="M164" i="1" s="1" a="1"/>
  <c r="M164" i="1" s="1"/>
  <c r="I164" i="1"/>
  <c r="H164" i="1" s="1"/>
  <c r="G164" i="1"/>
  <c r="E164" i="1"/>
  <c r="J163" i="1"/>
  <c r="L163" i="1" s="1"/>
  <c r="M163" i="1" s="1" a="1"/>
  <c r="M163" i="1" s="1"/>
  <c r="I163" i="1"/>
  <c r="H163" i="1" s="1"/>
  <c r="G163" i="1"/>
  <c r="E163" i="1"/>
  <c r="J162" i="1"/>
  <c r="L162" i="1" s="1"/>
  <c r="M162" i="1" s="1" a="1"/>
  <c r="M162" i="1" s="1"/>
  <c r="I162" i="1"/>
  <c r="H162" i="1" s="1"/>
  <c r="G162" i="1"/>
  <c r="E162" i="1"/>
  <c r="J161" i="1"/>
  <c r="L161" i="1" s="1"/>
  <c r="M161" i="1" s="1" a="1"/>
  <c r="M161" i="1" s="1"/>
  <c r="I161" i="1"/>
  <c r="H161" i="1" s="1"/>
  <c r="G161" i="1"/>
  <c r="E161" i="1"/>
  <c r="J160" i="1"/>
  <c r="L160" i="1" s="1"/>
  <c r="M160" i="1" s="1" a="1"/>
  <c r="M160" i="1" s="1"/>
  <c r="I160" i="1"/>
  <c r="H160" i="1" s="1"/>
  <c r="G160" i="1"/>
  <c r="E160" i="1"/>
  <c r="J159" i="1"/>
  <c r="L159" i="1" s="1"/>
  <c r="M159" i="1" s="1" a="1"/>
  <c r="M159" i="1" s="1"/>
  <c r="I159" i="1"/>
  <c r="H159" i="1" s="1"/>
  <c r="G159" i="1"/>
  <c r="E159" i="1"/>
  <c r="J158" i="1"/>
  <c r="L158" i="1" s="1"/>
  <c r="M158" i="1" s="1" a="1"/>
  <c r="M158" i="1" s="1"/>
  <c r="I158" i="1"/>
  <c r="H158" i="1" s="1"/>
  <c r="G158" i="1"/>
  <c r="E158" i="1"/>
  <c r="J157" i="1"/>
  <c r="L157" i="1" s="1"/>
  <c r="M157" i="1" s="1" a="1"/>
  <c r="M157" i="1" s="1"/>
  <c r="I157" i="1"/>
  <c r="H157" i="1" s="1"/>
  <c r="G157" i="1"/>
  <c r="E157" i="1"/>
  <c r="J156" i="1"/>
  <c r="L156" i="1" s="1"/>
  <c r="M156" i="1" s="1" a="1"/>
  <c r="M156" i="1" s="1"/>
  <c r="I156" i="1"/>
  <c r="H156" i="1" s="1"/>
  <c r="G156" i="1"/>
  <c r="E156" i="1"/>
  <c r="J155" i="1"/>
  <c r="L155" i="1" s="1"/>
  <c r="M155" i="1" s="1" a="1"/>
  <c r="M155" i="1" s="1"/>
  <c r="I155" i="1"/>
  <c r="H155" i="1" s="1"/>
  <c r="G155" i="1"/>
  <c r="E155" i="1"/>
  <c r="J154" i="1"/>
  <c r="L154" i="1" s="1"/>
  <c r="M154" i="1" s="1" a="1"/>
  <c r="M154" i="1" s="1"/>
  <c r="I154" i="1"/>
  <c r="H154" i="1" s="1"/>
  <c r="G154" i="1"/>
  <c r="E154" i="1"/>
  <c r="J153" i="1"/>
  <c r="L153" i="1" s="1"/>
  <c r="M153" i="1" s="1" a="1"/>
  <c r="M153" i="1" s="1"/>
  <c r="I153" i="1"/>
  <c r="H153" i="1" s="1"/>
  <c r="G153" i="1"/>
  <c r="E153" i="1"/>
  <c r="J152" i="1"/>
  <c r="L152" i="1" s="1"/>
  <c r="M152" i="1" s="1" a="1"/>
  <c r="M152" i="1" s="1"/>
  <c r="I152" i="1"/>
  <c r="H152" i="1" s="1"/>
  <c r="G152" i="1"/>
  <c r="E152" i="1"/>
  <c r="J151" i="1"/>
  <c r="L151" i="1" s="1"/>
  <c r="M151" i="1" s="1" a="1"/>
  <c r="M151" i="1" s="1"/>
  <c r="I151" i="1"/>
  <c r="H151" i="1" s="1"/>
  <c r="G151" i="1"/>
  <c r="E151" i="1"/>
  <c r="J150" i="1"/>
  <c r="L150" i="1" s="1"/>
  <c r="M150" i="1" s="1" a="1"/>
  <c r="M150" i="1" s="1"/>
  <c r="I150" i="1"/>
  <c r="H150" i="1" s="1"/>
  <c r="G150" i="1"/>
  <c r="E150" i="1"/>
  <c r="J149" i="1"/>
  <c r="L149" i="1" s="1"/>
  <c r="M149" i="1" s="1" a="1"/>
  <c r="M149" i="1" s="1"/>
  <c r="I149" i="1"/>
  <c r="H149" i="1" s="1"/>
  <c r="G149" i="1"/>
  <c r="E149" i="1"/>
  <c r="J148" i="1"/>
  <c r="L148" i="1" s="1"/>
  <c r="M148" i="1" s="1" a="1"/>
  <c r="M148" i="1" s="1"/>
  <c r="I148" i="1"/>
  <c r="H148" i="1" s="1"/>
  <c r="G148" i="1"/>
  <c r="E148" i="1"/>
  <c r="J147" i="1"/>
  <c r="L147" i="1" s="1"/>
  <c r="M147" i="1" s="1" a="1"/>
  <c r="M147" i="1" s="1"/>
  <c r="I147" i="1"/>
  <c r="H147" i="1" s="1"/>
  <c r="G147" i="1"/>
  <c r="E147" i="1"/>
  <c r="J146" i="1"/>
  <c r="L146" i="1" s="1"/>
  <c r="M146" i="1" s="1" a="1"/>
  <c r="M146" i="1" s="1"/>
  <c r="I146" i="1"/>
  <c r="H146" i="1" s="1"/>
  <c r="G146" i="1"/>
  <c r="E146" i="1"/>
  <c r="J145" i="1"/>
  <c r="L145" i="1" s="1"/>
  <c r="M145" i="1" s="1" a="1"/>
  <c r="M145" i="1" s="1"/>
  <c r="I145" i="1"/>
  <c r="H145" i="1" s="1"/>
  <c r="G145" i="1"/>
  <c r="E145" i="1"/>
  <c r="J144" i="1"/>
  <c r="L144" i="1" s="1"/>
  <c r="M144" i="1" s="1" a="1"/>
  <c r="M144" i="1" s="1"/>
  <c r="I144" i="1"/>
  <c r="H144" i="1" s="1"/>
  <c r="G144" i="1"/>
  <c r="E144" i="1"/>
  <c r="J143" i="1"/>
  <c r="L143" i="1" s="1"/>
  <c r="M143" i="1" s="1" a="1"/>
  <c r="M143" i="1" s="1"/>
  <c r="I143" i="1"/>
  <c r="H143" i="1" s="1"/>
  <c r="G143" i="1"/>
  <c r="E143" i="1"/>
  <c r="J142" i="1"/>
  <c r="L142" i="1" s="1"/>
  <c r="M142" i="1" s="1" a="1"/>
  <c r="M142" i="1" s="1"/>
  <c r="I142" i="1"/>
  <c r="H142" i="1" s="1"/>
  <c r="G142" i="1"/>
  <c r="E142" i="1"/>
  <c r="J141" i="1"/>
  <c r="L141" i="1" s="1"/>
  <c r="M141" i="1" s="1" a="1"/>
  <c r="M141" i="1" s="1"/>
  <c r="I141" i="1"/>
  <c r="H141" i="1" s="1"/>
  <c r="G141" i="1"/>
  <c r="E141" i="1"/>
  <c r="J140" i="1"/>
  <c r="L140" i="1" s="1"/>
  <c r="M140" i="1" s="1" a="1"/>
  <c r="M140" i="1" s="1"/>
  <c r="I140" i="1"/>
  <c r="H140" i="1" s="1"/>
  <c r="G140" i="1"/>
  <c r="E140" i="1"/>
  <c r="J139" i="1"/>
  <c r="L139" i="1" s="1"/>
  <c r="M139" i="1" s="1" a="1"/>
  <c r="M139" i="1" s="1"/>
  <c r="I139" i="1"/>
  <c r="H139" i="1" s="1"/>
  <c r="G139" i="1"/>
  <c r="E139" i="1"/>
  <c r="J138" i="1"/>
  <c r="L138" i="1" s="1"/>
  <c r="M138" i="1" s="1" a="1"/>
  <c r="M138" i="1" s="1"/>
  <c r="I138" i="1"/>
  <c r="H138" i="1" s="1"/>
  <c r="G138" i="1"/>
  <c r="E138" i="1"/>
  <c r="J137" i="1"/>
  <c r="L137" i="1" s="1"/>
  <c r="M137" i="1" s="1" a="1"/>
  <c r="M137" i="1" s="1"/>
  <c r="I137" i="1"/>
  <c r="H137" i="1" s="1"/>
  <c r="G137" i="1"/>
  <c r="E137" i="1"/>
  <c r="J136" i="1"/>
  <c r="L136" i="1" s="1"/>
  <c r="M136" i="1" s="1" a="1"/>
  <c r="M136" i="1" s="1"/>
  <c r="I136" i="1"/>
  <c r="H136" i="1" s="1"/>
  <c r="G136" i="1"/>
  <c r="E136" i="1"/>
  <c r="J135" i="1"/>
  <c r="L135" i="1" s="1"/>
  <c r="M135" i="1" s="1" a="1"/>
  <c r="M135" i="1" s="1"/>
  <c r="I135" i="1"/>
  <c r="H135" i="1" s="1"/>
  <c r="G135" i="1"/>
  <c r="E135" i="1"/>
  <c r="J134" i="1"/>
  <c r="L134" i="1" s="1"/>
  <c r="M134" i="1" s="1" a="1"/>
  <c r="M134" i="1" s="1"/>
  <c r="I134" i="1"/>
  <c r="H134" i="1" s="1"/>
  <c r="G134" i="1"/>
  <c r="E134" i="1"/>
  <c r="J133" i="1"/>
  <c r="L133" i="1" s="1"/>
  <c r="M133" i="1" s="1" a="1"/>
  <c r="M133" i="1" s="1"/>
  <c r="I133" i="1"/>
  <c r="H133" i="1" s="1"/>
  <c r="G133" i="1"/>
  <c r="E133" i="1"/>
  <c r="J132" i="1"/>
  <c r="L132" i="1" s="1"/>
  <c r="M132" i="1" s="1" a="1"/>
  <c r="M132" i="1" s="1"/>
  <c r="I132" i="1"/>
  <c r="H132" i="1" s="1"/>
  <c r="G132" i="1"/>
  <c r="E132" i="1"/>
  <c r="J131" i="1"/>
  <c r="L131" i="1" s="1"/>
  <c r="M131" i="1" s="1" a="1"/>
  <c r="M131" i="1" s="1"/>
  <c r="I131" i="1"/>
  <c r="H131" i="1" s="1"/>
  <c r="G131" i="1"/>
  <c r="E131" i="1"/>
  <c r="J130" i="1"/>
  <c r="L130" i="1" s="1"/>
  <c r="M130" i="1" s="1" a="1"/>
  <c r="M130" i="1" s="1"/>
  <c r="I130" i="1"/>
  <c r="H130" i="1" s="1"/>
  <c r="G130" i="1"/>
  <c r="E130" i="1"/>
  <c r="J129" i="1"/>
  <c r="L129" i="1" s="1"/>
  <c r="M129" i="1" s="1" a="1"/>
  <c r="M129" i="1" s="1"/>
  <c r="I129" i="1"/>
  <c r="H129" i="1" s="1"/>
  <c r="G129" i="1"/>
  <c r="E129" i="1"/>
  <c r="J128" i="1"/>
  <c r="L128" i="1" s="1"/>
  <c r="M128" i="1" s="1" a="1"/>
  <c r="M128" i="1" s="1"/>
  <c r="I128" i="1"/>
  <c r="H128" i="1" s="1"/>
  <c r="G128" i="1"/>
  <c r="E128" i="1"/>
  <c r="J127" i="1"/>
  <c r="L127" i="1" s="1"/>
  <c r="M127" i="1" s="1" a="1"/>
  <c r="M127" i="1" s="1"/>
  <c r="I127" i="1"/>
  <c r="H127" i="1" s="1"/>
  <c r="G127" i="1"/>
  <c r="E127" i="1"/>
  <c r="J126" i="1"/>
  <c r="L126" i="1" s="1"/>
  <c r="M126" i="1" s="1" a="1"/>
  <c r="M126" i="1" s="1"/>
  <c r="I126" i="1"/>
  <c r="H126" i="1" s="1"/>
  <c r="G126" i="1"/>
  <c r="E126" i="1"/>
  <c r="J125" i="1"/>
  <c r="L125" i="1" s="1"/>
  <c r="M125" i="1" s="1" a="1"/>
  <c r="M125" i="1" s="1"/>
  <c r="I125" i="1"/>
  <c r="H125" i="1" s="1"/>
  <c r="G125" i="1"/>
  <c r="E125" i="1"/>
  <c r="J124" i="1"/>
  <c r="L124" i="1" s="1"/>
  <c r="M124" i="1" s="1" a="1"/>
  <c r="M124" i="1" s="1"/>
  <c r="I124" i="1"/>
  <c r="H124" i="1" s="1"/>
  <c r="G124" i="1"/>
  <c r="E124" i="1"/>
  <c r="J123" i="1"/>
  <c r="L123" i="1" s="1"/>
  <c r="M123" i="1" s="1" a="1"/>
  <c r="M123" i="1" s="1"/>
  <c r="I123" i="1"/>
  <c r="H123" i="1" s="1"/>
  <c r="G123" i="1"/>
  <c r="E123" i="1"/>
  <c r="J122" i="1"/>
  <c r="L122" i="1" s="1"/>
  <c r="M122" i="1" s="1" a="1"/>
  <c r="M122" i="1" s="1"/>
  <c r="I122" i="1"/>
  <c r="H122" i="1" s="1"/>
  <c r="G122" i="1"/>
  <c r="E122" i="1"/>
  <c r="J121" i="1"/>
  <c r="L121" i="1" s="1"/>
  <c r="M121" i="1" s="1" a="1"/>
  <c r="M121" i="1" s="1"/>
  <c r="I121" i="1"/>
  <c r="H121" i="1" s="1"/>
  <c r="G121" i="1"/>
  <c r="E121" i="1"/>
  <c r="J120" i="1"/>
  <c r="L120" i="1" s="1"/>
  <c r="M120" i="1" s="1" a="1"/>
  <c r="M120" i="1" s="1"/>
  <c r="I120" i="1"/>
  <c r="H120" i="1" s="1"/>
  <c r="G120" i="1"/>
  <c r="E120" i="1"/>
  <c r="J119" i="1"/>
  <c r="L119" i="1" s="1"/>
  <c r="M119" i="1" s="1" a="1"/>
  <c r="M119" i="1" s="1"/>
  <c r="I119" i="1"/>
  <c r="H119" i="1" s="1"/>
  <c r="G119" i="1"/>
  <c r="E119" i="1"/>
  <c r="J118" i="1"/>
  <c r="L118" i="1" s="1"/>
  <c r="M118" i="1" s="1" a="1"/>
  <c r="M118" i="1" s="1"/>
  <c r="I118" i="1"/>
  <c r="H118" i="1" s="1"/>
  <c r="G118" i="1"/>
  <c r="E118" i="1"/>
  <c r="J117" i="1"/>
  <c r="L117" i="1" s="1"/>
  <c r="M117" i="1" s="1" a="1"/>
  <c r="M117" i="1" s="1"/>
  <c r="I117" i="1"/>
  <c r="H117" i="1" s="1"/>
  <c r="G117" i="1"/>
  <c r="E117" i="1"/>
  <c r="J116" i="1"/>
  <c r="L116" i="1" s="1"/>
  <c r="M116" i="1" s="1" a="1"/>
  <c r="M116" i="1" s="1"/>
  <c r="I116" i="1"/>
  <c r="H116" i="1" s="1"/>
  <c r="G116" i="1"/>
  <c r="E116" i="1"/>
  <c r="J115" i="1"/>
  <c r="L115" i="1" s="1"/>
  <c r="M115" i="1" s="1" a="1"/>
  <c r="M115" i="1" s="1"/>
  <c r="I115" i="1"/>
  <c r="H115" i="1" s="1"/>
  <c r="G115" i="1"/>
  <c r="E115" i="1"/>
  <c r="J114" i="1"/>
  <c r="L114" i="1" s="1"/>
  <c r="M114" i="1" s="1" a="1"/>
  <c r="M114" i="1" s="1"/>
  <c r="I114" i="1"/>
  <c r="H114" i="1" s="1"/>
  <c r="G114" i="1"/>
  <c r="E114" i="1"/>
  <c r="J113" i="1"/>
  <c r="L113" i="1" s="1"/>
  <c r="M113" i="1" s="1" a="1"/>
  <c r="M113" i="1" s="1"/>
  <c r="I113" i="1"/>
  <c r="H113" i="1" s="1"/>
  <c r="G113" i="1"/>
  <c r="E113" i="1"/>
  <c r="J112" i="1"/>
  <c r="L112" i="1" s="1"/>
  <c r="M112" i="1" s="1" a="1"/>
  <c r="M112" i="1" s="1"/>
  <c r="I112" i="1"/>
  <c r="H112" i="1" s="1"/>
  <c r="G112" i="1"/>
  <c r="E112" i="1"/>
  <c r="J111" i="1"/>
  <c r="L111" i="1" s="1"/>
  <c r="M111" i="1" s="1" a="1"/>
  <c r="M111" i="1" s="1"/>
  <c r="I111" i="1"/>
  <c r="H111" i="1" s="1"/>
  <c r="G111" i="1"/>
  <c r="E111" i="1"/>
  <c r="T110" i="1"/>
  <c r="J110" i="1"/>
  <c r="L110" i="1" s="1"/>
  <c r="M110" i="1" s="1" a="1"/>
  <c r="M110" i="1" s="1"/>
  <c r="I110" i="1"/>
  <c r="H110" i="1" s="1"/>
  <c r="G110" i="1"/>
  <c r="E110" i="1"/>
  <c r="T109" i="1"/>
  <c r="J109" i="1"/>
  <c r="L109" i="1" s="1"/>
  <c r="M109" i="1" s="1" a="1"/>
  <c r="M109" i="1" s="1"/>
  <c r="I109" i="1"/>
  <c r="H109" i="1" s="1"/>
  <c r="G109" i="1"/>
  <c r="E109" i="1"/>
  <c r="T108" i="1"/>
  <c r="J108" i="1"/>
  <c r="L108" i="1" s="1"/>
  <c r="M108" i="1" s="1" a="1"/>
  <c r="M108" i="1" s="1"/>
  <c r="I108" i="1"/>
  <c r="H108" i="1" s="1"/>
  <c r="G108" i="1"/>
  <c r="E108" i="1"/>
  <c r="T107" i="1"/>
  <c r="J107" i="1"/>
  <c r="L107" i="1" s="1"/>
  <c r="M107" i="1" s="1" a="1"/>
  <c r="M107" i="1" s="1"/>
  <c r="I107" i="1"/>
  <c r="H107" i="1" s="1"/>
  <c r="G107" i="1"/>
  <c r="E107" i="1"/>
  <c r="J106" i="1"/>
  <c r="L106" i="1" s="1"/>
  <c r="M106" i="1" s="1" a="1"/>
  <c r="M106" i="1" s="1"/>
  <c r="I106" i="1"/>
  <c r="H106" i="1" s="1"/>
  <c r="G106" i="1"/>
  <c r="E106" i="1"/>
  <c r="J105" i="1"/>
  <c r="L105" i="1" s="1"/>
  <c r="M105" i="1" s="1" a="1"/>
  <c r="M105" i="1" s="1"/>
  <c r="I105" i="1"/>
  <c r="H105" i="1" s="1"/>
  <c r="G105" i="1"/>
  <c r="E105" i="1"/>
  <c r="J104" i="1"/>
  <c r="L104" i="1" s="1"/>
  <c r="M104" i="1" s="1" a="1"/>
  <c r="M104" i="1" s="1"/>
  <c r="I104" i="1"/>
  <c r="H104" i="1" s="1"/>
  <c r="G104" i="1"/>
  <c r="E104" i="1"/>
  <c r="J103" i="1"/>
  <c r="L103" i="1" s="1"/>
  <c r="M103" i="1" s="1" a="1"/>
  <c r="M103" i="1" s="1"/>
  <c r="I103" i="1"/>
  <c r="H103" i="1" s="1"/>
  <c r="G103" i="1"/>
  <c r="E103" i="1"/>
  <c r="J102" i="1"/>
  <c r="L102" i="1" s="1"/>
  <c r="M102" i="1" s="1" a="1"/>
  <c r="M102" i="1" s="1"/>
  <c r="I102" i="1"/>
  <c r="H102" i="1" s="1"/>
  <c r="G102" i="1"/>
  <c r="E102" i="1"/>
  <c r="J101" i="1"/>
  <c r="L101" i="1" s="1"/>
  <c r="M101" i="1" s="1" a="1"/>
  <c r="M101" i="1" s="1"/>
  <c r="I101" i="1"/>
  <c r="H101" i="1" s="1"/>
  <c r="G101" i="1"/>
  <c r="E101" i="1"/>
  <c r="J100" i="1"/>
  <c r="L100" i="1" s="1"/>
  <c r="M100" i="1" s="1" a="1"/>
  <c r="M100" i="1" s="1"/>
  <c r="I100" i="1"/>
  <c r="H100" i="1" s="1"/>
  <c r="G100" i="1"/>
  <c r="E100" i="1"/>
  <c r="J99" i="1"/>
  <c r="L99" i="1" s="1"/>
  <c r="M99" i="1" s="1" a="1"/>
  <c r="M99" i="1" s="1"/>
  <c r="I99" i="1"/>
  <c r="H99" i="1" s="1"/>
  <c r="G99" i="1"/>
  <c r="E99" i="1"/>
  <c r="J98" i="1"/>
  <c r="L98" i="1" s="1"/>
  <c r="M98" i="1" s="1" a="1"/>
  <c r="M98" i="1" s="1"/>
  <c r="I98" i="1"/>
  <c r="H98" i="1" s="1"/>
  <c r="G98" i="1"/>
  <c r="E98" i="1"/>
  <c r="J97" i="1"/>
  <c r="L97" i="1" s="1"/>
  <c r="M97" i="1" s="1" a="1"/>
  <c r="M97" i="1" s="1"/>
  <c r="I97" i="1"/>
  <c r="H97" i="1" s="1"/>
  <c r="G97" i="1"/>
  <c r="E97" i="1"/>
  <c r="J96" i="1"/>
  <c r="L96" i="1" s="1"/>
  <c r="M96" i="1" s="1" a="1"/>
  <c r="M96" i="1" s="1"/>
  <c r="I96" i="1"/>
  <c r="H96" i="1" s="1"/>
  <c r="G96" i="1"/>
  <c r="E96" i="1"/>
  <c r="J95" i="1"/>
  <c r="L95" i="1" s="1"/>
  <c r="M95" i="1" s="1" a="1"/>
  <c r="M95" i="1" s="1"/>
  <c r="I95" i="1"/>
  <c r="H95" i="1" s="1"/>
  <c r="G95" i="1"/>
  <c r="E95" i="1"/>
  <c r="J94" i="1"/>
  <c r="L94" i="1" s="1"/>
  <c r="M94" i="1" s="1" a="1"/>
  <c r="M94" i="1" s="1"/>
  <c r="I94" i="1"/>
  <c r="H94" i="1" s="1"/>
  <c r="G94" i="1"/>
  <c r="E94" i="1"/>
  <c r="J93" i="1"/>
  <c r="L93" i="1" s="1"/>
  <c r="M93" i="1" s="1" a="1"/>
  <c r="M93" i="1" s="1"/>
  <c r="I93" i="1"/>
  <c r="H93" i="1" s="1"/>
  <c r="G93" i="1"/>
  <c r="E93" i="1"/>
  <c r="J92" i="1"/>
  <c r="L92" i="1" s="1"/>
  <c r="M92" i="1" s="1" a="1"/>
  <c r="M92" i="1" s="1"/>
  <c r="I92" i="1"/>
  <c r="H92" i="1" s="1"/>
  <c r="G92" i="1"/>
  <c r="E92" i="1"/>
  <c r="J91" i="1"/>
  <c r="L91" i="1" s="1"/>
  <c r="M91" i="1" s="1" a="1"/>
  <c r="M91" i="1" s="1"/>
  <c r="I91" i="1"/>
  <c r="H91" i="1" s="1"/>
  <c r="G91" i="1"/>
  <c r="E91" i="1"/>
  <c r="J90" i="1"/>
  <c r="L90" i="1" s="1"/>
  <c r="M90" i="1" s="1" a="1"/>
  <c r="M90" i="1" s="1"/>
  <c r="I90" i="1"/>
  <c r="H90" i="1" s="1"/>
  <c r="G90" i="1"/>
  <c r="E90" i="1"/>
  <c r="J89" i="1"/>
  <c r="L89" i="1" s="1"/>
  <c r="M89" i="1" s="1" a="1"/>
  <c r="M89" i="1" s="1"/>
  <c r="I89" i="1"/>
  <c r="H89" i="1" s="1"/>
  <c r="G89" i="1"/>
  <c r="E89" i="1"/>
  <c r="J88" i="1"/>
  <c r="L88" i="1" s="1"/>
  <c r="M88" i="1" s="1" a="1"/>
  <c r="M88" i="1" s="1"/>
  <c r="I88" i="1"/>
  <c r="H88" i="1" s="1"/>
  <c r="G88" i="1"/>
  <c r="E88" i="1"/>
  <c r="J87" i="1"/>
  <c r="L87" i="1" s="1"/>
  <c r="M87" i="1" s="1" a="1"/>
  <c r="M87" i="1" s="1"/>
  <c r="I87" i="1"/>
  <c r="H87" i="1" s="1"/>
  <c r="G87" i="1"/>
  <c r="E87" i="1"/>
  <c r="T86" i="1"/>
  <c r="J86" i="1"/>
  <c r="L86" i="1" s="1"/>
  <c r="M86" i="1" s="1" a="1"/>
  <c r="M86" i="1" s="1"/>
  <c r="I86" i="1"/>
  <c r="H86" i="1" s="1"/>
  <c r="G86" i="1"/>
  <c r="E86" i="1"/>
  <c r="J85" i="1"/>
  <c r="L85" i="1" s="1"/>
  <c r="M85" i="1" s="1" a="1"/>
  <c r="M85" i="1" s="1"/>
  <c r="I85" i="1"/>
  <c r="H85" i="1" s="1"/>
  <c r="G85" i="1"/>
  <c r="E85" i="1"/>
  <c r="J84" i="1"/>
  <c r="L84" i="1" s="1"/>
  <c r="M84" i="1" s="1" a="1"/>
  <c r="M84" i="1" s="1"/>
  <c r="I84" i="1"/>
  <c r="H84" i="1" s="1"/>
  <c r="G84" i="1"/>
  <c r="E84" i="1"/>
  <c r="T83" i="1"/>
  <c r="J83" i="1"/>
  <c r="L83" i="1" s="1"/>
  <c r="M83" i="1" s="1" a="1"/>
  <c r="M83" i="1" s="1"/>
  <c r="I83" i="1"/>
  <c r="H83" i="1" s="1"/>
  <c r="G83" i="1"/>
  <c r="E83" i="1"/>
  <c r="J82" i="1"/>
  <c r="L82" i="1" s="1"/>
  <c r="M82" i="1" s="1" a="1"/>
  <c r="M82" i="1" s="1"/>
  <c r="I82" i="1"/>
  <c r="H82" i="1" s="1"/>
  <c r="G82" i="1"/>
  <c r="E82" i="1"/>
  <c r="J81" i="1"/>
  <c r="L81" i="1" s="1"/>
  <c r="M81" i="1" s="1" a="1"/>
  <c r="M81" i="1" s="1"/>
  <c r="I81" i="1"/>
  <c r="H81" i="1" s="1"/>
  <c r="G81" i="1"/>
  <c r="E81" i="1"/>
  <c r="J80" i="1"/>
  <c r="L80" i="1" s="1"/>
  <c r="M80" i="1" s="1" a="1"/>
  <c r="M80" i="1" s="1"/>
  <c r="I80" i="1"/>
  <c r="H80" i="1" s="1"/>
  <c r="G80" i="1"/>
  <c r="E80" i="1"/>
  <c r="J79" i="1"/>
  <c r="L79" i="1" s="1"/>
  <c r="M79" i="1" s="1" a="1"/>
  <c r="M79" i="1" s="1"/>
  <c r="I79" i="1"/>
  <c r="H79" i="1" s="1"/>
  <c r="G79" i="1"/>
  <c r="E79" i="1"/>
  <c r="J78" i="1"/>
  <c r="L78" i="1" s="1"/>
  <c r="M78" i="1" s="1" a="1"/>
  <c r="M78" i="1" s="1"/>
  <c r="I78" i="1"/>
  <c r="H78" i="1" s="1"/>
  <c r="G78" i="1"/>
  <c r="E78" i="1"/>
  <c r="J77" i="1"/>
  <c r="L77" i="1" s="1"/>
  <c r="M77" i="1" s="1" a="1"/>
  <c r="M77" i="1" s="1"/>
  <c r="I77" i="1"/>
  <c r="H77" i="1" s="1"/>
  <c r="G77" i="1"/>
  <c r="E77" i="1"/>
  <c r="J76" i="1"/>
  <c r="L76" i="1" s="1"/>
  <c r="M76" i="1" s="1" a="1"/>
  <c r="M76" i="1" s="1"/>
  <c r="I76" i="1"/>
  <c r="H76" i="1" s="1"/>
  <c r="G76" i="1"/>
  <c r="E76" i="1"/>
  <c r="J75" i="1"/>
  <c r="L75" i="1" s="1"/>
  <c r="M75" i="1" s="1" a="1"/>
  <c r="M75" i="1" s="1"/>
  <c r="I75" i="1"/>
  <c r="H75" i="1" s="1"/>
  <c r="G75" i="1"/>
  <c r="E75" i="1"/>
  <c r="J74" i="1"/>
  <c r="L74" i="1" s="1"/>
  <c r="M74" i="1" s="1" a="1"/>
  <c r="M74" i="1" s="1"/>
  <c r="I74" i="1"/>
  <c r="H74" i="1" s="1"/>
  <c r="G74" i="1"/>
  <c r="E74" i="1"/>
  <c r="J73" i="1"/>
  <c r="L73" i="1" s="1"/>
  <c r="M73" i="1" s="1" a="1"/>
  <c r="M73" i="1" s="1"/>
  <c r="I73" i="1"/>
  <c r="H73" i="1" s="1"/>
  <c r="G73" i="1"/>
  <c r="E73" i="1"/>
  <c r="J72" i="1"/>
  <c r="L72" i="1" s="1"/>
  <c r="M72" i="1" s="1" a="1"/>
  <c r="M72" i="1" s="1"/>
  <c r="I72" i="1"/>
  <c r="H72" i="1" s="1"/>
  <c r="G72" i="1"/>
  <c r="E72" i="1"/>
  <c r="J71" i="1"/>
  <c r="L71" i="1" s="1"/>
  <c r="M71" i="1" s="1" a="1"/>
  <c r="M71" i="1" s="1"/>
  <c r="I71" i="1"/>
  <c r="H71" i="1" s="1"/>
  <c r="G71" i="1"/>
  <c r="E71" i="1"/>
  <c r="J70" i="1"/>
  <c r="L70" i="1" s="1"/>
  <c r="M70" i="1" s="1" a="1"/>
  <c r="M70" i="1" s="1"/>
  <c r="I70" i="1"/>
  <c r="H70" i="1" s="1"/>
  <c r="G70" i="1"/>
  <c r="E70" i="1"/>
  <c r="J69" i="1"/>
  <c r="L69" i="1" s="1"/>
  <c r="M69" i="1" s="1" a="1"/>
  <c r="M69" i="1" s="1"/>
  <c r="I69" i="1"/>
  <c r="H69" i="1" s="1"/>
  <c r="G69" i="1"/>
  <c r="E69" i="1"/>
  <c r="J68" i="1"/>
  <c r="L68" i="1" s="1"/>
  <c r="M68" i="1" s="1" a="1"/>
  <c r="M68" i="1" s="1"/>
  <c r="I68" i="1"/>
  <c r="H68" i="1" s="1"/>
  <c r="G68" i="1"/>
  <c r="E68" i="1"/>
  <c r="J67" i="1"/>
  <c r="L67" i="1" s="1"/>
  <c r="M67" i="1" s="1" a="1"/>
  <c r="M67" i="1" s="1"/>
  <c r="I67" i="1"/>
  <c r="H67" i="1" s="1"/>
  <c r="G67" i="1"/>
  <c r="E67" i="1"/>
  <c r="J66" i="1"/>
  <c r="L66" i="1" s="1"/>
  <c r="M66" i="1" s="1" a="1"/>
  <c r="M66" i="1" s="1"/>
  <c r="I66" i="1"/>
  <c r="H66" i="1" s="1"/>
  <c r="G66" i="1"/>
  <c r="E66" i="1"/>
  <c r="J64" i="1"/>
  <c r="L64" i="1" s="1"/>
  <c r="M64" i="1" s="1" a="1"/>
  <c r="M64" i="1" s="1"/>
  <c r="I64" i="1"/>
  <c r="H64" i="1" s="1"/>
  <c r="G64" i="1"/>
  <c r="E64" i="1"/>
  <c r="J63" i="1"/>
  <c r="L63" i="1" s="1"/>
  <c r="M63" i="1" s="1" a="1"/>
  <c r="M63" i="1" s="1"/>
  <c r="I63" i="1"/>
  <c r="H63" i="1"/>
  <c r="G63" i="1"/>
  <c r="E63" i="1"/>
  <c r="J62" i="1"/>
  <c r="L62" i="1" s="1"/>
  <c r="M62" i="1" s="1" a="1"/>
  <c r="M62" i="1" s="1"/>
  <c r="I62" i="1"/>
  <c r="H62" i="1" s="1"/>
  <c r="G62" i="1"/>
  <c r="E62" i="1"/>
  <c r="J61" i="1"/>
  <c r="L61" i="1" s="1"/>
  <c r="M61" i="1" s="1" a="1"/>
  <c r="M61" i="1" s="1"/>
  <c r="I61" i="1"/>
  <c r="H61" i="1" s="1"/>
  <c r="G61" i="1"/>
  <c r="E61" i="1"/>
  <c r="J60" i="1"/>
  <c r="L60" i="1" s="1"/>
  <c r="M60" i="1" s="1" a="1"/>
  <c r="M60" i="1" s="1"/>
  <c r="I60" i="1"/>
  <c r="H60" i="1" s="1"/>
  <c r="G60" i="1"/>
  <c r="E60" i="1"/>
  <c r="J59" i="1"/>
  <c r="L59" i="1" s="1"/>
  <c r="M59" i="1" s="1" a="1"/>
  <c r="M59" i="1" s="1"/>
  <c r="I59" i="1"/>
  <c r="H59" i="1" s="1"/>
  <c r="G59" i="1"/>
  <c r="E59" i="1"/>
  <c r="J58" i="1"/>
  <c r="L58" i="1" s="1"/>
  <c r="M58" i="1" s="1" a="1"/>
  <c r="M58" i="1" s="1"/>
  <c r="I58" i="1"/>
  <c r="H58" i="1" s="1"/>
  <c r="G58" i="1"/>
  <c r="E58" i="1"/>
  <c r="J57" i="1"/>
  <c r="L57" i="1" s="1"/>
  <c r="M57" i="1" s="1" a="1"/>
  <c r="M57" i="1" s="1"/>
  <c r="I57" i="1"/>
  <c r="H57" i="1" s="1"/>
  <c r="G57" i="1"/>
  <c r="E57" i="1"/>
  <c r="J56" i="1"/>
  <c r="L56" i="1" s="1"/>
  <c r="M56" i="1" s="1" a="1"/>
  <c r="M56" i="1" s="1"/>
  <c r="I56" i="1"/>
  <c r="H56" i="1" s="1"/>
  <c r="G56" i="1"/>
  <c r="E56" i="1"/>
  <c r="J55" i="1"/>
  <c r="L55" i="1" s="1"/>
  <c r="M55" i="1" s="1" a="1"/>
  <c r="M55" i="1" s="1"/>
  <c r="I55" i="1"/>
  <c r="H55" i="1" s="1"/>
  <c r="G55" i="1"/>
  <c r="E55" i="1"/>
  <c r="J54" i="1"/>
  <c r="L54" i="1" s="1"/>
  <c r="M54" i="1" s="1" a="1"/>
  <c r="M54" i="1" s="1"/>
  <c r="I54" i="1"/>
  <c r="H54" i="1" s="1"/>
  <c r="G54" i="1"/>
  <c r="E54" i="1"/>
  <c r="J53" i="1"/>
  <c r="L53" i="1" s="1"/>
  <c r="M53" i="1" s="1" a="1"/>
  <c r="M53" i="1" s="1"/>
  <c r="I53" i="1"/>
  <c r="H53" i="1" s="1"/>
  <c r="G53" i="1"/>
  <c r="E53" i="1"/>
  <c r="J52" i="1"/>
  <c r="L52" i="1" s="1"/>
  <c r="M52" i="1" s="1" a="1"/>
  <c r="M52" i="1" s="1"/>
  <c r="I52" i="1"/>
  <c r="H52" i="1" s="1"/>
  <c r="G52" i="1"/>
  <c r="E52" i="1"/>
  <c r="J51" i="1"/>
  <c r="L51" i="1" s="1"/>
  <c r="M51" i="1" s="1" a="1"/>
  <c r="M51" i="1" s="1"/>
  <c r="I51" i="1"/>
  <c r="H51" i="1" s="1"/>
  <c r="G51" i="1"/>
  <c r="E51" i="1"/>
  <c r="T50" i="1"/>
  <c r="J50" i="1"/>
  <c r="L50" i="1" s="1"/>
  <c r="M50" i="1" s="1" a="1"/>
  <c r="M50" i="1" s="1"/>
  <c r="I50" i="1"/>
  <c r="H50" i="1" s="1"/>
  <c r="G50" i="1"/>
  <c r="E50" i="1"/>
  <c r="J49" i="1"/>
  <c r="L49" i="1" s="1"/>
  <c r="M49" i="1" s="1" a="1"/>
  <c r="M49" i="1" s="1"/>
  <c r="I49" i="1"/>
  <c r="H49" i="1" s="1"/>
  <c r="G49" i="1"/>
  <c r="E49" i="1"/>
  <c r="J48" i="1"/>
  <c r="L48" i="1" s="1"/>
  <c r="M48" i="1" s="1" a="1"/>
  <c r="M48" i="1" s="1"/>
  <c r="I48" i="1"/>
  <c r="H48" i="1" s="1"/>
  <c r="G48" i="1"/>
  <c r="E48" i="1"/>
  <c r="J47" i="1"/>
  <c r="L47" i="1" s="1"/>
  <c r="M47" i="1" s="1" a="1"/>
  <c r="M47" i="1" s="1"/>
  <c r="I47" i="1"/>
  <c r="H47" i="1" s="1"/>
  <c r="G47" i="1"/>
  <c r="E47" i="1"/>
  <c r="J46" i="1"/>
  <c r="L46" i="1" s="1"/>
  <c r="M46" i="1" s="1" a="1"/>
  <c r="M46" i="1" s="1"/>
  <c r="I46" i="1"/>
  <c r="H46" i="1" s="1"/>
  <c r="G46" i="1"/>
  <c r="E46" i="1"/>
  <c r="J45" i="1"/>
  <c r="L45" i="1" s="1"/>
  <c r="M45" i="1" s="1" a="1"/>
  <c r="M45" i="1" s="1"/>
  <c r="I45" i="1"/>
  <c r="H45" i="1" s="1"/>
  <c r="G45" i="1"/>
  <c r="E45" i="1"/>
  <c r="J44" i="1"/>
  <c r="L44" i="1" s="1"/>
  <c r="M44" i="1" s="1" a="1"/>
  <c r="M44" i="1" s="1"/>
  <c r="I44" i="1"/>
  <c r="H44" i="1" s="1"/>
  <c r="G44" i="1"/>
  <c r="E44" i="1"/>
  <c r="J43" i="1"/>
  <c r="L43" i="1" s="1"/>
  <c r="M43" i="1" s="1" a="1"/>
  <c r="M43" i="1" s="1"/>
  <c r="I43" i="1"/>
  <c r="H43" i="1" s="1"/>
  <c r="G43" i="1"/>
  <c r="E43" i="1"/>
  <c r="J42" i="1"/>
  <c r="L42" i="1" s="1"/>
  <c r="M42" i="1" s="1" a="1"/>
  <c r="M42" i="1" s="1"/>
  <c r="I42" i="1"/>
  <c r="H42" i="1" s="1"/>
  <c r="G42" i="1"/>
  <c r="E42" i="1"/>
  <c r="T41" i="1"/>
  <c r="J41" i="1"/>
  <c r="L41" i="1" s="1"/>
  <c r="M41" i="1" s="1" a="1"/>
  <c r="M41" i="1" s="1"/>
  <c r="I41" i="1"/>
  <c r="H41" i="1" s="1"/>
  <c r="G41" i="1"/>
  <c r="E41" i="1"/>
  <c r="J40" i="1"/>
  <c r="L40" i="1" s="1"/>
  <c r="M40" i="1" s="1" a="1"/>
  <c r="M40" i="1" s="1"/>
  <c r="I40" i="1"/>
  <c r="H40" i="1" s="1"/>
  <c r="G40" i="1"/>
  <c r="E40" i="1"/>
  <c r="J39" i="1"/>
  <c r="L39" i="1" s="1"/>
  <c r="M39" i="1" s="1" a="1"/>
  <c r="M39" i="1" s="1"/>
  <c r="I39" i="1"/>
  <c r="H39" i="1" s="1"/>
  <c r="G39" i="1"/>
  <c r="E39" i="1"/>
  <c r="J38" i="1"/>
  <c r="L38" i="1" s="1"/>
  <c r="M38" i="1" s="1" a="1"/>
  <c r="M38" i="1" s="1"/>
  <c r="I38" i="1"/>
  <c r="H38" i="1" s="1"/>
  <c r="G38" i="1"/>
  <c r="E38" i="1"/>
  <c r="J37" i="1"/>
  <c r="L37" i="1" s="1"/>
  <c r="M37" i="1" s="1" a="1"/>
  <c r="M37" i="1" s="1"/>
  <c r="I37" i="1"/>
  <c r="H37" i="1" s="1"/>
  <c r="G37" i="1"/>
  <c r="E37" i="1"/>
  <c r="J36" i="1"/>
  <c r="L36" i="1" s="1"/>
  <c r="M36" i="1" s="1" a="1"/>
  <c r="M36" i="1" s="1"/>
  <c r="I36" i="1"/>
  <c r="H36" i="1" s="1"/>
  <c r="G36" i="1"/>
  <c r="E36" i="1"/>
  <c r="J35" i="1"/>
  <c r="L35" i="1" s="1"/>
  <c r="M35" i="1" s="1" a="1"/>
  <c r="M35" i="1" s="1"/>
  <c r="I35" i="1"/>
  <c r="H35" i="1" s="1"/>
  <c r="G35" i="1"/>
  <c r="E35" i="1"/>
  <c r="J34" i="1"/>
  <c r="L34" i="1" s="1"/>
  <c r="M34" i="1" s="1" a="1"/>
  <c r="M34" i="1" s="1"/>
  <c r="I34" i="1"/>
  <c r="H34" i="1" s="1"/>
  <c r="G34" i="1"/>
  <c r="E34" i="1"/>
  <c r="J33" i="1"/>
  <c r="L33" i="1" s="1"/>
  <c r="M33" i="1" s="1" a="1"/>
  <c r="M33" i="1" s="1"/>
  <c r="I33" i="1"/>
  <c r="H33" i="1" s="1"/>
  <c r="G33" i="1"/>
  <c r="E33" i="1"/>
  <c r="T32" i="1"/>
  <c r="J32" i="1"/>
  <c r="L32" i="1" s="1"/>
  <c r="M32" i="1" s="1" a="1"/>
  <c r="M32" i="1" s="1"/>
  <c r="I32" i="1"/>
  <c r="H32" i="1" s="1"/>
  <c r="G32" i="1"/>
  <c r="E32" i="1"/>
  <c r="J31" i="1"/>
  <c r="L31" i="1" s="1"/>
  <c r="M31" i="1" s="1" a="1"/>
  <c r="M31" i="1" s="1"/>
  <c r="I31" i="1"/>
  <c r="H31" i="1" s="1"/>
  <c r="G31" i="1"/>
  <c r="E31" i="1"/>
  <c r="J30" i="1"/>
  <c r="L30" i="1" s="1"/>
  <c r="M30" i="1" s="1" a="1"/>
  <c r="M30" i="1" s="1"/>
  <c r="I30" i="1"/>
  <c r="H30" i="1" s="1"/>
  <c r="G30" i="1"/>
  <c r="E30" i="1"/>
  <c r="J29" i="1"/>
  <c r="L29" i="1" s="1"/>
  <c r="M29" i="1" s="1" a="1"/>
  <c r="M29" i="1" s="1"/>
  <c r="I29" i="1"/>
  <c r="H29" i="1" s="1"/>
  <c r="G29" i="1"/>
  <c r="F29" i="1" s="1"/>
  <c r="K29" i="1" s="1"/>
  <c r="E29" i="1"/>
  <c r="J28" i="1"/>
  <c r="L28" i="1" s="1"/>
  <c r="M28" i="1" s="1" a="1"/>
  <c r="M28" i="1" s="1"/>
  <c r="I28" i="1"/>
  <c r="H28" i="1" s="1"/>
  <c r="G28" i="1"/>
  <c r="E28" i="1"/>
  <c r="J27" i="1"/>
  <c r="L27" i="1" s="1"/>
  <c r="M27" i="1" s="1" a="1"/>
  <c r="M27" i="1" s="1"/>
  <c r="I27" i="1"/>
  <c r="H27" i="1" s="1"/>
  <c r="G27" i="1"/>
  <c r="E27" i="1"/>
  <c r="J26" i="1"/>
  <c r="L26" i="1" s="1"/>
  <c r="M26" i="1" s="1" a="1"/>
  <c r="M26" i="1" s="1"/>
  <c r="I26" i="1"/>
  <c r="H26" i="1" s="1"/>
  <c r="G26" i="1"/>
  <c r="E26" i="1"/>
  <c r="J25" i="1"/>
  <c r="L25" i="1" s="1"/>
  <c r="M25" i="1" s="1" a="1"/>
  <c r="M25" i="1" s="1"/>
  <c r="I25" i="1"/>
  <c r="H25" i="1" s="1"/>
  <c r="G25" i="1"/>
  <c r="E25" i="1"/>
  <c r="J24" i="1"/>
  <c r="L24" i="1" s="1"/>
  <c r="M24" i="1" s="1" a="1"/>
  <c r="M24" i="1" s="1"/>
  <c r="I24" i="1"/>
  <c r="H24" i="1" s="1"/>
  <c r="G24" i="1"/>
  <c r="E24" i="1"/>
  <c r="J23" i="1"/>
  <c r="L23" i="1" s="1"/>
  <c r="M23" i="1" s="1" a="1"/>
  <c r="M23" i="1" s="1"/>
  <c r="I23" i="1"/>
  <c r="H23" i="1" s="1"/>
  <c r="G23" i="1"/>
  <c r="E23" i="1"/>
  <c r="J22" i="1"/>
  <c r="L22" i="1" s="1"/>
  <c r="M22" i="1" s="1" a="1"/>
  <c r="M22" i="1" s="1"/>
  <c r="I22" i="1"/>
  <c r="H22" i="1" s="1"/>
  <c r="G22" i="1"/>
  <c r="E22" i="1"/>
  <c r="J21" i="1"/>
  <c r="L21" i="1" s="1"/>
  <c r="M21" i="1" s="1" a="1"/>
  <c r="M21" i="1" s="1"/>
  <c r="I21" i="1"/>
  <c r="H21" i="1" s="1"/>
  <c r="G21" i="1"/>
  <c r="E21" i="1"/>
  <c r="J20" i="1"/>
  <c r="L20" i="1" s="1"/>
  <c r="M20" i="1" s="1" a="1"/>
  <c r="M20" i="1" s="1"/>
  <c r="I20" i="1"/>
  <c r="H20" i="1" s="1"/>
  <c r="G20" i="1"/>
  <c r="E20" i="1"/>
  <c r="J19" i="1"/>
  <c r="L19" i="1" s="1"/>
  <c r="M19" i="1" s="1" a="1"/>
  <c r="M19" i="1" s="1"/>
  <c r="I19" i="1"/>
  <c r="H19" i="1" s="1"/>
  <c r="G19" i="1"/>
  <c r="E19" i="1"/>
  <c r="J18" i="1"/>
  <c r="L18" i="1" s="1"/>
  <c r="M18" i="1" s="1" a="1"/>
  <c r="M18" i="1" s="1"/>
  <c r="I18" i="1"/>
  <c r="H18" i="1" s="1"/>
  <c r="G18" i="1"/>
  <c r="E18" i="1"/>
  <c r="J17" i="1"/>
  <c r="L17" i="1" s="1"/>
  <c r="M17" i="1" s="1" a="1"/>
  <c r="M17" i="1" s="1"/>
  <c r="I17" i="1"/>
  <c r="H17" i="1" s="1"/>
  <c r="G17" i="1"/>
  <c r="E17" i="1"/>
  <c r="J16" i="1"/>
  <c r="L16" i="1" s="1"/>
  <c r="M16" i="1" s="1" a="1"/>
  <c r="M16" i="1" s="1"/>
  <c r="I16" i="1"/>
  <c r="H16" i="1" s="1"/>
  <c r="G16" i="1"/>
  <c r="E16" i="1"/>
  <c r="J15" i="1"/>
  <c r="L15" i="1" s="1"/>
  <c r="M15" i="1" s="1" a="1"/>
  <c r="M15" i="1" s="1"/>
  <c r="I15" i="1"/>
  <c r="H15" i="1" s="1"/>
  <c r="G15" i="1"/>
  <c r="E15" i="1"/>
  <c r="J14" i="1"/>
  <c r="L14" i="1" s="1"/>
  <c r="M14" i="1" s="1" a="1"/>
  <c r="M14" i="1" s="1"/>
  <c r="I14" i="1"/>
  <c r="H14" i="1" s="1"/>
  <c r="G14" i="1"/>
  <c r="E14" i="1"/>
  <c r="J13" i="1"/>
  <c r="L13" i="1" s="1"/>
  <c r="M13" i="1" s="1" a="1"/>
  <c r="M13" i="1" s="1"/>
  <c r="I13" i="1"/>
  <c r="H13" i="1" s="1"/>
  <c r="G13" i="1"/>
  <c r="E13" i="1"/>
  <c r="J12" i="1"/>
  <c r="L12" i="1" s="1"/>
  <c r="M12" i="1" s="1" a="1"/>
  <c r="M12" i="1" s="1"/>
  <c r="I12" i="1"/>
  <c r="H12" i="1" s="1"/>
  <c r="G12" i="1"/>
  <c r="E12" i="1"/>
  <c r="J11" i="1"/>
  <c r="L11" i="1" s="1"/>
  <c r="M11" i="1" s="1" a="1"/>
  <c r="M11" i="1" s="1"/>
  <c r="I11" i="1"/>
  <c r="H11" i="1" s="1"/>
  <c r="G11" i="1"/>
  <c r="E11" i="1"/>
  <c r="J10" i="1"/>
  <c r="L10" i="1" s="1"/>
  <c r="M10" i="1" s="1" a="1"/>
  <c r="M10" i="1" s="1"/>
  <c r="I10" i="1"/>
  <c r="H10" i="1" s="1"/>
  <c r="G10" i="1"/>
  <c r="E10" i="1"/>
  <c r="J9" i="1"/>
  <c r="L9" i="1" s="1"/>
  <c r="M9" i="1" s="1" a="1"/>
  <c r="M9" i="1" s="1"/>
  <c r="I9" i="1"/>
  <c r="H9" i="1" s="1"/>
  <c r="G9" i="1"/>
  <c r="E9" i="1"/>
  <c r="J8" i="1"/>
  <c r="L8" i="1" s="1"/>
  <c r="M8" i="1" s="1" a="1"/>
  <c r="M8" i="1" s="1"/>
  <c r="I8" i="1"/>
  <c r="H8" i="1" s="1"/>
  <c r="G8" i="1"/>
  <c r="E8" i="1"/>
  <c r="J7" i="1"/>
  <c r="L7" i="1" s="1"/>
  <c r="M7" i="1" s="1" a="1"/>
  <c r="M7" i="1" s="1"/>
  <c r="I7" i="1"/>
  <c r="H7" i="1" s="1"/>
  <c r="G7" i="1"/>
  <c r="E7" i="1"/>
  <c r="J6" i="1"/>
  <c r="L6" i="1" s="1"/>
  <c r="M6" i="1" s="1" a="1"/>
  <c r="M6" i="1" s="1"/>
  <c r="I6" i="1"/>
  <c r="H6" i="1" s="1"/>
  <c r="G6" i="1"/>
  <c r="E6" i="1"/>
  <c r="J5" i="1"/>
  <c r="L5" i="1" s="1"/>
  <c r="M5" i="1" s="1" a="1"/>
  <c r="M5" i="1" s="1"/>
  <c r="I5" i="1"/>
  <c r="H5" i="1" s="1"/>
  <c r="G5" i="1"/>
  <c r="E5" i="1"/>
  <c r="J4" i="1"/>
  <c r="L4" i="1" s="1"/>
  <c r="M4" i="1" s="1" a="1"/>
  <c r="M4" i="1" s="1"/>
  <c r="I4" i="1"/>
  <c r="H4" i="1" s="1"/>
  <c r="G4" i="1"/>
  <c r="E4" i="1"/>
  <c r="J3" i="1"/>
  <c r="L3" i="1" s="1"/>
  <c r="M3" i="1" s="1" a="1"/>
  <c r="M3" i="1" s="1"/>
  <c r="I3" i="1"/>
  <c r="H3" i="1" s="1"/>
  <c r="G3" i="1"/>
  <c r="E3" i="1"/>
  <c r="J2" i="1"/>
  <c r="L2" i="1" s="1"/>
  <c r="M2" i="1" s="1" a="1"/>
  <c r="M2" i="1" s="1"/>
  <c r="I2" i="1"/>
  <c r="H2" i="1" s="1"/>
  <c r="G2" i="1"/>
  <c r="E2" i="1"/>
  <c r="F65" i="1" l="1"/>
  <c r="K65" i="1" s="1"/>
  <c r="F222" i="1"/>
  <c r="K222" i="1" s="1"/>
  <c r="F253" i="1"/>
  <c r="K253" i="1" s="1"/>
  <c r="F251" i="1"/>
  <c r="K251" i="1" s="1"/>
  <c r="F252" i="1"/>
  <c r="K252" i="1" s="1"/>
  <c r="F248" i="1"/>
  <c r="K248" i="1" s="1"/>
  <c r="F249" i="1"/>
  <c r="K249" i="1" s="1"/>
  <c r="F250" i="1"/>
  <c r="K250" i="1" s="1"/>
  <c r="F245" i="1"/>
  <c r="K245" i="1" s="1"/>
  <c r="F247" i="1"/>
  <c r="K247" i="1" s="1"/>
  <c r="F201" i="1"/>
  <c r="K201" i="1" s="1"/>
  <c r="F246" i="1"/>
  <c r="K246" i="1" s="1"/>
  <c r="F244" i="1"/>
  <c r="K244" i="1" s="1"/>
  <c r="F242" i="1"/>
  <c r="K242" i="1" s="1"/>
  <c r="F243" i="1"/>
  <c r="K243" i="1" s="1"/>
  <c r="F241" i="1"/>
  <c r="K241" i="1" s="1"/>
  <c r="F239" i="1"/>
  <c r="K239" i="1" s="1"/>
  <c r="F240" i="1"/>
  <c r="K240" i="1" s="1"/>
  <c r="F238" i="1"/>
  <c r="K238" i="1" s="1"/>
  <c r="F236" i="1"/>
  <c r="K236" i="1" s="1"/>
  <c r="F191" i="1"/>
  <c r="K191" i="1" s="1"/>
  <c r="F237" i="1"/>
  <c r="K237" i="1" s="1"/>
  <c r="F233" i="1"/>
  <c r="K233" i="1" s="1"/>
  <c r="F232" i="1"/>
  <c r="K232" i="1" s="1"/>
  <c r="F174" i="1"/>
  <c r="K174" i="1" s="1"/>
  <c r="F5" i="1"/>
  <c r="K5" i="1" s="1"/>
  <c r="F189" i="1"/>
  <c r="K189" i="1" s="1"/>
  <c r="F235" i="1"/>
  <c r="K235" i="1" s="1"/>
  <c r="F84" i="1"/>
  <c r="K84" i="1" s="1"/>
  <c r="F30" i="1"/>
  <c r="K30" i="1" s="1"/>
  <c r="F153" i="1"/>
  <c r="K153" i="1" s="1"/>
  <c r="F234" i="1"/>
  <c r="K234" i="1" s="1"/>
  <c r="F91" i="1"/>
  <c r="K91" i="1" s="1"/>
  <c r="F96" i="1"/>
  <c r="K96" i="1" s="1"/>
  <c r="F2" i="1"/>
  <c r="K2" i="1" s="1"/>
  <c r="F196" i="1"/>
  <c r="K196" i="1" s="1"/>
  <c r="F152" i="1"/>
  <c r="K152" i="1" s="1"/>
  <c r="F167" i="1"/>
  <c r="K167" i="1" s="1"/>
  <c r="F172" i="1"/>
  <c r="K172" i="1" s="1"/>
  <c r="F197" i="1"/>
  <c r="K197" i="1" s="1"/>
  <c r="F173" i="1"/>
  <c r="K173" i="1" s="1"/>
  <c r="F38" i="1"/>
  <c r="K38" i="1" s="1"/>
  <c r="F4" i="1"/>
  <c r="K4" i="1" s="1"/>
  <c r="F137" i="1"/>
  <c r="K137" i="1" s="1"/>
  <c r="F194" i="1"/>
  <c r="K194" i="1" s="1"/>
  <c r="F11" i="1"/>
  <c r="K11" i="1" s="1"/>
  <c r="F180" i="1"/>
  <c r="K180" i="1" s="1"/>
  <c r="F136" i="1"/>
  <c r="K136" i="1" s="1"/>
  <c r="F19" i="1"/>
  <c r="K19" i="1" s="1"/>
  <c r="F103" i="1"/>
  <c r="K103" i="1" s="1"/>
  <c r="F146" i="1"/>
  <c r="K146" i="1" s="1"/>
  <c r="F171" i="1"/>
  <c r="K171" i="1" s="1"/>
  <c r="F22" i="1"/>
  <c r="K22" i="1" s="1"/>
  <c r="F39" i="1"/>
  <c r="K39" i="1" s="1"/>
  <c r="F99" i="1"/>
  <c r="K99" i="1" s="1"/>
  <c r="F214" i="1"/>
  <c r="K214" i="1" s="1"/>
  <c r="F130" i="1"/>
  <c r="K130" i="1" s="1"/>
  <c r="F140" i="1"/>
  <c r="K140" i="1" s="1"/>
  <c r="F23" i="1"/>
  <c r="K23" i="1" s="1"/>
  <c r="F61" i="1"/>
  <c r="K61" i="1" s="1"/>
  <c r="F25" i="1"/>
  <c r="K25" i="1" s="1"/>
  <c r="F26" i="1"/>
  <c r="K26" i="1" s="1"/>
  <c r="F231" i="1"/>
  <c r="K231" i="1" s="1"/>
  <c r="F41" i="1"/>
  <c r="K41" i="1" s="1"/>
  <c r="F150" i="1"/>
  <c r="K150" i="1" s="1"/>
  <c r="F81" i="1"/>
  <c r="K81" i="1" s="1"/>
  <c r="F126" i="1"/>
  <c r="K126" i="1" s="1"/>
  <c r="F200" i="1"/>
  <c r="K200" i="1" s="1"/>
  <c r="F57" i="1"/>
  <c r="K57" i="1" s="1"/>
  <c r="F145" i="1"/>
  <c r="K145" i="1" s="1"/>
  <c r="F211" i="1"/>
  <c r="K211" i="1" s="1"/>
  <c r="F77" i="1"/>
  <c r="K77" i="1" s="1"/>
  <c r="F129" i="1"/>
  <c r="K129" i="1" s="1"/>
  <c r="F10" i="1"/>
  <c r="K10" i="1" s="1"/>
  <c r="F169" i="1"/>
  <c r="K169" i="1" s="1"/>
  <c r="F184" i="1"/>
  <c r="K184" i="1" s="1"/>
  <c r="F188" i="1"/>
  <c r="K188" i="1" s="1"/>
  <c r="F80" i="1"/>
  <c r="K80" i="1" s="1"/>
  <c r="F179" i="1"/>
  <c r="K179" i="1" s="1"/>
  <c r="F8" i="1"/>
  <c r="K8" i="1" s="1"/>
  <c r="F32" i="1"/>
  <c r="K32" i="1" s="1"/>
  <c r="F34" i="1"/>
  <c r="K34" i="1" s="1"/>
  <c r="F125" i="1"/>
  <c r="K125" i="1" s="1"/>
  <c r="F162" i="1"/>
  <c r="K162" i="1" s="1"/>
  <c r="F182" i="1"/>
  <c r="K182" i="1" s="1"/>
  <c r="F199" i="1"/>
  <c r="K199" i="1" s="1"/>
  <c r="F13" i="1"/>
  <c r="K13" i="1" s="1"/>
  <c r="F18" i="1"/>
  <c r="K18" i="1" s="1"/>
  <c r="F123" i="1"/>
  <c r="K123" i="1" s="1"/>
  <c r="F160" i="1"/>
  <c r="K160" i="1" s="1"/>
  <c r="F170" i="1"/>
  <c r="K170" i="1" s="1"/>
  <c r="F229" i="1"/>
  <c r="K229" i="1" s="1"/>
  <c r="F93" i="1"/>
  <c r="K93" i="1" s="1"/>
  <c r="F40" i="1"/>
  <c r="K40" i="1" s="1"/>
  <c r="F62" i="1"/>
  <c r="K62" i="1" s="1"/>
  <c r="F67" i="1"/>
  <c r="K67" i="1" s="1"/>
  <c r="F73" i="1"/>
  <c r="K73" i="1" s="1"/>
  <c r="F95" i="1"/>
  <c r="K95" i="1" s="1"/>
  <c r="F133" i="1"/>
  <c r="K133" i="1" s="1"/>
  <c r="F185" i="1"/>
  <c r="K185" i="1" s="1"/>
  <c r="F187" i="1"/>
  <c r="K187" i="1" s="1"/>
  <c r="F193" i="1"/>
  <c r="K193" i="1" s="1"/>
  <c r="F220" i="1"/>
  <c r="K220" i="1" s="1"/>
  <c r="F226" i="1"/>
  <c r="K226" i="1" s="1"/>
  <c r="F86" i="1"/>
  <c r="K86" i="1" s="1"/>
  <c r="F192" i="1"/>
  <c r="K192" i="1" s="1"/>
  <c r="F12" i="1"/>
  <c r="K12" i="1" s="1"/>
  <c r="F58" i="1"/>
  <c r="K58" i="1" s="1"/>
  <c r="F102" i="1"/>
  <c r="K102" i="1" s="1"/>
  <c r="F106" i="1"/>
  <c r="K106" i="1" s="1"/>
  <c r="F6" i="1"/>
  <c r="K6" i="1" s="1"/>
  <c r="F33" i="1"/>
  <c r="K33" i="1" s="1"/>
  <c r="F56" i="1"/>
  <c r="K56" i="1" s="1"/>
  <c r="F70" i="1"/>
  <c r="K70" i="1" s="1"/>
  <c r="F94" i="1"/>
  <c r="K94" i="1" s="1"/>
  <c r="F134" i="1"/>
  <c r="K134" i="1" s="1"/>
  <c r="F165" i="1"/>
  <c r="K165" i="1" s="1"/>
  <c r="F175" i="1"/>
  <c r="K175" i="1" s="1"/>
  <c r="F186" i="1"/>
  <c r="K186" i="1" s="1"/>
  <c r="F230" i="1"/>
  <c r="K230" i="1" s="1"/>
  <c r="F117" i="1"/>
  <c r="K117" i="1" s="1"/>
  <c r="F178" i="1"/>
  <c r="K178" i="1" s="1"/>
  <c r="F105" i="1"/>
  <c r="K105" i="1" s="1"/>
  <c r="F107" i="1"/>
  <c r="K107" i="1" s="1"/>
  <c r="F225" i="1"/>
  <c r="K225" i="1" s="1"/>
  <c r="F35" i="1"/>
  <c r="K35" i="1" s="1"/>
  <c r="F59" i="1"/>
  <c r="K59" i="1" s="1"/>
  <c r="F79" i="1"/>
  <c r="K79" i="1" s="1"/>
  <c r="F7" i="1"/>
  <c r="K7" i="1" s="1"/>
  <c r="F16" i="1"/>
  <c r="K16" i="1" s="1"/>
  <c r="F51" i="1"/>
  <c r="K51" i="1" s="1"/>
  <c r="F69" i="1"/>
  <c r="K69" i="1" s="1"/>
  <c r="F120" i="1"/>
  <c r="K120" i="1" s="1"/>
  <c r="F147" i="1"/>
  <c r="K147" i="1" s="1"/>
  <c r="F166" i="1"/>
  <c r="K166" i="1" s="1"/>
  <c r="F168" i="1"/>
  <c r="K168" i="1" s="1"/>
  <c r="F176" i="1"/>
  <c r="K176" i="1" s="1"/>
  <c r="F183" i="1"/>
  <c r="K183" i="1" s="1"/>
  <c r="F292" i="1"/>
  <c r="K292" i="1" s="1"/>
  <c r="F21" i="1"/>
  <c r="K21" i="1" s="1"/>
  <c r="F14" i="1"/>
  <c r="K14" i="1" s="1"/>
  <c r="F60" i="1"/>
  <c r="K60" i="1" s="1"/>
  <c r="F15" i="1"/>
  <c r="K15" i="1" s="1"/>
  <c r="F36" i="1"/>
  <c r="K36" i="1" s="1"/>
  <c r="F78" i="1"/>
  <c r="K78" i="1" s="1"/>
  <c r="F101" i="1"/>
  <c r="K101" i="1" s="1"/>
  <c r="F116" i="1"/>
  <c r="K116" i="1" s="1"/>
  <c r="F122" i="1"/>
  <c r="K122" i="1" s="1"/>
  <c r="F9" i="1"/>
  <c r="K9" i="1" s="1"/>
  <c r="F68" i="1"/>
  <c r="K68" i="1" s="1"/>
  <c r="F74" i="1"/>
  <c r="K74" i="1" s="1"/>
  <c r="F109" i="1"/>
  <c r="K109" i="1" s="1"/>
  <c r="F156" i="1"/>
  <c r="K156" i="1" s="1"/>
  <c r="F45" i="1"/>
  <c r="K45" i="1" s="1"/>
  <c r="F89" i="1"/>
  <c r="K89" i="1" s="1"/>
  <c r="F104" i="1"/>
  <c r="K104" i="1" s="1"/>
  <c r="F127" i="1"/>
  <c r="K127" i="1" s="1"/>
  <c r="F142" i="1"/>
  <c r="K142" i="1" s="1"/>
  <c r="F52" i="1"/>
  <c r="K52" i="1" s="1"/>
  <c r="F71" i="1"/>
  <c r="K71" i="1" s="1"/>
  <c r="F88" i="1"/>
  <c r="K88" i="1" s="1"/>
  <c r="F195" i="1"/>
  <c r="K195" i="1" s="1"/>
  <c r="F198" i="1"/>
  <c r="K198" i="1" s="1"/>
  <c r="F43" i="1"/>
  <c r="K43" i="1" s="1"/>
  <c r="F54" i="1"/>
  <c r="K54" i="1" s="1"/>
  <c r="F112" i="1"/>
  <c r="K112" i="1" s="1"/>
  <c r="F115" i="1"/>
  <c r="K115" i="1" s="1"/>
  <c r="F155" i="1"/>
  <c r="K155" i="1" s="1"/>
  <c r="F163" i="1"/>
  <c r="K163" i="1" s="1"/>
  <c r="F205" i="1"/>
  <c r="K205" i="1" s="1"/>
  <c r="F210" i="1"/>
  <c r="K210" i="1" s="1"/>
  <c r="F256" i="1"/>
  <c r="K256" i="1" s="1"/>
  <c r="F258" i="1"/>
  <c r="K258" i="1" s="1"/>
  <c r="F144" i="1"/>
  <c r="K144" i="1" s="1"/>
  <c r="F149" i="1"/>
  <c r="K149" i="1" s="1"/>
  <c r="F203" i="1"/>
  <c r="K203" i="1" s="1"/>
  <c r="F218" i="1"/>
  <c r="K218" i="1" s="1"/>
  <c r="F190" i="1"/>
  <c r="K190" i="1" s="1"/>
  <c r="F132" i="1"/>
  <c r="K132" i="1" s="1"/>
  <c r="F27" i="1"/>
  <c r="K27" i="1" s="1"/>
  <c r="F53" i="1"/>
  <c r="K53" i="1" s="1"/>
  <c r="F87" i="1"/>
  <c r="K87" i="1" s="1"/>
  <c r="F90" i="1"/>
  <c r="K90" i="1" s="1"/>
  <c r="F98" i="1"/>
  <c r="K98" i="1" s="1"/>
  <c r="F111" i="1"/>
  <c r="K111" i="1" s="1"/>
  <c r="F154" i="1"/>
  <c r="K154" i="1" s="1"/>
  <c r="F157" i="1"/>
  <c r="K157" i="1" s="1"/>
  <c r="F164" i="1"/>
  <c r="K164" i="1" s="1"/>
  <c r="F31" i="1"/>
  <c r="K31" i="1" s="1"/>
  <c r="F100" i="1"/>
  <c r="K100" i="1" s="1"/>
  <c r="F261" i="1"/>
  <c r="K261" i="1" s="1"/>
  <c r="F285" i="1"/>
  <c r="K285" i="1" s="1"/>
  <c r="F287" i="1"/>
  <c r="K287" i="1" s="1"/>
  <c r="F289" i="1"/>
  <c r="K289" i="1" s="1"/>
  <c r="F291" i="1"/>
  <c r="K291" i="1" s="1"/>
  <c r="F37" i="1"/>
  <c r="K37" i="1" s="1"/>
  <c r="F17" i="1"/>
  <c r="K17" i="1" s="1"/>
  <c r="F48" i="1"/>
  <c r="K48" i="1" s="1"/>
  <c r="F118" i="1"/>
  <c r="K118" i="1" s="1"/>
  <c r="F204" i="1"/>
  <c r="K204" i="1" s="1"/>
  <c r="F209" i="1"/>
  <c r="K209" i="1" s="1"/>
  <c r="F257" i="1"/>
  <c r="K257" i="1" s="1"/>
  <c r="F20" i="1"/>
  <c r="K20" i="1" s="1"/>
  <c r="F24" i="1"/>
  <c r="K24" i="1" s="1"/>
  <c r="F63" i="1"/>
  <c r="K63" i="1" s="1"/>
  <c r="F83" i="1"/>
  <c r="K83" i="1" s="1"/>
  <c r="F92" i="1"/>
  <c r="K92" i="1" s="1"/>
  <c r="F108" i="1"/>
  <c r="K108" i="1" s="1"/>
  <c r="F113" i="1"/>
  <c r="K113" i="1" s="1"/>
  <c r="F131" i="1"/>
  <c r="K131" i="1" s="1"/>
  <c r="F135" i="1"/>
  <c r="K135" i="1" s="1"/>
  <c r="F143" i="1"/>
  <c r="K143" i="1" s="1"/>
  <c r="F148" i="1"/>
  <c r="K148" i="1" s="1"/>
  <c r="F177" i="1"/>
  <c r="K177" i="1" s="1"/>
  <c r="F219" i="1"/>
  <c r="K219" i="1" s="1"/>
  <c r="F255" i="1"/>
  <c r="K255" i="1" s="1"/>
  <c r="F49" i="1"/>
  <c r="K49" i="1" s="1"/>
  <c r="F64" i="1"/>
  <c r="K64" i="1" s="1"/>
  <c r="F75" i="1"/>
  <c r="K75" i="1" s="1"/>
  <c r="F124" i="1"/>
  <c r="K124" i="1" s="1"/>
  <c r="F3" i="1"/>
  <c r="K3" i="1" s="1"/>
  <c r="F28" i="1"/>
  <c r="K28" i="1" s="1"/>
  <c r="F55" i="1"/>
  <c r="K55" i="1" s="1"/>
  <c r="F138" i="1"/>
  <c r="K138" i="1" s="1"/>
  <c r="F72" i="1"/>
  <c r="K72" i="1" s="1"/>
  <c r="F46" i="1"/>
  <c r="K46" i="1" s="1"/>
  <c r="F42" i="1"/>
  <c r="K42" i="1" s="1"/>
  <c r="F50" i="1"/>
  <c r="K50" i="1" s="1"/>
  <c r="F82" i="1"/>
  <c r="K82" i="1" s="1"/>
  <c r="F85" i="1"/>
  <c r="K85" i="1" s="1"/>
  <c r="F114" i="1"/>
  <c r="K114" i="1" s="1"/>
  <c r="F151" i="1"/>
  <c r="K151" i="1" s="1"/>
  <c r="F76" i="1"/>
  <c r="K76" i="1" s="1"/>
  <c r="F97" i="1"/>
  <c r="K97" i="1" s="1"/>
  <c r="F119" i="1"/>
  <c r="K119" i="1" s="1"/>
  <c r="F128" i="1"/>
  <c r="K128" i="1" s="1"/>
  <c r="F158" i="1"/>
  <c r="K158" i="1" s="1"/>
  <c r="F47" i="1"/>
  <c r="K47" i="1" s="1"/>
  <c r="F66" i="1"/>
  <c r="K66" i="1" s="1"/>
  <c r="F121" i="1"/>
  <c r="K121" i="1" s="1"/>
  <c r="F141" i="1"/>
  <c r="K141" i="1" s="1"/>
  <c r="F161" i="1"/>
  <c r="K161" i="1" s="1"/>
  <c r="F215" i="1"/>
  <c r="K215" i="1" s="1"/>
  <c r="F221" i="1"/>
  <c r="K221" i="1" s="1"/>
  <c r="F181" i="1"/>
  <c r="K181" i="1" s="1"/>
  <c r="F139" i="1"/>
  <c r="K139" i="1" s="1"/>
  <c r="F159" i="1"/>
  <c r="K159" i="1" s="1"/>
  <c r="F44" i="1"/>
  <c r="K44" i="1" s="1"/>
  <c r="F227" i="1"/>
  <c r="K227" i="1" s="1"/>
  <c r="F110" i="1"/>
  <c r="K110" i="1" s="1"/>
  <c r="F260" i="1"/>
  <c r="K260" i="1" s="1"/>
  <c r="F262" i="1"/>
  <c r="K262" i="1" s="1"/>
  <c r="F264" i="1"/>
  <c r="K264" i="1" s="1"/>
  <c r="F266" i="1"/>
  <c r="K266" i="1" s="1"/>
  <c r="F268" i="1"/>
  <c r="K268" i="1" s="1"/>
  <c r="F270" i="1"/>
  <c r="K270" i="1" s="1"/>
  <c r="F272" i="1"/>
  <c r="K272" i="1" s="1"/>
  <c r="F274" i="1"/>
  <c r="K274" i="1" s="1"/>
  <c r="F276" i="1"/>
  <c r="K276" i="1" s="1"/>
  <c r="F278" i="1"/>
  <c r="K278" i="1" s="1"/>
  <c r="F280" i="1"/>
  <c r="K280" i="1" s="1"/>
  <c r="F282" i="1"/>
  <c r="K282" i="1" s="1"/>
  <c r="F284" i="1"/>
  <c r="K284" i="1" s="1"/>
  <c r="F286" i="1"/>
  <c r="K286" i="1" s="1"/>
  <c r="F288" i="1"/>
  <c r="K288" i="1" s="1"/>
  <c r="F290" i="1"/>
  <c r="K290" i="1" s="1"/>
  <c r="F208" i="1"/>
  <c r="K208" i="1" s="1"/>
  <c r="F213" i="1"/>
  <c r="K213" i="1" s="1"/>
  <c r="F216" i="1"/>
  <c r="K216" i="1" s="1"/>
  <c r="F202" i="1"/>
  <c r="K202" i="1" s="1"/>
  <c r="F293" i="1"/>
  <c r="K293" i="1" s="1"/>
  <c r="F224" i="1"/>
  <c r="K224" i="1" s="1"/>
  <c r="F254" i="1"/>
  <c r="K254" i="1" s="1"/>
  <c r="F259" i="1"/>
  <c r="K259" i="1" s="1"/>
  <c r="F294" i="1"/>
  <c r="K294" i="1" s="1"/>
  <c r="F206" i="1"/>
  <c r="K206" i="1" s="1"/>
  <c r="F212" i="1"/>
  <c r="K212" i="1" s="1"/>
  <c r="F217" i="1"/>
  <c r="K217" i="1" s="1"/>
  <c r="F263" i="1"/>
  <c r="K263" i="1" s="1"/>
  <c r="F265" i="1"/>
  <c r="K265" i="1" s="1"/>
  <c r="F267" i="1"/>
  <c r="K267" i="1" s="1"/>
  <c r="F269" i="1"/>
  <c r="K269" i="1" s="1"/>
  <c r="F271" i="1"/>
  <c r="K271" i="1" s="1"/>
  <c r="F273" i="1"/>
  <c r="K273" i="1" s="1"/>
  <c r="F275" i="1"/>
  <c r="K275" i="1" s="1"/>
  <c r="F277" i="1"/>
  <c r="K277" i="1" s="1"/>
  <c r="F279" i="1"/>
  <c r="K279" i="1" s="1"/>
  <c r="F281" i="1"/>
  <c r="K281" i="1" s="1"/>
  <c r="F283" i="1"/>
  <c r="K283" i="1" s="1"/>
  <c r="F223" i="1"/>
  <c r="K223" i="1" s="1"/>
  <c r="F228" i="1"/>
  <c r="K228" i="1" s="1"/>
  <c r="F295" i="1"/>
  <c r="K295" i="1" s="1"/>
</calcChain>
</file>

<file path=xl/sharedStrings.xml><?xml version="1.0" encoding="utf-8"?>
<sst xmlns="http://schemas.openxmlformats.org/spreadsheetml/2006/main" count="3192" uniqueCount="1324">
  <si>
    <t>Citation (APA 7th-Annotated)</t>
  </si>
  <si>
    <t>sequence</t>
  </si>
  <si>
    <t>Item number</t>
  </si>
  <si>
    <t>end</t>
  </si>
  <si>
    <t>Publication name</t>
  </si>
  <si>
    <t>1st Author</t>
  </si>
  <si>
    <t>other author(s)</t>
  </si>
  <si>
    <t>year</t>
  </si>
  <si>
    <t>DOI (or Alt)</t>
  </si>
  <si>
    <t>Item name</t>
  </si>
  <si>
    <t>Item encoded</t>
  </si>
  <si>
    <t>Item in directory FileList</t>
  </si>
  <si>
    <t>Item full original title</t>
  </si>
  <si>
    <t>Note about item</t>
  </si>
  <si>
    <t>Progress stage</t>
  </si>
  <si>
    <t>Online Database</t>
  </si>
  <si>
    <t>Snapshot</t>
  </si>
  <si>
    <t>Adjustment made</t>
  </si>
  <si>
    <t>Data readable file, can use this</t>
  </si>
  <si>
    <t>Source Type</t>
  </si>
  <si>
    <t>Source format</t>
  </si>
  <si>
    <t>Source URL direct access</t>
  </si>
  <si>
    <t>Source URL link</t>
  </si>
  <si>
    <t>Team</t>
  </si>
  <si>
    <t>Collection</t>
  </si>
  <si>
    <t>Possible Traits</t>
  </si>
  <si>
    <t>Note</t>
  </si>
  <si>
    <t>Flags pre-addressed</t>
  </si>
  <si>
    <t>Flags possible</t>
  </si>
  <si>
    <t>Flags active (skips)</t>
  </si>
  <si>
    <t>Sample type</t>
  </si>
  <si>
    <t>Method</t>
  </si>
  <si>
    <t>Subcategory</t>
  </si>
  <si>
    <t>Main Trait(s)</t>
  </si>
  <si>
    <t>Taxon group</t>
  </si>
  <si>
    <t>Source type</t>
  </si>
  <si>
    <t>Data role (primary/secondary/both)</t>
  </si>
  <si>
    <t>Measure type</t>
  </si>
  <si>
    <t>Andelin, A. K., Olavarria, J. F., Fine, I., Taber, E. N., Schwartz, D., Kroenke, C. D., &amp; Stevens, A. A. (2019). The Effect of Onset Age of Visual Deprivation on Visual Cortex Surface Area Across-Species. Cereb Cortex, 29(10), 4321-4333. https://doi.org/10.1093/cercor/bhy315</t>
  </si>
  <si>
    <t>Table 4</t>
  </si>
  <si>
    <t>FINISHED</t>
  </si>
  <si>
    <t>table</t>
  </si>
  <si>
    <t>review</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</si>
  <si>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</si>
  <si>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</si>
  <si>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</si>
  <si>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</si>
  <si>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</si>
  <si>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</si>
  <si>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</si>
  <si>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added</t>
  </si>
  <si>
    <t>AvelinodeSouza_etal_2025_TABLE1_snapshot.csv</t>
  </si>
  <si>
    <t>Y</t>
  </si>
  <si>
    <t>AvelinodeSouza_etal_2025_TABLE1.csv</t>
  </si>
  <si>
    <t>pdf</t>
  </si>
  <si>
    <t>https://onlinelibrary.wiley.com/doi/10.1002/cne.70089</t>
  </si>
  <si>
    <t>https://doi.org/10.1002/cne.70089</t>
  </si>
  <si>
    <t>HH</t>
  </si>
  <si>
    <t>isotropic fractionator</t>
  </si>
  <si>
    <t>placental mammals</t>
  </si>
  <si>
    <t>neuron number</t>
  </si>
  <si>
    <t>Cetaceans &amp; other placental mammals</t>
  </si>
  <si>
    <t>primary</t>
  </si>
  <si>
    <t>cell count (isotropic fractionator)</t>
  </si>
  <si>
    <t>Baker, J., Barton, R. A., &amp; Venditti, C. (2025). Human dexterity and brains evolved hand in hand. Communications Biology, 8(1). https://doi.org/10.1038/s42003-025-08686-5</t>
  </si>
  <si>
    <t>Supplementary Data 1</t>
  </si>
  <si>
    <t>Balzeau, A., Holloway, R. L., &amp; Grimaud-Herve, D. (2012). Variations and asymmetries in regional brain surface in the genus Homo. J Hum Evol, 62(6), 696-706. https://doi.org/10.1016/j.jhevol.2012.03.007</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</si>
  <si>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</si>
  <si>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</si>
  <si>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</si>
  <si>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</si>
  <si>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Barbeito-Andres, J., Castro-Fonseca, E., Qiu, L. R., Bernal, V., Lent, R., Henkelman, M., Lukowiak, K., Gleiser, P. M., Hallgrimsson, B., &amp; Gonzalez,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</si>
  <si>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</si>
  <si>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</si>
  <si>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</si>
  <si>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</si>
  <si>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t>
  </si>
  <si>
    <t>Table 1 | Volume of amygdala, hippocampus, and striatum in hominoid species collected with stereological methods.</t>
  </si>
  <si>
    <t>Zilles</t>
  </si>
  <si>
    <t>histological sections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</si>
  <si>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</si>
  <si>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</si>
  <si>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amygdala subdivision volumes</t>
  </si>
  <si>
    <t>Apes &amp; humans</t>
  </si>
  <si>
    <t>volume</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</si>
  <si>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</si>
  <si>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</si>
  <si>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</si>
  <si>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</si>
  <si>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</si>
  <si>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</si>
  <si>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</si>
  <si>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</si>
  <si>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</si>
  <si>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</si>
  <si>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</si>
  <si>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</si>
  <si>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</si>
  <si>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</si>
  <si>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Stephan</t>
  </si>
  <si>
    <t>vestibular nuclear complex volume</t>
  </si>
  <si>
    <t>Insectivora, Scandentia &amp; Primates</t>
  </si>
  <si>
    <t>Baron, G., Frahm, H. D., Bhatnagar, K. P., &amp; Stephan, H. (1983). Comparison of brain structure volumes in Insectivora and Primates. III. Main olfactory bulb (MOB). J Hirnforsch, 24(5), 551-568. https://www.ncbi.nlm.nih.gov/pubmed/6663055</t>
  </si>
  <si>
    <t>PMID:6663055</t>
  </si>
  <si>
    <t>NO - not digitized</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</si>
  <si>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</si>
  <si>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</si>
  <si>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</si>
  <si>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</si>
  <si>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</si>
  <si>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</si>
  <si>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volumetry</t>
  </si>
  <si>
    <t>trigeminal complex volume</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</si>
  <si>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</si>
  <si>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</si>
  <si>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Stephan, Sherwood</t>
  </si>
  <si>
    <t>insular cortex volumes</t>
  </si>
  <si>
    <t>Primates</t>
  </si>
  <si>
    <t>Table 2</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</si>
  <si>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</si>
  <si>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</si>
  <si>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</si>
  <si>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</si>
  <si>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Brodmann, K. (1913). Neue Forschungsergebnisse der Großhirnrindenanatomie mit besonderer Berücksichtigung anthropologischer Fragen. Verhandlungen der Gesellschaft Deutscher Naturforscher und Ärzte, 85(1), 200-240</t>
  </si>
  <si>
    <t>10.0000/placeholder</t>
  </si>
  <si>
    <t>Tabelle 1</t>
  </si>
  <si>
    <t>cortical surface area</t>
  </si>
  <si>
    <t>Mammals (various)</t>
  </si>
  <si>
    <t>Burger, J. R., George, M. A., Leadbetter, C., &amp; Shaikh, F. (2019). The allometry of brain size in mammals. J Mammal, 100(2), 276-283. https://doi.org/10.1093/jmammal/gyz043</t>
  </si>
  <si>
    <t>Supplementary Data SD1</t>
  </si>
  <si>
    <t>Supplementary Data SD2</t>
  </si>
  <si>
    <t>already there</t>
  </si>
  <si>
    <t>gyz043_suppl_Supplement_Data.csv</t>
  </si>
  <si>
    <t>N</t>
  </si>
  <si>
    <t>zipped csv</t>
  </si>
  <si>
    <t>NO - the article link did not work in R, and goes to a zip</t>
  </si>
  <si>
    <t>derived relative brain size data are problematic</t>
  </si>
  <si>
    <t>mammals</t>
  </si>
  <si>
    <t>Brain and body size</t>
  </si>
  <si>
    <t>Mammals</t>
  </si>
  <si>
    <t>secondary</t>
  </si>
  <si>
    <t>brain &amp; body mass</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</si>
  <si>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</si>
  <si>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</si>
  <si>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</si>
  <si>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Species - binomials need to be added</t>
  </si>
  <si>
    <t>Burish_etal_2010_SupplementaryTable1_snapshot.csv</t>
  </si>
  <si>
    <t>number spinal cord neurons</t>
  </si>
  <si>
    <t>primates and tree shrew</t>
  </si>
  <si>
    <t>Primates (+ other mammals)</t>
  </si>
  <si>
    <t>primary (individual)</t>
  </si>
  <si>
    <t>Table 1. Cellular composition of the spinal cord</t>
  </si>
  <si>
    <t>Burish_etal_2010_Table1_snapshot.csv</t>
  </si>
  <si>
    <t>Burish_etal_2010_Table1.csv</t>
  </si>
  <si>
    <t>https://doi.org/10.1159/000319019</t>
  </si>
  <si>
    <t>species-name-error: species-name typo corrected from paper text (in .R script).</t>
  </si>
  <si>
    <t>primary (averages)</t>
  </si>
  <si>
    <t>Bush, E. C., &amp; Allman, J. M. (2003). The scaling of white matter to gray matter in cerebellum and neocortex. Brain Behav Evol, 61(1), 1-5. https://doi.org/10.1159/000068880</t>
  </si>
  <si>
    <t>Table 2. Major axis regression slopes and 95% confidence intervals</t>
  </si>
  <si>
    <t>not extracted (regression statistics, not species trait data)</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</si>
  <si>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</si>
  <si>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</si>
  <si>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</si>
  <si>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</si>
  <si>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</si>
  <si>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Data readable</t>
  </si>
  <si>
    <t>Bush_Allman_2003_Table1_snapshot.csv</t>
  </si>
  <si>
    <t>Bush_Allman_2003_Table1.csv</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</si>
  <si>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</si>
  <si>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</si>
  <si>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</si>
  <si>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</si>
  <si>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</si>
  <si>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Bush_Allman_2004_Table1_snapshot.csv</t>
  </si>
  <si>
    <t>Bush_Allman_2004_Table1.csv</t>
  </si>
  <si>
    <t>volumetry/stereology</t>
  </si>
  <si>
    <t>primates</t>
  </si>
  <si>
    <t>V1 grey, LGN, V1 surface, neocortex GM/WM</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</si>
  <si>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</si>
  <si>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</si>
  <si>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</si>
  <si>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</si>
  <si>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xlsx</t>
  </si>
  <si>
    <t>YES - download link</t>
  </si>
  <si>
    <t>https://cdn.elifesciences.org/articles/77875/elife-77875-supp3-v1.xlsx</t>
  </si>
  <si>
    <t>Habitual Tool Use, Ecology, Female brain size</t>
  </si>
  <si>
    <t>behavioural (handedness, tool use, ecology)</t>
  </si>
  <si>
    <t>part 1: handedness summary table</t>
  </si>
  <si>
    <t>Caspar_etal_2022_Table1_snapshot.xlsx</t>
  </si>
  <si>
    <t>Caspar_etal_2022_Table1.csv</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</si>
  <si>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</si>
  <si>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</si>
  <si>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perhaps useful to get raw data as well?</t>
  </si>
  <si>
    <t>Handedness derived data</t>
  </si>
  <si>
    <t>derived from primary</t>
  </si>
  <si>
    <t>behavioural (handedness)</t>
  </si>
  <si>
    <t>Caves, E. M., Brandley, N. C., &amp; Johnsen, S. (2018). Visual Acuity and the Evolution of Signals. Trends Ecol Evol, 33(5), 358-372. https://doi.org/10.1016/j.tree.2018.03.001</t>
  </si>
  <si>
    <t>Table S1</t>
  </si>
  <si>
    <t>Changizi, M. A. (2001). Principles underlying mammalian neocortical scaling. Biol Cybern, 84(3), 207-215. https://doi.org/10.1007/s004220000205</t>
  </si>
  <si>
    <t>Figure 3</t>
  </si>
  <si>
    <t>Species -- wait for Project Kaskan</t>
  </si>
  <si>
    <t>NA</t>
  </si>
  <si>
    <t>Changizi__2001_Figure3_snapshot.csv</t>
  </si>
  <si>
    <t>Changizi__2001_Figure3.csv</t>
  </si>
  <si>
    <t>figure and caption</t>
  </si>
  <si>
    <t>NO - paywall</t>
  </si>
  <si>
    <t>summary to check more precise areas from ProjectKaskan</t>
  </si>
  <si>
    <t>number of cortical areas</t>
  </si>
  <si>
    <t>primary (derived from published materials)</t>
  </si>
  <si>
    <t>cortical area count / scaling</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</si>
  <si>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</si>
  <si>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</si>
  <si>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</si>
  <si>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</si>
  <si>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dial activity (Supp 4)</t>
  </si>
  <si>
    <t>maybe delete: not relevent in current dataset, unless for imputations?</t>
  </si>
  <si>
    <t>vertebrates</t>
  </si>
  <si>
    <t>acoustic communication</t>
  </si>
  <si>
    <t>Tetrapod vertebrates</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</si>
  <si>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</si>
  <si>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</si>
  <si>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</si>
  <si>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Kaas</t>
  </si>
  <si>
    <t>cortical area surface area, neuron density</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</si>
  <si>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</si>
  <si>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</si>
  <si>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</si>
  <si>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</si>
  <si>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Sousa, A. A., Sherwood, C. C., Hof, P. R., &amp; Zilles, K. (2013). Lamination of the lateral geniculate nucleus of catarrhine primates. Brain Behav Evol, 81(2), 93-108. https://doi.org/10.1159/000346495</t>
  </si>
  <si>
    <t>Table 1. LGN parvocellular lamination, species mean brain weights and LGN volumes</t>
  </si>
  <si>
    <t>deSousa_etal_2013_Table1_snapshot.csv</t>
  </si>
  <si>
    <t>deSousa_etal_2013_Table1.csv</t>
  </si>
  <si>
    <t>Stephan, Zilles</t>
  </si>
  <si>
    <t>Stephan, Zilles, AFIP, Sherwood, Hof</t>
  </si>
  <si>
    <t>catarrhine primates</t>
  </si>
  <si>
    <t>LGN volume + parvocellular lamination + brain weight</t>
  </si>
  <si>
    <t>Primates (+ Insectivora)</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</si>
  <si>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</si>
  <si>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</si>
  <si>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</si>
  <si>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VALUE ERROR — neocortex (kept in snapshot, corrected in data)</t>
  </si>
  <si>
    <t>deSousa_etal_2010_SupTable2_snapshot.xlsx</t>
  </si>
  <si>
    <t>deSousa_etal_2010_SupTable2.csv</t>
  </si>
  <si>
    <t>doc (online supplement, mmc2.doc)</t>
  </si>
  <si>
    <t>https://doi.org/10.1016/j.jhevol.2009.11.011</t>
  </si>
  <si>
    <t>Stephan,Zilles</t>
  </si>
  <si>
    <t>Online supplementary Table 2 (file 1-s2.0-S0047248410000023-mmc2.doc). Snapshot reproduces the published table verbatim incl. the error; cleaned CSV corrects it. See deSousa_etal_2010.ReadMe.md.</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</si>
  <si>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</si>
  <si>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</si>
  <si>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</si>
  <si>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brain, neocortex, V1 (area striata), LGN mean volumes</t>
  </si>
  <si>
    <t>Hominoid visual brain structure volumes (Table 1)</t>
  </si>
  <si>
    <t>histological sections &amp; MRI</t>
  </si>
  <si>
    <t>visual brain structure volumes</t>
  </si>
  <si>
    <t>DeCasien, A. R., &amp; Higham, J. P. (2019). Primate mosaic brain evolution reflects selection on sensory and cognitive specialization. Nat Ecol Evol, 3(10), 1483-1493. https://doi.org/10.1038/s41559-019-0969-0</t>
  </si>
  <si>
    <t>Supplementary Data 1-Activity Period</t>
  </si>
  <si>
    <t>Supplementary Data 1 Brain Region Data (mm3)</t>
  </si>
  <si>
    <t>table Sheet 1</t>
  </si>
  <si>
    <t>https://www.nature.com/articles/s41559-019-0969-0#Sec13</t>
  </si>
  <si>
    <t>Activity Period</t>
  </si>
  <si>
    <t>ecology (activity period)</t>
  </si>
  <si>
    <t>Supplementary Data 1-Brain Region</t>
  </si>
  <si>
    <t>mostly Stephan and other Ddorf studies</t>
  </si>
  <si>
    <t>Brain Regions Volumes</t>
  </si>
  <si>
    <t>Supplementary Data 1-Diet</t>
  </si>
  <si>
    <t>Diet</t>
  </si>
  <si>
    <t>ecology (diet)</t>
  </si>
  <si>
    <t>Supplementary Data 1-Social System</t>
  </si>
  <si>
    <t>Social System</t>
  </si>
  <si>
    <t>ecology (social system)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</si>
  <si>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</si>
  <si>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 ERROR — cell-count typos (superseded by unpublished)</t>
  </si>
  <si>
    <t>DosSantos_etal_2020_Table1_snapshot.csv</t>
  </si>
  <si>
    <t>DosSantos_etal_2020_Table1.csv</t>
  </si>
  <si>
    <t>pdf online</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</si>
  <si>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</si>
  <si>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</si>
  <si>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</si>
  <si>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</si>
  <si>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primary; secondary (compiled team data)</t>
  </si>
  <si>
    <t>cell count (microglia)</t>
  </si>
  <si>
    <t>unpublished</t>
  </si>
  <si>
    <t>corrected source used in merge (instead of published Table 1)</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</si>
  <si>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</si>
  <si>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</si>
  <si>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</si>
  <si>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ERRATUM !</t>
  </si>
  <si>
    <t>DosSantos_etal_2017_TableS1_snapshot.csv</t>
  </si>
  <si>
    <t>DosSantos_etal_2017_TableS1.csv</t>
  </si>
  <si>
    <t>doc, erratum (on pdf)</t>
  </si>
  <si>
    <t>table, erratum</t>
  </si>
  <si>
    <t>https://ndownloader.figstatic.com/files/7428211</t>
  </si>
  <si>
    <t>erratum</t>
  </si>
  <si>
    <t>marsupials</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</si>
  <si>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</si>
  <si>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</si>
  <si>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</si>
  <si>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</si>
  <si>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</si>
  <si>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Falcone, C., Wolf-Ochoa, M., Amina, S., Hong, T., Vakilzadeh, G., Hopkins, W. D., Hof, P. R., Sherwood, C. C., Manger, P. R., Noctor, S. C., &amp; Martinez-Cerdeno,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</si>
  <si>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</si>
  <si>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interlaminar astrocyte morphology</t>
  </si>
  <si>
    <t>Primates &amp; other mammals</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</si>
  <si>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</si>
  <si>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</si>
  <si>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</si>
  <si>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</si>
  <si>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</si>
  <si>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</si>
  <si>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https://www.researchgate.net/publication/299027052_Developmental_constraints_on_or_developmental_structure_in_brain_evolution</t>
  </si>
  <si>
    <t>cerebral cortex surface area and number of areas (broadly defined)</t>
  </si>
  <si>
    <t>cortical surface area / volume</t>
  </si>
  <si>
    <t>Frahm, H. D., &amp; Zilles, K. (1994). Volumetric comparison of hippocampal regions in 44 primate species. J Hirnforsch, 35(3), 343-354. https://www.ncbi.nlm.nih.gov/pubmed/7983368</t>
  </si>
  <si>
    <t>PMID:7983368</t>
  </si>
  <si>
    <t>Hippocampal regions in 44 primates (Table 1)</t>
  </si>
  <si>
    <t>hippocampal region volumes</t>
  </si>
  <si>
    <t>Frahm, H. D., Rehkamper, G., &amp; Nevo, E. (1997). Brain structure volumes in the mole rat, Spalax ehrenbergi (Spalacidae, Rodentia) in comparison to the rat and subterrestrial insectivores. J Hirnforsch, 38(2), 209-222. https://www.ncbi.nlm.nih.gov/pubmed/9176733</t>
  </si>
  <si>
    <t>PMID:9176733</t>
  </si>
  <si>
    <t>Brain structure volumes in Spalax ehrenbergi (Table 1)</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</si>
  <si>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</si>
  <si>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</si>
  <si>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</si>
  <si>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</si>
  <si>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</si>
  <si>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</si>
  <si>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</si>
  <si>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</si>
  <si>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</si>
  <si>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</si>
  <si>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</si>
  <si>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Size of the middle temporal area in primates (Table 1)</t>
  </si>
  <si>
    <t>middle temporal area (MT) size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</si>
  <si>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</si>
  <si>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</si>
  <si>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NOT STARTED</t>
  </si>
  <si>
    <t>mouse (developmental)</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</si>
  <si>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</si>
  <si>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</si>
  <si>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</si>
  <si>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</si>
  <si>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</si>
  <si>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</si>
  <si>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</si>
  <si>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</si>
  <si>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</si>
  <si>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</si>
  <si>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</si>
  <si>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</si>
  <si>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</si>
  <si>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</si>
  <si>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</si>
  <si>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Heffner, R. S., &amp; Masterton, R. B. (1983). The role of the corticospinal tract in the evolution of human digital dexterity. Brain Behav Evol, 23(3-4), 165-183. https://doi.org/10.1159/000121494</t>
  </si>
  <si>
    <t>Table I</t>
  </si>
  <si>
    <t>compare to 1975</t>
  </si>
  <si>
    <t>digital dexterity</t>
  </si>
  <si>
    <t>behavioural (digital dexterity)</t>
  </si>
  <si>
    <t>Heffner, R., &amp; Masterton, B. (1975). Variation in form of the pyramidal tract and its relationship to digital dexterity. Brain Behav Evol, 12(3), 161-200. https://doi.org/10.1159/000124401</t>
  </si>
  <si>
    <t>Heffner_Masterton_1975_TableI_snapshot.xlsx</t>
  </si>
  <si>
    <t>Heffner_Masterton_1975_TableI.csv</t>
  </si>
  <si>
    <t>area of pyramidal tract; deepest lamina</t>
  </si>
  <si>
    <t>mostly secondary</t>
  </si>
  <si>
    <t>both</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</si>
  <si>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</si>
  <si>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</si>
  <si>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</si>
  <si>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</si>
  <si>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</si>
  <si>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Humans</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</si>
  <si>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</si>
  <si>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</si>
  <si>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</si>
  <si>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</si>
  <si>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</si>
  <si>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</si>
  <si>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</si>
  <si>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</si>
  <si>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</si>
  <si>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</si>
  <si>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</si>
  <si>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</si>
  <si>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HerculanoHouzel_etal_2015_Table1_snapshot.xlsx</t>
  </si>
  <si>
    <t>HerculanoHouzel_etal_2015_Table1.csv</t>
  </si>
  <si>
    <t>formatting-fix: ' + ' shown for ' ± ' (Rattus norvegicus, col N,n) corrected in .R script.</t>
  </si>
  <si>
    <t>Mammals (placental)</t>
  </si>
  <si>
    <t>Table 2. Cerebellum</t>
  </si>
  <si>
    <t>HerculanoHouzel_etal_2015_Table2_snapshot.xlsx</t>
  </si>
  <si>
    <t>HerculanoHouzel_etal_2015_Table2.csv</t>
  </si>
  <si>
    <t>Table 3. RoB</t>
  </si>
  <si>
    <t>HerculanoHouzel_etal_2015_Table3_snapshot.xlsx</t>
  </si>
  <si>
    <t>HerculanoHouzel_etal_2015_Table3.csv</t>
  </si>
  <si>
    <t>Table 4. Olfactory bulb</t>
  </si>
  <si>
    <t>HerculanoHouzel_etal_2015_Table4_snapshot.xlsx</t>
  </si>
  <si>
    <t>HerculanoHouzel_etal_2015_Table4.csv</t>
  </si>
  <si>
    <t>Table 5. Whole brain</t>
  </si>
  <si>
    <t>HerculanoHouzel_etal_2015_Table5_snapshot.xlsx</t>
  </si>
  <si>
    <t>HerculanoHouzel_etal_2015_Table5.csv</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</si>
  <si>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</si>
  <si>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</si>
  <si>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HerculanoHouzel_etal_2020_TABLE1_snapshot.csv</t>
  </si>
  <si>
    <t>HerculanoHouzel_etal_2020_Table1.csv</t>
  </si>
  <si>
    <t>https://doi.org/10.1002/cne.24985</t>
  </si>
  <si>
    <t>bats</t>
  </si>
  <si>
    <t>region size</t>
  </si>
  <si>
    <t>Bats</t>
  </si>
  <si>
    <t>volume (region size)</t>
  </si>
  <si>
    <t>TABLE 2 Numbers of neurons and neuronal density (neurons/mg)</t>
  </si>
  <si>
    <t>HerculanoHouzel_etal_2020_TABLE2_snapshot.csv</t>
  </si>
  <si>
    <t>HerculanoHouzel_etal_2020_Table2.csv</t>
  </si>
  <si>
    <t>Cell numbers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</si>
  <si>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</si>
  <si>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</si>
  <si>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</si>
  <si>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</si>
  <si>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</si>
  <si>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</si>
  <si>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</si>
  <si>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</si>
  <si>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</si>
  <si>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</si>
  <si>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</si>
  <si>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</si>
  <si>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</si>
  <si>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</si>
  <si>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</si>
  <si>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</si>
  <si>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only manually added M1 species; do all species and record steps</t>
  </si>
  <si>
    <t>mammal clades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</si>
  <si>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</si>
  <si>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</si>
  <si>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</si>
  <si>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</si>
  <si>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</si>
  <si>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</si>
  <si>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</si>
  <si>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</si>
  <si>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</si>
  <si>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</si>
  <si>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</si>
  <si>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</si>
  <si>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</si>
  <si>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JardimMesseder_etal_2017_Table1_snapshot.csv</t>
  </si>
  <si>
    <t>JardimMesseder_etal_2017_Table1.csv</t>
  </si>
  <si>
    <t>https://doi.org/10.3389/fnana.2017.00118</t>
  </si>
  <si>
    <t>companion animals</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</si>
  <si>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</si>
  <si>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</si>
  <si>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</si>
  <si>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the synaptic marker Synaptic Vesicle glycoprotein 2A (SV2A)</t>
  </si>
  <si>
    <t>Humans (+ primates)</t>
  </si>
  <si>
    <t>synaptic density (SV2A)</t>
  </si>
  <si>
    <t>Karbowski, J. (2007). Global and regional brain metabolic scaling and its functional consequences. BMC Biol, 5, 18. https://doi.org/10.1186/1741-7007-5-18</t>
  </si>
  <si>
    <t>Global and regional brain metabolic scaling (Table 1)</t>
  </si>
  <si>
    <t>meta-analysis</t>
  </si>
  <si>
    <t>brain metabolic scaling</t>
  </si>
  <si>
    <t>metabolic scaling</t>
  </si>
  <si>
    <t>Table S1. Brain oxygen consumption data in adult awake unanesthetized animals.</t>
  </si>
  <si>
    <t>brain oxygen metabolism</t>
  </si>
  <si>
    <t>secondary compilation</t>
  </si>
  <si>
    <t>metabolic rate</t>
  </si>
  <si>
    <t>Table S2. Brain glucose utilization data in adult awake unanesthetized animals.</t>
  </si>
  <si>
    <t>brain glucose metabolism</t>
  </si>
  <si>
    <t>Table S3. Visual cortex glucose utilization rate in mammals.</t>
  </si>
  <si>
    <t>Table S4</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</si>
  <si>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</si>
  <si>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</si>
  <si>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</si>
  <si>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</si>
  <si>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</si>
  <si>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</si>
  <si>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</si>
  <si>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</si>
  <si>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</si>
  <si>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</si>
  <si>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</si>
  <si>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Table S10</t>
  </si>
  <si>
    <t>Table S10. Parietal cortex glucose utilization rate in mammals.</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</si>
  <si>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</si>
  <si>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</si>
  <si>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</si>
  <si>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</si>
  <si>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</si>
  <si>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</si>
  <si>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</si>
  <si>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</si>
  <si>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</si>
  <si>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</si>
  <si>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</si>
  <si>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</si>
  <si>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</si>
  <si>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</si>
  <si>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</si>
  <si>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</si>
  <si>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</si>
  <si>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</si>
  <si>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</si>
  <si>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</si>
  <si>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</si>
  <si>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</si>
  <si>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</si>
  <si>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</si>
  <si>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</si>
  <si>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</si>
  <si>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</si>
  <si>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</si>
  <si>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</si>
  <si>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</si>
  <si>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</si>
  <si>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</si>
  <si>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</si>
  <si>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Kaufman__2004_TableA1_snapshot.csv</t>
  </si>
  <si>
    <t>Kaufman__2004_TableA1.csv</t>
  </si>
  <si>
    <t>Doctoral dissertation (not in PubMed; no DOI). Use ProQuest Dissertations &amp; Theses number (or WashU OpenScholarship URI) as the identifier - add the actual number.</t>
  </si>
  <si>
    <t>brain/body scaling</t>
  </si>
  <si>
    <t>metabolic / brain-body scaling</t>
  </si>
  <si>
    <t>Table A2</t>
  </si>
  <si>
    <t>Table A2. Hippocampus rCMR and rCBF</t>
  </si>
  <si>
    <t>Kaufman__2004_TableA2_snapshot.csv</t>
  </si>
  <si>
    <t>Kaufman__2004_TableA2.csv</t>
  </si>
  <si>
    <t>Table A3</t>
  </si>
  <si>
    <t>Table A3. Thalamus rCMR and rCBF</t>
  </si>
  <si>
    <t>Kaufman__2004_TableA3_snapshot.csv</t>
  </si>
  <si>
    <t>Kaufman__2004_TableA3.csv</t>
  </si>
  <si>
    <t>Table A4</t>
  </si>
  <si>
    <t>Table A4. Cerebellum rCMR and rCBF</t>
  </si>
  <si>
    <t>Kaufman__2004_TableA4_snapshot.csv</t>
  </si>
  <si>
    <t>Kaufman__2004_TableA4.csv</t>
  </si>
  <si>
    <t>Table A5</t>
  </si>
  <si>
    <t>Table A5. White Matter rCMR and rCBF</t>
  </si>
  <si>
    <t>Kaufman__2004_TableA5_snapshot.csv</t>
  </si>
  <si>
    <t>Kaufman__2004_TableA5.csv</t>
  </si>
  <si>
    <t>Table A6</t>
  </si>
  <si>
    <t>Table A6. Neocortex rCMR and rCBF</t>
  </si>
  <si>
    <t>Kaufman__2004_TableA6_snapshot.csv</t>
  </si>
  <si>
    <t>Kaufman__2004_TableA6.csv</t>
  </si>
  <si>
    <t>Table A7</t>
  </si>
  <si>
    <t>Table A7. Frontal Cortex rCMR and rCBF</t>
  </si>
  <si>
    <t>Kaufman__2004_TableA7_snapshot.csv</t>
  </si>
  <si>
    <t>Kaufman__2004_TableA7.csv</t>
  </si>
  <si>
    <t>Table A8</t>
  </si>
  <si>
    <t>Table A8. Parietal Cortex rCMR and rCBF</t>
  </si>
  <si>
    <t>Kaufman__2004_TableA8_snapshot.csv</t>
  </si>
  <si>
    <t>Kaufman__2004_TableA8.csv</t>
  </si>
  <si>
    <t>Table A9</t>
  </si>
  <si>
    <t>Table A9. Temporal Cortex rCMR and rCBF</t>
  </si>
  <si>
    <t>Kaufman__2004_TableA9_snapshot.csv</t>
  </si>
  <si>
    <t>Kaufman__2004_TableA9.csv</t>
  </si>
  <si>
    <t>Table A10</t>
  </si>
  <si>
    <t>Table A10. Auditory Cortex rCMR and rCBF</t>
  </si>
  <si>
    <t>Kaufman__2004_TableA10_snapshot.csv</t>
  </si>
  <si>
    <t>Kaufman__2004_TableA10.csv</t>
  </si>
  <si>
    <t>Table A11</t>
  </si>
  <si>
    <t>Table A11. Occipital Cortex rCMR and rCBF</t>
  </si>
  <si>
    <t>Kaufman__2004_TableA11_snapshot.csv</t>
  </si>
  <si>
    <t>Kaufman__2004_TableA11.csv</t>
  </si>
  <si>
    <t>Table A12</t>
  </si>
  <si>
    <t>Table A12. Sensorimotor Cortex rCMR and rCBF</t>
  </si>
  <si>
    <t>Kaufman__2004_TableA12_snapshot.csv</t>
  </si>
  <si>
    <t>Kaufman__2004_TableA12.csv</t>
  </si>
  <si>
    <t>Table A13</t>
  </si>
  <si>
    <t>Table A13. Cingulate Cortex rCMR and rCBF</t>
  </si>
  <si>
    <t>Kaufman__2004_TableA13_snapshot.csv</t>
  </si>
  <si>
    <t>Kaufman__2004_TableA13.csv</t>
  </si>
  <si>
    <t>Table A14</t>
  </si>
  <si>
    <t>Table A14. Whole Brain CM R and CBF (direct measurement)</t>
  </si>
  <si>
    <t>Kaufman__2004_TableA14_snapshot.csv</t>
  </si>
  <si>
    <t>Kaufman__2004_TableA14.csv</t>
  </si>
  <si>
    <t>Table A15</t>
  </si>
  <si>
    <t>Table A15. Species Means in Conscious Subjects</t>
  </si>
  <si>
    <t>Kaufman__2004_TableA15_snapshot.csv</t>
  </si>
  <si>
    <t>Kaufman__2004_TableA15.csv</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</si>
  <si>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</si>
  <si>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</si>
  <si>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data that are extracted from bar plots</t>
  </si>
  <si>
    <t>figure</t>
  </si>
  <si>
    <t>Extended Data Table 1</t>
  </si>
  <si>
    <t>Extended Data Table 3</t>
  </si>
  <si>
    <t>Figure 3 legend</t>
  </si>
  <si>
    <t>Figure 3. Comparisons of the relative volumes of the parcellated brain regions among NT, EH and MH.</t>
  </si>
  <si>
    <t>data that are written in the legend</t>
  </si>
  <si>
    <t>figure legend</t>
  </si>
  <si>
    <t>Figure 3A</t>
  </si>
  <si>
    <t>Figure 3B</t>
  </si>
  <si>
    <t>FossilSpecimensText</t>
  </si>
  <si>
    <t>Main text</t>
  </si>
  <si>
    <t>Fossil Specimens description in Main text</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</si>
  <si>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</si>
  <si>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</si>
  <si>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</si>
  <si>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</si>
  <si>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Kverkova_etal_2018_Table1_snapshot.xlsx</t>
  </si>
  <si>
    <t>Kverkova_etal_2018_TableS1.csv</t>
  </si>
  <si>
    <t>docx</t>
  </si>
  <si>
    <t>Kverkova</t>
  </si>
  <si>
    <t>African mole-rats (Bathyergidae)</t>
  </si>
  <si>
    <t>sample size and information</t>
  </si>
  <si>
    <t>Rodents (African mole-rats +)</t>
  </si>
  <si>
    <t>sample info</t>
  </si>
  <si>
    <t>Table S1. Brain mass and brain region volumes</t>
  </si>
  <si>
    <t>Kverkova_etal_2018_TableS1_snapshot.xlsx</t>
  </si>
  <si>
    <t>https://static-content.springer.com/esm/art%3A10.1038%2Fs41598-018-26062-8/MediaObjects/41598_2018_26062_MOESM1_ESM.docx</t>
  </si>
  <si>
    <t>primary; secondary brain and body mass</t>
  </si>
  <si>
    <t>Table S5. Numbers of neurons in the whole brain and the major brain divisions</t>
  </si>
  <si>
    <t>Kverkova_etal_2018_TableS5_snapshot.csv</t>
  </si>
  <si>
    <t>Kverkova_etal_2018_TableS5.csv</t>
  </si>
  <si>
    <t>docx online</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</si>
  <si>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</si>
  <si>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</si>
  <si>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</si>
  <si>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</si>
  <si>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</si>
  <si>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</si>
  <si>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</si>
  <si>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</si>
  <si>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 Neocortical neuron number for Figure 3d</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</si>
  <si>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</si>
  <si>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</si>
  <si>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</si>
  <si>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</si>
  <si>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</si>
  <si>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</si>
  <si>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</si>
  <si>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</si>
  <si>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</si>
  <si>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</si>
  <si>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Rilling</t>
  </si>
  <si>
    <t>MRI</t>
  </si>
  <si>
    <t>cerebellum / neocerebellum volume</t>
  </si>
  <si>
    <t>Table 2 Volumetric data from the Hirnforschung sample</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</si>
  <si>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</si>
  <si>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</si>
  <si>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</si>
  <si>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various secondary and primary data, e.g., ecology</t>
  </si>
  <si>
    <t>number of vocalizations</t>
  </si>
  <si>
    <t>behavioural (cognition / vocalization)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</si>
  <si>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</si>
  <si>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</si>
  <si>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</si>
  <si>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complex II. Cerebellar nuclei (Table 1)</t>
  </si>
  <si>
    <t>cerebellar nuclei volume</t>
  </si>
  <si>
    <t>Matano, S., Stephan, H., &amp; Baron, G. (1985). Volume comparisons in the cerebellar complex of primates. I. Ventral pons. Folia Primatol (Basel), 44(3-4), 171-181. https://doi.org/10.1159/000156211</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</si>
  <si>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</si>
  <si>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</si>
  <si>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</si>
  <si>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</si>
  <si>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</si>
  <si>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total and exposed cortical surface area</t>
  </si>
  <si>
    <t>white matter &amp; folding</t>
  </si>
  <si>
    <t>white matter volume / folding</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</si>
  <si>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</si>
  <si>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</si>
  <si>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</si>
  <si>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</si>
  <si>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</si>
  <si>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</si>
  <si>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</si>
  <si>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Rilling, J. K., &amp; Insel, T. R. (1999). The primate neocortex in comparative perspective using magnetic resonance imaging. J Hum Evol, 37(2), 191-223. https://doi.org/10.1006/jhev.1999.0313</t>
  </si>
  <si>
    <t>Table 1 Data on 11 species of anthropoid primates</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</si>
  <si>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</si>
  <si>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</si>
  <si>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</si>
  <si>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</si>
  <si>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</si>
  <si>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</si>
  <si>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</si>
  <si>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</si>
  <si>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</si>
  <si>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</si>
  <si>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</si>
  <si>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</si>
  <si>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</si>
  <si>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</si>
  <si>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</si>
  <si>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TableS1</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</si>
  <si>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</si>
  <si>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</si>
  <si>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</si>
  <si>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</si>
  <si>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t>
  </si>
  <si>
    <t>TABLE I. Structure Volumes From Formalin-Fixed Brains (Volumes in cm3)</t>
  </si>
  <si>
    <t>Sherwood</t>
  </si>
  <si>
    <t>Hof</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</si>
  <si>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</si>
  <si>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</si>
  <si>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</si>
  <si>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</si>
  <si>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</si>
  <si>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</si>
  <si>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need to record steps</t>
  </si>
  <si>
    <t>tables</t>
  </si>
  <si>
    <t>GLI: laminar and profiles</t>
  </si>
  <si>
    <t>cytoarchitecture (GLI laminar profiles)</t>
  </si>
  <si>
    <t>Table 5. Species mean values for 10 GLI profile feature vectors</t>
  </si>
  <si>
    <t>Smaers, J. B., &amp; Soligo, C. (2013). Brain reorganization, not relative brain size, primarily characterizes anthropoid brain evolution. Proceedings of the Royal Society B, 280(1759), 20130269</t>
  </si>
  <si>
    <t>10.1098/rspb.2013.0269</t>
  </si>
  <si>
    <t>Supplement</t>
  </si>
  <si>
    <t>Brain region volumes and phylogenetic reorganization analysis.</t>
  </si>
  <si>
    <t>brain region volumes / reorganization</t>
  </si>
  <si>
    <t>Anthropoid primates</t>
  </si>
  <si>
    <t>Smaers, J. B., Gomez-Robles,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</si>
  <si>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</si>
  <si>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</si>
  <si>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</si>
  <si>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Smaers (compilation)</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</si>
  <si>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</si>
  <si>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</si>
  <si>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both (compilation)</t>
  </si>
  <si>
    <t>Table S1 part 2</t>
  </si>
  <si>
    <t>part 2 surface areas</t>
  </si>
  <si>
    <t>Smaers, J. B., Steele, J., Case, C. R., Cowper, A., Amunts, K., &amp; Zilles, K. (2011). Primate prefrontal cortex evolution: human brains are the extreme of a lateralized ape trend. Brain Behav Evol, 77(2), 67-78. https://doi.org/10.1159/000323671</t>
  </si>
  <si>
    <t>SupplementaryTable1</t>
  </si>
  <si>
    <t>prefrontal cortex / cortical reorganization</t>
  </si>
  <si>
    <t>SupplementaryTable2</t>
  </si>
  <si>
    <t>Smaers, J. B., Turner, A. H., Gómez-Robles, A., &amp; Sherwood, C. C. (2018). A cerebellar substrate for cognition evolved multiple times independently in mammals. eLife, 7, e35696</t>
  </si>
  <si>
    <t>10.7554/eLife.35696</t>
  </si>
  <si>
    <t>Figure 2 - data 1</t>
  </si>
  <si>
    <t>Cerebellum and cerebrotype volumes across mammals.</t>
  </si>
  <si>
    <t>cerebellum / cerebrotype 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</si>
  <si>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</si>
  <si>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</si>
  <si>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</si>
  <si>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accessory olfactory bulb volume</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</si>
  <si>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</si>
  <si>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</si>
  <si>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</si>
  <si>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</si>
  <si>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</si>
  <si>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</si>
  <si>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</si>
  <si>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</si>
  <si>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t>
  </si>
  <si>
    <t>TABLE 3 Data on body and brain weight (in g and mg) and volume of the fundemental brain sections (in mm3) in Simians</t>
  </si>
  <si>
    <t>TABLE 4</t>
  </si>
  <si>
    <t>TABLE 4 Volume of the various components of the telencephalon in Insectivores (in mm3)</t>
  </si>
  <si>
    <t>TABLE 5</t>
  </si>
  <si>
    <t>TABLE 5 Volume of the various components of the telencephalon in Prosimians (in mm3)</t>
  </si>
  <si>
    <t>TABLE 6</t>
  </si>
  <si>
    <t>TABLE 6 Volume of the various components of the telencephalon in Simians (in mm3)</t>
  </si>
  <si>
    <t>Tables 1-6</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</si>
  <si>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</si>
  <si>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</si>
  <si>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</si>
  <si>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</si>
  <si>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</si>
  <si>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</si>
  <si>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</si>
  <si>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</si>
  <si>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</si>
  <si>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</si>
  <si>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</si>
  <si>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</si>
  <si>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</si>
  <si>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</si>
  <si>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</si>
  <si>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</si>
  <si>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t>
  </si>
  <si>
    <t>Table IV: Volumes of the telencephalon and of its components (mm3) in insectivores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</si>
  <si>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</si>
  <si>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</si>
  <si>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</si>
  <si>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</si>
  <si>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</si>
  <si>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</si>
  <si>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</si>
  <si>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</si>
  <si>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IX</t>
  </si>
  <si>
    <t>Table IX. Volumes of visual cortex (area striata) and lateral geniculate body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</si>
  <si>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</si>
  <si>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</si>
  <si>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</si>
  <si>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</si>
  <si>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</si>
  <si>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</si>
  <si>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</si>
  <si>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</si>
  <si>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</si>
  <si>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</si>
  <si>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</si>
  <si>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</si>
  <si>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</si>
  <si>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</si>
  <si>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TablesI-VI</t>
  </si>
  <si>
    <t>Tables I-VI combined. The file name should be changed!</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</si>
  <si>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</si>
  <si>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</si>
  <si>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</si>
  <si>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</si>
  <si>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</si>
  <si>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</si>
  <si>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</si>
  <si>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</si>
  <si>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</si>
  <si>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A-15</t>
  </si>
  <si>
    <t>Table A-15: Data for Raw and Derived Variables</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</si>
  <si>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</si>
  <si>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</si>
  <si>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</si>
  <si>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</si>
  <si>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</si>
  <si>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</si>
  <si>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</si>
  <si>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t>
  </si>
  <si>
    <t>table and figure</t>
  </si>
  <si>
    <t>play vocalizations</t>
  </si>
  <si>
    <t>behavioural (play vocalizations)</t>
  </si>
  <si>
    <t>Young, N. A., Collins, C. E., &amp; Kaas, J. H. (2013). Cell and neuron densities in the primary motor cortex of primates [Original Research]. Front Neural Circuits, 7(30), 30. https://doi.org/10.3389/fncir.2013.00030</t>
  </si>
  <si>
    <t>M1 Cell count, surface area, mass</t>
  </si>
  <si>
    <t>cell count + cortical surface area</t>
  </si>
  <si>
    <t>Young, N. A., Szabo, C. A., Phelix, C. F., Flaherty, D. K., Balaram, P., Foust-Yeoman, K. B., Collins, C. E., &amp; Kaas, J. H. (2013). Epileptic baboons have lower numbers of neurons in specific areas of cortex. Proc Natl Acad Sci U S A, 110(47), 19107-19112. https://doi.org/10.1073/pnas.1318894110</t>
  </si>
  <si>
    <t>Epileptic baboons: cortical neuron numbers (Table 1) [folder _b]</t>
  </si>
  <si>
    <t>cortical neuron numbers</t>
  </si>
  <si>
    <t>Primates (+ rodents)</t>
  </si>
  <si>
    <t>cortical neuron number</t>
  </si>
  <si>
    <t>Zilles, K., &amp; Rehkämper, G. (1988). The brain, with special reference to the telencephalon. In J. H. Schwartz (Ed.), Orang-Utan Biology (pp. 157-176). Oxford University Press</t>
  </si>
  <si>
    <t>ISBN:9780195043716</t>
  </si>
  <si>
    <t>Table 12-2</t>
  </si>
  <si>
    <t>Brain structure volumes of great apes (Pan, Gorilla, Pongo).</t>
  </si>
  <si>
    <t>telencephalon &amp; brain-structure volumes</t>
  </si>
  <si>
    <t>Great apes (Pan, Gorilla, Pongo)</t>
  </si>
  <si>
    <t>Zilles, K., Palomero-Gallagher, N., &amp; Amunts, K. (2013). Development of cortical folding during evolution and ontogeny. Trends Neurosci, 36(5), 275-284. https://doi.org/10.1016/j.tins.2013.01.006</t>
  </si>
  <si>
    <t>Development of cortical folding (review)</t>
  </si>
  <si>
    <t>cortical folding / gyrification</t>
  </si>
  <si>
    <t>Mammals (+ primates)</t>
  </si>
  <si>
    <t>cortical folding (gyrification index)</t>
  </si>
  <si>
    <t>Table 2. Regression results for the relationship between endocranial volume and the surface of the frontal, parieto-temporal and occipital lobes.</t>
  </si>
  <si>
    <t>Table A-11</t>
  </si>
  <si>
    <t>Table A-11: PCF and CBLM Volume from MRI Scans (34 specimens).</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</si>
  <si>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</si>
  <si>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3. Average Neuron Number x10^6 (SD) for each nucleus in each species</t>
  </si>
  <si>
    <t>amygdala neuron numbers (basolateral + central nuclei)</t>
  </si>
  <si>
    <t>neuron count (stereology)</t>
  </si>
  <si>
    <t>Brodmann, K. (1913). Neue Ergebnisse über die vergleichende histologische Lokalisation der Grosshirnrinde mit besonderer Berücksichtigung des Stirnhirns. Verhandlungen der Anatomischen Gesellschaft, 41, 157-216.</t>
  </si>
  <si>
    <t>OCLC:8777719</t>
  </si>
  <si>
    <t>Tabelle 1. Gesamtrindenfläche, Furchenrinde und Hirngewicht bei verschiedenen Säugetieren</t>
  </si>
  <si>
    <t>total cortical surface area; sulcal cortex; brain weight</t>
  </si>
  <si>
    <t>Mammalia (all orders)</t>
  </si>
  <si>
    <t>surface area (mm2) + mass (g)</t>
  </si>
  <si>
    <t>Matano, S. (1992). A Comparative Neuroprimatological Study on the Inferior Olivary Nuclei (from the Stephan Collection). J Anthropol Soc Nip, 100(1), 69-82. https://doi.org/10.1537/ase1911.100.69</t>
  </si>
  <si>
    <t>Matano, S. (1986). A volumetric comparison of the vestibular nuclei in primates. Folia Primatol (Basel), 47(4), 189-203. https://doi.org/10.1159/000156277</t>
  </si>
  <si>
    <t>Baron, G., Stephan, H., &amp; Frahm, H. D. (1996). Comparative Neurobiology in Chiroptera: Macromorphology, Brain Structures, Tables, and Atlases. Birkhaeuser.</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</si>
  <si>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</si>
  <si>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Kazu, R. S., Maldonado, J., Mota, B., Manger, P. R., &amp; Herculano-Houzel, S. (2014). Cellular scaling rules for the brain of Artiodactyla include a highly folded cortex with few neurons. Front Neuroanat, 8, 128. https://doi.org/10.3389/fnana.2014.00128</t>
  </si>
  <si>
    <t>Olkowicz, S., Kocourek, M., Lucan, R. K., Portes, M., Fitch, W. T., Herculano-Houzel, S., &amp; Nemec, P. (2016). Birds have primate-like numbers of neurons in the forebrain. Proc Natl Acad Sci U S A, 113(26), 7255-7260. https://doi.org/10.1073/pnas.1517131113</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</si>
  <si>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</si>
  <si>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Lyamin, O. I., Manger, P. R., Ridgway, S. H., Mukhametov, L. M., &amp; Siegel, J. M. (2008). Cetacean sleep: an unusual form of mammalian sleep. Neurosci Biobehav Rev, 32(8), 1451-1484. https://doi.org/10.1016/j.neubiorev.2008.05.023</t>
  </si>
  <si>
    <t>Ruf, T., &amp; Geiser, F. (2015). Daily torpor and hibernation in birds and mammals. Biol Rev Camb Philos Soc, 90(3), 891-926. https://doi.org/10.1111/brv.12137</t>
  </si>
  <si>
    <t>Capellini, I., Barton, R. A., McNamara, P., Preston, B. T., &amp; Nunn, C. L. (2008). Phylogenetic analysis of the ecology and evolution of mammalian sleep. Evolution, 62(7), 1764-1776. https://doi.org/10.1111/j.1558-5646.2008.00392.x</t>
  </si>
  <si>
    <t>de Jager, E., Prigge, L., Amod, N., Oettle, A., &amp; Beaudet, A. (2022). Exploring the relationship between soft and hard tissues: The example of vertebral arteries and transverse foramina. J Anat, 241(2), 447-452. https://doi.org/10.1111/joa.13681</t>
  </si>
  <si>
    <t>Fritsches, K. A., Brill, R. W., &amp; Warrant, E. J. (2005). Warm eyes provide superior vision in swordfishes. Curr Biol, 15(1), 55-58. https://doi.org/10.1016/j.cub.2004.12.064</t>
  </si>
  <si>
    <t>Fig 2</t>
  </si>
  <si>
    <t>Manger, P. R. (2006). An examination of cetacean brain structure with a novel hypothesis correlating thermogenesis to the evolution of a big brain. Biol Rev Camb Philos Soc, 81(2), 293-338. https://doi.org/10.1017/S1464793106007019</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</si>
  <si>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</si>
  <si>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Medina-Gonzalez, P. (2026). Joint Angular Excursions and Angular Range Utilization During Stance-Phase Locomotion in Terrestrial Mammals: A Comparative Morphofunctional Data Set. J Exp Zool A Ecol Integr Physiol, 345(4), 361-376. https://doi.org/10.1002/jez.70069</t>
  </si>
  <si>
    <t>Liu, M. J., Xiong, C. H., &amp; Hu, D. (2016). Assessing the manipulative potentials of monkeys, apes and humans from hand proportions: implications for hand evolution. Proc Biol Sci, 283(1843). https://doi.org/10.1098/rspb.2016.1923</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</si>
  <si>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</si>
  <si>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</si>
  <si>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 Comp Neurol, 526(3), 496-536. https://doi.org/10.1002/cne.24349</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</si>
  <si>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</si>
  <si>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 xml:space="preserve">DOI if different from article or doi Alt </t>
  </si>
  <si>
    <t xml:space="preserve"> </t>
  </si>
  <si>
    <t xml:space="preserve">Table 1 .IX. Trigeminal complex </t>
  </si>
  <si>
    <t xml:space="preserve">Extended Data Figure 4  Comparisons of the relative volumes of the parcellated brain regions among NT, EH and MH, assuming that the variation within NT and EH was equivalent to that of MH. </t>
  </si>
  <si>
    <t xml:space="preserve">Extended Data Table 1 Correspondence between the AAL atlas and the parcellated brain regions </t>
  </si>
  <si>
    <t xml:space="preserve">Extended Data Table 3 Statistical test results of differences in the relative volumes of the parcellated brain regions among NT, EH and MH. </t>
  </si>
  <si>
    <t>Heuer, K., Gulban, O. F., Bazin, P. L., Osoianu, A., Valabregue, R., Santin, M., Herbin, M., &amp; Toro, R. (2019). Evolution of neocortical folding: A phylogenetic comparative analysis of MRI from 34 primate species. Cortex, 118, 275-291. https://doi.org/10.1016/j.cortex.2019.04.011</t>
  </si>
  <si>
    <t>sleep-data_Female</t>
  </si>
  <si>
    <t>sleep-data_Male</t>
  </si>
  <si>
    <t>sleep-data_Mixed</t>
  </si>
  <si>
    <t>all data downloaded from database cited in paper with search term Sex = Female</t>
  </si>
  <si>
    <t>all data downloaded from database cited in paper with search term Sex = Male</t>
  </si>
  <si>
    <t>all data downloaded from database cited in paper with search term Sex = Mixed</t>
  </si>
  <si>
    <t>Weaver, A. H. (2005). Reciprocal evolution of the cerebellum and neocortex in fossil humans. Proc Natl Acad Sci U S A, 102(10), 3576-3580. https://doi.org/10.1073/pnas.0500692102</t>
  </si>
  <si>
    <t>no raw data in the paper, but can check the figure values against Weaver dissertation data</t>
  </si>
  <si>
    <t>Reader, S. M., Hager, Y., &amp; Laland, K. N. (2011). The evolution of primate general and cultural intelligence. Phil Trans R Soc B, 366(1567), 1017-1027. https://doi.org/10.1098/rstb.2010.0342</t>
  </si>
  <si>
    <t>Navarrete, A. F., Reader, S. M., Street, S. E., Whalen, A., &amp; Laland, K. N. (2016). The coevolution of innovation and technical intelligence in primates. Philos Trans R Soc Lond B Biol Sci, 371(1690). https://doi.org/10.1098/rstb.2015.0186</t>
  </si>
  <si>
    <t>Nudo, R. J., Sutherland, D. P., &amp; Masterton, R. B. (1995). Variation and evolution of mammalian corticospinal somata with special reference to primates. J Comp Neurol, 358(2), 181-205. https://doi.org/10.1002/cne.903580203</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</si>
  <si>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</si>
  <si>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Changizi, M. A., &amp; Shimojo, S. (2005). Parcellation and area-area connectivity as a function of neocortex size. Brain Behavior and Evolution, 66(2), 88-98. https://doi.org/10.1159/000085942</t>
  </si>
  <si>
    <t>FINISHED</t>
  </si>
  <si>
    <t>none - digital-native (sleep-data_Female.csv IS the frozen source)</t>
  </si>
  <si>
    <t>Capellini_etal_2008_sleep-dataFemale.csv</t>
  </si>
  <si>
    <t>csv</t>
  </si>
  <si>
    <t>table</t>
  </si>
  <si>
    <t>Capellini</t>
  </si>
  <si>
    <t>one row per primary study x species x sex class, not per species - aggregate at the merge. Citation-dependent with HerculanoHouzel__2015_Table1 for daily sleep (both descend from Zepelin / Campbell &amp; Tobler) - resolve, never average.</t>
  </si>
  <si>
    <t>sleep (total sleep time, REM, NREM)</t>
  </si>
  <si>
    <t>Mammals</t>
  </si>
  <si>
    <t>secondary compilation</t>
  </si>
  <si>
    <t>secondary</t>
  </si>
  <si>
    <t>sleep (h/day, REM %)</t>
  </si>
  <si>
    <t>none - digital-native (sleep-data_Male.csv IS the frozen source)</t>
  </si>
  <si>
    <t>Capellini_etal_2008_sleep-dataMale.csv</t>
  </si>
  <si>
    <t>none - digital-native (sleep-data_Mixed.csv IS the frozen source)</t>
  </si>
  <si>
    <t>Capellini_etal_2008_sleep-dataMixed.csv</t>
  </si>
  <si>
    <t>Changizi_Shimojo_2005_Table1_snapshot.xlsx</t>
  </si>
  <si>
    <t>Changizi_Shimojo_2005_Table1.csv</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</si>
  <si>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</si>
  <si>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</si>
  <si>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average relative size of cortical areas; brain mass; EQ</t>
  </si>
  <si>
    <t>both (authors' own measurements of other groups' published flattened maps + compiled brain mass/EQ)</t>
  </si>
  <si>
    <t>cortical parcellation (mean relative area size)</t>
  </si>
  <si>
    <t>Changizi_Shimojo_2005_Table2_snapshot.xlsx</t>
  </si>
  <si>
    <t>Changizi_Shimojo_2005_Table2.csv</t>
  </si>
  <si>
    <t>16 animals; blanks are 'not measured', NEVER zero, and are the main hazard in this table - a shifted row misassigns M1. Mouse's row is entirely blank and is kept as printed. V2, A1, S1 and M1 are not yet in _keys/anatomy_reference.csv.</t>
  </si>
  <si>
    <t>relative size of V1, V2, A1, S1 and M1 (% of neocortex)</t>
  </si>
  <si>
    <t>cortical area relative size (pct neocortex)</t>
  </si>
  <si>
    <t>Changizi_Shimojo_2005_Table3_snapshot.xlsx</t>
  </si>
  <si>
    <t>Changizi_Shimojo_2005_Table3.csv</t>
  </si>
  <si>
    <t>10 sensory / somato-motor subnetworks compiled from other groups' connectivity matrices.</t>
  </si>
  <si>
    <t>number of cortical areas and area-area connections per subnetwork</t>
  </si>
  <si>
    <t>cortical connectivity (areas, edges)</t>
  </si>
  <si>
    <t>Changizi_Shimojo_2005_Table4_snapshot.xlsx</t>
  </si>
  <si>
    <t>Changizi_Shimojo_2005_Table4.csv</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</si>
  <si>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</si>
  <si>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area-area connections per cortical area</t>
  </si>
  <si>
    <t>cortical connectivity (connections per area)</t>
  </si>
  <si>
    <t>Changizi_Shimojo_2005_Table5_snapshot.xlsx</t>
  </si>
  <si>
    <t>Changizi_Shimojo_2005_Table5.csv</t>
  </si>
  <si>
    <t>11 rows, derived from Table 4: 10^mean(log10 x) and the sample SD of log10 x reproduce Table 5's mean AND SD to 2 dp for all 9 recomputable animals. Rat SD = 0 is a true zero (n = 1).</t>
  </si>
  <si>
    <t>average number of area connections per area</t>
  </si>
  <si>
    <t>cortical connectivity (mean connections per area)</t>
  </si>
  <si>
    <t>Table 1</t>
  </si>
  <si>
    <t>Heuer_etal_2019_Table1_snapshot.xlsx</t>
  </si>
  <si>
    <t>Heuer_etal_2019_Table1.csv</t>
  </si>
  <si>
    <t>pdf</t>
  </si>
  <si>
    <t>Heuer/Toro</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</si>
  <si>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</si>
  <si>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MRI sample roster (34 primate species, 65 individuals) - no folding value</t>
  </si>
  <si>
    <t>Primates</t>
  </si>
  <si>
    <t>metadata (sample composition)</t>
  </si>
  <si>
    <t>Table 3</t>
  </si>
  <si>
    <t>Jacobs_etal_2018_Table3_snapshot.xlsx</t>
  </si>
  <si>
    <t>Jacobs_etal_2018_Table3.csv</t>
  </si>
  <si>
    <t>Jacobs/Manger</t>
  </si>
  <si>
    <t>regional M1 sub-trait - never pool with whole-cortex neuron counts. neuron_class (pyramidal vs gigantopyramidal) must stay explicit. Not interchangeable with the Golgi measures in Table 5.</t>
  </si>
  <si>
    <t>gigantopyramidal (Betz) and layer V pyramidal soma size in M1</t>
  </si>
  <si>
    <t>Carnivores &amp; Primates</t>
  </si>
  <si>
    <t>primary</t>
  </si>
  <si>
    <t>cell morphology (soma size, unbiased stereology, M1 regional)</t>
  </si>
  <si>
    <t>Kazu_etal_2014_Table1_snapshot.xlsx</t>
  </si>
  <si>
    <t>Kazu_etal_2014_Table1.csv</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</si>
  <si>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</si>
  <si>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cellular composition of artiodactyl brains, by sub-structure</t>
  </si>
  <si>
    <t>Artiodactyla</t>
  </si>
  <si>
    <t>Table S1</t>
  </si>
  <si>
    <t>Liu_etal_2016_TableS1_snapshot.xlsx</t>
  </si>
  <si>
    <t>Liu_etal_2016_TableS1.csv</t>
  </si>
  <si>
    <t>pdf (SI)</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</si>
  <si>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</si>
  <si>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</si>
  <si>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hand manipulability (workspace, global manipulation index)</t>
  </si>
  <si>
    <t>derived from primary (Feix et al. 2015)</t>
  </si>
  <si>
    <t>hand morphology / manipulability index</t>
  </si>
  <si>
    <t>Tables1to4</t>
  </si>
  <si>
    <t>Nudo_etal_1995_TABLE1_snapshot.xlsx</t>
  </si>
  <si>
    <t>Nudo_etal_1995_TABLE1.csv</t>
  </si>
  <si>
    <t>Nudo/Masterton</t>
  </si>
  <si>
    <t>24 species. The paper states outright (p.184) that these values are 'retabulated here' from Nudo &amp; Masterton 1989 / 1990b, neither of which is in the repo - run crosspub_value_match.R if either is ever built.</t>
  </si>
  <si>
    <t>body weight, brain weight, neocortical surface area</t>
  </si>
  <si>
    <t>secondary (retabulated)</t>
  </si>
  <si>
    <t>body / brain mass + cortical surface area</t>
  </si>
  <si>
    <t>Nudo_etal_1995_TABLE2_snapshot.xlsx</t>
  </si>
  <si>
    <t>Nudo_etal_1995_TABLE2.csv</t>
  </si>
  <si>
    <t>24 species x regions A/B/C/C'. Verified internally: correction term = 100/(100+soma diameter) in 24/24; corrected count = profiles x correction term in 24/24; regions sum to the total in 23/24 (green monkey off by 1, rounding). Printed 0 in C/C' is a TRUE zero (region absent).</t>
  </si>
  <si>
    <t>number and percentage of corticospinal somata per cortical region</t>
  </si>
  <si>
    <t>corticospinal neuron counts (regional)</t>
  </si>
  <si>
    <t>Nudo_etal_1995_TABLE3_snapshot.xlsx</t>
  </si>
  <si>
    <t>Nudo_etal_1995_TABLE3.csv</t>
  </si>
  <si>
    <t>9 orders. PROVED derived: all 72 cells reproduce exactly as the unweighted order-wise mean of TABLE 2. DO NOT MERGE - it would double-count TABLE 2.</t>
  </si>
  <si>
    <t>corticospinal somata by taxonomic order</t>
  </si>
  <si>
    <t>derived from TABLE 2</t>
  </si>
  <si>
    <t>corticospinal neuron counts (order means)</t>
  </si>
  <si>
    <t>Nudo_etal_1995_TABLE4_snapshot.xlsx</t>
  </si>
  <si>
    <t>Nudo_etal_1995_TABLE4.csv</t>
  </si>
  <si>
    <t>24 species. The caption's 'cells/mm' is a text-layer artefact - the page prints a true superscript 2. Region A &gt;= B, C, C' in 24/24.</t>
  </si>
  <si>
    <t>maximum surface density of corticospinal somata</t>
  </si>
  <si>
    <t>corticospinal soma density (cells/mm2)</t>
  </si>
  <si>
    <t>Nudo_etal_1995_TABLE5_snapshot.xlsx</t>
  </si>
  <si>
    <t>Nudo_etal_1995_TABLE5.csv</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</si>
  <si>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</si>
  <si>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nine morphological characteristics of corticospinal somata</t>
  </si>
  <si>
    <t>corticospinal soma morphology</t>
  </si>
  <si>
    <t>Data</t>
  </si>
  <si>
    <t>none - digital-native (Dryad Data_ReaderHagerLalandPhilTrans2011.csv)</t>
  </si>
  <si>
    <t>Reader_etal_2011_Data.csv</t>
  </si>
  <si>
    <t>csv (Dryad doi:10.5061/dryad.t0q94)</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</si>
  <si>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</si>
  <si>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</si>
  <si>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behavioural innovation / technical intelligence</t>
  </si>
  <si>
    <t>primary (authors' own systematic literature survey)</t>
  </si>
  <si>
    <t>behavioural (report counts: innovation, tool use, extractive foraging, social learning)</t>
  </si>
  <si>
    <t>Ribeiro_etal_2013_Table1_snapshot.xlsx</t>
  </si>
  <si>
    <t>Ribeiro_etal_2013_Table1.csv</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</si>
  <si>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</si>
  <si>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regional neuronal and other-cell density in human cerebral cortex</t>
  </si>
  <si>
    <t>Human</t>
  </si>
  <si>
    <t>cell density (regional cortex)</t>
  </si>
  <si>
    <t>S1</t>
  </si>
  <si>
    <t>none - digital-native (S1_QCtable_mmc1.tsv, unpacked from mmc1.zip)</t>
  </si>
  <si>
    <t>Heuer_etal_2019_S1.csv</t>
  </si>
  <si>
    <t>zipped tsv</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</si>
  <si>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</si>
  <si>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</si>
  <si>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MRI scan quality and provenance (66 specimens) - no folding value</t>
  </si>
  <si>
    <t>metadata (MRI scan QC)</t>
  </si>
  <si>
    <t>Jacobs_etal_2018_Table5_snapshot.xlsx</t>
  </si>
  <si>
    <t>Jacobs_etal_2018_Table5.csv</t>
  </si>
  <si>
    <t>Jacobs/Manger</t>
  </si>
  <si>
    <t>617 traced neurons, 19 species. Regional M1 sub-trait - never pool with whole-cortex counts. neuron_type must stay explicit. Golgi tracing is NOT interchangeable with the stereology in Table 3. gigantopyramidal_absent is a real biological zero in mongoose, rabbit, rat and wallaby.</t>
  </si>
  <si>
    <t>somatodendritic morphology of three M1 neuron types (superficial, deep, gigantopyramidal)</t>
  </si>
  <si>
    <t>Mammals (7 orders)</t>
  </si>
  <si>
    <t>cell morphology (Golgi 2-D tracing, M1 regional)</t>
  </si>
  <si>
    <t>TABLE1 | Cellular composition of Artiodactyla brains.</t>
  </si>
  <si>
    <t>Gabi_etal_2016_TableS1_snapshot.xlsx</t>
  </si>
  <si>
    <t>Gabi_etal_2016_TableS1.csv</t>
  </si>
  <si>
    <t>pdf (SI Appendix)</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</si>
  <si>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</si>
  <si>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prefrontal share of cortical gray/white volume, WM non-neuronal cells and cortical neurons</t>
  </si>
  <si>
    <t>Primates (incl. human)</t>
  </si>
  <si>
    <t>regional share of cortex (pct, not counts)</t>
  </si>
  <si>
    <t>FINISHED - SUPERSEDED</t>
  </si>
  <si>
    <t>superseded by Kazu_etal_2015_TABLE1 - do not merge</t>
  </si>
  <si>
    <t>Kazu_etal_2015_TABLE1_snapshot.xlsx</t>
  </si>
  <si>
    <t>Kazu_etal_2015_TABLE1.csv</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</si>
  <si>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</si>
  <si>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cellular composition of artiodactyl brains, by sub-structure (corrected)</t>
  </si>
  <si>
    <t>Table 4 Demographics of species in pyramidal neuron comparisons arranged by brain mass (high to low)</t>
  </si>
  <si>
    <t>Table 2 Summary statistics (mean ± SEM) for each type of giraffe neuron quantified in primary motor and visual cortices</t>
  </si>
  <si>
    <t>Table 1 Laminar and cortical thickness (in lm, mean ± SD) in giraffe cortex</t>
  </si>
  <si>
    <t>10.1002%2F(SICI)1096-8644(199806)106%3A2%3C129%3A%3AAID-AJPA3%3E3.0.CO;2-L_TABLE2.tsv</t>
  </si>
  <si>
    <t>10.1002%2F1096-8644(200102)114%3A2%3C163%3A%3AAID-AJPA1016%3E3.0.CO;2-F_TABLE2.tsv</t>
  </si>
  <si>
    <t>10.1002%2F1096-8644(200103)114%3A3%3C224%3A%3AAID-AJPA1022%3E3.0.CO;2-I_TABLE2.tsv</t>
  </si>
  <si>
    <t>10.1002%2Fajp.20048_TABLEI.tsv</t>
  </si>
  <si>
    <t>10.1002%2Fajp.20048_unpublishedviaDeCasien.tsv</t>
  </si>
  <si>
    <t>10.1002%2Fajpa.20684_TABLE1.tsv</t>
  </si>
  <si>
    <t>10.1002%2Fajpa.22646_Fig4A.tsv</t>
  </si>
  <si>
    <t>10.1002%2Fajpa.22646_Fig5A.tsv</t>
  </si>
  <si>
    <t>10.1002%2Fajpa.22646_TABLE1.tsv</t>
  </si>
  <si>
    <t>10.1002%2Fajpa.22646_TABLE2.tsv</t>
  </si>
  <si>
    <t>10.1002%2Fajpa.22646_unpublishedviaDeCasien.tsv</t>
  </si>
  <si>
    <t>10.1002%2Far.a.20114_TABLE1.tsv</t>
  </si>
  <si>
    <t>10.1002%2Fcne.23118_Table3.tsv</t>
  </si>
  <si>
    <t>10.1002%2Fcne.24349_Table3.tsv</t>
  </si>
  <si>
    <t>10.1002%2Fcne.24349_Table5.tsv</t>
  </si>
  <si>
    <t>10.1002%2Fcne.24605_TABLE1.tsv</t>
  </si>
  <si>
    <t>10.1002%2Fcne.24605_TABLE2.tsv</t>
  </si>
  <si>
    <t>10.1002%2Fcne.24985_TABLE1.tsv</t>
  </si>
  <si>
    <t>10.1002%2Fcne.24985_TABLE2.tsv</t>
  </si>
  <si>
    <t>10.1002%2Fcne.25669_TABLE1.tsv</t>
  </si>
  <si>
    <t>10.1002%2Fcne.70089_TABLE1.tsv</t>
  </si>
  <si>
    <t>10.1002%2Fcne.903580203_TABLE1.tsv</t>
  </si>
  <si>
    <t>10.1002%2Fcne.903580203_TABLE2.tsv</t>
  </si>
  <si>
    <t>10.1002%2Fcne.903580203_TABLE3.tsv</t>
  </si>
  <si>
    <t>10.1002%2Fcne.903580203_TABLE4.tsv</t>
  </si>
  <si>
    <t>10.1002%2Fcne.903580203_TABLE5.tsv</t>
  </si>
  <si>
    <t>10.1006%2Fjhev.1996.0005_Table1.tsv</t>
  </si>
  <si>
    <t>10.1006%2Fjhev.1999.0313_Table1.tsv</t>
  </si>
  <si>
    <t>10.1006%2Fjhev.1999.0381_Table2.tsv</t>
  </si>
  <si>
    <t>10.1007%2Fs004220000205_Figure3.tsv</t>
  </si>
  <si>
    <t>10.1007%2Fs10329-026-01271-2_data.tsv</t>
  </si>
  <si>
    <t>10.1016%2Fj.cortex.2019.04.011_S1.tsv</t>
  </si>
  <si>
    <t>10.1016%2Fj.cortex.2019.04.011_Table1.tsv</t>
  </si>
  <si>
    <t>10.1016%2Fj.cub.2004.12.064_Fig2.tsv</t>
  </si>
  <si>
    <t>10.1016%2Fj.cub.2017.01.020_TableS1part1.tsv</t>
  </si>
  <si>
    <t>10.1016%2Fj.cub.2017.01.020_TableS1part2.tsv</t>
  </si>
  <si>
    <t>10.1016%2Fj.jhevol.2004.10.003_Table1.tsv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</si>
  <si>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</si>
  <si>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</si>
  <si>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</si>
  <si>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</si>
  <si>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</si>
  <si>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</si>
  <si>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</si>
  <si>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</si>
  <si>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</si>
  <si>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</si>
  <si>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</si>
  <si>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</si>
  <si>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</si>
  <si>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</si>
  <si>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</si>
  <si>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10.1016%2Fj.neubiorev.2008.05.023_Table1.tsv</t>
  </si>
  <si>
    <t>10.1016%2Fj.neubiorev.2008.05.023_Table2.tsv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</si>
  <si>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</si>
  <si>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</si>
  <si>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</si>
  <si>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</si>
  <si>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</si>
  <si>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</si>
  <si>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</si>
  <si>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10.1017%2Fs0952523800000213_Table1.tsv</t>
  </si>
  <si>
    <t>10.1037%2F0735-7036.115.1.29_Table1.tsv</t>
  </si>
  <si>
    <t>10.1037%2F0735-7036.115.1.29_Table2.tsv</t>
  </si>
  <si>
    <t>10.1037%2F0735-7036.115.1.29_Table3.tsv</t>
  </si>
  <si>
    <t>10.1037%2F0735-7036.115.1.29_Table4.tsv</t>
  </si>
  <si>
    <t>10.1038%2Fnn814_Table1.tsv</t>
  </si>
  <si>
    <t>10.1038%2Fs41467-020-14356-3_SupplementaryData3.tsv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</si>
  <si>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</si>
  <si>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</si>
  <si>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</si>
  <si>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</si>
  <si>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</si>
  <si>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</si>
  <si>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</si>
  <si>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</si>
  <si>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</si>
  <si>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</si>
  <si>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</si>
  <si>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</si>
  <si>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</si>
  <si>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10.1073%2Fpnas.0905777106_TableS1.tsv</t>
  </si>
  <si>
    <t>10.1073%2Fpnas.1010356107_DatasetS1.tsv</t>
  </si>
  <si>
    <t>10.1073%2Fpnas.1318894110_Table1.tsv</t>
  </si>
  <si>
    <t>10.1073%2Fpnas.1524208113_Table1.tsv</t>
  </si>
  <si>
    <t>10.1073%2Fpnas.1610178113_TableS1.tsv</t>
  </si>
  <si>
    <t>10.1073%2Fpnas.1716956116_SupplementaryTableS1.tsv</t>
  </si>
  <si>
    <t>10.1080%2F09524622.2021.1905065_Figure1.tsv</t>
  </si>
  <si>
    <t>10.1093%2Fcercor%2Fbhy315_Table4.tsv</t>
  </si>
  <si>
    <t>10.1093%2Fjmammal%2Fgyz043_SupplementaryDataSD1.tsv</t>
  </si>
  <si>
    <t>10.1093%2Foso%2F9780198568742.003.0006_Table6.1.tsv</t>
  </si>
  <si>
    <t>10.1093%2Fscan%2Fnsv128_TableS1.tsv</t>
  </si>
  <si>
    <t>10.1093%2Fscan%2Fnsv128_TableS2.tsv</t>
  </si>
  <si>
    <t>10.1098%2Frsos.170846_TableS1.tsv</t>
  </si>
  <si>
    <t>10.1098%2Frspb.2015.1853_Table1.tsv</t>
  </si>
  <si>
    <t>10.1098%2Frspb.2015.1853_Table2.tsv</t>
  </si>
  <si>
    <t>10.1098%2Frspb.2016.1923_TableS1.tsv</t>
  </si>
  <si>
    <t>10.1098%2Frspb.2019.2208_rspb20192208si002.tsv</t>
  </si>
  <si>
    <t>10.1098%2Frspb.2021.0937_MammalGait.tsv</t>
  </si>
  <si>
    <t>10.1098%2Frstb.2010.0342_Data.tsv</t>
  </si>
  <si>
    <t>10.1111%2Fbrv.12137_Table1.tsv</t>
  </si>
  <si>
    <t>10.1111%2Fbrv.12350_TableS2.tsv</t>
  </si>
  <si>
    <t>10.1111%2Fj.1558-5646.2008.00392.x_sleep-dataFemale.tsv</t>
  </si>
  <si>
    <t>10.1111%2Fj.1558-5646.2008.00392.x_sleep-dataMale.tsv</t>
  </si>
  <si>
    <t>10.1111%2Fj.1558-5646.2008.00392.x_sleep-dataMixed.tsv</t>
  </si>
  <si>
    <t>10.1111%2Fjoa.13681_Table1.tsv</t>
  </si>
  <si>
    <t>10.1111%2Fjzo.12608_TableS1.tsv</t>
  </si>
  <si>
    <t>10.1126%2Fscience.aaa9101_TableS1.tsv</t>
  </si>
  <si>
    <t>10.1159%2F000006575_Table1.tsv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</si>
  <si>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</si>
  <si>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</si>
  <si>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</si>
  <si>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</si>
  <si>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</si>
  <si>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</si>
  <si>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</si>
  <si>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</si>
  <si>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10.1159%2F000121494_TableI.tsv</t>
  </si>
  <si>
    <t>10.1159%2F000124401_TableI.tsv</t>
  </si>
  <si>
    <t>10.1159%2F000155963_TableI.tsv</t>
  </si>
  <si>
    <t>10.1159%2F000155963_TableII.tsv</t>
  </si>
  <si>
    <t>10.1159%2F000155963_TableIII.tsv</t>
  </si>
  <si>
    <t>10.1159%2F000155963_TableIV.tsv</t>
  </si>
  <si>
    <t>10.1159%2F000155963_TableIX.tsv</t>
  </si>
  <si>
    <t>10.1159%2F000155963_TablesI-VI.tsv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</si>
  <si>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</si>
  <si>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</si>
  <si>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</si>
  <si>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</si>
  <si>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</si>
  <si>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</si>
  <si>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</si>
  <si>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</si>
  <si>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</si>
  <si>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</si>
  <si>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</si>
  <si>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</si>
  <si>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</si>
  <si>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10.1159%2F000319019_SupplementaryTable1.tsv</t>
  </si>
  <si>
    <t>10.1159%2F000319019_Table1.tsv</t>
  </si>
  <si>
    <t>10.1159%2F000323671_SupplementaryTable1.tsv</t>
  </si>
  <si>
    <t>10.1159%2F000323671_SupplementaryTable2.tsv</t>
  </si>
  <si>
    <t>10.1159%2F000346495_Table1.tsv</t>
  </si>
  <si>
    <t>10.1159%2F000437413_Table1.tsv</t>
  </si>
  <si>
    <t>10.1159%2F000437413_Table2.tsv</t>
  </si>
  <si>
    <t>10.1159%2F000437413_Table3.tsv</t>
  </si>
  <si>
    <t>10.1159%2F000437413_Table4.tsv</t>
  </si>
  <si>
    <t>10.1159%2F000437413_Table5.tsv</t>
  </si>
  <si>
    <t>10.1159%2F000446762_Table1.tsv</t>
  </si>
  <si>
    <t>10.1159%2F000452856_TableS1.tsv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</si>
  <si>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</si>
  <si>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</si>
  <si>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</si>
  <si>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</si>
  <si>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</si>
  <si>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</si>
  <si>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</si>
  <si>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</si>
  <si>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</si>
  <si>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</si>
  <si>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</si>
  <si>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</si>
  <si>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</si>
  <si>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</si>
  <si>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</si>
  <si>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</si>
  <si>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</si>
  <si>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</si>
  <si>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</si>
  <si>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</si>
  <si>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</si>
  <si>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</si>
  <si>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</si>
  <si>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10.1242%2Fjeb.124826_TableS1.tsv</t>
  </si>
  <si>
    <t>10.1242%2Fjeb.204651_celldensity.tsv</t>
  </si>
  <si>
    <t>10.1242%2Fjeb.204651_cellnumber.tsv</t>
  </si>
  <si>
    <t>10.1242%2Fjeb.204651_volumes.tsv</t>
  </si>
  <si>
    <t>10.1371%2Fjournal.pbio.1002000_TableS1.tsv</t>
  </si>
  <si>
    <t>10.1371%2Fjournal.pbio.1002000_TableS8.tsv</t>
  </si>
  <si>
    <t>10.1523%2FJNEUROSCI.1750-23.2024_Table2.tsv</t>
  </si>
  <si>
    <t>10.1523%2FJNEUROSCI.2339-19.2020_Table1.tsv</t>
  </si>
  <si>
    <t>10.1523%2FJNEUROSCI.2339-19.2020_unpublished.tsv</t>
  </si>
  <si>
    <t>10.1537%2Fase1911.100.69_Tables1to4.tsv</t>
  </si>
  <si>
    <t>10.1890%2F13-1917.1_MamFuncDat.tsv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</si>
  <si>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</si>
  <si>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</si>
  <si>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</si>
  <si>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</si>
  <si>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</si>
  <si>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</si>
  <si>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</si>
  <si>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</si>
  <si>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</si>
  <si>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10.3389%2Ffnhum.2013.00424_TableS2partial.tsv</t>
  </si>
  <si>
    <t>10.3389%2Ffnhum.2014.00277_Table1.tsv</t>
  </si>
  <si>
    <t>10.3389%2Ffnins.2021.632853_TABLE1.tsv</t>
  </si>
  <si>
    <t>10.6084%2Fm9.figshare.c.3899422.v1_Dataset1.tsv</t>
  </si>
  <si>
    <t>10.7554%2FeLife.35696_Figure2-data1.tsv</t>
  </si>
  <si>
    <t>10.7554%2FeLife.77875_Supplementaryfile3.tsv</t>
  </si>
  <si>
    <t>10.7554%2FeLife.77875_Table1.tsv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</si>
  <si>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</si>
  <si>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</si>
  <si>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</si>
  <si>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</si>
  <si>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</si>
  <si>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</si>
  <si>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</si>
  <si>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</si>
  <si>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ISBN%3A9780195043716_Table12-2.tsv</t>
  </si>
  <si>
    <t>NA.tsv</t>
  </si>
  <si>
    <t>NQ%3A61662_APPENDIXI.tsv</t>
  </si>
  <si>
    <t>OCLC%3A8777719_Table1.tsv</t>
  </si>
  <si>
    <t>PMID%3A15534048_TABLE1.tsv</t>
  </si>
  <si>
    <t>PMID%3A2358663_Table1.tsv</t>
  </si>
  <si>
    <t>PMID%3A3116076_Table1.tsv</t>
  </si>
  <si>
    <t>PMID%3A3216099_Table1.tsv</t>
  </si>
  <si>
    <t>PMID%3A3693895_Table1.tsv</t>
  </si>
  <si>
    <t>PMID%3A6481154_Table1.tsv</t>
  </si>
  <si>
    <t>PMID%3A6501869_Table1.tsv</t>
  </si>
  <si>
    <t>PMID%3A6663055_Table1.tsv</t>
  </si>
  <si>
    <t>PMID%3A7161477_Table2.tsv</t>
  </si>
  <si>
    <t>PMID%3A7161483_Table1.tsv</t>
  </si>
  <si>
    <t>PMID%3A7983368_Table1.tsv</t>
  </si>
  <si>
    <t>PMID%3A9176733_Table1.tsv</t>
  </si>
  <si>
    <t>PMID%3A9672110_Table1.tsv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</si>
  <si>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</si>
  <si>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</si>
  <si>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</si>
  <si>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</si>
  <si>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</si>
  <si>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</si>
  <si>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</si>
  <si>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</si>
  <si>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</si>
  <si>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</si>
  <si>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</si>
  <si>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</si>
  <si>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</si>
  <si>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</si>
  <si>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</si>
  <si>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</si>
  <si>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</si>
  <si>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</si>
  <si>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Stephan, H., Baron, G., &amp; Frahm, H. D. (1991). Insectivora (Vol. 1). Springer. https://doi.org/10.1007/978-1-4613-9124-1</t>
  </si>
  <si>
    <t>Table 5. Average body weights (BoW) and brain weights (BrW) of 53 species of Insectivora. n = number of individuals; CV = coefficient of variation</t>
  </si>
  <si>
    <t>Table 2. Linear measures of brains in mm</t>
  </si>
  <si>
    <t>Table 8</t>
  </si>
  <si>
    <t>Table 8. Volumes of net brain (NET), ventricles (VENT) and rests (REST) and their percentages relative to standard brain volumes (= 100%)</t>
  </si>
  <si>
    <t>Table 10. Volumes of the five fundamental brain parts</t>
  </si>
  <si>
    <t>Table 10</t>
  </si>
  <si>
    <t>Table 13</t>
  </si>
  <si>
    <t>Table 13. Volumes of the sensory trigeminal complex and of the tractus solitarii and funicular nuclei of the medulla oblongata</t>
  </si>
  <si>
    <t>Table 16</t>
  </si>
  <si>
    <t>Table 16. Volumes of some relay nuclei of the medulla oblongata</t>
  </si>
  <si>
    <t>Table 19. Volumes of motor nuclei of the medulla oblongata</t>
  </si>
  <si>
    <t>Table 19</t>
  </si>
  <si>
    <t>Table 22</t>
  </si>
  <si>
    <t>Table 22. Volumes of the vestibular nuclei of the medulla oblongata</t>
  </si>
  <si>
    <t>Table 25</t>
  </si>
  <si>
    <t>Table 25. Volumes of the auditory nuclei of the medulla oblongata</t>
  </si>
  <si>
    <t>Table 28</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</si>
  <si>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</si>
  <si>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</si>
  <si>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</si>
  <si>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</si>
  <si>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</si>
  <si>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</si>
  <si>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</si>
  <si>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 Volumes of some periventricular and septal structures</t>
  </si>
  <si>
    <t>Table 40</t>
  </si>
  <si>
    <t>Table 43</t>
  </si>
  <si>
    <t>Table 43. Volumes of telencephalic components</t>
  </si>
  <si>
    <t>Table 46</t>
  </si>
  <si>
    <t>Table 46. Volumes of main olfactory bulbs and some of its layers</t>
  </si>
  <si>
    <t>Table 49</t>
  </si>
  <si>
    <t>Table 49. Volumes of accessory olfactory bulbs and some of its layers</t>
  </si>
  <si>
    <t>Table 52</t>
  </si>
  <si>
    <t>Table 52. Volumes of paleocortical components</t>
  </si>
  <si>
    <t>Table 55</t>
  </si>
  <si>
    <t>Table 55. Volumes of amygdala and some amygdaloid components</t>
  </si>
  <si>
    <t>Table 58. Volumes of hippocampal components</t>
  </si>
  <si>
    <t>Table 58</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</si>
  <si>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</si>
  <si>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</si>
  <si>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</si>
  <si>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</si>
  <si>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</si>
  <si>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</si>
  <si>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</si>
  <si>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</si>
  <si>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</si>
  <si>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</si>
  <si>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</si>
  <si>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</si>
  <si>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Ebinger, P. (1974). A cytoarchitectonic volumetric comparison of brains in wild and domestic sheep. Z Anat Entwicklungsgesch, 144(3), 267-302. https://doi.org/10.1007/BF00522811</t>
  </si>
  <si>
    <t>Schleifenbaum, C. (1973). Untersuchungen zur postnatalen Ontogenese des Gehirns von Großpudeln und Wölfen. Z Anat Entwicklungsgesch, 141(2), 179-205. https://doi.org/10.1007/BF00519885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</si>
</sst>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2"/>
      <color theme="1"/>
      <name val="Calibri"/>
      <family val="2"/>
      <charset val="1"/>
    </font>
    <font>
      <sz val="12"/>
      <color theme="1"/>
      <name val="Calibri"/>
      <family val="2"/>
    </font>
    <font>
      <b/>
      <sz val="12"/>
      <color theme="1"/>
      <name val="Calibri"/>
      <family val="2"/>
    </font>
    <font>
      <sz val="12"/>
      <color rgb="FF3F3F76"/>
      <name val="Calibri"/>
      <family val="2"/>
    </font>
  </fonts>
  <fills count="3">
    <fill>
      <patternFill patternType="none"/>
    </fill>
    <fill>
      <patternFill patternType="gray125"/>
    </fill>
    <fill>
      <patternFill patternType="solid">
        <fgColor rgb="FFFFCC99"/>
      </patternFill>
    </fill>
  </fills>
  <borders count="3">
    <border>
      <left/>
      <right/>
      <top/>
      <bottom/>
      <diagonal/>
    </border>
    <border>
      <left style="thin">
        <color rgb="FF7F7F7F"/>
      </left>
      <right style="thin">
        <color rgb="FF7F7F7F"/>
      </right>
      <top style="thin">
        <color rgb="FF7F7F7F"/>
      </top>
      <bottom style="thin">
        <color rgb="FF7F7F7F"/>
      </bottom>
      <diagonal/>
    </border>
    <border>
      <left style="thin">
        <color rgb="FF7F7F7F"/>
      </left>
      <right style="thin">
        <color rgb="FF7F7F7F"/>
      </right>
      <top/>
      <bottom/>
      <diagonal/>
    </border>
  </borders>
  <cellStyleXfs count="1">
    <xf numFmtId="0" fontId="0" fillId="0" borderId="0"/>
  </cellStyleXfs>
  <cellXfs count="7">
    <xf numFmtId="0" fontId="0" fillId="0" borderId="0" xfId="0"/>
    <xf numFmtId="0" fontId="1" fillId="0" borderId="0" xfId="0" applyFont="1" applyProtection="1">
      <protection locked="0"/>
    </xf>
    <xf numFmtId="0" fontId="2" fillId="0" borderId="0" xfId="0" applyFont="1" applyProtection="1">
      <protection locked="0"/>
    </xf>
    <xf numFmtId="0" fontId="3" fillId="2" borderId="1" xfId="0" applyFont="1" applyFill="1" applyBorder="1" applyProtection="1">
      <protection locked="0"/>
    </xf>
    <xf numFmtId="0" fontId="3" fillId="2" borderId="1" xfId="0" applyFont="1" applyFill="1" applyBorder="1"/>
    <xf numFmtId="0" fontId="3" fillId="2" borderId="2" xfId="0" applyFont="1" applyFill="1" applyBorder="1" applyProtection="1">
      <protection locked="0"/>
    </xf>
    <xf numFmtId="0" fontId="3" fillId="2" borderId="0" xfId="0" applyFont="1" applyFill="1" applyProtection="1">
      <protection locked="0"/>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334"/>
  <sheetViews>
    <sheetView tabSelected="1" zoomScale="111" zoomScaleNormal="111" workbookViewId="0">
      <pane xSplit="2" ySplit="1" topLeftCell="C194" activePane="bottomRight" state="frozen"/>
      <selection pane="topRight" activeCell="C1" sqref="C1"/>
      <selection pane="bottomLeft" activeCell="A2" sqref="A2"/>
      <selection pane="bottomRight" activeCell="F207" sqref="F207"/>
    </sheetView>
  </sheetViews>
  <sheetFormatPr baseColWidth="10" defaultRowHeight="16" x14ac:dyDescent="0.2"/>
  <cols>
    <col min="1" max="1" width="67.1640625" customWidth="1"/>
    <col min="2" max="2" width="1.6640625" customWidth="1"/>
    <col min="3" max="3" width="29.1640625" customWidth="1"/>
    <col min="4" max="4" width="8.5" customWidth="1"/>
    <col min="5" max="5" width="1.5" customWidth="1"/>
    <col min="6" max="10" width="7" customWidth="1"/>
    <col min="11" max="13" width="19" customWidth="1"/>
    <col min="14" max="17" width="7.33203125" customWidth="1"/>
    <col min="18" max="18" width="16.6640625" customWidth="1"/>
    <col min="19" max="26" width="7.33203125" customWidth="1"/>
    <col min="28" max="39" width="7.33203125" customWidth="1"/>
    <col min="40" max="40" width="10.83203125" customWidth="1"/>
  </cols>
  <sheetData>
    <row r="1" spans="1:39" ht="15.75" customHeight="1" x14ac:dyDescent="0.2">
      <c r="A1" s="3" t="s">
        <v>0</v>
      </c>
      <c r="B1" s="3" t="s">
        <v>1</v>
      </c>
      <c r="C1" s="3" t="s">
        <v>857</v>
      </c>
      <c r="D1" s="3" t="s">
        <v>2</v>
      </c>
      <c r="E1" s="2" t="s">
        <v>3</v>
      </c>
      <c r="F1" s="2" t="s">
        <v>4</v>
      </c>
      <c r="G1" s="2" t="s">
        <v>5</v>
      </c>
      <c r="H1" s="2" t="s">
        <v>6</v>
      </c>
      <c r="I1" s="2" t="s">
        <v>7</v>
      </c>
      <c r="J1" s="2" t="s">
        <v>8</v>
      </c>
      <c r="K1" s="2" t="s">
        <v>9</v>
      </c>
      <c r="L1" s="2" t="s">
        <v>10</v>
      </c>
      <c r="M1" s="2" t="s">
        <v>11</v>
      </c>
      <c r="N1" s="3" t="s">
        <v>12</v>
      </c>
      <c r="O1" s="3" t="s">
        <v>13</v>
      </c>
      <c r="P1" s="3" t="s">
        <v>14</v>
      </c>
      <c r="Q1" s="3" t="s">
        <v>15</v>
      </c>
      <c r="R1" s="3" t="s">
        <v>16</v>
      </c>
      <c r="S1" s="3" t="s">
        <v>17</v>
      </c>
      <c r="T1" s="3" t="s">
        <v>18</v>
      </c>
      <c r="U1" s="3" t="s">
        <v>19</v>
      </c>
      <c r="V1" s="3" t="s">
        <v>20</v>
      </c>
      <c r="W1" s="3" t="s">
        <v>21</v>
      </c>
      <c r="X1" s="3" t="s">
        <v>22</v>
      </c>
      <c r="Y1" s="3" t="s">
        <v>23</v>
      </c>
      <c r="Z1" s="3" t="s">
        <v>24</v>
      </c>
      <c r="AA1" s="3" t="s">
        <v>25</v>
      </c>
      <c r="AB1" s="3" t="s">
        <v>26</v>
      </c>
      <c r="AC1" s="3" t="s">
        <v>27</v>
      </c>
      <c r="AD1" s="3" t="s">
        <v>28</v>
      </c>
      <c r="AE1" s="3" t="s">
        <v>29</v>
      </c>
      <c r="AF1" s="3" t="s">
        <v>30</v>
      </c>
      <c r="AG1" s="3" t="s">
        <v>31</v>
      </c>
      <c r="AH1" s="3" t="s">
        <v>32</v>
      </c>
      <c r="AI1" s="3" t="s">
        <v>33</v>
      </c>
      <c r="AJ1" s="3" t="s">
        <v>34</v>
      </c>
      <c r="AK1" s="3" t="s">
        <v>35</v>
      </c>
      <c r="AL1" s="3" t="s">
        <v>36</v>
      </c>
      <c r="AM1" s="3" t="s">
        <v>37</v>
      </c>
    </row>
    <row r="2" spans="1:39" ht="15.75" customHeight="1" x14ac:dyDescent="0.2">
      <c r="A2" s="3" t="s">
        <v>38</v>
      </c>
      <c r="D2" s="3" t="s">
        <v>39</v>
      </c>
      <c r="E2" s="1" t="str">
        <f t="shared" ref="E2" si="0">RIGHT(A2,1)</f>
        <v>5</v>
      </c>
      <c r="F2" s="1" t="str">
        <f t="shared" ref="F2" si="1">G2 &amp; IF(H2&lt;&gt;"", "_" &amp; H2, "_") &amp; IF(I2&lt;&gt;"", "_" &amp; I2, "_") &amp; IF(B2&lt;&gt;"", "_" &amp; B2, "")</f>
        <v>Andelin_etal_2019</v>
      </c>
      <c r="G2" s="1" t="str">
        <f t="shared" ref="G2" si="2">SUBSTITUTE(SUBSTITUTE(_xlfn.TEXTBEFORE(A2,","), "-", ""), " ", "")</f>
        <v>Andelin</v>
      </c>
      <c r="H2" s="1" t="str">
        <f t="shared" ref="H2" si="3">_xlfn.LET(
_xlpm.authors,_xlfn.TEXTBEFORE(A2," ("&amp;I2&amp;")"),
_xlpm.hasAmp,ISNUMBER(SEARCH("&amp;",_xlpm.authors)),
_xlpm.commasBeforeAmp,IF(_xlpm.hasAmp,LEN(_xlfn.TEXTBEFORE(_xlpm.authors,"&amp;"))-LEN(SUBSTITUTE(_xlfn.TEXTBEFORE(_xlpm.authors,"&amp;"),",","")),0),
IF(NOT(_xlpm.hasAmp),"",IF(_xlpm.commasBeforeAmp&gt;2,"etal",TRIM(_xlfn.TEXTBEFORE(_xlfn.TEXTAFTER(_xlpm.authors,"&amp; "),","))))
)</f>
        <v>etal</v>
      </c>
      <c r="I2" s="1" t="str">
        <f t="shared" ref="I2" si="4">_xlfn.TEXTBEFORE(_xlfn.TEXTAFTER(A2, "("), ")")</f>
        <v>2019</v>
      </c>
      <c r="J2" s="1" t="str">
        <f t="shared" ref="J2" si="5">_xlfn.LET(
_xlpm.doi,IF(C2&lt;&gt;"",C2,_xlfn.TEXTAFTER(A2,"https://doi.org/")),
SUBSTITUTE(
SUBSTITUTE(
SUBSTITUTE(
SUBSTITUTE(
_xlpm.doi,
"/","%2F"),
":","%3A"),
"&lt;","%3C"),
"&gt;","%3E")
)</f>
        <v>10.1093%2Fcercor%2Fbhy315</v>
      </c>
      <c r="K2" s="1" t="str">
        <f t="shared" ref="K2" si="6">TRIM(_xlfn.TEXTJOIN("_",FALSE(),F2,(SUBSTITUTE(SUBSTITUTE(D2," ",""), "_", ""))))</f>
        <v>Andelin_etal_2019_Table4</v>
      </c>
      <c r="L2" s="1" t="str">
        <f t="shared" ref="L2" si="7">J2 &amp; "_" &amp; SUBSTITUTE(SUBSTITUTE(SUBSTITUTE(D2,CHAR(160),"")," ",""),"_","")</f>
        <v>10.1093%2Fcercor%2Fbhy315_Table4</v>
      </c>
      <c r="M2" s="1" t="str">
        <f t="array" ref="M2">IFERROR(INDEX(FileList!$A$1:$A$1000,MATCH(TRUE(),EXACT(L2,IFERROR(_xlfn.TEXTBEFORE(FileList!$A$1:$A$1000,".tsv"),"")),0)),"notfound")</f>
        <v>10.1093%2Fcercor%2Fbhy315_Table4.tsv</v>
      </c>
      <c r="P2" s="3" t="s">
        <v>40</v>
      </c>
      <c r="V2" s="3" t="s">
        <v>41</v>
      </c>
      <c r="AJ2" s="3" t="s">
        <v>42</v>
      </c>
      <c r="AL2" s="3" t="s">
        <v>42</v>
      </c>
      <c r="AM2" s="3" t="s">
        <v>42</v>
      </c>
    </row>
    <row r="3" spans="1:39" ht="15.75" customHeight="1" x14ac:dyDescent="0.2">
      <c r="A3" s="3" t="s">
        <v>43</v>
      </c>
      <c r="D3" s="3" t="s">
        <v>44</v>
      </c>
      <c r="E3" s="1" t="str">
        <f t="shared" ref="E3:E67" si="8">RIGHT(A3,1)</f>
        <v>3</v>
      </c>
      <c r="F3" s="1" t="str">
        <f t="shared" ref="F3:F67" si="9">G3 &amp; IF(H3&lt;&gt;"", "_" &amp; H3, "_") &amp; IF(I3&lt;&gt;"", "_" &amp; I3, "_") &amp; IF(B3&lt;&gt;"", "_" &amp; B3, "")</f>
        <v>Ashwell__2020</v>
      </c>
      <c r="G3" s="1" t="str">
        <f t="shared" ref="G3:G67" si="10">SUBSTITUTE(SUBSTITUTE(_xlfn.TEXTBEFORE(A3,","), "-", ""), " ", "")</f>
        <v>Ashwell</v>
      </c>
      <c r="H3" s="1" t="str">
        <f t="shared" ref="H3:H67" si="11">_xlfn.LET(
_xlpm.authors,_xlfn.TEXTBEFORE(A3," ("&amp;I3&amp;")"),
_xlpm.hasAmp,ISNUMBER(SEARCH("&amp;",_xlpm.authors)),
_xlpm.commasBeforeAmp,IF(_xlpm.hasAmp,LEN(_xlfn.TEXTBEFORE(_xlpm.authors,"&amp;"))-LEN(SUBSTITUTE(_xlfn.TEXTBEFORE(_xlpm.authors,"&amp;"),",","")),0),
IF(NOT(_xlpm.hasAmp),"",IF(_xlpm.commasBeforeAmp&gt;2,"etal",TRIM(_xlfn.TEXTBEFORE(_xlfn.TEXTAFTER(_xlpm.authors,"&amp; "),","))))
)</f>
        <v/>
      </c>
      <c r="I3" s="1" t="str">
        <f t="shared" ref="I3:I67" si="12">_xlfn.TEXTBEFORE(_xlfn.TEXTAFTER(A3, "("), ")")</f>
        <v>2020</v>
      </c>
      <c r="J3" s="1" t="str">
        <f t="shared" ref="J3:J67" si="13">_xlfn.LET(
_xlpm.doi,IF(C3&lt;&gt;"",C3,_xlfn.TEXTAFTER(A3,"https://doi.org/")),
SUBSTITUTE(
SUBSTITUTE(
SUBSTITUTE(
SUBSTITUTE(
_xlpm.doi,
"/","%2F"),
":","%3A"),
"&lt;","%3C"),
"&gt;","%3E")
)</f>
        <v>10.1016%2Fj.zool.2020.125753</v>
      </c>
      <c r="K3" s="1" t="str">
        <f t="shared" ref="K3:K67" si="14">TRIM(_xlfn.TEXTJOIN("_",FALSE(),F3,(SUBSTITUTE(SUBSTITUTE(D3," ",""), "_", ""))))</f>
        <v>Ashwell__2020_SupplementaryTable</v>
      </c>
      <c r="L3" s="1" t="str">
        <f t="shared" ref="L3:L67" si="15">J3 &amp; "_" &amp; SUBSTITUTE(SUBSTITUTE(SUBSTITUTE(D3,CHAR(160),"")," ",""),"_","")</f>
        <v>10.1016%2Fj.zool.2020.125753_SupplementaryTable</v>
      </c>
      <c r="M3" s="1" t="str">
        <f t="array" ref="M3">IFERROR(INDEX(FileList!$A$1:$A$1000,MATCH(TRUE(),EXACT(L3,IFERROR(_xlfn.TEXTBEFORE(FileList!$A$1:$A$1000,".tsv"),"")),0)),"notfound")</f>
        <v>10.1016%2Fj.zool.2020.125753_SupplementaryTable.tsv</v>
      </c>
      <c r="N3" s="3" t="s">
        <v>45</v>
      </c>
      <c r="P3" s="3" t="s">
        <v>40</v>
      </c>
      <c r="Y3" s="3" t="s">
        <v>46</v>
      </c>
    </row>
    <row r="4" spans="1:39" ht="15.75" customHeight="1" x14ac:dyDescent="0.2">
      <c r="A4" s="3" t="s">
        <v>47</v>
      </c>
      <c r="D4" s="3" t="s">
        <v>48</v>
      </c>
      <c r="E4" s="1" t="str">
        <f t="shared" si="8"/>
        <v>9</v>
      </c>
      <c r="F4" s="1" t="str">
        <f t="shared" si="9"/>
        <v>AvelinodeSouza_etal_2025</v>
      </c>
      <c r="G4" s="1" t="str">
        <f t="shared" si="10"/>
        <v>AvelinodeSouza</v>
      </c>
      <c r="H4" s="1" t="str">
        <f t="shared" si="11"/>
        <v>etal</v>
      </c>
      <c r="I4" s="1" t="str">
        <f t="shared" si="12"/>
        <v>2025</v>
      </c>
      <c r="J4" s="1" t="str">
        <f t="shared" si="13"/>
        <v>10.1002%2Fcne.70089</v>
      </c>
      <c r="K4" s="1" t="str">
        <f t="shared" si="14"/>
        <v>AvelinodeSouza_etal_2025_TABLE1</v>
      </c>
      <c r="L4" s="1" t="str">
        <f t="shared" si="15"/>
        <v>10.1002%2Fcne.70089_TABLE1</v>
      </c>
      <c r="M4" s="1" t="str">
        <f t="array" ref="M4">IFERROR(INDEX(FileList!$A$1:$A$1000,MATCH(TRUE(),EXACT(L4,IFERROR(_xlfn.TEXTBEFORE(FileList!$A$1:$A$1000,".tsv"),"")),0)),"notfound")</f>
        <v>10.1002%2Fcne.70089_TABLE1.tsv</v>
      </c>
      <c r="N4" s="3" t="s">
        <v>49</v>
      </c>
      <c r="P4" s="3" t="s">
        <v>40</v>
      </c>
      <c r="Q4" s="3" t="s">
        <v>50</v>
      </c>
      <c r="R4" s="3" t="s">
        <v>51</v>
      </c>
      <c r="S4" s="3" t="s">
        <v>52</v>
      </c>
      <c r="T4" s="3" t="s">
        <v>53</v>
      </c>
      <c r="U4" s="3" t="s">
        <v>54</v>
      </c>
      <c r="V4" s="3" t="s">
        <v>41</v>
      </c>
      <c r="W4" s="3" t="s">
        <v>55</v>
      </c>
      <c r="X4" s="3" t="s">
        <v>56</v>
      </c>
      <c r="Y4" s="3" t="s">
        <v>57</v>
      </c>
      <c r="AG4" s="3" t="s">
        <v>58</v>
      </c>
      <c r="AH4" s="3" t="s">
        <v>59</v>
      </c>
      <c r="AI4" s="3" t="s">
        <v>60</v>
      </c>
      <c r="AJ4" s="3" t="s">
        <v>61</v>
      </c>
      <c r="AK4" s="3" t="s">
        <v>62</v>
      </c>
      <c r="AL4" s="3" t="s">
        <v>62</v>
      </c>
      <c r="AM4" s="3" t="s">
        <v>63</v>
      </c>
    </row>
    <row r="5" spans="1:39" ht="15.75" customHeight="1" x14ac:dyDescent="0.2">
      <c r="A5" s="3" t="s">
        <v>64</v>
      </c>
      <c r="D5" s="3" t="s">
        <v>65</v>
      </c>
      <c r="E5" s="1" t="str">
        <f t="shared" si="8"/>
        <v>5</v>
      </c>
      <c r="F5" s="1" t="str">
        <f t="shared" si="9"/>
        <v>Baker_etal_2025</v>
      </c>
      <c r="G5" s="1" t="str">
        <f t="shared" si="10"/>
        <v>Baker</v>
      </c>
      <c r="H5" s="1" t="str">
        <f t="shared" si="11"/>
        <v>etal</v>
      </c>
      <c r="I5" s="1" t="str">
        <f t="shared" si="12"/>
        <v>2025</v>
      </c>
      <c r="J5" s="1" t="str">
        <f t="shared" si="13"/>
        <v>10.1038%2Fs42003-025-08686-5</v>
      </c>
      <c r="K5" s="1" t="str">
        <f t="shared" si="14"/>
        <v>Baker_etal_2025_SupplementaryData1</v>
      </c>
      <c r="L5" s="1" t="str">
        <f t="shared" si="15"/>
        <v>10.1038%2Fs42003-025-08686-5_SupplementaryData1</v>
      </c>
      <c r="M5" s="1" t="str">
        <f t="array" ref="M5">IFERROR(INDEX(FileList!$A$1:$A$1000,MATCH(TRUE(),EXACT(L5,IFERROR(_xlfn.TEXTBEFORE(FileList!$A$1:$A$1000,".tsv"),"")),0)),"notfound")</f>
        <v>10.1038%2Fs42003-025-08686-5_SupplementaryData1.tsv</v>
      </c>
      <c r="N5" s="3"/>
      <c r="P5" s="3"/>
      <c r="Q5" s="3"/>
      <c r="R5" s="3"/>
      <c r="S5" s="3"/>
      <c r="T5" s="3"/>
      <c r="U5" s="3"/>
      <c r="V5" s="3"/>
      <c r="W5" s="3"/>
      <c r="X5" s="3"/>
      <c r="Y5" s="3"/>
      <c r="AG5" s="3"/>
      <c r="AH5" s="3"/>
      <c r="AI5" s="3"/>
      <c r="AJ5" s="3"/>
      <c r="AK5" s="3"/>
      <c r="AL5" s="3"/>
      <c r="AM5" s="3"/>
    </row>
    <row r="6" spans="1:39" ht="15.75" customHeight="1" x14ac:dyDescent="0.2">
      <c r="A6" s="3" t="s">
        <v>66</v>
      </c>
      <c r="D6" s="3" t="s">
        <v>67</v>
      </c>
      <c r="E6" s="1" t="str">
        <f t="shared" si="8"/>
        <v>7</v>
      </c>
      <c r="F6" s="1" t="str">
        <f t="shared" si="9"/>
        <v>Balzeau_etal_2012</v>
      </c>
      <c r="G6" s="1" t="str">
        <f t="shared" si="10"/>
        <v>Balzeau</v>
      </c>
      <c r="H6" s="1" t="str">
        <f t="shared" si="11"/>
        <v>etal</v>
      </c>
      <c r="I6" s="1" t="str">
        <f t="shared" si="12"/>
        <v>2012</v>
      </c>
      <c r="J6" s="1" t="str">
        <f t="shared" si="13"/>
        <v>10.1016%2Fj.jhevol.2012.03.007</v>
      </c>
      <c r="K6" s="1" t="str">
        <f t="shared" si="14"/>
        <v>Balzeau_etal_2012_Table3</v>
      </c>
      <c r="L6" s="1" t="str">
        <f t="shared" si="15"/>
        <v>10.1016%2Fj.jhevol.2012.03.007_Table3</v>
      </c>
      <c r="M6" s="1" t="str">
        <f t="array" ref="M6">IFERROR(INDEX(FileList!$A$1:$A$1000,MATCH(TRUE(),EXACT(L6,IFERROR(_xlfn.TEXTBEFORE(FileList!$A$1:$A$1000,".tsv"),"")),0)),"notfound")</f>
        <v>10.1016%2Fj.jhevol.2012.03.007_Table3.tsv</v>
      </c>
      <c r="N6" s="3" t="s">
        <v>68</v>
      </c>
    </row>
    <row r="7" spans="1:39" ht="15.75" customHeight="1" x14ac:dyDescent="0.2">
      <c r="A7" s="3" t="s">
        <v>66</v>
      </c>
      <c r="D7" s="3" t="s">
        <v>69</v>
      </c>
      <c r="E7" s="1" t="str">
        <f t="shared" si="8"/>
        <v>7</v>
      </c>
      <c r="F7" s="1" t="str">
        <f t="shared" si="9"/>
        <v>Balzeau_etal_2012</v>
      </c>
      <c r="G7" s="1" t="str">
        <f t="shared" si="10"/>
        <v>Balzeau</v>
      </c>
      <c r="H7" s="1" t="str">
        <f t="shared" si="11"/>
        <v>etal</v>
      </c>
      <c r="I7" s="1" t="str">
        <f t="shared" si="12"/>
        <v>2012</v>
      </c>
      <c r="J7" s="1" t="str">
        <f t="shared" si="13"/>
        <v>10.1016%2Fj.jhevol.2012.03.007</v>
      </c>
      <c r="K7" s="1" t="str">
        <f t="shared" si="14"/>
        <v>Balzeau_etal_2012_Table5</v>
      </c>
      <c r="L7" s="1" t="str">
        <f t="shared" si="15"/>
        <v>10.1016%2Fj.jhevol.2012.03.007_Table5</v>
      </c>
      <c r="M7" s="1" t="str">
        <f t="array" ref="M7">IFERROR(INDEX(FileList!$A$1:$A$1000,MATCH(TRUE(),EXACT(L7,IFERROR(_xlfn.TEXTBEFORE(FileList!$A$1:$A$1000,".tsv"),"")),0)),"notfound")</f>
        <v>10.1016%2Fj.jhevol.2012.03.007_Table5.tsv</v>
      </c>
      <c r="N7" s="3" t="s">
        <v>70</v>
      </c>
    </row>
    <row r="8" spans="1:39" ht="15.75" customHeight="1" x14ac:dyDescent="0.2">
      <c r="A8" s="3" t="s">
        <v>66</v>
      </c>
      <c r="D8" s="3" t="s">
        <v>118</v>
      </c>
      <c r="E8" s="1" t="str">
        <f t="shared" si="8"/>
        <v>7</v>
      </c>
      <c r="F8" s="1" t="str">
        <f t="shared" si="9"/>
        <v>Balzeau_etal_2012</v>
      </c>
      <c r="G8" s="1" t="str">
        <f t="shared" si="10"/>
        <v>Balzeau</v>
      </c>
      <c r="H8" s="1" t="str">
        <f t="shared" si="11"/>
        <v>etal</v>
      </c>
      <c r="I8" s="1" t="str">
        <f t="shared" si="12"/>
        <v>2012</v>
      </c>
      <c r="J8" s="1" t="str">
        <f t="shared" si="13"/>
        <v>10.1016%2Fj.jhevol.2012.03.007</v>
      </c>
      <c r="K8" s="1" t="str">
        <f t="shared" si="14"/>
        <v>Balzeau_etal_2012_Table2</v>
      </c>
      <c r="L8" s="1" t="str">
        <f t="shared" si="15"/>
        <v>10.1016%2Fj.jhevol.2012.03.007_Table2</v>
      </c>
      <c r="M8" s="1" t="str">
        <f t="array" ref="M8">IFERROR(INDEX(FileList!$A$1:$A$1000,MATCH(TRUE(),EXACT(L8,IFERROR(_xlfn.TEXTBEFORE(FileList!$A$1:$A$1000,".tsv"),"")),0)),"notfound")</f>
        <v>10.1016%2Fj.jhevol.2012.03.007_Table2.tsv</v>
      </c>
      <c r="N8" s="3" t="s">
        <v>823</v>
      </c>
    </row>
    <row r="9" spans="1:39" ht="15.75" customHeight="1" x14ac:dyDescent="0.2">
      <c r="A9" s="3" t="s">
        <v>71</v>
      </c>
      <c r="D9" s="3" t="s">
        <v>72</v>
      </c>
      <c r="E9" s="1" t="str">
        <f t="shared" si="8"/>
        <v>1</v>
      </c>
      <c r="F9" s="1" t="str">
        <f t="shared" si="9"/>
        <v>BarbeitoAndres_etal_2019</v>
      </c>
      <c r="G9" s="1" t="str">
        <f t="shared" si="10"/>
        <v>BarbeitoAndres</v>
      </c>
      <c r="H9" s="1" t="str">
        <f t="shared" si="11"/>
        <v>etal</v>
      </c>
      <c r="I9" s="1" t="str">
        <f t="shared" si="12"/>
        <v>2019</v>
      </c>
      <c r="J9" s="1" t="str">
        <f t="shared" si="13"/>
        <v>10.1242%2Fjeb.204651</v>
      </c>
      <c r="K9" s="1" t="str">
        <f t="shared" si="14"/>
        <v>BarbeitoAndres_etal_2019_celldensity</v>
      </c>
      <c r="L9" s="1" t="str">
        <f t="shared" si="15"/>
        <v>10.1242%2Fjeb.204651_celldensity</v>
      </c>
      <c r="M9" s="1" t="str">
        <f t="array" ref="M9">IFERROR(INDEX(FileList!$A$1:$A$1000,MATCH(TRUE(),EXACT(L9,IFERROR(_xlfn.TEXTBEFORE(FileList!$A$1:$A$1000,".tsv"),"")),0)),"notfound")</f>
        <v>10.1242%2Fjeb.204651_celldensity.tsv</v>
      </c>
      <c r="AG9" s="3" t="s">
        <v>58</v>
      </c>
      <c r="AJ9" s="3" t="s">
        <v>42</v>
      </c>
      <c r="AL9" s="3" t="s">
        <v>42</v>
      </c>
      <c r="AM9" s="3" t="s">
        <v>42</v>
      </c>
    </row>
    <row r="10" spans="1:39" ht="15.75" customHeight="1" x14ac:dyDescent="0.2">
      <c r="A10" s="3" t="s">
        <v>71</v>
      </c>
      <c r="D10" s="3" t="s">
        <v>73</v>
      </c>
      <c r="E10" s="1" t="str">
        <f t="shared" si="8"/>
        <v>1</v>
      </c>
      <c r="F10" s="1" t="str">
        <f t="shared" si="9"/>
        <v>BarbeitoAndres_etal_2019</v>
      </c>
      <c r="G10" s="1" t="str">
        <f t="shared" si="10"/>
        <v>BarbeitoAndres</v>
      </c>
      <c r="H10" s="1" t="str">
        <f t="shared" si="11"/>
        <v>etal</v>
      </c>
      <c r="I10" s="1" t="str">
        <f t="shared" si="12"/>
        <v>2019</v>
      </c>
      <c r="J10" s="1" t="str">
        <f t="shared" si="13"/>
        <v>10.1242%2Fjeb.204651</v>
      </c>
      <c r="K10" s="1" t="str">
        <f t="shared" si="14"/>
        <v>BarbeitoAndres_etal_2019_cellnumber</v>
      </c>
      <c r="L10" s="1" t="str">
        <f t="shared" si="15"/>
        <v>10.1242%2Fjeb.204651_cellnumber</v>
      </c>
      <c r="M10" s="1" t="str">
        <f t="array" ref="M10">IFERROR(INDEX(FileList!$A$1:$A$1000,MATCH(TRUE(),EXACT(L10,IFERROR(_xlfn.TEXTBEFORE(FileList!$A$1:$A$1000,".tsv"),"")),0)),"notfound")</f>
        <v>10.1242%2Fjeb.204651_cellnumber.tsv</v>
      </c>
      <c r="AG10" s="3" t="s">
        <v>58</v>
      </c>
      <c r="AJ10" s="3" t="s">
        <v>42</v>
      </c>
      <c r="AL10" s="3" t="s">
        <v>42</v>
      </c>
      <c r="AM10" s="3" t="s">
        <v>42</v>
      </c>
    </row>
    <row r="11" spans="1:39" ht="15.75" customHeight="1" x14ac:dyDescent="0.2">
      <c r="A11" s="3" t="s">
        <v>71</v>
      </c>
      <c r="D11" s="3" t="s">
        <v>74</v>
      </c>
      <c r="E11" s="1" t="str">
        <f t="shared" si="8"/>
        <v>1</v>
      </c>
      <c r="F11" s="1" t="str">
        <f t="shared" si="9"/>
        <v>BarbeitoAndres_etal_2019</v>
      </c>
      <c r="G11" s="1" t="str">
        <f t="shared" si="10"/>
        <v>BarbeitoAndres</v>
      </c>
      <c r="H11" s="1" t="str">
        <f t="shared" si="11"/>
        <v>etal</v>
      </c>
      <c r="I11" s="1" t="str">
        <f t="shared" si="12"/>
        <v>2019</v>
      </c>
      <c r="J11" s="1" t="str">
        <f t="shared" si="13"/>
        <v>10.1242%2Fjeb.204651</v>
      </c>
      <c r="K11" s="1" t="str">
        <f t="shared" si="14"/>
        <v>BarbeitoAndres_etal_2019_volumes</v>
      </c>
      <c r="L11" s="1" t="str">
        <f t="shared" si="15"/>
        <v>10.1242%2Fjeb.204651_volumes</v>
      </c>
      <c r="M11" s="1" t="str">
        <f t="array" ref="M11">IFERROR(INDEX(FileList!$A$1:$A$1000,MATCH(TRUE(),EXACT(L11,IFERROR(_xlfn.TEXTBEFORE(FileList!$A$1:$A$1000,".tsv"),"")),0)),"notfound")</f>
        <v>10.1242%2Fjeb.204651_volumes.tsv</v>
      </c>
      <c r="AG11" s="3" t="s">
        <v>58</v>
      </c>
      <c r="AJ11" s="3" t="s">
        <v>42</v>
      </c>
      <c r="AL11" s="3" t="s">
        <v>42</v>
      </c>
      <c r="AM11" s="3" t="s">
        <v>42</v>
      </c>
    </row>
    <row r="12" spans="1:39" ht="15.75" customHeight="1" x14ac:dyDescent="0.2">
      <c r="A12" s="3" t="s">
        <v>75</v>
      </c>
      <c r="D12" s="3" t="s">
        <v>76</v>
      </c>
      <c r="E12" s="1" t="str">
        <f t="shared" si="8"/>
        <v>7</v>
      </c>
      <c r="F12" s="1" t="str">
        <f t="shared" si="9"/>
        <v>Barger_etal_2014</v>
      </c>
      <c r="G12" s="1" t="str">
        <f t="shared" si="10"/>
        <v>Barger</v>
      </c>
      <c r="H12" s="1" t="str">
        <f t="shared" si="11"/>
        <v>etal</v>
      </c>
      <c r="I12" s="1" t="str">
        <f t="shared" si="12"/>
        <v>2014</v>
      </c>
      <c r="J12" s="1" t="str">
        <f t="shared" si="13"/>
        <v>10.3389%2Ffnhum.2014.00277</v>
      </c>
      <c r="K12" s="1" t="str">
        <f t="shared" si="14"/>
        <v>Barger_etal_2014_Table1</v>
      </c>
      <c r="L12" s="1" t="str">
        <f t="shared" si="15"/>
        <v>10.3389%2Ffnhum.2014.00277_Table1</v>
      </c>
      <c r="M12" s="1" t="str">
        <f t="array" ref="M12">IFERROR(INDEX(FileList!$A$1:$A$1000,MATCH(TRUE(),EXACT(L12,IFERROR(_xlfn.TEXTBEFORE(FileList!$A$1:$A$1000,".tsv"),"")),0)),"notfound")</f>
        <v>10.3389%2Ffnhum.2014.00277_Table1.tsv</v>
      </c>
      <c r="N12" s="3" t="s">
        <v>77</v>
      </c>
      <c r="Z12" s="3" t="s">
        <v>78</v>
      </c>
      <c r="AF12" s="3" t="s">
        <v>79</v>
      </c>
      <c r="AG12" s="3" t="s">
        <v>78</v>
      </c>
    </row>
    <row r="13" spans="1:39" ht="15.75" customHeight="1" x14ac:dyDescent="0.2">
      <c r="A13" s="3" t="s">
        <v>80</v>
      </c>
      <c r="D13" s="3" t="s">
        <v>48</v>
      </c>
      <c r="E13" s="1" t="str">
        <f t="shared" si="8"/>
        <v>4</v>
      </c>
      <c r="F13" s="1" t="str">
        <f t="shared" si="9"/>
        <v>Barger_etal_2007</v>
      </c>
      <c r="G13" s="1" t="str">
        <f t="shared" si="10"/>
        <v>Barger</v>
      </c>
      <c r="H13" s="1" t="str">
        <f t="shared" si="11"/>
        <v>etal</v>
      </c>
      <c r="I13" s="1" t="str">
        <f t="shared" si="12"/>
        <v>2007</v>
      </c>
      <c r="J13" s="1" t="str">
        <f t="shared" si="13"/>
        <v>10.1002%2Fajpa.20684</v>
      </c>
      <c r="K13" s="1" t="str">
        <f t="shared" si="14"/>
        <v>Barger_etal_2007_TABLE1</v>
      </c>
      <c r="L13" s="1" t="str">
        <f t="shared" si="15"/>
        <v>10.1002%2Fajpa.20684_TABLE1</v>
      </c>
      <c r="M13" s="1" t="str">
        <f t="array" ref="M13">IFERROR(INDEX(FileList!$A$1:$A$1000,MATCH(TRUE(),EXACT(L13,IFERROR(_xlfn.TEXTBEFORE(FileList!$A$1:$A$1000,".tsv"),"")),0)),"notfound")</f>
        <v>10.1002%2Fajpa.20684_TABLE1.tsv</v>
      </c>
      <c r="N13" s="3" t="s">
        <v>81</v>
      </c>
      <c r="P13" s="3" t="s">
        <v>40</v>
      </c>
      <c r="Z13" s="3" t="s">
        <v>78</v>
      </c>
      <c r="AF13" s="3" t="s">
        <v>858</v>
      </c>
      <c r="AG13" s="3" t="s">
        <v>78</v>
      </c>
      <c r="AI13" s="3" t="s">
        <v>82</v>
      </c>
      <c r="AJ13" s="3" t="s">
        <v>83</v>
      </c>
      <c r="AL13" s="3" t="s">
        <v>62</v>
      </c>
      <c r="AM13" s="3" t="s">
        <v>84</v>
      </c>
    </row>
    <row r="14" spans="1:39" ht="15.75" customHeight="1" x14ac:dyDescent="0.2">
      <c r="A14" s="3" t="s">
        <v>826</v>
      </c>
      <c r="D14" s="3" t="s">
        <v>67</v>
      </c>
      <c r="E14" s="1" t="str">
        <f t="shared" si="8"/>
        <v>8</v>
      </c>
      <c r="F14" s="1" t="str">
        <f t="shared" si="9"/>
        <v>Barger_etal_2012</v>
      </c>
      <c r="G14" s="1" t="str">
        <f t="shared" si="10"/>
        <v>Barger</v>
      </c>
      <c r="H14" s="1" t="str">
        <f t="shared" si="11"/>
        <v>etal</v>
      </c>
      <c r="I14" s="1" t="str">
        <f t="shared" si="12"/>
        <v>2012</v>
      </c>
      <c r="J14" s="1" t="str">
        <f t="shared" si="13"/>
        <v>10.1002%2Fcne.23118</v>
      </c>
      <c r="K14" s="1" t="str">
        <f t="shared" si="14"/>
        <v>Barger_etal_2012_Table3</v>
      </c>
      <c r="L14" s="1" t="str">
        <f t="shared" si="15"/>
        <v>10.1002%2Fcne.23118_Table3</v>
      </c>
      <c r="M14" s="1" t="str">
        <f t="array" ref="M14">IFERROR(INDEX(FileList!$A$1:$A$1000,MATCH(TRUE(),EXACT(L14,IFERROR(_xlfn.TEXTBEFORE(FileList!$A$1:$A$1000,".tsv"),"")),0)),"notfound")</f>
        <v>10.1002%2Fcne.23118_Table3.tsv</v>
      </c>
      <c r="N14" s="3" t="s">
        <v>827</v>
      </c>
      <c r="P14" s="3" t="s">
        <v>40</v>
      </c>
      <c r="AI14" s="3" t="s">
        <v>828</v>
      </c>
      <c r="AJ14" s="3" t="s">
        <v>117</v>
      </c>
      <c r="AK14" s="3" t="s">
        <v>62</v>
      </c>
      <c r="AL14" s="3" t="s">
        <v>62</v>
      </c>
      <c r="AM14" s="3" t="s">
        <v>829</v>
      </c>
    </row>
    <row r="15" spans="1:39" ht="15.75" customHeight="1" x14ac:dyDescent="0.2">
      <c r="A15" s="3" t="s">
        <v>85</v>
      </c>
      <c r="D15" s="3" t="s">
        <v>86</v>
      </c>
      <c r="E15" s="1" t="str">
        <f t="shared" si="8"/>
        <v>6</v>
      </c>
      <c r="F15" s="1" t="str">
        <f t="shared" si="9"/>
        <v>Barks_etal_2014</v>
      </c>
      <c r="G15" s="1" t="str">
        <f t="shared" si="10"/>
        <v>Barks</v>
      </c>
      <c r="H15" s="1" t="str">
        <f t="shared" si="11"/>
        <v>etal</v>
      </c>
      <c r="I15" s="1" t="str">
        <f t="shared" si="12"/>
        <v>2014</v>
      </c>
      <c r="J15" s="1" t="str">
        <f t="shared" si="13"/>
        <v>10.1002%2Fajpa.22646</v>
      </c>
      <c r="K15" s="1" t="str">
        <f t="shared" si="14"/>
        <v>Barks_etal_2014_Fig4A</v>
      </c>
      <c r="L15" s="1" t="str">
        <f t="shared" si="15"/>
        <v>10.1002%2Fajpa.22646_Fig4A</v>
      </c>
      <c r="M15" s="1" t="str">
        <f t="array" ref="M15">IFERROR(INDEX(FileList!$A$1:$A$1000,MATCH(TRUE(),EXACT(L15,IFERROR(_xlfn.TEXTBEFORE(FileList!$A$1:$A$1000,".tsv"),"")),0)),"notfound")</f>
        <v>10.1002%2Fajpa.22646_Fig4A.tsv</v>
      </c>
      <c r="O15" s="3" t="s">
        <v>87</v>
      </c>
      <c r="P15" s="3" t="s">
        <v>40</v>
      </c>
      <c r="Y15" s="3" t="s">
        <v>88</v>
      </c>
    </row>
    <row r="16" spans="1:39" ht="15.75" customHeight="1" x14ac:dyDescent="0.2">
      <c r="A16" s="3" t="s">
        <v>85</v>
      </c>
      <c r="D16" s="3" t="s">
        <v>89</v>
      </c>
      <c r="E16" s="1" t="str">
        <f t="shared" si="8"/>
        <v>6</v>
      </c>
      <c r="F16" s="1" t="str">
        <f t="shared" si="9"/>
        <v>Barks_etal_2014</v>
      </c>
      <c r="G16" s="1" t="str">
        <f t="shared" si="10"/>
        <v>Barks</v>
      </c>
      <c r="H16" s="1" t="str">
        <f t="shared" si="11"/>
        <v>etal</v>
      </c>
      <c r="I16" s="1" t="str">
        <f t="shared" si="12"/>
        <v>2014</v>
      </c>
      <c r="J16" s="1" t="str">
        <f t="shared" si="13"/>
        <v>10.1002%2Fajpa.22646</v>
      </c>
      <c r="K16" s="1" t="str">
        <f t="shared" si="14"/>
        <v>Barks_etal_2014_Fig5A</v>
      </c>
      <c r="L16" s="1" t="str">
        <f t="shared" si="15"/>
        <v>10.1002%2Fajpa.22646_Fig5A</v>
      </c>
      <c r="M16" s="1" t="str">
        <f t="array" ref="M16">IFERROR(INDEX(FileList!$A$1:$A$1000,MATCH(TRUE(),EXACT(L16,IFERROR(_xlfn.TEXTBEFORE(FileList!$A$1:$A$1000,".tsv"),"")),0)),"notfound")</f>
        <v>10.1002%2Fajpa.22646_Fig5A.tsv</v>
      </c>
      <c r="O16" s="3" t="s">
        <v>90</v>
      </c>
      <c r="P16" s="3" t="s">
        <v>40</v>
      </c>
    </row>
    <row r="17" spans="1:39" ht="15.75" customHeight="1" x14ac:dyDescent="0.2">
      <c r="A17" s="3" t="s">
        <v>85</v>
      </c>
      <c r="D17" s="3" t="s">
        <v>48</v>
      </c>
      <c r="E17" s="1" t="str">
        <f t="shared" si="8"/>
        <v>6</v>
      </c>
      <c r="F17" s="1" t="str">
        <f t="shared" si="9"/>
        <v>Barks_etal_2014</v>
      </c>
      <c r="G17" s="1" t="str">
        <f t="shared" si="10"/>
        <v>Barks</v>
      </c>
      <c r="H17" s="1" t="str">
        <f t="shared" si="11"/>
        <v>etal</v>
      </c>
      <c r="I17" s="1" t="str">
        <f t="shared" si="12"/>
        <v>2014</v>
      </c>
      <c r="J17" s="1" t="str">
        <f t="shared" si="13"/>
        <v>10.1002%2Fajpa.22646</v>
      </c>
      <c r="K17" s="1" t="str">
        <f t="shared" si="14"/>
        <v>Barks_etal_2014_TABLE1</v>
      </c>
      <c r="L17" s="1" t="str">
        <f t="shared" si="15"/>
        <v>10.1002%2Fajpa.22646_TABLE1</v>
      </c>
      <c r="M17" s="1" t="str">
        <f t="array" ref="M17">IFERROR(INDEX(FileList!$A$1:$A$1000,MATCH(TRUE(),EXACT(L17,IFERROR(_xlfn.TEXTBEFORE(FileList!$A$1:$A$1000,".tsv"),"")),0)),"notfound")</f>
        <v>10.1002%2Fajpa.22646_TABLE1.tsv</v>
      </c>
      <c r="N17" s="3" t="s">
        <v>91</v>
      </c>
      <c r="P17" s="3" t="s">
        <v>40</v>
      </c>
      <c r="Y17" s="3" t="s">
        <v>88</v>
      </c>
    </row>
    <row r="18" spans="1:39" ht="15.75" customHeight="1" x14ac:dyDescent="0.2">
      <c r="A18" s="3" t="s">
        <v>85</v>
      </c>
      <c r="D18" s="3" t="s">
        <v>92</v>
      </c>
      <c r="E18" s="1" t="str">
        <f t="shared" si="8"/>
        <v>6</v>
      </c>
      <c r="F18" s="1" t="str">
        <f t="shared" si="9"/>
        <v>Barks_etal_2014</v>
      </c>
      <c r="G18" s="1" t="str">
        <f t="shared" si="10"/>
        <v>Barks</v>
      </c>
      <c r="H18" s="1" t="str">
        <f t="shared" si="11"/>
        <v>etal</v>
      </c>
      <c r="I18" s="1" t="str">
        <f t="shared" si="12"/>
        <v>2014</v>
      </c>
      <c r="J18" s="1" t="str">
        <f t="shared" si="13"/>
        <v>10.1002%2Fajpa.22646</v>
      </c>
      <c r="K18" s="1" t="str">
        <f t="shared" si="14"/>
        <v>Barks_etal_2014_TABLE2</v>
      </c>
      <c r="L18" s="1" t="str">
        <f t="shared" si="15"/>
        <v>10.1002%2Fajpa.22646_TABLE2</v>
      </c>
      <c r="M18" s="1" t="str">
        <f t="array" ref="M18">IFERROR(INDEX(FileList!$A$1:$A$1000,MATCH(TRUE(),EXACT(L18,IFERROR(_xlfn.TEXTBEFORE(FileList!$A$1:$A$1000,".tsv"),"")),0)),"notfound")</f>
        <v>10.1002%2Fajpa.22646_TABLE2.tsv</v>
      </c>
      <c r="N18" s="3" t="s">
        <v>93</v>
      </c>
      <c r="P18" s="3" t="s">
        <v>40</v>
      </c>
    </row>
    <row r="19" spans="1:39" ht="15.75" customHeight="1" x14ac:dyDescent="0.2">
      <c r="A19" s="3" t="s">
        <v>85</v>
      </c>
      <c r="D19" s="3" t="s">
        <v>94</v>
      </c>
      <c r="E19" s="1" t="str">
        <f t="shared" si="8"/>
        <v>6</v>
      </c>
      <c r="F19" s="1" t="str">
        <f t="shared" si="9"/>
        <v>Barks_etal_2014</v>
      </c>
      <c r="G19" s="1" t="str">
        <f t="shared" si="10"/>
        <v>Barks</v>
      </c>
      <c r="H19" s="1" t="str">
        <f t="shared" si="11"/>
        <v>etal</v>
      </c>
      <c r="I19" s="1" t="str">
        <f t="shared" si="12"/>
        <v>2014</v>
      </c>
      <c r="J19" s="1" t="str">
        <f t="shared" si="13"/>
        <v>10.1002%2Fajpa.22646</v>
      </c>
      <c r="K19" s="1" t="str">
        <f t="shared" si="14"/>
        <v>Barks_etal_2014_unpublishedviaDeCasien</v>
      </c>
      <c r="L19" s="1" t="str">
        <f t="shared" si="15"/>
        <v>10.1002%2Fajpa.22646_unpublishedviaDeCasien</v>
      </c>
      <c r="M19" s="1" t="str">
        <f t="array" ref="M19">IFERROR(INDEX(FileList!$A$1:$A$1000,MATCH(TRUE(),EXACT(L19,IFERROR(_xlfn.TEXTBEFORE(FileList!$A$1:$A$1000,".tsv"),"")),0)),"notfound")</f>
        <v>10.1002%2Fajpa.22646_unpublishedviaDeCasien.tsv</v>
      </c>
      <c r="O19" s="3" t="s">
        <v>95</v>
      </c>
    </row>
    <row r="20" spans="1:39" ht="16.5" customHeight="1" x14ac:dyDescent="0.2">
      <c r="A20" s="3" t="s">
        <v>96</v>
      </c>
      <c r="C20" s="3" t="s">
        <v>97</v>
      </c>
      <c r="D20" s="3" t="s">
        <v>76</v>
      </c>
      <c r="E20" s="1" t="str">
        <f t="shared" si="8"/>
        <v>9</v>
      </c>
      <c r="F20" s="1" t="str">
        <f t="shared" si="9"/>
        <v>Baron_etal_1988</v>
      </c>
      <c r="G20" s="1" t="str">
        <f t="shared" si="10"/>
        <v>Baron</v>
      </c>
      <c r="H20" s="1" t="str">
        <f t="shared" si="11"/>
        <v>etal</v>
      </c>
      <c r="I20" s="1" t="str">
        <f t="shared" si="12"/>
        <v>1988</v>
      </c>
      <c r="J20" s="1" t="str">
        <f t="shared" si="13"/>
        <v>PMID%3A3216099</v>
      </c>
      <c r="K20" s="1" t="str">
        <f t="shared" si="14"/>
        <v>Baron_etal_1988_Table1</v>
      </c>
      <c r="L20" s="1" t="str">
        <f t="shared" si="15"/>
        <v>PMID%3A3216099_Table1</v>
      </c>
      <c r="M20" s="1" t="str">
        <f t="array" ref="M20">IFERROR(INDEX(FileList!$A$1:$A$1000,MATCH(TRUE(),EXACT(L20,IFERROR(_xlfn.TEXTBEFORE(FileList!$A$1:$A$1000,".tsv"),"")),0)),"notfound")</f>
        <v>PMID%3A3216099_Table1.tsv</v>
      </c>
      <c r="N20" s="3" t="s">
        <v>98</v>
      </c>
      <c r="P20" s="3" t="s">
        <v>40</v>
      </c>
      <c r="Y20" s="3" t="s">
        <v>99</v>
      </c>
      <c r="Z20" s="3" t="s">
        <v>99</v>
      </c>
      <c r="AF20" s="3" t="s">
        <v>79</v>
      </c>
      <c r="AG20" s="3" t="s">
        <v>99</v>
      </c>
      <c r="AI20" s="3" t="s">
        <v>100</v>
      </c>
      <c r="AJ20" s="3" t="s">
        <v>101</v>
      </c>
      <c r="AL20" s="3" t="s">
        <v>62</v>
      </c>
      <c r="AM20" s="3" t="s">
        <v>84</v>
      </c>
    </row>
    <row r="21" spans="1:39" ht="16.5" customHeight="1" x14ac:dyDescent="0.2">
      <c r="A21" s="3" t="s">
        <v>102</v>
      </c>
      <c r="C21" s="3" t="s">
        <v>103</v>
      </c>
      <c r="D21" s="3" t="s">
        <v>76</v>
      </c>
      <c r="E21" s="1" t="str">
        <f t="shared" si="8"/>
        <v>5</v>
      </c>
      <c r="F21" s="1" t="str">
        <f t="shared" si="9"/>
        <v>Baron_etal_1983</v>
      </c>
      <c r="G21" s="1" t="str">
        <f t="shared" si="10"/>
        <v>Baron</v>
      </c>
      <c r="H21" s="1" t="str">
        <f t="shared" si="11"/>
        <v>etal</v>
      </c>
      <c r="I21" s="1" t="str">
        <f t="shared" si="12"/>
        <v>1983</v>
      </c>
      <c r="J21" s="1" t="str">
        <f t="shared" si="13"/>
        <v>PMID%3A6663055</v>
      </c>
      <c r="K21" s="1" t="str">
        <f t="shared" si="14"/>
        <v>Baron_etal_1983_Table1</v>
      </c>
      <c r="L21" s="1" t="str">
        <f t="shared" si="15"/>
        <v>PMID%3A6663055_Table1</v>
      </c>
      <c r="M21" s="1" t="str">
        <f t="array" ref="M21">IFERROR(INDEX(FileList!$A$1:$A$1000,MATCH(TRUE(),EXACT(L21,IFERROR(_xlfn.TEXTBEFORE(FileList!$A$1:$A$1000,".tsv"),"")),0)),"notfound")</f>
        <v>PMID%3A6663055_Table1.tsv</v>
      </c>
      <c r="P21" s="3" t="s">
        <v>40</v>
      </c>
      <c r="V21" s="3" t="s">
        <v>41</v>
      </c>
      <c r="W21" s="3" t="s">
        <v>104</v>
      </c>
      <c r="Y21" s="3" t="s">
        <v>99</v>
      </c>
      <c r="Z21" s="3" t="s">
        <v>99</v>
      </c>
      <c r="AF21" s="3" t="s">
        <v>79</v>
      </c>
      <c r="AG21" s="3" t="s">
        <v>99</v>
      </c>
      <c r="AI21" s="3" t="s">
        <v>105</v>
      </c>
      <c r="AJ21" s="3" t="s">
        <v>101</v>
      </c>
      <c r="AK21" s="3" t="s">
        <v>62</v>
      </c>
      <c r="AL21" s="3" t="s">
        <v>62</v>
      </c>
      <c r="AM21" s="3" t="s">
        <v>84</v>
      </c>
    </row>
    <row r="22" spans="1:39" ht="15.75" customHeight="1" x14ac:dyDescent="0.2">
      <c r="A22" s="3" t="s">
        <v>106</v>
      </c>
      <c r="C22" s="3" t="s">
        <v>107</v>
      </c>
      <c r="D22" s="3" t="s">
        <v>76</v>
      </c>
      <c r="E22" s="1" t="str">
        <f t="shared" si="8"/>
        <v>6</v>
      </c>
      <c r="F22" s="1" t="str">
        <f t="shared" si="9"/>
        <v>Baron_etal_1987</v>
      </c>
      <c r="G22" s="1" t="str">
        <f t="shared" si="10"/>
        <v>Baron</v>
      </c>
      <c r="H22" s="1" t="str">
        <f t="shared" si="11"/>
        <v>etal</v>
      </c>
      <c r="I22" s="1" t="str">
        <f t="shared" si="12"/>
        <v>1987</v>
      </c>
      <c r="J22" s="1" t="str">
        <f t="shared" si="13"/>
        <v>PMID%3A3116076</v>
      </c>
      <c r="K22" s="1" t="str">
        <f t="shared" si="14"/>
        <v>Baron_etal_1987_Table1</v>
      </c>
      <c r="L22" s="1" t="str">
        <f t="shared" si="15"/>
        <v>PMID%3A3116076_Table1</v>
      </c>
      <c r="M22" s="1" t="str">
        <f t="array" ref="M22">IFERROR(INDEX(FileList!$A$1:$A$1000,MATCH(TRUE(),EXACT(L22,IFERROR(_xlfn.TEXTBEFORE(FileList!$A$1:$A$1000,".tsv"),"")),0)),"notfound")</f>
        <v>PMID%3A3116076_Table1.tsv</v>
      </c>
      <c r="P22" s="3" t="s">
        <v>40</v>
      </c>
      <c r="V22" s="3" t="s">
        <v>41</v>
      </c>
      <c r="W22" s="3" t="s">
        <v>104</v>
      </c>
      <c r="Y22" s="3" t="s">
        <v>99</v>
      </c>
      <c r="Z22" s="3" t="s">
        <v>99</v>
      </c>
      <c r="AF22" s="3" t="s">
        <v>79</v>
      </c>
      <c r="AG22" s="3" t="s">
        <v>99</v>
      </c>
      <c r="AI22" s="3" t="s">
        <v>108</v>
      </c>
      <c r="AJ22" s="3" t="s">
        <v>101</v>
      </c>
      <c r="AK22" s="3" t="s">
        <v>62</v>
      </c>
      <c r="AL22" s="3" t="s">
        <v>62</v>
      </c>
      <c r="AM22" s="3" t="s">
        <v>84</v>
      </c>
    </row>
    <row r="23" spans="1:39" ht="15.75" customHeight="1" x14ac:dyDescent="0.2">
      <c r="A23" s="3" t="s">
        <v>109</v>
      </c>
      <c r="C23" s="3" t="s">
        <v>110</v>
      </c>
      <c r="D23" s="3" t="s">
        <v>76</v>
      </c>
      <c r="E23" s="1" t="str">
        <f t="shared" si="8"/>
        <v>3</v>
      </c>
      <c r="F23" s="1" t="str">
        <f t="shared" si="9"/>
        <v>Baron_etal_1990</v>
      </c>
      <c r="G23" s="1" t="str">
        <f t="shared" si="10"/>
        <v>Baron</v>
      </c>
      <c r="H23" s="1" t="str">
        <f t="shared" si="11"/>
        <v>etal</v>
      </c>
      <c r="I23" s="1" t="str">
        <f t="shared" si="12"/>
        <v>1990</v>
      </c>
      <c r="J23" s="1" t="str">
        <f t="shared" si="13"/>
        <v>PMID%3A2358663</v>
      </c>
      <c r="K23" s="1" t="str">
        <f t="shared" si="14"/>
        <v>Baron_etal_1990_Table1</v>
      </c>
      <c r="L23" s="1" t="str">
        <f t="shared" si="15"/>
        <v>PMID%3A2358663_Table1</v>
      </c>
      <c r="M23" s="1" t="str">
        <f t="array" ref="M23">IFERROR(INDEX(FileList!$A$1:$A$1000,MATCH(TRUE(),EXACT(L23,IFERROR(_xlfn.TEXTBEFORE(FileList!$A$1:$A$1000,".tsv"),"")),0)),"notfound")</f>
        <v>PMID%3A2358663_Table1.tsv</v>
      </c>
      <c r="N23" s="3" t="s">
        <v>859</v>
      </c>
      <c r="P23" s="3" t="s">
        <v>40</v>
      </c>
      <c r="V23" s="3" t="s">
        <v>41</v>
      </c>
      <c r="W23" s="3" t="s">
        <v>104</v>
      </c>
      <c r="Y23" s="3" t="s">
        <v>99</v>
      </c>
      <c r="Z23" s="3" t="s">
        <v>99</v>
      </c>
      <c r="AF23" s="3" t="s">
        <v>79</v>
      </c>
      <c r="AG23" s="3" t="s">
        <v>111</v>
      </c>
      <c r="AI23" s="3" t="s">
        <v>112</v>
      </c>
      <c r="AJ23" s="3" t="s">
        <v>101</v>
      </c>
      <c r="AK23" s="3" t="s">
        <v>62</v>
      </c>
      <c r="AL23" s="3" t="s">
        <v>62</v>
      </c>
      <c r="AM23" s="3" t="s">
        <v>84</v>
      </c>
    </row>
    <row r="24" spans="1:39" ht="15.75" customHeight="1" x14ac:dyDescent="0.2">
      <c r="A24" s="3" t="s">
        <v>838</v>
      </c>
      <c r="C24" s="3"/>
      <c r="D24" s="3"/>
      <c r="E24" s="1" t="str">
        <f t="shared" si="8"/>
        <v>.</v>
      </c>
      <c r="F24" s="1" t="str">
        <f t="shared" si="9"/>
        <v>Baron_etal_1996</v>
      </c>
      <c r="G24" s="1" t="str">
        <f t="shared" si="10"/>
        <v>Baron</v>
      </c>
      <c r="H24" s="1" t="str">
        <f t="shared" si="11"/>
        <v>etal</v>
      </c>
      <c r="I24" s="1" t="str">
        <f t="shared" si="12"/>
        <v>1996</v>
      </c>
      <c r="J24" s="1" t="e">
        <f t="shared" si="13"/>
        <v>#N/A</v>
      </c>
      <c r="K24" s="1" t="str">
        <f t="shared" si="14"/>
        <v>Baron_etal_1996_</v>
      </c>
      <c r="L24" s="1" t="e">
        <f t="shared" si="15"/>
        <v>#N/A</v>
      </c>
      <c r="M24" s="1" t="str">
        <f t="array" ref="M24">IFERROR(INDEX(FileList!$A$1:$A$1000,MATCH(TRUE(),EXACT(L24,IFERROR(_xlfn.TEXTBEFORE(FileList!$A$1:$A$1000,".tsv"),"")),0)),"notfound")</f>
        <v>notfound</v>
      </c>
      <c r="N24" s="3"/>
      <c r="P24" s="3"/>
      <c r="V24" s="3"/>
      <c r="W24" s="3"/>
      <c r="Y24" s="3"/>
      <c r="Z24" s="3"/>
      <c r="AF24" s="3"/>
      <c r="AG24" s="3"/>
      <c r="AI24" s="3"/>
      <c r="AJ24" s="3"/>
      <c r="AK24" s="3"/>
      <c r="AL24" s="3"/>
      <c r="AM24" s="3"/>
    </row>
    <row r="25" spans="1:39" ht="15.75" customHeight="1" x14ac:dyDescent="0.2">
      <c r="A25" s="3" t="s">
        <v>113</v>
      </c>
      <c r="D25" s="3" t="s">
        <v>76</v>
      </c>
      <c r="E25" s="1" t="str">
        <f t="shared" si="8"/>
        <v>3</v>
      </c>
      <c r="F25" s="1" t="str">
        <f t="shared" si="9"/>
        <v>Bauernfeind_etal_2013</v>
      </c>
      <c r="G25" s="1" t="str">
        <f t="shared" si="10"/>
        <v>Bauernfeind</v>
      </c>
      <c r="H25" s="1" t="str">
        <f t="shared" si="11"/>
        <v>etal</v>
      </c>
      <c r="I25" s="1" t="str">
        <f t="shared" si="12"/>
        <v>2013</v>
      </c>
      <c r="J25" s="1" t="str">
        <f t="shared" si="13"/>
        <v>10.1016%2Fj.jhevol.2012.12.003</v>
      </c>
      <c r="K25" s="1" t="str">
        <f t="shared" si="14"/>
        <v>Bauernfeind_etal_2013_Table1</v>
      </c>
      <c r="L25" s="1" t="str">
        <f t="shared" si="15"/>
        <v>10.1016%2Fj.jhevol.2012.12.003_Table1</v>
      </c>
      <c r="M25" s="1" t="str">
        <f t="array" ref="M25">IFERROR(INDEX(FileList!$A$1:$A$1000,MATCH(TRUE(),EXACT(L25,IFERROR(_xlfn.TEXTBEFORE(FileList!$A$1:$A$1000,".tsv"),"")),0)),"notfound")</f>
        <v>10.1016%2Fj.jhevol.2012.12.003_Table1.tsv</v>
      </c>
      <c r="N25" s="3" t="s">
        <v>114</v>
      </c>
      <c r="P25" s="3" t="s">
        <v>40</v>
      </c>
      <c r="V25" s="3" t="s">
        <v>41</v>
      </c>
      <c r="Y25" s="3" t="s">
        <v>115</v>
      </c>
      <c r="AF25" s="3" t="s">
        <v>79</v>
      </c>
      <c r="AG25" s="3" t="s">
        <v>111</v>
      </c>
      <c r="AI25" s="3" t="s">
        <v>116</v>
      </c>
      <c r="AJ25" s="3" t="s">
        <v>117</v>
      </c>
      <c r="AK25" s="3" t="s">
        <v>62</v>
      </c>
      <c r="AL25" s="3" t="s">
        <v>62</v>
      </c>
      <c r="AM25" s="3" t="s">
        <v>84</v>
      </c>
    </row>
    <row r="26" spans="1:39" ht="15.75" customHeight="1" x14ac:dyDescent="0.2">
      <c r="A26" s="3" t="s">
        <v>113</v>
      </c>
      <c r="D26" s="3" t="s">
        <v>118</v>
      </c>
      <c r="E26" s="1" t="str">
        <f t="shared" si="8"/>
        <v>3</v>
      </c>
      <c r="F26" s="1" t="str">
        <f t="shared" si="9"/>
        <v>Bauernfeind_etal_2013</v>
      </c>
      <c r="G26" s="1" t="str">
        <f t="shared" si="10"/>
        <v>Bauernfeind</v>
      </c>
      <c r="H26" s="1" t="str">
        <f t="shared" si="11"/>
        <v>etal</v>
      </c>
      <c r="I26" s="1" t="str">
        <f t="shared" si="12"/>
        <v>2013</v>
      </c>
      <c r="J26" s="1" t="str">
        <f t="shared" si="13"/>
        <v>10.1016%2Fj.jhevol.2012.12.003</v>
      </c>
      <c r="K26" s="1" t="str">
        <f t="shared" si="14"/>
        <v>Bauernfeind_etal_2013_Table2</v>
      </c>
      <c r="L26" s="1" t="str">
        <f t="shared" si="15"/>
        <v>10.1016%2Fj.jhevol.2012.12.003_Table2</v>
      </c>
      <c r="M26" s="1" t="str">
        <f t="array" ref="M26">IFERROR(INDEX(FileList!$A$1:$A$1000,MATCH(TRUE(),EXACT(L26,IFERROR(_xlfn.TEXTBEFORE(FileList!$A$1:$A$1000,".tsv"),"")),0)),"notfound")</f>
        <v>10.1016%2Fj.jhevol.2012.12.003_Table2.tsv</v>
      </c>
      <c r="P26" s="3" t="s">
        <v>40</v>
      </c>
      <c r="V26" s="3" t="s">
        <v>41</v>
      </c>
      <c r="Y26" s="3" t="s">
        <v>115</v>
      </c>
      <c r="AF26" s="3" t="s">
        <v>79</v>
      </c>
      <c r="AG26" s="3" t="s">
        <v>111</v>
      </c>
      <c r="AI26" s="3" t="s">
        <v>116</v>
      </c>
      <c r="AJ26" s="3" t="s">
        <v>117</v>
      </c>
      <c r="AK26" s="3" t="s">
        <v>62</v>
      </c>
      <c r="AL26" s="3" t="s">
        <v>62</v>
      </c>
      <c r="AM26" s="3" t="s">
        <v>84</v>
      </c>
    </row>
    <row r="27" spans="1:39" ht="15.75" customHeight="1" x14ac:dyDescent="0.2">
      <c r="A27" s="3" t="s">
        <v>113</v>
      </c>
      <c r="D27" s="3" t="s">
        <v>67</v>
      </c>
      <c r="E27" s="1" t="str">
        <f t="shared" si="8"/>
        <v>3</v>
      </c>
      <c r="F27" s="1" t="str">
        <f t="shared" si="9"/>
        <v>Bauernfeind_etal_2013</v>
      </c>
      <c r="G27" s="1" t="str">
        <f t="shared" si="10"/>
        <v>Bauernfeind</v>
      </c>
      <c r="H27" s="1" t="str">
        <f t="shared" si="11"/>
        <v>etal</v>
      </c>
      <c r="I27" s="1" t="str">
        <f t="shared" si="12"/>
        <v>2013</v>
      </c>
      <c r="J27" s="1" t="str">
        <f t="shared" si="13"/>
        <v>10.1016%2Fj.jhevol.2012.12.003</v>
      </c>
      <c r="K27" s="1" t="str">
        <f t="shared" si="14"/>
        <v>Bauernfeind_etal_2013_Table3</v>
      </c>
      <c r="L27" s="1" t="str">
        <f t="shared" si="15"/>
        <v>10.1016%2Fj.jhevol.2012.12.003_Table3</v>
      </c>
      <c r="M27" s="1" t="str">
        <f t="array" ref="M27">IFERROR(INDEX(FileList!$A$1:$A$1000,MATCH(TRUE(),EXACT(L27,IFERROR(_xlfn.TEXTBEFORE(FileList!$A$1:$A$1000,".tsv"),"")),0)),"notfound")</f>
        <v>10.1016%2Fj.jhevol.2012.12.003_Table3.tsv</v>
      </c>
      <c r="V27" s="3" t="s">
        <v>41</v>
      </c>
      <c r="Y27" s="3" t="s">
        <v>115</v>
      </c>
      <c r="AF27" s="3" t="s">
        <v>79</v>
      </c>
      <c r="AG27" s="3" t="s">
        <v>111</v>
      </c>
      <c r="AI27" s="3" t="s">
        <v>116</v>
      </c>
      <c r="AJ27" s="3" t="s">
        <v>117</v>
      </c>
      <c r="AK27" s="3" t="s">
        <v>62</v>
      </c>
      <c r="AL27" s="3" t="s">
        <v>62</v>
      </c>
      <c r="AM27" s="3" t="s">
        <v>84</v>
      </c>
    </row>
    <row r="28" spans="1:39" ht="15.75" customHeight="1" x14ac:dyDescent="0.2">
      <c r="A28" s="3" t="s">
        <v>119</v>
      </c>
      <c r="D28" s="3" t="s">
        <v>76</v>
      </c>
      <c r="E28" s="1" t="str">
        <f t="shared" si="8"/>
        <v>3</v>
      </c>
      <c r="F28" s="1" t="str">
        <f t="shared" si="9"/>
        <v>Boyer_Harrington_2018</v>
      </c>
      <c r="G28" s="1" t="str">
        <f t="shared" si="10"/>
        <v>Boyer</v>
      </c>
      <c r="H28" s="1" t="str">
        <f t="shared" si="11"/>
        <v>Harrington</v>
      </c>
      <c r="I28" s="1" t="str">
        <f t="shared" si="12"/>
        <v>2018</v>
      </c>
      <c r="J28" s="1" t="str">
        <f t="shared" si="13"/>
        <v>10.1016%2Fj.jhevol.2017.09.003</v>
      </c>
      <c r="K28" s="1" t="str">
        <f t="shared" si="14"/>
        <v>Boyer_Harrington_2018_Table1</v>
      </c>
      <c r="L28" s="1" t="str">
        <f t="shared" si="15"/>
        <v>10.1016%2Fj.jhevol.2017.09.003_Table1</v>
      </c>
      <c r="M28" s="1" t="str">
        <f t="array" ref="M28">IFERROR(INDEX(FileList!$A$1:$A$1000,MATCH(TRUE(),EXACT(L28,IFERROR(_xlfn.TEXTBEFORE(FileList!$A$1:$A$1000,".tsv"),"")),0)),"notfound")</f>
        <v>10.1016%2Fj.jhevol.2017.09.003_Table1.tsv</v>
      </c>
      <c r="N28" s="3" t="s">
        <v>120</v>
      </c>
    </row>
    <row r="29" spans="1:39" ht="15.75" customHeight="1" x14ac:dyDescent="0.2">
      <c r="A29" s="3" t="s">
        <v>121</v>
      </c>
      <c r="D29" s="3" t="s">
        <v>122</v>
      </c>
      <c r="E29" s="1" t="str">
        <f t="shared" si="8"/>
        <v>2</v>
      </c>
      <c r="F29" s="1" t="str">
        <f t="shared" si="9"/>
        <v>Boyer_Harrington_2019</v>
      </c>
      <c r="G29" s="1" t="str">
        <f t="shared" si="10"/>
        <v>Boyer</v>
      </c>
      <c r="H29" s="1" t="str">
        <f t="shared" si="11"/>
        <v>Harrington</v>
      </c>
      <c r="I29" s="1" t="str">
        <f t="shared" si="12"/>
        <v>2019</v>
      </c>
      <c r="J29" s="1" t="str">
        <f t="shared" si="13"/>
        <v>10.1016%2Fj.jhevol.2018.10.002</v>
      </c>
      <c r="K29" s="1" t="str">
        <f t="shared" si="14"/>
        <v>Boyer_Harrington_2019_SOMTableS6</v>
      </c>
      <c r="L29" s="1" t="str">
        <f t="shared" si="15"/>
        <v>10.1016%2Fj.jhevol.2018.10.002_SOMTableS6</v>
      </c>
      <c r="M29" s="1" t="str">
        <f t="array" ref="M29">IFERROR(INDEX(FileList!$A$1:$A$1000,MATCH(TRUE(),EXACT(L29,IFERROR(_xlfn.TEXTBEFORE(FileList!$A$1:$A$1000,".tsv"),"")),0)),"notfound")</f>
        <v>10.1016%2Fj.jhevol.2018.10.002_SOMTableS6.tsv</v>
      </c>
    </row>
    <row r="30" spans="1:39" ht="15.75" customHeight="1" x14ac:dyDescent="0.2">
      <c r="A30" s="3" t="s">
        <v>830</v>
      </c>
      <c r="C30" s="3" t="s">
        <v>831</v>
      </c>
      <c r="D30" s="3" t="s">
        <v>76</v>
      </c>
      <c r="E30" s="1" t="str">
        <f t="shared" si="8"/>
        <v>.</v>
      </c>
      <c r="F30" s="1" t="str">
        <f t="shared" si="9"/>
        <v>Brodmann__1913</v>
      </c>
      <c r="G30" s="1" t="str">
        <f t="shared" si="10"/>
        <v>Brodmann</v>
      </c>
      <c r="H30" s="1" t="str">
        <f t="shared" si="11"/>
        <v/>
      </c>
      <c r="I30" s="1" t="str">
        <f t="shared" si="12"/>
        <v>1913</v>
      </c>
      <c r="J30" s="1" t="str">
        <f t="shared" si="13"/>
        <v>OCLC%3A8777719</v>
      </c>
      <c r="K30" s="1" t="str">
        <f t="shared" si="14"/>
        <v>Brodmann__1913_Table1</v>
      </c>
      <c r="L30" s="1" t="str">
        <f t="shared" si="15"/>
        <v>OCLC%3A8777719_Table1</v>
      </c>
      <c r="M30" s="1" t="str">
        <f t="array" ref="M30">IFERROR(INDEX(FileList!$A$1:$A$1000,MATCH(TRUE(),EXACT(L30,IFERROR(_xlfn.TEXTBEFORE(FileList!$A$1:$A$1000,".tsv"),"")),0)),"notfound")</f>
        <v>OCLC%3A8777719_Table1.tsv</v>
      </c>
      <c r="N30" s="3" t="s">
        <v>832</v>
      </c>
      <c r="P30" s="3" t="s">
        <v>40</v>
      </c>
      <c r="AI30" s="3" t="s">
        <v>833</v>
      </c>
      <c r="AJ30" s="3" t="s">
        <v>834</v>
      </c>
      <c r="AK30" s="3" t="s">
        <v>62</v>
      </c>
      <c r="AL30" s="3" t="s">
        <v>62</v>
      </c>
      <c r="AM30" s="3" t="s">
        <v>835</v>
      </c>
    </row>
    <row r="31" spans="1:39" ht="15.75" customHeight="1" x14ac:dyDescent="0.2">
      <c r="A31" s="3" t="s">
        <v>123</v>
      </c>
      <c r="C31" s="3" t="s">
        <v>124</v>
      </c>
      <c r="D31" s="3" t="s">
        <v>125</v>
      </c>
      <c r="E31" s="1" t="str">
        <f t="shared" si="8"/>
        <v>0</v>
      </c>
      <c r="F31" s="1" t="str">
        <f t="shared" si="9"/>
        <v>Brodmann__1913</v>
      </c>
      <c r="G31" s="1" t="str">
        <f t="shared" si="10"/>
        <v>Brodmann</v>
      </c>
      <c r="H31" s="1" t="str">
        <f t="shared" si="11"/>
        <v/>
      </c>
      <c r="I31" s="1" t="str">
        <f t="shared" si="12"/>
        <v>1913</v>
      </c>
      <c r="J31" s="1" t="str">
        <f t="shared" si="13"/>
        <v>10.0000%2Fplaceholder</v>
      </c>
      <c r="K31" s="1" t="str">
        <f t="shared" si="14"/>
        <v>Brodmann__1913_Tabelle1</v>
      </c>
      <c r="L31" s="1" t="str">
        <f t="shared" si="15"/>
        <v>10.0000%2Fplaceholder_Tabelle1</v>
      </c>
      <c r="M31" s="1" t="str">
        <f t="array" ref="M31">IFERROR(INDEX(FileList!$A$1:$A$1000,MATCH(TRUE(),EXACT(L31,IFERROR(_xlfn.TEXTBEFORE(FileList!$A$1:$A$1000,".tsv"),"")),0)),"notfound")</f>
        <v>notfound</v>
      </c>
      <c r="AI31" s="3" t="s">
        <v>126</v>
      </c>
      <c r="AJ31" s="3" t="s">
        <v>127</v>
      </c>
      <c r="AL31" s="3" t="s">
        <v>62</v>
      </c>
      <c r="AM31" s="3" t="s">
        <v>126</v>
      </c>
    </row>
    <row r="32" spans="1:39" ht="15.75" customHeight="1" x14ac:dyDescent="0.2">
      <c r="A32" s="3" t="s">
        <v>128</v>
      </c>
      <c r="D32" s="3" t="s">
        <v>129</v>
      </c>
      <c r="E32" s="1" t="str">
        <f t="shared" si="8"/>
        <v>3</v>
      </c>
      <c r="F32" s="1" t="str">
        <f t="shared" si="9"/>
        <v>Burger_etal_2019</v>
      </c>
      <c r="G32" s="1" t="str">
        <f t="shared" si="10"/>
        <v>Burger</v>
      </c>
      <c r="H32" s="1" t="str">
        <f t="shared" si="11"/>
        <v>etal</v>
      </c>
      <c r="I32" s="1" t="str">
        <f t="shared" si="12"/>
        <v>2019</v>
      </c>
      <c r="J32" s="1" t="str">
        <f t="shared" si="13"/>
        <v>10.1093%2Fjmammal%2Fgyz043</v>
      </c>
      <c r="K32" s="1" t="str">
        <f t="shared" si="14"/>
        <v>Burger_etal_2019_SupplementaryDataSD1</v>
      </c>
      <c r="L32" s="1" t="str">
        <f t="shared" si="15"/>
        <v>10.1093%2Fjmammal%2Fgyz043_SupplementaryDataSD1</v>
      </c>
      <c r="M32" s="1" t="str">
        <f t="array" ref="M32">IFERROR(INDEX(FileList!$A$1:$A$1000,MATCH(TRUE(),EXACT(L32,IFERROR(_xlfn.TEXTBEFORE(FileList!$A$1:$A$1000,".tsv"),"")),0)),"notfound")</f>
        <v>10.1093%2Fjmammal%2Fgyz043_SupplementaryDataSD1.tsv</v>
      </c>
      <c r="O32" s="3" t="s">
        <v>130</v>
      </c>
      <c r="P32" s="3" t="s">
        <v>40</v>
      </c>
      <c r="Q32" s="3" t="s">
        <v>131</v>
      </c>
      <c r="R32" s="3" t="s">
        <v>132</v>
      </c>
      <c r="S32" s="3" t="s">
        <v>133</v>
      </c>
      <c r="T32" s="3" t="str">
        <f>IF(S32="N", R32, "write file name")</f>
        <v>gyz043_suppl_Supplement_Data.csv</v>
      </c>
      <c r="U32" s="3" t="s">
        <v>134</v>
      </c>
      <c r="V32" s="3" t="s">
        <v>41</v>
      </c>
      <c r="W32" s="3" t="s">
        <v>135</v>
      </c>
      <c r="AB32" s="3" t="s">
        <v>136</v>
      </c>
      <c r="AH32" s="3" t="s">
        <v>137</v>
      </c>
      <c r="AI32" s="3" t="s">
        <v>138</v>
      </c>
      <c r="AJ32" s="3" t="s">
        <v>139</v>
      </c>
      <c r="AK32" s="3" t="s">
        <v>140</v>
      </c>
      <c r="AL32" s="3" t="s">
        <v>140</v>
      </c>
      <c r="AM32" s="3" t="s">
        <v>141</v>
      </c>
    </row>
    <row r="33" spans="1:39" ht="15.75" customHeight="1" x14ac:dyDescent="0.2">
      <c r="A33" s="3" t="s">
        <v>142</v>
      </c>
      <c r="D33" s="3" t="s">
        <v>143</v>
      </c>
      <c r="E33" s="1" t="str">
        <f t="shared" si="8"/>
        <v>9</v>
      </c>
      <c r="F33" s="1" t="str">
        <f t="shared" si="9"/>
        <v>Burish_etal_2010</v>
      </c>
      <c r="G33" s="1" t="str">
        <f t="shared" si="10"/>
        <v>Burish</v>
      </c>
      <c r="H33" s="1" t="str">
        <f t="shared" si="11"/>
        <v>etal</v>
      </c>
      <c r="I33" s="1" t="str">
        <f t="shared" si="12"/>
        <v>2010</v>
      </c>
      <c r="J33" s="1" t="str">
        <f t="shared" si="13"/>
        <v>10.1159%2F000319019</v>
      </c>
      <c r="K33" s="1" t="str">
        <f t="shared" si="14"/>
        <v>Burish_etal_2010_SupplementaryTable1</v>
      </c>
      <c r="L33" s="1" t="str">
        <f t="shared" si="15"/>
        <v>10.1159%2F000319019_SupplementaryTable1</v>
      </c>
      <c r="M33" s="1" t="str">
        <f t="array" ref="M33">IFERROR(INDEX(FileList!$A$1:$A$1000,MATCH(TRUE(),EXACT(L33,IFERROR(_xlfn.TEXTBEFORE(FileList!$A$1:$A$1000,".tsv"),"")),0)),"notfound")</f>
        <v>10.1159%2F000319019_SupplementaryTable1.tsv</v>
      </c>
      <c r="N33" s="3" t="s">
        <v>144</v>
      </c>
      <c r="P33" s="3" t="s">
        <v>145</v>
      </c>
      <c r="R33" s="3" t="s">
        <v>146</v>
      </c>
      <c r="Y33" s="3" t="s">
        <v>57</v>
      </c>
      <c r="Z33" s="3" t="s">
        <v>57</v>
      </c>
      <c r="AA33" s="3" t="s">
        <v>147</v>
      </c>
      <c r="AG33" s="3" t="s">
        <v>58</v>
      </c>
      <c r="AH33" s="3" t="s">
        <v>148</v>
      </c>
      <c r="AJ33" s="3" t="s">
        <v>149</v>
      </c>
      <c r="AK33" s="3" t="s">
        <v>150</v>
      </c>
      <c r="AL33" s="3" t="s">
        <v>42</v>
      </c>
      <c r="AM33" s="3" t="s">
        <v>42</v>
      </c>
    </row>
    <row r="34" spans="1:39" ht="15.75" customHeight="1" x14ac:dyDescent="0.2">
      <c r="A34" s="3" t="s">
        <v>142</v>
      </c>
      <c r="D34" s="3" t="s">
        <v>76</v>
      </c>
      <c r="E34" s="1" t="str">
        <f t="shared" si="8"/>
        <v>9</v>
      </c>
      <c r="F34" s="1" t="str">
        <f t="shared" si="9"/>
        <v>Burish_etal_2010</v>
      </c>
      <c r="G34" s="1" t="str">
        <f t="shared" si="10"/>
        <v>Burish</v>
      </c>
      <c r="H34" s="1" t="str">
        <f t="shared" si="11"/>
        <v>etal</v>
      </c>
      <c r="I34" s="1" t="str">
        <f t="shared" si="12"/>
        <v>2010</v>
      </c>
      <c r="J34" s="1" t="str">
        <f t="shared" si="13"/>
        <v>10.1159%2F000319019</v>
      </c>
      <c r="K34" s="1" t="str">
        <f t="shared" si="14"/>
        <v>Burish_etal_2010_Table1</v>
      </c>
      <c r="L34" s="1" t="str">
        <f t="shared" si="15"/>
        <v>10.1159%2F000319019_Table1</v>
      </c>
      <c r="M34" s="1" t="str">
        <f t="array" ref="M34">IFERROR(INDEX(FileList!$A$1:$A$1000,MATCH(TRUE(),EXACT(L34,IFERROR(_xlfn.TEXTBEFORE(FileList!$A$1:$A$1000,".tsv"),"")),0)),"notfound")</f>
        <v>10.1159%2F000319019_Table1.tsv</v>
      </c>
      <c r="N34" s="3" t="s">
        <v>151</v>
      </c>
      <c r="P34" s="3" t="s">
        <v>40</v>
      </c>
      <c r="Q34" s="3" t="s">
        <v>50</v>
      </c>
      <c r="R34" s="3" t="s">
        <v>152</v>
      </c>
      <c r="T34" s="3" t="s">
        <v>153</v>
      </c>
      <c r="U34" s="3" t="s">
        <v>54</v>
      </c>
      <c r="V34" s="3" t="s">
        <v>41</v>
      </c>
      <c r="X34" s="3" t="s">
        <v>154</v>
      </c>
      <c r="Y34" s="3" t="s">
        <v>57</v>
      </c>
      <c r="Z34" s="3" t="s">
        <v>57</v>
      </c>
      <c r="AA34" s="3" t="s">
        <v>147</v>
      </c>
      <c r="AC34" s="3" t="s">
        <v>155</v>
      </c>
      <c r="AG34" s="3" t="s">
        <v>58</v>
      </c>
      <c r="AH34" s="3" t="s">
        <v>148</v>
      </c>
      <c r="AJ34" s="3" t="s">
        <v>149</v>
      </c>
      <c r="AK34" s="3" t="s">
        <v>156</v>
      </c>
      <c r="AL34" s="3" t="s">
        <v>42</v>
      </c>
      <c r="AM34" s="3" t="s">
        <v>42</v>
      </c>
    </row>
    <row r="35" spans="1:39" ht="15.75" customHeight="1" x14ac:dyDescent="0.2">
      <c r="A35" s="3" t="s">
        <v>157</v>
      </c>
      <c r="D35" s="3" t="s">
        <v>76</v>
      </c>
      <c r="E35" s="1" t="str">
        <f t="shared" si="8"/>
        <v>0</v>
      </c>
      <c r="F35" s="1" t="str">
        <f t="shared" si="9"/>
        <v>Bush_Allman_2003</v>
      </c>
      <c r="G35" s="1" t="str">
        <f t="shared" si="10"/>
        <v>Bush</v>
      </c>
      <c r="H35" s="1" t="str">
        <f t="shared" si="11"/>
        <v>Allman</v>
      </c>
      <c r="I35" s="1" t="str">
        <f t="shared" si="12"/>
        <v>2003</v>
      </c>
      <c r="J35" s="1" t="str">
        <f t="shared" si="13"/>
        <v>10.1159%2F000068880</v>
      </c>
      <c r="K35" s="1" t="str">
        <f t="shared" si="14"/>
        <v>Bush_Allman_2003_Table1</v>
      </c>
      <c r="L35" s="1" t="str">
        <f t="shared" si="15"/>
        <v>10.1159%2F000068880_Table1</v>
      </c>
      <c r="M35" s="1" t="str">
        <f t="array" ref="M35">IFERROR(INDEX(FileList!$A$1:$A$1000,MATCH(TRUE(),EXACT(L35,IFERROR(_xlfn.TEXTBEFORE(FileList!$A$1:$A$1000,".tsv"),"")),0)),"notfound")</f>
        <v>10.1159%2F000068880_Table1.tsv</v>
      </c>
      <c r="N35" s="3" t="s">
        <v>158</v>
      </c>
      <c r="P35" s="3" t="s">
        <v>159</v>
      </c>
      <c r="Y35" s="3" t="s">
        <v>160</v>
      </c>
      <c r="Z35" s="3" t="s">
        <v>161</v>
      </c>
    </row>
    <row r="36" spans="1:39" ht="15.75" customHeight="1" x14ac:dyDescent="0.2">
      <c r="A36" s="3" t="s">
        <v>162</v>
      </c>
      <c r="B36" s="3" t="s">
        <v>163</v>
      </c>
      <c r="D36" s="3" t="s">
        <v>118</v>
      </c>
      <c r="E36" s="1" t="str">
        <f t="shared" si="8"/>
        <v>1</v>
      </c>
      <c r="F36" s="1" t="str">
        <f t="shared" si="9"/>
        <v>Bush_Allman_2004_a</v>
      </c>
      <c r="G36" s="1" t="str">
        <f t="shared" si="10"/>
        <v>Bush</v>
      </c>
      <c r="H36" s="1" t="str">
        <f t="shared" si="11"/>
        <v>Allman</v>
      </c>
      <c r="I36" s="1" t="str">
        <f t="shared" si="12"/>
        <v>2004</v>
      </c>
      <c r="J36" s="1" t="str">
        <f t="shared" si="13"/>
        <v>10.1073%2Fpnas.0305760101</v>
      </c>
      <c r="K36" s="1" t="str">
        <f t="shared" si="14"/>
        <v>Bush_Allman_2004_a_Table2</v>
      </c>
      <c r="L36" s="1" t="str">
        <f t="shared" si="15"/>
        <v>10.1073%2Fpnas.0305760101_Table2</v>
      </c>
      <c r="M36" s="1" t="str">
        <f t="array" ref="M36">IFERROR(INDEX(FileList!$A$1:$A$1000,MATCH(TRUE(),EXACT(L36,IFERROR(_xlfn.TEXTBEFORE(FileList!$A$1:$A$1000,".tsv"),"")),0)),"notfound")</f>
        <v>10.1073%2Fpnas.0305760101_Table2.tsv</v>
      </c>
      <c r="N36" s="3" t="s">
        <v>164</v>
      </c>
      <c r="P36" s="3" t="s">
        <v>165</v>
      </c>
      <c r="R36" s="3" t="s">
        <v>166</v>
      </c>
      <c r="S36" s="3" t="s">
        <v>52</v>
      </c>
      <c r="T36" s="3" t="s">
        <v>167</v>
      </c>
      <c r="U36" s="3" t="s">
        <v>54</v>
      </c>
      <c r="V36" s="3" t="s">
        <v>41</v>
      </c>
      <c r="Y36" s="3" t="s">
        <v>160</v>
      </c>
      <c r="Z36" s="3" t="s">
        <v>161</v>
      </c>
      <c r="AF36" s="3" t="s">
        <v>79</v>
      </c>
      <c r="AG36" s="3" t="s">
        <v>111</v>
      </c>
      <c r="AH36" s="3" t="s">
        <v>168</v>
      </c>
      <c r="AI36" s="3" t="s">
        <v>169</v>
      </c>
      <c r="AK36" s="3" t="s">
        <v>62</v>
      </c>
    </row>
    <row r="37" spans="1:39" ht="15.75" customHeight="1" x14ac:dyDescent="0.2">
      <c r="A37" s="3" t="s">
        <v>170</v>
      </c>
      <c r="B37" s="3" t="s">
        <v>171</v>
      </c>
      <c r="D37" s="3" t="s">
        <v>48</v>
      </c>
      <c r="E37" s="1" t="str">
        <f t="shared" si="8"/>
        <v>4</v>
      </c>
      <c r="F37" s="1" t="str">
        <f t="shared" si="9"/>
        <v>Bush_Allman_2004_b</v>
      </c>
      <c r="G37" s="1" t="str">
        <f t="shared" si="10"/>
        <v>Bush</v>
      </c>
      <c r="H37" s="1" t="str">
        <f t="shared" si="11"/>
        <v>Allman</v>
      </c>
      <c r="I37" s="1" t="str">
        <f t="shared" si="12"/>
        <v>2004</v>
      </c>
      <c r="J37" s="1" t="str">
        <f t="shared" si="13"/>
        <v>10.1002%2Far.a.20114</v>
      </c>
      <c r="K37" s="1" t="str">
        <f t="shared" si="14"/>
        <v>Bush_Allman_2004_b_TABLE1</v>
      </c>
      <c r="L37" s="1" t="str">
        <f t="shared" si="15"/>
        <v>10.1002%2Far.a.20114_TABLE1</v>
      </c>
      <c r="M37" s="1" t="str">
        <f t="array" ref="M37">IFERROR(INDEX(FileList!$A$1:$A$1000,MATCH(TRUE(),EXACT(L37,IFERROR(_xlfn.TEXTBEFORE(FileList!$A$1:$A$1000,".tsv"),"")),0)),"notfound")</f>
        <v>10.1002%2Far.a.20114_TABLE1.tsv</v>
      </c>
      <c r="N37" s="3" t="s">
        <v>172</v>
      </c>
      <c r="P37" s="3" t="s">
        <v>165</v>
      </c>
      <c r="R37" s="3" t="s">
        <v>173</v>
      </c>
      <c r="S37" s="3" t="s">
        <v>52</v>
      </c>
      <c r="T37" s="3" t="s">
        <v>174</v>
      </c>
      <c r="U37" s="3" t="s">
        <v>54</v>
      </c>
      <c r="V37" s="3" t="s">
        <v>41</v>
      </c>
      <c r="Y37" s="3" t="s">
        <v>160</v>
      </c>
      <c r="Z37" s="3" t="s">
        <v>161</v>
      </c>
      <c r="AF37" s="3" t="s">
        <v>79</v>
      </c>
      <c r="AG37" s="3" t="s">
        <v>175</v>
      </c>
      <c r="AH37" s="3" t="s">
        <v>176</v>
      </c>
      <c r="AI37" s="3" t="s">
        <v>177</v>
      </c>
      <c r="AK37" s="3" t="s">
        <v>62</v>
      </c>
    </row>
    <row r="38" spans="1:39" ht="15.75" customHeight="1" x14ac:dyDescent="0.2">
      <c r="A38" s="4" t="s">
        <v>845</v>
      </c>
      <c r="D38" s="3" t="s">
        <v>864</v>
      </c>
      <c r="E38" s="1" t="str">
        <f t="shared" si="8"/>
        <v>x</v>
      </c>
      <c r="F38" s="1" t="str">
        <f t="shared" si="9"/>
        <v>Capellini_etal_2008</v>
      </c>
      <c r="G38" s="1" t="str">
        <f t="shared" si="10"/>
        <v>Capellini</v>
      </c>
      <c r="H38" s="1" t="str">
        <f t="shared" si="11"/>
        <v>etal</v>
      </c>
      <c r="I38" s="1" t="str">
        <f t="shared" si="12"/>
        <v>2008</v>
      </c>
      <c r="J38" s="1" t="str">
        <f t="shared" si="13"/>
        <v>10.1111%2Fj.1558-5646.2008.00392.x</v>
      </c>
      <c r="K38" s="1" t="str">
        <f t="shared" si="14"/>
        <v>Capellini_etal_2008_sleep-dataFemale</v>
      </c>
      <c r="L38" s="1" t="str">
        <f t="shared" si="15"/>
        <v>10.1111%2Fj.1558-5646.2008.00392.x_sleep-dataFemale</v>
      </c>
      <c r="M38" s="1" t="str">
        <f t="array" ref="M38">IFERROR(INDEX(FileList!$A$1:$A$1000,MATCH(TRUE(),EXACT(L38,IFERROR(_xlfn.TEXTBEFORE(FileList!$A$1:$A$1000,".tsv"),"")),0)),"notfound")</f>
        <v>10.1111%2Fj.1558-5646.2008.00392.x_sleep-dataFemale.tsv</v>
      </c>
      <c r="O38" s="4" t="s">
        <v>867</v>
      </c>
      <c r="P38" s="4" t="s">
        <v>877</v>
      </c>
      <c r="R38" s="4" t="s">
        <v>878</v>
      </c>
      <c r="T38" s="4" t="s">
        <v>879</v>
      </c>
      <c r="U38" s="4" t="s">
        <v>880</v>
      </c>
      <c r="V38" s="4" t="s">
        <v>881</v>
      </c>
      <c r="Y38" s="4" t="s">
        <v>882</v>
      </c>
      <c r="AB38" s="4" t="s">
        <v>883</v>
      </c>
      <c r="AI38" s="4" t="s">
        <v>884</v>
      </c>
      <c r="AJ38" s="4" t="s">
        <v>885</v>
      </c>
      <c r="AK38" s="4" t="s">
        <v>886</v>
      </c>
      <c r="AL38" s="4" t="s">
        <v>887</v>
      </c>
      <c r="AM38" s="4" t="s">
        <v>888</v>
      </c>
    </row>
    <row r="39" spans="1:39" ht="15.75" customHeight="1" x14ac:dyDescent="0.2">
      <c r="A39" s="4" t="s">
        <v>845</v>
      </c>
      <c r="D39" s="3" t="s">
        <v>865</v>
      </c>
      <c r="E39" s="1" t="str">
        <f t="shared" si="8"/>
        <v>x</v>
      </c>
      <c r="F39" s="1" t="str">
        <f t="shared" si="9"/>
        <v>Capellini_etal_2008</v>
      </c>
      <c r="G39" s="1" t="str">
        <f t="shared" si="10"/>
        <v>Capellini</v>
      </c>
      <c r="H39" s="1" t="str">
        <f t="shared" si="11"/>
        <v>etal</v>
      </c>
      <c r="I39" s="1" t="str">
        <f t="shared" si="12"/>
        <v>2008</v>
      </c>
      <c r="J39" s="1" t="str">
        <f t="shared" si="13"/>
        <v>10.1111%2Fj.1558-5646.2008.00392.x</v>
      </c>
      <c r="K39" s="1" t="str">
        <f t="shared" si="14"/>
        <v>Capellini_etal_2008_sleep-dataMale</v>
      </c>
      <c r="L39" s="1" t="str">
        <f t="shared" si="15"/>
        <v>10.1111%2Fj.1558-5646.2008.00392.x_sleep-dataMale</v>
      </c>
      <c r="M39" s="1" t="str">
        <f t="array" ref="M39">IFERROR(INDEX(FileList!$A$1:$A$1000,MATCH(TRUE(),EXACT(L39,IFERROR(_xlfn.TEXTBEFORE(FileList!$A$1:$A$1000,".tsv"),"")),0)),"notfound")</f>
        <v>10.1111%2Fj.1558-5646.2008.00392.x_sleep-dataMale.tsv</v>
      </c>
      <c r="O39" s="4" t="s">
        <v>868</v>
      </c>
      <c r="P39" s="4" t="s">
        <v>877</v>
      </c>
      <c r="R39" s="4" t="s">
        <v>889</v>
      </c>
      <c r="T39" s="4" t="s">
        <v>890</v>
      </c>
      <c r="U39" s="4" t="s">
        <v>880</v>
      </c>
      <c r="V39" s="4" t="s">
        <v>881</v>
      </c>
      <c r="Y39" s="4" t="s">
        <v>882</v>
      </c>
      <c r="AB39" s="4" t="s">
        <v>883</v>
      </c>
      <c r="AI39" s="4" t="s">
        <v>884</v>
      </c>
      <c r="AJ39" s="4" t="s">
        <v>885</v>
      </c>
      <c r="AK39" s="4" t="s">
        <v>886</v>
      </c>
      <c r="AL39" s="4" t="s">
        <v>887</v>
      </c>
      <c r="AM39" s="4" t="s">
        <v>888</v>
      </c>
    </row>
    <row r="40" spans="1:39" ht="15.75" customHeight="1" x14ac:dyDescent="0.2">
      <c r="A40" s="4" t="s">
        <v>845</v>
      </c>
      <c r="D40" s="3" t="s">
        <v>866</v>
      </c>
      <c r="E40" s="1" t="str">
        <f t="shared" si="8"/>
        <v>x</v>
      </c>
      <c r="F40" s="1" t="str">
        <f t="shared" si="9"/>
        <v>Capellini_etal_2008</v>
      </c>
      <c r="G40" s="1" t="str">
        <f t="shared" si="10"/>
        <v>Capellini</v>
      </c>
      <c r="H40" s="1" t="str">
        <f t="shared" si="11"/>
        <v>etal</v>
      </c>
      <c r="I40" s="1" t="str">
        <f t="shared" si="12"/>
        <v>2008</v>
      </c>
      <c r="J40" s="1" t="str">
        <f t="shared" si="13"/>
        <v>10.1111%2Fj.1558-5646.2008.00392.x</v>
      </c>
      <c r="K40" s="1" t="str">
        <f t="shared" si="14"/>
        <v>Capellini_etal_2008_sleep-dataMixed</v>
      </c>
      <c r="L40" s="1" t="str">
        <f t="shared" si="15"/>
        <v>10.1111%2Fj.1558-5646.2008.00392.x_sleep-dataMixed</v>
      </c>
      <c r="M40" s="1" t="str">
        <f t="array" ref="M40">IFERROR(INDEX(FileList!$A$1:$A$1000,MATCH(TRUE(),EXACT(L40,IFERROR(_xlfn.TEXTBEFORE(FileList!$A$1:$A$1000,".tsv"),"")),0)),"notfound")</f>
        <v>10.1111%2Fj.1558-5646.2008.00392.x_sleep-dataMixed.tsv</v>
      </c>
      <c r="O40" s="4" t="s">
        <v>869</v>
      </c>
      <c r="P40" s="4" t="s">
        <v>877</v>
      </c>
      <c r="R40" s="4" t="s">
        <v>891</v>
      </c>
      <c r="T40" s="4" t="s">
        <v>892</v>
      </c>
      <c r="U40" s="4" t="s">
        <v>880</v>
      </c>
      <c r="V40" s="4" t="s">
        <v>881</v>
      </c>
      <c r="Y40" s="4" t="s">
        <v>882</v>
      </c>
      <c r="AB40" s="4" t="s">
        <v>883</v>
      </c>
      <c r="AI40" s="4" t="s">
        <v>884</v>
      </c>
      <c r="AJ40" s="4" t="s">
        <v>885</v>
      </c>
      <c r="AK40" s="4" t="s">
        <v>886</v>
      </c>
      <c r="AL40" s="4" t="s">
        <v>887</v>
      </c>
      <c r="AM40" s="4" t="s">
        <v>888</v>
      </c>
    </row>
    <row r="41" spans="1:39" ht="15.75" customHeight="1" x14ac:dyDescent="0.2">
      <c r="A41" s="3" t="s">
        <v>178</v>
      </c>
      <c r="D41" s="3" t="s">
        <v>179</v>
      </c>
      <c r="E41" s="1" t="str">
        <f t="shared" si="8"/>
        <v>5</v>
      </c>
      <c r="F41" s="1" t="str">
        <f t="shared" si="9"/>
        <v>Caspar_etal_2022</v>
      </c>
      <c r="G41" s="1" t="str">
        <f t="shared" si="10"/>
        <v>Caspar</v>
      </c>
      <c r="H41" s="1" t="str">
        <f t="shared" si="11"/>
        <v>etal</v>
      </c>
      <c r="I41" s="1" t="str">
        <f t="shared" si="12"/>
        <v>2022</v>
      </c>
      <c r="J41" s="1" t="str">
        <f t="shared" si="13"/>
        <v>10.7554%2FeLife.77875</v>
      </c>
      <c r="K41" s="1" t="str">
        <f t="shared" si="14"/>
        <v>Caspar_etal_2022_Supplementaryfile3</v>
      </c>
      <c r="L41" s="1" t="str">
        <f t="shared" si="15"/>
        <v>10.7554%2FeLife.77875_Supplementaryfile3</v>
      </c>
      <c r="M41" s="1" t="str">
        <f t="array" ref="M41">IFERROR(INDEX(FileList!$A$1:$A$1000,MATCH(TRUE(),EXACT(L41,IFERROR(_xlfn.TEXTBEFORE(FileList!$A$1:$A$1000,".tsv"),"")),0)),"notfound")</f>
        <v>10.7554%2FeLife.77875_Supplementaryfile3.tsv</v>
      </c>
      <c r="N41" s="3" t="s">
        <v>180</v>
      </c>
      <c r="P41" s="3" t="s">
        <v>40</v>
      </c>
      <c r="Q41" s="3" t="s">
        <v>50</v>
      </c>
      <c r="R41" s="3" t="s">
        <v>181</v>
      </c>
      <c r="S41" s="3" t="s">
        <v>133</v>
      </c>
      <c r="T41" s="3" t="str">
        <f>IF(S41="N", R41, "write file name")</f>
        <v>elife-77875-supp3-v1.xlsx</v>
      </c>
      <c r="U41" s="3" t="s">
        <v>182</v>
      </c>
      <c r="V41" s="3" t="s">
        <v>41</v>
      </c>
      <c r="W41" s="3" t="s">
        <v>183</v>
      </c>
      <c r="X41" s="3" t="s">
        <v>184</v>
      </c>
      <c r="AH41" s="3" t="s">
        <v>176</v>
      </c>
      <c r="AI41" s="3" t="s">
        <v>185</v>
      </c>
      <c r="AJ41" s="3" t="s">
        <v>117</v>
      </c>
      <c r="AK41" s="3" t="s">
        <v>140</v>
      </c>
      <c r="AL41" s="3" t="s">
        <v>140</v>
      </c>
      <c r="AM41" s="3" t="s">
        <v>186</v>
      </c>
    </row>
    <row r="42" spans="1:39" ht="15.75" customHeight="1" x14ac:dyDescent="0.2">
      <c r="A42" s="3" t="s">
        <v>178</v>
      </c>
      <c r="D42" s="3" t="s">
        <v>76</v>
      </c>
      <c r="E42" s="1" t="str">
        <f t="shared" si="8"/>
        <v>5</v>
      </c>
      <c r="F42" s="1" t="str">
        <f t="shared" si="9"/>
        <v>Caspar_etal_2022</v>
      </c>
      <c r="G42" s="1" t="str">
        <f t="shared" si="10"/>
        <v>Caspar</v>
      </c>
      <c r="H42" s="1" t="str">
        <f t="shared" si="11"/>
        <v>etal</v>
      </c>
      <c r="I42" s="1" t="str">
        <f t="shared" si="12"/>
        <v>2022</v>
      </c>
      <c r="J42" s="1" t="str">
        <f t="shared" si="13"/>
        <v>10.7554%2FeLife.77875</v>
      </c>
      <c r="K42" s="1" t="str">
        <f t="shared" si="14"/>
        <v>Caspar_etal_2022_Table1</v>
      </c>
      <c r="L42" s="1" t="str">
        <f t="shared" si="15"/>
        <v>10.7554%2FeLife.77875_Table1</v>
      </c>
      <c r="M42" s="1" t="str">
        <f t="array" ref="M42">IFERROR(INDEX(FileList!$A$1:$A$1000,MATCH(TRUE(),EXACT(L42,IFERROR(_xlfn.TEXTBEFORE(FileList!$A$1:$A$1000,".tsv"),"")),0)),"notfound")</f>
        <v>10.7554%2FeLife.77875_Table1.tsv</v>
      </c>
      <c r="N42" s="3" t="s">
        <v>187</v>
      </c>
      <c r="P42" s="3" t="s">
        <v>40</v>
      </c>
      <c r="Q42" s="3" t="s">
        <v>50</v>
      </c>
      <c r="R42" s="3" t="s">
        <v>188</v>
      </c>
      <c r="S42" s="3" t="s">
        <v>52</v>
      </c>
      <c r="T42" s="3" t="s">
        <v>189</v>
      </c>
      <c r="U42" s="3" t="s">
        <v>54</v>
      </c>
      <c r="V42" s="3" t="s">
        <v>41</v>
      </c>
      <c r="W42" s="3" t="s">
        <v>190</v>
      </c>
      <c r="X42" s="3" t="s">
        <v>191</v>
      </c>
      <c r="AB42" s="3" t="s">
        <v>192</v>
      </c>
      <c r="AH42" s="3" t="s">
        <v>176</v>
      </c>
      <c r="AI42" s="3" t="s">
        <v>193</v>
      </c>
      <c r="AJ42" s="3" t="s">
        <v>117</v>
      </c>
      <c r="AK42" s="3" t="s">
        <v>194</v>
      </c>
      <c r="AL42" s="3" t="s">
        <v>140</v>
      </c>
      <c r="AM42" s="3" t="s">
        <v>195</v>
      </c>
    </row>
    <row r="43" spans="1:39" ht="15.75" customHeight="1" x14ac:dyDescent="0.2">
      <c r="A43" s="3" t="s">
        <v>196</v>
      </c>
      <c r="D43" s="3" t="s">
        <v>197</v>
      </c>
      <c r="E43" s="1" t="str">
        <f t="shared" si="8"/>
        <v>1</v>
      </c>
      <c r="F43" s="1" t="str">
        <f t="shared" si="9"/>
        <v>Caves_etal_2018</v>
      </c>
      <c r="G43" s="1" t="str">
        <f t="shared" si="10"/>
        <v>Caves</v>
      </c>
      <c r="H43" s="1" t="str">
        <f t="shared" si="11"/>
        <v>etal</v>
      </c>
      <c r="I43" s="1" t="str">
        <f t="shared" si="12"/>
        <v>2018</v>
      </c>
      <c r="J43" s="1" t="str">
        <f t="shared" si="13"/>
        <v>10.1016%2Fj.tree.2018.03.001</v>
      </c>
      <c r="K43" s="1" t="str">
        <f t="shared" si="14"/>
        <v>Caves_etal_2018_TableS1</v>
      </c>
      <c r="L43" s="1" t="str">
        <f t="shared" si="15"/>
        <v>10.1016%2Fj.tree.2018.03.001_TableS1</v>
      </c>
      <c r="M43" s="1" t="str">
        <f t="array" ref="M43">IFERROR(INDEX(FileList!$A$1:$A$1000,MATCH(TRUE(),EXACT(L43,IFERROR(_xlfn.TEXTBEFORE(FileList!$A$1:$A$1000,".tsv"),"")),0)),"notfound")</f>
        <v>10.1016%2Fj.tree.2018.03.001_TableS1.tsv</v>
      </c>
    </row>
    <row r="44" spans="1:39" ht="15.75" customHeight="1" x14ac:dyDescent="0.2">
      <c r="A44" s="3" t="s">
        <v>198</v>
      </c>
      <c r="D44" s="3" t="s">
        <v>199</v>
      </c>
      <c r="E44" s="1" t="str">
        <f t="shared" si="8"/>
        <v>5</v>
      </c>
      <c r="F44" s="1" t="str">
        <f t="shared" si="9"/>
        <v>Changizi__2001</v>
      </c>
      <c r="G44" s="1" t="str">
        <f t="shared" si="10"/>
        <v>Changizi</v>
      </c>
      <c r="H44" s="1" t="str">
        <f t="shared" si="11"/>
        <v/>
      </c>
      <c r="I44" s="1" t="str">
        <f t="shared" si="12"/>
        <v>2001</v>
      </c>
      <c r="J44" s="1" t="str">
        <f t="shared" si="13"/>
        <v>10.1007%2Fs004220000205</v>
      </c>
      <c r="K44" s="1" t="str">
        <f t="shared" si="14"/>
        <v>Changizi__2001_Figure3</v>
      </c>
      <c r="L44" s="1" t="str">
        <f t="shared" si="15"/>
        <v>10.1007%2Fs004220000205_Figure3</v>
      </c>
      <c r="M44" s="1" t="str">
        <f t="array" ref="M44">IFERROR(INDEX(FileList!$A$1:$A$1000,MATCH(TRUE(),EXACT(L44,IFERROR(_xlfn.TEXTBEFORE(FileList!$A$1:$A$1000,".tsv"),"")),0)),"notfound")</f>
        <v>10.1007%2Fs004220000205_Figure3.tsv</v>
      </c>
      <c r="P44" s="3" t="s">
        <v>200</v>
      </c>
      <c r="Q44" s="3" t="s">
        <v>201</v>
      </c>
      <c r="R44" s="3" t="s">
        <v>202</v>
      </c>
      <c r="S44" s="3" t="s">
        <v>52</v>
      </c>
      <c r="T44" s="3" t="s">
        <v>203</v>
      </c>
      <c r="U44" s="3" t="s">
        <v>54</v>
      </c>
      <c r="V44" s="3" t="s">
        <v>204</v>
      </c>
      <c r="W44" s="3" t="s">
        <v>205</v>
      </c>
      <c r="AB44" s="3" t="s">
        <v>206</v>
      </c>
      <c r="AI44" s="3" t="s">
        <v>207</v>
      </c>
      <c r="AJ44" s="3" t="s">
        <v>139</v>
      </c>
      <c r="AK44" s="3" t="s">
        <v>208</v>
      </c>
      <c r="AL44" s="3" t="s">
        <v>140</v>
      </c>
      <c r="AM44" s="3" t="s">
        <v>209</v>
      </c>
    </row>
    <row r="45" spans="1:39" ht="15.75" customHeight="1" x14ac:dyDescent="0.2">
      <c r="A45" s="3" t="s">
        <v>876</v>
      </c>
      <c r="D45" s="3" t="s">
        <v>76</v>
      </c>
      <c r="E45" s="1" t="str">
        <f t="shared" si="8"/>
        <v>2</v>
      </c>
      <c r="F45" s="1" t="str">
        <f t="shared" si="9"/>
        <v>Changizi_Shimojo_2005</v>
      </c>
      <c r="G45" s="1" t="str">
        <f t="shared" si="10"/>
        <v>Changizi</v>
      </c>
      <c r="H45" s="1" t="str">
        <f t="shared" si="11"/>
        <v>Shimojo</v>
      </c>
      <c r="I45" s="1" t="str">
        <f t="shared" si="12"/>
        <v>2005</v>
      </c>
      <c r="J45" s="1" t="str">
        <f t="shared" si="13"/>
        <v>10.1159%2F000085942</v>
      </c>
      <c r="K45" s="1" t="str">
        <f t="shared" si="14"/>
        <v>Changizi_Shimojo_2005_Table1</v>
      </c>
      <c r="L45" s="1" t="str">
        <f t="shared" si="15"/>
        <v>10.1159%2F000085942_Table1</v>
      </c>
      <c r="M45" s="1" t="str">
        <f t="array" ref="M45">IFERROR(INDEX(FileList!$A$1:$A$1000,MATCH(TRUE(),EXACT(L45,IFERROR(_xlfn.TEXTBEFORE(FileList!$A$1:$A$1000,".tsv"),"")),0)),"notfound")</f>
        <v>10.1159%2F000085942_Table1.tsv</v>
      </c>
      <c r="P45" s="4" t="s">
        <v>40</v>
      </c>
      <c r="Q45" s="3"/>
      <c r="R45" s="4" t="s">
        <v>893</v>
      </c>
      <c r="S45" s="3"/>
      <c r="T45" s="4" t="s">
        <v>894</v>
      </c>
      <c r="U45" s="4" t="s">
        <v>54</v>
      </c>
      <c r="V45" s="4" t="s">
        <v>41</v>
      </c>
      <c r="W45" s="3"/>
      <c r="Y45" s="4" t="s">
        <v>895</v>
      </c>
      <c r="AB45" s="4" t="s">
        <v>896</v>
      </c>
      <c r="AI45" s="4" t="s">
        <v>897</v>
      </c>
      <c r="AJ45" s="4" t="s">
        <v>139</v>
      </c>
      <c r="AK45" s="4" t="s">
        <v>898</v>
      </c>
      <c r="AL45" s="4" t="s">
        <v>361</v>
      </c>
      <c r="AM45" s="4" t="s">
        <v>899</v>
      </c>
    </row>
    <row r="46" spans="1:39" ht="15.75" customHeight="1" x14ac:dyDescent="0.2">
      <c r="A46" s="3" t="s">
        <v>876</v>
      </c>
      <c r="D46" s="3" t="s">
        <v>118</v>
      </c>
      <c r="E46" s="1" t="str">
        <f t="shared" si="8"/>
        <v>2</v>
      </c>
      <c r="F46" s="1" t="str">
        <f t="shared" si="9"/>
        <v>Changizi_Shimojo_2005</v>
      </c>
      <c r="G46" s="1" t="str">
        <f t="shared" si="10"/>
        <v>Changizi</v>
      </c>
      <c r="H46" s="1" t="str">
        <f t="shared" si="11"/>
        <v>Shimojo</v>
      </c>
      <c r="I46" s="1" t="str">
        <f t="shared" si="12"/>
        <v>2005</v>
      </c>
      <c r="J46" s="1" t="str">
        <f t="shared" si="13"/>
        <v>10.1159%2F000085942</v>
      </c>
      <c r="K46" s="1" t="str">
        <f t="shared" si="14"/>
        <v>Changizi_Shimojo_2005_Table2</v>
      </c>
      <c r="L46" s="1" t="str">
        <f t="shared" si="15"/>
        <v>10.1159%2F000085942_Table2</v>
      </c>
      <c r="M46" s="1" t="str">
        <f t="array" ref="M46">IFERROR(INDEX(FileList!$A$1:$A$1000,MATCH(TRUE(),EXACT(L46,IFERROR(_xlfn.TEXTBEFORE(FileList!$A$1:$A$1000,".tsv"),"")),0)),"notfound")</f>
        <v>10.1159%2F000085942_Table2.tsv</v>
      </c>
      <c r="P46" s="4" t="s">
        <v>40</v>
      </c>
      <c r="Q46" s="3"/>
      <c r="R46" s="4" t="s">
        <v>900</v>
      </c>
      <c r="S46" s="3"/>
      <c r="T46" s="4" t="s">
        <v>901</v>
      </c>
      <c r="U46" s="4" t="s">
        <v>54</v>
      </c>
      <c r="V46" s="4" t="s">
        <v>41</v>
      </c>
      <c r="W46" s="3"/>
      <c r="Y46" s="4" t="s">
        <v>895</v>
      </c>
      <c r="AB46" s="4" t="s">
        <v>902</v>
      </c>
      <c r="AI46" s="4" t="s">
        <v>903</v>
      </c>
      <c r="AJ46" s="4" t="s">
        <v>139</v>
      </c>
      <c r="AK46" s="4" t="s">
        <v>62</v>
      </c>
      <c r="AL46" s="4" t="s">
        <v>62</v>
      </c>
      <c r="AM46" s="4" t="s">
        <v>904</v>
      </c>
    </row>
    <row r="47" spans="1:39" ht="15.75" customHeight="1" x14ac:dyDescent="0.2">
      <c r="A47" s="3" t="s">
        <v>876</v>
      </c>
      <c r="D47" s="3" t="s">
        <v>67</v>
      </c>
      <c r="E47" s="1" t="str">
        <f t="shared" si="8"/>
        <v>2</v>
      </c>
      <c r="F47" s="1" t="str">
        <f t="shared" si="9"/>
        <v>Changizi_Shimojo_2005</v>
      </c>
      <c r="G47" s="1" t="str">
        <f t="shared" si="10"/>
        <v>Changizi</v>
      </c>
      <c r="H47" s="1" t="str">
        <f t="shared" si="11"/>
        <v>Shimojo</v>
      </c>
      <c r="I47" s="1" t="str">
        <f t="shared" si="12"/>
        <v>2005</v>
      </c>
      <c r="J47" s="1" t="str">
        <f t="shared" si="13"/>
        <v>10.1159%2F000085942</v>
      </c>
      <c r="K47" s="1" t="str">
        <f t="shared" si="14"/>
        <v>Changizi_Shimojo_2005_Table3</v>
      </c>
      <c r="L47" s="1" t="str">
        <f t="shared" si="15"/>
        <v>10.1159%2F000085942_Table3</v>
      </c>
      <c r="M47" s="1" t="str">
        <f t="array" ref="M47">IFERROR(INDEX(FileList!$A$1:$A$1000,MATCH(TRUE(),EXACT(L47,IFERROR(_xlfn.TEXTBEFORE(FileList!$A$1:$A$1000,".tsv"),"")),0)),"notfound")</f>
        <v>10.1159%2F000085942_Table3.tsv</v>
      </c>
      <c r="P47" s="4" t="s">
        <v>40</v>
      </c>
      <c r="Q47" s="3"/>
      <c r="R47" s="4" t="s">
        <v>905</v>
      </c>
      <c r="S47" s="3"/>
      <c r="T47" s="4" t="s">
        <v>906</v>
      </c>
      <c r="U47" s="4" t="s">
        <v>54</v>
      </c>
      <c r="V47" s="4" t="s">
        <v>41</v>
      </c>
      <c r="W47" s="3"/>
      <c r="Y47" s="4" t="s">
        <v>895</v>
      </c>
      <c r="AB47" s="4" t="s">
        <v>907</v>
      </c>
      <c r="AI47" s="4" t="s">
        <v>908</v>
      </c>
      <c r="AJ47" s="4" t="s">
        <v>139</v>
      </c>
      <c r="AK47" s="4" t="s">
        <v>457</v>
      </c>
      <c r="AL47" s="4" t="s">
        <v>140</v>
      </c>
      <c r="AM47" s="4" t="s">
        <v>909</v>
      </c>
    </row>
    <row r="48" spans="1:39" ht="15.75" customHeight="1" x14ac:dyDescent="0.2">
      <c r="A48" s="3" t="s">
        <v>876</v>
      </c>
      <c r="D48" s="3" t="s">
        <v>39</v>
      </c>
      <c r="E48" s="1" t="str">
        <f t="shared" si="8"/>
        <v>2</v>
      </c>
      <c r="F48" s="1" t="str">
        <f t="shared" si="9"/>
        <v>Changizi_Shimojo_2005</v>
      </c>
      <c r="G48" s="1" t="str">
        <f t="shared" si="10"/>
        <v>Changizi</v>
      </c>
      <c r="H48" s="1" t="str">
        <f t="shared" si="11"/>
        <v>Shimojo</v>
      </c>
      <c r="I48" s="1" t="str">
        <f t="shared" si="12"/>
        <v>2005</v>
      </c>
      <c r="J48" s="1" t="str">
        <f t="shared" si="13"/>
        <v>10.1159%2F000085942</v>
      </c>
      <c r="K48" s="1" t="str">
        <f t="shared" si="14"/>
        <v>Changizi_Shimojo_2005_Table4</v>
      </c>
      <c r="L48" s="1" t="str">
        <f t="shared" si="15"/>
        <v>10.1159%2F000085942_Table4</v>
      </c>
      <c r="M48" s="1" t="str">
        <f t="array" ref="M48">IFERROR(INDEX(FileList!$A$1:$A$1000,MATCH(TRUE(),EXACT(L48,IFERROR(_xlfn.TEXTBEFORE(FileList!$A$1:$A$1000,".tsv"),"")),0)),"notfound")</f>
        <v>10.1159%2F000085942_Table4.tsv</v>
      </c>
      <c r="P48" s="4" t="s">
        <v>40</v>
      </c>
      <c r="Q48" s="3"/>
      <c r="R48" s="4" t="s">
        <v>910</v>
      </c>
      <c r="S48" s="3"/>
      <c r="T48" s="4" t="s">
        <v>911</v>
      </c>
      <c r="U48" s="4" t="s">
        <v>54</v>
      </c>
      <c r="V48" s="4" t="s">
        <v>41</v>
      </c>
      <c r="W48" s="3"/>
      <c r="Y48" s="4" t="s">
        <v>895</v>
      </c>
      <c r="AB48" s="4" t="s">
        <v>912</v>
      </c>
      <c r="AI48" s="4" t="s">
        <v>913</v>
      </c>
      <c r="AJ48" s="4" t="s">
        <v>139</v>
      </c>
      <c r="AK48" s="4" t="s">
        <v>457</v>
      </c>
      <c r="AL48" s="4" t="s">
        <v>140</v>
      </c>
      <c r="AM48" s="4" t="s">
        <v>914</v>
      </c>
    </row>
    <row r="49" spans="1:39" ht="15.75" customHeight="1" x14ac:dyDescent="0.2">
      <c r="A49" s="3" t="s">
        <v>876</v>
      </c>
      <c r="D49" s="3" t="s">
        <v>69</v>
      </c>
      <c r="E49" s="1" t="str">
        <f t="shared" si="8"/>
        <v>2</v>
      </c>
      <c r="F49" s="1" t="str">
        <f t="shared" si="9"/>
        <v>Changizi_Shimojo_2005</v>
      </c>
      <c r="G49" s="1" t="str">
        <f t="shared" si="10"/>
        <v>Changizi</v>
      </c>
      <c r="H49" s="1" t="str">
        <f t="shared" si="11"/>
        <v>Shimojo</v>
      </c>
      <c r="I49" s="1" t="str">
        <f t="shared" si="12"/>
        <v>2005</v>
      </c>
      <c r="J49" s="1" t="str">
        <f t="shared" si="13"/>
        <v>10.1159%2F000085942</v>
      </c>
      <c r="K49" s="1" t="str">
        <f t="shared" si="14"/>
        <v>Changizi_Shimojo_2005_Table5</v>
      </c>
      <c r="L49" s="1" t="str">
        <f t="shared" si="15"/>
        <v>10.1159%2F000085942_Table5</v>
      </c>
      <c r="M49" s="1" t="str">
        <f t="array" ref="M49">IFERROR(INDEX(FileList!$A$1:$A$1000,MATCH(TRUE(),EXACT(L49,IFERROR(_xlfn.TEXTBEFORE(FileList!$A$1:$A$1000,".tsv"),"")),0)),"notfound")</f>
        <v>10.1159%2F000085942_Table5.tsv</v>
      </c>
      <c r="P49" s="4" t="s">
        <v>40</v>
      </c>
      <c r="Q49" s="3"/>
      <c r="R49" s="4" t="s">
        <v>915</v>
      </c>
      <c r="S49" s="3"/>
      <c r="T49" s="4" t="s">
        <v>916</v>
      </c>
      <c r="U49" s="4" t="s">
        <v>54</v>
      </c>
      <c r="V49" s="4" t="s">
        <v>41</v>
      </c>
      <c r="W49" s="3"/>
      <c r="Y49" s="4" t="s">
        <v>895</v>
      </c>
      <c r="AB49" s="4" t="s">
        <v>917</v>
      </c>
      <c r="AI49" s="4" t="s">
        <v>918</v>
      </c>
      <c r="AJ49" s="4" t="s">
        <v>139</v>
      </c>
      <c r="AK49" s="4" t="s">
        <v>457</v>
      </c>
      <c r="AL49" s="4" t="s">
        <v>140</v>
      </c>
      <c r="AM49" s="4" t="s">
        <v>919</v>
      </c>
    </row>
    <row r="50" spans="1:39" ht="15.75" customHeight="1" x14ac:dyDescent="0.2">
      <c r="A50" s="3" t="s">
        <v>210</v>
      </c>
      <c r="D50" s="3" t="s">
        <v>211</v>
      </c>
      <c r="E50" s="1" t="str">
        <f t="shared" si="8"/>
        <v>3</v>
      </c>
      <c r="F50" s="1" t="str">
        <f t="shared" si="9"/>
        <v>Chen_Wiens_2020</v>
      </c>
      <c r="G50" s="1" t="str">
        <f t="shared" si="10"/>
        <v>Chen</v>
      </c>
      <c r="H50" s="1" t="str">
        <f t="shared" si="11"/>
        <v>Wiens</v>
      </c>
      <c r="I50" s="1" t="str">
        <f t="shared" si="12"/>
        <v>2020</v>
      </c>
      <c r="J50" s="1" t="str">
        <f t="shared" si="13"/>
        <v>10.1038%2Fs41467-020-14356-3</v>
      </c>
      <c r="K50" s="1" t="str">
        <f t="shared" si="14"/>
        <v>Chen_Wiens_2020_SupplementaryData3</v>
      </c>
      <c r="L50" s="1" t="str">
        <f t="shared" si="15"/>
        <v>10.1038%2Fs41467-020-14356-3_SupplementaryData3</v>
      </c>
      <c r="M50" s="1" t="str">
        <f t="array" ref="M50">IFERROR(INDEX(FileList!$A$1:$A$1000,MATCH(TRUE(),EXACT(L50,IFERROR(_xlfn.TEXTBEFORE(FileList!$A$1:$A$1000,".tsv"),"")),0)),"notfound")</f>
        <v>10.1038%2Fs41467-020-14356-3_SupplementaryData3.tsv</v>
      </c>
      <c r="P50" s="3" t="s">
        <v>40</v>
      </c>
      <c r="Q50" s="3" t="s">
        <v>50</v>
      </c>
      <c r="R50" s="3" t="s">
        <v>212</v>
      </c>
      <c r="S50" s="3" t="s">
        <v>133</v>
      </c>
      <c r="T50" s="3" t="str">
        <f>IF(S50="N", R50, "write file name")</f>
        <v>41467_2020_14356_MOESM6_ESM.xlsx</v>
      </c>
      <c r="U50" s="3" t="s">
        <v>182</v>
      </c>
      <c r="V50" s="3" t="s">
        <v>41</v>
      </c>
      <c r="W50" s="3" t="s">
        <v>183</v>
      </c>
      <c r="X50" s="3" t="s">
        <v>213</v>
      </c>
      <c r="AA50" s="3" t="s">
        <v>214</v>
      </c>
      <c r="AB50" s="3" t="s">
        <v>215</v>
      </c>
      <c r="AH50" s="3" t="s">
        <v>216</v>
      </c>
      <c r="AI50" s="3" t="s">
        <v>217</v>
      </c>
      <c r="AJ50" s="3" t="s">
        <v>218</v>
      </c>
      <c r="AK50" s="3" t="s">
        <v>140</v>
      </c>
      <c r="AL50" s="3" t="s">
        <v>140</v>
      </c>
      <c r="AM50" s="3" t="s">
        <v>219</v>
      </c>
    </row>
    <row r="51" spans="1:39" ht="15.75" customHeight="1" x14ac:dyDescent="0.2">
      <c r="A51" s="3" t="s">
        <v>220</v>
      </c>
      <c r="D51" s="3" t="s">
        <v>221</v>
      </c>
      <c r="E51" s="1" t="str">
        <f t="shared" si="8"/>
        <v>7</v>
      </c>
      <c r="F51" s="1" t="str">
        <f t="shared" si="9"/>
        <v>Collins_etal_2010</v>
      </c>
      <c r="G51" s="1" t="str">
        <f t="shared" si="10"/>
        <v>Collins</v>
      </c>
      <c r="H51" s="1" t="str">
        <f t="shared" si="11"/>
        <v>etal</v>
      </c>
      <c r="I51" s="1" t="str">
        <f t="shared" si="12"/>
        <v>2010</v>
      </c>
      <c r="J51" s="1" t="str">
        <f t="shared" si="13"/>
        <v>10.1073%2Fpnas.1010356107</v>
      </c>
      <c r="K51" s="1" t="str">
        <f t="shared" si="14"/>
        <v>Collins_etal_2010_DatasetS1</v>
      </c>
      <c r="L51" s="1" t="str">
        <f t="shared" si="15"/>
        <v>10.1073%2Fpnas.1010356107_DatasetS1</v>
      </c>
      <c r="M51" s="1" t="str">
        <f t="array" ref="M51">IFERROR(INDEX(FileList!$A$1:$A$1000,MATCH(TRUE(),EXACT(L51,IFERROR(_xlfn.TEXTBEFORE(FileList!$A$1:$A$1000,".tsv"),"")),0)),"notfound")</f>
        <v>10.1073%2Fpnas.1010356107_DatasetS1.tsv</v>
      </c>
      <c r="Y51" s="3" t="s">
        <v>222</v>
      </c>
      <c r="AI51" s="3" t="s">
        <v>223</v>
      </c>
      <c r="AJ51" s="3" t="s">
        <v>117</v>
      </c>
      <c r="AK51" s="3" t="s">
        <v>62</v>
      </c>
      <c r="AL51" s="3" t="s">
        <v>62</v>
      </c>
      <c r="AM51" s="3" t="s">
        <v>126</v>
      </c>
    </row>
    <row r="52" spans="1:39" ht="15.75" customHeight="1" x14ac:dyDescent="0.2">
      <c r="A52" s="3" t="s">
        <v>224</v>
      </c>
      <c r="D52" s="3" t="s">
        <v>76</v>
      </c>
      <c r="E52" s="1" t="str">
        <f t="shared" si="8"/>
        <v>3</v>
      </c>
      <c r="F52" s="1" t="str">
        <f t="shared" si="9"/>
        <v>Collins_etal_2016</v>
      </c>
      <c r="G52" s="1" t="str">
        <f t="shared" si="10"/>
        <v>Collins</v>
      </c>
      <c r="H52" s="1" t="str">
        <f t="shared" si="11"/>
        <v>etal</v>
      </c>
      <c r="I52" s="1" t="str">
        <f t="shared" si="12"/>
        <v>2016</v>
      </c>
      <c r="J52" s="1" t="str">
        <f t="shared" si="13"/>
        <v>10.1073%2Fpnas.1524208113</v>
      </c>
      <c r="K52" s="1" t="str">
        <f t="shared" si="14"/>
        <v>Collins_etal_2016_Table1</v>
      </c>
      <c r="L52" s="1" t="str">
        <f t="shared" si="15"/>
        <v>10.1073%2Fpnas.1524208113_Table1</v>
      </c>
      <c r="M52" s="1" t="str">
        <f t="array" ref="M52">IFERROR(INDEX(FileList!$A$1:$A$1000,MATCH(TRUE(),EXACT(L52,IFERROR(_xlfn.TEXTBEFORE(FileList!$A$1:$A$1000,".tsv"),"")),0)),"notfound")</f>
        <v>10.1073%2Fpnas.1524208113_Table1.tsv</v>
      </c>
      <c r="N52" s="3" t="s">
        <v>225</v>
      </c>
      <c r="V52" s="3" t="s">
        <v>41</v>
      </c>
      <c r="Y52" s="3" t="s">
        <v>222</v>
      </c>
      <c r="Z52" s="3" t="s">
        <v>57</v>
      </c>
      <c r="AG52" s="3" t="s">
        <v>58</v>
      </c>
      <c r="AI52" s="3" t="s">
        <v>226</v>
      </c>
      <c r="AJ52" s="3" t="s">
        <v>117</v>
      </c>
      <c r="AK52" s="3" t="s">
        <v>62</v>
      </c>
      <c r="AL52" s="3" t="s">
        <v>62</v>
      </c>
      <c r="AM52" s="3" t="s">
        <v>227</v>
      </c>
    </row>
    <row r="53" spans="1:39" ht="15.75" customHeight="1" x14ac:dyDescent="0.2">
      <c r="A53" s="4" t="s">
        <v>846</v>
      </c>
      <c r="D53" s="4" t="s">
        <v>76</v>
      </c>
      <c r="E53" s="1" t="str">
        <f t="shared" si="8"/>
        <v>1</v>
      </c>
      <c r="F53" s="1" t="str">
        <f t="shared" si="9"/>
        <v>deJager_etal_2022</v>
      </c>
      <c r="G53" s="1" t="str">
        <f t="shared" si="10"/>
        <v>deJager</v>
      </c>
      <c r="H53" s="1" t="str">
        <f t="shared" si="11"/>
        <v>etal</v>
      </c>
      <c r="I53" s="1" t="str">
        <f t="shared" si="12"/>
        <v>2022</v>
      </c>
      <c r="J53" s="1" t="str">
        <f t="shared" si="13"/>
        <v>10.1111%2Fjoa.13681</v>
      </c>
      <c r="K53" s="1" t="str">
        <f t="shared" si="14"/>
        <v>deJager_etal_2022_Table1</v>
      </c>
      <c r="L53" s="1" t="str">
        <f t="shared" si="15"/>
        <v>10.1111%2Fjoa.13681_Table1</v>
      </c>
      <c r="M53" s="1" t="str">
        <f t="array" ref="M53">IFERROR(INDEX(FileList!$A$1:$A$1000,MATCH(TRUE(),EXACT(L53,IFERROR(_xlfn.TEXTBEFORE(FileList!$A$1:$A$1000,".tsv"),"")),0)),"notfound")</f>
        <v>10.1111%2Fjoa.13681_Table1.tsv</v>
      </c>
    </row>
    <row r="54" spans="1:39" ht="15.75" customHeight="1" x14ac:dyDescent="0.2">
      <c r="A54" s="3" t="s">
        <v>228</v>
      </c>
      <c r="D54" s="3" t="s">
        <v>76</v>
      </c>
      <c r="E54" s="1" t="str">
        <f t="shared" si="8"/>
        <v>5</v>
      </c>
      <c r="F54" s="1" t="str">
        <f t="shared" si="9"/>
        <v>deSousa_etal_2013</v>
      </c>
      <c r="G54" s="1" t="str">
        <f t="shared" si="10"/>
        <v>deSousa</v>
      </c>
      <c r="H54" s="1" t="str">
        <f t="shared" si="11"/>
        <v>etal</v>
      </c>
      <c r="I54" s="1" t="str">
        <f t="shared" si="12"/>
        <v>2013</v>
      </c>
      <c r="J54" s="1" t="str">
        <f t="shared" si="13"/>
        <v>10.1159%2F000346495</v>
      </c>
      <c r="K54" s="1" t="str">
        <f t="shared" si="14"/>
        <v>deSousa_etal_2013_Table1</v>
      </c>
      <c r="L54" s="1" t="str">
        <f t="shared" si="15"/>
        <v>10.1159%2F000346495_Table1</v>
      </c>
      <c r="M54" s="1" t="str">
        <f t="array" ref="M54">IFERROR(INDEX(FileList!$A$1:$A$1000,MATCH(TRUE(),EXACT(L54,IFERROR(_xlfn.TEXTBEFORE(FileList!$A$1:$A$1000,".tsv"),"")),0)),"notfound")</f>
        <v>10.1159%2F000346495_Table1.tsv</v>
      </c>
      <c r="N54" s="3" t="s">
        <v>229</v>
      </c>
      <c r="P54" s="3" t="s">
        <v>165</v>
      </c>
      <c r="R54" s="3" t="s">
        <v>230</v>
      </c>
      <c r="S54" s="3" t="s">
        <v>52</v>
      </c>
      <c r="T54" s="3" t="s">
        <v>231</v>
      </c>
      <c r="U54" s="3" t="s">
        <v>54</v>
      </c>
      <c r="V54" s="3" t="s">
        <v>41</v>
      </c>
      <c r="Y54" s="3" t="s">
        <v>232</v>
      </c>
      <c r="Z54" s="3" t="s">
        <v>233</v>
      </c>
      <c r="AF54" s="3" t="s">
        <v>79</v>
      </c>
      <c r="AG54" s="3" t="s">
        <v>111</v>
      </c>
      <c r="AH54" s="3" t="s">
        <v>234</v>
      </c>
      <c r="AI54" s="3" t="s">
        <v>235</v>
      </c>
      <c r="AJ54" s="3" t="s">
        <v>236</v>
      </c>
      <c r="AK54" s="3" t="s">
        <v>62</v>
      </c>
      <c r="AL54" s="3" t="s">
        <v>62</v>
      </c>
      <c r="AM54" s="3" t="s">
        <v>84</v>
      </c>
    </row>
    <row r="55" spans="1:39" ht="15" customHeight="1" x14ac:dyDescent="0.2">
      <c r="A55" s="3" t="s">
        <v>237</v>
      </c>
      <c r="D55" s="3" t="s">
        <v>238</v>
      </c>
      <c r="E55" s="1" t="str">
        <f t="shared" si="8"/>
        <v>1</v>
      </c>
      <c r="F55" s="1" t="str">
        <f t="shared" si="9"/>
        <v>deSousa_etal_2010</v>
      </c>
      <c r="G55" s="1" t="str">
        <f t="shared" si="10"/>
        <v>deSousa</v>
      </c>
      <c r="H55" s="1" t="str">
        <f t="shared" si="11"/>
        <v>etal</v>
      </c>
      <c r="I55" s="1" t="str">
        <f t="shared" si="12"/>
        <v>2010</v>
      </c>
      <c r="J55" s="1" t="str">
        <f t="shared" si="13"/>
        <v>10.1016%2Fj.jhevol.2009.11.011</v>
      </c>
      <c r="K55" s="1" t="str">
        <f t="shared" si="14"/>
        <v>deSousa_etal_2010_SupTable2</v>
      </c>
      <c r="L55" s="1" t="str">
        <f t="shared" si="15"/>
        <v>10.1016%2Fj.jhevol.2009.11.011_SupTable2</v>
      </c>
      <c r="M55" s="1" t="str">
        <f t="array" ref="M55">IFERROR(INDEX(FileList!$A$1:$A$1000,MATCH(TRUE(),EXACT(L55,IFERROR(_xlfn.TEXTBEFORE(FileList!$A$1:$A$1000,".tsv"),"")),0)),"notfound")</f>
        <v>10.1016%2Fj.jhevol.2009.11.011_SupTable2.tsv</v>
      </c>
      <c r="N55" s="3" t="s">
        <v>239</v>
      </c>
      <c r="O55" s="3" t="s">
        <v>240</v>
      </c>
      <c r="P55" s="3" t="s">
        <v>40</v>
      </c>
      <c r="R55" s="3" t="s">
        <v>241</v>
      </c>
      <c r="S55" s="3" t="s">
        <v>52</v>
      </c>
      <c r="T55" s="3" t="s">
        <v>242</v>
      </c>
      <c r="V55" s="3" t="s">
        <v>243</v>
      </c>
      <c r="X55" s="3" t="s">
        <v>244</v>
      </c>
      <c r="Y55" s="3" t="s">
        <v>245</v>
      </c>
      <c r="Z55" s="3" t="s">
        <v>233</v>
      </c>
      <c r="AB55" s="3" t="s">
        <v>246</v>
      </c>
      <c r="AC55" s="3" t="s">
        <v>247</v>
      </c>
      <c r="AD55" s="3" t="s">
        <v>248</v>
      </c>
      <c r="AF55" s="3" t="s">
        <v>79</v>
      </c>
      <c r="AG55" s="3" t="s">
        <v>111</v>
      </c>
      <c r="AH55" s="3" t="s">
        <v>249</v>
      </c>
      <c r="AI55" s="3" t="s">
        <v>250</v>
      </c>
      <c r="AJ55" s="3" t="s">
        <v>236</v>
      </c>
      <c r="AK55" s="3" t="s">
        <v>62</v>
      </c>
      <c r="AL55" s="3" t="s">
        <v>62</v>
      </c>
      <c r="AM55" s="3" t="s">
        <v>84</v>
      </c>
    </row>
    <row r="56" spans="1:39" ht="15.75" customHeight="1" x14ac:dyDescent="0.2">
      <c r="A56" s="3" t="s">
        <v>237</v>
      </c>
      <c r="D56" s="3" t="s">
        <v>76</v>
      </c>
      <c r="E56" s="1" t="str">
        <f t="shared" si="8"/>
        <v>1</v>
      </c>
      <c r="F56" s="1" t="str">
        <f t="shared" si="9"/>
        <v>deSousa_etal_2010</v>
      </c>
      <c r="G56" s="1" t="str">
        <f t="shared" si="10"/>
        <v>deSousa</v>
      </c>
      <c r="H56" s="1" t="str">
        <f t="shared" si="11"/>
        <v>etal</v>
      </c>
      <c r="I56" s="1" t="str">
        <f t="shared" si="12"/>
        <v>2010</v>
      </c>
      <c r="J56" s="1" t="str">
        <f t="shared" si="13"/>
        <v>10.1016%2Fj.jhevol.2009.11.011</v>
      </c>
      <c r="K56" s="1" t="str">
        <f t="shared" si="14"/>
        <v>deSousa_etal_2010_Table1</v>
      </c>
      <c r="L56" s="1" t="str">
        <f t="shared" si="15"/>
        <v>10.1016%2Fj.jhevol.2009.11.011_Table1</v>
      </c>
      <c r="M56" s="1" t="str">
        <f t="array" ref="M56">IFERROR(INDEX(FileList!$A$1:$A$1000,MATCH(TRUE(),EXACT(L56,IFERROR(_xlfn.TEXTBEFORE(FileList!$A$1:$A$1000,".tsv"),"")),0)),"notfound")</f>
        <v>10.1016%2Fj.jhevol.2009.11.011_Table1.tsv</v>
      </c>
      <c r="N56" s="3" t="s">
        <v>251</v>
      </c>
      <c r="V56" s="3" t="s">
        <v>41</v>
      </c>
      <c r="Y56" s="3" t="s">
        <v>232</v>
      </c>
      <c r="Z56" s="3" t="s">
        <v>233</v>
      </c>
      <c r="AF56" s="3" t="s">
        <v>252</v>
      </c>
      <c r="AG56" s="3" t="s">
        <v>111</v>
      </c>
      <c r="AI56" s="3" t="s">
        <v>253</v>
      </c>
      <c r="AJ56" s="3" t="s">
        <v>236</v>
      </c>
      <c r="AK56" s="3" t="s">
        <v>62</v>
      </c>
      <c r="AL56" s="3" t="s">
        <v>62</v>
      </c>
      <c r="AM56" s="3" t="s">
        <v>84</v>
      </c>
    </row>
    <row r="57" spans="1:39" ht="15.75" customHeight="1" x14ac:dyDescent="0.2">
      <c r="A57" s="3" t="s">
        <v>254</v>
      </c>
      <c r="D57" s="3" t="s">
        <v>255</v>
      </c>
      <c r="E57" s="1" t="str">
        <f t="shared" si="8"/>
        <v>0</v>
      </c>
      <c r="F57" s="1" t="str">
        <f t="shared" si="9"/>
        <v>DeCasien_Higham_2019</v>
      </c>
      <c r="G57" s="1" t="str">
        <f t="shared" si="10"/>
        <v>DeCasien</v>
      </c>
      <c r="H57" s="1" t="str">
        <f t="shared" si="11"/>
        <v>Higham</v>
      </c>
      <c r="I57" s="1" t="str">
        <f t="shared" si="12"/>
        <v>2019</v>
      </c>
      <c r="J57" s="1" t="str">
        <f t="shared" si="13"/>
        <v>10.1038%2Fs41559-019-0969-0</v>
      </c>
      <c r="K57" s="1" t="str">
        <f t="shared" si="14"/>
        <v>DeCasien_Higham_2019_SupplementaryData1-ActivityPeriod</v>
      </c>
      <c r="L57" s="1" t="str">
        <f t="shared" si="15"/>
        <v>10.1038%2Fs41559-019-0969-0_SupplementaryData1-ActivityPeriod</v>
      </c>
      <c r="M57" s="1" t="str">
        <f t="array" ref="M57">IFERROR(INDEX(FileList!$A$1:$A$1000,MATCH(TRUE(),EXACT(L57,IFERROR(_xlfn.TEXTBEFORE(FileList!$A$1:$A$1000,".tsv"),"")),0)),"notfound")</f>
        <v>notfound</v>
      </c>
      <c r="N57" s="3" t="s">
        <v>256</v>
      </c>
      <c r="U57" s="3" t="s">
        <v>182</v>
      </c>
      <c r="V57" s="3" t="s">
        <v>257</v>
      </c>
      <c r="W57" s="3" t="s">
        <v>183</v>
      </c>
      <c r="X57" s="3" t="s">
        <v>258</v>
      </c>
      <c r="AF57" s="3" t="s">
        <v>79</v>
      </c>
      <c r="AH57" s="3" t="s">
        <v>176</v>
      </c>
      <c r="AI57" s="3" t="s">
        <v>259</v>
      </c>
      <c r="AJ57" s="3" t="s">
        <v>117</v>
      </c>
      <c r="AK57" s="3" t="s">
        <v>140</v>
      </c>
      <c r="AL57" s="3" t="s">
        <v>140</v>
      </c>
      <c r="AM57" s="3" t="s">
        <v>260</v>
      </c>
    </row>
    <row r="58" spans="1:39" ht="15.75" customHeight="1" x14ac:dyDescent="0.2">
      <c r="A58" s="3" t="s">
        <v>254</v>
      </c>
      <c r="D58" s="3" t="s">
        <v>261</v>
      </c>
      <c r="E58" s="1" t="str">
        <f t="shared" si="8"/>
        <v>0</v>
      </c>
      <c r="F58" s="1" t="str">
        <f t="shared" si="9"/>
        <v>DeCasien_Higham_2019</v>
      </c>
      <c r="G58" s="1" t="str">
        <f t="shared" si="10"/>
        <v>DeCasien</v>
      </c>
      <c r="H58" s="1" t="str">
        <f t="shared" si="11"/>
        <v>Higham</v>
      </c>
      <c r="I58" s="1" t="str">
        <f t="shared" si="12"/>
        <v>2019</v>
      </c>
      <c r="J58" s="1" t="str">
        <f t="shared" si="13"/>
        <v>10.1038%2Fs41559-019-0969-0</v>
      </c>
      <c r="K58" s="1" t="str">
        <f t="shared" si="14"/>
        <v>DeCasien_Higham_2019_SupplementaryData1-BrainRegion</v>
      </c>
      <c r="L58" s="1" t="str">
        <f t="shared" si="15"/>
        <v>10.1038%2Fs41559-019-0969-0_SupplementaryData1-BrainRegion</v>
      </c>
      <c r="M58" s="1" t="str">
        <f t="array" ref="M58">IFERROR(INDEX(FileList!$A$1:$A$1000,MATCH(TRUE(),EXACT(L58,IFERROR(_xlfn.TEXTBEFORE(FileList!$A$1:$A$1000,".tsv"),"")),0)),"notfound")</f>
        <v>notfound</v>
      </c>
      <c r="N58" s="3" t="s">
        <v>256</v>
      </c>
      <c r="U58" s="3" t="s">
        <v>182</v>
      </c>
      <c r="V58" s="3" t="s">
        <v>257</v>
      </c>
      <c r="W58" s="3" t="s">
        <v>183</v>
      </c>
      <c r="X58" s="3" t="s">
        <v>258</v>
      </c>
      <c r="AB58" s="3" t="s">
        <v>262</v>
      </c>
      <c r="AF58" s="3" t="s">
        <v>79</v>
      </c>
      <c r="AH58" s="3" t="s">
        <v>176</v>
      </c>
      <c r="AI58" s="3" t="s">
        <v>263</v>
      </c>
      <c r="AJ58" s="3" t="s">
        <v>117</v>
      </c>
      <c r="AK58" s="3" t="s">
        <v>140</v>
      </c>
      <c r="AL58" s="3" t="s">
        <v>140</v>
      </c>
      <c r="AM58" s="3" t="s">
        <v>84</v>
      </c>
    </row>
    <row r="59" spans="1:39" ht="15.75" customHeight="1" x14ac:dyDescent="0.2">
      <c r="A59" s="3" t="s">
        <v>254</v>
      </c>
      <c r="D59" s="3" t="s">
        <v>264</v>
      </c>
      <c r="E59" s="1" t="str">
        <f t="shared" si="8"/>
        <v>0</v>
      </c>
      <c r="F59" s="1" t="str">
        <f t="shared" si="9"/>
        <v>DeCasien_Higham_2019</v>
      </c>
      <c r="G59" s="1" t="str">
        <f t="shared" si="10"/>
        <v>DeCasien</v>
      </c>
      <c r="H59" s="1" t="str">
        <f t="shared" si="11"/>
        <v>Higham</v>
      </c>
      <c r="I59" s="1" t="str">
        <f t="shared" si="12"/>
        <v>2019</v>
      </c>
      <c r="J59" s="1" t="str">
        <f t="shared" si="13"/>
        <v>10.1038%2Fs41559-019-0969-0</v>
      </c>
      <c r="K59" s="1" t="str">
        <f t="shared" si="14"/>
        <v>DeCasien_Higham_2019_SupplementaryData1-Diet</v>
      </c>
      <c r="L59" s="1" t="str">
        <f t="shared" si="15"/>
        <v>10.1038%2Fs41559-019-0969-0_SupplementaryData1-Diet</v>
      </c>
      <c r="M59" s="1" t="str">
        <f t="array" ref="M59">IFERROR(INDEX(FileList!$A$1:$A$1000,MATCH(TRUE(),EXACT(L59,IFERROR(_xlfn.TEXTBEFORE(FileList!$A$1:$A$1000,".tsv"),"")),0)),"notfound")</f>
        <v>notfound</v>
      </c>
      <c r="N59" s="3" t="s">
        <v>256</v>
      </c>
      <c r="U59" s="3" t="s">
        <v>182</v>
      </c>
      <c r="V59" s="3" t="s">
        <v>257</v>
      </c>
      <c r="W59" s="3" t="s">
        <v>183</v>
      </c>
      <c r="X59" s="3" t="s">
        <v>258</v>
      </c>
      <c r="AF59" s="3" t="s">
        <v>79</v>
      </c>
      <c r="AH59" s="3" t="s">
        <v>176</v>
      </c>
      <c r="AI59" s="3" t="s">
        <v>265</v>
      </c>
      <c r="AJ59" s="3" t="s">
        <v>117</v>
      </c>
      <c r="AK59" s="3" t="s">
        <v>140</v>
      </c>
      <c r="AL59" s="3" t="s">
        <v>140</v>
      </c>
      <c r="AM59" s="3" t="s">
        <v>266</v>
      </c>
    </row>
    <row r="60" spans="1:39" ht="15.75" customHeight="1" x14ac:dyDescent="0.2">
      <c r="A60" s="3" t="s">
        <v>254</v>
      </c>
      <c r="D60" s="3" t="s">
        <v>267</v>
      </c>
      <c r="E60" s="1" t="str">
        <f t="shared" si="8"/>
        <v>0</v>
      </c>
      <c r="F60" s="1" t="str">
        <f t="shared" si="9"/>
        <v>DeCasien_Higham_2019</v>
      </c>
      <c r="G60" s="1" t="str">
        <f t="shared" si="10"/>
        <v>DeCasien</v>
      </c>
      <c r="H60" s="1" t="str">
        <f t="shared" si="11"/>
        <v>Higham</v>
      </c>
      <c r="I60" s="1" t="str">
        <f t="shared" si="12"/>
        <v>2019</v>
      </c>
      <c r="J60" s="1" t="str">
        <f t="shared" si="13"/>
        <v>10.1038%2Fs41559-019-0969-0</v>
      </c>
      <c r="K60" s="1" t="str">
        <f t="shared" si="14"/>
        <v>DeCasien_Higham_2019_SupplementaryData1-SocialSystem</v>
      </c>
      <c r="L60" s="1" t="str">
        <f t="shared" si="15"/>
        <v>10.1038%2Fs41559-019-0969-0_SupplementaryData1-SocialSystem</v>
      </c>
      <c r="M60" s="1" t="str">
        <f t="array" ref="M60">IFERROR(INDEX(FileList!$A$1:$A$1000,MATCH(TRUE(),EXACT(L60,IFERROR(_xlfn.TEXTBEFORE(FileList!$A$1:$A$1000,".tsv"),"")),0)),"notfound")</f>
        <v>notfound</v>
      </c>
      <c r="N60" s="3" t="s">
        <v>256</v>
      </c>
      <c r="U60" s="3" t="s">
        <v>182</v>
      </c>
      <c r="V60" s="3" t="s">
        <v>257</v>
      </c>
      <c r="W60" s="3" t="s">
        <v>183</v>
      </c>
      <c r="X60" s="3" t="s">
        <v>258</v>
      </c>
      <c r="AF60" s="3" t="s">
        <v>79</v>
      </c>
      <c r="AH60" s="3" t="s">
        <v>176</v>
      </c>
      <c r="AI60" s="3" t="s">
        <v>268</v>
      </c>
      <c r="AJ60" s="3" t="s">
        <v>117</v>
      </c>
      <c r="AK60" s="3" t="s">
        <v>140</v>
      </c>
      <c r="AL60" s="3" t="s">
        <v>140</v>
      </c>
      <c r="AM60" s="3" t="s">
        <v>269</v>
      </c>
    </row>
    <row r="61" spans="1:39" ht="15.75" customHeight="1" x14ac:dyDescent="0.2">
      <c r="A61" s="3" t="s">
        <v>270</v>
      </c>
      <c r="D61" s="3" t="s">
        <v>76</v>
      </c>
      <c r="E61" s="1" t="str">
        <f t="shared" si="8"/>
        <v>0</v>
      </c>
      <c r="F61" s="1" t="str">
        <f t="shared" si="9"/>
        <v>DosSantos_etal_2020</v>
      </c>
      <c r="G61" s="1" t="str">
        <f t="shared" si="10"/>
        <v>DosSantos</v>
      </c>
      <c r="H61" s="1" t="str">
        <f t="shared" si="11"/>
        <v>etal</v>
      </c>
      <c r="I61" s="1" t="str">
        <f t="shared" si="12"/>
        <v>2020</v>
      </c>
      <c r="J61" s="1" t="str">
        <f t="shared" si="13"/>
        <v>10.1523%2FJNEUROSCI.2339-19.2020</v>
      </c>
      <c r="K61" s="1" t="str">
        <f t="shared" si="14"/>
        <v>DosSantos_etal_2020_Table1</v>
      </c>
      <c r="L61" s="1" t="str">
        <f t="shared" si="15"/>
        <v>10.1523%2FJNEUROSCI.2339-19.2020_Table1</v>
      </c>
      <c r="M61" s="1" t="str">
        <f t="array" ref="M61">IFERROR(INDEX(FileList!$A$1:$A$1000,MATCH(TRUE(),EXACT(L61,IFERROR(_xlfn.TEXTBEFORE(FileList!$A$1:$A$1000,".tsv"),"")),0)),"notfound")</f>
        <v>10.1523%2FJNEUROSCI.2339-19.2020_Table1.tsv</v>
      </c>
      <c r="O61" s="3" t="s">
        <v>271</v>
      </c>
      <c r="P61" s="3" t="s">
        <v>40</v>
      </c>
      <c r="Q61" s="3" t="s">
        <v>50</v>
      </c>
      <c r="R61" s="3" t="s">
        <v>272</v>
      </c>
      <c r="S61" s="3" t="s">
        <v>52</v>
      </c>
      <c r="T61" s="3" t="s">
        <v>273</v>
      </c>
      <c r="U61" s="3" t="s">
        <v>274</v>
      </c>
      <c r="V61" s="3" t="s">
        <v>41</v>
      </c>
      <c r="Y61" s="3" t="s">
        <v>57</v>
      </c>
      <c r="Z61" s="3" t="s">
        <v>57</v>
      </c>
      <c r="AC61" s="3" t="s">
        <v>275</v>
      </c>
      <c r="AE61" s="3" t="s">
        <v>276</v>
      </c>
      <c r="AG61" s="3" t="s">
        <v>58</v>
      </c>
      <c r="AH61" s="3" t="s">
        <v>277</v>
      </c>
      <c r="AI61" s="3" t="s">
        <v>278</v>
      </c>
      <c r="AJ61" s="3" t="s">
        <v>139</v>
      </c>
      <c r="AK61" s="3" t="s">
        <v>279</v>
      </c>
      <c r="AL61" s="3" t="s">
        <v>62</v>
      </c>
      <c r="AM61" s="3" t="s">
        <v>280</v>
      </c>
    </row>
    <row r="62" spans="1:39" ht="15.75" customHeight="1" x14ac:dyDescent="0.2">
      <c r="A62" s="3" t="s">
        <v>270</v>
      </c>
      <c r="D62" s="3" t="s">
        <v>281</v>
      </c>
      <c r="E62" s="1" t="str">
        <f t="shared" si="8"/>
        <v>0</v>
      </c>
      <c r="F62" s="1" t="str">
        <f t="shared" si="9"/>
        <v>DosSantos_etal_2020</v>
      </c>
      <c r="G62" s="1" t="str">
        <f t="shared" si="10"/>
        <v>DosSantos</v>
      </c>
      <c r="H62" s="1" t="str">
        <f t="shared" si="11"/>
        <v>etal</v>
      </c>
      <c r="I62" s="1" t="str">
        <f t="shared" si="12"/>
        <v>2020</v>
      </c>
      <c r="J62" s="1" t="str">
        <f t="shared" si="13"/>
        <v>10.1523%2FJNEUROSCI.2339-19.2020</v>
      </c>
      <c r="K62" s="1" t="str">
        <f t="shared" si="14"/>
        <v>DosSantos_etal_2020_unpublished</v>
      </c>
      <c r="L62" s="1" t="str">
        <f t="shared" si="15"/>
        <v>10.1523%2FJNEUROSCI.2339-19.2020_unpublished</v>
      </c>
      <c r="M62" s="1" t="str">
        <f t="array" ref="M62">IFERROR(INDEX(FileList!$A$1:$A$1000,MATCH(TRUE(),EXACT(L62,IFERROR(_xlfn.TEXTBEFORE(FileList!$A$1:$A$1000,".tsv"),"")),0)),"notfound")</f>
        <v>10.1523%2FJNEUROSCI.2339-19.2020_unpublished.tsv</v>
      </c>
      <c r="O62" s="3" t="s">
        <v>282</v>
      </c>
      <c r="P62" s="3" t="s">
        <v>40</v>
      </c>
      <c r="Q62" s="3" t="s">
        <v>50</v>
      </c>
      <c r="R62" s="3" t="s">
        <v>272</v>
      </c>
      <c r="S62" s="3" t="s">
        <v>52</v>
      </c>
      <c r="T62" s="3" t="s">
        <v>273</v>
      </c>
      <c r="U62" s="3" t="s">
        <v>274</v>
      </c>
      <c r="V62" s="3" t="s">
        <v>41</v>
      </c>
      <c r="X62" s="3" t="s">
        <v>283</v>
      </c>
      <c r="Y62" s="3" t="s">
        <v>57</v>
      </c>
      <c r="Z62" s="3" t="s">
        <v>57</v>
      </c>
      <c r="AC62" s="3" t="s">
        <v>284</v>
      </c>
      <c r="AG62" s="3" t="s">
        <v>58</v>
      </c>
      <c r="AH62" s="3" t="s">
        <v>277</v>
      </c>
      <c r="AI62" s="3" t="s">
        <v>278</v>
      </c>
      <c r="AJ62" s="3" t="s">
        <v>139</v>
      </c>
      <c r="AK62" s="3" t="s">
        <v>279</v>
      </c>
      <c r="AL62" s="3" t="s">
        <v>62</v>
      </c>
      <c r="AM62" s="3" t="s">
        <v>280</v>
      </c>
    </row>
    <row r="63" spans="1:39" ht="15.75" customHeight="1" x14ac:dyDescent="0.2">
      <c r="A63" s="3" t="s">
        <v>285</v>
      </c>
      <c r="D63" s="3" t="s">
        <v>197</v>
      </c>
      <c r="E63" s="1" t="str">
        <f t="shared" si="8"/>
        <v>6</v>
      </c>
      <c r="F63" s="1" t="str">
        <f t="shared" si="9"/>
        <v>DosSantos_etal_2017</v>
      </c>
      <c r="G63" s="1" t="str">
        <f t="shared" si="10"/>
        <v>DosSantos</v>
      </c>
      <c r="H63" s="1" t="str">
        <f t="shared" si="11"/>
        <v>etal</v>
      </c>
      <c r="I63" s="1" t="str">
        <f t="shared" si="12"/>
        <v>2017</v>
      </c>
      <c r="J63" s="1" t="str">
        <f t="shared" si="13"/>
        <v>10.1159%2F000452856</v>
      </c>
      <c r="K63" s="1" t="str">
        <f t="shared" si="14"/>
        <v>DosSantos_etal_2017_TableS1</v>
      </c>
      <c r="L63" s="1" t="str">
        <f t="shared" si="15"/>
        <v>10.1159%2F000452856_TableS1</v>
      </c>
      <c r="M63" s="1" t="str">
        <f t="array" ref="M63">IFERROR(INDEX(FileList!$A$1:$A$1000,MATCH(TRUE(),EXACT(L63,IFERROR(_xlfn.TEXTBEFORE(FileList!$A$1:$A$1000,".tsv"),"")),0)),"notfound")</f>
        <v>10.1159%2F000452856_TableS1.tsv</v>
      </c>
      <c r="O63" s="3" t="s">
        <v>286</v>
      </c>
      <c r="P63" s="3" t="s">
        <v>40</v>
      </c>
      <c r="Q63" s="3" t="s">
        <v>50</v>
      </c>
      <c r="R63" s="3" t="s">
        <v>287</v>
      </c>
      <c r="S63" s="3" t="s">
        <v>52</v>
      </c>
      <c r="T63" s="3" t="s">
        <v>288</v>
      </c>
      <c r="U63" s="3" t="s">
        <v>289</v>
      </c>
      <c r="V63" s="3" t="s">
        <v>290</v>
      </c>
      <c r="W63" s="3" t="s">
        <v>183</v>
      </c>
      <c r="X63" s="3" t="s">
        <v>291</v>
      </c>
      <c r="Y63" s="3" t="s">
        <v>57</v>
      </c>
      <c r="Z63" s="3" t="s">
        <v>57</v>
      </c>
      <c r="AC63" s="3" t="s">
        <v>292</v>
      </c>
      <c r="AG63" s="3" t="s">
        <v>58</v>
      </c>
      <c r="AH63" s="3" t="s">
        <v>293</v>
      </c>
      <c r="AI63" s="3" t="s">
        <v>278</v>
      </c>
      <c r="AJ63" s="3" t="s">
        <v>294</v>
      </c>
      <c r="AK63" s="3" t="s">
        <v>62</v>
      </c>
      <c r="AL63" s="3" t="s">
        <v>62</v>
      </c>
      <c r="AM63" s="3" t="s">
        <v>63</v>
      </c>
    </row>
    <row r="64" spans="1:39" ht="15.75" customHeight="1" x14ac:dyDescent="0.2">
      <c r="A64" s="3" t="s">
        <v>295</v>
      </c>
      <c r="D64" s="3" t="s">
        <v>48</v>
      </c>
      <c r="E64" s="1" t="str">
        <f t="shared" si="8"/>
        <v>3</v>
      </c>
      <c r="F64" s="1" t="str">
        <f t="shared" si="9"/>
        <v>Eagleman_Vaughn_2021</v>
      </c>
      <c r="G64" s="1" t="str">
        <f t="shared" si="10"/>
        <v>Eagleman</v>
      </c>
      <c r="H64" s="1" t="str">
        <f t="shared" si="11"/>
        <v>Vaughn</v>
      </c>
      <c r="I64" s="1" t="str">
        <f t="shared" si="12"/>
        <v>2021</v>
      </c>
      <c r="J64" s="1" t="str">
        <f t="shared" si="13"/>
        <v>10.3389%2Ffnins.2021.632853</v>
      </c>
      <c r="K64" s="1" t="str">
        <f t="shared" si="14"/>
        <v>Eagleman_Vaughn_2021_TABLE1</v>
      </c>
      <c r="L64" s="1" t="str">
        <f t="shared" si="15"/>
        <v>10.3389%2Ffnins.2021.632853_TABLE1</v>
      </c>
      <c r="M64" s="1" t="str">
        <f t="array" ref="M64">IFERROR(INDEX(FileList!$A$1:$A$1000,MATCH(TRUE(),EXACT(L64,IFERROR(_xlfn.TEXTBEFORE(FileList!$A$1:$A$1000,".tsv"),"")),0)),"notfound")</f>
        <v>10.3389%2Ffnins.2021.632853_TABLE1.tsv</v>
      </c>
      <c r="N64" s="3" t="s">
        <v>296</v>
      </c>
      <c r="U64" s="3" t="s">
        <v>54</v>
      </c>
      <c r="AI64" s="3" t="s">
        <v>297</v>
      </c>
      <c r="AJ64" s="3" t="s">
        <v>139</v>
      </c>
      <c r="AK64" s="3" t="s">
        <v>140</v>
      </c>
      <c r="AL64" s="3" t="s">
        <v>140</v>
      </c>
      <c r="AM64" s="3" t="s">
        <v>298</v>
      </c>
    </row>
    <row r="65" spans="1:39" ht="15.75" customHeight="1" x14ac:dyDescent="0.2">
      <c r="A65" s="3" t="s">
        <v>1322</v>
      </c>
      <c r="D65" s="3"/>
      <c r="E65" s="1" t="str">
        <f t="shared" ref="E65" si="16">RIGHT(A65,1)</f>
        <v>1</v>
      </c>
      <c r="F65" s="1" t="str">
        <f t="shared" ref="F65" si="17">G65 &amp; IF(H65&lt;&gt;"", "_" &amp; H65, "_") &amp; IF(I65&lt;&gt;"", "_" &amp; I65, "_") &amp; IF(B65&lt;&gt;"", "_" &amp; B65, "")</f>
        <v>Ebinger__1974</v>
      </c>
      <c r="G65" s="1" t="str">
        <f t="shared" ref="G65" si="18">SUBSTITUTE(SUBSTITUTE(_xlfn.TEXTBEFORE(A65,","), "-", ""), " ", "")</f>
        <v>Ebinger</v>
      </c>
      <c r="H65" s="1" t="str">
        <f t="shared" ref="H65" si="19">_xlfn.LET(
_xlpm.authors,_xlfn.TEXTBEFORE(A65," ("&amp;I65&amp;")"),
_xlpm.hasAmp,ISNUMBER(SEARCH("&amp;",_xlpm.authors)),
_xlpm.commasBeforeAmp,IF(_xlpm.hasAmp,LEN(_xlfn.TEXTBEFORE(_xlpm.authors,"&amp;"))-LEN(SUBSTITUTE(_xlfn.TEXTBEFORE(_xlpm.authors,"&amp;"),",","")),0),
IF(NOT(_xlpm.hasAmp),"",IF(_xlpm.commasBeforeAmp&gt;2,"etal",TRIM(_xlfn.TEXTBEFORE(_xlfn.TEXTAFTER(_xlpm.authors,"&amp; "),","))))
)</f>
        <v/>
      </c>
      <c r="I65" s="1" t="str">
        <f t="shared" ref="I65" si="20">_xlfn.TEXTBEFORE(_xlfn.TEXTAFTER(A65, "("), ")")</f>
        <v>1974</v>
      </c>
      <c r="J65" s="1" t="str">
        <f t="shared" ref="J65" si="21">_xlfn.LET(
_xlpm.doi,IF(C65&lt;&gt;"",C65,_xlfn.TEXTAFTER(A65,"https://doi.org/")),
SUBSTITUTE(
SUBSTITUTE(
SUBSTITUTE(
SUBSTITUTE(
_xlpm.doi,
"/","%2F"),
":","%3A"),
"&lt;","%3C"),
"&gt;","%3E")
)</f>
        <v>10.1007%2FBF00522811</v>
      </c>
      <c r="K65" s="1" t="str">
        <f t="shared" ref="K65" si="22">TRIM(_xlfn.TEXTJOIN("_",FALSE(),F65,(SUBSTITUTE(SUBSTITUTE(D65," ",""), "_", ""))))</f>
        <v>Ebinger__1974_</v>
      </c>
      <c r="L65" s="1" t="str">
        <f t="shared" ref="L65" si="23">J65 &amp; "_" &amp; SUBSTITUTE(SUBSTITUTE(SUBSTITUTE(D65,CHAR(160),"")," ",""),"_","")</f>
        <v>10.1007%2FBF00522811_</v>
      </c>
      <c r="M65" s="1" t="str">
        <f t="array" ref="M65">IFERROR(INDEX(FileList!$A$1:$A$1000,MATCH(TRUE(),EXACT(L65,IFERROR(_xlfn.TEXTBEFORE(FileList!$A$1:$A$1000,".tsv"),"")),0)),"notfound")</f>
        <v>notfound</v>
      </c>
      <c r="N65" s="3"/>
      <c r="U65" s="3"/>
      <c r="AI65" s="3"/>
      <c r="AJ65" s="3"/>
      <c r="AK65" s="3"/>
      <c r="AL65" s="3"/>
      <c r="AM65" s="3"/>
    </row>
    <row r="66" spans="1:39" ht="15.75" customHeight="1" x14ac:dyDescent="0.2">
      <c r="A66" s="3" t="s">
        <v>299</v>
      </c>
      <c r="D66" s="3" t="s">
        <v>48</v>
      </c>
      <c r="E66" s="1" t="str">
        <f t="shared" si="8"/>
        <v>5</v>
      </c>
      <c r="F66" s="1" t="str">
        <f t="shared" si="9"/>
        <v>Falcone_etal_2019</v>
      </c>
      <c r="G66" s="1" t="str">
        <f t="shared" si="10"/>
        <v>Falcone</v>
      </c>
      <c r="H66" s="1" t="str">
        <f t="shared" si="11"/>
        <v>etal</v>
      </c>
      <c r="I66" s="1" t="str">
        <f t="shared" si="12"/>
        <v>2019</v>
      </c>
      <c r="J66" s="1" t="str">
        <f t="shared" si="13"/>
        <v>10.1002%2Fcne.24605</v>
      </c>
      <c r="K66" s="1" t="str">
        <f t="shared" si="14"/>
        <v>Falcone_etal_2019_TABLE1</v>
      </c>
      <c r="L66" s="1" t="str">
        <f t="shared" si="15"/>
        <v>10.1002%2Fcne.24605_TABLE1</v>
      </c>
      <c r="M66" s="1" t="str">
        <f t="array" ref="M66">IFERROR(INDEX(FileList!$A$1:$A$1000,MATCH(TRUE(),EXACT(L66,IFERROR(_xlfn.TEXTBEFORE(FileList!$A$1:$A$1000,".tsv"),"")),0)),"notfound")</f>
        <v>10.1002%2Fcne.24605_TABLE1.tsv</v>
      </c>
      <c r="N66" s="3" t="s">
        <v>300</v>
      </c>
      <c r="U66" s="3" t="s">
        <v>54</v>
      </c>
      <c r="AI66" s="3" t="s">
        <v>301</v>
      </c>
      <c r="AJ66" s="3" t="s">
        <v>302</v>
      </c>
      <c r="AK66" s="3" t="s">
        <v>62</v>
      </c>
      <c r="AL66" s="3" t="s">
        <v>62</v>
      </c>
      <c r="AM66" s="3" t="s">
        <v>303</v>
      </c>
    </row>
    <row r="67" spans="1:39" ht="15.75" customHeight="1" x14ac:dyDescent="0.2">
      <c r="A67" s="3" t="s">
        <v>299</v>
      </c>
      <c r="D67" s="3" t="s">
        <v>92</v>
      </c>
      <c r="E67" s="1" t="str">
        <f t="shared" si="8"/>
        <v>5</v>
      </c>
      <c r="F67" s="1" t="str">
        <f t="shared" si="9"/>
        <v>Falcone_etal_2019</v>
      </c>
      <c r="G67" s="1" t="str">
        <f t="shared" si="10"/>
        <v>Falcone</v>
      </c>
      <c r="H67" s="1" t="str">
        <f t="shared" si="11"/>
        <v>etal</v>
      </c>
      <c r="I67" s="1" t="str">
        <f t="shared" si="12"/>
        <v>2019</v>
      </c>
      <c r="J67" s="1" t="str">
        <f t="shared" si="13"/>
        <v>10.1002%2Fcne.24605</v>
      </c>
      <c r="K67" s="1" t="str">
        <f t="shared" si="14"/>
        <v>Falcone_etal_2019_TABLE2</v>
      </c>
      <c r="L67" s="1" t="str">
        <f t="shared" si="15"/>
        <v>10.1002%2Fcne.24605_TABLE2</v>
      </c>
      <c r="M67" s="1" t="str">
        <f t="array" ref="M67">IFERROR(INDEX(FileList!$A$1:$A$1000,MATCH(TRUE(),EXACT(L67,IFERROR(_xlfn.TEXTBEFORE(FileList!$A$1:$A$1000,".tsv"),"")),0)),"notfound")</f>
        <v>10.1002%2Fcne.24605_TABLE2.tsv</v>
      </c>
      <c r="N67" s="3" t="s">
        <v>304</v>
      </c>
      <c r="U67" s="3" t="s">
        <v>54</v>
      </c>
      <c r="AI67" s="3" t="s">
        <v>301</v>
      </c>
      <c r="AJ67" s="3" t="s">
        <v>302</v>
      </c>
      <c r="AK67" s="3" t="s">
        <v>62</v>
      </c>
      <c r="AL67" s="3" t="s">
        <v>62</v>
      </c>
      <c r="AM67" s="3" t="s">
        <v>303</v>
      </c>
    </row>
    <row r="68" spans="1:39" ht="18.75" customHeight="1" x14ac:dyDescent="0.2">
      <c r="A68" s="3" t="s">
        <v>305</v>
      </c>
      <c r="D68" s="3" t="s">
        <v>306</v>
      </c>
      <c r="E68" s="1" t="str">
        <f t="shared" ref="E68:E131" si="24">RIGHT(A68,1)</f>
        <v>6</v>
      </c>
      <c r="F68" s="1" t="str">
        <f t="shared" ref="F68:F131" si="25">G68 &amp; IF(H68&lt;&gt;"", "_" &amp; H68, "_") &amp; IF(I68&lt;&gt;"", "_" &amp; I68, "_") &amp; IF(B68&lt;&gt;"", "_" &amp; B68, "")</f>
        <v>Finlay_etal_2006</v>
      </c>
      <c r="G68" s="1" t="str">
        <f t="shared" ref="G68:G131" si="26">SUBSTITUTE(SUBSTITUTE(_xlfn.TEXTBEFORE(A68,","), "-", ""), " ", "")</f>
        <v>Finlay</v>
      </c>
      <c r="H68" s="1" t="str">
        <f t="shared" ref="H68:H131" si="27">_xlfn.LET(
_xlpm.authors,_xlfn.TEXTBEFORE(A68," ("&amp;I68&amp;")"),
_xlpm.hasAmp,ISNUMBER(SEARCH("&amp;",_xlpm.authors)),
_xlpm.commasBeforeAmp,IF(_xlpm.hasAmp,LEN(_xlfn.TEXTBEFORE(_xlpm.authors,"&amp;"))-LEN(SUBSTITUTE(_xlfn.TEXTBEFORE(_xlpm.authors,"&amp;"),",","")),0),
IF(NOT(_xlpm.hasAmp),"",IF(_xlpm.commasBeforeAmp&gt;2,"etal",TRIM(_xlfn.TEXTBEFORE(_xlfn.TEXTAFTER(_xlpm.authors,"&amp; "),","))))
)</f>
        <v>etal</v>
      </c>
      <c r="I68" s="1" t="str">
        <f t="shared" ref="I68:I131" si="28">_xlfn.TEXTBEFORE(_xlfn.TEXTAFTER(A68, "("), ")")</f>
        <v>2006</v>
      </c>
      <c r="J68" s="1" t="str">
        <f t="shared" ref="J68:J131" si="29">_xlfn.LET(
_xlpm.doi,IF(C68&lt;&gt;"",C68,_xlfn.TEXTAFTER(A68,"https://doi.org/")),
SUBSTITUTE(
SUBSTITUTE(
SUBSTITUTE(
SUBSTITUTE(
_xlpm.doi,
"/","%2F"),
":","%3A"),
"&lt;","%3C"),
"&gt;","%3E")
)</f>
        <v>10.1093%2Foso%2F9780198568742.003.0006</v>
      </c>
      <c r="K68" s="1" t="str">
        <f t="shared" ref="K68:K131" si="30">TRIM(_xlfn.TEXTJOIN("_",FALSE(),F68,(SUBSTITUTE(SUBSTITUTE(D68," ",""), "_", ""))))</f>
        <v>Finlay_etal_2006_Table6.1</v>
      </c>
      <c r="L68" s="1" t="str">
        <f t="shared" ref="L68:L131" si="31">J68 &amp; "_" &amp; SUBSTITUTE(SUBSTITUTE(SUBSTITUTE(D68,CHAR(160),"")," ",""),"_","")</f>
        <v>10.1093%2Foso%2F9780198568742.003.0006_Table6.1</v>
      </c>
      <c r="M68" s="1" t="str">
        <f t="array" ref="M68">IFERROR(INDEX(FileList!$A$1:$A$1000,MATCH(TRUE(),EXACT(L68,IFERROR(_xlfn.TEXTBEFORE(FileList!$A$1:$A$1000,".tsv"),"")),0)),"notfound")</f>
        <v>10.1093%2Foso%2F9780198568742.003.0006_Table6.1.tsv</v>
      </c>
      <c r="P68" s="3" t="s">
        <v>200</v>
      </c>
      <c r="Q68" s="3" t="s">
        <v>201</v>
      </c>
      <c r="R68" s="3" t="s">
        <v>307</v>
      </c>
      <c r="S68" s="3" t="s">
        <v>52</v>
      </c>
      <c r="T68" s="3" t="s">
        <v>308</v>
      </c>
      <c r="U68" s="3" t="s">
        <v>54</v>
      </c>
      <c r="V68" s="3" t="s">
        <v>41</v>
      </c>
      <c r="W68" s="3" t="s">
        <v>190</v>
      </c>
      <c r="X68" s="3" t="s">
        <v>309</v>
      </c>
      <c r="AB68" s="3" t="s">
        <v>206</v>
      </c>
      <c r="AH68" s="3" t="s">
        <v>137</v>
      </c>
      <c r="AI68" s="3" t="s">
        <v>310</v>
      </c>
      <c r="AJ68" s="3" t="s">
        <v>139</v>
      </c>
      <c r="AK68" s="3" t="s">
        <v>208</v>
      </c>
      <c r="AL68" s="3" t="s">
        <v>140</v>
      </c>
      <c r="AM68" s="3" t="s">
        <v>311</v>
      </c>
    </row>
    <row r="69" spans="1:39" ht="16.5" customHeight="1" x14ac:dyDescent="0.2">
      <c r="A69" s="3" t="s">
        <v>312</v>
      </c>
      <c r="C69" s="3" t="s">
        <v>313</v>
      </c>
      <c r="D69" s="3" t="s">
        <v>76</v>
      </c>
      <c r="E69" s="1" t="str">
        <f t="shared" si="24"/>
        <v>8</v>
      </c>
      <c r="F69" s="1" t="str">
        <f t="shared" si="25"/>
        <v>Frahm_Zilles_1994</v>
      </c>
      <c r="G69" s="1" t="str">
        <f t="shared" si="26"/>
        <v>Frahm</v>
      </c>
      <c r="H69" s="1" t="str">
        <f t="shared" si="27"/>
        <v>Zilles</v>
      </c>
      <c r="I69" s="1" t="str">
        <f t="shared" si="28"/>
        <v>1994</v>
      </c>
      <c r="J69" s="1" t="str">
        <f t="shared" si="29"/>
        <v>PMID%3A7983368</v>
      </c>
      <c r="K69" s="1" t="str">
        <f t="shared" si="30"/>
        <v>Frahm_Zilles_1994_Table1</v>
      </c>
      <c r="L69" s="1" t="str">
        <f t="shared" si="31"/>
        <v>PMID%3A7983368_Table1</v>
      </c>
      <c r="M69" s="1" t="str">
        <f t="array" ref="M69">IFERROR(INDEX(FileList!$A$1:$A$1000,MATCH(TRUE(),EXACT(L69,IFERROR(_xlfn.TEXTBEFORE(FileList!$A$1:$A$1000,".tsv"),"")),0)),"notfound")</f>
        <v>PMID%3A7983368_Table1.tsv</v>
      </c>
      <c r="N69" s="3" t="s">
        <v>314</v>
      </c>
      <c r="V69" s="3" t="s">
        <v>41</v>
      </c>
      <c r="W69" s="3" t="s">
        <v>104</v>
      </c>
      <c r="Y69" s="3" t="s">
        <v>99</v>
      </c>
      <c r="Z69" s="3" t="s">
        <v>99</v>
      </c>
      <c r="AF69" s="3" t="s">
        <v>79</v>
      </c>
      <c r="AG69" s="3" t="s">
        <v>111</v>
      </c>
      <c r="AI69" s="3" t="s">
        <v>315</v>
      </c>
      <c r="AJ69" s="3" t="s">
        <v>101</v>
      </c>
      <c r="AK69" s="3" t="s">
        <v>62</v>
      </c>
      <c r="AL69" s="3" t="s">
        <v>62</v>
      </c>
      <c r="AM69" s="3" t="s">
        <v>84</v>
      </c>
    </row>
    <row r="70" spans="1:39" ht="16.5" customHeight="1" x14ac:dyDescent="0.2">
      <c r="A70" s="3" t="s">
        <v>312</v>
      </c>
      <c r="C70" s="3" t="s">
        <v>313</v>
      </c>
      <c r="D70" s="3" t="s">
        <v>118</v>
      </c>
      <c r="E70" s="1" t="str">
        <f t="shared" si="24"/>
        <v>8</v>
      </c>
      <c r="F70" s="1" t="str">
        <f t="shared" si="25"/>
        <v>Frahm_Zilles_1994</v>
      </c>
      <c r="G70" s="1" t="str">
        <f t="shared" si="26"/>
        <v>Frahm</v>
      </c>
      <c r="H70" s="1" t="str">
        <f t="shared" si="27"/>
        <v>Zilles</v>
      </c>
      <c r="I70" s="1" t="str">
        <f t="shared" si="28"/>
        <v>1994</v>
      </c>
      <c r="J70" s="1" t="str">
        <f t="shared" si="29"/>
        <v>PMID%3A7983368</v>
      </c>
      <c r="K70" s="1" t="str">
        <f t="shared" si="30"/>
        <v>Frahm_Zilles_1994_Table2</v>
      </c>
      <c r="L70" s="1" t="str">
        <f t="shared" si="31"/>
        <v>PMID%3A7983368_Table2</v>
      </c>
      <c r="M70" s="1" t="str">
        <f t="array" ref="M70">IFERROR(INDEX(FileList!$A$1:$A$1000,MATCH(TRUE(),EXACT(L70,IFERROR(_xlfn.TEXTBEFORE(FileList!$A$1:$A$1000,".tsv"),"")),0)),"notfound")</f>
        <v>notfound</v>
      </c>
    </row>
    <row r="71" spans="1:39" ht="16.5" customHeight="1" x14ac:dyDescent="0.2">
      <c r="A71" s="3" t="s">
        <v>316</v>
      </c>
      <c r="C71" s="3" t="s">
        <v>317</v>
      </c>
      <c r="D71" s="3" t="s">
        <v>76</v>
      </c>
      <c r="E71" s="1" t="str">
        <f t="shared" si="24"/>
        <v>3</v>
      </c>
      <c r="F71" s="1" t="str">
        <f t="shared" si="25"/>
        <v>Frahm_etal_1997</v>
      </c>
      <c r="G71" s="1" t="str">
        <f t="shared" si="26"/>
        <v>Frahm</v>
      </c>
      <c r="H71" s="1" t="str">
        <f t="shared" si="27"/>
        <v>etal</v>
      </c>
      <c r="I71" s="1" t="str">
        <f t="shared" si="28"/>
        <v>1997</v>
      </c>
      <c r="J71" s="1" t="str">
        <f t="shared" si="29"/>
        <v>PMID%3A9176733</v>
      </c>
      <c r="K71" s="1" t="str">
        <f t="shared" si="30"/>
        <v>Frahm_etal_1997_Table1</v>
      </c>
      <c r="L71" s="1" t="str">
        <f t="shared" si="31"/>
        <v>PMID%3A9176733_Table1</v>
      </c>
      <c r="M71" s="1" t="str">
        <f t="array" ref="M71">IFERROR(INDEX(FileList!$A$1:$A$1000,MATCH(TRUE(),EXACT(L71,IFERROR(_xlfn.TEXTBEFORE(FileList!$A$1:$A$1000,".tsv"),"")),0)),"notfound")</f>
        <v>PMID%3A9176733_Table1.tsv</v>
      </c>
      <c r="N71" s="3" t="s">
        <v>318</v>
      </c>
      <c r="V71" s="3" t="s">
        <v>41</v>
      </c>
      <c r="W71" s="3" t="s">
        <v>104</v>
      </c>
      <c r="Y71" s="3" t="s">
        <v>99</v>
      </c>
      <c r="Z71" s="3" t="s">
        <v>99</v>
      </c>
      <c r="AF71" s="3" t="s">
        <v>79</v>
      </c>
      <c r="AG71" s="3" t="s">
        <v>111</v>
      </c>
      <c r="AI71" s="3" t="s">
        <v>319</v>
      </c>
      <c r="AJ71" s="3" t="s">
        <v>101</v>
      </c>
      <c r="AK71" s="3" t="s">
        <v>62</v>
      </c>
      <c r="AL71" s="3" t="s">
        <v>62</v>
      </c>
      <c r="AM71" s="3" t="s">
        <v>84</v>
      </c>
    </row>
    <row r="72" spans="1:39" ht="16.5" customHeight="1" x14ac:dyDescent="0.2">
      <c r="A72" s="3" t="s">
        <v>320</v>
      </c>
      <c r="C72" s="3" t="s">
        <v>321</v>
      </c>
      <c r="D72" s="3" t="s">
        <v>76</v>
      </c>
      <c r="E72" s="1" t="str">
        <f t="shared" si="24"/>
        <v>9</v>
      </c>
      <c r="F72" s="1" t="str">
        <f t="shared" si="25"/>
        <v>Frahm_etal_1984</v>
      </c>
      <c r="G72" s="1" t="str">
        <f t="shared" si="26"/>
        <v>Frahm</v>
      </c>
      <c r="H72" s="1" t="str">
        <f t="shared" si="27"/>
        <v>etal</v>
      </c>
      <c r="I72" s="1" t="str">
        <f t="shared" si="28"/>
        <v>1984</v>
      </c>
      <c r="J72" s="1" t="str">
        <f t="shared" si="29"/>
        <v>PMID%3A6501869</v>
      </c>
      <c r="K72" s="1" t="str">
        <f t="shared" si="30"/>
        <v>Frahm_etal_1984_Table1</v>
      </c>
      <c r="L72" s="1" t="str">
        <f t="shared" si="31"/>
        <v>PMID%3A6501869_Table1</v>
      </c>
      <c r="M72" s="1" t="str">
        <f t="array" ref="M72">IFERROR(INDEX(FileList!$A$1:$A$1000,MATCH(TRUE(),EXACT(L72,IFERROR(_xlfn.TEXTBEFORE(FileList!$A$1:$A$1000,".tsv"),"")),0)),"notfound")</f>
        <v>PMID%3A6501869_Table1.tsv</v>
      </c>
      <c r="N72" s="3" t="s">
        <v>322</v>
      </c>
      <c r="V72" s="3" t="s">
        <v>41</v>
      </c>
      <c r="W72" s="3" t="s">
        <v>104</v>
      </c>
      <c r="Y72" s="3" t="s">
        <v>99</v>
      </c>
      <c r="Z72" s="3" t="s">
        <v>99</v>
      </c>
      <c r="AF72" s="3" t="s">
        <v>79</v>
      </c>
      <c r="AG72" s="3" t="s">
        <v>111</v>
      </c>
      <c r="AI72" s="3" t="s">
        <v>323</v>
      </c>
      <c r="AJ72" s="3" t="s">
        <v>101</v>
      </c>
      <c r="AK72" s="3" t="s">
        <v>62</v>
      </c>
      <c r="AL72" s="3" t="s">
        <v>62</v>
      </c>
      <c r="AM72" s="3" t="s">
        <v>84</v>
      </c>
    </row>
    <row r="73" spans="1:39" ht="16.5" customHeight="1" x14ac:dyDescent="0.2">
      <c r="A73" s="3" t="s">
        <v>324</v>
      </c>
      <c r="C73" s="3" t="s">
        <v>325</v>
      </c>
      <c r="D73" s="3" t="s">
        <v>118</v>
      </c>
      <c r="E73" s="1" t="str">
        <f t="shared" si="24"/>
        <v>7</v>
      </c>
      <c r="F73" s="1" t="str">
        <f t="shared" si="25"/>
        <v>Frahm_etal_1982</v>
      </c>
      <c r="G73" s="1" t="str">
        <f t="shared" si="26"/>
        <v>Frahm</v>
      </c>
      <c r="H73" s="1" t="str">
        <f t="shared" si="27"/>
        <v>etal</v>
      </c>
      <c r="I73" s="1" t="str">
        <f t="shared" si="28"/>
        <v>1982</v>
      </c>
      <c r="J73" s="1" t="str">
        <f t="shared" si="29"/>
        <v>PMID%3A7161477</v>
      </c>
      <c r="K73" s="1" t="str">
        <f t="shared" si="30"/>
        <v>Frahm_etal_1982_Table2</v>
      </c>
      <c r="L73" s="1" t="str">
        <f t="shared" si="31"/>
        <v>PMID%3A7161477_Table2</v>
      </c>
      <c r="M73" s="1" t="str">
        <f t="array" ref="M73">IFERROR(INDEX(FileList!$A$1:$A$1000,MATCH(TRUE(),EXACT(L73,IFERROR(_xlfn.TEXTBEFORE(FileList!$A$1:$A$1000,".tsv"),"")),0)),"notfound")</f>
        <v>PMID%3A7161477_Table2.tsv</v>
      </c>
      <c r="N73" s="3" t="s">
        <v>326</v>
      </c>
      <c r="V73" s="3" t="s">
        <v>41</v>
      </c>
      <c r="W73" s="3" t="s">
        <v>104</v>
      </c>
      <c r="Y73" s="3" t="s">
        <v>99</v>
      </c>
      <c r="Z73" s="3" t="s">
        <v>99</v>
      </c>
      <c r="AF73" s="3" t="s">
        <v>79</v>
      </c>
      <c r="AG73" s="3" t="s">
        <v>111</v>
      </c>
      <c r="AI73" s="3" t="s">
        <v>327</v>
      </c>
      <c r="AJ73" s="3" t="s">
        <v>101</v>
      </c>
      <c r="AK73" s="3" t="s">
        <v>62</v>
      </c>
      <c r="AL73" s="3" t="s">
        <v>62</v>
      </c>
      <c r="AM73" s="3" t="s">
        <v>84</v>
      </c>
    </row>
    <row r="74" spans="1:39" ht="15.75" customHeight="1" x14ac:dyDescent="0.2">
      <c r="A74" s="3" t="s">
        <v>328</v>
      </c>
      <c r="C74" s="3" t="s">
        <v>329</v>
      </c>
      <c r="D74" s="3" t="s">
        <v>76</v>
      </c>
      <c r="E74" s="1" t="str">
        <f t="shared" si="24"/>
        <v>0</v>
      </c>
      <c r="F74" s="1" t="str">
        <f t="shared" si="25"/>
        <v>Frahm_etal_1998</v>
      </c>
      <c r="G74" s="1" t="str">
        <f t="shared" si="26"/>
        <v>Frahm</v>
      </c>
      <c r="H74" s="1" t="str">
        <f t="shared" si="27"/>
        <v>etal</v>
      </c>
      <c r="I74" s="1" t="str">
        <f t="shared" si="28"/>
        <v>1998</v>
      </c>
      <c r="J74" s="1" t="str">
        <f t="shared" si="29"/>
        <v>PMID%3A9672110</v>
      </c>
      <c r="K74" s="1" t="str">
        <f t="shared" si="30"/>
        <v>Frahm_etal_1998_Table1</v>
      </c>
      <c r="L74" s="1" t="str">
        <f t="shared" si="31"/>
        <v>PMID%3A9672110_Table1</v>
      </c>
      <c r="M74" s="1" t="str">
        <f t="array" ref="M74">IFERROR(INDEX(FileList!$A$1:$A$1000,MATCH(TRUE(),EXACT(L74,IFERROR(_xlfn.TEXTBEFORE(FileList!$A$1:$A$1000,".tsv"),"")),0)),"notfound")</f>
        <v>PMID%3A9672110_Table1.tsv</v>
      </c>
      <c r="N74" s="3" t="s">
        <v>330</v>
      </c>
      <c r="V74" s="3" t="s">
        <v>41</v>
      </c>
      <c r="W74" s="3" t="s">
        <v>104</v>
      </c>
      <c r="Y74" s="3" t="s">
        <v>99</v>
      </c>
      <c r="Z74" s="3" t="s">
        <v>99</v>
      </c>
      <c r="AF74" s="3" t="s">
        <v>79</v>
      </c>
      <c r="AG74" s="3" t="s">
        <v>111</v>
      </c>
      <c r="AI74" s="3" t="s">
        <v>331</v>
      </c>
      <c r="AJ74" s="3" t="s">
        <v>101</v>
      </c>
      <c r="AK74" s="3" t="s">
        <v>62</v>
      </c>
      <c r="AL74" s="3" t="s">
        <v>62</v>
      </c>
      <c r="AM74" s="3" t="s">
        <v>84</v>
      </c>
    </row>
    <row r="75" spans="1:39" ht="15.75" customHeight="1" x14ac:dyDescent="0.2">
      <c r="A75" s="4" t="s">
        <v>847</v>
      </c>
      <c r="D75" s="4" t="s">
        <v>848</v>
      </c>
      <c r="E75" s="1" t="str">
        <f t="shared" si="24"/>
        <v>4</v>
      </c>
      <c r="F75" s="1" t="str">
        <f t="shared" si="25"/>
        <v>Fritsches_etal_2005</v>
      </c>
      <c r="G75" s="1" t="str">
        <f t="shared" si="26"/>
        <v>Fritsches</v>
      </c>
      <c r="H75" s="1" t="str">
        <f t="shared" si="27"/>
        <v>etal</v>
      </c>
      <c r="I75" s="1" t="str">
        <f t="shared" si="28"/>
        <v>2005</v>
      </c>
      <c r="J75" s="1" t="str">
        <f t="shared" si="29"/>
        <v>10.1016%2Fj.cub.2004.12.064</v>
      </c>
      <c r="K75" s="1" t="str">
        <f t="shared" si="30"/>
        <v>Fritsches_etal_2005_Fig2</v>
      </c>
      <c r="L75" s="1" t="str">
        <f t="shared" si="31"/>
        <v>10.1016%2Fj.cub.2004.12.064_Fig2</v>
      </c>
      <c r="M75" s="1" t="str">
        <f t="array" ref="M75">IFERROR(INDEX(FileList!$A$1:$A$1000,MATCH(TRUE(),EXACT(L75,IFERROR(_xlfn.TEXTBEFORE(FileList!$A$1:$A$1000,".tsv"),"")),0)),"notfound")</f>
        <v>10.1016%2Fj.cub.2004.12.064_Fig2.tsv</v>
      </c>
    </row>
    <row r="76" spans="1:39" ht="15.75" customHeight="1" x14ac:dyDescent="0.2">
      <c r="A76" s="3" t="s">
        <v>332</v>
      </c>
      <c r="D76" s="3" t="s">
        <v>76</v>
      </c>
      <c r="E76" s="1" t="str">
        <f t="shared" si="24"/>
        <v>x</v>
      </c>
      <c r="F76" s="1" t="str">
        <f t="shared" si="25"/>
        <v>Fu_etal_2013</v>
      </c>
      <c r="G76" s="1" t="str">
        <f t="shared" si="26"/>
        <v>Fu</v>
      </c>
      <c r="H76" s="1" t="str">
        <f t="shared" si="27"/>
        <v>etal</v>
      </c>
      <c r="I76" s="1" t="str">
        <f t="shared" si="28"/>
        <v>2013</v>
      </c>
      <c r="J76" s="1" t="str">
        <f t="shared" si="29"/>
        <v>10.1007%2Fs00429-012-0462-x</v>
      </c>
      <c r="K76" s="1" t="str">
        <f t="shared" si="30"/>
        <v>Fu_etal_2013_Table1</v>
      </c>
      <c r="L76" s="1" t="str">
        <f t="shared" si="31"/>
        <v>10.1007%2Fs00429-012-0462-x_Table1</v>
      </c>
      <c r="M76" s="1" t="str">
        <f t="array" ref="M76">IFERROR(INDEX(FileList!$A$1:$A$1000,MATCH(TRUE(),EXACT(L76,IFERROR(_xlfn.TEXTBEFORE(FileList!$A$1:$A$1000,".tsv"),"")),0)),"notfound")</f>
        <v>notfound</v>
      </c>
      <c r="N76" s="3" t="s">
        <v>333</v>
      </c>
      <c r="P76" s="3" t="s">
        <v>334</v>
      </c>
      <c r="AA76" s="3" t="s">
        <v>147</v>
      </c>
      <c r="AJ76" s="3" t="s">
        <v>42</v>
      </c>
      <c r="AK76" s="3" t="s">
        <v>335</v>
      </c>
      <c r="AL76" s="3" t="s">
        <v>42</v>
      </c>
      <c r="AM76" s="3" t="s">
        <v>42</v>
      </c>
    </row>
    <row r="77" spans="1:39" ht="15.75" customHeight="1" x14ac:dyDescent="0.2">
      <c r="A77" s="3" t="s">
        <v>839</v>
      </c>
      <c r="D77" s="4" t="s">
        <v>197</v>
      </c>
      <c r="E77" s="1" t="str">
        <f t="shared" si="24"/>
        <v>3</v>
      </c>
      <c r="F77" s="1" t="str">
        <f t="shared" si="25"/>
        <v>Gabi_etal_2016</v>
      </c>
      <c r="G77" s="1" t="str">
        <f t="shared" si="26"/>
        <v>Gabi</v>
      </c>
      <c r="H77" s="1" t="str">
        <f t="shared" si="27"/>
        <v>etal</v>
      </c>
      <c r="I77" s="1" t="str">
        <f t="shared" si="28"/>
        <v>2016</v>
      </c>
      <c r="J77" s="1" t="str">
        <f t="shared" si="29"/>
        <v>10.1073%2Fpnas.1610178113</v>
      </c>
      <c r="K77" s="1" t="str">
        <f t="shared" si="30"/>
        <v>Gabi_etal_2016_TableS1</v>
      </c>
      <c r="L77" s="1" t="str">
        <f t="shared" si="31"/>
        <v>10.1073%2Fpnas.1610178113_TableS1</v>
      </c>
      <c r="M77" s="1" t="str">
        <f t="array" ref="M77">IFERROR(INDEX(FileList!$A$1:$A$1000,MATCH(TRUE(),EXACT(L77,IFERROR(_xlfn.TEXTBEFORE(FileList!$A$1:$A$1000,".tsv"),"")),0)),"notfound")</f>
        <v>10.1073%2Fpnas.1610178113_TableS1.tsv</v>
      </c>
      <c r="P77" t="s">
        <v>40</v>
      </c>
      <c r="R77" t="s">
        <v>1012</v>
      </c>
      <c r="T77" t="s">
        <v>1013</v>
      </c>
      <c r="U77" t="s">
        <v>1014</v>
      </c>
      <c r="V77" t="s">
        <v>41</v>
      </c>
      <c r="Y77" t="s">
        <v>57</v>
      </c>
      <c r="AB77" t="s">
        <v>1015</v>
      </c>
      <c r="AI77" t="s">
        <v>1016</v>
      </c>
      <c r="AJ77" t="s">
        <v>1017</v>
      </c>
      <c r="AK77" t="s">
        <v>62</v>
      </c>
      <c r="AL77" t="s">
        <v>62</v>
      </c>
      <c r="AM77" t="s">
        <v>1018</v>
      </c>
    </row>
    <row r="78" spans="1:39" ht="15.75" customHeight="1" x14ac:dyDescent="0.2">
      <c r="A78" s="3" t="s">
        <v>336</v>
      </c>
      <c r="D78" s="3" t="s">
        <v>197</v>
      </c>
      <c r="E78" s="1" t="str">
        <f t="shared" si="24"/>
        <v>6</v>
      </c>
      <c r="F78" s="1" t="str">
        <f t="shared" si="25"/>
        <v>Garwicz_etal_2009</v>
      </c>
      <c r="G78" s="1" t="str">
        <f t="shared" si="26"/>
        <v>Garwicz</v>
      </c>
      <c r="H78" s="1" t="str">
        <f t="shared" si="27"/>
        <v>etal</v>
      </c>
      <c r="I78" s="1" t="str">
        <f t="shared" si="28"/>
        <v>2009</v>
      </c>
      <c r="J78" s="1" t="str">
        <f t="shared" si="29"/>
        <v>10.1073%2Fpnas.0905777106</v>
      </c>
      <c r="K78" s="1" t="str">
        <f t="shared" si="30"/>
        <v>Garwicz_etal_2009_TableS1</v>
      </c>
      <c r="L78" s="1" t="str">
        <f t="shared" si="31"/>
        <v>10.1073%2Fpnas.0905777106_TableS1</v>
      </c>
      <c r="M78" s="1" t="str">
        <f t="array" ref="M78">IFERROR(INDEX(FileList!$A$1:$A$1000,MATCH(TRUE(),EXACT(L78,IFERROR(_xlfn.TEXTBEFORE(FileList!$A$1:$A$1000,".tsv"),"")),0)),"notfound")</f>
        <v>10.1073%2Fpnas.0905777106_TableS1.tsv</v>
      </c>
      <c r="N78" s="3" t="s">
        <v>337</v>
      </c>
      <c r="U78" s="3" t="s">
        <v>54</v>
      </c>
      <c r="W78" s="3" t="s">
        <v>183</v>
      </c>
      <c r="X78" s="3" t="s">
        <v>338</v>
      </c>
      <c r="AJ78" s="3" t="s">
        <v>139</v>
      </c>
      <c r="AL78" s="3" t="s">
        <v>140</v>
      </c>
      <c r="AM78" s="3" t="s">
        <v>339</v>
      </c>
    </row>
    <row r="79" spans="1:39" ht="15.75" customHeight="1" x14ac:dyDescent="0.2">
      <c r="A79" s="3" t="s">
        <v>336</v>
      </c>
      <c r="D79" s="3" t="s">
        <v>340</v>
      </c>
      <c r="E79" s="1" t="str">
        <f t="shared" si="24"/>
        <v>6</v>
      </c>
      <c r="F79" s="1" t="str">
        <f t="shared" si="25"/>
        <v>Garwicz_etal_2009</v>
      </c>
      <c r="G79" s="1" t="str">
        <f t="shared" si="26"/>
        <v>Garwicz</v>
      </c>
      <c r="H79" s="1" t="str">
        <f t="shared" si="27"/>
        <v>etal</v>
      </c>
      <c r="I79" s="1" t="str">
        <f t="shared" si="28"/>
        <v>2009</v>
      </c>
      <c r="J79" s="1" t="str">
        <f t="shared" si="29"/>
        <v>10.1073%2Fpnas.0905777106</v>
      </c>
      <c r="K79" s="1" t="str">
        <f t="shared" si="30"/>
        <v>Garwicz_etal_2009_TableS2</v>
      </c>
      <c r="L79" s="1" t="str">
        <f t="shared" si="31"/>
        <v>10.1073%2Fpnas.0905777106_TableS2</v>
      </c>
      <c r="M79" s="1" t="str">
        <f t="array" ref="M79">IFERROR(INDEX(FileList!$A$1:$A$1000,MATCH(TRUE(),EXACT(L79,IFERROR(_xlfn.TEXTBEFORE(FileList!$A$1:$A$1000,".tsv"),"")),0)),"notfound")</f>
        <v>notfound</v>
      </c>
      <c r="N79" s="3" t="s">
        <v>341</v>
      </c>
      <c r="U79" s="3" t="s">
        <v>54</v>
      </c>
      <c r="W79" s="3" t="s">
        <v>183</v>
      </c>
      <c r="X79" s="3" t="s">
        <v>338</v>
      </c>
      <c r="AJ79" s="3" t="s">
        <v>139</v>
      </c>
      <c r="AL79" s="3" t="s">
        <v>140</v>
      </c>
      <c r="AM79" s="3" t="s">
        <v>339</v>
      </c>
    </row>
    <row r="80" spans="1:39" ht="15.75" customHeight="1" x14ac:dyDescent="0.2">
      <c r="A80" s="3" t="s">
        <v>342</v>
      </c>
      <c r="D80" s="3" t="s">
        <v>340</v>
      </c>
      <c r="E80" s="1" t="str">
        <f t="shared" si="24"/>
        <v>0</v>
      </c>
      <c r="F80" s="1" t="str">
        <f t="shared" si="25"/>
        <v>Genoud_etal_2018</v>
      </c>
      <c r="G80" s="1" t="str">
        <f t="shared" si="26"/>
        <v>Genoud</v>
      </c>
      <c r="H80" s="1" t="str">
        <f t="shared" si="27"/>
        <v>etal</v>
      </c>
      <c r="I80" s="1" t="str">
        <f t="shared" si="28"/>
        <v>2018</v>
      </c>
      <c r="J80" s="1" t="str">
        <f t="shared" si="29"/>
        <v>10.1111%2Fbrv.12350</v>
      </c>
      <c r="K80" s="1" t="str">
        <f t="shared" si="30"/>
        <v>Genoud_etal_2018_TableS2</v>
      </c>
      <c r="L80" s="1" t="str">
        <f t="shared" si="31"/>
        <v>10.1111%2Fbrv.12350_TableS2</v>
      </c>
      <c r="M80" s="1" t="str">
        <f t="array" ref="M80">IFERROR(INDEX(FileList!$A$1:$A$1000,MATCH(TRUE(),EXACT(L80,IFERROR(_xlfn.TEXTBEFORE(FileList!$A$1:$A$1000,".tsv"),"")),0)),"notfound")</f>
        <v>10.1111%2Fbrv.12350_TableS2.tsv</v>
      </c>
      <c r="N80" s="3" t="s">
        <v>343</v>
      </c>
      <c r="P80" s="3" t="s">
        <v>334</v>
      </c>
      <c r="AA80" s="3" t="s">
        <v>344</v>
      </c>
      <c r="AJ80" s="3" t="s">
        <v>42</v>
      </c>
      <c r="AL80" s="3" t="s">
        <v>140</v>
      </c>
      <c r="AM80" s="3" t="s">
        <v>42</v>
      </c>
    </row>
    <row r="81" spans="1:39" ht="15.75" customHeight="1" x14ac:dyDescent="0.2">
      <c r="A81" s="3" t="s">
        <v>345</v>
      </c>
      <c r="D81" s="3" t="s">
        <v>197</v>
      </c>
      <c r="E81" s="1" t="str">
        <f t="shared" si="24"/>
        <v>8</v>
      </c>
      <c r="F81" s="1" t="str">
        <f t="shared" si="25"/>
        <v>Granatosky__2018</v>
      </c>
      <c r="G81" s="1" t="str">
        <f t="shared" si="26"/>
        <v>Granatosky</v>
      </c>
      <c r="H81" s="1" t="str">
        <f t="shared" si="27"/>
        <v/>
      </c>
      <c r="I81" s="1" t="str">
        <f t="shared" si="28"/>
        <v>2018</v>
      </c>
      <c r="J81" s="1" t="str">
        <f t="shared" si="29"/>
        <v>10.1111%2Fjzo.12608</v>
      </c>
      <c r="K81" s="1" t="str">
        <f t="shared" si="30"/>
        <v>Granatosky__2018_TableS1</v>
      </c>
      <c r="L81" s="1" t="str">
        <f t="shared" si="31"/>
        <v>10.1111%2Fjzo.12608_TableS1</v>
      </c>
      <c r="M81" s="1" t="str">
        <f t="array" ref="M81">IFERROR(INDEX(FileList!$A$1:$A$1000,MATCH(TRUE(),EXACT(L81,IFERROR(_xlfn.TEXTBEFORE(FileList!$A$1:$A$1000,".tsv"),"")),0)),"notfound")</f>
        <v>10.1111%2Fjzo.12608_TableS1.tsv</v>
      </c>
      <c r="N81" s="3" t="s">
        <v>346</v>
      </c>
      <c r="P81" s="3" t="s">
        <v>334</v>
      </c>
      <c r="X81" s="3" t="s">
        <v>347</v>
      </c>
      <c r="AJ81" s="3" t="s">
        <v>139</v>
      </c>
      <c r="AL81" s="3" t="s">
        <v>140</v>
      </c>
      <c r="AM81" s="3" t="s">
        <v>348</v>
      </c>
    </row>
    <row r="82" spans="1:39" ht="15.75" customHeight="1" x14ac:dyDescent="0.2">
      <c r="A82" s="3" t="s">
        <v>349</v>
      </c>
      <c r="D82" s="3" t="s">
        <v>350</v>
      </c>
      <c r="E82" s="1" t="str">
        <f t="shared" si="24"/>
        <v>7</v>
      </c>
      <c r="F82" s="1" t="str">
        <f t="shared" si="25"/>
        <v>Haarlem_etal_2026</v>
      </c>
      <c r="G82" s="1" t="str">
        <f t="shared" si="26"/>
        <v>Haarlem</v>
      </c>
      <c r="H82" s="1" t="str">
        <f t="shared" si="27"/>
        <v>etal</v>
      </c>
      <c r="I82" s="1" t="str">
        <f t="shared" si="28"/>
        <v>2026</v>
      </c>
      <c r="J82" s="1" t="str">
        <f t="shared" si="29"/>
        <v>10.1038%2Fs41559-026-02994-7</v>
      </c>
      <c r="K82" s="1" t="str">
        <f t="shared" si="30"/>
        <v>Haarlem_etal_2026_CFFdataset</v>
      </c>
      <c r="L82" s="1" t="str">
        <f t="shared" si="31"/>
        <v>10.1038%2Fs41559-026-02994-7_CFFdataset</v>
      </c>
      <c r="M82" s="1" t="str">
        <f t="array" ref="M82">IFERROR(INDEX(FileList!$A$1:$A$1000,MATCH(TRUE(),EXACT(L82,IFERROR(_xlfn.TEXTBEFORE(FileList!$A$1:$A$1000,".tsv"),"")),0)),"notfound")</f>
        <v>notfound</v>
      </c>
      <c r="N82" s="3" t="s">
        <v>350</v>
      </c>
      <c r="X82" s="3" t="s">
        <v>347</v>
      </c>
      <c r="AJ82" s="3" t="s">
        <v>42</v>
      </c>
      <c r="AL82" s="3" t="s">
        <v>42</v>
      </c>
      <c r="AM82" s="3" t="s">
        <v>42</v>
      </c>
    </row>
    <row r="83" spans="1:39" ht="15.75" customHeight="1" x14ac:dyDescent="0.2">
      <c r="A83" s="3" t="s">
        <v>351</v>
      </c>
      <c r="D83" s="3" t="s">
        <v>352</v>
      </c>
      <c r="E83" s="1" t="str">
        <f t="shared" si="24"/>
        <v>4</v>
      </c>
      <c r="F83" s="1" t="str">
        <f t="shared" si="25"/>
        <v>Heffner_Masterton_1983</v>
      </c>
      <c r="G83" s="1" t="str">
        <f t="shared" si="26"/>
        <v>Heffner</v>
      </c>
      <c r="H83" s="1" t="str">
        <f t="shared" si="27"/>
        <v>Masterton</v>
      </c>
      <c r="I83" s="1" t="str">
        <f t="shared" si="28"/>
        <v>1983</v>
      </c>
      <c r="J83" s="1" t="str">
        <f t="shared" si="29"/>
        <v>10.1159%2F000121494</v>
      </c>
      <c r="K83" s="1" t="str">
        <f t="shared" si="30"/>
        <v>Heffner_Masterton_1983_TableI</v>
      </c>
      <c r="L83" s="1" t="str">
        <f t="shared" si="31"/>
        <v>10.1159%2F000121494_TableI</v>
      </c>
      <c r="M83" s="1" t="str">
        <f t="array" ref="M83">IFERROR(INDEX(FileList!$A$1:$A$1000,MATCH(TRUE(),EXACT(L83,IFERROR(_xlfn.TEXTBEFORE(FileList!$A$1:$A$1000,".tsv"),"")),0)),"notfound")</f>
        <v>10.1159%2F000121494_TableI.tsv</v>
      </c>
      <c r="P83" s="3" t="s">
        <v>334</v>
      </c>
      <c r="Q83" s="3" t="s">
        <v>201</v>
      </c>
      <c r="T83" s="3" t="str">
        <f>IF(S83="N", R83, "write file name")</f>
        <v>write file name</v>
      </c>
      <c r="U83" s="3" t="s">
        <v>54</v>
      </c>
      <c r="V83" s="3" t="s">
        <v>41</v>
      </c>
      <c r="W83" s="3" t="s">
        <v>205</v>
      </c>
      <c r="X83" s="3" t="s">
        <v>347</v>
      </c>
      <c r="AD83" s="3" t="s">
        <v>353</v>
      </c>
      <c r="AH83" s="3" t="s">
        <v>137</v>
      </c>
      <c r="AI83" s="3" t="s">
        <v>354</v>
      </c>
      <c r="AJ83" s="3" t="s">
        <v>139</v>
      </c>
      <c r="AL83" s="3" t="s">
        <v>140</v>
      </c>
      <c r="AM83" s="3" t="s">
        <v>355</v>
      </c>
    </row>
    <row r="84" spans="1:39" ht="15.75" customHeight="1" x14ac:dyDescent="0.2">
      <c r="A84" s="3" t="s">
        <v>356</v>
      </c>
      <c r="D84" s="3" t="s">
        <v>352</v>
      </c>
      <c r="E84" s="1" t="str">
        <f t="shared" si="24"/>
        <v>1</v>
      </c>
      <c r="F84" s="1" t="str">
        <f t="shared" si="25"/>
        <v>Heffner_Masterton_1975</v>
      </c>
      <c r="G84" s="1" t="str">
        <f t="shared" si="26"/>
        <v>Heffner</v>
      </c>
      <c r="H84" s="1" t="str">
        <f t="shared" si="27"/>
        <v>Masterton</v>
      </c>
      <c r="I84" s="1" t="str">
        <f t="shared" si="28"/>
        <v>1975</v>
      </c>
      <c r="J84" s="1" t="str">
        <f t="shared" si="29"/>
        <v>10.1159%2F000124401</v>
      </c>
      <c r="K84" s="1" t="str">
        <f t="shared" si="30"/>
        <v>Heffner_Masterton_1975_TableI</v>
      </c>
      <c r="L84" s="1" t="str">
        <f t="shared" si="31"/>
        <v>10.1159%2F000124401_TableI</v>
      </c>
      <c r="M84" s="1" t="str">
        <f t="array" ref="M84">IFERROR(INDEX(FileList!$A$1:$A$1000,MATCH(TRUE(),EXACT(L84,IFERROR(_xlfn.TEXTBEFORE(FileList!$A$1:$A$1000,".tsv"),"")),0)),"notfound")</f>
        <v>10.1159%2F000124401_TableI.tsv</v>
      </c>
      <c r="P84" s="3" t="s">
        <v>40</v>
      </c>
      <c r="Q84" s="3" t="s">
        <v>50</v>
      </c>
      <c r="R84" s="3" t="s">
        <v>357</v>
      </c>
      <c r="S84" s="3" t="s">
        <v>52</v>
      </c>
      <c r="T84" s="3" t="s">
        <v>358</v>
      </c>
      <c r="U84" s="3" t="s">
        <v>54</v>
      </c>
      <c r="V84" s="3" t="s">
        <v>41</v>
      </c>
      <c r="W84" s="3" t="s">
        <v>205</v>
      </c>
      <c r="X84" s="3" t="s">
        <v>347</v>
      </c>
      <c r="AA84" s="3" t="s">
        <v>359</v>
      </c>
      <c r="AH84" s="3" t="s">
        <v>137</v>
      </c>
      <c r="AI84" s="3" t="s">
        <v>354</v>
      </c>
      <c r="AJ84" s="3" t="s">
        <v>139</v>
      </c>
      <c r="AK84" s="3" t="s">
        <v>360</v>
      </c>
      <c r="AL84" s="3" t="s">
        <v>361</v>
      </c>
      <c r="AM84" s="3" t="s">
        <v>362</v>
      </c>
    </row>
    <row r="85" spans="1:39" ht="15.75" customHeight="1" x14ac:dyDescent="0.2">
      <c r="A85" s="3" t="s">
        <v>363</v>
      </c>
      <c r="C85" s="3" t="s">
        <v>364</v>
      </c>
      <c r="D85" s="3" t="s">
        <v>48</v>
      </c>
      <c r="E85" s="1" t="str">
        <f t="shared" si="24"/>
        <v>8</v>
      </c>
      <c r="F85" s="1" t="str">
        <f t="shared" si="25"/>
        <v>Heiss_etal_2004</v>
      </c>
      <c r="G85" s="1" t="str">
        <f t="shared" si="26"/>
        <v>Heiss</v>
      </c>
      <c r="H85" s="1" t="str">
        <f t="shared" si="27"/>
        <v>etal</v>
      </c>
      <c r="I85" s="1" t="str">
        <f t="shared" si="28"/>
        <v>2004</v>
      </c>
      <c r="J85" s="1" t="str">
        <f t="shared" si="29"/>
        <v>PMID%3A15534048</v>
      </c>
      <c r="K85" s="1" t="str">
        <f t="shared" si="30"/>
        <v>Heiss_etal_2004_TABLE1</v>
      </c>
      <c r="L85" s="1" t="str">
        <f t="shared" si="31"/>
        <v>PMID%3A15534048_TABLE1</v>
      </c>
      <c r="M85" s="1" t="str">
        <f t="array" ref="M85">IFERROR(INDEX(FileList!$A$1:$A$1000,MATCH(TRUE(),EXACT(L85,IFERROR(_xlfn.TEXTBEFORE(FileList!$A$1:$A$1000,".tsv"),"")),0)),"notfound")</f>
        <v>PMID%3A15534048_TABLE1.tsv</v>
      </c>
      <c r="N85" s="3" t="s">
        <v>365</v>
      </c>
      <c r="X85" s="3" t="s">
        <v>347</v>
      </c>
      <c r="AI85" s="3" t="s">
        <v>366</v>
      </c>
      <c r="AJ85" s="3" t="s">
        <v>367</v>
      </c>
      <c r="AL85" s="3" t="s">
        <v>62</v>
      </c>
      <c r="AM85" s="3" t="s">
        <v>368</v>
      </c>
    </row>
    <row r="86" spans="1:39" ht="15.75" customHeight="1" x14ac:dyDescent="0.2">
      <c r="A86" s="3" t="s">
        <v>369</v>
      </c>
      <c r="D86" s="3" t="s">
        <v>197</v>
      </c>
      <c r="E86" s="1" t="str">
        <f t="shared" si="24"/>
        <v>8</v>
      </c>
      <c r="F86" s="1" t="str">
        <f t="shared" si="25"/>
        <v>Heldstab_etal_2016</v>
      </c>
      <c r="G86" s="1" t="str">
        <f t="shared" si="26"/>
        <v>Heldstab</v>
      </c>
      <c r="H86" s="1" t="str">
        <f t="shared" si="27"/>
        <v>etal</v>
      </c>
      <c r="I86" s="1" t="str">
        <f t="shared" si="28"/>
        <v>2016</v>
      </c>
      <c r="J86" s="1" t="str">
        <f t="shared" si="29"/>
        <v>10.1038%2Fsrep24528</v>
      </c>
      <c r="K86" s="1" t="str">
        <f t="shared" si="30"/>
        <v>Heldstab_etal_2016_TableS1</v>
      </c>
      <c r="L86" s="1" t="str">
        <f t="shared" si="31"/>
        <v>10.1038%2Fsrep24528_TableS1</v>
      </c>
      <c r="M86" s="1" t="str">
        <f t="array" ref="M86">IFERROR(INDEX(FileList!$A$1:$A$1000,MATCH(TRUE(),EXACT(L86,IFERROR(_xlfn.TEXTBEFORE(FileList!$A$1:$A$1000,".tsv"),"")),0)),"notfound")</f>
        <v>10.1038%2Fsrep24528_TableS1.tsv</v>
      </c>
      <c r="P86" s="3" t="s">
        <v>334</v>
      </c>
      <c r="Q86" s="3" t="s">
        <v>201</v>
      </c>
      <c r="T86" s="3" t="str">
        <f>IF(S86="N", R86, "write file name")</f>
        <v>write file name</v>
      </c>
      <c r="U86" s="3" t="s">
        <v>54</v>
      </c>
      <c r="V86" s="3" t="s">
        <v>41</v>
      </c>
      <c r="X86" s="3" t="s">
        <v>347</v>
      </c>
      <c r="AH86" s="3" t="s">
        <v>176</v>
      </c>
      <c r="AI86" s="3" t="s">
        <v>370</v>
      </c>
      <c r="AJ86" s="3" t="s">
        <v>117</v>
      </c>
      <c r="AL86" s="3" t="s">
        <v>140</v>
      </c>
      <c r="AM86" s="3" t="s">
        <v>371</v>
      </c>
    </row>
    <row r="87" spans="1:39" ht="15.75" customHeight="1" x14ac:dyDescent="0.2">
      <c r="A87" s="3" t="s">
        <v>372</v>
      </c>
      <c r="D87" s="3" t="s">
        <v>76</v>
      </c>
      <c r="E87" s="1" t="str">
        <f t="shared" si="24"/>
        <v>3</v>
      </c>
      <c r="F87" s="1" t="str">
        <f t="shared" si="25"/>
        <v>HerculanoHouzel__2015</v>
      </c>
      <c r="G87" s="1" t="str">
        <f t="shared" si="26"/>
        <v>HerculanoHouzel</v>
      </c>
      <c r="H87" s="1" t="str">
        <f t="shared" si="27"/>
        <v/>
      </c>
      <c r="I87" s="1" t="str">
        <f t="shared" si="28"/>
        <v>2015</v>
      </c>
      <c r="J87" s="1" t="str">
        <f t="shared" si="29"/>
        <v>10.1098%2Frspb.2015.1853</v>
      </c>
      <c r="K87" s="1" t="str">
        <f t="shared" si="30"/>
        <v>HerculanoHouzel__2015_Table1</v>
      </c>
      <c r="L87" s="1" t="str">
        <f t="shared" si="31"/>
        <v>10.1098%2Frspb.2015.1853_Table1</v>
      </c>
      <c r="M87" s="1" t="str">
        <f t="array" ref="M87">IFERROR(INDEX(FileList!$A$1:$A$1000,MATCH(TRUE(),EXACT(L87,IFERROR(_xlfn.TEXTBEFORE(FileList!$A$1:$A$1000,".tsv"),"")),0)),"notfound")</f>
        <v>10.1098%2Frspb.2015.1853_Table1.tsv</v>
      </c>
      <c r="U87" s="3" t="s">
        <v>54</v>
      </c>
      <c r="V87" s="3" t="s">
        <v>41</v>
      </c>
      <c r="AI87" s="3" t="s">
        <v>373</v>
      </c>
      <c r="AJ87" s="3" t="s">
        <v>139</v>
      </c>
      <c r="AL87" s="3" t="s">
        <v>361</v>
      </c>
      <c r="AM87" s="3" t="s">
        <v>374</v>
      </c>
    </row>
    <row r="88" spans="1:39" ht="15.75" customHeight="1" x14ac:dyDescent="0.2">
      <c r="A88" s="3" t="s">
        <v>372</v>
      </c>
      <c r="D88" s="3" t="s">
        <v>118</v>
      </c>
      <c r="E88" s="1" t="str">
        <f t="shared" si="24"/>
        <v>3</v>
      </c>
      <c r="F88" s="1" t="str">
        <f t="shared" si="25"/>
        <v>HerculanoHouzel__2015</v>
      </c>
      <c r="G88" s="1" t="str">
        <f t="shared" si="26"/>
        <v>HerculanoHouzel</v>
      </c>
      <c r="H88" s="1" t="str">
        <f t="shared" si="27"/>
        <v/>
      </c>
      <c r="I88" s="1" t="str">
        <f t="shared" si="28"/>
        <v>2015</v>
      </c>
      <c r="J88" s="1" t="str">
        <f t="shared" si="29"/>
        <v>10.1098%2Frspb.2015.1853</v>
      </c>
      <c r="K88" s="1" t="str">
        <f t="shared" si="30"/>
        <v>HerculanoHouzel__2015_Table2</v>
      </c>
      <c r="L88" s="1" t="str">
        <f t="shared" si="31"/>
        <v>10.1098%2Frspb.2015.1853_Table2</v>
      </c>
      <c r="M88" s="1" t="str">
        <f t="array" ref="M88">IFERROR(INDEX(FileList!$A$1:$A$1000,MATCH(TRUE(),EXACT(L88,IFERROR(_xlfn.TEXTBEFORE(FileList!$A$1:$A$1000,".tsv"),"")),0)),"notfound")</f>
        <v>10.1098%2Frspb.2015.1853_Table2.tsv</v>
      </c>
      <c r="N88" s="3" t="s">
        <v>375</v>
      </c>
      <c r="U88" s="3" t="s">
        <v>54</v>
      </c>
      <c r="V88" s="3" t="s">
        <v>41</v>
      </c>
      <c r="AI88" s="3" t="s">
        <v>376</v>
      </c>
      <c r="AJ88" s="3" t="s">
        <v>139</v>
      </c>
      <c r="AK88" s="3" t="s">
        <v>140</v>
      </c>
      <c r="AL88" s="3" t="s">
        <v>361</v>
      </c>
      <c r="AM88" s="3" t="s">
        <v>377</v>
      </c>
    </row>
    <row r="89" spans="1:39" ht="15.75" customHeight="1" x14ac:dyDescent="0.2">
      <c r="A89" s="3" t="s">
        <v>378</v>
      </c>
      <c r="D89" s="3" t="s">
        <v>76</v>
      </c>
      <c r="E89" s="1" t="str">
        <f t="shared" si="24"/>
        <v>3</v>
      </c>
      <c r="F89" s="1" t="str">
        <f t="shared" si="25"/>
        <v>HerculanoHouzel_etal_2015</v>
      </c>
      <c r="G89" s="1" t="str">
        <f t="shared" si="26"/>
        <v>HerculanoHouzel</v>
      </c>
      <c r="H89" s="1" t="str">
        <f t="shared" si="27"/>
        <v>etal</v>
      </c>
      <c r="I89" s="1" t="str">
        <f t="shared" si="28"/>
        <v>2015</v>
      </c>
      <c r="J89" s="1" t="str">
        <f t="shared" si="29"/>
        <v>10.1159%2F000437413</v>
      </c>
      <c r="K89" s="1" t="str">
        <f t="shared" si="30"/>
        <v>HerculanoHouzel_etal_2015_Table1</v>
      </c>
      <c r="L89" s="1" t="str">
        <f t="shared" si="31"/>
        <v>10.1159%2F000437413_Table1</v>
      </c>
      <c r="M89" s="1" t="str">
        <f t="array" ref="M89">IFERROR(INDEX(FileList!$A$1:$A$1000,MATCH(TRUE(),EXACT(L89,IFERROR(_xlfn.TEXTBEFORE(FileList!$A$1:$A$1000,".tsv"),"")),0)),"notfound")</f>
        <v>10.1159%2F000437413_Table1.tsv</v>
      </c>
      <c r="N89" s="3" t="s">
        <v>379</v>
      </c>
      <c r="P89" s="3" t="s">
        <v>40</v>
      </c>
      <c r="Q89" s="3" t="s">
        <v>50</v>
      </c>
      <c r="R89" s="3" t="s">
        <v>380</v>
      </c>
      <c r="S89" s="3" t="s">
        <v>52</v>
      </c>
      <c r="T89" s="3" t="s">
        <v>381</v>
      </c>
      <c r="U89" s="3" t="s">
        <v>54</v>
      </c>
      <c r="V89" s="3" t="s">
        <v>41</v>
      </c>
      <c r="W89" s="3" t="s">
        <v>190</v>
      </c>
      <c r="X89" s="3" t="s">
        <v>347</v>
      </c>
      <c r="Y89" s="3" t="s">
        <v>57</v>
      </c>
      <c r="Z89" s="3" t="s">
        <v>57</v>
      </c>
      <c r="AC89" s="3" t="s">
        <v>382</v>
      </c>
      <c r="AG89" s="3" t="s">
        <v>58</v>
      </c>
      <c r="AH89" s="3" t="s">
        <v>59</v>
      </c>
      <c r="AI89" s="3" t="s">
        <v>278</v>
      </c>
      <c r="AJ89" s="3" t="s">
        <v>383</v>
      </c>
      <c r="AL89" s="3" t="s">
        <v>62</v>
      </c>
      <c r="AM89" s="3" t="s">
        <v>63</v>
      </c>
    </row>
    <row r="90" spans="1:39" ht="15.75" customHeight="1" x14ac:dyDescent="0.2">
      <c r="A90" s="3" t="s">
        <v>378</v>
      </c>
      <c r="D90" s="3" t="s">
        <v>118</v>
      </c>
      <c r="E90" s="1" t="str">
        <f t="shared" si="24"/>
        <v>3</v>
      </c>
      <c r="F90" s="1" t="str">
        <f t="shared" si="25"/>
        <v>HerculanoHouzel_etal_2015</v>
      </c>
      <c r="G90" s="1" t="str">
        <f t="shared" si="26"/>
        <v>HerculanoHouzel</v>
      </c>
      <c r="H90" s="1" t="str">
        <f t="shared" si="27"/>
        <v>etal</v>
      </c>
      <c r="I90" s="1" t="str">
        <f t="shared" si="28"/>
        <v>2015</v>
      </c>
      <c r="J90" s="1" t="str">
        <f t="shared" si="29"/>
        <v>10.1159%2F000437413</v>
      </c>
      <c r="K90" s="1" t="str">
        <f t="shared" si="30"/>
        <v>HerculanoHouzel_etal_2015_Table2</v>
      </c>
      <c r="L90" s="1" t="str">
        <f t="shared" si="31"/>
        <v>10.1159%2F000437413_Table2</v>
      </c>
      <c r="M90" s="1" t="str">
        <f t="array" ref="M90">IFERROR(INDEX(FileList!$A$1:$A$1000,MATCH(TRUE(),EXACT(L90,IFERROR(_xlfn.TEXTBEFORE(FileList!$A$1:$A$1000,".tsv"),"")),0)),"notfound")</f>
        <v>10.1159%2F000437413_Table2.tsv</v>
      </c>
      <c r="N90" s="3" t="s">
        <v>384</v>
      </c>
      <c r="P90" s="3" t="s">
        <v>40</v>
      </c>
      <c r="Q90" s="3" t="s">
        <v>50</v>
      </c>
      <c r="R90" s="3" t="s">
        <v>385</v>
      </c>
      <c r="S90" s="3" t="s">
        <v>52</v>
      </c>
      <c r="T90" s="3" t="s">
        <v>386</v>
      </c>
      <c r="U90" s="3" t="s">
        <v>54</v>
      </c>
      <c r="V90" s="3" t="s">
        <v>41</v>
      </c>
      <c r="W90" s="3" t="s">
        <v>190</v>
      </c>
      <c r="X90" s="3" t="s">
        <v>347</v>
      </c>
      <c r="Y90" s="3" t="s">
        <v>57</v>
      </c>
      <c r="Z90" s="3" t="s">
        <v>57</v>
      </c>
      <c r="AG90" s="3" t="s">
        <v>58</v>
      </c>
      <c r="AH90" s="3" t="s">
        <v>59</v>
      </c>
      <c r="AI90" s="3" t="s">
        <v>278</v>
      </c>
      <c r="AJ90" s="3" t="s">
        <v>383</v>
      </c>
      <c r="AL90" s="3" t="s">
        <v>62</v>
      </c>
      <c r="AM90" s="3" t="s">
        <v>63</v>
      </c>
    </row>
    <row r="91" spans="1:39" ht="15.75" customHeight="1" x14ac:dyDescent="0.2">
      <c r="A91" s="3" t="s">
        <v>378</v>
      </c>
      <c r="D91" s="3" t="s">
        <v>67</v>
      </c>
      <c r="E91" s="1" t="str">
        <f t="shared" si="24"/>
        <v>3</v>
      </c>
      <c r="F91" s="1" t="str">
        <f t="shared" si="25"/>
        <v>HerculanoHouzel_etal_2015</v>
      </c>
      <c r="G91" s="1" t="str">
        <f t="shared" si="26"/>
        <v>HerculanoHouzel</v>
      </c>
      <c r="H91" s="1" t="str">
        <f t="shared" si="27"/>
        <v>etal</v>
      </c>
      <c r="I91" s="1" t="str">
        <f t="shared" si="28"/>
        <v>2015</v>
      </c>
      <c r="J91" s="1" t="str">
        <f t="shared" si="29"/>
        <v>10.1159%2F000437413</v>
      </c>
      <c r="K91" s="1" t="str">
        <f t="shared" si="30"/>
        <v>HerculanoHouzel_etal_2015_Table3</v>
      </c>
      <c r="L91" s="1" t="str">
        <f t="shared" si="31"/>
        <v>10.1159%2F000437413_Table3</v>
      </c>
      <c r="M91" s="1" t="str">
        <f t="array" ref="M91">IFERROR(INDEX(FileList!$A$1:$A$1000,MATCH(TRUE(),EXACT(L91,IFERROR(_xlfn.TEXTBEFORE(FileList!$A$1:$A$1000,".tsv"),"")),0)),"notfound")</f>
        <v>10.1159%2F000437413_Table3.tsv</v>
      </c>
      <c r="N91" s="3" t="s">
        <v>387</v>
      </c>
      <c r="P91" s="3" t="s">
        <v>40</v>
      </c>
      <c r="Q91" s="3" t="s">
        <v>50</v>
      </c>
      <c r="R91" s="3" t="s">
        <v>388</v>
      </c>
      <c r="S91" s="3" t="s">
        <v>52</v>
      </c>
      <c r="T91" s="3" t="s">
        <v>389</v>
      </c>
      <c r="U91" s="3" t="s">
        <v>54</v>
      </c>
      <c r="V91" s="3" t="s">
        <v>41</v>
      </c>
      <c r="W91" s="3" t="s">
        <v>190</v>
      </c>
      <c r="X91" s="3" t="s">
        <v>347</v>
      </c>
      <c r="Y91" s="3" t="s">
        <v>57</v>
      </c>
      <c r="Z91" s="3" t="s">
        <v>57</v>
      </c>
      <c r="AG91" s="3" t="s">
        <v>58</v>
      </c>
      <c r="AH91" s="3" t="s">
        <v>59</v>
      </c>
      <c r="AI91" s="3" t="s">
        <v>278</v>
      </c>
      <c r="AJ91" s="3" t="s">
        <v>383</v>
      </c>
      <c r="AL91" s="3" t="s">
        <v>62</v>
      </c>
      <c r="AM91" s="3" t="s">
        <v>63</v>
      </c>
    </row>
    <row r="92" spans="1:39" ht="15.75" customHeight="1" x14ac:dyDescent="0.2">
      <c r="A92" s="3" t="s">
        <v>378</v>
      </c>
      <c r="D92" s="3" t="s">
        <v>39</v>
      </c>
      <c r="E92" s="1" t="str">
        <f t="shared" si="24"/>
        <v>3</v>
      </c>
      <c r="F92" s="1" t="str">
        <f t="shared" si="25"/>
        <v>HerculanoHouzel_etal_2015</v>
      </c>
      <c r="G92" s="1" t="str">
        <f t="shared" si="26"/>
        <v>HerculanoHouzel</v>
      </c>
      <c r="H92" s="1" t="str">
        <f t="shared" si="27"/>
        <v>etal</v>
      </c>
      <c r="I92" s="1" t="str">
        <f t="shared" si="28"/>
        <v>2015</v>
      </c>
      <c r="J92" s="1" t="str">
        <f t="shared" si="29"/>
        <v>10.1159%2F000437413</v>
      </c>
      <c r="K92" s="1" t="str">
        <f t="shared" si="30"/>
        <v>HerculanoHouzel_etal_2015_Table4</v>
      </c>
      <c r="L92" s="1" t="str">
        <f t="shared" si="31"/>
        <v>10.1159%2F000437413_Table4</v>
      </c>
      <c r="M92" s="1" t="str">
        <f t="array" ref="M92">IFERROR(INDEX(FileList!$A$1:$A$1000,MATCH(TRUE(),EXACT(L92,IFERROR(_xlfn.TEXTBEFORE(FileList!$A$1:$A$1000,".tsv"),"")),0)),"notfound")</f>
        <v>10.1159%2F000437413_Table4.tsv</v>
      </c>
      <c r="N92" s="3" t="s">
        <v>390</v>
      </c>
      <c r="P92" s="3" t="s">
        <v>40</v>
      </c>
      <c r="Q92" s="3" t="s">
        <v>50</v>
      </c>
      <c r="R92" s="3" t="s">
        <v>391</v>
      </c>
      <c r="S92" s="3" t="s">
        <v>52</v>
      </c>
      <c r="T92" s="3" t="s">
        <v>392</v>
      </c>
      <c r="U92" s="3" t="s">
        <v>54</v>
      </c>
      <c r="V92" s="3" t="s">
        <v>41</v>
      </c>
      <c r="W92" s="3" t="s">
        <v>190</v>
      </c>
      <c r="X92" s="3" t="s">
        <v>347</v>
      </c>
      <c r="Y92" s="3" t="s">
        <v>57</v>
      </c>
      <c r="Z92" s="3" t="s">
        <v>57</v>
      </c>
      <c r="AG92" s="3" t="s">
        <v>58</v>
      </c>
      <c r="AH92" s="3" t="s">
        <v>59</v>
      </c>
      <c r="AI92" s="3" t="s">
        <v>278</v>
      </c>
      <c r="AJ92" s="3" t="s">
        <v>383</v>
      </c>
      <c r="AL92" s="3" t="s">
        <v>62</v>
      </c>
      <c r="AM92" s="3" t="s">
        <v>63</v>
      </c>
    </row>
    <row r="93" spans="1:39" ht="15.75" customHeight="1" x14ac:dyDescent="0.2">
      <c r="A93" s="3" t="s">
        <v>378</v>
      </c>
      <c r="D93" s="3" t="s">
        <v>69</v>
      </c>
      <c r="E93" s="1" t="str">
        <f t="shared" si="24"/>
        <v>3</v>
      </c>
      <c r="F93" s="1" t="str">
        <f t="shared" si="25"/>
        <v>HerculanoHouzel_etal_2015</v>
      </c>
      <c r="G93" s="1" t="str">
        <f t="shared" si="26"/>
        <v>HerculanoHouzel</v>
      </c>
      <c r="H93" s="1" t="str">
        <f t="shared" si="27"/>
        <v>etal</v>
      </c>
      <c r="I93" s="1" t="str">
        <f t="shared" si="28"/>
        <v>2015</v>
      </c>
      <c r="J93" s="1" t="str">
        <f t="shared" si="29"/>
        <v>10.1159%2F000437413</v>
      </c>
      <c r="K93" s="1" t="str">
        <f t="shared" si="30"/>
        <v>HerculanoHouzel_etal_2015_Table5</v>
      </c>
      <c r="L93" s="1" t="str">
        <f t="shared" si="31"/>
        <v>10.1159%2F000437413_Table5</v>
      </c>
      <c r="M93" s="1" t="str">
        <f t="array" ref="M93">IFERROR(INDEX(FileList!$A$1:$A$1000,MATCH(TRUE(),EXACT(L93,IFERROR(_xlfn.TEXTBEFORE(FileList!$A$1:$A$1000,".tsv"),"")),0)),"notfound")</f>
        <v>10.1159%2F000437413_Table5.tsv</v>
      </c>
      <c r="N93" s="3" t="s">
        <v>393</v>
      </c>
      <c r="P93" s="3" t="s">
        <v>40</v>
      </c>
      <c r="Q93" s="3" t="s">
        <v>50</v>
      </c>
      <c r="R93" s="3" t="s">
        <v>394</v>
      </c>
      <c r="S93" s="3" t="s">
        <v>52</v>
      </c>
      <c r="T93" s="3" t="s">
        <v>395</v>
      </c>
      <c r="U93" s="3" t="s">
        <v>54</v>
      </c>
      <c r="V93" s="3" t="s">
        <v>41</v>
      </c>
      <c r="W93" s="3" t="s">
        <v>190</v>
      </c>
      <c r="X93" s="3" t="s">
        <v>347</v>
      </c>
      <c r="Y93" s="3" t="s">
        <v>57</v>
      </c>
      <c r="Z93" s="3" t="s">
        <v>57</v>
      </c>
      <c r="AG93" s="3" t="s">
        <v>58</v>
      </c>
      <c r="AH93" s="3" t="s">
        <v>59</v>
      </c>
      <c r="AI93" s="3" t="s">
        <v>278</v>
      </c>
      <c r="AJ93" s="3" t="s">
        <v>383</v>
      </c>
      <c r="AL93" s="3" t="s">
        <v>62</v>
      </c>
      <c r="AM93" s="3" t="s">
        <v>63</v>
      </c>
    </row>
    <row r="94" spans="1:39" ht="15.75" customHeight="1" x14ac:dyDescent="0.2">
      <c r="A94" s="3" t="s">
        <v>396</v>
      </c>
      <c r="D94" s="3" t="s">
        <v>48</v>
      </c>
      <c r="E94" s="1" t="str">
        <f t="shared" si="24"/>
        <v>5</v>
      </c>
      <c r="F94" s="1" t="str">
        <f t="shared" si="25"/>
        <v>HerculanoHouzel_etal_2020</v>
      </c>
      <c r="G94" s="1" t="str">
        <f t="shared" si="26"/>
        <v>HerculanoHouzel</v>
      </c>
      <c r="H94" s="1" t="str">
        <f t="shared" si="27"/>
        <v>etal</v>
      </c>
      <c r="I94" s="1" t="str">
        <f t="shared" si="28"/>
        <v>2020</v>
      </c>
      <c r="J94" s="1" t="str">
        <f t="shared" si="29"/>
        <v>10.1002%2Fcne.24985</v>
      </c>
      <c r="K94" s="1" t="str">
        <f t="shared" si="30"/>
        <v>HerculanoHouzel_etal_2020_TABLE1</v>
      </c>
      <c r="L94" s="1" t="str">
        <f t="shared" si="31"/>
        <v>10.1002%2Fcne.24985_TABLE1</v>
      </c>
      <c r="M94" s="1" t="str">
        <f t="array" ref="M94">IFERROR(INDEX(FileList!$A$1:$A$1000,MATCH(TRUE(),EXACT(L94,IFERROR(_xlfn.TEXTBEFORE(FileList!$A$1:$A$1000,".tsv"),"")),0)),"notfound")</f>
        <v>10.1002%2Fcne.24985_TABLE1.tsv</v>
      </c>
      <c r="N94" s="3" t="s">
        <v>397</v>
      </c>
      <c r="P94" s="3" t="s">
        <v>40</v>
      </c>
      <c r="Q94" s="3" t="s">
        <v>50</v>
      </c>
      <c r="R94" s="3" t="s">
        <v>398</v>
      </c>
      <c r="S94" s="3" t="s">
        <v>52</v>
      </c>
      <c r="T94" s="3" t="s">
        <v>399</v>
      </c>
      <c r="U94" s="3" t="s">
        <v>54</v>
      </c>
      <c r="V94" s="3" t="s">
        <v>41</v>
      </c>
      <c r="W94" s="3" t="s">
        <v>205</v>
      </c>
      <c r="X94" s="3" t="s">
        <v>400</v>
      </c>
      <c r="Y94" s="3" t="s">
        <v>57</v>
      </c>
      <c r="Z94" s="3" t="s">
        <v>57</v>
      </c>
      <c r="AC94" s="3" t="s">
        <v>155</v>
      </c>
      <c r="AG94" s="3" t="s">
        <v>58</v>
      </c>
      <c r="AH94" s="3" t="s">
        <v>401</v>
      </c>
      <c r="AI94" s="3" t="s">
        <v>402</v>
      </c>
      <c r="AJ94" s="3" t="s">
        <v>403</v>
      </c>
      <c r="AL94" s="3" t="s">
        <v>62</v>
      </c>
      <c r="AM94" s="3" t="s">
        <v>404</v>
      </c>
    </row>
    <row r="95" spans="1:39" ht="15.75" customHeight="1" x14ac:dyDescent="0.2">
      <c r="A95" s="3" t="s">
        <v>396</v>
      </c>
      <c r="D95" s="3" t="s">
        <v>92</v>
      </c>
      <c r="E95" s="1" t="str">
        <f t="shared" si="24"/>
        <v>5</v>
      </c>
      <c r="F95" s="1" t="str">
        <f t="shared" si="25"/>
        <v>HerculanoHouzel_etal_2020</v>
      </c>
      <c r="G95" s="1" t="str">
        <f t="shared" si="26"/>
        <v>HerculanoHouzel</v>
      </c>
      <c r="H95" s="1" t="str">
        <f t="shared" si="27"/>
        <v>etal</v>
      </c>
      <c r="I95" s="1" t="str">
        <f t="shared" si="28"/>
        <v>2020</v>
      </c>
      <c r="J95" s="1" t="str">
        <f t="shared" si="29"/>
        <v>10.1002%2Fcne.24985</v>
      </c>
      <c r="K95" s="1" t="str">
        <f t="shared" si="30"/>
        <v>HerculanoHouzel_etal_2020_TABLE2</v>
      </c>
      <c r="L95" s="1" t="str">
        <f t="shared" si="31"/>
        <v>10.1002%2Fcne.24985_TABLE2</v>
      </c>
      <c r="M95" s="1" t="str">
        <f t="array" ref="M95">IFERROR(INDEX(FileList!$A$1:$A$1000,MATCH(TRUE(),EXACT(L95,IFERROR(_xlfn.TEXTBEFORE(FileList!$A$1:$A$1000,".tsv"),"")),0)),"notfound")</f>
        <v>10.1002%2Fcne.24985_TABLE2.tsv</v>
      </c>
      <c r="N95" s="3" t="s">
        <v>405</v>
      </c>
      <c r="P95" s="3" t="s">
        <v>40</v>
      </c>
      <c r="Q95" s="3" t="s">
        <v>50</v>
      </c>
      <c r="R95" s="3" t="s">
        <v>406</v>
      </c>
      <c r="S95" s="3" t="s">
        <v>52</v>
      </c>
      <c r="T95" s="3" t="s">
        <v>407</v>
      </c>
      <c r="U95" s="3" t="s">
        <v>54</v>
      </c>
      <c r="V95" s="3" t="s">
        <v>41</v>
      </c>
      <c r="W95" s="3" t="s">
        <v>205</v>
      </c>
      <c r="X95" s="3" t="s">
        <v>400</v>
      </c>
      <c r="Y95" s="3" t="s">
        <v>57</v>
      </c>
      <c r="Z95" s="3" t="s">
        <v>57</v>
      </c>
      <c r="AC95" s="3" t="s">
        <v>155</v>
      </c>
      <c r="AG95" s="3" t="s">
        <v>58</v>
      </c>
      <c r="AH95" s="3" t="s">
        <v>401</v>
      </c>
      <c r="AI95" s="3" t="s">
        <v>408</v>
      </c>
      <c r="AJ95" s="3" t="s">
        <v>403</v>
      </c>
      <c r="AL95" s="3" t="s">
        <v>62</v>
      </c>
      <c r="AM95" s="3" t="s">
        <v>63</v>
      </c>
    </row>
    <row r="96" spans="1:39" ht="15.75" customHeight="1" x14ac:dyDescent="0.2">
      <c r="A96" s="3" t="s">
        <v>409</v>
      </c>
      <c r="D96" s="3" t="s">
        <v>410</v>
      </c>
      <c r="E96" s="1" t="str">
        <f t="shared" si="24"/>
        <v>5</v>
      </c>
      <c r="F96" s="1" t="str">
        <f t="shared" si="25"/>
        <v>HerculanoHouzel_etal_2013</v>
      </c>
      <c r="G96" s="1" t="str">
        <f t="shared" si="26"/>
        <v>HerculanoHouzel</v>
      </c>
      <c r="H96" s="1" t="str">
        <f t="shared" si="27"/>
        <v>etal</v>
      </c>
      <c r="I96" s="1" t="str">
        <f t="shared" si="28"/>
        <v>2013</v>
      </c>
      <c r="J96" s="1" t="str">
        <f t="shared" si="29"/>
        <v>10.3389%2Ffnana.2013.00035</v>
      </c>
      <c r="K96" s="1" t="str">
        <f t="shared" si="30"/>
        <v>HerculanoHouzel_etal_2013_Figure2TopLeft</v>
      </c>
      <c r="L96" s="1" t="str">
        <f t="shared" si="31"/>
        <v>10.3389%2Ffnana.2013.00035_Figure2TopLeft</v>
      </c>
      <c r="M96" s="1" t="str">
        <f t="array" ref="M96">IFERROR(INDEX(FileList!$A$1:$A$1000,MATCH(TRUE(),EXACT(L96,IFERROR(_xlfn.TEXTBEFORE(FileList!$A$1:$A$1000,".tsv"),"")),0)),"notfound")</f>
        <v>10.3389%2Ffnana.2013.00035_Figure2TopLeft.tsv</v>
      </c>
      <c r="Q96" s="3" t="s">
        <v>131</v>
      </c>
      <c r="Y96" s="3" t="s">
        <v>57</v>
      </c>
      <c r="Z96" s="3" t="s">
        <v>57</v>
      </c>
      <c r="AG96" s="3" t="s">
        <v>58</v>
      </c>
      <c r="AI96" s="3" t="s">
        <v>411</v>
      </c>
      <c r="AJ96" s="3" t="s">
        <v>139</v>
      </c>
      <c r="AL96" s="3" t="s">
        <v>62</v>
      </c>
      <c r="AM96" s="3" t="s">
        <v>63</v>
      </c>
    </row>
    <row r="97" spans="1:39" ht="15.75" customHeight="1" x14ac:dyDescent="0.2">
      <c r="A97" s="3" t="s">
        <v>409</v>
      </c>
      <c r="D97" s="3" t="s">
        <v>412</v>
      </c>
      <c r="E97" s="1" t="str">
        <f t="shared" si="24"/>
        <v>5</v>
      </c>
      <c r="F97" s="1" t="str">
        <f t="shared" si="25"/>
        <v>HerculanoHouzel_etal_2013</v>
      </c>
      <c r="G97" s="1" t="str">
        <f t="shared" si="26"/>
        <v>HerculanoHouzel</v>
      </c>
      <c r="H97" s="1" t="str">
        <f t="shared" si="27"/>
        <v>etal</v>
      </c>
      <c r="I97" s="1" t="str">
        <f t="shared" si="28"/>
        <v>2013</v>
      </c>
      <c r="J97" s="1" t="str">
        <f t="shared" si="29"/>
        <v>10.3389%2Ffnana.2013.00035</v>
      </c>
      <c r="K97" s="1" t="str">
        <f t="shared" si="30"/>
        <v>HerculanoHouzel_etal_2013_Table1-a</v>
      </c>
      <c r="L97" s="1" t="str">
        <f t="shared" si="31"/>
        <v>10.3389%2Ffnana.2013.00035_Table1-a</v>
      </c>
      <c r="M97" s="1" t="str">
        <f t="array" ref="M97">IFERROR(INDEX(FileList!$A$1:$A$1000,MATCH(TRUE(),EXACT(L97,IFERROR(_xlfn.TEXTBEFORE(FileList!$A$1:$A$1000,".tsv"),"")),0)),"notfound")</f>
        <v>10.3389%2Ffnana.2013.00035_Table1-a.tsv</v>
      </c>
      <c r="Q97" s="3" t="s">
        <v>131</v>
      </c>
      <c r="V97" s="3" t="s">
        <v>41</v>
      </c>
      <c r="Y97" s="3" t="s">
        <v>57</v>
      </c>
      <c r="Z97" s="3" t="s">
        <v>57</v>
      </c>
      <c r="AG97" s="3" t="s">
        <v>58</v>
      </c>
      <c r="AI97" s="3" t="s">
        <v>411</v>
      </c>
      <c r="AJ97" s="3" t="s">
        <v>139</v>
      </c>
      <c r="AL97" s="3" t="s">
        <v>62</v>
      </c>
      <c r="AM97" s="3" t="s">
        <v>63</v>
      </c>
    </row>
    <row r="98" spans="1:39" ht="15.75" customHeight="1" x14ac:dyDescent="0.2">
      <c r="A98" s="3" t="s">
        <v>409</v>
      </c>
      <c r="D98" s="3" t="s">
        <v>413</v>
      </c>
      <c r="E98" s="1" t="str">
        <f t="shared" si="24"/>
        <v>5</v>
      </c>
      <c r="F98" s="1" t="str">
        <f t="shared" si="25"/>
        <v>HerculanoHouzel_etal_2013</v>
      </c>
      <c r="G98" s="1" t="str">
        <f t="shared" si="26"/>
        <v>HerculanoHouzel</v>
      </c>
      <c r="H98" s="1" t="str">
        <f t="shared" si="27"/>
        <v>etal</v>
      </c>
      <c r="I98" s="1" t="str">
        <f t="shared" si="28"/>
        <v>2013</v>
      </c>
      <c r="J98" s="1" t="str">
        <f t="shared" si="29"/>
        <v>10.3389%2Ffnana.2013.00035</v>
      </c>
      <c r="K98" s="1" t="str">
        <f t="shared" si="30"/>
        <v>HerculanoHouzel_etal_2013_Table1-b</v>
      </c>
      <c r="L98" s="1" t="str">
        <f t="shared" si="31"/>
        <v>10.3389%2Ffnana.2013.00035_Table1-b</v>
      </c>
      <c r="M98" s="1" t="str">
        <f t="array" ref="M98">IFERROR(INDEX(FileList!$A$1:$A$1000,MATCH(TRUE(),EXACT(L98,IFERROR(_xlfn.TEXTBEFORE(FileList!$A$1:$A$1000,".tsv"),"")),0)),"notfound")</f>
        <v>10.3389%2Ffnana.2013.00035_Table1-b.tsv</v>
      </c>
      <c r="Q98" s="3" t="s">
        <v>131</v>
      </c>
      <c r="V98" s="3" t="s">
        <v>41</v>
      </c>
      <c r="Y98" s="3" t="s">
        <v>57</v>
      </c>
      <c r="Z98" s="3" t="s">
        <v>57</v>
      </c>
      <c r="AG98" s="3" t="s">
        <v>58</v>
      </c>
      <c r="AI98" s="3" t="s">
        <v>411</v>
      </c>
      <c r="AJ98" s="3" t="s">
        <v>139</v>
      </c>
      <c r="AL98" s="3" t="s">
        <v>62</v>
      </c>
      <c r="AM98" s="3" t="s">
        <v>63</v>
      </c>
    </row>
    <row r="99" spans="1:39" ht="15.75" customHeight="1" x14ac:dyDescent="0.2">
      <c r="A99" s="3" t="s">
        <v>863</v>
      </c>
      <c r="D99" s="4" t="s">
        <v>920</v>
      </c>
      <c r="E99" s="1" t="str">
        <f t="shared" si="24"/>
        <v>1</v>
      </c>
      <c r="F99" s="1" t="str">
        <f t="shared" si="25"/>
        <v>Heuer_etal_2019</v>
      </c>
      <c r="G99" s="1" t="str">
        <f t="shared" si="26"/>
        <v>Heuer</v>
      </c>
      <c r="H99" s="1" t="str">
        <f t="shared" si="27"/>
        <v>etal</v>
      </c>
      <c r="I99" s="1" t="str">
        <f t="shared" si="28"/>
        <v>2019</v>
      </c>
      <c r="J99" s="1" t="str">
        <f t="shared" si="29"/>
        <v>10.1016%2Fj.cortex.2019.04.011</v>
      </c>
      <c r="K99" s="1" t="str">
        <f t="shared" si="30"/>
        <v>Heuer_etal_2019_Table1</v>
      </c>
      <c r="L99" s="1" t="str">
        <f t="shared" si="31"/>
        <v>10.1016%2Fj.cortex.2019.04.011_Table1</v>
      </c>
      <c r="M99" s="1" t="str">
        <f t="array" ref="M99">IFERROR(INDEX(FileList!$A$1:$A$1000,MATCH(TRUE(),EXACT(L99,IFERROR(_xlfn.TEXTBEFORE(FileList!$A$1:$A$1000,".tsv"),"")),0)),"notfound")</f>
        <v>10.1016%2Fj.cortex.2019.04.011_Table1.tsv</v>
      </c>
      <c r="P99" s="4" t="s">
        <v>877</v>
      </c>
      <c r="Q99" s="3"/>
      <c r="R99" s="4" t="s">
        <v>921</v>
      </c>
      <c r="T99" s="4" t="s">
        <v>922</v>
      </c>
      <c r="U99" s="4" t="s">
        <v>923</v>
      </c>
      <c r="V99" s="4" t="s">
        <v>881</v>
      </c>
      <c r="Y99" s="4" t="s">
        <v>924</v>
      </c>
      <c r="Z99" s="3"/>
      <c r="AB99" s="4" t="s">
        <v>925</v>
      </c>
      <c r="AG99" s="3"/>
      <c r="AI99" s="4" t="s">
        <v>926</v>
      </c>
      <c r="AJ99" s="4" t="s">
        <v>927</v>
      </c>
      <c r="AK99" s="4" t="s">
        <v>887</v>
      </c>
      <c r="AL99" s="4" t="s">
        <v>887</v>
      </c>
      <c r="AM99" s="4" t="s">
        <v>928</v>
      </c>
    </row>
    <row r="100" spans="1:39" ht="15.75" customHeight="1" x14ac:dyDescent="0.2">
      <c r="A100" s="4" t="s">
        <v>863</v>
      </c>
      <c r="D100" s="4" t="s">
        <v>996</v>
      </c>
      <c r="E100" s="1" t="str">
        <f t="shared" si="24"/>
        <v>1</v>
      </c>
      <c r="F100" s="1" t="str">
        <f t="shared" si="25"/>
        <v>Heuer_etal_2019</v>
      </c>
      <c r="G100" s="1" t="str">
        <f t="shared" si="26"/>
        <v>Heuer</v>
      </c>
      <c r="H100" s="1" t="str">
        <f t="shared" si="27"/>
        <v>etal</v>
      </c>
      <c r="I100" s="1" t="str">
        <f t="shared" si="28"/>
        <v>2019</v>
      </c>
      <c r="J100" s="1" t="str">
        <f t="shared" si="29"/>
        <v>10.1016%2Fj.cortex.2019.04.011</v>
      </c>
      <c r="K100" s="1" t="str">
        <f t="shared" si="30"/>
        <v>Heuer_etal_2019_S1</v>
      </c>
      <c r="L100" s="1" t="str">
        <f t="shared" si="31"/>
        <v>10.1016%2Fj.cortex.2019.04.011_S1</v>
      </c>
      <c r="M100" s="1" t="str">
        <f t="array" ref="M100">IFERROR(INDEX(FileList!$A$1:$A$1000,MATCH(TRUE(),EXACT(L100,IFERROR(_xlfn.TEXTBEFORE(FileList!$A$1:$A$1000,".tsv"),"")),0)),"notfound")</f>
        <v>10.1016%2Fj.cortex.2019.04.011_S1.tsv</v>
      </c>
      <c r="P100" s="4" t="s">
        <v>40</v>
      </c>
      <c r="R100" s="4" t="s">
        <v>997</v>
      </c>
      <c r="T100" s="4" t="s">
        <v>998</v>
      </c>
      <c r="U100" s="4" t="s">
        <v>999</v>
      </c>
      <c r="V100" s="4" t="s">
        <v>41</v>
      </c>
      <c r="Y100" s="4" t="s">
        <v>1000</v>
      </c>
      <c r="AB100" s="4" t="s">
        <v>1001</v>
      </c>
      <c r="AI100" s="4" t="s">
        <v>1002</v>
      </c>
      <c r="AJ100" s="4" t="s">
        <v>117</v>
      </c>
      <c r="AK100" s="4" t="s">
        <v>140</v>
      </c>
      <c r="AL100" s="4" t="s">
        <v>140</v>
      </c>
      <c r="AM100" s="4" t="s">
        <v>1003</v>
      </c>
    </row>
    <row r="101" spans="1:39" ht="15.75" customHeight="1" x14ac:dyDescent="0.2">
      <c r="A101" s="3" t="s">
        <v>414</v>
      </c>
      <c r="D101" s="3" t="s">
        <v>118</v>
      </c>
      <c r="E101" s="1" t="str">
        <f t="shared" si="24"/>
        <v>4</v>
      </c>
      <c r="F101" s="1" t="str">
        <f t="shared" si="25"/>
        <v>Isler_etal_2008</v>
      </c>
      <c r="G101" s="1" t="str">
        <f t="shared" si="26"/>
        <v>Isler</v>
      </c>
      <c r="H101" s="1" t="str">
        <f t="shared" si="27"/>
        <v>etal</v>
      </c>
      <c r="I101" s="1" t="str">
        <f t="shared" si="28"/>
        <v>2008</v>
      </c>
      <c r="J101" s="1" t="str">
        <f t="shared" si="29"/>
        <v>10.1016%2Fj.jhevol.2008.08.004</v>
      </c>
      <c r="K101" s="1" t="str">
        <f t="shared" si="30"/>
        <v>Isler_etal_2008_Table2</v>
      </c>
      <c r="L101" s="1" t="str">
        <f t="shared" si="31"/>
        <v>10.1016%2Fj.jhevol.2008.08.004_Table2</v>
      </c>
      <c r="M101" s="1" t="str">
        <f t="array" ref="M101">IFERROR(INDEX(FileList!$A$1:$A$1000,MATCH(TRUE(),EXACT(L101,IFERROR(_xlfn.TEXTBEFORE(FileList!$A$1:$A$1000,".tsv"),"")),0)),"notfound")</f>
        <v>10.1016%2Fj.jhevol.2008.08.004_Table2.tsv</v>
      </c>
      <c r="Q101" s="3" t="s">
        <v>131</v>
      </c>
      <c r="V101" s="3" t="s">
        <v>41</v>
      </c>
      <c r="AI101" s="3" t="s">
        <v>415</v>
      </c>
      <c r="AJ101" s="3" t="s">
        <v>117</v>
      </c>
      <c r="AL101" s="3" t="s">
        <v>140</v>
      </c>
      <c r="AM101" s="3" t="s">
        <v>416</v>
      </c>
    </row>
    <row r="102" spans="1:39" ht="15.75" customHeight="1" x14ac:dyDescent="0.2">
      <c r="A102" s="3" t="s">
        <v>414</v>
      </c>
      <c r="D102" s="3" t="s">
        <v>417</v>
      </c>
      <c r="E102" s="1" t="str">
        <f t="shared" si="24"/>
        <v>4</v>
      </c>
      <c r="F102" s="1" t="str">
        <f t="shared" si="25"/>
        <v>Isler_etal_2008</v>
      </c>
      <c r="G102" s="1" t="str">
        <f t="shared" si="26"/>
        <v>Isler</v>
      </c>
      <c r="H102" s="1" t="str">
        <f t="shared" si="27"/>
        <v>etal</v>
      </c>
      <c r="I102" s="1" t="str">
        <f t="shared" si="28"/>
        <v>2008</v>
      </c>
      <c r="J102" s="1" t="str">
        <f t="shared" si="29"/>
        <v>10.1016%2Fj.jhevol.2008.08.004</v>
      </c>
      <c r="K102" s="1" t="str">
        <f t="shared" si="30"/>
        <v>Isler_etal_2008_Table7</v>
      </c>
      <c r="L102" s="1" t="str">
        <f t="shared" si="31"/>
        <v>10.1016%2Fj.jhevol.2008.08.004_Table7</v>
      </c>
      <c r="M102" s="1" t="str">
        <f t="array" ref="M102">IFERROR(INDEX(FileList!$A$1:$A$1000,MATCH(TRUE(),EXACT(L102,IFERROR(_xlfn.TEXTBEFORE(FileList!$A$1:$A$1000,".tsv"),"")),0)),"notfound")</f>
        <v>10.1016%2Fj.jhevol.2008.08.004_Table7.tsv</v>
      </c>
      <c r="Q102" s="3" t="s">
        <v>131</v>
      </c>
      <c r="V102" s="3" t="s">
        <v>41</v>
      </c>
      <c r="AI102" s="3" t="s">
        <v>415</v>
      </c>
      <c r="AJ102" s="3" t="s">
        <v>117</v>
      </c>
      <c r="AL102" s="3" t="s">
        <v>140</v>
      </c>
      <c r="AM102" s="3" t="s">
        <v>416</v>
      </c>
    </row>
    <row r="103" spans="1:39" ht="15.75" customHeight="1" x14ac:dyDescent="0.2">
      <c r="A103" s="3" t="s">
        <v>414</v>
      </c>
      <c r="D103" s="3" t="s">
        <v>197</v>
      </c>
      <c r="E103" s="1" t="str">
        <f t="shared" si="24"/>
        <v>4</v>
      </c>
      <c r="F103" s="1" t="str">
        <f t="shared" si="25"/>
        <v>Isler_etal_2008</v>
      </c>
      <c r="G103" s="1" t="str">
        <f t="shared" si="26"/>
        <v>Isler</v>
      </c>
      <c r="H103" s="1" t="str">
        <f t="shared" si="27"/>
        <v>etal</v>
      </c>
      <c r="I103" s="1" t="str">
        <f t="shared" si="28"/>
        <v>2008</v>
      </c>
      <c r="J103" s="1" t="str">
        <f t="shared" si="29"/>
        <v>10.1016%2Fj.jhevol.2008.08.004</v>
      </c>
      <c r="K103" s="1" t="str">
        <f t="shared" si="30"/>
        <v>Isler_etal_2008_TableS1</v>
      </c>
      <c r="L103" s="1" t="str">
        <f t="shared" si="31"/>
        <v>10.1016%2Fj.jhevol.2008.08.004_TableS1</v>
      </c>
      <c r="M103" s="1" t="str">
        <f t="array" ref="M103">IFERROR(INDEX(FileList!$A$1:$A$1000,MATCH(TRUE(),EXACT(L103,IFERROR(_xlfn.TEXTBEFORE(FileList!$A$1:$A$1000,".tsv"),"")),0)),"notfound")</f>
        <v>10.1016%2Fj.jhevol.2008.08.004_TableS1.tsv</v>
      </c>
      <c r="Q103" s="3" t="s">
        <v>131</v>
      </c>
      <c r="V103" s="3" t="s">
        <v>41</v>
      </c>
      <c r="AI103" s="3" t="s">
        <v>415</v>
      </c>
      <c r="AJ103" s="3" t="s">
        <v>117</v>
      </c>
      <c r="AL103" s="3" t="s">
        <v>140</v>
      </c>
      <c r="AM103" s="3" t="s">
        <v>416</v>
      </c>
    </row>
    <row r="104" spans="1:39" ht="15.75" customHeight="1" x14ac:dyDescent="0.2">
      <c r="A104" s="3" t="s">
        <v>414</v>
      </c>
      <c r="D104" s="3" t="s">
        <v>340</v>
      </c>
      <c r="E104" s="1" t="str">
        <f t="shared" si="24"/>
        <v>4</v>
      </c>
      <c r="F104" s="1" t="str">
        <f t="shared" si="25"/>
        <v>Isler_etal_2008</v>
      </c>
      <c r="G104" s="1" t="str">
        <f t="shared" si="26"/>
        <v>Isler</v>
      </c>
      <c r="H104" s="1" t="str">
        <f t="shared" si="27"/>
        <v>etal</v>
      </c>
      <c r="I104" s="1" t="str">
        <f t="shared" si="28"/>
        <v>2008</v>
      </c>
      <c r="J104" s="1" t="str">
        <f t="shared" si="29"/>
        <v>10.1016%2Fj.jhevol.2008.08.004</v>
      </c>
      <c r="K104" s="1" t="str">
        <f t="shared" si="30"/>
        <v>Isler_etal_2008_TableS2</v>
      </c>
      <c r="L104" s="1" t="str">
        <f t="shared" si="31"/>
        <v>10.1016%2Fj.jhevol.2008.08.004_TableS2</v>
      </c>
      <c r="M104" s="1" t="str">
        <f t="array" ref="M104">IFERROR(INDEX(FileList!$A$1:$A$1000,MATCH(TRUE(),EXACT(L104,IFERROR(_xlfn.TEXTBEFORE(FileList!$A$1:$A$1000,".tsv"),"")),0)),"notfound")</f>
        <v>10.1016%2Fj.jhevol.2008.08.004_TableS2.tsv</v>
      </c>
      <c r="Q104" s="3" t="s">
        <v>131</v>
      </c>
      <c r="V104" s="3" t="s">
        <v>41</v>
      </c>
      <c r="AI104" s="3" t="s">
        <v>415</v>
      </c>
      <c r="AJ104" s="3" t="s">
        <v>117</v>
      </c>
      <c r="AL104" s="3" t="s">
        <v>140</v>
      </c>
      <c r="AM104" s="3" t="s">
        <v>416</v>
      </c>
    </row>
    <row r="105" spans="1:39" ht="15.75" customHeight="1" x14ac:dyDescent="0.2">
      <c r="A105" s="3" t="s">
        <v>414</v>
      </c>
      <c r="D105" s="3" t="s">
        <v>418</v>
      </c>
      <c r="E105" s="1" t="str">
        <f t="shared" si="24"/>
        <v>4</v>
      </c>
      <c r="F105" s="1" t="str">
        <f t="shared" si="25"/>
        <v>Isler_etal_2008</v>
      </c>
      <c r="G105" s="1" t="str">
        <f t="shared" si="26"/>
        <v>Isler</v>
      </c>
      <c r="H105" s="1" t="str">
        <f t="shared" si="27"/>
        <v>etal</v>
      </c>
      <c r="I105" s="1" t="str">
        <f t="shared" si="28"/>
        <v>2008</v>
      </c>
      <c r="J105" s="1" t="str">
        <f t="shared" si="29"/>
        <v>10.1016%2Fj.jhevol.2008.08.004</v>
      </c>
      <c r="K105" s="1" t="str">
        <f t="shared" si="30"/>
        <v>Isler_etal_2008_TableS3</v>
      </c>
      <c r="L105" s="1" t="str">
        <f t="shared" si="31"/>
        <v>10.1016%2Fj.jhevol.2008.08.004_TableS3</v>
      </c>
      <c r="M105" s="1" t="str">
        <f t="array" ref="M105">IFERROR(INDEX(FileList!$A$1:$A$1000,MATCH(TRUE(),EXACT(L105,IFERROR(_xlfn.TEXTBEFORE(FileList!$A$1:$A$1000,".tsv"),"")),0)),"notfound")</f>
        <v>10.1016%2Fj.jhevol.2008.08.004_TableS3.tsv</v>
      </c>
      <c r="Q105" s="3" t="s">
        <v>131</v>
      </c>
      <c r="V105" s="3" t="s">
        <v>41</v>
      </c>
      <c r="AI105" s="3" t="s">
        <v>415</v>
      </c>
      <c r="AJ105" s="3" t="s">
        <v>117</v>
      </c>
      <c r="AL105" s="3" t="s">
        <v>140</v>
      </c>
      <c r="AM105" s="3" t="s">
        <v>416</v>
      </c>
    </row>
    <row r="106" spans="1:39" ht="15.75" customHeight="1" x14ac:dyDescent="0.2">
      <c r="A106" s="3" t="s">
        <v>414</v>
      </c>
      <c r="D106" s="3" t="s">
        <v>419</v>
      </c>
      <c r="E106" s="1" t="str">
        <f t="shared" si="24"/>
        <v>4</v>
      </c>
      <c r="F106" s="1" t="str">
        <f t="shared" si="25"/>
        <v>Isler_etal_2008</v>
      </c>
      <c r="G106" s="1" t="str">
        <f t="shared" si="26"/>
        <v>Isler</v>
      </c>
      <c r="H106" s="1" t="str">
        <f t="shared" si="27"/>
        <v>etal</v>
      </c>
      <c r="I106" s="1" t="str">
        <f t="shared" si="28"/>
        <v>2008</v>
      </c>
      <c r="J106" s="1" t="str">
        <f t="shared" si="29"/>
        <v>10.1016%2Fj.jhevol.2008.08.004</v>
      </c>
      <c r="K106" s="1" t="str">
        <f t="shared" si="30"/>
        <v>Isler_etal_2008_Tree.nex</v>
      </c>
      <c r="L106" s="1" t="str">
        <f t="shared" si="31"/>
        <v>10.1016%2Fj.jhevol.2008.08.004_Tree.nex</v>
      </c>
      <c r="M106" s="1" t="str">
        <f t="array" ref="M106">IFERROR(INDEX(FileList!$A$1:$A$1000,MATCH(TRUE(),EXACT(L106,IFERROR(_xlfn.TEXTBEFORE(FileList!$A$1:$A$1000,".tsv"),"")),0)),"notfound")</f>
        <v>notfound</v>
      </c>
      <c r="Q106" s="3" t="s">
        <v>131</v>
      </c>
      <c r="V106" s="3" t="s">
        <v>420</v>
      </c>
      <c r="AI106" s="3" t="s">
        <v>421</v>
      </c>
      <c r="AJ106" s="3" t="s">
        <v>117</v>
      </c>
      <c r="AL106" s="3" t="s">
        <v>140</v>
      </c>
      <c r="AM106" s="3" t="s">
        <v>422</v>
      </c>
    </row>
    <row r="107" spans="1:39" ht="15.75" customHeight="1" x14ac:dyDescent="0.2">
      <c r="A107" s="3" t="s">
        <v>423</v>
      </c>
      <c r="D107" s="3" t="s">
        <v>76</v>
      </c>
      <c r="E107" s="1" t="str">
        <f t="shared" si="24"/>
        <v>9</v>
      </c>
      <c r="F107" s="1" t="str">
        <f t="shared" si="25"/>
        <v>Iwaniuk_etal_2001</v>
      </c>
      <c r="G107" s="1" t="str">
        <f t="shared" si="26"/>
        <v>Iwaniuk</v>
      </c>
      <c r="H107" s="1" t="str">
        <f t="shared" si="27"/>
        <v>etal</v>
      </c>
      <c r="I107" s="1" t="str">
        <f t="shared" si="28"/>
        <v>2001</v>
      </c>
      <c r="J107" s="1" t="str">
        <f t="shared" si="29"/>
        <v>10.1037%2F0735-7036.115.1.29</v>
      </c>
      <c r="K107" s="1" t="str">
        <f t="shared" si="30"/>
        <v>Iwaniuk_etal_2001_Table1</v>
      </c>
      <c r="L107" s="1" t="str">
        <f t="shared" si="31"/>
        <v>10.1037%2F0735-7036.115.1.29_Table1</v>
      </c>
      <c r="M107" s="1" t="str">
        <f t="array" ref="M107">IFERROR(INDEX(FileList!$A$1:$A$1000,MATCH(TRUE(),EXACT(L107,IFERROR(_xlfn.TEXTBEFORE(FileList!$A$1:$A$1000,".tsv"),"")),0)),"notfound")</f>
        <v>10.1037%2F0735-7036.115.1.29_Table1.tsv</v>
      </c>
      <c r="N107" s="3" t="s">
        <v>424</v>
      </c>
      <c r="P107" s="3" t="s">
        <v>425</v>
      </c>
      <c r="Q107" s="3" t="s">
        <v>201</v>
      </c>
      <c r="T107" s="3" t="str">
        <f>IF(S107="N", R107, "write file name")</f>
        <v>write file name</v>
      </c>
      <c r="U107" s="3" t="s">
        <v>54</v>
      </c>
      <c r="V107" s="3" t="s">
        <v>41</v>
      </c>
      <c r="AH107" s="3" t="s">
        <v>426</v>
      </c>
      <c r="AI107" s="3" t="s">
        <v>427</v>
      </c>
      <c r="AJ107" s="3" t="s">
        <v>139</v>
      </c>
      <c r="AL107" s="3" t="s">
        <v>140</v>
      </c>
      <c r="AM107" s="3" t="s">
        <v>428</v>
      </c>
    </row>
    <row r="108" spans="1:39" ht="15.75" customHeight="1" x14ac:dyDescent="0.2">
      <c r="A108" s="3" t="s">
        <v>423</v>
      </c>
      <c r="D108" s="3" t="s">
        <v>118</v>
      </c>
      <c r="E108" s="1" t="str">
        <f t="shared" si="24"/>
        <v>9</v>
      </c>
      <c r="F108" s="1" t="str">
        <f t="shared" si="25"/>
        <v>Iwaniuk_etal_2001</v>
      </c>
      <c r="G108" s="1" t="str">
        <f t="shared" si="26"/>
        <v>Iwaniuk</v>
      </c>
      <c r="H108" s="1" t="str">
        <f t="shared" si="27"/>
        <v>etal</v>
      </c>
      <c r="I108" s="1" t="str">
        <f t="shared" si="28"/>
        <v>2001</v>
      </c>
      <c r="J108" s="1" t="str">
        <f t="shared" si="29"/>
        <v>10.1037%2F0735-7036.115.1.29</v>
      </c>
      <c r="K108" s="1" t="str">
        <f t="shared" si="30"/>
        <v>Iwaniuk_etal_2001_Table2</v>
      </c>
      <c r="L108" s="1" t="str">
        <f t="shared" si="31"/>
        <v>10.1037%2F0735-7036.115.1.29_Table2</v>
      </c>
      <c r="M108" s="1" t="str">
        <f t="array" ref="M108">IFERROR(INDEX(FileList!$A$1:$A$1000,MATCH(TRUE(),EXACT(L108,IFERROR(_xlfn.TEXTBEFORE(FileList!$A$1:$A$1000,".tsv"),"")),0)),"notfound")</f>
        <v>10.1037%2F0735-7036.115.1.29_Table2.tsv</v>
      </c>
      <c r="N108" s="3" t="s">
        <v>429</v>
      </c>
      <c r="P108" s="3" t="s">
        <v>425</v>
      </c>
      <c r="Q108" s="3" t="s">
        <v>201</v>
      </c>
      <c r="T108" s="3" t="str">
        <f>IF(S108="N", R108, "write file name")</f>
        <v>write file name</v>
      </c>
      <c r="U108" s="3" t="s">
        <v>54</v>
      </c>
      <c r="V108" s="3" t="s">
        <v>41</v>
      </c>
      <c r="AH108" s="3" t="s">
        <v>426</v>
      </c>
      <c r="AI108" s="3" t="s">
        <v>427</v>
      </c>
      <c r="AJ108" s="3" t="s">
        <v>139</v>
      </c>
      <c r="AL108" s="3" t="s">
        <v>140</v>
      </c>
      <c r="AM108" s="3" t="s">
        <v>428</v>
      </c>
    </row>
    <row r="109" spans="1:39" ht="15.75" customHeight="1" x14ac:dyDescent="0.2">
      <c r="A109" s="3" t="s">
        <v>423</v>
      </c>
      <c r="D109" s="3" t="s">
        <v>67</v>
      </c>
      <c r="E109" s="1" t="str">
        <f t="shared" si="24"/>
        <v>9</v>
      </c>
      <c r="F109" s="1" t="str">
        <f t="shared" si="25"/>
        <v>Iwaniuk_etal_2001</v>
      </c>
      <c r="G109" s="1" t="str">
        <f t="shared" si="26"/>
        <v>Iwaniuk</v>
      </c>
      <c r="H109" s="1" t="str">
        <f t="shared" si="27"/>
        <v>etal</v>
      </c>
      <c r="I109" s="1" t="str">
        <f t="shared" si="28"/>
        <v>2001</v>
      </c>
      <c r="J109" s="1" t="str">
        <f t="shared" si="29"/>
        <v>10.1037%2F0735-7036.115.1.29</v>
      </c>
      <c r="K109" s="1" t="str">
        <f t="shared" si="30"/>
        <v>Iwaniuk_etal_2001_Table3</v>
      </c>
      <c r="L109" s="1" t="str">
        <f t="shared" si="31"/>
        <v>10.1037%2F0735-7036.115.1.29_Table3</v>
      </c>
      <c r="M109" s="1" t="str">
        <f t="array" ref="M109">IFERROR(INDEX(FileList!$A$1:$A$1000,MATCH(TRUE(),EXACT(L109,IFERROR(_xlfn.TEXTBEFORE(FileList!$A$1:$A$1000,".tsv"),"")),0)),"notfound")</f>
        <v>10.1037%2F0735-7036.115.1.29_Table3.tsv</v>
      </c>
      <c r="N109" s="3" t="s">
        <v>430</v>
      </c>
      <c r="P109" s="3" t="s">
        <v>425</v>
      </c>
      <c r="Q109" s="3" t="s">
        <v>201</v>
      </c>
      <c r="T109" s="3" t="str">
        <f>IF(S109="N", R109, "write file name")</f>
        <v>write file name</v>
      </c>
      <c r="U109" s="3" t="s">
        <v>54</v>
      </c>
      <c r="V109" s="3" t="s">
        <v>41</v>
      </c>
      <c r="AH109" s="3" t="s">
        <v>426</v>
      </c>
      <c r="AI109" s="3" t="s">
        <v>427</v>
      </c>
      <c r="AJ109" s="3" t="s">
        <v>139</v>
      </c>
      <c r="AL109" s="3" t="s">
        <v>140</v>
      </c>
      <c r="AM109" s="3" t="s">
        <v>428</v>
      </c>
    </row>
    <row r="110" spans="1:39" ht="15.75" customHeight="1" x14ac:dyDescent="0.2">
      <c r="A110" s="3" t="s">
        <v>423</v>
      </c>
      <c r="D110" s="3" t="s">
        <v>39</v>
      </c>
      <c r="E110" s="1" t="str">
        <f t="shared" si="24"/>
        <v>9</v>
      </c>
      <c r="F110" s="1" t="str">
        <f t="shared" si="25"/>
        <v>Iwaniuk_etal_2001</v>
      </c>
      <c r="G110" s="1" t="str">
        <f t="shared" si="26"/>
        <v>Iwaniuk</v>
      </c>
      <c r="H110" s="1" t="str">
        <f t="shared" si="27"/>
        <v>etal</v>
      </c>
      <c r="I110" s="1" t="str">
        <f t="shared" si="28"/>
        <v>2001</v>
      </c>
      <c r="J110" s="1" t="str">
        <f t="shared" si="29"/>
        <v>10.1037%2F0735-7036.115.1.29</v>
      </c>
      <c r="K110" s="1" t="str">
        <f t="shared" si="30"/>
        <v>Iwaniuk_etal_2001_Table4</v>
      </c>
      <c r="L110" s="1" t="str">
        <f t="shared" si="31"/>
        <v>10.1037%2F0735-7036.115.1.29_Table4</v>
      </c>
      <c r="M110" s="1" t="str">
        <f t="array" ref="M110">IFERROR(INDEX(FileList!$A$1:$A$1000,MATCH(TRUE(),EXACT(L110,IFERROR(_xlfn.TEXTBEFORE(FileList!$A$1:$A$1000,".tsv"),"")),0)),"notfound")</f>
        <v>10.1037%2F0735-7036.115.1.29_Table4.tsv</v>
      </c>
      <c r="N110" s="3" t="s">
        <v>431</v>
      </c>
      <c r="P110" s="3" t="s">
        <v>425</v>
      </c>
      <c r="Q110" s="3" t="s">
        <v>201</v>
      </c>
      <c r="T110" s="3" t="str">
        <f>IF(S110="N", R110, "write file name")</f>
        <v>write file name</v>
      </c>
      <c r="U110" s="3" t="s">
        <v>54</v>
      </c>
      <c r="V110" s="3" t="s">
        <v>41</v>
      </c>
      <c r="AH110" s="3" t="s">
        <v>426</v>
      </c>
      <c r="AI110" s="3" t="s">
        <v>427</v>
      </c>
      <c r="AJ110" s="3" t="s">
        <v>139</v>
      </c>
      <c r="AL110" s="3" t="s">
        <v>140</v>
      </c>
      <c r="AM110" s="3" t="s">
        <v>428</v>
      </c>
    </row>
    <row r="111" spans="1:39" ht="15.75" customHeight="1" x14ac:dyDescent="0.2">
      <c r="A111" s="3" t="s">
        <v>432</v>
      </c>
      <c r="D111" s="3" t="s">
        <v>433</v>
      </c>
      <c r="E111" s="1" t="str">
        <f t="shared" si="24"/>
        <v>x</v>
      </c>
      <c r="F111" s="1" t="str">
        <f t="shared" si="25"/>
        <v>Iwaniuk_etal_1999</v>
      </c>
      <c r="G111" s="1" t="str">
        <f t="shared" si="26"/>
        <v>Iwaniuk</v>
      </c>
      <c r="H111" s="1" t="str">
        <f t="shared" si="27"/>
        <v>etal</v>
      </c>
      <c r="I111" s="1" t="str">
        <f t="shared" si="28"/>
        <v>1999</v>
      </c>
      <c r="J111" s="1" t="str">
        <f t="shared" si="29"/>
        <v>10.1016%2Fs0166-4328(98)00151-x</v>
      </c>
      <c r="K111" s="1" t="str">
        <f t="shared" si="30"/>
        <v>Iwaniuk_etal_1999_References</v>
      </c>
      <c r="L111" s="1" t="str">
        <f t="shared" si="31"/>
        <v>10.1016%2Fs0166-4328(98)00151-x_References</v>
      </c>
      <c r="M111" s="1" t="str">
        <f t="array" ref="M111">IFERROR(INDEX(FileList!$A$1:$A$1000,MATCH(TRUE(),EXACT(L111,IFERROR(_xlfn.TEXTBEFORE(FileList!$A$1:$A$1000,".tsv"),"")),0)),"notfound")</f>
        <v>10.1016%2Fs0166-4328(98)00151-x_References.tsv</v>
      </c>
      <c r="N111" s="3" t="s">
        <v>433</v>
      </c>
      <c r="P111" s="3" t="s">
        <v>334</v>
      </c>
      <c r="V111" s="3" t="s">
        <v>434</v>
      </c>
      <c r="W111" s="3" t="s">
        <v>205</v>
      </c>
      <c r="AI111" s="3" t="s">
        <v>435</v>
      </c>
      <c r="AJ111" s="3" t="s">
        <v>139</v>
      </c>
      <c r="AL111" s="3" t="s">
        <v>140</v>
      </c>
      <c r="AM111" s="3" t="s">
        <v>436</v>
      </c>
    </row>
    <row r="112" spans="1:39" ht="15.75" customHeight="1" x14ac:dyDescent="0.2">
      <c r="A112" s="3" t="s">
        <v>432</v>
      </c>
      <c r="D112" s="3" t="s">
        <v>76</v>
      </c>
      <c r="E112" s="1" t="str">
        <f t="shared" si="24"/>
        <v>x</v>
      </c>
      <c r="F112" s="1" t="str">
        <f t="shared" si="25"/>
        <v>Iwaniuk_etal_1999</v>
      </c>
      <c r="G112" s="1" t="str">
        <f t="shared" si="26"/>
        <v>Iwaniuk</v>
      </c>
      <c r="H112" s="1" t="str">
        <f t="shared" si="27"/>
        <v>etal</v>
      </c>
      <c r="I112" s="1" t="str">
        <f t="shared" si="28"/>
        <v>1999</v>
      </c>
      <c r="J112" s="1" t="str">
        <f t="shared" si="29"/>
        <v>10.1016%2Fs0166-4328(98)00151-x</v>
      </c>
      <c r="K112" s="1" t="str">
        <f t="shared" si="30"/>
        <v>Iwaniuk_etal_1999_Table1</v>
      </c>
      <c r="L112" s="1" t="str">
        <f t="shared" si="31"/>
        <v>10.1016%2Fs0166-4328(98)00151-x_Table1</v>
      </c>
      <c r="M112" s="1" t="str">
        <f t="array" ref="M112">IFERROR(INDEX(FileList!$A$1:$A$1000,MATCH(TRUE(),EXACT(L112,IFERROR(_xlfn.TEXTBEFORE(FileList!$A$1:$A$1000,".tsv"),"")),0)),"notfound")</f>
        <v>10.1016%2Fs0166-4328(98)00151-x_Table1.tsv</v>
      </c>
      <c r="N112" s="3" t="s">
        <v>437</v>
      </c>
      <c r="P112" s="3" t="s">
        <v>334</v>
      </c>
      <c r="V112" s="3" t="s">
        <v>41</v>
      </c>
      <c r="W112" s="3" t="s">
        <v>205</v>
      </c>
      <c r="AI112" s="3" t="s">
        <v>435</v>
      </c>
      <c r="AJ112" s="3" t="s">
        <v>139</v>
      </c>
      <c r="AL112" s="3" t="s">
        <v>140</v>
      </c>
      <c r="AM112" s="3" t="s">
        <v>436</v>
      </c>
    </row>
    <row r="113" spans="1:39" ht="15.75" customHeight="1" x14ac:dyDescent="0.2">
      <c r="A113" s="4" t="s">
        <v>855</v>
      </c>
      <c r="D113" s="4" t="s">
        <v>929</v>
      </c>
      <c r="E113" s="1" t="str">
        <f t="shared" si="24"/>
        <v>9</v>
      </c>
      <c r="F113" s="1" t="str">
        <f t="shared" si="25"/>
        <v>Jacobs_etal_2018</v>
      </c>
      <c r="G113" s="1" t="str">
        <f t="shared" si="26"/>
        <v>Jacobs</v>
      </c>
      <c r="H113" s="1" t="str">
        <f t="shared" si="27"/>
        <v>etal</v>
      </c>
      <c r="I113" s="1" t="str">
        <f t="shared" si="28"/>
        <v>2018</v>
      </c>
      <c r="J113" s="1" t="str">
        <f t="shared" si="29"/>
        <v>10.1002%2Fcne.24349</v>
      </c>
      <c r="K113" s="1" t="str">
        <f t="shared" si="30"/>
        <v>Jacobs_etal_2018_Table3</v>
      </c>
      <c r="L113" s="1" t="str">
        <f t="shared" si="31"/>
        <v>10.1002%2Fcne.24349_Table3</v>
      </c>
      <c r="M113" s="1" t="str">
        <f t="array" ref="M113">IFERROR(INDEX(FileList!$A$1:$A$1000,MATCH(TRUE(),EXACT(L113,IFERROR(_xlfn.TEXTBEFORE(FileList!$A$1:$A$1000,".tsv"),"")),0)),"notfound")</f>
        <v>10.1002%2Fcne.24349_Table3.tsv</v>
      </c>
      <c r="P113" s="4" t="s">
        <v>877</v>
      </c>
      <c r="R113" s="4" t="s">
        <v>930</v>
      </c>
      <c r="T113" s="4" t="s">
        <v>931</v>
      </c>
      <c r="U113" s="4" t="s">
        <v>923</v>
      </c>
      <c r="V113" s="4" t="s">
        <v>881</v>
      </c>
      <c r="Y113" s="4" t="s">
        <v>932</v>
      </c>
      <c r="AB113" s="4" t="s">
        <v>933</v>
      </c>
      <c r="AI113" s="4" t="s">
        <v>934</v>
      </c>
      <c r="AJ113" s="4" t="s">
        <v>935</v>
      </c>
      <c r="AK113" s="4" t="s">
        <v>936</v>
      </c>
      <c r="AL113" s="4" t="s">
        <v>936</v>
      </c>
      <c r="AM113" s="4" t="s">
        <v>937</v>
      </c>
    </row>
    <row r="114" spans="1:39" ht="15.75" customHeight="1" x14ac:dyDescent="0.2">
      <c r="A114" s="4" t="s">
        <v>855</v>
      </c>
      <c r="D114" s="4" t="s">
        <v>69</v>
      </c>
      <c r="E114" s="1" t="str">
        <f t="shared" si="24"/>
        <v>9</v>
      </c>
      <c r="F114" s="1" t="str">
        <f t="shared" si="25"/>
        <v>Jacobs_etal_2018</v>
      </c>
      <c r="G114" s="1" t="str">
        <f t="shared" si="26"/>
        <v>Jacobs</v>
      </c>
      <c r="H114" s="1" t="str">
        <f t="shared" si="27"/>
        <v>etal</v>
      </c>
      <c r="I114" s="1" t="str">
        <f t="shared" si="28"/>
        <v>2018</v>
      </c>
      <c r="J114" s="1" t="str">
        <f t="shared" si="29"/>
        <v>10.1002%2Fcne.24349</v>
      </c>
      <c r="K114" s="1" t="str">
        <f t="shared" si="30"/>
        <v>Jacobs_etal_2018_Table5</v>
      </c>
      <c r="L114" s="1" t="str">
        <f t="shared" si="31"/>
        <v>10.1002%2Fcne.24349_Table5</v>
      </c>
      <c r="M114" s="1" t="str">
        <f t="array" ref="M114">IFERROR(INDEX(FileList!$A$1:$A$1000,MATCH(TRUE(),EXACT(L114,IFERROR(_xlfn.TEXTBEFORE(FileList!$A$1:$A$1000,".tsv"),"")),0)),"notfound")</f>
        <v>10.1002%2Fcne.24349_Table5.tsv</v>
      </c>
      <c r="P114" s="4" t="s">
        <v>40</v>
      </c>
      <c r="R114" s="4" t="s">
        <v>1004</v>
      </c>
      <c r="T114" s="4" t="s">
        <v>1005</v>
      </c>
      <c r="U114" s="4" t="s">
        <v>54</v>
      </c>
      <c r="V114" s="4" t="s">
        <v>41</v>
      </c>
      <c r="Y114" s="4" t="s">
        <v>1006</v>
      </c>
      <c r="AB114" s="4" t="s">
        <v>1007</v>
      </c>
      <c r="AI114" s="4" t="s">
        <v>1008</v>
      </c>
      <c r="AJ114" s="4" t="s">
        <v>1009</v>
      </c>
      <c r="AK114" s="4" t="s">
        <v>62</v>
      </c>
      <c r="AL114" s="4" t="s">
        <v>62</v>
      </c>
      <c r="AM114" s="4" t="s">
        <v>1010</v>
      </c>
    </row>
    <row r="115" spans="1:39" ht="15.75" customHeight="1" x14ac:dyDescent="0.2">
      <c r="A115" s="4" t="s">
        <v>850</v>
      </c>
      <c r="D115" s="5" t="s">
        <v>76</v>
      </c>
      <c r="E115" s="1" t="str">
        <f t="shared" si="24"/>
        <v>9</v>
      </c>
      <c r="F115" s="1" t="str">
        <f t="shared" si="25"/>
        <v>Jacobs_etal_2015</v>
      </c>
      <c r="G115" s="1" t="str">
        <f t="shared" si="26"/>
        <v>Jacobs</v>
      </c>
      <c r="H115" s="1" t="str">
        <f t="shared" si="27"/>
        <v>etal</v>
      </c>
      <c r="I115" s="1" t="str">
        <f t="shared" si="28"/>
        <v>2015</v>
      </c>
      <c r="J115" s="1" t="str">
        <f t="shared" si="29"/>
        <v>10.1007%2Fs00429-014-0830-9</v>
      </c>
      <c r="K115" s="1" t="str">
        <f t="shared" si="30"/>
        <v>Jacobs_etal_2015_Table1</v>
      </c>
      <c r="L115" s="1" t="str">
        <f t="shared" si="31"/>
        <v>10.1007%2Fs00429-014-0830-9_Table1</v>
      </c>
      <c r="M115" s="1" t="str">
        <f t="array" ref="M115">IFERROR(INDEX(FileList!$A$1:$A$1000,MATCH(TRUE(),EXACT(L115,IFERROR(_xlfn.TEXTBEFORE(FileList!$A$1:$A$1000,".tsv"),"")),0)),"notfound")</f>
        <v>notfound</v>
      </c>
      <c r="N115" s="6" t="s">
        <v>1027</v>
      </c>
    </row>
    <row r="116" spans="1:39" ht="15.75" customHeight="1" x14ac:dyDescent="0.2">
      <c r="A116" s="4" t="s">
        <v>850</v>
      </c>
      <c r="D116" s="5" t="s">
        <v>67</v>
      </c>
      <c r="E116" s="1" t="str">
        <f t="shared" si="24"/>
        <v>9</v>
      </c>
      <c r="F116" s="1" t="str">
        <f t="shared" si="25"/>
        <v>Jacobs_etal_2015</v>
      </c>
      <c r="G116" s="1" t="str">
        <f t="shared" si="26"/>
        <v>Jacobs</v>
      </c>
      <c r="H116" s="1" t="str">
        <f t="shared" si="27"/>
        <v>etal</v>
      </c>
      <c r="I116" s="1" t="str">
        <f t="shared" si="28"/>
        <v>2015</v>
      </c>
      <c r="J116" s="1" t="str">
        <f t="shared" si="29"/>
        <v>10.1007%2Fs00429-014-0830-9</v>
      </c>
      <c r="K116" s="1" t="str">
        <f t="shared" si="30"/>
        <v>Jacobs_etal_2015_Table3</v>
      </c>
      <c r="L116" s="1" t="str">
        <f t="shared" si="31"/>
        <v>10.1007%2Fs00429-014-0830-9_Table3</v>
      </c>
      <c r="M116" s="1" t="str">
        <f t="array" ref="M116">IFERROR(INDEX(FileList!$A$1:$A$1000,MATCH(TRUE(),EXACT(L116,IFERROR(_xlfn.TEXTBEFORE(FileList!$A$1:$A$1000,".tsv"),"")),0)),"notfound")</f>
        <v>notfound</v>
      </c>
      <c r="N116" t="s">
        <v>1026</v>
      </c>
    </row>
    <row r="117" spans="1:39" ht="15.75" customHeight="1" x14ac:dyDescent="0.2">
      <c r="A117" s="4" t="s">
        <v>850</v>
      </c>
      <c r="D117" t="s">
        <v>39</v>
      </c>
      <c r="E117" s="1" t="str">
        <f t="shared" si="24"/>
        <v>9</v>
      </c>
      <c r="F117" s="1" t="str">
        <f t="shared" si="25"/>
        <v>Jacobs_etal_2015</v>
      </c>
      <c r="G117" s="1" t="str">
        <f t="shared" si="26"/>
        <v>Jacobs</v>
      </c>
      <c r="H117" s="1" t="str">
        <f t="shared" si="27"/>
        <v>etal</v>
      </c>
      <c r="I117" s="1" t="str">
        <f t="shared" si="28"/>
        <v>2015</v>
      </c>
      <c r="J117" s="1" t="str">
        <f t="shared" si="29"/>
        <v>10.1007%2Fs00429-014-0830-9</v>
      </c>
      <c r="K117" s="1" t="str">
        <f t="shared" si="30"/>
        <v>Jacobs_etal_2015_Table4</v>
      </c>
      <c r="L117" s="1" t="str">
        <f t="shared" si="31"/>
        <v>10.1007%2Fs00429-014-0830-9_Table4</v>
      </c>
      <c r="M117" s="1" t="str">
        <f t="array" ref="M117">IFERROR(INDEX(FileList!$A$1:$A$1000,MATCH(TRUE(),EXACT(L117,IFERROR(_xlfn.TEXTBEFORE(FileList!$A$1:$A$1000,".tsv"),"")),0)),"notfound")</f>
        <v>notfound</v>
      </c>
      <c r="N117" t="s">
        <v>1025</v>
      </c>
    </row>
    <row r="118" spans="1:39" ht="15.75" customHeight="1" x14ac:dyDescent="0.2">
      <c r="A118" s="3" t="s">
        <v>438</v>
      </c>
      <c r="D118" s="3" t="s">
        <v>76</v>
      </c>
      <c r="E118" s="1" t="str">
        <f t="shared" si="24"/>
        <v>8</v>
      </c>
      <c r="F118" s="1" t="str">
        <f t="shared" si="25"/>
        <v>JardimMesseder_etal_2017</v>
      </c>
      <c r="G118" s="1" t="str">
        <f t="shared" si="26"/>
        <v>JardimMesseder</v>
      </c>
      <c r="H118" s="1" t="str">
        <f t="shared" si="27"/>
        <v>etal</v>
      </c>
      <c r="I118" s="1" t="str">
        <f t="shared" si="28"/>
        <v>2017</v>
      </c>
      <c r="J118" s="1" t="str">
        <f t="shared" si="29"/>
        <v>10.3389%2Ffnana.2017.00118</v>
      </c>
      <c r="K118" s="1" t="str">
        <f t="shared" si="30"/>
        <v>JardimMesseder_etal_2017_Table1</v>
      </c>
      <c r="L118" s="1" t="str">
        <f t="shared" si="31"/>
        <v>10.3389%2Ffnana.2017.00118_Table1</v>
      </c>
      <c r="M118" s="1" t="str">
        <f t="array" ref="M118">IFERROR(INDEX(FileList!$A$1:$A$1000,MATCH(TRUE(),EXACT(L118,IFERROR(_xlfn.TEXTBEFORE(FileList!$A$1:$A$1000,".tsv"),"")),0)),"notfound")</f>
        <v>10.3389%2Ffnana.2017.00118_Table1.tsv</v>
      </c>
      <c r="N118" s="3" t="s">
        <v>439</v>
      </c>
      <c r="P118" s="3" t="s">
        <v>40</v>
      </c>
      <c r="Q118" s="3" t="s">
        <v>50</v>
      </c>
      <c r="R118" s="3" t="s">
        <v>440</v>
      </c>
      <c r="S118" s="3" t="s">
        <v>52</v>
      </c>
      <c r="T118" s="3" t="s">
        <v>441</v>
      </c>
      <c r="U118" s="3" t="s">
        <v>54</v>
      </c>
      <c r="V118" s="3" t="s">
        <v>41</v>
      </c>
      <c r="W118" s="3" t="s">
        <v>190</v>
      </c>
      <c r="X118" s="3" t="s">
        <v>442</v>
      </c>
      <c r="Y118" s="3" t="s">
        <v>57</v>
      </c>
      <c r="Z118" s="3" t="s">
        <v>57</v>
      </c>
      <c r="AG118" s="3" t="s">
        <v>58</v>
      </c>
      <c r="AH118" s="3" t="s">
        <v>443</v>
      </c>
      <c r="AI118" s="3" t="s">
        <v>278</v>
      </c>
      <c r="AJ118" s="3" t="s">
        <v>444</v>
      </c>
      <c r="AK118" s="3" t="s">
        <v>62</v>
      </c>
      <c r="AL118" s="3" t="s">
        <v>62</v>
      </c>
      <c r="AM118" s="3" t="s">
        <v>63</v>
      </c>
    </row>
    <row r="119" spans="1:39" ht="15.75" customHeight="1" x14ac:dyDescent="0.2">
      <c r="A119" s="3" t="s">
        <v>445</v>
      </c>
      <c r="D119" s="3" t="s">
        <v>118</v>
      </c>
      <c r="E119" s="1" t="str">
        <f t="shared" si="24"/>
        <v>4</v>
      </c>
      <c r="F119" s="1" t="str">
        <f t="shared" si="25"/>
        <v>Johansen_etal_2024</v>
      </c>
      <c r="G119" s="1" t="str">
        <f t="shared" si="26"/>
        <v>Johansen</v>
      </c>
      <c r="H119" s="1" t="str">
        <f t="shared" si="27"/>
        <v>etal</v>
      </c>
      <c r="I119" s="1" t="str">
        <f t="shared" si="28"/>
        <v>2024</v>
      </c>
      <c r="J119" s="1" t="str">
        <f t="shared" si="29"/>
        <v>10.1523%2FJNEUROSCI.1750-23.2024</v>
      </c>
      <c r="K119" s="1" t="str">
        <f t="shared" si="30"/>
        <v>Johansen_etal_2024_Table2</v>
      </c>
      <c r="L119" s="1" t="str">
        <f t="shared" si="31"/>
        <v>10.1523%2FJNEUROSCI.1750-23.2024_Table2</v>
      </c>
      <c r="M119" s="1" t="str">
        <f t="array" ref="M119">IFERROR(INDEX(FileList!$A$1:$A$1000,MATCH(TRUE(),EXACT(L119,IFERROR(_xlfn.TEXTBEFORE(FileList!$A$1:$A$1000,".tsv"),"")),0)),"notfound")</f>
        <v>10.1523%2FJNEUROSCI.1750-23.2024_Table2.tsv</v>
      </c>
      <c r="N119" s="3" t="s">
        <v>446</v>
      </c>
      <c r="V119" s="3" t="s">
        <v>41</v>
      </c>
      <c r="AI119" s="3" t="s">
        <v>447</v>
      </c>
      <c r="AJ119" s="3" t="s">
        <v>448</v>
      </c>
      <c r="AL119" s="3" t="s">
        <v>62</v>
      </c>
      <c r="AM119" s="3" t="s">
        <v>449</v>
      </c>
    </row>
    <row r="120" spans="1:39" ht="15.75" customHeight="1" x14ac:dyDescent="0.2">
      <c r="A120" s="3" t="s">
        <v>450</v>
      </c>
      <c r="D120" s="3" t="s">
        <v>76</v>
      </c>
      <c r="E120" s="1" t="str">
        <f t="shared" si="24"/>
        <v>8</v>
      </c>
      <c r="F120" s="1" t="str">
        <f t="shared" si="25"/>
        <v>Karbowski__2007</v>
      </c>
      <c r="G120" s="1" t="str">
        <f t="shared" si="26"/>
        <v>Karbowski</v>
      </c>
      <c r="H120" s="1" t="str">
        <f t="shared" si="27"/>
        <v/>
      </c>
      <c r="I120" s="1" t="str">
        <f t="shared" si="28"/>
        <v>2007</v>
      </c>
      <c r="J120" s="1" t="str">
        <f t="shared" si="29"/>
        <v>10.1186%2F1741-7007-5-18</v>
      </c>
      <c r="K120" s="1" t="str">
        <f t="shared" si="30"/>
        <v>Karbowski__2007_Table1</v>
      </c>
      <c r="L120" s="1" t="str">
        <f t="shared" si="31"/>
        <v>10.1186%2F1741-7007-5-18_Table1</v>
      </c>
      <c r="M120" s="1" t="str">
        <f t="array" ref="M120">IFERROR(INDEX(FileList!$A$1:$A$1000,MATCH(TRUE(),EXACT(L120,IFERROR(_xlfn.TEXTBEFORE(FileList!$A$1:$A$1000,".tsv"),"")),0)),"notfound")</f>
        <v>notfound</v>
      </c>
      <c r="N120" s="3" t="s">
        <v>451</v>
      </c>
      <c r="V120" s="3" t="s">
        <v>41</v>
      </c>
      <c r="AG120" s="3" t="s">
        <v>452</v>
      </c>
      <c r="AI120" s="3" t="s">
        <v>453</v>
      </c>
      <c r="AJ120" s="3" t="s">
        <v>139</v>
      </c>
      <c r="AK120" s="3" t="s">
        <v>62</v>
      </c>
      <c r="AL120" s="3" t="s">
        <v>140</v>
      </c>
      <c r="AM120" s="3" t="s">
        <v>454</v>
      </c>
    </row>
    <row r="121" spans="1:39" ht="15.75" customHeight="1" x14ac:dyDescent="0.2">
      <c r="A121" s="3" t="s">
        <v>450</v>
      </c>
      <c r="D121" s="3" t="s">
        <v>197</v>
      </c>
      <c r="E121" s="1" t="str">
        <f t="shared" si="24"/>
        <v>8</v>
      </c>
      <c r="F121" s="1" t="str">
        <f t="shared" si="25"/>
        <v>Karbowski__2007</v>
      </c>
      <c r="G121" s="1" t="str">
        <f t="shared" si="26"/>
        <v>Karbowski</v>
      </c>
      <c r="H121" s="1" t="str">
        <f t="shared" si="27"/>
        <v/>
      </c>
      <c r="I121" s="1" t="str">
        <f t="shared" si="28"/>
        <v>2007</v>
      </c>
      <c r="J121" s="1" t="str">
        <f t="shared" si="29"/>
        <v>10.1186%2F1741-7007-5-18</v>
      </c>
      <c r="K121" s="1" t="str">
        <f t="shared" si="30"/>
        <v>Karbowski__2007_TableS1</v>
      </c>
      <c r="L121" s="1" t="str">
        <f t="shared" si="31"/>
        <v>10.1186%2F1741-7007-5-18_TableS1</v>
      </c>
      <c r="M121" s="1" t="str">
        <f t="array" ref="M121">IFERROR(INDEX(FileList!$A$1:$A$1000,MATCH(TRUE(),EXACT(L121,IFERROR(_xlfn.TEXTBEFORE(FileList!$A$1:$A$1000,".tsv"),"")),0)),"notfound")</f>
        <v>10.1186%2F1741-7007-5-18_TableS1.tsv</v>
      </c>
      <c r="N121" s="3" t="s">
        <v>455</v>
      </c>
      <c r="V121" s="3" t="s">
        <v>41</v>
      </c>
      <c r="AG121" s="3" t="s">
        <v>452</v>
      </c>
      <c r="AI121" s="3" t="s">
        <v>456</v>
      </c>
      <c r="AJ121" s="3" t="s">
        <v>139</v>
      </c>
      <c r="AK121" s="3" t="s">
        <v>457</v>
      </c>
      <c r="AL121" s="3" t="s">
        <v>140</v>
      </c>
      <c r="AM121" s="3" t="s">
        <v>458</v>
      </c>
    </row>
    <row r="122" spans="1:39" ht="15.75" customHeight="1" x14ac:dyDescent="0.2">
      <c r="A122" s="3" t="s">
        <v>450</v>
      </c>
      <c r="D122" s="3" t="s">
        <v>340</v>
      </c>
      <c r="E122" s="1" t="str">
        <f t="shared" si="24"/>
        <v>8</v>
      </c>
      <c r="F122" s="1" t="str">
        <f t="shared" si="25"/>
        <v>Karbowski__2007</v>
      </c>
      <c r="G122" s="1" t="str">
        <f t="shared" si="26"/>
        <v>Karbowski</v>
      </c>
      <c r="H122" s="1" t="str">
        <f t="shared" si="27"/>
        <v/>
      </c>
      <c r="I122" s="1" t="str">
        <f t="shared" si="28"/>
        <v>2007</v>
      </c>
      <c r="J122" s="1" t="str">
        <f t="shared" si="29"/>
        <v>10.1186%2F1741-7007-5-18</v>
      </c>
      <c r="K122" s="1" t="str">
        <f t="shared" si="30"/>
        <v>Karbowski__2007_TableS2</v>
      </c>
      <c r="L122" s="1" t="str">
        <f t="shared" si="31"/>
        <v>10.1186%2F1741-7007-5-18_TableS2</v>
      </c>
      <c r="M122" s="1" t="str">
        <f t="array" ref="M122">IFERROR(INDEX(FileList!$A$1:$A$1000,MATCH(TRUE(),EXACT(L122,IFERROR(_xlfn.TEXTBEFORE(FileList!$A$1:$A$1000,".tsv"),"")),0)),"notfound")</f>
        <v>10.1186%2F1741-7007-5-18_TableS2.tsv</v>
      </c>
      <c r="N122" s="3" t="s">
        <v>459</v>
      </c>
      <c r="V122" s="3" t="s">
        <v>41</v>
      </c>
      <c r="AG122" s="3" t="s">
        <v>452</v>
      </c>
      <c r="AI122" s="3" t="s">
        <v>460</v>
      </c>
      <c r="AJ122" s="3" t="s">
        <v>139</v>
      </c>
      <c r="AK122" s="3" t="s">
        <v>457</v>
      </c>
      <c r="AL122" s="3" t="s">
        <v>140</v>
      </c>
      <c r="AM122" s="3" t="s">
        <v>458</v>
      </c>
    </row>
    <row r="123" spans="1:39" ht="15.75" customHeight="1" x14ac:dyDescent="0.2">
      <c r="A123" s="3" t="s">
        <v>450</v>
      </c>
      <c r="D123" s="3" t="s">
        <v>418</v>
      </c>
      <c r="E123" s="1" t="str">
        <f t="shared" si="24"/>
        <v>8</v>
      </c>
      <c r="F123" s="1" t="str">
        <f t="shared" si="25"/>
        <v>Karbowski__2007</v>
      </c>
      <c r="G123" s="1" t="str">
        <f t="shared" si="26"/>
        <v>Karbowski</v>
      </c>
      <c r="H123" s="1" t="str">
        <f t="shared" si="27"/>
        <v/>
      </c>
      <c r="I123" s="1" t="str">
        <f t="shared" si="28"/>
        <v>2007</v>
      </c>
      <c r="J123" s="1" t="str">
        <f t="shared" si="29"/>
        <v>10.1186%2F1741-7007-5-18</v>
      </c>
      <c r="K123" s="1" t="str">
        <f t="shared" si="30"/>
        <v>Karbowski__2007_TableS3</v>
      </c>
      <c r="L123" s="1" t="str">
        <f t="shared" si="31"/>
        <v>10.1186%2F1741-7007-5-18_TableS3</v>
      </c>
      <c r="M123" s="1" t="str">
        <f t="array" ref="M123">IFERROR(INDEX(FileList!$A$1:$A$1000,MATCH(TRUE(),EXACT(L123,IFERROR(_xlfn.TEXTBEFORE(FileList!$A$1:$A$1000,".tsv"),"")),0)),"notfound")</f>
        <v>10.1186%2F1741-7007-5-18_TableS3.tsv</v>
      </c>
      <c r="N123" s="3" t="s">
        <v>461</v>
      </c>
      <c r="V123" s="3" t="s">
        <v>41</v>
      </c>
      <c r="AG123" s="3" t="s">
        <v>452</v>
      </c>
      <c r="AI123" s="3" t="s">
        <v>460</v>
      </c>
      <c r="AJ123" s="3" t="s">
        <v>139</v>
      </c>
      <c r="AK123" s="3" t="s">
        <v>457</v>
      </c>
      <c r="AL123" s="3" t="s">
        <v>140</v>
      </c>
      <c r="AM123" s="3" t="s">
        <v>458</v>
      </c>
    </row>
    <row r="124" spans="1:39" ht="15.75" customHeight="1" x14ac:dyDescent="0.2">
      <c r="A124" s="3" t="s">
        <v>450</v>
      </c>
      <c r="D124" s="3" t="s">
        <v>462</v>
      </c>
      <c r="E124" s="1" t="str">
        <f t="shared" si="24"/>
        <v>8</v>
      </c>
      <c r="F124" s="1" t="str">
        <f t="shared" si="25"/>
        <v>Karbowski__2007</v>
      </c>
      <c r="G124" s="1" t="str">
        <f t="shared" si="26"/>
        <v>Karbowski</v>
      </c>
      <c r="H124" s="1" t="str">
        <f t="shared" si="27"/>
        <v/>
      </c>
      <c r="I124" s="1" t="str">
        <f t="shared" si="28"/>
        <v>2007</v>
      </c>
      <c r="J124" s="1" t="str">
        <f t="shared" si="29"/>
        <v>10.1186%2F1741-7007-5-18</v>
      </c>
      <c r="K124" s="1" t="str">
        <f t="shared" si="30"/>
        <v>Karbowski__2007_TableS4</v>
      </c>
      <c r="L124" s="1" t="str">
        <f t="shared" si="31"/>
        <v>10.1186%2F1741-7007-5-18_TableS4</v>
      </c>
      <c r="M124" s="1" t="str">
        <f t="array" ref="M124">IFERROR(INDEX(FileList!$A$1:$A$1000,MATCH(TRUE(),EXACT(L124,IFERROR(_xlfn.TEXTBEFORE(FileList!$A$1:$A$1000,".tsv"),"")),0)),"notfound")</f>
        <v>10.1186%2F1741-7007-5-18_TableS4.tsv</v>
      </c>
      <c r="N124" s="3" t="s">
        <v>463</v>
      </c>
      <c r="V124" s="3" t="s">
        <v>41</v>
      </c>
      <c r="AG124" s="3" t="s">
        <v>452</v>
      </c>
      <c r="AI124" s="3" t="s">
        <v>460</v>
      </c>
      <c r="AJ124" s="3" t="s">
        <v>139</v>
      </c>
      <c r="AK124" s="3" t="s">
        <v>457</v>
      </c>
      <c r="AL124" s="3" t="s">
        <v>140</v>
      </c>
      <c r="AM124" s="3" t="s">
        <v>458</v>
      </c>
    </row>
    <row r="125" spans="1:39" ht="15.75" customHeight="1" x14ac:dyDescent="0.2">
      <c r="A125" s="3" t="s">
        <v>450</v>
      </c>
      <c r="D125" s="3" t="s">
        <v>464</v>
      </c>
      <c r="E125" s="1" t="str">
        <f t="shared" si="24"/>
        <v>8</v>
      </c>
      <c r="F125" s="1" t="str">
        <f t="shared" si="25"/>
        <v>Karbowski__2007</v>
      </c>
      <c r="G125" s="1" t="str">
        <f t="shared" si="26"/>
        <v>Karbowski</v>
      </c>
      <c r="H125" s="1" t="str">
        <f t="shared" si="27"/>
        <v/>
      </c>
      <c r="I125" s="1" t="str">
        <f t="shared" si="28"/>
        <v>2007</v>
      </c>
      <c r="J125" s="1" t="str">
        <f t="shared" si="29"/>
        <v>10.1186%2F1741-7007-5-18</v>
      </c>
      <c r="K125" s="1" t="str">
        <f t="shared" si="30"/>
        <v>Karbowski__2007_TableS5</v>
      </c>
      <c r="L125" s="1" t="str">
        <f t="shared" si="31"/>
        <v>10.1186%2F1741-7007-5-18_TableS5</v>
      </c>
      <c r="M125" s="1" t="str">
        <f t="array" ref="M125">IFERROR(INDEX(FileList!$A$1:$A$1000,MATCH(TRUE(),EXACT(L125,IFERROR(_xlfn.TEXTBEFORE(FileList!$A$1:$A$1000,".tsv"),"")),0)),"notfound")</f>
        <v>10.1186%2F1741-7007-5-18_TableS5.tsv</v>
      </c>
      <c r="N125" s="3" t="s">
        <v>465</v>
      </c>
      <c r="V125" s="3" t="s">
        <v>41</v>
      </c>
      <c r="AG125" s="3" t="s">
        <v>452</v>
      </c>
      <c r="AI125" s="3" t="s">
        <v>460</v>
      </c>
      <c r="AJ125" s="3" t="s">
        <v>139</v>
      </c>
      <c r="AK125" s="3" t="s">
        <v>457</v>
      </c>
      <c r="AL125" s="3" t="s">
        <v>140</v>
      </c>
      <c r="AM125" s="3" t="s">
        <v>458</v>
      </c>
    </row>
    <row r="126" spans="1:39" ht="15.75" customHeight="1" x14ac:dyDescent="0.2">
      <c r="A126" s="3" t="s">
        <v>450</v>
      </c>
      <c r="D126" s="3" t="s">
        <v>466</v>
      </c>
      <c r="E126" s="1" t="str">
        <f t="shared" si="24"/>
        <v>8</v>
      </c>
      <c r="F126" s="1" t="str">
        <f t="shared" si="25"/>
        <v>Karbowski__2007</v>
      </c>
      <c r="G126" s="1" t="str">
        <f t="shared" si="26"/>
        <v>Karbowski</v>
      </c>
      <c r="H126" s="1" t="str">
        <f t="shared" si="27"/>
        <v/>
      </c>
      <c r="I126" s="1" t="str">
        <f t="shared" si="28"/>
        <v>2007</v>
      </c>
      <c r="J126" s="1" t="str">
        <f t="shared" si="29"/>
        <v>10.1186%2F1741-7007-5-18</v>
      </c>
      <c r="K126" s="1" t="str">
        <f t="shared" si="30"/>
        <v>Karbowski__2007_TableS6</v>
      </c>
      <c r="L126" s="1" t="str">
        <f t="shared" si="31"/>
        <v>10.1186%2F1741-7007-5-18_TableS6</v>
      </c>
      <c r="M126" s="1" t="str">
        <f t="array" ref="M126">IFERROR(INDEX(FileList!$A$1:$A$1000,MATCH(TRUE(),EXACT(L126,IFERROR(_xlfn.TEXTBEFORE(FileList!$A$1:$A$1000,".tsv"),"")),0)),"notfound")</f>
        <v>10.1186%2F1741-7007-5-18_TableS6.tsv</v>
      </c>
      <c r="N126" s="3" t="s">
        <v>467</v>
      </c>
      <c r="V126" s="3" t="s">
        <v>41</v>
      </c>
      <c r="AG126" s="3" t="s">
        <v>452</v>
      </c>
      <c r="AI126" s="3" t="s">
        <v>460</v>
      </c>
      <c r="AJ126" s="3" t="s">
        <v>139</v>
      </c>
      <c r="AK126" s="3" t="s">
        <v>457</v>
      </c>
      <c r="AL126" s="3" t="s">
        <v>140</v>
      </c>
      <c r="AM126" s="3" t="s">
        <v>458</v>
      </c>
    </row>
    <row r="127" spans="1:39" ht="15.75" customHeight="1" x14ac:dyDescent="0.2">
      <c r="A127" s="3" t="s">
        <v>450</v>
      </c>
      <c r="D127" s="3" t="s">
        <v>468</v>
      </c>
      <c r="E127" s="1" t="str">
        <f t="shared" si="24"/>
        <v>8</v>
      </c>
      <c r="F127" s="1" t="str">
        <f t="shared" si="25"/>
        <v>Karbowski__2007</v>
      </c>
      <c r="G127" s="1" t="str">
        <f t="shared" si="26"/>
        <v>Karbowski</v>
      </c>
      <c r="H127" s="1" t="str">
        <f t="shared" si="27"/>
        <v/>
      </c>
      <c r="I127" s="1" t="str">
        <f t="shared" si="28"/>
        <v>2007</v>
      </c>
      <c r="J127" s="1" t="str">
        <f t="shared" si="29"/>
        <v>10.1186%2F1741-7007-5-18</v>
      </c>
      <c r="K127" s="1" t="str">
        <f t="shared" si="30"/>
        <v>Karbowski__2007_TableS7</v>
      </c>
      <c r="L127" s="1" t="str">
        <f t="shared" si="31"/>
        <v>10.1186%2F1741-7007-5-18_TableS7</v>
      </c>
      <c r="M127" s="1" t="str">
        <f t="array" ref="M127">IFERROR(INDEX(FileList!$A$1:$A$1000,MATCH(TRUE(),EXACT(L127,IFERROR(_xlfn.TEXTBEFORE(FileList!$A$1:$A$1000,".tsv"),"")),0)),"notfound")</f>
        <v>10.1186%2F1741-7007-5-18_TableS7.tsv</v>
      </c>
      <c r="N127" s="3" t="s">
        <v>469</v>
      </c>
      <c r="V127" s="3" t="s">
        <v>41</v>
      </c>
      <c r="AG127" s="3" t="s">
        <v>452</v>
      </c>
      <c r="AI127" s="3" t="s">
        <v>460</v>
      </c>
      <c r="AJ127" s="3" t="s">
        <v>139</v>
      </c>
      <c r="AK127" s="3" t="s">
        <v>457</v>
      </c>
      <c r="AL127" s="3" t="s">
        <v>140</v>
      </c>
      <c r="AM127" s="3" t="s">
        <v>458</v>
      </c>
    </row>
    <row r="128" spans="1:39" ht="15.75" customHeight="1" x14ac:dyDescent="0.2">
      <c r="A128" s="3" t="s">
        <v>450</v>
      </c>
      <c r="D128" s="3" t="s">
        <v>470</v>
      </c>
      <c r="E128" s="1" t="str">
        <f t="shared" si="24"/>
        <v>8</v>
      </c>
      <c r="F128" s="1" t="str">
        <f t="shared" si="25"/>
        <v>Karbowski__2007</v>
      </c>
      <c r="G128" s="1" t="str">
        <f t="shared" si="26"/>
        <v>Karbowski</v>
      </c>
      <c r="H128" s="1" t="str">
        <f t="shared" si="27"/>
        <v/>
      </c>
      <c r="I128" s="1" t="str">
        <f t="shared" si="28"/>
        <v>2007</v>
      </c>
      <c r="J128" s="1" t="str">
        <f t="shared" si="29"/>
        <v>10.1186%2F1741-7007-5-18</v>
      </c>
      <c r="K128" s="1" t="str">
        <f t="shared" si="30"/>
        <v>Karbowski__2007_TableS8</v>
      </c>
      <c r="L128" s="1" t="str">
        <f t="shared" si="31"/>
        <v>10.1186%2F1741-7007-5-18_TableS8</v>
      </c>
      <c r="M128" s="1" t="str">
        <f t="array" ref="M128">IFERROR(INDEX(FileList!$A$1:$A$1000,MATCH(TRUE(),EXACT(L128,IFERROR(_xlfn.TEXTBEFORE(FileList!$A$1:$A$1000,".tsv"),"")),0)),"notfound")</f>
        <v>10.1186%2F1741-7007-5-18_TableS8.tsv</v>
      </c>
      <c r="N128" s="3" t="s">
        <v>471</v>
      </c>
      <c r="V128" s="3" t="s">
        <v>41</v>
      </c>
      <c r="AG128" s="3" t="s">
        <v>452</v>
      </c>
      <c r="AI128" s="3" t="s">
        <v>460</v>
      </c>
      <c r="AJ128" s="3" t="s">
        <v>139</v>
      </c>
      <c r="AK128" s="3" t="s">
        <v>457</v>
      </c>
      <c r="AL128" s="3" t="s">
        <v>140</v>
      </c>
      <c r="AM128" s="3" t="s">
        <v>458</v>
      </c>
    </row>
    <row r="129" spans="1:39" ht="15.75" customHeight="1" x14ac:dyDescent="0.2">
      <c r="A129" s="3" t="s">
        <v>450</v>
      </c>
      <c r="D129" s="3" t="s">
        <v>472</v>
      </c>
      <c r="E129" s="1" t="str">
        <f t="shared" si="24"/>
        <v>8</v>
      </c>
      <c r="F129" s="1" t="str">
        <f t="shared" si="25"/>
        <v>Karbowski__2007</v>
      </c>
      <c r="G129" s="1" t="str">
        <f t="shared" si="26"/>
        <v>Karbowski</v>
      </c>
      <c r="H129" s="1" t="str">
        <f t="shared" si="27"/>
        <v/>
      </c>
      <c r="I129" s="1" t="str">
        <f t="shared" si="28"/>
        <v>2007</v>
      </c>
      <c r="J129" s="1" t="str">
        <f t="shared" si="29"/>
        <v>10.1186%2F1741-7007-5-18</v>
      </c>
      <c r="K129" s="1" t="str">
        <f t="shared" si="30"/>
        <v>Karbowski__2007_TableS9</v>
      </c>
      <c r="L129" s="1" t="str">
        <f t="shared" si="31"/>
        <v>10.1186%2F1741-7007-5-18_TableS9</v>
      </c>
      <c r="M129" s="1" t="str">
        <f t="array" ref="M129">IFERROR(INDEX(FileList!$A$1:$A$1000,MATCH(TRUE(),EXACT(L129,IFERROR(_xlfn.TEXTBEFORE(FileList!$A$1:$A$1000,".tsv"),"")),0)),"notfound")</f>
        <v>10.1186%2F1741-7007-5-18_TableS9.tsv</v>
      </c>
      <c r="N129" s="3" t="s">
        <v>473</v>
      </c>
      <c r="V129" s="3" t="s">
        <v>41</v>
      </c>
      <c r="AG129" s="3" t="s">
        <v>452</v>
      </c>
      <c r="AI129" s="3" t="s">
        <v>460</v>
      </c>
      <c r="AJ129" s="3" t="s">
        <v>139</v>
      </c>
      <c r="AK129" s="3" t="s">
        <v>457</v>
      </c>
      <c r="AL129" s="3" t="s">
        <v>140</v>
      </c>
      <c r="AM129" s="3" t="s">
        <v>458</v>
      </c>
    </row>
    <row r="130" spans="1:39" ht="15.75" customHeight="1" x14ac:dyDescent="0.2">
      <c r="A130" s="3" t="s">
        <v>450</v>
      </c>
      <c r="D130" s="3" t="s">
        <v>474</v>
      </c>
      <c r="E130" s="1" t="str">
        <f t="shared" si="24"/>
        <v>8</v>
      </c>
      <c r="F130" s="1" t="str">
        <f t="shared" si="25"/>
        <v>Karbowski__2007</v>
      </c>
      <c r="G130" s="1" t="str">
        <f t="shared" si="26"/>
        <v>Karbowski</v>
      </c>
      <c r="H130" s="1" t="str">
        <f t="shared" si="27"/>
        <v/>
      </c>
      <c r="I130" s="1" t="str">
        <f t="shared" si="28"/>
        <v>2007</v>
      </c>
      <c r="J130" s="1" t="str">
        <f t="shared" si="29"/>
        <v>10.1186%2F1741-7007-5-18</v>
      </c>
      <c r="K130" s="1" t="str">
        <f t="shared" si="30"/>
        <v>Karbowski__2007_TableS10</v>
      </c>
      <c r="L130" s="1" t="str">
        <f t="shared" si="31"/>
        <v>10.1186%2F1741-7007-5-18_TableS10</v>
      </c>
      <c r="M130" s="1" t="str">
        <f t="array" ref="M130">IFERROR(INDEX(FileList!$A$1:$A$1000,MATCH(TRUE(),EXACT(L130,IFERROR(_xlfn.TEXTBEFORE(FileList!$A$1:$A$1000,".tsv"),"")),0)),"notfound")</f>
        <v>10.1186%2F1741-7007-5-18_TableS10.tsv</v>
      </c>
      <c r="N130" s="3" t="s">
        <v>475</v>
      </c>
      <c r="V130" s="3" t="s">
        <v>41</v>
      </c>
      <c r="AG130" s="3" t="s">
        <v>452</v>
      </c>
      <c r="AI130" s="3" t="s">
        <v>460</v>
      </c>
      <c r="AJ130" s="3" t="s">
        <v>139</v>
      </c>
      <c r="AK130" s="3" t="s">
        <v>457</v>
      </c>
      <c r="AL130" s="3" t="s">
        <v>140</v>
      </c>
      <c r="AM130" s="3" t="s">
        <v>458</v>
      </c>
    </row>
    <row r="131" spans="1:39" ht="15.75" customHeight="1" x14ac:dyDescent="0.2">
      <c r="A131" s="3" t="s">
        <v>450</v>
      </c>
      <c r="D131" s="3" t="s">
        <v>476</v>
      </c>
      <c r="E131" s="1" t="str">
        <f t="shared" si="24"/>
        <v>8</v>
      </c>
      <c r="F131" s="1" t="str">
        <f t="shared" si="25"/>
        <v>Karbowski__2007</v>
      </c>
      <c r="G131" s="1" t="str">
        <f t="shared" si="26"/>
        <v>Karbowski</v>
      </c>
      <c r="H131" s="1" t="str">
        <f t="shared" si="27"/>
        <v/>
      </c>
      <c r="I131" s="1" t="str">
        <f t="shared" si="28"/>
        <v>2007</v>
      </c>
      <c r="J131" s="1" t="str">
        <f t="shared" si="29"/>
        <v>10.1186%2F1741-7007-5-18</v>
      </c>
      <c r="K131" s="1" t="str">
        <f t="shared" si="30"/>
        <v>Karbowski__2007_TableS11</v>
      </c>
      <c r="L131" s="1" t="str">
        <f t="shared" si="31"/>
        <v>10.1186%2F1741-7007-5-18_TableS11</v>
      </c>
      <c r="M131" s="1" t="str">
        <f t="array" ref="M131">IFERROR(INDEX(FileList!$A$1:$A$1000,MATCH(TRUE(),EXACT(L131,IFERROR(_xlfn.TEXTBEFORE(FileList!$A$1:$A$1000,".tsv"),"")),0)),"notfound")</f>
        <v>10.1186%2F1741-7007-5-18_TableS11.tsv</v>
      </c>
      <c r="N131" s="3" t="s">
        <v>477</v>
      </c>
      <c r="V131" s="3" t="s">
        <v>41</v>
      </c>
      <c r="AG131" s="3" t="s">
        <v>452</v>
      </c>
      <c r="AI131" s="3" t="s">
        <v>460</v>
      </c>
      <c r="AJ131" s="3" t="s">
        <v>139</v>
      </c>
      <c r="AK131" s="3" t="s">
        <v>457</v>
      </c>
      <c r="AL131" s="3" t="s">
        <v>140</v>
      </c>
      <c r="AM131" s="3" t="s">
        <v>458</v>
      </c>
    </row>
    <row r="132" spans="1:39" ht="15.75" customHeight="1" x14ac:dyDescent="0.2">
      <c r="A132" s="3" t="s">
        <v>450</v>
      </c>
      <c r="D132" s="3" t="s">
        <v>478</v>
      </c>
      <c r="E132" s="1" t="str">
        <f t="shared" ref="E132:E195" si="32">RIGHT(A132,1)</f>
        <v>8</v>
      </c>
      <c r="F132" s="1" t="str">
        <f t="shared" ref="F132:F195" si="33">G132 &amp; IF(H132&lt;&gt;"", "_" &amp; H132, "_") &amp; IF(I132&lt;&gt;"", "_" &amp; I132, "_") &amp; IF(B132&lt;&gt;"", "_" &amp; B132, "")</f>
        <v>Karbowski__2007</v>
      </c>
      <c r="G132" s="1" t="str">
        <f t="shared" ref="G132:G195" si="34">SUBSTITUTE(SUBSTITUTE(_xlfn.TEXTBEFORE(A132,","), "-", ""), " ", "")</f>
        <v>Karbowski</v>
      </c>
      <c r="H132" s="1" t="str">
        <f t="shared" ref="H132:H195" si="35">_xlfn.LET(
_xlpm.authors,_xlfn.TEXTBEFORE(A132," ("&amp;I132&amp;")"),
_xlpm.hasAmp,ISNUMBER(SEARCH("&amp;",_xlpm.authors)),
_xlpm.commasBeforeAmp,IF(_xlpm.hasAmp,LEN(_xlfn.TEXTBEFORE(_xlpm.authors,"&amp;"))-LEN(SUBSTITUTE(_xlfn.TEXTBEFORE(_xlpm.authors,"&amp;"),",","")),0),
IF(NOT(_xlpm.hasAmp),"",IF(_xlpm.commasBeforeAmp&gt;2,"etal",TRIM(_xlfn.TEXTBEFORE(_xlfn.TEXTAFTER(_xlpm.authors,"&amp; "),","))))
)</f>
        <v/>
      </c>
      <c r="I132" s="1" t="str">
        <f t="shared" ref="I132:I195" si="36">_xlfn.TEXTBEFORE(_xlfn.TEXTAFTER(A132, "("), ")")</f>
        <v>2007</v>
      </c>
      <c r="J132" s="1" t="str">
        <f t="shared" ref="J132:J195" si="37">_xlfn.LET(
_xlpm.doi,IF(C132&lt;&gt;"",C132,_xlfn.TEXTAFTER(A132,"https://doi.org/")),
SUBSTITUTE(
SUBSTITUTE(
SUBSTITUTE(
SUBSTITUTE(
_xlpm.doi,
"/","%2F"),
":","%3A"),
"&lt;","%3C"),
"&gt;","%3E")
)</f>
        <v>10.1186%2F1741-7007-5-18</v>
      </c>
      <c r="K132" s="1" t="str">
        <f t="shared" ref="K132:K195" si="38">TRIM(_xlfn.TEXTJOIN("_",FALSE(),F132,(SUBSTITUTE(SUBSTITUTE(D132," ",""), "_", ""))))</f>
        <v>Karbowski__2007_TableS12</v>
      </c>
      <c r="L132" s="1" t="str">
        <f t="shared" ref="L132:L195" si="39">J132 &amp; "_" &amp; SUBSTITUTE(SUBSTITUTE(SUBSTITUTE(D132,CHAR(160),"")," ",""),"_","")</f>
        <v>10.1186%2F1741-7007-5-18_TableS12</v>
      </c>
      <c r="M132" s="1" t="str">
        <f t="array" ref="M132">IFERROR(INDEX(FileList!$A$1:$A$1000,MATCH(TRUE(),EXACT(L132,IFERROR(_xlfn.TEXTBEFORE(FileList!$A$1:$A$1000,".tsv"),"")),0)),"notfound")</f>
        <v>10.1186%2F1741-7007-5-18_TableS12.tsv</v>
      </c>
      <c r="N132" s="3" t="s">
        <v>479</v>
      </c>
      <c r="V132" s="3" t="s">
        <v>41</v>
      </c>
      <c r="AG132" s="3" t="s">
        <v>452</v>
      </c>
      <c r="AI132" s="3" t="s">
        <v>460</v>
      </c>
      <c r="AJ132" s="3" t="s">
        <v>139</v>
      </c>
      <c r="AK132" s="3" t="s">
        <v>457</v>
      </c>
      <c r="AL132" s="3" t="s">
        <v>140</v>
      </c>
      <c r="AM132" s="3" t="s">
        <v>458</v>
      </c>
    </row>
    <row r="133" spans="1:39" ht="15.75" customHeight="1" x14ac:dyDescent="0.2">
      <c r="A133" s="3" t="s">
        <v>450</v>
      </c>
      <c r="D133" s="3" t="s">
        <v>480</v>
      </c>
      <c r="E133" s="1" t="str">
        <f t="shared" si="32"/>
        <v>8</v>
      </c>
      <c r="F133" s="1" t="str">
        <f t="shared" si="33"/>
        <v>Karbowski__2007</v>
      </c>
      <c r="G133" s="1" t="str">
        <f t="shared" si="34"/>
        <v>Karbowski</v>
      </c>
      <c r="H133" s="1" t="str">
        <f t="shared" si="35"/>
        <v/>
      </c>
      <c r="I133" s="1" t="str">
        <f t="shared" si="36"/>
        <v>2007</v>
      </c>
      <c r="J133" s="1" t="str">
        <f t="shared" si="37"/>
        <v>10.1186%2F1741-7007-5-18</v>
      </c>
      <c r="K133" s="1" t="str">
        <f t="shared" si="38"/>
        <v>Karbowski__2007_TableS13</v>
      </c>
      <c r="L133" s="1" t="str">
        <f t="shared" si="39"/>
        <v>10.1186%2F1741-7007-5-18_TableS13</v>
      </c>
      <c r="M133" s="1" t="str">
        <f t="array" ref="M133">IFERROR(INDEX(FileList!$A$1:$A$1000,MATCH(TRUE(),EXACT(L133,IFERROR(_xlfn.TEXTBEFORE(FileList!$A$1:$A$1000,".tsv"),"")),0)),"notfound")</f>
        <v>10.1186%2F1741-7007-5-18_TableS13.tsv</v>
      </c>
      <c r="N133" s="3" t="s">
        <v>481</v>
      </c>
      <c r="V133" s="3" t="s">
        <v>41</v>
      </c>
      <c r="AG133" s="3" t="s">
        <v>452</v>
      </c>
      <c r="AI133" s="3" t="s">
        <v>460</v>
      </c>
      <c r="AJ133" s="3" t="s">
        <v>139</v>
      </c>
      <c r="AK133" s="3" t="s">
        <v>457</v>
      </c>
      <c r="AL133" s="3" t="s">
        <v>140</v>
      </c>
      <c r="AM133" s="3" t="s">
        <v>458</v>
      </c>
    </row>
    <row r="134" spans="1:39" ht="15.75" customHeight="1" x14ac:dyDescent="0.2">
      <c r="A134" s="3" t="s">
        <v>450</v>
      </c>
      <c r="D134" s="3" t="s">
        <v>482</v>
      </c>
      <c r="E134" s="1" t="str">
        <f t="shared" si="32"/>
        <v>8</v>
      </c>
      <c r="F134" s="1" t="str">
        <f t="shared" si="33"/>
        <v>Karbowski__2007</v>
      </c>
      <c r="G134" s="1" t="str">
        <f t="shared" si="34"/>
        <v>Karbowski</v>
      </c>
      <c r="H134" s="1" t="str">
        <f t="shared" si="35"/>
        <v/>
      </c>
      <c r="I134" s="1" t="str">
        <f t="shared" si="36"/>
        <v>2007</v>
      </c>
      <c r="J134" s="1" t="str">
        <f t="shared" si="37"/>
        <v>10.1186%2F1741-7007-5-18</v>
      </c>
      <c r="K134" s="1" t="str">
        <f t="shared" si="38"/>
        <v>Karbowski__2007_TableS14</v>
      </c>
      <c r="L134" s="1" t="str">
        <f t="shared" si="39"/>
        <v>10.1186%2F1741-7007-5-18_TableS14</v>
      </c>
      <c r="M134" s="1" t="str">
        <f t="array" ref="M134">IFERROR(INDEX(FileList!$A$1:$A$1000,MATCH(TRUE(),EXACT(L134,IFERROR(_xlfn.TEXTBEFORE(FileList!$A$1:$A$1000,".tsv"),"")),0)),"notfound")</f>
        <v>10.1186%2F1741-7007-5-18_TableS14.tsv</v>
      </c>
      <c r="N134" s="3" t="s">
        <v>483</v>
      </c>
      <c r="V134" s="3" t="s">
        <v>41</v>
      </c>
      <c r="AG134" s="3" t="s">
        <v>452</v>
      </c>
      <c r="AI134" s="3" t="s">
        <v>460</v>
      </c>
      <c r="AJ134" s="3" t="s">
        <v>139</v>
      </c>
      <c r="AK134" s="3" t="s">
        <v>457</v>
      </c>
      <c r="AL134" s="3" t="s">
        <v>140</v>
      </c>
      <c r="AM134" s="3" t="s">
        <v>458</v>
      </c>
    </row>
    <row r="135" spans="1:39" ht="15" customHeight="1" x14ac:dyDescent="0.2">
      <c r="A135" s="3" t="s">
        <v>450</v>
      </c>
      <c r="D135" s="3" t="s">
        <v>484</v>
      </c>
      <c r="E135" s="1" t="str">
        <f t="shared" si="32"/>
        <v>8</v>
      </c>
      <c r="F135" s="1" t="str">
        <f t="shared" si="33"/>
        <v>Karbowski__2007</v>
      </c>
      <c r="G135" s="1" t="str">
        <f t="shared" si="34"/>
        <v>Karbowski</v>
      </c>
      <c r="H135" s="1" t="str">
        <f t="shared" si="35"/>
        <v/>
      </c>
      <c r="I135" s="1" t="str">
        <f t="shared" si="36"/>
        <v>2007</v>
      </c>
      <c r="J135" s="1" t="str">
        <f t="shared" si="37"/>
        <v>10.1186%2F1741-7007-5-18</v>
      </c>
      <c r="K135" s="1" t="str">
        <f t="shared" si="38"/>
        <v>Karbowski__2007_TableS15</v>
      </c>
      <c r="L135" s="1" t="str">
        <f t="shared" si="39"/>
        <v>10.1186%2F1741-7007-5-18_TableS15</v>
      </c>
      <c r="M135" s="1" t="str">
        <f t="array" ref="M135">IFERROR(INDEX(FileList!$A$1:$A$1000,MATCH(TRUE(),EXACT(L135,IFERROR(_xlfn.TEXTBEFORE(FileList!$A$1:$A$1000,".tsv"),"")),0)),"notfound")</f>
        <v>10.1186%2F1741-7007-5-18_TableS15.tsv</v>
      </c>
      <c r="N135" s="3" t="s">
        <v>485</v>
      </c>
      <c r="V135" s="3" t="s">
        <v>41</v>
      </c>
      <c r="AG135" s="3" t="s">
        <v>452</v>
      </c>
      <c r="AI135" s="3" t="s">
        <v>460</v>
      </c>
      <c r="AJ135" s="3" t="s">
        <v>139</v>
      </c>
      <c r="AK135" s="3" t="s">
        <v>457</v>
      </c>
      <c r="AL135" s="3" t="s">
        <v>140</v>
      </c>
      <c r="AM135" s="3" t="s">
        <v>458</v>
      </c>
    </row>
    <row r="136" spans="1:39" ht="15" customHeight="1" x14ac:dyDescent="0.2">
      <c r="A136" s="3" t="s">
        <v>450</v>
      </c>
      <c r="D136" s="3" t="s">
        <v>486</v>
      </c>
      <c r="E136" s="1" t="str">
        <f t="shared" si="32"/>
        <v>8</v>
      </c>
      <c r="F136" s="1" t="str">
        <f t="shared" si="33"/>
        <v>Karbowski__2007</v>
      </c>
      <c r="G136" s="1" t="str">
        <f t="shared" si="34"/>
        <v>Karbowski</v>
      </c>
      <c r="H136" s="1" t="str">
        <f t="shared" si="35"/>
        <v/>
      </c>
      <c r="I136" s="1" t="str">
        <f t="shared" si="36"/>
        <v>2007</v>
      </c>
      <c r="J136" s="1" t="str">
        <f t="shared" si="37"/>
        <v>10.1186%2F1741-7007-5-18</v>
      </c>
      <c r="K136" s="1" t="str">
        <f t="shared" si="38"/>
        <v>Karbowski__2007_TableS16</v>
      </c>
      <c r="L136" s="1" t="str">
        <f t="shared" si="39"/>
        <v>10.1186%2F1741-7007-5-18_TableS16</v>
      </c>
      <c r="M136" s="1" t="str">
        <f t="array" ref="M136">IFERROR(INDEX(FileList!$A$1:$A$1000,MATCH(TRUE(),EXACT(L136,IFERROR(_xlfn.TEXTBEFORE(FileList!$A$1:$A$1000,".tsv"),"")),0)),"notfound")</f>
        <v>10.1186%2F1741-7007-5-18_TableS16.tsv</v>
      </c>
      <c r="N136" s="3" t="s">
        <v>487</v>
      </c>
      <c r="V136" s="3" t="s">
        <v>41</v>
      </c>
      <c r="AG136" s="3" t="s">
        <v>452</v>
      </c>
      <c r="AI136" s="3" t="s">
        <v>460</v>
      </c>
      <c r="AJ136" s="3" t="s">
        <v>139</v>
      </c>
      <c r="AK136" s="3" t="s">
        <v>457</v>
      </c>
      <c r="AL136" s="3" t="s">
        <v>140</v>
      </c>
      <c r="AM136" s="3" t="s">
        <v>458</v>
      </c>
    </row>
    <row r="137" spans="1:39" ht="15" customHeight="1" x14ac:dyDescent="0.2">
      <c r="A137" s="3" t="s">
        <v>450</v>
      </c>
      <c r="D137" s="3" t="s">
        <v>488</v>
      </c>
      <c r="E137" s="1" t="str">
        <f t="shared" si="32"/>
        <v>8</v>
      </c>
      <c r="F137" s="1" t="str">
        <f t="shared" si="33"/>
        <v>Karbowski__2007</v>
      </c>
      <c r="G137" s="1" t="str">
        <f t="shared" si="34"/>
        <v>Karbowski</v>
      </c>
      <c r="H137" s="1" t="str">
        <f t="shared" si="35"/>
        <v/>
      </c>
      <c r="I137" s="1" t="str">
        <f t="shared" si="36"/>
        <v>2007</v>
      </c>
      <c r="J137" s="1" t="str">
        <f t="shared" si="37"/>
        <v>10.1186%2F1741-7007-5-18</v>
      </c>
      <c r="K137" s="1" t="str">
        <f t="shared" si="38"/>
        <v>Karbowski__2007_TableS17</v>
      </c>
      <c r="L137" s="1" t="str">
        <f t="shared" si="39"/>
        <v>10.1186%2F1741-7007-5-18_TableS17</v>
      </c>
      <c r="M137" s="1" t="str">
        <f t="array" ref="M137">IFERROR(INDEX(FileList!$A$1:$A$1000,MATCH(TRUE(),EXACT(L137,IFERROR(_xlfn.TEXTBEFORE(FileList!$A$1:$A$1000,".tsv"),"")),0)),"notfound")</f>
        <v>10.1186%2F1741-7007-5-18_TableS17.tsv</v>
      </c>
      <c r="N137" s="3" t="s">
        <v>489</v>
      </c>
      <c r="V137" s="3" t="s">
        <v>41</v>
      </c>
      <c r="AG137" s="3" t="s">
        <v>452</v>
      </c>
      <c r="AI137" s="3" t="s">
        <v>460</v>
      </c>
      <c r="AJ137" s="3" t="s">
        <v>139</v>
      </c>
      <c r="AK137" s="3" t="s">
        <v>457</v>
      </c>
      <c r="AL137" s="3" t="s">
        <v>140</v>
      </c>
      <c r="AM137" s="3" t="s">
        <v>458</v>
      </c>
    </row>
    <row r="138" spans="1:39" ht="15" customHeight="1" x14ac:dyDescent="0.2">
      <c r="A138" s="3" t="s">
        <v>450</v>
      </c>
      <c r="D138" s="3" t="s">
        <v>490</v>
      </c>
      <c r="E138" s="1" t="str">
        <f t="shared" si="32"/>
        <v>8</v>
      </c>
      <c r="F138" s="1" t="str">
        <f t="shared" si="33"/>
        <v>Karbowski__2007</v>
      </c>
      <c r="G138" s="1" t="str">
        <f t="shared" si="34"/>
        <v>Karbowski</v>
      </c>
      <c r="H138" s="1" t="str">
        <f t="shared" si="35"/>
        <v/>
      </c>
      <c r="I138" s="1" t="str">
        <f t="shared" si="36"/>
        <v>2007</v>
      </c>
      <c r="J138" s="1" t="str">
        <f t="shared" si="37"/>
        <v>10.1186%2F1741-7007-5-18</v>
      </c>
      <c r="K138" s="1" t="str">
        <f t="shared" si="38"/>
        <v>Karbowski__2007_TableS18</v>
      </c>
      <c r="L138" s="1" t="str">
        <f t="shared" si="39"/>
        <v>10.1186%2F1741-7007-5-18_TableS18</v>
      </c>
      <c r="M138" s="1" t="str">
        <f t="array" ref="M138">IFERROR(INDEX(FileList!$A$1:$A$1000,MATCH(TRUE(),EXACT(L138,IFERROR(_xlfn.TEXTBEFORE(FileList!$A$1:$A$1000,".tsv"),"")),0)),"notfound")</f>
        <v>10.1186%2F1741-7007-5-18_TableS18.tsv</v>
      </c>
      <c r="N138" s="3" t="s">
        <v>491</v>
      </c>
      <c r="V138" s="3" t="s">
        <v>41</v>
      </c>
      <c r="AG138" s="3" t="s">
        <v>452</v>
      </c>
      <c r="AI138" s="3" t="s">
        <v>460</v>
      </c>
      <c r="AJ138" s="3" t="s">
        <v>139</v>
      </c>
      <c r="AK138" s="3" t="s">
        <v>457</v>
      </c>
      <c r="AL138" s="3" t="s">
        <v>140</v>
      </c>
      <c r="AM138" s="3" t="s">
        <v>458</v>
      </c>
    </row>
    <row r="139" spans="1:39" ht="15" customHeight="1" x14ac:dyDescent="0.2">
      <c r="A139" s="3" t="s">
        <v>450</v>
      </c>
      <c r="D139" s="3" t="s">
        <v>492</v>
      </c>
      <c r="E139" s="1" t="str">
        <f t="shared" si="32"/>
        <v>8</v>
      </c>
      <c r="F139" s="1" t="str">
        <f t="shared" si="33"/>
        <v>Karbowski__2007</v>
      </c>
      <c r="G139" s="1" t="str">
        <f t="shared" si="34"/>
        <v>Karbowski</v>
      </c>
      <c r="H139" s="1" t="str">
        <f t="shared" si="35"/>
        <v/>
      </c>
      <c r="I139" s="1" t="str">
        <f t="shared" si="36"/>
        <v>2007</v>
      </c>
      <c r="J139" s="1" t="str">
        <f t="shared" si="37"/>
        <v>10.1186%2F1741-7007-5-18</v>
      </c>
      <c r="K139" s="1" t="str">
        <f t="shared" si="38"/>
        <v>Karbowski__2007_TableS19</v>
      </c>
      <c r="L139" s="1" t="str">
        <f t="shared" si="39"/>
        <v>10.1186%2F1741-7007-5-18_TableS19</v>
      </c>
      <c r="M139" s="1" t="str">
        <f t="array" ref="M139">IFERROR(INDEX(FileList!$A$1:$A$1000,MATCH(TRUE(),EXACT(L139,IFERROR(_xlfn.TEXTBEFORE(FileList!$A$1:$A$1000,".tsv"),"")),0)),"notfound")</f>
        <v>10.1186%2F1741-7007-5-18_TableS19.tsv</v>
      </c>
      <c r="N139" s="3" t="s">
        <v>493</v>
      </c>
      <c r="V139" s="3" t="s">
        <v>41</v>
      </c>
      <c r="AG139" s="3" t="s">
        <v>452</v>
      </c>
      <c r="AI139" s="3" t="s">
        <v>460</v>
      </c>
      <c r="AJ139" s="3" t="s">
        <v>139</v>
      </c>
      <c r="AK139" s="3" t="s">
        <v>457</v>
      </c>
      <c r="AL139" s="3" t="s">
        <v>140</v>
      </c>
      <c r="AM139" s="3" t="s">
        <v>458</v>
      </c>
    </row>
    <row r="140" spans="1:39" ht="15" customHeight="1" x14ac:dyDescent="0.2">
      <c r="A140" s="3" t="s">
        <v>450</v>
      </c>
      <c r="D140" s="3" t="s">
        <v>494</v>
      </c>
      <c r="E140" s="1" t="str">
        <f t="shared" si="32"/>
        <v>8</v>
      </c>
      <c r="F140" s="1" t="str">
        <f t="shared" si="33"/>
        <v>Karbowski__2007</v>
      </c>
      <c r="G140" s="1" t="str">
        <f t="shared" si="34"/>
        <v>Karbowski</v>
      </c>
      <c r="H140" s="1" t="str">
        <f t="shared" si="35"/>
        <v/>
      </c>
      <c r="I140" s="1" t="str">
        <f t="shared" si="36"/>
        <v>2007</v>
      </c>
      <c r="J140" s="1" t="str">
        <f t="shared" si="37"/>
        <v>10.1186%2F1741-7007-5-18</v>
      </c>
      <c r="K140" s="1" t="str">
        <f t="shared" si="38"/>
        <v>Karbowski__2007_TableS20</v>
      </c>
      <c r="L140" s="1" t="str">
        <f t="shared" si="39"/>
        <v>10.1186%2F1741-7007-5-18_TableS20</v>
      </c>
      <c r="M140" s="1" t="str">
        <f t="array" ref="M140">IFERROR(INDEX(FileList!$A$1:$A$1000,MATCH(TRUE(),EXACT(L140,IFERROR(_xlfn.TEXTBEFORE(FileList!$A$1:$A$1000,".tsv"),"")),0)),"notfound")</f>
        <v>10.1186%2F1741-7007-5-18_TableS20.tsv</v>
      </c>
      <c r="N140" s="3" t="s">
        <v>495</v>
      </c>
      <c r="V140" s="3" t="s">
        <v>41</v>
      </c>
      <c r="AG140" s="3" t="s">
        <v>452</v>
      </c>
      <c r="AI140" s="3" t="s">
        <v>460</v>
      </c>
      <c r="AJ140" s="3" t="s">
        <v>139</v>
      </c>
      <c r="AK140" s="3" t="s">
        <v>457</v>
      </c>
      <c r="AL140" s="3" t="s">
        <v>140</v>
      </c>
      <c r="AM140" s="3" t="s">
        <v>458</v>
      </c>
    </row>
    <row r="141" spans="1:39" ht="15" customHeight="1" x14ac:dyDescent="0.2">
      <c r="A141" s="3" t="s">
        <v>450</v>
      </c>
      <c r="D141" s="3" t="s">
        <v>496</v>
      </c>
      <c r="E141" s="1" t="str">
        <f t="shared" si="32"/>
        <v>8</v>
      </c>
      <c r="F141" s="1" t="str">
        <f t="shared" si="33"/>
        <v>Karbowski__2007</v>
      </c>
      <c r="G141" s="1" t="str">
        <f t="shared" si="34"/>
        <v>Karbowski</v>
      </c>
      <c r="H141" s="1" t="str">
        <f t="shared" si="35"/>
        <v/>
      </c>
      <c r="I141" s="1" t="str">
        <f t="shared" si="36"/>
        <v>2007</v>
      </c>
      <c r="J141" s="1" t="str">
        <f t="shared" si="37"/>
        <v>10.1186%2F1741-7007-5-18</v>
      </c>
      <c r="K141" s="1" t="str">
        <f t="shared" si="38"/>
        <v>Karbowski__2007_TableS21</v>
      </c>
      <c r="L141" s="1" t="str">
        <f t="shared" si="39"/>
        <v>10.1186%2F1741-7007-5-18_TableS21</v>
      </c>
      <c r="M141" s="1" t="str">
        <f t="array" ref="M141">IFERROR(INDEX(FileList!$A$1:$A$1000,MATCH(TRUE(),EXACT(L141,IFERROR(_xlfn.TEXTBEFORE(FileList!$A$1:$A$1000,".tsv"),"")),0)),"notfound")</f>
        <v>10.1186%2F1741-7007-5-18_TableS21.tsv</v>
      </c>
      <c r="N141" s="3" t="s">
        <v>497</v>
      </c>
      <c r="V141" s="3" t="s">
        <v>41</v>
      </c>
      <c r="AG141" s="3" t="s">
        <v>452</v>
      </c>
      <c r="AI141" s="3" t="s">
        <v>460</v>
      </c>
      <c r="AJ141" s="3" t="s">
        <v>139</v>
      </c>
      <c r="AK141" s="3" t="s">
        <v>457</v>
      </c>
      <c r="AL141" s="3" t="s">
        <v>140</v>
      </c>
      <c r="AM141" s="3" t="s">
        <v>458</v>
      </c>
    </row>
    <row r="142" spans="1:39" ht="15" customHeight="1" x14ac:dyDescent="0.2">
      <c r="A142" s="3" t="s">
        <v>450</v>
      </c>
      <c r="D142" s="3" t="s">
        <v>498</v>
      </c>
      <c r="E142" s="1" t="str">
        <f t="shared" si="32"/>
        <v>8</v>
      </c>
      <c r="F142" s="1" t="str">
        <f t="shared" si="33"/>
        <v>Karbowski__2007</v>
      </c>
      <c r="G142" s="1" t="str">
        <f t="shared" si="34"/>
        <v>Karbowski</v>
      </c>
      <c r="H142" s="1" t="str">
        <f t="shared" si="35"/>
        <v/>
      </c>
      <c r="I142" s="1" t="str">
        <f t="shared" si="36"/>
        <v>2007</v>
      </c>
      <c r="J142" s="1" t="str">
        <f t="shared" si="37"/>
        <v>10.1186%2F1741-7007-5-18</v>
      </c>
      <c r="K142" s="1" t="str">
        <f t="shared" si="38"/>
        <v>Karbowski__2007_TableS22</v>
      </c>
      <c r="L142" s="1" t="str">
        <f t="shared" si="39"/>
        <v>10.1186%2F1741-7007-5-18_TableS22</v>
      </c>
      <c r="M142" s="1" t="str">
        <f t="array" ref="M142">IFERROR(INDEX(FileList!$A$1:$A$1000,MATCH(TRUE(),EXACT(L142,IFERROR(_xlfn.TEXTBEFORE(FileList!$A$1:$A$1000,".tsv"),"")),0)),"notfound")</f>
        <v>10.1186%2F1741-7007-5-18_TableS22.tsv</v>
      </c>
      <c r="N142" s="3" t="s">
        <v>499</v>
      </c>
      <c r="V142" s="3" t="s">
        <v>41</v>
      </c>
      <c r="AG142" s="3" t="s">
        <v>452</v>
      </c>
      <c r="AI142" s="3" t="s">
        <v>460</v>
      </c>
      <c r="AJ142" s="3" t="s">
        <v>139</v>
      </c>
      <c r="AK142" s="3" t="s">
        <v>457</v>
      </c>
      <c r="AL142" s="3" t="s">
        <v>140</v>
      </c>
      <c r="AM142" s="3" t="s">
        <v>458</v>
      </c>
    </row>
    <row r="143" spans="1:39" ht="15" customHeight="1" x14ac:dyDescent="0.2">
      <c r="A143" s="3" t="s">
        <v>450</v>
      </c>
      <c r="D143" s="3" t="s">
        <v>500</v>
      </c>
      <c r="E143" s="1" t="str">
        <f t="shared" si="32"/>
        <v>8</v>
      </c>
      <c r="F143" s="1" t="str">
        <f t="shared" si="33"/>
        <v>Karbowski__2007</v>
      </c>
      <c r="G143" s="1" t="str">
        <f t="shared" si="34"/>
        <v>Karbowski</v>
      </c>
      <c r="H143" s="1" t="str">
        <f t="shared" si="35"/>
        <v/>
      </c>
      <c r="I143" s="1" t="str">
        <f t="shared" si="36"/>
        <v>2007</v>
      </c>
      <c r="J143" s="1" t="str">
        <f t="shared" si="37"/>
        <v>10.1186%2F1741-7007-5-18</v>
      </c>
      <c r="K143" s="1" t="str">
        <f t="shared" si="38"/>
        <v>Karbowski__2007_TableS23</v>
      </c>
      <c r="L143" s="1" t="str">
        <f t="shared" si="39"/>
        <v>10.1186%2F1741-7007-5-18_TableS23</v>
      </c>
      <c r="M143" s="1" t="str">
        <f t="array" ref="M143">IFERROR(INDEX(FileList!$A$1:$A$1000,MATCH(TRUE(),EXACT(L143,IFERROR(_xlfn.TEXTBEFORE(FileList!$A$1:$A$1000,".tsv"),"")),0)),"notfound")</f>
        <v>10.1186%2F1741-7007-5-18_TableS23.tsv</v>
      </c>
      <c r="N143" s="3" t="s">
        <v>501</v>
      </c>
      <c r="V143" s="3" t="s">
        <v>41</v>
      </c>
      <c r="AG143" s="3" t="s">
        <v>452</v>
      </c>
      <c r="AI143" s="3" t="s">
        <v>460</v>
      </c>
      <c r="AJ143" s="3" t="s">
        <v>139</v>
      </c>
      <c r="AK143" s="3" t="s">
        <v>457</v>
      </c>
      <c r="AL143" s="3" t="s">
        <v>140</v>
      </c>
      <c r="AM143" s="3" t="s">
        <v>458</v>
      </c>
    </row>
    <row r="144" spans="1:39" ht="15" customHeight="1" x14ac:dyDescent="0.2">
      <c r="A144" s="3" t="s">
        <v>502</v>
      </c>
      <c r="D144" s="3" t="s">
        <v>48</v>
      </c>
      <c r="E144" s="1" t="str">
        <f t="shared" si="32"/>
        <v>9</v>
      </c>
      <c r="F144" s="1" t="str">
        <f t="shared" si="33"/>
        <v>Karl_etal_2024</v>
      </c>
      <c r="G144" s="1" t="str">
        <f t="shared" si="34"/>
        <v>Karl</v>
      </c>
      <c r="H144" s="1" t="str">
        <f t="shared" si="35"/>
        <v>etal</v>
      </c>
      <c r="I144" s="1" t="str">
        <f t="shared" si="36"/>
        <v>2024</v>
      </c>
      <c r="J144" s="1" t="str">
        <f t="shared" si="37"/>
        <v>10.1002%2Fcne.25669</v>
      </c>
      <c r="K144" s="1" t="str">
        <f t="shared" si="38"/>
        <v>Karl_etal_2024_TABLE1</v>
      </c>
      <c r="L144" s="1" t="str">
        <f t="shared" si="39"/>
        <v>10.1002%2Fcne.25669_TABLE1</v>
      </c>
      <c r="M144" s="1" t="str">
        <f t="array" ref="M144">IFERROR(INDEX(FileList!$A$1:$A$1000,MATCH(TRUE(),EXACT(L144,IFERROR(_xlfn.TEXTBEFORE(FileList!$A$1:$A$1000,".tsv"),"")),0)),"notfound")</f>
        <v>10.1002%2Fcne.25669_TABLE1.tsv</v>
      </c>
      <c r="N144" s="3" t="s">
        <v>503</v>
      </c>
      <c r="P144" s="3" t="s">
        <v>40</v>
      </c>
      <c r="U144" s="3" t="s">
        <v>54</v>
      </c>
      <c r="V144" s="3" t="s">
        <v>41</v>
      </c>
      <c r="W144" s="3" t="s">
        <v>205</v>
      </c>
      <c r="AI144" s="3" t="s">
        <v>504</v>
      </c>
      <c r="AJ144" s="3" t="s">
        <v>139</v>
      </c>
      <c r="AK144" s="3" t="s">
        <v>62</v>
      </c>
      <c r="AL144" s="3" t="s">
        <v>62</v>
      </c>
      <c r="AM144" s="3" t="s">
        <v>504</v>
      </c>
    </row>
    <row r="145" spans="1:39" ht="15" customHeight="1" x14ac:dyDescent="0.2">
      <c r="A145" s="3" t="s">
        <v>505</v>
      </c>
      <c r="C145" s="3" t="s">
        <v>506</v>
      </c>
      <c r="D145" s="3" t="s">
        <v>507</v>
      </c>
      <c r="E145" s="1" t="str">
        <f t="shared" si="32"/>
        <v>.</v>
      </c>
      <c r="F145" s="1" t="str">
        <f t="shared" si="33"/>
        <v>Kaufman__2004</v>
      </c>
      <c r="G145" s="1" t="str">
        <f t="shared" si="34"/>
        <v>Kaufman</v>
      </c>
      <c r="H145" s="1" t="str">
        <f t="shared" si="35"/>
        <v/>
      </c>
      <c r="I145" s="1" t="str">
        <f t="shared" si="36"/>
        <v>2004</v>
      </c>
      <c r="J145" s="1" t="str">
        <f t="shared" si="37"/>
        <v>UMI%3A3147447</v>
      </c>
      <c r="K145" s="1" t="str">
        <f t="shared" si="38"/>
        <v>Kaufman__2004_TableA1</v>
      </c>
      <c r="L145" s="1" t="str">
        <f t="shared" si="39"/>
        <v>UMI%3A3147447_TableA1</v>
      </c>
      <c r="M145" s="1" t="str">
        <f t="array" ref="M145">IFERROR(INDEX(FileList!$A$1:$A$1000,MATCH(TRUE(),EXACT(L145,IFERROR(_xlfn.TEXTBEFORE(FileList!$A$1:$A$1000,".tsv"),"")),0)),"notfound")</f>
        <v>UMI%3A3147447_TableA1.tsv</v>
      </c>
      <c r="N145" s="3" t="s">
        <v>508</v>
      </c>
      <c r="P145" s="3" t="s">
        <v>165</v>
      </c>
      <c r="R145" s="3" t="s">
        <v>509</v>
      </c>
      <c r="T145" s="3" t="s">
        <v>510</v>
      </c>
      <c r="V145" s="3" t="s">
        <v>41</v>
      </c>
      <c r="AB145" s="3" t="s">
        <v>511</v>
      </c>
      <c r="AI145" s="3" t="s">
        <v>512</v>
      </c>
      <c r="AJ145" s="3" t="s">
        <v>139</v>
      </c>
      <c r="AK145" s="3" t="s">
        <v>62</v>
      </c>
      <c r="AL145" s="3" t="s">
        <v>140</v>
      </c>
      <c r="AM145" s="3" t="s">
        <v>513</v>
      </c>
    </row>
    <row r="146" spans="1:39" ht="15" customHeight="1" x14ac:dyDescent="0.2">
      <c r="A146" s="3" t="s">
        <v>505</v>
      </c>
      <c r="C146" s="3" t="s">
        <v>506</v>
      </c>
      <c r="D146" s="3" t="s">
        <v>514</v>
      </c>
      <c r="E146" s="1" t="str">
        <f t="shared" si="32"/>
        <v>.</v>
      </c>
      <c r="F146" s="1" t="str">
        <f t="shared" si="33"/>
        <v>Kaufman__2004</v>
      </c>
      <c r="G146" s="1" t="str">
        <f t="shared" si="34"/>
        <v>Kaufman</v>
      </c>
      <c r="H146" s="1" t="str">
        <f t="shared" si="35"/>
        <v/>
      </c>
      <c r="I146" s="1" t="str">
        <f t="shared" si="36"/>
        <v>2004</v>
      </c>
      <c r="J146" s="1" t="str">
        <f t="shared" si="37"/>
        <v>UMI%3A3147447</v>
      </c>
      <c r="K146" s="1" t="str">
        <f t="shared" si="38"/>
        <v>Kaufman__2004_TableA2</v>
      </c>
      <c r="L146" s="1" t="str">
        <f t="shared" si="39"/>
        <v>UMI%3A3147447_TableA2</v>
      </c>
      <c r="M146" s="1" t="str">
        <f t="array" ref="M146">IFERROR(INDEX(FileList!$A$1:$A$1000,MATCH(TRUE(),EXACT(L146,IFERROR(_xlfn.TEXTBEFORE(FileList!$A$1:$A$1000,".tsv"),"")),0)),"notfound")</f>
        <v>UMI%3A3147447_TableA2.tsv</v>
      </c>
      <c r="N146" s="3" t="s">
        <v>515</v>
      </c>
      <c r="P146" s="3" t="s">
        <v>165</v>
      </c>
      <c r="R146" s="3" t="s">
        <v>516</v>
      </c>
      <c r="T146" s="3" t="s">
        <v>517</v>
      </c>
      <c r="V146" s="3" t="s">
        <v>41</v>
      </c>
      <c r="AB146" s="3" t="s">
        <v>511</v>
      </c>
      <c r="AI146" s="3" t="s">
        <v>512</v>
      </c>
      <c r="AJ146" s="3" t="s">
        <v>139</v>
      </c>
      <c r="AK146" s="3" t="s">
        <v>62</v>
      </c>
      <c r="AL146" s="3" t="s">
        <v>140</v>
      </c>
      <c r="AM146" s="3" t="s">
        <v>513</v>
      </c>
    </row>
    <row r="147" spans="1:39" ht="15" customHeight="1" x14ac:dyDescent="0.2">
      <c r="A147" s="3" t="s">
        <v>505</v>
      </c>
      <c r="C147" s="3" t="s">
        <v>506</v>
      </c>
      <c r="D147" s="3" t="s">
        <v>518</v>
      </c>
      <c r="E147" s="1" t="str">
        <f t="shared" si="32"/>
        <v>.</v>
      </c>
      <c r="F147" s="1" t="str">
        <f t="shared" si="33"/>
        <v>Kaufman__2004</v>
      </c>
      <c r="G147" s="1" t="str">
        <f t="shared" si="34"/>
        <v>Kaufman</v>
      </c>
      <c r="H147" s="1" t="str">
        <f t="shared" si="35"/>
        <v/>
      </c>
      <c r="I147" s="1" t="str">
        <f t="shared" si="36"/>
        <v>2004</v>
      </c>
      <c r="J147" s="1" t="str">
        <f t="shared" si="37"/>
        <v>UMI%3A3147447</v>
      </c>
      <c r="K147" s="1" t="str">
        <f t="shared" si="38"/>
        <v>Kaufman__2004_TableA3</v>
      </c>
      <c r="L147" s="1" t="str">
        <f t="shared" si="39"/>
        <v>UMI%3A3147447_TableA3</v>
      </c>
      <c r="M147" s="1" t="str">
        <f t="array" ref="M147">IFERROR(INDEX(FileList!$A$1:$A$1000,MATCH(TRUE(),EXACT(L147,IFERROR(_xlfn.TEXTBEFORE(FileList!$A$1:$A$1000,".tsv"),"")),0)),"notfound")</f>
        <v>UMI%3A3147447_TableA3.tsv</v>
      </c>
      <c r="N147" s="3" t="s">
        <v>519</v>
      </c>
      <c r="P147" s="3" t="s">
        <v>165</v>
      </c>
      <c r="R147" s="3" t="s">
        <v>520</v>
      </c>
      <c r="T147" s="3" t="s">
        <v>521</v>
      </c>
      <c r="V147" s="3" t="s">
        <v>41</v>
      </c>
      <c r="AB147" s="3" t="s">
        <v>511</v>
      </c>
      <c r="AI147" s="3" t="s">
        <v>512</v>
      </c>
      <c r="AJ147" s="3" t="s">
        <v>139</v>
      </c>
      <c r="AK147" s="3" t="s">
        <v>62</v>
      </c>
      <c r="AL147" s="3" t="s">
        <v>140</v>
      </c>
      <c r="AM147" s="3" t="s">
        <v>513</v>
      </c>
    </row>
    <row r="148" spans="1:39" ht="15" customHeight="1" x14ac:dyDescent="0.2">
      <c r="A148" s="3" t="s">
        <v>505</v>
      </c>
      <c r="C148" s="3" t="s">
        <v>506</v>
      </c>
      <c r="D148" s="3" t="s">
        <v>522</v>
      </c>
      <c r="E148" s="1" t="str">
        <f t="shared" si="32"/>
        <v>.</v>
      </c>
      <c r="F148" s="1" t="str">
        <f t="shared" si="33"/>
        <v>Kaufman__2004</v>
      </c>
      <c r="G148" s="1" t="str">
        <f t="shared" si="34"/>
        <v>Kaufman</v>
      </c>
      <c r="H148" s="1" t="str">
        <f t="shared" si="35"/>
        <v/>
      </c>
      <c r="I148" s="1" t="str">
        <f t="shared" si="36"/>
        <v>2004</v>
      </c>
      <c r="J148" s="1" t="str">
        <f t="shared" si="37"/>
        <v>UMI%3A3147447</v>
      </c>
      <c r="K148" s="1" t="str">
        <f t="shared" si="38"/>
        <v>Kaufman__2004_TableA4</v>
      </c>
      <c r="L148" s="1" t="str">
        <f t="shared" si="39"/>
        <v>UMI%3A3147447_TableA4</v>
      </c>
      <c r="M148" s="1" t="str">
        <f t="array" ref="M148">IFERROR(INDEX(FileList!$A$1:$A$1000,MATCH(TRUE(),EXACT(L148,IFERROR(_xlfn.TEXTBEFORE(FileList!$A$1:$A$1000,".tsv"),"")),0)),"notfound")</f>
        <v>UMI%3A3147447_TableA4.tsv</v>
      </c>
      <c r="N148" s="3" t="s">
        <v>523</v>
      </c>
      <c r="P148" s="3" t="s">
        <v>165</v>
      </c>
      <c r="R148" s="3" t="s">
        <v>524</v>
      </c>
      <c r="T148" s="3" t="s">
        <v>525</v>
      </c>
      <c r="V148" s="3" t="s">
        <v>41</v>
      </c>
      <c r="AB148" s="3" t="s">
        <v>511</v>
      </c>
      <c r="AI148" s="3" t="s">
        <v>512</v>
      </c>
      <c r="AJ148" s="3" t="s">
        <v>139</v>
      </c>
      <c r="AK148" s="3" t="s">
        <v>62</v>
      </c>
      <c r="AL148" s="3" t="s">
        <v>140</v>
      </c>
      <c r="AM148" s="3" t="s">
        <v>513</v>
      </c>
    </row>
    <row r="149" spans="1:39" ht="15" customHeight="1" x14ac:dyDescent="0.2">
      <c r="A149" s="3" t="s">
        <v>505</v>
      </c>
      <c r="C149" s="3" t="s">
        <v>506</v>
      </c>
      <c r="D149" s="3" t="s">
        <v>526</v>
      </c>
      <c r="E149" s="1" t="str">
        <f t="shared" si="32"/>
        <v>.</v>
      </c>
      <c r="F149" s="1" t="str">
        <f t="shared" si="33"/>
        <v>Kaufman__2004</v>
      </c>
      <c r="G149" s="1" t="str">
        <f t="shared" si="34"/>
        <v>Kaufman</v>
      </c>
      <c r="H149" s="1" t="str">
        <f t="shared" si="35"/>
        <v/>
      </c>
      <c r="I149" s="1" t="str">
        <f t="shared" si="36"/>
        <v>2004</v>
      </c>
      <c r="J149" s="1" t="str">
        <f t="shared" si="37"/>
        <v>UMI%3A3147447</v>
      </c>
      <c r="K149" s="1" t="str">
        <f t="shared" si="38"/>
        <v>Kaufman__2004_TableA5</v>
      </c>
      <c r="L149" s="1" t="str">
        <f t="shared" si="39"/>
        <v>UMI%3A3147447_TableA5</v>
      </c>
      <c r="M149" s="1" t="str">
        <f t="array" ref="M149">IFERROR(INDEX(FileList!$A$1:$A$1000,MATCH(TRUE(),EXACT(L149,IFERROR(_xlfn.TEXTBEFORE(FileList!$A$1:$A$1000,".tsv"),"")),0)),"notfound")</f>
        <v>UMI%3A3147447_TableA5.tsv</v>
      </c>
      <c r="N149" s="3" t="s">
        <v>527</v>
      </c>
      <c r="P149" s="3" t="s">
        <v>165</v>
      </c>
      <c r="R149" s="3" t="s">
        <v>528</v>
      </c>
      <c r="T149" s="3" t="s">
        <v>529</v>
      </c>
      <c r="V149" s="3" t="s">
        <v>41</v>
      </c>
      <c r="AB149" s="3" t="s">
        <v>511</v>
      </c>
      <c r="AI149" s="3" t="s">
        <v>512</v>
      </c>
      <c r="AJ149" s="3" t="s">
        <v>139</v>
      </c>
      <c r="AK149" s="3" t="s">
        <v>62</v>
      </c>
      <c r="AL149" s="3" t="s">
        <v>140</v>
      </c>
      <c r="AM149" s="3" t="s">
        <v>513</v>
      </c>
    </row>
    <row r="150" spans="1:39" ht="15" customHeight="1" x14ac:dyDescent="0.2">
      <c r="A150" s="3" t="s">
        <v>505</v>
      </c>
      <c r="C150" s="3" t="s">
        <v>506</v>
      </c>
      <c r="D150" s="3" t="s">
        <v>530</v>
      </c>
      <c r="E150" s="1" t="str">
        <f t="shared" si="32"/>
        <v>.</v>
      </c>
      <c r="F150" s="1" t="str">
        <f t="shared" si="33"/>
        <v>Kaufman__2004</v>
      </c>
      <c r="G150" s="1" t="str">
        <f t="shared" si="34"/>
        <v>Kaufman</v>
      </c>
      <c r="H150" s="1" t="str">
        <f t="shared" si="35"/>
        <v/>
      </c>
      <c r="I150" s="1" t="str">
        <f t="shared" si="36"/>
        <v>2004</v>
      </c>
      <c r="J150" s="1" t="str">
        <f t="shared" si="37"/>
        <v>UMI%3A3147447</v>
      </c>
      <c r="K150" s="1" t="str">
        <f t="shared" si="38"/>
        <v>Kaufman__2004_TableA6</v>
      </c>
      <c r="L150" s="1" t="str">
        <f t="shared" si="39"/>
        <v>UMI%3A3147447_TableA6</v>
      </c>
      <c r="M150" s="1" t="str">
        <f t="array" ref="M150">IFERROR(INDEX(FileList!$A$1:$A$1000,MATCH(TRUE(),EXACT(L150,IFERROR(_xlfn.TEXTBEFORE(FileList!$A$1:$A$1000,".tsv"),"")),0)),"notfound")</f>
        <v>UMI%3A3147447_TableA6.tsv</v>
      </c>
      <c r="N150" s="3" t="s">
        <v>531</v>
      </c>
      <c r="P150" s="3" t="s">
        <v>165</v>
      </c>
      <c r="R150" s="3" t="s">
        <v>532</v>
      </c>
      <c r="T150" s="3" t="s">
        <v>533</v>
      </c>
      <c r="V150" s="3" t="s">
        <v>41</v>
      </c>
      <c r="AB150" s="3" t="s">
        <v>511</v>
      </c>
      <c r="AI150" s="3" t="s">
        <v>512</v>
      </c>
      <c r="AJ150" s="3" t="s">
        <v>139</v>
      </c>
      <c r="AK150" s="3" t="s">
        <v>62</v>
      </c>
      <c r="AL150" s="3" t="s">
        <v>140</v>
      </c>
      <c r="AM150" s="3" t="s">
        <v>513</v>
      </c>
    </row>
    <row r="151" spans="1:39" ht="15" customHeight="1" x14ac:dyDescent="0.2">
      <c r="A151" s="3" t="s">
        <v>505</v>
      </c>
      <c r="C151" s="3" t="s">
        <v>506</v>
      </c>
      <c r="D151" s="3" t="s">
        <v>534</v>
      </c>
      <c r="E151" s="1" t="str">
        <f t="shared" si="32"/>
        <v>.</v>
      </c>
      <c r="F151" s="1" t="str">
        <f t="shared" si="33"/>
        <v>Kaufman__2004</v>
      </c>
      <c r="G151" s="1" t="str">
        <f t="shared" si="34"/>
        <v>Kaufman</v>
      </c>
      <c r="H151" s="1" t="str">
        <f t="shared" si="35"/>
        <v/>
      </c>
      <c r="I151" s="1" t="str">
        <f t="shared" si="36"/>
        <v>2004</v>
      </c>
      <c r="J151" s="1" t="str">
        <f t="shared" si="37"/>
        <v>UMI%3A3147447</v>
      </c>
      <c r="K151" s="1" t="str">
        <f t="shared" si="38"/>
        <v>Kaufman__2004_TableA7</v>
      </c>
      <c r="L151" s="1" t="str">
        <f t="shared" si="39"/>
        <v>UMI%3A3147447_TableA7</v>
      </c>
      <c r="M151" s="1" t="str">
        <f t="array" ref="M151">IFERROR(INDEX(FileList!$A$1:$A$1000,MATCH(TRUE(),EXACT(L151,IFERROR(_xlfn.TEXTBEFORE(FileList!$A$1:$A$1000,".tsv"),"")),0)),"notfound")</f>
        <v>UMI%3A3147447_TableA7.tsv</v>
      </c>
      <c r="N151" s="3" t="s">
        <v>535</v>
      </c>
      <c r="P151" s="3" t="s">
        <v>165</v>
      </c>
      <c r="R151" s="3" t="s">
        <v>536</v>
      </c>
      <c r="T151" s="3" t="s">
        <v>537</v>
      </c>
      <c r="V151" s="3" t="s">
        <v>41</v>
      </c>
      <c r="AB151" s="3" t="s">
        <v>511</v>
      </c>
      <c r="AI151" s="3" t="s">
        <v>512</v>
      </c>
      <c r="AJ151" s="3" t="s">
        <v>139</v>
      </c>
      <c r="AK151" s="3" t="s">
        <v>62</v>
      </c>
      <c r="AL151" s="3" t="s">
        <v>140</v>
      </c>
      <c r="AM151" s="3" t="s">
        <v>513</v>
      </c>
    </row>
    <row r="152" spans="1:39" ht="15" customHeight="1" x14ac:dyDescent="0.2">
      <c r="A152" s="3" t="s">
        <v>505</v>
      </c>
      <c r="C152" s="3" t="s">
        <v>506</v>
      </c>
      <c r="D152" s="3" t="s">
        <v>538</v>
      </c>
      <c r="E152" s="1" t="str">
        <f t="shared" si="32"/>
        <v>.</v>
      </c>
      <c r="F152" s="1" t="str">
        <f t="shared" si="33"/>
        <v>Kaufman__2004</v>
      </c>
      <c r="G152" s="1" t="str">
        <f t="shared" si="34"/>
        <v>Kaufman</v>
      </c>
      <c r="H152" s="1" t="str">
        <f t="shared" si="35"/>
        <v/>
      </c>
      <c r="I152" s="1" t="str">
        <f t="shared" si="36"/>
        <v>2004</v>
      </c>
      <c r="J152" s="1" t="str">
        <f t="shared" si="37"/>
        <v>UMI%3A3147447</v>
      </c>
      <c r="K152" s="1" t="str">
        <f t="shared" si="38"/>
        <v>Kaufman__2004_TableA8</v>
      </c>
      <c r="L152" s="1" t="str">
        <f t="shared" si="39"/>
        <v>UMI%3A3147447_TableA8</v>
      </c>
      <c r="M152" s="1" t="str">
        <f t="array" ref="M152">IFERROR(INDEX(FileList!$A$1:$A$1000,MATCH(TRUE(),EXACT(L152,IFERROR(_xlfn.TEXTBEFORE(FileList!$A$1:$A$1000,".tsv"),"")),0)),"notfound")</f>
        <v>UMI%3A3147447_TableA8.tsv</v>
      </c>
      <c r="N152" s="3" t="s">
        <v>539</v>
      </c>
      <c r="P152" s="3" t="s">
        <v>165</v>
      </c>
      <c r="R152" s="3" t="s">
        <v>540</v>
      </c>
      <c r="T152" s="3" t="s">
        <v>541</v>
      </c>
      <c r="V152" s="3" t="s">
        <v>41</v>
      </c>
      <c r="AB152" s="3" t="s">
        <v>511</v>
      </c>
      <c r="AI152" s="3" t="s">
        <v>512</v>
      </c>
      <c r="AJ152" s="3" t="s">
        <v>139</v>
      </c>
      <c r="AK152" s="3" t="s">
        <v>62</v>
      </c>
      <c r="AL152" s="3" t="s">
        <v>140</v>
      </c>
      <c r="AM152" s="3" t="s">
        <v>513</v>
      </c>
    </row>
    <row r="153" spans="1:39" ht="15" customHeight="1" x14ac:dyDescent="0.2">
      <c r="A153" s="3" t="s">
        <v>505</v>
      </c>
      <c r="C153" s="3" t="s">
        <v>506</v>
      </c>
      <c r="D153" s="3" t="s">
        <v>542</v>
      </c>
      <c r="E153" s="1" t="str">
        <f t="shared" si="32"/>
        <v>.</v>
      </c>
      <c r="F153" s="1" t="str">
        <f t="shared" si="33"/>
        <v>Kaufman__2004</v>
      </c>
      <c r="G153" s="1" t="str">
        <f t="shared" si="34"/>
        <v>Kaufman</v>
      </c>
      <c r="H153" s="1" t="str">
        <f t="shared" si="35"/>
        <v/>
      </c>
      <c r="I153" s="1" t="str">
        <f t="shared" si="36"/>
        <v>2004</v>
      </c>
      <c r="J153" s="1" t="str">
        <f t="shared" si="37"/>
        <v>UMI%3A3147447</v>
      </c>
      <c r="K153" s="1" t="str">
        <f t="shared" si="38"/>
        <v>Kaufman__2004_TableA9</v>
      </c>
      <c r="L153" s="1" t="str">
        <f t="shared" si="39"/>
        <v>UMI%3A3147447_TableA9</v>
      </c>
      <c r="M153" s="1" t="str">
        <f t="array" ref="M153">IFERROR(INDEX(FileList!$A$1:$A$1000,MATCH(TRUE(),EXACT(L153,IFERROR(_xlfn.TEXTBEFORE(FileList!$A$1:$A$1000,".tsv"),"")),0)),"notfound")</f>
        <v>UMI%3A3147447_TableA9.tsv</v>
      </c>
      <c r="N153" s="3" t="s">
        <v>543</v>
      </c>
      <c r="P153" s="3" t="s">
        <v>165</v>
      </c>
      <c r="R153" s="3" t="s">
        <v>544</v>
      </c>
      <c r="T153" s="3" t="s">
        <v>545</v>
      </c>
      <c r="V153" s="3" t="s">
        <v>41</v>
      </c>
      <c r="AB153" s="3" t="s">
        <v>511</v>
      </c>
      <c r="AI153" s="3" t="s">
        <v>512</v>
      </c>
      <c r="AJ153" s="3" t="s">
        <v>139</v>
      </c>
      <c r="AK153" s="3" t="s">
        <v>62</v>
      </c>
      <c r="AL153" s="3" t="s">
        <v>140</v>
      </c>
      <c r="AM153" s="3" t="s">
        <v>513</v>
      </c>
    </row>
    <row r="154" spans="1:39" ht="15" customHeight="1" x14ac:dyDescent="0.2">
      <c r="A154" s="3" t="s">
        <v>505</v>
      </c>
      <c r="C154" s="3" t="s">
        <v>506</v>
      </c>
      <c r="D154" s="3" t="s">
        <v>546</v>
      </c>
      <c r="E154" s="1" t="str">
        <f t="shared" si="32"/>
        <v>.</v>
      </c>
      <c r="F154" s="1" t="str">
        <f t="shared" si="33"/>
        <v>Kaufman__2004</v>
      </c>
      <c r="G154" s="1" t="str">
        <f t="shared" si="34"/>
        <v>Kaufman</v>
      </c>
      <c r="H154" s="1" t="str">
        <f t="shared" si="35"/>
        <v/>
      </c>
      <c r="I154" s="1" t="str">
        <f t="shared" si="36"/>
        <v>2004</v>
      </c>
      <c r="J154" s="1" t="str">
        <f t="shared" si="37"/>
        <v>UMI%3A3147447</v>
      </c>
      <c r="K154" s="1" t="str">
        <f t="shared" si="38"/>
        <v>Kaufman__2004_TableA10</v>
      </c>
      <c r="L154" s="1" t="str">
        <f t="shared" si="39"/>
        <v>UMI%3A3147447_TableA10</v>
      </c>
      <c r="M154" s="1" t="str">
        <f t="array" ref="M154">IFERROR(INDEX(FileList!$A$1:$A$1000,MATCH(TRUE(),EXACT(L154,IFERROR(_xlfn.TEXTBEFORE(FileList!$A$1:$A$1000,".tsv"),"")),0)),"notfound")</f>
        <v>UMI%3A3147447_TableA10.tsv</v>
      </c>
      <c r="N154" s="3" t="s">
        <v>547</v>
      </c>
      <c r="P154" s="3" t="s">
        <v>165</v>
      </c>
      <c r="R154" s="3" t="s">
        <v>548</v>
      </c>
      <c r="T154" s="3" t="s">
        <v>549</v>
      </c>
      <c r="V154" s="3" t="s">
        <v>41</v>
      </c>
      <c r="AB154" s="3" t="s">
        <v>511</v>
      </c>
      <c r="AI154" s="3" t="s">
        <v>512</v>
      </c>
      <c r="AJ154" s="3" t="s">
        <v>139</v>
      </c>
      <c r="AK154" s="3" t="s">
        <v>62</v>
      </c>
      <c r="AL154" s="3" t="s">
        <v>140</v>
      </c>
      <c r="AM154" s="3" t="s">
        <v>513</v>
      </c>
    </row>
    <row r="155" spans="1:39" ht="15" customHeight="1" x14ac:dyDescent="0.2">
      <c r="A155" s="3" t="s">
        <v>505</v>
      </c>
      <c r="C155" s="3" t="s">
        <v>506</v>
      </c>
      <c r="D155" s="3" t="s">
        <v>550</v>
      </c>
      <c r="E155" s="1" t="str">
        <f t="shared" si="32"/>
        <v>.</v>
      </c>
      <c r="F155" s="1" t="str">
        <f t="shared" si="33"/>
        <v>Kaufman__2004</v>
      </c>
      <c r="G155" s="1" t="str">
        <f t="shared" si="34"/>
        <v>Kaufman</v>
      </c>
      <c r="H155" s="1" t="str">
        <f t="shared" si="35"/>
        <v/>
      </c>
      <c r="I155" s="1" t="str">
        <f t="shared" si="36"/>
        <v>2004</v>
      </c>
      <c r="J155" s="1" t="str">
        <f t="shared" si="37"/>
        <v>UMI%3A3147447</v>
      </c>
      <c r="K155" s="1" t="str">
        <f t="shared" si="38"/>
        <v>Kaufman__2004_TableA11</v>
      </c>
      <c r="L155" s="1" t="str">
        <f t="shared" si="39"/>
        <v>UMI%3A3147447_TableA11</v>
      </c>
      <c r="M155" s="1" t="str">
        <f t="array" ref="M155">IFERROR(INDEX(FileList!$A$1:$A$1000,MATCH(TRUE(),EXACT(L155,IFERROR(_xlfn.TEXTBEFORE(FileList!$A$1:$A$1000,".tsv"),"")),0)),"notfound")</f>
        <v>UMI%3A3147447_TableA11.tsv</v>
      </c>
      <c r="N155" s="3" t="s">
        <v>551</v>
      </c>
      <c r="P155" s="3" t="s">
        <v>165</v>
      </c>
      <c r="R155" s="3" t="s">
        <v>552</v>
      </c>
      <c r="T155" s="3" t="s">
        <v>553</v>
      </c>
      <c r="V155" s="3" t="s">
        <v>41</v>
      </c>
      <c r="AB155" s="3" t="s">
        <v>511</v>
      </c>
      <c r="AI155" s="3" t="s">
        <v>512</v>
      </c>
      <c r="AJ155" s="3" t="s">
        <v>139</v>
      </c>
      <c r="AK155" s="3" t="s">
        <v>62</v>
      </c>
      <c r="AL155" s="3" t="s">
        <v>140</v>
      </c>
      <c r="AM155" s="3" t="s">
        <v>513</v>
      </c>
    </row>
    <row r="156" spans="1:39" ht="15" customHeight="1" x14ac:dyDescent="0.2">
      <c r="A156" s="3" t="s">
        <v>505</v>
      </c>
      <c r="C156" s="3" t="s">
        <v>506</v>
      </c>
      <c r="D156" s="3" t="s">
        <v>554</v>
      </c>
      <c r="E156" s="1" t="str">
        <f t="shared" si="32"/>
        <v>.</v>
      </c>
      <c r="F156" s="1" t="str">
        <f t="shared" si="33"/>
        <v>Kaufman__2004</v>
      </c>
      <c r="G156" s="1" t="str">
        <f t="shared" si="34"/>
        <v>Kaufman</v>
      </c>
      <c r="H156" s="1" t="str">
        <f t="shared" si="35"/>
        <v/>
      </c>
      <c r="I156" s="1" t="str">
        <f t="shared" si="36"/>
        <v>2004</v>
      </c>
      <c r="J156" s="1" t="str">
        <f t="shared" si="37"/>
        <v>UMI%3A3147447</v>
      </c>
      <c r="K156" s="1" t="str">
        <f t="shared" si="38"/>
        <v>Kaufman__2004_TableA12</v>
      </c>
      <c r="L156" s="1" t="str">
        <f t="shared" si="39"/>
        <v>UMI%3A3147447_TableA12</v>
      </c>
      <c r="M156" s="1" t="str">
        <f t="array" ref="M156">IFERROR(INDEX(FileList!$A$1:$A$1000,MATCH(TRUE(),EXACT(L156,IFERROR(_xlfn.TEXTBEFORE(FileList!$A$1:$A$1000,".tsv"),"")),0)),"notfound")</f>
        <v>UMI%3A3147447_TableA12.tsv</v>
      </c>
      <c r="N156" s="3" t="s">
        <v>555</v>
      </c>
      <c r="P156" s="3" t="s">
        <v>165</v>
      </c>
      <c r="R156" s="3" t="s">
        <v>556</v>
      </c>
      <c r="T156" s="3" t="s">
        <v>557</v>
      </c>
      <c r="V156" s="3" t="s">
        <v>41</v>
      </c>
      <c r="AB156" s="3" t="s">
        <v>511</v>
      </c>
      <c r="AI156" s="3" t="s">
        <v>512</v>
      </c>
      <c r="AJ156" s="3" t="s">
        <v>139</v>
      </c>
      <c r="AK156" s="3" t="s">
        <v>62</v>
      </c>
      <c r="AL156" s="3" t="s">
        <v>140</v>
      </c>
      <c r="AM156" s="3" t="s">
        <v>513</v>
      </c>
    </row>
    <row r="157" spans="1:39" ht="15" customHeight="1" x14ac:dyDescent="0.2">
      <c r="A157" s="3" t="s">
        <v>505</v>
      </c>
      <c r="C157" s="3" t="s">
        <v>506</v>
      </c>
      <c r="D157" s="3" t="s">
        <v>558</v>
      </c>
      <c r="E157" s="1" t="str">
        <f t="shared" si="32"/>
        <v>.</v>
      </c>
      <c r="F157" s="1" t="str">
        <f t="shared" si="33"/>
        <v>Kaufman__2004</v>
      </c>
      <c r="G157" s="1" t="str">
        <f t="shared" si="34"/>
        <v>Kaufman</v>
      </c>
      <c r="H157" s="1" t="str">
        <f t="shared" si="35"/>
        <v/>
      </c>
      <c r="I157" s="1" t="str">
        <f t="shared" si="36"/>
        <v>2004</v>
      </c>
      <c r="J157" s="1" t="str">
        <f t="shared" si="37"/>
        <v>UMI%3A3147447</v>
      </c>
      <c r="K157" s="1" t="str">
        <f t="shared" si="38"/>
        <v>Kaufman__2004_TableA13</v>
      </c>
      <c r="L157" s="1" t="str">
        <f t="shared" si="39"/>
        <v>UMI%3A3147447_TableA13</v>
      </c>
      <c r="M157" s="1" t="str">
        <f t="array" ref="M157">IFERROR(INDEX(FileList!$A$1:$A$1000,MATCH(TRUE(),EXACT(L157,IFERROR(_xlfn.TEXTBEFORE(FileList!$A$1:$A$1000,".tsv"),"")),0)),"notfound")</f>
        <v>UMI%3A3147447_TableA13.tsv</v>
      </c>
      <c r="N157" s="3" t="s">
        <v>559</v>
      </c>
      <c r="P157" s="3" t="s">
        <v>165</v>
      </c>
      <c r="R157" s="3" t="s">
        <v>560</v>
      </c>
      <c r="T157" s="3" t="s">
        <v>561</v>
      </c>
      <c r="V157" s="3" t="s">
        <v>41</v>
      </c>
      <c r="AB157" s="3" t="s">
        <v>511</v>
      </c>
      <c r="AI157" s="3" t="s">
        <v>512</v>
      </c>
      <c r="AJ157" s="3" t="s">
        <v>139</v>
      </c>
      <c r="AK157" s="3" t="s">
        <v>62</v>
      </c>
      <c r="AL157" s="3" t="s">
        <v>140</v>
      </c>
      <c r="AM157" s="3" t="s">
        <v>513</v>
      </c>
    </row>
    <row r="158" spans="1:39" ht="15" customHeight="1" x14ac:dyDescent="0.2">
      <c r="A158" s="3" t="s">
        <v>505</v>
      </c>
      <c r="C158" s="3" t="s">
        <v>506</v>
      </c>
      <c r="D158" s="3" t="s">
        <v>562</v>
      </c>
      <c r="E158" s="1" t="str">
        <f t="shared" si="32"/>
        <v>.</v>
      </c>
      <c r="F158" s="1" t="str">
        <f t="shared" si="33"/>
        <v>Kaufman__2004</v>
      </c>
      <c r="G158" s="1" t="str">
        <f t="shared" si="34"/>
        <v>Kaufman</v>
      </c>
      <c r="H158" s="1" t="str">
        <f t="shared" si="35"/>
        <v/>
      </c>
      <c r="I158" s="1" t="str">
        <f t="shared" si="36"/>
        <v>2004</v>
      </c>
      <c r="J158" s="1" t="str">
        <f t="shared" si="37"/>
        <v>UMI%3A3147447</v>
      </c>
      <c r="K158" s="1" t="str">
        <f t="shared" si="38"/>
        <v>Kaufman__2004_TableA14</v>
      </c>
      <c r="L158" s="1" t="str">
        <f t="shared" si="39"/>
        <v>UMI%3A3147447_TableA14</v>
      </c>
      <c r="M158" s="1" t="str">
        <f t="array" ref="M158">IFERROR(INDEX(FileList!$A$1:$A$1000,MATCH(TRUE(),EXACT(L158,IFERROR(_xlfn.TEXTBEFORE(FileList!$A$1:$A$1000,".tsv"),"")),0)),"notfound")</f>
        <v>UMI%3A3147447_TableA14.tsv</v>
      </c>
      <c r="N158" s="3" t="s">
        <v>563</v>
      </c>
      <c r="P158" s="3" t="s">
        <v>165</v>
      </c>
      <c r="R158" s="3" t="s">
        <v>564</v>
      </c>
      <c r="T158" s="3" t="s">
        <v>565</v>
      </c>
      <c r="V158" s="3" t="s">
        <v>41</v>
      </c>
      <c r="AB158" s="3" t="s">
        <v>511</v>
      </c>
      <c r="AI158" s="3" t="s">
        <v>512</v>
      </c>
      <c r="AJ158" s="3" t="s">
        <v>139</v>
      </c>
      <c r="AK158" s="3" t="s">
        <v>62</v>
      </c>
      <c r="AL158" s="3" t="s">
        <v>140</v>
      </c>
      <c r="AM158" s="3" t="s">
        <v>513</v>
      </c>
    </row>
    <row r="159" spans="1:39" ht="15" customHeight="1" x14ac:dyDescent="0.2">
      <c r="A159" s="3" t="s">
        <v>505</v>
      </c>
      <c r="C159" s="3" t="s">
        <v>506</v>
      </c>
      <c r="D159" s="3" t="s">
        <v>566</v>
      </c>
      <c r="E159" s="1" t="str">
        <f t="shared" si="32"/>
        <v>.</v>
      </c>
      <c r="F159" s="1" t="str">
        <f t="shared" si="33"/>
        <v>Kaufman__2004</v>
      </c>
      <c r="G159" s="1" t="str">
        <f t="shared" si="34"/>
        <v>Kaufman</v>
      </c>
      <c r="H159" s="1" t="str">
        <f t="shared" si="35"/>
        <v/>
      </c>
      <c r="I159" s="1" t="str">
        <f t="shared" si="36"/>
        <v>2004</v>
      </c>
      <c r="J159" s="1" t="str">
        <f t="shared" si="37"/>
        <v>UMI%3A3147447</v>
      </c>
      <c r="K159" s="1" t="str">
        <f t="shared" si="38"/>
        <v>Kaufman__2004_TableA15</v>
      </c>
      <c r="L159" s="1" t="str">
        <f t="shared" si="39"/>
        <v>UMI%3A3147447_TableA15</v>
      </c>
      <c r="M159" s="1" t="str">
        <f t="array" ref="M159">IFERROR(INDEX(FileList!$A$1:$A$1000,MATCH(TRUE(),EXACT(L159,IFERROR(_xlfn.TEXTBEFORE(FileList!$A$1:$A$1000,".tsv"),"")),0)),"notfound")</f>
        <v>UMI%3A3147447_TableA15.tsv</v>
      </c>
      <c r="N159" s="3" t="s">
        <v>567</v>
      </c>
      <c r="P159" s="3" t="s">
        <v>165</v>
      </c>
      <c r="R159" s="3" t="s">
        <v>568</v>
      </c>
      <c r="T159" s="3" t="s">
        <v>569</v>
      </c>
      <c r="V159" s="3" t="s">
        <v>41</v>
      </c>
      <c r="AB159" s="3" t="s">
        <v>511</v>
      </c>
      <c r="AI159" s="3" t="s">
        <v>512</v>
      </c>
      <c r="AJ159" s="3" t="s">
        <v>139</v>
      </c>
      <c r="AK159" s="3" t="s">
        <v>62</v>
      </c>
      <c r="AL159" s="3" t="s">
        <v>140</v>
      </c>
      <c r="AM159" s="3" t="s">
        <v>513</v>
      </c>
    </row>
    <row r="160" spans="1:39" ht="15" customHeight="1" x14ac:dyDescent="0.2">
      <c r="A160" s="3" t="s">
        <v>840</v>
      </c>
      <c r="D160" s="3" t="s">
        <v>76</v>
      </c>
      <c r="E160" s="1" t="str">
        <f t="shared" si="32"/>
        <v>8</v>
      </c>
      <c r="F160" s="1" t="str">
        <f t="shared" si="33"/>
        <v>Kazu_etal_2014</v>
      </c>
      <c r="G160" s="1" t="str">
        <f t="shared" si="34"/>
        <v>Kazu</v>
      </c>
      <c r="H160" s="1" t="str">
        <f t="shared" si="35"/>
        <v>etal</v>
      </c>
      <c r="I160" s="1" t="str">
        <f t="shared" si="36"/>
        <v>2014</v>
      </c>
      <c r="J160" s="1" t="str">
        <f t="shared" si="37"/>
        <v>10.3389%2Ffnana.2014.00128</v>
      </c>
      <c r="K160" s="1" t="str">
        <f t="shared" si="38"/>
        <v>Kazu_etal_2014_Table1</v>
      </c>
      <c r="L160" s="1" t="str">
        <f t="shared" si="39"/>
        <v>10.3389%2Ffnana.2014.00128_Table1</v>
      </c>
      <c r="M160" s="1" t="str">
        <f t="array" ref="M160">IFERROR(INDEX(FileList!$A$1:$A$1000,MATCH(TRUE(),EXACT(L160,IFERROR(_xlfn.TEXTBEFORE(FileList!$A$1:$A$1000,".tsv"),"")),0)),"notfound")</f>
        <v>10.3389%2Ffnana.2014.00128_Table1.tsv</v>
      </c>
      <c r="P160" t="s">
        <v>1019</v>
      </c>
      <c r="R160" s="4" t="s">
        <v>938</v>
      </c>
      <c r="T160" s="4" t="s">
        <v>939</v>
      </c>
      <c r="U160" s="4" t="s">
        <v>54</v>
      </c>
      <c r="V160" s="4" t="s">
        <v>41</v>
      </c>
      <c r="Y160" s="4" t="s">
        <v>57</v>
      </c>
      <c r="AB160" s="4" t="s">
        <v>940</v>
      </c>
      <c r="AE160" t="s">
        <v>1020</v>
      </c>
      <c r="AI160" s="4" t="s">
        <v>941</v>
      </c>
      <c r="AJ160" s="4" t="s">
        <v>942</v>
      </c>
      <c r="AK160" s="4" t="s">
        <v>62</v>
      </c>
      <c r="AL160" s="4" t="s">
        <v>62</v>
      </c>
      <c r="AM160" s="4" t="s">
        <v>63</v>
      </c>
    </row>
    <row r="161" spans="1:39" ht="15" customHeight="1" x14ac:dyDescent="0.2">
      <c r="A161" s="3" t="s">
        <v>875</v>
      </c>
      <c r="D161" s="3" t="s">
        <v>48</v>
      </c>
      <c r="E161" s="1" t="str">
        <f t="shared" si="32"/>
        <v>9</v>
      </c>
      <c r="F161" s="1" t="str">
        <f t="shared" si="33"/>
        <v>Kazu_etal_2015</v>
      </c>
      <c r="G161" s="1" t="str">
        <f t="shared" si="34"/>
        <v>Kazu</v>
      </c>
      <c r="H161" s="1" t="str">
        <f t="shared" si="35"/>
        <v>etal</v>
      </c>
      <c r="I161" s="1" t="str">
        <f t="shared" si="36"/>
        <v>2015</v>
      </c>
      <c r="J161" s="1" t="str">
        <f t="shared" si="37"/>
        <v>10.3389%2Ffnana.2015.00039</v>
      </c>
      <c r="K161" s="1" t="str">
        <f t="shared" si="38"/>
        <v>Kazu_etal_2015_TABLE1</v>
      </c>
      <c r="L161" s="1" t="str">
        <f t="shared" si="39"/>
        <v>10.3389%2Ffnana.2015.00039_TABLE1</v>
      </c>
      <c r="M161" s="1" t="str">
        <f t="array" ref="M161">IFERROR(INDEX(FileList!$A$1:$A$1000,MATCH(TRUE(),EXACT(L161,IFERROR(_xlfn.TEXTBEFORE(FileList!$A$1:$A$1000,".tsv"),"")),0)),"notfound")</f>
        <v>10.3389%2Ffnana.2015.00039_TABLE1.tsv</v>
      </c>
      <c r="N161" s="3" t="s">
        <v>1011</v>
      </c>
      <c r="P161" t="s">
        <v>40</v>
      </c>
      <c r="R161" t="s">
        <v>1021</v>
      </c>
      <c r="T161" t="s">
        <v>1022</v>
      </c>
      <c r="U161" t="s">
        <v>54</v>
      </c>
      <c r="V161" t="s">
        <v>41</v>
      </c>
      <c r="Y161" t="s">
        <v>57</v>
      </c>
      <c r="AB161" t="s">
        <v>1023</v>
      </c>
      <c r="AI161" t="s">
        <v>1024</v>
      </c>
      <c r="AJ161" t="s">
        <v>942</v>
      </c>
      <c r="AK161" t="s">
        <v>62</v>
      </c>
      <c r="AL161" t="s">
        <v>62</v>
      </c>
      <c r="AM161" t="s">
        <v>63</v>
      </c>
    </row>
    <row r="162" spans="1:39" ht="15" customHeight="1" x14ac:dyDescent="0.2">
      <c r="A162" s="3" t="s">
        <v>570</v>
      </c>
      <c r="C162" s="3"/>
      <c r="D162" s="3" t="s">
        <v>571</v>
      </c>
      <c r="E162" s="1" t="str">
        <f t="shared" si="32"/>
        <v>0</v>
      </c>
      <c r="F162" s="1" t="str">
        <f t="shared" si="33"/>
        <v>Kochiyama_etal_2018</v>
      </c>
      <c r="G162" s="1" t="str">
        <f t="shared" si="34"/>
        <v>Kochiyama</v>
      </c>
      <c r="H162" s="1" t="str">
        <f t="shared" si="35"/>
        <v>etal</v>
      </c>
      <c r="I162" s="1" t="str">
        <f t="shared" si="36"/>
        <v>2018</v>
      </c>
      <c r="J162" s="1" t="str">
        <f t="shared" si="37"/>
        <v>10.1038%2Fs41598-018-24331-0</v>
      </c>
      <c r="K162" s="1" t="str">
        <f t="shared" si="38"/>
        <v>Kochiyama_etal_2018_ExtendedDataFigure4</v>
      </c>
      <c r="L162" s="1" t="str">
        <f t="shared" si="39"/>
        <v>10.1038%2Fs41598-018-24331-0_ExtendedDataFigure4</v>
      </c>
      <c r="M162" s="1" t="str">
        <f t="array" ref="M162">IFERROR(INDEX(FileList!$A$1:$A$1000,MATCH(TRUE(),EXACT(L162,IFERROR(_xlfn.TEXTBEFORE(FileList!$A$1:$A$1000,".tsv"),"")),0)),"notfound")</f>
        <v>10.1038%2Fs41598-018-24331-0_ExtendedDataFigure4.tsv</v>
      </c>
      <c r="N162" s="3" t="s">
        <v>860</v>
      </c>
      <c r="O162" s="3" t="s">
        <v>572</v>
      </c>
      <c r="V162" s="3" t="s">
        <v>573</v>
      </c>
    </row>
    <row r="163" spans="1:39" ht="15" customHeight="1" x14ac:dyDescent="0.2">
      <c r="A163" s="3" t="s">
        <v>570</v>
      </c>
      <c r="C163" s="3"/>
      <c r="D163" s="3" t="s">
        <v>574</v>
      </c>
      <c r="E163" s="1" t="str">
        <f t="shared" si="32"/>
        <v>0</v>
      </c>
      <c r="F163" s="1" t="str">
        <f t="shared" si="33"/>
        <v>Kochiyama_etal_2018</v>
      </c>
      <c r="G163" s="1" t="str">
        <f t="shared" si="34"/>
        <v>Kochiyama</v>
      </c>
      <c r="H163" s="1" t="str">
        <f t="shared" si="35"/>
        <v>etal</v>
      </c>
      <c r="I163" s="1" t="str">
        <f t="shared" si="36"/>
        <v>2018</v>
      </c>
      <c r="J163" s="1" t="str">
        <f t="shared" si="37"/>
        <v>10.1038%2Fs41598-018-24331-0</v>
      </c>
      <c r="K163" s="1" t="str">
        <f t="shared" si="38"/>
        <v>Kochiyama_etal_2018_ExtendedDataTable1</v>
      </c>
      <c r="L163" s="1" t="str">
        <f t="shared" si="39"/>
        <v>10.1038%2Fs41598-018-24331-0_ExtendedDataTable1</v>
      </c>
      <c r="M163" s="1" t="str">
        <f t="array" ref="M163">IFERROR(INDEX(FileList!$A$1:$A$1000,MATCH(TRUE(),EXACT(L163,IFERROR(_xlfn.TEXTBEFORE(FileList!$A$1:$A$1000,".tsv"),"")),0)),"notfound")</f>
        <v>10.1038%2Fs41598-018-24331-0_ExtendedDataTable1.tsv</v>
      </c>
      <c r="N163" s="3" t="s">
        <v>861</v>
      </c>
      <c r="V163" s="3" t="s">
        <v>41</v>
      </c>
    </row>
    <row r="164" spans="1:39" ht="15" customHeight="1" x14ac:dyDescent="0.2">
      <c r="A164" s="3" t="s">
        <v>570</v>
      </c>
      <c r="C164" s="3"/>
      <c r="D164" s="3" t="s">
        <v>575</v>
      </c>
      <c r="E164" s="1" t="str">
        <f t="shared" si="32"/>
        <v>0</v>
      </c>
      <c r="F164" s="1" t="str">
        <f t="shared" si="33"/>
        <v>Kochiyama_etal_2018</v>
      </c>
      <c r="G164" s="1" t="str">
        <f t="shared" si="34"/>
        <v>Kochiyama</v>
      </c>
      <c r="H164" s="1" t="str">
        <f t="shared" si="35"/>
        <v>etal</v>
      </c>
      <c r="I164" s="1" t="str">
        <f t="shared" si="36"/>
        <v>2018</v>
      </c>
      <c r="J164" s="1" t="str">
        <f t="shared" si="37"/>
        <v>10.1038%2Fs41598-018-24331-0</v>
      </c>
      <c r="K164" s="1" t="str">
        <f t="shared" si="38"/>
        <v>Kochiyama_etal_2018_ExtendedDataTable3</v>
      </c>
      <c r="L164" s="1" t="str">
        <f t="shared" si="39"/>
        <v>10.1038%2Fs41598-018-24331-0_ExtendedDataTable3</v>
      </c>
      <c r="M164" s="1" t="str">
        <f t="array" ref="M164">IFERROR(INDEX(FileList!$A$1:$A$1000,MATCH(TRUE(),EXACT(L164,IFERROR(_xlfn.TEXTBEFORE(FileList!$A$1:$A$1000,".tsv"),"")),0)),"notfound")</f>
        <v>10.1038%2Fs41598-018-24331-0_ExtendedDataTable3.tsv</v>
      </c>
      <c r="N164" s="3" t="s">
        <v>862</v>
      </c>
      <c r="V164" s="3" t="s">
        <v>41</v>
      </c>
    </row>
    <row r="165" spans="1:39" ht="15" customHeight="1" x14ac:dyDescent="0.2">
      <c r="A165" s="3" t="s">
        <v>570</v>
      </c>
      <c r="C165" s="3"/>
      <c r="D165" s="3" t="s">
        <v>576</v>
      </c>
      <c r="E165" s="1" t="str">
        <f t="shared" si="32"/>
        <v>0</v>
      </c>
      <c r="F165" s="1" t="str">
        <f t="shared" si="33"/>
        <v>Kochiyama_etal_2018</v>
      </c>
      <c r="G165" s="1" t="str">
        <f t="shared" si="34"/>
        <v>Kochiyama</v>
      </c>
      <c r="H165" s="1" t="str">
        <f t="shared" si="35"/>
        <v>etal</v>
      </c>
      <c r="I165" s="1" t="str">
        <f t="shared" si="36"/>
        <v>2018</v>
      </c>
      <c r="J165" s="1" t="str">
        <f t="shared" si="37"/>
        <v>10.1038%2Fs41598-018-24331-0</v>
      </c>
      <c r="K165" s="1" t="str">
        <f t="shared" si="38"/>
        <v>Kochiyama_etal_2018_Figure3legend</v>
      </c>
      <c r="L165" s="1" t="str">
        <f t="shared" si="39"/>
        <v>10.1038%2Fs41598-018-24331-0_Figure3legend</v>
      </c>
      <c r="M165" s="1" t="str">
        <f t="array" ref="M165">IFERROR(INDEX(FileList!$A$1:$A$1000,MATCH(TRUE(),EXACT(L165,IFERROR(_xlfn.TEXTBEFORE(FileList!$A$1:$A$1000,".tsv"),"")),0)),"notfound")</f>
        <v>10.1038%2Fs41598-018-24331-0_Figure3legend.tsv</v>
      </c>
      <c r="N165" s="3" t="s">
        <v>577</v>
      </c>
      <c r="O165" s="3" t="s">
        <v>578</v>
      </c>
      <c r="V165" s="3" t="s">
        <v>579</v>
      </c>
    </row>
    <row r="166" spans="1:39" ht="15" customHeight="1" x14ac:dyDescent="0.2">
      <c r="A166" s="3" t="s">
        <v>570</v>
      </c>
      <c r="C166" s="3"/>
      <c r="D166" s="3" t="s">
        <v>580</v>
      </c>
      <c r="E166" s="1" t="str">
        <f t="shared" si="32"/>
        <v>0</v>
      </c>
      <c r="F166" s="1" t="str">
        <f t="shared" si="33"/>
        <v>Kochiyama_etal_2018</v>
      </c>
      <c r="G166" s="1" t="str">
        <f t="shared" si="34"/>
        <v>Kochiyama</v>
      </c>
      <c r="H166" s="1" t="str">
        <f t="shared" si="35"/>
        <v>etal</v>
      </c>
      <c r="I166" s="1" t="str">
        <f t="shared" si="36"/>
        <v>2018</v>
      </c>
      <c r="J166" s="1" t="str">
        <f t="shared" si="37"/>
        <v>10.1038%2Fs41598-018-24331-0</v>
      </c>
      <c r="K166" s="1" t="str">
        <f t="shared" si="38"/>
        <v>Kochiyama_etal_2018_Figure3A</v>
      </c>
      <c r="L166" s="1" t="str">
        <f t="shared" si="39"/>
        <v>10.1038%2Fs41598-018-24331-0_Figure3A</v>
      </c>
      <c r="M166" s="1" t="str">
        <f t="array" ref="M166">IFERROR(INDEX(FileList!$A$1:$A$1000,MATCH(TRUE(),EXACT(L166,IFERROR(_xlfn.TEXTBEFORE(FileList!$A$1:$A$1000,".tsv"),"")),0)),"notfound")</f>
        <v>10.1038%2Fs41598-018-24331-0_Figure3A.tsv</v>
      </c>
      <c r="N166" s="3" t="s">
        <v>577</v>
      </c>
      <c r="O166" s="3" t="s">
        <v>572</v>
      </c>
      <c r="V166" s="3" t="s">
        <v>573</v>
      </c>
    </row>
    <row r="167" spans="1:39" ht="15" customHeight="1" x14ac:dyDescent="0.2">
      <c r="A167" s="3" t="s">
        <v>570</v>
      </c>
      <c r="C167" s="3"/>
      <c r="D167" s="3" t="s">
        <v>581</v>
      </c>
      <c r="E167" s="1" t="str">
        <f t="shared" si="32"/>
        <v>0</v>
      </c>
      <c r="F167" s="1" t="str">
        <f t="shared" si="33"/>
        <v>Kochiyama_etal_2018</v>
      </c>
      <c r="G167" s="1" t="str">
        <f t="shared" si="34"/>
        <v>Kochiyama</v>
      </c>
      <c r="H167" s="1" t="str">
        <f t="shared" si="35"/>
        <v>etal</v>
      </c>
      <c r="I167" s="1" t="str">
        <f t="shared" si="36"/>
        <v>2018</v>
      </c>
      <c r="J167" s="1" t="str">
        <f t="shared" si="37"/>
        <v>10.1038%2Fs41598-018-24331-0</v>
      </c>
      <c r="K167" s="1" t="str">
        <f t="shared" si="38"/>
        <v>Kochiyama_etal_2018_Figure3B</v>
      </c>
      <c r="L167" s="1" t="str">
        <f t="shared" si="39"/>
        <v>10.1038%2Fs41598-018-24331-0_Figure3B</v>
      </c>
      <c r="M167" s="1" t="str">
        <f t="array" ref="M167">IFERROR(INDEX(FileList!$A$1:$A$1000,MATCH(TRUE(),EXACT(L167,IFERROR(_xlfn.TEXTBEFORE(FileList!$A$1:$A$1000,".tsv"),"")),0)),"notfound")</f>
        <v>10.1038%2Fs41598-018-24331-0_Figure3B.tsv</v>
      </c>
      <c r="N167" s="3" t="s">
        <v>577</v>
      </c>
      <c r="O167" s="3" t="s">
        <v>572</v>
      </c>
      <c r="V167" s="3" t="s">
        <v>573</v>
      </c>
    </row>
    <row r="168" spans="1:39" ht="15" customHeight="1" x14ac:dyDescent="0.2">
      <c r="A168" s="3" t="s">
        <v>570</v>
      </c>
      <c r="C168" s="3"/>
      <c r="D168" s="3" t="s">
        <v>582</v>
      </c>
      <c r="E168" s="1" t="str">
        <f t="shared" si="32"/>
        <v>0</v>
      </c>
      <c r="F168" s="1" t="str">
        <f t="shared" si="33"/>
        <v>Kochiyama_etal_2018</v>
      </c>
      <c r="G168" s="1" t="str">
        <f t="shared" si="34"/>
        <v>Kochiyama</v>
      </c>
      <c r="H168" s="1" t="str">
        <f t="shared" si="35"/>
        <v>etal</v>
      </c>
      <c r="I168" s="1" t="str">
        <f t="shared" si="36"/>
        <v>2018</v>
      </c>
      <c r="J168" s="1" t="str">
        <f t="shared" si="37"/>
        <v>10.1038%2Fs41598-018-24331-0</v>
      </c>
      <c r="K168" s="1" t="str">
        <f t="shared" si="38"/>
        <v>Kochiyama_etal_2018_FossilSpecimensText</v>
      </c>
      <c r="L168" s="1" t="str">
        <f t="shared" si="39"/>
        <v>10.1038%2Fs41598-018-24331-0_FossilSpecimensText</v>
      </c>
      <c r="M168" s="1" t="str">
        <f t="array" ref="M168">IFERROR(INDEX(FileList!$A$1:$A$1000,MATCH(TRUE(),EXACT(L168,IFERROR(_xlfn.TEXTBEFORE(FileList!$A$1:$A$1000,".tsv"),"")),0)),"notfound")</f>
        <v>10.1038%2Fs41598-018-24331-0_FossilSpecimensText.tsv</v>
      </c>
      <c r="N168" s="3" t="s">
        <v>583</v>
      </c>
      <c r="O168" s="3" t="s">
        <v>584</v>
      </c>
      <c r="V168" s="3" t="s">
        <v>41</v>
      </c>
    </row>
    <row r="169" spans="1:39" ht="15" customHeight="1" x14ac:dyDescent="0.2">
      <c r="A169" s="3" t="s">
        <v>585</v>
      </c>
      <c r="C169" s="3"/>
      <c r="D169" s="3" t="s">
        <v>76</v>
      </c>
      <c r="E169" s="1" t="str">
        <f t="shared" si="32"/>
        <v>3</v>
      </c>
      <c r="F169" s="1" t="str">
        <f t="shared" si="33"/>
        <v>Krubitzer_Kaas_1990</v>
      </c>
      <c r="G169" s="1" t="str">
        <f t="shared" si="34"/>
        <v>Krubitzer</v>
      </c>
      <c r="H169" s="1" t="str">
        <f t="shared" si="35"/>
        <v>Kaas</v>
      </c>
      <c r="I169" s="1" t="str">
        <f t="shared" si="36"/>
        <v>1990</v>
      </c>
      <c r="J169" s="1" t="str">
        <f t="shared" si="37"/>
        <v>10.1017%2Fs0952523800000213</v>
      </c>
      <c r="K169" s="1" t="str">
        <f t="shared" si="38"/>
        <v>Krubitzer_Kaas_1990_Table1</v>
      </c>
      <c r="L169" s="1" t="str">
        <f t="shared" si="39"/>
        <v>10.1017%2Fs0952523800000213_Table1</v>
      </c>
      <c r="M169" s="1" t="str">
        <f t="array" ref="M169">IFERROR(INDEX(FileList!$A$1:$A$1000,MATCH(TRUE(),EXACT(L169,IFERROR(_xlfn.TEXTBEFORE(FileList!$A$1:$A$1000,".tsv"),"")),0)),"notfound")</f>
        <v>10.1017%2Fs0952523800000213_Table1.tsv</v>
      </c>
      <c r="N169" s="3" t="s">
        <v>586</v>
      </c>
    </row>
    <row r="170" spans="1:39" ht="15" customHeight="1" x14ac:dyDescent="0.2">
      <c r="A170" s="3" t="s">
        <v>587</v>
      </c>
      <c r="D170" s="3" t="s">
        <v>76</v>
      </c>
      <c r="E170" s="1" t="str">
        <f t="shared" si="32"/>
        <v>8</v>
      </c>
      <c r="F170" s="1" t="str">
        <f t="shared" si="33"/>
        <v>Kverkova_etal_2018</v>
      </c>
      <c r="G170" s="1" t="str">
        <f t="shared" si="34"/>
        <v>Kverkova</v>
      </c>
      <c r="H170" s="1" t="str">
        <f t="shared" si="35"/>
        <v>etal</v>
      </c>
      <c r="I170" s="1" t="str">
        <f t="shared" si="36"/>
        <v>2018</v>
      </c>
      <c r="J170" s="1" t="str">
        <f t="shared" si="37"/>
        <v>10.1038%2Fs41598-018-26062-8</v>
      </c>
      <c r="K170" s="1" t="str">
        <f t="shared" si="38"/>
        <v>Kverkova_etal_2018_Table1</v>
      </c>
      <c r="L170" s="1" t="str">
        <f t="shared" si="39"/>
        <v>10.1038%2Fs41598-018-26062-8_Table1</v>
      </c>
      <c r="M170" s="1" t="str">
        <f t="array" ref="M170">IFERROR(INDEX(FileList!$A$1:$A$1000,MATCH(TRUE(),EXACT(L170,IFERROR(_xlfn.TEXTBEFORE(FileList!$A$1:$A$1000,".tsv"),"")),0)),"notfound")</f>
        <v>10.1038%2Fs41598-018-26062-8_Table1.tsv</v>
      </c>
      <c r="N170" s="3" t="s">
        <v>588</v>
      </c>
      <c r="P170" s="3" t="s">
        <v>40</v>
      </c>
      <c r="Q170" s="3" t="s">
        <v>50</v>
      </c>
      <c r="R170" s="3" t="s">
        <v>589</v>
      </c>
      <c r="S170" s="3" t="s">
        <v>52</v>
      </c>
      <c r="T170" s="3" t="s">
        <v>590</v>
      </c>
      <c r="U170" s="3" t="s">
        <v>591</v>
      </c>
      <c r="V170" s="3" t="s">
        <v>41</v>
      </c>
      <c r="Y170" s="3" t="s">
        <v>592</v>
      </c>
      <c r="Z170" s="3" t="s">
        <v>592</v>
      </c>
      <c r="AH170" s="3" t="s">
        <v>593</v>
      </c>
      <c r="AI170" s="3" t="s">
        <v>594</v>
      </c>
      <c r="AJ170" s="3" t="s">
        <v>595</v>
      </c>
      <c r="AK170" s="3" t="s">
        <v>62</v>
      </c>
      <c r="AL170" s="3" t="s">
        <v>62</v>
      </c>
      <c r="AM170" s="3" t="s">
        <v>596</v>
      </c>
    </row>
    <row r="171" spans="1:39" ht="15" customHeight="1" x14ac:dyDescent="0.2">
      <c r="A171" s="3" t="s">
        <v>587</v>
      </c>
      <c r="D171" s="3" t="s">
        <v>197</v>
      </c>
      <c r="E171" s="1" t="str">
        <f t="shared" si="32"/>
        <v>8</v>
      </c>
      <c r="F171" s="1" t="str">
        <f t="shared" si="33"/>
        <v>Kverkova_etal_2018</v>
      </c>
      <c r="G171" s="1" t="str">
        <f t="shared" si="34"/>
        <v>Kverkova</v>
      </c>
      <c r="H171" s="1" t="str">
        <f t="shared" si="35"/>
        <v>etal</v>
      </c>
      <c r="I171" s="1" t="str">
        <f t="shared" si="36"/>
        <v>2018</v>
      </c>
      <c r="J171" s="1" t="str">
        <f t="shared" si="37"/>
        <v>10.1038%2Fs41598-018-26062-8</v>
      </c>
      <c r="K171" s="1" t="str">
        <f t="shared" si="38"/>
        <v>Kverkova_etal_2018_TableS1</v>
      </c>
      <c r="L171" s="1" t="str">
        <f t="shared" si="39"/>
        <v>10.1038%2Fs41598-018-26062-8_TableS1</v>
      </c>
      <c r="M171" s="1" t="str">
        <f t="array" ref="M171">IFERROR(INDEX(FileList!$A$1:$A$1000,MATCH(TRUE(),EXACT(L171,IFERROR(_xlfn.TEXTBEFORE(FileList!$A$1:$A$1000,".tsv"),"")),0)),"notfound")</f>
        <v>10.1038%2Fs41598-018-26062-8_TableS1.tsv</v>
      </c>
      <c r="N171" s="3" t="s">
        <v>597</v>
      </c>
      <c r="P171" s="3" t="s">
        <v>40</v>
      </c>
      <c r="Q171" s="3" t="s">
        <v>50</v>
      </c>
      <c r="R171" s="3" t="s">
        <v>598</v>
      </c>
      <c r="S171" s="3" t="s">
        <v>52</v>
      </c>
      <c r="T171" s="3" t="s">
        <v>590</v>
      </c>
      <c r="U171" s="3" t="s">
        <v>591</v>
      </c>
      <c r="V171" s="3" t="s">
        <v>41</v>
      </c>
      <c r="W171" s="3" t="s">
        <v>190</v>
      </c>
      <c r="X171" s="3" t="s">
        <v>599</v>
      </c>
      <c r="Y171" s="3" t="s">
        <v>592</v>
      </c>
      <c r="Z171" s="3" t="s">
        <v>592</v>
      </c>
      <c r="AH171" s="3" t="s">
        <v>593</v>
      </c>
      <c r="AI171" s="3" t="s">
        <v>402</v>
      </c>
      <c r="AJ171" s="3" t="s">
        <v>595</v>
      </c>
      <c r="AK171" s="3" t="s">
        <v>600</v>
      </c>
      <c r="AL171" s="3" t="s">
        <v>62</v>
      </c>
      <c r="AM171" s="3" t="s">
        <v>404</v>
      </c>
    </row>
    <row r="172" spans="1:39" ht="15" customHeight="1" x14ac:dyDescent="0.2">
      <c r="A172" s="3" t="s">
        <v>587</v>
      </c>
      <c r="D172" s="3" t="s">
        <v>464</v>
      </c>
      <c r="E172" s="1" t="str">
        <f t="shared" si="32"/>
        <v>8</v>
      </c>
      <c r="F172" s="1" t="str">
        <f t="shared" si="33"/>
        <v>Kverkova_etal_2018</v>
      </c>
      <c r="G172" s="1" t="str">
        <f t="shared" si="34"/>
        <v>Kverkova</v>
      </c>
      <c r="H172" s="1" t="str">
        <f t="shared" si="35"/>
        <v>etal</v>
      </c>
      <c r="I172" s="1" t="str">
        <f t="shared" si="36"/>
        <v>2018</v>
      </c>
      <c r="J172" s="1" t="str">
        <f t="shared" si="37"/>
        <v>10.1038%2Fs41598-018-26062-8</v>
      </c>
      <c r="K172" s="1" t="str">
        <f t="shared" si="38"/>
        <v>Kverkova_etal_2018_TableS5</v>
      </c>
      <c r="L172" s="1" t="str">
        <f t="shared" si="39"/>
        <v>10.1038%2Fs41598-018-26062-8_TableS5</v>
      </c>
      <c r="M172" s="1" t="str">
        <f t="array" ref="M172">IFERROR(INDEX(FileList!$A$1:$A$1000,MATCH(TRUE(),EXACT(L172,IFERROR(_xlfn.TEXTBEFORE(FileList!$A$1:$A$1000,".tsv"),"")),0)),"notfound")</f>
        <v>10.1038%2Fs41598-018-26062-8_TableS5.tsv</v>
      </c>
      <c r="N172" s="3" t="s">
        <v>601</v>
      </c>
      <c r="P172" s="3" t="s">
        <v>40</v>
      </c>
      <c r="Q172" s="3" t="s">
        <v>50</v>
      </c>
      <c r="R172" s="3" t="s">
        <v>602</v>
      </c>
      <c r="S172" s="3" t="s">
        <v>52</v>
      </c>
      <c r="T172" s="3" t="s">
        <v>603</v>
      </c>
      <c r="U172" s="3" t="s">
        <v>604</v>
      </c>
      <c r="V172" s="3" t="s">
        <v>41</v>
      </c>
      <c r="W172" s="3" t="s">
        <v>190</v>
      </c>
      <c r="X172" s="3" t="s">
        <v>599</v>
      </c>
      <c r="Y172" s="3" t="s">
        <v>592</v>
      </c>
      <c r="Z172" s="3" t="s">
        <v>592</v>
      </c>
      <c r="AG172" s="3" t="s">
        <v>58</v>
      </c>
      <c r="AH172" s="3" t="s">
        <v>593</v>
      </c>
      <c r="AI172" s="3" t="s">
        <v>408</v>
      </c>
      <c r="AJ172" s="3" t="s">
        <v>595</v>
      </c>
      <c r="AK172" s="3" t="s">
        <v>62</v>
      </c>
      <c r="AL172" s="3" t="s">
        <v>62</v>
      </c>
      <c r="AM172" s="3" t="s">
        <v>63</v>
      </c>
    </row>
    <row r="173" spans="1:39" ht="15" customHeight="1" x14ac:dyDescent="0.2">
      <c r="A173" s="3" t="s">
        <v>605</v>
      </c>
      <c r="D173" s="3" t="s">
        <v>606</v>
      </c>
      <c r="E173" s="1" t="str">
        <f t="shared" si="32"/>
        <v>4</v>
      </c>
      <c r="F173" s="1" t="str">
        <f t="shared" si="33"/>
        <v>Lewitus_etal_2013</v>
      </c>
      <c r="G173" s="1" t="str">
        <f t="shared" si="34"/>
        <v>Lewitus</v>
      </c>
      <c r="H173" s="1" t="str">
        <f t="shared" si="35"/>
        <v>etal</v>
      </c>
      <c r="I173" s="1" t="str">
        <f t="shared" si="36"/>
        <v>2013</v>
      </c>
      <c r="J173" s="1" t="str">
        <f t="shared" si="37"/>
        <v>10.3389%2Ffnhum.2013.00424</v>
      </c>
      <c r="K173" s="1" t="str">
        <f t="shared" si="38"/>
        <v>Lewitus_etal_2013_TableS2partial</v>
      </c>
      <c r="L173" s="1" t="str">
        <f t="shared" si="39"/>
        <v>10.3389%2Ffnhum.2013.00424_TableS2partial</v>
      </c>
      <c r="M173" s="1" t="str">
        <f t="array" ref="M173">IFERROR(INDEX(FileList!$A$1:$A$1000,MATCH(TRUE(),EXACT(L173,IFERROR(_xlfn.TEXTBEFORE(FileList!$A$1:$A$1000,".tsv"),"")),0)),"notfound")</f>
        <v>10.3389%2Ffnhum.2013.00424_TableS2partial.tsv</v>
      </c>
      <c r="Q173" s="3" t="s">
        <v>131</v>
      </c>
      <c r="AI173" s="3" t="s">
        <v>607</v>
      </c>
      <c r="AJ173" s="3" t="s">
        <v>139</v>
      </c>
      <c r="AL173" s="3" t="s">
        <v>62</v>
      </c>
      <c r="AM173" s="3" t="s">
        <v>608</v>
      </c>
    </row>
    <row r="174" spans="1:39" ht="15" customHeight="1" x14ac:dyDescent="0.2">
      <c r="A174" s="3" t="s">
        <v>609</v>
      </c>
      <c r="D174" s="3" t="s">
        <v>197</v>
      </c>
      <c r="E174" s="1" t="str">
        <f t="shared" si="32"/>
        <v>0</v>
      </c>
      <c r="F174" s="1" t="str">
        <f t="shared" si="33"/>
        <v>Lewitus_etal_2014</v>
      </c>
      <c r="G174" s="1" t="str">
        <f t="shared" si="34"/>
        <v>Lewitus</v>
      </c>
      <c r="H174" s="1" t="str">
        <f t="shared" si="35"/>
        <v>etal</v>
      </c>
      <c r="I174" s="1" t="str">
        <f t="shared" si="36"/>
        <v>2014</v>
      </c>
      <c r="J174" s="1" t="str">
        <f t="shared" si="37"/>
        <v>10.1371%2Fjournal.pbio.1002000</v>
      </c>
      <c r="K174" s="1" t="str">
        <f t="shared" si="38"/>
        <v>Lewitus_etal_2014_TableS1</v>
      </c>
      <c r="L174" s="1" t="str">
        <f t="shared" si="39"/>
        <v>10.1371%2Fjournal.pbio.1002000_TableS1</v>
      </c>
      <c r="M174" s="1" t="str">
        <f t="array" ref="M174">IFERROR(INDEX(FileList!$A$1:$A$1000,MATCH(TRUE(),EXACT(L174,IFERROR(_xlfn.TEXTBEFORE(FileList!$A$1:$A$1000,".tsv"),"")),0)),"notfound")</f>
        <v>10.1371%2Fjournal.pbio.1002000_TableS1.tsv</v>
      </c>
      <c r="N174" s="3" t="s">
        <v>610</v>
      </c>
      <c r="Q174" s="3" t="s">
        <v>131</v>
      </c>
      <c r="AI174" s="3" t="s">
        <v>611</v>
      </c>
      <c r="AJ174" s="3" t="s">
        <v>139</v>
      </c>
      <c r="AL174" s="3" t="s">
        <v>140</v>
      </c>
      <c r="AM174" s="3" t="s">
        <v>612</v>
      </c>
    </row>
    <row r="175" spans="1:39" ht="15" customHeight="1" x14ac:dyDescent="0.2">
      <c r="A175" s="3" t="s">
        <v>609</v>
      </c>
      <c r="D175" s="3" t="s">
        <v>470</v>
      </c>
      <c r="E175" s="1" t="str">
        <f t="shared" si="32"/>
        <v>0</v>
      </c>
      <c r="F175" s="1" t="str">
        <f t="shared" si="33"/>
        <v>Lewitus_etal_2014</v>
      </c>
      <c r="G175" s="1" t="str">
        <f t="shared" si="34"/>
        <v>Lewitus</v>
      </c>
      <c r="H175" s="1" t="str">
        <f t="shared" si="35"/>
        <v>etal</v>
      </c>
      <c r="I175" s="1" t="str">
        <f t="shared" si="36"/>
        <v>2014</v>
      </c>
      <c r="J175" s="1" t="str">
        <f t="shared" si="37"/>
        <v>10.1371%2Fjournal.pbio.1002000</v>
      </c>
      <c r="K175" s="1" t="str">
        <f t="shared" si="38"/>
        <v>Lewitus_etal_2014_TableS8</v>
      </c>
      <c r="L175" s="1" t="str">
        <f t="shared" si="39"/>
        <v>10.1371%2Fjournal.pbio.1002000_TableS8</v>
      </c>
      <c r="M175" s="1" t="str">
        <f t="array" ref="M175">IFERROR(INDEX(FileList!$A$1:$A$1000,MATCH(TRUE(),EXACT(L175,IFERROR(_xlfn.TEXTBEFORE(FileList!$A$1:$A$1000,".tsv"),"")),0)),"notfound")</f>
        <v>10.1371%2Fjournal.pbio.1002000_TableS8.tsv</v>
      </c>
      <c r="N175" s="3" t="s">
        <v>613</v>
      </c>
      <c r="Q175" s="3" t="s">
        <v>131</v>
      </c>
      <c r="AI175" s="3" t="s">
        <v>611</v>
      </c>
      <c r="AJ175" s="3" t="s">
        <v>139</v>
      </c>
      <c r="AL175" s="3" t="s">
        <v>140</v>
      </c>
      <c r="AM175" s="3" t="s">
        <v>612</v>
      </c>
    </row>
    <row r="176" spans="1:39" ht="15" customHeight="1" x14ac:dyDescent="0.2">
      <c r="A176" s="4" t="s">
        <v>852</v>
      </c>
      <c r="D176" s="4" t="s">
        <v>943</v>
      </c>
      <c r="E176" s="1" t="str">
        <f t="shared" si="32"/>
        <v>3</v>
      </c>
      <c r="F176" s="1" t="str">
        <f t="shared" si="33"/>
        <v>Liu_etal_2016</v>
      </c>
      <c r="G176" s="1" t="str">
        <f t="shared" si="34"/>
        <v>Liu</v>
      </c>
      <c r="H176" s="1" t="str">
        <f t="shared" si="35"/>
        <v>etal</v>
      </c>
      <c r="I176" s="1" t="str">
        <f t="shared" si="36"/>
        <v>2016</v>
      </c>
      <c r="J176" s="1" t="str">
        <f t="shared" si="37"/>
        <v>10.1098%2Frspb.2016.1923</v>
      </c>
      <c r="K176" s="1" t="str">
        <f t="shared" si="38"/>
        <v>Liu_etal_2016_TableS1</v>
      </c>
      <c r="L176" s="1" t="str">
        <f t="shared" si="39"/>
        <v>10.1098%2Frspb.2016.1923_TableS1</v>
      </c>
      <c r="M176" s="1" t="str">
        <f t="array" ref="M176">IFERROR(INDEX(FileList!$A$1:$A$1000,MATCH(TRUE(),EXACT(L176,IFERROR(_xlfn.TEXTBEFORE(FileList!$A$1:$A$1000,".tsv"),"")),0)),"notfound")</f>
        <v>10.1098%2Frspb.2016.1923_TableS1.tsv</v>
      </c>
      <c r="P176" s="4" t="s">
        <v>877</v>
      </c>
      <c r="R176" s="4" t="s">
        <v>944</v>
      </c>
      <c r="T176" s="4" t="s">
        <v>945</v>
      </c>
      <c r="U176" s="4" t="s">
        <v>946</v>
      </c>
      <c r="V176" s="4" t="s">
        <v>881</v>
      </c>
      <c r="Y176" s="4" t="s">
        <v>947</v>
      </c>
      <c r="AB176" s="4" t="s">
        <v>948</v>
      </c>
      <c r="AI176" s="4" t="s">
        <v>949</v>
      </c>
      <c r="AJ176" s="4" t="s">
        <v>927</v>
      </c>
      <c r="AK176" s="4" t="s">
        <v>950</v>
      </c>
      <c r="AL176" s="4" t="s">
        <v>887</v>
      </c>
      <c r="AM176" s="4" t="s">
        <v>951</v>
      </c>
    </row>
    <row r="177" spans="1:39" ht="15" customHeight="1" x14ac:dyDescent="0.2">
      <c r="A177" s="4" t="s">
        <v>843</v>
      </c>
      <c r="D177" s="3" t="s">
        <v>76</v>
      </c>
      <c r="E177" s="1" t="str">
        <f t="shared" si="32"/>
        <v>3</v>
      </c>
      <c r="F177" s="1" t="str">
        <f t="shared" si="33"/>
        <v>Lyamin_etal_2008</v>
      </c>
      <c r="G177" s="1" t="str">
        <f t="shared" si="34"/>
        <v>Lyamin</v>
      </c>
      <c r="H177" s="1" t="str">
        <f t="shared" si="35"/>
        <v>etal</v>
      </c>
      <c r="I177" s="1" t="str">
        <f t="shared" si="36"/>
        <v>2008</v>
      </c>
      <c r="J177" s="1" t="str">
        <f t="shared" si="37"/>
        <v>10.1016%2Fj.neubiorev.2008.05.023</v>
      </c>
      <c r="K177" s="1" t="str">
        <f t="shared" si="38"/>
        <v>Lyamin_etal_2008_Table1</v>
      </c>
      <c r="L177" s="1" t="str">
        <f t="shared" si="39"/>
        <v>10.1016%2Fj.neubiorev.2008.05.023_Table1</v>
      </c>
      <c r="M177" s="1" t="str">
        <f t="array" ref="M177">IFERROR(INDEX(FileList!$A$1:$A$1000,MATCH(TRUE(),EXACT(L177,IFERROR(_xlfn.TEXTBEFORE(FileList!$A$1:$A$1000,".tsv"),"")),0)),"notfound")</f>
        <v>10.1016%2Fj.neubiorev.2008.05.023_Table1.tsv</v>
      </c>
    </row>
    <row r="178" spans="1:39" ht="15" customHeight="1" x14ac:dyDescent="0.2">
      <c r="A178" s="4" t="s">
        <v>843</v>
      </c>
      <c r="D178" s="3" t="s">
        <v>118</v>
      </c>
      <c r="E178" s="1" t="str">
        <f t="shared" si="32"/>
        <v>3</v>
      </c>
      <c r="F178" s="1" t="str">
        <f t="shared" si="33"/>
        <v>Lyamin_etal_2008</v>
      </c>
      <c r="G178" s="1" t="str">
        <f t="shared" si="34"/>
        <v>Lyamin</v>
      </c>
      <c r="H178" s="1" t="str">
        <f t="shared" si="35"/>
        <v>etal</v>
      </c>
      <c r="I178" s="1" t="str">
        <f t="shared" si="36"/>
        <v>2008</v>
      </c>
      <c r="J178" s="1" t="str">
        <f t="shared" si="37"/>
        <v>10.1016%2Fj.neubiorev.2008.05.023</v>
      </c>
      <c r="K178" s="1" t="str">
        <f t="shared" si="38"/>
        <v>Lyamin_etal_2008_Table2</v>
      </c>
      <c r="L178" s="1" t="str">
        <f t="shared" si="39"/>
        <v>10.1016%2Fj.neubiorev.2008.05.023_Table2</v>
      </c>
      <c r="M178" s="1" t="str">
        <f t="array" ref="M178">IFERROR(INDEX(FileList!$A$1:$A$1000,MATCH(TRUE(),EXACT(L178,IFERROR(_xlfn.TEXTBEFORE(FileList!$A$1:$A$1000,".tsv"),"")),0)),"notfound")</f>
        <v>10.1016%2Fj.neubiorev.2008.05.023_Table2.tsv</v>
      </c>
    </row>
    <row r="179" spans="1:39" ht="15" customHeight="1" x14ac:dyDescent="0.2">
      <c r="A179" s="3" t="s">
        <v>614</v>
      </c>
      <c r="D179" s="3" t="s">
        <v>76</v>
      </c>
      <c r="E179" s="1" t="str">
        <f t="shared" si="32"/>
        <v>5</v>
      </c>
      <c r="F179" s="1" t="str">
        <f t="shared" si="33"/>
        <v>MacLarnon__1996</v>
      </c>
      <c r="G179" s="1" t="str">
        <f t="shared" si="34"/>
        <v>MacLarnon</v>
      </c>
      <c r="H179" s="1" t="str">
        <f t="shared" si="35"/>
        <v/>
      </c>
      <c r="I179" s="1" t="str">
        <f t="shared" si="36"/>
        <v>1996</v>
      </c>
      <c r="J179" s="1" t="str">
        <f t="shared" si="37"/>
        <v>10.1006%2Fjhev.1996.0005</v>
      </c>
      <c r="K179" s="1" t="str">
        <f t="shared" si="38"/>
        <v>MacLarnon__1996_Table1</v>
      </c>
      <c r="L179" s="1" t="str">
        <f t="shared" si="39"/>
        <v>10.1006%2Fjhev.1996.0005_Table1</v>
      </c>
      <c r="M179" s="1" t="str">
        <f t="array" ref="M179">IFERROR(INDEX(FileList!$A$1:$A$1000,MATCH(TRUE(),EXACT(L179,IFERROR(_xlfn.TEXTBEFORE(FileList!$A$1:$A$1000,".tsv"),"")),0)),"notfound")</f>
        <v>10.1006%2Fjhev.1996.0005_Table1.tsv</v>
      </c>
      <c r="N179" s="3" t="s">
        <v>615</v>
      </c>
      <c r="P179" s="3" t="s">
        <v>40</v>
      </c>
      <c r="AI179" s="3" t="s">
        <v>616</v>
      </c>
      <c r="AJ179" s="3" t="s">
        <v>117</v>
      </c>
      <c r="AL179" s="3" t="s">
        <v>62</v>
      </c>
      <c r="AM179" s="3" t="s">
        <v>617</v>
      </c>
    </row>
    <row r="180" spans="1:39" ht="15" customHeight="1" x14ac:dyDescent="0.2">
      <c r="A180" s="3" t="s">
        <v>618</v>
      </c>
      <c r="C180" s="3" t="s">
        <v>619</v>
      </c>
      <c r="D180" s="3" t="s">
        <v>620</v>
      </c>
      <c r="E180" s="1" t="str">
        <f t="shared" si="32"/>
        <v>.</v>
      </c>
      <c r="F180" s="1" t="str">
        <f t="shared" si="33"/>
        <v>MacLeod__2000</v>
      </c>
      <c r="G180" s="1" t="str">
        <f t="shared" si="34"/>
        <v>MacLeod</v>
      </c>
      <c r="H180" s="1" t="str">
        <f t="shared" si="35"/>
        <v/>
      </c>
      <c r="I180" s="1" t="str">
        <f t="shared" si="36"/>
        <v>2000</v>
      </c>
      <c r="J180" s="1" t="str">
        <f t="shared" si="37"/>
        <v>NQ%3A61662</v>
      </c>
      <c r="K180" s="1" t="str">
        <f t="shared" si="38"/>
        <v>MacLeod__2000_APPENDIXI</v>
      </c>
      <c r="L180" s="1" t="str">
        <f t="shared" si="39"/>
        <v>NQ%3A61662_APPENDIXI</v>
      </c>
      <c r="M180" s="1" t="str">
        <f t="array" ref="M180">IFERROR(INDEX(FileList!$A$1:$A$1000,MATCH(TRUE(),EXACT(L180,IFERROR(_xlfn.TEXTBEFORE(FileList!$A$1:$A$1000,".tsv"),"")),0)),"notfound")</f>
        <v>NQ%3A61662_APPENDIXI.tsv</v>
      </c>
      <c r="N180" s="3" t="s">
        <v>621</v>
      </c>
    </row>
    <row r="181" spans="1:39" ht="15" customHeight="1" x14ac:dyDescent="0.2">
      <c r="A181" s="3" t="s">
        <v>622</v>
      </c>
      <c r="D181" s="3" t="s">
        <v>76</v>
      </c>
      <c r="E181" s="1" t="str">
        <f t="shared" si="32"/>
        <v>9</v>
      </c>
      <c r="F181" s="1" t="str">
        <f t="shared" si="33"/>
        <v>MacLeod_etal_2003</v>
      </c>
      <c r="G181" s="1" t="str">
        <f t="shared" si="34"/>
        <v>MacLeod</v>
      </c>
      <c r="H181" s="1" t="str">
        <f t="shared" si="35"/>
        <v>etal</v>
      </c>
      <c r="I181" s="1" t="str">
        <f t="shared" si="36"/>
        <v>2003</v>
      </c>
      <c r="J181" s="1" t="str">
        <f t="shared" si="37"/>
        <v>10.1016%2Fs0047-2484(03)00028-9</v>
      </c>
      <c r="K181" s="1" t="str">
        <f t="shared" si="38"/>
        <v>MacLeod_etal_2003_Table1</v>
      </c>
      <c r="L181" s="1" t="str">
        <f t="shared" si="39"/>
        <v>10.1016%2Fs0047-2484(03)00028-9_Table1</v>
      </c>
      <c r="M181" s="1" t="str">
        <f t="array" ref="M181">IFERROR(INDEX(FileList!$A$1:$A$1000,MATCH(TRUE(),EXACT(L181,IFERROR(_xlfn.TEXTBEFORE(FileList!$A$1:$A$1000,".tsv"),"")),0)),"notfound")</f>
        <v>10.1016%2Fs0047-2484(03)00028-9_Table1.tsv</v>
      </c>
      <c r="N181" s="3" t="s">
        <v>623</v>
      </c>
      <c r="Y181" s="3" t="s">
        <v>624</v>
      </c>
      <c r="Z181" s="3" t="s">
        <v>624</v>
      </c>
      <c r="AF181" s="3" t="s">
        <v>625</v>
      </c>
      <c r="AG181" s="3" t="s">
        <v>111</v>
      </c>
      <c r="AI181" s="3" t="s">
        <v>626</v>
      </c>
      <c r="AJ181" s="3" t="s">
        <v>117</v>
      </c>
      <c r="AK181" s="3" t="s">
        <v>62</v>
      </c>
      <c r="AL181" s="3" t="s">
        <v>62</v>
      </c>
      <c r="AM181" s="3" t="s">
        <v>84</v>
      </c>
    </row>
    <row r="182" spans="1:39" ht="15" customHeight="1" x14ac:dyDescent="0.2">
      <c r="A182" s="3" t="s">
        <v>622</v>
      </c>
      <c r="D182" s="3" t="s">
        <v>118</v>
      </c>
      <c r="E182" s="1" t="str">
        <f t="shared" si="32"/>
        <v>9</v>
      </c>
      <c r="F182" s="1" t="str">
        <f t="shared" si="33"/>
        <v>MacLeod_etal_2003</v>
      </c>
      <c r="G182" s="1" t="str">
        <f t="shared" si="34"/>
        <v>MacLeod</v>
      </c>
      <c r="H182" s="1" t="str">
        <f t="shared" si="35"/>
        <v>etal</v>
      </c>
      <c r="I182" s="1" t="str">
        <f t="shared" si="36"/>
        <v>2003</v>
      </c>
      <c r="J182" s="1" t="str">
        <f t="shared" si="37"/>
        <v>10.1016%2Fs0047-2484(03)00028-9</v>
      </c>
      <c r="K182" s="1" t="str">
        <f t="shared" si="38"/>
        <v>MacLeod_etal_2003_Table2</v>
      </c>
      <c r="L182" s="1" t="str">
        <f t="shared" si="39"/>
        <v>10.1016%2Fs0047-2484(03)00028-9_Table2</v>
      </c>
      <c r="M182" s="1" t="str">
        <f t="array" ref="M182">IFERROR(INDEX(FileList!$A$1:$A$1000,MATCH(TRUE(),EXACT(L182,IFERROR(_xlfn.TEXTBEFORE(FileList!$A$1:$A$1000,".tsv"),"")),0)),"notfound")</f>
        <v>10.1016%2Fs0047-2484(03)00028-9_Table2.tsv</v>
      </c>
      <c r="N182" s="3" t="s">
        <v>627</v>
      </c>
      <c r="Y182" s="3" t="s">
        <v>232</v>
      </c>
      <c r="Z182" s="3" t="s">
        <v>232</v>
      </c>
      <c r="AF182" s="3" t="s">
        <v>79</v>
      </c>
      <c r="AG182" s="3" t="s">
        <v>111</v>
      </c>
      <c r="AI182" s="3" t="s">
        <v>626</v>
      </c>
      <c r="AJ182" s="3" t="s">
        <v>117</v>
      </c>
      <c r="AK182" s="3" t="s">
        <v>62</v>
      </c>
      <c r="AL182" s="3" t="s">
        <v>62</v>
      </c>
      <c r="AM182" s="3" t="s">
        <v>84</v>
      </c>
    </row>
    <row r="183" spans="1:39" ht="15" customHeight="1" x14ac:dyDescent="0.2">
      <c r="A183" s="4" t="s">
        <v>849</v>
      </c>
      <c r="D183" s="4" t="s">
        <v>76</v>
      </c>
      <c r="E183" s="1" t="str">
        <f t="shared" si="32"/>
        <v>9</v>
      </c>
      <c r="F183" s="1" t="str">
        <f t="shared" si="33"/>
        <v>Manger__2006</v>
      </c>
      <c r="G183" s="1" t="str">
        <f t="shared" si="34"/>
        <v>Manger</v>
      </c>
      <c r="H183" s="1" t="str">
        <f t="shared" si="35"/>
        <v/>
      </c>
      <c r="I183" s="1" t="str">
        <f t="shared" si="36"/>
        <v>2006</v>
      </c>
      <c r="J183" s="1" t="str">
        <f t="shared" si="37"/>
        <v>10.1017%2FS1464793106007019</v>
      </c>
      <c r="K183" s="1" t="str">
        <f t="shared" si="38"/>
        <v>Manger__2006_Table1</v>
      </c>
      <c r="L183" s="1" t="str">
        <f t="shared" si="39"/>
        <v>10.1017%2FS1464793106007019_Table1</v>
      </c>
      <c r="M183" s="1" t="str">
        <f t="array" ref="M183">IFERROR(INDEX(FileList!$A$1:$A$1000,MATCH(TRUE(),EXACT(L183,IFERROR(_xlfn.TEXTBEFORE(FileList!$A$1:$A$1000,".tsv"),"")),0)),"notfound")</f>
        <v>notfound</v>
      </c>
    </row>
    <row r="184" spans="1:39" ht="15" customHeight="1" x14ac:dyDescent="0.2">
      <c r="A184" s="3" t="s">
        <v>628</v>
      </c>
      <c r="D184" s="3" t="s">
        <v>629</v>
      </c>
      <c r="E184" s="1" t="str">
        <f t="shared" si="32"/>
        <v>2</v>
      </c>
      <c r="F184" s="1" t="str">
        <f t="shared" si="33"/>
        <v>ManyPrimates__2022</v>
      </c>
      <c r="G184" s="1" t="str">
        <f t="shared" si="34"/>
        <v>ManyPrimates</v>
      </c>
      <c r="H184" s="1" t="str">
        <f t="shared" si="35"/>
        <v/>
      </c>
      <c r="I184" s="1" t="str">
        <f t="shared" si="36"/>
        <v>2022</v>
      </c>
      <c r="J184" s="1" t="str">
        <f t="shared" si="37"/>
        <v>10.26451%2Fabc.09.04.06.2022</v>
      </c>
      <c r="K184" s="1" t="str">
        <f t="shared" si="38"/>
        <v>ManyPrimates__2022_speciespredictors</v>
      </c>
      <c r="L184" s="1" t="str">
        <f t="shared" si="39"/>
        <v>10.26451%2Fabc.09.04.06.2022_speciespredictors</v>
      </c>
      <c r="M184" s="1" t="str">
        <f t="array" ref="M184">IFERROR(INDEX(FileList!$A$1:$A$1000,MATCH(TRUE(),EXACT(L184,IFERROR(_xlfn.TEXTBEFORE(FileList!$A$1:$A$1000,".tsv"),"")),0)),"notfound")</f>
        <v>10.26451%2Fabc.09.04.06.2022_speciespredictors.tsv</v>
      </c>
      <c r="P184" s="3" t="s">
        <v>40</v>
      </c>
      <c r="Q184" s="3" t="s">
        <v>201</v>
      </c>
      <c r="T184" s="3" t="str">
        <f>IF(S184="N", R184, "write file name")</f>
        <v>write file name</v>
      </c>
      <c r="U184" s="3" t="s">
        <v>182</v>
      </c>
      <c r="V184" s="3" t="s">
        <v>41</v>
      </c>
      <c r="W184" s="3" t="s">
        <v>183</v>
      </c>
      <c r="X184" s="3" t="s">
        <v>630</v>
      </c>
      <c r="AA184" s="3" t="s">
        <v>631</v>
      </c>
      <c r="AH184" s="3" t="s">
        <v>176</v>
      </c>
      <c r="AI184" s="3" t="s">
        <v>632</v>
      </c>
      <c r="AJ184" s="3" t="s">
        <v>117</v>
      </c>
      <c r="AK184" s="3" t="s">
        <v>140</v>
      </c>
      <c r="AL184" s="3" t="s">
        <v>62</v>
      </c>
      <c r="AM184" s="3" t="s">
        <v>633</v>
      </c>
    </row>
    <row r="185" spans="1:39" ht="15" customHeight="1" x14ac:dyDescent="0.2">
      <c r="A185" s="3" t="s">
        <v>837</v>
      </c>
      <c r="B185" s="3"/>
      <c r="D185" s="3" t="s">
        <v>352</v>
      </c>
      <c r="E185" s="1" t="str">
        <f t="shared" si="32"/>
        <v>7</v>
      </c>
      <c r="F185" s="1" t="str">
        <f t="shared" si="33"/>
        <v>Matano__1986</v>
      </c>
      <c r="G185" s="1" t="str">
        <f t="shared" si="34"/>
        <v>Matano</v>
      </c>
      <c r="H185" s="1" t="str">
        <f t="shared" si="35"/>
        <v/>
      </c>
      <c r="I185" s="1" t="str">
        <f t="shared" si="36"/>
        <v>1986</v>
      </c>
      <c r="J185" s="1" t="str">
        <f t="shared" si="37"/>
        <v>10.1159%2F000156277</v>
      </c>
      <c r="K185" s="1" t="str">
        <f t="shared" si="38"/>
        <v>Matano__1986_TableI</v>
      </c>
      <c r="L185" s="1" t="str">
        <f t="shared" si="39"/>
        <v>10.1159%2F000156277_TableI</v>
      </c>
      <c r="M185" s="1" t="str">
        <f t="array" ref="M185">IFERROR(INDEX(FileList!$A$1:$A$1000,MATCH(TRUE(),EXACT(L185,IFERROR(_xlfn.TEXTBEFORE(FileList!$A$1:$A$1000,".tsv"),"")),0)),"notfound")</f>
        <v>notfound</v>
      </c>
      <c r="P185" s="3"/>
      <c r="Y185" s="3"/>
      <c r="Z185" s="3"/>
      <c r="AF185" s="3"/>
    </row>
    <row r="186" spans="1:39" ht="15" customHeight="1" x14ac:dyDescent="0.2">
      <c r="A186" s="3" t="s">
        <v>836</v>
      </c>
      <c r="B186" s="3"/>
      <c r="D186" s="3" t="s">
        <v>952</v>
      </c>
      <c r="E186" s="1" t="str">
        <f t="shared" si="32"/>
        <v>9</v>
      </c>
      <c r="F186" s="1" t="str">
        <f t="shared" si="33"/>
        <v>Matano__1992</v>
      </c>
      <c r="G186" s="1" t="str">
        <f t="shared" si="34"/>
        <v>Matano</v>
      </c>
      <c r="H186" s="1" t="str">
        <f t="shared" si="35"/>
        <v/>
      </c>
      <c r="I186" s="1" t="str">
        <f t="shared" si="36"/>
        <v>1992</v>
      </c>
      <c r="J186" s="1" t="str">
        <f t="shared" si="37"/>
        <v>10.1537%2Fase1911.100.69</v>
      </c>
      <c r="K186" s="1" t="str">
        <f t="shared" si="38"/>
        <v>Matano__1992_Tables1to4</v>
      </c>
      <c r="L186" s="1" t="str">
        <f t="shared" si="39"/>
        <v>10.1537%2Fase1911.100.69_Tables1to4</v>
      </c>
      <c r="M186" s="1" t="str">
        <f t="array" ref="M186">IFERROR(INDEX(FileList!$A$1:$A$1000,MATCH(TRUE(),EXACT(L186,IFERROR(_xlfn.TEXTBEFORE(FileList!$A$1:$A$1000,".tsv"),"")),0)),"notfound")</f>
        <v>10.1537%2Fase1911.100.69_Tables1to4.tsv</v>
      </c>
      <c r="P186" s="3"/>
      <c r="Y186" s="3"/>
      <c r="Z186" s="3"/>
      <c r="AF186" s="3"/>
    </row>
    <row r="187" spans="1:39" ht="15" customHeight="1" x14ac:dyDescent="0.2">
      <c r="A187" s="3" t="s">
        <v>634</v>
      </c>
      <c r="B187" s="3"/>
      <c r="D187" s="3" t="s">
        <v>92</v>
      </c>
      <c r="E187" s="1" t="str">
        <f t="shared" si="32"/>
        <v>F</v>
      </c>
      <c r="F187" s="1" t="str">
        <f t="shared" si="33"/>
        <v>Matano__2001</v>
      </c>
      <c r="G187" s="1" t="str">
        <f t="shared" si="34"/>
        <v>Matano</v>
      </c>
      <c r="H187" s="1" t="str">
        <f t="shared" si="35"/>
        <v/>
      </c>
      <c r="I187" s="1" t="str">
        <f t="shared" si="36"/>
        <v>2001</v>
      </c>
      <c r="J187" s="1" t="str">
        <f t="shared" si="37"/>
        <v>10.1002%2F1096-8644(200102)114%3A2%3C163%3A%3AAID-AJPA1016%3E3.0.CO;2-F</v>
      </c>
      <c r="K187" s="1" t="str">
        <f t="shared" si="38"/>
        <v>Matano__2001_TABLE2</v>
      </c>
      <c r="L187" s="1" t="str">
        <f t="shared" si="39"/>
        <v>10.1002%2F1096-8644(200102)114%3A2%3C163%3A%3AAID-AJPA1016%3E3.0.CO;2-F_TABLE2</v>
      </c>
      <c r="M187" s="1" t="str">
        <f t="array" ref="M187">IFERROR(INDEX(FileList!$A$1:$A$1000,MATCH(TRUE(),EXACT(L187,IFERROR(_xlfn.TEXTBEFORE(FileList!$A$1:$A$1000,".tsv"),"")),0)),"notfound")</f>
        <v>10.1002%2F1096-8644(200102)114%3A2%3C163%3A%3AAID-AJPA1016%3E3.0.CO;2-F_TABLE2.tsv</v>
      </c>
      <c r="N187" s="3" t="s">
        <v>635</v>
      </c>
    </row>
    <row r="188" spans="1:39" ht="15" customHeight="1" x14ac:dyDescent="0.2">
      <c r="A188" s="3" t="s">
        <v>636</v>
      </c>
      <c r="B188" s="3" t="s">
        <v>163</v>
      </c>
      <c r="D188" s="3" t="s">
        <v>76</v>
      </c>
      <c r="E188" s="1" t="str">
        <f t="shared" si="32"/>
        <v>2</v>
      </c>
      <c r="F188" s="1" t="str">
        <f t="shared" si="33"/>
        <v>Matano_etal_1985_a</v>
      </c>
      <c r="G188" s="1" t="str">
        <f t="shared" si="34"/>
        <v>Matano</v>
      </c>
      <c r="H188" s="1" t="str">
        <f t="shared" si="35"/>
        <v>etal</v>
      </c>
      <c r="I188" s="1" t="str">
        <f t="shared" si="36"/>
        <v>1985</v>
      </c>
      <c r="J188" s="1" t="str">
        <f t="shared" si="37"/>
        <v>10.1159%2F000156212</v>
      </c>
      <c r="K188" s="1" t="str">
        <f t="shared" si="38"/>
        <v>Matano_etal_1985_a_Table1</v>
      </c>
      <c r="L188" s="1" t="str">
        <f t="shared" si="39"/>
        <v>10.1159%2F000156212_Table1</v>
      </c>
      <c r="M188" s="1" t="str">
        <f t="array" ref="M188">IFERROR(INDEX(FileList!$A$1:$A$1000,MATCH(TRUE(),EXACT(L188,IFERROR(_xlfn.TEXTBEFORE(FileList!$A$1:$A$1000,".tsv"),"")),0)),"notfound")</f>
        <v>10.1159%2F000156212_Table1.tsv</v>
      </c>
      <c r="N188" s="3" t="s">
        <v>637</v>
      </c>
      <c r="P188" s="3" t="s">
        <v>40</v>
      </c>
      <c r="V188" s="3" t="s">
        <v>41</v>
      </c>
      <c r="Y188" s="3" t="s">
        <v>99</v>
      </c>
      <c r="Z188" s="3" t="s">
        <v>99</v>
      </c>
      <c r="AF188" s="3" t="s">
        <v>79</v>
      </c>
      <c r="AG188" s="3" t="s">
        <v>111</v>
      </c>
      <c r="AI188" s="3" t="s">
        <v>638</v>
      </c>
      <c r="AJ188" s="3" t="s">
        <v>101</v>
      </c>
      <c r="AK188" s="3" t="s">
        <v>62</v>
      </c>
      <c r="AL188" s="3" t="s">
        <v>62</v>
      </c>
      <c r="AM188" s="3" t="s">
        <v>84</v>
      </c>
    </row>
    <row r="189" spans="1:39" ht="15" customHeight="1" x14ac:dyDescent="0.2">
      <c r="A189" s="3" t="s">
        <v>639</v>
      </c>
      <c r="B189" s="3" t="s">
        <v>171</v>
      </c>
      <c r="D189" s="3" t="s">
        <v>76</v>
      </c>
      <c r="E189" s="1" t="str">
        <f t="shared" si="32"/>
        <v>1</v>
      </c>
      <c r="F189" s="1" t="str">
        <f t="shared" si="33"/>
        <v>Matano_etal_1985_b</v>
      </c>
      <c r="G189" s="1" t="str">
        <f t="shared" si="34"/>
        <v>Matano</v>
      </c>
      <c r="H189" s="1" t="str">
        <f t="shared" si="35"/>
        <v>etal</v>
      </c>
      <c r="I189" s="1" t="str">
        <f t="shared" si="36"/>
        <v>1985</v>
      </c>
      <c r="J189" s="1" t="str">
        <f t="shared" si="37"/>
        <v>10.1159%2F000156211</v>
      </c>
      <c r="K189" s="1" t="str">
        <f t="shared" si="38"/>
        <v>Matano_etal_1985_b_Table1</v>
      </c>
      <c r="L189" s="1" t="str">
        <f t="shared" si="39"/>
        <v>10.1159%2F000156211_Table1</v>
      </c>
      <c r="M189" s="1" t="str">
        <f t="array" ref="M189">IFERROR(INDEX(FileList!$A$1:$A$1000,MATCH(TRUE(),EXACT(L189,IFERROR(_xlfn.TEXTBEFORE(FileList!$A$1:$A$1000,".tsv"),"")),0)),"notfound")</f>
        <v>10.1159%2F000156211_Table1.tsv</v>
      </c>
      <c r="P189" s="3" t="s">
        <v>40</v>
      </c>
      <c r="Y189" s="3" t="s">
        <v>99</v>
      </c>
      <c r="Z189" s="3" t="s">
        <v>99</v>
      </c>
      <c r="AF189" s="3" t="s">
        <v>79</v>
      </c>
    </row>
    <row r="190" spans="1:39" ht="15" customHeight="1" x14ac:dyDescent="0.2">
      <c r="A190" s="4" t="s">
        <v>851</v>
      </c>
      <c r="E190" s="1" t="str">
        <f t="shared" si="32"/>
        <v>9</v>
      </c>
      <c r="F190" s="1" t="str">
        <f t="shared" si="33"/>
        <v>MedinaGonzalez__2026</v>
      </c>
      <c r="G190" s="1" t="str">
        <f t="shared" si="34"/>
        <v>MedinaGonzalez</v>
      </c>
      <c r="H190" s="1" t="str">
        <f t="shared" si="35"/>
        <v/>
      </c>
      <c r="I190" s="1" t="str">
        <f t="shared" si="36"/>
        <v>2026</v>
      </c>
      <c r="J190" s="1" t="str">
        <f t="shared" si="37"/>
        <v>10.1002%2Fjez.70069</v>
      </c>
      <c r="K190" s="1" t="str">
        <f t="shared" si="38"/>
        <v>MedinaGonzalez__2026_</v>
      </c>
      <c r="L190" s="1" t="str">
        <f t="shared" si="39"/>
        <v>10.1002%2Fjez.70069_</v>
      </c>
      <c r="M190" s="1" t="str">
        <f t="array" ref="M190">IFERROR(INDEX(FileList!$A$1:$A$1000,MATCH(TRUE(),EXACT(L190,IFERROR(_xlfn.TEXTBEFORE(FileList!$A$1:$A$1000,".tsv"),"")),0)),"notfound")</f>
        <v>notfound</v>
      </c>
    </row>
    <row r="191" spans="1:39" ht="15" customHeight="1" x14ac:dyDescent="0.2">
      <c r="A191" s="3" t="s">
        <v>640</v>
      </c>
      <c r="D191" s="3" t="s">
        <v>197</v>
      </c>
      <c r="E191" s="1" t="str">
        <f t="shared" si="32"/>
        <v>1</v>
      </c>
      <c r="F191" s="1" t="str">
        <f t="shared" si="33"/>
        <v>Mota_Herculano-Houzel_2015</v>
      </c>
      <c r="G191" s="1" t="str">
        <f t="shared" si="34"/>
        <v>Mota</v>
      </c>
      <c r="H191" s="1" t="str">
        <f t="shared" si="35"/>
        <v>Herculano-Houzel</v>
      </c>
      <c r="I191" s="1" t="str">
        <f t="shared" si="36"/>
        <v>2015</v>
      </c>
      <c r="J191" s="1" t="str">
        <f t="shared" si="37"/>
        <v>10.1126%2Fscience.aaa9101</v>
      </c>
      <c r="K191" s="1" t="str">
        <f t="shared" si="38"/>
        <v>Mota_Herculano-Houzel_2015_TableS1</v>
      </c>
      <c r="L191" s="1" t="str">
        <f t="shared" si="39"/>
        <v>10.1126%2Fscience.aaa9101_TableS1</v>
      </c>
      <c r="M191" s="1" t="str">
        <f t="array" ref="M191">IFERROR(INDEX(FileList!$A$1:$A$1000,MATCH(TRUE(),EXACT(L191,IFERROR(_xlfn.TEXTBEFORE(FileList!$A$1:$A$1000,".tsv"),"")),0)),"notfound")</f>
        <v>10.1126%2Fscience.aaa9101_TableS1.tsv</v>
      </c>
      <c r="Q191" s="3" t="s">
        <v>131</v>
      </c>
      <c r="AI191" s="3" t="s">
        <v>641</v>
      </c>
      <c r="AJ191" s="3" t="s">
        <v>139</v>
      </c>
      <c r="AL191" s="3" t="s">
        <v>361</v>
      </c>
      <c r="AM191" s="3" t="s">
        <v>641</v>
      </c>
    </row>
    <row r="192" spans="1:39" ht="15" customHeight="1" x14ac:dyDescent="0.2">
      <c r="A192" s="3" t="s">
        <v>642</v>
      </c>
      <c r="D192" s="3" t="s">
        <v>643</v>
      </c>
      <c r="E192" s="1" t="str">
        <f t="shared" si="32"/>
        <v>6</v>
      </c>
      <c r="F192" s="1" t="str">
        <f t="shared" si="33"/>
        <v>Mota_etal_2019</v>
      </c>
      <c r="G192" s="1" t="str">
        <f t="shared" si="34"/>
        <v>Mota</v>
      </c>
      <c r="H192" s="1" t="str">
        <f t="shared" si="35"/>
        <v>etal</v>
      </c>
      <c r="I192" s="1" t="str">
        <f t="shared" si="36"/>
        <v>2019</v>
      </c>
      <c r="J192" s="1" t="str">
        <f t="shared" si="37"/>
        <v>10.1073%2Fpnas.1716956116</v>
      </c>
      <c r="K192" s="1" t="str">
        <f t="shared" si="38"/>
        <v>Mota_etal_2019_SupplementaryTableS1</v>
      </c>
      <c r="L192" s="1" t="str">
        <f t="shared" si="39"/>
        <v>10.1073%2Fpnas.1716956116_SupplementaryTableS1</v>
      </c>
      <c r="M192" s="1" t="str">
        <f t="array" ref="M192">IFERROR(INDEX(FileList!$A$1:$A$1000,MATCH(TRUE(),EXACT(L192,IFERROR(_xlfn.TEXTBEFORE(FileList!$A$1:$A$1000,".tsv"),"")),0)),"notfound")</f>
        <v>10.1073%2Fpnas.1716956116_SupplementaryTableS1.tsv</v>
      </c>
      <c r="N192" s="3" t="s">
        <v>644</v>
      </c>
      <c r="P192" s="3" t="s">
        <v>334</v>
      </c>
      <c r="AA192" s="3" t="s">
        <v>645</v>
      </c>
      <c r="AI192" s="3" t="s">
        <v>646</v>
      </c>
      <c r="AJ192" s="3" t="s">
        <v>139</v>
      </c>
      <c r="AL192" s="3" t="s">
        <v>361</v>
      </c>
      <c r="AM192" s="3" t="s">
        <v>647</v>
      </c>
    </row>
    <row r="193" spans="1:39" ht="15" customHeight="1" x14ac:dyDescent="0.2">
      <c r="A193" s="3" t="s">
        <v>873</v>
      </c>
      <c r="D193" s="3"/>
      <c r="E193" s="1" t="str">
        <f t="shared" si="32"/>
        <v>6</v>
      </c>
      <c r="F193" s="1" t="str">
        <f t="shared" si="33"/>
        <v>Navarrete_etal_2016</v>
      </c>
      <c r="G193" s="1" t="str">
        <f t="shared" si="34"/>
        <v>Navarrete</v>
      </c>
      <c r="H193" s="1" t="str">
        <f t="shared" si="35"/>
        <v>etal</v>
      </c>
      <c r="I193" s="1" t="str">
        <f t="shared" si="36"/>
        <v>2016</v>
      </c>
      <c r="J193" s="1" t="str">
        <f t="shared" si="37"/>
        <v>10.1098%2Frstb.2015.0186</v>
      </c>
      <c r="K193" s="1" t="str">
        <f t="shared" si="38"/>
        <v>Navarrete_etal_2016_</v>
      </c>
      <c r="L193" s="1" t="str">
        <f t="shared" si="39"/>
        <v>10.1098%2Frstb.2015.0186_</v>
      </c>
      <c r="M193" s="1" t="str">
        <f t="array" ref="M193">IFERROR(INDEX(FileList!$A$1:$A$1000,MATCH(TRUE(),EXACT(L193,IFERROR(_xlfn.TEXTBEFORE(FileList!$A$1:$A$1000,".tsv"),"")),0)),"notfound")</f>
        <v>notfound</v>
      </c>
      <c r="N193" s="3"/>
      <c r="P193" s="3"/>
      <c r="AA193" s="3"/>
      <c r="AI193" s="3"/>
      <c r="AJ193" s="3"/>
      <c r="AL193" s="3"/>
      <c r="AM193" s="3"/>
    </row>
    <row r="194" spans="1:39" ht="15" customHeight="1" x14ac:dyDescent="0.2">
      <c r="A194" s="4" t="s">
        <v>856</v>
      </c>
      <c r="E194" s="1" t="str">
        <f t="shared" si="32"/>
        <v>3</v>
      </c>
      <c r="F194" s="1" t="str">
        <f t="shared" si="33"/>
        <v>Nguyen_etal_2019</v>
      </c>
      <c r="G194" s="1" t="str">
        <f t="shared" si="34"/>
        <v>Nguyen</v>
      </c>
      <c r="H194" s="1" t="str">
        <f t="shared" si="35"/>
        <v>etal</v>
      </c>
      <c r="I194" s="1" t="str">
        <f t="shared" si="36"/>
        <v>2019</v>
      </c>
      <c r="J194" s="1" t="str">
        <f t="shared" si="37"/>
        <v>10.1002%2Fcne.24823</v>
      </c>
      <c r="K194" s="1" t="str">
        <f t="shared" si="38"/>
        <v>Nguyen_etal_2019_</v>
      </c>
      <c r="L194" s="1" t="str">
        <f t="shared" si="39"/>
        <v>10.1002%2Fcne.24823_</v>
      </c>
      <c r="M194" s="1" t="str">
        <f t="array" ref="M194">IFERROR(INDEX(FileList!$A$1:$A$1000,MATCH(TRUE(),EXACT(L194,IFERROR(_xlfn.TEXTBEFORE(FileList!$A$1:$A$1000,".tsv"),"")),0)),"notfound")</f>
        <v>notfound</v>
      </c>
    </row>
    <row r="195" spans="1:39" ht="15" customHeight="1" x14ac:dyDescent="0.2">
      <c r="A195" s="3" t="s">
        <v>874</v>
      </c>
      <c r="D195" s="3" t="s">
        <v>48</v>
      </c>
      <c r="E195" s="1" t="str">
        <f t="shared" si="32"/>
        <v>3</v>
      </c>
      <c r="F195" s="1" t="str">
        <f t="shared" si="33"/>
        <v>Nudo_etal_1995</v>
      </c>
      <c r="G195" s="1" t="str">
        <f t="shared" si="34"/>
        <v>Nudo</v>
      </c>
      <c r="H195" s="1" t="str">
        <f t="shared" si="35"/>
        <v>etal</v>
      </c>
      <c r="I195" s="1" t="str">
        <f t="shared" si="36"/>
        <v>1995</v>
      </c>
      <c r="J195" s="1" t="str">
        <f t="shared" si="37"/>
        <v>10.1002%2Fcne.903580203</v>
      </c>
      <c r="K195" s="1" t="str">
        <f t="shared" si="38"/>
        <v>Nudo_etal_1995_TABLE1</v>
      </c>
      <c r="L195" s="1" t="str">
        <f t="shared" si="39"/>
        <v>10.1002%2Fcne.903580203_TABLE1</v>
      </c>
      <c r="M195" s="1" t="str">
        <f t="array" ref="M195">IFERROR(INDEX(FileList!$A$1:$A$1000,MATCH(TRUE(),EXACT(L195,IFERROR(_xlfn.TEXTBEFORE(FileList!$A$1:$A$1000,".tsv"),"")),0)),"notfound")</f>
        <v>10.1002%2Fcne.903580203_TABLE1.tsv</v>
      </c>
      <c r="N195" s="3"/>
      <c r="P195" s="4" t="s">
        <v>40</v>
      </c>
      <c r="R195" s="4" t="s">
        <v>953</v>
      </c>
      <c r="T195" s="4" t="s">
        <v>954</v>
      </c>
      <c r="U195" s="4" t="s">
        <v>54</v>
      </c>
      <c r="V195" s="4" t="s">
        <v>41</v>
      </c>
      <c r="Y195" s="4" t="s">
        <v>955</v>
      </c>
      <c r="AA195" s="3"/>
      <c r="AB195" s="4" t="s">
        <v>956</v>
      </c>
      <c r="AI195" s="4" t="s">
        <v>957</v>
      </c>
      <c r="AJ195" s="4" t="s">
        <v>139</v>
      </c>
      <c r="AK195" s="4" t="s">
        <v>958</v>
      </c>
      <c r="AL195" s="4" t="s">
        <v>140</v>
      </c>
      <c r="AM195" s="4" t="s">
        <v>959</v>
      </c>
    </row>
    <row r="196" spans="1:39" ht="15" customHeight="1" x14ac:dyDescent="0.2">
      <c r="A196" s="3" t="s">
        <v>874</v>
      </c>
      <c r="D196" s="3" t="s">
        <v>92</v>
      </c>
      <c r="E196" s="1" t="str">
        <f t="shared" ref="E196:E286" si="40">RIGHT(A196,1)</f>
        <v>3</v>
      </c>
      <c r="F196" s="1" t="str">
        <f t="shared" ref="F196:F286" si="41">G196 &amp; IF(H196&lt;&gt;"", "_" &amp; H196, "_") &amp; IF(I196&lt;&gt;"", "_" &amp; I196, "_") &amp; IF(B196&lt;&gt;"", "_" &amp; B196, "")</f>
        <v>Nudo_etal_1995</v>
      </c>
      <c r="G196" s="1" t="str">
        <f t="shared" ref="G196:G286" si="42">SUBSTITUTE(SUBSTITUTE(_xlfn.TEXTBEFORE(A196,","), "-", ""), " ", "")</f>
        <v>Nudo</v>
      </c>
      <c r="H196" s="1" t="str">
        <f t="shared" ref="H196:H286" si="43">_xlfn.LET(
_xlpm.authors,_xlfn.TEXTBEFORE(A196," ("&amp;I196&amp;")"),
_xlpm.hasAmp,ISNUMBER(SEARCH("&amp;",_xlpm.authors)),
_xlpm.commasBeforeAmp,IF(_xlpm.hasAmp,LEN(_xlfn.TEXTBEFORE(_xlpm.authors,"&amp;"))-LEN(SUBSTITUTE(_xlfn.TEXTBEFORE(_xlpm.authors,"&amp;"),",","")),0),
IF(NOT(_xlpm.hasAmp),"",IF(_xlpm.commasBeforeAmp&gt;2,"etal",TRIM(_xlfn.TEXTBEFORE(_xlfn.TEXTAFTER(_xlpm.authors,"&amp; "),","))))
)</f>
        <v>etal</v>
      </c>
      <c r="I196" s="1" t="str">
        <f t="shared" ref="I196:I286" si="44">_xlfn.TEXTBEFORE(_xlfn.TEXTAFTER(A196, "("), ")")</f>
        <v>1995</v>
      </c>
      <c r="J196" s="1" t="str">
        <f t="shared" ref="J196:J286" si="45">_xlfn.LET(
_xlpm.doi,IF(C196&lt;&gt;"",C196,_xlfn.TEXTAFTER(A196,"https://doi.org/")),
SUBSTITUTE(
SUBSTITUTE(
SUBSTITUTE(
SUBSTITUTE(
_xlpm.doi,
"/","%2F"),
":","%3A"),
"&lt;","%3C"),
"&gt;","%3E")
)</f>
        <v>10.1002%2Fcne.903580203</v>
      </c>
      <c r="K196" s="1" t="str">
        <f t="shared" ref="K196:K286" si="46">TRIM(_xlfn.TEXTJOIN("_",FALSE(),F196,(SUBSTITUTE(SUBSTITUTE(D196," ",""), "_", ""))))</f>
        <v>Nudo_etal_1995_TABLE2</v>
      </c>
      <c r="L196" s="1" t="str">
        <f t="shared" ref="L196:L286" si="47">J196 &amp; "_" &amp; SUBSTITUTE(SUBSTITUTE(SUBSTITUTE(D196,CHAR(160),"")," ",""),"_","")</f>
        <v>10.1002%2Fcne.903580203_TABLE2</v>
      </c>
      <c r="M196" s="1" t="str">
        <f t="array" ref="M196">IFERROR(INDEX(FileList!$A$1:$A$1000,MATCH(TRUE(),EXACT(L196,IFERROR(_xlfn.TEXTBEFORE(FileList!$A$1:$A$1000,".tsv"),"")),0)),"notfound")</f>
        <v>10.1002%2Fcne.903580203_TABLE2.tsv</v>
      </c>
      <c r="N196" s="3"/>
      <c r="P196" s="4" t="s">
        <v>40</v>
      </c>
      <c r="R196" s="4" t="s">
        <v>960</v>
      </c>
      <c r="T196" s="4" t="s">
        <v>961</v>
      </c>
      <c r="U196" s="4" t="s">
        <v>54</v>
      </c>
      <c r="V196" s="4" t="s">
        <v>41</v>
      </c>
      <c r="Y196" s="4" t="s">
        <v>955</v>
      </c>
      <c r="AA196" s="3"/>
      <c r="AB196" s="4" t="s">
        <v>962</v>
      </c>
      <c r="AI196" s="4" t="s">
        <v>963</v>
      </c>
      <c r="AJ196" s="4" t="s">
        <v>139</v>
      </c>
      <c r="AK196" s="4" t="s">
        <v>62</v>
      </c>
      <c r="AL196" s="4" t="s">
        <v>62</v>
      </c>
      <c r="AM196" s="4" t="s">
        <v>964</v>
      </c>
    </row>
    <row r="197" spans="1:39" ht="15" customHeight="1" x14ac:dyDescent="0.2">
      <c r="A197" s="3" t="s">
        <v>874</v>
      </c>
      <c r="D197" s="3" t="s">
        <v>729</v>
      </c>
      <c r="E197" s="1" t="str">
        <f t="shared" si="40"/>
        <v>3</v>
      </c>
      <c r="F197" s="1" t="str">
        <f t="shared" si="41"/>
        <v>Nudo_etal_1995</v>
      </c>
      <c r="G197" s="1" t="str">
        <f t="shared" si="42"/>
        <v>Nudo</v>
      </c>
      <c r="H197" s="1" t="str">
        <f t="shared" si="43"/>
        <v>etal</v>
      </c>
      <c r="I197" s="1" t="str">
        <f t="shared" si="44"/>
        <v>1995</v>
      </c>
      <c r="J197" s="1" t="str">
        <f t="shared" si="45"/>
        <v>10.1002%2Fcne.903580203</v>
      </c>
      <c r="K197" s="1" t="str">
        <f t="shared" si="46"/>
        <v>Nudo_etal_1995_TABLE3</v>
      </c>
      <c r="L197" s="1" t="str">
        <f t="shared" si="47"/>
        <v>10.1002%2Fcne.903580203_TABLE3</v>
      </c>
      <c r="M197" s="1" t="str">
        <f t="array" ref="M197">IFERROR(INDEX(FileList!$A$1:$A$1000,MATCH(TRUE(),EXACT(L197,IFERROR(_xlfn.TEXTBEFORE(FileList!$A$1:$A$1000,".tsv"),"")),0)),"notfound")</f>
        <v>10.1002%2Fcne.903580203_TABLE3.tsv</v>
      </c>
      <c r="N197" s="3"/>
      <c r="P197" s="4" t="s">
        <v>40</v>
      </c>
      <c r="R197" s="4" t="s">
        <v>965</v>
      </c>
      <c r="T197" s="4" t="s">
        <v>966</v>
      </c>
      <c r="U197" s="4" t="s">
        <v>54</v>
      </c>
      <c r="V197" s="4" t="s">
        <v>41</v>
      </c>
      <c r="Y197" s="4" t="s">
        <v>955</v>
      </c>
      <c r="AA197" s="3"/>
      <c r="AB197" s="4" t="s">
        <v>967</v>
      </c>
      <c r="AI197" s="4" t="s">
        <v>968</v>
      </c>
      <c r="AJ197" s="4" t="s">
        <v>139</v>
      </c>
      <c r="AK197" s="4" t="s">
        <v>969</v>
      </c>
      <c r="AL197" s="4" t="s">
        <v>140</v>
      </c>
      <c r="AM197" s="4" t="s">
        <v>970</v>
      </c>
    </row>
    <row r="198" spans="1:39" ht="15" customHeight="1" x14ac:dyDescent="0.2">
      <c r="A198" s="3" t="s">
        <v>874</v>
      </c>
      <c r="D198" s="3" t="s">
        <v>731</v>
      </c>
      <c r="E198" s="1" t="str">
        <f t="shared" si="40"/>
        <v>3</v>
      </c>
      <c r="F198" s="1" t="str">
        <f t="shared" si="41"/>
        <v>Nudo_etal_1995</v>
      </c>
      <c r="G198" s="1" t="str">
        <f t="shared" si="42"/>
        <v>Nudo</v>
      </c>
      <c r="H198" s="1" t="str">
        <f t="shared" si="43"/>
        <v>etal</v>
      </c>
      <c r="I198" s="1" t="str">
        <f t="shared" si="44"/>
        <v>1995</v>
      </c>
      <c r="J198" s="1" t="str">
        <f t="shared" si="45"/>
        <v>10.1002%2Fcne.903580203</v>
      </c>
      <c r="K198" s="1" t="str">
        <f t="shared" si="46"/>
        <v>Nudo_etal_1995_TABLE4</v>
      </c>
      <c r="L198" s="1" t="str">
        <f t="shared" si="47"/>
        <v>10.1002%2Fcne.903580203_TABLE4</v>
      </c>
      <c r="M198" s="1" t="str">
        <f t="array" ref="M198">IFERROR(INDEX(FileList!$A$1:$A$1000,MATCH(TRUE(),EXACT(L198,IFERROR(_xlfn.TEXTBEFORE(FileList!$A$1:$A$1000,".tsv"),"")),0)),"notfound")</f>
        <v>10.1002%2Fcne.903580203_TABLE4.tsv</v>
      </c>
      <c r="N198" s="3"/>
      <c r="P198" s="4" t="s">
        <v>40</v>
      </c>
      <c r="R198" s="4" t="s">
        <v>971</v>
      </c>
      <c r="T198" s="4" t="s">
        <v>972</v>
      </c>
      <c r="U198" s="4" t="s">
        <v>54</v>
      </c>
      <c r="V198" s="4" t="s">
        <v>41</v>
      </c>
      <c r="Y198" s="4" t="s">
        <v>955</v>
      </c>
      <c r="AA198" s="3"/>
      <c r="AB198" s="4" t="s">
        <v>973</v>
      </c>
      <c r="AI198" s="4" t="s">
        <v>974</v>
      </c>
      <c r="AJ198" s="4" t="s">
        <v>139</v>
      </c>
      <c r="AK198" s="4" t="s">
        <v>62</v>
      </c>
      <c r="AL198" s="4" t="s">
        <v>62</v>
      </c>
      <c r="AM198" s="4" t="s">
        <v>975</v>
      </c>
    </row>
    <row r="199" spans="1:39" ht="15" customHeight="1" x14ac:dyDescent="0.2">
      <c r="A199" s="3" t="s">
        <v>874</v>
      </c>
      <c r="D199" s="3" t="s">
        <v>733</v>
      </c>
      <c r="E199" s="1" t="str">
        <f t="shared" si="40"/>
        <v>3</v>
      </c>
      <c r="F199" s="1" t="str">
        <f t="shared" si="41"/>
        <v>Nudo_etal_1995</v>
      </c>
      <c r="G199" s="1" t="str">
        <f t="shared" si="42"/>
        <v>Nudo</v>
      </c>
      <c r="H199" s="1" t="str">
        <f t="shared" si="43"/>
        <v>etal</v>
      </c>
      <c r="I199" s="1" t="str">
        <f t="shared" si="44"/>
        <v>1995</v>
      </c>
      <c r="J199" s="1" t="str">
        <f t="shared" si="45"/>
        <v>10.1002%2Fcne.903580203</v>
      </c>
      <c r="K199" s="1" t="str">
        <f t="shared" si="46"/>
        <v>Nudo_etal_1995_TABLE5</v>
      </c>
      <c r="L199" s="1" t="str">
        <f t="shared" si="47"/>
        <v>10.1002%2Fcne.903580203_TABLE5</v>
      </c>
      <c r="M199" s="1" t="str">
        <f t="array" ref="M199">IFERROR(INDEX(FileList!$A$1:$A$1000,MATCH(TRUE(),EXACT(L199,IFERROR(_xlfn.TEXTBEFORE(FileList!$A$1:$A$1000,".tsv"),"")),0)),"notfound")</f>
        <v>10.1002%2Fcne.903580203_TABLE5.tsv</v>
      </c>
      <c r="N199" s="3"/>
      <c r="P199" s="4" t="s">
        <v>40</v>
      </c>
      <c r="R199" s="4" t="s">
        <v>976</v>
      </c>
      <c r="T199" s="4" t="s">
        <v>977</v>
      </c>
      <c r="U199" s="4" t="s">
        <v>54</v>
      </c>
      <c r="V199" s="4" t="s">
        <v>41</v>
      </c>
      <c r="Y199" s="4" t="s">
        <v>955</v>
      </c>
      <c r="AA199" s="3"/>
      <c r="AB199" s="4" t="s">
        <v>978</v>
      </c>
      <c r="AI199" s="4" t="s">
        <v>979</v>
      </c>
      <c r="AJ199" s="4" t="s">
        <v>139</v>
      </c>
      <c r="AK199" s="4" t="s">
        <v>62</v>
      </c>
      <c r="AL199" s="4" t="s">
        <v>62</v>
      </c>
      <c r="AM199" s="4" t="s">
        <v>980</v>
      </c>
    </row>
    <row r="200" spans="1:39" ht="15" customHeight="1" x14ac:dyDescent="0.2">
      <c r="A200" s="3" t="s">
        <v>841</v>
      </c>
      <c r="E200" s="1" t="str">
        <f t="shared" si="40"/>
        <v>3</v>
      </c>
      <c r="F200" s="1" t="str">
        <f t="shared" si="41"/>
        <v>Olkowicz_etal_2016</v>
      </c>
      <c r="G200" s="1" t="str">
        <f t="shared" si="42"/>
        <v>Olkowicz</v>
      </c>
      <c r="H200" s="1" t="str">
        <f t="shared" si="43"/>
        <v>etal</v>
      </c>
      <c r="I200" s="1" t="str">
        <f t="shared" si="44"/>
        <v>2016</v>
      </c>
      <c r="J200" s="1" t="str">
        <f t="shared" si="45"/>
        <v>10.1073%2Fpnas.1517131113</v>
      </c>
      <c r="K200" s="1" t="str">
        <f t="shared" si="46"/>
        <v>Olkowicz_etal_2016_</v>
      </c>
      <c r="L200" s="1" t="str">
        <f t="shared" si="47"/>
        <v>10.1073%2Fpnas.1517131113_</v>
      </c>
      <c r="M200" s="1" t="str">
        <f t="array" ref="M200">IFERROR(INDEX(FileList!$A$1:$A$1000,MATCH(TRUE(),EXACT(L200,IFERROR(_xlfn.TEXTBEFORE(FileList!$A$1:$A$1000,".tsv"),"")),0)),"notfound")</f>
        <v>notfound</v>
      </c>
    </row>
    <row r="201" spans="1:39" ht="15" customHeight="1" x14ac:dyDescent="0.2">
      <c r="A201" s="3" t="s">
        <v>648</v>
      </c>
      <c r="C201" s="3" t="s">
        <v>649</v>
      </c>
      <c r="D201" s="3" t="s">
        <v>650</v>
      </c>
      <c r="E201" s="1" t="str">
        <f t="shared" si="40"/>
        <v>5</v>
      </c>
      <c r="F201" s="1" t="str">
        <f t="shared" si="41"/>
        <v>Powell_etal_2017</v>
      </c>
      <c r="G201" s="1" t="str">
        <f t="shared" si="42"/>
        <v>Powell</v>
      </c>
      <c r="H201" s="1" t="str">
        <f t="shared" si="43"/>
        <v>etal</v>
      </c>
      <c r="I201" s="1" t="str">
        <f t="shared" si="44"/>
        <v>2017</v>
      </c>
      <c r="J201" s="1" t="str">
        <f t="shared" si="45"/>
        <v>10.6084%2Fm9.figshare.c.3899422.v1</v>
      </c>
      <c r="K201" s="1" t="str">
        <f t="shared" si="46"/>
        <v>Powell_etal_2017_Dataset1</v>
      </c>
      <c r="L201" s="1" t="str">
        <f t="shared" si="47"/>
        <v>10.6084%2Fm9.figshare.c.3899422.v1_Dataset1</v>
      </c>
      <c r="M201" s="1" t="str">
        <f t="array" ref="M201">IFERROR(INDEX(FileList!$A$1:$A$1000,MATCH(TRUE(),EXACT(L201,IFERROR(_xlfn.TEXTBEFORE(FileList!$A$1:$A$1000,".tsv"),"")),0)),"notfound")</f>
        <v>10.6084%2Fm9.figshare.c.3899422.v1_Dataset1.tsv</v>
      </c>
      <c r="P201" s="3" t="s">
        <v>334</v>
      </c>
      <c r="Q201" s="3" t="s">
        <v>201</v>
      </c>
      <c r="T201" s="3" t="str">
        <f>IF(S201="N", R201, "write file name")</f>
        <v>write file name</v>
      </c>
      <c r="U201" s="3" t="s">
        <v>182</v>
      </c>
      <c r="V201" s="3" t="s">
        <v>41</v>
      </c>
      <c r="W201" s="3" t="s">
        <v>183</v>
      </c>
      <c r="X201" s="3" t="s">
        <v>651</v>
      </c>
      <c r="AA201" s="3" t="s">
        <v>138</v>
      </c>
      <c r="AH201" s="3" t="s">
        <v>176</v>
      </c>
      <c r="AI201" s="3" t="s">
        <v>652</v>
      </c>
      <c r="AJ201" s="3" t="s">
        <v>117</v>
      </c>
      <c r="AK201" s="3" t="s">
        <v>140</v>
      </c>
      <c r="AL201" s="3" t="s">
        <v>140</v>
      </c>
      <c r="AM201" s="3" t="s">
        <v>652</v>
      </c>
    </row>
    <row r="202" spans="1:39" ht="15" customHeight="1" x14ac:dyDescent="0.2">
      <c r="A202" s="3" t="s">
        <v>872</v>
      </c>
      <c r="C202" s="3"/>
      <c r="D202" s="4" t="s">
        <v>981</v>
      </c>
      <c r="E202" s="1" t="str">
        <f t="shared" si="40"/>
        <v>2</v>
      </c>
      <c r="F202" s="1" t="str">
        <f t="shared" si="41"/>
        <v>Reader_etal_2011</v>
      </c>
      <c r="G202" s="1" t="str">
        <f t="shared" si="42"/>
        <v>Reader</v>
      </c>
      <c r="H202" s="1" t="str">
        <f t="shared" si="43"/>
        <v>etal</v>
      </c>
      <c r="I202" s="1" t="str">
        <f t="shared" si="44"/>
        <v>2011</v>
      </c>
      <c r="J202" s="1" t="str">
        <f t="shared" si="45"/>
        <v>10.1098%2Frstb.2010.0342</v>
      </c>
      <c r="K202" s="1" t="str">
        <f t="shared" si="46"/>
        <v>Reader_etal_2011_Data</v>
      </c>
      <c r="L202" s="1" t="str">
        <f t="shared" si="47"/>
        <v>10.1098%2Frstb.2010.0342_Data</v>
      </c>
      <c r="M202" s="1" t="str">
        <f t="array" ref="M202">IFERROR(INDEX(FileList!$A$1:$A$1000,MATCH(TRUE(),EXACT(L202,IFERROR(_xlfn.TEXTBEFORE(FileList!$A$1:$A$1000,".tsv"),"")),0)),"notfound")</f>
        <v>10.1098%2Frstb.2010.0342_Data.tsv</v>
      </c>
      <c r="P202" s="4" t="s">
        <v>877</v>
      </c>
      <c r="Q202" s="3"/>
      <c r="R202" s="4" t="s">
        <v>982</v>
      </c>
      <c r="T202" s="4" t="s">
        <v>983</v>
      </c>
      <c r="U202" s="4" t="s">
        <v>984</v>
      </c>
      <c r="V202" s="4" t="s">
        <v>881</v>
      </c>
      <c r="W202" s="3"/>
      <c r="X202" s="3"/>
      <c r="Y202" s="4" t="s">
        <v>985</v>
      </c>
      <c r="AA202" s="3"/>
      <c r="AB202" s="4" t="s">
        <v>986</v>
      </c>
      <c r="AH202" s="3"/>
      <c r="AI202" s="4" t="s">
        <v>987</v>
      </c>
      <c r="AJ202" s="4" t="s">
        <v>927</v>
      </c>
      <c r="AK202" s="4" t="s">
        <v>988</v>
      </c>
      <c r="AL202" s="4" t="s">
        <v>936</v>
      </c>
      <c r="AM202" s="4" t="s">
        <v>989</v>
      </c>
    </row>
    <row r="203" spans="1:39" ht="15" customHeight="1" x14ac:dyDescent="0.2">
      <c r="A203" s="3" t="s">
        <v>842</v>
      </c>
      <c r="D203" s="3" t="s">
        <v>76</v>
      </c>
      <c r="E203" s="1" t="str">
        <f t="shared" si="40"/>
        <v>8</v>
      </c>
      <c r="F203" s="1" t="str">
        <f t="shared" si="41"/>
        <v>Ribeiro_etal_2013</v>
      </c>
      <c r="G203" s="1" t="str">
        <f t="shared" si="42"/>
        <v>Ribeiro</v>
      </c>
      <c r="H203" s="1" t="str">
        <f t="shared" si="43"/>
        <v>etal</v>
      </c>
      <c r="I203" s="1" t="str">
        <f t="shared" si="44"/>
        <v>2013</v>
      </c>
      <c r="J203" s="1" t="str">
        <f t="shared" si="45"/>
        <v>10.3389%2Ffnana.2013.00028</v>
      </c>
      <c r="K203" s="1" t="str">
        <f t="shared" si="46"/>
        <v>Ribeiro_etal_2013_Table1</v>
      </c>
      <c r="L203" s="1" t="str">
        <f t="shared" si="47"/>
        <v>10.3389%2Ffnana.2013.00028_Table1</v>
      </c>
      <c r="M203" s="1" t="str">
        <f t="array" ref="M203">IFERROR(INDEX(FileList!$A$1:$A$1000,MATCH(TRUE(),EXACT(L203,IFERROR(_xlfn.TEXTBEFORE(FileList!$A$1:$A$1000,".tsv"),"")),0)),"notfound")</f>
        <v>10.3389%2Ffnana.2013.00028_Table1.tsv</v>
      </c>
      <c r="P203" s="4" t="s">
        <v>40</v>
      </c>
      <c r="R203" s="4" t="s">
        <v>990</v>
      </c>
      <c r="T203" s="4" t="s">
        <v>991</v>
      </c>
      <c r="U203" s="4" t="s">
        <v>54</v>
      </c>
      <c r="V203" s="4" t="s">
        <v>41</v>
      </c>
      <c r="Y203" s="4" t="s">
        <v>57</v>
      </c>
      <c r="AB203" s="4" t="s">
        <v>992</v>
      </c>
      <c r="AI203" s="4" t="s">
        <v>993</v>
      </c>
      <c r="AJ203" s="4" t="s">
        <v>994</v>
      </c>
      <c r="AK203" s="4" t="s">
        <v>62</v>
      </c>
      <c r="AL203" s="4" t="s">
        <v>62</v>
      </c>
      <c r="AM203" s="4" t="s">
        <v>995</v>
      </c>
    </row>
    <row r="204" spans="1:39" ht="15" customHeight="1" x14ac:dyDescent="0.2">
      <c r="A204" s="3" t="s">
        <v>653</v>
      </c>
      <c r="D204" s="3" t="s">
        <v>76</v>
      </c>
      <c r="E204" s="1" t="str">
        <f t="shared" si="40"/>
        <v>5</v>
      </c>
      <c r="F204" s="1" t="str">
        <f t="shared" si="41"/>
        <v>Rilling_Insel_1998</v>
      </c>
      <c r="G204" s="1" t="str">
        <f t="shared" si="42"/>
        <v>Rilling</v>
      </c>
      <c r="H204" s="1" t="str">
        <f t="shared" si="43"/>
        <v>Insel</v>
      </c>
      <c r="I204" s="1" t="str">
        <f t="shared" si="44"/>
        <v>1998</v>
      </c>
      <c r="J204" s="1" t="str">
        <f t="shared" si="45"/>
        <v>10.1159%2F000006575</v>
      </c>
      <c r="K204" s="1" t="str">
        <f t="shared" si="46"/>
        <v>Rilling_Insel_1998_Table1</v>
      </c>
      <c r="L204" s="1" t="str">
        <f t="shared" si="47"/>
        <v>10.1159%2F000006575_Table1</v>
      </c>
      <c r="M204" s="1" t="str">
        <f t="array" ref="M204">IFERROR(INDEX(FileList!$A$1:$A$1000,MATCH(TRUE(),EXACT(L204,IFERROR(_xlfn.TEXTBEFORE(FileList!$A$1:$A$1000,".tsv"),"")),0)),"notfound")</f>
        <v>10.1159%2F000006575_Table1.tsv</v>
      </c>
      <c r="N204" s="3" t="s">
        <v>654</v>
      </c>
      <c r="Y204" s="3" t="s">
        <v>624</v>
      </c>
      <c r="Z204" s="3" t="s">
        <v>624</v>
      </c>
      <c r="AF204" s="3" t="s">
        <v>625</v>
      </c>
      <c r="AG204" s="3" t="s">
        <v>111</v>
      </c>
    </row>
    <row r="205" spans="1:39" ht="15" customHeight="1" x14ac:dyDescent="0.2">
      <c r="A205" s="3" t="s">
        <v>655</v>
      </c>
      <c r="D205" s="3" t="s">
        <v>76</v>
      </c>
      <c r="E205" s="1" t="str">
        <f t="shared" si="40"/>
        <v>3</v>
      </c>
      <c r="F205" s="1" t="str">
        <f t="shared" si="41"/>
        <v>Rilling_Insel_1999</v>
      </c>
      <c r="G205" s="1" t="str">
        <f t="shared" si="42"/>
        <v>Rilling</v>
      </c>
      <c r="H205" s="1" t="str">
        <f t="shared" si="43"/>
        <v>Insel</v>
      </c>
      <c r="I205" s="1" t="str">
        <f t="shared" si="44"/>
        <v>1999</v>
      </c>
      <c r="J205" s="1" t="str">
        <f t="shared" si="45"/>
        <v>10.1006%2Fjhev.1999.0313</v>
      </c>
      <c r="K205" s="1" t="str">
        <f t="shared" si="46"/>
        <v>Rilling_Insel_1999_Table1</v>
      </c>
      <c r="L205" s="1" t="str">
        <f t="shared" si="47"/>
        <v>10.1006%2Fjhev.1999.0313_Table1</v>
      </c>
      <c r="M205" s="1" t="str">
        <f t="array" ref="M205">IFERROR(INDEX(FileList!$A$1:$A$1000,MATCH(TRUE(),EXACT(L205,IFERROR(_xlfn.TEXTBEFORE(FileList!$A$1:$A$1000,".tsv"),"")),0)),"notfound")</f>
        <v>10.1006%2Fjhev.1999.0313_Table1.tsv</v>
      </c>
      <c r="N205" s="3" t="s">
        <v>656</v>
      </c>
      <c r="Y205" s="3" t="s">
        <v>624</v>
      </c>
      <c r="Z205" s="3" t="s">
        <v>624</v>
      </c>
    </row>
    <row r="206" spans="1:39" ht="15" customHeight="1" x14ac:dyDescent="0.2">
      <c r="A206" s="4" t="s">
        <v>844</v>
      </c>
      <c r="D206" s="4" t="s">
        <v>76</v>
      </c>
      <c r="E206" s="1" t="str">
        <f t="shared" si="40"/>
        <v>7</v>
      </c>
      <c r="F206" s="1" t="str">
        <f t="shared" si="41"/>
        <v>Ruf_Geiser_2015</v>
      </c>
      <c r="G206" s="1" t="str">
        <f t="shared" si="42"/>
        <v>Ruf</v>
      </c>
      <c r="H206" s="1" t="str">
        <f t="shared" si="43"/>
        <v>Geiser</v>
      </c>
      <c r="I206" s="1" t="str">
        <f t="shared" si="44"/>
        <v>2015</v>
      </c>
      <c r="J206" s="1" t="str">
        <f t="shared" si="45"/>
        <v>10.1111%2Fbrv.12137</v>
      </c>
      <c r="K206" s="1" t="str">
        <f t="shared" si="46"/>
        <v>Ruf_Geiser_2015_Table1</v>
      </c>
      <c r="L206" s="1" t="str">
        <f t="shared" si="47"/>
        <v>10.1111%2Fbrv.12137_Table1</v>
      </c>
      <c r="M206" s="1" t="str">
        <f t="array" ref="M206">IFERROR(INDEX(FileList!$A$1:$A$1000,MATCH(TRUE(),EXACT(L206,IFERROR(_xlfn.TEXTBEFORE(FileList!$A$1:$A$1000,".tsv"),"")),0)),"notfound")</f>
        <v>10.1111%2Fbrv.12137_Table1.tsv</v>
      </c>
    </row>
    <row r="207" spans="1:39" ht="15" customHeight="1" x14ac:dyDescent="0.2">
      <c r="A207" s="4" t="s">
        <v>1323</v>
      </c>
      <c r="D207" s="4"/>
      <c r="E207" s="1" t="str">
        <f t="shared" ref="E207" si="48">RIGHT(A207,1)</f>
        <v>5</v>
      </c>
      <c r="F207" s="1" t="str">
        <f t="shared" ref="F207" si="49">G207 &amp; IF(H207&lt;&gt;"", "_" &amp; H207, "_") &amp; IF(I207&lt;&gt;"", "_" &amp; I207, "_") &amp; IF(B207&lt;&gt;"", "_" &amp; B207, "")</f>
        <v>Schleifenbaum__1973</v>
      </c>
      <c r="G207" s="1" t="str">
        <f t="shared" ref="G207" si="50">SUBSTITUTE(SUBSTITUTE(_xlfn.TEXTBEFORE(A207,","), "-", ""), " ", "")</f>
        <v>Schleifenbaum</v>
      </c>
      <c r="H207" s="1" t="str">
        <f t="shared" ref="H207" si="51">_xlfn.LET(
_xlpm.authors,_xlfn.TEXTBEFORE(A207," ("&amp;I207&amp;")"),
_xlpm.hasAmp,ISNUMBER(SEARCH("&amp;",_xlpm.authors)),
_xlpm.commasBeforeAmp,IF(_xlpm.hasAmp,LEN(_xlfn.TEXTBEFORE(_xlpm.authors,"&amp;"))-LEN(SUBSTITUTE(_xlfn.TEXTBEFORE(_xlpm.authors,"&amp;"),",","")),0),
IF(NOT(_xlpm.hasAmp),"",IF(_xlpm.commasBeforeAmp&gt;2,"etal",TRIM(_xlfn.TEXTBEFORE(_xlfn.TEXTAFTER(_xlpm.authors,"&amp; "),","))))
)</f>
        <v/>
      </c>
      <c r="I207" s="1" t="str">
        <f t="shared" ref="I207" si="52">_xlfn.TEXTBEFORE(_xlfn.TEXTAFTER(A207, "("), ")")</f>
        <v>1973</v>
      </c>
      <c r="J207" s="1" t="str">
        <f t="shared" ref="J207" si="53">_xlfn.LET(
_xlpm.doi,IF(C207&lt;&gt;"",C207,_xlfn.TEXTAFTER(A207,"https://doi.org/")),
SUBSTITUTE(
SUBSTITUTE(
SUBSTITUTE(
SUBSTITUTE(
_xlpm.doi,
"/","%2F"),
":","%3A"),
"&lt;","%3C"),
"&gt;","%3E")
)</f>
        <v>10.1007%2FBF00519885</v>
      </c>
      <c r="K207" s="1" t="str">
        <f t="shared" ref="K207" si="54">TRIM(_xlfn.TEXTJOIN("_",FALSE(),F207,(SUBSTITUTE(SUBSTITUTE(D207," ",""), "_", ""))))</f>
        <v>Schleifenbaum__1973_</v>
      </c>
      <c r="L207" s="1" t="str">
        <f t="shared" ref="L207" si="55">J207 &amp; "_" &amp; SUBSTITUTE(SUBSTITUTE(SUBSTITUTE(D207,CHAR(160),"")," ",""),"_","")</f>
        <v>10.1007%2FBF00519885_</v>
      </c>
      <c r="M207" s="1" t="str">
        <f t="array" ref="M207">IFERROR(INDEX(FileList!$A$1:$A$1000,MATCH(TRUE(),EXACT(L207,IFERROR(_xlfn.TEXTBEFORE(FileList!$A$1:$A$1000,".tsv"),"")),0)),"notfound")</f>
        <v>notfound</v>
      </c>
    </row>
    <row r="208" spans="1:39" ht="15" customHeight="1" x14ac:dyDescent="0.2">
      <c r="A208" s="3" t="s">
        <v>657</v>
      </c>
      <c r="D208" s="3" t="s">
        <v>658</v>
      </c>
      <c r="E208" s="1" t="str">
        <f t="shared" si="40"/>
        <v>2</v>
      </c>
      <c r="F208" s="1" t="str">
        <f t="shared" si="41"/>
        <v>Schniter_Penaherrera-Aguirre_2026</v>
      </c>
      <c r="G208" s="1" t="str">
        <f t="shared" si="42"/>
        <v>Schniter</v>
      </c>
      <c r="H208" s="1" t="str">
        <f t="shared" si="43"/>
        <v>Penaherrera-Aguirre</v>
      </c>
      <c r="I208" s="1" t="str">
        <f t="shared" si="44"/>
        <v>2026</v>
      </c>
      <c r="J208" s="1" t="str">
        <f t="shared" si="45"/>
        <v>10.1007%2Fs10329-026-01271-2</v>
      </c>
      <c r="K208" s="1" t="str">
        <f t="shared" si="46"/>
        <v>Schniter_Penaherrera-Aguirre_2026_data</v>
      </c>
      <c r="L208" s="1" t="str">
        <f t="shared" si="47"/>
        <v>10.1007%2Fs10329-026-01271-2_data</v>
      </c>
      <c r="M208" s="1" t="str">
        <f t="array" ref="M208">IFERROR(INDEX(FileList!$A$1:$A$1000,MATCH(TRUE(),EXACT(L208,IFERROR(_xlfn.TEXTBEFORE(FileList!$A$1:$A$1000,".tsv"),"")),0)),"notfound")</f>
        <v>10.1007%2Fs10329-026-01271-2_data.tsv</v>
      </c>
      <c r="N208" s="3" t="s">
        <v>658</v>
      </c>
      <c r="P208" s="3" t="s">
        <v>40</v>
      </c>
      <c r="AI208" s="3" t="s">
        <v>659</v>
      </c>
      <c r="AL208" s="3" t="s">
        <v>62</v>
      </c>
      <c r="AM208" s="3" t="s">
        <v>660</v>
      </c>
    </row>
    <row r="209" spans="1:39" ht="15" customHeight="1" x14ac:dyDescent="0.2">
      <c r="A209" s="3" t="s">
        <v>661</v>
      </c>
      <c r="D209" s="3" t="s">
        <v>118</v>
      </c>
      <c r="E209" s="1" t="str">
        <f t="shared" si="40"/>
        <v>1</v>
      </c>
      <c r="F209" s="1" t="str">
        <f t="shared" si="41"/>
        <v>Semendeferi_Damasio_2000</v>
      </c>
      <c r="G209" s="1" t="str">
        <f t="shared" si="42"/>
        <v>Semendeferi</v>
      </c>
      <c r="H209" s="1" t="str">
        <f t="shared" si="43"/>
        <v>Damasio</v>
      </c>
      <c r="I209" s="1" t="str">
        <f t="shared" si="44"/>
        <v>2000</v>
      </c>
      <c r="J209" s="1" t="str">
        <f t="shared" si="45"/>
        <v>10.1006%2Fjhev.1999.0381</v>
      </c>
      <c r="K209" s="1" t="str">
        <f t="shared" si="46"/>
        <v>Semendeferi_Damasio_2000_Table2</v>
      </c>
      <c r="L209" s="1" t="str">
        <f t="shared" si="47"/>
        <v>10.1006%2Fjhev.1999.0381_Table2</v>
      </c>
      <c r="M209" s="1" t="str">
        <f t="array" ref="M209">IFERROR(INDEX(FileList!$A$1:$A$1000,MATCH(TRUE(),EXACT(L209,IFERROR(_xlfn.TEXTBEFORE(FileList!$A$1:$A$1000,".tsv"),"")),0)),"notfound")</f>
        <v>10.1006%2Fjhev.1999.0381_Table2.tsv</v>
      </c>
    </row>
    <row r="210" spans="1:39" ht="15" customHeight="1" x14ac:dyDescent="0.2">
      <c r="A210" s="3" t="s">
        <v>662</v>
      </c>
      <c r="D210" s="3" t="s">
        <v>92</v>
      </c>
      <c r="E210" s="1" t="str">
        <f t="shared" si="40"/>
        <v>L</v>
      </c>
      <c r="F210" s="1" t="str">
        <f t="shared" si="41"/>
        <v>Semendeferi_etal_1998</v>
      </c>
      <c r="G210" s="1" t="str">
        <f t="shared" si="42"/>
        <v>Semendeferi</v>
      </c>
      <c r="H210" s="1" t="str">
        <f t="shared" si="43"/>
        <v>etal</v>
      </c>
      <c r="I210" s="1" t="str">
        <f t="shared" si="44"/>
        <v>1998</v>
      </c>
      <c r="J210" s="1" t="str">
        <f t="shared" si="45"/>
        <v>10.1002%2F(SICI)1096-8644(199806)106%3A2%3C129%3A%3AAID-AJPA3%3E3.0.CO;2-L</v>
      </c>
      <c r="K210" s="1" t="str">
        <f t="shared" si="46"/>
        <v>Semendeferi_etal_1998_TABLE2</v>
      </c>
      <c r="L210" s="1" t="str">
        <f t="shared" si="47"/>
        <v>10.1002%2F(SICI)1096-8644(199806)106%3A2%3C129%3A%3AAID-AJPA3%3E3.0.CO;2-L_TABLE2</v>
      </c>
      <c r="M210" s="1" t="str">
        <f t="array" ref="M210">IFERROR(INDEX(FileList!$A$1:$A$1000,MATCH(TRUE(),EXACT(L210,IFERROR(_xlfn.TEXTBEFORE(FileList!$A$1:$A$1000,".tsv"),"")),0)),"notfound")</f>
        <v>10.1002%2F(SICI)1096-8644(199806)106%3A2%3C129%3A%3AAID-AJPA3%3E3.0.CO;2-L_TABLE2.tsv</v>
      </c>
      <c r="N210" s="3" t="s">
        <v>663</v>
      </c>
      <c r="P210" s="3" t="s">
        <v>40</v>
      </c>
      <c r="Y210" s="3" t="s">
        <v>78</v>
      </c>
      <c r="AF210" s="3" t="s">
        <v>79</v>
      </c>
      <c r="AG210" s="3" t="s">
        <v>111</v>
      </c>
      <c r="AI210" s="3" t="s">
        <v>664</v>
      </c>
      <c r="AJ210" s="3" t="s">
        <v>83</v>
      </c>
      <c r="AK210" s="3" t="s">
        <v>62</v>
      </c>
      <c r="AL210" s="3" t="s">
        <v>62</v>
      </c>
      <c r="AM210" s="3" t="s">
        <v>84</v>
      </c>
    </row>
    <row r="211" spans="1:39" ht="15" customHeight="1" x14ac:dyDescent="0.2">
      <c r="A211" s="3" t="s">
        <v>665</v>
      </c>
      <c r="D211" s="3" t="s">
        <v>92</v>
      </c>
      <c r="E211" s="1" t="str">
        <f t="shared" si="40"/>
        <v>I</v>
      </c>
      <c r="F211" s="1" t="str">
        <f t="shared" si="41"/>
        <v>Semendeferi_etal_2001</v>
      </c>
      <c r="G211" s="1" t="str">
        <f t="shared" si="42"/>
        <v>Semendeferi</v>
      </c>
      <c r="H211" s="1" t="str">
        <f t="shared" si="43"/>
        <v>etal</v>
      </c>
      <c r="I211" s="1" t="str">
        <f t="shared" si="44"/>
        <v>2001</v>
      </c>
      <c r="J211" s="1" t="str">
        <f t="shared" si="45"/>
        <v>10.1002%2F1096-8644(200103)114%3A3%3C224%3A%3AAID-AJPA1022%3E3.0.CO;2-I</v>
      </c>
      <c r="K211" s="1" t="str">
        <f t="shared" si="46"/>
        <v>Semendeferi_etal_2001_TABLE2</v>
      </c>
      <c r="L211" s="1" t="str">
        <f t="shared" si="47"/>
        <v>10.1002%2F1096-8644(200103)114%3A3%3C224%3A%3AAID-AJPA1022%3E3.0.CO;2-I_TABLE2</v>
      </c>
      <c r="M211" s="1" t="str">
        <f t="array" ref="M211">IFERROR(INDEX(FileList!$A$1:$A$1000,MATCH(TRUE(),EXACT(L211,IFERROR(_xlfn.TEXTBEFORE(FileList!$A$1:$A$1000,".tsv"),"")),0)),"notfound")</f>
        <v>10.1002%2F1096-8644(200103)114%3A3%3C224%3A%3AAID-AJPA1022%3E3.0.CO;2-I_TABLE2.tsv</v>
      </c>
      <c r="N211" s="3" t="s">
        <v>666</v>
      </c>
      <c r="P211" s="3" t="s">
        <v>40</v>
      </c>
      <c r="Y211" s="3" t="s">
        <v>78</v>
      </c>
      <c r="AF211" s="3" t="s">
        <v>79</v>
      </c>
      <c r="AG211" s="3" t="s">
        <v>111</v>
      </c>
      <c r="AI211" s="3" t="s">
        <v>667</v>
      </c>
      <c r="AJ211" s="3" t="s">
        <v>83</v>
      </c>
      <c r="AK211" s="3" t="s">
        <v>62</v>
      </c>
      <c r="AL211" s="3" t="s">
        <v>62</v>
      </c>
      <c r="AM211" s="3" t="s">
        <v>84</v>
      </c>
    </row>
    <row r="212" spans="1:39" ht="15" customHeight="1" x14ac:dyDescent="0.2">
      <c r="A212" s="3" t="s">
        <v>668</v>
      </c>
      <c r="D212" s="3" t="s">
        <v>76</v>
      </c>
      <c r="E212" s="1" t="str">
        <f t="shared" si="40"/>
        <v>4</v>
      </c>
      <c r="F212" s="1" t="str">
        <f t="shared" si="41"/>
        <v>Semendeferi_etal_2002</v>
      </c>
      <c r="G212" s="1" t="str">
        <f t="shared" si="42"/>
        <v>Semendeferi</v>
      </c>
      <c r="H212" s="1" t="str">
        <f t="shared" si="43"/>
        <v>etal</v>
      </c>
      <c r="I212" s="1" t="str">
        <f t="shared" si="44"/>
        <v>2002</v>
      </c>
      <c r="J212" s="1" t="str">
        <f t="shared" si="45"/>
        <v>10.1038%2Fnn814</v>
      </c>
      <c r="K212" s="1" t="str">
        <f t="shared" si="46"/>
        <v>Semendeferi_etal_2002_Table1</v>
      </c>
      <c r="L212" s="1" t="str">
        <f t="shared" si="47"/>
        <v>10.1038%2Fnn814_Table1</v>
      </c>
      <c r="M212" s="1" t="str">
        <f t="array" ref="M212">IFERROR(INDEX(FileList!$A$1:$A$1000,MATCH(TRUE(),EXACT(L212,IFERROR(_xlfn.TEXTBEFORE(FileList!$A$1:$A$1000,".tsv"),"")),0)),"notfound")</f>
        <v>10.1038%2Fnn814_Table1.tsv</v>
      </c>
      <c r="N212" s="3" t="s">
        <v>669</v>
      </c>
      <c r="Y212" s="3" t="s">
        <v>78</v>
      </c>
      <c r="AF212" s="3" t="s">
        <v>79</v>
      </c>
      <c r="AG212" s="3" t="s">
        <v>111</v>
      </c>
      <c r="AI212" s="3" t="s">
        <v>670</v>
      </c>
      <c r="AJ212" s="3" t="s">
        <v>83</v>
      </c>
      <c r="AK212" s="3" t="s">
        <v>62</v>
      </c>
      <c r="AL212" s="3" t="s">
        <v>62</v>
      </c>
      <c r="AM212" s="3" t="s">
        <v>84</v>
      </c>
    </row>
    <row r="213" spans="1:39" ht="15" customHeight="1" x14ac:dyDescent="0.2">
      <c r="A213" s="3" t="s">
        <v>671</v>
      </c>
      <c r="D213" s="3" t="s">
        <v>672</v>
      </c>
      <c r="E213" s="1" t="str">
        <f t="shared" si="40"/>
        <v>6</v>
      </c>
      <c r="F213" s="1" t="str">
        <f t="shared" si="41"/>
        <v>Seymour_etal_2015</v>
      </c>
      <c r="G213" s="1" t="str">
        <f t="shared" si="42"/>
        <v>Seymour</v>
      </c>
      <c r="H213" s="1" t="str">
        <f t="shared" si="43"/>
        <v>etal</v>
      </c>
      <c r="I213" s="1" t="str">
        <f t="shared" si="44"/>
        <v>2015</v>
      </c>
      <c r="J213" s="1" t="str">
        <f t="shared" si="45"/>
        <v>10.1242%2Fjeb.124826</v>
      </c>
      <c r="K213" s="1" t="str">
        <f t="shared" si="46"/>
        <v>Seymour_etal_2015_TableS1</v>
      </c>
      <c r="L213" s="1" t="str">
        <f t="shared" si="47"/>
        <v>10.1242%2Fjeb.124826_TableS1</v>
      </c>
      <c r="M213" s="1" t="str">
        <f t="array" ref="M213">IFERROR(INDEX(FileList!$A$1:$A$1000,MATCH(TRUE(),EXACT(L213,IFERROR(_xlfn.TEXTBEFORE(FileList!$A$1:$A$1000,".tsv"),"")),0)),"notfound")</f>
        <v>10.1242%2Fjeb.124826_TableS1.tsv</v>
      </c>
    </row>
    <row r="214" spans="1:39" ht="15" customHeight="1" x14ac:dyDescent="0.2">
      <c r="A214" s="3" t="s">
        <v>673</v>
      </c>
      <c r="D214" s="3" t="s">
        <v>197</v>
      </c>
      <c r="E214" s="1" t="str">
        <f t="shared" si="40"/>
        <v>6</v>
      </c>
      <c r="F214" s="1" t="str">
        <f t="shared" si="41"/>
        <v>Seymour_etal_2017</v>
      </c>
      <c r="G214" s="1" t="str">
        <f t="shared" si="42"/>
        <v>Seymour</v>
      </c>
      <c r="H214" s="1" t="str">
        <f t="shared" si="43"/>
        <v>etal</v>
      </c>
      <c r="I214" s="1" t="str">
        <f t="shared" si="44"/>
        <v>2017</v>
      </c>
      <c r="J214" s="1" t="str">
        <f t="shared" si="45"/>
        <v>10.1098%2Frsos.170846</v>
      </c>
      <c r="K214" s="1" t="str">
        <f t="shared" si="46"/>
        <v>Seymour_etal_2017_TableS1</v>
      </c>
      <c r="L214" s="1" t="str">
        <f t="shared" si="47"/>
        <v>10.1098%2Frsos.170846_TableS1</v>
      </c>
      <c r="M214" s="1" t="str">
        <f t="array" ref="M214">IFERROR(INDEX(FileList!$A$1:$A$1000,MATCH(TRUE(),EXACT(L214,IFERROR(_xlfn.TEXTBEFORE(FileList!$A$1:$A$1000,".tsv"),"")),0)),"notfound")</f>
        <v>10.1098%2Frsos.170846_TableS1.tsv</v>
      </c>
    </row>
    <row r="215" spans="1:39" ht="15" customHeight="1" x14ac:dyDescent="0.2">
      <c r="A215" s="3" t="s">
        <v>674</v>
      </c>
      <c r="D215" s="3" t="s">
        <v>675</v>
      </c>
      <c r="E215" s="1" t="str">
        <f t="shared" si="40"/>
        <v>8</v>
      </c>
      <c r="F215" s="1" t="str">
        <f t="shared" si="41"/>
        <v>Seymour_etal_2019</v>
      </c>
      <c r="G215" s="1" t="str">
        <f t="shared" si="42"/>
        <v>Seymour</v>
      </c>
      <c r="H215" s="1" t="str">
        <f t="shared" si="43"/>
        <v>etal</v>
      </c>
      <c r="I215" s="1" t="str">
        <f t="shared" si="44"/>
        <v>2019</v>
      </c>
      <c r="J215" s="1" t="str">
        <f t="shared" si="45"/>
        <v>10.1098%2Frspb.2019.2208</v>
      </c>
      <c r="K215" s="1" t="str">
        <f t="shared" si="46"/>
        <v>Seymour_etal_2019_rspb20192208si002</v>
      </c>
      <c r="L215" s="1" t="str">
        <f t="shared" si="47"/>
        <v>10.1098%2Frspb.2019.2208_rspb20192208si002</v>
      </c>
      <c r="M215" s="1" t="str">
        <f t="array" ref="M215">IFERROR(INDEX(FileList!$A$1:$A$1000,MATCH(TRUE(),EXACT(L215,IFERROR(_xlfn.TEXTBEFORE(FileList!$A$1:$A$1000,".tsv"),"")),0)),"notfound")</f>
        <v>10.1098%2Frspb.2019.2208_rspb20192208si002.tsv</v>
      </c>
    </row>
    <row r="216" spans="1:39" ht="15" customHeight="1" x14ac:dyDescent="0.2">
      <c r="A216" s="3" t="s">
        <v>676</v>
      </c>
      <c r="D216" s="3" t="s">
        <v>677</v>
      </c>
      <c r="E216" s="1" t="str">
        <f t="shared" si="40"/>
        <v>8</v>
      </c>
      <c r="F216" s="1" t="str">
        <f t="shared" si="41"/>
        <v>Sherwood_etal_2004</v>
      </c>
      <c r="G216" s="1" t="str">
        <f t="shared" si="42"/>
        <v>Sherwood</v>
      </c>
      <c r="H216" s="1" t="str">
        <f t="shared" si="43"/>
        <v>etal</v>
      </c>
      <c r="I216" s="1" t="str">
        <f t="shared" si="44"/>
        <v>2004</v>
      </c>
      <c r="J216" s="1" t="str">
        <f t="shared" si="45"/>
        <v>10.1002%2Fajp.20048</v>
      </c>
      <c r="K216" s="1" t="str">
        <f t="shared" si="46"/>
        <v>Sherwood_etal_2004_TABLEI</v>
      </c>
      <c r="L216" s="1" t="str">
        <f t="shared" si="47"/>
        <v>10.1002%2Fajp.20048_TABLEI</v>
      </c>
      <c r="M216" s="1" t="str">
        <f t="array" ref="M216">IFERROR(INDEX(FileList!$A$1:$A$1000,MATCH(TRUE(),EXACT(L216,IFERROR(_xlfn.TEXTBEFORE(FileList!$A$1:$A$1000,".tsv"),"")),0)),"notfound")</f>
        <v>10.1002%2Fajp.20048_TABLEI.tsv</v>
      </c>
      <c r="N216" s="3" t="s">
        <v>678</v>
      </c>
      <c r="Y216" s="3" t="s">
        <v>679</v>
      </c>
      <c r="Z216" s="3" t="s">
        <v>680</v>
      </c>
      <c r="AF216" s="3" t="s">
        <v>625</v>
      </c>
      <c r="AG216" s="3" t="s">
        <v>111</v>
      </c>
      <c r="AK216" s="3" t="s">
        <v>62</v>
      </c>
    </row>
    <row r="217" spans="1:39" ht="15" customHeight="1" x14ac:dyDescent="0.2">
      <c r="A217" s="3" t="s">
        <v>676</v>
      </c>
      <c r="B217" s="3"/>
      <c r="D217" s="3" t="s">
        <v>94</v>
      </c>
      <c r="E217" s="1" t="str">
        <f t="shared" si="40"/>
        <v>8</v>
      </c>
      <c r="F217" s="1" t="str">
        <f t="shared" si="41"/>
        <v>Sherwood_etal_2004</v>
      </c>
      <c r="G217" s="1" t="str">
        <f t="shared" si="42"/>
        <v>Sherwood</v>
      </c>
      <c r="H217" s="1" t="str">
        <f t="shared" si="43"/>
        <v>etal</v>
      </c>
      <c r="I217" s="1" t="str">
        <f t="shared" si="44"/>
        <v>2004</v>
      </c>
      <c r="J217" s="1" t="str">
        <f t="shared" si="45"/>
        <v>10.1002%2Fajp.20048</v>
      </c>
      <c r="K217" s="1" t="str">
        <f t="shared" si="46"/>
        <v>Sherwood_etal_2004_unpublishedviaDeCasien</v>
      </c>
      <c r="L217" s="1" t="str">
        <f t="shared" si="47"/>
        <v>10.1002%2Fajp.20048_unpublishedviaDeCasien</v>
      </c>
      <c r="M217" s="1" t="str">
        <f t="array" ref="M217">IFERROR(INDEX(FileList!$A$1:$A$1000,MATCH(TRUE(),EXACT(L217,IFERROR(_xlfn.TEXTBEFORE(FileList!$A$1:$A$1000,".tsv"),"")),0)),"notfound")</f>
        <v>10.1002%2Fajp.20048_unpublishedviaDeCasien.tsv</v>
      </c>
      <c r="O217" s="3" t="s">
        <v>95</v>
      </c>
      <c r="Y217" s="3" t="s">
        <v>679</v>
      </c>
      <c r="Z217" s="3" t="s">
        <v>680</v>
      </c>
      <c r="AF217" s="3" t="s">
        <v>625</v>
      </c>
      <c r="AG217" s="3" t="s">
        <v>111</v>
      </c>
      <c r="AK217" s="3" t="s">
        <v>62</v>
      </c>
    </row>
    <row r="218" spans="1:39" ht="15" customHeight="1" x14ac:dyDescent="0.2">
      <c r="A218" s="3" t="s">
        <v>681</v>
      </c>
      <c r="B218" s="3"/>
      <c r="D218" s="3" t="s">
        <v>76</v>
      </c>
      <c r="E218" s="1" t="str">
        <f t="shared" si="40"/>
        <v>3</v>
      </c>
      <c r="F218" s="1" t="str">
        <f t="shared" si="41"/>
        <v>Sherwood_etal_2005</v>
      </c>
      <c r="G218" s="1" t="str">
        <f t="shared" si="42"/>
        <v>Sherwood</v>
      </c>
      <c r="H218" s="1" t="str">
        <f t="shared" si="43"/>
        <v>etal</v>
      </c>
      <c r="I218" s="1" t="str">
        <f t="shared" si="44"/>
        <v>2005</v>
      </c>
      <c r="J218" s="1" t="str">
        <f t="shared" si="45"/>
        <v>10.1016%2Fj.jhevol.2004.10.003</v>
      </c>
      <c r="K218" s="1" t="str">
        <f t="shared" si="46"/>
        <v>Sherwood_etal_2005_Table1</v>
      </c>
      <c r="L218" s="1" t="str">
        <f t="shared" si="47"/>
        <v>10.1016%2Fj.jhevol.2004.10.003_Table1</v>
      </c>
      <c r="M218" s="1" t="str">
        <f t="array" ref="M218">IFERROR(INDEX(FileList!$A$1:$A$1000,MATCH(TRUE(),EXACT(L218,IFERROR(_xlfn.TEXTBEFORE(FileList!$A$1:$A$1000,".tsv"),"")),0)),"notfound")</f>
        <v>10.1016%2Fj.jhevol.2004.10.003_Table1.tsv</v>
      </c>
      <c r="N218" s="3" t="s">
        <v>682</v>
      </c>
      <c r="V218" s="3" t="s">
        <v>41</v>
      </c>
      <c r="Y218" s="3" t="s">
        <v>99</v>
      </c>
      <c r="Z218" s="3" t="s">
        <v>232</v>
      </c>
      <c r="AF218" s="3" t="s">
        <v>79</v>
      </c>
      <c r="AG218" s="3" t="s">
        <v>111</v>
      </c>
      <c r="AI218" s="3" t="s">
        <v>683</v>
      </c>
      <c r="AJ218" s="3" t="s">
        <v>149</v>
      </c>
      <c r="AK218" s="3" t="s">
        <v>62</v>
      </c>
      <c r="AL218" s="3" t="s">
        <v>62</v>
      </c>
      <c r="AM218" s="3" t="s">
        <v>84</v>
      </c>
    </row>
    <row r="219" spans="1:39" ht="15" customHeight="1" x14ac:dyDescent="0.2">
      <c r="A219" s="3" t="s">
        <v>684</v>
      </c>
      <c r="B219" s="3" t="s">
        <v>685</v>
      </c>
      <c r="D219" s="3" t="s">
        <v>39</v>
      </c>
      <c r="E219" s="1" t="str">
        <f t="shared" si="40"/>
        <v>2</v>
      </c>
      <c r="F219" s="1" t="str">
        <f t="shared" si="41"/>
        <v>Sherwood_etal_2004_I</v>
      </c>
      <c r="G219" s="1" t="str">
        <f t="shared" si="42"/>
        <v>Sherwood</v>
      </c>
      <c r="H219" s="1" t="str">
        <f t="shared" si="43"/>
        <v>etal</v>
      </c>
      <c r="I219" s="1" t="str">
        <f t="shared" si="44"/>
        <v>2004</v>
      </c>
      <c r="J219" s="1" t="str">
        <f t="shared" si="45"/>
        <v>10.1159%2F000075672</v>
      </c>
      <c r="K219" s="1" t="str">
        <f t="shared" si="46"/>
        <v>Sherwood_etal_2004_I_Table4</v>
      </c>
      <c r="L219" s="1" t="str">
        <f t="shared" si="47"/>
        <v>10.1159%2F000075672_Table4</v>
      </c>
      <c r="M219" s="1" t="str">
        <f t="array" ref="M219">IFERROR(INDEX(FileList!$A$1:$A$1000,MATCH(TRUE(),EXACT(L219,IFERROR(_xlfn.TEXTBEFORE(FileList!$A$1:$A$1000,".tsv"),"")),0)),"notfound")</f>
        <v>10.1159%2F000075672_Table4.tsv</v>
      </c>
      <c r="N219" s="3" t="s">
        <v>686</v>
      </c>
      <c r="P219" s="3" t="s">
        <v>687</v>
      </c>
      <c r="Q219" s="3" t="s">
        <v>201</v>
      </c>
      <c r="T219" s="3" t="str">
        <f>IF(S219="N", R219, "write file name")</f>
        <v>write file name</v>
      </c>
      <c r="U219" s="3" t="s">
        <v>54</v>
      </c>
      <c r="V219" s="3" t="s">
        <v>688</v>
      </c>
      <c r="Z219" s="3" t="s">
        <v>78</v>
      </c>
      <c r="AF219" s="3" t="s">
        <v>79</v>
      </c>
      <c r="AH219" s="3" t="s">
        <v>176</v>
      </c>
      <c r="AI219" s="3" t="s">
        <v>689</v>
      </c>
      <c r="AJ219" s="3" t="s">
        <v>117</v>
      </c>
      <c r="AK219" s="3" t="s">
        <v>62</v>
      </c>
      <c r="AL219" s="3" t="s">
        <v>62</v>
      </c>
      <c r="AM219" s="3" t="s">
        <v>690</v>
      </c>
    </row>
    <row r="220" spans="1:39" ht="15" customHeight="1" x14ac:dyDescent="0.2">
      <c r="A220" s="3" t="s">
        <v>684</v>
      </c>
      <c r="B220" s="3" t="s">
        <v>685</v>
      </c>
      <c r="D220" s="3" t="s">
        <v>69</v>
      </c>
      <c r="E220" s="1" t="str">
        <f t="shared" si="40"/>
        <v>2</v>
      </c>
      <c r="F220" s="1" t="str">
        <f t="shared" si="41"/>
        <v>Sherwood_etal_2004_I</v>
      </c>
      <c r="G220" s="1" t="str">
        <f t="shared" si="42"/>
        <v>Sherwood</v>
      </c>
      <c r="H220" s="1" t="str">
        <f t="shared" si="43"/>
        <v>etal</v>
      </c>
      <c r="I220" s="1" t="str">
        <f t="shared" si="44"/>
        <v>2004</v>
      </c>
      <c r="J220" s="1" t="str">
        <f t="shared" si="45"/>
        <v>10.1159%2F000075672</v>
      </c>
      <c r="K220" s="1" t="str">
        <f t="shared" si="46"/>
        <v>Sherwood_etal_2004_I_Table5</v>
      </c>
      <c r="L220" s="1" t="str">
        <f t="shared" si="47"/>
        <v>10.1159%2F000075672_Table5</v>
      </c>
      <c r="M220" s="1" t="str">
        <f t="array" ref="M220">IFERROR(INDEX(FileList!$A$1:$A$1000,MATCH(TRUE(),EXACT(L220,IFERROR(_xlfn.TEXTBEFORE(FileList!$A$1:$A$1000,".tsv"),"")),0)),"notfound")</f>
        <v>10.1159%2F000075672_Table5.tsv</v>
      </c>
      <c r="N220" s="3" t="s">
        <v>691</v>
      </c>
      <c r="P220" s="3" t="s">
        <v>687</v>
      </c>
      <c r="Q220" s="3" t="s">
        <v>201</v>
      </c>
      <c r="T220" s="3" t="str">
        <f>IF(S220="N", R220, "write file name")</f>
        <v>write file name</v>
      </c>
      <c r="U220" s="3" t="s">
        <v>54</v>
      </c>
      <c r="V220" s="3" t="s">
        <v>688</v>
      </c>
      <c r="Z220" s="3" t="s">
        <v>232</v>
      </c>
      <c r="AF220" s="3" t="s">
        <v>79</v>
      </c>
      <c r="AG220" s="3" t="s">
        <v>111</v>
      </c>
      <c r="AH220" s="3" t="s">
        <v>176</v>
      </c>
      <c r="AI220" s="3" t="s">
        <v>689</v>
      </c>
      <c r="AJ220" s="3" t="s">
        <v>117</v>
      </c>
      <c r="AK220" s="3" t="s">
        <v>62</v>
      </c>
      <c r="AL220" s="3" t="s">
        <v>62</v>
      </c>
      <c r="AM220" s="3" t="s">
        <v>690</v>
      </c>
    </row>
    <row r="221" spans="1:39" ht="15" customHeight="1" x14ac:dyDescent="0.2">
      <c r="A221" s="4" t="s">
        <v>853</v>
      </c>
      <c r="D221" s="4" t="s">
        <v>76</v>
      </c>
      <c r="E221" s="1" t="str">
        <f t="shared" si="40"/>
        <v>9</v>
      </c>
      <c r="F221" s="1" t="str">
        <f t="shared" si="41"/>
        <v>Sherwood_etal_2003</v>
      </c>
      <c r="G221" s="1" t="str">
        <f t="shared" si="42"/>
        <v>Sherwood</v>
      </c>
      <c r="H221" s="1" t="str">
        <f t="shared" si="43"/>
        <v>etal</v>
      </c>
      <c r="I221" s="1" t="str">
        <f t="shared" si="44"/>
        <v>2003</v>
      </c>
      <c r="J221" s="1" t="str">
        <f t="shared" si="45"/>
        <v>10.1159%2F000068879</v>
      </c>
      <c r="K221" s="1" t="str">
        <f t="shared" si="46"/>
        <v>Sherwood_etal_2003_Table1</v>
      </c>
      <c r="L221" s="1" t="str">
        <f t="shared" si="47"/>
        <v>10.1159%2F000068879_Table1</v>
      </c>
      <c r="M221" s="1" t="str">
        <f t="array" ref="M221">IFERROR(INDEX(FileList!$A$1:$A$1000,MATCH(TRUE(),EXACT(L221,IFERROR(_xlfn.TEXTBEFORE(FileList!$A$1:$A$1000,".tsv"),"")),0)),"notfound")</f>
        <v>notfound</v>
      </c>
      <c r="N221" s="4" t="s">
        <v>854</v>
      </c>
    </row>
    <row r="222" spans="1:39" ht="15" customHeight="1" x14ac:dyDescent="0.2">
      <c r="A222" s="4" t="s">
        <v>1320</v>
      </c>
      <c r="D222" s="4" t="s">
        <v>76</v>
      </c>
      <c r="E222" s="1" t="str">
        <f t="shared" ref="E222" si="56">RIGHT(A222,1)</f>
        <v>3</v>
      </c>
      <c r="F222" s="1" t="str">
        <f t="shared" ref="F222" si="57">G222 &amp; IF(H222&lt;&gt;"", "_" &amp; H222, "_") &amp; IF(I222&lt;&gt;"", "_" &amp; I222, "_") &amp; IF(B222&lt;&gt;"", "_" &amp; B222, "")</f>
        <v>Smaers_etal_2010</v>
      </c>
      <c r="G222" s="1" t="str">
        <f t="shared" ref="G222" si="58">SUBSTITUTE(SUBSTITUTE(_xlfn.TEXTBEFORE(A222,","), "-", ""), " ", "")</f>
        <v>Smaers</v>
      </c>
      <c r="H222" s="1" t="str">
        <f t="shared" ref="H222" si="59">_xlfn.LET(
_xlpm.authors,_xlfn.TEXTBEFORE(A222," ("&amp;I222&amp;")"),
_xlpm.hasAmp,ISNUMBER(SEARCH("&amp;",_xlpm.authors)),
_xlpm.commasBeforeAmp,IF(_xlpm.hasAmp,LEN(_xlfn.TEXTBEFORE(_xlpm.authors,"&amp;"))-LEN(SUBSTITUTE(_xlfn.TEXTBEFORE(_xlpm.authors,"&amp;"),",","")),0),
IF(NOT(_xlpm.hasAmp),"",IF(_xlpm.commasBeforeAmp&gt;2,"etal",TRIM(_xlfn.TEXTBEFORE(_xlfn.TEXTAFTER(_xlpm.authors,"&amp; "),","))))
)</f>
        <v>etal</v>
      </c>
      <c r="I222" s="1" t="str">
        <f t="shared" ref="I222" si="60">_xlfn.TEXTBEFORE(_xlfn.TEXTAFTER(A222, "("), ")")</f>
        <v>2010</v>
      </c>
      <c r="J222" s="1" t="str">
        <f t="shared" ref="J222" si="61">_xlfn.LET(
_xlpm.doi,IF(C222&lt;&gt;"",C222,_xlfn.TEXTAFTER(A222,"https://doi.org/")),
SUBSTITUTE(
SUBSTITUTE(
SUBSTITUTE(
SUBSTITUTE(
_xlpm.doi,
"/","%2F"),
":","%3A"),
"&lt;","%3C"),
"&gt;","%3E")
)</f>
        <v>10.1371%2Fjournal.pone.0009123</v>
      </c>
      <c r="K222" s="1" t="str">
        <f t="shared" ref="K222" si="62">TRIM(_xlfn.TEXTJOIN("_",FALSE(),F222,(SUBSTITUTE(SUBSTITUTE(D222," ",""), "_", ""))))</f>
        <v>Smaers_etal_2010_Table1</v>
      </c>
      <c r="L222" s="1" t="str">
        <f t="shared" ref="L222" si="63">J222 &amp; "_" &amp; SUBSTITUTE(SUBSTITUTE(SUBSTITUTE(D222,CHAR(160),"")," ",""),"_","")</f>
        <v>10.1371%2Fjournal.pone.0009123_Table1</v>
      </c>
      <c r="M222" s="1" t="str">
        <f t="array" ref="M222">IFERROR(INDEX(FileList!$A$1:$A$1000,MATCH(TRUE(),EXACT(L222,IFERROR(_xlfn.TEXTBEFORE(FileList!$A$1:$A$1000,".tsv"),"")),0)),"notfound")</f>
        <v>notfound</v>
      </c>
      <c r="N222" s="4" t="s">
        <v>1321</v>
      </c>
    </row>
    <row r="223" spans="1:39" ht="15" customHeight="1" x14ac:dyDescent="0.2">
      <c r="A223" s="3" t="s">
        <v>692</v>
      </c>
      <c r="C223" s="3" t="s">
        <v>693</v>
      </c>
      <c r="D223" s="3" t="s">
        <v>694</v>
      </c>
      <c r="E223" s="1" t="str">
        <f t="shared" si="40"/>
        <v>9</v>
      </c>
      <c r="F223" s="1" t="str">
        <f t="shared" si="41"/>
        <v>Smaers_Soligo_2013</v>
      </c>
      <c r="G223" s="1" t="str">
        <f t="shared" si="42"/>
        <v>Smaers</v>
      </c>
      <c r="H223" s="1" t="str">
        <f t="shared" si="43"/>
        <v>Soligo</v>
      </c>
      <c r="I223" s="1" t="str">
        <f t="shared" si="44"/>
        <v>2013</v>
      </c>
      <c r="J223" s="1" t="str">
        <f t="shared" si="45"/>
        <v>10.1098%2Frspb.2013.0269</v>
      </c>
      <c r="K223" s="1" t="str">
        <f t="shared" si="46"/>
        <v>Smaers_Soligo_2013_Supplement</v>
      </c>
      <c r="L223" s="1" t="str">
        <f t="shared" si="47"/>
        <v>10.1098%2Frspb.2013.0269_Supplement</v>
      </c>
      <c r="M223" s="1" t="str">
        <f t="array" ref="M223">IFERROR(INDEX(FileList!$A$1:$A$1000,MATCH(TRUE(),EXACT(L223,IFERROR(_xlfn.TEXTBEFORE(FileList!$A$1:$A$1000,".tsv"),"")),0)),"notfound")</f>
        <v>notfound</v>
      </c>
      <c r="N223" s="3" t="s">
        <v>695</v>
      </c>
      <c r="AF223" s="3" t="s">
        <v>79</v>
      </c>
      <c r="AG223" s="3" t="s">
        <v>111</v>
      </c>
      <c r="AI223" s="3" t="s">
        <v>696</v>
      </c>
      <c r="AJ223" s="3" t="s">
        <v>697</v>
      </c>
      <c r="AL223" s="3" t="s">
        <v>361</v>
      </c>
      <c r="AM223" s="3" t="s">
        <v>84</v>
      </c>
    </row>
    <row r="224" spans="1:39" ht="15" customHeight="1" x14ac:dyDescent="0.2">
      <c r="A224" s="3" t="s">
        <v>698</v>
      </c>
      <c r="D224" s="3" t="s">
        <v>699</v>
      </c>
      <c r="E224" s="1" t="str">
        <f t="shared" si="40"/>
        <v>0</v>
      </c>
      <c r="F224" s="1" t="str">
        <f t="shared" si="41"/>
        <v>Smaers_etal_2017</v>
      </c>
      <c r="G224" s="1" t="str">
        <f t="shared" si="42"/>
        <v>Smaers</v>
      </c>
      <c r="H224" s="1" t="str">
        <f t="shared" si="43"/>
        <v>etal</v>
      </c>
      <c r="I224" s="1" t="str">
        <f t="shared" si="44"/>
        <v>2017</v>
      </c>
      <c r="J224" s="1" t="str">
        <f t="shared" si="45"/>
        <v>10.1016%2Fj.cub.2017.01.020</v>
      </c>
      <c r="K224" s="1" t="str">
        <f t="shared" si="46"/>
        <v>Smaers_etal_2017_TableS1part1</v>
      </c>
      <c r="L224" s="1" t="str">
        <f t="shared" si="47"/>
        <v>10.1016%2Fj.cub.2017.01.020_TableS1part1</v>
      </c>
      <c r="M224" s="1" t="str">
        <f t="array" ref="M224">IFERROR(INDEX(FileList!$A$1:$A$1000,MATCH(TRUE(),EXACT(L224,IFERROR(_xlfn.TEXTBEFORE(FileList!$A$1:$A$1000,".tsv"),"")),0)),"notfound")</f>
        <v>10.1016%2Fj.cub.2017.01.020_TableS1part1.tsv</v>
      </c>
      <c r="N224" s="3" t="s">
        <v>700</v>
      </c>
      <c r="O224" s="3" t="s">
        <v>701</v>
      </c>
      <c r="P224" s="3" t="s">
        <v>40</v>
      </c>
      <c r="V224" s="3" t="s">
        <v>41</v>
      </c>
      <c r="Y224" s="3" t="s">
        <v>702</v>
      </c>
      <c r="Z224" s="3" t="s">
        <v>232</v>
      </c>
      <c r="AC224" s="3" t="s">
        <v>703</v>
      </c>
      <c r="AF224" s="3" t="s">
        <v>79</v>
      </c>
      <c r="AG224" s="3" t="s">
        <v>111</v>
      </c>
      <c r="AI224" s="3" t="s">
        <v>704</v>
      </c>
      <c r="AJ224" s="3" t="s">
        <v>117</v>
      </c>
      <c r="AK224" s="3" t="s">
        <v>705</v>
      </c>
      <c r="AL224" s="3" t="s">
        <v>361</v>
      </c>
      <c r="AM224" s="3" t="s">
        <v>84</v>
      </c>
    </row>
    <row r="225" spans="1:39" ht="15" customHeight="1" x14ac:dyDescent="0.2">
      <c r="A225" s="3" t="s">
        <v>698</v>
      </c>
      <c r="D225" s="3" t="s">
        <v>706</v>
      </c>
      <c r="E225" s="1" t="str">
        <f t="shared" si="40"/>
        <v>0</v>
      </c>
      <c r="F225" s="1" t="str">
        <f t="shared" si="41"/>
        <v>Smaers_etal_2017</v>
      </c>
      <c r="G225" s="1" t="str">
        <f t="shared" si="42"/>
        <v>Smaers</v>
      </c>
      <c r="H225" s="1" t="str">
        <f t="shared" si="43"/>
        <v>etal</v>
      </c>
      <c r="I225" s="1" t="str">
        <f t="shared" si="44"/>
        <v>2017</v>
      </c>
      <c r="J225" s="1" t="str">
        <f t="shared" si="45"/>
        <v>10.1016%2Fj.cub.2017.01.020</v>
      </c>
      <c r="K225" s="1" t="str">
        <f t="shared" si="46"/>
        <v>Smaers_etal_2017_TableS1part2</v>
      </c>
      <c r="L225" s="1" t="str">
        <f t="shared" si="47"/>
        <v>10.1016%2Fj.cub.2017.01.020_TableS1part2</v>
      </c>
      <c r="M225" s="1" t="str">
        <f t="array" ref="M225">IFERROR(INDEX(FileList!$A$1:$A$1000,MATCH(TRUE(),EXACT(L225,IFERROR(_xlfn.TEXTBEFORE(FileList!$A$1:$A$1000,".tsv"),"")),0)),"notfound")</f>
        <v>10.1016%2Fj.cub.2017.01.020_TableS1part2.tsv</v>
      </c>
      <c r="N225" s="3" t="s">
        <v>700</v>
      </c>
      <c r="O225" s="3" t="s">
        <v>707</v>
      </c>
      <c r="P225" s="3" t="s">
        <v>40</v>
      </c>
      <c r="V225" s="3" t="s">
        <v>41</v>
      </c>
      <c r="Y225" s="3" t="s">
        <v>702</v>
      </c>
      <c r="Z225" s="3" t="s">
        <v>232</v>
      </c>
      <c r="AC225" s="3" t="s">
        <v>703</v>
      </c>
      <c r="AF225" s="3" t="s">
        <v>79</v>
      </c>
      <c r="AG225" s="3" t="s">
        <v>111</v>
      </c>
      <c r="AI225" s="3" t="s">
        <v>704</v>
      </c>
      <c r="AJ225" s="3" t="s">
        <v>117</v>
      </c>
      <c r="AK225" s="3" t="s">
        <v>705</v>
      </c>
      <c r="AL225" s="3" t="s">
        <v>361</v>
      </c>
      <c r="AM225" s="3" t="s">
        <v>84</v>
      </c>
    </row>
    <row r="226" spans="1:39" ht="15" customHeight="1" x14ac:dyDescent="0.2">
      <c r="A226" s="3" t="s">
        <v>708</v>
      </c>
      <c r="D226" s="3" t="s">
        <v>709</v>
      </c>
      <c r="E226" s="1" t="str">
        <f t="shared" si="40"/>
        <v>1</v>
      </c>
      <c r="F226" s="1" t="str">
        <f t="shared" si="41"/>
        <v>Smaers_etal_2011</v>
      </c>
      <c r="G226" s="1" t="str">
        <f t="shared" si="42"/>
        <v>Smaers</v>
      </c>
      <c r="H226" s="1" t="str">
        <f t="shared" si="43"/>
        <v>etal</v>
      </c>
      <c r="I226" s="1" t="str">
        <f t="shared" si="44"/>
        <v>2011</v>
      </c>
      <c r="J226" s="1" t="str">
        <f t="shared" si="45"/>
        <v>10.1159%2F000323671</v>
      </c>
      <c r="K226" s="1" t="str">
        <f t="shared" si="46"/>
        <v>Smaers_etal_2011_SupplementaryTable1</v>
      </c>
      <c r="L226" s="1" t="str">
        <f t="shared" si="47"/>
        <v>10.1159%2F000323671_SupplementaryTable1</v>
      </c>
      <c r="M226" s="1" t="str">
        <f t="array" ref="M226">IFERROR(INDEX(FileList!$A$1:$A$1000,MATCH(TRUE(),EXACT(L226,IFERROR(_xlfn.TEXTBEFORE(FileList!$A$1:$A$1000,".tsv"),"")),0)),"notfound")</f>
        <v>10.1159%2F000323671_SupplementaryTable1.tsv</v>
      </c>
      <c r="Q226" s="3" t="s">
        <v>131</v>
      </c>
      <c r="V226" s="3" t="s">
        <v>41</v>
      </c>
      <c r="Z226" s="3" t="s">
        <v>232</v>
      </c>
      <c r="AF226" s="3" t="s">
        <v>79</v>
      </c>
      <c r="AG226" s="3" t="s">
        <v>111</v>
      </c>
      <c r="AI226" s="3" t="s">
        <v>710</v>
      </c>
      <c r="AJ226" s="3" t="s">
        <v>117</v>
      </c>
      <c r="AL226" s="3" t="s">
        <v>361</v>
      </c>
      <c r="AM226" s="3" t="s">
        <v>84</v>
      </c>
    </row>
    <row r="227" spans="1:39" ht="15" customHeight="1" x14ac:dyDescent="0.2">
      <c r="A227" s="3" t="s">
        <v>708</v>
      </c>
      <c r="D227" s="3" t="s">
        <v>711</v>
      </c>
      <c r="E227" s="1" t="str">
        <f t="shared" si="40"/>
        <v>1</v>
      </c>
      <c r="F227" s="1" t="str">
        <f t="shared" si="41"/>
        <v>Smaers_etal_2011</v>
      </c>
      <c r="G227" s="1" t="str">
        <f t="shared" si="42"/>
        <v>Smaers</v>
      </c>
      <c r="H227" s="1" t="str">
        <f t="shared" si="43"/>
        <v>etal</v>
      </c>
      <c r="I227" s="1" t="str">
        <f t="shared" si="44"/>
        <v>2011</v>
      </c>
      <c r="J227" s="1" t="str">
        <f t="shared" si="45"/>
        <v>10.1159%2F000323671</v>
      </c>
      <c r="K227" s="1" t="str">
        <f t="shared" si="46"/>
        <v>Smaers_etal_2011_SupplementaryTable2</v>
      </c>
      <c r="L227" s="1" t="str">
        <f t="shared" si="47"/>
        <v>10.1159%2F000323671_SupplementaryTable2</v>
      </c>
      <c r="M227" s="1" t="str">
        <f t="array" ref="M227">IFERROR(INDEX(FileList!$A$1:$A$1000,MATCH(TRUE(),EXACT(L227,IFERROR(_xlfn.TEXTBEFORE(FileList!$A$1:$A$1000,".tsv"),"")),0)),"notfound")</f>
        <v>10.1159%2F000323671_SupplementaryTable2.tsv</v>
      </c>
      <c r="Q227" s="3" t="s">
        <v>131</v>
      </c>
      <c r="V227" s="3" t="s">
        <v>41</v>
      </c>
      <c r="Z227" s="3" t="s">
        <v>232</v>
      </c>
      <c r="AF227" s="3" t="s">
        <v>79</v>
      </c>
      <c r="AG227" s="3" t="s">
        <v>111</v>
      </c>
      <c r="AI227" s="3" t="s">
        <v>710</v>
      </c>
      <c r="AJ227" s="3" t="s">
        <v>117</v>
      </c>
      <c r="AL227" s="3" t="s">
        <v>361</v>
      </c>
      <c r="AM227" s="3" t="s">
        <v>84</v>
      </c>
    </row>
    <row r="228" spans="1:39" ht="15" customHeight="1" x14ac:dyDescent="0.2">
      <c r="A228" s="3" t="s">
        <v>712</v>
      </c>
      <c r="C228" s="3" t="s">
        <v>713</v>
      </c>
      <c r="D228" s="3" t="s">
        <v>714</v>
      </c>
      <c r="E228" s="1" t="str">
        <f t="shared" si="40"/>
        <v>6</v>
      </c>
      <c r="F228" s="1" t="str">
        <f t="shared" si="41"/>
        <v>Smaers_etal_2018</v>
      </c>
      <c r="G228" s="1" t="str">
        <f t="shared" si="42"/>
        <v>Smaers</v>
      </c>
      <c r="H228" s="1" t="str">
        <f t="shared" si="43"/>
        <v>etal</v>
      </c>
      <c r="I228" s="1" t="str">
        <f t="shared" si="44"/>
        <v>2018</v>
      </c>
      <c r="J228" s="1" t="str">
        <f t="shared" si="45"/>
        <v>10.7554%2FeLife.35696</v>
      </c>
      <c r="K228" s="1" t="str">
        <f t="shared" si="46"/>
        <v>Smaers_etal_2018_Figure2-data1</v>
      </c>
      <c r="L228" s="1" t="str">
        <f t="shared" si="47"/>
        <v>10.7554%2FeLife.35696_Figure2-data1</v>
      </c>
      <c r="M228" s="1" t="str">
        <f t="array" ref="M228">IFERROR(INDEX(FileList!$A$1:$A$1000,MATCH(TRUE(),EXACT(L228,IFERROR(_xlfn.TEXTBEFORE(FileList!$A$1:$A$1000,".tsv"),"")),0)),"notfound")</f>
        <v>10.7554%2FeLife.35696_Figure2-data1.tsv</v>
      </c>
      <c r="N228" s="3" t="s">
        <v>715</v>
      </c>
      <c r="Z228" s="3" t="s">
        <v>232</v>
      </c>
      <c r="AF228" s="3" t="s">
        <v>79</v>
      </c>
      <c r="AG228" s="3" t="s">
        <v>111</v>
      </c>
      <c r="AI228" s="3" t="s">
        <v>716</v>
      </c>
      <c r="AJ228" s="3" t="s">
        <v>139</v>
      </c>
      <c r="AL228" s="3" t="s">
        <v>361</v>
      </c>
      <c r="AM228" s="3" t="s">
        <v>84</v>
      </c>
    </row>
    <row r="229" spans="1:39" ht="15" customHeight="1" x14ac:dyDescent="0.2">
      <c r="A229" s="3" t="s">
        <v>1271</v>
      </c>
      <c r="C229" s="3"/>
      <c r="D229" s="3" t="s">
        <v>118</v>
      </c>
      <c r="E229" s="1" t="str">
        <f t="shared" si="40"/>
        <v>1</v>
      </c>
      <c r="F229" s="1" t="str">
        <f t="shared" si="41"/>
        <v>Stephan_etal_1991</v>
      </c>
      <c r="G229" s="1" t="str">
        <f t="shared" si="42"/>
        <v>Stephan</v>
      </c>
      <c r="H229" s="1" t="str">
        <f t="shared" si="43"/>
        <v>etal</v>
      </c>
      <c r="I229" s="1" t="str">
        <f t="shared" si="44"/>
        <v>1991</v>
      </c>
      <c r="J229" s="1" t="str">
        <f t="shared" si="45"/>
        <v>10.1007%2F978-1-4613-9124-1</v>
      </c>
      <c r="K229" s="1" t="str">
        <f t="shared" si="46"/>
        <v>Stephan_etal_1991_Table2</v>
      </c>
      <c r="L229" s="1" t="str">
        <f t="shared" si="47"/>
        <v>10.1007%2F978-1-4613-9124-1_Table2</v>
      </c>
      <c r="M229" s="1" t="str">
        <f t="array" ref="M229">IFERROR(INDEX(FileList!$A$1:$A$1000,MATCH(TRUE(),EXACT(L229,IFERROR(_xlfn.TEXTBEFORE(FileList!$A$1:$A$1000,".tsv"),"")),0)),"notfound")</f>
        <v>notfound</v>
      </c>
      <c r="N229" s="3" t="s">
        <v>1273</v>
      </c>
      <c r="Z229" s="3"/>
      <c r="AF229" s="3"/>
      <c r="AG229" s="3"/>
      <c r="AI229" s="3"/>
      <c r="AJ229" s="3"/>
      <c r="AL229" s="3"/>
      <c r="AM229" s="3"/>
    </row>
    <row r="230" spans="1:39" ht="15" customHeight="1" x14ac:dyDescent="0.2">
      <c r="A230" s="3" t="s">
        <v>1271</v>
      </c>
      <c r="C230" s="3"/>
      <c r="D230" s="3" t="s">
        <v>69</v>
      </c>
      <c r="E230" s="1" t="str">
        <f t="shared" ref="E230" si="64">RIGHT(A230,1)</f>
        <v>1</v>
      </c>
      <c r="F230" s="1" t="str">
        <f t="shared" ref="F230" si="65">G230 &amp; IF(H230&lt;&gt;"", "_" &amp; H230, "_") &amp; IF(I230&lt;&gt;"", "_" &amp; I230, "_") &amp; IF(B230&lt;&gt;"", "_" &amp; B230, "")</f>
        <v>Stephan_etal_1991</v>
      </c>
      <c r="G230" s="1" t="str">
        <f t="shared" ref="G230" si="66">SUBSTITUTE(SUBSTITUTE(_xlfn.TEXTBEFORE(A230,","), "-", ""), " ", "")</f>
        <v>Stephan</v>
      </c>
      <c r="H230" s="1" t="str">
        <f t="shared" ref="H230" si="67">_xlfn.LET(
_xlpm.authors,_xlfn.TEXTBEFORE(A230," ("&amp;I230&amp;")"),
_xlpm.hasAmp,ISNUMBER(SEARCH("&amp;",_xlpm.authors)),
_xlpm.commasBeforeAmp,IF(_xlpm.hasAmp,LEN(_xlfn.TEXTBEFORE(_xlpm.authors,"&amp;"))-LEN(SUBSTITUTE(_xlfn.TEXTBEFORE(_xlpm.authors,"&amp;"),",","")),0),
IF(NOT(_xlpm.hasAmp),"",IF(_xlpm.commasBeforeAmp&gt;2,"etal",TRIM(_xlfn.TEXTBEFORE(_xlfn.TEXTAFTER(_xlpm.authors,"&amp; "),","))))
)</f>
        <v>etal</v>
      </c>
      <c r="I230" s="1" t="str">
        <f t="shared" ref="I230" si="68">_xlfn.TEXTBEFORE(_xlfn.TEXTAFTER(A230, "("), ")")</f>
        <v>1991</v>
      </c>
      <c r="J230" s="1" t="str">
        <f t="shared" ref="J230" si="69">_xlfn.LET(
_xlpm.doi,IF(C230&lt;&gt;"",C230,_xlfn.TEXTAFTER(A230,"https://doi.org/")),
SUBSTITUTE(
SUBSTITUTE(
SUBSTITUTE(
SUBSTITUTE(
_xlpm.doi,
"/","%2F"),
":","%3A"),
"&lt;","%3C"),
"&gt;","%3E")
)</f>
        <v>10.1007%2F978-1-4613-9124-1</v>
      </c>
      <c r="K230" s="1" t="str">
        <f t="shared" ref="K230" si="70">TRIM(_xlfn.TEXTJOIN("_",FALSE(),F230,(SUBSTITUTE(SUBSTITUTE(D230," ",""), "_", ""))))</f>
        <v>Stephan_etal_1991_Table5</v>
      </c>
      <c r="L230" s="1" t="str">
        <f t="shared" ref="L230" si="71">J230 &amp; "_" &amp; SUBSTITUTE(SUBSTITUTE(SUBSTITUTE(D230,CHAR(160),"")," ",""),"_","")</f>
        <v>10.1007%2F978-1-4613-9124-1_Table5</v>
      </c>
      <c r="M230" s="1" t="str">
        <f t="array" ref="M230">IFERROR(INDEX(FileList!$A$1:$A$1000,MATCH(TRUE(),EXACT(L230,IFERROR(_xlfn.TEXTBEFORE(FileList!$A$1:$A$1000,".tsv"),"")),0)),"notfound")</f>
        <v>notfound</v>
      </c>
      <c r="N230" s="3" t="s">
        <v>1272</v>
      </c>
      <c r="Z230" s="3"/>
      <c r="AF230" s="3"/>
      <c r="AG230" s="3"/>
      <c r="AI230" s="3"/>
      <c r="AJ230" s="3"/>
      <c r="AL230" s="3"/>
      <c r="AM230" s="3"/>
    </row>
    <row r="231" spans="1:39" ht="15" customHeight="1" x14ac:dyDescent="0.2">
      <c r="A231" s="3" t="s">
        <v>1271</v>
      </c>
      <c r="C231" s="3"/>
      <c r="D231" s="3" t="s">
        <v>1274</v>
      </c>
      <c r="E231" s="1" t="str">
        <f t="shared" ref="E231" si="72">RIGHT(A231,1)</f>
        <v>1</v>
      </c>
      <c r="F231" s="1" t="str">
        <f t="shared" ref="F231" si="73">G231 &amp; IF(H231&lt;&gt;"", "_" &amp; H231, "_") &amp; IF(I231&lt;&gt;"", "_" &amp; I231, "_") &amp; IF(B231&lt;&gt;"", "_" &amp; B231, "")</f>
        <v>Stephan_etal_1991</v>
      </c>
      <c r="G231" s="1" t="str">
        <f t="shared" ref="G231" si="74">SUBSTITUTE(SUBSTITUTE(_xlfn.TEXTBEFORE(A231,","), "-", ""), " ", "")</f>
        <v>Stephan</v>
      </c>
      <c r="H231" s="1" t="str">
        <f t="shared" ref="H231" si="75">_xlfn.LET(
_xlpm.authors,_xlfn.TEXTBEFORE(A231," ("&amp;I231&amp;")"),
_xlpm.hasAmp,ISNUMBER(SEARCH("&amp;",_xlpm.authors)),
_xlpm.commasBeforeAmp,IF(_xlpm.hasAmp,LEN(_xlfn.TEXTBEFORE(_xlpm.authors,"&amp;"))-LEN(SUBSTITUTE(_xlfn.TEXTBEFORE(_xlpm.authors,"&amp;"),",","")),0),
IF(NOT(_xlpm.hasAmp),"",IF(_xlpm.commasBeforeAmp&gt;2,"etal",TRIM(_xlfn.TEXTBEFORE(_xlfn.TEXTAFTER(_xlpm.authors,"&amp; "),","))))
)</f>
        <v>etal</v>
      </c>
      <c r="I231" s="1" t="str">
        <f t="shared" ref="I231" si="76">_xlfn.TEXTBEFORE(_xlfn.TEXTAFTER(A231, "("), ")")</f>
        <v>1991</v>
      </c>
      <c r="J231" s="1" t="str">
        <f t="shared" ref="J231" si="77">_xlfn.LET(
_xlpm.doi,IF(C231&lt;&gt;"",C231,_xlfn.TEXTAFTER(A231,"https://doi.org/")),
SUBSTITUTE(
SUBSTITUTE(
SUBSTITUTE(
SUBSTITUTE(
_xlpm.doi,
"/","%2F"),
":","%3A"),
"&lt;","%3C"),
"&gt;","%3E")
)</f>
        <v>10.1007%2F978-1-4613-9124-1</v>
      </c>
      <c r="K231" s="1" t="str">
        <f t="shared" ref="K231" si="78">TRIM(_xlfn.TEXTJOIN("_",FALSE(),F231,(SUBSTITUTE(SUBSTITUTE(D231," ",""), "_", ""))))</f>
        <v>Stephan_etal_1991_Table8</v>
      </c>
      <c r="L231" s="1" t="str">
        <f t="shared" ref="L231" si="79">J231 &amp; "_" &amp; SUBSTITUTE(SUBSTITUTE(SUBSTITUTE(D231,CHAR(160),"")," ",""),"_","")</f>
        <v>10.1007%2F978-1-4613-9124-1_Table8</v>
      </c>
      <c r="M231" s="1" t="str">
        <f t="array" ref="M231">IFERROR(INDEX(FileList!$A$1:$A$1000,MATCH(TRUE(),EXACT(L231,IFERROR(_xlfn.TEXTBEFORE(FileList!$A$1:$A$1000,".tsv"),"")),0)),"notfound")</f>
        <v>notfound</v>
      </c>
      <c r="N231" s="3" t="s">
        <v>1275</v>
      </c>
      <c r="Z231" s="3"/>
      <c r="AF231" s="3"/>
      <c r="AG231" s="3"/>
      <c r="AI231" s="3"/>
      <c r="AJ231" s="3"/>
      <c r="AL231" s="3"/>
      <c r="AM231" s="3"/>
    </row>
    <row r="232" spans="1:39" ht="15" customHeight="1" x14ac:dyDescent="0.2">
      <c r="A232" s="3" t="s">
        <v>1271</v>
      </c>
      <c r="C232" s="3"/>
      <c r="D232" s="3" t="s">
        <v>1277</v>
      </c>
      <c r="E232" s="1" t="str">
        <f t="shared" ref="E232" si="80">RIGHT(A232,1)</f>
        <v>1</v>
      </c>
      <c r="F232" s="1" t="str">
        <f t="shared" ref="F232" si="81">G232 &amp; IF(H232&lt;&gt;"", "_" &amp; H232, "_") &amp; IF(I232&lt;&gt;"", "_" &amp; I232, "_") &amp; IF(B232&lt;&gt;"", "_" &amp; B232, "")</f>
        <v>Stephan_etal_1991</v>
      </c>
      <c r="G232" s="1" t="str">
        <f t="shared" ref="G232" si="82">SUBSTITUTE(SUBSTITUTE(_xlfn.TEXTBEFORE(A232,","), "-", ""), " ", "")</f>
        <v>Stephan</v>
      </c>
      <c r="H232" s="1" t="str">
        <f t="shared" ref="H232" si="83">_xlfn.LET(
_xlpm.authors,_xlfn.TEXTBEFORE(A232," ("&amp;I232&amp;")"),
_xlpm.hasAmp,ISNUMBER(SEARCH("&amp;",_xlpm.authors)),
_xlpm.commasBeforeAmp,IF(_xlpm.hasAmp,LEN(_xlfn.TEXTBEFORE(_xlpm.authors,"&amp;"))-LEN(SUBSTITUTE(_xlfn.TEXTBEFORE(_xlpm.authors,"&amp;"),",","")),0),
IF(NOT(_xlpm.hasAmp),"",IF(_xlpm.commasBeforeAmp&gt;2,"etal",TRIM(_xlfn.TEXTBEFORE(_xlfn.TEXTAFTER(_xlpm.authors,"&amp; "),","))))
)</f>
        <v>etal</v>
      </c>
      <c r="I232" s="1" t="str">
        <f t="shared" ref="I232" si="84">_xlfn.TEXTBEFORE(_xlfn.TEXTAFTER(A232, "("), ")")</f>
        <v>1991</v>
      </c>
      <c r="J232" s="1" t="str">
        <f t="shared" ref="J232" si="85">_xlfn.LET(
_xlpm.doi,IF(C232&lt;&gt;"",C232,_xlfn.TEXTAFTER(A232,"https://doi.org/")),
SUBSTITUTE(
SUBSTITUTE(
SUBSTITUTE(
SUBSTITUTE(
_xlpm.doi,
"/","%2F"),
":","%3A"),
"&lt;","%3C"),
"&gt;","%3E")
)</f>
        <v>10.1007%2F978-1-4613-9124-1</v>
      </c>
      <c r="K232" s="1" t="str">
        <f t="shared" ref="K232" si="86">TRIM(_xlfn.TEXTJOIN("_",FALSE(),F232,(SUBSTITUTE(SUBSTITUTE(D232," ",""), "_", ""))))</f>
        <v>Stephan_etal_1991_Table10</v>
      </c>
      <c r="L232" s="1" t="str">
        <f t="shared" ref="L232" si="87">J232 &amp; "_" &amp; SUBSTITUTE(SUBSTITUTE(SUBSTITUTE(D232,CHAR(160),"")," ",""),"_","")</f>
        <v>10.1007%2F978-1-4613-9124-1_Table10</v>
      </c>
      <c r="M232" s="1" t="str">
        <f t="array" ref="M232">IFERROR(INDEX(FileList!$A$1:$A$1000,MATCH(TRUE(),EXACT(L232,IFERROR(_xlfn.TEXTBEFORE(FileList!$A$1:$A$1000,".tsv"),"")),0)),"notfound")</f>
        <v>notfound</v>
      </c>
      <c r="N232" s="3" t="s">
        <v>1276</v>
      </c>
      <c r="Z232" s="3"/>
      <c r="AF232" s="3"/>
      <c r="AG232" s="3"/>
      <c r="AI232" s="3"/>
      <c r="AJ232" s="3"/>
      <c r="AL232" s="3"/>
      <c r="AM232" s="3"/>
    </row>
    <row r="233" spans="1:39" ht="15" customHeight="1" x14ac:dyDescent="0.2">
      <c r="A233" s="3" t="s">
        <v>1271</v>
      </c>
      <c r="C233" s="3"/>
      <c r="D233" s="3" t="s">
        <v>1278</v>
      </c>
      <c r="E233" s="1" t="str">
        <f t="shared" ref="E233" si="88">RIGHT(A233,1)</f>
        <v>1</v>
      </c>
      <c r="F233" s="1" t="str">
        <f t="shared" ref="F233" si="89">G233 &amp; IF(H233&lt;&gt;"", "_" &amp; H233, "_") &amp; IF(I233&lt;&gt;"", "_" &amp; I233, "_") &amp; IF(B233&lt;&gt;"", "_" &amp; B233, "")</f>
        <v>Stephan_etal_1991</v>
      </c>
      <c r="G233" s="1" t="str">
        <f t="shared" ref="G233" si="90">SUBSTITUTE(SUBSTITUTE(_xlfn.TEXTBEFORE(A233,","), "-", ""), " ", "")</f>
        <v>Stephan</v>
      </c>
      <c r="H233" s="1" t="str">
        <f t="shared" ref="H233" si="91">_xlfn.LET(
_xlpm.authors,_xlfn.TEXTBEFORE(A233," ("&amp;I233&amp;")"),
_xlpm.hasAmp,ISNUMBER(SEARCH("&amp;",_xlpm.authors)),
_xlpm.commasBeforeAmp,IF(_xlpm.hasAmp,LEN(_xlfn.TEXTBEFORE(_xlpm.authors,"&amp;"))-LEN(SUBSTITUTE(_xlfn.TEXTBEFORE(_xlpm.authors,"&amp;"),",","")),0),
IF(NOT(_xlpm.hasAmp),"",IF(_xlpm.commasBeforeAmp&gt;2,"etal",TRIM(_xlfn.TEXTBEFORE(_xlfn.TEXTAFTER(_xlpm.authors,"&amp; "),","))))
)</f>
        <v>etal</v>
      </c>
      <c r="I233" s="1" t="str">
        <f t="shared" ref="I233" si="92">_xlfn.TEXTBEFORE(_xlfn.TEXTAFTER(A233, "("), ")")</f>
        <v>1991</v>
      </c>
      <c r="J233" s="1" t="str">
        <f t="shared" ref="J233" si="93">_xlfn.LET(
_xlpm.doi,IF(C233&lt;&gt;"",C233,_xlfn.TEXTAFTER(A233,"https://doi.org/")),
SUBSTITUTE(
SUBSTITUTE(
SUBSTITUTE(
SUBSTITUTE(
_xlpm.doi,
"/","%2F"),
":","%3A"),
"&lt;","%3C"),
"&gt;","%3E")
)</f>
        <v>10.1007%2F978-1-4613-9124-1</v>
      </c>
      <c r="K233" s="1" t="str">
        <f t="shared" ref="K233" si="94">TRIM(_xlfn.TEXTJOIN("_",FALSE(),F233,(SUBSTITUTE(SUBSTITUTE(D233," ",""), "_", ""))))</f>
        <v>Stephan_etal_1991_Table13</v>
      </c>
      <c r="L233" s="1" t="str">
        <f t="shared" ref="L233" si="95">J233 &amp; "_" &amp; SUBSTITUTE(SUBSTITUTE(SUBSTITUTE(D233,CHAR(160),"")," ",""),"_","")</f>
        <v>10.1007%2F978-1-4613-9124-1_Table13</v>
      </c>
      <c r="M233" s="1" t="str">
        <f t="array" ref="M233">IFERROR(INDEX(FileList!$A$1:$A$1000,MATCH(TRUE(),EXACT(L233,IFERROR(_xlfn.TEXTBEFORE(FileList!$A$1:$A$1000,".tsv"),"")),0)),"notfound")</f>
        <v>notfound</v>
      </c>
      <c r="N233" s="3" t="s">
        <v>1279</v>
      </c>
      <c r="Z233" s="3"/>
      <c r="AF233" s="3"/>
      <c r="AG233" s="3"/>
      <c r="AI233" s="3"/>
      <c r="AJ233" s="3"/>
      <c r="AL233" s="3"/>
      <c r="AM233" s="3"/>
    </row>
    <row r="234" spans="1:39" ht="15" customHeight="1" x14ac:dyDescent="0.2">
      <c r="A234" s="3" t="s">
        <v>1271</v>
      </c>
      <c r="C234" s="3"/>
      <c r="D234" s="3" t="s">
        <v>1280</v>
      </c>
      <c r="E234" s="1" t="str">
        <f t="shared" ref="E234" si="96">RIGHT(A234,1)</f>
        <v>1</v>
      </c>
      <c r="F234" s="1" t="str">
        <f t="shared" ref="F234" si="97">G234 &amp; IF(H234&lt;&gt;"", "_" &amp; H234, "_") &amp; IF(I234&lt;&gt;"", "_" &amp; I234, "_") &amp; IF(B234&lt;&gt;"", "_" &amp; B234, "")</f>
        <v>Stephan_etal_1991</v>
      </c>
      <c r="G234" s="1" t="str">
        <f t="shared" ref="G234" si="98">SUBSTITUTE(SUBSTITUTE(_xlfn.TEXTBEFORE(A234,","), "-", ""), " ", "")</f>
        <v>Stephan</v>
      </c>
      <c r="H234" s="1" t="str">
        <f t="shared" ref="H234" si="99">_xlfn.LET(
_xlpm.authors,_xlfn.TEXTBEFORE(A234," ("&amp;I234&amp;")"),
_xlpm.hasAmp,ISNUMBER(SEARCH("&amp;",_xlpm.authors)),
_xlpm.commasBeforeAmp,IF(_xlpm.hasAmp,LEN(_xlfn.TEXTBEFORE(_xlpm.authors,"&amp;"))-LEN(SUBSTITUTE(_xlfn.TEXTBEFORE(_xlpm.authors,"&amp;"),",","")),0),
IF(NOT(_xlpm.hasAmp),"",IF(_xlpm.commasBeforeAmp&gt;2,"etal",TRIM(_xlfn.TEXTBEFORE(_xlfn.TEXTAFTER(_xlpm.authors,"&amp; "),","))))
)</f>
        <v>etal</v>
      </c>
      <c r="I234" s="1" t="str">
        <f t="shared" ref="I234" si="100">_xlfn.TEXTBEFORE(_xlfn.TEXTAFTER(A234, "("), ")")</f>
        <v>1991</v>
      </c>
      <c r="J234" s="1" t="str">
        <f t="shared" ref="J234" si="101">_xlfn.LET(
_xlpm.doi,IF(C234&lt;&gt;"",C234,_xlfn.TEXTAFTER(A234,"https://doi.org/")),
SUBSTITUTE(
SUBSTITUTE(
SUBSTITUTE(
SUBSTITUTE(
_xlpm.doi,
"/","%2F"),
":","%3A"),
"&lt;","%3C"),
"&gt;","%3E")
)</f>
        <v>10.1007%2F978-1-4613-9124-1</v>
      </c>
      <c r="K234" s="1" t="str">
        <f t="shared" ref="K234" si="102">TRIM(_xlfn.TEXTJOIN("_",FALSE(),F234,(SUBSTITUTE(SUBSTITUTE(D234," ",""), "_", ""))))</f>
        <v>Stephan_etal_1991_Table16</v>
      </c>
      <c r="L234" s="1" t="str">
        <f t="shared" ref="L234" si="103">J234 &amp; "_" &amp; SUBSTITUTE(SUBSTITUTE(SUBSTITUTE(D234,CHAR(160),"")," ",""),"_","")</f>
        <v>10.1007%2F978-1-4613-9124-1_Table16</v>
      </c>
      <c r="M234" s="1" t="str">
        <f t="array" ref="M234">IFERROR(INDEX(FileList!$A$1:$A$1000,MATCH(TRUE(),EXACT(L234,IFERROR(_xlfn.TEXTBEFORE(FileList!$A$1:$A$1000,".tsv"),"")),0)),"notfound")</f>
        <v>notfound</v>
      </c>
      <c r="N234" s="3" t="s">
        <v>1281</v>
      </c>
      <c r="Z234" s="3"/>
      <c r="AF234" s="3"/>
      <c r="AG234" s="3"/>
      <c r="AI234" s="3"/>
      <c r="AJ234" s="3"/>
      <c r="AL234" s="3"/>
      <c r="AM234" s="3"/>
    </row>
    <row r="235" spans="1:39" ht="15" customHeight="1" x14ac:dyDescent="0.2">
      <c r="A235" s="3" t="s">
        <v>1271</v>
      </c>
      <c r="C235" s="3"/>
      <c r="D235" s="5" t="s">
        <v>1283</v>
      </c>
      <c r="E235" s="1" t="str">
        <f t="shared" ref="E235" si="104">RIGHT(A235,1)</f>
        <v>1</v>
      </c>
      <c r="F235" s="1" t="str">
        <f t="shared" ref="F235" si="105">G235 &amp; IF(H235&lt;&gt;"", "_" &amp; H235, "_") &amp; IF(I235&lt;&gt;"", "_" &amp; I235, "_") &amp; IF(B235&lt;&gt;"", "_" &amp; B235, "")</f>
        <v>Stephan_etal_1991</v>
      </c>
      <c r="G235" s="1" t="str">
        <f t="shared" ref="G235" si="106">SUBSTITUTE(SUBSTITUTE(_xlfn.TEXTBEFORE(A235,","), "-", ""), " ", "")</f>
        <v>Stephan</v>
      </c>
      <c r="H235" s="1" t="str">
        <f t="shared" ref="H235" si="107">_xlfn.LET(
_xlpm.authors,_xlfn.TEXTBEFORE(A235," ("&amp;I235&amp;")"),
_xlpm.hasAmp,ISNUMBER(SEARCH("&amp;",_xlpm.authors)),
_xlpm.commasBeforeAmp,IF(_xlpm.hasAmp,LEN(_xlfn.TEXTBEFORE(_xlpm.authors,"&amp;"))-LEN(SUBSTITUTE(_xlfn.TEXTBEFORE(_xlpm.authors,"&amp;"),",","")),0),
IF(NOT(_xlpm.hasAmp),"",IF(_xlpm.commasBeforeAmp&gt;2,"etal",TRIM(_xlfn.TEXTBEFORE(_xlfn.TEXTAFTER(_xlpm.authors,"&amp; "),","))))
)</f>
        <v>etal</v>
      </c>
      <c r="I235" s="1" t="str">
        <f t="shared" ref="I235" si="108">_xlfn.TEXTBEFORE(_xlfn.TEXTAFTER(A235, "("), ")")</f>
        <v>1991</v>
      </c>
      <c r="J235" s="1" t="str">
        <f t="shared" ref="J235" si="109">_xlfn.LET(
_xlpm.doi,IF(C235&lt;&gt;"",C235,_xlfn.TEXTAFTER(A235,"https://doi.org/")),
SUBSTITUTE(
SUBSTITUTE(
SUBSTITUTE(
SUBSTITUTE(
_xlpm.doi,
"/","%2F"),
":","%3A"),
"&lt;","%3C"),
"&gt;","%3E")
)</f>
        <v>10.1007%2F978-1-4613-9124-1</v>
      </c>
      <c r="K235" s="1" t="str">
        <f t="shared" ref="K235" si="110">TRIM(_xlfn.TEXTJOIN("_",FALSE(),F235,(SUBSTITUTE(SUBSTITUTE(D235," ",""), "_", ""))))</f>
        <v>Stephan_etal_1991_Table19</v>
      </c>
      <c r="L235" s="1" t="str">
        <f t="shared" ref="L235" si="111">J235 &amp; "_" &amp; SUBSTITUTE(SUBSTITUTE(SUBSTITUTE(D235,CHAR(160),"")," ",""),"_","")</f>
        <v>10.1007%2F978-1-4613-9124-1_Table19</v>
      </c>
      <c r="M235" s="1" t="str">
        <f t="array" ref="M235">IFERROR(INDEX(FileList!$A$1:$A$1000,MATCH(TRUE(),EXACT(L235,IFERROR(_xlfn.TEXTBEFORE(FileList!$A$1:$A$1000,".tsv"),"")),0)),"notfound")</f>
        <v>notfound</v>
      </c>
      <c r="N235" s="3" t="s">
        <v>1282</v>
      </c>
      <c r="Z235" s="3"/>
      <c r="AF235" s="3"/>
      <c r="AG235" s="3"/>
      <c r="AI235" s="3"/>
      <c r="AJ235" s="3"/>
      <c r="AL235" s="3"/>
      <c r="AM235" s="3"/>
    </row>
    <row r="236" spans="1:39" ht="15" customHeight="1" x14ac:dyDescent="0.2">
      <c r="A236" s="3" t="s">
        <v>1271</v>
      </c>
      <c r="C236" s="3"/>
      <c r="D236" s="5" t="s">
        <v>1284</v>
      </c>
      <c r="E236" s="1" t="str">
        <f t="shared" ref="E236" si="112">RIGHT(A236,1)</f>
        <v>1</v>
      </c>
      <c r="F236" s="1" t="str">
        <f t="shared" ref="F236" si="113">G236 &amp; IF(H236&lt;&gt;"", "_" &amp; H236, "_") &amp; IF(I236&lt;&gt;"", "_" &amp; I236, "_") &amp; IF(B236&lt;&gt;"", "_" &amp; B236, "")</f>
        <v>Stephan_etal_1991</v>
      </c>
      <c r="G236" s="1" t="str">
        <f t="shared" ref="G236" si="114">SUBSTITUTE(SUBSTITUTE(_xlfn.TEXTBEFORE(A236,","), "-", ""), " ", "")</f>
        <v>Stephan</v>
      </c>
      <c r="H236" s="1" t="str">
        <f t="shared" ref="H236" si="115">_xlfn.LET(
_xlpm.authors,_xlfn.TEXTBEFORE(A236," ("&amp;I236&amp;")"),
_xlpm.hasAmp,ISNUMBER(SEARCH("&amp;",_xlpm.authors)),
_xlpm.commasBeforeAmp,IF(_xlpm.hasAmp,LEN(_xlfn.TEXTBEFORE(_xlpm.authors,"&amp;"))-LEN(SUBSTITUTE(_xlfn.TEXTBEFORE(_xlpm.authors,"&amp;"),",","")),0),
IF(NOT(_xlpm.hasAmp),"",IF(_xlpm.commasBeforeAmp&gt;2,"etal",TRIM(_xlfn.TEXTBEFORE(_xlfn.TEXTAFTER(_xlpm.authors,"&amp; "),","))))
)</f>
        <v>etal</v>
      </c>
      <c r="I236" s="1" t="str">
        <f t="shared" ref="I236" si="116">_xlfn.TEXTBEFORE(_xlfn.TEXTAFTER(A236, "("), ")")</f>
        <v>1991</v>
      </c>
      <c r="J236" s="1" t="str">
        <f t="shared" ref="J236" si="117">_xlfn.LET(
_xlpm.doi,IF(C236&lt;&gt;"",C236,_xlfn.TEXTAFTER(A236,"https://doi.org/")),
SUBSTITUTE(
SUBSTITUTE(
SUBSTITUTE(
SUBSTITUTE(
_xlpm.doi,
"/","%2F"),
":","%3A"),
"&lt;","%3C"),
"&gt;","%3E")
)</f>
        <v>10.1007%2F978-1-4613-9124-1</v>
      </c>
      <c r="K236" s="1" t="str">
        <f t="shared" ref="K236" si="118">TRIM(_xlfn.TEXTJOIN("_",FALSE(),F236,(SUBSTITUTE(SUBSTITUTE(D236," ",""), "_", ""))))</f>
        <v>Stephan_etal_1991_Table22</v>
      </c>
      <c r="L236" s="1" t="str">
        <f t="shared" ref="L236" si="119">J236 &amp; "_" &amp; SUBSTITUTE(SUBSTITUTE(SUBSTITUTE(D236,CHAR(160),"")," ",""),"_","")</f>
        <v>10.1007%2F978-1-4613-9124-1_Table22</v>
      </c>
      <c r="M236" s="1" t="str">
        <f t="array" ref="M236">IFERROR(INDEX(FileList!$A$1:$A$1000,MATCH(TRUE(),EXACT(L236,IFERROR(_xlfn.TEXTBEFORE(FileList!$A$1:$A$1000,".tsv"),"")),0)),"notfound")</f>
        <v>notfound</v>
      </c>
      <c r="N236" s="3" t="s">
        <v>1285</v>
      </c>
      <c r="Z236" s="3"/>
      <c r="AF236" s="3"/>
      <c r="AG236" s="3"/>
      <c r="AI236" s="3"/>
      <c r="AJ236" s="3"/>
      <c r="AL236" s="3"/>
      <c r="AM236" s="3"/>
    </row>
    <row r="237" spans="1:39" ht="15" customHeight="1" x14ac:dyDescent="0.2">
      <c r="A237" s="3" t="s">
        <v>1271</v>
      </c>
      <c r="C237" s="3"/>
      <c r="D237" s="5" t="s">
        <v>1286</v>
      </c>
      <c r="E237" s="1" t="str">
        <f t="shared" ref="E237" si="120">RIGHT(A237,1)</f>
        <v>1</v>
      </c>
      <c r="F237" s="1" t="str">
        <f t="shared" ref="F237" si="121">G237 &amp; IF(H237&lt;&gt;"", "_" &amp; H237, "_") &amp; IF(I237&lt;&gt;"", "_" &amp; I237, "_") &amp; IF(B237&lt;&gt;"", "_" &amp; B237, "")</f>
        <v>Stephan_etal_1991</v>
      </c>
      <c r="G237" s="1" t="str">
        <f t="shared" ref="G237" si="122">SUBSTITUTE(SUBSTITUTE(_xlfn.TEXTBEFORE(A237,","), "-", ""), " ", "")</f>
        <v>Stephan</v>
      </c>
      <c r="H237" s="1" t="str">
        <f t="shared" ref="H237" si="123">_xlfn.LET(
_xlpm.authors,_xlfn.TEXTBEFORE(A237," ("&amp;I237&amp;")"),
_xlpm.hasAmp,ISNUMBER(SEARCH("&amp;",_xlpm.authors)),
_xlpm.commasBeforeAmp,IF(_xlpm.hasAmp,LEN(_xlfn.TEXTBEFORE(_xlpm.authors,"&amp;"))-LEN(SUBSTITUTE(_xlfn.TEXTBEFORE(_xlpm.authors,"&amp;"),",","")),0),
IF(NOT(_xlpm.hasAmp),"",IF(_xlpm.commasBeforeAmp&gt;2,"etal",TRIM(_xlfn.TEXTBEFORE(_xlfn.TEXTAFTER(_xlpm.authors,"&amp; "),","))))
)</f>
        <v>etal</v>
      </c>
      <c r="I237" s="1" t="str">
        <f t="shared" ref="I237" si="124">_xlfn.TEXTBEFORE(_xlfn.TEXTAFTER(A237, "("), ")")</f>
        <v>1991</v>
      </c>
      <c r="J237" s="1" t="str">
        <f t="shared" ref="J237" si="125">_xlfn.LET(
_xlpm.doi,IF(C237&lt;&gt;"",C237,_xlfn.TEXTAFTER(A237,"https://doi.org/")),
SUBSTITUTE(
SUBSTITUTE(
SUBSTITUTE(
SUBSTITUTE(
_xlpm.doi,
"/","%2F"),
":","%3A"),
"&lt;","%3C"),
"&gt;","%3E")
)</f>
        <v>10.1007%2F978-1-4613-9124-1</v>
      </c>
      <c r="K237" s="1" t="str">
        <f t="shared" ref="K237" si="126">TRIM(_xlfn.TEXTJOIN("_",FALSE(),F237,(SUBSTITUTE(SUBSTITUTE(D237," ",""), "_", ""))))</f>
        <v>Stephan_etal_1991_Table25</v>
      </c>
      <c r="L237" s="1" t="str">
        <f t="shared" ref="L237" si="127">J237 &amp; "_" &amp; SUBSTITUTE(SUBSTITUTE(SUBSTITUTE(D237,CHAR(160),"")," ",""),"_","")</f>
        <v>10.1007%2F978-1-4613-9124-1_Table25</v>
      </c>
      <c r="M237" s="1" t="str">
        <f t="array" ref="M237">IFERROR(INDEX(FileList!$A$1:$A$1000,MATCH(TRUE(),EXACT(L237,IFERROR(_xlfn.TEXTBEFORE(FileList!$A$1:$A$1000,".tsv"),"")),0)),"notfound")</f>
        <v>notfound</v>
      </c>
      <c r="N237" s="3" t="s">
        <v>1287</v>
      </c>
      <c r="Z237" s="3"/>
      <c r="AF237" s="3"/>
      <c r="AG237" s="3"/>
      <c r="AI237" s="3"/>
      <c r="AJ237" s="3"/>
      <c r="AL237" s="3"/>
      <c r="AM237" s="3"/>
    </row>
    <row r="238" spans="1:39" ht="15" customHeight="1" x14ac:dyDescent="0.2">
      <c r="A238" s="3" t="s">
        <v>1271</v>
      </c>
      <c r="C238" s="3"/>
      <c r="D238" s="5" t="s">
        <v>1288</v>
      </c>
      <c r="E238" s="1" t="str">
        <f t="shared" ref="E238" si="128">RIGHT(A238,1)</f>
        <v>1</v>
      </c>
      <c r="F238" s="1" t="str">
        <f t="shared" ref="F238" si="129">G238 &amp; IF(H238&lt;&gt;"", "_" &amp; H238, "_") &amp; IF(I238&lt;&gt;"", "_" &amp; I238, "_") &amp; IF(B238&lt;&gt;"", "_" &amp; B238, "")</f>
        <v>Stephan_etal_1991</v>
      </c>
      <c r="G238" s="1" t="str">
        <f t="shared" ref="G238" si="130">SUBSTITUTE(SUBSTITUTE(_xlfn.TEXTBEFORE(A238,","), "-", ""), " ", "")</f>
        <v>Stephan</v>
      </c>
      <c r="H238" s="1" t="str">
        <f t="shared" ref="H238" si="131">_xlfn.LET(
_xlpm.authors,_xlfn.TEXTBEFORE(A238," ("&amp;I238&amp;")"),
_xlpm.hasAmp,ISNUMBER(SEARCH("&amp;",_xlpm.authors)),
_xlpm.commasBeforeAmp,IF(_xlpm.hasAmp,LEN(_xlfn.TEXTBEFORE(_xlpm.authors,"&amp;"))-LEN(SUBSTITUTE(_xlfn.TEXTBEFORE(_xlpm.authors,"&amp;"),",","")),0),
IF(NOT(_xlpm.hasAmp),"",IF(_xlpm.commasBeforeAmp&gt;2,"etal",TRIM(_xlfn.TEXTBEFORE(_xlfn.TEXTAFTER(_xlpm.authors,"&amp; "),","))))
)</f>
        <v>etal</v>
      </c>
      <c r="I238" s="1" t="str">
        <f t="shared" ref="I238" si="132">_xlfn.TEXTBEFORE(_xlfn.TEXTAFTER(A238, "("), ")")</f>
        <v>1991</v>
      </c>
      <c r="J238" s="1" t="str">
        <f t="shared" ref="J238" si="133">_xlfn.LET(
_xlpm.doi,IF(C238&lt;&gt;"",C238,_xlfn.TEXTAFTER(A238,"https://doi.org/")),
SUBSTITUTE(
SUBSTITUTE(
SUBSTITUTE(
SUBSTITUTE(
_xlpm.doi,
"/","%2F"),
":","%3A"),
"&lt;","%3C"),
"&gt;","%3E")
)</f>
        <v>10.1007%2F978-1-4613-9124-1</v>
      </c>
      <c r="K238" s="1" t="str">
        <f t="shared" ref="K238" si="134">TRIM(_xlfn.TEXTJOIN("_",FALSE(),F238,(SUBSTITUTE(SUBSTITUTE(D238," ",""), "_", ""))))</f>
        <v>Stephan_etal_1991_Table28</v>
      </c>
      <c r="L238" s="1" t="str">
        <f t="shared" ref="L238" si="135">J238 &amp; "_" &amp; SUBSTITUTE(SUBSTITUTE(SUBSTITUTE(D238,CHAR(160),"")," ",""),"_","")</f>
        <v>10.1007%2F978-1-4613-9124-1_Table28</v>
      </c>
      <c r="M238" s="1" t="str">
        <f t="array" ref="M238">IFERROR(INDEX(FileList!$A$1:$A$1000,MATCH(TRUE(),EXACT(L238,IFERROR(_xlfn.TEXTBEFORE(FileList!$A$1:$A$1000,".tsv"),"")),0)),"notfound")</f>
        <v>notfound</v>
      </c>
      <c r="N238" s="3" t="s">
        <v>1289</v>
      </c>
      <c r="Z238" s="3"/>
      <c r="AF238" s="3"/>
      <c r="AG238" s="3"/>
      <c r="AI238" s="3"/>
      <c r="AJ238" s="3"/>
      <c r="AL238" s="3"/>
      <c r="AM238" s="3"/>
    </row>
    <row r="239" spans="1:39" ht="15" customHeight="1" x14ac:dyDescent="0.2">
      <c r="A239" s="3" t="s">
        <v>1271</v>
      </c>
      <c r="C239" s="3"/>
      <c r="D239" s="5" t="s">
        <v>1290</v>
      </c>
      <c r="E239" s="1" t="str">
        <f t="shared" ref="E239" si="136">RIGHT(A239,1)</f>
        <v>1</v>
      </c>
      <c r="F239" s="1" t="str">
        <f t="shared" ref="F239" si="137">G239 &amp; IF(H239&lt;&gt;"", "_" &amp; H239, "_") &amp; IF(I239&lt;&gt;"", "_" &amp; I239, "_") &amp; IF(B239&lt;&gt;"", "_" &amp; B239, "")</f>
        <v>Stephan_etal_1991</v>
      </c>
      <c r="G239" s="1" t="str">
        <f t="shared" ref="G239" si="138">SUBSTITUTE(SUBSTITUTE(_xlfn.TEXTBEFORE(A239,","), "-", ""), " ", "")</f>
        <v>Stephan</v>
      </c>
      <c r="H239" s="1" t="str">
        <f t="shared" ref="H239" si="139">_xlfn.LET(
_xlpm.authors,_xlfn.TEXTBEFORE(A239," ("&amp;I239&amp;")"),
_xlpm.hasAmp,ISNUMBER(SEARCH("&amp;",_xlpm.authors)),
_xlpm.commasBeforeAmp,IF(_xlpm.hasAmp,LEN(_xlfn.TEXTBEFORE(_xlpm.authors,"&amp;"))-LEN(SUBSTITUTE(_xlfn.TEXTBEFORE(_xlpm.authors,"&amp;"),",","")),0),
IF(NOT(_xlpm.hasAmp),"",IF(_xlpm.commasBeforeAmp&gt;2,"etal",TRIM(_xlfn.TEXTBEFORE(_xlfn.TEXTAFTER(_xlpm.authors,"&amp; "),","))))
)</f>
        <v>etal</v>
      </c>
      <c r="I239" s="1" t="str">
        <f t="shared" ref="I239" si="140">_xlfn.TEXTBEFORE(_xlfn.TEXTAFTER(A239, "("), ")")</f>
        <v>1991</v>
      </c>
      <c r="J239" s="1" t="str">
        <f t="shared" ref="J239" si="141">_xlfn.LET(
_xlpm.doi,IF(C239&lt;&gt;"",C239,_xlfn.TEXTAFTER(A239,"https://doi.org/")),
SUBSTITUTE(
SUBSTITUTE(
SUBSTITUTE(
SUBSTITUTE(
_xlpm.doi,
"/","%2F"),
":","%3A"),
"&lt;","%3C"),
"&gt;","%3E")
)</f>
        <v>10.1007%2F978-1-4613-9124-1</v>
      </c>
      <c r="K239" s="1" t="str">
        <f t="shared" ref="K239" si="142">TRIM(_xlfn.TEXTJOIN("_",FALSE(),F239,(SUBSTITUTE(SUBSTITUTE(D239," ",""), "_", ""))))</f>
        <v>Stephan_etal_1991_Table31</v>
      </c>
      <c r="L239" s="1" t="str">
        <f t="shared" ref="L239" si="143">J239 &amp; "_" &amp; SUBSTITUTE(SUBSTITUTE(SUBSTITUTE(D239,CHAR(160),"")," ",""),"_","")</f>
        <v>10.1007%2F978-1-4613-9124-1_Table31</v>
      </c>
      <c r="M239" s="1" t="str">
        <f t="array" ref="M239">IFERROR(INDEX(FileList!$A$1:$A$1000,MATCH(TRUE(),EXACT(L239,IFERROR(_xlfn.TEXTBEFORE(FileList!$A$1:$A$1000,".tsv"),"")),0)),"notfound")</f>
        <v>notfound</v>
      </c>
      <c r="N239" s="3" t="s">
        <v>1291</v>
      </c>
      <c r="Z239" s="3"/>
      <c r="AF239" s="3"/>
      <c r="AG239" s="3"/>
      <c r="AI239" s="3"/>
      <c r="AJ239" s="3"/>
      <c r="AL239" s="3"/>
      <c r="AM239" s="3"/>
    </row>
    <row r="240" spans="1:39" ht="15" customHeight="1" x14ac:dyDescent="0.2">
      <c r="A240" s="3" t="s">
        <v>1271</v>
      </c>
      <c r="C240" s="3"/>
      <c r="D240" s="5" t="s">
        <v>1292</v>
      </c>
      <c r="E240" s="1" t="str">
        <f t="shared" ref="E240" si="144">RIGHT(A240,1)</f>
        <v>1</v>
      </c>
      <c r="F240" s="1" t="str">
        <f t="shared" ref="F240" si="145">G240 &amp; IF(H240&lt;&gt;"", "_" &amp; H240, "_") &amp; IF(I240&lt;&gt;"", "_" &amp; I240, "_") &amp; IF(B240&lt;&gt;"", "_" &amp; B240, "")</f>
        <v>Stephan_etal_1991</v>
      </c>
      <c r="G240" s="1" t="str">
        <f t="shared" ref="G240" si="146">SUBSTITUTE(SUBSTITUTE(_xlfn.TEXTBEFORE(A240,","), "-", ""), " ", "")</f>
        <v>Stephan</v>
      </c>
      <c r="H240" s="1" t="str">
        <f t="shared" ref="H240" si="147">_xlfn.LET(
_xlpm.authors,_xlfn.TEXTBEFORE(A240," ("&amp;I240&amp;")"),
_xlpm.hasAmp,ISNUMBER(SEARCH("&amp;",_xlpm.authors)),
_xlpm.commasBeforeAmp,IF(_xlpm.hasAmp,LEN(_xlfn.TEXTBEFORE(_xlpm.authors,"&amp;"))-LEN(SUBSTITUTE(_xlfn.TEXTBEFORE(_xlpm.authors,"&amp;"),",","")),0),
IF(NOT(_xlpm.hasAmp),"",IF(_xlpm.commasBeforeAmp&gt;2,"etal",TRIM(_xlfn.TEXTBEFORE(_xlfn.TEXTAFTER(_xlpm.authors,"&amp; "),","))))
)</f>
        <v>etal</v>
      </c>
      <c r="I240" s="1" t="str">
        <f t="shared" ref="I240" si="148">_xlfn.TEXTBEFORE(_xlfn.TEXTAFTER(A240, "("), ")")</f>
        <v>1991</v>
      </c>
      <c r="J240" s="1" t="str">
        <f t="shared" ref="J240" si="149">_xlfn.LET(
_xlpm.doi,IF(C240&lt;&gt;"",C240,_xlfn.TEXTAFTER(A240,"https://doi.org/")),
SUBSTITUTE(
SUBSTITUTE(
SUBSTITUTE(
SUBSTITUTE(
_xlpm.doi,
"/","%2F"),
":","%3A"),
"&lt;","%3C"),
"&gt;","%3E")
)</f>
        <v>10.1007%2F978-1-4613-9124-1</v>
      </c>
      <c r="K240" s="1" t="str">
        <f t="shared" ref="K240" si="150">TRIM(_xlfn.TEXTJOIN("_",FALSE(),F240,(SUBSTITUTE(SUBSTITUTE(D240," ",""), "_", ""))))</f>
        <v>Stephan_etal_1991_Table34</v>
      </c>
      <c r="L240" s="1" t="str">
        <f t="shared" ref="L240" si="151">J240 &amp; "_" &amp; SUBSTITUTE(SUBSTITUTE(SUBSTITUTE(D240,CHAR(160),"")," ",""),"_","")</f>
        <v>10.1007%2F978-1-4613-9124-1_Table34</v>
      </c>
      <c r="M240" s="1" t="str">
        <f t="array" ref="M240">IFERROR(INDEX(FileList!$A$1:$A$1000,MATCH(TRUE(),EXACT(L240,IFERROR(_xlfn.TEXTBEFORE(FileList!$A$1:$A$1000,".tsv"),"")),0)),"notfound")</f>
        <v>notfound</v>
      </c>
      <c r="N240" s="3" t="s">
        <v>1293</v>
      </c>
      <c r="Z240" s="3"/>
      <c r="AF240" s="3"/>
      <c r="AG240" s="3"/>
      <c r="AI240" s="3"/>
      <c r="AJ240" s="3"/>
      <c r="AL240" s="3"/>
      <c r="AM240" s="3"/>
    </row>
    <row r="241" spans="1:39" ht="15" customHeight="1" x14ac:dyDescent="0.2">
      <c r="A241" s="3" t="s">
        <v>1271</v>
      </c>
      <c r="C241" s="3"/>
      <c r="D241" s="5" t="s">
        <v>1294</v>
      </c>
      <c r="E241" s="1" t="str">
        <f t="shared" ref="E241:E242" si="152">RIGHT(A241,1)</f>
        <v>1</v>
      </c>
      <c r="F241" s="1" t="str">
        <f t="shared" ref="F241:F242" si="153">G241 &amp; IF(H241&lt;&gt;"", "_" &amp; H241, "_") &amp; IF(I241&lt;&gt;"", "_" &amp; I241, "_") &amp; IF(B241&lt;&gt;"", "_" &amp; B241, "")</f>
        <v>Stephan_etal_1991</v>
      </c>
      <c r="G241" s="1" t="str">
        <f t="shared" ref="G241:G242" si="154">SUBSTITUTE(SUBSTITUTE(_xlfn.TEXTBEFORE(A241,","), "-", ""), " ", "")</f>
        <v>Stephan</v>
      </c>
      <c r="H241" s="1" t="str">
        <f t="shared" ref="H241:H242" si="155">_xlfn.LET(
_xlpm.authors,_xlfn.TEXTBEFORE(A241," ("&amp;I241&amp;")"),
_xlpm.hasAmp,ISNUMBER(SEARCH("&amp;",_xlpm.authors)),
_xlpm.commasBeforeAmp,IF(_xlpm.hasAmp,LEN(_xlfn.TEXTBEFORE(_xlpm.authors,"&amp;"))-LEN(SUBSTITUTE(_xlfn.TEXTBEFORE(_xlpm.authors,"&amp;"),",","")),0),
IF(NOT(_xlpm.hasAmp),"",IF(_xlpm.commasBeforeAmp&gt;2,"etal",TRIM(_xlfn.TEXTBEFORE(_xlfn.TEXTAFTER(_xlpm.authors,"&amp; "),","))))
)</f>
        <v>etal</v>
      </c>
      <c r="I241" s="1" t="str">
        <f t="shared" ref="I241:I242" si="156">_xlfn.TEXTBEFORE(_xlfn.TEXTAFTER(A241, "("), ")")</f>
        <v>1991</v>
      </c>
      <c r="J241" s="1" t="str">
        <f t="shared" ref="J241:J242" si="157">_xlfn.LET(
_xlpm.doi,IF(C241&lt;&gt;"",C241,_xlfn.TEXTAFTER(A241,"https://doi.org/")),
SUBSTITUTE(
SUBSTITUTE(
SUBSTITUTE(
SUBSTITUTE(
_xlpm.doi,
"/","%2F"),
":","%3A"),
"&lt;","%3C"),
"&gt;","%3E")
)</f>
        <v>10.1007%2F978-1-4613-9124-1</v>
      </c>
      <c r="K241" s="1" t="str">
        <f t="shared" ref="K241:K242" si="158">TRIM(_xlfn.TEXTJOIN("_",FALSE(),F241,(SUBSTITUTE(SUBSTITUTE(D241," ",""), "_", ""))))</f>
        <v>Stephan_etal_1991_Table37</v>
      </c>
      <c r="L241" s="1" t="str">
        <f t="shared" ref="L241:L242" si="159">J241 &amp; "_" &amp; SUBSTITUTE(SUBSTITUTE(SUBSTITUTE(D241,CHAR(160),"")," ",""),"_","")</f>
        <v>10.1007%2F978-1-4613-9124-1_Table37</v>
      </c>
      <c r="M241" s="1" t="str">
        <f t="array" ref="M241">IFERROR(INDEX(FileList!$A$1:$A$1000,MATCH(TRUE(),EXACT(L241,IFERROR(_xlfn.TEXTBEFORE(FileList!$A$1:$A$1000,".tsv"),"")),0)),"notfound")</f>
        <v>notfound</v>
      </c>
      <c r="N241" s="3" t="s">
        <v>1295</v>
      </c>
      <c r="Z241" s="3"/>
      <c r="AF241" s="3"/>
      <c r="AG241" s="3"/>
      <c r="AI241" s="3"/>
      <c r="AJ241" s="3"/>
      <c r="AL241" s="3"/>
      <c r="AM241" s="3"/>
    </row>
    <row r="242" spans="1:39" ht="15" customHeight="1" x14ac:dyDescent="0.2">
      <c r="A242" s="3" t="s">
        <v>1271</v>
      </c>
      <c r="C242" s="3"/>
      <c r="D242" s="5" t="s">
        <v>1297</v>
      </c>
      <c r="E242" s="1" t="str">
        <f t="shared" si="152"/>
        <v>1</v>
      </c>
      <c r="F242" s="1" t="str">
        <f t="shared" si="153"/>
        <v>Stephan_etal_1991</v>
      </c>
      <c r="G242" s="1" t="str">
        <f t="shared" si="154"/>
        <v>Stephan</v>
      </c>
      <c r="H242" s="1" t="str">
        <f t="shared" si="155"/>
        <v>etal</v>
      </c>
      <c r="I242" s="1" t="str">
        <f t="shared" si="156"/>
        <v>1991</v>
      </c>
      <c r="J242" s="1" t="str">
        <f t="shared" si="157"/>
        <v>10.1007%2F978-1-4613-9124-1</v>
      </c>
      <c r="K242" s="1" t="str">
        <f t="shared" si="158"/>
        <v>Stephan_etal_1991_Table40</v>
      </c>
      <c r="L242" s="1" t="str">
        <f t="shared" si="159"/>
        <v>10.1007%2F978-1-4613-9124-1_Table40</v>
      </c>
      <c r="M242" s="1" t="str">
        <f t="array" ref="M242">IFERROR(INDEX(FileList!$A$1:$A$1000,MATCH(TRUE(),EXACT(L242,IFERROR(_xlfn.TEXTBEFORE(FileList!$A$1:$A$1000,".tsv"),"")),0)),"notfound")</f>
        <v>notfound</v>
      </c>
      <c r="N242" s="3" t="s">
        <v>1296</v>
      </c>
      <c r="Z242" s="3"/>
      <c r="AF242" s="3"/>
      <c r="AG242" s="3"/>
      <c r="AI242" s="3"/>
      <c r="AJ242" s="3"/>
      <c r="AL242" s="3"/>
      <c r="AM242" s="3"/>
    </row>
    <row r="243" spans="1:39" ht="15" customHeight="1" x14ac:dyDescent="0.2">
      <c r="A243" s="3" t="s">
        <v>1271</v>
      </c>
      <c r="C243" s="3"/>
      <c r="D243" s="5" t="s">
        <v>1298</v>
      </c>
      <c r="E243" s="1" t="str">
        <f t="shared" ref="E243" si="160">RIGHT(A243,1)</f>
        <v>1</v>
      </c>
      <c r="F243" s="1" t="str">
        <f t="shared" ref="F243" si="161">G243 &amp; IF(H243&lt;&gt;"", "_" &amp; H243, "_") &amp; IF(I243&lt;&gt;"", "_" &amp; I243, "_") &amp; IF(B243&lt;&gt;"", "_" &amp; B243, "")</f>
        <v>Stephan_etal_1991</v>
      </c>
      <c r="G243" s="1" t="str">
        <f t="shared" ref="G243" si="162">SUBSTITUTE(SUBSTITUTE(_xlfn.TEXTBEFORE(A243,","), "-", ""), " ", "")</f>
        <v>Stephan</v>
      </c>
      <c r="H243" s="1" t="str">
        <f t="shared" ref="H243" si="163">_xlfn.LET(
_xlpm.authors,_xlfn.TEXTBEFORE(A243," ("&amp;I243&amp;")"),
_xlpm.hasAmp,ISNUMBER(SEARCH("&amp;",_xlpm.authors)),
_xlpm.commasBeforeAmp,IF(_xlpm.hasAmp,LEN(_xlfn.TEXTBEFORE(_xlpm.authors,"&amp;"))-LEN(SUBSTITUTE(_xlfn.TEXTBEFORE(_xlpm.authors,"&amp;"),",","")),0),
IF(NOT(_xlpm.hasAmp),"",IF(_xlpm.commasBeforeAmp&gt;2,"etal",TRIM(_xlfn.TEXTBEFORE(_xlfn.TEXTAFTER(_xlpm.authors,"&amp; "),","))))
)</f>
        <v>etal</v>
      </c>
      <c r="I243" s="1" t="str">
        <f t="shared" ref="I243" si="164">_xlfn.TEXTBEFORE(_xlfn.TEXTAFTER(A243, "("), ")")</f>
        <v>1991</v>
      </c>
      <c r="J243" s="1" t="str">
        <f t="shared" ref="J243" si="165">_xlfn.LET(
_xlpm.doi,IF(C243&lt;&gt;"",C243,_xlfn.TEXTAFTER(A243,"https://doi.org/")),
SUBSTITUTE(
SUBSTITUTE(
SUBSTITUTE(
SUBSTITUTE(
_xlpm.doi,
"/","%2F"),
":","%3A"),
"&lt;","%3C"),
"&gt;","%3E")
)</f>
        <v>10.1007%2F978-1-4613-9124-1</v>
      </c>
      <c r="K243" s="1" t="str">
        <f t="shared" ref="K243" si="166">TRIM(_xlfn.TEXTJOIN("_",FALSE(),F243,(SUBSTITUTE(SUBSTITUTE(D243," ",""), "_", ""))))</f>
        <v>Stephan_etal_1991_Table43</v>
      </c>
      <c r="L243" s="1" t="str">
        <f t="shared" ref="L243" si="167">J243 &amp; "_" &amp; SUBSTITUTE(SUBSTITUTE(SUBSTITUTE(D243,CHAR(160),"")," ",""),"_","")</f>
        <v>10.1007%2F978-1-4613-9124-1_Table43</v>
      </c>
      <c r="M243" s="1" t="str">
        <f t="array" ref="M243">IFERROR(INDEX(FileList!$A$1:$A$1000,MATCH(TRUE(),EXACT(L243,IFERROR(_xlfn.TEXTBEFORE(FileList!$A$1:$A$1000,".tsv"),"")),0)),"notfound")</f>
        <v>notfound</v>
      </c>
      <c r="N243" s="3" t="s">
        <v>1299</v>
      </c>
      <c r="Z243" s="3"/>
      <c r="AF243" s="3"/>
      <c r="AG243" s="3"/>
      <c r="AI243" s="3"/>
      <c r="AJ243" s="3"/>
      <c r="AL243" s="3"/>
      <c r="AM243" s="3"/>
    </row>
    <row r="244" spans="1:39" ht="15" customHeight="1" x14ac:dyDescent="0.2">
      <c r="A244" s="3" t="s">
        <v>1271</v>
      </c>
      <c r="C244" s="3"/>
      <c r="D244" s="5" t="s">
        <v>1300</v>
      </c>
      <c r="E244" s="1" t="str">
        <f t="shared" ref="E244" si="168">RIGHT(A244,1)</f>
        <v>1</v>
      </c>
      <c r="F244" s="1" t="str">
        <f t="shared" ref="F244" si="169">G244 &amp; IF(H244&lt;&gt;"", "_" &amp; H244, "_") &amp; IF(I244&lt;&gt;"", "_" &amp; I244, "_") &amp; IF(B244&lt;&gt;"", "_" &amp; B244, "")</f>
        <v>Stephan_etal_1991</v>
      </c>
      <c r="G244" s="1" t="str">
        <f t="shared" ref="G244" si="170">SUBSTITUTE(SUBSTITUTE(_xlfn.TEXTBEFORE(A244,","), "-", ""), " ", "")</f>
        <v>Stephan</v>
      </c>
      <c r="H244" s="1" t="str">
        <f t="shared" ref="H244" si="171">_xlfn.LET(
_xlpm.authors,_xlfn.TEXTBEFORE(A244," ("&amp;I244&amp;")"),
_xlpm.hasAmp,ISNUMBER(SEARCH("&amp;",_xlpm.authors)),
_xlpm.commasBeforeAmp,IF(_xlpm.hasAmp,LEN(_xlfn.TEXTBEFORE(_xlpm.authors,"&amp;"))-LEN(SUBSTITUTE(_xlfn.TEXTBEFORE(_xlpm.authors,"&amp;"),",","")),0),
IF(NOT(_xlpm.hasAmp),"",IF(_xlpm.commasBeforeAmp&gt;2,"etal",TRIM(_xlfn.TEXTBEFORE(_xlfn.TEXTAFTER(_xlpm.authors,"&amp; "),","))))
)</f>
        <v>etal</v>
      </c>
      <c r="I244" s="1" t="str">
        <f t="shared" ref="I244" si="172">_xlfn.TEXTBEFORE(_xlfn.TEXTAFTER(A244, "("), ")")</f>
        <v>1991</v>
      </c>
      <c r="J244" s="1" t="str">
        <f t="shared" ref="J244" si="173">_xlfn.LET(
_xlpm.doi,IF(C244&lt;&gt;"",C244,_xlfn.TEXTAFTER(A244,"https://doi.org/")),
SUBSTITUTE(
SUBSTITUTE(
SUBSTITUTE(
SUBSTITUTE(
_xlpm.doi,
"/","%2F"),
":","%3A"),
"&lt;","%3C"),
"&gt;","%3E")
)</f>
        <v>10.1007%2F978-1-4613-9124-1</v>
      </c>
      <c r="K244" s="1" t="str">
        <f t="shared" ref="K244" si="174">TRIM(_xlfn.TEXTJOIN("_",FALSE(),F244,(SUBSTITUTE(SUBSTITUTE(D244," ",""), "_", ""))))</f>
        <v>Stephan_etal_1991_Table46</v>
      </c>
      <c r="L244" s="1" t="str">
        <f t="shared" ref="L244" si="175">J244 &amp; "_" &amp; SUBSTITUTE(SUBSTITUTE(SUBSTITUTE(D244,CHAR(160),"")," ",""),"_","")</f>
        <v>10.1007%2F978-1-4613-9124-1_Table46</v>
      </c>
      <c r="M244" s="1" t="str">
        <f t="array" ref="M244">IFERROR(INDEX(FileList!$A$1:$A$1000,MATCH(TRUE(),EXACT(L244,IFERROR(_xlfn.TEXTBEFORE(FileList!$A$1:$A$1000,".tsv"),"")),0)),"notfound")</f>
        <v>notfound</v>
      </c>
      <c r="N244" s="3" t="s">
        <v>1301</v>
      </c>
      <c r="Z244" s="3"/>
      <c r="AF244" s="3"/>
      <c r="AG244" s="3"/>
      <c r="AI244" s="3"/>
      <c r="AJ244" s="3"/>
      <c r="AL244" s="3"/>
      <c r="AM244" s="3"/>
    </row>
    <row r="245" spans="1:39" ht="15" customHeight="1" x14ac:dyDescent="0.2">
      <c r="A245" s="3" t="s">
        <v>1271</v>
      </c>
      <c r="C245" s="3"/>
      <c r="D245" s="5" t="s">
        <v>1302</v>
      </c>
      <c r="E245" s="1" t="str">
        <f t="shared" ref="E245" si="176">RIGHT(A245,1)</f>
        <v>1</v>
      </c>
      <c r="F245" s="1" t="str">
        <f t="shared" ref="F245" si="177">G245 &amp; IF(H245&lt;&gt;"", "_" &amp; H245, "_") &amp; IF(I245&lt;&gt;"", "_" &amp; I245, "_") &amp; IF(B245&lt;&gt;"", "_" &amp; B245, "")</f>
        <v>Stephan_etal_1991</v>
      </c>
      <c r="G245" s="1" t="str">
        <f t="shared" ref="G245" si="178">SUBSTITUTE(SUBSTITUTE(_xlfn.TEXTBEFORE(A245,","), "-", ""), " ", "")</f>
        <v>Stephan</v>
      </c>
      <c r="H245" s="1" t="str">
        <f t="shared" ref="H245" si="179">_xlfn.LET(
_xlpm.authors,_xlfn.TEXTBEFORE(A245," ("&amp;I245&amp;")"),
_xlpm.hasAmp,ISNUMBER(SEARCH("&amp;",_xlpm.authors)),
_xlpm.commasBeforeAmp,IF(_xlpm.hasAmp,LEN(_xlfn.TEXTBEFORE(_xlpm.authors,"&amp;"))-LEN(SUBSTITUTE(_xlfn.TEXTBEFORE(_xlpm.authors,"&amp;"),",","")),0),
IF(NOT(_xlpm.hasAmp),"",IF(_xlpm.commasBeforeAmp&gt;2,"etal",TRIM(_xlfn.TEXTBEFORE(_xlfn.TEXTAFTER(_xlpm.authors,"&amp; "),","))))
)</f>
        <v>etal</v>
      </c>
      <c r="I245" s="1" t="str">
        <f t="shared" ref="I245" si="180">_xlfn.TEXTBEFORE(_xlfn.TEXTAFTER(A245, "("), ")")</f>
        <v>1991</v>
      </c>
      <c r="J245" s="1" t="str">
        <f t="shared" ref="J245" si="181">_xlfn.LET(
_xlpm.doi,IF(C245&lt;&gt;"",C245,_xlfn.TEXTAFTER(A245,"https://doi.org/")),
SUBSTITUTE(
SUBSTITUTE(
SUBSTITUTE(
SUBSTITUTE(
_xlpm.doi,
"/","%2F"),
":","%3A"),
"&lt;","%3C"),
"&gt;","%3E")
)</f>
        <v>10.1007%2F978-1-4613-9124-1</v>
      </c>
      <c r="K245" s="1" t="str">
        <f t="shared" ref="K245" si="182">TRIM(_xlfn.TEXTJOIN("_",FALSE(),F245,(SUBSTITUTE(SUBSTITUTE(D245," ",""), "_", ""))))</f>
        <v>Stephan_etal_1991_Table49</v>
      </c>
      <c r="L245" s="1" t="str">
        <f t="shared" ref="L245" si="183">J245 &amp; "_" &amp; SUBSTITUTE(SUBSTITUTE(SUBSTITUTE(D245,CHAR(160),"")," ",""),"_","")</f>
        <v>10.1007%2F978-1-4613-9124-1_Table49</v>
      </c>
      <c r="M245" s="1" t="str">
        <f t="array" ref="M245">IFERROR(INDEX(FileList!$A$1:$A$1000,MATCH(TRUE(),EXACT(L245,IFERROR(_xlfn.TEXTBEFORE(FileList!$A$1:$A$1000,".tsv"),"")),0)),"notfound")</f>
        <v>notfound</v>
      </c>
      <c r="N245" s="3" t="s">
        <v>1303</v>
      </c>
      <c r="Z245" s="3"/>
      <c r="AF245" s="3"/>
      <c r="AG245" s="3"/>
      <c r="AI245" s="3"/>
      <c r="AJ245" s="3"/>
      <c r="AL245" s="3"/>
      <c r="AM245" s="3"/>
    </row>
    <row r="246" spans="1:39" ht="15" customHeight="1" x14ac:dyDescent="0.2">
      <c r="A246" s="3" t="s">
        <v>1271</v>
      </c>
      <c r="C246" s="3"/>
      <c r="D246" s="5" t="s">
        <v>1304</v>
      </c>
      <c r="E246" s="1" t="str">
        <f t="shared" ref="E246" si="184">RIGHT(A246,1)</f>
        <v>1</v>
      </c>
      <c r="F246" s="1" t="str">
        <f t="shared" ref="F246" si="185">G246 &amp; IF(H246&lt;&gt;"", "_" &amp; H246, "_") &amp; IF(I246&lt;&gt;"", "_" &amp; I246, "_") &amp; IF(B246&lt;&gt;"", "_" &amp; B246, "")</f>
        <v>Stephan_etal_1991</v>
      </c>
      <c r="G246" s="1" t="str">
        <f t="shared" ref="G246" si="186">SUBSTITUTE(SUBSTITUTE(_xlfn.TEXTBEFORE(A246,","), "-", ""), " ", "")</f>
        <v>Stephan</v>
      </c>
      <c r="H246" s="1" t="str">
        <f t="shared" ref="H246" si="187">_xlfn.LET(
_xlpm.authors,_xlfn.TEXTBEFORE(A246," ("&amp;I246&amp;")"),
_xlpm.hasAmp,ISNUMBER(SEARCH("&amp;",_xlpm.authors)),
_xlpm.commasBeforeAmp,IF(_xlpm.hasAmp,LEN(_xlfn.TEXTBEFORE(_xlpm.authors,"&amp;"))-LEN(SUBSTITUTE(_xlfn.TEXTBEFORE(_xlpm.authors,"&amp;"),",","")),0),
IF(NOT(_xlpm.hasAmp),"",IF(_xlpm.commasBeforeAmp&gt;2,"etal",TRIM(_xlfn.TEXTBEFORE(_xlfn.TEXTAFTER(_xlpm.authors,"&amp; "),","))))
)</f>
        <v>etal</v>
      </c>
      <c r="I246" s="1" t="str">
        <f t="shared" ref="I246" si="188">_xlfn.TEXTBEFORE(_xlfn.TEXTAFTER(A246, "("), ")")</f>
        <v>1991</v>
      </c>
      <c r="J246" s="1" t="str">
        <f t="shared" ref="J246" si="189">_xlfn.LET(
_xlpm.doi,IF(C246&lt;&gt;"",C246,_xlfn.TEXTAFTER(A246,"https://doi.org/")),
SUBSTITUTE(
SUBSTITUTE(
SUBSTITUTE(
SUBSTITUTE(
_xlpm.doi,
"/","%2F"),
":","%3A"),
"&lt;","%3C"),
"&gt;","%3E")
)</f>
        <v>10.1007%2F978-1-4613-9124-1</v>
      </c>
      <c r="K246" s="1" t="str">
        <f t="shared" ref="K246" si="190">TRIM(_xlfn.TEXTJOIN("_",FALSE(),F246,(SUBSTITUTE(SUBSTITUTE(D246," ",""), "_", ""))))</f>
        <v>Stephan_etal_1991_Table52</v>
      </c>
      <c r="L246" s="1" t="str">
        <f t="shared" ref="L246" si="191">J246 &amp; "_" &amp; SUBSTITUTE(SUBSTITUTE(SUBSTITUTE(D246,CHAR(160),"")," ",""),"_","")</f>
        <v>10.1007%2F978-1-4613-9124-1_Table52</v>
      </c>
      <c r="M246" s="1" t="str">
        <f t="array" ref="M246">IFERROR(INDEX(FileList!$A$1:$A$1000,MATCH(TRUE(),EXACT(L246,IFERROR(_xlfn.TEXTBEFORE(FileList!$A$1:$A$1000,".tsv"),"")),0)),"notfound")</f>
        <v>notfound</v>
      </c>
      <c r="N246" s="3" t="s">
        <v>1305</v>
      </c>
      <c r="Z246" s="3"/>
      <c r="AF246" s="3"/>
      <c r="AG246" s="3"/>
      <c r="AI246" s="3"/>
      <c r="AJ246" s="3"/>
      <c r="AL246" s="3"/>
      <c r="AM246" s="3"/>
    </row>
    <row r="247" spans="1:39" ht="15" customHeight="1" x14ac:dyDescent="0.2">
      <c r="A247" s="3" t="s">
        <v>1271</v>
      </c>
      <c r="C247" s="3"/>
      <c r="D247" s="5" t="s">
        <v>1306</v>
      </c>
      <c r="E247" s="1" t="str">
        <f t="shared" ref="E247" si="192">RIGHT(A247,1)</f>
        <v>1</v>
      </c>
      <c r="F247" s="1" t="str">
        <f t="shared" ref="F247" si="193">G247 &amp; IF(H247&lt;&gt;"", "_" &amp; H247, "_") &amp; IF(I247&lt;&gt;"", "_" &amp; I247, "_") &amp; IF(B247&lt;&gt;"", "_" &amp; B247, "")</f>
        <v>Stephan_etal_1991</v>
      </c>
      <c r="G247" s="1" t="str">
        <f t="shared" ref="G247" si="194">SUBSTITUTE(SUBSTITUTE(_xlfn.TEXTBEFORE(A247,","), "-", ""), " ", "")</f>
        <v>Stephan</v>
      </c>
      <c r="H247" s="1" t="str">
        <f t="shared" ref="H247" si="195">_xlfn.LET(
_xlpm.authors,_xlfn.TEXTBEFORE(A247," ("&amp;I247&amp;")"),
_xlpm.hasAmp,ISNUMBER(SEARCH("&amp;",_xlpm.authors)),
_xlpm.commasBeforeAmp,IF(_xlpm.hasAmp,LEN(_xlfn.TEXTBEFORE(_xlpm.authors,"&amp;"))-LEN(SUBSTITUTE(_xlfn.TEXTBEFORE(_xlpm.authors,"&amp;"),",","")),0),
IF(NOT(_xlpm.hasAmp),"",IF(_xlpm.commasBeforeAmp&gt;2,"etal",TRIM(_xlfn.TEXTBEFORE(_xlfn.TEXTAFTER(_xlpm.authors,"&amp; "),","))))
)</f>
        <v>etal</v>
      </c>
      <c r="I247" s="1" t="str">
        <f t="shared" ref="I247" si="196">_xlfn.TEXTBEFORE(_xlfn.TEXTAFTER(A247, "("), ")")</f>
        <v>1991</v>
      </c>
      <c r="J247" s="1" t="str">
        <f t="shared" ref="J247" si="197">_xlfn.LET(
_xlpm.doi,IF(C247&lt;&gt;"",C247,_xlfn.TEXTAFTER(A247,"https://doi.org/")),
SUBSTITUTE(
SUBSTITUTE(
SUBSTITUTE(
SUBSTITUTE(
_xlpm.doi,
"/","%2F"),
":","%3A"),
"&lt;","%3C"),
"&gt;","%3E")
)</f>
        <v>10.1007%2F978-1-4613-9124-1</v>
      </c>
      <c r="K247" s="1" t="str">
        <f t="shared" ref="K247" si="198">TRIM(_xlfn.TEXTJOIN("_",FALSE(),F247,(SUBSTITUTE(SUBSTITUTE(D247," ",""), "_", ""))))</f>
        <v>Stephan_etal_1991_Table55</v>
      </c>
      <c r="L247" s="1" t="str">
        <f t="shared" ref="L247" si="199">J247 &amp; "_" &amp; SUBSTITUTE(SUBSTITUTE(SUBSTITUTE(D247,CHAR(160),"")," ",""),"_","")</f>
        <v>10.1007%2F978-1-4613-9124-1_Table55</v>
      </c>
      <c r="M247" s="1" t="str">
        <f t="array" ref="M247">IFERROR(INDEX(FileList!$A$1:$A$1000,MATCH(TRUE(),EXACT(L247,IFERROR(_xlfn.TEXTBEFORE(FileList!$A$1:$A$1000,".tsv"),"")),0)),"notfound")</f>
        <v>notfound</v>
      </c>
      <c r="N247" s="3" t="s">
        <v>1307</v>
      </c>
      <c r="Z247" s="3"/>
      <c r="AF247" s="3"/>
      <c r="AG247" s="3"/>
      <c r="AI247" s="3"/>
      <c r="AJ247" s="3"/>
      <c r="AL247" s="3"/>
      <c r="AM247" s="3"/>
    </row>
    <row r="248" spans="1:39" ht="15" customHeight="1" x14ac:dyDescent="0.2">
      <c r="A248" s="3" t="s">
        <v>1271</v>
      </c>
      <c r="C248" s="3"/>
      <c r="D248" s="5" t="s">
        <v>1309</v>
      </c>
      <c r="E248" s="1" t="str">
        <f t="shared" ref="E248" si="200">RIGHT(A248,1)</f>
        <v>1</v>
      </c>
      <c r="F248" s="1" t="str">
        <f t="shared" ref="F248" si="201">G248 &amp; IF(H248&lt;&gt;"", "_" &amp; H248, "_") &amp; IF(I248&lt;&gt;"", "_" &amp; I248, "_") &amp; IF(B248&lt;&gt;"", "_" &amp; B248, "")</f>
        <v>Stephan_etal_1991</v>
      </c>
      <c r="G248" s="1" t="str">
        <f t="shared" ref="G248" si="202">SUBSTITUTE(SUBSTITUTE(_xlfn.TEXTBEFORE(A248,","), "-", ""), " ", "")</f>
        <v>Stephan</v>
      </c>
      <c r="H248" s="1" t="str">
        <f t="shared" ref="H248" si="203">_xlfn.LET(
_xlpm.authors,_xlfn.TEXTBEFORE(A248," ("&amp;I248&amp;")"),
_xlpm.hasAmp,ISNUMBER(SEARCH("&amp;",_xlpm.authors)),
_xlpm.commasBeforeAmp,IF(_xlpm.hasAmp,LEN(_xlfn.TEXTBEFORE(_xlpm.authors,"&amp;"))-LEN(SUBSTITUTE(_xlfn.TEXTBEFORE(_xlpm.authors,"&amp;"),",","")),0),
IF(NOT(_xlpm.hasAmp),"",IF(_xlpm.commasBeforeAmp&gt;2,"etal",TRIM(_xlfn.TEXTBEFORE(_xlfn.TEXTAFTER(_xlpm.authors,"&amp; "),","))))
)</f>
        <v>etal</v>
      </c>
      <c r="I248" s="1" t="str">
        <f t="shared" ref="I248" si="204">_xlfn.TEXTBEFORE(_xlfn.TEXTAFTER(A248, "("), ")")</f>
        <v>1991</v>
      </c>
      <c r="J248" s="1" t="str">
        <f t="shared" ref="J248" si="205">_xlfn.LET(
_xlpm.doi,IF(C248&lt;&gt;"",C248,_xlfn.TEXTAFTER(A248,"https://doi.org/")),
SUBSTITUTE(
SUBSTITUTE(
SUBSTITUTE(
SUBSTITUTE(
_xlpm.doi,
"/","%2F"),
":","%3A"),
"&lt;","%3C"),
"&gt;","%3E")
)</f>
        <v>10.1007%2F978-1-4613-9124-1</v>
      </c>
      <c r="K248" s="1" t="str">
        <f t="shared" ref="K248" si="206">TRIM(_xlfn.TEXTJOIN("_",FALSE(),F248,(SUBSTITUTE(SUBSTITUTE(D248," ",""), "_", ""))))</f>
        <v>Stephan_etal_1991_Table58</v>
      </c>
      <c r="L248" s="1" t="str">
        <f t="shared" ref="L248" si="207">J248 &amp; "_" &amp; SUBSTITUTE(SUBSTITUTE(SUBSTITUTE(D248,CHAR(160),"")," ",""),"_","")</f>
        <v>10.1007%2F978-1-4613-9124-1_Table58</v>
      </c>
      <c r="M248" s="1" t="str">
        <f t="array" ref="M248">IFERROR(INDEX(FileList!$A$1:$A$1000,MATCH(TRUE(),EXACT(L248,IFERROR(_xlfn.TEXTBEFORE(FileList!$A$1:$A$1000,".tsv"),"")),0)),"notfound")</f>
        <v>notfound</v>
      </c>
      <c r="N248" s="3" t="s">
        <v>1308</v>
      </c>
      <c r="Z248" s="3"/>
      <c r="AF248" s="3"/>
      <c r="AG248" s="3"/>
      <c r="AI248" s="3"/>
      <c r="AJ248" s="3"/>
      <c r="AL248" s="3"/>
      <c r="AM248" s="3"/>
    </row>
    <row r="249" spans="1:39" ht="15" customHeight="1" x14ac:dyDescent="0.2">
      <c r="A249" s="3" t="s">
        <v>1271</v>
      </c>
      <c r="C249" s="3"/>
      <c r="D249" s="5" t="s">
        <v>1310</v>
      </c>
      <c r="E249" s="1" t="str">
        <f t="shared" ref="E249" si="208">RIGHT(A249,1)</f>
        <v>1</v>
      </c>
      <c r="F249" s="1" t="str">
        <f t="shared" ref="F249" si="209">G249 &amp; IF(H249&lt;&gt;"", "_" &amp; H249, "_") &amp; IF(I249&lt;&gt;"", "_" &amp; I249, "_") &amp; IF(B249&lt;&gt;"", "_" &amp; B249, "")</f>
        <v>Stephan_etal_1991</v>
      </c>
      <c r="G249" s="1" t="str">
        <f t="shared" ref="G249" si="210">SUBSTITUTE(SUBSTITUTE(_xlfn.TEXTBEFORE(A249,","), "-", ""), " ", "")</f>
        <v>Stephan</v>
      </c>
      <c r="H249" s="1" t="str">
        <f t="shared" ref="H249" si="211">_xlfn.LET(
_xlpm.authors,_xlfn.TEXTBEFORE(A249," ("&amp;I249&amp;")"),
_xlpm.hasAmp,ISNUMBER(SEARCH("&amp;",_xlpm.authors)),
_xlpm.commasBeforeAmp,IF(_xlpm.hasAmp,LEN(_xlfn.TEXTBEFORE(_xlpm.authors,"&amp;"))-LEN(SUBSTITUTE(_xlfn.TEXTBEFORE(_xlpm.authors,"&amp;"),",","")),0),
IF(NOT(_xlpm.hasAmp),"",IF(_xlpm.commasBeforeAmp&gt;2,"etal",TRIM(_xlfn.TEXTBEFORE(_xlfn.TEXTAFTER(_xlpm.authors,"&amp; "),","))))
)</f>
        <v>etal</v>
      </c>
      <c r="I249" s="1" t="str">
        <f t="shared" ref="I249" si="212">_xlfn.TEXTBEFORE(_xlfn.TEXTAFTER(A249, "("), ")")</f>
        <v>1991</v>
      </c>
      <c r="J249" s="1" t="str">
        <f t="shared" ref="J249" si="213">_xlfn.LET(
_xlpm.doi,IF(C249&lt;&gt;"",C249,_xlfn.TEXTAFTER(A249,"https://doi.org/")),
SUBSTITUTE(
SUBSTITUTE(
SUBSTITUTE(
SUBSTITUTE(
_xlpm.doi,
"/","%2F"),
":","%3A"),
"&lt;","%3C"),
"&gt;","%3E")
)</f>
        <v>10.1007%2F978-1-4613-9124-1</v>
      </c>
      <c r="K249" s="1" t="str">
        <f t="shared" ref="K249" si="214">TRIM(_xlfn.TEXTJOIN("_",FALSE(),F249,(SUBSTITUTE(SUBSTITUTE(D249," ",""), "_", ""))))</f>
        <v>Stephan_etal_1991_Table61</v>
      </c>
      <c r="L249" s="1" t="str">
        <f t="shared" ref="L249" si="215">J249 &amp; "_" &amp; SUBSTITUTE(SUBSTITUTE(SUBSTITUTE(D249,CHAR(160),"")," ",""),"_","")</f>
        <v>10.1007%2F978-1-4613-9124-1_Table61</v>
      </c>
      <c r="M249" s="1" t="str">
        <f t="array" ref="M249">IFERROR(INDEX(FileList!$A$1:$A$1000,MATCH(TRUE(),EXACT(L249,IFERROR(_xlfn.TEXTBEFORE(FileList!$A$1:$A$1000,".tsv"),"")),0)),"notfound")</f>
        <v>notfound</v>
      </c>
      <c r="N249" s="3" t="s">
        <v>1311</v>
      </c>
      <c r="Z249" s="3"/>
      <c r="AF249" s="3"/>
      <c r="AG249" s="3"/>
      <c r="AI249" s="3"/>
      <c r="AJ249" s="3"/>
      <c r="AL249" s="3"/>
      <c r="AM249" s="3"/>
    </row>
    <row r="250" spans="1:39" ht="15" customHeight="1" x14ac:dyDescent="0.2">
      <c r="A250" s="3" t="s">
        <v>1271</v>
      </c>
      <c r="C250" s="3"/>
      <c r="D250" s="5" t="s">
        <v>1312</v>
      </c>
      <c r="E250" s="1" t="str">
        <f t="shared" ref="E250" si="216">RIGHT(A250,1)</f>
        <v>1</v>
      </c>
      <c r="F250" s="1" t="str">
        <f t="shared" ref="F250" si="217">G250 &amp; IF(H250&lt;&gt;"", "_" &amp; H250, "_") &amp; IF(I250&lt;&gt;"", "_" &amp; I250, "_") &amp; IF(B250&lt;&gt;"", "_" &amp; B250, "")</f>
        <v>Stephan_etal_1991</v>
      </c>
      <c r="G250" s="1" t="str">
        <f t="shared" ref="G250" si="218">SUBSTITUTE(SUBSTITUTE(_xlfn.TEXTBEFORE(A250,","), "-", ""), " ", "")</f>
        <v>Stephan</v>
      </c>
      <c r="H250" s="1" t="str">
        <f t="shared" ref="H250" si="219">_xlfn.LET(
_xlpm.authors,_xlfn.TEXTBEFORE(A250," ("&amp;I250&amp;")"),
_xlpm.hasAmp,ISNUMBER(SEARCH("&amp;",_xlpm.authors)),
_xlpm.commasBeforeAmp,IF(_xlpm.hasAmp,LEN(_xlfn.TEXTBEFORE(_xlpm.authors,"&amp;"))-LEN(SUBSTITUTE(_xlfn.TEXTBEFORE(_xlpm.authors,"&amp;"),",","")),0),
IF(NOT(_xlpm.hasAmp),"",IF(_xlpm.commasBeforeAmp&gt;2,"etal",TRIM(_xlfn.TEXTBEFORE(_xlfn.TEXTAFTER(_xlpm.authors,"&amp; "),","))))
)</f>
        <v>etal</v>
      </c>
      <c r="I250" s="1" t="str">
        <f t="shared" ref="I250" si="220">_xlfn.TEXTBEFORE(_xlfn.TEXTAFTER(A250, "("), ")")</f>
        <v>1991</v>
      </c>
      <c r="J250" s="1" t="str">
        <f t="shared" ref="J250" si="221">_xlfn.LET(
_xlpm.doi,IF(C250&lt;&gt;"",C250,_xlfn.TEXTAFTER(A250,"https://doi.org/")),
SUBSTITUTE(
SUBSTITUTE(
SUBSTITUTE(
SUBSTITUTE(
_xlpm.doi,
"/","%2F"),
":","%3A"),
"&lt;","%3C"),
"&gt;","%3E")
)</f>
        <v>10.1007%2F978-1-4613-9124-1</v>
      </c>
      <c r="K250" s="1" t="str">
        <f t="shared" ref="K250" si="222">TRIM(_xlfn.TEXTJOIN("_",FALSE(),F250,(SUBSTITUTE(SUBSTITUTE(D250," ",""), "_", ""))))</f>
        <v>Stephan_etal_1991_Table64</v>
      </c>
      <c r="L250" s="1" t="str">
        <f t="shared" ref="L250" si="223">J250 &amp; "_" &amp; SUBSTITUTE(SUBSTITUTE(SUBSTITUTE(D250,CHAR(160),"")," ",""),"_","")</f>
        <v>10.1007%2F978-1-4613-9124-1_Table64</v>
      </c>
      <c r="M250" s="1" t="str">
        <f t="array" ref="M250">IFERROR(INDEX(FileList!$A$1:$A$1000,MATCH(TRUE(),EXACT(L250,IFERROR(_xlfn.TEXTBEFORE(FileList!$A$1:$A$1000,".tsv"),"")),0)),"notfound")</f>
        <v>notfound</v>
      </c>
      <c r="N250" s="3" t="s">
        <v>1313</v>
      </c>
      <c r="Z250" s="3"/>
      <c r="AF250" s="3"/>
      <c r="AG250" s="3"/>
      <c r="AI250" s="3"/>
      <c r="AJ250" s="3"/>
      <c r="AL250" s="3"/>
      <c r="AM250" s="3"/>
    </row>
    <row r="251" spans="1:39" ht="15" customHeight="1" x14ac:dyDescent="0.2">
      <c r="A251" s="3" t="s">
        <v>1271</v>
      </c>
      <c r="C251" s="3"/>
      <c r="D251" s="5" t="s">
        <v>1314</v>
      </c>
      <c r="E251" s="1" t="str">
        <f t="shared" ref="E251" si="224">RIGHT(A251,1)</f>
        <v>1</v>
      </c>
      <c r="F251" s="1" t="str">
        <f t="shared" ref="F251" si="225">G251 &amp; IF(H251&lt;&gt;"", "_" &amp; H251, "_") &amp; IF(I251&lt;&gt;"", "_" &amp; I251, "_") &amp; IF(B251&lt;&gt;"", "_" &amp; B251, "")</f>
        <v>Stephan_etal_1991</v>
      </c>
      <c r="G251" s="1" t="str">
        <f t="shared" ref="G251" si="226">SUBSTITUTE(SUBSTITUTE(_xlfn.TEXTBEFORE(A251,","), "-", ""), " ", "")</f>
        <v>Stephan</v>
      </c>
      <c r="H251" s="1" t="str">
        <f t="shared" ref="H251" si="227">_xlfn.LET(
_xlpm.authors,_xlfn.TEXTBEFORE(A251," ("&amp;I251&amp;")"),
_xlpm.hasAmp,ISNUMBER(SEARCH("&amp;",_xlpm.authors)),
_xlpm.commasBeforeAmp,IF(_xlpm.hasAmp,LEN(_xlfn.TEXTBEFORE(_xlpm.authors,"&amp;"))-LEN(SUBSTITUTE(_xlfn.TEXTBEFORE(_xlpm.authors,"&amp;"),",","")),0),
IF(NOT(_xlpm.hasAmp),"",IF(_xlpm.commasBeforeAmp&gt;2,"etal",TRIM(_xlfn.TEXTBEFORE(_xlfn.TEXTAFTER(_xlpm.authors,"&amp; "),","))))
)</f>
        <v>etal</v>
      </c>
      <c r="I251" s="1" t="str">
        <f t="shared" ref="I251" si="228">_xlfn.TEXTBEFORE(_xlfn.TEXTAFTER(A251, "("), ")")</f>
        <v>1991</v>
      </c>
      <c r="J251" s="1" t="str">
        <f t="shared" ref="J251" si="229">_xlfn.LET(
_xlpm.doi,IF(C251&lt;&gt;"",C251,_xlfn.TEXTAFTER(A251,"https://doi.org/")),
SUBSTITUTE(
SUBSTITUTE(
SUBSTITUTE(
SUBSTITUTE(
_xlpm.doi,
"/","%2F"),
":","%3A"),
"&lt;","%3C"),
"&gt;","%3E")
)</f>
        <v>10.1007%2F978-1-4613-9124-1</v>
      </c>
      <c r="K251" s="1" t="str">
        <f t="shared" ref="K251" si="230">TRIM(_xlfn.TEXTJOIN("_",FALSE(),F251,(SUBSTITUTE(SUBSTITUTE(D251," ",""), "_", ""))))</f>
        <v>Stephan_etal_1991_Table65</v>
      </c>
      <c r="L251" s="1" t="str">
        <f t="shared" ref="L251" si="231">J251 &amp; "_" &amp; SUBSTITUTE(SUBSTITUTE(SUBSTITUTE(D251,CHAR(160),"")," ",""),"_","")</f>
        <v>10.1007%2F978-1-4613-9124-1_Table65</v>
      </c>
      <c r="M251" s="1" t="str">
        <f t="array" ref="M251">IFERROR(INDEX(FileList!$A$1:$A$1000,MATCH(TRUE(),EXACT(L251,IFERROR(_xlfn.TEXTBEFORE(FileList!$A$1:$A$1000,".tsv"),"")),0)),"notfound")</f>
        <v>notfound</v>
      </c>
      <c r="N251" s="3" t="s">
        <v>1315</v>
      </c>
      <c r="Z251" s="3"/>
      <c r="AF251" s="3"/>
      <c r="AG251" s="3"/>
      <c r="AI251" s="3"/>
      <c r="AJ251" s="3"/>
      <c r="AL251" s="3"/>
      <c r="AM251" s="3"/>
    </row>
    <row r="252" spans="1:39" ht="15" customHeight="1" x14ac:dyDescent="0.2">
      <c r="A252" s="3" t="s">
        <v>1271</v>
      </c>
      <c r="C252" s="3"/>
      <c r="D252" s="5" t="s">
        <v>1316</v>
      </c>
      <c r="E252" s="1" t="str">
        <f t="shared" ref="E252" si="232">RIGHT(A252,1)</f>
        <v>1</v>
      </c>
      <c r="F252" s="1" t="str">
        <f t="shared" ref="F252" si="233">G252 &amp; IF(H252&lt;&gt;"", "_" &amp; H252, "_") &amp; IF(I252&lt;&gt;"", "_" &amp; I252, "_") &amp; IF(B252&lt;&gt;"", "_" &amp; B252, "")</f>
        <v>Stephan_etal_1991</v>
      </c>
      <c r="G252" s="1" t="str">
        <f t="shared" ref="G252" si="234">SUBSTITUTE(SUBSTITUTE(_xlfn.TEXTBEFORE(A252,","), "-", ""), " ", "")</f>
        <v>Stephan</v>
      </c>
      <c r="H252" s="1" t="str">
        <f t="shared" ref="H252" si="235">_xlfn.LET(
_xlpm.authors,_xlfn.TEXTBEFORE(A252," ("&amp;I252&amp;")"),
_xlpm.hasAmp,ISNUMBER(SEARCH("&amp;",_xlpm.authors)),
_xlpm.commasBeforeAmp,IF(_xlpm.hasAmp,LEN(_xlfn.TEXTBEFORE(_xlpm.authors,"&amp;"))-LEN(SUBSTITUTE(_xlfn.TEXTBEFORE(_xlpm.authors,"&amp;"),",","")),0),
IF(NOT(_xlpm.hasAmp),"",IF(_xlpm.commasBeforeAmp&gt;2,"etal",TRIM(_xlfn.TEXTBEFORE(_xlfn.TEXTAFTER(_xlpm.authors,"&amp; "),","))))
)</f>
        <v>etal</v>
      </c>
      <c r="I252" s="1" t="str">
        <f t="shared" ref="I252" si="236">_xlfn.TEXTBEFORE(_xlfn.TEXTAFTER(A252, "("), ")")</f>
        <v>1991</v>
      </c>
      <c r="J252" s="1" t="str">
        <f t="shared" ref="J252" si="237">_xlfn.LET(
_xlpm.doi,IF(C252&lt;&gt;"",C252,_xlfn.TEXTAFTER(A252,"https://doi.org/")),
SUBSTITUTE(
SUBSTITUTE(
SUBSTITUTE(
SUBSTITUTE(
_xlpm.doi,
"/","%2F"),
":","%3A"),
"&lt;","%3C"),
"&gt;","%3E")
)</f>
        <v>10.1007%2F978-1-4613-9124-1</v>
      </c>
      <c r="K252" s="1" t="str">
        <f t="shared" ref="K252" si="238">TRIM(_xlfn.TEXTJOIN("_",FALSE(),F252,(SUBSTITUTE(SUBSTITUTE(D252," ",""), "_", ""))))</f>
        <v>Stephan_etal_1991_Table68</v>
      </c>
      <c r="L252" s="1" t="str">
        <f t="shared" ref="L252" si="239">J252 &amp; "_" &amp; SUBSTITUTE(SUBSTITUTE(SUBSTITUTE(D252,CHAR(160),"")," ",""),"_","")</f>
        <v>10.1007%2F978-1-4613-9124-1_Table68</v>
      </c>
      <c r="M252" s="1" t="str">
        <f t="array" ref="M252">IFERROR(INDEX(FileList!$A$1:$A$1000,MATCH(TRUE(),EXACT(L252,IFERROR(_xlfn.TEXTBEFORE(FileList!$A$1:$A$1000,".tsv"),"")),0)),"notfound")</f>
        <v>notfound</v>
      </c>
      <c r="N252" s="3" t="s">
        <v>1317</v>
      </c>
      <c r="Z252" s="3"/>
      <c r="AF252" s="3"/>
      <c r="AG252" s="3"/>
      <c r="AI252" s="3"/>
      <c r="AJ252" s="3"/>
      <c r="AL252" s="3"/>
      <c r="AM252" s="3"/>
    </row>
    <row r="253" spans="1:39" ht="15" customHeight="1" x14ac:dyDescent="0.2">
      <c r="A253" s="3" t="s">
        <v>1271</v>
      </c>
      <c r="C253" s="3"/>
      <c r="D253" s="5" t="s">
        <v>1318</v>
      </c>
      <c r="E253" s="1" t="str">
        <f t="shared" ref="E253" si="240">RIGHT(A253,1)</f>
        <v>1</v>
      </c>
      <c r="F253" s="1" t="str">
        <f t="shared" ref="F253" si="241">G253 &amp; IF(H253&lt;&gt;"", "_" &amp; H253, "_") &amp; IF(I253&lt;&gt;"", "_" &amp; I253, "_") &amp; IF(B253&lt;&gt;"", "_" &amp; B253, "")</f>
        <v>Stephan_etal_1991</v>
      </c>
      <c r="G253" s="1" t="str">
        <f t="shared" ref="G253" si="242">SUBSTITUTE(SUBSTITUTE(_xlfn.TEXTBEFORE(A253,","), "-", ""), " ", "")</f>
        <v>Stephan</v>
      </c>
      <c r="H253" s="1" t="str">
        <f t="shared" ref="H253" si="243">_xlfn.LET(
_xlpm.authors,_xlfn.TEXTBEFORE(A253," ("&amp;I253&amp;")"),
_xlpm.hasAmp,ISNUMBER(SEARCH("&amp;",_xlpm.authors)),
_xlpm.commasBeforeAmp,IF(_xlpm.hasAmp,LEN(_xlfn.TEXTBEFORE(_xlpm.authors,"&amp;"))-LEN(SUBSTITUTE(_xlfn.TEXTBEFORE(_xlpm.authors,"&amp;"),",","")),0),
IF(NOT(_xlpm.hasAmp),"",IF(_xlpm.commasBeforeAmp&gt;2,"etal",TRIM(_xlfn.TEXTBEFORE(_xlfn.TEXTAFTER(_xlpm.authors,"&amp; "),","))))
)</f>
        <v>etal</v>
      </c>
      <c r="I253" s="1" t="str">
        <f t="shared" ref="I253" si="244">_xlfn.TEXTBEFORE(_xlfn.TEXTAFTER(A253, "("), ")")</f>
        <v>1991</v>
      </c>
      <c r="J253" s="1" t="str">
        <f t="shared" ref="J253" si="245">_xlfn.LET(
_xlpm.doi,IF(C253&lt;&gt;"",C253,_xlfn.TEXTAFTER(A253,"https://doi.org/")),
SUBSTITUTE(
SUBSTITUTE(
SUBSTITUTE(
SUBSTITUTE(
_xlpm.doi,
"/","%2F"),
":","%3A"),
"&lt;","%3C"),
"&gt;","%3E")
)</f>
        <v>10.1007%2F978-1-4613-9124-1</v>
      </c>
      <c r="K253" s="1" t="str">
        <f t="shared" ref="K253" si="246">TRIM(_xlfn.TEXTJOIN("_",FALSE(),F253,(SUBSTITUTE(SUBSTITUTE(D253," ",""), "_", ""))))</f>
        <v>Stephan_etal_1991_Table71</v>
      </c>
      <c r="L253" s="1" t="str">
        <f t="shared" ref="L253" si="247">J253 &amp; "_" &amp; SUBSTITUTE(SUBSTITUTE(SUBSTITUTE(D253,CHAR(160),"")," ",""),"_","")</f>
        <v>10.1007%2F978-1-4613-9124-1_Table71</v>
      </c>
      <c r="M253" s="1" t="str">
        <f t="array" ref="M253">IFERROR(INDEX(FileList!$A$1:$A$1000,MATCH(TRUE(),EXACT(L253,IFERROR(_xlfn.TEXTBEFORE(FileList!$A$1:$A$1000,".tsv"),"")),0)),"notfound")</f>
        <v>notfound</v>
      </c>
      <c r="N253" s="3" t="s">
        <v>1319</v>
      </c>
      <c r="Z253" s="3"/>
      <c r="AF253" s="3"/>
      <c r="AG253" s="3"/>
      <c r="AI253" s="3"/>
      <c r="AJ253" s="3"/>
      <c r="AL253" s="3"/>
      <c r="AM253" s="3"/>
    </row>
    <row r="254" spans="1:39" ht="15" customHeight="1" x14ac:dyDescent="0.2">
      <c r="A254" s="3" t="s">
        <v>717</v>
      </c>
      <c r="C254" s="3" t="s">
        <v>718</v>
      </c>
      <c r="D254" s="3" t="s">
        <v>76</v>
      </c>
      <c r="E254" s="1" t="str">
        <f t="shared" si="40"/>
        <v>3</v>
      </c>
      <c r="F254" s="1" t="str">
        <f t="shared" si="41"/>
        <v>Stephan_etal_1982</v>
      </c>
      <c r="G254" s="1" t="str">
        <f t="shared" si="42"/>
        <v>Stephan</v>
      </c>
      <c r="H254" s="1" t="str">
        <f t="shared" si="43"/>
        <v>etal</v>
      </c>
      <c r="I254" s="1" t="str">
        <f t="shared" si="44"/>
        <v>1982</v>
      </c>
      <c r="J254" s="1" t="str">
        <f t="shared" si="45"/>
        <v>PMID%3A7161483</v>
      </c>
      <c r="K254" s="1" t="str">
        <f t="shared" si="46"/>
        <v>Stephan_etal_1982_Table1</v>
      </c>
      <c r="L254" s="1" t="str">
        <f t="shared" si="47"/>
        <v>PMID%3A7161483_Table1</v>
      </c>
      <c r="M254" s="1" t="str">
        <f t="array" ref="M254">IFERROR(INDEX(FileList!$A$1:$A$1000,MATCH(TRUE(),EXACT(L254,IFERROR(_xlfn.TEXTBEFORE(FileList!$A$1:$A$1000,".tsv"),"")),0)),"notfound")</f>
        <v>PMID%3A7161483_Table1.tsv</v>
      </c>
      <c r="N254" s="3" t="s">
        <v>719</v>
      </c>
      <c r="P254" s="3" t="s">
        <v>40</v>
      </c>
      <c r="V254" s="3" t="s">
        <v>41</v>
      </c>
      <c r="W254" s="3" t="s">
        <v>104</v>
      </c>
      <c r="Y254" s="3" t="s">
        <v>99</v>
      </c>
      <c r="Z254" s="3" t="s">
        <v>99</v>
      </c>
      <c r="AF254" s="3" t="s">
        <v>79</v>
      </c>
      <c r="AG254" s="3" t="s">
        <v>111</v>
      </c>
      <c r="AI254" s="3" t="s">
        <v>720</v>
      </c>
      <c r="AJ254" s="3" t="s">
        <v>101</v>
      </c>
      <c r="AK254" s="3" t="s">
        <v>62</v>
      </c>
      <c r="AL254" s="3" t="s">
        <v>62</v>
      </c>
      <c r="AM254" s="3" t="s">
        <v>84</v>
      </c>
    </row>
    <row r="255" spans="1:39" ht="15" customHeight="1" x14ac:dyDescent="0.2">
      <c r="A255" s="3" t="s">
        <v>721</v>
      </c>
      <c r="C255" s="3" t="s">
        <v>722</v>
      </c>
      <c r="D255" s="3" t="s">
        <v>48</v>
      </c>
      <c r="E255" s="1" t="str">
        <f t="shared" si="40"/>
        <v>.</v>
      </c>
      <c r="F255" s="1" t="str">
        <f t="shared" si="41"/>
        <v>Stephan_etal_1988</v>
      </c>
      <c r="G255" s="1" t="str">
        <f t="shared" si="42"/>
        <v>Stephan</v>
      </c>
      <c r="H255" s="1" t="str">
        <f t="shared" si="43"/>
        <v>etal</v>
      </c>
      <c r="I255" s="1" t="str">
        <f t="shared" si="44"/>
        <v>1988</v>
      </c>
      <c r="J255" s="1" t="str">
        <f t="shared" si="45"/>
        <v>ISBN%3A0845140000</v>
      </c>
      <c r="K255" s="1" t="str">
        <f t="shared" si="46"/>
        <v>Stephan_etal_1988_TABLE1</v>
      </c>
      <c r="L255" s="1" t="str">
        <f t="shared" si="47"/>
        <v>ISBN%3A0845140000_TABLE1</v>
      </c>
      <c r="M255" s="1" t="str">
        <f t="array" ref="M255">IFERROR(INDEX(FileList!$A$1:$A$1000,MATCH(TRUE(),EXACT(L255,IFERROR(_xlfn.TEXTBEFORE(FileList!$A$1:$A$1000,".tsv"),"")),0)),"notfound")</f>
        <v>ISBN%3A0845140000_TABLE1.tsv</v>
      </c>
      <c r="N255" s="3" t="s">
        <v>723</v>
      </c>
    </row>
    <row r="256" spans="1:39" ht="15" customHeight="1" x14ac:dyDescent="0.2">
      <c r="A256" s="3" t="s">
        <v>724</v>
      </c>
      <c r="C256" s="3" t="s">
        <v>725</v>
      </c>
      <c r="D256" s="3" t="s">
        <v>48</v>
      </c>
      <c r="E256" s="1" t="str">
        <f t="shared" si="40"/>
        <v>s</v>
      </c>
      <c r="F256" s="1" t="str">
        <f t="shared" si="41"/>
        <v>Stephan_etal_1970</v>
      </c>
      <c r="G256" s="1" t="str">
        <f t="shared" si="42"/>
        <v>Stephan</v>
      </c>
      <c r="H256" s="1" t="str">
        <f t="shared" si="43"/>
        <v>etal</v>
      </c>
      <c r="I256" s="1" t="str">
        <f t="shared" si="44"/>
        <v>1970</v>
      </c>
      <c r="J256" s="1" t="str">
        <f t="shared" si="45"/>
        <v>ISBN%3A0390672505</v>
      </c>
      <c r="K256" s="1" t="str">
        <f t="shared" si="46"/>
        <v>Stephan_etal_1970_TABLE1</v>
      </c>
      <c r="L256" s="1" t="str">
        <f t="shared" si="47"/>
        <v>ISBN%3A0390672505_TABLE1</v>
      </c>
      <c r="M256" s="1" t="str">
        <f t="array" ref="M256">IFERROR(INDEX(FileList!$A$1:$A$1000,MATCH(TRUE(),EXACT(L256,IFERROR(_xlfn.TEXTBEFORE(FileList!$A$1:$A$1000,".tsv"),"")),0)),"notfound")</f>
        <v>ISBN%3A0390672505_TABLE1.tsv</v>
      </c>
      <c r="N256" s="3" t="s">
        <v>726</v>
      </c>
      <c r="V256" s="3" t="s">
        <v>41</v>
      </c>
      <c r="Z256" s="3" t="s">
        <v>99</v>
      </c>
      <c r="AF256" s="3" t="s">
        <v>79</v>
      </c>
      <c r="AG256" s="3" t="s">
        <v>111</v>
      </c>
      <c r="AJ256" s="3" t="s">
        <v>727</v>
      </c>
      <c r="AL256" s="3" t="s">
        <v>62</v>
      </c>
      <c r="AM256" s="3" t="s">
        <v>84</v>
      </c>
    </row>
    <row r="257" spans="1:39" ht="15" customHeight="1" x14ac:dyDescent="0.2">
      <c r="A257" s="3" t="s">
        <v>724</v>
      </c>
      <c r="C257" s="3" t="s">
        <v>725</v>
      </c>
      <c r="D257" s="3" t="s">
        <v>92</v>
      </c>
      <c r="E257" s="1" t="str">
        <f t="shared" si="40"/>
        <v>s</v>
      </c>
      <c r="F257" s="1" t="str">
        <f t="shared" si="41"/>
        <v>Stephan_etal_1970</v>
      </c>
      <c r="G257" s="1" t="str">
        <f t="shared" si="42"/>
        <v>Stephan</v>
      </c>
      <c r="H257" s="1" t="str">
        <f t="shared" si="43"/>
        <v>etal</v>
      </c>
      <c r="I257" s="1" t="str">
        <f t="shared" si="44"/>
        <v>1970</v>
      </c>
      <c r="J257" s="1" t="str">
        <f t="shared" si="45"/>
        <v>ISBN%3A0390672505</v>
      </c>
      <c r="K257" s="1" t="str">
        <f t="shared" si="46"/>
        <v>Stephan_etal_1970_TABLE2</v>
      </c>
      <c r="L257" s="1" t="str">
        <f t="shared" si="47"/>
        <v>ISBN%3A0390672505_TABLE2</v>
      </c>
      <c r="M257" s="1" t="str">
        <f t="array" ref="M257">IFERROR(INDEX(FileList!$A$1:$A$1000,MATCH(TRUE(),EXACT(L257,IFERROR(_xlfn.TEXTBEFORE(FileList!$A$1:$A$1000,".tsv"),"")),0)),"notfound")</f>
        <v>ISBN%3A0390672505_TABLE2.tsv</v>
      </c>
      <c r="N257" s="3" t="s">
        <v>728</v>
      </c>
      <c r="V257" s="3" t="s">
        <v>41</v>
      </c>
      <c r="Z257" s="3" t="s">
        <v>99</v>
      </c>
      <c r="AF257" s="3" t="s">
        <v>79</v>
      </c>
      <c r="AG257" s="3" t="s">
        <v>111</v>
      </c>
      <c r="AJ257" s="3" t="s">
        <v>117</v>
      </c>
      <c r="AL257" s="3" t="s">
        <v>62</v>
      </c>
      <c r="AM257" s="3" t="s">
        <v>84</v>
      </c>
    </row>
    <row r="258" spans="1:39" ht="15" customHeight="1" x14ac:dyDescent="0.2">
      <c r="A258" s="3" t="s">
        <v>724</v>
      </c>
      <c r="C258" s="3" t="s">
        <v>725</v>
      </c>
      <c r="D258" s="3" t="s">
        <v>729</v>
      </c>
      <c r="E258" s="1" t="str">
        <f t="shared" si="40"/>
        <v>s</v>
      </c>
      <c r="F258" s="1" t="str">
        <f t="shared" si="41"/>
        <v>Stephan_etal_1970</v>
      </c>
      <c r="G258" s="1" t="str">
        <f t="shared" si="42"/>
        <v>Stephan</v>
      </c>
      <c r="H258" s="1" t="str">
        <f t="shared" si="43"/>
        <v>etal</v>
      </c>
      <c r="I258" s="1" t="str">
        <f t="shared" si="44"/>
        <v>1970</v>
      </c>
      <c r="J258" s="1" t="str">
        <f t="shared" si="45"/>
        <v>ISBN%3A0390672505</v>
      </c>
      <c r="K258" s="1" t="str">
        <f t="shared" si="46"/>
        <v>Stephan_etal_1970_TABLE3</v>
      </c>
      <c r="L258" s="1" t="str">
        <f t="shared" si="47"/>
        <v>ISBN%3A0390672505_TABLE3</v>
      </c>
      <c r="M258" s="1" t="str">
        <f t="array" ref="M258">IFERROR(INDEX(FileList!$A$1:$A$1000,MATCH(TRUE(),EXACT(L258,IFERROR(_xlfn.TEXTBEFORE(FileList!$A$1:$A$1000,".tsv"),"")),0)),"notfound")</f>
        <v>ISBN%3A0390672505_TABLE3.tsv</v>
      </c>
      <c r="N258" s="3" t="s">
        <v>730</v>
      </c>
      <c r="V258" s="3" t="s">
        <v>41</v>
      </c>
      <c r="Z258" s="3" t="s">
        <v>99</v>
      </c>
      <c r="AF258" s="3" t="s">
        <v>79</v>
      </c>
      <c r="AG258" s="3" t="s">
        <v>111</v>
      </c>
      <c r="AJ258" s="3" t="s">
        <v>117</v>
      </c>
      <c r="AL258" s="3" t="s">
        <v>62</v>
      </c>
      <c r="AM258" s="3" t="s">
        <v>84</v>
      </c>
    </row>
    <row r="259" spans="1:39" ht="15" customHeight="1" x14ac:dyDescent="0.2">
      <c r="A259" s="3" t="s">
        <v>724</v>
      </c>
      <c r="C259" s="3" t="s">
        <v>725</v>
      </c>
      <c r="D259" s="3" t="s">
        <v>731</v>
      </c>
      <c r="E259" s="1" t="str">
        <f t="shared" si="40"/>
        <v>s</v>
      </c>
      <c r="F259" s="1" t="str">
        <f t="shared" si="41"/>
        <v>Stephan_etal_1970</v>
      </c>
      <c r="G259" s="1" t="str">
        <f t="shared" si="42"/>
        <v>Stephan</v>
      </c>
      <c r="H259" s="1" t="str">
        <f t="shared" si="43"/>
        <v>etal</v>
      </c>
      <c r="I259" s="1" t="str">
        <f t="shared" si="44"/>
        <v>1970</v>
      </c>
      <c r="J259" s="1" t="str">
        <f t="shared" si="45"/>
        <v>ISBN%3A0390672505</v>
      </c>
      <c r="K259" s="1" t="str">
        <f t="shared" si="46"/>
        <v>Stephan_etal_1970_TABLE4</v>
      </c>
      <c r="L259" s="1" t="str">
        <f t="shared" si="47"/>
        <v>ISBN%3A0390672505_TABLE4</v>
      </c>
      <c r="M259" s="1" t="str">
        <f t="array" ref="M259">IFERROR(INDEX(FileList!$A$1:$A$1000,MATCH(TRUE(),EXACT(L259,IFERROR(_xlfn.TEXTBEFORE(FileList!$A$1:$A$1000,".tsv"),"")),0)),"notfound")</f>
        <v>ISBN%3A0390672505_TABLE4.tsv</v>
      </c>
      <c r="N259" s="3" t="s">
        <v>732</v>
      </c>
      <c r="V259" s="3" t="s">
        <v>41</v>
      </c>
      <c r="Z259" s="3" t="s">
        <v>99</v>
      </c>
      <c r="AF259" s="3" t="s">
        <v>79</v>
      </c>
      <c r="AG259" s="3" t="s">
        <v>111</v>
      </c>
      <c r="AJ259" s="3" t="s">
        <v>727</v>
      </c>
      <c r="AL259" s="3" t="s">
        <v>62</v>
      </c>
      <c r="AM259" s="3" t="s">
        <v>84</v>
      </c>
    </row>
    <row r="260" spans="1:39" ht="15" customHeight="1" x14ac:dyDescent="0.2">
      <c r="A260" s="3" t="s">
        <v>724</v>
      </c>
      <c r="C260" s="3" t="s">
        <v>725</v>
      </c>
      <c r="D260" s="3" t="s">
        <v>733</v>
      </c>
      <c r="E260" s="1" t="str">
        <f t="shared" si="40"/>
        <v>s</v>
      </c>
      <c r="F260" s="1" t="str">
        <f t="shared" si="41"/>
        <v>Stephan_etal_1970</v>
      </c>
      <c r="G260" s="1" t="str">
        <f t="shared" si="42"/>
        <v>Stephan</v>
      </c>
      <c r="H260" s="1" t="str">
        <f t="shared" si="43"/>
        <v>etal</v>
      </c>
      <c r="I260" s="1" t="str">
        <f t="shared" si="44"/>
        <v>1970</v>
      </c>
      <c r="J260" s="1" t="str">
        <f t="shared" si="45"/>
        <v>ISBN%3A0390672505</v>
      </c>
      <c r="K260" s="1" t="str">
        <f t="shared" si="46"/>
        <v>Stephan_etal_1970_TABLE5</v>
      </c>
      <c r="L260" s="1" t="str">
        <f t="shared" si="47"/>
        <v>ISBN%3A0390672505_TABLE5</v>
      </c>
      <c r="M260" s="1" t="str">
        <f t="array" ref="M260">IFERROR(INDEX(FileList!$A$1:$A$1000,MATCH(TRUE(),EXACT(L260,IFERROR(_xlfn.TEXTBEFORE(FileList!$A$1:$A$1000,".tsv"),"")),0)),"notfound")</f>
        <v>ISBN%3A0390672505_TABLE5.tsv</v>
      </c>
      <c r="N260" s="3" t="s">
        <v>734</v>
      </c>
      <c r="V260" s="3" t="s">
        <v>41</v>
      </c>
      <c r="Z260" s="3" t="s">
        <v>99</v>
      </c>
      <c r="AF260" s="3" t="s">
        <v>79</v>
      </c>
      <c r="AG260" s="3" t="s">
        <v>111</v>
      </c>
      <c r="AJ260" s="3" t="s">
        <v>117</v>
      </c>
      <c r="AL260" s="3" t="s">
        <v>62</v>
      </c>
      <c r="AM260" s="3" t="s">
        <v>84</v>
      </c>
    </row>
    <row r="261" spans="1:39" ht="15" customHeight="1" x14ac:dyDescent="0.2">
      <c r="A261" s="3" t="s">
        <v>724</v>
      </c>
      <c r="C261" s="3" t="s">
        <v>725</v>
      </c>
      <c r="D261" s="3" t="s">
        <v>735</v>
      </c>
      <c r="E261" s="1" t="str">
        <f t="shared" si="40"/>
        <v>s</v>
      </c>
      <c r="F261" s="1" t="str">
        <f t="shared" si="41"/>
        <v>Stephan_etal_1970</v>
      </c>
      <c r="G261" s="1" t="str">
        <f t="shared" si="42"/>
        <v>Stephan</v>
      </c>
      <c r="H261" s="1" t="str">
        <f t="shared" si="43"/>
        <v>etal</v>
      </c>
      <c r="I261" s="1" t="str">
        <f t="shared" si="44"/>
        <v>1970</v>
      </c>
      <c r="J261" s="1" t="str">
        <f t="shared" si="45"/>
        <v>ISBN%3A0390672505</v>
      </c>
      <c r="K261" s="1" t="str">
        <f t="shared" si="46"/>
        <v>Stephan_etal_1970_TABLE6</v>
      </c>
      <c r="L261" s="1" t="str">
        <f t="shared" si="47"/>
        <v>ISBN%3A0390672505_TABLE6</v>
      </c>
      <c r="M261" s="1" t="str">
        <f t="array" ref="M261">IFERROR(INDEX(FileList!$A$1:$A$1000,MATCH(TRUE(),EXACT(L261,IFERROR(_xlfn.TEXTBEFORE(FileList!$A$1:$A$1000,".tsv"),"")),0)),"notfound")</f>
        <v>ISBN%3A0390672505_TABLE6.tsv</v>
      </c>
      <c r="N261" s="3" t="s">
        <v>736</v>
      </c>
      <c r="V261" s="3" t="s">
        <v>41</v>
      </c>
      <c r="Z261" s="3" t="s">
        <v>99</v>
      </c>
      <c r="AF261" s="3" t="s">
        <v>79</v>
      </c>
      <c r="AG261" s="3" t="s">
        <v>111</v>
      </c>
      <c r="AJ261" s="3" t="s">
        <v>117</v>
      </c>
      <c r="AL261" s="3" t="s">
        <v>62</v>
      </c>
      <c r="AM261" s="3" t="s">
        <v>84</v>
      </c>
    </row>
    <row r="262" spans="1:39" ht="15" customHeight="1" x14ac:dyDescent="0.2">
      <c r="A262" s="3" t="s">
        <v>724</v>
      </c>
      <c r="C262" s="3" t="s">
        <v>725</v>
      </c>
      <c r="D262" s="3" t="s">
        <v>737</v>
      </c>
      <c r="E262" s="1" t="str">
        <f t="shared" si="40"/>
        <v>s</v>
      </c>
      <c r="F262" s="1" t="str">
        <f t="shared" si="41"/>
        <v>Stephan_etal_1970</v>
      </c>
      <c r="G262" s="1" t="str">
        <f t="shared" si="42"/>
        <v>Stephan</v>
      </c>
      <c r="H262" s="1" t="str">
        <f t="shared" si="43"/>
        <v>etal</v>
      </c>
      <c r="I262" s="1" t="str">
        <f t="shared" si="44"/>
        <v>1970</v>
      </c>
      <c r="J262" s="1" t="str">
        <f t="shared" si="45"/>
        <v>ISBN%3A0390672505</v>
      </c>
      <c r="K262" s="1" t="str">
        <f t="shared" si="46"/>
        <v>Stephan_etal_1970_Tables1-6</v>
      </c>
      <c r="L262" s="1" t="str">
        <f t="shared" si="47"/>
        <v>ISBN%3A0390672505_Tables1-6</v>
      </c>
      <c r="M262" s="1" t="str">
        <f t="array" ref="M262">IFERROR(INDEX(FileList!$A$1:$A$1000,MATCH(TRUE(),EXACT(L262,IFERROR(_xlfn.TEXTBEFORE(FileList!$A$1:$A$1000,".tsv"),"")),0)),"notfound")</f>
        <v>ISBN%3A0390672505_Tables1-6.tsv</v>
      </c>
      <c r="O262" s="3" t="s">
        <v>738</v>
      </c>
      <c r="P262" s="3" t="s">
        <v>40</v>
      </c>
      <c r="V262" s="3" t="s">
        <v>688</v>
      </c>
      <c r="Y262" s="3" t="s">
        <v>99</v>
      </c>
      <c r="Z262" s="3" t="s">
        <v>99</v>
      </c>
      <c r="AF262" s="3" t="s">
        <v>79</v>
      </c>
      <c r="AG262" s="3" t="s">
        <v>111</v>
      </c>
      <c r="AJ262" s="3" t="s">
        <v>101</v>
      </c>
      <c r="AL262" s="3" t="s">
        <v>62</v>
      </c>
      <c r="AM262" s="3" t="s">
        <v>84</v>
      </c>
    </row>
    <row r="263" spans="1:39" ht="15" customHeight="1" x14ac:dyDescent="0.2">
      <c r="A263" s="3" t="s">
        <v>739</v>
      </c>
      <c r="C263" s="3" t="s">
        <v>740</v>
      </c>
      <c r="D263" s="3" t="s">
        <v>76</v>
      </c>
      <c r="E263" s="1" t="str">
        <f t="shared" si="40"/>
        <v>4</v>
      </c>
      <c r="F263" s="1" t="str">
        <f t="shared" si="41"/>
        <v>Stephan_etal_1984</v>
      </c>
      <c r="G263" s="1" t="str">
        <f t="shared" si="42"/>
        <v>Stephan</v>
      </c>
      <c r="H263" s="1" t="str">
        <f t="shared" si="43"/>
        <v>etal</v>
      </c>
      <c r="I263" s="1" t="str">
        <f t="shared" si="44"/>
        <v>1984</v>
      </c>
      <c r="J263" s="1" t="str">
        <f t="shared" si="45"/>
        <v>PMID%3A6481154</v>
      </c>
      <c r="K263" s="1" t="str">
        <f t="shared" si="46"/>
        <v>Stephan_etal_1984_Table1</v>
      </c>
      <c r="L263" s="1" t="str">
        <f t="shared" si="47"/>
        <v>PMID%3A6481154_Table1</v>
      </c>
      <c r="M263" s="1" t="str">
        <f t="array" ref="M263">IFERROR(INDEX(FileList!$A$1:$A$1000,MATCH(TRUE(),EXACT(L263,IFERROR(_xlfn.TEXTBEFORE(FileList!$A$1:$A$1000,".tsv"),"")),0)),"notfound")</f>
        <v>PMID%3A6481154_Table1.tsv</v>
      </c>
      <c r="N263" s="3" t="s">
        <v>741</v>
      </c>
      <c r="P263" s="3" t="s">
        <v>40</v>
      </c>
      <c r="V263" s="3" t="s">
        <v>41</v>
      </c>
      <c r="W263" s="3" t="s">
        <v>104</v>
      </c>
      <c r="Y263" s="3" t="s">
        <v>99</v>
      </c>
      <c r="Z263" s="3" t="s">
        <v>99</v>
      </c>
      <c r="AF263" s="3" t="s">
        <v>79</v>
      </c>
      <c r="AG263" s="3" t="s">
        <v>111</v>
      </c>
      <c r="AI263" s="3" t="s">
        <v>742</v>
      </c>
      <c r="AJ263" s="3" t="s">
        <v>101</v>
      </c>
      <c r="AK263" s="3" t="s">
        <v>62</v>
      </c>
      <c r="AL263" s="3" t="s">
        <v>62</v>
      </c>
      <c r="AM263" s="3" t="s">
        <v>84</v>
      </c>
    </row>
    <row r="264" spans="1:39" ht="15" customHeight="1" x14ac:dyDescent="0.2">
      <c r="A264" s="3" t="s">
        <v>743</v>
      </c>
      <c r="C264" s="3" t="s">
        <v>744</v>
      </c>
      <c r="D264" s="3" t="s">
        <v>76</v>
      </c>
      <c r="E264" s="1" t="str">
        <f t="shared" si="40"/>
        <v>5</v>
      </c>
      <c r="F264" s="1" t="str">
        <f t="shared" si="41"/>
        <v>Stephan_etal_1987</v>
      </c>
      <c r="G264" s="1" t="str">
        <f t="shared" si="42"/>
        <v>Stephan</v>
      </c>
      <c r="H264" s="1" t="str">
        <f t="shared" si="43"/>
        <v>etal</v>
      </c>
      <c r="I264" s="1" t="str">
        <f t="shared" si="44"/>
        <v>1987</v>
      </c>
      <c r="J264" s="1" t="str">
        <f t="shared" si="45"/>
        <v>PMID%3A3693895</v>
      </c>
      <c r="K264" s="1" t="str">
        <f t="shared" si="46"/>
        <v>Stephan_etal_1987_Table1</v>
      </c>
      <c r="L264" s="1" t="str">
        <f t="shared" si="47"/>
        <v>PMID%3A3693895_Table1</v>
      </c>
      <c r="M264" s="1" t="str">
        <f t="array" ref="M264">IFERROR(INDEX(FileList!$A$1:$A$1000,MATCH(TRUE(),EXACT(L264,IFERROR(_xlfn.TEXTBEFORE(FileList!$A$1:$A$1000,".tsv"),"")),0)),"notfound")</f>
        <v>PMID%3A3693895_Table1.tsv</v>
      </c>
      <c r="N264" s="3" t="s">
        <v>745</v>
      </c>
      <c r="P264" s="3" t="s">
        <v>40</v>
      </c>
      <c r="V264" s="3" t="s">
        <v>41</v>
      </c>
      <c r="W264" s="3" t="s">
        <v>104</v>
      </c>
      <c r="Y264" s="3" t="s">
        <v>99</v>
      </c>
      <c r="Z264" s="3" t="s">
        <v>99</v>
      </c>
      <c r="AF264" s="3" t="s">
        <v>79</v>
      </c>
      <c r="AG264" s="3" t="s">
        <v>111</v>
      </c>
      <c r="AI264" s="3" t="s">
        <v>746</v>
      </c>
      <c r="AJ264" s="3" t="s">
        <v>101</v>
      </c>
      <c r="AK264" s="3" t="s">
        <v>62</v>
      </c>
      <c r="AL264" s="3" t="s">
        <v>62</v>
      </c>
      <c r="AM264" s="3" t="s">
        <v>84</v>
      </c>
    </row>
    <row r="265" spans="1:39" ht="15" customHeight="1" x14ac:dyDescent="0.2">
      <c r="A265" s="3" t="s">
        <v>747</v>
      </c>
      <c r="D265" s="3" t="s">
        <v>352</v>
      </c>
      <c r="E265" s="1" t="str">
        <f t="shared" si="40"/>
        <v>3</v>
      </c>
      <c r="F265" s="1" t="str">
        <f t="shared" si="41"/>
        <v>Stephan_etal_1981</v>
      </c>
      <c r="G265" s="1" t="str">
        <f t="shared" si="42"/>
        <v>Stephan</v>
      </c>
      <c r="H265" s="1" t="str">
        <f t="shared" si="43"/>
        <v>etal</v>
      </c>
      <c r="I265" s="1" t="str">
        <f t="shared" si="44"/>
        <v>1981</v>
      </c>
      <c r="J265" s="1" t="str">
        <f t="shared" si="45"/>
        <v>10.1159%2F000155963</v>
      </c>
      <c r="K265" s="1" t="str">
        <f t="shared" si="46"/>
        <v>Stephan_etal_1981_TableI</v>
      </c>
      <c r="L265" s="1" t="str">
        <f t="shared" si="47"/>
        <v>10.1159%2F000155963_TableI</v>
      </c>
      <c r="M265" s="1" t="str">
        <f t="array" ref="M265">IFERROR(INDEX(FileList!$A$1:$A$1000,MATCH(TRUE(),EXACT(L265,IFERROR(_xlfn.TEXTBEFORE(FileList!$A$1:$A$1000,".tsv"),"")),0)),"notfound")</f>
        <v>10.1159%2F000155963_TableI.tsv</v>
      </c>
      <c r="N265" s="3" t="s">
        <v>748</v>
      </c>
      <c r="V265" s="3" t="s">
        <v>41</v>
      </c>
      <c r="Y265" s="3" t="s">
        <v>99</v>
      </c>
      <c r="Z265" s="3" t="s">
        <v>99</v>
      </c>
      <c r="AF265" s="3" t="s">
        <v>79</v>
      </c>
      <c r="AG265" s="3" t="s">
        <v>111</v>
      </c>
      <c r="AI265" s="3" t="s">
        <v>749</v>
      </c>
      <c r="AJ265" s="3" t="s">
        <v>101</v>
      </c>
      <c r="AK265" s="3" t="s">
        <v>62</v>
      </c>
      <c r="AL265" s="3" t="s">
        <v>62</v>
      </c>
      <c r="AM265" s="3" t="s">
        <v>84</v>
      </c>
    </row>
    <row r="266" spans="1:39" ht="15" customHeight="1" x14ac:dyDescent="0.2">
      <c r="A266" s="3" t="s">
        <v>747</v>
      </c>
      <c r="D266" s="3" t="s">
        <v>750</v>
      </c>
      <c r="E266" s="1" t="str">
        <f t="shared" si="40"/>
        <v>3</v>
      </c>
      <c r="F266" s="1" t="str">
        <f t="shared" si="41"/>
        <v>Stephan_etal_1981</v>
      </c>
      <c r="G266" s="1" t="str">
        <f t="shared" si="42"/>
        <v>Stephan</v>
      </c>
      <c r="H266" s="1" t="str">
        <f t="shared" si="43"/>
        <v>etal</v>
      </c>
      <c r="I266" s="1" t="str">
        <f t="shared" si="44"/>
        <v>1981</v>
      </c>
      <c r="J266" s="1" t="str">
        <f t="shared" si="45"/>
        <v>10.1159%2F000155963</v>
      </c>
      <c r="K266" s="1" t="str">
        <f t="shared" si="46"/>
        <v>Stephan_etal_1981_TableII</v>
      </c>
      <c r="L266" s="1" t="str">
        <f t="shared" si="47"/>
        <v>10.1159%2F000155963_TableII</v>
      </c>
      <c r="M266" s="1" t="str">
        <f t="array" ref="M266">IFERROR(INDEX(FileList!$A$1:$A$1000,MATCH(TRUE(),EXACT(L266,IFERROR(_xlfn.TEXTBEFORE(FileList!$A$1:$A$1000,".tsv"),"")),0)),"notfound")</f>
        <v>10.1159%2F000155963_TableII.tsv</v>
      </c>
      <c r="N266" s="3" t="s">
        <v>751</v>
      </c>
      <c r="V266" s="3" t="s">
        <v>41</v>
      </c>
      <c r="Y266" s="3" t="s">
        <v>99</v>
      </c>
      <c r="Z266" s="3" t="s">
        <v>99</v>
      </c>
      <c r="AF266" s="3" t="s">
        <v>79</v>
      </c>
      <c r="AG266" s="3" t="s">
        <v>111</v>
      </c>
      <c r="AI266" s="3" t="s">
        <v>749</v>
      </c>
      <c r="AJ266" s="3" t="s">
        <v>101</v>
      </c>
      <c r="AK266" s="3" t="s">
        <v>62</v>
      </c>
      <c r="AL266" s="3" t="s">
        <v>62</v>
      </c>
      <c r="AM266" s="3" t="s">
        <v>84</v>
      </c>
    </row>
    <row r="267" spans="1:39" ht="15" customHeight="1" x14ac:dyDescent="0.2">
      <c r="A267" s="3" t="s">
        <v>747</v>
      </c>
      <c r="D267" s="3" t="s">
        <v>752</v>
      </c>
      <c r="E267" s="1" t="str">
        <f t="shared" si="40"/>
        <v>3</v>
      </c>
      <c r="F267" s="1" t="str">
        <f t="shared" si="41"/>
        <v>Stephan_etal_1981</v>
      </c>
      <c r="G267" s="1" t="str">
        <f t="shared" si="42"/>
        <v>Stephan</v>
      </c>
      <c r="H267" s="1" t="str">
        <f t="shared" si="43"/>
        <v>etal</v>
      </c>
      <c r="I267" s="1" t="str">
        <f t="shared" si="44"/>
        <v>1981</v>
      </c>
      <c r="J267" s="1" t="str">
        <f t="shared" si="45"/>
        <v>10.1159%2F000155963</v>
      </c>
      <c r="K267" s="1" t="str">
        <f t="shared" si="46"/>
        <v>Stephan_etal_1981_TableIII</v>
      </c>
      <c r="L267" s="1" t="str">
        <f t="shared" si="47"/>
        <v>10.1159%2F000155963_TableIII</v>
      </c>
      <c r="M267" s="1" t="str">
        <f t="array" ref="M267">IFERROR(INDEX(FileList!$A$1:$A$1000,MATCH(TRUE(),EXACT(L267,IFERROR(_xlfn.TEXTBEFORE(FileList!$A$1:$A$1000,".tsv"),"")),0)),"notfound")</f>
        <v>10.1159%2F000155963_TableIII.tsv</v>
      </c>
      <c r="N267" s="3" t="s">
        <v>753</v>
      </c>
      <c r="V267" s="3" t="s">
        <v>41</v>
      </c>
      <c r="Y267" s="3" t="s">
        <v>99</v>
      </c>
      <c r="Z267" s="3" t="s">
        <v>99</v>
      </c>
      <c r="AF267" s="3" t="s">
        <v>79</v>
      </c>
      <c r="AG267" s="3" t="s">
        <v>111</v>
      </c>
      <c r="AI267" s="3" t="s">
        <v>749</v>
      </c>
      <c r="AJ267" s="3" t="s">
        <v>101</v>
      </c>
      <c r="AK267" s="3" t="s">
        <v>62</v>
      </c>
      <c r="AL267" s="3" t="s">
        <v>62</v>
      </c>
      <c r="AM267" s="3" t="s">
        <v>84</v>
      </c>
    </row>
    <row r="268" spans="1:39" ht="15" customHeight="1" x14ac:dyDescent="0.2">
      <c r="A268" s="3" t="s">
        <v>747</v>
      </c>
      <c r="D268" s="3" t="s">
        <v>754</v>
      </c>
      <c r="E268" s="1" t="str">
        <f t="shared" si="40"/>
        <v>3</v>
      </c>
      <c r="F268" s="1" t="str">
        <f t="shared" si="41"/>
        <v>Stephan_etal_1981</v>
      </c>
      <c r="G268" s="1" t="str">
        <f t="shared" si="42"/>
        <v>Stephan</v>
      </c>
      <c r="H268" s="1" t="str">
        <f t="shared" si="43"/>
        <v>etal</v>
      </c>
      <c r="I268" s="1" t="str">
        <f t="shared" si="44"/>
        <v>1981</v>
      </c>
      <c r="J268" s="1" t="str">
        <f t="shared" si="45"/>
        <v>10.1159%2F000155963</v>
      </c>
      <c r="K268" s="1" t="str">
        <f t="shared" si="46"/>
        <v>Stephan_etal_1981_TableIV</v>
      </c>
      <c r="L268" s="1" t="str">
        <f t="shared" si="47"/>
        <v>10.1159%2F000155963_TableIV</v>
      </c>
      <c r="M268" s="1" t="str">
        <f t="array" ref="M268">IFERROR(INDEX(FileList!$A$1:$A$1000,MATCH(TRUE(),EXACT(L268,IFERROR(_xlfn.TEXTBEFORE(FileList!$A$1:$A$1000,".tsv"),"")),0)),"notfound")</f>
        <v>10.1159%2F000155963_TableIV.tsv</v>
      </c>
      <c r="N268" s="3" t="s">
        <v>755</v>
      </c>
      <c r="V268" s="3" t="s">
        <v>41</v>
      </c>
      <c r="Y268" s="3" t="s">
        <v>99</v>
      </c>
      <c r="Z268" s="3" t="s">
        <v>99</v>
      </c>
      <c r="AF268" s="3" t="s">
        <v>79</v>
      </c>
      <c r="AG268" s="3" t="s">
        <v>111</v>
      </c>
      <c r="AI268" s="3" t="s">
        <v>749</v>
      </c>
      <c r="AJ268" s="3" t="s">
        <v>101</v>
      </c>
      <c r="AK268" s="3" t="s">
        <v>62</v>
      </c>
      <c r="AL268" s="3" t="s">
        <v>62</v>
      </c>
      <c r="AM268" s="3" t="s">
        <v>84</v>
      </c>
    </row>
    <row r="269" spans="1:39" ht="15" customHeight="1" x14ac:dyDescent="0.2">
      <c r="A269" s="3" t="s">
        <v>747</v>
      </c>
      <c r="D269" s="3" t="s">
        <v>756</v>
      </c>
      <c r="E269" s="1" t="str">
        <f t="shared" si="40"/>
        <v>3</v>
      </c>
      <c r="F269" s="1" t="str">
        <f t="shared" si="41"/>
        <v>Stephan_etal_1981</v>
      </c>
      <c r="G269" s="1" t="str">
        <f t="shared" si="42"/>
        <v>Stephan</v>
      </c>
      <c r="H269" s="1" t="str">
        <f t="shared" si="43"/>
        <v>etal</v>
      </c>
      <c r="I269" s="1" t="str">
        <f t="shared" si="44"/>
        <v>1981</v>
      </c>
      <c r="J269" s="1" t="str">
        <f t="shared" si="45"/>
        <v>10.1159%2F000155963</v>
      </c>
      <c r="K269" s="1" t="str">
        <f t="shared" si="46"/>
        <v>Stephan_etal_1981_TableV</v>
      </c>
      <c r="L269" s="1" t="str">
        <f t="shared" si="47"/>
        <v>10.1159%2F000155963_TableV</v>
      </c>
      <c r="M269" s="1" t="str">
        <f t="array" ref="M269">IFERROR(INDEX(FileList!$A$1:$A$1000,MATCH(TRUE(),EXACT(L269,IFERROR(_xlfn.TEXTBEFORE(FileList!$A$1:$A$1000,".tsv"),"")),0)),"notfound")</f>
        <v>10.1159%2F000155963_TableV.tsv</v>
      </c>
      <c r="N269" s="3" t="s">
        <v>757</v>
      </c>
      <c r="V269" s="3" t="s">
        <v>41</v>
      </c>
      <c r="Y269" s="3" t="s">
        <v>99</v>
      </c>
      <c r="Z269" s="3" t="s">
        <v>99</v>
      </c>
      <c r="AF269" s="3" t="s">
        <v>79</v>
      </c>
      <c r="AG269" s="3" t="s">
        <v>111</v>
      </c>
      <c r="AI269" s="3" t="s">
        <v>749</v>
      </c>
      <c r="AJ269" s="3" t="s">
        <v>101</v>
      </c>
      <c r="AK269" s="3" t="s">
        <v>62</v>
      </c>
      <c r="AL269" s="3" t="s">
        <v>62</v>
      </c>
      <c r="AM269" s="3" t="s">
        <v>84</v>
      </c>
    </row>
    <row r="270" spans="1:39" ht="15" customHeight="1" x14ac:dyDescent="0.2">
      <c r="A270" s="3" t="s">
        <v>747</v>
      </c>
      <c r="D270" s="3" t="s">
        <v>758</v>
      </c>
      <c r="E270" s="1" t="str">
        <f t="shared" si="40"/>
        <v>3</v>
      </c>
      <c r="F270" s="1" t="str">
        <f t="shared" si="41"/>
        <v>Stephan_etal_1981</v>
      </c>
      <c r="G270" s="1" t="str">
        <f t="shared" si="42"/>
        <v>Stephan</v>
      </c>
      <c r="H270" s="1" t="str">
        <f t="shared" si="43"/>
        <v>etal</v>
      </c>
      <c r="I270" s="1" t="str">
        <f t="shared" si="44"/>
        <v>1981</v>
      </c>
      <c r="J270" s="1" t="str">
        <f t="shared" si="45"/>
        <v>10.1159%2F000155963</v>
      </c>
      <c r="K270" s="1" t="str">
        <f t="shared" si="46"/>
        <v>Stephan_etal_1981_TableVI</v>
      </c>
      <c r="L270" s="1" t="str">
        <f t="shared" si="47"/>
        <v>10.1159%2F000155963_TableVI</v>
      </c>
      <c r="M270" s="1" t="str">
        <f t="array" ref="M270">IFERROR(INDEX(FileList!$A$1:$A$1000,MATCH(TRUE(),EXACT(L270,IFERROR(_xlfn.TEXTBEFORE(FileList!$A$1:$A$1000,".tsv"),"")),0)),"notfound")</f>
        <v>10.1159%2F000155963_TableVI.tsv</v>
      </c>
      <c r="N270" s="3" t="s">
        <v>759</v>
      </c>
      <c r="V270" s="3" t="s">
        <v>41</v>
      </c>
      <c r="Y270" s="3" t="s">
        <v>99</v>
      </c>
      <c r="Z270" s="3" t="s">
        <v>99</v>
      </c>
      <c r="AF270" s="3" t="s">
        <v>79</v>
      </c>
      <c r="AG270" s="3" t="s">
        <v>111</v>
      </c>
      <c r="AI270" s="3" t="s">
        <v>749</v>
      </c>
      <c r="AJ270" s="3" t="s">
        <v>101</v>
      </c>
      <c r="AK270" s="3" t="s">
        <v>62</v>
      </c>
      <c r="AL270" s="3" t="s">
        <v>62</v>
      </c>
      <c r="AM270" s="3" t="s">
        <v>84</v>
      </c>
    </row>
    <row r="271" spans="1:39" ht="15" customHeight="1" x14ac:dyDescent="0.2">
      <c r="A271" s="3" t="s">
        <v>747</v>
      </c>
      <c r="C271" s="3"/>
      <c r="D271" s="3" t="s">
        <v>760</v>
      </c>
      <c r="E271" s="1" t="str">
        <f t="shared" si="40"/>
        <v>3</v>
      </c>
      <c r="F271" s="1" t="str">
        <f t="shared" si="41"/>
        <v>Stephan_etal_1981</v>
      </c>
      <c r="G271" s="1" t="str">
        <f t="shared" si="42"/>
        <v>Stephan</v>
      </c>
      <c r="H271" s="1" t="str">
        <f t="shared" si="43"/>
        <v>etal</v>
      </c>
      <c r="I271" s="1" t="str">
        <f t="shared" si="44"/>
        <v>1981</v>
      </c>
      <c r="J271" s="1" t="str">
        <f t="shared" si="45"/>
        <v>10.1159%2F000155963</v>
      </c>
      <c r="K271" s="1" t="str">
        <f t="shared" si="46"/>
        <v>Stephan_etal_1981_TableVII</v>
      </c>
      <c r="L271" s="1" t="str">
        <f t="shared" si="47"/>
        <v>10.1159%2F000155963_TableVII</v>
      </c>
      <c r="M271" s="1" t="str">
        <f t="array" ref="M271">IFERROR(INDEX(FileList!$A$1:$A$1000,MATCH(TRUE(),EXACT(L271,IFERROR(_xlfn.TEXTBEFORE(FileList!$A$1:$A$1000,".tsv"),"")),0)),"notfound")</f>
        <v>10.1159%2F000155963_TableVII.tsv</v>
      </c>
      <c r="N271" s="3" t="s">
        <v>761</v>
      </c>
      <c r="V271" s="3" t="s">
        <v>41</v>
      </c>
      <c r="Y271" s="3" t="s">
        <v>99</v>
      </c>
      <c r="Z271" s="3" t="s">
        <v>99</v>
      </c>
      <c r="AF271" s="3" t="s">
        <v>79</v>
      </c>
      <c r="AG271" s="3" t="s">
        <v>111</v>
      </c>
      <c r="AI271" s="3" t="s">
        <v>749</v>
      </c>
      <c r="AJ271" s="3" t="s">
        <v>101</v>
      </c>
      <c r="AK271" s="3" t="s">
        <v>62</v>
      </c>
      <c r="AL271" s="3" t="s">
        <v>62</v>
      </c>
      <c r="AM271" s="3" t="s">
        <v>84</v>
      </c>
    </row>
    <row r="272" spans="1:39" ht="15" customHeight="1" x14ac:dyDescent="0.2">
      <c r="A272" s="3" t="s">
        <v>747</v>
      </c>
      <c r="D272" s="3" t="s">
        <v>768</v>
      </c>
      <c r="E272" s="1" t="str">
        <f t="shared" si="40"/>
        <v>3</v>
      </c>
      <c r="F272" s="1" t="str">
        <f t="shared" si="41"/>
        <v>Stephan_etal_1981</v>
      </c>
      <c r="G272" s="1" t="str">
        <f t="shared" si="42"/>
        <v>Stephan</v>
      </c>
      <c r="H272" s="1" t="str">
        <f t="shared" si="43"/>
        <v>etal</v>
      </c>
      <c r="I272" s="1" t="str">
        <f t="shared" si="44"/>
        <v>1981</v>
      </c>
      <c r="J272" s="1" t="str">
        <f t="shared" si="45"/>
        <v>10.1159%2F000155963</v>
      </c>
      <c r="K272" s="1" t="str">
        <f t="shared" si="46"/>
        <v>Stephan_etal_1981_TableXI</v>
      </c>
      <c r="L272" s="1" t="str">
        <f t="shared" si="47"/>
        <v>10.1159%2F000155963_TableXI</v>
      </c>
      <c r="M272" s="1" t="str">
        <f t="array" ref="M272">IFERROR(INDEX(FileList!$A$1:$A$1000,MATCH(TRUE(),EXACT(L272,IFERROR(_xlfn.TEXTBEFORE(FileList!$A$1:$A$1000,".tsv"),"")),0)),"notfound")</f>
        <v>10.1159%2F000155963_TableXI.tsv</v>
      </c>
      <c r="N272" s="3" t="s">
        <v>769</v>
      </c>
      <c r="V272" s="3" t="s">
        <v>41</v>
      </c>
      <c r="Y272" s="3" t="s">
        <v>99</v>
      </c>
      <c r="Z272" s="3" t="s">
        <v>99</v>
      </c>
      <c r="AF272" s="3" t="s">
        <v>79</v>
      </c>
      <c r="AG272" s="3" t="s">
        <v>111</v>
      </c>
      <c r="AI272" s="3" t="s">
        <v>749</v>
      </c>
      <c r="AJ272" s="3" t="s">
        <v>101</v>
      </c>
      <c r="AK272" s="3" t="s">
        <v>62</v>
      </c>
      <c r="AL272" s="3" t="s">
        <v>62</v>
      </c>
      <c r="AM272" s="3" t="s">
        <v>84</v>
      </c>
    </row>
    <row r="273" spans="1:39" ht="15" customHeight="1" x14ac:dyDescent="0.2">
      <c r="A273" s="3" t="s">
        <v>747</v>
      </c>
      <c r="D273" s="3" t="s">
        <v>770</v>
      </c>
      <c r="E273" s="1" t="str">
        <f t="shared" si="40"/>
        <v>3</v>
      </c>
      <c r="F273" s="1" t="str">
        <f t="shared" si="41"/>
        <v>Stephan_etal_1981</v>
      </c>
      <c r="G273" s="1" t="str">
        <f t="shared" si="42"/>
        <v>Stephan</v>
      </c>
      <c r="H273" s="1" t="str">
        <f t="shared" si="43"/>
        <v>etal</v>
      </c>
      <c r="I273" s="1" t="str">
        <f t="shared" si="44"/>
        <v>1981</v>
      </c>
      <c r="J273" s="1" t="str">
        <f t="shared" si="45"/>
        <v>10.1159%2F000155963</v>
      </c>
      <c r="K273" s="1" t="str">
        <f t="shared" si="46"/>
        <v>Stephan_etal_1981_TableXII</v>
      </c>
      <c r="L273" s="1" t="str">
        <f t="shared" si="47"/>
        <v>10.1159%2F000155963_TableXII</v>
      </c>
      <c r="M273" s="1" t="str">
        <f t="array" ref="M273">IFERROR(INDEX(FileList!$A$1:$A$1000,MATCH(TRUE(),EXACT(L273,IFERROR(_xlfn.TEXTBEFORE(FileList!$A$1:$A$1000,".tsv"),"")),0)),"notfound")</f>
        <v>10.1159%2F000155963_TableXII.tsv</v>
      </c>
      <c r="N273" s="3" t="s">
        <v>771</v>
      </c>
      <c r="V273" s="3" t="s">
        <v>41</v>
      </c>
      <c r="Y273" s="3" t="s">
        <v>99</v>
      </c>
      <c r="Z273" s="3" t="s">
        <v>99</v>
      </c>
      <c r="AF273" s="3" t="s">
        <v>79</v>
      </c>
      <c r="AG273" s="3" t="s">
        <v>111</v>
      </c>
      <c r="AI273" s="3" t="s">
        <v>749</v>
      </c>
      <c r="AJ273" s="3" t="s">
        <v>101</v>
      </c>
      <c r="AK273" s="3" t="s">
        <v>62</v>
      </c>
      <c r="AL273" s="3" t="s">
        <v>62</v>
      </c>
      <c r="AM273" s="3" t="s">
        <v>84</v>
      </c>
    </row>
    <row r="274" spans="1:39" ht="15" customHeight="1" x14ac:dyDescent="0.2">
      <c r="A274" s="3" t="s">
        <v>747</v>
      </c>
      <c r="D274" s="3" t="s">
        <v>772</v>
      </c>
      <c r="E274" s="1" t="str">
        <f t="shared" si="40"/>
        <v>3</v>
      </c>
      <c r="F274" s="1" t="str">
        <f t="shared" si="41"/>
        <v>Stephan_etal_1981</v>
      </c>
      <c r="G274" s="1" t="str">
        <f t="shared" si="42"/>
        <v>Stephan</v>
      </c>
      <c r="H274" s="1" t="str">
        <f t="shared" si="43"/>
        <v>etal</v>
      </c>
      <c r="I274" s="1" t="str">
        <f t="shared" si="44"/>
        <v>1981</v>
      </c>
      <c r="J274" s="1" t="str">
        <f t="shared" si="45"/>
        <v>10.1159%2F000155963</v>
      </c>
      <c r="K274" s="1" t="str">
        <f t="shared" si="46"/>
        <v>Stephan_etal_1981_TableXIII</v>
      </c>
      <c r="L274" s="1" t="str">
        <f t="shared" si="47"/>
        <v>10.1159%2F000155963_TableXIII</v>
      </c>
      <c r="M274" s="1" t="str">
        <f t="array" ref="M274">IFERROR(INDEX(FileList!$A$1:$A$1000,MATCH(TRUE(),EXACT(L274,IFERROR(_xlfn.TEXTBEFORE(FileList!$A$1:$A$1000,".tsv"),"")),0)),"notfound")</f>
        <v>10.1159%2F000155963_TableXIII.tsv</v>
      </c>
      <c r="N274" s="3" t="s">
        <v>773</v>
      </c>
      <c r="V274" s="3" t="s">
        <v>41</v>
      </c>
      <c r="Y274" s="3" t="s">
        <v>99</v>
      </c>
      <c r="Z274" s="3" t="s">
        <v>99</v>
      </c>
      <c r="AF274" s="3" t="s">
        <v>79</v>
      </c>
      <c r="AG274" s="3" t="s">
        <v>111</v>
      </c>
      <c r="AI274" s="3" t="s">
        <v>749</v>
      </c>
      <c r="AJ274" s="3" t="s">
        <v>101</v>
      </c>
      <c r="AK274" s="3" t="s">
        <v>62</v>
      </c>
      <c r="AL274" s="3" t="s">
        <v>62</v>
      </c>
      <c r="AM274" s="3" t="s">
        <v>84</v>
      </c>
    </row>
    <row r="275" spans="1:39" ht="15" customHeight="1" x14ac:dyDescent="0.2">
      <c r="A275" s="3" t="s">
        <v>747</v>
      </c>
      <c r="D275" s="3" t="s">
        <v>774</v>
      </c>
      <c r="E275" s="1" t="str">
        <f t="shared" si="40"/>
        <v>3</v>
      </c>
      <c r="F275" s="1" t="str">
        <f t="shared" si="41"/>
        <v>Stephan_etal_1981</v>
      </c>
      <c r="G275" s="1" t="str">
        <f t="shared" si="42"/>
        <v>Stephan</v>
      </c>
      <c r="H275" s="1" t="str">
        <f t="shared" si="43"/>
        <v>etal</v>
      </c>
      <c r="I275" s="1" t="str">
        <f t="shared" si="44"/>
        <v>1981</v>
      </c>
      <c r="J275" s="1" t="str">
        <f t="shared" si="45"/>
        <v>10.1159%2F000155963</v>
      </c>
      <c r="K275" s="1" t="str">
        <f t="shared" si="46"/>
        <v>Stephan_etal_1981_TableXIV</v>
      </c>
      <c r="L275" s="1" t="str">
        <f t="shared" si="47"/>
        <v>10.1159%2F000155963_TableXIV</v>
      </c>
      <c r="M275" s="1" t="str">
        <f t="array" ref="M275">IFERROR(INDEX(FileList!$A$1:$A$1000,MATCH(TRUE(),EXACT(L275,IFERROR(_xlfn.TEXTBEFORE(FileList!$A$1:$A$1000,".tsv"),"")),0)),"notfound")</f>
        <v>10.1159%2F000155963_TableXIV.tsv</v>
      </c>
      <c r="N275" s="3" t="s">
        <v>775</v>
      </c>
      <c r="V275" s="3" t="s">
        <v>41</v>
      </c>
      <c r="Y275" s="3" t="s">
        <v>99</v>
      </c>
      <c r="Z275" s="3" t="s">
        <v>99</v>
      </c>
      <c r="AF275" s="3" t="s">
        <v>79</v>
      </c>
      <c r="AG275" s="3" t="s">
        <v>111</v>
      </c>
      <c r="AI275" s="3" t="s">
        <v>749</v>
      </c>
      <c r="AJ275" s="3" t="s">
        <v>101</v>
      </c>
      <c r="AK275" s="3" t="s">
        <v>62</v>
      </c>
      <c r="AL275" s="3" t="s">
        <v>62</v>
      </c>
      <c r="AM275" s="3" t="s">
        <v>84</v>
      </c>
    </row>
    <row r="276" spans="1:39" ht="15" customHeight="1" x14ac:dyDescent="0.2">
      <c r="A276" s="3" t="s">
        <v>747</v>
      </c>
      <c r="D276" s="3" t="s">
        <v>776</v>
      </c>
      <c r="E276" s="1" t="str">
        <f t="shared" si="40"/>
        <v>3</v>
      </c>
      <c r="F276" s="1" t="str">
        <f t="shared" si="41"/>
        <v>Stephan_etal_1981</v>
      </c>
      <c r="G276" s="1" t="str">
        <f t="shared" si="42"/>
        <v>Stephan</v>
      </c>
      <c r="H276" s="1" t="str">
        <f t="shared" si="43"/>
        <v>etal</v>
      </c>
      <c r="I276" s="1" t="str">
        <f t="shared" si="44"/>
        <v>1981</v>
      </c>
      <c r="J276" s="1" t="str">
        <f t="shared" si="45"/>
        <v>10.1159%2F000155963</v>
      </c>
      <c r="K276" s="1" t="str">
        <f t="shared" si="46"/>
        <v>Stephan_etal_1981_TableXV</v>
      </c>
      <c r="L276" s="1" t="str">
        <f t="shared" si="47"/>
        <v>10.1159%2F000155963_TableXV</v>
      </c>
      <c r="M276" s="1" t="str">
        <f t="array" ref="M276">IFERROR(INDEX(FileList!$A$1:$A$1000,MATCH(TRUE(),EXACT(L276,IFERROR(_xlfn.TEXTBEFORE(FileList!$A$1:$A$1000,".tsv"),"")),0)),"notfound")</f>
        <v>10.1159%2F000155963_TableXV.tsv</v>
      </c>
      <c r="N276" s="3" t="s">
        <v>777</v>
      </c>
      <c r="V276" s="3" t="s">
        <v>41</v>
      </c>
      <c r="Y276" s="3" t="s">
        <v>99</v>
      </c>
      <c r="Z276" s="3" t="s">
        <v>99</v>
      </c>
      <c r="AF276" s="3" t="s">
        <v>79</v>
      </c>
      <c r="AG276" s="3" t="s">
        <v>111</v>
      </c>
      <c r="AI276" s="3" t="s">
        <v>749</v>
      </c>
      <c r="AJ276" s="3" t="s">
        <v>101</v>
      </c>
      <c r="AK276" s="3" t="s">
        <v>62</v>
      </c>
      <c r="AL276" s="3" t="s">
        <v>62</v>
      </c>
      <c r="AM276" s="3" t="s">
        <v>84</v>
      </c>
    </row>
    <row r="277" spans="1:39" x14ac:dyDescent="0.2">
      <c r="A277" s="3" t="s">
        <v>747</v>
      </c>
      <c r="D277" s="3" t="s">
        <v>778</v>
      </c>
      <c r="E277" s="1" t="str">
        <f t="shared" si="40"/>
        <v>3</v>
      </c>
      <c r="F277" s="1" t="str">
        <f t="shared" si="41"/>
        <v>Stephan_etal_1981</v>
      </c>
      <c r="G277" s="1" t="str">
        <f t="shared" si="42"/>
        <v>Stephan</v>
      </c>
      <c r="H277" s="1" t="str">
        <f t="shared" si="43"/>
        <v>etal</v>
      </c>
      <c r="I277" s="1" t="str">
        <f t="shared" si="44"/>
        <v>1981</v>
      </c>
      <c r="J277" s="1" t="str">
        <f t="shared" si="45"/>
        <v>10.1159%2F000155963</v>
      </c>
      <c r="K277" s="1" t="str">
        <f t="shared" si="46"/>
        <v>Stephan_etal_1981_TableXVI</v>
      </c>
      <c r="L277" s="1" t="str">
        <f t="shared" si="47"/>
        <v>10.1159%2F000155963_TableXVI</v>
      </c>
      <c r="M277" s="1" t="str">
        <f t="array" ref="M277">IFERROR(INDEX(FileList!$A$1:$A$1000,MATCH(TRUE(),EXACT(L277,IFERROR(_xlfn.TEXTBEFORE(FileList!$A$1:$A$1000,".tsv"),"")),0)),"notfound")</f>
        <v>10.1159%2F000155963_TableXVI.tsv</v>
      </c>
      <c r="N277" s="3" t="s">
        <v>779</v>
      </c>
      <c r="V277" s="3" t="s">
        <v>41</v>
      </c>
      <c r="Y277" s="3" t="s">
        <v>99</v>
      </c>
      <c r="Z277" s="3" t="s">
        <v>99</v>
      </c>
      <c r="AF277" s="3" t="s">
        <v>79</v>
      </c>
      <c r="AG277" s="3" t="s">
        <v>111</v>
      </c>
      <c r="AI277" s="3" t="s">
        <v>749</v>
      </c>
      <c r="AJ277" s="3" t="s">
        <v>101</v>
      </c>
      <c r="AK277" s="3" t="s">
        <v>62</v>
      </c>
      <c r="AL277" s="3" t="s">
        <v>62</v>
      </c>
      <c r="AM277" s="3" t="s">
        <v>84</v>
      </c>
    </row>
    <row r="278" spans="1:39" x14ac:dyDescent="0.2">
      <c r="A278" s="3" t="s">
        <v>747</v>
      </c>
      <c r="C278" s="3"/>
      <c r="D278" s="3" t="s">
        <v>780</v>
      </c>
      <c r="E278" s="1" t="str">
        <f t="shared" si="40"/>
        <v>3</v>
      </c>
      <c r="F278" s="1" t="str">
        <f t="shared" si="41"/>
        <v>Stephan_etal_1981</v>
      </c>
      <c r="G278" s="1" t="str">
        <f t="shared" si="42"/>
        <v>Stephan</v>
      </c>
      <c r="H278" s="1" t="str">
        <f t="shared" si="43"/>
        <v>etal</v>
      </c>
      <c r="I278" s="1" t="str">
        <f t="shared" si="44"/>
        <v>1981</v>
      </c>
      <c r="J278" s="1" t="str">
        <f t="shared" si="45"/>
        <v>10.1159%2F000155963</v>
      </c>
      <c r="K278" s="1" t="str">
        <f t="shared" si="46"/>
        <v>Stephan_etal_1981_TablesI-VI</v>
      </c>
      <c r="L278" s="1" t="str">
        <f t="shared" si="47"/>
        <v>10.1159%2F000155963_TablesI-VI</v>
      </c>
      <c r="M278" s="1" t="str">
        <f t="array" ref="M278">IFERROR(INDEX(FileList!$A$1:$A$1000,MATCH(TRUE(),EXACT(L278,IFERROR(_xlfn.TEXTBEFORE(FileList!$A$1:$A$1000,".tsv"),"")),0)),"notfound")</f>
        <v>10.1159%2F000155963_TablesI-VI.tsv</v>
      </c>
      <c r="O278" s="3" t="s">
        <v>781</v>
      </c>
      <c r="P278" s="3" t="s">
        <v>40</v>
      </c>
      <c r="V278" s="3" t="s">
        <v>41</v>
      </c>
      <c r="Y278" s="3" t="s">
        <v>99</v>
      </c>
      <c r="Z278" s="3" t="s">
        <v>99</v>
      </c>
      <c r="AF278" s="3" t="s">
        <v>79</v>
      </c>
      <c r="AG278" s="3" t="s">
        <v>111</v>
      </c>
      <c r="AI278" s="3" t="s">
        <v>749</v>
      </c>
      <c r="AJ278" s="3" t="s">
        <v>101</v>
      </c>
      <c r="AK278" s="3" t="s">
        <v>62</v>
      </c>
      <c r="AL278" s="3" t="s">
        <v>62</v>
      </c>
      <c r="AM278" s="3" t="s">
        <v>84</v>
      </c>
    </row>
    <row r="279" spans="1:39" x14ac:dyDescent="0.2">
      <c r="A279" s="4" t="s">
        <v>747</v>
      </c>
      <c r="C279" s="3"/>
      <c r="D279" s="3" t="s">
        <v>762</v>
      </c>
      <c r="E279" s="1" t="str">
        <f t="shared" si="40"/>
        <v>3</v>
      </c>
      <c r="F279" s="1" t="str">
        <f t="shared" si="41"/>
        <v>Stephan_etal_1981</v>
      </c>
      <c r="G279" s="1" t="str">
        <f t="shared" si="42"/>
        <v>Stephan</v>
      </c>
      <c r="H279" s="1" t="str">
        <f t="shared" si="43"/>
        <v>etal</v>
      </c>
      <c r="I279" s="1" t="str">
        <f t="shared" si="44"/>
        <v>1981</v>
      </c>
      <c r="J279" s="1" t="str">
        <f t="shared" si="45"/>
        <v>10.1159%2F000155963</v>
      </c>
      <c r="K279" s="1" t="str">
        <f t="shared" si="46"/>
        <v>Stephan_etal_1981_TableVIII</v>
      </c>
      <c r="L279" s="1" t="str">
        <f t="shared" si="47"/>
        <v>10.1159%2F000155963_TableVIII</v>
      </c>
      <c r="M279" s="1" t="str">
        <f t="array" ref="M279">IFERROR(INDEX(FileList!$A$1:$A$1000,MATCH(TRUE(),EXACT(L279,IFERROR(_xlfn.TEXTBEFORE(FileList!$A$1:$A$1000,".tsv"),"")),0)),"notfound")</f>
        <v>10.1159%2F000155963_TableVIII.tsv</v>
      </c>
      <c r="N279" s="3" t="s">
        <v>763</v>
      </c>
    </row>
    <row r="280" spans="1:39" x14ac:dyDescent="0.2">
      <c r="A280" s="4" t="s">
        <v>747</v>
      </c>
      <c r="C280" s="3"/>
      <c r="D280" s="3" t="s">
        <v>764</v>
      </c>
      <c r="E280" s="1" t="str">
        <f t="shared" si="40"/>
        <v>3</v>
      </c>
      <c r="F280" s="1" t="str">
        <f t="shared" si="41"/>
        <v>Stephan_etal_1981</v>
      </c>
      <c r="G280" s="1" t="str">
        <f t="shared" si="42"/>
        <v>Stephan</v>
      </c>
      <c r="H280" s="1" t="str">
        <f t="shared" si="43"/>
        <v>etal</v>
      </c>
      <c r="I280" s="1" t="str">
        <f t="shared" si="44"/>
        <v>1981</v>
      </c>
      <c r="J280" s="1" t="str">
        <f t="shared" si="45"/>
        <v>10.1159%2F000155963</v>
      </c>
      <c r="K280" s="1" t="str">
        <f t="shared" si="46"/>
        <v>Stephan_etal_1981_TableIX</v>
      </c>
      <c r="L280" s="1" t="str">
        <f t="shared" si="47"/>
        <v>10.1159%2F000155963_TableIX</v>
      </c>
      <c r="M280" s="1" t="str">
        <f t="array" ref="M280">IFERROR(INDEX(FileList!$A$1:$A$1000,MATCH(TRUE(),EXACT(L280,IFERROR(_xlfn.TEXTBEFORE(FileList!$A$1:$A$1000,".tsv"),"")),0)),"notfound")</f>
        <v>10.1159%2F000155963_TableIX.tsv</v>
      </c>
      <c r="N280" s="3" t="s">
        <v>765</v>
      </c>
    </row>
    <row r="281" spans="1:39" x14ac:dyDescent="0.2">
      <c r="A281" s="4" t="s">
        <v>747</v>
      </c>
      <c r="C281" s="3"/>
      <c r="D281" s="3" t="s">
        <v>766</v>
      </c>
      <c r="E281" s="1" t="str">
        <f t="shared" si="40"/>
        <v>3</v>
      </c>
      <c r="F281" s="1" t="str">
        <f t="shared" si="41"/>
        <v>Stephan_etal_1981</v>
      </c>
      <c r="G281" s="1" t="str">
        <f t="shared" si="42"/>
        <v>Stephan</v>
      </c>
      <c r="H281" s="1" t="str">
        <f t="shared" si="43"/>
        <v>etal</v>
      </c>
      <c r="I281" s="1" t="str">
        <f t="shared" si="44"/>
        <v>1981</v>
      </c>
      <c r="J281" s="1" t="str">
        <f t="shared" si="45"/>
        <v>10.1159%2F000155963</v>
      </c>
      <c r="K281" s="1" t="str">
        <f t="shared" si="46"/>
        <v>Stephan_etal_1981_TableX</v>
      </c>
      <c r="L281" s="1" t="str">
        <f t="shared" si="47"/>
        <v>10.1159%2F000155963_TableX</v>
      </c>
      <c r="M281" s="1" t="str">
        <f t="array" ref="M281">IFERROR(INDEX(FileList!$A$1:$A$1000,MATCH(TRUE(),EXACT(L281,IFERROR(_xlfn.TEXTBEFORE(FileList!$A$1:$A$1000,".tsv"),"")),0)),"notfound")</f>
        <v>10.1159%2F000155963_TableX.tsv</v>
      </c>
      <c r="N281" s="3" t="s">
        <v>767</v>
      </c>
    </row>
    <row r="282" spans="1:39" x14ac:dyDescent="0.2">
      <c r="A282" s="3" t="s">
        <v>782</v>
      </c>
      <c r="D282" s="3" t="s">
        <v>783</v>
      </c>
      <c r="E282" s="1" t="str">
        <f t="shared" si="40"/>
        <v>8</v>
      </c>
      <c r="F282" s="1" t="str">
        <f t="shared" si="41"/>
        <v>Stimpson_etal_2015</v>
      </c>
      <c r="G282" s="1" t="str">
        <f t="shared" si="42"/>
        <v>Stimpson</v>
      </c>
      <c r="H282" s="1" t="str">
        <f t="shared" si="43"/>
        <v>etal</v>
      </c>
      <c r="I282" s="1" t="str">
        <f t="shared" si="44"/>
        <v>2015</v>
      </c>
      <c r="J282" s="1" t="str">
        <f t="shared" si="45"/>
        <v>10.1093%2Fscan%2Fnsv128</v>
      </c>
      <c r="K282" s="1" t="str">
        <f t="shared" si="46"/>
        <v>Stimpson_etal_2015_TableS1</v>
      </c>
      <c r="L282" s="1" t="str">
        <f t="shared" si="47"/>
        <v>10.1093%2Fscan%2Fnsv128_TableS1</v>
      </c>
      <c r="M282" s="1" t="str">
        <f t="array" ref="M282">IFERROR(INDEX(FileList!$A$1:$A$1000,MATCH(TRUE(),EXACT(L282,IFERROR(_xlfn.TEXTBEFORE(FileList!$A$1:$A$1000,".tsv"),"")),0)),"notfound")</f>
        <v>10.1093%2Fscan%2Fnsv128_TableS1.tsv</v>
      </c>
      <c r="N282" s="3" t="s">
        <v>783</v>
      </c>
      <c r="P282" s="3" t="s">
        <v>40</v>
      </c>
      <c r="V282" s="3" t="s">
        <v>41</v>
      </c>
      <c r="Y282" s="3" t="s">
        <v>679</v>
      </c>
      <c r="Z282" s="3" t="s">
        <v>679</v>
      </c>
      <c r="AF282" s="3" t="s">
        <v>79</v>
      </c>
      <c r="AG282" s="3" t="s">
        <v>111</v>
      </c>
      <c r="AL282" s="3" t="s">
        <v>62</v>
      </c>
      <c r="AM282" s="3" t="s">
        <v>84</v>
      </c>
    </row>
    <row r="283" spans="1:39" x14ac:dyDescent="0.2">
      <c r="A283" s="3" t="s">
        <v>782</v>
      </c>
      <c r="D283" s="3" t="s">
        <v>784</v>
      </c>
      <c r="E283" s="1" t="str">
        <f t="shared" si="40"/>
        <v>8</v>
      </c>
      <c r="F283" s="1" t="str">
        <f t="shared" si="41"/>
        <v>Stimpson_etal_2015</v>
      </c>
      <c r="G283" s="1" t="str">
        <f t="shared" si="42"/>
        <v>Stimpson</v>
      </c>
      <c r="H283" s="1" t="str">
        <f t="shared" si="43"/>
        <v>etal</v>
      </c>
      <c r="I283" s="1" t="str">
        <f t="shared" si="44"/>
        <v>2015</v>
      </c>
      <c r="J283" s="1" t="str">
        <f t="shared" si="45"/>
        <v>10.1093%2Fscan%2Fnsv128</v>
      </c>
      <c r="K283" s="1" t="str">
        <f t="shared" si="46"/>
        <v>Stimpson_etal_2015_TableS2</v>
      </c>
      <c r="L283" s="1" t="str">
        <f t="shared" si="47"/>
        <v>10.1093%2Fscan%2Fnsv128_TableS2</v>
      </c>
      <c r="M283" s="1" t="str">
        <f t="array" ref="M283">IFERROR(INDEX(FileList!$A$1:$A$1000,MATCH(TRUE(),EXACT(L283,IFERROR(_xlfn.TEXTBEFORE(FileList!$A$1:$A$1000,".tsv"),"")),0)),"notfound")</f>
        <v>10.1093%2Fscan%2Fnsv128_TableS2.tsv</v>
      </c>
      <c r="N283" s="3" t="s">
        <v>784</v>
      </c>
      <c r="P283" s="3" t="s">
        <v>40</v>
      </c>
      <c r="V283" s="3" t="s">
        <v>41</v>
      </c>
      <c r="Y283" s="3" t="s">
        <v>679</v>
      </c>
      <c r="Z283" s="3" t="s">
        <v>679</v>
      </c>
      <c r="AF283" s="3" t="s">
        <v>79</v>
      </c>
      <c r="AG283" s="3" t="s">
        <v>111</v>
      </c>
      <c r="AL283" s="3" t="s">
        <v>62</v>
      </c>
      <c r="AM283" s="3" t="s">
        <v>84</v>
      </c>
    </row>
    <row r="284" spans="1:39" x14ac:dyDescent="0.2">
      <c r="A284" s="3" t="s">
        <v>785</v>
      </c>
      <c r="D284" s="3" t="s">
        <v>76</v>
      </c>
      <c r="E284" s="1" t="str">
        <f t="shared" si="40"/>
        <v>2</v>
      </c>
      <c r="F284" s="1" t="str">
        <f t="shared" si="41"/>
        <v>Turner_etal_2016</v>
      </c>
      <c r="G284" s="1" t="str">
        <f t="shared" si="42"/>
        <v>Turner</v>
      </c>
      <c r="H284" s="1" t="str">
        <f t="shared" si="43"/>
        <v>etal</v>
      </c>
      <c r="I284" s="1" t="str">
        <f t="shared" si="44"/>
        <v>2016</v>
      </c>
      <c r="J284" s="1" t="str">
        <f t="shared" si="45"/>
        <v>10.1159%2F000446762</v>
      </c>
      <c r="K284" s="1" t="str">
        <f t="shared" si="46"/>
        <v>Turner_etal_2016_Table1</v>
      </c>
      <c r="L284" s="1" t="str">
        <f t="shared" si="47"/>
        <v>10.1159%2F000446762_Table1</v>
      </c>
      <c r="M284" s="1" t="str">
        <f t="array" ref="M284">IFERROR(INDEX(FileList!$A$1:$A$1000,MATCH(TRUE(),EXACT(L284,IFERROR(_xlfn.TEXTBEFORE(FileList!$A$1:$A$1000,".tsv"),"")),0)),"notfound")</f>
        <v>10.1159%2F000446762_Table1.tsv</v>
      </c>
      <c r="N284" s="3" t="s">
        <v>786</v>
      </c>
      <c r="AI284" s="3" t="s">
        <v>787</v>
      </c>
      <c r="AJ284" s="3" t="s">
        <v>139</v>
      </c>
      <c r="AL284" s="3" t="s">
        <v>62</v>
      </c>
      <c r="AM284" s="3" t="s">
        <v>126</v>
      </c>
    </row>
    <row r="285" spans="1:39" x14ac:dyDescent="0.2">
      <c r="A285" s="3" t="s">
        <v>788</v>
      </c>
      <c r="C285" s="3" t="s">
        <v>789</v>
      </c>
      <c r="D285" s="3" t="s">
        <v>790</v>
      </c>
      <c r="E285" s="1" t="str">
        <f t="shared" si="40"/>
        <v>.</v>
      </c>
      <c r="F285" s="1" t="str">
        <f t="shared" si="41"/>
        <v>Weaver__2001</v>
      </c>
      <c r="G285" s="1" t="str">
        <f t="shared" si="42"/>
        <v>Weaver</v>
      </c>
      <c r="H285" s="1" t="str">
        <f t="shared" si="43"/>
        <v/>
      </c>
      <c r="I285" s="1" t="str">
        <f t="shared" si="44"/>
        <v>2001</v>
      </c>
      <c r="J285" s="1" t="str">
        <f t="shared" si="45"/>
        <v>UMI%3A3017523</v>
      </c>
      <c r="K285" s="1" t="str">
        <f t="shared" si="46"/>
        <v>Weaver__2001_NotesforTableA-15</v>
      </c>
      <c r="L285" s="1" t="str">
        <f t="shared" si="47"/>
        <v>UMI%3A3017523_NotesforTableA-15</v>
      </c>
      <c r="M285" s="1" t="str">
        <f t="array" ref="M285">IFERROR(INDEX(FileList!$A$1:$A$1000,MATCH(TRUE(),EXACT(L285,IFERROR(_xlfn.TEXTBEFORE(FileList!$A$1:$A$1000,".tsv"),"")),0)),"notfound")</f>
        <v>UMI%3A3017523_NotesforTableA-15.tsv</v>
      </c>
      <c r="N285" s="3" t="s">
        <v>790</v>
      </c>
    </row>
    <row r="286" spans="1:39" x14ac:dyDescent="0.2">
      <c r="A286" s="3" t="s">
        <v>788</v>
      </c>
      <c r="C286" s="3" t="s">
        <v>789</v>
      </c>
      <c r="D286" s="3" t="s">
        <v>791</v>
      </c>
      <c r="E286" s="1" t="str">
        <f t="shared" si="40"/>
        <v>.</v>
      </c>
      <c r="F286" s="1" t="str">
        <f t="shared" si="41"/>
        <v>Weaver__2001</v>
      </c>
      <c r="G286" s="1" t="str">
        <f t="shared" si="42"/>
        <v>Weaver</v>
      </c>
      <c r="H286" s="1" t="str">
        <f t="shared" si="43"/>
        <v/>
      </c>
      <c r="I286" s="1" t="str">
        <f t="shared" si="44"/>
        <v>2001</v>
      </c>
      <c r="J286" s="1" t="str">
        <f t="shared" si="45"/>
        <v>UMI%3A3017523</v>
      </c>
      <c r="K286" s="1" t="str">
        <f t="shared" si="46"/>
        <v>Weaver__2001_TableA-15</v>
      </c>
      <c r="L286" s="1" t="str">
        <f t="shared" si="47"/>
        <v>UMI%3A3017523_TableA-15</v>
      </c>
      <c r="M286" s="1" t="str">
        <f t="array" ref="M286">IFERROR(INDEX(FileList!$A$1:$A$1000,MATCH(TRUE(),EXACT(L286,IFERROR(_xlfn.TEXTBEFORE(FileList!$A$1:$A$1000,".tsv"),"")),0)),"notfound")</f>
        <v>UMI%3A3017523_TableA-15.tsv</v>
      </c>
      <c r="N286" s="3" t="s">
        <v>792</v>
      </c>
    </row>
    <row r="287" spans="1:39" x14ac:dyDescent="0.2">
      <c r="A287" s="3" t="s">
        <v>788</v>
      </c>
      <c r="C287" s="3" t="s">
        <v>789</v>
      </c>
      <c r="D287" s="3" t="s">
        <v>824</v>
      </c>
      <c r="E287" s="1" t="str">
        <f t="shared" ref="E287:E295" si="248">RIGHT(A287,1)</f>
        <v>.</v>
      </c>
      <c r="F287" s="1" t="str">
        <f t="shared" ref="F287:F295" si="249">G287 &amp; IF(H287&lt;&gt;"", "_" &amp; H287, "_") &amp; IF(I287&lt;&gt;"", "_" &amp; I287, "_") &amp; IF(B287&lt;&gt;"", "_" &amp; B287, "")</f>
        <v>Weaver__2001</v>
      </c>
      <c r="G287" s="1" t="str">
        <f t="shared" ref="G287:G295" si="250">SUBSTITUTE(SUBSTITUTE(_xlfn.TEXTBEFORE(A287,","), "-", ""), " ", "")</f>
        <v>Weaver</v>
      </c>
      <c r="H287" s="1" t="str">
        <f t="shared" ref="H287:H295" si="251">_xlfn.LET(
_xlpm.authors,_xlfn.TEXTBEFORE(A287," ("&amp;I287&amp;")"),
_xlpm.hasAmp,ISNUMBER(SEARCH("&amp;",_xlpm.authors)),
_xlpm.commasBeforeAmp,IF(_xlpm.hasAmp,LEN(_xlfn.TEXTBEFORE(_xlpm.authors,"&amp;"))-LEN(SUBSTITUTE(_xlfn.TEXTBEFORE(_xlpm.authors,"&amp;"),",","")),0),
IF(NOT(_xlpm.hasAmp),"",IF(_xlpm.commasBeforeAmp&gt;2,"etal",TRIM(_xlfn.TEXTBEFORE(_xlfn.TEXTAFTER(_xlpm.authors,"&amp; "),","))))
)</f>
        <v/>
      </c>
      <c r="I287" s="1" t="str">
        <f t="shared" ref="I287:I295" si="252">_xlfn.TEXTBEFORE(_xlfn.TEXTAFTER(A287, "("), ")")</f>
        <v>2001</v>
      </c>
      <c r="J287" s="1" t="str">
        <f t="shared" ref="J287:J295" si="253">_xlfn.LET(
_xlpm.doi,IF(C287&lt;&gt;"",C287,_xlfn.TEXTAFTER(A287,"https://doi.org/")),
SUBSTITUTE(
SUBSTITUTE(
SUBSTITUTE(
SUBSTITUTE(
_xlpm.doi,
"/","%2F"),
":","%3A"),
"&lt;","%3C"),
"&gt;","%3E")
)</f>
        <v>UMI%3A3017523</v>
      </c>
      <c r="K287" s="1" t="str">
        <f t="shared" ref="K287:K295" si="254">TRIM(_xlfn.TEXTJOIN("_",FALSE(),F287,(SUBSTITUTE(SUBSTITUTE(D287," ",""), "_", ""))))</f>
        <v>Weaver__2001_TableA-11</v>
      </c>
      <c r="L287" s="1" t="str">
        <f t="shared" ref="L287:L295" si="255">J287 &amp; "_" &amp; SUBSTITUTE(SUBSTITUTE(SUBSTITUTE(D287,CHAR(160),"")," ",""),"_","")</f>
        <v>UMI%3A3017523_TableA-11</v>
      </c>
      <c r="M287" s="1" t="str">
        <f t="array" ref="M287">IFERROR(INDEX(FileList!$A$1:$A$1000,MATCH(TRUE(),EXACT(L287,IFERROR(_xlfn.TEXTBEFORE(FileList!$A$1:$A$1000,".tsv"),"")),0)),"notfound")</f>
        <v>UMI%3A3017523_TableA-11.tsv</v>
      </c>
      <c r="N287" s="3" t="s">
        <v>825</v>
      </c>
    </row>
    <row r="288" spans="1:39" x14ac:dyDescent="0.2">
      <c r="A288" s="3" t="s">
        <v>870</v>
      </c>
      <c r="C288" s="3"/>
      <c r="D288" s="3"/>
      <c r="E288" s="1" t="str">
        <f t="shared" si="248"/>
        <v>2</v>
      </c>
      <c r="F288" s="1" t="str">
        <f t="shared" si="249"/>
        <v>Weaver__2005</v>
      </c>
      <c r="G288" s="1" t="str">
        <f t="shared" si="250"/>
        <v>Weaver</v>
      </c>
      <c r="H288" s="1" t="str">
        <f t="shared" si="251"/>
        <v/>
      </c>
      <c r="I288" s="1" t="str">
        <f t="shared" si="252"/>
        <v>2005</v>
      </c>
      <c r="J288" s="1" t="str">
        <f t="shared" si="253"/>
        <v>10.1073%2Fpnas.0500692102</v>
      </c>
      <c r="K288" s="1" t="str">
        <f t="shared" si="254"/>
        <v>Weaver__2005_</v>
      </c>
      <c r="L288" s="1" t="str">
        <f t="shared" si="255"/>
        <v>10.1073%2Fpnas.0500692102_</v>
      </c>
      <c r="M288" s="1" t="str">
        <f t="array" ref="M288">IFERROR(INDEX(FileList!$A$1:$A$1000,MATCH(TRUE(),EXACT(L288,IFERROR(_xlfn.TEXTBEFORE(FileList!$A$1:$A$1000,".tsv"),"")),0)),"notfound")</f>
        <v>notfound</v>
      </c>
      <c r="N288" s="3"/>
      <c r="O288" s="4" t="s">
        <v>871</v>
      </c>
    </row>
    <row r="289" spans="1:39" x14ac:dyDescent="0.2">
      <c r="A289" s="3" t="s">
        <v>793</v>
      </c>
      <c r="D289" s="3" t="s">
        <v>794</v>
      </c>
      <c r="E289" s="1" t="str">
        <f t="shared" si="248"/>
        <v>1</v>
      </c>
      <c r="F289" s="1" t="str">
        <f t="shared" si="249"/>
        <v>Wilman_etal_2014</v>
      </c>
      <c r="G289" s="1" t="str">
        <f t="shared" si="250"/>
        <v>Wilman</v>
      </c>
      <c r="H289" s="1" t="str">
        <f t="shared" si="251"/>
        <v>etal</v>
      </c>
      <c r="I289" s="1" t="str">
        <f t="shared" si="252"/>
        <v>2014</v>
      </c>
      <c r="J289" s="1" t="str">
        <f t="shared" si="253"/>
        <v>10.1890%2F13-1917.1</v>
      </c>
      <c r="K289" s="1" t="str">
        <f t="shared" si="254"/>
        <v>Wilman_etal_2014_MamFuncDat</v>
      </c>
      <c r="L289" s="1" t="str">
        <f t="shared" si="255"/>
        <v>10.1890%2F13-1917.1_MamFuncDat</v>
      </c>
      <c r="M289" s="1" t="str">
        <f t="array" ref="M289">IFERROR(INDEX(FileList!$A$1:$A$1000,MATCH(TRUE(),EXACT(L289,IFERROR(_xlfn.TEXTBEFORE(FileList!$A$1:$A$1000,".tsv"),"")),0)),"notfound")</f>
        <v>10.1890%2F13-1917.1_MamFuncDat.tsv</v>
      </c>
      <c r="AI289" s="3" t="s">
        <v>795</v>
      </c>
      <c r="AJ289" s="3" t="s">
        <v>139</v>
      </c>
      <c r="AL289" s="3" t="s">
        <v>140</v>
      </c>
      <c r="AM289" s="3" t="s">
        <v>796</v>
      </c>
    </row>
    <row r="290" spans="1:39" x14ac:dyDescent="0.2">
      <c r="A290" s="3" t="s">
        <v>797</v>
      </c>
      <c r="D290" s="3" t="s">
        <v>798</v>
      </c>
      <c r="E290" s="1" t="str">
        <f t="shared" si="248"/>
        <v>7</v>
      </c>
      <c r="F290" s="1" t="str">
        <f t="shared" si="249"/>
        <v>Wimberly_etal_2021</v>
      </c>
      <c r="G290" s="1" t="str">
        <f t="shared" si="250"/>
        <v>Wimberly</v>
      </c>
      <c r="H290" s="1" t="str">
        <f t="shared" si="251"/>
        <v>etal</v>
      </c>
      <c r="I290" s="1" t="str">
        <f t="shared" si="252"/>
        <v>2021</v>
      </c>
      <c r="J290" s="1" t="str">
        <f t="shared" si="253"/>
        <v>10.1098%2Frspb.2021.0937</v>
      </c>
      <c r="K290" s="1" t="str">
        <f t="shared" si="254"/>
        <v>Wimberly_etal_2021_MammalGait</v>
      </c>
      <c r="L290" s="1" t="str">
        <f t="shared" si="255"/>
        <v>10.1098%2Frspb.2021.0937_MammalGait</v>
      </c>
      <c r="M290" s="1" t="str">
        <f t="array" ref="M290">IFERROR(INDEX(FileList!$A$1:$A$1000,MATCH(TRUE(),EXACT(L290,IFERROR(_xlfn.TEXTBEFORE(FileList!$A$1:$A$1000,".tsv"),"")),0)),"notfound")</f>
        <v>10.1098%2Frspb.2021.0937_MammalGait.tsv</v>
      </c>
      <c r="P290" s="3" t="s">
        <v>334</v>
      </c>
      <c r="AJ290" s="3" t="s">
        <v>42</v>
      </c>
      <c r="AL290" s="3" t="s">
        <v>42</v>
      </c>
      <c r="AM290" s="3" t="s">
        <v>42</v>
      </c>
    </row>
    <row r="291" spans="1:39" x14ac:dyDescent="0.2">
      <c r="A291" s="3" t="s">
        <v>799</v>
      </c>
      <c r="D291" s="3" t="s">
        <v>800</v>
      </c>
      <c r="E291" s="1" t="str">
        <f t="shared" si="248"/>
        <v>5</v>
      </c>
      <c r="F291" s="1" t="str">
        <f t="shared" si="249"/>
        <v>Winkler_Bryant_2021</v>
      </c>
      <c r="G291" s="1" t="str">
        <f t="shared" si="250"/>
        <v>Winkler</v>
      </c>
      <c r="H291" s="1" t="str">
        <f t="shared" si="251"/>
        <v>Bryant</v>
      </c>
      <c r="I291" s="1" t="str">
        <f t="shared" si="252"/>
        <v>2021</v>
      </c>
      <c r="J291" s="1" t="str">
        <f t="shared" si="253"/>
        <v>10.1080%2F09524622.2021.1905065</v>
      </c>
      <c r="K291" s="1" t="str">
        <f t="shared" si="254"/>
        <v>Winkler_Bryant_2021_Figure1</v>
      </c>
      <c r="L291" s="1" t="str">
        <f t="shared" si="255"/>
        <v>10.1080%2F09524622.2021.1905065_Figure1</v>
      </c>
      <c r="M291" s="1" t="str">
        <f t="array" ref="M291">IFERROR(INDEX(FileList!$A$1:$A$1000,MATCH(TRUE(),EXACT(L291,IFERROR(_xlfn.TEXTBEFORE(FileList!$A$1:$A$1000,".tsv"),"")),0)),"notfound")</f>
        <v>10.1080%2F09524622.2021.1905065_Figure1.tsv</v>
      </c>
      <c r="P291" s="3" t="s">
        <v>334</v>
      </c>
      <c r="Q291" s="3" t="s">
        <v>201</v>
      </c>
      <c r="T291" s="3" t="str">
        <f>IF(S291="N", R291, "write file name")</f>
        <v>write file name</v>
      </c>
      <c r="U291" s="3" t="s">
        <v>54</v>
      </c>
      <c r="V291" s="3" t="s">
        <v>801</v>
      </c>
      <c r="AH291" s="3" t="s">
        <v>137</v>
      </c>
      <c r="AI291" s="3" t="s">
        <v>802</v>
      </c>
      <c r="AJ291" s="3" t="s">
        <v>139</v>
      </c>
      <c r="AL291" s="3" t="s">
        <v>140</v>
      </c>
      <c r="AM291" s="3" t="s">
        <v>803</v>
      </c>
    </row>
    <row r="292" spans="1:39" x14ac:dyDescent="0.2">
      <c r="A292" s="3" t="s">
        <v>804</v>
      </c>
      <c r="D292" s="3" t="s">
        <v>76</v>
      </c>
      <c r="E292" s="1" t="str">
        <f t="shared" si="248"/>
        <v>0</v>
      </c>
      <c r="F292" s="1" t="str">
        <f t="shared" si="249"/>
        <v>Young_etal_2013</v>
      </c>
      <c r="G292" s="1" t="str">
        <f t="shared" si="250"/>
        <v>Young</v>
      </c>
      <c r="H292" s="1" t="str">
        <f t="shared" si="251"/>
        <v>etal</v>
      </c>
      <c r="I292" s="1" t="str">
        <f t="shared" si="252"/>
        <v>2013</v>
      </c>
      <c r="J292" s="1" t="str">
        <f t="shared" si="253"/>
        <v>10.3389%2Ffncir.2013.00030</v>
      </c>
      <c r="K292" s="1" t="str">
        <f t="shared" si="254"/>
        <v>Young_etal_2013_Table1</v>
      </c>
      <c r="L292" s="1" t="str">
        <f t="shared" si="255"/>
        <v>10.3389%2Ffncir.2013.00030_Table1</v>
      </c>
      <c r="M292" s="1" t="str">
        <f t="array" ref="M292">IFERROR(INDEX(FileList!$A$1:$A$1000,MATCH(TRUE(),EXACT(L292,IFERROR(_xlfn.TEXTBEFORE(FileList!$A$1:$A$1000,".tsv"),"")),0)),"notfound")</f>
        <v>10.3389%2Ffncir.2013.00030_Table1.tsv</v>
      </c>
      <c r="P292" s="3" t="s">
        <v>687</v>
      </c>
      <c r="Q292" s="3" t="s">
        <v>201</v>
      </c>
      <c r="T292" s="3" t="str">
        <f>IF(S292="N", R292, "write file name")</f>
        <v>write file name</v>
      </c>
      <c r="U292" s="3" t="s">
        <v>54</v>
      </c>
      <c r="V292" s="3" t="s">
        <v>41</v>
      </c>
      <c r="AH292" s="3" t="s">
        <v>176</v>
      </c>
      <c r="AI292" s="3" t="s">
        <v>805</v>
      </c>
      <c r="AJ292" s="3" t="s">
        <v>117</v>
      </c>
      <c r="AK292" s="3" t="s">
        <v>62</v>
      </c>
      <c r="AL292" s="3" t="s">
        <v>62</v>
      </c>
      <c r="AM292" s="3" t="s">
        <v>806</v>
      </c>
    </row>
    <row r="293" spans="1:39" x14ac:dyDescent="0.2">
      <c r="A293" s="3" t="s">
        <v>807</v>
      </c>
      <c r="D293" s="3" t="s">
        <v>76</v>
      </c>
      <c r="E293" s="1" t="str">
        <f t="shared" si="248"/>
        <v>0</v>
      </c>
      <c r="F293" s="1" t="str">
        <f t="shared" si="249"/>
        <v>Young_etal_2013</v>
      </c>
      <c r="G293" s="1" t="str">
        <f t="shared" si="250"/>
        <v>Young</v>
      </c>
      <c r="H293" s="1" t="str">
        <f t="shared" si="251"/>
        <v>etal</v>
      </c>
      <c r="I293" s="1" t="str">
        <f t="shared" si="252"/>
        <v>2013</v>
      </c>
      <c r="J293" s="1" t="str">
        <f t="shared" si="253"/>
        <v>10.1073%2Fpnas.1318894110</v>
      </c>
      <c r="K293" s="1" t="str">
        <f t="shared" si="254"/>
        <v>Young_etal_2013_Table1</v>
      </c>
      <c r="L293" s="1" t="str">
        <f t="shared" si="255"/>
        <v>10.1073%2Fpnas.1318894110_Table1</v>
      </c>
      <c r="M293" s="1" t="str">
        <f t="array" ref="M293">IFERROR(INDEX(FileList!$A$1:$A$1000,MATCH(TRUE(),EXACT(L293,IFERROR(_xlfn.TEXTBEFORE(FileList!$A$1:$A$1000,".tsv"),"")),0)),"notfound")</f>
        <v>10.1073%2Fpnas.1318894110_Table1.tsv</v>
      </c>
      <c r="N293" s="3" t="s">
        <v>808</v>
      </c>
      <c r="V293" s="3" t="s">
        <v>41</v>
      </c>
      <c r="Y293" s="3" t="s">
        <v>222</v>
      </c>
      <c r="AG293" s="3" t="s">
        <v>58</v>
      </c>
      <c r="AI293" s="3" t="s">
        <v>809</v>
      </c>
      <c r="AJ293" s="3" t="s">
        <v>810</v>
      </c>
      <c r="AK293" s="3" t="s">
        <v>62</v>
      </c>
      <c r="AL293" s="3" t="s">
        <v>62</v>
      </c>
      <c r="AM293" s="3" t="s">
        <v>811</v>
      </c>
    </row>
    <row r="294" spans="1:39" x14ac:dyDescent="0.2">
      <c r="A294" s="3" t="s">
        <v>812</v>
      </c>
      <c r="C294" s="3" t="s">
        <v>813</v>
      </c>
      <c r="D294" s="3" t="s">
        <v>814</v>
      </c>
      <c r="E294" s="1" t="str">
        <f t="shared" si="248"/>
        <v>s</v>
      </c>
      <c r="F294" s="1" t="str">
        <f t="shared" si="249"/>
        <v>Zilles_Rehkämper_1988</v>
      </c>
      <c r="G294" s="1" t="str">
        <f t="shared" si="250"/>
        <v>Zilles</v>
      </c>
      <c r="H294" s="1" t="str">
        <f t="shared" si="251"/>
        <v>Rehkämper</v>
      </c>
      <c r="I294" s="1" t="str">
        <f t="shared" si="252"/>
        <v>1988</v>
      </c>
      <c r="J294" s="1" t="str">
        <f t="shared" si="253"/>
        <v>ISBN%3A9780195043716</v>
      </c>
      <c r="K294" s="1" t="str">
        <f t="shared" si="254"/>
        <v>Zilles_Rehkämper_1988_Table12-2</v>
      </c>
      <c r="L294" s="1" t="str">
        <f t="shared" si="255"/>
        <v>ISBN%3A9780195043716_Table12-2</v>
      </c>
      <c r="M294" s="1" t="str">
        <f t="array" ref="M294">IFERROR(INDEX(FileList!$A$1:$A$1000,MATCH(TRUE(),EXACT(L294,IFERROR(_xlfn.TEXTBEFORE(FileList!$A$1:$A$1000,".tsv"),"")),0)),"notfound")</f>
        <v>ISBN%3A9780195043716_Table12-2.tsv</v>
      </c>
      <c r="N294" s="3" t="s">
        <v>815</v>
      </c>
      <c r="Y294" s="3" t="s">
        <v>99</v>
      </c>
      <c r="Z294" s="3" t="s">
        <v>232</v>
      </c>
      <c r="AF294" s="3" t="s">
        <v>79</v>
      </c>
      <c r="AG294" s="3" t="s">
        <v>111</v>
      </c>
      <c r="AI294" s="3" t="s">
        <v>816</v>
      </c>
      <c r="AJ294" s="3" t="s">
        <v>817</v>
      </c>
      <c r="AL294" s="3" t="s">
        <v>62</v>
      </c>
      <c r="AM294" s="3" t="s">
        <v>84</v>
      </c>
    </row>
    <row r="295" spans="1:39" x14ac:dyDescent="0.2">
      <c r="A295" s="3" t="s">
        <v>818</v>
      </c>
      <c r="D295" s="3" t="s">
        <v>76</v>
      </c>
      <c r="E295" s="1" t="str">
        <f t="shared" si="248"/>
        <v>6</v>
      </c>
      <c r="F295" s="1" t="str">
        <f t="shared" si="249"/>
        <v>Zilles_etal_2013</v>
      </c>
      <c r="G295" s="1" t="str">
        <f t="shared" si="250"/>
        <v>Zilles</v>
      </c>
      <c r="H295" s="1" t="str">
        <f t="shared" si="251"/>
        <v>etal</v>
      </c>
      <c r="I295" s="1" t="str">
        <f t="shared" si="252"/>
        <v>2013</v>
      </c>
      <c r="J295" s="1" t="str">
        <f t="shared" si="253"/>
        <v>10.1016%2Fj.tins.2013.01.006</v>
      </c>
      <c r="K295" s="1" t="str">
        <f t="shared" si="254"/>
        <v>Zilles_etal_2013_Table1</v>
      </c>
      <c r="L295" s="1" t="str">
        <f t="shared" si="255"/>
        <v>10.1016%2Fj.tins.2013.01.006_Table1</v>
      </c>
      <c r="M295" s="1" t="str">
        <f t="array" ref="M295">IFERROR(INDEX(FileList!$A$1:$A$1000,MATCH(TRUE(),EXACT(L295,IFERROR(_xlfn.TEXTBEFORE(FileList!$A$1:$A$1000,".tsv"),"")),0)),"notfound")</f>
        <v>10.1016%2Fj.tins.2013.01.006_Table1.tsv</v>
      </c>
      <c r="N295" s="3" t="s">
        <v>819</v>
      </c>
      <c r="V295" s="3" t="s">
        <v>41</v>
      </c>
      <c r="Y295" s="3" t="s">
        <v>78</v>
      </c>
      <c r="AG295" s="3" t="s">
        <v>42</v>
      </c>
      <c r="AI295" s="3" t="s">
        <v>820</v>
      </c>
      <c r="AJ295" s="3" t="s">
        <v>821</v>
      </c>
      <c r="AK295" s="3" t="s">
        <v>62</v>
      </c>
      <c r="AL295" s="3" t="s">
        <v>140</v>
      </c>
      <c r="AM295" s="3" t="s">
        <v>822</v>
      </c>
    </row>
    <row r="296" spans="1:39" x14ac:dyDescent="0.2">
      <c r="A296" s="3"/>
      <c r="D296" s="3"/>
      <c r="E296" s="1"/>
      <c r="F296" s="1"/>
      <c r="G296" s="1"/>
      <c r="H296" s="1"/>
      <c r="I296" s="1"/>
      <c r="J296" s="1"/>
      <c r="K296" s="1"/>
      <c r="L296" s="1"/>
      <c r="M296" s="1"/>
      <c r="AG296" s="3"/>
      <c r="AJ296" s="3"/>
      <c r="AL296" s="3"/>
      <c r="AM296" s="3"/>
    </row>
    <row r="297" spans="1:39" x14ac:dyDescent="0.2">
      <c r="E297" s="1"/>
      <c r="F297" s="1"/>
      <c r="G297" s="1"/>
      <c r="H297" s="1"/>
      <c r="I297" s="1"/>
      <c r="J297" s="1"/>
      <c r="K297" s="1"/>
      <c r="L297" s="1"/>
      <c r="M297" s="1"/>
    </row>
    <row r="298" spans="1:39" x14ac:dyDescent="0.2">
      <c r="E298" s="1"/>
      <c r="F298" s="1"/>
      <c r="G298" s="1"/>
      <c r="H298" s="1"/>
      <c r="I298" s="1"/>
      <c r="J298" s="1"/>
      <c r="K298" s="1"/>
      <c r="L298" s="1"/>
      <c r="M298" s="1"/>
    </row>
    <row r="299" spans="1:39" x14ac:dyDescent="0.2">
      <c r="E299" s="1"/>
      <c r="F299" s="1"/>
      <c r="G299" s="1"/>
      <c r="H299" s="1"/>
      <c r="I299" s="1"/>
      <c r="J299" s="1"/>
      <c r="K299" s="1"/>
      <c r="L299" s="1"/>
      <c r="M299" s="1"/>
    </row>
    <row r="300" spans="1:39" x14ac:dyDescent="0.2">
      <c r="E300" s="1"/>
      <c r="F300" s="1"/>
      <c r="G300" s="1"/>
      <c r="H300" s="1"/>
      <c r="I300" s="1"/>
      <c r="J300" s="1"/>
      <c r="K300" s="1"/>
      <c r="L300" s="1"/>
      <c r="M300" s="1"/>
    </row>
    <row r="301" spans="1:39" x14ac:dyDescent="0.2">
      <c r="E301" s="1"/>
      <c r="F301" s="1"/>
      <c r="G301" s="1"/>
      <c r="H301" s="1"/>
      <c r="I301" s="1"/>
      <c r="J301" s="1"/>
      <c r="K301" s="1"/>
      <c r="L301" s="1"/>
      <c r="M301" s="1"/>
    </row>
    <row r="302" spans="1:39" x14ac:dyDescent="0.2">
      <c r="E302" s="1"/>
      <c r="F302" s="1"/>
      <c r="G302" s="1"/>
      <c r="H302" s="1"/>
      <c r="I302" s="1"/>
      <c r="J302" s="1"/>
      <c r="K302" s="1"/>
      <c r="L302" s="1"/>
      <c r="M302" s="1"/>
    </row>
    <row r="303" spans="1:39" x14ac:dyDescent="0.2">
      <c r="E303" s="1"/>
      <c r="F303" s="1"/>
      <c r="G303" s="1"/>
      <c r="H303" s="1"/>
      <c r="I303" s="1"/>
      <c r="J303" s="1"/>
      <c r="K303" s="1"/>
      <c r="L303" s="1"/>
      <c r="M303" s="1"/>
    </row>
    <row r="304" spans="1:39" x14ac:dyDescent="0.2">
      <c r="E304" s="1"/>
      <c r="F304" s="1"/>
      <c r="G304" s="1"/>
      <c r="H304" s="1"/>
      <c r="I304" s="1"/>
      <c r="J304" s="1"/>
      <c r="K304" s="1"/>
      <c r="L304" s="1"/>
      <c r="M304" s="1"/>
    </row>
    <row r="305" spans="5:13" x14ac:dyDescent="0.2">
      <c r="E305" s="1"/>
      <c r="F305" s="1"/>
      <c r="G305" s="1"/>
      <c r="H305" s="1"/>
      <c r="I305" s="1"/>
      <c r="J305" s="1"/>
      <c r="K305" s="1"/>
      <c r="L305" s="1"/>
      <c r="M305" s="1"/>
    </row>
    <row r="306" spans="5:13" x14ac:dyDescent="0.2">
      <c r="E306" s="1"/>
      <c r="F306" s="1"/>
      <c r="G306" s="1"/>
      <c r="H306" s="1"/>
      <c r="I306" s="1"/>
      <c r="J306" s="1"/>
      <c r="K306" s="1"/>
      <c r="L306" s="1"/>
      <c r="M306" s="1"/>
    </row>
    <row r="307" spans="5:13" x14ac:dyDescent="0.2">
      <c r="E307" s="1"/>
      <c r="F307" s="1"/>
      <c r="G307" s="1"/>
      <c r="H307" s="1"/>
      <c r="I307" s="1"/>
      <c r="J307" s="1"/>
      <c r="K307" s="1"/>
      <c r="L307" s="1"/>
      <c r="M307" s="1"/>
    </row>
    <row r="308" spans="5:13" x14ac:dyDescent="0.2">
      <c r="E308" s="1"/>
      <c r="F308" s="1"/>
      <c r="G308" s="1"/>
      <c r="H308" s="1"/>
      <c r="I308" s="1"/>
      <c r="J308" s="1"/>
      <c r="K308" s="1"/>
      <c r="L308" s="1"/>
      <c r="M308" s="1"/>
    </row>
    <row r="309" spans="5:13" x14ac:dyDescent="0.2">
      <c r="E309" s="1"/>
      <c r="F309" s="1"/>
      <c r="G309" s="1"/>
      <c r="H309" s="1"/>
      <c r="I309" s="1"/>
      <c r="J309" s="1"/>
      <c r="K309" s="1"/>
      <c r="L309" s="1"/>
      <c r="M309" s="1"/>
    </row>
    <row r="310" spans="5:13" x14ac:dyDescent="0.2">
      <c r="E310" s="1"/>
      <c r="F310" s="1"/>
      <c r="G310" s="1"/>
      <c r="H310" s="1"/>
      <c r="I310" s="1"/>
      <c r="J310" s="1"/>
      <c r="K310" s="1"/>
      <c r="L310" s="1"/>
      <c r="M310" s="1"/>
    </row>
    <row r="311" spans="5:13" x14ac:dyDescent="0.2">
      <c r="E311" s="1"/>
      <c r="F311" s="1"/>
      <c r="G311" s="1"/>
      <c r="H311" s="1"/>
      <c r="I311" s="1"/>
      <c r="J311" s="1"/>
      <c r="K311" s="1"/>
      <c r="L311" s="1"/>
      <c r="M311" s="1"/>
    </row>
    <row r="312" spans="5:13" x14ac:dyDescent="0.2">
      <c r="E312" s="1"/>
      <c r="F312" s="1"/>
      <c r="G312" s="1"/>
      <c r="H312" s="1"/>
      <c r="I312" s="1"/>
      <c r="J312" s="1"/>
      <c r="K312" s="1"/>
      <c r="L312" s="1"/>
      <c r="M312" s="1"/>
    </row>
    <row r="313" spans="5:13" x14ac:dyDescent="0.2">
      <c r="E313" s="1"/>
      <c r="F313" s="1"/>
      <c r="G313" s="1"/>
      <c r="H313" s="1"/>
      <c r="I313" s="1"/>
      <c r="J313" s="1"/>
      <c r="K313" s="1"/>
      <c r="L313" s="1"/>
      <c r="M313" s="1"/>
    </row>
    <row r="314" spans="5:13" x14ac:dyDescent="0.2">
      <c r="E314" s="1"/>
      <c r="F314" s="1"/>
      <c r="G314" s="1"/>
      <c r="H314" s="1"/>
      <c r="I314" s="1"/>
      <c r="J314" s="1"/>
      <c r="K314" s="1"/>
      <c r="L314" s="1"/>
      <c r="M314" s="1"/>
    </row>
    <row r="315" spans="5:13" x14ac:dyDescent="0.2">
      <c r="E315" s="1"/>
      <c r="F315" s="1"/>
      <c r="G315" s="1"/>
      <c r="H315" s="1"/>
      <c r="I315" s="1"/>
      <c r="J315" s="1"/>
      <c r="K315" s="1"/>
      <c r="L315" s="1"/>
      <c r="M315" s="1"/>
    </row>
    <row r="316" spans="5:13" x14ac:dyDescent="0.2">
      <c r="E316" s="1"/>
      <c r="F316" s="1"/>
      <c r="G316" s="1"/>
      <c r="H316" s="1"/>
      <c r="I316" s="1"/>
      <c r="J316" s="1"/>
      <c r="K316" s="1"/>
      <c r="L316" s="1"/>
      <c r="M316" s="1"/>
    </row>
    <row r="317" spans="5:13" x14ac:dyDescent="0.2">
      <c r="E317" s="1"/>
      <c r="F317" s="1"/>
      <c r="G317" s="1"/>
      <c r="H317" s="1"/>
      <c r="I317" s="1"/>
      <c r="J317" s="1"/>
      <c r="K317" s="1"/>
      <c r="L317" s="1"/>
      <c r="M317" s="1"/>
    </row>
    <row r="318" spans="5:13" x14ac:dyDescent="0.2">
      <c r="E318" s="1"/>
      <c r="F318" s="1"/>
      <c r="G318" s="1"/>
      <c r="H318" s="1"/>
      <c r="I318" s="1"/>
      <c r="J318" s="1"/>
      <c r="K318" s="1"/>
      <c r="L318" s="1"/>
      <c r="M318" s="1"/>
    </row>
    <row r="319" spans="5:13" x14ac:dyDescent="0.2">
      <c r="E319" s="1"/>
      <c r="F319" s="1"/>
      <c r="G319" s="1"/>
      <c r="H319" s="1"/>
      <c r="I319" s="1"/>
      <c r="J319" s="1"/>
      <c r="K319" s="1"/>
      <c r="L319" s="1"/>
      <c r="M319" s="1"/>
    </row>
    <row r="320" spans="5:13" x14ac:dyDescent="0.2">
      <c r="E320" s="1"/>
      <c r="F320" s="1"/>
      <c r="G320" s="1"/>
      <c r="H320" s="1"/>
      <c r="I320" s="1"/>
      <c r="J320" s="1"/>
      <c r="K320" s="1"/>
      <c r="L320" s="1"/>
      <c r="M320" s="1"/>
    </row>
    <row r="321" spans="5:13" x14ac:dyDescent="0.2">
      <c r="E321" s="1"/>
      <c r="F321" s="1"/>
      <c r="G321" s="1"/>
      <c r="H321" s="1"/>
      <c r="I321" s="1"/>
      <c r="J321" s="1"/>
      <c r="K321" s="1"/>
      <c r="L321" s="1"/>
      <c r="M321" s="1"/>
    </row>
    <row r="322" spans="5:13" x14ac:dyDescent="0.2">
      <c r="E322" s="1"/>
      <c r="F322" s="1"/>
      <c r="G322" s="1"/>
      <c r="H322" s="1"/>
      <c r="I322" s="1"/>
      <c r="J322" s="1"/>
      <c r="K322" s="1"/>
      <c r="L322" s="1"/>
      <c r="M322" s="1"/>
    </row>
    <row r="323" spans="5:13" x14ac:dyDescent="0.2">
      <c r="E323" s="1"/>
      <c r="F323" s="1"/>
      <c r="G323" s="1"/>
      <c r="H323" s="1"/>
      <c r="I323" s="1"/>
      <c r="J323" s="1"/>
      <c r="K323" s="1"/>
      <c r="L323" s="1"/>
      <c r="M323" s="1"/>
    </row>
    <row r="324" spans="5:13" x14ac:dyDescent="0.2">
      <c r="E324" s="1"/>
      <c r="F324" s="1"/>
      <c r="G324" s="1"/>
      <c r="H324" s="1"/>
      <c r="I324" s="1"/>
      <c r="J324" s="1"/>
      <c r="K324" s="1"/>
      <c r="L324" s="1"/>
      <c r="M324" s="1"/>
    </row>
    <row r="325" spans="5:13" x14ac:dyDescent="0.2">
      <c r="E325" s="1"/>
      <c r="F325" s="1"/>
      <c r="G325" s="1"/>
      <c r="H325" s="1"/>
      <c r="I325" s="1"/>
      <c r="J325" s="1"/>
      <c r="K325" s="1"/>
      <c r="L325" s="1"/>
      <c r="M325" s="1"/>
    </row>
    <row r="326" spans="5:13" x14ac:dyDescent="0.2">
      <c r="E326" s="1"/>
      <c r="F326" s="1"/>
      <c r="G326" s="1"/>
      <c r="H326" s="1"/>
      <c r="I326" s="1"/>
      <c r="J326" s="1"/>
      <c r="K326" s="1"/>
      <c r="L326" s="1"/>
      <c r="M326" s="1"/>
    </row>
    <row r="327" spans="5:13" x14ac:dyDescent="0.2">
      <c r="E327" s="1"/>
      <c r="F327" s="1"/>
      <c r="G327" s="1"/>
      <c r="H327" s="1"/>
      <c r="I327" s="1"/>
      <c r="J327" s="1"/>
      <c r="K327" s="1"/>
      <c r="L327" s="1"/>
      <c r="M327" s="1"/>
    </row>
    <row r="328" spans="5:13" x14ac:dyDescent="0.2">
      <c r="E328" s="1"/>
      <c r="F328" s="1"/>
      <c r="G328" s="1"/>
      <c r="H328" s="1"/>
      <c r="I328" s="1"/>
      <c r="J328" s="1"/>
      <c r="K328" s="1"/>
      <c r="L328" s="1"/>
      <c r="M328" s="1"/>
    </row>
    <row r="329" spans="5:13" x14ac:dyDescent="0.2">
      <c r="E329" s="1"/>
      <c r="F329" s="1"/>
      <c r="G329" s="1"/>
      <c r="H329" s="1"/>
      <c r="I329" s="1"/>
      <c r="J329" s="1"/>
      <c r="K329" s="1"/>
      <c r="L329" s="1"/>
      <c r="M329" s="1"/>
    </row>
    <row r="330" spans="5:13" x14ac:dyDescent="0.2">
      <c r="E330" s="1"/>
      <c r="F330" s="1"/>
      <c r="G330" s="1"/>
      <c r="H330" s="1"/>
      <c r="I330" s="1"/>
      <c r="J330" s="1"/>
      <c r="K330" s="1"/>
      <c r="L330" s="1"/>
      <c r="M330" s="1"/>
    </row>
    <row r="331" spans="5:13" x14ac:dyDescent="0.2">
      <c r="E331" s="1"/>
      <c r="F331" s="1"/>
      <c r="G331" s="1"/>
      <c r="H331" s="1"/>
      <c r="I331" s="1"/>
      <c r="J331" s="1"/>
      <c r="K331" s="1"/>
      <c r="L331" s="1"/>
      <c r="M331" s="1"/>
    </row>
    <row r="332" spans="5:13" x14ac:dyDescent="0.2">
      <c r="E332" s="1"/>
      <c r="F332" s="1"/>
      <c r="G332" s="1"/>
      <c r="H332" s="1"/>
      <c r="I332" s="1"/>
      <c r="J332" s="1"/>
      <c r="K332" s="1"/>
      <c r="L332" s="1"/>
      <c r="M332" s="1"/>
    </row>
    <row r="333" spans="5:13" x14ac:dyDescent="0.2">
      <c r="E333" s="1"/>
      <c r="F333" s="1"/>
      <c r="G333" s="1"/>
      <c r="H333" s="1"/>
      <c r="I333" s="1"/>
      <c r="J333" s="1"/>
      <c r="K333" s="1"/>
      <c r="L333" s="1"/>
      <c r="M333" s="1"/>
    </row>
    <row r="334" spans="5:13" x14ac:dyDescent="0.2">
      <c r="E334" s="1"/>
      <c r="F334" s="1"/>
      <c r="G334" s="1"/>
      <c r="H334" s="1"/>
      <c r="I334" s="1"/>
      <c r="J334" s="1"/>
      <c r="K334" s="1"/>
      <c r="L334" s="1"/>
      <c r="M334" s="1"/>
    </row>
  </sheetData>
  <pageMargins left="0.7" right="0.7" top="0.58333333333333304" bottom="0.58333333333333304" header="0.511811023622047" footer="0.511811023622047"/>
  <pageSetup paperSize="9" orientation="portrait" horizontalDpi="300" verticalDpi="300"/>
  <headerFooter scaleWithDoc="0" alignWithMargins="0">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243"/>
  <sheetViews>
    <sheetView workbookViewId="0"/>
  </sheetViews>
  <sheetFormatPr baseColWidth="10" defaultRowHeight="16" x14ac:dyDescent="0.2"/>
  <sheetData>
    <row r="1" spans="1:1" x14ac:dyDescent="0.2">
      <c r="A1" t="s">
        <v>1028</v>
      </c>
    </row>
    <row r="2" spans="1:1" x14ac:dyDescent="0.2">
      <c r="A2" t="s">
        <v>1029</v>
      </c>
    </row>
    <row r="3" spans="1:1" x14ac:dyDescent="0.2">
      <c r="A3" t="s">
        <v>1030</v>
      </c>
    </row>
    <row r="4" spans="1:1" x14ac:dyDescent="0.2">
      <c r="A4" t="s">
        <v>1031</v>
      </c>
    </row>
    <row r="5" spans="1:1" x14ac:dyDescent="0.2">
      <c r="A5" t="s">
        <v>1032</v>
      </c>
    </row>
    <row r="6" spans="1:1" x14ac:dyDescent="0.2">
      <c r="A6" t="s">
        <v>1033</v>
      </c>
    </row>
    <row r="7" spans="1:1" x14ac:dyDescent="0.2">
      <c r="A7" t="s">
        <v>1034</v>
      </c>
    </row>
    <row r="8" spans="1:1" x14ac:dyDescent="0.2">
      <c r="A8" t="s">
        <v>1035</v>
      </c>
    </row>
    <row r="9" spans="1:1" x14ac:dyDescent="0.2">
      <c r="A9" t="s">
        <v>1036</v>
      </c>
    </row>
    <row r="10" spans="1:1" x14ac:dyDescent="0.2">
      <c r="A10" t="s">
        <v>1037</v>
      </c>
    </row>
    <row r="11" spans="1:1" x14ac:dyDescent="0.2">
      <c r="A11" t="s">
        <v>1038</v>
      </c>
    </row>
    <row r="12" spans="1:1" x14ac:dyDescent="0.2">
      <c r="A12" t="s">
        <v>1039</v>
      </c>
    </row>
    <row r="13" spans="1:1" x14ac:dyDescent="0.2">
      <c r="A13" t="s">
        <v>1040</v>
      </c>
    </row>
    <row r="14" spans="1:1" x14ac:dyDescent="0.2">
      <c r="A14" t="s">
        <v>1041</v>
      </c>
    </row>
    <row r="15" spans="1:1" x14ac:dyDescent="0.2">
      <c r="A15" t="s">
        <v>1042</v>
      </c>
    </row>
    <row r="16" spans="1:1" x14ac:dyDescent="0.2">
      <c r="A16" t="s">
        <v>1043</v>
      </c>
    </row>
    <row r="17" spans="1:1" x14ac:dyDescent="0.2">
      <c r="A17" t="s">
        <v>1044</v>
      </c>
    </row>
    <row r="18" spans="1:1" x14ac:dyDescent="0.2">
      <c r="A18" t="s">
        <v>1045</v>
      </c>
    </row>
    <row r="19" spans="1:1" x14ac:dyDescent="0.2">
      <c r="A19" t="s">
        <v>1046</v>
      </c>
    </row>
    <row r="20" spans="1:1" x14ac:dyDescent="0.2">
      <c r="A20" t="s">
        <v>1047</v>
      </c>
    </row>
    <row r="21" spans="1:1" x14ac:dyDescent="0.2">
      <c r="A21" t="s">
        <v>1048</v>
      </c>
    </row>
    <row r="22" spans="1:1" x14ac:dyDescent="0.2">
      <c r="A22" t="s">
        <v>1049</v>
      </c>
    </row>
    <row r="23" spans="1:1" x14ac:dyDescent="0.2">
      <c r="A23" t="s">
        <v>1050</v>
      </c>
    </row>
    <row r="24" spans="1:1" x14ac:dyDescent="0.2">
      <c r="A24" t="s">
        <v>1051</v>
      </c>
    </row>
    <row r="25" spans="1:1" x14ac:dyDescent="0.2">
      <c r="A25" t="s">
        <v>1052</v>
      </c>
    </row>
    <row r="26" spans="1:1" x14ac:dyDescent="0.2">
      <c r="A26" t="s">
        <v>1053</v>
      </c>
    </row>
    <row r="27" spans="1:1" x14ac:dyDescent="0.2">
      <c r="A27" t="s">
        <v>1054</v>
      </c>
    </row>
    <row r="28" spans="1:1" x14ac:dyDescent="0.2">
      <c r="A28" t="s">
        <v>1055</v>
      </c>
    </row>
    <row r="29" spans="1:1" x14ac:dyDescent="0.2">
      <c r="A29" t="s">
        <v>1056</v>
      </c>
    </row>
    <row r="30" spans="1:1" x14ac:dyDescent="0.2">
      <c r="A30" t="s">
        <v>1057</v>
      </c>
    </row>
    <row r="31" spans="1:1" x14ac:dyDescent="0.2">
      <c r="A31" t="s">
        <v>1058</v>
      </c>
    </row>
    <row r="32" spans="1:1" x14ac:dyDescent="0.2">
      <c r="A32" t="s">
        <v>1059</v>
      </c>
    </row>
    <row r="33" spans="1:1" x14ac:dyDescent="0.2">
      <c r="A33" t="s">
        <v>1060</v>
      </c>
    </row>
    <row r="34" spans="1:1" x14ac:dyDescent="0.2">
      <c r="A34" t="s">
        <v>1061</v>
      </c>
    </row>
    <row r="35" spans="1:1" x14ac:dyDescent="0.2">
      <c r="A35" t="s">
        <v>1062</v>
      </c>
    </row>
    <row r="36" spans="1:1" x14ac:dyDescent="0.2">
      <c r="A36" t="s">
        <v>1063</v>
      </c>
    </row>
    <row r="37" spans="1:1" x14ac:dyDescent="0.2">
      <c r="A37" t="s">
        <v>1064</v>
      </c>
    </row>
    <row r="38" spans="1:1" x14ac:dyDescent="0.2">
      <c r="A38" t="s">
        <v>1065</v>
      </c>
    </row>
    <row r="39" spans="1:1" x14ac:dyDescent="0.2">
      <c r="A39" t="s">
        <v>1066</v>
      </c>
    </row>
    <row r="40" spans="1:1" x14ac:dyDescent="0.2">
      <c r="A40" t="s">
        <v>1067</v>
      </c>
    </row>
    <row r="41" spans="1:1" x14ac:dyDescent="0.2">
      <c r="A41" t="s">
        <v>1068</v>
      </c>
    </row>
    <row r="42" spans="1:1" x14ac:dyDescent="0.2">
      <c r="A42" t="s">
        <v>1069</v>
      </c>
    </row>
    <row r="43" spans="1:1" x14ac:dyDescent="0.2">
      <c r="A43" t="s">
        <v>1070</v>
      </c>
    </row>
    <row r="44" spans="1:1" x14ac:dyDescent="0.2">
      <c r="A44" t="s">
        <v>1071</v>
      </c>
    </row>
    <row r="45" spans="1:1" x14ac:dyDescent="0.2">
      <c r="A45" t="s">
        <v>1072</v>
      </c>
    </row>
    <row r="46" spans="1:1" x14ac:dyDescent="0.2">
      <c r="A46" t="s">
        <v>1073</v>
      </c>
    </row>
    <row r="47" spans="1:1" x14ac:dyDescent="0.2">
      <c r="A47" t="s">
        <v>1074</v>
      </c>
    </row>
    <row r="48" spans="1:1" x14ac:dyDescent="0.2">
      <c r="A48" t="s">
        <v>1075</v>
      </c>
    </row>
    <row r="49" spans="1:1" x14ac:dyDescent="0.2">
      <c r="A49" t="s">
        <v>1076</v>
      </c>
    </row>
    <row r="50" spans="1:1" x14ac:dyDescent="0.2">
      <c r="A50" t="s">
        <v>1077</v>
      </c>
    </row>
    <row r="51" spans="1:1" x14ac:dyDescent="0.2">
      <c r="A51" t="s">
        <v>1078</v>
      </c>
    </row>
    <row r="52" spans="1:1" x14ac:dyDescent="0.2">
      <c r="A52" t="s">
        <v>1079</v>
      </c>
    </row>
    <row r="53" spans="1:1" x14ac:dyDescent="0.2">
      <c r="A53" t="s">
        <v>1080</v>
      </c>
    </row>
    <row r="54" spans="1:1" x14ac:dyDescent="0.2">
      <c r="A54" t="s">
        <v>1081</v>
      </c>
    </row>
    <row r="55" spans="1:1" x14ac:dyDescent="0.2">
      <c r="A55" t="s">
        <v>1082</v>
      </c>
    </row>
    <row r="56" spans="1:1" x14ac:dyDescent="0.2">
      <c r="A56" t="s">
        <v>1083</v>
      </c>
    </row>
    <row r="57" spans="1:1" x14ac:dyDescent="0.2">
      <c r="A57" t="s">
        <v>1084</v>
      </c>
    </row>
    <row r="58" spans="1:1" x14ac:dyDescent="0.2">
      <c r="A58" t="s">
        <v>1085</v>
      </c>
    </row>
    <row r="59" spans="1:1" x14ac:dyDescent="0.2">
      <c r="A59" t="s">
        <v>1086</v>
      </c>
    </row>
    <row r="60" spans="1:1" x14ac:dyDescent="0.2">
      <c r="A60" t="s">
        <v>1087</v>
      </c>
    </row>
    <row r="61" spans="1:1" x14ac:dyDescent="0.2">
      <c r="A61" t="s">
        <v>1088</v>
      </c>
    </row>
    <row r="62" spans="1:1" x14ac:dyDescent="0.2">
      <c r="A62" t="s">
        <v>1089</v>
      </c>
    </row>
    <row r="63" spans="1:1" x14ac:dyDescent="0.2">
      <c r="A63" t="s">
        <v>1090</v>
      </c>
    </row>
    <row r="64" spans="1:1" x14ac:dyDescent="0.2">
      <c r="A64" t="s">
        <v>1091</v>
      </c>
    </row>
    <row r="65" spans="1:1" x14ac:dyDescent="0.2">
      <c r="A65" t="s">
        <v>1092</v>
      </c>
    </row>
    <row r="66" spans="1:1" x14ac:dyDescent="0.2">
      <c r="A66" t="s">
        <v>1093</v>
      </c>
    </row>
    <row r="67" spans="1:1" x14ac:dyDescent="0.2">
      <c r="A67" t="s">
        <v>1094</v>
      </c>
    </row>
    <row r="68" spans="1:1" x14ac:dyDescent="0.2">
      <c r="A68" t="s">
        <v>1095</v>
      </c>
    </row>
    <row r="69" spans="1:1" x14ac:dyDescent="0.2">
      <c r="A69" t="s">
        <v>1096</v>
      </c>
    </row>
    <row r="70" spans="1:1" x14ac:dyDescent="0.2">
      <c r="A70" t="s">
        <v>1097</v>
      </c>
    </row>
    <row r="71" spans="1:1" x14ac:dyDescent="0.2">
      <c r="A71" t="s">
        <v>1098</v>
      </c>
    </row>
    <row r="72" spans="1:1" x14ac:dyDescent="0.2">
      <c r="A72" t="s">
        <v>1099</v>
      </c>
    </row>
    <row r="73" spans="1:1" x14ac:dyDescent="0.2">
      <c r="A73" t="s">
        <v>1100</v>
      </c>
    </row>
    <row r="74" spans="1:1" x14ac:dyDescent="0.2">
      <c r="A74" t="s">
        <v>1101</v>
      </c>
    </row>
    <row r="75" spans="1:1" x14ac:dyDescent="0.2">
      <c r="A75" t="s">
        <v>1102</v>
      </c>
    </row>
    <row r="76" spans="1:1" x14ac:dyDescent="0.2">
      <c r="A76" t="s">
        <v>1103</v>
      </c>
    </row>
    <row r="77" spans="1:1" x14ac:dyDescent="0.2">
      <c r="A77" t="s">
        <v>1104</v>
      </c>
    </row>
    <row r="78" spans="1:1" x14ac:dyDescent="0.2">
      <c r="A78" t="s">
        <v>1105</v>
      </c>
    </row>
    <row r="79" spans="1:1" x14ac:dyDescent="0.2">
      <c r="A79" t="s">
        <v>1106</v>
      </c>
    </row>
    <row r="80" spans="1:1" x14ac:dyDescent="0.2">
      <c r="A80" t="s">
        <v>1107</v>
      </c>
    </row>
    <row r="81" spans="1:1" x14ac:dyDescent="0.2">
      <c r="A81" t="s">
        <v>1108</v>
      </c>
    </row>
    <row r="82" spans="1:1" x14ac:dyDescent="0.2">
      <c r="A82" t="s">
        <v>1109</v>
      </c>
    </row>
    <row r="83" spans="1:1" x14ac:dyDescent="0.2">
      <c r="A83" t="s">
        <v>1110</v>
      </c>
    </row>
    <row r="84" spans="1:1" x14ac:dyDescent="0.2">
      <c r="A84" t="s">
        <v>1111</v>
      </c>
    </row>
    <row r="85" spans="1:1" x14ac:dyDescent="0.2">
      <c r="A85" t="s">
        <v>1112</v>
      </c>
    </row>
    <row r="86" spans="1:1" x14ac:dyDescent="0.2">
      <c r="A86" t="s">
        <v>1113</v>
      </c>
    </row>
    <row r="87" spans="1:1" x14ac:dyDescent="0.2">
      <c r="A87" t="s">
        <v>1114</v>
      </c>
    </row>
    <row r="88" spans="1:1" x14ac:dyDescent="0.2">
      <c r="A88" t="s">
        <v>1115</v>
      </c>
    </row>
    <row r="89" spans="1:1" x14ac:dyDescent="0.2">
      <c r="A89" t="s">
        <v>1116</v>
      </c>
    </row>
    <row r="90" spans="1:1" x14ac:dyDescent="0.2">
      <c r="A90" t="s">
        <v>1117</v>
      </c>
    </row>
    <row r="91" spans="1:1" x14ac:dyDescent="0.2">
      <c r="A91" t="s">
        <v>1118</v>
      </c>
    </row>
    <row r="92" spans="1:1" x14ac:dyDescent="0.2">
      <c r="A92" t="s">
        <v>1119</v>
      </c>
    </row>
    <row r="93" spans="1:1" x14ac:dyDescent="0.2">
      <c r="A93" t="s">
        <v>1120</v>
      </c>
    </row>
    <row r="94" spans="1:1" x14ac:dyDescent="0.2">
      <c r="A94" t="s">
        <v>1121</v>
      </c>
    </row>
    <row r="95" spans="1:1" x14ac:dyDescent="0.2">
      <c r="A95" t="s">
        <v>1122</v>
      </c>
    </row>
    <row r="96" spans="1:1" x14ac:dyDescent="0.2">
      <c r="A96" t="s">
        <v>1123</v>
      </c>
    </row>
    <row r="97" spans="1:1" x14ac:dyDescent="0.2">
      <c r="A97" t="s">
        <v>1124</v>
      </c>
    </row>
    <row r="98" spans="1:1" x14ac:dyDescent="0.2">
      <c r="A98" t="s">
        <v>1125</v>
      </c>
    </row>
    <row r="99" spans="1:1" x14ac:dyDescent="0.2">
      <c r="A99" t="s">
        <v>1126</v>
      </c>
    </row>
    <row r="100" spans="1:1" x14ac:dyDescent="0.2">
      <c r="A100" t="s">
        <v>1127</v>
      </c>
    </row>
    <row r="101" spans="1:1" x14ac:dyDescent="0.2">
      <c r="A101" t="s">
        <v>1128</v>
      </c>
    </row>
    <row r="102" spans="1:1" x14ac:dyDescent="0.2">
      <c r="A102" t="s">
        <v>1129</v>
      </c>
    </row>
    <row r="103" spans="1:1" x14ac:dyDescent="0.2">
      <c r="A103" t="s">
        <v>1130</v>
      </c>
    </row>
    <row r="104" spans="1:1" x14ac:dyDescent="0.2">
      <c r="A104" t="s">
        <v>1131</v>
      </c>
    </row>
    <row r="105" spans="1:1" x14ac:dyDescent="0.2">
      <c r="A105" t="s">
        <v>1132</v>
      </c>
    </row>
    <row r="106" spans="1:1" x14ac:dyDescent="0.2">
      <c r="A106" t="s">
        <v>1133</v>
      </c>
    </row>
    <row r="107" spans="1:1" x14ac:dyDescent="0.2">
      <c r="A107" t="s">
        <v>1134</v>
      </c>
    </row>
    <row r="108" spans="1:1" x14ac:dyDescent="0.2">
      <c r="A108" t="s">
        <v>1135</v>
      </c>
    </row>
    <row r="109" spans="1:1" x14ac:dyDescent="0.2">
      <c r="A109" t="s">
        <v>1136</v>
      </c>
    </row>
    <row r="110" spans="1:1" x14ac:dyDescent="0.2">
      <c r="A110" t="s">
        <v>1137</v>
      </c>
    </row>
    <row r="111" spans="1:1" x14ac:dyDescent="0.2">
      <c r="A111" t="s">
        <v>1138</v>
      </c>
    </row>
    <row r="112" spans="1:1" x14ac:dyDescent="0.2">
      <c r="A112" t="s">
        <v>1139</v>
      </c>
    </row>
    <row r="113" spans="1:1" x14ac:dyDescent="0.2">
      <c r="A113" t="s">
        <v>1140</v>
      </c>
    </row>
    <row r="114" spans="1:1" x14ac:dyDescent="0.2">
      <c r="A114" t="s">
        <v>1141</v>
      </c>
    </row>
    <row r="115" spans="1:1" x14ac:dyDescent="0.2">
      <c r="A115" t="s">
        <v>1142</v>
      </c>
    </row>
    <row r="116" spans="1:1" x14ac:dyDescent="0.2">
      <c r="A116" t="s">
        <v>1143</v>
      </c>
    </row>
    <row r="117" spans="1:1" x14ac:dyDescent="0.2">
      <c r="A117" t="s">
        <v>1144</v>
      </c>
    </row>
    <row r="118" spans="1:1" x14ac:dyDescent="0.2">
      <c r="A118" t="s">
        <v>1145</v>
      </c>
    </row>
    <row r="119" spans="1:1" x14ac:dyDescent="0.2">
      <c r="A119" t="s">
        <v>1146</v>
      </c>
    </row>
    <row r="120" spans="1:1" x14ac:dyDescent="0.2">
      <c r="A120" t="s">
        <v>1147</v>
      </c>
    </row>
    <row r="121" spans="1:1" x14ac:dyDescent="0.2">
      <c r="A121" t="s">
        <v>1148</v>
      </c>
    </row>
    <row r="122" spans="1:1" x14ac:dyDescent="0.2">
      <c r="A122" t="s">
        <v>1149</v>
      </c>
    </row>
    <row r="123" spans="1:1" x14ac:dyDescent="0.2">
      <c r="A123" t="s">
        <v>1150</v>
      </c>
    </row>
    <row r="124" spans="1:1" x14ac:dyDescent="0.2">
      <c r="A124" t="s">
        <v>1151</v>
      </c>
    </row>
    <row r="125" spans="1:1" x14ac:dyDescent="0.2">
      <c r="A125" t="s">
        <v>1152</v>
      </c>
    </row>
    <row r="126" spans="1:1" x14ac:dyDescent="0.2">
      <c r="A126" t="s">
        <v>1153</v>
      </c>
    </row>
    <row r="127" spans="1:1" x14ac:dyDescent="0.2">
      <c r="A127" t="s">
        <v>1154</v>
      </c>
    </row>
    <row r="128" spans="1:1" x14ac:dyDescent="0.2">
      <c r="A128" t="s">
        <v>1155</v>
      </c>
    </row>
    <row r="129" spans="1:1" x14ac:dyDescent="0.2">
      <c r="A129" t="s">
        <v>1156</v>
      </c>
    </row>
    <row r="130" spans="1:1" x14ac:dyDescent="0.2">
      <c r="A130" t="s">
        <v>1157</v>
      </c>
    </row>
    <row r="131" spans="1:1" x14ac:dyDescent="0.2">
      <c r="A131" t="s">
        <v>1158</v>
      </c>
    </row>
    <row r="132" spans="1:1" x14ac:dyDescent="0.2">
      <c r="A132" t="s">
        <v>1159</v>
      </c>
    </row>
    <row r="133" spans="1:1" x14ac:dyDescent="0.2">
      <c r="A133" t="s">
        <v>1160</v>
      </c>
    </row>
    <row r="134" spans="1:1" x14ac:dyDescent="0.2">
      <c r="A134" t="s">
        <v>1161</v>
      </c>
    </row>
    <row r="135" spans="1:1" x14ac:dyDescent="0.2">
      <c r="A135" t="s">
        <v>1162</v>
      </c>
    </row>
    <row r="136" spans="1:1" x14ac:dyDescent="0.2">
      <c r="A136" t="s">
        <v>1163</v>
      </c>
    </row>
    <row r="137" spans="1:1" x14ac:dyDescent="0.2">
      <c r="A137" t="s">
        <v>1164</v>
      </c>
    </row>
    <row r="138" spans="1:1" x14ac:dyDescent="0.2">
      <c r="A138" t="s">
        <v>1165</v>
      </c>
    </row>
    <row r="139" spans="1:1" x14ac:dyDescent="0.2">
      <c r="A139" t="s">
        <v>1166</v>
      </c>
    </row>
    <row r="140" spans="1:1" x14ac:dyDescent="0.2">
      <c r="A140" t="s">
        <v>1167</v>
      </c>
    </row>
    <row r="141" spans="1:1" x14ac:dyDescent="0.2">
      <c r="A141" t="s">
        <v>1168</v>
      </c>
    </row>
    <row r="142" spans="1:1" x14ac:dyDescent="0.2">
      <c r="A142" t="s">
        <v>1169</v>
      </c>
    </row>
    <row r="143" spans="1:1" x14ac:dyDescent="0.2">
      <c r="A143" t="s">
        <v>1170</v>
      </c>
    </row>
    <row r="144" spans="1:1" x14ac:dyDescent="0.2">
      <c r="A144" t="s">
        <v>1171</v>
      </c>
    </row>
    <row r="145" spans="1:1" x14ac:dyDescent="0.2">
      <c r="A145" t="s">
        <v>1172</v>
      </c>
    </row>
    <row r="146" spans="1:1" x14ac:dyDescent="0.2">
      <c r="A146" t="s">
        <v>1173</v>
      </c>
    </row>
    <row r="147" spans="1:1" x14ac:dyDescent="0.2">
      <c r="A147" t="s">
        <v>1174</v>
      </c>
    </row>
    <row r="148" spans="1:1" x14ac:dyDescent="0.2">
      <c r="A148" t="s">
        <v>1175</v>
      </c>
    </row>
    <row r="149" spans="1:1" x14ac:dyDescent="0.2">
      <c r="A149" t="s">
        <v>1176</v>
      </c>
    </row>
    <row r="150" spans="1:1" x14ac:dyDescent="0.2">
      <c r="A150" t="s">
        <v>1177</v>
      </c>
    </row>
    <row r="151" spans="1:1" x14ac:dyDescent="0.2">
      <c r="A151" t="s">
        <v>1178</v>
      </c>
    </row>
    <row r="152" spans="1:1" x14ac:dyDescent="0.2">
      <c r="A152" t="s">
        <v>1179</v>
      </c>
    </row>
    <row r="153" spans="1:1" x14ac:dyDescent="0.2">
      <c r="A153" t="s">
        <v>1180</v>
      </c>
    </row>
    <row r="154" spans="1:1" x14ac:dyDescent="0.2">
      <c r="A154" t="s">
        <v>1181</v>
      </c>
    </row>
    <row r="155" spans="1:1" x14ac:dyDescent="0.2">
      <c r="A155" t="s">
        <v>1182</v>
      </c>
    </row>
    <row r="156" spans="1:1" x14ac:dyDescent="0.2">
      <c r="A156" t="s">
        <v>1183</v>
      </c>
    </row>
    <row r="157" spans="1:1" x14ac:dyDescent="0.2">
      <c r="A157" t="s">
        <v>1184</v>
      </c>
    </row>
    <row r="158" spans="1:1" x14ac:dyDescent="0.2">
      <c r="A158" t="s">
        <v>1185</v>
      </c>
    </row>
    <row r="159" spans="1:1" x14ac:dyDescent="0.2">
      <c r="A159" t="s">
        <v>1186</v>
      </c>
    </row>
    <row r="160" spans="1:1" x14ac:dyDescent="0.2">
      <c r="A160" t="s">
        <v>1187</v>
      </c>
    </row>
    <row r="161" spans="1:1" x14ac:dyDescent="0.2">
      <c r="A161" t="s">
        <v>1188</v>
      </c>
    </row>
    <row r="162" spans="1:1" x14ac:dyDescent="0.2">
      <c r="A162" t="s">
        <v>1189</v>
      </c>
    </row>
    <row r="163" spans="1:1" x14ac:dyDescent="0.2">
      <c r="A163" t="s">
        <v>1190</v>
      </c>
    </row>
    <row r="164" spans="1:1" x14ac:dyDescent="0.2">
      <c r="A164" t="s">
        <v>1191</v>
      </c>
    </row>
    <row r="165" spans="1:1" x14ac:dyDescent="0.2">
      <c r="A165" t="s">
        <v>1192</v>
      </c>
    </row>
    <row r="166" spans="1:1" x14ac:dyDescent="0.2">
      <c r="A166" t="s">
        <v>1193</v>
      </c>
    </row>
    <row r="167" spans="1:1" x14ac:dyDescent="0.2">
      <c r="A167" t="s">
        <v>1194</v>
      </c>
    </row>
    <row r="168" spans="1:1" x14ac:dyDescent="0.2">
      <c r="A168" t="s">
        <v>1195</v>
      </c>
    </row>
    <row r="169" spans="1:1" x14ac:dyDescent="0.2">
      <c r="A169" t="s">
        <v>1196</v>
      </c>
    </row>
    <row r="170" spans="1:1" x14ac:dyDescent="0.2">
      <c r="A170" t="s">
        <v>1197</v>
      </c>
    </row>
    <row r="171" spans="1:1" x14ac:dyDescent="0.2">
      <c r="A171" t="s">
        <v>1198</v>
      </c>
    </row>
    <row r="172" spans="1:1" x14ac:dyDescent="0.2">
      <c r="A172" t="s">
        <v>1199</v>
      </c>
    </row>
    <row r="173" spans="1:1" x14ac:dyDescent="0.2">
      <c r="A173" t="s">
        <v>1200</v>
      </c>
    </row>
    <row r="174" spans="1:1" x14ac:dyDescent="0.2">
      <c r="A174" t="s">
        <v>1201</v>
      </c>
    </row>
    <row r="175" spans="1:1" x14ac:dyDescent="0.2">
      <c r="A175" t="s">
        <v>1202</v>
      </c>
    </row>
    <row r="176" spans="1:1" x14ac:dyDescent="0.2">
      <c r="A176" t="s">
        <v>1203</v>
      </c>
    </row>
    <row r="177" spans="1:1" x14ac:dyDescent="0.2">
      <c r="A177" t="s">
        <v>1204</v>
      </c>
    </row>
    <row r="178" spans="1:1" x14ac:dyDescent="0.2">
      <c r="A178" t="s">
        <v>1205</v>
      </c>
    </row>
    <row r="179" spans="1:1" x14ac:dyDescent="0.2">
      <c r="A179" t="s">
        <v>1206</v>
      </c>
    </row>
    <row r="180" spans="1:1" x14ac:dyDescent="0.2">
      <c r="A180" t="s">
        <v>1207</v>
      </c>
    </row>
    <row r="181" spans="1:1" x14ac:dyDescent="0.2">
      <c r="A181" t="s">
        <v>1208</v>
      </c>
    </row>
    <row r="182" spans="1:1" x14ac:dyDescent="0.2">
      <c r="A182" t="s">
        <v>1209</v>
      </c>
    </row>
    <row r="183" spans="1:1" x14ac:dyDescent="0.2">
      <c r="A183" t="s">
        <v>1210</v>
      </c>
    </row>
    <row r="184" spans="1:1" x14ac:dyDescent="0.2">
      <c r="A184" t="s">
        <v>1211</v>
      </c>
    </row>
    <row r="185" spans="1:1" x14ac:dyDescent="0.2">
      <c r="A185" t="s">
        <v>1212</v>
      </c>
    </row>
    <row r="186" spans="1:1" x14ac:dyDescent="0.2">
      <c r="A186" t="s">
        <v>1213</v>
      </c>
    </row>
    <row r="187" spans="1:1" x14ac:dyDescent="0.2">
      <c r="A187" t="s">
        <v>1214</v>
      </c>
    </row>
    <row r="188" spans="1:1" x14ac:dyDescent="0.2">
      <c r="A188" t="s">
        <v>1215</v>
      </c>
    </row>
    <row r="189" spans="1:1" x14ac:dyDescent="0.2">
      <c r="A189" t="s">
        <v>1216</v>
      </c>
    </row>
    <row r="190" spans="1:1" x14ac:dyDescent="0.2">
      <c r="A190" t="s">
        <v>1217</v>
      </c>
    </row>
    <row r="191" spans="1:1" x14ac:dyDescent="0.2">
      <c r="A191" t="s">
        <v>1218</v>
      </c>
    </row>
    <row r="192" spans="1:1" x14ac:dyDescent="0.2">
      <c r="A192" t="s">
        <v>1219</v>
      </c>
    </row>
    <row r="193" spans="1:1" x14ac:dyDescent="0.2">
      <c r="A193" t="s">
        <v>1220</v>
      </c>
    </row>
    <row r="194" spans="1:1" x14ac:dyDescent="0.2">
      <c r="A194" t="s">
        <v>1221</v>
      </c>
    </row>
    <row r="195" spans="1:1" x14ac:dyDescent="0.2">
      <c r="A195" t="s">
        <v>1222</v>
      </c>
    </row>
    <row r="196" spans="1:1" x14ac:dyDescent="0.2">
      <c r="A196" t="s">
        <v>1223</v>
      </c>
    </row>
    <row r="197" spans="1:1" x14ac:dyDescent="0.2">
      <c r="A197" t="s">
        <v>1224</v>
      </c>
    </row>
    <row r="198" spans="1:1" x14ac:dyDescent="0.2">
      <c r="A198" t="s">
        <v>1225</v>
      </c>
    </row>
    <row r="199" spans="1:1" x14ac:dyDescent="0.2">
      <c r="A199" t="s">
        <v>1226</v>
      </c>
    </row>
    <row r="200" spans="1:1" x14ac:dyDescent="0.2">
      <c r="A200" t="s">
        <v>1227</v>
      </c>
    </row>
    <row r="201" spans="1:1" x14ac:dyDescent="0.2">
      <c r="A201" t="s">
        <v>1228</v>
      </c>
    </row>
    <row r="202" spans="1:1" x14ac:dyDescent="0.2">
      <c r="A202" t="s">
        <v>1229</v>
      </c>
    </row>
    <row r="203" spans="1:1" x14ac:dyDescent="0.2">
      <c r="A203" t="s">
        <v>1230</v>
      </c>
    </row>
    <row r="204" spans="1:1" x14ac:dyDescent="0.2">
      <c r="A204" t="s">
        <v>1231</v>
      </c>
    </row>
    <row r="205" spans="1:1" x14ac:dyDescent="0.2">
      <c r="A205" t="s">
        <v>1232</v>
      </c>
    </row>
    <row r="206" spans="1:1" x14ac:dyDescent="0.2">
      <c r="A206" t="s">
        <v>1233</v>
      </c>
    </row>
    <row r="207" spans="1:1" x14ac:dyDescent="0.2">
      <c r="A207" t="s">
        <v>1234</v>
      </c>
    </row>
    <row r="208" spans="1:1" x14ac:dyDescent="0.2">
      <c r="A208" t="s">
        <v>1235</v>
      </c>
    </row>
    <row r="209" spans="1:1" x14ac:dyDescent="0.2">
      <c r="A209" t="s">
        <v>1236</v>
      </c>
    </row>
    <row r="210" spans="1:1" x14ac:dyDescent="0.2">
      <c r="A210" t="s">
        <v>1237</v>
      </c>
    </row>
    <row r="211" spans="1:1" x14ac:dyDescent="0.2">
      <c r="A211" t="s">
        <v>1238</v>
      </c>
    </row>
    <row r="212" spans="1:1" x14ac:dyDescent="0.2">
      <c r="A212" t="s">
        <v>1239</v>
      </c>
    </row>
    <row r="213" spans="1:1" x14ac:dyDescent="0.2">
      <c r="A213" t="s">
        <v>1240</v>
      </c>
    </row>
    <row r="214" spans="1:1" x14ac:dyDescent="0.2">
      <c r="A214" t="s">
        <v>1241</v>
      </c>
    </row>
    <row r="215" spans="1:1" x14ac:dyDescent="0.2">
      <c r="A215" t="s">
        <v>1242</v>
      </c>
    </row>
    <row r="216" spans="1:1" x14ac:dyDescent="0.2">
      <c r="A216" t="s">
        <v>1243</v>
      </c>
    </row>
    <row r="217" spans="1:1" x14ac:dyDescent="0.2">
      <c r="A217" t="s">
        <v>1244</v>
      </c>
    </row>
    <row r="218" spans="1:1" x14ac:dyDescent="0.2">
      <c r="A218" t="s">
        <v>1245</v>
      </c>
    </row>
    <row r="219" spans="1:1" x14ac:dyDescent="0.2">
      <c r="A219" t="s">
        <v>1246</v>
      </c>
    </row>
    <row r="220" spans="1:1" x14ac:dyDescent="0.2">
      <c r="A220" t="s">
        <v>1247</v>
      </c>
    </row>
    <row r="221" spans="1:1" x14ac:dyDescent="0.2">
      <c r="A221" t="s">
        <v>1248</v>
      </c>
    </row>
    <row r="222" spans="1:1" x14ac:dyDescent="0.2">
      <c r="A222" t="s">
        <v>1249</v>
      </c>
    </row>
    <row r="223" spans="1:1" x14ac:dyDescent="0.2">
      <c r="A223" t="s">
        <v>1250</v>
      </c>
    </row>
    <row r="224" spans="1:1" x14ac:dyDescent="0.2">
      <c r="A224" t="s">
        <v>1251</v>
      </c>
    </row>
    <row r="225" spans="1:1" x14ac:dyDescent="0.2">
      <c r="A225" t="s">
        <v>1252</v>
      </c>
    </row>
    <row r="226" spans="1:1" x14ac:dyDescent="0.2">
      <c r="A226" t="s">
        <v>1253</v>
      </c>
    </row>
    <row r="227" spans="1:1" x14ac:dyDescent="0.2">
      <c r="A227" t="s">
        <v>1254</v>
      </c>
    </row>
    <row r="228" spans="1:1" x14ac:dyDescent="0.2">
      <c r="A228" t="s">
        <v>1255</v>
      </c>
    </row>
    <row r="229" spans="1:1" x14ac:dyDescent="0.2">
      <c r="A229" t="s">
        <v>1256</v>
      </c>
    </row>
    <row r="230" spans="1:1" x14ac:dyDescent="0.2">
      <c r="A230" t="s">
        <v>1257</v>
      </c>
    </row>
    <row r="231" spans="1:1" x14ac:dyDescent="0.2">
      <c r="A231" t="s">
        <v>1258</v>
      </c>
    </row>
    <row r="232" spans="1:1" x14ac:dyDescent="0.2">
      <c r="A232" t="s">
        <v>1259</v>
      </c>
    </row>
    <row r="233" spans="1:1" x14ac:dyDescent="0.2">
      <c r="A233" t="s">
        <v>1260</v>
      </c>
    </row>
    <row r="234" spans="1:1" x14ac:dyDescent="0.2">
      <c r="A234" t="s">
        <v>1261</v>
      </c>
    </row>
    <row r="235" spans="1:1" x14ac:dyDescent="0.2">
      <c r="A235" t="s">
        <v>1262</v>
      </c>
    </row>
    <row r="236" spans="1:1" x14ac:dyDescent="0.2">
      <c r="A236" t="s">
        <v>1263</v>
      </c>
    </row>
    <row r="237" spans="1:1" x14ac:dyDescent="0.2">
      <c r="A237" t="s">
        <v>1264</v>
      </c>
    </row>
    <row r="238" spans="1:1" x14ac:dyDescent="0.2">
      <c r="A238" t="s">
        <v>1265</v>
      </c>
    </row>
    <row r="239" spans="1:1" x14ac:dyDescent="0.2">
      <c r="A239" t="s">
        <v>1266</v>
      </c>
    </row>
    <row r="240" spans="1:1" x14ac:dyDescent="0.2">
      <c r="A240" t="s">
        <v>1267</v>
      </c>
    </row>
    <row r="241" spans="1:1" x14ac:dyDescent="0.2">
      <c r="A241" t="s">
        <v>1268</v>
      </c>
    </row>
    <row r="242" spans="1:1" x14ac:dyDescent="0.2">
      <c r="A242" t="s">
        <v>1269</v>
      </c>
    </row>
    <row r="243" spans="1:1" x14ac:dyDescent="0.2">
      <c r="A243" t="s">
        <v>1270</v>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95FA5AD0-D49E-4F48-AC80-BCC1B3435118}">
  <ds:schemaRefs>
    <ds:schemaRef ds:uri="http://schemas.microsoft.com/sharepoint/v3/contenttype/forms"/>
  </ds:schemaRefs>
</ds:datastoreItem>
</file>

<file path=customXml/itemProps2.xml><?xml version="1.0" encoding="utf-8"?>
<ds:datastoreItem xmlns:ds="http://schemas.openxmlformats.org/officeDocument/2006/customXml" ds:itemID="{0DA8C308-28A8-49E8-B250-A3849AF27C7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4B9BE6AE-BC0E-4DFE-8CB3-59BC712A98A0}">
  <ds:schemaRefs>
    <ds:schemaRef ds:uri="8e1efd23-f4ba-42d2-85fd-6a510437bae6"/>
    <ds:schemaRef ds:uri="http://purl.org/dc/dcmitype/"/>
    <ds:schemaRef ds:uri="http://schemas.microsoft.com/office/2006/documentManagement/types"/>
    <ds:schemaRef ds:uri="3bad6c6a-329d-45e9-b8b0-1ebecc8a8764"/>
    <ds:schemaRef ds:uri="http://schemas.microsoft.com/office/infopath/2007/PartnerControls"/>
    <ds:schemaRef ds:uri="http://schemas.openxmlformats.org/package/2006/metadata/core-properties"/>
    <ds:schemaRef ds:uri="http://www.w3.org/XML/1998/namespace"/>
    <ds:schemaRef ds:uri="http://schemas.microsoft.com/office/2006/metadata/properties"/>
    <ds:schemaRef ds:uri="http://purl.org/dc/terms/"/>
    <ds:schemaRef ds:uri="http://purl.org/dc/elements/1.1/"/>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Sheet1</vt:lpstr>
      <vt:lpstr>FileList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Alexandra de Sousa</dc:creator>
  <dc:description/>
  <cp:lastModifiedBy>Alexandra de Sousa</cp:lastModifiedBy>
  <cp:revision>0</cp:revision>
  <dcterms:created xsi:type="dcterms:W3CDTF">2023-10-04T18:06:19Z</dcterms:created>
  <dcterms:modified xsi:type="dcterms:W3CDTF">2026-08-12T21:56:05Z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