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360" yWindow="-5860" windowWidth="36480" windowHeight="2118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Sheet1!$A$1:$AG$603</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59"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0"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1"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2"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1"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4"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5"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0"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<sst xmlns="http://schemas.openxmlformats.org/spreadsheetml/2006/main" count="3454" uniqueCount="3454">
  <si>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</si>
  <si>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</si>
  <si>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</si>
  <si>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</si>
  <si>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</si>
  <si>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</si>
  <si>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</si>
  <si>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</si>
  <si>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</si>
  <si>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</si>
  <si>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</si>
  <si>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</si>
  <si>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</si>
  <si>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</si>
  <si>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</si>
  <si>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</si>
  <si>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</si>
  <si>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</si>
  <si>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</si>
  <si>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</si>
  <si>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</si>
  <si>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</si>
  <si>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</si>
  <si>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</si>
  <si>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</si>
  <si>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</si>
  <si>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</si>
  <si>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</si>
  <si>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</si>
  <si>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</si>
  <si>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</si>
  <si>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</si>
  <si>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</si>
  <si>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</si>
  <si>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</si>
  <si>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</si>
  <si>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</si>
  <si>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</si>
  <si>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</si>
  <si>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</si>
  <si>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</si>
  <si>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</si>
  <si>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</si>
  <si>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</si>
  <si>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</si>
  <si>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</si>
  <si>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</si>
  <si>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</si>
  <si>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</si>
  <si>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</si>
  <si>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</si>
  <si>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</si>
  <si>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</si>
  <si>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</si>
  <si>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</si>
  <si>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</si>
  <si>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</si>
  <si>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</si>
  <si>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</si>
  <si>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</si>
  <si>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</si>
  <si>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</si>
  <si>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</si>
  <si>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</si>
  <si>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</si>
  <si>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</si>
  <si>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</si>
  <si>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</si>
  <si>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</si>
  <si>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</si>
  <si>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</si>
  <si>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</si>
  <si>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</si>
  <si>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</si>
  <si>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</si>
  <si>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</si>
  <si>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</si>
  <si>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</si>
  <si>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</si>
  <si>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</si>
  <si>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</si>
  <si>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</si>
  <si>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</si>
  <si>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</si>
  <si>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</si>
  <si>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</si>
  <si>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</si>
  <si>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</si>
  <si>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</si>
  <si>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</si>
  <si>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</si>
  <si>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</si>
  <si>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</si>
  <si>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</si>
  <si>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</si>
  <si>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</si>
  <si>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</si>
  <si>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</si>
  <si>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</si>
  <si>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</si>
  <si>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</si>
  <si>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</si>
  <si>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</si>
  <si>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</si>
  <si>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</si>
  <si>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</si>
  <si>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</si>
  <si>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</si>
  <si>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</si>
  <si>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</si>
  <si>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</si>
  <si>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</si>
  <si>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</si>
  <si>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</si>
  <si>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</si>
  <si>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</si>
  <si>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</si>
  <si>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</si>
  <si>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</si>
  <si>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</si>
  <si>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</si>
  <si>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</si>
  <si>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</si>
  <si>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</si>
  <si>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</si>
  <si>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</si>
  <si>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</si>
  <si>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</si>
  <si>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</si>
  <si>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</si>
  <si>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</si>
  <si>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</si>
  <si>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</si>
  <si>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</si>
  <si>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</si>
  <si>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</si>
  <si>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</si>
  <si>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</si>
  <si>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</si>
  <si>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</si>
  <si>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</si>
  <si>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</si>
  <si>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</si>
  <si>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</si>
  <si>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</si>
  <si>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</si>
  <si>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</si>
  <si>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</si>
  <si>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</si>
  <si>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</si>
  <si>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</si>
  <si>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</si>
  <si>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</si>
  <si>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</si>
  <si>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</si>
  <si>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</si>
  <si>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</si>
  <si>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</si>
  <si>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</si>
  <si>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</si>
  <si>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</si>
  <si>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</si>
  <si>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</si>
  <si>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</si>
  <si>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</si>
  <si>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</si>
  <si>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</si>
  <si>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</si>
  <si>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</si>
  <si>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</si>
  <si>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</si>
  <si>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</si>
  <si>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</si>
  <si>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</si>
  <si>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</si>
  <si>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</si>
  <si>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</si>
  <si>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</si>
  <si>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</si>
  <si>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</si>
  <si>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</si>
  <si>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</si>
  <si>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</si>
  <si>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</si>
  <si>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</si>
  <si>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</si>
  <si>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</si>
  <si>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</si>
  <si>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</si>
  <si>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</si>
  <si>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</si>
  <si>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</si>
  <si>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</si>
  <si>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</si>
  <si>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</si>
  <si>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</si>
  <si>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</si>
  <si>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</si>
  <si>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</si>
  <si>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</si>
  <si>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</si>
  <si>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</si>
  <si>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</si>
  <si>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</si>
  <si>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</si>
  <si>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</si>
  <si>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</si>
  <si>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</si>
  <si>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</si>
  <si>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</si>
  <si>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</si>
  <si>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</si>
  <si>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</si>
  <si>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</si>
  <si>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</si>
  <si>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</si>
  <si>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</si>
  <si>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</si>
  <si>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</si>
  <si>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</si>
  <si>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</si>
  <si>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</si>
  <si>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</si>
  <si>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</si>
  <si>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</si>
  <si>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</si>
  <si>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</si>
  <si>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</si>
  <si>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</si>
  <si>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</si>
  <si>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</si>
  <si>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</si>
  <si>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</si>
  <si>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</si>
  <si>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</si>
  <si>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</si>
  <si>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</si>
  <si>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</si>
  <si>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</si>
  <si>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</si>
  <si>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</si>
  <si>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</si>
  <si>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</si>
  <si>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</si>
  <si>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</si>
  <si>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</si>
  <si>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</si>
  <si>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</si>
  <si>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</si>
  <si>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</si>
  <si>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</si>
  <si>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</si>
  <si>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</si>
  <si>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</si>
  <si>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</si>
  <si>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</si>
  <si>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</si>
  <si>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</si>
  <si>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</si>
  <si>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</si>
  <si>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</si>
  <si>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</si>
  <si>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</si>
  <si>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</si>
  <si>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</si>
  <si>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</si>
  <si>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</si>
  <si>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</si>
  <si>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</si>
  <si>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</si>
  <si>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</si>
  <si>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</si>
  <si>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</si>
  <si>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</si>
  <si>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</si>
  <si>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</si>
  <si>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</si>
  <si>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</si>
  <si>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</si>
  <si>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</si>
  <si>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</si>
  <si>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</si>
  <si>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</si>
  <si>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</si>
  <si>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</si>
  <si>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</si>
  <si>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</si>
  <si>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</si>
  <si>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</si>
  <si>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</si>
  <si>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</si>
  <si>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</si>
  <si>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</si>
  <si>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</si>
  <si>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</si>
  <si>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</si>
  <si>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</si>
  <si>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</si>
  <si>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</si>
  <si>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</si>
  <si>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</si>
  <si>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</si>
  <si>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</si>
  <si>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</si>
  <si>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</si>
  <si>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</si>
  <si>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</si>
  <si>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</si>
  <si>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</si>
  <si>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</si>
  <si>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</si>
  <si>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</si>
  <si>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</si>
  <si>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</si>
  <si>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</si>
  <si>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</si>
  <si>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</si>
  <si>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</si>
  <si>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</si>
  <si>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</si>
  <si>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</si>
  <si>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</si>
  <si>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</si>
  <si>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</si>
  <si>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</si>
  <si>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</si>
  <si>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</si>
  <si>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</si>
  <si>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</si>
  <si>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</si>
  <si>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</si>
  <si>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</si>
  <si>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</si>
  <si>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</si>
  <si>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</si>
  <si>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</si>
  <si>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</si>
  <si>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</si>
  <si>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</si>
  <si>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</si>
  <si>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</si>
  <si>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</si>
  <si>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</si>
  <si>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</si>
  <si>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</si>
  <si>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</si>
  <si>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</si>
  <si>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</si>
  <si>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</si>
  <si>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</si>
  <si>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</si>
  <si>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</si>
  <si>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</si>
  <si>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</si>
  <si>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</si>
  <si>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</si>
  <si>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</si>
  <si>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</si>
  <si>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</si>
  <si>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</si>
  <si>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</si>
  <si>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</si>
  <si>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</si>
  <si>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</si>
  <si>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</si>
  <si>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</si>
  <si>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</si>
  <si>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</si>
  <si>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</si>
  <si>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</si>
  <si>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</si>
  <si>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</si>
  <si>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</si>
  <si>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</si>
  <si>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</si>
  <si>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</si>
  <si>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</si>
  <si>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</si>
  <si>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</si>
  <si>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</si>
  <si>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</si>
  <si>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</si>
  <si>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</si>
  <si>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</si>
  <si>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</si>
  <si>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</si>
  <si>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</si>
  <si>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</si>
  <si>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</si>
  <si>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</si>
  <si>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</si>
  <si>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</si>
  <si>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</si>
  <si>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</si>
  <si>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</si>
  <si>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</si>
  <si>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</si>
  <si>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</si>
  <si>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</si>
  <si>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</si>
  <si>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</si>
  <si>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</si>
  <si>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</si>
  <si>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</si>
  <si>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</si>
  <si>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</si>
  <si>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</si>
  <si>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</si>
  <si>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</si>
  <si>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</si>
  <si>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</si>
  <si>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</si>
  <si>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</si>
  <si>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</si>
  <si>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</si>
  <si>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</si>
  <si>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</si>
  <si>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</si>
  <si>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</si>
  <si>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</si>
  <si>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</si>
  <si>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</si>
  <si>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</si>
  <si>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</si>
  <si>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</si>
  <si>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</si>
  <si>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</si>
  <si>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</si>
  <si>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</si>
  <si>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</si>
  <si>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</si>
  <si>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</si>
  <si>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</si>
  <si>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</si>
  <si>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</si>
  <si>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</si>
  <si>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</si>
  <si>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</si>
  <si>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</si>
  <si>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</si>
  <si>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</si>
  <si>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</si>
  <si>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</si>
  <si>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</si>
  <si>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</si>
  <si>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</si>
  <si>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</si>
  <si>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</si>
  <si>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</si>
  <si>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</si>
  <si>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</si>
  <si>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</si>
  <si>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</si>
  <si>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</si>
  <si>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</si>
  <si>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</si>
  <si>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</si>
  <si>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</si>
  <si>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</si>
  <si>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</si>
  <si>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</si>
  <si>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</si>
  <si>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</si>
  <si>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</si>
  <si>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</si>
  <si>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</si>
  <si>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</si>
  <si>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</si>
  <si>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</si>
  <si>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</si>
  <si>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</si>
  <si>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</si>
  <si>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</si>
  <si>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</si>
  <si>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</si>
  <si>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</si>
  <si>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</si>
  <si>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</si>
  <si>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</si>
  <si>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</si>
  <si>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</si>
  <si>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</si>
  <si>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</si>
  <si>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</si>
  <si>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</si>
  <si>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</si>
  <si>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</si>
  <si>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</si>
  <si>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</si>
  <si>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</si>
  <si>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</si>
  <si>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</si>
  <si>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</si>
  <si>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</si>
  <si>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</si>
  <si>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</si>
  <si>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</si>
  <si>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</si>
  <si>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</si>
  <si>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</si>
  <si>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</si>
  <si>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</si>
  <si>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</si>
  <si>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</si>
  <si>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</si>
  <si>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</si>
  <si>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</si>
  <si>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</si>
  <si>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</si>
  <si>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</si>
  <si>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</si>
  <si>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</si>
  <si>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</si>
  <si>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</si>
  <si>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</si>
  <si>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</si>
  <si>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</si>
  <si>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</si>
  <si>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</si>
  <si>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</si>
  <si>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</si>
  <si>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</si>
  <si>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</si>
  <si>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</si>
  <si>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</si>
  <si>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</si>
  <si>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</si>
  <si>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</si>
  <si>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</si>
  <si>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</si>
  <si>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</si>
  <si>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</si>
  <si>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</si>
  <si>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</si>
  <si>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</si>
  <si>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</si>
  <si>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</si>
  <si>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</si>
  <si>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</si>
  <si>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</si>
  <si>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</si>
  <si>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</si>
  <si>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</si>
  <si>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</si>
  <si>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</si>
  <si>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</si>
  <si>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</si>
  <si>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</si>
  <si>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</si>
  <si>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</si>
  <si>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</si>
  <si>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</si>
  <si>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</si>
  <si>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</si>
  <si>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</si>
  <si>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</si>
  <si>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</si>
  <si>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</si>
  <si>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</si>
  <si>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</si>
  <si>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</si>
  <si>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</si>
  <si>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</si>
  <si>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</si>
  <si>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</si>
  <si>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</si>
  <si>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</si>
  <si>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</si>
  <si>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</si>
  <si>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</si>
  <si>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</si>
  <si>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</si>
  <si>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</si>
  <si>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</si>
  <si>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</si>
  <si>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</si>
  <si>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</si>
  <si>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</si>
  <si>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</si>
  <si>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</si>
  <si>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</si>
  <si>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</si>
  <si>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</si>
  <si>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</si>
  <si>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</si>
  <si>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</si>
  <si>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</si>
  <si>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</si>
  <si>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</si>
  <si>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</si>
  <si>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</si>
  <si>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</si>
  <si>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</si>
  <si>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</si>
  <si>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</si>
  <si>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</si>
  <si>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</si>
  <si>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</si>
  <si>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</si>
  <si>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</si>
  <si>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</si>
  <si>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</si>
  <si>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</si>
  <si>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</si>
  <si>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</si>
  <si>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</si>
  <si>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</si>
  <si>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</si>
  <si>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</si>
  <si>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</si>
  <si>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</si>
  <si>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</si>
  <si>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</si>
  <si>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</si>
  <si>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</si>
  <si>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</si>
  <si>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</si>
  <si>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</si>
  <si>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</si>
  <si>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</si>
  <si>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</si>
  <si>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</si>
  <si>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</si>
  <si>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</si>
  <si>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</si>
  <si>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</si>
  <si>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</si>
  <si>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</si>
  <si>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</si>
  <si>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</si>
  <si>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</si>
  <si>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</si>
  <si>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</si>
  <si>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</si>
  <si>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</si>
  <si>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</si>
  <si>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</si>
  <si>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</si>
  <si>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</si>
  <si>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</si>
  <si>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</si>
  <si>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</si>
  <si>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</si>
  <si>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</si>
  <si>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</si>
  <si>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</si>
  <si>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</si>
  <si>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</si>
  <si>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</si>
  <si>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</si>
  <si>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</si>
  <si>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</si>
  <si>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</si>
  <si>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</si>
  <si>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</si>
  <si>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</si>
  <si>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</si>
  <si>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</si>
  <si>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</si>
  <si>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</si>
  <si>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</si>
  <si>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</si>
  <si>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</si>
  <si>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</si>
  <si>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</si>
  <si>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</si>
  <si>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</si>
  <si>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</si>
  <si>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</si>
  <si>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</si>
  <si>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</si>
  <si>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</si>
  <si>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</si>
  <si>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</si>
  <si>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</si>
  <si>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</si>
  <si>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</si>
  <si>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</si>
  <si>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</si>
  <si>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</si>
  <si>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</si>
  <si>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</si>
  <si>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</si>
  <si>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</si>
  <si>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</si>
  <si>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</si>
  <si>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</si>
  <si>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</si>
  <si>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</si>
  <si>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</si>
  <si>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</si>
  <si>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</si>
  <si>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</si>
  <si>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</si>
  <si>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</si>
  <si>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</si>
  <si>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</si>
  <si>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</si>
  <si>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</si>
  <si>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</si>
  <si>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</si>
  <si>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</si>
  <si>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</si>
  <si>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</si>
  <si>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</si>
  <si>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</si>
  <si>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</si>
  <si>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</si>
  <si>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</si>
  <si>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</si>
  <si>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</si>
  <si>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</si>
  <si>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</si>
  <si>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</si>
  <si>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</si>
  <si>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</si>
  <si>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</si>
  <si>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</si>
  <si>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</si>
  <si>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</si>
  <si>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</si>
  <si>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</si>
  <si>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</si>
  <si>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</si>
  <si>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</si>
  <si>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</si>
  <si>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</si>
  <si>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</si>
  <si>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</si>
  <si>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</si>
  <si>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</si>
  <si>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</si>
  <si>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</si>
  <si>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</si>
  <si>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</si>
  <si>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</si>
  <si>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</si>
  <si>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</si>
  <si>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</si>
  <si>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</si>
  <si>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</si>
  <si>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</si>
  <si>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</si>
  <si>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</si>
  <si>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</si>
  <si>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</si>
  <si>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</si>
  <si>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</si>
  <si>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</si>
  <si>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</si>
  <si>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</si>
  <si>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</si>
  <si>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</si>
  <si>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</si>
  <si>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</si>
  <si>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</si>
  <si>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</si>
  <si>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</si>
  <si>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</si>
  <si>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</si>
  <si>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</si>
  <si>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</si>
  <si>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</si>
  <si>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</si>
  <si>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</si>
  <si>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</si>
  <si>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</si>
  <si>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</si>
  <si>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</si>
  <si>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</si>
  <si>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</si>
  <si>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</si>
  <si>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</si>
  <si>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</si>
  <si>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</si>
  <si>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</si>
  <si>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</si>
  <si>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</si>
  <si>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</si>
  <si>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</si>
  <si>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</si>
  <si>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</si>
  <si>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</si>
  <si>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</si>
  <si>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</si>
  <si>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</si>
  <si>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</si>
  <si>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</si>
  <si>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</si>
  <si>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</si>
  <si>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</si>
  <si>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</si>
  <si>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</si>
  <si>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</si>
  <si>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</si>
  <si>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</si>
  <si>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</si>
  <si>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</si>
  <si>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</si>
  <si>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</si>
  <si>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</si>
  <si>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</si>
  <si>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</si>
  <si>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</si>
  <si>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</si>
  <si>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</si>
  <si>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</si>
  <si>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</si>
  <si>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</si>
  <si>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</si>
  <si>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</si>
  <si>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</si>
  <si>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</si>
  <si>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</si>
  <si>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</si>
  <si>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</si>
  <si>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</si>
  <si>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</si>
  <si>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</si>
  <si>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</si>
  <si>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</si>
  <si>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</si>
  <si>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</si>
  <si>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</si>
  <si>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</si>
  <si>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</si>
  <si>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</si>
  <si>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</si>
  <si>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</si>
  <si>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</si>
  <si>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</si>
  <si>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</si>
  <si>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</si>
  <si>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</si>
  <si>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</si>
  <si>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</si>
  <si>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</si>
  <si>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</si>
  <si>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</si>
  <si>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</si>
  <si>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</si>
  <si>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</si>
  <si>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</si>
  <si>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</si>
  <si>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</si>
  <si>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</si>
  <si>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</si>
  <si>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</si>
  <si>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</si>
  <si>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</si>
  <si>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</si>
  <si>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</si>
  <si>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</si>
  <si>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</si>
  <si>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</si>
  <si>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</si>
  <si>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</si>
  <si>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</si>
  <si>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</si>
  <si>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</si>
  <si>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</si>
  <si>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</si>
  <si>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</si>
  <si>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</si>
  <si>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</si>
  <si>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</si>
  <si>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</si>
  <si>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</si>
  <si>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</si>
  <si>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</si>
  <si>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</si>
  <si>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</si>
  <si>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</si>
  <si>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</si>
  <si>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</si>
  <si>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</si>
  <si>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</si>
  <si>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</si>
  <si>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</si>
  <si>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</si>
  <si>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</si>
  <si>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</si>
  <si>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</si>
  <si>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</si>
  <si>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</si>
  <si>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</si>
  <si>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</si>
  <si>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</si>
  <si>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</si>
  <si>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</si>
  <si>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</si>
  <si>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</si>
  <si>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</si>
  <si>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</si>
  <si>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</si>
  <si>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</si>
  <si>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</si>
  <si>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</si>
  <si>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</si>
  <si>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</si>
  <si>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</si>
  <si>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</si>
  <si>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</si>
  <si>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</si>
  <si>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</si>
  <si>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</si>
  <si>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</si>
  <si>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</si>
  <si>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</si>
  <si>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</si>
  <si>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</si>
  <si>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</si>
  <si>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</si>
  <si>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</si>
  <si>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</si>
  <si>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</si>
  <si>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</si>
  <si>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</si>
  <si>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</si>
  <si>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</si>
  <si>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</si>
  <si>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</si>
  <si>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</si>
  <si>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</si>
  <si>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</si>
  <si>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</si>
  <si>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</si>
  <si>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</si>
  <si>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</si>
  <si>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</si>
  <si>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</si>
  <si>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</si>
  <si>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</si>
  <si>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</si>
  <si>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</si>
  <si>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</si>
  <si>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</si>
  <si>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</si>
  <si>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</si>
  <si>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</si>
  <si>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</si>
  <si>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</si>
  <si>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</si>
  <si>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</si>
  <si>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</si>
  <si>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</si>
  <si>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</si>
  <si>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</si>
  <si>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</si>
  <si>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</si>
  <si>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</si>
  <si>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</si>
  <si>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</si>
  <si>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</si>
  <si>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</si>
  <si>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</si>
  <si>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</si>
  <si>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</si>
  <si>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</si>
  <si>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</si>
  <si>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</si>
  <si>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</si>
  <si>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</si>
  <si>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</si>
  <si>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</si>
  <si>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</si>
  <si>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</si>
  <si>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</si>
  <si>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</si>
  <si>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</si>
  <si>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</si>
  <si>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</si>
  <si>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</si>
  <si>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</si>
  <si>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</si>
  <si>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</si>
  <si>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</si>
  <si>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</si>
  <si>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</si>
  <si>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</si>
  <si>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</si>
  <si>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</si>
  <si>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</si>
  <si>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</si>
  <si>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</si>
  <si>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</si>
  <si>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</si>
  <si>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</si>
  <si>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</si>
  <si>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</si>
  <si>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</si>
  <si>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</si>
  <si>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</si>
  <si>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</si>
  <si>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</si>
  <si>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</si>
  <si>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</si>
  <si>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</si>
  <si>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</si>
  <si>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</si>
  <si>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</si>
  <si>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</si>
  <si>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</si>
  <si>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</si>
  <si>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</si>
  <si>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</si>
  <si>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</si>
  <si>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</si>
  <si>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</si>
  <si>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</si>
  <si>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</si>
  <si>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</si>
  <si>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</si>
  <si>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</si>
  <si>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</si>
  <si>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</si>
  <si>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</si>
  <si>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</si>
  <si>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</si>
  <si>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</si>
  <si>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</si>
  <si>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</si>
  <si>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</si>
  <si>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</si>
  <si>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</si>
  <si>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</si>
  <si>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</si>
  <si>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</si>
  <si>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</si>
  <si>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</si>
  <si>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</si>
  <si>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</si>
  <si>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</si>
  <si>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</si>
  <si>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</si>
  <si>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</si>
  <si>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</si>
  <si>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</si>
  <si>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</si>
  <si>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</si>
  <si>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</si>
  <si>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</si>
  <si>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</si>
  <si>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</si>
  <si>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</si>
  <si>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</si>
  <si>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</si>
  <si>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</si>
  <si>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</si>
  <si>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</si>
  <si>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</si>
  <si>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</si>
  <si>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</si>
  <si>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</si>
  <si>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</si>
  <si>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</si>
  <si>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</si>
  <si>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</si>
  <si>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</si>
  <si>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</si>
  <si>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</si>
  <si>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</si>
  <si>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</si>
  <si>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</si>
  <si>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</si>
  <si>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</si>
  <si>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</si>
  <si>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</si>
  <si>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</si>
  <si>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</si>
  <si>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</si>
  <si>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</si>
  <si>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</si>
  <si>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</si>
  <si>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</si>
  <si>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</si>
  <si>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</si>
  <si>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</si>
  <si>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</si>
  <si>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</si>
  <si>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</si>
  <si>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</si>
  <si>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</si>
  <si>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</si>
  <si>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</si>
  <si>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</si>
  <si>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</si>
  <si>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</si>
  <si>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</si>
  <si>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</si>
  <si>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</si>
  <si>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</si>
  <si>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</si>
  <si>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</si>
  <si>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</si>
  <si>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</si>
  <si>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</si>
  <si>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</si>
  <si>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</si>
  <si>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</si>
  <si>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</si>
  <si>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</si>
  <si>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</si>
  <si>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</si>
  <si>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</si>
  <si>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</si>
  <si>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</si>
  <si>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</si>
  <si>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</si>
  <si>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</si>
  <si>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</si>
  <si>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</si>
  <si>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</si>
  <si>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</si>
  <si>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</si>
  <si>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</si>
  <si>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</si>
  <si>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</si>
  <si>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</si>
  <si>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</si>
  <si>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</si>
  <si>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</si>
  <si>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</si>
  <si>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</si>
  <si>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</si>
  <si>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</si>
  <si>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</si>
  <si>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</si>
  <si>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</si>
  <si>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</si>
  <si>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</si>
  <si>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</si>
  <si>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</si>
  <si>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</si>
  <si>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</si>
  <si>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</si>
  <si>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</si>
  <si>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</si>
  <si>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</si>
  <si>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</si>
  <si>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</si>
  <si>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</si>
  <si>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</si>
  <si>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</si>
  <si>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</si>
  <si>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</si>
  <si>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</si>
  <si>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</si>
  <si>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</si>
  <si>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</si>
  <si>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</si>
  <si>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</si>
  <si>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</si>
  <si>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</si>
  <si>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</si>
  <si>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</si>
  <si>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</si>
  <si>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</si>
  <si>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</si>
  <si>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</si>
  <si>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</si>
  <si>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</si>
  <si>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</si>
  <si>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</si>
  <si>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</si>
  <si>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</si>
  <si>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</si>
  <si>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</si>
  <si>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</si>
  <si>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</si>
  <si>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</si>
  <si>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</si>
  <si>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</si>
  <si>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</si>
  <si>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</si>
  <si>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</si>
  <si>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</si>
  <si>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</si>
  <si>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</si>
  <si>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</si>
  <si>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</si>
  <si>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</si>
  <si>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</si>
  <si>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</si>
  <si>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</si>
  <si>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</si>
  <si>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</si>
  <si>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</si>
  <si>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</si>
  <si>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</si>
  <si>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</si>
  <si>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</si>
  <si>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</si>
  <si>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</si>
  <si>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</si>
  <si>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</si>
  <si>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</si>
  <si>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</si>
  <si>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</si>
  <si>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</si>
  <si>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</si>
  <si>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</si>
  <si>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</si>
  <si>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</si>
  <si>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</si>
  <si>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</si>
  <si>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</si>
  <si>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</si>
  <si>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</si>
  <si>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</si>
  <si>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</si>
  <si>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</si>
  <si>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</si>
  <si>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</si>
  <si>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</si>
  <si>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</si>
  <si>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</si>
  <si>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</si>
  <si>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</si>
  <si>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</si>
  <si>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</si>
  <si>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</si>
  <si>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</si>
  <si>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</si>
  <si>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</si>
  <si>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</si>
  <si>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</si>
  <si>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</si>
  <si>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</si>
  <si>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</si>
  <si>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</si>
  <si>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</si>
  <si>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</si>
  <si>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</si>
  <si>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</si>
  <si>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</si>
  <si>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</si>
  <si>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</si>
  <si>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</si>
  <si>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</si>
  <si>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</si>
  <si>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</si>
  <si>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</si>
  <si>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</si>
  <si>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</si>
  <si>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</si>
  <si>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</si>
  <si>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</si>
  <si>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</si>
  <si>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</si>
  <si>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</si>
  <si>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</si>
  <si>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</si>
  <si>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</si>
  <si>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</si>
  <si>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</si>
  <si>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</si>
  <si>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</si>
  <si>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</si>
  <si>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</si>
  <si>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</si>
  <si>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</si>
  <si>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</si>
  <si>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</si>
  <si>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</si>
  <si>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</si>
  <si>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</si>
  <si>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</si>
  <si>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</si>
  <si>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</si>
  <si>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</si>
  <si>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</si>
  <si>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</si>
  <si>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</si>
  <si>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</si>
  <si>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</si>
  <si>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</si>
  <si>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</si>
  <si>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</si>
  <si>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</si>
  <si>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</si>
  <si>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</si>
  <si>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</si>
  <si>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</si>
  <si>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</si>
  <si>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</si>
  <si>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</si>
  <si>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</si>
  <si>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</si>
  <si>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</si>
  <si>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</si>
  <si>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</si>
  <si>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</si>
  <si>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</si>
  <si>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</si>
  <si>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</si>
  <si>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</si>
  <si>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</si>
  <si>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</si>
  <si>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</si>
  <si>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</si>
  <si>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</si>
  <si>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</si>
  <si>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</si>
  <si>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</si>
  <si>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</si>
  <si>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</si>
  <si>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</si>
  <si>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</si>
  <si>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</si>
  <si>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</si>
  <si>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</si>
  <si>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</si>
  <si>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</si>
  <si>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</si>
  <si>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</si>
  <si>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</si>
  <si>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</si>
  <si>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</si>
  <si>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</si>
  <si>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</si>
  <si>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</si>
  <si>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</si>
  <si>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</si>
  <si>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</si>
  <si>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</si>
  <si>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</si>
  <si>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</si>
  <si>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</si>
  <si>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</si>
  <si>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</si>
  <si>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</si>
  <si>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</si>
  <si>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</si>
  <si>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</si>
  <si>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</si>
  <si>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</si>
  <si>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</si>
  <si>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</si>
  <si>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</si>
  <si>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</si>
  <si>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</si>
  <si>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</si>
  <si>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</si>
  <si>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</si>
  <si>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</si>
  <si>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</si>
  <si>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</si>
  <si>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</si>
  <si>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</si>
  <si>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</si>
  <si>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</si>
  <si>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</si>
  <si>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</si>
  <si>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</si>
  <si>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</si>
  <si>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</si>
  <si>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</si>
  <si>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</si>
  <si>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</si>
  <si>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</si>
  <si>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</si>
  <si>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</si>
  <si>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</si>
  <si>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</si>
  <si>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</si>
  <si>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</si>
  <si>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</si>
  <si>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</si>
  <si>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</si>
  <si>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</si>
  <si>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</si>
  <si>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</si>
  <si>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</si>
  <si>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</si>
  <si>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</si>
  <si>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</si>
  <si>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</si>
  <si>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</si>
  <si>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</si>
  <si>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</si>
  <si>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</si>
  <si>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</si>
  <si>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</si>
  <si>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</si>
  <si>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</si>
  <si>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</si>
  <si>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</si>
  <si>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</si>
  <si>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</si>
  <si>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</si>
  <si>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</si>
  <si>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</si>
  <si>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</si>
  <si>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</si>
  <si>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</si>
  <si>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</si>
  <si>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</si>
  <si>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</si>
  <si>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</si>
  <si>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</si>
  <si>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</si>
  <si>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</si>
  <si>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</si>
  <si>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</si>
  <si>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</si>
  <si>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</si>
  <si>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</si>
  <si>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</si>
  <si>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</si>
  <si>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</si>
  <si>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</si>
  <si>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</si>
  <si>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</si>
  <si>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</si>
  <si>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</si>
  <si>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</si>
  <si>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</si>
  <si>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</si>
  <si>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</si>
  <si>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</si>
  <si>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</si>
  <si>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</si>
  <si>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</si>
  <si>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</si>
  <si>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</si>
  <si>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</si>
  <si>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</si>
  <si>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</si>
  <si>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</si>
  <si>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</si>
  <si>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</si>
  <si>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</si>
  <si>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</si>
  <si>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</si>
  <si>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</si>
  <si>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</si>
  <si>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</si>
  <si>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</si>
  <si>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</si>
  <si>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</si>
  <si>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</si>
  <si>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</si>
  <si>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</si>
  <si>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</si>
  <si>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</si>
  <si>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</si>
  <si>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</si>
  <si>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</si>
  <si>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</si>
  <si>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</si>
  <si>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</si>
  <si>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</si>
  <si>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</si>
  <si>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</si>
  <si>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</si>
  <si>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</si>
  <si>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</si>
  <si>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</si>
  <si>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</si>
  <si>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</si>
  <si>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</si>
  <si>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</si>
  <si>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</si>
  <si>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</si>
  <si>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</si>
  <si>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</si>
  <si>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</si>
  <si>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</si>
  <si>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</si>
  <si>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</si>
  <si>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</si>
  <si>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</si>
  <si>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</si>
  <si>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</si>
  <si>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</si>
  <si>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</si>
  <si>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</si>
  <si>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</si>
  <si>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</si>
  <si>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</si>
  <si>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</si>
  <si>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</si>
  <si>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</si>
  <si>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</si>
  <si>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</si>
  <si>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</si>
  <si>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</si>
  <si>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</si>
  <si>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</si>
  <si>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</si>
  <si>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</si>
  <si>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</si>
  <si>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</si>
  <si>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</si>
  <si>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</si>
  <si>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</si>
  <si>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</si>
  <si>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</si>
  <si>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</si>
  <si>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</si>
  <si>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</si>
  <si>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</si>
  <si>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</si>
  <si>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</si>
  <si>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</si>
  <si>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</si>
  <si>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</si>
  <si>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</si>
  <si>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</si>
  <si>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</si>
  <si>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</si>
  <si>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</si>
  <si>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</si>
  <si>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</si>
  <si>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</si>
  <si>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</si>
  <si>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</si>
  <si>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</si>
  <si>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</si>
  <si>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</si>
  <si>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</si>
  <si>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</si>
  <si>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</si>
  <si>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</si>
  <si>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</si>
  <si>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</si>
  <si>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</si>
  <si>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</si>
  <si>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</si>
  <si>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</si>
  <si>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</si>
  <si>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</si>
  <si>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</si>
  <si>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</si>
  <si>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</si>
  <si>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</si>
  <si>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</si>
  <si>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</si>
  <si>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</si>
  <si>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</si>
  <si>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</si>
  <si>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</si>
  <si>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</si>
  <si>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</si>
  <si>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</si>
  <si>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</si>
  <si>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</si>
  <si>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</si>
  <si>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</si>
  <si>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</si>
  <si>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</si>
  <si>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</si>
  <si>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</si>
  <si>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</si>
  <si>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</si>
  <si>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</si>
  <si>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</si>
  <si>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</si>
  <si>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</si>
  <si>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</si>
  <si>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</si>
  <si>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</si>
  <si>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</si>
  <si>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</si>
  <si>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</si>
  <si>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</si>
  <si>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</si>
  <si>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</si>
  <si>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</si>
  <si>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</si>
  <si>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</si>
  <si>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</si>
  <si>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</si>
  <si>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</si>
  <si>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</si>
  <si>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</si>
  <si>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</si>
  <si>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</si>
  <si>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</si>
  <si>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</si>
  <si>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</si>
  <si>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</si>
  <si>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</si>
  <si>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</si>
  <si>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</si>
  <si>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</si>
  <si>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</si>
  <si>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</si>
  <si>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</si>
  <si>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</si>
  <si>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</si>
  <si>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</si>
  <si>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</si>
  <si>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</si>
  <si>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</si>
  <si>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</si>
  <si>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</si>
  <si>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</si>
  <si>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</si>
  <si>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</si>
  <si>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</si>
  <si>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</si>
  <si>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</si>
  <si>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</si>
  <si>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</si>
  <si>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</si>
  <si>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</si>
  <si>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</si>
  <si>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</si>
  <si>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</si>
  <si>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</si>
  <si>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</si>
  <si>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</si>
  <si>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</si>
  <si>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</si>
  <si>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</si>
  <si>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</si>
  <si>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</si>
  <si>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</si>
  <si>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</si>
  <si>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</si>
  <si>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</si>
  <si>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</si>
  <si>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</si>
  <si>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</si>
  <si>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</si>
  <si>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</si>
  <si>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</si>
  <si>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</si>
  <si>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</si>
  <si>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</si>
  <si>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</si>
  <si>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</si>
  <si>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</si>
  <si>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</si>
  <si>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</si>
  <si>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</si>
  <si>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</si>
  <si>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</si>
  <si>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</si>
  <si>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</si>
  <si>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</si>
  <si>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</si>
  <si>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</si>
  <si>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</si>
  <si>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</si>
  <si>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</si>
  <si>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</si>
  <si>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</si>
  <si>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</si>
  <si>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</si>
  <si>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</si>
  <si>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</si>
  <si>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</si>
  <si>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</si>
  <si>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</si>
  <si>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</si>
  <si>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</si>
  <si>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</si>
  <si>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</si>
  <si>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</si>
  <si>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</si>
  <si>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</si>
  <si>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</si>
  <si>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</si>
  <si>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</si>
  <si>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</si>
  <si>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</si>
  <si>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</si>
  <si>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</si>
  <si>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</si>
  <si>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</si>
  <si>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</si>
  <si>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</si>
  <si>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</si>
  <si>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</si>
  <si>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</si>
  <si>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</si>
  <si>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</si>
  <si>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</si>
  <si>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</si>
  <si>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</si>
  <si>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</si>
  <si>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</si>
  <si>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</si>
  <si>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</si>
  <si>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</si>
  <si>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</si>
  <si>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</si>
  <si>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</si>
  <si>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</si>
  <si>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</si>
  <si>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</si>
  <si>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</si>
  <si>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</si>
  <si>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</si>
  <si>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</si>
  <si>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</si>
  <si>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</si>
  <si>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</si>
  <si>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</si>
  <si>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</si>
  <si>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</si>
  <si>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</si>
  <si>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</si>
  <si>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</si>
  <si>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</si>
  <si>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</si>
  <si>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</si>
  <si>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</si>
  <si>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</si>
  <si>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</si>
  <si>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</si>
  <si>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</si>
  <si>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</si>
  <si>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</si>
  <si>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</si>
  <si>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</si>
  <si>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</si>
  <si>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</si>
  <si>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</si>
  <si>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</si>
  <si>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</si>
  <si>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</si>
  <si>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</si>
  <si>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</si>
  <si>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</si>
  <si>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</si>
  <si>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</si>
  <si>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</si>
  <si>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</si>
  <si>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</si>
  <si>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</si>
  <si>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</si>
  <si>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</si>
  <si>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</si>
  <si>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</si>
  <si>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</si>
  <si>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</si>
  <si>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</si>
  <si>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</si>
  <si>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</si>
  <si>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</si>
  <si>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</si>
  <si>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</si>
  <si>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</si>
  <si>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</si>
  <si>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</si>
  <si>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</si>
  <si>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</si>
  <si>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</si>
  <si>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</si>
  <si>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</si>
  <si>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</si>
  <si>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</si>
  <si>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</si>
  <si>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</si>
  <si>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</si>
  <si>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</si>
  <si>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</si>
  <si>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</si>
  <si>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</si>
  <si>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</si>
  <si>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</si>
  <si>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</si>
  <si>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</si>
  <si>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</si>
  <si>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</si>
  <si>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</si>
  <si>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</si>
  <si>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</si>
  <si>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</si>
  <si>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</si>
  <si>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</si>
  <si>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</si>
  <si>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</si>
  <si>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</si>
  <si>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</si>
  <si>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</si>
  <si>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</si>
  <si>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</si>
  <si>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</si>
  <si>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</si>
  <si>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</si>
  <si>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</si>
  <si>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</si>
  <si>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</si>
  <si>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</si>
  <si>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</si>
  <si>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</si>
  <si>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</si>
  <si>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</si>
  <si>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</si>
  <si>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</si>
  <si>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</si>
  <si>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</si>
  <si>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</si>
  <si>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</si>
  <si>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</si>
  <si>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</si>
  <si>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</si>
  <si>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</si>
  <si>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</si>
  <si>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</si>
  <si>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</si>
  <si>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</si>
  <si>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</si>
  <si>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</si>
  <si>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</si>
  <si>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</si>
  <si>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</si>
  <si>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</si>
  <si>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</si>
  <si>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</si>
  <si>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</si>
  <si>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</si>
  <si>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</si>
  <si>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</si>
  <si>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</si>
  <si>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</si>
  <si>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</si>
  <si>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</si>
  <si>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</si>
  <si>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</si>
  <si>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</si>
  <si>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</si>
  <si>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</si>
  <si>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</si>
  <si>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</si>
  <si>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</si>
  <si>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</si>
  <si>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</si>
  <si>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</si>
  <si>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</si>
  <si>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</si>
  <si>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</si>
  <si>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</si>
  <si>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</si>
  <si>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</si>
  <si>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</si>
  <si>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</si>
  <si>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</si>
  <si>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</si>
  <si>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</si>
  <si>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</si>
  <si>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</si>
  <si>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</si>
  <si>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</si>
  <si>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</si>
  <si>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</si>
  <si>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</si>
  <si>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</si>
  <si>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</si>
  <si>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</si>
  <si>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</si>
  <si>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</si>
  <si>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</si>
  <si>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</si>
  <si>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</si>
  <si>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</si>
  <si>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</si>
  <si>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</si>
  <si>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</si>
  <si>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</si>
  <si>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</si>
  <si>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</si>
  <si>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</si>
  <si>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</si>
  <si>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</si>
  <si>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</si>
  <si>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</si>
  <si>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</si>
  <si>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</si>
  <si>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</si>
  <si>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</si>
  <si>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</si>
  <si>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</si>
  <si>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</si>
  <si>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</si>
  <si>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</si>
  <si>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</si>
  <si>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</si>
  <si>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</si>
  <si>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</si>
  <si>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</si>
  <si>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</si>
  <si>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</si>
  <si>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</si>
  <si>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</si>
  <si>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</si>
  <si>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</si>
  <si>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</si>
  <si>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</si>
  <si>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</si>
  <si>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</si>
  <si>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</si>
  <si>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</si>
  <si>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</si>
  <si>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</si>
  <si>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</si>
  <si>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</si>
  <si>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</si>
  <si>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</si>
  <si>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</si>
  <si>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</si>
  <si>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</si>
  <si>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</si>
  <si>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</si>
  <si>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</si>
  <si>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</si>
  <si>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</si>
  <si>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</si>
  <si>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</si>
  <si>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</si>
  <si>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</si>
  <si>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</si>
  <si>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</si>
  <si>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</si>
  <si>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</si>
  <si>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</si>
  <si>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</si>
  <si>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</si>
  <si>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</si>
  <si>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</si>
  <si>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</si>
  <si>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</si>
  <si>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</si>
  <si>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</si>
  <si>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</si>
  <si>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</si>
  <si>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</si>
  <si>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</si>
  <si>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</si>
  <si>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</si>
  <si>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</si>
  <si>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</si>
  <si>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</si>
  <si>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</si>
  <si>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</si>
  <si>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</si>
  <si>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</si>
  <si>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</si>
  <si>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</si>
  <si>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</si>
  <si>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</si>
  <si>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</si>
  <si>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</si>
  <si>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</si>
  <si>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</si>
  <si>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</si>
  <si>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</si>
  <si>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</si>
  <si>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</si>
  <si>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</si>
  <si>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</si>
  <si>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</si>
  <si>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</si>
  <si>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</si>
  <si>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</si>
  <si>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</si>
  <si>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</si>
  <si>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</si>
  <si>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</si>
  <si>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</si>
  <si>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</si>
  <si>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</si>
  <si>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</si>
  <si>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</si>
  <si>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</si>
  <si>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</si>
  <si>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</si>
  <si>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</si>
  <si>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</si>
  <si>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</si>
  <si>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</si>
  <si>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</si>
  <si>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</si>
  <si>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</si>
  <si>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</si>
  <si>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</si>
  <si>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</si>
  <si>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</si>
  <si>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</si>
  <si>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</si>
  <si>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</si>
  <si>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</si>
  <si>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</si>
  <si>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</si>
  <si>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</si>
  <si>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</si>
  <si>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</si>
  <si>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</si>
  <si>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</si>
  <si>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</si>
  <si>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</si>
  <si>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</si>
  <si>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</si>
  <si>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</si>
  <si>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</si>
  <si>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</si>
  <si>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</si>
  <si>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</si>
  <si>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</si>
  <si>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</si>
  <si>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</si>
  <si>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</si>
  <si>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</si>
  <si>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</si>
  <si>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</si>
  <si>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</si>
  <si>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</si>
  <si>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</si>
  <si>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</si>
  <si>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</si>
  <si>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</si>
  <si>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</si>
  <si>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</si>
  <si>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</si>
  <si>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</si>
  <si>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</si>
  <si>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</si>
  <si>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</si>
  <si>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</si>
  <si>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</si>
  <si>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</si>
  <si>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</si>
  <si>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</si>
  <si>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</si>
  <si>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</si>
  <si>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</si>
  <si>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</si>
  <si>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</si>
  <si>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</si>
  <si>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</si>
  <si>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</si>
  <si>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</si>
  <si>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</si>
  <si>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</si>
  <si>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</si>
  <si>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</si>
  <si>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</si>
  <si>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</si>
  <si>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</si>
  <si>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</si>
  <si>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</si>
  <si>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</si>
  <si>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</si>
  <si>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</si>
  <si>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</si>
  <si>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</si>
  <si>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</si>
  <si>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</si>
  <si>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</si>
  <si>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</si>
  <si>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</si>
  <si>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</si>
  <si>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</si>
  <si>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</si>
  <si>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</si>
  <si>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</si>
  <si>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</si>
  <si>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</si>
  <si>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</si>
  <si>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</si>
  <si>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</si>
  <si>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</si>
  <si>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</si>
  <si>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</si>
  <si>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</si>
  <si>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</si>
  <si>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</si>
  <si>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</si>
  <si>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</si>
  <si>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</si>
  <si>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</si>
  <si>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</si>
  <si>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</si>
  <si>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</si>
  <si>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</si>
  <si>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</si>
  <si>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</si>
  <si>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</si>
  <si>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</si>
  <si>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</si>
  <si>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</si>
  <si>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</si>
  <si>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</si>
  <si>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</si>
  <si>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</si>
  <si>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</si>
  <si>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</si>
  <si>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</si>
  <si>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</si>
  <si>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</si>
  <si>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</si>
  <si>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</si>
  <si>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</si>
  <si>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</si>
  <si>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</si>
  <si>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</si>
  <si>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</si>
  <si>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</si>
  <si>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</si>
  <si>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</si>
  <si>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</si>
  <si>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</si>
  <si>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</si>
  <si>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</si>
  <si>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</si>
  <si>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</si>
  <si>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</si>
  <si>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</si>
  <si>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</si>
  <si>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</si>
  <si>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</si>
  <si>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</si>
  <si>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</si>
  <si>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</si>
  <si>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</si>
  <si>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</si>
  <si>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</si>
  <si>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</si>
  <si>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</si>
  <si>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</si>
  <si>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</si>
  <si>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</si>
  <si>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</si>
  <si>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</si>
  <si>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</si>
  <si>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</si>
  <si>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</si>
  <si>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</si>
  <si>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</si>
  <si>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</si>
  <si>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</si>
  <si>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</si>
  <si>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</si>
  <si>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</si>
  <si>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</si>
  <si>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</si>
  <si>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</si>
  <si>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</si>
  <si>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</si>
  <si>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</si>
  <si>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</si>
  <si>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</si>
  <si>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</si>
  <si>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</si>
  <si>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</si>
  <si>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</si>
  <si>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</si>
  <si>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</si>
  <si>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</si>
  <si>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</si>
  <si>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</si>
  <si>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</si>
  <si>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</si>
  <si>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</si>
  <si>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</si>
  <si>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</si>
  <si>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</si>
  <si>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</si>
  <si>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</si>
  <si>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</si>
  <si>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</si>
  <si>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</si>
  <si>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</si>
  <si>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</si>
  <si>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</si>
  <si>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</si>
  <si>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</si>
  <si>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</si>
  <si>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</si>
  <si>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</si>
  <si>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</si>
  <si>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</si>
  <si>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</si>
  <si>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</si>
  <si>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</si>
  <si>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</si>
  <si>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</si>
  <si>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</si>
  <si>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</si>
  <si>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</si>
  <si>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</si>
  <si>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</si>
  <si>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</si>
  <si>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</si>
  <si>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</si>
  <si>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</si>
  <si>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</si>
  <si>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</si>
  <si>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</si>
  <si>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</si>
  <si>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</si>
  <si>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</si>
  <si>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</si>
  <si>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</si>
  <si>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</si>
  <si>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</si>
  <si>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</si>
  <si>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</si>
  <si>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</si>
  <si>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</si>
  <si>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</si>
  <si>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</si>
  <si>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</si>
  <si>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</si>
  <si>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</si>
  <si>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</si>
  <si>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</si>
  <si>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</si>
  <si>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</si>
  <si>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</si>
  <si>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</si>
  <si>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</si>
  <si>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</si>
  <si>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</si>
  <si>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</si>
  <si>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</si>
  <si>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</si>
  <si>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</si>
  <si>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</si>
  <si>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</si>
  <si>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</si>
  <si>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</si>
  <si>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</si>
  <si>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</si>
  <si>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</si>
  <si>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</si>
  <si>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</si>
  <si>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</si>
  <si>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</si>
  <si>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</si>
  <si>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</si>
  <si>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</si>
  <si>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</si>
  <si>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</si>
  <si>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</si>
  <si>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</si>
  <si>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</si>
  <si>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</si>
  <si>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</si>
  <si>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</si>
  <si>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</si>
  <si>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</si>
  <si>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</si>
  <si>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</si>
  <si>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</si>
  <si>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</si>
  <si>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</si>
  <si>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</si>
  <si>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</si>
  <si>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</si>
  <si>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</si>
  <si>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</si>
  <si>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</si>
  <si>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</si>
  <si>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</si>
  <si>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</si>
  <si>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</si>
  <si>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</si>
  <si>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</si>
  <si>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</si>
  <si>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</si>
  <si>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</si>
  <si>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</si>
  <si>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</si>
  <si>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</si>
  <si>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</si>
  <si>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</si>
  <si>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</si>
  <si>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</si>
  <si>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</si>
  <si>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</si>
  <si>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</si>
  <si>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</si>
  <si>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</si>
  <si>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</si>
  <si>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</si>
  <si>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</si>
  <si>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</si>
  <si>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</si>
  <si>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</si>
  <si>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</si>
  <si>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</si>
  <si>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</si>
  <si>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</si>
  <si>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</si>
  <si>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</si>
  <si>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</si>
  <si>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</si>
  <si>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</si>
  <si>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</si>
  <si>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</si>
  <si>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</si>
  <si>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</si>
  <si>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</si>
  <si>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</si>
  <si>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</si>
  <si>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</si>
  <si>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</si>
  <si>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</si>
  <si>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</si>
  <si>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</si>
  <si>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</si>
  <si>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</si>
  <si>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</si>
  <si>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</si>
  <si>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</si>
  <si>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</si>
  <si>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</si>
  <si>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</si>
  <si>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</si>
  <si>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</si>
  <si>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</si>
  <si>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</si>
  <si>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</si>
  <si>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</si>
  <si>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</si>
  <si>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</si>
  <si>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</si>
  <si>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</si>
  <si>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</si>
  <si>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</si>
  <si>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</si>
  <si>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</si>
  <si>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</si>
  <si>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</si>
  <si>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</si>
  <si>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</si>
  <si>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</si>
  <si>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</si>
  <si>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</si>
  <si>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</si>
  <si>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</si>
  <si>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</si>
  <si>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</si>
  <si>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</si>
  <si>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</si>
  <si>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</si>
  <si>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</si>
  <si>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</si>
  <si>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</si>
  <si>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</si>
  <si>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</si>
  <si>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</si>
  <si>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</si>
  <si>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</si>
  <si>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</si>
  <si>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</si>
  <si>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</si>
  <si>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</si>
  <si>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</si>
  <si>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</si>
  <si>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</si>
  <si>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</si>
  <si>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</si>
  <si>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</si>
  <si>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</si>
  <si>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</si>
  <si>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</si>
  <si>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</si>
  <si>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</si>
  <si>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</si>
  <si>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</si>
  <si>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</si>
  <si>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</si>
  <si>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</si>
  <si>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</si>
  <si>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</si>
  <si>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</si>
  <si>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</si>
  <si>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</si>
  <si>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</si>
  <si>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</si>
  <si>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</si>
  <si>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</si>
  <si>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</si>
  <si>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</si>
  <si>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</si>
  <si>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</si>
  <si>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</si>
  <si>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</si>
  <si>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</si>
  <si>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</si>
  <si>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</si>
  <si>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</si>
  <si>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</si>
  <si>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</si>
  <si>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</si>
  <si>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</si>
  <si>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</si>
  <si>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</si>
  <si>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</si>
  <si>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</si>
  <si>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</si>
  <si>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</si>
  <si>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</si>
  <si>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</si>
  <si>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</si>
  <si>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</si>
  <si>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</si>
  <si>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</si>
  <si>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</si>
  <si>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</si>
  <si>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</si>
  <si>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</si>
  <si>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</si>
  <si>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</si>
  <si>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</si>
  <si>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</si>
  <si>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</si>
  <si>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</si>
  <si>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</si>
  <si>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</si>
  <si>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</si>
  <si>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</si>
  <si>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</si>
  <si>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</si>
  <si>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</si>
  <si>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</si>
  <si>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</si>
  <si>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</si>
  <si>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</si>
  <si>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</si>
  <si>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</si>
  <si>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</si>
  <si>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</si>
  <si>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</si>
  <si>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</si>
  <si>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</si>
  <si>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</si>
  <si>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</si>
  <si>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</si>
  <si>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</si>
  <si>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</si>
  <si>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</si>
  <si>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</si>
  <si>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</si>
  <si>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</si>
  <si>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</si>
  <si>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</si>
  <si>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</si>
  <si>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</si>
  <si>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</si>
  <si>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</si>
  <si>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</si>
  <si>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</si>
  <si>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</si>
  <si>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</si>
  <si>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</si>
  <si>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</si>
  <si>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</si>
  <si>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</si>
  <si>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</si>
  <si>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</si>
  <si>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</si>
  <si>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</si>
  <si>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</si>
  <si>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</si>
  <si>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</si>
  <si>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</si>
  <si>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</si>
  <si>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</si>
  <si>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</si>
  <si>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</si>
  <si>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</si>
  <si>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</si>
  <si>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</si>
  <si>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</si>
  <si>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</si>
  <si>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</si>
  <si>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</si>
  <si>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</si>
  <si>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</si>
  <si>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</si>
  <si>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</si>
  <si>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</si>
  <si>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</si>
  <si>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</si>
  <si>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</si>
  <si>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</si>
  <si>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</si>
  <si>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</si>
  <si>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</si>
  <si>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</si>
  <si>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</si>
  <si>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</si>
  <si>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</si>
  <si>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</si>
  <si>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</si>
  <si>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</si>
  <si>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</si>
  <si>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</si>
  <si>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</si>
  <si>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</si>
  <si>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</si>
  <si>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</si>
  <si>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</si>
  <si>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</si>
  <si>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</si>
  <si>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</si>
  <si>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</si>
  <si>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</si>
  <si>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</si>
  <si>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</si>
  <si>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</si>
  <si>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</si>
  <si>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</si>
  <si>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</si>
  <si>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</si>
  <si>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</si>
  <si>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</si>
  <si>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</si>
  <si>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</si>
  <si>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</si>
  <si>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</si>
  <si>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</si>
  <si>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</si>
  <si>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</si>
  <si>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</si>
  <si>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</si>
  <si>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</si>
  <si>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</si>
  <si>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</si>
  <si>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</si>
  <si>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</si>
  <si>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</si>
  <si>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</si>
  <si>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</si>
  <si>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</si>
  <si>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</si>
  <si>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10.1016%2F0047-2484(92)90081-J_Table1.tsv</t>
  </si>
  <si>
    <t>10.1016%2F0378-5955(86)90025-0_ResultsText.tsv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</si>
  <si>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</si>
  <si>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</si>
  <si>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</si>
  <si>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</si>
  <si>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</si>
  <si>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</si>
  <si>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</si>
  <si>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</si>
  <si>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</si>
  <si>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</si>
  <si>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</si>
  <si>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</si>
  <si>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</si>
  <si>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</si>
  <si>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</si>
  <si>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</si>
  <si>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</si>
  <si>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</si>
  <si>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</si>
  <si>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</si>
  <si>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</si>
  <si>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</si>
  <si>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</si>
  <si>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</si>
  <si>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</si>
  <si>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</si>
  <si>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</si>
  <si>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</si>
  <si>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</si>
  <si>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</si>
  <si>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</si>
  <si>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</si>
  <si>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</si>
  <si>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</si>
  <si>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</si>
  <si>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</si>
  <si>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</si>
  <si>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</si>
  <si>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</si>
  <si>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</si>
  <si>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</si>
  <si>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</si>
  <si>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10.1016%2Fj.neuroscience.2005.11.038_Figure3A.tsv</t>
  </si>
  <si>
    <t>10.1016%2Fj.neuroscience.2005.11.038_Figure3B.tsv</t>
  </si>
  <si>
    <t>10.1016%2Fj.neuroscience.2005.11.038_Figure3C.tsv</t>
  </si>
  <si>
    <t>10.1016%2Fj.neuroscience.2005.11.038_Table1.tsv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</si>
  <si>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</si>
  <si>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</si>
  <si>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</si>
  <si>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</si>
  <si>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</si>
  <si>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</si>
  <si>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</si>
  <si>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</si>
  <si>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</si>
  <si>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</si>
  <si>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</si>
  <si>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</si>
  <si>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</si>
  <si>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</si>
  <si>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</si>
  <si>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</si>
  <si>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</si>
  <si>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</si>
  <si>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</si>
  <si>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</si>
  <si>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</si>
  <si>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</si>
  <si>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</si>
  <si>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</si>
  <si>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</si>
  <si>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</si>
  <si>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</si>
  <si>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</si>
  <si>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</si>
  <si>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</si>
  <si>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</si>
  <si>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</si>
  <si>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</si>
  <si>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</si>
  <si>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</si>
  <si>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</si>
  <si>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</si>
  <si>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</si>
  <si>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</si>
  <si>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</si>
  <si>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</si>
  <si>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</si>
  <si>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</si>
  <si>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</si>
  <si>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</si>
  <si>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</si>
  <si>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</si>
  <si>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</si>
  <si>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</si>
  <si>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</si>
  <si>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</si>
  <si>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</si>
  <si>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</si>
  <si>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</si>
  <si>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</si>
  <si>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</si>
  <si>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</si>
  <si>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</si>
  <si>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</si>
  <si>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</si>
  <si>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</si>
  <si>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</si>
  <si>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</si>
  <si>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</si>
  <si>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</si>
  <si>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</si>
  <si>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</si>
  <si>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</si>
  <si>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</si>
  <si>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</si>
  <si>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</si>
  <si>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</si>
  <si>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</si>
  <si>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</si>
  <si>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</si>
  <si>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</si>
  <si>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</si>
  <si>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</si>
  <si>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</si>
  <si>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</si>
  <si>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</si>
  <si>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</si>
  <si>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</si>
  <si>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</si>
  <si>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</si>
  <si>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</si>
  <si>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</si>
  <si>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</si>
  <si>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</si>
  <si>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</si>
  <si>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</si>
  <si>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</si>
  <si>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</si>
  <si>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</si>
  <si>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</si>
  <si>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10.1098%2Frstb.1998.0276_Table2.tsv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</si>
  <si>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</si>
  <si>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</si>
  <si>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</si>
  <si>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</si>
  <si>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</si>
  <si>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</si>
  <si>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</si>
  <si>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</si>
  <si>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</si>
  <si>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</si>
  <si>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</si>
  <si>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</si>
  <si>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</si>
  <si>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</si>
  <si>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</si>
  <si>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</si>
  <si>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</si>
  <si>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</si>
  <si>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</si>
  <si>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</si>
  <si>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</si>
  <si>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</si>
  <si>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</si>
  <si>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</si>
  <si>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</si>
  <si>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</si>
  <si>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</si>
  <si>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</si>
  <si>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</si>
  <si>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</si>
  <si>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</si>
  <si>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</si>
  <si>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</si>
  <si>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</si>
  <si>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</si>
  <si>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</si>
  <si>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</si>
  <si>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</si>
  <si>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</si>
  <si>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</si>
  <si>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</si>
  <si>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</si>
  <si>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</si>
  <si>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</si>
  <si>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</si>
  <si>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</si>
  <si>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</si>
  <si>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</si>
  <si>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</si>
  <si>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</si>
  <si>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</si>
  <si>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</si>
  <si>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</si>
  <si>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</si>
  <si>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</si>
  <si>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</si>
  <si>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</si>
  <si>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</si>
  <si>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</si>
  <si>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</si>
  <si>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</si>
  <si>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</si>
  <si>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</si>
  <si>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</si>
  <si>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</si>
  <si>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</si>
  <si>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</si>
  <si>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</si>
  <si>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</si>
  <si>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</si>
  <si>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</si>
  <si>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</si>
  <si>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</si>
  <si>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</si>
  <si>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</si>
  <si>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</si>
  <si>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</si>
  <si>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</si>
  <si>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</si>
  <si>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</si>
  <si>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</si>
  <si>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</si>
  <si>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</si>
  <si>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</si>
  <si>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</si>
  <si>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</si>
  <si>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</si>
  <si>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</si>
  <si>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</si>
  <si>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</si>
  <si>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</si>
  <si>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</si>
  <si>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</si>
  <si>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</si>
  <si>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</si>
  <si>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</si>
  <si>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</si>
  <si>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</si>
  <si>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</si>
  <si>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</si>
  <si>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</si>
  <si>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</si>
  <si>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</si>
  <si>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</si>
  <si>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</si>
  <si>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</si>
  <si>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</si>
  <si>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</si>
  <si>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</si>
  <si>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</si>
  <si>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</si>
  <si>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</si>
  <si>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</si>
  <si>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</si>
  <si>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</si>
  <si>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</si>
  <si>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</si>
  <si>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</si>
  <si>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</si>
  <si>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</si>
  <si>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</si>
  <si>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</si>
  <si>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</si>
  <si>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</si>
  <si>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</si>
  <si>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</si>
  <si>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</si>
  <si>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</si>
  <si>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</si>
  <si>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</si>
  <si>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</si>
  <si>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</si>
  <si>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</si>
  <si>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</si>
  <si>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</si>
  <si>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</si>
  <si>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</si>
  <si>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</si>
  <si>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</si>
  <si>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</si>
  <si>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</si>
  <si>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</si>
  <si>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</si>
  <si>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</si>
  <si>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</si>
  <si>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</si>
  <si>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</si>
  <si>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</si>
  <si>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</si>
  <si>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</si>
  <si>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</si>
  <si>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</si>
  <si>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</si>
  <si>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</si>
  <si>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</si>
  <si>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</si>
  <si>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</si>
  <si>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</si>
  <si>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</si>
  <si>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</si>
  <si>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</si>
  <si>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</si>
  <si>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</si>
  <si>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</si>
  <si>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</si>
  <si>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</si>
  <si>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</si>
  <si>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</si>
  <si>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</si>
  <si>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</si>
  <si>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</si>
  <si>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</si>
  <si>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</si>
  <si>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</si>
  <si>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</si>
  <si>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</si>
  <si>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</si>
  <si>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</si>
  <si>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</si>
  <si>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</si>
  <si>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</si>
  <si>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</si>
  <si>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</si>
  <si>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</si>
  <si>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</si>
  <si>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</si>
  <si>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</si>
  <si>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</si>
  <si>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</si>
  <si>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</si>
  <si>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</si>
  <si>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</si>
  <si>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</si>
  <si>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</si>
  <si>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</si>
  <si>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</si>
  <si>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</si>
  <si>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</si>
  <si>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</si>
  <si>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</si>
  <si>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</si>
  <si>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</si>
  <si>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</si>
  <si>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</si>
  <si>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</si>
  <si>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</si>
  <si>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</si>
  <si>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</si>
  <si>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</si>
  <si>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</si>
  <si>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</si>
  <si>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</si>
  <si>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</si>
  <si>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</si>
  <si>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</si>
  <si>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</si>
  <si>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</si>
  <si>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</si>
  <si>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</si>
  <si>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</si>
  <si>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</si>
  <si>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</si>
  <si>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</si>
  <si>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</si>
  <si>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</si>
  <si>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</si>
  <si>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</si>
  <si>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</si>
  <si>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</si>
  <si>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</si>
  <si>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</si>
  <si>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</si>
  <si>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</si>
  <si>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</si>
  <si>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</si>
  <si>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</si>
  <si>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</si>
  <si>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</si>
  <si>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</si>
  <si>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</si>
  <si>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</si>
  <si>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</si>
  <si>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</si>
  <si>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</si>
  <si>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</si>
  <si>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</si>
  <si>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</si>
  <si>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</si>
  <si>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</si>
  <si>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</si>
  <si>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</si>
  <si>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</si>
  <si>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</si>
  <si>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</si>
  <si>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</si>
  <si>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</si>
  <si>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</si>
  <si>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</si>
  <si>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</si>
  <si>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</si>
  <si>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</si>
  <si>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</si>
  <si>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</si>
  <si>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</si>
  <si>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</si>
  <si>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</si>
  <si>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</si>
  <si>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</si>
  <si>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</si>
  <si>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</si>
  <si>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</si>
  <si>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</si>
  <si>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</si>
  <si>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</si>
  <si>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</si>
  <si>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</si>
  <si>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</si>
  <si>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</si>
  <si>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</si>
  <si>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</si>
  <si>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</si>
  <si>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</si>
  <si>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</si>
  <si>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</si>
  <si>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</si>
  <si>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</si>
  <si>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</si>
  <si>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</si>
  <si>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</si>
  <si>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</si>
  <si>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</si>
  <si>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</si>
  <si>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</si>
  <si>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</si>
  <si>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</si>
  <si>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</si>
  <si>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</si>
  <si>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</si>
  <si>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</si>
  <si>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</si>
  <si>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</si>
  <si>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</si>
  <si>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</si>
  <si>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</si>
  <si>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</si>
  <si>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</si>
  <si>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</si>
  <si>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</si>
  <si>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</si>
  <si>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</si>
  <si>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</si>
  <si>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</si>
  <si>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</si>
  <si>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</si>
  <si>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</si>
  <si>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</si>
  <si>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</si>
  <si>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</si>
  <si>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</si>
  <si>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</si>
  <si>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</si>
  <si>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</si>
  <si>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</si>
  <si>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</si>
  <si>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</si>
  <si>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</si>
  <si>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</si>
  <si>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</si>
  <si>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</si>
  <si>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</si>
  <si>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</si>
  <si>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</si>
  <si>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</si>
  <si>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</si>
  <si>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</si>
  <si>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</si>
  <si>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</si>
  <si>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</si>
  <si>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</si>
  <si>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</si>
  <si>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</si>
  <si>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</si>
  <si>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10.1007%2Fbf00518633_Table2.tsv</t>
  </si>
  <si>
    <t xml:space="preserve">10.1007%2Fbf00518633_Table3.tsv</t>
  </si>
  <si>
    <t xml:space="preserve">10.1007%2FBF00519885_Tables1-2.tsv</t>
  </si>
  <si>
    <t xml:space="preserve">10.1007%2FBF00522811_Tables3-4.tsv</t>
  </si>
  <si>
    <t xml:space="preserve">10.1007%2FBf00610934_Figures3-5.tsv</t>
  </si>
  <si>
    <t xml:space="preserve">10.1007%2FBF03394729_Table1.tsv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</si>
  <si>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</si>
  <si>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</si>
  <si>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</si>
  <si>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</si>
  <si>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</si>
  <si>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</si>
  <si>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</si>
  <si>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</si>
  <si>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</si>
  <si>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</si>
  <si>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</si>
  <si>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</si>
  <si>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</si>
  <si>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</si>
  <si>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</si>
  <si>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</si>
  <si>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10.1016%2F0047-2484(92)90081-J_Table1.tsv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</si>
  <si>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</si>
  <si>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</si>
  <si>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</si>
  <si>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</si>
  <si>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</si>
  <si>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</si>
  <si>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</si>
  <si>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</si>
  <si>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</si>
  <si>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</si>
  <si>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</si>
  <si>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</si>
  <si>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</si>
  <si>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</si>
  <si>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</si>
  <si>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</si>
  <si>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</si>
  <si>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</si>
  <si>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</si>
  <si>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</si>
  <si>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</si>
  <si>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</si>
  <si>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</si>
  <si>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</si>
  <si>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</si>
  <si>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</si>
  <si>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</si>
  <si>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</si>
  <si>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</si>
  <si>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</si>
  <si>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</si>
  <si>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</si>
  <si>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</si>
  <si>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</si>
  <si>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</si>
  <si>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</si>
  <si>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</si>
  <si>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</si>
  <si>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</si>
  <si>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</si>
  <si>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</si>
  <si>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</si>
  <si>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</si>
  <si>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</si>
  <si>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</si>
  <si>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</si>
  <si>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</si>
  <si>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</si>
  <si>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</si>
  <si>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</si>
  <si>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</si>
  <si>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</si>
  <si>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</si>
  <si>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</si>
  <si>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</si>
  <si>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</si>
  <si>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</si>
  <si>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</si>
  <si>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</si>
  <si>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</si>
  <si>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</si>
  <si>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</si>
  <si>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</si>
  <si>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</si>
  <si>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</si>
  <si>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</si>
  <si>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</si>
  <si>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</si>
  <si>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</si>
  <si>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</si>
  <si>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</si>
  <si>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</si>
  <si>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</si>
  <si>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</si>
  <si>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</si>
  <si>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</si>
  <si>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</si>
  <si>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</si>
  <si>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</si>
  <si>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</si>
  <si>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</si>
  <si>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</si>
  <si>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</si>
  <si>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</si>
  <si>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</si>
  <si>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</si>
  <si>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</si>
  <si>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</si>
  <si>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</si>
  <si>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</si>
  <si>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</si>
  <si>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</si>
  <si>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</si>
  <si>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</si>
  <si>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</si>
  <si>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</si>
  <si>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</si>
  <si>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</si>
  <si>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</si>
  <si>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</si>
  <si>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</si>
  <si>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</si>
  <si>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</si>
  <si>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</si>
  <si>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</si>
  <si>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</si>
  <si>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</si>
  <si>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</si>
  <si>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10.1073%2Fpnas.0605843103_Table2.tsv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</si>
  <si>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</si>
  <si>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</si>
  <si>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</si>
  <si>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</si>
  <si>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</si>
  <si>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</si>
  <si>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</si>
  <si>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</si>
  <si>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</si>
  <si>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</si>
  <si>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</si>
  <si>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</si>
  <si>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</si>
  <si>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</si>
  <si>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</si>
  <si>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</si>
  <si>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10.1093%2Fbrain%2F103.2.221_TABLE3.tsv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</si>
  <si>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</si>
  <si>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</si>
  <si>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</si>
  <si>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</si>
  <si>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</si>
  <si>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</si>
  <si>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</si>
  <si>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</si>
  <si>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</si>
  <si>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</si>
  <si>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</si>
  <si>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</si>
  <si>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</si>
  <si>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</si>
  <si>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</si>
  <si>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</si>
  <si>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</si>
  <si>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</si>
  <si>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</si>
  <si>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</si>
  <si>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</si>
  <si>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</si>
  <si>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</si>
  <si>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</si>
  <si>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</si>
  <si>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</si>
  <si>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</si>
  <si>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</si>
  <si>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</si>
  <si>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</si>
  <si>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</si>
  <si>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</si>
  <si>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</si>
  <si>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</si>
  <si>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</si>
  <si>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</si>
  <si>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</si>
  <si>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</si>
  <si>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</si>
  <si>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</si>
  <si>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</si>
  <si>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</si>
  <si>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</si>
  <si>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</si>
  <si>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</si>
  <si>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</si>
  <si>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</si>
  <si>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</si>
  <si>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</si>
  <si>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</si>
  <si>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</si>
  <si>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</si>
  <si>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</si>
  <si>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</si>
  <si>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10.1121%2F1.3284546_ResultsText.tsv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</si>
  <si>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</si>
  <si>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</si>
  <si>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</si>
  <si>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</si>
  <si>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</si>
  <si>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</si>
  <si>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</si>
  <si>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</si>
  <si>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</si>
  <si>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</si>
  <si>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</si>
  <si>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</si>
  <si>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</si>
  <si>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10.1139%2FZ82-084_Table1.tsv</t>
  </si>
  <si>
    <t xml:space="preserve">10.1139%2Fz99-151_ResultsText.tsv</t>
  </si>
  <si>
    <t xml:space="preserve">10.1152%2Fjn.1972.35.3.344_ResultsText.tsv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</si>
  <si>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</si>
  <si>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</si>
  <si>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</si>
  <si>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</si>
  <si>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</si>
  <si>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</si>
  <si>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</si>
  <si>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</si>
  <si>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</si>
  <si>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</si>
  <si>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</si>
  <si>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10.1159%2F000116500_Table1.tsv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</si>
  <si>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</si>
  <si>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</si>
  <si>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</si>
  <si>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</si>
  <si>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</si>
  <si>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</si>
  <si>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</si>
  <si>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</si>
  <si>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</si>
  <si>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</si>
  <si>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</si>
  <si>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</si>
  <si>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</si>
  <si>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</si>
  <si>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</si>
  <si>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</si>
  <si>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</si>
  <si>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</si>
  <si>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</si>
  <si>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</si>
  <si>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</si>
  <si>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</si>
  <si>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</si>
  <si>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</si>
  <si>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</si>
  <si>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</si>
  <si>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</si>
  <si>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</si>
  <si>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</si>
  <si>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</si>
  <si>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</si>
  <si>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</si>
  <si>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</si>
  <si>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</si>
  <si>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</si>
  <si>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</si>
  <si>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</si>
  <si>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</si>
  <si>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</si>
  <si>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</si>
  <si>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</si>
  <si>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</si>
  <si>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</si>
  <si>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</si>
  <si>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</si>
  <si>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</si>
  <si>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</si>
  <si>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</si>
  <si>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</si>
  <si>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</si>
  <si>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</si>
  <si>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</si>
  <si>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</si>
  <si>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</si>
  <si>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</si>
  <si>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</si>
  <si>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</si>
  <si>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</si>
  <si>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</si>
  <si>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</si>
  <si>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</si>
  <si>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</si>
  <si>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</si>
  <si>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</si>
  <si>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</si>
  <si>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</si>
  <si>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</si>
  <si>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</si>
  <si>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</si>
  <si>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</si>
  <si>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</si>
  <si>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</si>
  <si>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</si>
  <si>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</si>
  <si>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</si>
  <si>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</si>
  <si>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</si>
  <si>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</si>
  <si>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</si>
  <si>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</si>
  <si>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</si>
  <si>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</si>
  <si>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</si>
  <si>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</si>
  <si>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</si>
  <si>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</si>
  <si>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</si>
  <si>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</si>
  <si>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</si>
  <si>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10.2307%2F1380801_Resultstext.tsv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</si>
  <si>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</si>
  <si>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</si>
  <si>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</si>
  <si>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</si>
  <si>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</si>
  <si>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</si>
  <si>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</si>
  <si>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</si>
  <si>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</si>
  <si>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</si>
  <si>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</si>
  <si>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</si>
  <si>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</si>
  <si>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</si>
  <si>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</si>
  <si>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</si>
  <si>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</si>
  <si>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</si>
  <si>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</si>
  <si>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</si>
  <si>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</si>
  <si>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</si>
  <si>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</si>
  <si>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</si>
  <si>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</si>
  <si>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</si>
  <si>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</si>
  <si>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</si>
  <si>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</si>
  <si>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</si>
  <si>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</si>
  <si>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</si>
  <si>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</si>
  <si>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</si>
  <si>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ISBN%3A9780631226499_Table19.1.tsv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</si>
  <si>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</si>
  <si>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</si>
  <si>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</si>
  <si>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</si>
  <si>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</si>
  <si>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</si>
  <si>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</si>
  <si>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</si>
  <si>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</si>
  <si>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</si>
  <si>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</si>
  <si>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</si>
  <si>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</si>
  <si>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</si>
  <si>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</si>
  <si>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</si>
  <si>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</si>
  <si>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</si>
  <si>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</si>
  <si>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</si>
  <si>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</si>
  <si>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</si>
  <si>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</si>
  <si>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</si>
  <si>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</si>
  <si>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</si>
  <si>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</si>
  <si>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</si>
  <si>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</si>
  <si>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</si>
  <si>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</si>
  <si>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</si>
  <si>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</si>
  <si>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</si>
  <si>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</si>
  <si>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</si>
  <si>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</si>
  <si>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</si>
  <si>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</si>
  <si>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</si>
  <si>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</si>
  <si>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</si>
  <si>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</si>
  <si>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</si>
  <si>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</si>
  <si>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</si>
  <si>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</si>
  <si>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</si>
  <si>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</si>
  <si>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</si>
  <si>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</si>
  <si>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</si>
  <si>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</si>
  <si>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</si>
  <si>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</si>
  <si>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</si>
  <si>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</si>
  <si>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</si>
  <si>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</si>
  <si>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</si>
  <si>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</si>
  <si>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</si>
  <si>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</si>
  <si>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</si>
  <si>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</si>
  <si>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</si>
  <si>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</si>
  <si>
    <t xml:space="preserve">10.1002%2Far.a.20217_TABLE1.tsv</t>
  </si>
  <si>
    <t xml:space="preserve">10.1002%2Far.a.20217_TABLE2.tsv</t>
  </si>
  <si>
    <t xml:space="preserve">10.1002%2Far.a.20217_TABLE3.tsv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</si>
  <si>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</si>
  <si>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</si>
  <si>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</si>
  <si>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</si>
  <si>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10.1016%2Fj.neuroscience.2005.04.054_Table1.tsv</t>
  </si>
  <si>
    <t xml:space="preserve">10.1016%2Fj.neuroscience.2005.04.054_Table2.tsv</t>
  </si>
  <si>
    <t xml:space="preserve">10.1016%2Fj.neuroscience.2005.04.054_Table3.tsv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</si>
</sst>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ont>
    <font>
      <sz val="11"/>
      <color rgb="FF3F3F3F"/>
      <name val="Calibri"/>
      <b/>
    </font>
    <font>
      <sz val="12"/>
      <color rgb="FF000000"/>
      <name val="Aptos Narrow"/>
    </font>
    <font>
      <sz val="10"/>
      <color rgb="FF000000"/>
      <name val="Arial"/>
    </font>
    <font>
      <sz val="12"/>
      <color rgb="FF3F3F76"/>
      <name val="Calibri"/>
    </font>
    <font>
      <sz val="10"/>
      <color theme="10"/>
      <name val="Arial"/>
      <u val="single"/>
    </font>
    <font>
      <sz val="11"/>
      <color rgb="FF243A35"/>
      <name val="Aptos"/>
    </font>
    <font>
      <sz val="12"/>
      <color rgb="FF3F3F3F"/>
      <name val="Calibri"/>
      <b/>
    </font>
  </fonts>
  <fills count="5">
    <fill>
      <patternFill patternType="none"/>
    </fill>
    <fill>
      <patternFill patternType="gray125"/>
    </fill>
    <fill>
      <patternFill patternType="solid">
        <fgColor rgb="FFFFCC9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top style="thin">
        <color rgb="FF7F7F7F"/>
      </top>
      <bottom style="thin">
        <color rgb="FF7F7F7F"/>
      </bottom>
    </border>
    <border>
      <left style="thin">
        <color rgb="FF7F7F7F"/>
      </left>
      <right style="thin">
        <color rgb="FF7F7F7F"/>
      </right>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0" xfId="0" applyFont="1" applyFill="1" applyAlignment="1">
      <alignment vertical="top"/>
    </xf>
    <xf numFmtId="0" fontId="2" fillId="3" borderId="2" xfId="0" applyFont="1" applyFill="1" applyBorder="1"/>
    <xf numFmtId="0" fontId="1" fillId="2" borderId="3" xfId="0" applyFont="1" applyFill="1" applyBorder="1"/>
    <xf numFmtId="0" fontId="2" fillId="3"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3" fillId="0" borderId="1" xfId="0" applyFont="1" applyBorder="1"/>
    <xf numFmtId="0" fontId="4" fillId="0" borderId="1" xfId="0" applyFont="1" applyBorder="1"/>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5" fillId="2" borderId="1" xfId="0" applyFont="1" applyFill="1" applyBorder="1" applyProtection="1">
      <protection locked="0"/>
    </xf>
    <xf numFmtId="0" fontId="1" fillId="2" borderId="0" xfId="0" applyFont="1" applyFill="1"/>
    <xf numFmtId="0" fontId="4" fillId="0" borderId="2" xfId="0" applyFont="1" applyBorder="1"/>
    <xf numFmtId="0" fontId="6" fillId="0" borderId="1" xfId="0" applyFont="1" applyBorder="1"/>
    <xf numFmtId="0" fontId="1" fillId="4" borderId="1" xfId="0" applyFont="1" applyFill="1" applyBorder="1"/>
    <xf numFmtId="0" fontId="4" fillId="0" borderId="0" xfId="0" applyFont="1"/>
    <xf numFmtId="0" fontId="4" fillId="0" borderId="1" xfId="0" applyFont="1" applyBorder="1" applyAlignment="1">
      <alignment vertical="top"/>
    </xf>
    <xf numFmtId="0" fontId="4" fillId="0" borderId="1" xfId="0" applyFont="1" applyBorder="1" applyAlignment="1">
      <alignment wrapText="1"/>
    </xf>
    <xf numFmtId="0" fontId="2" fillId="3" borderId="0" xfId="0" applyFont="1" applyFill="1" applyProtection="1">
      <protection locked="0"/>
    </xf>
    <xf numFmtId="0" fontId="3" fillId="0" borderId="0" xfId="0" applyFont="1"/>
    <xf numFmtId="0" fontId="5" fillId="2" borderId="1" xfId="0" applyFont="1" applyFill="1" applyBorder="1"/>
    <xf numFmtId="0" fontId="7" fillId="0" borderId="0" xfId="0" applyFont="1" applyAlignment="1">
      <alignment vertical="top"/>
    </xf>
    <xf numFmtId="0" fontId="6" fillId="0" borderId="0" xfId="0" applyFont="1"/>
    <xf numFmtId="0" fontId="8" fillId="3" borderId="2" xfId="0" applyFont="1" applyFill="1" applyBorder="1"/>
    <xf numFmtId="0" fontId="8" fillId="3" borderId="2" xfId="0" applyFont="1" applyFill="1" applyBorder="1" applyProtection="1">
      <protection locked="0"/>
    </xf>
    <xf numFmtId="0" fontId="5" fillId="2" borderId="1" xfId="0" applyFont="1" applyFill="1" applyBorder="1" applyAlignment="1">
      <alignment vertical="top"/>
    </xf>
    <xf numFmtId="0" fontId="4" fillId="0" borderId="0" xfId="0" applyFont="1" applyAlignment="1">
      <alignment vertical="top"/>
    </xf>
    <xf numFmtId="0" fontId="5" fillId="2" borderId="0" xfId="0" applyFont="1" applyFill="1" applyAlignment="1">
      <alignment vertical="top"/>
    </xf>
    <xf numFmtId="0" fontId="8" fillId="3" borderId="0" xfId="0" applyFont="1" applyFill="1" applyProtection="1">
      <protection locked="0"/>
    </xf>
    <xf numFmtId="0" fontId="5" fillId="2" borderId="1" xfId="0" applyFont="1" applyFill="1" applyBorder="1" applyAlignment="1" applyProtection="1">
      <alignment vertical="top"/>
      <protection locked="0"/>
    </xf>
    <xf numFmtId="0" fontId="5"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410</xdr:row>
      <xdr:rowOff>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0</xdr:rowOff>
    </xdr:from>
    <xdr:to>
      <xdr:col>0</xdr:col>
      <xdr:colOff>9893300</xdr:colOff>
      <xdr:row>493</xdr:row>
      <xdr:rowOff>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474</xdr:row>
      <xdr:rowOff>0</xdr:rowOff>
    </xdr:from>
    <xdr:to>
      <xdr:col>0</xdr:col>
      <xdr:colOff>9893300</xdr:colOff>
      <xdr:row>494</xdr:row>
      <xdr:rowOff>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0</xdr:rowOff>
    </xdr:from>
    <xdr:to>
      <xdr:col>0</xdr:col>
      <xdr:colOff>9893300</xdr:colOff>
      <xdr:row>629</xdr:row>
      <xdr:rowOff>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410</xdr:row>
      <xdr:rowOff>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0</xdr:rowOff>
    </xdr:from>
    <xdr:to>
      <xdr:col>0</xdr:col>
      <xdr:colOff>9893300</xdr:colOff>
      <xdr:row>493</xdr:row>
      <xdr:rowOff>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474</xdr:row>
      <xdr:rowOff>0</xdr:rowOff>
    </xdr:from>
    <xdr:to>
      <xdr:col>0</xdr:col>
      <xdr:colOff>9893300</xdr:colOff>
      <xdr:row>494</xdr:row>
      <xdr:rowOff>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0</xdr:rowOff>
    </xdr:from>
    <xdr:to>
      <xdr:col>0</xdr:col>
      <xdr:colOff>9893300</xdr:colOff>
      <xdr:row>629</xdr:row>
      <xdr:rowOff>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59"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0"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1"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2"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1"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4"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5"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0"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B1" zoomScaleNormal="100" workbookViewId="0">
      <pane ySplit="1" topLeftCell="A127" activePane="bottomLeft" state="frozen"/>
      <selection pane="bottomLeft" activeCell="U152" sqref="U152:U155"/>
    </sheetView>
  </sheetViews>
  <sheetFormatPr defaultRowHeight="15.0" baseColWidth="10"/>
  <cols>
    <col min="1" max="1" width="174" hidden="0" customWidth="1"/>
    <col min="2" max="2" width="5.83203125" hidden="0" customWidth="1"/>
    <col min="3" max="3" width="30.5" hidden="0" customWidth="1"/>
    <col min="4" max="4" width="23.6640625" hidden="0" customWidth="1"/>
    <col min="5" max="5" width="1" hidden="0" customWidth="1"/>
    <col min="6" max="6" width="1" hidden="0" customWidth="1"/>
    <col min="7" max="7" width="1" hidden="0" customWidth="1"/>
    <col min="8" max="8" width="22.33203125" hidden="0" customWidth="1"/>
    <col min="9" max="9" width="5.1640625" hidden="0" customWidth="1"/>
    <col min="10" max="10" width="23.6640625" hidden="0" customWidth="1"/>
    <col min="11" max="11" width="22.332031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 min="34" max="34" width="27.5" hidden="0" customWidth="1"/>
  </cols>
  <sheetData>
    <row r="1" ht="17" customHeight="1">
      <c r="A1" s="1" t="s">
        <v>0</v>
      </c>
      <c r="B1" s="1" t="s">
        <v>1</v>
      </c>
      <c r="C1" s="1" t="s">
        <v>2</v>
      </c>
      <c r="D1" s="1" t="s">
        <v>3</v>
      </c>
      <c r="E1" s="5" t="s">
        <v>4</v>
      </c>
      <c r="F1" s="5" t="s">
        <v>5</v>
      </c>
      <c r="G1" s="5" t="s">
        <v>6</v>
      </c>
      <c r="H1" s="5" t="s">
        <v>7</v>
      </c>
      <c r="I1" s="5" t="s">
        <v>8</v>
      </c>
      <c r="J1" s="5" t="s">
        <v>9</v>
      </c>
      <c r="K1" s="5" t="s">
        <v>10</v>
      </c>
      <c r="L1" s="5" t="s">
        <v>3443</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4" t="s">
        <v>32</v>
      </c>
      <c r="AH1" s="16" t="s">
        <v>2432</v>
      </c>
    </row>
    <row r="2" ht="17"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M2" s="7"/>
      <c r="N2" s="1" t="s">
        <v>35</v>
      </c>
      <c r="O2" s="7"/>
      <c r="P2" s="1" t="s">
        <v>36</v>
      </c>
      <c r="Q2" s="7"/>
      <c r="R2" s="7"/>
      <c r="S2" s="7"/>
      <c r="T2" s="7"/>
      <c r="U2" s="7"/>
      <c r="V2" s="7"/>
      <c r="W2" s="1"/>
      <c r="X2" s="7"/>
      <c r="Y2" s="7"/>
      <c r="Z2" s="7"/>
      <c r="AA2" s="7"/>
      <c r="AB2" s="1"/>
      <c r="AC2" s="7"/>
      <c r="AD2" s="7"/>
      <c r="AE2" s="1"/>
      <c r="AF2" s="1"/>
      <c r="AG2" s="7"/>
    </row>
    <row r="3" ht="17" customHeight="1">
      <c r="A3" s="7" t="s">
        <v>37</v>
      </c>
      <c r="D3" s="7" t="s">
        <v>38</v>
      </c>
      <c r="E3" s="3"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5" t="str">
        <f t="shared" si="1"/>
        <v>1979</v>
      </c>
      <c r="H3" s="3" t="str">
        <f t="shared" si="2"/>
        <v>Armstrong__1979</v>
      </c>
      <c r="I3" s="3" t="str">
        <f>_xlfn.LET(_xlpm.doi,IF(C3&lt;&gt;"",C3,_xlfn.TEXTAFTER(A3,"https://doi.org/")),SUBSTITUTE(SUBSTITUTE(SUBSTITUTE(SUBSTITUTE(_xlpm.doi,"/","%2F"),":","%3A"),"&lt;","%3C"),"&gt;","%3E"))</f>
        <v>10.1002%2Fajpa.1330510308</v>
      </c>
      <c r="J3" s="3" t="str">
        <f t="shared" si="3"/>
        <v>Armstrong__1979_Tables1-9</v>
      </c>
      <c r="K3" s="5" t="str">
        <f>I3 &amp; "_" &amp; SUBSTITUTE(SUBSTITUTE(SUBSTITUTE(D3,CHAR(160),"")," ",""),"_","")</f>
        <v>10.1002%2Fajpa.1330510308_Tables1-9</v>
      </c>
      <c r="L3" s="5" t="str">
        <f t="array" ref="L3">IFERROR(INDEX(AUTO_Public_TSV_FileList!$A$1:$A$1000,MATCH(TRUE(),EXACT(K3,IFERROR(_xlfn.TEXTBEFORE(AUTO_Public_TSV_FileList!$A$1:$A$1000,".tsv"),"")),0)),"notfound")</f>
        <v>10.1002%2Fajpa.1330510308_Tables1-9.tsv</v>
      </c>
      <c r="M3" s="7" t="s">
        <v>39</v>
      </c>
      <c r="N3" s="7" t="s">
        <v>40</v>
      </c>
      <c r="O3" s="7" t="s">
        <v>41</v>
      </c>
      <c r="P3" s="1" t="s">
        <v>36</v>
      </c>
      <c r="Q3" s="7"/>
      <c r="R3" s="7" t="s">
        <v>42</v>
      </c>
      <c r="S3" s="7"/>
      <c r="T3" s="7" t="s">
        <v>43</v>
      </c>
      <c r="U3" s="7"/>
      <c r="V3" s="7" t="s">
        <v>44</v>
      </c>
      <c r="W3" s="7" t="s">
        <v>45</v>
      </c>
      <c r="X3" s="7" t="s">
        <v>46</v>
      </c>
      <c r="Y3" s="7" t="s">
        <v>47</v>
      </c>
      <c r="Z3" s="7"/>
      <c r="AA3" s="7" t="s">
        <v>48</v>
      </c>
      <c r="AB3" s="7" t="s">
        <v>49</v>
      </c>
      <c r="AC3" s="7" t="s">
        <v>50</v>
      </c>
      <c r="AD3" s="7"/>
      <c r="AE3" s="7" t="s">
        <v>51</v>
      </c>
      <c r="AF3" s="7"/>
      <c r="AG3" s="7" t="s">
        <v>52</v>
      </c>
    </row>
    <row r="4" ht="17"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5" t="str">
        <f t="shared" si="1"/>
        <v>2020</v>
      </c>
      <c r="H4" s="5" t="str">
        <f t="shared" si="2"/>
        <v>Ashwell__2020</v>
      </c>
      <c r="I4" s="5" t="str">
        <f>_xlfn.LET(
_xlpm.doi,IF(C4&lt;&gt;"",C4,_xlfn.TEXTAFTER(A4,"https://doi.org/")),
SUBSTITUTE(
SUBSTITUTE(
SUBSTITUTE(
SUBSTITUTE(
_xlpm.doi,
"/","%2F"),
":","%3A"),
"&lt;","%3C"),
"&gt;","%3E")
)</f>
        <v>10.1016%2Fj.zool.2020.125753</v>
      </c>
      <c r="J4" s="5" t="str">
        <f t="shared" si="3"/>
        <v>Ashwell__2020_SupplementaryTable</v>
      </c>
      <c r="K4" s="5" t="str">
        <f>I4 &amp; "_" &amp; SUBSTITUTE(SUBSTITUTE(SUBSTITUTE(D4,CHAR(160),"")," ",""),"_","")</f>
        <v>10.1016%2Fj.zool.2020.125753_SupplementaryTable</v>
      </c>
      <c r="L4" s="5" t="str">
        <f t="array" ref="L4">IFERROR(INDEX(AUTO_Public_TSV_FileList!$A$1:$A$1000,MATCH(TRUE(),EXACT(K4,IFERROR(_xlfn.TEXTBEFORE(AUTO_Public_TSV_FileList!$A$1:$A$1000,".tsv"),"")),0)),"notfound")</f>
        <v>10.1016%2Fj.zool.2020.125753_SupplementaryTable.tsv</v>
      </c>
      <c r="M4" s="1" t="s">
        <v>55</v>
      </c>
      <c r="N4" s="7"/>
      <c r="O4" s="7"/>
      <c r="P4" s="1" t="s">
        <v>36</v>
      </c>
      <c r="Q4" s="7"/>
      <c r="R4" s="7"/>
      <c r="S4" s="7"/>
      <c r="T4" s="7"/>
      <c r="U4" s="7"/>
      <c r="V4" s="7"/>
      <c r="W4" s="7"/>
      <c r="X4" s="7"/>
      <c r="Y4" s="7"/>
      <c r="Z4" s="7"/>
      <c r="AA4" s="7"/>
      <c r="AB4" s="7"/>
      <c r="AC4" s="1" t="s">
        <v>56</v>
      </c>
      <c r="AD4" s="7"/>
      <c r="AE4" s="7"/>
      <c r="AF4" s="7"/>
      <c r="AG4" s="7"/>
    </row>
    <row r="5" ht="17"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5" t="str">
        <f t="shared" si="1"/>
        <v>2025</v>
      </c>
      <c r="H5" s="5" t="str">
        <f t="shared" si="2"/>
        <v>AvelinodeSouza_etal_2025</v>
      </c>
      <c r="I5" s="5" t="str">
        <f>_xlfn.LET(
_xlpm.doi,IF(C5&lt;&gt;"",C5,_xlfn.TEXTAFTER(A5,"https://doi.org/")),
SUBSTITUTE(
SUBSTITUTE(
SUBSTITUTE(
SUBSTITUTE(
_xlpm.doi,
"/","%2F"),
":","%3A"),
"&lt;","%3C"),
"&gt;","%3E")
)</f>
        <v>10.1002%2Fcne.70089</v>
      </c>
      <c r="J5" s="5" t="str">
        <f t="shared" si="3"/>
        <v>AvelinodeSouza_etal_2025_TABLE1</v>
      </c>
      <c r="K5" s="5" t="str">
        <f>I5 &amp; "_" &amp; SUBSTITUTE(SUBSTITUTE(SUBSTITUTE(D5,CHAR(160),"")," ",""),"_","")</f>
        <v>10.1002%2Fcne.70089_TABLE1</v>
      </c>
      <c r="L5" s="5" t="str">
        <f t="array" ref="L5">IFERROR(INDEX(AUTO_Public_TSV_FileList!$A$1:$A$1000,MATCH(TRUE(),EXACT(K5,IFERROR(_xlfn.TEXTBEFORE(AUTO_Public_TSV_FileList!$A$1:$A$1000,".tsv"),"")),0)),"notfound")</f>
        <v>10.1002%2Fcne.70089_TABLE1.tsv</v>
      </c>
      <c r="M5" s="1" t="s">
        <v>59</v>
      </c>
      <c r="N5" s="1" t="s">
        <v>35</v>
      </c>
      <c r="O5" s="7"/>
      <c r="P5" s="1" t="s">
        <v>36</v>
      </c>
      <c r="Q5" s="1"/>
      <c r="R5" s="1" t="s">
        <v>60</v>
      </c>
      <c r="S5" s="7"/>
      <c r="T5" s="7"/>
      <c r="U5" s="7"/>
      <c r="V5" s="1"/>
      <c r="W5" s="7" t="s">
        <v>61</v>
      </c>
      <c r="X5" s="1" t="s">
        <v>62</v>
      </c>
      <c r="Y5" s="7"/>
      <c r="Z5" s="7"/>
      <c r="AA5" s="1" t="s">
        <v>63</v>
      </c>
      <c r="AB5" s="1" t="s">
        <v>64</v>
      </c>
      <c r="AC5" s="1" t="s">
        <v>65</v>
      </c>
      <c r="AD5" s="7"/>
      <c r="AE5" s="1" t="s">
        <v>66</v>
      </c>
      <c r="AF5" s="1"/>
      <c r="AG5" s="7"/>
    </row>
    <row r="6" ht="17" customHeight="1">
      <c r="A6" s="9" t="s">
        <v>67</v>
      </c>
      <c r="D6" s="9" t="s">
        <v>68</v>
      </c>
      <c r="E6" s="3" t="str">
        <f t="shared" si="0"/>
        <v>Awbrey</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5" t="str">
        <f t="shared" si="1"/>
        <v>1988</v>
      </c>
      <c r="H6" s="3" t="str">
        <f t="shared" si="2"/>
        <v>Awbrey_etal_1988</v>
      </c>
      <c r="I6" s="3" t="str">
        <f>_xlfn.LET(_xlpm.doi,IF(C6&lt;&gt;"",C6,_xlfn.TEXTAFTER(A6,"https://doi.org/")),SUBSTITUTE(SUBSTITUTE(SUBSTITUTE(SUBSTITUTE(_xlpm.doi,"/","%2F"),":","%3A"),"&lt;","%3C"),"&gt;","%3E"))</f>
        <v>10.1121%2F1.397022</v>
      </c>
      <c r="J6" s="3" t="str">
        <f t="shared" si="3"/>
        <v>Awbrey_etal_1988_Table1</v>
      </c>
      <c r="K6" s="5" t="str">
        <f>I6 &amp; "_" &amp; SUBSTITUTE(SUBSTITUTE(SUBSTITUTE(D6,CHAR(160),"")," ",""),"_","")</f>
        <v>10.1121%2F1.397022_Table1</v>
      </c>
      <c r="L6" s="5" t="str">
        <f t="array" ref="L6">IFERROR(INDEX(AUTO_Public_TSV_FileList!$A$1:$A$1000,MATCH(TRUE(),EXACT(K6,IFERROR(_xlfn.TEXTBEFORE(AUTO_Public_TSV_FileList!$A$1:$A$1000,".tsv"),"")),0)),"notfound")</f>
        <v>10.1121%2F1.397022_Table1.tsv</v>
      </c>
      <c r="M6" s="9" t="s">
        <v>69</v>
      </c>
      <c r="N6" s="9" t="s">
        <v>70</v>
      </c>
      <c r="O6" s="9" t="s">
        <v>71</v>
      </c>
      <c r="P6" s="9" t="s">
        <v>72</v>
      </c>
      <c r="Q6" s="9"/>
      <c r="R6" s="9"/>
      <c r="S6" s="9"/>
      <c r="T6" s="9"/>
      <c r="U6" s="9"/>
      <c r="V6" s="9"/>
      <c r="W6" s="9"/>
      <c r="X6" s="9"/>
      <c r="Y6" s="9"/>
      <c r="Z6" s="9"/>
      <c r="AA6" s="9"/>
      <c r="AB6" s="9"/>
      <c r="AC6" s="9"/>
      <c r="AD6" s="9"/>
      <c r="AE6" s="9"/>
      <c r="AF6" s="9"/>
      <c r="AG6" s="9"/>
    </row>
    <row r="7" ht="17" customHeight="1">
      <c r="A7" s="9" t="s">
        <v>73</v>
      </c>
      <c r="C7" t="s">
        <v>74</v>
      </c>
      <c r="D7" s="9"/>
      <c r="E7" s="3" t="str">
        <f t="shared" si="0"/>
        <v>Babushina</v>
      </c>
      <c r="F7" s="5"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5" t="str">
        <f t="shared" si="1"/>
        <v>1991</v>
      </c>
      <c r="H7" s="3" t="str">
        <f t="shared" si="2"/>
        <v>Babushina_etal_1991</v>
      </c>
      <c r="I7" s="3" t="str">
        <f>_xlfn.LET(
_xlpm.doi,IF(C7&lt;&gt;"",C7,_xlfn.TEXTAFTER(A7,"https://doi.org/")),
SUBSTITUTE(
SUBSTITUTE(
SUBSTITUTE(
SUBSTITUTE(
_xlpm.doi,
"/","%2F"),
":","%3A"),
"&lt;","%3C"),
"&gt;","%3E")
)</f>
        <v>10.0003%2Fplaceholder</v>
      </c>
      <c r="J7" s="3" t="str">
        <f t="shared" si="3"/>
        <v>Babushina_etal_1991_</v>
      </c>
      <c r="K7" s="5" t="str">
        <f>I7 &amp; "_" &amp; SUBSTITUTE(SUBSTITUTE(SUBSTITUTE(D7,CHAR(160),""), " ", ""), "_", "")</f>
        <v>10.0003%2Fplaceholder_</v>
      </c>
      <c r="L7" s="5" t="str">
        <f t="array" ref="L7">IFERROR(INDEX(AUTO_Public_TSV_FileList!$A$1:$A$1000,MATCH(TRUE(),EXACT(K7,IFERROR(_xlfn.TEXTBEFORE(AUTO_Public_TSV_FileList!$A$1:$A$1000,".tsv"),"")),0)),"notfound")</f>
        <v>notfound</v>
      </c>
      <c r="M7" s="9"/>
      <c r="N7" s="9"/>
      <c r="O7" s="9"/>
      <c r="P7" s="9"/>
      <c r="Q7" s="9"/>
      <c r="R7" s="9"/>
      <c r="S7" s="9"/>
      <c r="T7" s="9"/>
      <c r="U7" s="9"/>
      <c r="V7" s="9"/>
      <c r="W7" s="9"/>
      <c r="X7" s="9"/>
      <c r="Y7" s="9"/>
      <c r="Z7" s="9"/>
      <c r="AA7" s="9"/>
      <c r="AB7" s="9"/>
      <c r="AC7" s="9"/>
      <c r="AD7" s="9"/>
      <c r="AE7" s="9"/>
      <c r="AF7" s="9"/>
      <c r="AG7" s="9"/>
    </row>
    <row r="8" ht="17" customHeight="1">
      <c r="A8" s="9" t="s">
        <v>75</v>
      </c>
      <c r="D8" s="9" t="s">
        <v>58</v>
      </c>
      <c r="E8" s="3" t="str">
        <f t="shared" si="0"/>
        <v>Bahney</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5" t="str">
        <f t="shared" si="1"/>
        <v>2018</v>
      </c>
      <c r="H8" s="3" t="str">
        <f t="shared" si="2"/>
        <v>Bahney_von Bartheld_2018</v>
      </c>
      <c r="I8" s="3" t="str">
        <f>_xlfn.LET(_xlpm.doi,IF(C8&lt;&gt;"",C8,_xlfn.TEXTAFTER(A8,"https://doi.org/")),SUBSTITUTE(SUBSTITUTE(SUBSTITUTE(SUBSTITUTE(_xlpm.doi,"/","%2F"),":","%3A"),"&lt;","%3C"),"&gt;","%3E"))</f>
        <v>10.1002%2Far.23728</v>
      </c>
      <c r="J8" s="3" t="str">
        <f t="shared" si="3"/>
        <v>Bahney_von Bartheld_2018_TABLE1</v>
      </c>
      <c r="K8" s="5" t="str">
        <f t="shared" ref="K8:K39" si="4">I8 &amp; "_" &amp; SUBSTITUTE(SUBSTITUTE(SUBSTITUTE(D8,CHAR(160),"")," ",""),"_","")</f>
        <v>10.1002%2Far.23728_TABLE1</v>
      </c>
      <c r="L8" s="5" t="str">
        <f t="array" ref="L8">IFERROR(INDEX(AUTO_Public_TSV_FileList!$A$1:$A$1000,MATCH(TRUE(),EXACT(K8,IFERROR(_xlfn.TEXTBEFORE(AUTO_Public_TSV_FileList!$A$1:$A$1000,".tsv"),"")),0)),"notfound")</f>
        <v>notfound</v>
      </c>
      <c r="M8" s="9" t="s">
        <v>76</v>
      </c>
      <c r="N8" s="9" t="s">
        <v>70</v>
      </c>
      <c r="O8" s="9" t="s">
        <v>77</v>
      </c>
      <c r="P8" s="9" t="s">
        <v>78</v>
      </c>
      <c r="Q8" s="9"/>
      <c r="R8" s="9" t="s">
        <v>79</v>
      </c>
      <c r="S8" s="9" t="s">
        <v>80</v>
      </c>
      <c r="T8" s="9" t="s">
        <v>81</v>
      </c>
      <c r="U8" s="9"/>
      <c r="V8" s="9" t="s">
        <v>82</v>
      </c>
      <c r="W8" s="9" t="s">
        <v>83</v>
      </c>
      <c r="X8" s="9" t="s">
        <v>84</v>
      </c>
      <c r="Y8" s="9"/>
      <c r="Z8" s="9" t="s">
        <v>85</v>
      </c>
      <c r="AA8" s="9" t="s">
        <v>86</v>
      </c>
      <c r="AB8" s="9" t="s">
        <v>87</v>
      </c>
      <c r="AC8" s="9" t="s">
        <v>88</v>
      </c>
      <c r="AD8" s="9"/>
      <c r="AE8" s="9" t="s">
        <v>66</v>
      </c>
      <c r="AF8" s="9"/>
      <c r="AG8" s="9" t="s">
        <v>89</v>
      </c>
    </row>
    <row r="9" ht="17" customHeight="1">
      <c r="A9" s="9" t="s">
        <v>90</v>
      </c>
      <c r="D9" s="9" t="s">
        <v>91</v>
      </c>
      <c r="E9" s="3" t="str">
        <f t="shared" si="0"/>
        <v>Bahney</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5" t="str">
        <f t="shared" si="1"/>
        <v>2018</v>
      </c>
      <c r="H9" s="3" t="str">
        <f t="shared" si="2"/>
        <v>Bahney_von Bartheld_2018</v>
      </c>
      <c r="I9" s="3" t="str">
        <f>_xlfn.LET(_xlpm.doi,IF(C9&lt;&gt;"",C9,_xlfn.TEXTAFTER(A9,"https://doi.org/")),SUBSTITUTE(SUBSTITUTE(SUBSTITUTE(SUBSTITUTE(_xlpm.doi,"/","%2F"),":","%3A"),"&lt;","%3C"),"&gt;","%3E"))</f>
        <v>10.1002%2Far.23729</v>
      </c>
      <c r="J9" s="3" t="str">
        <f t="shared" si="3"/>
        <v>Bahney_von Bartheld_2018_TABLE2</v>
      </c>
      <c r="K9" s="5" t="str">
        <f t="shared" si="4"/>
        <v>10.1002%2Far.23729_TABLE2</v>
      </c>
      <c r="L9" s="5" t="str">
        <f t="array" ref="L9">IFERROR(INDEX(AUTO_Public_TSV_FileList!$A$1:$A$1000,MATCH(TRUE(),EXACT(K9,IFERROR(_xlfn.TEXTBEFORE(AUTO_Public_TSV_FileList!$A$1:$A$1000,".tsv"),"")),0)),"notfound")</f>
        <v>notfound</v>
      </c>
      <c r="M9" s="9" t="s">
        <v>92</v>
      </c>
      <c r="N9" s="9"/>
      <c r="O9" s="9"/>
      <c r="P9" s="9"/>
      <c r="Q9" s="9"/>
      <c r="R9" s="9"/>
      <c r="S9" s="9"/>
      <c r="T9" s="9"/>
      <c r="U9" s="9"/>
      <c r="V9" s="9"/>
      <c r="W9" s="9"/>
      <c r="X9" s="9"/>
      <c r="Y9" s="9"/>
      <c r="Z9" s="9"/>
      <c r="AA9" s="9"/>
      <c r="AB9" s="9"/>
      <c r="AC9" s="9"/>
      <c r="AD9" s="9"/>
      <c r="AE9" s="9"/>
      <c r="AF9" s="9"/>
      <c r="AG9" s="9"/>
    </row>
    <row r="10" ht="17" customHeight="1">
      <c r="A10" s="9" t="s">
        <v>93</v>
      </c>
      <c r="D10" s="9" t="s">
        <v>94</v>
      </c>
      <c r="E10" s="3" t="str">
        <f t="shared" si="0"/>
        <v>Bahney</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5" t="str">
        <f t="shared" si="1"/>
        <v>2018</v>
      </c>
      <c r="H10" s="3" t="str">
        <f t="shared" si="2"/>
        <v>Bahney_von Bartheld_2018</v>
      </c>
      <c r="I10" s="3" t="str">
        <f>_xlfn.LET(_xlpm.doi,IF(C10&lt;&gt;"",C10,_xlfn.TEXTAFTER(A10,"https://doi.org/")),SUBSTITUTE(SUBSTITUTE(SUBSTITUTE(SUBSTITUTE(_xlpm.doi,"/","%2F"),":","%3A"),"&lt;","%3C"),"&gt;","%3E"))</f>
        <v>10.1002%2Far.23730</v>
      </c>
      <c r="J10" s="3" t="str">
        <f t="shared" si="3"/>
        <v>Bahney_von Bartheld_2018_TABLE3</v>
      </c>
      <c r="K10" s="5" t="str">
        <f t="shared" si="4"/>
        <v>10.1002%2Far.23730_TABLE3</v>
      </c>
      <c r="L10" s="5" t="str">
        <f t="array" ref="L10">IFERROR(INDEX(AUTO_Public_TSV_FileList!$A$1:$A$1000,MATCH(TRUE(),EXACT(K10,IFERROR(_xlfn.TEXTBEFORE(AUTO_Public_TSV_FileList!$A$1:$A$1000,".tsv"),"")),0)),"notfound")</f>
        <v>notfound</v>
      </c>
      <c r="M10" s="9" t="s">
        <v>95</v>
      </c>
      <c r="N10" s="9"/>
      <c r="O10" s="9"/>
      <c r="P10" s="9"/>
      <c r="Q10" s="9"/>
      <c r="R10" s="9"/>
      <c r="S10" s="9"/>
      <c r="T10" s="9"/>
      <c r="U10" s="9"/>
      <c r="V10" s="9"/>
      <c r="W10" s="9"/>
      <c r="X10" s="9"/>
      <c r="Y10" s="9"/>
      <c r="Z10" s="9"/>
      <c r="AA10" s="9"/>
      <c r="AB10" s="9"/>
      <c r="AC10" s="9"/>
      <c r="AD10" s="9"/>
      <c r="AE10" s="9"/>
      <c r="AF10" s="9"/>
      <c r="AG10" s="9"/>
    </row>
    <row r="11" ht="17" customHeight="1">
      <c r="A11" s="9" t="s">
        <v>96</v>
      </c>
      <c r="D11" s="9" t="s">
        <v>97</v>
      </c>
      <c r="E11" s="3" t="str">
        <f t="shared" si="0"/>
        <v>Bahney</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5" t="str">
        <f t="shared" si="1"/>
        <v>2018</v>
      </c>
      <c r="H11" s="3" t="str">
        <f t="shared" si="2"/>
        <v>Bahney_von Bartheld_2018</v>
      </c>
      <c r="I11" s="3" t="str">
        <f>_xlfn.LET(_xlpm.doi,IF(C11&lt;&gt;"",C11,_xlfn.TEXTAFTER(A11,"https://doi.org/")),SUBSTITUTE(SUBSTITUTE(SUBSTITUTE(SUBSTITUTE(_xlpm.doi,"/","%2F"),":","%3A"),"&lt;","%3C"),"&gt;","%3E"))</f>
        <v>10.1002%2Far.23731</v>
      </c>
      <c r="J11" s="3" t="str">
        <f t="shared" si="3"/>
        <v>Bahney_von Bartheld_2018_TABLE4</v>
      </c>
      <c r="K11" s="5" t="str">
        <f t="shared" si="4"/>
        <v>10.1002%2Far.23731_TABLE4</v>
      </c>
      <c r="L11" s="5" t="str">
        <f t="array" ref="L11">IFERROR(INDEX(AUTO_Public_TSV_FileList!$A$1:$A$1000,MATCH(TRUE(),EXACT(K11,IFERROR(_xlfn.TEXTBEFORE(AUTO_Public_TSV_FileList!$A$1:$A$1000,".tsv"),"")),0)),"notfound")</f>
        <v>notfound</v>
      </c>
      <c r="M11" s="9" t="s">
        <v>98</v>
      </c>
      <c r="N11" s="9"/>
      <c r="O11" s="9"/>
      <c r="P11" s="9"/>
      <c r="Q11" s="9"/>
      <c r="R11" s="9"/>
      <c r="S11" s="9"/>
      <c r="T11" s="9"/>
      <c r="U11" s="9"/>
      <c r="V11" s="9"/>
      <c r="W11" s="9"/>
      <c r="X11" s="9"/>
      <c r="Y11" s="9"/>
      <c r="Z11" s="9"/>
      <c r="AA11" s="9"/>
      <c r="AB11" s="9"/>
      <c r="AC11" s="9"/>
      <c r="AD11" s="9"/>
      <c r="AE11" s="9"/>
      <c r="AF11" s="9"/>
      <c r="AG11" s="9"/>
    </row>
    <row r="12" ht="17" customHeight="1">
      <c r="A12" s="1" t="s">
        <v>99</v>
      </c>
      <c r="D12" s="1" t="s">
        <v>100</v>
      </c>
      <c r="E12" s="5" t="str">
        <f t="shared" si="0"/>
        <v>Baker</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5" t="str">
        <f t="shared" si="1"/>
        <v>2025</v>
      </c>
      <c r="H12" s="5" t="str">
        <f t="shared" si="2"/>
        <v>Baker_etal_2025</v>
      </c>
      <c r="I12" s="5" t="str">
        <f t="shared" ref="I12:I59" si="5">_xlfn.LET(
_xlpm.doi,IF(C12&lt;&gt;"",C12,_xlfn.TEXTAFTER(A12,"https://doi.org/")),
SUBSTITUTE(
SUBSTITUTE(
SUBSTITUTE(
SUBSTITUTE(
_xlpm.doi,
"/","%2F"),
":","%3A"),
"&lt;","%3C"),
"&gt;","%3E")
)</f>
        <v>10.1038%2Fs42003-025-08686-5</v>
      </c>
      <c r="J12" s="5" t="str">
        <f t="shared" si="3"/>
        <v>Baker_etal_2025_SupplementaryData1</v>
      </c>
      <c r="K12" s="5" t="str">
        <f t="shared" si="4"/>
        <v>10.1038%2Fs42003-025-08686-5_SupplementaryData1</v>
      </c>
      <c r="L12" s="5" t="str">
        <f t="array" ref="L12">IFERROR(INDEX(AUTO_Public_TSV_FileList!$A$1:$A$1000,MATCH(TRUE(),EXACT(K12,IFERROR(_xlfn.TEXTBEFORE(AUTO_Public_TSV_FileList!$A$1:$A$1000,".tsv"),"")),0)),"notfound")</f>
        <v>10.1038%2Fs42003-025-08686-5_SupplementaryData1.tsv</v>
      </c>
      <c r="M12" s="1"/>
      <c r="N12" s="1"/>
      <c r="O12" s="7"/>
      <c r="P12" s="1" t="s">
        <v>36</v>
      </c>
      <c r="Q12" s="1"/>
      <c r="R12" s="1"/>
      <c r="S12" s="7"/>
      <c r="T12" s="7"/>
      <c r="U12" s="7"/>
      <c r="V12" s="1"/>
      <c r="W12" s="1"/>
      <c r="X12" s="1"/>
      <c r="Y12" s="7"/>
      <c r="Z12" s="7"/>
      <c r="AA12" s="1"/>
      <c r="AB12" s="1"/>
      <c r="AC12" s="1"/>
      <c r="AD12" s="7"/>
      <c r="AE12" s="1"/>
      <c r="AF12" s="1"/>
      <c r="AG12" s="7"/>
    </row>
    <row r="13" ht="17" customHeight="1">
      <c r="A13" s="1" t="s">
        <v>101</v>
      </c>
      <c r="D13" s="1" t="s">
        <v>102</v>
      </c>
      <c r="E13" s="5" t="str">
        <f t="shared" si="0"/>
        <v>BallesterosYáñez</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5" t="str">
        <f t="shared" si="1"/>
        <v>2006</v>
      </c>
      <c r="H13" s="5" t="str">
        <f t="shared" si="2"/>
        <v>BallesterosYáñez_etal_2006</v>
      </c>
      <c r="I13" s="5" t="str">
        <f t="shared" si="5"/>
        <v>10.1016%2Fj.neuroscience.2005.11.038</v>
      </c>
      <c r="J13" s="5" t="str">
        <f t="shared" si="3"/>
        <v>BallesterosYáñez_etal_2006_Figure3A</v>
      </c>
      <c r="K13" s="5" t="str">
        <f t="shared" si="4"/>
        <v>10.1016%2Fj.neuroscience.2005.11.038_Figure3A</v>
      </c>
      <c r="L13" s="5" t="str">
        <f t="array" ref="L13">IFERROR(INDEX(AUTO_Public_TSV_FileList!$A$1:$A$1000,MATCH(TRUE(),EXACT(K13,IFERROR(_xlfn.TEXTBEFORE(AUTO_Public_TSV_FileList!$A$1:$A$1000,".tsv"),"")),0)),"notfound")</f>
        <v>10.1016%2Fj.neuroscience.2005.11.038_Figure3A.tsv</v>
      </c>
      <c r="M13" s="1"/>
      <c r="N13" s="1"/>
      <c r="O13" s="7"/>
      <c r="P13" s="1"/>
      <c r="Q13" s="1"/>
      <c r="R13" s="1"/>
      <c r="S13" s="7"/>
      <c r="T13" s="7"/>
      <c r="U13" s="7"/>
      <c r="V13" s="1"/>
      <c r="W13" s="1"/>
      <c r="X13" s="1"/>
      <c r="Y13" s="7"/>
      <c r="Z13" s="7"/>
      <c r="AA13" s="1"/>
      <c r="AB13" s="1"/>
      <c r="AC13" s="1"/>
      <c r="AD13" s="7"/>
      <c r="AE13" s="1"/>
      <c r="AF13" s="1"/>
      <c r="AG13" s="7"/>
    </row>
    <row r="14" ht="17" customHeight="1">
      <c r="A14" s="1" t="s">
        <v>101</v>
      </c>
      <c r="D14" s="1" t="s">
        <v>103</v>
      </c>
      <c r="E14" s="5" t="str">
        <f t="shared" si="0"/>
        <v>BallesterosYáñez</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5" t="str">
        <f t="shared" si="1"/>
        <v>2006</v>
      </c>
      <c r="H14" s="5" t="str">
        <f t="shared" si="2"/>
        <v>BallesterosYáñez_etal_2006</v>
      </c>
      <c r="I14" s="5" t="str">
        <f t="shared" si="5"/>
        <v>10.1016%2Fj.neuroscience.2005.11.038</v>
      </c>
      <c r="J14" s="5" t="str">
        <f t="shared" si="3"/>
        <v>BallesterosYáñez_etal_2006_Figure3B</v>
      </c>
      <c r="K14" s="5" t="str">
        <f t="shared" si="4"/>
        <v>10.1016%2Fj.neuroscience.2005.11.038_Figure3B</v>
      </c>
      <c r="L14" s="5" t="str">
        <f t="array" ref="L14">IFERROR(INDEX(AUTO_Public_TSV_FileList!$A$1:$A$1000,MATCH(TRUE(),EXACT(K14,IFERROR(_xlfn.TEXTBEFORE(AUTO_Public_TSV_FileList!$A$1:$A$1000,".tsv"),"")),0)),"notfound")</f>
        <v>10.1016%2Fj.neuroscience.2005.11.038_Figure3B.tsv</v>
      </c>
      <c r="M14" s="1"/>
      <c r="N14" s="1"/>
      <c r="O14" s="7"/>
      <c r="P14" s="1"/>
      <c r="Q14" s="1"/>
      <c r="R14" s="1"/>
      <c r="S14" s="7"/>
      <c r="T14" s="7"/>
      <c r="U14" s="7"/>
      <c r="V14" s="1"/>
      <c r="W14" s="1"/>
      <c r="X14" s="1"/>
      <c r="Y14" s="7"/>
      <c r="Z14" s="7"/>
      <c r="AA14" s="1"/>
      <c r="AB14" s="1"/>
      <c r="AC14" s="1"/>
      <c r="AD14" s="7"/>
      <c r="AE14" s="1"/>
      <c r="AF14" s="1"/>
      <c r="AG14" s="7"/>
    </row>
    <row r="15" ht="17" customHeight="1">
      <c r="A15" s="1" t="s">
        <v>101</v>
      </c>
      <c r="D15" s="1" t="s">
        <v>104</v>
      </c>
      <c r="E15" s="5" t="str">
        <f t="shared" si="0"/>
        <v>BallesterosYáñez</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5" t="str">
        <f t="shared" si="1"/>
        <v>2006</v>
      </c>
      <c r="H15" s="5" t="str">
        <f t="shared" si="2"/>
        <v>BallesterosYáñez_etal_2006</v>
      </c>
      <c r="I15" s="5" t="str">
        <f t="shared" si="5"/>
        <v>10.1016%2Fj.neuroscience.2005.11.038</v>
      </c>
      <c r="J15" s="5" t="str">
        <f t="shared" si="3"/>
        <v>BallesterosYáñez_etal_2006_Figure3C</v>
      </c>
      <c r="K15" s="5" t="str">
        <f t="shared" si="4"/>
        <v>10.1016%2Fj.neuroscience.2005.11.038_Figure3C</v>
      </c>
      <c r="L15" s="5" t="str">
        <f t="array" ref="L15">IFERROR(INDEX(AUTO_Public_TSV_FileList!$A$1:$A$1000,MATCH(TRUE(),EXACT(K15,IFERROR(_xlfn.TEXTBEFORE(AUTO_Public_TSV_FileList!$A$1:$A$1000,".tsv"),"")),0)),"notfound")</f>
        <v>10.1016%2Fj.neuroscience.2005.11.038_Figure3C.tsv</v>
      </c>
      <c r="M15" s="1"/>
      <c r="N15" s="1" t="s">
        <v>105</v>
      </c>
      <c r="O15" s="7"/>
      <c r="P15" s="1"/>
      <c r="Q15" s="1"/>
      <c r="R15" s="1"/>
      <c r="S15" s="7"/>
      <c r="T15" s="7"/>
      <c r="U15" s="7"/>
      <c r="V15" s="1"/>
      <c r="W15" s="1"/>
      <c r="X15" s="1"/>
      <c r="Y15" s="7"/>
      <c r="Z15" s="7"/>
      <c r="AA15" s="1"/>
      <c r="AB15" s="1"/>
      <c r="AC15" s="1"/>
      <c r="AD15" s="7"/>
      <c r="AE15" s="1"/>
      <c r="AF15" s="1"/>
      <c r="AG15" s="7"/>
    </row>
    <row r="16" ht="17" customHeight="1">
      <c r="A16" s="1" t="s">
        <v>101</v>
      </c>
      <c r="D16" s="1" t="s">
        <v>68</v>
      </c>
      <c r="E16" s="5" t="str">
        <f t="shared" si="0"/>
        <v>BallesterosYáñez</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5" t="str">
        <f t="shared" si="1"/>
        <v>2006</v>
      </c>
      <c r="H16" s="5" t="str">
        <f t="shared" si="2"/>
        <v>BallesterosYáñez_etal_2006</v>
      </c>
      <c r="I16" s="5" t="str">
        <f t="shared" si="5"/>
        <v>10.1016%2Fj.neuroscience.2005.11.038</v>
      </c>
      <c r="J16" s="5" t="str">
        <f t="shared" si="3"/>
        <v>BallesterosYáñez_etal_2006_Table1</v>
      </c>
      <c r="K16" s="5" t="str">
        <f t="shared" si="4"/>
        <v>10.1016%2Fj.neuroscience.2005.11.038_Table1</v>
      </c>
      <c r="L16" s="5" t="str">
        <f t="array" ref="L16">IFERROR(INDEX(AUTO_Public_TSV_FileList!$A$1:$A$1000,MATCH(TRUE(),EXACT(K16,IFERROR(_xlfn.TEXTBEFORE(AUTO_Public_TSV_FileList!$A$1:$A$1000,".tsv"),"")),0)),"notfound")</f>
        <v>10.1016%2Fj.neuroscience.2005.11.038_Table1.tsv</v>
      </c>
      <c r="M16" s="1" t="s">
        <v>106</v>
      </c>
      <c r="N16" s="1"/>
      <c r="O16" s="7"/>
      <c r="P16" s="1"/>
      <c r="Q16" s="1"/>
      <c r="R16" s="1"/>
      <c r="S16" s="7"/>
      <c r="T16" s="7"/>
      <c r="U16" s="7"/>
      <c r="V16" s="1"/>
      <c r="W16" s="1"/>
      <c r="X16" s="1"/>
      <c r="Y16" s="7"/>
      <c r="Z16" s="7"/>
      <c r="AA16" s="1"/>
      <c r="AB16" s="1"/>
      <c r="AC16" s="1"/>
      <c r="AD16" s="7"/>
      <c r="AE16" s="1"/>
      <c r="AF16" s="1"/>
      <c r="AG16" s="7"/>
    </row>
    <row r="17" ht="17" customHeight="1">
      <c r="A17" s="7" t="s">
        <v>107</v>
      </c>
      <c r="D17" s="1" t="s">
        <v>108</v>
      </c>
      <c r="E17" s="5" t="str">
        <f t="shared" si="0"/>
        <v>Balzeau</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5" t="str">
        <f t="shared" si="1"/>
        <v>2012</v>
      </c>
      <c r="H17" s="5" t="str">
        <f t="shared" si="2"/>
        <v>Balzeau_etal_2012</v>
      </c>
      <c r="I17" s="5" t="str">
        <f t="shared" si="5"/>
        <v>10.1016%2Fj.jhevol.2012.03.007</v>
      </c>
      <c r="J17" s="5" t="str">
        <f t="shared" si="3"/>
        <v>Balzeau_etal_2012_Table2</v>
      </c>
      <c r="K17" s="5" t="str">
        <f t="shared" si="4"/>
        <v>10.1016%2Fj.jhevol.2012.03.007_Table2</v>
      </c>
      <c r="L17" s="5" t="str">
        <f t="array" ref="L17">IFERROR(INDEX(AUTO_Public_TSV_FileList!$A$1:$A$1000,MATCH(TRUE(),EXACT(K17,IFERROR(_xlfn.TEXTBEFORE(AUTO_Public_TSV_FileList!$A$1:$A$1000,".tsv"),"")),0)),"notfound")</f>
        <v>10.1016%2Fj.jhevol.2012.03.007_Table2.tsv</v>
      </c>
      <c r="M17" s="1" t="s">
        <v>109</v>
      </c>
      <c r="N17" s="7"/>
      <c r="O17" s="7"/>
      <c r="P17" s="1" t="s">
        <v>36</v>
      </c>
      <c r="Q17" s="7"/>
      <c r="R17" s="7"/>
      <c r="S17" s="7"/>
      <c r="T17" s="7"/>
      <c r="U17" s="7"/>
      <c r="V17" s="7"/>
      <c r="W17" s="7"/>
      <c r="X17" s="7"/>
      <c r="Y17" s="7"/>
      <c r="Z17" s="7"/>
      <c r="AA17" s="7"/>
      <c r="AB17" s="7"/>
      <c r="AC17" s="7"/>
      <c r="AD17" s="7"/>
      <c r="AE17" s="7"/>
      <c r="AF17" s="7"/>
      <c r="AG17" s="7"/>
    </row>
    <row r="18" ht="17" customHeight="1">
      <c r="A18" s="7" t="s">
        <v>107</v>
      </c>
      <c r="D18" s="1" t="s">
        <v>110</v>
      </c>
      <c r="E18" s="5" t="str">
        <f t="shared" si="0"/>
        <v>Balzeau</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5" t="str">
        <f t="shared" si="1"/>
        <v>2012</v>
      </c>
      <c r="H18" s="5" t="str">
        <f t="shared" si="2"/>
        <v>Balzeau_etal_2012</v>
      </c>
      <c r="I18" s="5" t="str">
        <f t="shared" si="5"/>
        <v>10.1016%2Fj.jhevol.2012.03.007</v>
      </c>
      <c r="J18" s="5" t="str">
        <f t="shared" si="3"/>
        <v>Balzeau_etal_2012_Table3</v>
      </c>
      <c r="K18" s="5" t="str">
        <f t="shared" si="4"/>
        <v>10.1016%2Fj.jhevol.2012.03.007_Table3</v>
      </c>
      <c r="L18" s="5" t="str">
        <f t="array" ref="L18">IFERROR(INDEX(AUTO_Public_TSV_FileList!$A$1:$A$1000,MATCH(TRUE(),EXACT(K18,IFERROR(_xlfn.TEXTBEFORE(AUTO_Public_TSV_FileList!$A$1:$A$1000,".tsv"),"")),0)),"notfound")</f>
        <v>10.1016%2Fj.jhevol.2012.03.007_Table3.tsv</v>
      </c>
      <c r="M18" s="1" t="s">
        <v>111</v>
      </c>
      <c r="N18" s="7"/>
      <c r="O18" s="7"/>
      <c r="P18" s="1" t="s">
        <v>36</v>
      </c>
      <c r="Q18" s="7"/>
      <c r="R18" s="7"/>
      <c r="S18" s="7"/>
      <c r="T18" s="7"/>
      <c r="U18" s="7"/>
      <c r="V18" s="7"/>
      <c r="W18" s="7"/>
      <c r="X18" s="7"/>
      <c r="Y18" s="7"/>
      <c r="Z18" s="7"/>
      <c r="AA18" s="7"/>
      <c r="AB18" s="7"/>
      <c r="AC18" s="7"/>
      <c r="AD18" s="7"/>
      <c r="AE18" s="7"/>
      <c r="AF18" s="7"/>
      <c r="AG18" s="7"/>
    </row>
    <row r="19" ht="17" customHeight="1">
      <c r="A19" s="7" t="s">
        <v>107</v>
      </c>
      <c r="D19" s="1" t="s">
        <v>112</v>
      </c>
      <c r="E19" s="5" t="str">
        <f t="shared" si="0"/>
        <v>Balzeau</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5" t="str">
        <f t="shared" si="1"/>
        <v>2012</v>
      </c>
      <c r="H19" s="5" t="str">
        <f t="shared" si="2"/>
        <v>Balzeau_etal_2012</v>
      </c>
      <c r="I19" s="5" t="str">
        <f t="shared" si="5"/>
        <v>10.1016%2Fj.jhevol.2012.03.007</v>
      </c>
      <c r="J19" s="5" t="str">
        <f t="shared" si="3"/>
        <v>Balzeau_etal_2012_Table5</v>
      </c>
      <c r="K19" s="5" t="str">
        <f t="shared" si="4"/>
        <v>10.1016%2Fj.jhevol.2012.03.007_Table5</v>
      </c>
      <c r="L19" s="5" t="str">
        <f t="array" ref="L19">IFERROR(INDEX(AUTO_Public_TSV_FileList!$A$1:$A$1000,MATCH(TRUE(),EXACT(K19,IFERROR(_xlfn.TEXTBEFORE(AUTO_Public_TSV_FileList!$A$1:$A$1000,".tsv"),"")),0)),"notfound")</f>
        <v>10.1016%2Fj.jhevol.2012.03.007_Table5.tsv</v>
      </c>
      <c r="M19" s="1" t="s">
        <v>113</v>
      </c>
      <c r="N19" s="7"/>
      <c r="O19" s="7"/>
      <c r="P19" s="1" t="s">
        <v>36</v>
      </c>
      <c r="Q19" s="7"/>
      <c r="R19" s="7"/>
      <c r="S19" s="7"/>
      <c r="T19" s="7"/>
      <c r="U19" s="7"/>
      <c r="V19" s="7"/>
      <c r="W19" s="7"/>
      <c r="X19" s="7"/>
      <c r="Y19" s="7"/>
      <c r="Z19" s="7"/>
      <c r="AA19" s="7"/>
      <c r="AB19" s="7"/>
      <c r="AC19" s="7"/>
      <c r="AD19" s="7"/>
      <c r="AE19" s="7"/>
      <c r="AF19" s="7"/>
      <c r="AG19" s="7"/>
    </row>
    <row r="20" ht="17" customHeight="1">
      <c r="A20" s="7" t="s">
        <v>114</v>
      </c>
      <c r="D20" s="1" t="s">
        <v>115</v>
      </c>
      <c r="E20" s="5" t="str">
        <f t="shared" si="0"/>
        <v>BarbeitoAndrés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5" t="str">
        <f t="shared" si="1"/>
        <v>2019</v>
      </c>
      <c r="H20" s="5" t="str">
        <f t="shared" si="2"/>
        <v>BarbeitoAndrés_etal_2019</v>
      </c>
      <c r="I20" s="5" t="str">
        <f t="shared" si="5"/>
        <v>10.1242%2Fjeb.204651</v>
      </c>
      <c r="J20" s="5" t="str">
        <f t="shared" si="3"/>
        <v>BarbeitoAndrés_etal_2019_celldensity</v>
      </c>
      <c r="K20" s="5" t="str">
        <f t="shared" si="4"/>
        <v>10.1242%2Fjeb.204651_celldensity</v>
      </c>
      <c r="L20" s="5" t="str">
        <f t="array" ref="L20">IFERROR(INDEX(AUTO_Public_TSV_FileList!$A$1:$A$1000,MATCH(TRUE(),EXACT(K20,IFERROR(_xlfn.TEXTBEFORE(AUTO_Public_TSV_FileList!$A$1:$A$1000,".tsv"),"")),0)),"notfound")</f>
        <v>10.1242%2Fjeb.204651_celldensity.tsv</v>
      </c>
      <c r="M20" s="7"/>
      <c r="N20" s="7"/>
      <c r="O20" s="7"/>
      <c r="P20" s="1" t="s">
        <v>36</v>
      </c>
      <c r="Q20" s="7"/>
      <c r="R20" s="7"/>
      <c r="S20" s="7"/>
      <c r="T20" s="7"/>
      <c r="U20" s="7"/>
      <c r="V20" s="7"/>
      <c r="W20" s="1"/>
      <c r="X20" s="7"/>
      <c r="Y20" s="7"/>
      <c r="Z20" s="7"/>
      <c r="AA20" s="1" t="s">
        <v>63</v>
      </c>
      <c r="AB20" s="1" t="s">
        <v>64</v>
      </c>
      <c r="AC20" s="7"/>
      <c r="AD20" s="7"/>
      <c r="AE20" s="1"/>
      <c r="AF20" s="1"/>
      <c r="AG20" s="7"/>
    </row>
    <row r="21" ht="17" customHeight="1">
      <c r="A21" s="7" t="s">
        <v>114</v>
      </c>
      <c r="D21" s="1" t="s">
        <v>116</v>
      </c>
      <c r="E21" s="5" t="str">
        <f t="shared" si="0"/>
        <v>BarbeitoAndrés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5" t="str">
        <f t="shared" si="1"/>
        <v>2019</v>
      </c>
      <c r="H21" s="5" t="str">
        <f t="shared" si="2"/>
        <v>BarbeitoAndrés_etal_2019</v>
      </c>
      <c r="I21" s="5" t="str">
        <f t="shared" si="5"/>
        <v>10.1242%2Fjeb.204651</v>
      </c>
      <c r="J21" s="5" t="str">
        <f t="shared" si="3"/>
        <v>BarbeitoAndrés_etal_2019_cellnumber</v>
      </c>
      <c r="K21" s="5" t="str">
        <f t="shared" si="4"/>
        <v>10.1242%2Fjeb.204651_cellnumber</v>
      </c>
      <c r="L21" s="5" t="str">
        <f t="array" ref="L21">IFERROR(INDEX(AUTO_Public_TSV_FileList!$A$1:$A$1000,MATCH(TRUE(),EXACT(K21,IFERROR(_xlfn.TEXTBEFORE(AUTO_Public_TSV_FileList!$A$1:$A$1000,".tsv"),"")),0)),"notfound")</f>
        <v>10.1242%2Fjeb.204651_cellnumber.tsv</v>
      </c>
      <c r="M21" s="7"/>
      <c r="N21" s="7"/>
      <c r="O21" s="7"/>
      <c r="P21" s="1" t="s">
        <v>36</v>
      </c>
      <c r="Q21" s="7"/>
      <c r="R21" s="7"/>
      <c r="S21" s="7"/>
      <c r="T21" s="7"/>
      <c r="U21" s="7"/>
      <c r="V21" s="7"/>
      <c r="W21" s="1"/>
      <c r="X21" s="7"/>
      <c r="Y21" s="7"/>
      <c r="Z21" s="7"/>
      <c r="AA21" s="1" t="s">
        <v>63</v>
      </c>
      <c r="AB21" s="1" t="s">
        <v>64</v>
      </c>
      <c r="AC21" s="7"/>
      <c r="AD21" s="7"/>
      <c r="AE21" s="1"/>
      <c r="AF21" s="1"/>
      <c r="AG21" s="7"/>
    </row>
    <row r="22" ht="17" customHeight="1">
      <c r="A22" s="7" t="s">
        <v>114</v>
      </c>
      <c r="D22" s="1" t="s">
        <v>117</v>
      </c>
      <c r="E22" s="5" t="str">
        <f t="shared" si="0"/>
        <v>BarbeitoAndrés</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5" t="str">
        <f t="shared" si="1"/>
        <v>2019</v>
      </c>
      <c r="H22" s="5" t="str">
        <f t="shared" si="2"/>
        <v>BarbeitoAndrés_etal_2019</v>
      </c>
      <c r="I22" s="5" t="str">
        <f t="shared" si="5"/>
        <v>10.1242%2Fjeb.204651</v>
      </c>
      <c r="J22" s="5" t="str">
        <f t="shared" si="3"/>
        <v>BarbeitoAndrés_etal_2019_volumes</v>
      </c>
      <c r="K22" s="5" t="str">
        <f t="shared" si="4"/>
        <v>10.1242%2Fjeb.204651_volumes</v>
      </c>
      <c r="L22" s="5" t="str">
        <f t="array" ref="L22">IFERROR(INDEX(AUTO_Public_TSV_FileList!$A$1:$A$1000,MATCH(TRUE(),EXACT(K22,IFERROR(_xlfn.TEXTBEFORE(AUTO_Public_TSV_FileList!$A$1:$A$1000,".tsv"),"")),0)),"notfound")</f>
        <v>10.1242%2Fjeb.204651_volumes.tsv</v>
      </c>
      <c r="M22" s="7"/>
      <c r="N22" s="7"/>
      <c r="O22" s="7"/>
      <c r="P22" s="1" t="s">
        <v>36</v>
      </c>
      <c r="Q22" s="7"/>
      <c r="R22" s="7"/>
      <c r="S22" s="7"/>
      <c r="T22" s="7"/>
      <c r="U22" s="7"/>
      <c r="V22" s="7"/>
      <c r="W22" s="1"/>
      <c r="X22" s="7"/>
      <c r="Y22" s="7"/>
      <c r="Z22" s="7"/>
      <c r="AA22" s="1" t="s">
        <v>63</v>
      </c>
      <c r="AB22" s="1" t="s">
        <v>64</v>
      </c>
      <c r="AC22" s="7"/>
      <c r="AD22" s="7"/>
      <c r="AE22" s="1"/>
      <c r="AF22" s="1"/>
      <c r="AG22" s="7"/>
    </row>
    <row r="23" ht="17" customHeight="1">
      <c r="A23" s="1" t="s">
        <v>118</v>
      </c>
      <c r="D23" s="1" t="s">
        <v>68</v>
      </c>
      <c r="E23" s="5" t="str">
        <f t="shared" si="0"/>
        <v>Barger</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5" t="str">
        <f t="shared" si="1"/>
        <v>2014</v>
      </c>
      <c r="H23" s="5" t="str">
        <f t="shared" si="2"/>
        <v>Barger_etal_2014</v>
      </c>
      <c r="I23" s="5" t="str">
        <f t="shared" si="5"/>
        <v>10.3389%2Ffnhum.2014.00277</v>
      </c>
      <c r="J23" s="5" t="str">
        <f t="shared" si="3"/>
        <v>Barger_etal_2014_Table1</v>
      </c>
      <c r="K23" s="5" t="str">
        <f t="shared" si="4"/>
        <v>10.3389%2Ffnhum.2014.00277_Table1</v>
      </c>
      <c r="L23" s="5" t="str">
        <f t="array" ref="L23">IFERROR(INDEX(AUTO_Public_TSV_FileList!$A$1:$A$1000,MATCH(TRUE(),EXACT(K23,IFERROR(_xlfn.TEXTBEFORE(AUTO_Public_TSV_FileList!$A$1:$A$1000,".tsv"),"")),0)),"notfound")</f>
        <v>10.3389%2Ffnhum.2014.00277_Table1.tsv</v>
      </c>
      <c r="M23" s="1" t="s">
        <v>119</v>
      </c>
      <c r="N23" s="7"/>
      <c r="O23" s="7"/>
      <c r="P23" s="1" t="s">
        <v>36</v>
      </c>
      <c r="Q23" s="7"/>
      <c r="R23" s="7"/>
      <c r="S23" s="7"/>
      <c r="T23" s="7"/>
      <c r="U23" s="7"/>
      <c r="V23" s="7"/>
      <c r="W23" s="7"/>
      <c r="X23" s="7"/>
      <c r="Y23" s="7"/>
      <c r="Z23" s="1" t="s">
        <v>120</v>
      </c>
      <c r="AA23" s="7"/>
      <c r="AB23" s="7"/>
      <c r="AC23" s="1" t="s">
        <v>121</v>
      </c>
      <c r="AD23" s="1" t="s">
        <v>121</v>
      </c>
      <c r="AE23" s="7"/>
      <c r="AF23" s="7"/>
      <c r="AG23" s="7"/>
    </row>
    <row r="24" ht="17" customHeight="1">
      <c r="A24" s="1" t="s">
        <v>122</v>
      </c>
      <c r="D24" s="1" t="s">
        <v>58</v>
      </c>
      <c r="E24" s="5" t="str">
        <f t="shared" si="0"/>
        <v>Barger</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5" t="str">
        <f t="shared" si="1"/>
        <v>2007</v>
      </c>
      <c r="H24" s="5" t="str">
        <f t="shared" si="2"/>
        <v>Barger_etal_2007</v>
      </c>
      <c r="I24" s="5" t="str">
        <f t="shared" si="5"/>
        <v>10.1002%2Fajpa.20684</v>
      </c>
      <c r="J24" s="5" t="str">
        <f t="shared" si="3"/>
        <v>Barger_etal_2007_TABLE1</v>
      </c>
      <c r="K24" s="5" t="str">
        <f t="shared" si="4"/>
        <v>10.1002%2Fajpa.20684_TABLE1</v>
      </c>
      <c r="L24" s="5" t="str">
        <f t="array" ref="L24">IFERROR(INDEX(AUTO_Public_TSV_FileList!$A$1:$A$1000,MATCH(TRUE(),EXACT(K24,IFERROR(_xlfn.TEXTBEFORE(AUTO_Public_TSV_FileList!$A$1:$A$1000,".tsv"),"")),0)),"notfound")</f>
        <v>10.1002%2Fajpa.20684_TABLE1.tsv</v>
      </c>
      <c r="M24" s="1" t="s">
        <v>123</v>
      </c>
      <c r="N24" s="7"/>
      <c r="O24" s="7"/>
      <c r="P24" s="1" t="s">
        <v>36</v>
      </c>
      <c r="Q24" s="7"/>
      <c r="R24" s="7"/>
      <c r="S24" s="7"/>
      <c r="T24" s="7"/>
      <c r="U24" s="7"/>
      <c r="V24" s="7"/>
      <c r="W24" s="1" t="s">
        <v>124</v>
      </c>
      <c r="X24" s="1" t="s">
        <v>125</v>
      </c>
      <c r="Y24" s="7"/>
      <c r="Z24" s="1" t="s">
        <v>126</v>
      </c>
      <c r="AA24" s="7"/>
      <c r="AB24" s="1" t="s">
        <v>127</v>
      </c>
      <c r="AC24" s="1" t="s">
        <v>121</v>
      </c>
      <c r="AD24" s="1" t="s">
        <v>121</v>
      </c>
      <c r="AE24" s="1" t="s">
        <v>66</v>
      </c>
      <c r="AF24" s="1"/>
      <c r="AG24" s="7"/>
    </row>
    <row r="25" ht="17" customHeight="1">
      <c r="A25" s="1" t="s">
        <v>128</v>
      </c>
      <c r="D25" s="1" t="s">
        <v>68</v>
      </c>
      <c r="E25" s="5" t="str">
        <f t="shared" si="0"/>
        <v>Barger</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5" t="str">
        <f t="shared" si="1"/>
        <v>2012</v>
      </c>
      <c r="H25" s="5" t="str">
        <f t="shared" si="2"/>
        <v>Barger_etal_2012</v>
      </c>
      <c r="I25" s="5" t="str">
        <f t="shared" si="5"/>
        <v>10.1002%2Fcne.23118</v>
      </c>
      <c r="J25" s="5" t="str">
        <f t="shared" si="3"/>
        <v>Barger_etal_2012_Table1</v>
      </c>
      <c r="K25" s="5" t="str">
        <f t="shared" si="4"/>
        <v>10.1002%2Fcne.23118_Table1</v>
      </c>
      <c r="L25" s="5" t="str">
        <f t="array" ref="L25">IFERROR(INDEX(AUTO_Public_TSV_FileList!$A$1:$A$1000,MATCH(TRUE(),EXACT(K25,IFERROR(_xlfn.TEXTBEFORE(AUTO_Public_TSV_FileList!$A$1:$A$1000,".tsv"),"")),0)),"notfound")</f>
        <v>10.1002%2Fcne.23118_Table1.tsv</v>
      </c>
      <c r="M25" s="1" t="s">
        <v>129</v>
      </c>
      <c r="N25" s="7" t="s">
        <v>130</v>
      </c>
      <c r="O25" s="7"/>
      <c r="P25" s="1" t="s">
        <v>36</v>
      </c>
      <c r="Q25" s="7"/>
      <c r="R25" s="7"/>
      <c r="S25" s="7"/>
      <c r="T25" s="7"/>
      <c r="U25" s="7"/>
      <c r="V25" s="7" t="s">
        <v>131</v>
      </c>
      <c r="W25" s="1" t="s">
        <v>132</v>
      </c>
      <c r="X25" s="1" t="s">
        <v>133</v>
      </c>
      <c r="Y25" s="7"/>
      <c r="Z25" s="1" t="s">
        <v>120</v>
      </c>
      <c r="AA25" s="7"/>
      <c r="AB25" s="1" t="s">
        <v>134</v>
      </c>
      <c r="AC25" s="1"/>
      <c r="AD25" s="1" t="s">
        <v>135</v>
      </c>
      <c r="AE25" s="1" t="s">
        <v>66</v>
      </c>
      <c r="AF25" s="1"/>
      <c r="AG25" s="7"/>
    </row>
    <row r="26" ht="17" customHeight="1">
      <c r="A26" s="1" t="s">
        <v>128</v>
      </c>
      <c r="D26" s="1" t="s">
        <v>110</v>
      </c>
      <c r="E26" s="5" t="str">
        <f t="shared" si="0"/>
        <v>Barger</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5" t="str">
        <f t="shared" si="1"/>
        <v>2012</v>
      </c>
      <c r="H26" s="5" t="str">
        <f t="shared" si="2"/>
        <v>Barger_etal_2012</v>
      </c>
      <c r="I26" s="5" t="str">
        <f t="shared" si="5"/>
        <v>10.1002%2Fcne.23118</v>
      </c>
      <c r="J26" s="5" t="str">
        <f t="shared" si="3"/>
        <v>Barger_etal_2012_Table3</v>
      </c>
      <c r="K26" s="5" t="str">
        <f t="shared" si="4"/>
        <v>10.1002%2Fcne.23118_Table3</v>
      </c>
      <c r="L26" s="5" t="str">
        <f t="array" ref="L26">IFERROR(INDEX(AUTO_Public_TSV_FileList!$A$1:$A$1000,MATCH(TRUE(),EXACT(K26,IFERROR(_xlfn.TEXTBEFORE(AUTO_Public_TSV_FileList!$A$1:$A$1000,".tsv"),"")),0)),"notfound")</f>
        <v>10.1002%2Fcne.23118_Table3.tsv</v>
      </c>
      <c r="M26" s="1" t="s">
        <v>136</v>
      </c>
      <c r="N26" s="7"/>
      <c r="O26" s="7"/>
      <c r="P26" s="1" t="s">
        <v>36</v>
      </c>
      <c r="Q26" s="7"/>
      <c r="R26" s="7"/>
      <c r="S26" s="7"/>
      <c r="T26" s="7"/>
      <c r="U26" s="7"/>
      <c r="V26" s="7"/>
      <c r="W26" s="1" t="s">
        <v>137</v>
      </c>
      <c r="X26" s="1" t="s">
        <v>138</v>
      </c>
      <c r="Y26" s="7"/>
      <c r="Z26" s="7"/>
      <c r="AA26" s="7"/>
      <c r="AB26" s="1" t="s">
        <v>139</v>
      </c>
      <c r="AC26" s="7"/>
      <c r="AD26" s="7"/>
      <c r="AE26" s="1" t="s">
        <v>66</v>
      </c>
      <c r="AF26" s="1"/>
      <c r="AG26" s="7"/>
    </row>
    <row r="27" ht="17" customHeight="1">
      <c r="A27" s="1" t="s">
        <v>140</v>
      </c>
      <c r="C27" s="9"/>
      <c r="D27" s="1" t="s">
        <v>141</v>
      </c>
      <c r="E27" s="5" t="str">
        <f t="shared" si="0"/>
        <v>Barks</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5" t="str">
        <f t="shared" si="1"/>
        <v>2014</v>
      </c>
      <c r="H27" s="5" t="str">
        <f t="shared" si="2"/>
        <v>Barks_etal_2014</v>
      </c>
      <c r="I27" s="5" t="str">
        <f t="shared" si="5"/>
        <v>10.1002%2Fajpa.22646</v>
      </c>
      <c r="J27" s="5" t="str">
        <f t="shared" si="3"/>
        <v>Barks_etal_2014_Fig4A</v>
      </c>
      <c r="K27" s="5" t="str">
        <f t="shared" si="4"/>
        <v>10.1002%2Fajpa.22646_Fig4A</v>
      </c>
      <c r="L27" s="5" t="str">
        <f t="array" ref="L27">IFERROR(INDEX(AUTO_Public_TSV_FileList!$A$1:$A$1000,MATCH(TRUE(),EXACT(K27,IFERROR(_xlfn.TEXTBEFORE(AUTO_Public_TSV_FileList!$A$1:$A$1000,".tsv"),"")),0)),"notfound")</f>
        <v>10.1002%2Fajpa.22646_Fig4A.tsv</v>
      </c>
      <c r="M27" s="1" t="s">
        <v>142</v>
      </c>
      <c r="N27" s="7"/>
      <c r="O27" s="1"/>
      <c r="P27" s="1" t="s">
        <v>36</v>
      </c>
      <c r="Q27" s="7"/>
      <c r="R27" s="7"/>
      <c r="S27" s="7"/>
      <c r="T27" s="7"/>
      <c r="U27" s="7"/>
      <c r="V27" s="7"/>
      <c r="W27" s="7"/>
      <c r="X27" s="7"/>
      <c r="Y27" s="7"/>
      <c r="Z27" s="7"/>
      <c r="AA27" s="7"/>
      <c r="AB27" s="7"/>
      <c r="AC27" s="1" t="s">
        <v>143</v>
      </c>
      <c r="AD27" s="7"/>
      <c r="AE27" s="7"/>
      <c r="AF27" s="7"/>
      <c r="AG27" s="7"/>
    </row>
    <row r="28" ht="17" customHeight="1">
      <c r="A28" s="1" t="s">
        <v>140</v>
      </c>
      <c r="C28" s="9"/>
      <c r="D28" s="1" t="s">
        <v>144</v>
      </c>
      <c r="E28" s="5" t="str">
        <f t="shared" si="0"/>
        <v>Barks</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5" t="str">
        <f t="shared" si="1"/>
        <v>2014</v>
      </c>
      <c r="H28" s="5" t="str">
        <f t="shared" si="2"/>
        <v>Barks_etal_2014</v>
      </c>
      <c r="I28" s="5" t="str">
        <f t="shared" si="5"/>
        <v>10.1002%2Fajpa.22646</v>
      </c>
      <c r="J28" s="5" t="str">
        <f t="shared" si="3"/>
        <v>Barks_etal_2014_Fig5A</v>
      </c>
      <c r="K28" s="5" t="str">
        <f t="shared" si="4"/>
        <v>10.1002%2Fajpa.22646_Fig5A</v>
      </c>
      <c r="L28" s="5" t="str">
        <f t="array" ref="L28">IFERROR(INDEX(AUTO_Public_TSV_FileList!$A$1:$A$1000,MATCH(TRUE(),EXACT(K28,IFERROR(_xlfn.TEXTBEFORE(AUTO_Public_TSV_FileList!$A$1:$A$1000,".tsv"),"")),0)),"notfound")</f>
        <v>10.1002%2Fajpa.22646_Fig5A.tsv</v>
      </c>
      <c r="M28" s="1" t="s">
        <v>145</v>
      </c>
      <c r="N28" s="7"/>
      <c r="O28" s="1"/>
      <c r="P28" s="1" t="s">
        <v>36</v>
      </c>
      <c r="Q28" s="7"/>
      <c r="R28" s="7"/>
      <c r="S28" s="7"/>
      <c r="T28" s="7"/>
      <c r="U28" s="7"/>
      <c r="V28" s="7"/>
      <c r="W28" s="7"/>
      <c r="X28" s="7"/>
      <c r="Y28" s="7"/>
      <c r="Z28" s="7"/>
      <c r="AA28" s="7"/>
      <c r="AB28" s="7"/>
      <c r="AC28" s="7"/>
      <c r="AD28" s="7"/>
      <c r="AE28" s="7"/>
      <c r="AF28" s="7"/>
      <c r="AG28" s="7"/>
    </row>
    <row r="29" ht="17" customHeight="1">
      <c r="A29" s="1" t="s">
        <v>140</v>
      </c>
      <c r="C29" s="9"/>
      <c r="D29" s="1" t="s">
        <v>58</v>
      </c>
      <c r="E29" s="5" t="str">
        <f t="shared" si="0"/>
        <v>Barks</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5" t="str">
        <f t="shared" si="1"/>
        <v>2014</v>
      </c>
      <c r="H29" s="5" t="str">
        <f t="shared" si="2"/>
        <v>Barks_etal_2014</v>
      </c>
      <c r="I29" s="5" t="str">
        <f t="shared" si="5"/>
        <v>10.1002%2Fajpa.22646</v>
      </c>
      <c r="J29" s="5" t="str">
        <f t="shared" si="3"/>
        <v>Barks_etal_2014_TABLE1</v>
      </c>
      <c r="K29" s="5" t="str">
        <f t="shared" si="4"/>
        <v>10.1002%2Fajpa.22646_TABLE1</v>
      </c>
      <c r="L29" s="5" t="str">
        <f t="array" ref="L29">IFERROR(INDEX(AUTO_Public_TSV_FileList!$A$1:$A$1000,MATCH(TRUE(),EXACT(K29,IFERROR(_xlfn.TEXTBEFORE(AUTO_Public_TSV_FileList!$A$1:$A$1000,".tsv"),"")),0)),"notfound")</f>
        <v>10.1002%2Fajpa.22646_TABLE1.tsv</v>
      </c>
      <c r="M29" s="1" t="s">
        <v>146</v>
      </c>
      <c r="N29" s="7"/>
      <c r="O29" s="7"/>
      <c r="P29" s="1" t="s">
        <v>36</v>
      </c>
      <c r="Q29" s="7"/>
      <c r="R29" s="7"/>
      <c r="S29" s="7"/>
      <c r="T29" s="7"/>
      <c r="U29" s="7"/>
      <c r="V29" s="7"/>
      <c r="W29" s="7"/>
      <c r="X29" s="7"/>
      <c r="Y29" s="7"/>
      <c r="Z29" s="7"/>
      <c r="AA29" s="7"/>
      <c r="AB29" s="7"/>
      <c r="AC29" s="1" t="s">
        <v>143</v>
      </c>
      <c r="AD29" s="7"/>
      <c r="AE29" s="7"/>
      <c r="AF29" s="7"/>
      <c r="AG29" s="7"/>
    </row>
    <row r="30" ht="17" customHeight="1">
      <c r="A30" s="1" t="s">
        <v>140</v>
      </c>
      <c r="C30" s="9"/>
      <c r="D30" s="1" t="s">
        <v>91</v>
      </c>
      <c r="E30" s="5" t="str">
        <f t="shared" si="0"/>
        <v>Barks</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5" t="str">
        <f t="shared" si="1"/>
        <v>2014</v>
      </c>
      <c r="H30" s="5" t="str">
        <f t="shared" si="2"/>
        <v>Barks_etal_2014</v>
      </c>
      <c r="I30" s="5" t="str">
        <f t="shared" si="5"/>
        <v>10.1002%2Fajpa.22646</v>
      </c>
      <c r="J30" s="5" t="str">
        <f t="shared" si="3"/>
        <v>Barks_etal_2014_TABLE2</v>
      </c>
      <c r="K30" s="5" t="str">
        <f t="shared" si="4"/>
        <v>10.1002%2Fajpa.22646_TABLE2</v>
      </c>
      <c r="L30" s="5" t="str">
        <f t="array" ref="L30">IFERROR(INDEX(AUTO_Public_TSV_FileList!$A$1:$A$1000,MATCH(TRUE(),EXACT(K30,IFERROR(_xlfn.TEXTBEFORE(AUTO_Public_TSV_FileList!$A$1:$A$1000,".tsv"),"")),0)),"notfound")</f>
        <v>10.1002%2Fajpa.22646_TABLE2.tsv</v>
      </c>
      <c r="M30" s="1" t="s">
        <v>147</v>
      </c>
      <c r="N30" s="7"/>
      <c r="O30" s="7"/>
      <c r="P30" s="1" t="s">
        <v>36</v>
      </c>
      <c r="Q30" s="7"/>
      <c r="R30" s="7"/>
      <c r="S30" s="7"/>
      <c r="T30" s="7"/>
      <c r="U30" s="7"/>
      <c r="V30" s="7"/>
      <c r="W30" s="7"/>
      <c r="X30" s="7"/>
      <c r="Y30" s="7"/>
      <c r="Z30" s="7"/>
      <c r="AA30" s="7"/>
      <c r="AB30" s="7"/>
      <c r="AC30" s="7"/>
      <c r="AD30" s="7"/>
      <c r="AE30" s="7"/>
      <c r="AF30" s="7"/>
      <c r="AG30" s="7"/>
    </row>
    <row r="31" ht="17" customHeight="1">
      <c r="A31" s="1" t="s">
        <v>140</v>
      </c>
      <c r="C31" s="9"/>
      <c r="D31" s="1" t="s">
        <v>148</v>
      </c>
      <c r="E31" s="5" t="str">
        <f t="shared" si="0"/>
        <v>Barks</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5" t="str">
        <f t="shared" si="1"/>
        <v>2014</v>
      </c>
      <c r="H31" s="5" t="str">
        <f t="shared" si="2"/>
        <v>Barks_etal_2014</v>
      </c>
      <c r="I31" s="5" t="str">
        <f t="shared" si="5"/>
        <v>10.1002%2Fajpa.22646</v>
      </c>
      <c r="J31" s="5" t="str">
        <f t="shared" si="3"/>
        <v>Barks_etal_2014_unpublishedviaDeCasien</v>
      </c>
      <c r="K31" s="5" t="str">
        <f t="shared" si="4"/>
        <v>10.1002%2Fajpa.22646_unpublishedviaDeCasien</v>
      </c>
      <c r="L31" s="5" t="str">
        <f t="array" ref="L31">IFERROR(INDEX(AUTO_Public_TSV_FileList!$A$1:$A$1000,MATCH(TRUE(),EXACT(K31,IFERROR(_xlfn.TEXTBEFORE(AUTO_Public_TSV_FileList!$A$1:$A$1000,".tsv"),"")),0)),"notfound")</f>
        <v>10.1002%2Fajpa.22646_unpublishedviaDeCasien.tsv</v>
      </c>
      <c r="M31" s="7"/>
      <c r="N31" s="7"/>
      <c r="O31" s="1" t="s">
        <v>149</v>
      </c>
      <c r="P31" s="1" t="s">
        <v>36</v>
      </c>
      <c r="Q31" s="7"/>
      <c r="R31" s="7"/>
      <c r="S31" s="7"/>
      <c r="T31" s="7"/>
      <c r="U31" s="7"/>
      <c r="V31" s="7"/>
      <c r="W31" s="7"/>
      <c r="X31" s="7"/>
      <c r="Y31" s="7"/>
      <c r="Z31" s="7"/>
      <c r="AA31" s="7"/>
      <c r="AB31" s="7"/>
      <c r="AC31" s="7"/>
      <c r="AD31" s="7"/>
      <c r="AE31" s="7"/>
      <c r="AF31" s="7"/>
      <c r="AG31" s="7"/>
    </row>
    <row r="32" ht="17" customHeight="1">
      <c r="A32" s="1" t="s">
        <v>150</v>
      </c>
      <c r="C32" s="1" t="s">
        <v>151</v>
      </c>
      <c r="D32" s="1" t="s">
        <v>68</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5" t="str">
        <f t="shared" si="1"/>
        <v>1988</v>
      </c>
      <c r="H32" s="5" t="str">
        <f t="shared" si="2"/>
        <v>Baron_etal_1988</v>
      </c>
      <c r="I32" s="5" t="str">
        <f t="shared" si="5"/>
        <v>PMID%3A3216099</v>
      </c>
      <c r="J32" s="5" t="str">
        <f t="shared" si="3"/>
        <v>Baron_etal_1988_Table1</v>
      </c>
      <c r="K32" s="5" t="str">
        <f t="shared" si="4"/>
        <v>PMID%3A3216099_Table1</v>
      </c>
      <c r="L32" s="5" t="str">
        <f t="array" ref="L32">IFERROR(INDEX(AUTO_Public_TSV_FileList!$A$1:$A$1000,MATCH(TRUE(),EXACT(K32,IFERROR(_xlfn.TEXTBEFORE(AUTO_Public_TSV_FileList!$A$1:$A$1000,".tsv"),"")),0)),"notfound")</f>
        <v>PMID%3A3216099_Table1.tsv</v>
      </c>
      <c r="M32" s="1" t="s">
        <v>152</v>
      </c>
      <c r="N32" s="7"/>
      <c r="O32" s="7"/>
      <c r="P32" s="1" t="s">
        <v>36</v>
      </c>
      <c r="Q32" s="7"/>
      <c r="R32" s="7"/>
      <c r="S32" s="7"/>
      <c r="T32" s="7"/>
      <c r="U32" s="7"/>
      <c r="V32" s="7"/>
      <c r="W32" s="1" t="s">
        <v>153</v>
      </c>
      <c r="X32" s="1" t="s">
        <v>154</v>
      </c>
      <c r="Y32" s="7"/>
      <c r="Z32" s="1" t="s">
        <v>120</v>
      </c>
      <c r="AA32" s="1"/>
      <c r="AB32" s="1" t="s">
        <v>127</v>
      </c>
      <c r="AC32" s="1" t="s">
        <v>155</v>
      </c>
      <c r="AD32" s="1" t="s">
        <v>155</v>
      </c>
      <c r="AE32" s="1" t="s">
        <v>66</v>
      </c>
      <c r="AF32" s="1"/>
      <c r="AG32" s="7"/>
    </row>
    <row r="33" ht="17" customHeight="1">
      <c r="A33" s="1" t="s">
        <v>156</v>
      </c>
      <c r="C33" s="1" t="s">
        <v>157</v>
      </c>
      <c r="D33" s="1" t="s">
        <v>68</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5" t="str">
        <f t="shared" si="1"/>
        <v>1983</v>
      </c>
      <c r="H33" s="5" t="str">
        <f t="shared" si="2"/>
        <v>Baron_etal_1983</v>
      </c>
      <c r="I33" s="5" t="str">
        <f t="shared" si="5"/>
        <v>PMID%3A6663055</v>
      </c>
      <c r="J33" s="5" t="str">
        <f t="shared" si="3"/>
        <v>Baron_etal_1983_Table1</v>
      </c>
      <c r="K33" s="5" t="str">
        <f t="shared" si="4"/>
        <v>PMID%3A6663055_Table1</v>
      </c>
      <c r="L33" s="5" t="str">
        <f t="array" ref="L33">IFERROR(INDEX(AUTO_Public_TSV_FileList!$A$1:$A$1000,MATCH(TRUE(),EXACT(K33,IFERROR(_xlfn.TEXTBEFORE(AUTO_Public_TSV_FileList!$A$1:$A$1000,".tsv"),"")),0)),"notfound")</f>
        <v>PMID%3A6663055_Table1.tsv</v>
      </c>
      <c r="M33" s="7"/>
      <c r="N33" s="1" t="s">
        <v>35</v>
      </c>
      <c r="O33" s="7"/>
      <c r="P33" s="1" t="s">
        <v>36</v>
      </c>
      <c r="Q33" s="7"/>
      <c r="R33" s="7"/>
      <c r="S33" s="7"/>
      <c r="T33" s="7"/>
      <c r="U33" s="7"/>
      <c r="V33" s="7"/>
      <c r="W33" s="1" t="s">
        <v>153</v>
      </c>
      <c r="X33" s="1" t="s">
        <v>158</v>
      </c>
      <c r="Y33" s="7"/>
      <c r="Z33" s="1" t="s">
        <v>120</v>
      </c>
      <c r="AA33" s="1"/>
      <c r="AB33" s="1" t="s">
        <v>127</v>
      </c>
      <c r="AC33" s="1" t="s">
        <v>155</v>
      </c>
      <c r="AD33" s="1" t="s">
        <v>155</v>
      </c>
      <c r="AE33" s="1" t="s">
        <v>66</v>
      </c>
      <c r="AF33" s="1"/>
      <c r="AG33" s="7"/>
    </row>
    <row r="34" ht="17" customHeight="1">
      <c r="A34" s="1" t="s">
        <v>159</v>
      </c>
      <c r="C34" s="1" t="s">
        <v>160</v>
      </c>
      <c r="D34" s="1" t="s">
        <v>68</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5" t="str">
        <f t="shared" si="1"/>
        <v>1987</v>
      </c>
      <c r="H34" s="5" t="str">
        <f t="shared" si="2"/>
        <v>Baron_etal_1987</v>
      </c>
      <c r="I34" s="5" t="str">
        <f t="shared" si="5"/>
        <v>PMID%3A3116076</v>
      </c>
      <c r="J34" s="5" t="str">
        <f t="shared" si="3"/>
        <v>Baron_etal_1987_Table1</v>
      </c>
      <c r="K34" s="5" t="str">
        <f t="shared" si="4"/>
        <v>PMID%3A3116076_Table1</v>
      </c>
      <c r="L34" s="5" t="str">
        <f t="array" ref="L34">IFERROR(INDEX(AUTO_Public_TSV_FileList!$A$1:$A$1000,MATCH(TRUE(),EXACT(K34,IFERROR(_xlfn.TEXTBEFORE(AUTO_Public_TSV_FileList!$A$1:$A$1000,".tsv"),"")),0)),"notfound")</f>
        <v>PMID%3A3116076_Table1.tsv</v>
      </c>
      <c r="M34" s="7"/>
      <c r="N34" s="1" t="s">
        <v>35</v>
      </c>
      <c r="O34" s="7"/>
      <c r="P34" s="1" t="s">
        <v>36</v>
      </c>
      <c r="Q34" s="7"/>
      <c r="R34" s="7"/>
      <c r="S34" s="7"/>
      <c r="T34" s="7"/>
      <c r="U34" s="7"/>
      <c r="V34" s="7"/>
      <c r="W34" s="1" t="s">
        <v>153</v>
      </c>
      <c r="X34" s="1" t="s">
        <v>161</v>
      </c>
      <c r="Y34" s="7"/>
      <c r="Z34" s="1" t="s">
        <v>120</v>
      </c>
      <c r="AA34" s="1"/>
      <c r="AB34" s="1" t="s">
        <v>127</v>
      </c>
      <c r="AC34" s="1" t="s">
        <v>155</v>
      </c>
      <c r="AD34" s="1" t="s">
        <v>155</v>
      </c>
      <c r="AE34" s="1" t="s">
        <v>66</v>
      </c>
      <c r="AF34" s="1"/>
      <c r="AG34" s="7"/>
    </row>
    <row r="35" ht="17" customHeight="1">
      <c r="A35" s="1" t="s">
        <v>162</v>
      </c>
      <c r="C35" s="1" t="s">
        <v>163</v>
      </c>
      <c r="D35" s="1" t="s">
        <v>68</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5" t="str">
        <f t="shared" si="1"/>
        <v>1990</v>
      </c>
      <c r="H35" s="5" t="str">
        <f t="shared" si="2"/>
        <v>Baron_etal_1990</v>
      </c>
      <c r="I35" s="5" t="str">
        <f t="shared" si="5"/>
        <v>PMID%3A2358663</v>
      </c>
      <c r="J35" s="5" t="str">
        <f t="shared" si="3"/>
        <v>Baron_etal_1990_Table1</v>
      </c>
      <c r="K35" s="5" t="str">
        <f t="shared" si="4"/>
        <v>PMID%3A2358663_Table1</v>
      </c>
      <c r="L35" s="5" t="str">
        <f t="array" ref="L35">IFERROR(INDEX(AUTO_Public_TSV_FileList!$A$1:$A$1000,MATCH(TRUE(),EXACT(K35,IFERROR(_xlfn.TEXTBEFORE(AUTO_Public_TSV_FileList!$A$1:$A$1000,".tsv"),"")),0)),"notfound")</f>
        <v>PMID%3A2358663_Table1.tsv</v>
      </c>
      <c r="M35" s="1" t="s">
        <v>164</v>
      </c>
      <c r="N35" s="1" t="s">
        <v>35</v>
      </c>
      <c r="O35" s="7"/>
      <c r="P35" s="1" t="s">
        <v>36</v>
      </c>
      <c r="Q35" s="7"/>
      <c r="R35" s="7"/>
      <c r="S35" s="7"/>
      <c r="T35" s="7"/>
      <c r="U35" s="7"/>
      <c r="V35" s="7"/>
      <c r="W35" s="1" t="s">
        <v>153</v>
      </c>
      <c r="X35" s="1" t="s">
        <v>165</v>
      </c>
      <c r="Y35" s="7"/>
      <c r="Z35" s="1" t="s">
        <v>120</v>
      </c>
      <c r="AA35" s="1" t="s">
        <v>166</v>
      </c>
      <c r="AB35" s="1" t="s">
        <v>127</v>
      </c>
      <c r="AC35" s="1" t="s">
        <v>155</v>
      </c>
      <c r="AD35" s="1" t="s">
        <v>155</v>
      </c>
      <c r="AE35" s="1" t="s">
        <v>66</v>
      </c>
      <c r="AF35" s="1"/>
      <c r="AG35" s="7"/>
    </row>
    <row r="36" ht="17" customHeight="1">
      <c r="A36" s="7" t="s">
        <v>167</v>
      </c>
      <c r="C36" s="1" t="s">
        <v>168</v>
      </c>
      <c r="D36" s="1" t="s">
        <v>169</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5" t="str">
        <f t="shared" si="1"/>
        <v>1996</v>
      </c>
      <c r="H36" s="5" t="str">
        <f t="shared" si="2"/>
        <v>Baron_etal_1996</v>
      </c>
      <c r="I36" s="5" t="str">
        <f t="shared" si="5"/>
        <v>ISBN%3A9783764353704</v>
      </c>
      <c r="J36" s="5" t="str">
        <f t="shared" si="3"/>
        <v>Baron_etal_1996_Table10</v>
      </c>
      <c r="K36" s="5" t="str">
        <f t="shared" si="4"/>
        <v>ISBN%3A9783764353704_Table10</v>
      </c>
      <c r="L36" s="5" t="str">
        <f t="array" ref="L36">IFERROR(INDEX(AUTO_Public_TSV_FileList!$A$1:$A$1000,MATCH(TRUE(),EXACT(K36,IFERROR(_xlfn.TEXTBEFORE(AUTO_Public_TSV_FileList!$A$1:$A$1000,".tsv"),"")),0)),"notfound")</f>
        <v>ISBN%3A9783764353704_Table10.tsv</v>
      </c>
      <c r="M36" s="7"/>
      <c r="N36" s="1"/>
      <c r="O36" s="7"/>
      <c r="P36" s="1" t="s">
        <v>36</v>
      </c>
      <c r="Q36" s="7"/>
      <c r="R36" s="7"/>
      <c r="S36" s="7"/>
      <c r="T36" s="7"/>
      <c r="U36" s="7"/>
      <c r="V36" s="7"/>
      <c r="W36" s="1"/>
      <c r="X36" s="7"/>
      <c r="Y36" s="7"/>
      <c r="Z36" s="1"/>
      <c r="AA36" s="1"/>
      <c r="AB36" s="1"/>
      <c r="AC36" s="1"/>
      <c r="AD36" s="1"/>
      <c r="AE36" s="1" t="s">
        <v>66</v>
      </c>
      <c r="AF36" s="1"/>
      <c r="AG36" s="7"/>
    </row>
    <row r="37" ht="17" customHeight="1">
      <c r="A37" s="7" t="s">
        <v>167</v>
      </c>
      <c r="C37" s="1" t="s">
        <v>168</v>
      </c>
      <c r="D37" s="6" t="s">
        <v>170</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5" t="str">
        <f t="shared" si="1"/>
        <v>1996</v>
      </c>
      <c r="H37" s="5" t="str">
        <f t="shared" si="2"/>
        <v>Baron_etal_1996</v>
      </c>
      <c r="I37" s="5" t="str">
        <f t="shared" si="5"/>
        <v>ISBN%3A9783764353704</v>
      </c>
      <c r="J37" s="5" t="str">
        <f t="shared" si="3"/>
        <v>Baron_etal_1996_Table13</v>
      </c>
      <c r="K37" s="5" t="str">
        <f t="shared" si="4"/>
        <v>ISBN%3A9783764353704_Table13</v>
      </c>
      <c r="L37" s="5" t="str">
        <f t="array" ref="L37">IFERROR(INDEX(AUTO_Public_TSV_FileList!$A$1:$A$1000,MATCH(TRUE(),EXACT(K37,IFERROR(_xlfn.TEXTBEFORE(AUTO_Public_TSV_FileList!$A$1:$A$1000,".tsv"),"")),0)),"notfound")</f>
        <v>ISBN%3A9783764353704_Table13.tsv</v>
      </c>
      <c r="M37" s="6" t="s">
        <v>171</v>
      </c>
      <c r="N37" s="1" t="s">
        <v>35</v>
      </c>
      <c r="O37" s="7"/>
      <c r="P37" s="6" t="s">
        <v>36</v>
      </c>
      <c r="Q37" s="6"/>
      <c r="R37" s="6"/>
      <c r="S37" s="6" t="s">
        <v>172</v>
      </c>
      <c r="T37" s="6" t="s">
        <v>173</v>
      </c>
      <c r="U37" s="6"/>
      <c r="V37" s="7"/>
      <c r="W37" s="6" t="s">
        <v>174</v>
      </c>
      <c r="X37" s="6" t="s">
        <v>175</v>
      </c>
      <c r="Y37" s="6" t="s">
        <v>175</v>
      </c>
      <c r="Z37" s="6" t="s">
        <v>120</v>
      </c>
      <c r="AA37" s="6"/>
      <c r="AB37" s="6" t="s">
        <v>127</v>
      </c>
      <c r="AC37" s="6" t="s">
        <v>155</v>
      </c>
      <c r="AD37" s="6" t="s">
        <v>155</v>
      </c>
      <c r="AE37" s="6" t="s">
        <v>66</v>
      </c>
      <c r="AF37" s="6"/>
      <c r="AG37" s="6" t="s">
        <v>176</v>
      </c>
    </row>
    <row r="38" ht="17" customHeight="1">
      <c r="A38" s="7" t="s">
        <v>167</v>
      </c>
      <c r="C38" s="1" t="s">
        <v>168</v>
      </c>
      <c r="D38" s="6" t="s">
        <v>177</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5" t="str">
        <f t="shared" si="1"/>
        <v>1996</v>
      </c>
      <c r="H38" s="5" t="str">
        <f t="shared" si="2"/>
        <v>Baron_etal_1996</v>
      </c>
      <c r="I38" s="5" t="str">
        <f t="shared" si="5"/>
        <v>ISBN%3A9783764353704</v>
      </c>
      <c r="J38" s="5" t="str">
        <f t="shared" si="3"/>
        <v>Baron_etal_1996_Table16</v>
      </c>
      <c r="K38" s="5" t="str">
        <f t="shared" si="4"/>
        <v>ISBN%3A9783764353704_Table16</v>
      </c>
      <c r="L38" s="5" t="str">
        <f t="array" ref="L38">IFERROR(INDEX(AUTO_Public_TSV_FileList!$A$1:$A$1000,MATCH(TRUE(),EXACT(K38,IFERROR(_xlfn.TEXTBEFORE(AUTO_Public_TSV_FileList!$A$1:$A$1000,".tsv"),"")),0)),"notfound")</f>
        <v>ISBN%3A9783764353704_Table16.tsv</v>
      </c>
      <c r="M38" s="6" t="s">
        <v>178</v>
      </c>
      <c r="N38" s="1" t="s">
        <v>35</v>
      </c>
      <c r="O38" s="7"/>
      <c r="P38" s="6" t="s">
        <v>36</v>
      </c>
      <c r="Q38" s="6"/>
      <c r="R38" s="6"/>
      <c r="S38" s="6" t="s">
        <v>172</v>
      </c>
      <c r="T38" s="6" t="s">
        <v>173</v>
      </c>
      <c r="U38" s="6"/>
      <c r="V38" s="7"/>
      <c r="W38" s="6" t="s">
        <v>174</v>
      </c>
      <c r="X38" s="6" t="s">
        <v>179</v>
      </c>
      <c r="Y38" s="6" t="s">
        <v>179</v>
      </c>
      <c r="Z38" s="6" t="s">
        <v>120</v>
      </c>
      <c r="AA38" s="6"/>
      <c r="AB38" s="6" t="s">
        <v>127</v>
      </c>
      <c r="AC38" s="6" t="s">
        <v>155</v>
      </c>
      <c r="AD38" s="6" t="s">
        <v>155</v>
      </c>
      <c r="AE38" s="6" t="s">
        <v>66</v>
      </c>
      <c r="AF38" s="6"/>
      <c r="AG38" s="6" t="s">
        <v>180</v>
      </c>
    </row>
    <row r="39" ht="17" customHeight="1">
      <c r="A39" s="7" t="s">
        <v>167</v>
      </c>
      <c r="C39" s="1" t="s">
        <v>168</v>
      </c>
      <c r="D39" s="6" t="s">
        <v>181</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5" t="str">
        <f t="shared" si="1"/>
        <v>1996</v>
      </c>
      <c r="H39" s="5" t="str">
        <f t="shared" si="2"/>
        <v>Baron_etal_1996</v>
      </c>
      <c r="I39" s="5" t="str">
        <f t="shared" si="5"/>
        <v>ISBN%3A9783764353704</v>
      </c>
      <c r="J39" s="5" t="str">
        <f t="shared" si="3"/>
        <v>Baron_etal_1996_Table19</v>
      </c>
      <c r="K39" s="5" t="str">
        <f t="shared" si="4"/>
        <v>ISBN%3A9783764353704_Table19</v>
      </c>
      <c r="L39" s="5" t="str">
        <f t="array" ref="L39">IFERROR(INDEX(AUTO_Public_TSV_FileList!$A$1:$A$1000,MATCH(TRUE(),EXACT(K39,IFERROR(_xlfn.TEXTBEFORE(AUTO_Public_TSV_FileList!$A$1:$A$1000,".tsv"),"")),0)),"notfound")</f>
        <v>ISBN%3A9783764353704_Table19.tsv</v>
      </c>
      <c r="M39" s="6" t="s">
        <v>182</v>
      </c>
      <c r="N39" s="1" t="s">
        <v>35</v>
      </c>
      <c r="O39" s="7"/>
      <c r="P39" s="6" t="s">
        <v>36</v>
      </c>
      <c r="Q39" s="6"/>
      <c r="R39" s="6"/>
      <c r="S39" s="6" t="s">
        <v>172</v>
      </c>
      <c r="T39" s="6" t="s">
        <v>173</v>
      </c>
      <c r="U39" s="6"/>
      <c r="V39" s="7"/>
      <c r="W39" s="6" t="s">
        <v>174</v>
      </c>
      <c r="X39" s="6" t="s">
        <v>183</v>
      </c>
      <c r="Y39" s="6" t="s">
        <v>183</v>
      </c>
      <c r="Z39" s="6" t="s">
        <v>120</v>
      </c>
      <c r="AA39" s="6"/>
      <c r="AB39" s="6" t="s">
        <v>127</v>
      </c>
      <c r="AC39" s="6" t="s">
        <v>155</v>
      </c>
      <c r="AD39" s="6" t="s">
        <v>155</v>
      </c>
      <c r="AE39" s="6" t="s">
        <v>66</v>
      </c>
      <c r="AF39" s="6"/>
      <c r="AG39" s="6" t="s">
        <v>184</v>
      </c>
    </row>
    <row r="40" ht="17" customHeight="1">
      <c r="A40" s="7" t="s">
        <v>167</v>
      </c>
      <c r="C40" s="1" t="s">
        <v>168</v>
      </c>
      <c r="D40" s="6" t="s">
        <v>108</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5" t="str">
        <f t="shared" si="1"/>
        <v>1996</v>
      </c>
      <c r="H40" s="5" t="str">
        <f t="shared" si="2"/>
        <v>Baron_etal_1996</v>
      </c>
      <c r="I40" s="5" t="str">
        <f t="shared" si="5"/>
        <v>ISBN%3A9783764353704</v>
      </c>
      <c r="J40" s="5" t="str">
        <f t="shared" si="3"/>
        <v>Baron_etal_1996_Table2</v>
      </c>
      <c r="K40" s="5" t="str">
        <f t="shared" ref="K40:K71" si="6">I40 &amp; "_" &amp; SUBSTITUTE(SUBSTITUTE(SUBSTITUTE(D40,CHAR(160),"")," ",""),"_","")</f>
        <v>ISBN%3A9783764353704_Table2</v>
      </c>
      <c r="L40" s="5" t="str">
        <f t="array" ref="L40">IFERROR(INDEX(AUTO_Public_TSV_FileList!$A$1:$A$1000,MATCH(TRUE(),EXACT(K40,IFERROR(_xlfn.TEXTBEFORE(AUTO_Public_TSV_FileList!$A$1:$A$1000,".tsv"),"")),0)),"notfound")</f>
        <v>ISBN%3A9783764353704_Table2.tsv</v>
      </c>
      <c r="M40" s="6" t="s">
        <v>185</v>
      </c>
      <c r="N40" s="1" t="s">
        <v>35</v>
      </c>
      <c r="O40" s="7"/>
      <c r="P40" s="6" t="s">
        <v>36</v>
      </c>
      <c r="Q40" s="6"/>
      <c r="R40" s="6"/>
      <c r="S40" s="6" t="s">
        <v>172</v>
      </c>
      <c r="T40" s="6" t="s">
        <v>173</v>
      </c>
      <c r="U40" s="6"/>
      <c r="V40" s="7"/>
      <c r="W40" s="6" t="s">
        <v>174</v>
      </c>
      <c r="X40" s="6" t="s">
        <v>186</v>
      </c>
      <c r="Y40" s="6" t="s">
        <v>186</v>
      </c>
      <c r="Z40" s="6" t="s">
        <v>120</v>
      </c>
      <c r="AA40" s="6"/>
      <c r="AB40" s="6" t="s">
        <v>187</v>
      </c>
      <c r="AC40" s="6" t="s">
        <v>155</v>
      </c>
      <c r="AD40" s="6" t="s">
        <v>155</v>
      </c>
      <c r="AE40" s="6" t="s">
        <v>66</v>
      </c>
      <c r="AF40" s="6"/>
      <c r="AG40" s="6" t="s">
        <v>188</v>
      </c>
    </row>
    <row r="41" ht="17" customHeight="1">
      <c r="A41" s="7" t="s">
        <v>167</v>
      </c>
      <c r="C41" s="1" t="s">
        <v>168</v>
      </c>
      <c r="D41" s="6" t="s">
        <v>189</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5" t="str">
        <f t="shared" si="1"/>
        <v>1996</v>
      </c>
      <c r="H41" s="5" t="str">
        <f t="shared" si="2"/>
        <v>Baron_etal_1996</v>
      </c>
      <c r="I41" s="5" t="str">
        <f t="shared" si="5"/>
        <v>ISBN%3A9783764353704</v>
      </c>
      <c r="J41" s="5" t="str">
        <f t="shared" si="3"/>
        <v>Baron_etal_1996_Table22</v>
      </c>
      <c r="K41" s="5" t="str">
        <f t="shared" si="6"/>
        <v>ISBN%3A9783764353704_Table22</v>
      </c>
      <c r="L41" s="5" t="str">
        <f t="array" ref="L41">IFERROR(INDEX(AUTO_Public_TSV_FileList!$A$1:$A$1000,MATCH(TRUE(),EXACT(K41,IFERROR(_xlfn.TEXTBEFORE(AUTO_Public_TSV_FileList!$A$1:$A$1000,".tsv"),"")),0)),"notfound")</f>
        <v>ISBN%3A9783764353704_Table22.tsv</v>
      </c>
      <c r="M41" s="6" t="s">
        <v>190</v>
      </c>
      <c r="N41" s="1" t="s">
        <v>35</v>
      </c>
      <c r="O41" s="7"/>
      <c r="P41" s="6" t="s">
        <v>36</v>
      </c>
      <c r="Q41" s="6"/>
      <c r="R41" s="6"/>
      <c r="S41" s="6" t="s">
        <v>172</v>
      </c>
      <c r="T41" s="6" t="s">
        <v>173</v>
      </c>
      <c r="U41" s="6"/>
      <c r="V41" s="7"/>
      <c r="W41" s="6" t="s">
        <v>174</v>
      </c>
      <c r="X41" s="6" t="s">
        <v>191</v>
      </c>
      <c r="Y41" s="6" t="s">
        <v>191</v>
      </c>
      <c r="Z41" s="6" t="s">
        <v>120</v>
      </c>
      <c r="AA41" s="6"/>
      <c r="AB41" s="6" t="s">
        <v>127</v>
      </c>
      <c r="AC41" s="6" t="s">
        <v>155</v>
      </c>
      <c r="AD41" s="6" t="s">
        <v>155</v>
      </c>
      <c r="AE41" s="6" t="s">
        <v>66</v>
      </c>
      <c r="AF41" s="6"/>
      <c r="AG41" s="6" t="s">
        <v>192</v>
      </c>
    </row>
    <row r="42" ht="17" customHeight="1">
      <c r="A42" s="7" t="s">
        <v>167</v>
      </c>
      <c r="C42" s="1" t="s">
        <v>168</v>
      </c>
      <c r="D42" s="6" t="s">
        <v>193</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5" t="str">
        <f t="shared" si="1"/>
        <v>1996</v>
      </c>
      <c r="H42" s="5" t="str">
        <f t="shared" si="2"/>
        <v>Baron_etal_1996</v>
      </c>
      <c r="I42" s="5" t="str">
        <f t="shared" si="5"/>
        <v>ISBN%3A9783764353704</v>
      </c>
      <c r="J42" s="5" t="str">
        <f t="shared" si="3"/>
        <v>Baron_etal_1996_Table25</v>
      </c>
      <c r="K42" s="5" t="str">
        <f t="shared" si="6"/>
        <v>ISBN%3A9783764353704_Table25</v>
      </c>
      <c r="L42" s="5" t="str">
        <f t="array" ref="L42">IFERROR(INDEX(AUTO_Public_TSV_FileList!$A$1:$A$1000,MATCH(TRUE(),EXACT(K42,IFERROR(_xlfn.TEXTBEFORE(AUTO_Public_TSV_FileList!$A$1:$A$1000,".tsv"),"")),0)),"notfound")</f>
        <v>ISBN%3A9783764353704_Table25.tsv</v>
      </c>
      <c r="M42" s="6" t="s">
        <v>194</v>
      </c>
      <c r="N42" s="1" t="s">
        <v>35</v>
      </c>
      <c r="O42" s="7"/>
      <c r="P42" s="6" t="s">
        <v>36</v>
      </c>
      <c r="Q42" s="6"/>
      <c r="R42" s="6"/>
      <c r="S42" s="6" t="s">
        <v>172</v>
      </c>
      <c r="T42" s="6" t="s">
        <v>173</v>
      </c>
      <c r="U42" s="6"/>
      <c r="V42" s="7"/>
      <c r="W42" s="6" t="s">
        <v>174</v>
      </c>
      <c r="X42" s="6" t="s">
        <v>195</v>
      </c>
      <c r="Y42" s="6" t="s">
        <v>195</v>
      </c>
      <c r="Z42" s="6" t="s">
        <v>120</v>
      </c>
      <c r="AA42" s="6"/>
      <c r="AB42" s="6" t="s">
        <v>127</v>
      </c>
      <c r="AC42" s="6" t="s">
        <v>155</v>
      </c>
      <c r="AD42" s="6" t="s">
        <v>155</v>
      </c>
      <c r="AE42" s="6" t="s">
        <v>66</v>
      </c>
      <c r="AF42" s="6"/>
      <c r="AG42" s="6" t="s">
        <v>196</v>
      </c>
    </row>
    <row r="43" ht="17" customHeight="1">
      <c r="A43" s="7" t="s">
        <v>167</v>
      </c>
      <c r="C43" s="1" t="s">
        <v>168</v>
      </c>
      <c r="D43" s="6" t="s">
        <v>197</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5" t="str">
        <f t="shared" si="1"/>
        <v>1996</v>
      </c>
      <c r="H43" s="5" t="str">
        <f t="shared" si="2"/>
        <v>Baron_etal_1996</v>
      </c>
      <c r="I43" s="5" t="str">
        <f t="shared" si="5"/>
        <v>ISBN%3A9783764353704</v>
      </c>
      <c r="J43" s="5" t="str">
        <f t="shared" si="3"/>
        <v>Baron_etal_1996_Table28</v>
      </c>
      <c r="K43" s="5" t="str">
        <f t="shared" si="6"/>
        <v>ISBN%3A9783764353704_Table28</v>
      </c>
      <c r="L43" s="5" t="str">
        <f t="array" ref="L43">IFERROR(INDEX(AUTO_Public_TSV_FileList!$A$1:$A$1000,MATCH(TRUE(),EXACT(K43,IFERROR(_xlfn.TEXTBEFORE(AUTO_Public_TSV_FileList!$A$1:$A$1000,".tsv"),"")),0)),"notfound")</f>
        <v>ISBN%3A9783764353704_Table28.tsv</v>
      </c>
      <c r="M43" s="6" t="s">
        <v>198</v>
      </c>
      <c r="N43" s="1" t="s">
        <v>35</v>
      </c>
      <c r="O43" s="7"/>
      <c r="P43" s="6" t="s">
        <v>36</v>
      </c>
      <c r="Q43" s="6"/>
      <c r="R43" s="6"/>
      <c r="S43" s="6" t="s">
        <v>172</v>
      </c>
      <c r="T43" s="6" t="s">
        <v>173</v>
      </c>
      <c r="U43" s="6"/>
      <c r="V43" s="7"/>
      <c r="W43" s="6" t="s">
        <v>174</v>
      </c>
      <c r="X43" s="6" t="s">
        <v>199</v>
      </c>
      <c r="Y43" s="6" t="s">
        <v>199</v>
      </c>
      <c r="Z43" s="6" t="s">
        <v>120</v>
      </c>
      <c r="AA43" s="6"/>
      <c r="AB43" s="6" t="s">
        <v>127</v>
      </c>
      <c r="AC43" s="6" t="s">
        <v>155</v>
      </c>
      <c r="AD43" s="6" t="s">
        <v>155</v>
      </c>
      <c r="AE43" s="6" t="s">
        <v>66</v>
      </c>
      <c r="AF43" s="6"/>
      <c r="AG43" s="6" t="s">
        <v>200</v>
      </c>
    </row>
    <row r="44" ht="17" customHeight="1">
      <c r="A44" s="7" t="s">
        <v>167</v>
      </c>
      <c r="C44" s="1" t="s">
        <v>168</v>
      </c>
      <c r="D44" s="6" t="s">
        <v>201</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5" t="str">
        <f t="shared" si="1"/>
        <v>1996</v>
      </c>
      <c r="H44" s="5" t="str">
        <f t="shared" si="2"/>
        <v>Baron_etal_1996</v>
      </c>
      <c r="I44" s="5" t="str">
        <f t="shared" si="5"/>
        <v>ISBN%3A9783764353704</v>
      </c>
      <c r="J44" s="5" t="str">
        <f t="shared" si="3"/>
        <v>Baron_etal_1996_Table30</v>
      </c>
      <c r="K44" s="5" t="str">
        <f t="shared" si="6"/>
        <v>ISBN%3A9783764353704_Table30</v>
      </c>
      <c r="L44" s="5" t="str">
        <f t="array" ref="L44">IFERROR(INDEX(AUTO_Public_TSV_FileList!$A$1:$A$1000,MATCH(TRUE(),EXACT(K44,IFERROR(_xlfn.TEXTBEFORE(AUTO_Public_TSV_FileList!$A$1:$A$1000,".tsv"),"")),0)),"notfound")</f>
        <v>ISBN%3A9783764353704_Table30.tsv</v>
      </c>
      <c r="M44" s="6" t="s">
        <v>202</v>
      </c>
      <c r="N44" s="1" t="s">
        <v>35</v>
      </c>
      <c r="O44" s="7"/>
      <c r="P44" s="6" t="s">
        <v>36</v>
      </c>
      <c r="Q44" s="6"/>
      <c r="R44" s="6"/>
      <c r="S44" s="6" t="s">
        <v>172</v>
      </c>
      <c r="T44" s="6" t="s">
        <v>173</v>
      </c>
      <c r="U44" s="6"/>
      <c r="V44" s="7"/>
      <c r="W44" s="6" t="s">
        <v>174</v>
      </c>
      <c r="X44" s="6" t="s">
        <v>203</v>
      </c>
      <c r="Y44" s="6" t="s">
        <v>203</v>
      </c>
      <c r="Z44" s="6" t="s">
        <v>120</v>
      </c>
      <c r="AA44" s="6"/>
      <c r="AB44" s="6" t="s">
        <v>127</v>
      </c>
      <c r="AC44" s="6" t="s">
        <v>155</v>
      </c>
      <c r="AD44" s="6" t="s">
        <v>155</v>
      </c>
      <c r="AE44" s="6" t="s">
        <v>66</v>
      </c>
      <c r="AF44" s="6"/>
      <c r="AG44" s="6" t="s">
        <v>204</v>
      </c>
    </row>
    <row r="45" ht="17" customHeight="1">
      <c r="A45" s="7" t="s">
        <v>167</v>
      </c>
      <c r="C45" s="1" t="s">
        <v>168</v>
      </c>
      <c r="D45" s="1" t="s">
        <v>205</v>
      </c>
      <c r="E45" s="5" t="str">
        <f t="shared" si="0"/>
        <v>Baron</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5" t="str">
        <f t="shared" si="1"/>
        <v>1996</v>
      </c>
      <c r="H45" s="5" t="str">
        <f t="shared" si="2"/>
        <v>Baron_etal_1996</v>
      </c>
      <c r="I45" s="5" t="str">
        <f t="shared" si="5"/>
        <v>ISBN%3A9783764353704</v>
      </c>
      <c r="J45" s="5" t="str">
        <f t="shared" si="3"/>
        <v>Baron_etal_1996_Table32</v>
      </c>
      <c r="K45" s="5" t="str">
        <f t="shared" si="6"/>
        <v>ISBN%3A9783764353704_Table32</v>
      </c>
      <c r="L45" s="5" t="str">
        <f t="array" ref="L45">IFERROR(INDEX(AUTO_Public_TSV_FileList!$A$1:$A$1000,MATCH(TRUE(),EXACT(K45,IFERROR(_xlfn.TEXTBEFORE(AUTO_Public_TSV_FileList!$A$1:$A$1000,".tsv"),"")),0)),"notfound")</f>
        <v>ISBN%3A9783764353704_Table32.tsv</v>
      </c>
      <c r="M45" s="7"/>
      <c r="N45" s="1"/>
      <c r="O45" s="7"/>
      <c r="P45" s="1" t="s">
        <v>36</v>
      </c>
      <c r="Q45" s="1"/>
      <c r="R45" s="1"/>
      <c r="S45" s="1"/>
      <c r="T45" s="1"/>
      <c r="U45" s="1"/>
      <c r="V45" s="7"/>
      <c r="W45" s="1"/>
      <c r="X45" s="7"/>
      <c r="Y45" s="1"/>
      <c r="Z45" s="1"/>
      <c r="AA45" s="1"/>
      <c r="AB45" s="1"/>
      <c r="AC45" s="1"/>
      <c r="AD45" s="1"/>
      <c r="AE45" s="1" t="s">
        <v>66</v>
      </c>
      <c r="AF45" s="1"/>
      <c r="AG45" s="7"/>
    </row>
    <row r="46" ht="17" customHeight="1">
      <c r="A46" s="7" t="s">
        <v>167</v>
      </c>
      <c r="C46" s="1" t="s">
        <v>168</v>
      </c>
      <c r="D46" s="6" t="s">
        <v>206</v>
      </c>
      <c r="E46" s="5" t="str">
        <f t="shared" si="0"/>
        <v>Baron</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5" t="str">
        <f t="shared" si="1"/>
        <v>1996</v>
      </c>
      <c r="H46" s="5" t="str">
        <f t="shared" si="2"/>
        <v>Baron_etal_1996</v>
      </c>
      <c r="I46" s="5" t="str">
        <f t="shared" si="5"/>
        <v>ISBN%3A9783764353704</v>
      </c>
      <c r="J46" s="5" t="str">
        <f t="shared" si="3"/>
        <v>Baron_etal_1996_Table35</v>
      </c>
      <c r="K46" s="5" t="str">
        <f t="shared" si="6"/>
        <v>ISBN%3A9783764353704_Table35</v>
      </c>
      <c r="L46" s="5" t="str">
        <f t="array" ref="L46">IFERROR(INDEX(AUTO_Public_TSV_FileList!$A$1:$A$1000,MATCH(TRUE(),EXACT(K46,IFERROR(_xlfn.TEXTBEFORE(AUTO_Public_TSV_FileList!$A$1:$A$1000,".tsv"),"")),0)),"notfound")</f>
        <v>ISBN%3A9783764353704_Table35.tsv</v>
      </c>
      <c r="M46" s="6" t="s">
        <v>207</v>
      </c>
      <c r="N46" s="1" t="s">
        <v>35</v>
      </c>
      <c r="O46" s="7"/>
      <c r="P46" s="6" t="s">
        <v>36</v>
      </c>
      <c r="Q46" s="6"/>
      <c r="R46" s="6"/>
      <c r="S46" s="6" t="s">
        <v>172</v>
      </c>
      <c r="T46" s="6" t="s">
        <v>173</v>
      </c>
      <c r="U46" s="6"/>
      <c r="V46" s="7"/>
      <c r="W46" s="6" t="s">
        <v>174</v>
      </c>
      <c r="X46" s="6" t="s">
        <v>208</v>
      </c>
      <c r="Y46" s="6" t="s">
        <v>208</v>
      </c>
      <c r="Z46" s="6" t="s">
        <v>120</v>
      </c>
      <c r="AA46" s="6"/>
      <c r="AB46" s="6" t="s">
        <v>127</v>
      </c>
      <c r="AC46" s="6" t="s">
        <v>155</v>
      </c>
      <c r="AD46" s="6" t="s">
        <v>155</v>
      </c>
      <c r="AE46" s="6" t="s">
        <v>66</v>
      </c>
      <c r="AF46" s="6"/>
      <c r="AG46" s="6" t="s">
        <v>209</v>
      </c>
    </row>
    <row r="47" ht="17" customHeight="1">
      <c r="A47" s="7" t="s">
        <v>167</v>
      </c>
      <c r="C47" s="1" t="s">
        <v>168</v>
      </c>
      <c r="D47" s="6" t="s">
        <v>210</v>
      </c>
      <c r="E47" s="5" t="str">
        <f t="shared" si="0"/>
        <v>Baron</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5" t="str">
        <f t="shared" si="1"/>
        <v>1996</v>
      </c>
      <c r="H47" s="5" t="str">
        <f t="shared" si="2"/>
        <v>Baron_etal_1996</v>
      </c>
      <c r="I47" s="5" t="str">
        <f t="shared" si="5"/>
        <v>ISBN%3A9783764353704</v>
      </c>
      <c r="J47" s="5" t="str">
        <f t="shared" si="3"/>
        <v>Baron_etal_1996_Table36</v>
      </c>
      <c r="K47" s="5" t="str">
        <f t="shared" si="6"/>
        <v>ISBN%3A9783764353704_Table36</v>
      </c>
      <c r="L47" s="5" t="str">
        <f t="array" ref="L47">IFERROR(INDEX(AUTO_Public_TSV_FileList!$A$1:$A$1000,MATCH(TRUE(),EXACT(K47,IFERROR(_xlfn.TEXTBEFORE(AUTO_Public_TSV_FileList!$A$1:$A$1000,".tsv"),"")),0)),"notfound")</f>
        <v>ISBN%3A9783764353704_Table36.tsv</v>
      </c>
      <c r="M47" s="6" t="s">
        <v>211</v>
      </c>
      <c r="N47" s="1" t="s">
        <v>35</v>
      </c>
      <c r="O47" s="7"/>
      <c r="P47" s="6" t="s">
        <v>36</v>
      </c>
      <c r="Q47" s="6"/>
      <c r="R47" s="6"/>
      <c r="S47" s="6" t="s">
        <v>172</v>
      </c>
      <c r="T47" s="6" t="s">
        <v>212</v>
      </c>
      <c r="U47" s="6"/>
      <c r="V47" s="7"/>
      <c r="W47" s="6" t="s">
        <v>174</v>
      </c>
      <c r="X47" s="6" t="s">
        <v>213</v>
      </c>
      <c r="Y47" s="6" t="s">
        <v>213</v>
      </c>
      <c r="Z47" s="6" t="s">
        <v>120</v>
      </c>
      <c r="AA47" s="7"/>
      <c r="AB47" s="6" t="s">
        <v>214</v>
      </c>
      <c r="AC47" s="7"/>
      <c r="AD47" s="6"/>
      <c r="AE47" s="6" t="s">
        <v>215</v>
      </c>
      <c r="AF47" s="6" t="s">
        <v>216</v>
      </c>
      <c r="AG47" s="6" t="s">
        <v>217</v>
      </c>
    </row>
    <row r="48" ht="17" customHeight="1">
      <c r="A48" s="7" t="s">
        <v>167</v>
      </c>
      <c r="C48" s="1" t="s">
        <v>168</v>
      </c>
      <c r="D48" s="6" t="s">
        <v>218</v>
      </c>
      <c r="E48" s="5" t="str">
        <f t="shared" si="0"/>
        <v>Baron</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5" t="str">
        <f t="shared" si="1"/>
        <v>1996</v>
      </c>
      <c r="H48" s="5" t="str">
        <f t="shared" si="2"/>
        <v>Baron_etal_1996</v>
      </c>
      <c r="I48" s="5" t="str">
        <f t="shared" si="5"/>
        <v>ISBN%3A9783764353704</v>
      </c>
      <c r="J48" s="5" t="str">
        <f t="shared" si="3"/>
        <v>Baron_etal_1996_Table39</v>
      </c>
      <c r="K48" s="5" t="str">
        <f t="shared" si="6"/>
        <v>ISBN%3A9783764353704_Table39</v>
      </c>
      <c r="L48" s="5" t="str">
        <f t="array" ref="L48">IFERROR(INDEX(AUTO_Public_TSV_FileList!$A$1:$A$1000,MATCH(TRUE(),EXACT(K48,IFERROR(_xlfn.TEXTBEFORE(AUTO_Public_TSV_FileList!$A$1:$A$1000,".tsv"),"")),0)),"notfound")</f>
        <v>ISBN%3A9783764353704_Table39.tsv</v>
      </c>
      <c r="M48" s="6" t="s">
        <v>219</v>
      </c>
      <c r="N48" s="1" t="s">
        <v>35</v>
      </c>
      <c r="O48" s="7"/>
      <c r="P48" s="6" t="s">
        <v>36</v>
      </c>
      <c r="Q48" s="6"/>
      <c r="R48" s="6"/>
      <c r="S48" s="6" t="s">
        <v>172</v>
      </c>
      <c r="T48" s="6" t="s">
        <v>212</v>
      </c>
      <c r="U48" s="6"/>
      <c r="V48" s="7"/>
      <c r="W48" s="6" t="s">
        <v>174</v>
      </c>
      <c r="X48" s="6" t="s">
        <v>213</v>
      </c>
      <c r="Y48" s="6"/>
      <c r="Z48" s="6" t="s">
        <v>120</v>
      </c>
      <c r="AA48" s="6" t="s">
        <v>220</v>
      </c>
      <c r="AB48" s="6" t="s">
        <v>214</v>
      </c>
      <c r="AC48" s="6"/>
      <c r="AD48" s="6"/>
      <c r="AE48" s="6" t="s">
        <v>215</v>
      </c>
      <c r="AF48" s="6"/>
      <c r="AG48" s="7"/>
    </row>
    <row r="49" ht="17" customHeight="1">
      <c r="A49" s="7" t="s">
        <v>167</v>
      </c>
      <c r="C49" s="1" t="s">
        <v>168</v>
      </c>
      <c r="D49" s="6" t="s">
        <v>221</v>
      </c>
      <c r="E49" s="5" t="str">
        <f t="shared" si="0"/>
        <v>Baron</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5" t="str">
        <f t="shared" si="1"/>
        <v>1996</v>
      </c>
      <c r="H49" s="5" t="str">
        <f t="shared" si="2"/>
        <v>Baron_etal_1996</v>
      </c>
      <c r="I49" s="5" t="str">
        <f t="shared" si="5"/>
        <v>ISBN%3A9783764353704</v>
      </c>
      <c r="J49" s="5" t="str">
        <f t="shared" si="3"/>
        <v>Baron_etal_1996_Table42</v>
      </c>
      <c r="K49" s="5" t="str">
        <f t="shared" si="6"/>
        <v>ISBN%3A9783764353704_Table42</v>
      </c>
      <c r="L49" s="5" t="str">
        <f t="array" ref="L49">IFERROR(INDEX(AUTO_Public_TSV_FileList!$A$1:$A$1000,MATCH(TRUE(),EXACT(K49,IFERROR(_xlfn.TEXTBEFORE(AUTO_Public_TSV_FileList!$A$1:$A$1000,".tsv"),"")),0)),"notfound")</f>
        <v>ISBN%3A9783764353704_Table42.tsv</v>
      </c>
      <c r="M49" s="6" t="s">
        <v>222</v>
      </c>
      <c r="N49" s="1" t="s">
        <v>35</v>
      </c>
      <c r="O49" s="6" t="s">
        <v>223</v>
      </c>
      <c r="P49" s="6" t="s">
        <v>36</v>
      </c>
      <c r="Q49" s="6"/>
      <c r="R49" s="6"/>
      <c r="S49" s="6" t="s">
        <v>172</v>
      </c>
      <c r="T49" s="6" t="s">
        <v>212</v>
      </c>
      <c r="U49" s="6"/>
      <c r="V49" s="7"/>
      <c r="W49" s="6" t="s">
        <v>174</v>
      </c>
      <c r="X49" s="6" t="s">
        <v>224</v>
      </c>
      <c r="Y49" s="6"/>
      <c r="Z49" s="6" t="s">
        <v>120</v>
      </c>
      <c r="AA49" s="6" t="s">
        <v>220</v>
      </c>
      <c r="AB49" s="6" t="s">
        <v>214</v>
      </c>
      <c r="AC49" s="6"/>
      <c r="AD49" s="6"/>
      <c r="AE49" s="6" t="s">
        <v>215</v>
      </c>
      <c r="AF49" s="6"/>
      <c r="AG49" s="7"/>
    </row>
    <row r="50" ht="17" customHeight="1">
      <c r="A50" s="7" t="s">
        <v>167</v>
      </c>
      <c r="C50" s="10" t="s">
        <v>168</v>
      </c>
      <c r="D50" s="6" t="s">
        <v>225</v>
      </c>
      <c r="E50" s="5" t="str">
        <f t="shared" si="0"/>
        <v>Baron</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5" t="str">
        <f t="shared" si="1"/>
        <v>1996</v>
      </c>
      <c r="H50" s="5" t="str">
        <f t="shared" si="2"/>
        <v>Baron_etal_1996</v>
      </c>
      <c r="I50" s="5" t="str">
        <f t="shared" si="5"/>
        <v>ISBN%3A9783764353704</v>
      </c>
      <c r="J50" s="5" t="str">
        <f t="shared" si="3"/>
        <v>Baron_etal_1996_Table45</v>
      </c>
      <c r="K50" s="5" t="str">
        <f t="shared" si="6"/>
        <v>ISBN%3A9783764353704_Table45</v>
      </c>
      <c r="L50" s="5" t="str">
        <f t="array" ref="L50">IFERROR(INDEX(AUTO_Public_TSV_FileList!$A$1:$A$1000,MATCH(TRUE(),EXACT(K50,IFERROR(_xlfn.TEXTBEFORE(AUTO_Public_TSV_FileList!$A$1:$A$1000,".tsv"),"")),0)),"notfound")</f>
        <v>ISBN%3A9783764353704_Table45.tsv</v>
      </c>
      <c r="M50" s="6" t="s">
        <v>226</v>
      </c>
      <c r="N50" s="1" t="s">
        <v>35</v>
      </c>
      <c r="O50" s="6" t="s">
        <v>227</v>
      </c>
      <c r="P50" s="6" t="s">
        <v>36</v>
      </c>
      <c r="Q50" s="6"/>
      <c r="R50" s="6"/>
      <c r="S50" s="6" t="s">
        <v>172</v>
      </c>
      <c r="T50" s="6" t="s">
        <v>212</v>
      </c>
      <c r="U50" s="6"/>
      <c r="V50" s="7"/>
      <c r="W50" s="6" t="s">
        <v>174</v>
      </c>
      <c r="X50" s="6" t="s">
        <v>228</v>
      </c>
      <c r="Y50" s="6"/>
      <c r="Z50" s="6" t="s">
        <v>120</v>
      </c>
      <c r="AA50" s="6" t="s">
        <v>220</v>
      </c>
      <c r="AB50" s="6" t="s">
        <v>214</v>
      </c>
      <c r="AC50" s="6"/>
      <c r="AD50" s="6"/>
      <c r="AE50" s="6" t="s">
        <v>215</v>
      </c>
      <c r="AF50" s="6"/>
      <c r="AG50" s="7"/>
    </row>
    <row r="51" ht="17" customHeight="1">
      <c r="A51" s="7" t="s">
        <v>167</v>
      </c>
      <c r="C51" s="10" t="s">
        <v>168</v>
      </c>
      <c r="D51" s="6" t="s">
        <v>229</v>
      </c>
      <c r="E51" s="5" t="str">
        <f t="shared" si="0"/>
        <v>Baron</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5" t="str">
        <f t="shared" si="1"/>
        <v>1996</v>
      </c>
      <c r="H51" s="5" t="str">
        <f t="shared" si="2"/>
        <v>Baron_etal_1996</v>
      </c>
      <c r="I51" s="5" t="str">
        <f t="shared" si="5"/>
        <v>ISBN%3A9783764353704</v>
      </c>
      <c r="J51" s="5" t="str">
        <f t="shared" si="3"/>
        <v>Baron_etal_1996_Table48</v>
      </c>
      <c r="K51" s="5" t="str">
        <f t="shared" si="6"/>
        <v>ISBN%3A9783764353704_Table48</v>
      </c>
      <c r="L51" s="5" t="str">
        <f t="array" ref="L51">IFERROR(INDEX(AUTO_Public_TSV_FileList!$A$1:$A$1000,MATCH(TRUE(),EXACT(K51,IFERROR(_xlfn.TEXTBEFORE(AUTO_Public_TSV_FileList!$A$1:$A$1000,".tsv"),"")),0)),"notfound")</f>
        <v>ISBN%3A9783764353704_Table48.tsv</v>
      </c>
      <c r="M51" s="6" t="s">
        <v>230</v>
      </c>
      <c r="N51" s="1" t="s">
        <v>35</v>
      </c>
      <c r="O51" s="7"/>
      <c r="P51" s="6" t="s">
        <v>36</v>
      </c>
      <c r="Q51" s="6"/>
      <c r="R51" s="6"/>
      <c r="S51" s="6" t="s">
        <v>172</v>
      </c>
      <c r="T51" s="6" t="s">
        <v>212</v>
      </c>
      <c r="U51" s="6"/>
      <c r="V51" s="7"/>
      <c r="W51" s="6" t="s">
        <v>174</v>
      </c>
      <c r="X51" s="6" t="s">
        <v>213</v>
      </c>
      <c r="Y51" s="6" t="s">
        <v>213</v>
      </c>
      <c r="Z51" s="6" t="s">
        <v>120</v>
      </c>
      <c r="AA51" s="7"/>
      <c r="AB51" s="6" t="s">
        <v>214</v>
      </c>
      <c r="AC51" s="7"/>
      <c r="AD51" s="6"/>
      <c r="AE51" s="6" t="s">
        <v>215</v>
      </c>
      <c r="AF51" s="6" t="s">
        <v>231</v>
      </c>
      <c r="AG51" s="7"/>
    </row>
    <row r="52" ht="17" customHeight="1">
      <c r="A52" s="7" t="s">
        <v>167</v>
      </c>
      <c r="C52" s="10" t="s">
        <v>168</v>
      </c>
      <c r="D52" s="6" t="s">
        <v>112</v>
      </c>
      <c r="E52" s="5" t="str">
        <f t="shared" si="0"/>
        <v>Baron</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5" t="str">
        <f t="shared" si="1"/>
        <v>1996</v>
      </c>
      <c r="H52" s="5" t="str">
        <f t="shared" si="2"/>
        <v>Baron_etal_1996</v>
      </c>
      <c r="I52" s="5" t="str">
        <f t="shared" si="5"/>
        <v>ISBN%3A9783764353704</v>
      </c>
      <c r="J52" s="5" t="str">
        <f t="shared" si="3"/>
        <v>Baron_etal_1996_Table5</v>
      </c>
      <c r="K52" s="5" t="str">
        <f t="shared" si="6"/>
        <v>ISBN%3A9783764353704_Table5</v>
      </c>
      <c r="L52" s="5" t="str">
        <f t="array" ref="L52">IFERROR(INDEX(AUTO_Public_TSV_FileList!$A$1:$A$1000,MATCH(TRUE(),EXACT(K52,IFERROR(_xlfn.TEXTBEFORE(AUTO_Public_TSV_FileList!$A$1:$A$1000,".tsv"),"")),0)),"notfound")</f>
        <v>ISBN%3A9783764353704_Table5.tsv</v>
      </c>
      <c r="M52" s="6" t="s">
        <v>232</v>
      </c>
      <c r="N52" s="1" t="s">
        <v>35</v>
      </c>
      <c r="O52" s="7"/>
      <c r="P52" s="6" t="s">
        <v>36</v>
      </c>
      <c r="Q52" s="6"/>
      <c r="R52" s="6"/>
      <c r="S52" s="6" t="s">
        <v>172</v>
      </c>
      <c r="T52" s="6" t="s">
        <v>173</v>
      </c>
      <c r="U52" s="6"/>
      <c r="V52" s="7"/>
      <c r="W52" s="6" t="s">
        <v>174</v>
      </c>
      <c r="X52" s="6" t="s">
        <v>233</v>
      </c>
      <c r="Y52" s="6" t="s">
        <v>233</v>
      </c>
      <c r="Z52" s="6"/>
      <c r="AA52" s="6"/>
      <c r="AB52" s="6" t="s">
        <v>234</v>
      </c>
      <c r="AC52" s="6" t="s">
        <v>155</v>
      </c>
      <c r="AD52" s="6" t="s">
        <v>155</v>
      </c>
      <c r="AE52" s="6" t="s">
        <v>66</v>
      </c>
      <c r="AF52" s="6"/>
      <c r="AG52" s="6" t="s">
        <v>235</v>
      </c>
    </row>
    <row r="53" ht="17" customHeight="1">
      <c r="A53" s="7" t="s">
        <v>167</v>
      </c>
      <c r="B53" s="9"/>
      <c r="C53" s="1" t="s">
        <v>168</v>
      </c>
      <c r="D53" s="6" t="s">
        <v>236</v>
      </c>
      <c r="E53" s="5" t="str">
        <f t="shared" si="0"/>
        <v>Baron</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5" t="str">
        <f t="shared" si="1"/>
        <v>1996</v>
      </c>
      <c r="H53" s="5" t="str">
        <f t="shared" si="2"/>
        <v>Baron_etal_1996</v>
      </c>
      <c r="I53" s="5" t="str">
        <f t="shared" si="5"/>
        <v>ISBN%3A9783764353704</v>
      </c>
      <c r="J53" s="5" t="str">
        <f t="shared" si="3"/>
        <v>Baron_etal_1996_Table51</v>
      </c>
      <c r="K53" s="5" t="str">
        <f t="shared" si="6"/>
        <v>ISBN%3A9783764353704_Table51</v>
      </c>
      <c r="L53" s="5" t="str">
        <f t="array" ref="L53">IFERROR(INDEX(AUTO_Public_TSV_FileList!$A$1:$A$1000,MATCH(TRUE(),EXACT(K53,IFERROR(_xlfn.TEXTBEFORE(AUTO_Public_TSV_FileList!$A$1:$A$1000,".tsv"),"")),0)),"notfound")</f>
        <v>ISBN%3A9783764353704_Table51.tsv</v>
      </c>
      <c r="M53" s="6" t="s">
        <v>237</v>
      </c>
      <c r="N53" s="1" t="s">
        <v>35</v>
      </c>
      <c r="O53" s="7"/>
      <c r="P53" s="6" t="s">
        <v>36</v>
      </c>
      <c r="Q53" s="6"/>
      <c r="R53" s="6"/>
      <c r="S53" s="6" t="s">
        <v>172</v>
      </c>
      <c r="T53" s="6" t="s">
        <v>212</v>
      </c>
      <c r="U53" s="6"/>
      <c r="V53" s="7"/>
      <c r="W53" s="6" t="s">
        <v>174</v>
      </c>
      <c r="X53" s="6" t="s">
        <v>238</v>
      </c>
      <c r="Y53" s="6"/>
      <c r="Z53" s="6" t="s">
        <v>120</v>
      </c>
      <c r="AA53" s="6" t="s">
        <v>166</v>
      </c>
      <c r="AB53" s="6" t="s">
        <v>127</v>
      </c>
      <c r="AC53" s="7"/>
      <c r="AD53" s="6"/>
      <c r="AE53" s="6" t="s">
        <v>215</v>
      </c>
      <c r="AF53" s="6"/>
      <c r="AG53" s="6" t="s">
        <v>239</v>
      </c>
    </row>
    <row r="54" ht="17" customHeight="1">
      <c r="A54" s="7" t="s">
        <v>167</v>
      </c>
      <c r="B54" s="9"/>
      <c r="C54" s="1" t="s">
        <v>168</v>
      </c>
      <c r="D54" s="6" t="s">
        <v>240</v>
      </c>
      <c r="E54" s="5" t="str">
        <f t="shared" si="0"/>
        <v>Baron</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5" t="str">
        <f t="shared" si="1"/>
        <v>1996</v>
      </c>
      <c r="H54" s="5" t="str">
        <f t="shared" si="2"/>
        <v>Baron_etal_1996</v>
      </c>
      <c r="I54" s="5" t="str">
        <f t="shared" si="5"/>
        <v>ISBN%3A9783764353704</v>
      </c>
      <c r="J54" s="5" t="str">
        <f t="shared" si="3"/>
        <v>Baron_etal_1996_Table8</v>
      </c>
      <c r="K54" s="5" t="str">
        <f t="shared" si="6"/>
        <v>ISBN%3A9783764353704_Table8</v>
      </c>
      <c r="L54" s="5" t="str">
        <f t="array" ref="L54">IFERROR(INDEX(AUTO_Public_TSV_FileList!$A$1:$A$1000,MATCH(TRUE(),EXACT(K54,IFERROR(_xlfn.TEXTBEFORE(AUTO_Public_TSV_FileList!$A$1:$A$1000,".tsv"),"")),0)),"notfound")</f>
        <v>ISBN%3A9783764353704_Table8.tsv</v>
      </c>
      <c r="M54" s="6" t="s">
        <v>241</v>
      </c>
      <c r="N54" s="1" t="s">
        <v>35</v>
      </c>
      <c r="O54" s="6" t="s">
        <v>242</v>
      </c>
      <c r="P54" s="6" t="s">
        <v>36</v>
      </c>
      <c r="Q54" s="6"/>
      <c r="R54" s="6"/>
      <c r="S54" s="6" t="s">
        <v>172</v>
      </c>
      <c r="T54" s="6" t="s">
        <v>173</v>
      </c>
      <c r="U54" s="6"/>
      <c r="V54" s="7"/>
      <c r="W54" s="6" t="s">
        <v>174</v>
      </c>
      <c r="X54" s="6" t="s">
        <v>243</v>
      </c>
      <c r="Y54" s="6" t="s">
        <v>243</v>
      </c>
      <c r="Z54" s="6" t="s">
        <v>120</v>
      </c>
      <c r="AA54" s="6"/>
      <c r="AB54" s="6" t="s">
        <v>127</v>
      </c>
      <c r="AC54" s="6" t="s">
        <v>155</v>
      </c>
      <c r="AD54" s="6" t="s">
        <v>155</v>
      </c>
      <c r="AE54" s="6" t="s">
        <v>66</v>
      </c>
      <c r="AF54" s="6"/>
      <c r="AG54" s="6" t="s">
        <v>244</v>
      </c>
    </row>
    <row r="55" ht="17" customHeight="1">
      <c r="A55" s="1" t="s">
        <v>245</v>
      </c>
      <c r="D55" s="1" t="s">
        <v>68</v>
      </c>
      <c r="E55" s="5" t="str">
        <f t="shared" si="0"/>
        <v>Bauernfeind</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5" t="str">
        <f t="shared" si="1"/>
        <v>2013</v>
      </c>
      <c r="H55" s="5" t="str">
        <f t="shared" si="2"/>
        <v>Bauernfeind_etal_2013</v>
      </c>
      <c r="I55" s="5" t="str">
        <f t="shared" si="5"/>
        <v>10.1016%2Fj.jhevol.2012.12.003</v>
      </c>
      <c r="J55" s="5" t="str">
        <f t="shared" si="3"/>
        <v>Bauernfeind_etal_2013_Table1</v>
      </c>
      <c r="K55" s="5" t="str">
        <f t="shared" si="6"/>
        <v>10.1016%2Fj.jhevol.2012.12.003_Table1</v>
      </c>
      <c r="L55" s="5" t="str">
        <f t="array" ref="L55">IFERROR(INDEX(AUTO_Public_TSV_FileList!$A$1:$A$1000,MATCH(TRUE(),EXACT(K55,IFERROR(_xlfn.TEXTBEFORE(AUTO_Public_TSV_FileList!$A$1:$A$1000,".tsv"),"")),0)),"notfound")</f>
        <v>10.1016%2Fj.jhevol.2012.12.003_Table1.tsv</v>
      </c>
      <c r="M55" s="1" t="s">
        <v>246</v>
      </c>
      <c r="N55" s="1" t="s">
        <v>35</v>
      </c>
      <c r="O55" s="7"/>
      <c r="P55" s="1" t="s">
        <v>36</v>
      </c>
      <c r="Q55" s="7"/>
      <c r="R55" s="7"/>
      <c r="S55" s="7"/>
      <c r="T55" s="7"/>
      <c r="U55" s="7"/>
      <c r="V55" s="7"/>
      <c r="W55" s="1" t="s">
        <v>137</v>
      </c>
      <c r="X55" s="1" t="s">
        <v>247</v>
      </c>
      <c r="Y55" s="7"/>
      <c r="Z55" s="1" t="s">
        <v>120</v>
      </c>
      <c r="AA55" s="1" t="s">
        <v>166</v>
      </c>
      <c r="AB55" s="1" t="s">
        <v>127</v>
      </c>
      <c r="AC55" s="1" t="s">
        <v>248</v>
      </c>
      <c r="AD55" s="7"/>
      <c r="AE55" s="1" t="s">
        <v>66</v>
      </c>
      <c r="AF55" s="1"/>
      <c r="AG55" s="7"/>
    </row>
    <row r="56" ht="17" customHeight="1">
      <c r="A56" s="1" t="s">
        <v>245</v>
      </c>
      <c r="D56" s="1" t="s">
        <v>108</v>
      </c>
      <c r="E56" s="5" t="str">
        <f t="shared" si="0"/>
        <v>Bauernfeind</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5" t="str">
        <f t="shared" si="1"/>
        <v>2013</v>
      </c>
      <c r="H56" s="5" t="str">
        <f t="shared" si="2"/>
        <v>Bauernfeind_etal_2013</v>
      </c>
      <c r="I56" s="5" t="str">
        <f t="shared" si="5"/>
        <v>10.1016%2Fj.jhevol.2012.12.003</v>
      </c>
      <c r="J56" s="5" t="str">
        <f t="shared" si="3"/>
        <v>Bauernfeind_etal_2013_Table2</v>
      </c>
      <c r="K56" s="5" t="str">
        <f t="shared" si="6"/>
        <v>10.1016%2Fj.jhevol.2012.12.003_Table2</v>
      </c>
      <c r="L56" s="5" t="str">
        <f t="array" ref="L56">IFERROR(INDEX(AUTO_Public_TSV_FileList!$A$1:$A$1000,MATCH(TRUE(),EXACT(K56,IFERROR(_xlfn.TEXTBEFORE(AUTO_Public_TSV_FileList!$A$1:$A$1000,".tsv"),"")),0)),"notfound")</f>
        <v>10.1016%2Fj.jhevol.2012.12.003_Table2.tsv</v>
      </c>
      <c r="M56" s="7"/>
      <c r="N56" s="1" t="s">
        <v>35</v>
      </c>
      <c r="O56" s="7"/>
      <c r="P56" s="1" t="s">
        <v>36</v>
      </c>
      <c r="Q56" s="7"/>
      <c r="R56" s="7"/>
      <c r="S56" s="7"/>
      <c r="T56" s="7"/>
      <c r="U56" s="7"/>
      <c r="V56" s="7"/>
      <c r="W56" s="1" t="s">
        <v>137</v>
      </c>
      <c r="X56" s="1" t="s">
        <v>247</v>
      </c>
      <c r="Y56" s="7"/>
      <c r="Z56" s="1" t="s">
        <v>120</v>
      </c>
      <c r="AA56" s="1" t="s">
        <v>166</v>
      </c>
      <c r="AB56" s="1" t="s">
        <v>127</v>
      </c>
      <c r="AC56" s="1" t="s">
        <v>248</v>
      </c>
      <c r="AD56" s="7"/>
      <c r="AE56" s="1" t="s">
        <v>66</v>
      </c>
      <c r="AF56" s="1"/>
      <c r="AG56" s="7"/>
    </row>
    <row r="57" ht="17" customHeight="1">
      <c r="A57" s="1" t="s">
        <v>245</v>
      </c>
      <c r="B57" s="17"/>
      <c r="C57" s="17"/>
      <c r="D57" s="1" t="s">
        <v>110</v>
      </c>
      <c r="E57" s="5" t="str">
        <f t="shared" si="0"/>
        <v>Bauernfeind</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5" t="str">
        <f t="shared" si="1"/>
        <v>2013</v>
      </c>
      <c r="H57" s="5" t="str">
        <f t="shared" si="2"/>
        <v>Bauernfeind_etal_2013</v>
      </c>
      <c r="I57" s="5" t="str">
        <f t="shared" si="5"/>
        <v>10.1016%2Fj.jhevol.2012.12.003</v>
      </c>
      <c r="J57" s="5" t="str">
        <f t="shared" si="3"/>
        <v>Bauernfeind_etal_2013_Table3</v>
      </c>
      <c r="K57" s="5" t="str">
        <f t="shared" si="6"/>
        <v>10.1016%2Fj.jhevol.2012.12.003_Table3</v>
      </c>
      <c r="L57" s="5" t="str">
        <f t="array" ref="L57">IFERROR(INDEX(AUTO_Public_TSV_FileList!$A$1:$A$1000,MATCH(TRUE(),EXACT(K57,IFERROR(_xlfn.TEXTBEFORE(AUTO_Public_TSV_FileList!$A$1:$A$1000,".tsv"),"")),0)),"notfound")</f>
        <v>10.1016%2Fj.jhevol.2012.12.003_Table3.tsv</v>
      </c>
      <c r="M57" s="7"/>
      <c r="N57" s="1" t="s">
        <v>35</v>
      </c>
      <c r="O57" s="7"/>
      <c r="P57" s="1" t="s">
        <v>36</v>
      </c>
      <c r="Q57" s="7"/>
      <c r="R57" s="7"/>
      <c r="S57" s="7"/>
      <c r="T57" s="7"/>
      <c r="U57" s="7"/>
      <c r="V57" s="7"/>
      <c r="W57" s="1" t="s">
        <v>137</v>
      </c>
      <c r="X57" s="1" t="s">
        <v>247</v>
      </c>
      <c r="Y57" s="7"/>
      <c r="Z57" s="1" t="s">
        <v>120</v>
      </c>
      <c r="AA57" s="1" t="s">
        <v>166</v>
      </c>
      <c r="AB57" s="1" t="s">
        <v>127</v>
      </c>
      <c r="AC57" s="1" t="s">
        <v>248</v>
      </c>
      <c r="AD57" s="7"/>
      <c r="AE57" s="1" t="s">
        <v>66</v>
      </c>
      <c r="AF57" s="1"/>
      <c r="AG57" s="7"/>
    </row>
    <row r="58" ht="17" customHeight="1">
      <c r="A58" s="6" t="s">
        <v>249</v>
      </c>
      <c r="B58" s="2"/>
      <c r="C58" s="2"/>
      <c r="D58" s="6" t="s">
        <v>68</v>
      </c>
      <c r="E58" s="5" t="str">
        <f t="shared" si="0"/>
        <v>Bianchi</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5" t="str">
        <f t="shared" si="1"/>
        <v>2012</v>
      </c>
      <c r="H58" s="5" t="str">
        <f t="shared" si="2"/>
        <v>Bianchi_etal_2012</v>
      </c>
      <c r="I58" s="5" t="str">
        <f t="shared" si="5"/>
        <v>10.1093%2Fcercor%2Fbhs239</v>
      </c>
      <c r="J58" s="5" t="str">
        <f t="shared" si="3"/>
        <v>Bianchi_etal_2012_Table1</v>
      </c>
      <c r="K58" s="5" t="str">
        <f t="shared" si="6"/>
        <v>10.1093%2Fcercor%2Fbhs239_Table1</v>
      </c>
      <c r="L58" s="5" t="str">
        <f t="array" ref="L58">IFERROR(INDEX(AUTO_Public_TSV_FileList!$A$1:$A$1000,MATCH(TRUE(),EXACT(K58,IFERROR(_xlfn.TEXTBEFORE(AUTO_Public_TSV_FileList!$A$1:$A$1000,".tsv"),"")),0)),"notfound")</f>
        <v>10.1093%2Fcercor%2Fbhs239_Table1.tsv</v>
      </c>
      <c r="M58" s="6" t="s">
        <v>250</v>
      </c>
      <c r="N58" s="6" t="s">
        <v>251</v>
      </c>
      <c r="O58" s="7"/>
      <c r="P58" s="6" t="s">
        <v>36</v>
      </c>
      <c r="Q58" s="6"/>
      <c r="R58" s="6" t="s">
        <v>252</v>
      </c>
      <c r="S58" s="6"/>
      <c r="T58" s="6" t="s">
        <v>253</v>
      </c>
      <c r="U58" s="6"/>
      <c r="V58" s="6" t="s">
        <v>254</v>
      </c>
      <c r="W58" s="6" t="s">
        <v>137</v>
      </c>
      <c r="X58" s="6" t="s">
        <v>255</v>
      </c>
      <c r="Y58" s="6" t="s">
        <v>256</v>
      </c>
      <c r="Z58" s="6"/>
      <c r="AA58" s="6" t="s">
        <v>257</v>
      </c>
      <c r="AB58" s="6" t="s">
        <v>258</v>
      </c>
      <c r="AC58" s="6"/>
      <c r="AD58" s="6"/>
      <c r="AE58" s="6" t="s">
        <v>66</v>
      </c>
      <c r="AF58" s="6"/>
      <c r="AG58" s="6" t="s">
        <v>259</v>
      </c>
    </row>
    <row r="59" ht="17" customHeight="1">
      <c r="A59" s="6" t="s">
        <v>249</v>
      </c>
      <c r="B59" s="2"/>
      <c r="C59" s="2"/>
      <c r="D59" s="6" t="s">
        <v>108</v>
      </c>
      <c r="E59" s="5" t="str">
        <f t="shared" si="0"/>
        <v>Bianchi</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5" t="str">
        <f t="shared" si="1"/>
        <v>2012</v>
      </c>
      <c r="H59" s="5" t="str">
        <f t="shared" si="2"/>
        <v>Bianchi_etal_2012</v>
      </c>
      <c r="I59" s="5" t="str">
        <f t="shared" si="5"/>
        <v>10.1093%2Fcercor%2Fbhs239</v>
      </c>
      <c r="J59" s="5" t="str">
        <f t="shared" si="3"/>
        <v>Bianchi_etal_2012_Table2</v>
      </c>
      <c r="K59" s="5" t="str">
        <f t="shared" si="6"/>
        <v>10.1093%2Fcercor%2Fbhs239_Table2</v>
      </c>
      <c r="L59" s="5" t="str">
        <f t="array" ref="L59">IFERROR(INDEX(AUTO_Public_TSV_FileList!$A$1:$A$1000,MATCH(TRUE(),EXACT(K59,IFERROR(_xlfn.TEXTBEFORE(AUTO_Public_TSV_FileList!$A$1:$A$1000,".tsv"),"")),0)),"notfound")</f>
        <v>10.1093%2Fcercor%2Fbhs239_Table2.tsv</v>
      </c>
      <c r="M59" s="6" t="s">
        <v>260</v>
      </c>
      <c r="N59" s="6" t="s">
        <v>251</v>
      </c>
      <c r="O59" s="7"/>
      <c r="P59" s="6" t="s">
        <v>36</v>
      </c>
      <c r="Q59" s="6"/>
      <c r="R59" s="6" t="s">
        <v>252</v>
      </c>
      <c r="S59" s="6"/>
      <c r="T59" s="6" t="s">
        <v>253</v>
      </c>
      <c r="U59" s="6"/>
      <c r="V59" s="6" t="s">
        <v>254</v>
      </c>
      <c r="W59" s="6" t="s">
        <v>137</v>
      </c>
      <c r="X59" s="6" t="s">
        <v>255</v>
      </c>
      <c r="Y59" s="6" t="s">
        <v>261</v>
      </c>
      <c r="Z59" s="6"/>
      <c r="AA59" s="6" t="s">
        <v>257</v>
      </c>
      <c r="AB59" s="6" t="s">
        <v>258</v>
      </c>
      <c r="AC59" s="6"/>
      <c r="AD59" s="6"/>
      <c r="AE59" s="6" t="s">
        <v>262</v>
      </c>
      <c r="AF59" s="6"/>
      <c r="AG59" s="6" t="s">
        <v>263</v>
      </c>
    </row>
    <row r="60" ht="17" customHeight="1">
      <c r="A60" s="9" t="s">
        <v>264</v>
      </c>
      <c r="C60" s="9"/>
      <c r="D60" s="19" t="s">
        <v>265</v>
      </c>
      <c r="E60" s="3" t="str">
        <f t="shared" si="0"/>
        <v>Bjugn</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0" s="5" t="str">
        <f t="shared" si="1"/>
        <v>1993</v>
      </c>
      <c r="H60" s="3" t="str">
        <f t="shared" si="2"/>
        <v>Bjugn__1993</v>
      </c>
      <c r="I60" s="3" t="str">
        <f>_xlfn.LET(_xlpm.doi,IF(C60&lt;&gt;"",C60,_xlfn.TEXTAFTER(A60,"https://doi.org/")),SUBSTITUTE(SUBSTITUTE(SUBSTITUTE(SUBSTITUTE(_xlpm.doi,"/","%2F"),":","%3A"),"&lt;","%3C"),"&gt;","%3E"))</f>
        <v>10.1016%2F0006-8993(93)90744-8</v>
      </c>
      <c r="J60" s="3" t="str">
        <f t="shared" si="3"/>
        <v>Bjugn__1993_TABLEI</v>
      </c>
      <c r="K60" s="5" t="str">
        <f t="shared" si="6"/>
        <v>10.1016%2F0006-8993(93)90744-8_TABLEI</v>
      </c>
      <c r="L60" s="5" t="str">
        <f t="array" ref="L60">IFERROR(INDEX(AUTO_Public_TSV_FileList!$A$1:$A$1000,MATCH(TRUE(),EXACT(K60,IFERROR(_xlfn.TEXTBEFORE(AUTO_Public_TSV_FileList!$A$1:$A$1000,".tsv"),"")),0)),"notfound")</f>
        <v>10.1016%2F0006-8993(93)90744-8_TABLEI.tsv</v>
      </c>
      <c r="M60" s="9" t="s">
        <v>266</v>
      </c>
      <c r="N60" s="9" t="s">
        <v>70</v>
      </c>
      <c r="O60" s="9" t="s">
        <v>267</v>
      </c>
      <c r="P60" s="9" t="s">
        <v>78</v>
      </c>
      <c r="Q60" s="9"/>
      <c r="R60" s="9" t="s">
        <v>268</v>
      </c>
      <c r="S60" s="9" t="s">
        <v>80</v>
      </c>
      <c r="T60" s="9" t="s">
        <v>269</v>
      </c>
      <c r="U60" s="9"/>
      <c r="V60" s="9" t="s">
        <v>82</v>
      </c>
      <c r="W60" s="9" t="s">
        <v>270</v>
      </c>
      <c r="X60" s="9" t="s">
        <v>271</v>
      </c>
      <c r="Y60" s="9"/>
      <c r="Z60" s="9" t="s">
        <v>120</v>
      </c>
      <c r="AA60" s="9" t="s">
        <v>272</v>
      </c>
      <c r="AB60" s="9" t="s">
        <v>64</v>
      </c>
      <c r="AC60" s="9" t="s">
        <v>273</v>
      </c>
      <c r="AD60" s="9"/>
      <c r="AE60" s="9" t="s">
        <v>66</v>
      </c>
      <c r="AF60" s="9"/>
      <c r="AG60" s="9" t="s">
        <v>274</v>
      </c>
    </row>
    <row r="61" ht="17" customHeight="1">
      <c r="A61" s="9" t="s">
        <v>264</v>
      </c>
      <c r="C61" s="9"/>
      <c r="D61" s="19" t="s">
        <v>275</v>
      </c>
      <c r="E61" s="3" t="str">
        <f t="shared" si="0"/>
        <v>Bjugn</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5" t="str">
        <f t="shared" si="1"/>
        <v>1993</v>
      </c>
      <c r="H61" s="3" t="str">
        <f t="shared" si="2"/>
        <v>Bjugn__1993</v>
      </c>
      <c r="I61" s="3" t="str">
        <f>_xlfn.LET(_xlpm.doi,IF(C61&lt;&gt;"",C61,_xlfn.TEXTAFTER(A61,"https://doi.org/")),SUBSTITUTE(SUBSTITUTE(SUBSTITUTE(SUBSTITUTE(_xlpm.doi,"/","%2F"),":","%3A"),"&lt;","%3C"),"&gt;","%3E"))</f>
        <v>10.1016%2F0006-8993(93)90744-8</v>
      </c>
      <c r="J61" s="3" t="str">
        <f t="shared" si="3"/>
        <v>Bjugn__1993_TABLEII</v>
      </c>
      <c r="K61" s="5" t="str">
        <f t="shared" si="6"/>
        <v>10.1016%2F0006-8993(93)90744-8_TABLEII</v>
      </c>
      <c r="L61" s="5" t="str">
        <f t="array" ref="L61">IFERROR(INDEX(AUTO_Public_TSV_FileList!$A$1:$A$1000,MATCH(TRUE(),EXACT(K61,IFERROR(_xlfn.TEXTBEFORE(AUTO_Public_TSV_FileList!$A$1:$A$1000,".tsv"),"")),0)),"notfound")</f>
        <v>10.1016%2F0006-8993(93)90744-8_TABLEII.tsv</v>
      </c>
      <c r="M61" s="9" t="s">
        <v>276</v>
      </c>
      <c r="N61" s="9"/>
      <c r="O61" s="9"/>
      <c r="P61" s="9"/>
      <c r="Q61" s="9"/>
      <c r="R61" s="9"/>
      <c r="S61" s="9"/>
      <c r="T61" s="9"/>
      <c r="U61" s="9"/>
      <c r="V61" s="9"/>
      <c r="W61" s="9"/>
      <c r="X61" s="9"/>
      <c r="Y61" s="9"/>
      <c r="Z61" s="9"/>
      <c r="AA61" s="9"/>
      <c r="AB61" s="9"/>
      <c r="AC61" s="9"/>
      <c r="AD61" s="9"/>
      <c r="AE61" s="9"/>
      <c r="AF61" s="9"/>
      <c r="AG61" s="9"/>
    </row>
    <row r="62" ht="17" customHeight="1">
      <c r="A62" s="9" t="s">
        <v>264</v>
      </c>
      <c r="D62" s="19" t="s">
        <v>277</v>
      </c>
      <c r="E62" s="3" t="str">
        <f t="shared" si="0"/>
        <v>Bjugn</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5" t="str">
        <f t="shared" si="1"/>
        <v>1993</v>
      </c>
      <c r="H62" s="3" t="str">
        <f t="shared" si="2"/>
        <v>Bjugn__1993</v>
      </c>
      <c r="I62" s="3" t="str">
        <f>_xlfn.LET(_xlpm.doi,IF(C62&lt;&gt;"",C62,_xlfn.TEXTAFTER(A62,"https://doi.org/")),SUBSTITUTE(SUBSTITUTE(SUBSTITUTE(SUBSTITUTE(_xlpm.doi,"/","%2F"),":","%3A"),"&lt;","%3C"),"&gt;","%3E"))</f>
        <v>10.1016%2F0006-8993(93)90744-8</v>
      </c>
      <c r="J62" s="3" t="str">
        <f t="shared" si="3"/>
        <v>Bjugn__1993_TABLEIII</v>
      </c>
      <c r="K62" s="5" t="str">
        <f t="shared" si="6"/>
        <v>10.1016%2F0006-8993(93)90744-8_TABLEIII</v>
      </c>
      <c r="L62" s="5" t="str">
        <f t="array" ref="L62">IFERROR(INDEX(AUTO_Public_TSV_FileList!$A$1:$A$1000,MATCH(TRUE(),EXACT(K62,IFERROR(_xlfn.TEXTBEFORE(AUTO_Public_TSV_FileList!$A$1:$A$1000,".tsv"),"")),0)),"notfound")</f>
        <v>notfound</v>
      </c>
      <c r="M62" s="9" t="s">
        <v>278</v>
      </c>
      <c r="N62" s="9"/>
      <c r="O62" s="9"/>
      <c r="P62" s="9"/>
      <c r="Q62" s="9"/>
      <c r="R62" s="9"/>
      <c r="S62" s="9"/>
      <c r="T62" s="9"/>
      <c r="U62" s="9"/>
      <c r="V62" s="9"/>
      <c r="W62" s="9"/>
      <c r="X62" s="9"/>
      <c r="Y62" s="9"/>
      <c r="Z62" s="9"/>
      <c r="AA62" s="9"/>
      <c r="AB62" s="9"/>
      <c r="AC62" s="9"/>
      <c r="AD62" s="9"/>
      <c r="AE62" s="9"/>
      <c r="AF62" s="9"/>
      <c r="AG62" s="9"/>
    </row>
    <row r="63" ht="17" customHeight="1">
      <c r="A63" s="9" t="s">
        <v>264</v>
      </c>
      <c r="D63" s="19" t="s">
        <v>279</v>
      </c>
      <c r="E63" s="3" t="str">
        <f t="shared" si="0"/>
        <v>Bjugn</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5" t="str">
        <f t="shared" si="1"/>
        <v>1993</v>
      </c>
      <c r="H63" s="3" t="str">
        <f t="shared" si="2"/>
        <v>Bjugn__1993</v>
      </c>
      <c r="I63" s="3" t="str">
        <f>_xlfn.LET(_xlpm.doi,IF(C63&lt;&gt;"",C63,_xlfn.TEXTAFTER(A63,"https://doi.org/")),SUBSTITUTE(SUBSTITUTE(SUBSTITUTE(SUBSTITUTE(_xlpm.doi,"/","%2F"),":","%3A"),"&lt;","%3C"),"&gt;","%3E"))</f>
        <v>10.1016%2F0006-8993(93)90744-8</v>
      </c>
      <c r="J63" s="3" t="str">
        <f t="shared" si="3"/>
        <v>Bjugn__1993_TABLEIV</v>
      </c>
      <c r="K63" s="5" t="str">
        <f t="shared" si="6"/>
        <v>10.1016%2F0006-8993(93)90744-8_TABLEIV</v>
      </c>
      <c r="L63" s="5" t="str">
        <f t="array" ref="L63">IFERROR(INDEX(AUTO_Public_TSV_FileList!$A$1:$A$1000,MATCH(TRUE(),EXACT(K63,IFERROR(_xlfn.TEXTBEFORE(AUTO_Public_TSV_FileList!$A$1:$A$1000,".tsv"),"")),0)),"notfound")</f>
        <v>10.1016%2F0006-8993(93)90744-8_TABLEIV.tsv</v>
      </c>
      <c r="M63" s="9" t="s">
        <v>280</v>
      </c>
      <c r="N63" s="9"/>
      <c r="O63" s="9"/>
      <c r="P63" s="9"/>
      <c r="Q63" s="9"/>
      <c r="R63" s="9"/>
      <c r="S63" s="9"/>
      <c r="T63" s="9"/>
      <c r="U63" s="9"/>
      <c r="V63" s="9"/>
      <c r="W63" s="9"/>
      <c r="X63" s="9"/>
      <c r="Y63" s="9"/>
      <c r="Z63" s="9"/>
      <c r="AA63" s="9"/>
      <c r="AB63" s="9"/>
      <c r="AC63" s="9"/>
      <c r="AD63" s="9"/>
      <c r="AE63" s="9"/>
      <c r="AF63" s="9"/>
      <c r="AG63" s="9"/>
    </row>
    <row r="64" ht="17" customHeight="1">
      <c r="A64" s="9" t="s">
        <v>264</v>
      </c>
      <c r="D64" s="19" t="s">
        <v>281</v>
      </c>
      <c r="E64" s="3" t="str">
        <f t="shared" si="0"/>
        <v>Bjugn</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5" t="str">
        <f t="shared" si="1"/>
        <v>1993</v>
      </c>
      <c r="H64" s="3" t="str">
        <f t="shared" si="2"/>
        <v>Bjugn__1993</v>
      </c>
      <c r="I64" s="3" t="str">
        <f>_xlfn.LET(_xlpm.doi,IF(C64&lt;&gt;"",C64,_xlfn.TEXTAFTER(A64,"https://doi.org/")),SUBSTITUTE(SUBSTITUTE(SUBSTITUTE(SUBSTITUTE(_xlpm.doi,"/","%2F"),":","%3A"),"&lt;","%3C"),"&gt;","%3E"))</f>
        <v>10.1016%2F0006-8993(93)90744-8</v>
      </c>
      <c r="J64" s="3" t="str">
        <f t="shared" si="3"/>
        <v>Bjugn__1993_TABLEV</v>
      </c>
      <c r="K64" s="5" t="str">
        <f t="shared" si="6"/>
        <v>10.1016%2F0006-8993(93)90744-8_TABLEV</v>
      </c>
      <c r="L64" s="5" t="str">
        <f t="array" ref="L64">IFERROR(INDEX(AUTO_Public_TSV_FileList!$A$1:$A$1000,MATCH(TRUE(),EXACT(K64,IFERROR(_xlfn.TEXTBEFORE(AUTO_Public_TSV_FileList!$A$1:$A$1000,".tsv"),"")),0)),"notfound")</f>
        <v>10.1016%2F0006-8993(93)90744-8_TABLEV.tsv</v>
      </c>
      <c r="M64" s="9" t="s">
        <v>282</v>
      </c>
      <c r="N64" s="9"/>
      <c r="O64" s="9"/>
      <c r="P64" s="9"/>
      <c r="Q64" s="9"/>
      <c r="R64" s="9"/>
      <c r="S64" s="9"/>
      <c r="T64" s="9"/>
      <c r="U64" s="9"/>
      <c r="V64" s="9"/>
      <c r="W64" s="9"/>
      <c r="X64" s="9"/>
      <c r="Y64" s="9"/>
      <c r="Z64" s="9"/>
      <c r="AA64" s="9"/>
      <c r="AB64" s="9"/>
      <c r="AC64" s="9"/>
      <c r="AD64" s="9"/>
      <c r="AE64" s="9"/>
      <c r="AF64" s="9"/>
      <c r="AG64" s="9"/>
    </row>
    <row r="65" ht="17" customHeight="1">
      <c r="A65" s="6" t="s">
        <v>283</v>
      </c>
      <c r="B65" s="2"/>
      <c r="C65" s="2"/>
      <c r="D65" s="6" t="s">
        <v>284</v>
      </c>
      <c r="E65" s="5" t="str">
        <f t="shared" si="0"/>
        <v>Boddy</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5" t="str">
        <f t="shared" si="1"/>
        <v>2012</v>
      </c>
      <c r="H65" s="5" t="str">
        <f t="shared" si="2"/>
        <v>Boddy_etal_2012</v>
      </c>
      <c r="I65" s="5" t="str">
        <f t="shared" ref="I65:I70" si="7">_xlfn.LET(
_xlpm.doi,IF(C65&lt;&gt;"",C65,_xlfn.TEXTAFTER(A65,"https://doi.org/")),
SUBSTITUTE(
SUBSTITUTE(
SUBSTITUTE(
SUBSTITUTE(
_xlpm.doi,
"/","%2F"),
":","%3A"),
"&lt;","%3C"),
"&gt;","%3E")
)</f>
        <v>10.1111%2Fj.1420-9101.2012.02491.x</v>
      </c>
      <c r="J65" s="5" t="str">
        <f t="shared" si="3"/>
        <v>Boddy_etal_2012_brainbodydatabasev2.txt</v>
      </c>
      <c r="K65" s="5" t="str">
        <f t="shared" si="6"/>
        <v>10.1111%2Fj.1420-9101.2012.02491.x_brainbodydatabasev2.txt</v>
      </c>
      <c r="L65" s="5" t="str">
        <f t="array" ref="L65">IFERROR(INDEX(AUTO_Public_TSV_FileList!$A$1:$A$1000,MATCH(TRUE(),EXACT(K65,IFERROR(_xlfn.TEXTBEFORE(AUTO_Public_TSV_FileList!$A$1:$A$1000,".tsv"),"")),0)),"notfound")</f>
        <v>notfound</v>
      </c>
      <c r="M65" s="6"/>
      <c r="N65" s="6" t="s">
        <v>285</v>
      </c>
      <c r="O65" s="7"/>
      <c r="P65" s="6" t="s">
        <v>36</v>
      </c>
      <c r="Q65" s="6"/>
      <c r="R65" s="6"/>
      <c r="S65" s="6"/>
      <c r="T65" s="6"/>
      <c r="U65" s="6"/>
      <c r="V65" s="6"/>
      <c r="W65" s="6"/>
      <c r="X65" s="6"/>
      <c r="Y65" s="6"/>
      <c r="Z65" s="6"/>
      <c r="AA65" s="6"/>
      <c r="AB65" s="6"/>
      <c r="AC65" s="6"/>
      <c r="AD65" s="6"/>
      <c r="AE65" s="6"/>
      <c r="AF65" s="6"/>
      <c r="AG65" s="6"/>
    </row>
    <row r="66" ht="17" customHeight="1">
      <c r="A66" s="6" t="s">
        <v>283</v>
      </c>
      <c r="B66" s="6"/>
      <c r="C66" s="2"/>
      <c r="D66" s="6" t="s">
        <v>286</v>
      </c>
      <c r="E66" s="5" t="str">
        <f t="shared" ref="E66:E129" si="8">SUBSTITUTE(SUBSTITUTE(_xlfn.TEXTBEFORE(A66,","), "-", ""), " ", "")</f>
        <v>Boddy</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5" t="str">
        <f t="shared" ref="G66:G129" si="9">_xlfn.TEXTBEFORE(_xlfn.TEXTAFTER(A66, "("), ")")</f>
        <v>2012</v>
      </c>
      <c r="H66" s="5" t="str">
        <f t="shared" ref="H66:H129" si="10">E66 &amp; IF(F66&lt;&gt;"", "_" &amp; F66, "_") &amp; IF(G66&lt;&gt;"", "_" &amp; G66, "_") &amp; IF(B66&lt;&gt;"", "_" &amp; B66, "")</f>
        <v>Boddy_etal_2012</v>
      </c>
      <c r="I66" s="5" t="str">
        <f t="shared" si="7"/>
        <v>10.1111%2Fj.1420-9101.2012.02491.x</v>
      </c>
      <c r="J66" s="5" t="str">
        <f t="shared" ref="J66:J129" si="11">TRIM(_xlfn.TEXTJOIN("_",FALSE(),H66,(SUBSTITUTE(SUBSTITUTE(D66," ",""), "_", ""))))</f>
        <v>Boddy_etal_2012_TableS1</v>
      </c>
      <c r="K66" s="5" t="str">
        <f t="shared" si="6"/>
        <v>10.1111%2Fj.1420-9101.2012.02491.x_TableS1</v>
      </c>
      <c r="L66" s="5" t="str">
        <f t="array" ref="L66">IFERROR(INDEX(AUTO_Public_TSV_FileList!$A$1:$A$1000,MATCH(TRUE(),EXACT(K66,IFERROR(_xlfn.TEXTBEFORE(AUTO_Public_TSV_FileList!$A$1:$A$1000,".tsv"),"")),0)),"notfound")</f>
        <v>10.1111%2Fj.1420-9101.2012.02491.x_TableS1.tsv</v>
      </c>
      <c r="M66" s="6"/>
      <c r="N66" s="6" t="s">
        <v>287</v>
      </c>
      <c r="O66" s="7"/>
      <c r="P66" s="6" t="s">
        <v>36</v>
      </c>
      <c r="Q66" s="6"/>
      <c r="R66" s="6"/>
      <c r="S66" s="6"/>
      <c r="T66" s="6"/>
      <c r="U66" s="6"/>
      <c r="V66" s="6"/>
      <c r="W66" s="6"/>
      <c r="X66" s="6"/>
      <c r="Y66" s="6"/>
      <c r="Z66" s="6"/>
      <c r="AA66" s="6"/>
      <c r="AB66" s="6"/>
      <c r="AC66" s="6"/>
      <c r="AD66" s="6"/>
      <c r="AE66" s="6"/>
      <c r="AF66" s="6"/>
      <c r="AG66" s="6"/>
    </row>
    <row r="67" ht="17" customHeight="1">
      <c r="A67" s="1" t="s">
        <v>288</v>
      </c>
      <c r="B67" s="9"/>
      <c r="D67" s="1" t="s">
        <v>68</v>
      </c>
      <c r="E67" s="5" t="str">
        <f t="shared" si="8"/>
        <v>Bortoff</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5" t="str">
        <f t="shared" si="9"/>
        <v>1993</v>
      </c>
      <c r="H67" s="5" t="str">
        <f t="shared" si="10"/>
        <v>Bortoff_Strick_1993</v>
      </c>
      <c r="I67" s="5" t="str">
        <f t="shared" si="7"/>
        <v>10.1523%2FJNEUROSCI.13-12-05105.1993</v>
      </c>
      <c r="J67" s="5" t="str">
        <f t="shared" si="11"/>
        <v>Bortoff_Strick_1993_Table1</v>
      </c>
      <c r="K67" s="5" t="str">
        <f t="shared" si="6"/>
        <v>10.1523%2FJNEUROSCI.13-12-05105.1993_Table1</v>
      </c>
      <c r="L67" s="5" t="str">
        <f t="array" ref="L67">IFERROR(INDEX(AUTO_Public_TSV_FileList!$A$1:$A$1000,MATCH(TRUE(),EXACT(K67,IFERROR(_xlfn.TEXTBEFORE(AUTO_Public_TSV_FileList!$A$1:$A$1000,".tsv"),"")),0)),"notfound")</f>
        <v>10.1523%2FJNEUROSCI.13-12-05105.1993_Table1.tsv</v>
      </c>
      <c r="M67" s="1" t="s">
        <v>289</v>
      </c>
      <c r="N67" s="1" t="s">
        <v>35</v>
      </c>
      <c r="O67" s="7"/>
      <c r="P67" s="1" t="s">
        <v>36</v>
      </c>
      <c r="Q67" s="1"/>
      <c r="R67" s="1" t="s">
        <v>290</v>
      </c>
      <c r="S67" s="7"/>
      <c r="T67" s="7"/>
      <c r="U67" s="7"/>
      <c r="V67" s="1" t="s">
        <v>291</v>
      </c>
      <c r="W67" s="1" t="s">
        <v>292</v>
      </c>
      <c r="X67" s="1" t="s">
        <v>293</v>
      </c>
      <c r="Y67" s="1" t="s">
        <v>294</v>
      </c>
      <c r="Z67" s="7"/>
      <c r="AA67" s="1" t="s">
        <v>295</v>
      </c>
      <c r="AB67" s="1" t="s">
        <v>296</v>
      </c>
      <c r="AC67" s="1" t="s">
        <v>297</v>
      </c>
      <c r="AD67" s="7"/>
      <c r="AE67" s="1" t="s">
        <v>66</v>
      </c>
      <c r="AF67" s="1"/>
      <c r="AG67" s="1" t="s">
        <v>298</v>
      </c>
    </row>
    <row r="68" ht="17" customHeight="1">
      <c r="A68" s="1" t="s">
        <v>299</v>
      </c>
      <c r="B68" s="9"/>
      <c r="D68" s="1" t="s">
        <v>68</v>
      </c>
      <c r="E68" s="5" t="str">
        <f t="shared" si="8"/>
        <v>Boyer</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5" t="str">
        <f t="shared" si="9"/>
        <v>2018</v>
      </c>
      <c r="H68" s="5" t="str">
        <f t="shared" si="10"/>
        <v>Boyer_Harrington_2018</v>
      </c>
      <c r="I68" s="5" t="str">
        <f t="shared" si="7"/>
        <v>10.1016%2Fj.jhevol.2017.09.003</v>
      </c>
      <c r="J68" s="5" t="str">
        <f t="shared" si="11"/>
        <v>Boyer_Harrington_2018_Table1</v>
      </c>
      <c r="K68" s="5" t="str">
        <f t="shared" si="6"/>
        <v>10.1016%2Fj.jhevol.2017.09.003_Table1</v>
      </c>
      <c r="L68" s="5" t="str">
        <f t="array" ref="L68">IFERROR(INDEX(AUTO_Public_TSV_FileList!$A$1:$A$1000,MATCH(TRUE(),EXACT(K68,IFERROR(_xlfn.TEXTBEFORE(AUTO_Public_TSV_FileList!$A$1:$A$1000,".tsv"),"")),0)),"notfound")</f>
        <v>10.1016%2Fj.jhevol.2017.09.003_Table1.tsv</v>
      </c>
      <c r="M68" s="1" t="s">
        <v>300</v>
      </c>
      <c r="N68" s="7"/>
      <c r="O68" s="7"/>
      <c r="P68" s="1" t="s">
        <v>36</v>
      </c>
      <c r="Q68" s="7"/>
      <c r="R68" s="7"/>
      <c r="S68" s="7"/>
      <c r="T68" s="7"/>
      <c r="U68" s="7"/>
      <c r="V68" s="7"/>
      <c r="W68" s="7"/>
      <c r="X68" s="7"/>
      <c r="Y68" s="7"/>
      <c r="Z68" s="7"/>
      <c r="AA68" s="7"/>
      <c r="AB68" s="7"/>
      <c r="AC68" s="7"/>
      <c r="AD68" s="7"/>
      <c r="AE68" s="7"/>
      <c r="AF68" s="7"/>
      <c r="AG68" s="7"/>
    </row>
    <row r="69" ht="17" customHeight="1">
      <c r="A69" s="1" t="s">
        <v>301</v>
      </c>
      <c r="B69" s="9"/>
      <c r="C69" s="17"/>
      <c r="D69" s="1" t="s">
        <v>302</v>
      </c>
      <c r="E69" s="5" t="str">
        <f t="shared" si="8"/>
        <v>Boyer</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5" t="str">
        <f t="shared" si="9"/>
        <v>2019</v>
      </c>
      <c r="H69" s="5" t="str">
        <f t="shared" si="10"/>
        <v>Boyer_Harrington_2019</v>
      </c>
      <c r="I69" s="5" t="str">
        <f t="shared" si="7"/>
        <v>10.1016%2Fj.jhevol.2018.10.002</v>
      </c>
      <c r="J69" s="5" t="str">
        <f t="shared" si="11"/>
        <v>Boyer_Harrington_2019_SOMTableS6</v>
      </c>
      <c r="K69" s="5" t="str">
        <f t="shared" si="6"/>
        <v>10.1016%2Fj.jhevol.2018.10.002_SOMTableS6</v>
      </c>
      <c r="L69" s="5" t="str">
        <f t="array" ref="L69">IFERROR(INDEX(AUTO_Public_TSV_FileList!$A$1:$A$1000,MATCH(TRUE(),EXACT(K69,IFERROR(_xlfn.TEXTBEFORE(AUTO_Public_TSV_FileList!$A$1:$A$1000,".tsv"),"")),0)),"notfound")</f>
        <v>10.1016%2Fj.jhevol.2018.10.002_SOMTableS6.tsv</v>
      </c>
      <c r="M69" s="7"/>
      <c r="N69" s="7"/>
      <c r="O69" s="7"/>
      <c r="P69" s="1" t="s">
        <v>36</v>
      </c>
      <c r="Q69" s="7"/>
      <c r="R69" s="7"/>
      <c r="S69" s="7"/>
      <c r="T69" s="7"/>
      <c r="U69" s="7"/>
      <c r="V69" s="7"/>
      <c r="W69" s="7"/>
      <c r="X69" s="7"/>
      <c r="Y69" s="7"/>
      <c r="Z69" s="7"/>
      <c r="AA69" s="7"/>
      <c r="AB69" s="7"/>
      <c r="AC69" s="7"/>
      <c r="AD69" s="7"/>
      <c r="AE69" s="7"/>
      <c r="AF69" s="7"/>
      <c r="AG69" s="7"/>
    </row>
    <row r="70" ht="17" customHeight="1">
      <c r="A70" s="9" t="s">
        <v>303</v>
      </c>
      <c r="D70" s="9"/>
      <c r="E70" s="5" t="str">
        <f t="shared" si="8"/>
        <v>Braitenberg</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5" t="str">
        <f t="shared" si="9"/>
        <v>1998</v>
      </c>
      <c r="H70" s="5" t="str">
        <f t="shared" si="10"/>
        <v>Braitenberg_Schüz_1998</v>
      </c>
      <c r="I70" s="5" t="str">
        <f t="shared" si="7"/>
        <v>10.1007%2F978-3-662-03733-1</v>
      </c>
      <c r="J70" s="5" t="str">
        <f t="shared" si="11"/>
        <v>Braitenberg_Schüz_1998_</v>
      </c>
      <c r="K70" s="5" t="str">
        <f t="shared" si="6"/>
        <v>10.1007%2F978-3-662-03733-1_</v>
      </c>
      <c r="L70" s="5" t="str">
        <f t="array" ref="L70">IFERROR(INDEX(AUTO_Public_TSV_FileList!$A$1:$A$1000,MATCH(TRUE(),EXACT(K70,IFERROR(_xlfn.TEXTBEFORE(AUTO_Public_TSV_FileList!$A$1:$A$1000,".tsv"),"")),0)),"notfound")</f>
        <v>notfound</v>
      </c>
      <c r="M70" s="9"/>
      <c r="N70" s="9"/>
      <c r="O70" s="9"/>
      <c r="P70" s="9"/>
      <c r="Q70" s="9"/>
      <c r="R70" s="9"/>
      <c r="S70" s="9"/>
      <c r="T70" s="9"/>
      <c r="U70" s="9"/>
      <c r="V70" s="9"/>
      <c r="W70" s="9"/>
      <c r="X70" s="9"/>
      <c r="Y70" s="9"/>
      <c r="Z70" s="9"/>
      <c r="AA70" s="9"/>
      <c r="AB70" s="9"/>
      <c r="AC70" s="9"/>
      <c r="AD70" s="9"/>
      <c r="AE70" s="9"/>
      <c r="AF70" s="9"/>
      <c r="AG70" s="9"/>
    </row>
    <row r="71" ht="17" customHeight="1">
      <c r="A71" s="9" t="s">
        <v>304</v>
      </c>
      <c r="C71" s="17"/>
      <c r="D71" s="9" t="s">
        <v>305</v>
      </c>
      <c r="E71" s="3" t="str">
        <f t="shared" si="8"/>
        <v>Branstetter</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5" t="str">
        <f t="shared" si="9"/>
        <v>2017</v>
      </c>
      <c r="H71" s="3" t="str">
        <f t="shared" si="10"/>
        <v>Branstetter_etal_2017</v>
      </c>
      <c r="I71" s="3" t="str">
        <f>_xlfn.LET(_xlpm.doi,IF(C71&lt;&gt;"",C71,_xlfn.TEXTAFTER(A71,"https://doi.org/")),SUBSTITUTE(SUBSTITUTE(SUBSTITUTE(SUBSTITUTE(_xlpm.doi,"/","%2F"),":","%3A"),"&lt;","%3C"),"&gt;","%3E"))</f>
        <v>10.1121%2F1.4979116</v>
      </c>
      <c r="J71" s="3" t="str">
        <f t="shared" si="11"/>
        <v>Branstetter_etal_2017_TableI</v>
      </c>
      <c r="K71" s="5" t="str">
        <f t="shared" si="6"/>
        <v>10.1121%2F1.4979116_TableI</v>
      </c>
      <c r="L71" s="5" t="str">
        <f t="array" ref="L71">IFERROR(INDEX(AUTO_Public_TSV_FileList!$A$1:$A$1000,MATCH(TRUE(),EXACT(K71,IFERROR(_xlfn.TEXTBEFORE(AUTO_Public_TSV_FileList!$A$1:$A$1000,".tsv"),"")),0)),"notfound")</f>
        <v>notfound</v>
      </c>
      <c r="M71" s="9" t="s">
        <v>306</v>
      </c>
      <c r="N71" s="9" t="s">
        <v>70</v>
      </c>
      <c r="O71" s="9" t="s">
        <v>307</v>
      </c>
      <c r="P71" s="9" t="s">
        <v>78</v>
      </c>
      <c r="Q71" s="9"/>
      <c r="R71" s="15" t="s">
        <v>308</v>
      </c>
      <c r="S71" s="9"/>
      <c r="T71" s="9"/>
      <c r="U71" s="9"/>
      <c r="V71" s="9" t="s">
        <v>309</v>
      </c>
      <c r="W71" s="9" t="s">
        <v>310</v>
      </c>
      <c r="X71" s="9" t="s">
        <v>311</v>
      </c>
      <c r="Y71" s="9"/>
      <c r="Z71" s="9" t="s">
        <v>312</v>
      </c>
      <c r="AA71" s="9" t="s">
        <v>313</v>
      </c>
      <c r="AB71" s="9" t="s">
        <v>314</v>
      </c>
      <c r="AC71" s="9" t="s">
        <v>315</v>
      </c>
      <c r="AD71" s="9"/>
      <c r="AE71" s="9" t="s">
        <v>66</v>
      </c>
      <c r="AF71" s="9"/>
      <c r="AG71" s="9" t="s">
        <v>316</v>
      </c>
    </row>
    <row r="72" ht="17" customHeight="1">
      <c r="A72" s="9" t="s">
        <v>304</v>
      </c>
      <c r="D72" s="9" t="s">
        <v>317</v>
      </c>
      <c r="E72" s="3" t="str">
        <f t="shared" si="8"/>
        <v>Branstetter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5" t="str">
        <f t="shared" si="9"/>
        <v>2017</v>
      </c>
      <c r="H72" s="3" t="str">
        <f t="shared" si="10"/>
        <v>Branstetter_etal_2017</v>
      </c>
      <c r="I72" s="3" t="str">
        <f>_xlfn.LET(_xlpm.doi,IF(C72&lt;&gt;"",C72,_xlfn.TEXTAFTER(A72,"https://doi.org/")),SUBSTITUTE(SUBSTITUTE(SUBSTITUTE(SUBSTITUTE(_xlpm.doi,"/","%2F"),":","%3A"),"&lt;","%3C"),"&gt;","%3E"))</f>
        <v>10.1121%2F1.4979116</v>
      </c>
      <c r="J72" s="3" t="str">
        <f t="shared" si="11"/>
        <v>Branstetter_etal_2017_TableIV</v>
      </c>
      <c r="K72" s="5" t="str">
        <f t="shared" ref="K72:K103" si="12">I72 &amp; "_" &amp; SUBSTITUTE(SUBSTITUTE(SUBSTITUTE(D72,CHAR(160),"")," ",""),"_","")</f>
        <v>10.1121%2F1.4979116_TableIV</v>
      </c>
      <c r="L72" s="5" t="str">
        <f t="array" ref="L72">IFERROR(INDEX(AUTO_Public_TSV_FileList!$A$1:$A$1000,MATCH(TRUE(),EXACT(K72,IFERROR(_xlfn.TEXTBEFORE(AUTO_Public_TSV_FileList!$A$1:$A$1000,".tsv"),"")),0)),"notfound")</f>
        <v>10.1121%2F1.4979116_TableIV.tsv</v>
      </c>
      <c r="M72" s="9" t="s">
        <v>318</v>
      </c>
      <c r="N72" s="9" t="s">
        <v>70</v>
      </c>
      <c r="O72" s="9" t="s">
        <v>319</v>
      </c>
      <c r="P72" s="9" t="s">
        <v>36</v>
      </c>
      <c r="Q72" s="9"/>
      <c r="R72" s="15" t="s">
        <v>308</v>
      </c>
      <c r="S72" s="9"/>
      <c r="T72" s="9"/>
      <c r="U72" s="9"/>
      <c r="V72" s="9" t="s">
        <v>309</v>
      </c>
      <c r="W72" s="9" t="s">
        <v>320</v>
      </c>
      <c r="X72" s="9" t="s">
        <v>321</v>
      </c>
      <c r="Y72" s="9"/>
      <c r="Z72" s="9" t="s">
        <v>312</v>
      </c>
      <c r="AA72" s="9" t="s">
        <v>322</v>
      </c>
      <c r="AB72" s="9" t="s">
        <v>323</v>
      </c>
      <c r="AC72" s="9" t="s">
        <v>315</v>
      </c>
      <c r="AD72" s="9"/>
      <c r="AE72" s="9" t="s">
        <v>51</v>
      </c>
      <c r="AF72" s="9" t="s">
        <v>324</v>
      </c>
      <c r="AG72" s="9" t="s">
        <v>316</v>
      </c>
    </row>
    <row r="73" ht="17" customHeight="1">
      <c r="A73" s="7" t="s">
        <v>325</v>
      </c>
      <c r="C73" s="10" t="s">
        <v>326</v>
      </c>
      <c r="D73" s="1" t="s">
        <v>68</v>
      </c>
      <c r="E73" s="5" t="str">
        <f t="shared" si="8"/>
        <v>Brodmann</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3" s="5" t="str">
        <f t="shared" si="9"/>
        <v>1913</v>
      </c>
      <c r="H73" s="5" t="str">
        <f t="shared" si="10"/>
        <v>Brodmann__1913</v>
      </c>
      <c r="I73" s="5" t="str">
        <f t="shared" ref="I73:I85" si="13">_xlfn.LET(
_xlpm.doi,IF(C73&lt;&gt;"",C73,_xlfn.TEXTAFTER(A73,"https://doi.org/")),
SUBSTITUTE(
SUBSTITUTE(
SUBSTITUTE(
SUBSTITUTE(
_xlpm.doi,
"/","%2F"),
":","%3A"),
"&lt;","%3C"),
"&gt;","%3E")
)</f>
        <v>OCLC%3A8777719</v>
      </c>
      <c r="J73" s="5" t="str">
        <f t="shared" si="11"/>
        <v>Brodmann__1913_Table1</v>
      </c>
      <c r="K73" s="5" t="str">
        <f t="shared" si="12"/>
        <v>OCLC%3A8777719_Table1</v>
      </c>
      <c r="L73" s="5" t="str">
        <f t="array" ref="L73">IFERROR(INDEX(AUTO_Public_TSV_FileList!$A$1:$A$1000,MATCH(TRUE(),EXACT(K73,IFERROR(_xlfn.TEXTBEFORE(AUTO_Public_TSV_FileList!$A$1:$A$1000,".tsv"),"")),0)),"notfound")</f>
        <v>OCLC%3A8777719_Table1.tsv</v>
      </c>
      <c r="M73" s="1" t="s">
        <v>327</v>
      </c>
      <c r="N73" s="7"/>
      <c r="O73" s="7"/>
      <c r="P73" s="1" t="s">
        <v>36</v>
      </c>
      <c r="Q73" s="7"/>
      <c r="R73" s="7"/>
      <c r="S73" s="7"/>
      <c r="T73" s="7"/>
      <c r="U73" s="7"/>
      <c r="V73" s="7"/>
      <c r="W73" s="1" t="s">
        <v>328</v>
      </c>
      <c r="X73" s="1" t="s">
        <v>329</v>
      </c>
      <c r="Y73" s="7"/>
      <c r="Z73" s="7"/>
      <c r="AA73" s="7"/>
      <c r="AB73" s="1" t="s">
        <v>330</v>
      </c>
      <c r="AC73" s="7"/>
      <c r="AD73" s="7"/>
      <c r="AE73" s="1" t="s">
        <v>66</v>
      </c>
      <c r="AF73" s="1"/>
      <c r="AG73" s="7"/>
    </row>
    <row r="74" ht="17" customHeight="1">
      <c r="A74" s="1" t="s">
        <v>331</v>
      </c>
      <c r="C74" s="10" t="s">
        <v>332</v>
      </c>
      <c r="D74" s="1" t="s">
        <v>333</v>
      </c>
      <c r="E74" s="5" t="str">
        <f t="shared" si="8"/>
        <v>Brodmann</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4" s="5" t="str">
        <f t="shared" si="9"/>
        <v>1913</v>
      </c>
      <c r="H74" s="5" t="str">
        <f t="shared" si="10"/>
        <v>Brodmann__1913</v>
      </c>
      <c r="I74" s="5" t="str">
        <f t="shared" si="13"/>
        <v>10.0000%2Fplaceholder</v>
      </c>
      <c r="J74" s="5" t="str">
        <f t="shared" si="11"/>
        <v>Brodmann__1913_Tabelle1</v>
      </c>
      <c r="K74" s="5" t="str">
        <f t="shared" si="12"/>
        <v>10.0000%2Fplaceholder_Tabelle1</v>
      </c>
      <c r="L74" s="5" t="str">
        <f t="array" ref="L74">IFERROR(INDEX(AUTO_Public_TSV_FileList!$A$1:$A$1000,MATCH(TRUE(),EXACT(K74,IFERROR(_xlfn.TEXTBEFORE(AUTO_Public_TSV_FileList!$A$1:$A$1000,".tsv"),"")),0)),"notfound")</f>
        <v>notfound</v>
      </c>
      <c r="M74" s="7"/>
      <c r="N74" s="7"/>
      <c r="O74" s="7" t="s">
        <v>334</v>
      </c>
      <c r="P74" s="7" t="s">
        <v>36</v>
      </c>
      <c r="Q74" s="7"/>
      <c r="R74" s="7"/>
      <c r="S74" s="7"/>
      <c r="T74" s="7"/>
      <c r="U74" s="7"/>
      <c r="V74" s="7"/>
      <c r="W74" s="1" t="s">
        <v>335</v>
      </c>
      <c r="X74" s="1" t="s">
        <v>214</v>
      </c>
      <c r="Y74" s="7"/>
      <c r="Z74" s="7"/>
      <c r="AA74" s="7"/>
      <c r="AB74" s="1" t="s">
        <v>214</v>
      </c>
      <c r="AC74" s="7"/>
      <c r="AD74" s="7"/>
      <c r="AE74" s="1" t="s">
        <v>66</v>
      </c>
      <c r="AF74" s="1"/>
      <c r="AG74" s="7"/>
    </row>
    <row r="75" ht="17" customHeight="1">
      <c r="A75" s="1" t="s">
        <v>336</v>
      </c>
      <c r="D75" s="1" t="s">
        <v>337</v>
      </c>
      <c r="E75" s="5" t="str">
        <f t="shared" si="8"/>
        <v>Burger</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5" t="str">
        <f t="shared" si="9"/>
        <v>2019</v>
      </c>
      <c r="H75" s="5" t="str">
        <f t="shared" si="10"/>
        <v>Burger_etal_2019</v>
      </c>
      <c r="I75" s="5" t="str">
        <f t="shared" si="13"/>
        <v>10.1093%2Fjmammal%2Fgyz043</v>
      </c>
      <c r="J75" s="5" t="str">
        <f t="shared" si="11"/>
        <v>Burger_etal_2019_SupplementaryDataSD1</v>
      </c>
      <c r="K75" s="5" t="str">
        <f t="shared" si="12"/>
        <v>10.1093%2Fjmammal%2Fgyz043_SupplementaryDataSD1</v>
      </c>
      <c r="L75" s="5" t="str">
        <f t="array" ref="L75">IFERROR(INDEX(AUTO_Public_TSV_FileList!$A$1:$A$1000,MATCH(TRUE(),EXACT(K75,IFERROR(_xlfn.TEXTBEFORE(AUTO_Public_TSV_FileList!$A$1:$A$1000,".tsv"),"")),0)),"notfound")</f>
        <v>10.1093%2Fjmammal%2Fgyz043_SupplementaryDataSD1.tsv</v>
      </c>
      <c r="M75" s="1" t="s">
        <v>338</v>
      </c>
      <c r="N75" s="1" t="s">
        <v>35</v>
      </c>
      <c r="O75" s="7"/>
      <c r="P75" s="1" t="s">
        <v>36</v>
      </c>
      <c r="Q75" s="1" t="s">
        <v>339</v>
      </c>
      <c r="R75" s="7"/>
      <c r="S75" s="7"/>
      <c r="T75" s="7"/>
      <c r="U75" s="7"/>
      <c r="V75" s="1"/>
      <c r="W75" s="1" t="s">
        <v>174</v>
      </c>
      <c r="X75" s="1" t="s">
        <v>340</v>
      </c>
      <c r="Y75" s="7"/>
      <c r="Z75" s="7"/>
      <c r="AA75" s="7"/>
      <c r="AB75" s="1" t="s">
        <v>341</v>
      </c>
      <c r="AC75" s="7"/>
      <c r="AD75" s="7"/>
      <c r="AE75" s="1" t="s">
        <v>215</v>
      </c>
      <c r="AF75" s="1"/>
      <c r="AG75" s="1" t="s">
        <v>342</v>
      </c>
    </row>
    <row r="76" ht="17" customHeight="1">
      <c r="A76" s="1" t="s">
        <v>343</v>
      </c>
      <c r="B76" s="17"/>
      <c r="D76" s="1" t="s">
        <v>344</v>
      </c>
      <c r="E76" s="5" t="str">
        <f t="shared" si="8"/>
        <v>Burish</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5" t="str">
        <f t="shared" si="9"/>
        <v>2010</v>
      </c>
      <c r="H76" s="5" t="str">
        <f t="shared" si="10"/>
        <v>Burish_etal_2010</v>
      </c>
      <c r="I76" s="5" t="str">
        <f t="shared" si="13"/>
        <v>10.1159%2F000319019</v>
      </c>
      <c r="J76" s="5" t="str">
        <f t="shared" si="11"/>
        <v>Burish_etal_2010_SupplementaryTable1</v>
      </c>
      <c r="K76" s="5" t="str">
        <f t="shared" si="12"/>
        <v>10.1159%2F000319019_SupplementaryTable1</v>
      </c>
      <c r="L76" s="5" t="str">
        <f t="array" ref="L76">IFERROR(INDEX(AUTO_Public_TSV_FileList!$A$1:$A$1000,MATCH(TRUE(),EXACT(K76,IFERROR(_xlfn.TEXTBEFORE(AUTO_Public_TSV_FileList!$A$1:$A$1000,".tsv"),"")),0)),"notfound")</f>
        <v>10.1159%2F000319019_SupplementaryTable1.tsv</v>
      </c>
      <c r="M76" s="1" t="s">
        <v>345</v>
      </c>
      <c r="N76" s="7"/>
      <c r="O76" s="7"/>
      <c r="P76" s="1" t="s">
        <v>36</v>
      </c>
      <c r="Q76" s="1"/>
      <c r="R76" s="7"/>
      <c r="S76" s="7"/>
      <c r="T76" s="7"/>
      <c r="U76" s="7"/>
      <c r="V76" s="1"/>
      <c r="W76" s="7" t="s">
        <v>346</v>
      </c>
      <c r="X76" s="1" t="s">
        <v>347</v>
      </c>
      <c r="Y76" s="7"/>
      <c r="Z76" s="7"/>
      <c r="AA76" s="1" t="s">
        <v>63</v>
      </c>
      <c r="AB76" s="1"/>
      <c r="AC76" s="1" t="s">
        <v>65</v>
      </c>
      <c r="AD76" s="1" t="s">
        <v>65</v>
      </c>
      <c r="AE76" s="1"/>
      <c r="AF76" s="1"/>
      <c r="AG76" s="7"/>
    </row>
    <row r="77" ht="17" customHeight="1">
      <c r="A77" s="1" t="s">
        <v>343</v>
      </c>
      <c r="B77" s="17"/>
      <c r="D77" s="1" t="s">
        <v>68</v>
      </c>
      <c r="E77" s="5" t="str">
        <f t="shared" si="8"/>
        <v>Burish</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5" t="str">
        <f t="shared" si="9"/>
        <v>2010</v>
      </c>
      <c r="H77" s="5" t="str">
        <f t="shared" si="10"/>
        <v>Burish_etal_2010</v>
      </c>
      <c r="I77" s="5" t="str">
        <f t="shared" si="13"/>
        <v>10.1159%2F000319019</v>
      </c>
      <c r="J77" s="5" t="str">
        <f t="shared" si="11"/>
        <v>Burish_etal_2010_Table1</v>
      </c>
      <c r="K77" s="5" t="str">
        <f t="shared" si="12"/>
        <v>10.1159%2F000319019_Table1</v>
      </c>
      <c r="L77" s="5" t="str">
        <f t="array" ref="L77">IFERROR(INDEX(AUTO_Public_TSV_FileList!$A$1:$A$1000,MATCH(TRUE(),EXACT(K77,IFERROR(_xlfn.TEXTBEFORE(AUTO_Public_TSV_FileList!$A$1:$A$1000,".tsv"),"")),0)),"notfound")</f>
        <v>10.1159%2F000319019_Table1.tsv</v>
      </c>
      <c r="M77" s="1" t="s">
        <v>348</v>
      </c>
      <c r="N77" s="1" t="s">
        <v>35</v>
      </c>
      <c r="O77" s="7"/>
      <c r="P77" s="1" t="s">
        <v>36</v>
      </c>
      <c r="Q77" s="1"/>
      <c r="R77" s="1" t="s">
        <v>349</v>
      </c>
      <c r="S77" s="1" t="s">
        <v>350</v>
      </c>
      <c r="T77" s="7"/>
      <c r="U77" s="7"/>
      <c r="V77" s="7"/>
      <c r="W77" s="1" t="s">
        <v>346</v>
      </c>
      <c r="X77" s="1" t="s">
        <v>347</v>
      </c>
      <c r="Y77" s="7"/>
      <c r="Z77" s="7"/>
      <c r="AA77" s="1" t="s">
        <v>63</v>
      </c>
      <c r="AB77" s="1"/>
      <c r="AC77" s="1" t="s">
        <v>65</v>
      </c>
      <c r="AD77" s="1" t="s">
        <v>65</v>
      </c>
      <c r="AE77" s="1"/>
      <c r="AF77" s="1"/>
      <c r="AG77" s="7"/>
    </row>
    <row r="78" ht="17" customHeight="1">
      <c r="A78" s="1" t="s">
        <v>351</v>
      </c>
      <c r="B78" s="17"/>
      <c r="D78" s="1" t="s">
        <v>68</v>
      </c>
      <c r="E78" s="5" t="str">
        <f t="shared" si="8"/>
        <v>Bush</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5" t="str">
        <f t="shared" si="9"/>
        <v>2003</v>
      </c>
      <c r="H78" s="5" t="str">
        <f t="shared" si="10"/>
        <v>Bush_Allman_2003</v>
      </c>
      <c r="I78" s="5" t="str">
        <f t="shared" si="13"/>
        <v>10.1159%2F000068880</v>
      </c>
      <c r="J78" s="5" t="str">
        <f t="shared" si="11"/>
        <v>Bush_Allman_2003_Table1</v>
      </c>
      <c r="K78" s="5" t="str">
        <f t="shared" si="12"/>
        <v>10.1159%2F000068880_Table1</v>
      </c>
      <c r="L78" s="5" t="str">
        <f t="array" ref="L78">IFERROR(INDEX(AUTO_Public_TSV_FileList!$A$1:$A$1000,MATCH(TRUE(),EXACT(K78,IFERROR(_xlfn.TEXTBEFORE(AUTO_Public_TSV_FileList!$A$1:$A$1000,".tsv"),"")),0)),"notfound")</f>
        <v>10.1159%2F000068880_Table1.tsv</v>
      </c>
      <c r="M78" s="1"/>
      <c r="N78" s="7"/>
      <c r="O78" s="7"/>
      <c r="P78" s="1" t="s">
        <v>36</v>
      </c>
      <c r="Q78" s="7"/>
      <c r="R78" s="7"/>
      <c r="S78" s="7"/>
      <c r="T78" s="7"/>
      <c r="U78" s="7"/>
      <c r="V78" s="7"/>
      <c r="W78" s="7"/>
      <c r="X78" s="7"/>
      <c r="Y78" s="7"/>
      <c r="Z78" s="7"/>
      <c r="AA78" s="7"/>
      <c r="AB78" s="7"/>
      <c r="AC78" s="1" t="s">
        <v>352</v>
      </c>
      <c r="AD78" s="1" t="s">
        <v>353</v>
      </c>
      <c r="AE78" s="7"/>
      <c r="AF78" s="7"/>
      <c r="AG78" s="7"/>
    </row>
    <row r="79" ht="17" customHeight="1">
      <c r="A79" s="1" t="s">
        <v>354</v>
      </c>
      <c r="B79" s="10" t="s">
        <v>355</v>
      </c>
      <c r="D79" s="1" t="s">
        <v>108</v>
      </c>
      <c r="E79" s="5" t="str">
        <f t="shared" si="8"/>
        <v>Bush</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5" t="str">
        <f t="shared" si="9"/>
        <v>2004</v>
      </c>
      <c r="H79" s="5" t="str">
        <f t="shared" si="10"/>
        <v>Bush_Allman_2004_a</v>
      </c>
      <c r="I79" s="5" t="str">
        <f t="shared" si="13"/>
        <v>10.1073%2Fpnas.0305760101</v>
      </c>
      <c r="J79" s="5" t="str">
        <f t="shared" si="11"/>
        <v>Bush_Allman_2004_a_Table2</v>
      </c>
      <c r="K79" s="5" t="str">
        <f t="shared" si="12"/>
        <v>10.1073%2Fpnas.0305760101_Table2</v>
      </c>
      <c r="L79" s="5" t="str">
        <f t="array" ref="L79">IFERROR(INDEX(AUTO_Public_TSV_FileList!$A$1:$A$1000,MATCH(TRUE(),EXACT(K79,IFERROR(_xlfn.TEXTBEFORE(AUTO_Public_TSV_FileList!$A$1:$A$1000,".tsv"),"")),0)),"notfound")</f>
        <v>10.1073%2Fpnas.0305760101_Table2.tsv</v>
      </c>
      <c r="M79" s="1" t="s">
        <v>356</v>
      </c>
      <c r="N79" s="1" t="s">
        <v>35</v>
      </c>
      <c r="O79" s="7"/>
      <c r="P79" s="1" t="s">
        <v>36</v>
      </c>
      <c r="Q79" s="1"/>
      <c r="R79" s="7"/>
      <c r="S79" s="7"/>
      <c r="T79" s="7"/>
      <c r="U79" s="7"/>
      <c r="V79" s="7"/>
      <c r="W79" s="1" t="s">
        <v>357</v>
      </c>
      <c r="X79" s="1" t="s">
        <v>358</v>
      </c>
      <c r="Y79" s="7"/>
      <c r="Z79" s="1" t="s">
        <v>120</v>
      </c>
      <c r="AA79" s="1" t="s">
        <v>166</v>
      </c>
      <c r="AB79" s="7"/>
      <c r="AC79" s="1" t="s">
        <v>352</v>
      </c>
      <c r="AD79" s="1" t="s">
        <v>353</v>
      </c>
      <c r="AE79" s="7"/>
      <c r="AF79" s="7"/>
      <c r="AG79" s="7"/>
    </row>
    <row r="80" ht="17" customHeight="1">
      <c r="A80" s="1" t="s">
        <v>359</v>
      </c>
      <c r="B80" s="10" t="s">
        <v>360</v>
      </c>
      <c r="D80" s="1" t="s">
        <v>58</v>
      </c>
      <c r="E80" s="5" t="str">
        <f t="shared" si="8"/>
        <v>Bush</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5" t="str">
        <f t="shared" si="9"/>
        <v>2004</v>
      </c>
      <c r="H80" s="5" t="str">
        <f t="shared" si="10"/>
        <v>Bush_Allman_2004_b</v>
      </c>
      <c r="I80" s="5" t="str">
        <f t="shared" si="13"/>
        <v>10.1002%2Far.a.20114</v>
      </c>
      <c r="J80" s="5" t="str">
        <f t="shared" si="11"/>
        <v>Bush_Allman_2004_b_TABLE1</v>
      </c>
      <c r="K80" s="5" t="str">
        <f t="shared" si="12"/>
        <v>10.1002%2Far.a.20114_TABLE1</v>
      </c>
      <c r="L80" s="5" t="str">
        <f t="array" ref="L80">IFERROR(INDEX(AUTO_Public_TSV_FileList!$A$1:$A$1000,MATCH(TRUE(),EXACT(K80,IFERROR(_xlfn.TEXTBEFORE(AUTO_Public_TSV_FileList!$A$1:$A$1000,".tsv"),"")),0)),"notfound")</f>
        <v>10.1002%2Far.a.20114_TABLE1.tsv</v>
      </c>
      <c r="M80" s="1" t="s">
        <v>361</v>
      </c>
      <c r="N80" s="1" t="s">
        <v>35</v>
      </c>
      <c r="O80" s="7"/>
      <c r="P80" s="1" t="s">
        <v>36</v>
      </c>
      <c r="Q80" s="1"/>
      <c r="R80" s="7"/>
      <c r="S80" s="7"/>
      <c r="T80" s="7"/>
      <c r="U80" s="7"/>
      <c r="V80" s="7"/>
      <c r="W80" s="1" t="s">
        <v>137</v>
      </c>
      <c r="X80" s="1" t="s">
        <v>362</v>
      </c>
      <c r="Y80" s="7"/>
      <c r="Z80" s="1" t="s">
        <v>120</v>
      </c>
      <c r="AA80" s="1" t="s">
        <v>363</v>
      </c>
      <c r="AB80" s="7"/>
      <c r="AC80" s="1" t="s">
        <v>352</v>
      </c>
      <c r="AD80" s="1" t="s">
        <v>353</v>
      </c>
      <c r="AE80" s="7"/>
      <c r="AF80" s="7"/>
      <c r="AG80" s="7"/>
    </row>
    <row r="81" ht="17" customHeight="1">
      <c r="A81" s="1" t="s">
        <v>359</v>
      </c>
      <c r="B81" s="1" t="s">
        <v>360</v>
      </c>
      <c r="C81" s="9"/>
      <c r="D81" s="1" t="s">
        <v>91</v>
      </c>
      <c r="E81" s="5" t="str">
        <f t="shared" si="8"/>
        <v>Bush</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5" t="str">
        <f t="shared" si="9"/>
        <v>2004</v>
      </c>
      <c r="H81" s="5" t="str">
        <f t="shared" si="10"/>
        <v>Bush_Allman_2004_b</v>
      </c>
      <c r="I81" s="5" t="str">
        <f t="shared" si="13"/>
        <v>10.1002%2Far.a.20114</v>
      </c>
      <c r="J81" s="5" t="str">
        <f t="shared" si="11"/>
        <v>Bush_Allman_2004_b_TABLE2</v>
      </c>
      <c r="K81" s="5" t="str">
        <f t="shared" si="12"/>
        <v>10.1002%2Far.a.20114_TABLE2</v>
      </c>
      <c r="L81" s="5" t="str">
        <f t="array" ref="L81">IFERROR(INDEX(AUTO_Public_TSV_FileList!$A$1:$A$1000,MATCH(TRUE(),EXACT(K81,IFERROR(_xlfn.TEXTBEFORE(AUTO_Public_TSV_FileList!$A$1:$A$1000,".tsv"),"")),0)),"notfound")</f>
        <v>10.1002%2Far.a.20114_TABLE2.tsv</v>
      </c>
      <c r="M81" s="1"/>
      <c r="N81" s="1"/>
      <c r="O81" s="7"/>
      <c r="P81" s="1" t="s">
        <v>36</v>
      </c>
      <c r="Q81" s="1"/>
      <c r="R81" s="7"/>
      <c r="S81" s="7"/>
      <c r="T81" s="7"/>
      <c r="U81" s="7"/>
      <c r="V81" s="7"/>
      <c r="W81" s="1"/>
      <c r="X81" s="1"/>
      <c r="Y81" s="7"/>
      <c r="Z81" s="1"/>
      <c r="AA81" s="1"/>
      <c r="AB81" s="7"/>
      <c r="AC81" s="1"/>
      <c r="AD81" s="1"/>
      <c r="AE81" s="7"/>
      <c r="AF81" s="7"/>
      <c r="AG81" s="7"/>
    </row>
    <row r="82" ht="17" customHeight="1">
      <c r="A82" s="1" t="s">
        <v>359</v>
      </c>
      <c r="B82" s="10" t="s">
        <v>360</v>
      </c>
      <c r="D82" s="1" t="s">
        <v>94</v>
      </c>
      <c r="E82" s="5" t="str">
        <f t="shared" si="8"/>
        <v>Bush</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5" t="str">
        <f t="shared" si="9"/>
        <v>2004</v>
      </c>
      <c r="H82" s="5" t="str">
        <f t="shared" si="10"/>
        <v>Bush_Allman_2004_b</v>
      </c>
      <c r="I82" s="5" t="str">
        <f t="shared" si="13"/>
        <v>10.1002%2Far.a.20114</v>
      </c>
      <c r="J82" s="5" t="str">
        <f t="shared" si="11"/>
        <v>Bush_Allman_2004_b_TABLE3</v>
      </c>
      <c r="K82" s="5" t="str">
        <f t="shared" si="12"/>
        <v>10.1002%2Far.a.20114_TABLE3</v>
      </c>
      <c r="L82" s="5" t="str">
        <f t="array" ref="L82">IFERROR(INDEX(AUTO_Public_TSV_FileList!$A$1:$A$1000,MATCH(TRUE(),EXACT(K82,IFERROR(_xlfn.TEXTBEFORE(AUTO_Public_TSV_FileList!$A$1:$A$1000,".tsv"),"")),0)),"notfound")</f>
        <v>10.1002%2Far.a.20114_TABLE3.tsv</v>
      </c>
      <c r="M82" s="1"/>
      <c r="N82" s="1"/>
      <c r="O82" s="7"/>
      <c r="P82" s="1" t="s">
        <v>36</v>
      </c>
      <c r="Q82" s="1"/>
      <c r="R82" s="7"/>
      <c r="S82" s="7"/>
      <c r="T82" s="7"/>
      <c r="U82" s="7"/>
      <c r="V82" s="7"/>
      <c r="W82" s="1"/>
      <c r="X82" s="1"/>
      <c r="Y82" s="7"/>
      <c r="Z82" s="1"/>
      <c r="AA82" s="1"/>
      <c r="AB82" s="7"/>
      <c r="AC82" s="1"/>
      <c r="AD82" s="1"/>
      <c r="AE82" s="7"/>
      <c r="AF82" s="7"/>
      <c r="AG82" s="7"/>
    </row>
    <row r="83" ht="17" customHeight="1">
      <c r="A83" s="1" t="s">
        <v>364</v>
      </c>
      <c r="B83" s="10"/>
      <c r="D83" s="1" t="s">
        <v>68</v>
      </c>
      <c r="E83" s="5" t="str">
        <f t="shared" si="8"/>
        <v>Butti</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5" t="str">
        <f t="shared" si="9"/>
        <v>2009</v>
      </c>
      <c r="H83" s="5" t="str">
        <f t="shared" si="10"/>
        <v>Butti_etal_2009</v>
      </c>
      <c r="I83" s="5" t="str">
        <f t="shared" si="13"/>
        <v>10.1002%2Fcne.22055</v>
      </c>
      <c r="J83" s="5" t="str">
        <f t="shared" si="11"/>
        <v>Butti_etal_2009_Table1</v>
      </c>
      <c r="K83" s="5" t="str">
        <f t="shared" si="12"/>
        <v>10.1002%2Fcne.22055_Table1</v>
      </c>
      <c r="L83" s="5" t="str">
        <f t="array" ref="L83">IFERROR(INDEX(AUTO_Public_TSV_FileList!$A$1:$A$1000,MATCH(TRUE(),EXACT(K83,IFERROR(_xlfn.TEXTBEFORE(AUTO_Public_TSV_FileList!$A$1:$A$1000,".tsv"),"")),0)),"notfound")</f>
        <v>10.1002%2Fcne.22055_Table1.tsv</v>
      </c>
      <c r="M83" s="1"/>
      <c r="N83" s="1"/>
      <c r="O83" s="7"/>
      <c r="P83" s="1" t="s">
        <v>36</v>
      </c>
      <c r="Q83" s="1"/>
      <c r="R83" s="7"/>
      <c r="S83" s="7"/>
      <c r="T83" s="7"/>
      <c r="U83" s="7"/>
      <c r="V83" s="7"/>
      <c r="W83" s="1"/>
      <c r="X83" s="1"/>
      <c r="Y83" s="7"/>
      <c r="Z83" s="1"/>
      <c r="AA83" s="1"/>
      <c r="AB83" s="7"/>
      <c r="AC83" s="1"/>
      <c r="AD83" s="1"/>
      <c r="AE83" s="7"/>
      <c r="AF83" s="7"/>
      <c r="AG83" s="7"/>
    </row>
    <row r="84" ht="17" customHeight="1">
      <c r="A84" s="1" t="s">
        <v>364</v>
      </c>
      <c r="B84" s="10"/>
      <c r="D84" s="1" t="s">
        <v>112</v>
      </c>
      <c r="E84" s="5" t="str">
        <f t="shared" si="8"/>
        <v>Butti</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5" t="str">
        <f t="shared" si="9"/>
        <v>2009</v>
      </c>
      <c r="H84" s="5" t="str">
        <f t="shared" si="10"/>
        <v>Butti_etal_2009</v>
      </c>
      <c r="I84" s="5" t="str">
        <f t="shared" si="13"/>
        <v>10.1002%2Fcne.22055</v>
      </c>
      <c r="J84" s="5" t="str">
        <f t="shared" si="11"/>
        <v>Butti_etal_2009_Table5</v>
      </c>
      <c r="K84" s="5" t="str">
        <f t="shared" si="12"/>
        <v>10.1002%2Fcne.22055_Table5</v>
      </c>
      <c r="L84" s="5" t="str">
        <f t="array" ref="L84">IFERROR(INDEX(AUTO_Public_TSV_FileList!$A$1:$A$1000,MATCH(TRUE(),EXACT(K84,IFERROR(_xlfn.TEXTBEFORE(AUTO_Public_TSV_FileList!$A$1:$A$1000,".tsv"),"")),0)),"notfound")</f>
        <v>10.1002%2Fcne.22055_Table5.tsv</v>
      </c>
      <c r="M84" s="1"/>
      <c r="N84" s="1"/>
      <c r="O84" s="7"/>
      <c r="P84" s="1" t="s">
        <v>36</v>
      </c>
      <c r="Q84" s="1"/>
      <c r="R84" s="7"/>
      <c r="S84" s="7"/>
      <c r="T84" s="7"/>
      <c r="U84" s="7"/>
      <c r="V84" s="7"/>
      <c r="W84" s="1"/>
      <c r="X84" s="1"/>
      <c r="Y84" s="7"/>
      <c r="Z84" s="1"/>
      <c r="AA84" s="1"/>
      <c r="AB84" s="7"/>
      <c r="AC84" s="1"/>
      <c r="AD84" s="1"/>
      <c r="AE84" s="7"/>
      <c r="AF84" s="7"/>
      <c r="AG84" s="7"/>
    </row>
    <row r="85" ht="17" customHeight="1">
      <c r="A85" s="1" t="s">
        <v>364</v>
      </c>
      <c r="B85" s="10"/>
      <c r="D85" s="1" t="s">
        <v>365</v>
      </c>
      <c r="E85" s="5" t="str">
        <f t="shared" si="8"/>
        <v>Butti</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5" t="str">
        <f t="shared" si="9"/>
        <v>2009</v>
      </c>
      <c r="H85" s="5" t="str">
        <f t="shared" si="10"/>
        <v>Butti_etal_2009</v>
      </c>
      <c r="I85" s="5" t="str">
        <f t="shared" si="13"/>
        <v>10.1002%2Fcne.22055</v>
      </c>
      <c r="J85" s="5" t="str">
        <f t="shared" si="11"/>
        <v>Butti_etal_2009_Table6</v>
      </c>
      <c r="K85" s="5" t="str">
        <f t="shared" si="12"/>
        <v>10.1002%2Fcne.22055_Table6</v>
      </c>
      <c r="L85" s="5" t="str">
        <f t="array" ref="L85">IFERROR(INDEX(AUTO_Public_TSV_FileList!$A$1:$A$1000,MATCH(TRUE(),EXACT(K85,IFERROR(_xlfn.TEXTBEFORE(AUTO_Public_TSV_FileList!$A$1:$A$1000,".tsv"),"")),0)),"notfound")</f>
        <v>10.1002%2Fcne.22055_Table6.tsv</v>
      </c>
      <c r="M85" s="1"/>
      <c r="N85" s="1"/>
      <c r="O85" s="7"/>
      <c r="P85" s="1" t="s">
        <v>36</v>
      </c>
      <c r="Q85" s="1"/>
      <c r="R85" s="7"/>
      <c r="S85" s="7"/>
      <c r="T85" s="7"/>
      <c r="U85" s="7"/>
      <c r="V85" s="7"/>
      <c r="W85" s="1"/>
      <c r="X85" s="1"/>
      <c r="Y85" s="7"/>
      <c r="Z85" s="1"/>
      <c r="AA85" s="1"/>
      <c r="AB85" s="7"/>
      <c r="AC85" s="1"/>
      <c r="AD85" s="1"/>
      <c r="AE85" s="7"/>
      <c r="AF85" s="7"/>
      <c r="AG85" s="7"/>
    </row>
    <row r="86" ht="17" customHeight="1">
      <c r="A86" s="7" t="s">
        <v>366</v>
      </c>
      <c r="D86" s="7" t="s">
        <v>68</v>
      </c>
      <c r="E86" s="3" t="str">
        <f t="shared" si="8"/>
        <v>Campos</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5" t="str">
        <f t="shared" si="9"/>
        <v>1976</v>
      </c>
      <c r="H86" s="3" t="str">
        <f t="shared" si="10"/>
        <v>Campos_Welker_1976</v>
      </c>
      <c r="I86" s="3" t="str">
        <f>_xlfn.LET(_xlpm.doi,IF(C86&lt;&gt;"",C86,_xlfn.TEXTAFTER(A86,"https://doi.org/")),SUBSTITUTE(SUBSTITUTE(SUBSTITUTE(SUBSTITUTE(_xlpm.doi,"/","%2F"),":","%3A"),"&lt;","%3C"),"&gt;","%3E"))</f>
        <v>10.1159%2F000123814</v>
      </c>
      <c r="J86" s="3" t="str">
        <f t="shared" si="11"/>
        <v>Campos_Welker_1976_Table1</v>
      </c>
      <c r="K86" s="3" t="str">
        <f t="shared" si="12"/>
        <v>10.1159%2F000123814_Table1</v>
      </c>
      <c r="L86" s="5" t="str">
        <f t="array" ref="L86">IFERROR(INDEX(AUTO_Public_TSV_FileList!$A$1:$A$1000,MATCH(TRUE(),EXACT(K86,IFERROR(_xlfn.TEXTBEFORE(AUTO_Public_TSV_FileList!$A$1:$A$1000,".tsv"),"")),0)),"notfound")</f>
        <v>10.1159%2F000123814_Table1.tsv</v>
      </c>
      <c r="M86" s="7" t="s">
        <v>367</v>
      </c>
      <c r="N86" s="7" t="s">
        <v>35</v>
      </c>
      <c r="O86" s="7"/>
      <c r="P86" s="7" t="s">
        <v>36</v>
      </c>
      <c r="Q86" s="7"/>
      <c r="R86" s="7" t="s">
        <v>368</v>
      </c>
      <c r="S86" s="7"/>
      <c r="T86" s="7" t="s">
        <v>369</v>
      </c>
      <c r="U86" s="7"/>
      <c r="V86" s="7" t="s">
        <v>370</v>
      </c>
      <c r="W86" s="7" t="s">
        <v>371</v>
      </c>
      <c r="X86" s="7" t="s">
        <v>372</v>
      </c>
      <c r="Y86" s="7" t="s">
        <v>373</v>
      </c>
      <c r="Z86" s="7"/>
      <c r="AA86" s="7" t="s">
        <v>374</v>
      </c>
      <c r="AB86" s="7" t="s">
        <v>375</v>
      </c>
      <c r="AC86" s="7" t="s">
        <v>376</v>
      </c>
      <c r="AD86" s="7" t="s">
        <v>377</v>
      </c>
      <c r="AE86" s="7" t="s">
        <v>66</v>
      </c>
      <c r="AF86" s="7"/>
      <c r="AG86" s="7"/>
    </row>
    <row r="87" ht="17" customHeight="1">
      <c r="A87" s="1" t="s">
        <v>378</v>
      </c>
      <c r="D87" s="1" t="s">
        <v>379</v>
      </c>
      <c r="E87" s="5" t="str">
        <f t="shared" si="8"/>
        <v>Capellini</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5" t="str">
        <f t="shared" si="9"/>
        <v>2008</v>
      </c>
      <c r="H87" s="5" t="str">
        <f t="shared" si="10"/>
        <v>Capellini_etal_2008</v>
      </c>
      <c r="I87" s="5" t="str">
        <f>_xlfn.LET(
_xlpm.doi,IF(C87&lt;&gt;"",C87,_xlfn.TEXTAFTER(A87,"https://doi.org/")),
SUBSTITUTE(
SUBSTITUTE(
SUBSTITUTE(
SUBSTITUTE(
_xlpm.doi,
"/","%2F"),
":","%3A"),
"&lt;","%3C"),
"&gt;","%3E")
)</f>
        <v>10.1111%2Fj.1558-5646.2008.00392.x</v>
      </c>
      <c r="J87" s="5" t="str">
        <f t="shared" si="11"/>
        <v>Capellini_etal_2008_sleep-dataFemale</v>
      </c>
      <c r="K87" s="5" t="str">
        <f t="shared" si="12"/>
        <v>10.1111%2Fj.1558-5646.2008.00392.x_sleep-dataFemale</v>
      </c>
      <c r="L87" s="5" t="str">
        <f t="array" ref="L87">IFERROR(INDEX(AUTO_Public_TSV_FileList!$A$1:$A$1000,MATCH(TRUE(),EXACT(K87,IFERROR(_xlfn.TEXTBEFORE(AUTO_Public_TSV_FileList!$A$1:$A$1000,".tsv"),"")),0)),"notfound")</f>
        <v>10.1111%2Fj.1558-5646.2008.00392.x_sleep-dataFemale.tsv</v>
      </c>
      <c r="M87" s="7"/>
      <c r="N87" s="1" t="s">
        <v>35</v>
      </c>
      <c r="O87" s="1" t="s">
        <v>380</v>
      </c>
      <c r="P87" s="1" t="s">
        <v>36</v>
      </c>
      <c r="Q87" s="1" t="s">
        <v>381</v>
      </c>
      <c r="R87" s="7"/>
      <c r="S87" s="7"/>
      <c r="T87" s="7"/>
      <c r="U87" s="7"/>
      <c r="V87" s="7"/>
      <c r="W87" s="1" t="s">
        <v>174</v>
      </c>
      <c r="X87" s="1" t="s">
        <v>382</v>
      </c>
      <c r="Y87" s="7"/>
      <c r="Z87" s="7"/>
      <c r="AA87" s="7"/>
      <c r="AB87" s="1" t="s">
        <v>383</v>
      </c>
      <c r="AC87" s="1" t="s">
        <v>384</v>
      </c>
      <c r="AD87" s="7"/>
      <c r="AE87" s="1" t="s">
        <v>215</v>
      </c>
      <c r="AF87" s="1"/>
      <c r="AG87" s="1" t="s">
        <v>385</v>
      </c>
    </row>
    <row r="88" ht="17" customHeight="1">
      <c r="A88" s="1" t="s">
        <v>378</v>
      </c>
      <c r="D88" s="1" t="s">
        <v>386</v>
      </c>
      <c r="E88" s="5" t="str">
        <f t="shared" si="8"/>
        <v>Capellini</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5" t="str">
        <f t="shared" si="9"/>
        <v>2008</v>
      </c>
      <c r="H88" s="5" t="str">
        <f t="shared" si="10"/>
        <v>Capellini_etal_2008</v>
      </c>
      <c r="I88" s="5" t="str">
        <f>_xlfn.LET(
_xlpm.doi,IF(C88&lt;&gt;"",C88,_xlfn.TEXTAFTER(A88,"https://doi.org/")),
SUBSTITUTE(
SUBSTITUTE(
SUBSTITUTE(
SUBSTITUTE(
_xlpm.doi,
"/","%2F"),
":","%3A"),
"&lt;","%3C"),
"&gt;","%3E")
)</f>
        <v>10.1111%2Fj.1558-5646.2008.00392.x</v>
      </c>
      <c r="J88" s="5" t="str">
        <f t="shared" si="11"/>
        <v>Capellini_etal_2008_sleep-dataMale</v>
      </c>
      <c r="K88" s="5" t="str">
        <f t="shared" si="12"/>
        <v>10.1111%2Fj.1558-5646.2008.00392.x_sleep-dataMale</v>
      </c>
      <c r="L88" s="5" t="str">
        <f t="array" ref="L88">IFERROR(INDEX(AUTO_Public_TSV_FileList!$A$1:$A$1000,MATCH(TRUE(),EXACT(K88,IFERROR(_xlfn.TEXTBEFORE(AUTO_Public_TSV_FileList!$A$1:$A$1000,".tsv"),"")),0)),"notfound")</f>
        <v>10.1111%2Fj.1558-5646.2008.00392.x_sleep-dataMale.tsv</v>
      </c>
      <c r="M88" s="7"/>
      <c r="N88" s="1" t="s">
        <v>35</v>
      </c>
      <c r="O88" s="1" t="s">
        <v>387</v>
      </c>
      <c r="P88" s="1" t="s">
        <v>36</v>
      </c>
      <c r="Q88" s="1" t="s">
        <v>388</v>
      </c>
      <c r="R88" s="7"/>
      <c r="S88" s="7"/>
      <c r="T88" s="7"/>
      <c r="U88" s="7"/>
      <c r="V88" s="7"/>
      <c r="W88" s="1" t="s">
        <v>174</v>
      </c>
      <c r="X88" s="1" t="s">
        <v>382</v>
      </c>
      <c r="Y88" s="7"/>
      <c r="Z88" s="7"/>
      <c r="AA88" s="7"/>
      <c r="AB88" s="1" t="s">
        <v>383</v>
      </c>
      <c r="AC88" s="1" t="s">
        <v>384</v>
      </c>
      <c r="AD88" s="7"/>
      <c r="AE88" s="1" t="s">
        <v>215</v>
      </c>
      <c r="AF88" s="1"/>
      <c r="AG88" s="1" t="s">
        <v>385</v>
      </c>
    </row>
    <row r="89" ht="17" customHeight="1">
      <c r="A89" s="1" t="s">
        <v>378</v>
      </c>
      <c r="D89" s="1" t="s">
        <v>389</v>
      </c>
      <c r="E89" s="5" t="str">
        <f t="shared" si="8"/>
        <v>Capellini</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5" t="str">
        <f t="shared" si="9"/>
        <v>2008</v>
      </c>
      <c r="H89" s="5" t="str">
        <f t="shared" si="10"/>
        <v>Capellini_etal_2008</v>
      </c>
      <c r="I89" s="5" t="str">
        <f>_xlfn.LET(
_xlpm.doi,IF(C89&lt;&gt;"",C89,_xlfn.TEXTAFTER(A89,"https://doi.org/")),
SUBSTITUTE(
SUBSTITUTE(
SUBSTITUTE(
SUBSTITUTE(
_xlpm.doi,
"/","%2F"),
":","%3A"),
"&lt;","%3C"),
"&gt;","%3E")
)</f>
        <v>10.1111%2Fj.1558-5646.2008.00392.x</v>
      </c>
      <c r="J89" s="5" t="str">
        <f t="shared" si="11"/>
        <v>Capellini_etal_2008_sleep-dataMixed</v>
      </c>
      <c r="K89" s="5" t="str">
        <f t="shared" si="12"/>
        <v>10.1111%2Fj.1558-5646.2008.00392.x_sleep-dataMixed</v>
      </c>
      <c r="L89" s="5" t="str">
        <f t="array" ref="L89">IFERROR(INDEX(AUTO_Public_TSV_FileList!$A$1:$A$1000,MATCH(TRUE(),EXACT(K89,IFERROR(_xlfn.TEXTBEFORE(AUTO_Public_TSV_FileList!$A$1:$A$1000,".tsv"),"")),0)),"notfound")</f>
        <v>10.1111%2Fj.1558-5646.2008.00392.x_sleep-dataMixed.tsv</v>
      </c>
      <c r="M89" s="7"/>
      <c r="N89" s="1" t="s">
        <v>35</v>
      </c>
      <c r="O89" s="1" t="s">
        <v>390</v>
      </c>
      <c r="P89" s="1" t="s">
        <v>36</v>
      </c>
      <c r="Q89" s="1" t="s">
        <v>391</v>
      </c>
      <c r="R89" s="7"/>
      <c r="S89" s="7"/>
      <c r="T89" s="7"/>
      <c r="U89" s="7"/>
      <c r="V89" s="7"/>
      <c r="W89" s="1" t="s">
        <v>174</v>
      </c>
      <c r="X89" s="1" t="s">
        <v>382</v>
      </c>
      <c r="Y89" s="7"/>
      <c r="Z89" s="7"/>
      <c r="AA89" s="7"/>
      <c r="AB89" s="1" t="s">
        <v>383</v>
      </c>
      <c r="AC89" s="1" t="s">
        <v>384</v>
      </c>
      <c r="AD89" s="7"/>
      <c r="AE89" s="1" t="s">
        <v>215</v>
      </c>
      <c r="AF89" s="1"/>
      <c r="AG89" s="1" t="s">
        <v>385</v>
      </c>
    </row>
    <row r="90" ht="17" customHeight="1">
      <c r="A90" s="9" t="s">
        <v>392</v>
      </c>
      <c r="D90" s="9" t="s">
        <v>393</v>
      </c>
      <c r="E90" s="3" t="str">
        <f t="shared" si="8"/>
        <v>Carlo</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5" t="str">
        <f t="shared" si="9"/>
        <v>2013</v>
      </c>
      <c r="H90" s="3" t="str">
        <f t="shared" si="10"/>
        <v>Carlo_Stevens_2013</v>
      </c>
      <c r="I90" s="3" t="str">
        <f>_xlfn.LET(_xlpm.doi,IF(C90&lt;&gt;"",C90,_xlfn.TEXTAFTER(A90,"https://doi.org/")),SUBSTITUTE(SUBSTITUTE(SUBSTITUTE(SUBSTITUTE(_xlpm.doi,"/","%2F"),":","%3A"),"&lt;","%3C"),"&gt;","%3E"))</f>
        <v>10.1073%2Fpnas.1221398110</v>
      </c>
      <c r="J90" s="3" t="str">
        <f t="shared" si="11"/>
        <v>Carlo_Stevens_2013_Figure2</v>
      </c>
      <c r="K90" s="5" t="str">
        <f t="shared" si="12"/>
        <v>10.1073%2Fpnas.1221398110_Figure2</v>
      </c>
      <c r="L90" s="5" t="str">
        <f t="array" ref="L90">IFERROR(INDEX(AUTO_Public_TSV_FileList!$A$1:$A$1000,MATCH(TRUE(),EXACT(K90,IFERROR(_xlfn.TEXTBEFORE(AUTO_Public_TSV_FileList!$A$1:$A$1000,".tsv"),"")),0)),"notfound")</f>
        <v>notfound</v>
      </c>
      <c r="M90" s="9" t="s">
        <v>394</v>
      </c>
      <c r="N90" s="9" t="s">
        <v>395</v>
      </c>
      <c r="O90" s="9" t="s">
        <v>396</v>
      </c>
      <c r="P90" s="9" t="s">
        <v>78</v>
      </c>
      <c r="Q90" s="9"/>
      <c r="R90" s="9" t="s">
        <v>397</v>
      </c>
      <c r="S90" s="9" t="s">
        <v>80</v>
      </c>
      <c r="T90" s="9" t="s">
        <v>398</v>
      </c>
      <c r="U90" s="9"/>
      <c r="V90" s="9" t="s">
        <v>399</v>
      </c>
      <c r="W90" s="9" t="s">
        <v>400</v>
      </c>
      <c r="X90" s="9" t="s">
        <v>401</v>
      </c>
      <c r="Y90" s="9"/>
      <c r="Z90" s="9" t="s">
        <v>120</v>
      </c>
      <c r="AA90" s="9" t="s">
        <v>402</v>
      </c>
      <c r="AB90" s="9" t="s">
        <v>403</v>
      </c>
      <c r="AC90" s="9" t="s">
        <v>404</v>
      </c>
      <c r="AD90" s="9"/>
      <c r="AE90" s="9" t="s">
        <v>66</v>
      </c>
      <c r="AF90" s="9"/>
      <c r="AG90" s="9" t="s">
        <v>405</v>
      </c>
    </row>
    <row r="91" ht="17" customHeight="1">
      <c r="A91" s="9" t="s">
        <v>392</v>
      </c>
      <c r="D91" s="9" t="s">
        <v>286</v>
      </c>
      <c r="E91" s="3" t="str">
        <f t="shared" si="8"/>
        <v>Carlo</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5" t="str">
        <f t="shared" si="9"/>
        <v>2013</v>
      </c>
      <c r="H91" s="3" t="str">
        <f t="shared" si="10"/>
        <v>Carlo_Stevens_2013</v>
      </c>
      <c r="I91" s="3" t="str">
        <f>_xlfn.LET(_xlpm.doi,IF(C91&lt;&gt;"",C91,_xlfn.TEXTAFTER(A91,"https://doi.org/")),SUBSTITUTE(SUBSTITUTE(SUBSTITUTE(SUBSTITUTE(_xlpm.doi,"/","%2F"),":","%3A"),"&lt;","%3C"),"&gt;","%3E"))</f>
        <v>10.1073%2Fpnas.1221398110</v>
      </c>
      <c r="J91" s="3" t="str">
        <f t="shared" si="11"/>
        <v>Carlo_Stevens_2013_TableS1</v>
      </c>
      <c r="K91" s="5" t="str">
        <f t="shared" si="12"/>
        <v>10.1073%2Fpnas.1221398110_TableS1</v>
      </c>
      <c r="L91" s="5" t="str">
        <f t="array" ref="L91">IFERROR(INDEX(AUTO_Public_TSV_FileList!$A$1:$A$1000,MATCH(TRUE(),EXACT(K91,IFERROR(_xlfn.TEXTBEFORE(AUTO_Public_TSV_FileList!$A$1:$A$1000,".tsv"),"")),0)),"notfound")</f>
        <v>notfound</v>
      </c>
      <c r="M91" s="9" t="s">
        <v>406</v>
      </c>
      <c r="N91" s="9"/>
      <c r="O91" s="9"/>
      <c r="P91" s="9"/>
      <c r="Q91" s="9"/>
      <c r="R91" s="9"/>
      <c r="S91" s="9"/>
      <c r="T91" s="9"/>
      <c r="U91" s="9"/>
      <c r="V91" s="9"/>
      <c r="W91" s="9"/>
      <c r="X91" s="9"/>
      <c r="Y91" s="9"/>
      <c r="Z91" s="9"/>
      <c r="AA91" s="9"/>
      <c r="AB91" s="9"/>
      <c r="AC91" s="9"/>
      <c r="AD91" s="9"/>
      <c r="AE91" s="9"/>
      <c r="AF91" s="9"/>
      <c r="AG91" s="9"/>
    </row>
    <row r="92" ht="17" customHeight="1">
      <c r="A92" s="1" t="s">
        <v>407</v>
      </c>
      <c r="D92" s="1" t="s">
        <v>408</v>
      </c>
      <c r="E92" s="5" t="str">
        <f t="shared" si="8"/>
        <v>Caspar</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5" t="str">
        <f t="shared" si="9"/>
        <v>2022</v>
      </c>
      <c r="H92" s="5" t="str">
        <f t="shared" si="10"/>
        <v>Caspar_etal_2022</v>
      </c>
      <c r="I92" s="5" t="str">
        <f t="shared" ref="I92:I106" si="14">_xlfn.LET(
_xlpm.doi,IF(C92&lt;&gt;"",C92,_xlfn.TEXTAFTER(A92,"https://doi.org/")),
SUBSTITUTE(
SUBSTITUTE(
SUBSTITUTE(
SUBSTITUTE(
_xlpm.doi,
"/","%2F"),
":","%3A"),
"&lt;","%3C"),
"&gt;","%3E")
)</f>
        <v>10.7554%2FeLife.77875</v>
      </c>
      <c r="J92" s="5" t="str">
        <f t="shared" si="11"/>
        <v>Caspar_etal_2022_Supplementaryfile3</v>
      </c>
      <c r="K92" s="5" t="str">
        <f t="shared" si="12"/>
        <v>10.7554%2FeLife.77875_Supplementaryfile3</v>
      </c>
      <c r="L92" s="5" t="str">
        <f t="array" ref="L92">IFERROR(INDEX(AUTO_Public_TSV_FileList!$A$1:$A$1000,MATCH(TRUE(),EXACT(K92,IFERROR(_xlfn.TEXTBEFORE(AUTO_Public_TSV_FileList!$A$1:$A$1000,".tsv"),"")),0)),"notfound")</f>
        <v>10.7554%2FeLife.77875_Supplementaryfile3.tsv</v>
      </c>
      <c r="M92" s="1" t="s">
        <v>409</v>
      </c>
      <c r="N92" s="1" t="s">
        <v>35</v>
      </c>
      <c r="O92" s="7"/>
      <c r="P92" s="1" t="s">
        <v>36</v>
      </c>
      <c r="Q92" s="1" t="s">
        <v>410</v>
      </c>
      <c r="R92" s="1" t="s">
        <v>411</v>
      </c>
      <c r="S92" s="7"/>
      <c r="T92" s="7"/>
      <c r="U92" s="7"/>
      <c r="V92" s="7"/>
      <c r="W92" s="1" t="s">
        <v>137</v>
      </c>
      <c r="X92" s="1" t="s">
        <v>412</v>
      </c>
      <c r="Y92" s="7"/>
      <c r="Z92" s="7"/>
      <c r="AA92" s="7"/>
      <c r="AB92" s="1" t="s">
        <v>413</v>
      </c>
      <c r="AC92" s="7"/>
      <c r="AD92" s="7"/>
      <c r="AE92" s="1" t="s">
        <v>215</v>
      </c>
      <c r="AF92" s="1"/>
      <c r="AG92" s="7"/>
    </row>
    <row r="93" ht="17" customHeight="1">
      <c r="A93" s="1" t="s">
        <v>407</v>
      </c>
      <c r="B93" s="17"/>
      <c r="C93" s="17"/>
      <c r="D93" s="1" t="s">
        <v>68</v>
      </c>
      <c r="E93" s="5" t="str">
        <f t="shared" si="8"/>
        <v>Caspar</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5" t="str">
        <f t="shared" si="9"/>
        <v>2022</v>
      </c>
      <c r="H93" s="5" t="str">
        <f t="shared" si="10"/>
        <v>Caspar_etal_2022</v>
      </c>
      <c r="I93" s="5" t="str">
        <f t="shared" si="14"/>
        <v>10.7554%2FeLife.77875</v>
      </c>
      <c r="J93" s="5" t="str">
        <f t="shared" si="11"/>
        <v>Caspar_etal_2022_Table1</v>
      </c>
      <c r="K93" s="5" t="str">
        <f t="shared" si="12"/>
        <v>10.7554%2FeLife.77875_Table1</v>
      </c>
      <c r="L93" s="5" t="str">
        <f t="array" ref="L93">IFERROR(INDEX(AUTO_Public_TSV_FileList!$A$1:$A$1000,MATCH(TRUE(),EXACT(K93,IFERROR(_xlfn.TEXTBEFORE(AUTO_Public_TSV_FileList!$A$1:$A$1000,".tsv"),"")),0)),"notfound")</f>
        <v>10.7554%2FeLife.77875_Table1.tsv</v>
      </c>
      <c r="M93" s="1" t="s">
        <v>414</v>
      </c>
      <c r="N93" s="1" t="s">
        <v>35</v>
      </c>
      <c r="O93" s="7"/>
      <c r="P93" s="1" t="s">
        <v>36</v>
      </c>
      <c r="Q93" s="1"/>
      <c r="R93" s="1" t="s">
        <v>415</v>
      </c>
      <c r="S93" s="7"/>
      <c r="T93" s="7"/>
      <c r="U93" s="7"/>
      <c r="V93" s="7"/>
      <c r="W93" s="1" t="s">
        <v>137</v>
      </c>
      <c r="X93" s="1" t="s">
        <v>416</v>
      </c>
      <c r="Y93" s="7"/>
      <c r="Z93" s="7"/>
      <c r="AA93" s="7"/>
      <c r="AB93" s="1" t="s">
        <v>417</v>
      </c>
      <c r="AC93" s="7"/>
      <c r="AD93" s="7"/>
      <c r="AE93" s="1" t="s">
        <v>215</v>
      </c>
      <c r="AF93" s="1"/>
      <c r="AG93" s="1" t="s">
        <v>418</v>
      </c>
    </row>
    <row r="94" ht="17" customHeight="1">
      <c r="A94" s="1" t="s">
        <v>419</v>
      </c>
      <c r="D94" s="1" t="s">
        <v>286</v>
      </c>
      <c r="E94" s="5" t="str">
        <f t="shared" si="8"/>
        <v>Caves</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5" t="str">
        <f t="shared" si="9"/>
        <v>2018</v>
      </c>
      <c r="H94" s="5" t="str">
        <f t="shared" si="10"/>
        <v>Caves_etal_2018</v>
      </c>
      <c r="I94" s="5" t="str">
        <f t="shared" si="14"/>
        <v>10.1016%2Fj.tree.2018.03.001</v>
      </c>
      <c r="J94" s="5" t="str">
        <f t="shared" si="11"/>
        <v>Caves_etal_2018_TableS1</v>
      </c>
      <c r="K94" s="5" t="str">
        <f t="shared" si="12"/>
        <v>10.1016%2Fj.tree.2018.03.001_TableS1</v>
      </c>
      <c r="L94" s="5" t="str">
        <f t="array" ref="L94">IFERROR(INDEX(AUTO_Public_TSV_FileList!$A$1:$A$1000,MATCH(TRUE(),EXACT(K94,IFERROR(_xlfn.TEXTBEFORE(AUTO_Public_TSV_FileList!$A$1:$A$1000,".tsv"),"")),0)),"notfound")</f>
        <v>10.1016%2Fj.tree.2018.03.001_TableS1.tsv</v>
      </c>
      <c r="M94" s="7"/>
      <c r="N94" s="7"/>
      <c r="O94" s="7"/>
      <c r="P94" s="1" t="s">
        <v>36</v>
      </c>
      <c r="Q94" s="7"/>
      <c r="R94" s="7"/>
      <c r="S94" s="7"/>
      <c r="T94" s="7"/>
      <c r="U94" s="7"/>
      <c r="V94" s="7"/>
      <c r="W94" s="7"/>
      <c r="X94" s="7"/>
      <c r="Y94" s="7"/>
      <c r="Z94" s="7"/>
      <c r="AA94" s="7"/>
      <c r="AB94" s="7"/>
      <c r="AC94" s="7"/>
      <c r="AD94" s="7"/>
      <c r="AE94" s="7"/>
      <c r="AF94" s="7"/>
      <c r="AG94" s="7"/>
    </row>
    <row r="95" ht="17" customHeight="1">
      <c r="A95" s="1" t="s">
        <v>420</v>
      </c>
      <c r="D95" s="1" t="s">
        <v>421</v>
      </c>
      <c r="E95" s="5" t="str">
        <f t="shared" si="8"/>
        <v>Changizi</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5" s="5" t="str">
        <f t="shared" si="9"/>
        <v>2001</v>
      </c>
      <c r="H95" s="5" t="str">
        <f t="shared" si="10"/>
        <v>Changizi__2001</v>
      </c>
      <c r="I95" s="5" t="str">
        <f t="shared" si="14"/>
        <v>10.1007%2Fs004220000205</v>
      </c>
      <c r="J95" s="5" t="str">
        <f t="shared" si="11"/>
        <v>Changizi__2001_Figure3</v>
      </c>
      <c r="K95" s="5" t="str">
        <f t="shared" si="12"/>
        <v>10.1007%2Fs004220000205_Figure3</v>
      </c>
      <c r="L95" s="5" t="str">
        <f t="array" ref="L95">IFERROR(INDEX(AUTO_Public_TSV_FileList!$A$1:$A$1000,MATCH(TRUE(),EXACT(K95,IFERROR(_xlfn.TEXTBEFORE(AUTO_Public_TSV_FileList!$A$1:$A$1000,".tsv"),"")),0)),"notfound")</f>
        <v>10.1007%2Fs004220000205_Figure3.tsv</v>
      </c>
      <c r="M95" s="7"/>
      <c r="N95" s="1" t="s">
        <v>422</v>
      </c>
      <c r="O95" s="7"/>
      <c r="P95" s="1" t="s">
        <v>36</v>
      </c>
      <c r="Q95" s="1"/>
      <c r="R95" s="7"/>
      <c r="S95" s="7"/>
      <c r="T95" s="7"/>
      <c r="U95" s="7"/>
      <c r="V95" s="7"/>
      <c r="W95" s="1" t="s">
        <v>174</v>
      </c>
      <c r="X95" s="1" t="s">
        <v>423</v>
      </c>
      <c r="Y95" s="7"/>
      <c r="Z95" s="7"/>
      <c r="AA95" s="7"/>
      <c r="AB95" s="1" t="s">
        <v>424</v>
      </c>
      <c r="AC95" s="7"/>
      <c r="AD95" s="7"/>
      <c r="AE95" s="1" t="s">
        <v>215</v>
      </c>
      <c r="AF95" s="1"/>
      <c r="AG95" s="1" t="s">
        <v>425</v>
      </c>
    </row>
    <row r="96" ht="17" customHeight="1">
      <c r="A96" s="11" t="s">
        <v>426</v>
      </c>
      <c r="B96" s="2"/>
      <c r="C96" s="2"/>
      <c r="D96" s="11" t="s">
        <v>68</v>
      </c>
      <c r="E96" s="5" t="str">
        <f t="shared" si="8"/>
        <v>Changizi</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96" s="5" t="str">
        <f t="shared" si="9"/>
        <v>2003</v>
      </c>
      <c r="H96" s="5" t="str">
        <f t="shared" si="10"/>
        <v>Changizi__2003</v>
      </c>
      <c r="I96" s="5" t="str">
        <f t="shared" si="14"/>
        <v>10.1006%2Fjtbi.2003.3125</v>
      </c>
      <c r="J96" s="5" t="str">
        <f t="shared" si="11"/>
        <v>Changizi__2003_Table1</v>
      </c>
      <c r="K96" s="5" t="str">
        <f t="shared" si="12"/>
        <v>10.1006%2Fjtbi.2003.3125_Table1</v>
      </c>
      <c r="L96" s="5" t="str">
        <f t="array" ref="L96">IFERROR(INDEX(AUTO_Public_TSV_FileList!$A$1:$A$1000,MATCH(TRUE(),EXACT(K96,IFERROR(_xlfn.TEXTBEFORE(AUTO_Public_TSV_FileList!$A$1:$A$1000,".tsv"),"")),0)),"notfound")</f>
        <v>10.1006%2Fjtbi.2003.3125_Table1.tsv</v>
      </c>
      <c r="M96" s="6" t="s">
        <v>427</v>
      </c>
      <c r="N96" s="1" t="s">
        <v>35</v>
      </c>
      <c r="O96" s="6"/>
      <c r="P96" s="7" t="s">
        <v>36</v>
      </c>
      <c r="Q96" s="6"/>
      <c r="R96" s="6" t="s">
        <v>428</v>
      </c>
      <c r="S96" s="6" t="s">
        <v>429</v>
      </c>
      <c r="T96" s="6" t="s">
        <v>430</v>
      </c>
      <c r="U96" s="6"/>
      <c r="V96" s="6" t="s">
        <v>431</v>
      </c>
      <c r="W96" s="11" t="s">
        <v>174</v>
      </c>
      <c r="X96" s="6" t="s">
        <v>432</v>
      </c>
      <c r="Y96" s="6" t="s">
        <v>432</v>
      </c>
      <c r="Z96" s="6"/>
      <c r="AA96" s="6"/>
      <c r="AB96" s="11" t="s">
        <v>433</v>
      </c>
      <c r="AC96" s="7"/>
      <c r="AD96" s="6"/>
      <c r="AE96" s="11" t="s">
        <v>51</v>
      </c>
      <c r="AF96" s="11"/>
      <c r="AG96" s="7" t="s">
        <v>434</v>
      </c>
    </row>
    <row r="97" ht="17" customHeight="1">
      <c r="A97" s="1" t="s">
        <v>435</v>
      </c>
      <c r="D97" s="1" t="s">
        <v>68</v>
      </c>
      <c r="E97" s="5" t="str">
        <f t="shared" si="8"/>
        <v>Changizi</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5" t="str">
        <f t="shared" si="9"/>
        <v>2005</v>
      </c>
      <c r="H97" s="5" t="str">
        <f t="shared" si="10"/>
        <v>Changizi_Shimojo_2005</v>
      </c>
      <c r="I97" s="5" t="str">
        <f t="shared" si="14"/>
        <v>10.1159%2F000085942</v>
      </c>
      <c r="J97" s="5" t="str">
        <f t="shared" si="11"/>
        <v>Changizi_Shimojo_2005_Table1</v>
      </c>
      <c r="K97" s="5" t="str">
        <f t="shared" si="12"/>
        <v>10.1159%2F000085942_Table1</v>
      </c>
      <c r="L97" s="5" t="str">
        <f t="array" ref="L97">IFERROR(INDEX(AUTO_Public_TSV_FileList!$A$1:$A$1000,MATCH(TRUE(),EXACT(K97,IFERROR(_xlfn.TEXTBEFORE(AUTO_Public_TSV_FileList!$A$1:$A$1000,".tsv"),"")),0)),"notfound")</f>
        <v>10.1159%2F000085942_Table1.tsv</v>
      </c>
      <c r="M97" s="7"/>
      <c r="N97" s="1" t="s">
        <v>35</v>
      </c>
      <c r="O97" s="7"/>
      <c r="P97" s="1" t="s">
        <v>36</v>
      </c>
      <c r="Q97" s="1"/>
      <c r="R97" s="7"/>
      <c r="S97" s="7"/>
      <c r="T97" s="7"/>
      <c r="U97" s="7"/>
      <c r="V97" s="7"/>
      <c r="W97" s="1" t="s">
        <v>174</v>
      </c>
      <c r="X97" s="1" t="s">
        <v>436</v>
      </c>
      <c r="Y97" s="7"/>
      <c r="Z97" s="7"/>
      <c r="AA97" s="7"/>
      <c r="AB97" s="1" t="s">
        <v>437</v>
      </c>
      <c r="AC97" s="1" t="s">
        <v>438</v>
      </c>
      <c r="AD97" s="7"/>
      <c r="AE97" s="1" t="s">
        <v>51</v>
      </c>
      <c r="AF97" s="1"/>
      <c r="AG97" s="1" t="s">
        <v>439</v>
      </c>
    </row>
    <row r="98" ht="17" customHeight="1">
      <c r="A98" s="1" t="s">
        <v>435</v>
      </c>
      <c r="D98" s="1" t="s">
        <v>108</v>
      </c>
      <c r="E98" s="5" t="str">
        <f t="shared" si="8"/>
        <v>Changizi</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5" t="str">
        <f t="shared" si="9"/>
        <v>2005</v>
      </c>
      <c r="H98" s="5" t="str">
        <f t="shared" si="10"/>
        <v>Changizi_Shimojo_2005</v>
      </c>
      <c r="I98" s="5" t="str">
        <f t="shared" si="14"/>
        <v>10.1159%2F000085942</v>
      </c>
      <c r="J98" s="5" t="str">
        <f t="shared" si="11"/>
        <v>Changizi_Shimojo_2005_Table2</v>
      </c>
      <c r="K98" s="5" t="str">
        <f t="shared" si="12"/>
        <v>10.1159%2F000085942_Table2</v>
      </c>
      <c r="L98" s="5" t="str">
        <f t="array" ref="L98">IFERROR(INDEX(AUTO_Public_TSV_FileList!$A$1:$A$1000,MATCH(TRUE(),EXACT(K98,IFERROR(_xlfn.TEXTBEFORE(AUTO_Public_TSV_FileList!$A$1:$A$1000,".tsv"),"")),0)),"notfound")</f>
        <v>10.1159%2F000085942_Table2.tsv</v>
      </c>
      <c r="M98" s="7"/>
      <c r="N98" s="1" t="s">
        <v>35</v>
      </c>
      <c r="O98" s="7"/>
      <c r="P98" s="1" t="s">
        <v>36</v>
      </c>
      <c r="Q98" s="1"/>
      <c r="R98" s="7"/>
      <c r="S98" s="7"/>
      <c r="T98" s="7"/>
      <c r="U98" s="7"/>
      <c r="V98" s="7"/>
      <c r="W98" s="1" t="s">
        <v>174</v>
      </c>
      <c r="X98" s="1" t="s">
        <v>440</v>
      </c>
      <c r="Y98" s="7"/>
      <c r="Z98" s="7"/>
      <c r="AA98" s="7"/>
      <c r="AB98" s="1" t="s">
        <v>441</v>
      </c>
      <c r="AC98" s="1" t="s">
        <v>438</v>
      </c>
      <c r="AD98" s="7"/>
      <c r="AE98" s="1" t="s">
        <v>66</v>
      </c>
      <c r="AF98" s="1"/>
      <c r="AG98" s="1" t="s">
        <v>442</v>
      </c>
    </row>
    <row r="99" ht="17" customHeight="1">
      <c r="A99" s="1" t="s">
        <v>435</v>
      </c>
      <c r="D99" s="1" t="s">
        <v>110</v>
      </c>
      <c r="E99" s="5" t="str">
        <f t="shared" si="8"/>
        <v>Changizi</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5" t="str">
        <f t="shared" si="9"/>
        <v>2005</v>
      </c>
      <c r="H99" s="5" t="str">
        <f t="shared" si="10"/>
        <v>Changizi_Shimojo_2005</v>
      </c>
      <c r="I99" s="5" t="str">
        <f t="shared" si="14"/>
        <v>10.1159%2F000085942</v>
      </c>
      <c r="J99" s="5" t="str">
        <f t="shared" si="11"/>
        <v>Changizi_Shimojo_2005_Table3</v>
      </c>
      <c r="K99" s="5" t="str">
        <f t="shared" si="12"/>
        <v>10.1159%2F000085942_Table3</v>
      </c>
      <c r="L99" s="5" t="str">
        <f t="array" ref="L99">IFERROR(INDEX(AUTO_Public_TSV_FileList!$A$1:$A$1000,MATCH(TRUE(),EXACT(K99,IFERROR(_xlfn.TEXTBEFORE(AUTO_Public_TSV_FileList!$A$1:$A$1000,".tsv"),"")),0)),"notfound")</f>
        <v>10.1159%2F000085942_Table3.tsv</v>
      </c>
      <c r="M99" s="7"/>
      <c r="N99" s="1" t="s">
        <v>35</v>
      </c>
      <c r="O99" s="7"/>
      <c r="P99" s="1" t="s">
        <v>36</v>
      </c>
      <c r="Q99" s="1"/>
      <c r="R99" s="7"/>
      <c r="S99" s="7"/>
      <c r="T99" s="7"/>
      <c r="U99" s="7"/>
      <c r="V99" s="7"/>
      <c r="W99" s="1" t="s">
        <v>174</v>
      </c>
      <c r="X99" s="1" t="s">
        <v>443</v>
      </c>
      <c r="Y99" s="7"/>
      <c r="Z99" s="7"/>
      <c r="AA99" s="7"/>
      <c r="AB99" s="1" t="s">
        <v>444</v>
      </c>
      <c r="AC99" s="1" t="s">
        <v>438</v>
      </c>
      <c r="AD99" s="7"/>
      <c r="AE99" s="1" t="s">
        <v>215</v>
      </c>
      <c r="AF99" s="1"/>
      <c r="AG99" s="1" t="s">
        <v>445</v>
      </c>
    </row>
    <row r="100" ht="17" customHeight="1">
      <c r="A100" s="1" t="s">
        <v>435</v>
      </c>
      <c r="D100" s="1" t="s">
        <v>34</v>
      </c>
      <c r="E100" s="5" t="str">
        <f t="shared" si="8"/>
        <v>Changizi</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5" t="str">
        <f t="shared" si="9"/>
        <v>2005</v>
      </c>
      <c r="H100" s="5" t="str">
        <f t="shared" si="10"/>
        <v>Changizi_Shimojo_2005</v>
      </c>
      <c r="I100" s="5" t="str">
        <f t="shared" si="14"/>
        <v>10.1159%2F000085942</v>
      </c>
      <c r="J100" s="5" t="str">
        <f t="shared" si="11"/>
        <v>Changizi_Shimojo_2005_Table4</v>
      </c>
      <c r="K100" s="5" t="str">
        <f t="shared" si="12"/>
        <v>10.1159%2F000085942_Table4</v>
      </c>
      <c r="L100" s="5" t="str">
        <f t="array" ref="L100">IFERROR(INDEX(AUTO_Public_TSV_FileList!$A$1:$A$1000,MATCH(TRUE(),EXACT(K100,IFERROR(_xlfn.TEXTBEFORE(AUTO_Public_TSV_FileList!$A$1:$A$1000,".tsv"),"")),0)),"notfound")</f>
        <v>10.1159%2F000085942_Table4.tsv</v>
      </c>
      <c r="M100" s="7"/>
      <c r="N100" s="1" t="s">
        <v>35</v>
      </c>
      <c r="O100" s="7"/>
      <c r="P100" s="1" t="s">
        <v>36</v>
      </c>
      <c r="Q100" s="1"/>
      <c r="R100" s="7"/>
      <c r="S100" s="7"/>
      <c r="T100" s="7"/>
      <c r="U100" s="7"/>
      <c r="V100" s="7"/>
      <c r="W100" s="1" t="s">
        <v>174</v>
      </c>
      <c r="X100" s="1" t="s">
        <v>446</v>
      </c>
      <c r="Y100" s="7"/>
      <c r="Z100" s="7"/>
      <c r="AA100" s="7"/>
      <c r="AB100" s="1" t="s">
        <v>447</v>
      </c>
      <c r="AC100" s="1" t="s">
        <v>438</v>
      </c>
      <c r="AD100" s="7"/>
      <c r="AE100" s="1" t="s">
        <v>215</v>
      </c>
      <c r="AF100" s="1"/>
      <c r="AG100" s="1" t="s">
        <v>448</v>
      </c>
    </row>
    <row r="101" ht="17" customHeight="1">
      <c r="A101" s="1" t="s">
        <v>435</v>
      </c>
      <c r="D101" s="1" t="s">
        <v>112</v>
      </c>
      <c r="E101" s="5" t="str">
        <f t="shared" si="8"/>
        <v>Changizi</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5" t="str">
        <f t="shared" si="9"/>
        <v>2005</v>
      </c>
      <c r="H101" s="5" t="str">
        <f t="shared" si="10"/>
        <v>Changizi_Shimojo_2005</v>
      </c>
      <c r="I101" s="5" t="str">
        <f t="shared" si="14"/>
        <v>10.1159%2F000085942</v>
      </c>
      <c r="J101" s="5" t="str">
        <f t="shared" si="11"/>
        <v>Changizi_Shimojo_2005_Table5</v>
      </c>
      <c r="K101" s="5" t="str">
        <f t="shared" si="12"/>
        <v>10.1159%2F000085942_Table5</v>
      </c>
      <c r="L101" s="5" t="str">
        <f t="array" ref="L101">IFERROR(INDEX(AUTO_Public_TSV_FileList!$A$1:$A$1000,MATCH(TRUE(),EXACT(K101,IFERROR(_xlfn.TEXTBEFORE(AUTO_Public_TSV_FileList!$A$1:$A$1000,".tsv"),"")),0)),"notfound")</f>
        <v>10.1159%2F000085942_Table5.tsv</v>
      </c>
      <c r="M101" s="7"/>
      <c r="N101" s="1" t="s">
        <v>35</v>
      </c>
      <c r="O101" s="7"/>
      <c r="P101" s="1" t="s">
        <v>36</v>
      </c>
      <c r="Q101" s="1"/>
      <c r="R101" s="7"/>
      <c r="S101" s="7"/>
      <c r="T101" s="7"/>
      <c r="U101" s="7"/>
      <c r="V101" s="7"/>
      <c r="W101" s="1" t="s">
        <v>174</v>
      </c>
      <c r="X101" s="1" t="s">
        <v>449</v>
      </c>
      <c r="Y101" s="7"/>
      <c r="Z101" s="7"/>
      <c r="AA101" s="7"/>
      <c r="AB101" s="1" t="s">
        <v>450</v>
      </c>
      <c r="AC101" s="1" t="s">
        <v>438</v>
      </c>
      <c r="AD101" s="7"/>
      <c r="AE101" s="1" t="s">
        <v>215</v>
      </c>
      <c r="AF101" s="1"/>
      <c r="AG101" s="1" t="s">
        <v>451</v>
      </c>
    </row>
    <row r="102" ht="17" customHeight="1">
      <c r="A102" s="7" t="s">
        <v>452</v>
      </c>
      <c r="D102" s="7" t="s">
        <v>453</v>
      </c>
      <c r="E102" s="5" t="str">
        <f t="shared" si="8"/>
        <v>Chaplin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5" t="str">
        <f t="shared" si="9"/>
        <v>2013</v>
      </c>
      <c r="H102" s="5" t="str">
        <f t="shared" si="10"/>
        <v>Chaplin_etal_2013</v>
      </c>
      <c r="I102" s="5" t="str">
        <f t="shared" si="14"/>
        <v>10.1523%2FJNEUROSCI.2909-13.2013</v>
      </c>
      <c r="J102" s="5" t="str">
        <f t="shared" si="11"/>
        <v>Chaplin_etal_2013_ResultsText</v>
      </c>
      <c r="K102" s="5" t="str">
        <f t="shared" si="12"/>
        <v>10.1523%2FJNEUROSCI.2909-13.2013_ResultsText</v>
      </c>
      <c r="L102" s="5" t="str">
        <f t="array" ref="L102">IFERROR(INDEX(AUTO_Public_TSV_FileList!$A$1:$A$1000,MATCH(TRUE(),EXACT(K102,IFERROR(_xlfn.TEXTBEFORE(AUTO_Public_TSV_FileList!$A$1:$A$1000,".tsv"),"")),0)),"notfound")</f>
        <v>10.1523%2FJNEUROSCI.2909-13.2013_ResultsText.tsv</v>
      </c>
      <c r="M102" s="6" t="s">
        <v>454</v>
      </c>
      <c r="N102" s="6" t="s">
        <v>455</v>
      </c>
      <c r="O102" s="7"/>
      <c r="P102" s="6" t="s">
        <v>36</v>
      </c>
      <c r="Q102" s="6"/>
      <c r="R102" s="6" t="s">
        <v>456</v>
      </c>
      <c r="S102" s="6" t="s">
        <v>457</v>
      </c>
      <c r="T102" s="6" t="s">
        <v>458</v>
      </c>
      <c r="U102" s="6"/>
      <c r="V102" s="7"/>
      <c r="W102" s="6" t="s">
        <v>137</v>
      </c>
      <c r="X102" s="6" t="s">
        <v>214</v>
      </c>
      <c r="Y102" s="6" t="s">
        <v>459</v>
      </c>
      <c r="Z102" s="6"/>
      <c r="AA102" s="6" t="s">
        <v>460</v>
      </c>
      <c r="AB102" s="6" t="s">
        <v>214</v>
      </c>
      <c r="AC102" s="6"/>
      <c r="AD102" s="6"/>
      <c r="AE102" s="6" t="s">
        <v>66</v>
      </c>
      <c r="AF102" s="6"/>
      <c r="AG102" s="6" t="s">
        <v>461</v>
      </c>
    </row>
    <row r="103" ht="17" customHeight="1">
      <c r="A103" s="1" t="s">
        <v>462</v>
      </c>
      <c r="D103" s="1" t="s">
        <v>463</v>
      </c>
      <c r="E103" s="5" t="str">
        <f t="shared" si="8"/>
        <v>Chen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5" t="str">
        <f t="shared" si="9"/>
        <v>2020</v>
      </c>
      <c r="H103" s="5" t="str">
        <f t="shared" si="10"/>
        <v>Chen_Wiens_2020</v>
      </c>
      <c r="I103" s="5" t="str">
        <f t="shared" si="14"/>
        <v>10.1038%2Fs41467-020-14356-3</v>
      </c>
      <c r="J103" s="5" t="str">
        <f t="shared" si="11"/>
        <v>Chen_Wiens_2020_SupplementaryData3</v>
      </c>
      <c r="K103" s="5" t="str">
        <f t="shared" si="12"/>
        <v>10.1038%2Fs41467-020-14356-3_SupplementaryData3</v>
      </c>
      <c r="L103" s="5" t="str">
        <f t="array" ref="L103">IFERROR(INDEX(AUTO_Public_TSV_FileList!$A$1:$A$1000,MATCH(TRUE(),EXACT(K103,IFERROR(_xlfn.TEXTBEFORE(AUTO_Public_TSV_FileList!$A$1:$A$1000,".tsv"),"")),0)),"notfound")</f>
        <v>10.1038%2Fs41467-020-14356-3_SupplementaryData3.tsv</v>
      </c>
      <c r="M103" s="7"/>
      <c r="N103" s="1" t="s">
        <v>35</v>
      </c>
      <c r="O103" s="7"/>
      <c r="P103" s="1" t="s">
        <v>36</v>
      </c>
      <c r="Q103" s="1" t="s">
        <v>464</v>
      </c>
      <c r="R103" s="1" t="s">
        <v>465</v>
      </c>
      <c r="S103" s="7"/>
      <c r="T103" s="7"/>
      <c r="U103" s="7"/>
      <c r="V103" s="7"/>
      <c r="W103" s="1" t="s">
        <v>466</v>
      </c>
      <c r="X103" s="1" t="s">
        <v>467</v>
      </c>
      <c r="Y103" s="1" t="s">
        <v>468</v>
      </c>
      <c r="Z103" s="7"/>
      <c r="AA103" s="7"/>
      <c r="AB103" s="1" t="s">
        <v>469</v>
      </c>
      <c r="AC103" s="7"/>
      <c r="AD103" s="7"/>
      <c r="AE103" s="1" t="s">
        <v>215</v>
      </c>
      <c r="AF103" s="1"/>
      <c r="AG103" s="7"/>
    </row>
    <row r="104" ht="17" customHeight="1">
      <c r="A104" s="1" t="s">
        <v>470</v>
      </c>
      <c r="B104" s="9"/>
      <c r="C104" s="9"/>
      <c r="D104" s="1" t="s">
        <v>471</v>
      </c>
      <c r="E104" s="5" t="str">
        <f t="shared" si="8"/>
        <v>Collins</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5" t="str">
        <f t="shared" si="9"/>
        <v>2010</v>
      </c>
      <c r="H104" s="5" t="str">
        <f t="shared" si="10"/>
        <v>Collins_etal_2010</v>
      </c>
      <c r="I104" s="5" t="str">
        <f t="shared" si="14"/>
        <v>10.1073%2Fpnas.1010356107</v>
      </c>
      <c r="J104" s="5" t="str">
        <f t="shared" si="11"/>
        <v>Collins_etal_2010_DatasetS1</v>
      </c>
      <c r="K104" s="5" t="str">
        <f t="shared" ref="K104:K135" si="15">I104 &amp; "_" &amp; SUBSTITUTE(SUBSTITUTE(SUBSTITUTE(D104,CHAR(160),"")," ",""),"_","")</f>
        <v>10.1073%2Fpnas.1010356107_DatasetS1</v>
      </c>
      <c r="L104" s="5" t="str">
        <f t="array" ref="L104">IFERROR(INDEX(AUTO_Public_TSV_FileList!$A$1:$A$1000,MATCH(TRUE(),EXACT(K104,IFERROR(_xlfn.TEXTBEFORE(AUTO_Public_TSV_FileList!$A$1:$A$1000,".tsv"),"")),0)),"notfound")</f>
        <v>10.1073%2Fpnas.1010356107_DatasetS1.tsv</v>
      </c>
      <c r="M104" s="7"/>
      <c r="N104" s="7"/>
      <c r="O104" s="7"/>
      <c r="P104" s="1" t="s">
        <v>36</v>
      </c>
      <c r="Q104" s="7"/>
      <c r="R104" s="7"/>
      <c r="S104" s="7"/>
      <c r="T104" s="7"/>
      <c r="U104" s="7"/>
      <c r="V104" s="7"/>
      <c r="W104" s="1" t="s">
        <v>137</v>
      </c>
      <c r="X104" s="1" t="s">
        <v>472</v>
      </c>
      <c r="Y104" s="7"/>
      <c r="Z104" s="7"/>
      <c r="AA104" s="7"/>
      <c r="AB104" s="1" t="s">
        <v>214</v>
      </c>
      <c r="AC104" s="1" t="s">
        <v>473</v>
      </c>
      <c r="AD104" s="7"/>
      <c r="AE104" s="1" t="s">
        <v>66</v>
      </c>
      <c r="AF104" s="1"/>
      <c r="AG104" s="7"/>
    </row>
    <row r="105" ht="17" customHeight="1">
      <c r="A105" s="1" t="s">
        <v>474</v>
      </c>
      <c r="D105" s="1" t="s">
        <v>68</v>
      </c>
      <c r="E105" s="5" t="str">
        <f t="shared" si="8"/>
        <v>Collins</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5" t="str">
        <f t="shared" si="9"/>
        <v>2016</v>
      </c>
      <c r="H105" s="5" t="str">
        <f t="shared" si="10"/>
        <v>Collins_etal_2016</v>
      </c>
      <c r="I105" s="5" t="str">
        <f t="shared" si="14"/>
        <v>10.1073%2Fpnas.1524208113</v>
      </c>
      <c r="J105" s="5" t="str">
        <f t="shared" si="11"/>
        <v>Collins_etal_2016_Table1</v>
      </c>
      <c r="K105" s="5" t="str">
        <f t="shared" si="15"/>
        <v>10.1073%2Fpnas.1524208113_Table1</v>
      </c>
      <c r="L105" s="5" t="str">
        <f t="array" ref="L105">IFERROR(INDEX(AUTO_Public_TSV_FileList!$A$1:$A$1000,MATCH(TRUE(),EXACT(K105,IFERROR(_xlfn.TEXTBEFORE(AUTO_Public_TSV_FileList!$A$1:$A$1000,".tsv"),"")),0)),"notfound")</f>
        <v>10.1073%2Fpnas.1524208113_Table1.tsv</v>
      </c>
      <c r="M105" s="1" t="s">
        <v>475</v>
      </c>
      <c r="N105" s="1" t="s">
        <v>35</v>
      </c>
      <c r="O105" s="7"/>
      <c r="P105" s="1" t="s">
        <v>36</v>
      </c>
      <c r="Q105" s="7"/>
      <c r="R105" s="7"/>
      <c r="S105" s="7"/>
      <c r="T105" s="7"/>
      <c r="U105" s="7"/>
      <c r="V105" s="7"/>
      <c r="W105" s="1" t="s">
        <v>137</v>
      </c>
      <c r="X105" s="1" t="s">
        <v>476</v>
      </c>
      <c r="Y105" s="7"/>
      <c r="Z105" s="7"/>
      <c r="AA105" s="1" t="s">
        <v>63</v>
      </c>
      <c r="AB105" s="1" t="s">
        <v>477</v>
      </c>
      <c r="AC105" s="1" t="s">
        <v>473</v>
      </c>
      <c r="AD105" s="1" t="s">
        <v>65</v>
      </c>
      <c r="AE105" s="1" t="s">
        <v>66</v>
      </c>
      <c r="AF105" s="1"/>
      <c r="AG105" s="7"/>
    </row>
    <row r="106" ht="17" customHeight="1">
      <c r="A106" s="1" t="s">
        <v>478</v>
      </c>
      <c r="C106" t="s">
        <v>479</v>
      </c>
      <c r="D106" s="1" t="s">
        <v>455</v>
      </c>
      <c r="E106" s="5" t="str">
        <f t="shared" si="8"/>
        <v>Conesa</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5" t="str">
        <f t="shared" si="9"/>
        <v>1991</v>
      </c>
      <c r="H106" s="5" t="str">
        <f t="shared" si="10"/>
        <v>Conesa_etal_1991</v>
      </c>
      <c r="I106" s="5" t="str">
        <f t="shared" si="14"/>
        <v>ARO%3A1991%3A83</v>
      </c>
      <c r="J106" s="5" t="str">
        <f t="shared" si="11"/>
        <v>Conesa_etal_1991_text</v>
      </c>
      <c r="K106" s="5" t="str">
        <f t="shared" si="15"/>
        <v>ARO%3A1991%3A83_text</v>
      </c>
      <c r="L106" s="5" t="str">
        <f t="array" ref="L106">IFERROR(INDEX(AUTO_Public_TSV_FileList!$A$1:$A$1000,MATCH(TRUE(),EXACT(K106,IFERROR(_xlfn.TEXTBEFORE(AUTO_Public_TSV_FileList!$A$1:$A$1000,".tsv"),"")),0)),"notfound")</f>
        <v>ARO%3A1991%3A83_text.tsv</v>
      </c>
      <c r="M106" s="1" t="s">
        <v>480</v>
      </c>
      <c r="N106" s="1" t="s">
        <v>481</v>
      </c>
      <c r="O106" s="7" t="s">
        <v>482</v>
      </c>
      <c r="P106" s="1"/>
      <c r="Q106" s="7"/>
      <c r="R106" s="7" t="s">
        <v>483</v>
      </c>
      <c r="S106" s="7"/>
      <c r="T106" s="7" t="s">
        <v>484</v>
      </c>
      <c r="U106" s="7"/>
      <c r="V106" s="7" t="s">
        <v>485</v>
      </c>
      <c r="W106" s="1" t="s">
        <v>486</v>
      </c>
      <c r="X106" s="1" t="s">
        <v>487</v>
      </c>
      <c r="Y106" s="7" t="s">
        <v>488</v>
      </c>
      <c r="Z106" s="7" t="s">
        <v>489</v>
      </c>
      <c r="AA106" s="1" t="s">
        <v>490</v>
      </c>
      <c r="AB106" s="1" t="s">
        <v>491</v>
      </c>
      <c r="AC106" s="1"/>
      <c r="AD106" s="1"/>
      <c r="AE106" s="1" t="s">
        <v>66</v>
      </c>
      <c r="AF106" s="1"/>
      <c r="AG106" s="7" t="s">
        <v>492</v>
      </c>
    </row>
    <row r="107" ht="17" customHeight="1">
      <c r="A107" s="9" t="s">
        <v>493</v>
      </c>
      <c r="D107" s="9" t="s">
        <v>453</v>
      </c>
      <c r="E107" s="3" t="str">
        <f t="shared" si="8"/>
        <v>Dalland</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7" s="5" t="str">
        <f t="shared" si="9"/>
        <v>1965</v>
      </c>
      <c r="H107" s="3" t="str">
        <f t="shared" si="10"/>
        <v>Dalland__1965</v>
      </c>
      <c r="I107" s="3" t="str">
        <f>_xlfn.LET(_xlpm.doi,IF(C107&lt;&gt;"",C107,_xlfn.TEXTAFTER(A107,"https://doi.org/")),SUBSTITUTE(SUBSTITUTE(SUBSTITUTE(SUBSTITUTE(_xlpm.doi,"/","%2F"),":","%3A"),"&lt;","%3C"),"&gt;","%3E"))</f>
        <v>10.1126%2Fscience.150.3700.1185</v>
      </c>
      <c r="J107" s="3" t="str">
        <f t="shared" si="11"/>
        <v>Dalland__1965_ResultsText</v>
      </c>
      <c r="K107" s="5" t="str">
        <f t="shared" si="15"/>
        <v>10.1126%2Fscience.150.3700.1185_ResultsText</v>
      </c>
      <c r="L107" s="5" t="str">
        <f t="array" ref="L107">IFERROR(INDEX(AUTO_Public_TSV_FileList!$A$1:$A$1000,MATCH(TRUE(),EXACT(K107,IFERROR(_xlfn.TEXTBEFORE(AUTO_Public_TSV_FileList!$A$1:$A$1000,".tsv"),"")),0)),"notfound")</f>
        <v>10.1126%2Fscience.150.3700.1185_ResultsText.tsv</v>
      </c>
      <c r="M107" s="9" t="s">
        <v>494</v>
      </c>
      <c r="N107" s="9" t="s">
        <v>455</v>
      </c>
      <c r="O107" s="9" t="s">
        <v>495</v>
      </c>
      <c r="P107" s="9" t="s">
        <v>72</v>
      </c>
      <c r="Q107" s="9"/>
      <c r="R107" s="9"/>
      <c r="S107" s="9"/>
      <c r="T107" s="9"/>
      <c r="U107" s="9"/>
      <c r="V107" s="9"/>
      <c r="W107" s="9"/>
      <c r="X107" s="9"/>
      <c r="Y107" s="9"/>
      <c r="Z107" s="9"/>
      <c r="AA107" s="9"/>
      <c r="AB107" s="9"/>
      <c r="AC107" s="9"/>
      <c r="AD107" s="9"/>
      <c r="AE107" s="9"/>
      <c r="AF107" s="9"/>
      <c r="AG107" s="9"/>
    </row>
    <row r="108" ht="17" customHeight="1">
      <c r="A108" s="1" t="s">
        <v>496</v>
      </c>
      <c r="D108" s="1" t="s">
        <v>68</v>
      </c>
      <c r="E108" s="5" t="str">
        <f t="shared" si="8"/>
        <v>deJager</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5" t="str">
        <f t="shared" si="9"/>
        <v>2022</v>
      </c>
      <c r="H108" s="5" t="str">
        <f t="shared" si="10"/>
        <v>deJager_etal_2022</v>
      </c>
      <c r="I108" s="5" t="str">
        <f>_xlfn.LET(
_xlpm.doi,IF(C108&lt;&gt;"",C108,_xlfn.TEXTAFTER(A108,"https://doi.org/")),
SUBSTITUTE(
SUBSTITUTE(
SUBSTITUTE(
SUBSTITUTE(
_xlpm.doi,
"/","%2F"),
":","%3A"),
"&lt;","%3C"),
"&gt;","%3E")
)</f>
        <v>10.1111%2Fjoa.13681</v>
      </c>
      <c r="J108" s="5" t="str">
        <f t="shared" si="11"/>
        <v>deJager_etal_2022_Table1</v>
      </c>
      <c r="K108" s="5" t="str">
        <f t="shared" si="15"/>
        <v>10.1111%2Fjoa.13681_Table1</v>
      </c>
      <c r="L108" s="5" t="str">
        <f t="array" ref="L108">IFERROR(INDEX(AUTO_Public_TSV_FileList!$A$1:$A$1000,MATCH(TRUE(),EXACT(K108,IFERROR(_xlfn.TEXTBEFORE(AUTO_Public_TSV_FileList!$A$1:$A$1000,".tsv"),"")),0)),"notfound")</f>
        <v>10.1111%2Fjoa.13681_Table1.tsv</v>
      </c>
      <c r="M108" s="7"/>
      <c r="N108" s="7"/>
      <c r="O108" s="7"/>
      <c r="P108" s="1" t="s">
        <v>36</v>
      </c>
      <c r="Q108" s="7"/>
      <c r="R108" s="7"/>
      <c r="S108" s="7"/>
      <c r="T108" s="7"/>
      <c r="U108" s="7"/>
      <c r="V108" s="7"/>
      <c r="W108" s="7"/>
      <c r="X108" s="7"/>
      <c r="Y108" s="7"/>
      <c r="Z108" s="7"/>
      <c r="AA108" s="7"/>
      <c r="AB108" s="7"/>
      <c r="AC108" s="7"/>
      <c r="AD108" s="7"/>
      <c r="AE108" s="7"/>
      <c r="AF108" s="7"/>
      <c r="AG108" s="7"/>
    </row>
    <row r="109" ht="17" customHeight="1">
      <c r="A109" s="7" t="s">
        <v>497</v>
      </c>
      <c r="D109" s="7" t="s">
        <v>498</v>
      </c>
      <c r="E109" s="3" t="str">
        <f t="shared" si="8"/>
        <v>deMagalhães</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5" t="str">
        <f t="shared" si="9"/>
        <v>2024</v>
      </c>
      <c r="H109" s="3" t="str">
        <f t="shared" si="10"/>
        <v>deMagalhães_etal_2024</v>
      </c>
      <c r="I109" s="3" t="str">
        <f>_xlfn.LET(_xlpm.doi,IF(C109&lt;&gt;"",C109,_xlfn.TEXTAFTER(A109,"https://doi.org/")),SUBSTITUTE(SUBSTITUTE(SUBSTITUTE(SUBSTITUTE(_xlpm.doi,"/","%2F"),":","%3A"),"&lt;","%3C"),"&gt;","%3E"))</f>
        <v>10.1093%2Fnar%2Fgkad927</v>
      </c>
      <c r="J109" s="3" t="str">
        <f t="shared" si="11"/>
        <v>deMagalhães_etal_2024_anagedata.txt</v>
      </c>
      <c r="K109" s="5" t="str">
        <f t="shared" si="15"/>
        <v>10.1093%2Fnar%2Fgkad927_anagedata.txt</v>
      </c>
      <c r="L109" s="5" t="str">
        <f t="array" ref="L109">IFERROR(INDEX(AUTO_Public_TSV_FileList!$A$1:$A$1000,MATCH(TRUE(),EXACT(K109,IFERROR(_xlfn.TEXTBEFORE(AUTO_Public_TSV_FileList!$A$1:$A$1000,".tsv"),"")),0)),"notfound")</f>
        <v>10.1093%2Fnar%2Fgkad927_anagedata.txt.tsv</v>
      </c>
      <c r="M109" s="7" t="s">
        <v>499</v>
      </c>
      <c r="N109" s="7" t="s">
        <v>500</v>
      </c>
      <c r="O109" s="7" t="s">
        <v>501</v>
      </c>
      <c r="P109" s="7" t="s">
        <v>36</v>
      </c>
      <c r="Q109" s="7"/>
      <c r="R109" s="7" t="s">
        <v>502</v>
      </c>
      <c r="S109" s="7"/>
      <c r="T109" s="7" t="s">
        <v>503</v>
      </c>
      <c r="U109" s="7"/>
      <c r="V109" s="7" t="s">
        <v>504</v>
      </c>
      <c r="W109" s="7" t="s">
        <v>505</v>
      </c>
      <c r="X109" s="7" t="s">
        <v>506</v>
      </c>
      <c r="Y109" s="7" t="s">
        <v>507</v>
      </c>
      <c r="Z109" s="7"/>
      <c r="AA109" s="7" t="s">
        <v>508</v>
      </c>
      <c r="AB109" s="7" t="s">
        <v>509</v>
      </c>
      <c r="AC109" s="7"/>
      <c r="AD109" s="7"/>
      <c r="AE109" s="7" t="s">
        <v>215</v>
      </c>
      <c r="AF109" s="7" t="s">
        <v>510</v>
      </c>
      <c r="AG109" s="7" t="s">
        <v>511</v>
      </c>
    </row>
    <row r="110" ht="17" customHeight="1">
      <c r="A110" s="7" t="s">
        <v>512</v>
      </c>
      <c r="C110" t="s">
        <v>513</v>
      </c>
      <c r="D110" s="7" t="s">
        <v>514</v>
      </c>
      <c r="E110" s="3" t="str">
        <f t="shared" si="8"/>
        <v>deSousa</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0" s="5" t="str">
        <f t="shared" si="9"/>
        <v>2008</v>
      </c>
      <c r="H110" s="3" t="str">
        <f t="shared" si="10"/>
        <v>deSousa__2008</v>
      </c>
      <c r="I110" s="3" t="str">
        <f>_xlfn.LET(_xlpm.doi,IF(C110&lt;&gt;"",C110,_xlfn.TEXTAFTER(A110,"https://doi.org/")),SUBSTITUTE(SUBSTITUTE(SUBSTITUTE(SUBSTITUTE(_xlpm.doi,"/","%2F"),":","%3A"),"&lt;","%3C"),"&gt;","%3E"))</f>
        <v>UMI%3A3311323</v>
      </c>
      <c r="J110" s="3" t="str">
        <f t="shared" si="11"/>
        <v>deSousa__2008_Suppl.Table5.2</v>
      </c>
      <c r="K110" s="5" t="str">
        <f t="shared" si="15"/>
        <v>UMI%3A3311323_Suppl.Table5.2</v>
      </c>
      <c r="L110" s="5" t="str">
        <f t="array" ref="L110">IFERROR(INDEX(AUTO_Public_TSV_FileList!$A$1:$A$1000,MATCH(TRUE(),EXACT(K110,IFERROR(_xlfn.TEXTBEFORE(AUTO_Public_TSV_FileList!$A$1:$A$1000,".tsv"),"")),0)),"notfound")</f>
        <v>UMI%3A3311323_Suppl.Table5.2.tsv</v>
      </c>
      <c r="M110" s="7" t="s">
        <v>515</v>
      </c>
      <c r="N110" s="7"/>
      <c r="O110" s="7"/>
      <c r="P110" s="7"/>
      <c r="Q110" s="7"/>
      <c r="R110" s="7"/>
      <c r="S110" s="7"/>
      <c r="T110" s="7"/>
      <c r="U110" s="7"/>
      <c r="V110" s="7"/>
      <c r="W110" s="7"/>
      <c r="X110" s="7"/>
      <c r="Y110" s="7"/>
      <c r="Z110" s="7"/>
      <c r="AA110" s="7"/>
      <c r="AB110" s="7"/>
      <c r="AC110" s="7"/>
      <c r="AD110" s="7"/>
      <c r="AE110" s="7"/>
      <c r="AF110" s="7"/>
      <c r="AG110" s="7"/>
    </row>
    <row r="111" ht="17" customHeight="1">
      <c r="A111" s="7" t="s">
        <v>512</v>
      </c>
      <c r="C111" t="s">
        <v>513</v>
      </c>
      <c r="D111" s="7" t="s">
        <v>516</v>
      </c>
      <c r="E111" s="3" t="str">
        <f t="shared" si="8"/>
        <v>deSousa</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1" s="5" t="str">
        <f t="shared" si="9"/>
        <v>2008</v>
      </c>
      <c r="H111" s="3" t="str">
        <f t="shared" si="10"/>
        <v>deSousa__2008</v>
      </c>
      <c r="I111" s="3" t="str">
        <f>_xlfn.LET(_xlpm.doi,IF(C111&lt;&gt;"",C111,_xlfn.TEXTAFTER(A111,"https://doi.org/")),SUBSTITUTE(SUBSTITUTE(SUBSTITUTE(SUBSTITUTE(_xlpm.doi,"/","%2F"),":","%3A"),"&lt;","%3C"),"&gt;","%3E"))</f>
        <v>UMI%3A3311323</v>
      </c>
      <c r="J111" s="3" t="str">
        <f t="shared" si="11"/>
        <v>deSousa__2008_Table4.1</v>
      </c>
      <c r="K111" s="5" t="str">
        <f t="shared" si="15"/>
        <v>UMI%3A3311323_Table4.1</v>
      </c>
      <c r="L111" s="5" t="str">
        <f t="array" ref="L111">IFERROR(INDEX(AUTO_Public_TSV_FileList!$A$1:$A$1000,MATCH(TRUE(),EXACT(K111,IFERROR(_xlfn.TEXTBEFORE(AUTO_Public_TSV_FileList!$A$1:$A$1000,".tsv"),"")),0)),"notfound")</f>
        <v>UMI%3A3311323_Table4.1.tsv</v>
      </c>
      <c r="M111" s="7" t="s">
        <v>517</v>
      </c>
      <c r="N111" s="7"/>
      <c r="O111" s="7"/>
      <c r="P111" s="7"/>
      <c r="Q111" s="7"/>
      <c r="R111" s="7"/>
      <c r="S111" s="7"/>
      <c r="T111" s="7"/>
      <c r="U111" s="7"/>
      <c r="V111" s="7"/>
      <c r="W111" s="7"/>
      <c r="X111" s="7"/>
      <c r="Y111" s="7"/>
      <c r="Z111" s="7"/>
      <c r="AA111" s="7"/>
      <c r="AB111" s="7"/>
      <c r="AC111" s="7"/>
      <c r="AD111" s="7"/>
      <c r="AE111" s="7"/>
      <c r="AF111" s="7"/>
      <c r="AG111" s="7"/>
    </row>
    <row r="112" ht="17" customHeight="1">
      <c r="A112" s="7" t="s">
        <v>512</v>
      </c>
      <c r="C112" t="s">
        <v>513</v>
      </c>
      <c r="D112" s="7" t="s">
        <v>518</v>
      </c>
      <c r="E112" s="3" t="str">
        <f t="shared" si="8"/>
        <v>deSousa</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2" s="5" t="str">
        <f t="shared" si="9"/>
        <v>2008</v>
      </c>
      <c r="H112" s="3" t="str">
        <f t="shared" si="10"/>
        <v>deSousa__2008</v>
      </c>
      <c r="I112" s="3" t="str">
        <f>_xlfn.LET(_xlpm.doi,IF(C112&lt;&gt;"",C112,_xlfn.TEXTAFTER(A112,"https://doi.org/")),SUBSTITUTE(SUBSTITUTE(SUBSTITUTE(SUBSTITUTE(_xlpm.doi,"/","%2F"),":","%3A"),"&lt;","%3C"),"&gt;","%3E"))</f>
        <v>UMI%3A3311323</v>
      </c>
      <c r="J112" s="3" t="str">
        <f t="shared" si="11"/>
        <v>deSousa__2008_Table5.1</v>
      </c>
      <c r="K112" s="5" t="str">
        <f t="shared" si="15"/>
        <v>UMI%3A3311323_Table5.1</v>
      </c>
      <c r="L112" s="5" t="str">
        <f t="array" ref="L112">IFERROR(INDEX(AUTO_Public_TSV_FileList!$A$1:$A$1000,MATCH(TRUE(),EXACT(K112,IFERROR(_xlfn.TEXTBEFORE(AUTO_Public_TSV_FileList!$A$1:$A$1000,".tsv"),"")),0)),"notfound")</f>
        <v>UMI%3A3311323_Table5.1.tsv</v>
      </c>
      <c r="M112" s="7" t="s">
        <v>519</v>
      </c>
      <c r="N112" s="7"/>
      <c r="O112" s="7"/>
      <c r="P112" s="7"/>
      <c r="Q112" s="7"/>
      <c r="R112" s="7"/>
      <c r="S112" s="7"/>
      <c r="T112" s="7"/>
      <c r="U112" s="7"/>
      <c r="V112" s="7"/>
      <c r="W112" s="7"/>
      <c r="X112" s="7"/>
      <c r="Y112" s="7"/>
      <c r="Z112" s="7"/>
      <c r="AA112" s="7"/>
      <c r="AB112" s="7"/>
      <c r="AC112" s="7"/>
      <c r="AD112" s="7"/>
      <c r="AE112" s="7"/>
      <c r="AF112" s="7"/>
      <c r="AG112" s="7"/>
    </row>
    <row r="113" ht="17" customHeight="1">
      <c r="A113" s="7" t="s">
        <v>512</v>
      </c>
      <c r="C113" t="s">
        <v>513</v>
      </c>
      <c r="D113" s="7" t="s">
        <v>520</v>
      </c>
      <c r="E113" s="3" t="str">
        <f t="shared" si="8"/>
        <v>deSousa</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3" s="5" t="str">
        <f t="shared" si="9"/>
        <v>2008</v>
      </c>
      <c r="H113" s="3" t="str">
        <f t="shared" si="10"/>
        <v>deSousa__2008</v>
      </c>
      <c r="I113" s="3" t="str">
        <f>_xlfn.LET(_xlpm.doi,IF(C113&lt;&gt;"",C113,_xlfn.TEXTAFTER(A113,"https://doi.org/")),SUBSTITUTE(SUBSTITUTE(SUBSTITUTE(SUBSTITUTE(_xlpm.doi,"/","%2F"),":","%3A"),"&lt;","%3C"),"&gt;","%3E"))</f>
        <v>UMI%3A3311323</v>
      </c>
      <c r="J113" s="3" t="str">
        <f t="shared" si="11"/>
        <v>deSousa__2008_Table5.6</v>
      </c>
      <c r="K113" s="5" t="str">
        <f t="shared" si="15"/>
        <v>UMI%3A3311323_Table5.6</v>
      </c>
      <c r="L113" s="5" t="str">
        <f t="array" ref="L113">IFERROR(INDEX(AUTO_Public_TSV_FileList!$A$1:$A$1000,MATCH(TRUE(),EXACT(K113,IFERROR(_xlfn.TEXTBEFORE(AUTO_Public_TSV_FileList!$A$1:$A$1000,".tsv"),"")),0)),"notfound")</f>
        <v>UMI%3A3311323_Table5.6.tsv</v>
      </c>
      <c r="M113" s="7" t="s">
        <v>521</v>
      </c>
      <c r="N113" s="7"/>
      <c r="O113" s="7"/>
      <c r="P113" s="7"/>
      <c r="Q113" s="7"/>
      <c r="R113" s="7"/>
      <c r="S113" s="7"/>
      <c r="T113" s="7"/>
      <c r="U113" s="7"/>
      <c r="V113" s="7"/>
      <c r="W113" s="7"/>
      <c r="X113" s="7"/>
      <c r="Y113" s="7"/>
      <c r="Z113" s="7"/>
      <c r="AA113" s="7"/>
      <c r="AB113" s="7"/>
      <c r="AC113" s="7"/>
      <c r="AD113" s="7"/>
      <c r="AE113" s="7"/>
      <c r="AF113" s="7"/>
      <c r="AG113" s="7"/>
    </row>
    <row r="114" ht="17" customHeight="1">
      <c r="A114" s="1" t="s">
        <v>522</v>
      </c>
      <c r="D114" s="1" t="s">
        <v>68</v>
      </c>
      <c r="E114" s="5" t="str">
        <f t="shared" si="8"/>
        <v>deSousa</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5" t="str">
        <f t="shared" si="9"/>
        <v>2013</v>
      </c>
      <c r="H114" s="5" t="str">
        <f t="shared" si="10"/>
        <v>deSousa_etal_2013</v>
      </c>
      <c r="I114" s="5" t="str">
        <f t="shared" ref="I114:I134" si="16">_xlfn.LET(
_xlpm.doi,IF(C114&lt;&gt;"",C114,_xlfn.TEXTAFTER(A114,"https://doi.org/")),
SUBSTITUTE(
SUBSTITUTE(
SUBSTITUTE(
SUBSTITUTE(
_xlpm.doi,
"/","%2F"),
":","%3A"),
"&lt;","%3C"),
"&gt;","%3E")
)</f>
        <v>10.1159%2F000346495</v>
      </c>
      <c r="J114" s="5" t="str">
        <f t="shared" si="11"/>
        <v>deSousa_etal_2013_Table1</v>
      </c>
      <c r="K114" s="5" t="str">
        <f t="shared" si="15"/>
        <v>10.1159%2F000346495_Table1</v>
      </c>
      <c r="L114" s="5" t="str">
        <f t="array" ref="L114">IFERROR(INDEX(AUTO_Public_TSV_FileList!$A$1:$A$1000,MATCH(TRUE(),EXACT(K114,IFERROR(_xlfn.TEXTBEFORE(AUTO_Public_TSV_FileList!$A$1:$A$1000,".tsv"),"")),0)),"notfound")</f>
        <v>10.1159%2F000346495_Table1.tsv</v>
      </c>
      <c r="M114" s="1" t="s">
        <v>523</v>
      </c>
      <c r="N114" s="1" t="s">
        <v>35</v>
      </c>
      <c r="O114" s="7"/>
      <c r="P114" s="1" t="s">
        <v>36</v>
      </c>
      <c r="Q114" s="1"/>
      <c r="R114" s="7"/>
      <c r="S114" s="7"/>
      <c r="T114" s="7"/>
      <c r="U114" s="7"/>
      <c r="V114" s="7"/>
      <c r="W114" s="1" t="s">
        <v>524</v>
      </c>
      <c r="X114" s="1" t="s">
        <v>525</v>
      </c>
      <c r="Y114" s="7"/>
      <c r="Z114" s="1" t="s">
        <v>120</v>
      </c>
      <c r="AA114" s="1" t="s">
        <v>166</v>
      </c>
      <c r="AB114" s="1" t="s">
        <v>127</v>
      </c>
      <c r="AC114" s="1" t="s">
        <v>526</v>
      </c>
      <c r="AD114" s="1" t="s">
        <v>527</v>
      </c>
      <c r="AE114" s="1" t="s">
        <v>66</v>
      </c>
      <c r="AF114" s="1"/>
      <c r="AG114" s="7"/>
    </row>
    <row r="115" ht="17" customHeight="1">
      <c r="A115" s="1" t="s">
        <v>528</v>
      </c>
      <c r="D115" s="1" t="s">
        <v>529</v>
      </c>
      <c r="E115" s="5" t="str">
        <f t="shared" si="8"/>
        <v>deSousa</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5" t="str">
        <f t="shared" si="9"/>
        <v>2010</v>
      </c>
      <c r="H115" s="5" t="str">
        <f t="shared" si="10"/>
        <v>deSousa_etal_2010</v>
      </c>
      <c r="I115" s="5" t="str">
        <f t="shared" si="16"/>
        <v>10.1016%2Fj.jhevol.2009.11.011</v>
      </c>
      <c r="J115" s="3" t="str">
        <f t="shared" si="11"/>
        <v>deSousa_etal_2010_SupTable2</v>
      </c>
      <c r="K115" s="5" t="str">
        <f t="shared" si="15"/>
        <v>10.1016%2Fj.jhevol.2009.11.011_SupTable2</v>
      </c>
      <c r="L115" s="5"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7"/>
      <c r="W115" s="1" t="s">
        <v>535</v>
      </c>
      <c r="X115" s="1" t="s">
        <v>536</v>
      </c>
      <c r="Y115" s="7"/>
      <c r="Z115" s="1" t="s">
        <v>120</v>
      </c>
      <c r="AA115" s="1" t="s">
        <v>166</v>
      </c>
      <c r="AB115" s="1" t="s">
        <v>127</v>
      </c>
      <c r="AC115" s="1" t="s">
        <v>526</v>
      </c>
      <c r="AD115" s="1" t="s">
        <v>527</v>
      </c>
      <c r="AE115" s="1" t="s">
        <v>66</v>
      </c>
      <c r="AF115" s="1"/>
      <c r="AG115" s="1" t="s">
        <v>537</v>
      </c>
    </row>
    <row r="116" ht="17" customHeight="1">
      <c r="A116" s="1" t="s">
        <v>528</v>
      </c>
      <c r="B116" s="17"/>
      <c r="C116" s="17"/>
      <c r="D116" s="1" t="s">
        <v>68</v>
      </c>
      <c r="E116" s="5" t="str">
        <f t="shared" si="8"/>
        <v>deSousa</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5" t="str">
        <f t="shared" si="9"/>
        <v>2010</v>
      </c>
      <c r="H116" s="5" t="str">
        <f t="shared" si="10"/>
        <v>deSousa_etal_2010</v>
      </c>
      <c r="I116" s="5" t="str">
        <f t="shared" si="16"/>
        <v>10.1016%2Fj.jhevol.2009.11.011</v>
      </c>
      <c r="J116" s="5" t="str">
        <f t="shared" si="11"/>
        <v>deSousa_etal_2010_Table1</v>
      </c>
      <c r="K116" s="5" t="str">
        <f t="shared" si="15"/>
        <v>10.1016%2Fj.jhevol.2009.11.011_Table1</v>
      </c>
      <c r="L116" s="5" t="str">
        <f t="array" ref="L116">IFERROR(INDEX(AUTO_Public_TSV_FileList!$A$1:$A$1000,MATCH(TRUE(),EXACT(K116,IFERROR(_xlfn.TEXTBEFORE(AUTO_Public_TSV_FileList!$A$1:$A$1000,".tsv"),"")),0)),"notfound")</f>
        <v>10.1016%2Fj.jhevol.2009.11.011_Table1.tsv</v>
      </c>
      <c r="M116" s="1" t="s">
        <v>538</v>
      </c>
      <c r="N116" s="1" t="s">
        <v>35</v>
      </c>
      <c r="O116" s="7"/>
      <c r="P116" s="1" t="s">
        <v>36</v>
      </c>
      <c r="Q116" s="7"/>
      <c r="R116" s="7"/>
      <c r="S116" s="7"/>
      <c r="T116" s="7"/>
      <c r="U116" s="7"/>
      <c r="V116" s="7"/>
      <c r="W116" s="1" t="s">
        <v>535</v>
      </c>
      <c r="X116" s="1" t="s">
        <v>539</v>
      </c>
      <c r="Y116" s="7"/>
      <c r="Z116" s="1" t="s">
        <v>540</v>
      </c>
      <c r="AA116" s="1" t="s">
        <v>166</v>
      </c>
      <c r="AB116" s="1" t="s">
        <v>127</v>
      </c>
      <c r="AC116" s="1" t="s">
        <v>526</v>
      </c>
      <c r="AD116" s="1" t="s">
        <v>527</v>
      </c>
      <c r="AE116" s="1" t="s">
        <v>66</v>
      </c>
      <c r="AF116" s="1"/>
      <c r="AG116" s="7"/>
    </row>
    <row r="117" ht="17" customHeight="1">
      <c r="A117" s="1" t="s">
        <v>541</v>
      </c>
      <c r="D117" s="1" t="s">
        <v>68</v>
      </c>
      <c r="E117" s="5" t="str">
        <f t="shared" si="8"/>
        <v>deSousa</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5" t="str">
        <f t="shared" si="9"/>
        <v>2009</v>
      </c>
      <c r="H117" s="5" t="str">
        <f t="shared" si="10"/>
        <v>deSousa_etal_2009</v>
      </c>
      <c r="I117" s="5" t="str">
        <f t="shared" si="16"/>
        <v>10.1093%2Fcercor%2Fbhp158</v>
      </c>
      <c r="J117" s="5" t="str">
        <f t="shared" si="11"/>
        <v>deSousa_etal_2009_Table1</v>
      </c>
      <c r="K117" s="5" t="str">
        <f t="shared" si="15"/>
        <v>10.1093%2Fcercor%2Fbhp158_Table1</v>
      </c>
      <c r="L117" s="5" t="str">
        <f t="array" ref="L117">IFERROR(INDEX(AUTO_Public_TSV_FileList!$A$1:$A$1000,MATCH(TRUE(),EXACT(K117,IFERROR(_xlfn.TEXTBEFORE(AUTO_Public_TSV_FileList!$A$1:$A$1000,".tsv"),"")),0)),"notfound")</f>
        <v>10.1093%2Fcercor%2Fbhp158_Table1.tsv</v>
      </c>
      <c r="M117" s="1" t="s">
        <v>542</v>
      </c>
      <c r="N117" s="1" t="s">
        <v>35</v>
      </c>
      <c r="O117" s="7"/>
      <c r="P117" s="7" t="s">
        <v>36</v>
      </c>
      <c r="Q117" s="7"/>
      <c r="R117" s="7" t="s">
        <v>543</v>
      </c>
      <c r="S117" s="7" t="s">
        <v>544</v>
      </c>
      <c r="T117" s="7"/>
      <c r="U117" s="7" t="s">
        <v>545</v>
      </c>
      <c r="V117" s="7"/>
      <c r="W117" s="7" t="s">
        <v>546</v>
      </c>
      <c r="X117" s="1" t="s">
        <v>547</v>
      </c>
      <c r="Y117" s="7"/>
      <c r="Z117" s="1" t="s">
        <v>120</v>
      </c>
      <c r="AA117" s="1" t="s">
        <v>548</v>
      </c>
      <c r="AB117" s="1" t="s">
        <v>549</v>
      </c>
      <c r="AC117" s="1" t="s">
        <v>526</v>
      </c>
      <c r="AD117" s="1" t="s">
        <v>526</v>
      </c>
      <c r="AE117" s="1" t="s">
        <v>215</v>
      </c>
      <c r="AF117" s="1"/>
      <c r="AG117" s="7" t="s">
        <v>550</v>
      </c>
    </row>
    <row r="118" ht="17" customHeight="1">
      <c r="A118" s="1" t="s">
        <v>541</v>
      </c>
      <c r="D118" s="1" t="s">
        <v>108</v>
      </c>
      <c r="E118" s="5" t="str">
        <f t="shared" si="8"/>
        <v>deSousa</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5" t="str">
        <f t="shared" si="9"/>
        <v>2009</v>
      </c>
      <c r="H118" s="5" t="str">
        <f t="shared" si="10"/>
        <v>deSousa_etal_2009</v>
      </c>
      <c r="I118" s="5" t="str">
        <f t="shared" si="16"/>
        <v>10.1093%2Fcercor%2Fbhp158</v>
      </c>
      <c r="J118" s="5" t="str">
        <f t="shared" si="11"/>
        <v>deSousa_etal_2009_Table2</v>
      </c>
      <c r="K118" s="5" t="str">
        <f t="shared" si="15"/>
        <v>10.1093%2Fcercor%2Fbhp158_Table2</v>
      </c>
      <c r="L118" s="5" t="str">
        <f t="array" ref="L118">IFERROR(INDEX(AUTO_Public_TSV_FileList!$A$1:$A$1000,MATCH(TRUE(),EXACT(K118,IFERROR(_xlfn.TEXTBEFORE(AUTO_Public_TSV_FileList!$A$1:$A$1000,".tsv"),"")),0)),"notfound")</f>
        <v>10.1093%2Fcercor%2Fbhp158_Table2.tsv</v>
      </c>
      <c r="M118" s="1" t="s">
        <v>551</v>
      </c>
      <c r="N118" s="1" t="s">
        <v>35</v>
      </c>
      <c r="O118" s="7"/>
      <c r="P118" s="7" t="s">
        <v>36</v>
      </c>
      <c r="Q118" s="7"/>
      <c r="R118" s="7" t="s">
        <v>543</v>
      </c>
      <c r="S118" s="7" t="s">
        <v>544</v>
      </c>
      <c r="T118" s="7"/>
      <c r="U118" s="7" t="s">
        <v>545</v>
      </c>
      <c r="V118" s="7"/>
      <c r="W118" s="7" t="s">
        <v>546</v>
      </c>
      <c r="X118" s="1" t="s">
        <v>547</v>
      </c>
      <c r="Y118" s="7"/>
      <c r="Z118" s="1" t="s">
        <v>120</v>
      </c>
      <c r="AA118" s="1" t="s">
        <v>548</v>
      </c>
      <c r="AB118" s="1" t="s">
        <v>549</v>
      </c>
      <c r="AC118" s="1" t="s">
        <v>526</v>
      </c>
      <c r="AD118" s="1" t="s">
        <v>526</v>
      </c>
      <c r="AE118" s="1" t="s">
        <v>215</v>
      </c>
      <c r="AF118" s="1"/>
      <c r="AG118" s="7" t="s">
        <v>550</v>
      </c>
    </row>
    <row r="119" ht="17" customHeight="1">
      <c r="A119" s="13" t="s">
        <v>552</v>
      </c>
      <c r="D119" s="13" t="s">
        <v>553</v>
      </c>
      <c r="E119" s="20" t="str">
        <f t="shared" si="8"/>
        <v>deSousa</v>
      </c>
      <c r="F119" s="2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20" t="str">
        <f t="shared" si="9"/>
        <v>2022</v>
      </c>
      <c r="H119" s="20" t="str">
        <f t="shared" si="10"/>
        <v>deSousa_etal_2022</v>
      </c>
      <c r="I119" s="20" t="str">
        <f t="shared" si="16"/>
        <v>10.1016%2Fj.neubiorev.2022.104550</v>
      </c>
      <c r="J119" s="20" t="str">
        <f t="shared" si="11"/>
        <v>deSousa_etal_2022_acuityblind.csv</v>
      </c>
      <c r="K119" s="20" t="str">
        <f t="shared" si="15"/>
        <v>10.1016%2Fj.neubiorev.2022.104550_acuityblind.csv</v>
      </c>
      <c r="L119" s="20" t="str">
        <f t="array" ref="L119">IFERROR(INDEX(AUTO_Public_TSV_FileList!$A$1:$A$1000,MATCH(TRUE(),EXACT(K119,IFERROR(_xlfn.TEXTBEFORE(AUTO_Public_TSV_FileList!$A$1:$A$1000,".tsv"),"")),0)),"notfound")</f>
        <v>10.1016%2Fj.neubiorev.2022.104550_acuityblind.csv.tsv</v>
      </c>
      <c r="M119" s="13" t="s">
        <v>553</v>
      </c>
      <c r="N119" s="13"/>
      <c r="O119" s="13"/>
      <c r="P119" s="13" t="s">
        <v>36</v>
      </c>
      <c r="Q119" s="13"/>
      <c r="R119" s="13"/>
      <c r="S119" s="13"/>
      <c r="T119" s="13"/>
      <c r="U119" s="13"/>
      <c r="V119" s="13"/>
      <c r="W119" s="13"/>
      <c r="X119" s="13"/>
      <c r="Y119" s="13"/>
      <c r="Z119" s="13"/>
      <c r="AA119" s="13"/>
      <c r="AB119" s="13"/>
      <c r="AC119" s="13"/>
      <c r="AD119" s="13"/>
      <c r="AE119" s="13"/>
      <c r="AF119" s="13"/>
      <c r="AG119" s="13"/>
    </row>
    <row r="120" ht="17" customHeight="1">
      <c r="A120" s="11" t="s">
        <v>554</v>
      </c>
      <c r="B120" s="2"/>
      <c r="C120" s="2"/>
      <c r="D120" s="11" t="s">
        <v>68</v>
      </c>
      <c r="E120" s="5" t="str">
        <f t="shared" si="8"/>
        <v>Deaner</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5" t="str">
        <f t="shared" si="9"/>
        <v>2006</v>
      </c>
      <c r="H120" s="5" t="str">
        <f t="shared" si="10"/>
        <v>Deaner_etal_2006</v>
      </c>
      <c r="I120" s="5" t="str">
        <f t="shared" si="16"/>
        <v>10.1177%2F147470490600400114</v>
      </c>
      <c r="J120" s="5" t="str">
        <f t="shared" si="11"/>
        <v>Deaner_etal_2006_Table1</v>
      </c>
      <c r="K120" s="5" t="str">
        <f t="shared" si="15"/>
        <v>10.1177%2F147470490600400114_Table1</v>
      </c>
      <c r="L120" s="5" t="str">
        <f t="array" ref="L120">IFERROR(INDEX(AUTO_Public_TSV_FileList!$A$1:$A$1000,MATCH(TRUE(),EXACT(K120,IFERROR(_xlfn.TEXTBEFORE(AUTO_Public_TSV_FileList!$A$1:$A$1000,".tsv"),"")),0)),"notfound")</f>
        <v>10.1177%2F147470490600400114_Table1.tsv</v>
      </c>
      <c r="M120" s="6" t="s">
        <v>555</v>
      </c>
      <c r="N120" s="1" t="s">
        <v>35</v>
      </c>
      <c r="O120" s="7"/>
      <c r="P120" s="7" t="s">
        <v>36</v>
      </c>
      <c r="Q120" s="6"/>
      <c r="R120" s="6"/>
      <c r="S120" s="6" t="s">
        <v>429</v>
      </c>
      <c r="T120" s="6" t="s">
        <v>430</v>
      </c>
      <c r="U120" s="6"/>
      <c r="V120" s="6" t="s">
        <v>431</v>
      </c>
      <c r="W120" s="11" t="s">
        <v>137</v>
      </c>
      <c r="X120" s="6" t="s">
        <v>556</v>
      </c>
      <c r="Y120" s="6" t="s">
        <v>556</v>
      </c>
      <c r="Z120" s="6"/>
      <c r="AA120" s="6"/>
      <c r="AB120" s="11" t="s">
        <v>557</v>
      </c>
      <c r="AC120" s="7"/>
      <c r="AD120" s="6"/>
      <c r="AE120" s="11" t="s">
        <v>66</v>
      </c>
      <c r="AF120" s="11"/>
      <c r="AG120" s="7" t="s">
        <v>558</v>
      </c>
    </row>
    <row r="121" ht="17" customHeight="1">
      <c r="A121" s="1" t="s">
        <v>559</v>
      </c>
      <c r="D121" s="1" t="s">
        <v>560</v>
      </c>
      <c r="E121" s="5" t="str">
        <f t="shared" si="8"/>
        <v>DeCasien</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5" t="str">
        <f t="shared" si="9"/>
        <v>2019</v>
      </c>
      <c r="H121" s="5" t="str">
        <f t="shared" si="10"/>
        <v>DeCasien_Higham_2019</v>
      </c>
      <c r="I121" s="5" t="str">
        <f t="shared" si="16"/>
        <v>10.1038%2Fs41559-019-0969-0</v>
      </c>
      <c r="J121" s="5" t="str">
        <f t="shared" si="11"/>
        <v>DeCasien_Higham_2019_ActivityPeriodData</v>
      </c>
      <c r="K121" s="5" t="str">
        <f t="shared" si="15"/>
        <v>10.1038%2Fs41559-019-0969-0_ActivityPeriodData</v>
      </c>
      <c r="L121" s="5" t="str">
        <f t="array" ref="L121">IFERROR(INDEX(AUTO_Public_TSV_FileList!$A$1:$A$1000,MATCH(TRUE(),EXACT(K121,IFERROR(_xlfn.TEXTBEFORE(AUTO_Public_TSV_FileList!$A$1:$A$1000,".tsv"),"")),0)),"notfound")</f>
        <v>10.1038%2Fs41559-019-0969-0_ActivityPeriodData.tsv</v>
      </c>
      <c r="M121" s="1" t="s">
        <v>561</v>
      </c>
      <c r="N121" s="1" t="s">
        <v>35</v>
      </c>
      <c r="O121" s="7"/>
      <c r="P121" s="7" t="s">
        <v>36</v>
      </c>
      <c r="Q121" s="7"/>
      <c r="R121" s="1" t="s">
        <v>562</v>
      </c>
      <c r="S121" s="7"/>
      <c r="T121" s="7"/>
      <c r="U121" s="7"/>
      <c r="V121" s="7"/>
      <c r="W121" s="1" t="s">
        <v>137</v>
      </c>
      <c r="X121" s="1" t="s">
        <v>563</v>
      </c>
      <c r="Y121" s="7"/>
      <c r="Z121" s="1"/>
      <c r="AA121" s="7"/>
      <c r="AB121" s="1" t="s">
        <v>564</v>
      </c>
      <c r="AC121" s="7"/>
      <c r="AD121" s="7"/>
      <c r="AE121" s="1" t="s">
        <v>215</v>
      </c>
      <c r="AF121" s="1"/>
      <c r="AG121" s="7"/>
    </row>
    <row r="122" ht="17" customHeight="1">
      <c r="A122" s="1" t="s">
        <v>559</v>
      </c>
      <c r="D122" s="1" t="s">
        <v>565</v>
      </c>
      <c r="E122" s="5" t="str">
        <f t="shared" si="8"/>
        <v>DeCasien</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5" t="str">
        <f t="shared" si="9"/>
        <v>2019</v>
      </c>
      <c r="H122" s="5" t="str">
        <f t="shared" si="10"/>
        <v>DeCasien_Higham_2019</v>
      </c>
      <c r="I122" s="5" t="str">
        <f t="shared" si="16"/>
        <v>10.1038%2Fs41559-019-0969-0</v>
      </c>
      <c r="J122" s="5" t="str">
        <f t="shared" si="11"/>
        <v>DeCasien_Higham_2019_BrainRegionDatamm3</v>
      </c>
      <c r="K122" s="5" t="str">
        <f t="shared" si="15"/>
        <v>10.1038%2Fs41559-019-0969-0_BrainRegionDatamm3</v>
      </c>
      <c r="L122" s="5" t="str">
        <f t="array" ref="L122">IFERROR(INDEX(AUTO_Public_TSV_FileList!$A$1:$A$1000,MATCH(TRUE(),EXACT(K122,IFERROR(_xlfn.TEXTBEFORE(AUTO_Public_TSV_FileList!$A$1:$A$1000,".tsv"),"")),0)),"notfound")</f>
        <v>10.1038%2Fs41559-019-0969-0_BrainRegionDatamm3.tsv</v>
      </c>
      <c r="M122" s="1" t="s">
        <v>566</v>
      </c>
      <c r="N122" s="1" t="s">
        <v>35</v>
      </c>
      <c r="O122" s="7"/>
      <c r="P122" s="7" t="s">
        <v>36</v>
      </c>
      <c r="Q122" s="7"/>
      <c r="R122" s="1" t="s">
        <v>562</v>
      </c>
      <c r="S122" s="7"/>
      <c r="T122" s="7"/>
      <c r="U122" s="7"/>
      <c r="V122" s="7"/>
      <c r="W122" s="1" t="s">
        <v>137</v>
      </c>
      <c r="X122" s="1" t="s">
        <v>567</v>
      </c>
      <c r="Y122" s="7"/>
      <c r="Z122" s="1" t="s">
        <v>120</v>
      </c>
      <c r="AA122" s="7"/>
      <c r="AB122" s="1" t="s">
        <v>127</v>
      </c>
      <c r="AC122" s="7"/>
      <c r="AD122" s="7"/>
      <c r="AE122" s="1" t="s">
        <v>568</v>
      </c>
      <c r="AF122" s="1" t="s">
        <v>569</v>
      </c>
      <c r="AG122" s="7"/>
    </row>
    <row r="123" ht="17" customHeight="1">
      <c r="A123" s="1" t="s">
        <v>559</v>
      </c>
      <c r="D123" s="1" t="s">
        <v>570</v>
      </c>
      <c r="E123" s="5" t="str">
        <f t="shared" si="8"/>
        <v>DeCasien</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5" t="str">
        <f t="shared" si="9"/>
        <v>2019</v>
      </c>
      <c r="H123" s="5" t="str">
        <f t="shared" si="10"/>
        <v>DeCasien_Higham_2019</v>
      </c>
      <c r="I123" s="5" t="str">
        <f t="shared" si="16"/>
        <v>10.1038%2Fs41559-019-0969-0</v>
      </c>
      <c r="J123" s="5" t="str">
        <f t="shared" si="11"/>
        <v>DeCasien_Higham_2019_BrainRegionDataNotes</v>
      </c>
      <c r="K123" s="5" t="str">
        <f t="shared" si="15"/>
        <v>10.1038%2Fs41559-019-0969-0_BrainRegionDataNotes</v>
      </c>
      <c r="L123" s="5" t="str">
        <f t="array" ref="L123">IFERROR(INDEX(AUTO_Public_TSV_FileList!$A$1:$A$1000,MATCH(TRUE(),EXACT(K123,IFERROR(_xlfn.TEXTBEFORE(AUTO_Public_TSV_FileList!$A$1:$A$1000,".tsv"),"")),0)),"notfound")</f>
        <v>10.1038%2Fs41559-019-0969-0_BrainRegionDataNotes.tsv</v>
      </c>
      <c r="M123" s="1" t="s">
        <v>570</v>
      </c>
      <c r="N123" s="1" t="s">
        <v>35</v>
      </c>
      <c r="O123" s="7"/>
      <c r="P123" s="7" t="s">
        <v>36</v>
      </c>
      <c r="Q123" s="7"/>
      <c r="R123" s="1" t="s">
        <v>562</v>
      </c>
      <c r="S123" s="7"/>
      <c r="T123" s="7"/>
      <c r="U123" s="7"/>
      <c r="V123" s="7"/>
      <c r="W123" s="1" t="s">
        <v>137</v>
      </c>
      <c r="X123" s="1" t="s">
        <v>567</v>
      </c>
      <c r="Y123" s="7"/>
      <c r="Z123" s="1" t="s">
        <v>120</v>
      </c>
      <c r="AA123" s="7"/>
      <c r="AB123" s="1" t="s">
        <v>127</v>
      </c>
      <c r="AC123" s="7"/>
      <c r="AD123" s="7"/>
      <c r="AE123" s="1" t="s">
        <v>568</v>
      </c>
      <c r="AF123" s="1" t="s">
        <v>569</v>
      </c>
      <c r="AG123" s="7"/>
    </row>
    <row r="124" ht="17" customHeight="1">
      <c r="A124" s="1" t="s">
        <v>559</v>
      </c>
      <c r="D124" s="1" t="s">
        <v>571</v>
      </c>
      <c r="E124" s="5" t="str">
        <f t="shared" si="8"/>
        <v>DeCasien</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5" t="str">
        <f t="shared" si="9"/>
        <v>2019</v>
      </c>
      <c r="H124" s="5" t="str">
        <f t="shared" si="10"/>
        <v>DeCasien_Higham_2019</v>
      </c>
      <c r="I124" s="5" t="str">
        <f t="shared" si="16"/>
        <v>10.1038%2Fs41559-019-0969-0</v>
      </c>
      <c r="J124" s="5" t="str">
        <f t="shared" si="11"/>
        <v>DeCasien_Higham_2019_DietData</v>
      </c>
      <c r="K124" s="5" t="str">
        <f t="shared" si="15"/>
        <v>10.1038%2Fs41559-019-0969-0_DietData</v>
      </c>
      <c r="L124" s="5" t="str">
        <f t="array" ref="L124">IFERROR(INDEX(AUTO_Public_TSV_FileList!$A$1:$A$1000,MATCH(TRUE(),EXACT(K124,IFERROR(_xlfn.TEXTBEFORE(AUTO_Public_TSV_FileList!$A$1:$A$1000,".tsv"),"")),0)),"notfound")</f>
        <v>10.1038%2Fs41559-019-0969-0_DietData.tsv</v>
      </c>
      <c r="M124" s="1" t="s">
        <v>572</v>
      </c>
      <c r="N124" s="1" t="s">
        <v>35</v>
      </c>
      <c r="O124" s="7"/>
      <c r="P124" s="7" t="s">
        <v>36</v>
      </c>
      <c r="Q124" s="7"/>
      <c r="R124" s="1" t="s">
        <v>562</v>
      </c>
      <c r="S124" s="7"/>
      <c r="T124" s="7"/>
      <c r="U124" s="7"/>
      <c r="V124" s="7"/>
      <c r="W124" s="1" t="s">
        <v>137</v>
      </c>
      <c r="X124" s="1" t="s">
        <v>573</v>
      </c>
      <c r="Y124" s="7"/>
      <c r="Z124" s="1"/>
      <c r="AA124" s="7"/>
      <c r="AB124" s="1" t="s">
        <v>574</v>
      </c>
      <c r="AC124" s="7"/>
      <c r="AD124" s="7"/>
      <c r="AE124" s="1" t="s">
        <v>215</v>
      </c>
      <c r="AF124" s="1"/>
      <c r="AG124" s="7"/>
    </row>
    <row r="125" ht="17" customHeight="1">
      <c r="A125" s="1" t="s">
        <v>559</v>
      </c>
      <c r="D125" s="1" t="s">
        <v>575</v>
      </c>
      <c r="E125" s="5" t="str">
        <f t="shared" si="8"/>
        <v>DeCasien</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5" t="str">
        <f t="shared" si="9"/>
        <v>2019</v>
      </c>
      <c r="H125" s="5" t="str">
        <f t="shared" si="10"/>
        <v>DeCasien_Higham_2019</v>
      </c>
      <c r="I125" s="5" t="str">
        <f t="shared" si="16"/>
        <v>10.1038%2Fs41559-019-0969-0</v>
      </c>
      <c r="J125" s="5" t="str">
        <f t="shared" si="11"/>
        <v>DeCasien_Higham_2019_DQIdata</v>
      </c>
      <c r="K125" s="5" t="str">
        <f t="shared" si="15"/>
        <v>10.1038%2Fs41559-019-0969-0_DQIdata</v>
      </c>
      <c r="L125" s="5" t="str">
        <f t="array" ref="L125">IFERROR(INDEX(AUTO_Public_TSV_FileList!$A$1:$A$1000,MATCH(TRUE(),EXACT(K125,IFERROR(_xlfn.TEXTBEFORE(AUTO_Public_TSV_FileList!$A$1:$A$1000,".tsv"),"")),0)),"notfound")</f>
        <v>10.1038%2Fs41559-019-0969-0_DQIdata.tsv</v>
      </c>
      <c r="M125" s="1" t="s">
        <v>575</v>
      </c>
      <c r="N125" s="1" t="s">
        <v>35</v>
      </c>
      <c r="O125" s="7"/>
      <c r="P125" s="7" t="s">
        <v>36</v>
      </c>
      <c r="Q125" s="7"/>
      <c r="R125" s="1" t="s">
        <v>562</v>
      </c>
      <c r="S125" s="7"/>
      <c r="T125" s="7"/>
      <c r="U125" s="7"/>
      <c r="V125" s="7"/>
      <c r="W125" s="1" t="s">
        <v>137</v>
      </c>
      <c r="X125" s="1"/>
      <c r="Y125" s="7"/>
      <c r="Z125" s="1"/>
      <c r="AA125" s="7"/>
      <c r="AB125" s="1"/>
      <c r="AC125" s="7"/>
      <c r="AD125" s="7"/>
      <c r="AE125" s="1" t="s">
        <v>215</v>
      </c>
      <c r="AF125" s="1"/>
      <c r="AG125" s="7"/>
    </row>
    <row r="126" ht="17" customHeight="1">
      <c r="A126" s="1" t="s">
        <v>559</v>
      </c>
      <c r="B126" s="9"/>
      <c r="C126" s="9"/>
      <c r="D126" s="1" t="s">
        <v>576</v>
      </c>
      <c r="E126" s="5" t="str">
        <f t="shared" si="8"/>
        <v>DeCasien</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5" t="str">
        <f t="shared" si="9"/>
        <v>2019</v>
      </c>
      <c r="H126" s="5" t="str">
        <f t="shared" si="10"/>
        <v>DeCasien_Higham_2019</v>
      </c>
      <c r="I126" s="5" t="str">
        <f t="shared" si="16"/>
        <v>10.1038%2Fs41559-019-0969-0</v>
      </c>
      <c r="J126" s="5" t="str">
        <f t="shared" si="11"/>
        <v>DeCasien_Higham_2019_GroupSizeDataaggregated</v>
      </c>
      <c r="K126" s="5" t="str">
        <f t="shared" si="15"/>
        <v>10.1038%2Fs41559-019-0969-0_GroupSizeDataaggregated</v>
      </c>
      <c r="L126" s="5" t="str">
        <f t="array" ref="L126">IFERROR(INDEX(AUTO_Public_TSV_FileList!$A$1:$A$1000,MATCH(TRUE(),EXACT(K126,IFERROR(_xlfn.TEXTBEFORE(AUTO_Public_TSV_FileList!$A$1:$A$1000,".tsv"),"")),0)),"notfound")</f>
        <v>10.1038%2Fs41559-019-0969-0_GroupSizeDataaggregated.tsv</v>
      </c>
      <c r="M126" s="1" t="s">
        <v>577</v>
      </c>
      <c r="N126" s="1" t="s">
        <v>35</v>
      </c>
      <c r="O126" s="7"/>
      <c r="P126" s="7" t="s">
        <v>36</v>
      </c>
      <c r="Q126" s="7"/>
      <c r="R126" s="1" t="s">
        <v>562</v>
      </c>
      <c r="S126" s="7"/>
      <c r="T126" s="7"/>
      <c r="U126" s="7"/>
      <c r="V126" s="7"/>
      <c r="W126" s="1" t="s">
        <v>137</v>
      </c>
      <c r="X126" s="1" t="s">
        <v>578</v>
      </c>
      <c r="Y126" s="7"/>
      <c r="Z126" s="1"/>
      <c r="AA126" s="7"/>
      <c r="AB126" s="1" t="s">
        <v>579</v>
      </c>
      <c r="AC126" s="7"/>
      <c r="AD126" s="7"/>
      <c r="AE126" s="1" t="s">
        <v>215</v>
      </c>
      <c r="AF126" s="1"/>
      <c r="AG126" s="7"/>
    </row>
    <row r="127" ht="17" customHeight="1">
      <c r="A127" s="1" t="s">
        <v>559</v>
      </c>
      <c r="B127" s="9"/>
      <c r="C127" s="9"/>
      <c r="D127" s="1" t="s">
        <v>580</v>
      </c>
      <c r="E127" s="5" t="str">
        <f t="shared" si="8"/>
        <v>DeCasien</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5" t="str">
        <f t="shared" si="9"/>
        <v>2019</v>
      </c>
      <c r="H127" s="5" t="str">
        <f t="shared" si="10"/>
        <v>DeCasien_Higham_2019</v>
      </c>
      <c r="I127" s="5" t="str">
        <f t="shared" si="16"/>
        <v>10.1038%2Fs41559-019-0969-0</v>
      </c>
      <c r="J127" s="5" t="str">
        <f t="shared" si="11"/>
        <v>DeCasien_Higham_2019_GroupSizeDatafrom38</v>
      </c>
      <c r="K127" s="5" t="str">
        <f t="shared" si="15"/>
        <v>10.1038%2Fs41559-019-0969-0_GroupSizeDatafrom38</v>
      </c>
      <c r="L127" s="5" t="str">
        <f t="array" ref="L127">IFERROR(INDEX(AUTO_Public_TSV_FileList!$A$1:$A$1000,MATCH(TRUE(),EXACT(K127,IFERROR(_xlfn.TEXTBEFORE(AUTO_Public_TSV_FileList!$A$1:$A$1000,".tsv"),"")),0)),"notfound")</f>
        <v>10.1038%2Fs41559-019-0969-0_GroupSizeDatafrom38.tsv</v>
      </c>
      <c r="M127" s="1" t="s">
        <v>577</v>
      </c>
      <c r="N127" s="1" t="s">
        <v>35</v>
      </c>
      <c r="O127" s="7"/>
      <c r="P127" s="7" t="s">
        <v>36</v>
      </c>
      <c r="Q127" s="7"/>
      <c r="R127" s="1" t="s">
        <v>562</v>
      </c>
      <c r="S127" s="7"/>
      <c r="T127" s="7"/>
      <c r="U127" s="7"/>
      <c r="V127" s="7"/>
      <c r="W127" s="1" t="s">
        <v>137</v>
      </c>
      <c r="X127" s="1" t="s">
        <v>578</v>
      </c>
      <c r="Y127" s="7"/>
      <c r="Z127" s="1"/>
      <c r="AA127" s="7"/>
      <c r="AB127" s="1" t="s">
        <v>579</v>
      </c>
      <c r="AC127" s="7"/>
      <c r="AD127" s="7"/>
      <c r="AE127" s="1" t="s">
        <v>215</v>
      </c>
      <c r="AF127" s="1"/>
      <c r="AG127" s="7"/>
    </row>
    <row r="128" ht="17" customHeight="1">
      <c r="A128" s="1" t="s">
        <v>559</v>
      </c>
      <c r="B128" s="9"/>
      <c r="C128" s="9"/>
      <c r="D128" s="1" t="s">
        <v>581</v>
      </c>
      <c r="E128" s="5" t="str">
        <f t="shared" si="8"/>
        <v>DeCasien</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5" t="str">
        <f t="shared" si="9"/>
        <v>2019</v>
      </c>
      <c r="H128" s="5" t="str">
        <f t="shared" si="10"/>
        <v>DeCasien_Higham_2019</v>
      </c>
      <c r="I128" s="5" t="str">
        <f t="shared" si="16"/>
        <v>10.1038%2Fs41559-019-0969-0</v>
      </c>
      <c r="J128" s="5" t="str">
        <f t="shared" si="11"/>
        <v>DeCasien_Higham_2019_referencesbraindata</v>
      </c>
      <c r="K128" s="5" t="str">
        <f t="shared" si="15"/>
        <v>10.1038%2Fs41559-019-0969-0_referencesbraindata</v>
      </c>
      <c r="L128" s="5" t="str">
        <f t="array" ref="L128">IFERROR(INDEX(AUTO_Public_TSV_FileList!$A$1:$A$1000,MATCH(TRUE(),EXACT(K128,IFERROR(_xlfn.TEXTBEFORE(AUTO_Public_TSV_FileList!$A$1:$A$1000,".tsv"),"")),0)),"notfound")</f>
        <v>10.1038%2Fs41559-019-0969-0_referencesbraindata.tsv</v>
      </c>
      <c r="M128" s="1" t="s">
        <v>581</v>
      </c>
      <c r="N128" s="1" t="s">
        <v>35</v>
      </c>
      <c r="O128" s="7"/>
      <c r="P128" s="7" t="s">
        <v>36</v>
      </c>
      <c r="Q128" s="7"/>
      <c r="R128" s="1" t="s">
        <v>562</v>
      </c>
      <c r="S128" s="7"/>
      <c r="T128" s="7"/>
      <c r="U128" s="7"/>
      <c r="V128" s="7"/>
      <c r="W128" s="1" t="s">
        <v>137</v>
      </c>
      <c r="X128" s="1"/>
      <c r="Y128" s="7"/>
      <c r="Z128" s="1"/>
      <c r="AA128" s="7"/>
      <c r="AB128" s="1"/>
      <c r="AC128" s="7"/>
      <c r="AD128" s="7"/>
      <c r="AE128" s="1" t="s">
        <v>215</v>
      </c>
      <c r="AF128" s="1"/>
      <c r="AG128" s="7"/>
    </row>
    <row r="129" ht="17" customHeight="1">
      <c r="A129" s="1" t="s">
        <v>559</v>
      </c>
      <c r="D129" s="1" t="s">
        <v>582</v>
      </c>
      <c r="E129" s="5" t="str">
        <f t="shared" si="8"/>
        <v>DeCasien</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5" t="str">
        <f t="shared" si="9"/>
        <v>2019</v>
      </c>
      <c r="H129" s="5" t="str">
        <f t="shared" si="10"/>
        <v>DeCasien_Higham_2019</v>
      </c>
      <c r="I129" s="5" t="str">
        <f t="shared" si="16"/>
        <v>10.1038%2Fs41559-019-0969-0</v>
      </c>
      <c r="J129" s="5" t="str">
        <f t="shared" si="11"/>
        <v>DeCasien_Higham_2019_SocialSystemData</v>
      </c>
      <c r="K129" s="5" t="str">
        <f t="shared" si="15"/>
        <v>10.1038%2Fs41559-019-0969-0_SocialSystemData</v>
      </c>
      <c r="L129" s="5" t="str">
        <f t="array" ref="L129">IFERROR(INDEX(AUTO_Public_TSV_FileList!$A$1:$A$1000,MATCH(TRUE(),EXACT(K129,IFERROR(_xlfn.TEXTBEFORE(AUTO_Public_TSV_FileList!$A$1:$A$1000,".tsv"),"")),0)),"notfound")</f>
        <v>10.1038%2Fs41559-019-0969-0_SocialSystemData.tsv</v>
      </c>
      <c r="M129" s="1" t="s">
        <v>583</v>
      </c>
      <c r="N129" s="1" t="s">
        <v>35</v>
      </c>
      <c r="O129" s="7"/>
      <c r="P129" s="7" t="s">
        <v>36</v>
      </c>
      <c r="Q129" s="7"/>
      <c r="R129" s="1" t="s">
        <v>562</v>
      </c>
      <c r="S129" s="7"/>
      <c r="T129" s="7"/>
      <c r="U129" s="7"/>
      <c r="V129" s="7"/>
      <c r="W129" s="1" t="s">
        <v>137</v>
      </c>
      <c r="X129" s="1" t="s">
        <v>578</v>
      </c>
      <c r="Y129" s="7"/>
      <c r="Z129" s="1"/>
      <c r="AA129" s="7"/>
      <c r="AB129" s="1" t="s">
        <v>579</v>
      </c>
      <c r="AC129" s="7"/>
      <c r="AD129" s="7"/>
      <c r="AE129" s="1" t="s">
        <v>215</v>
      </c>
      <c r="AF129" s="1"/>
      <c r="AG129" s="7"/>
    </row>
    <row r="130" ht="17" customHeight="1">
      <c r="A130" s="1" t="s">
        <v>559</v>
      </c>
      <c r="D130" s="1" t="s">
        <v>584</v>
      </c>
      <c r="E130" s="5" t="str">
        <f t="shared" ref="E130:E193" si="17">SUBSTITUTE(SUBSTITUTE(_xlfn.TEXTBEFORE(A130,","), "-", ""), " ", "")</f>
        <v>DeCasien</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5" t="str">
        <f t="shared" ref="G130:G193" si="18">_xlfn.TEXTBEFORE(_xlfn.TEXTAFTER(A130, "("), ")")</f>
        <v>2019</v>
      </c>
      <c r="H130" s="5" t="str">
        <f t="shared" ref="H130:H193" si="19">E130 &amp; IF(F130&lt;&gt;"", "_" &amp; F130, "_") &amp; IF(G130&lt;&gt;"", "_" &amp; G130, "_") &amp; IF(B130&lt;&gt;"", "_" &amp; B130, "")</f>
        <v>DeCasien_Higham_2019</v>
      </c>
      <c r="I130" s="5" t="str">
        <f t="shared" si="16"/>
        <v>10.1038%2Fs41559-019-0969-0</v>
      </c>
      <c r="J130" s="5" t="str">
        <f t="shared" ref="J130:J193" si="20">TRIM(_xlfn.TEXTJOIN("_",FALSE(),H130,(SUBSTITUTE(SUBSTITUTE(D130," ",""), "_", ""))))</f>
        <v>DeCasien_Higham_2019_SourceRefsfrom38</v>
      </c>
      <c r="K130" s="5" t="str">
        <f t="shared" si="15"/>
        <v>10.1038%2Fs41559-019-0969-0_SourceRefsfrom38</v>
      </c>
      <c r="L130" s="5" t="str">
        <f t="array" ref="L130">IFERROR(INDEX(AUTO_Public_TSV_FileList!$A$1:$A$1000,MATCH(TRUE(),EXACT(K130,IFERROR(_xlfn.TEXTBEFORE(AUTO_Public_TSV_FileList!$A$1:$A$1000,".tsv"),"")),0)),"notfound")</f>
        <v>10.1038%2Fs41559-019-0969-0_SourceRefsfrom38.tsv</v>
      </c>
      <c r="M130" s="1" t="s">
        <v>584</v>
      </c>
      <c r="N130" s="1" t="s">
        <v>35</v>
      </c>
      <c r="O130" s="7"/>
      <c r="P130" s="7" t="s">
        <v>36</v>
      </c>
      <c r="Q130" s="7"/>
      <c r="R130" s="1" t="s">
        <v>562</v>
      </c>
      <c r="S130" s="7"/>
      <c r="T130" s="7"/>
      <c r="U130" s="7"/>
      <c r="V130" s="7"/>
      <c r="W130" s="1" t="s">
        <v>137</v>
      </c>
      <c r="X130" s="1"/>
      <c r="Y130" s="7"/>
      <c r="Z130" s="1"/>
      <c r="AA130" s="7"/>
      <c r="AB130" s="1"/>
      <c r="AC130" s="7"/>
      <c r="AD130" s="7"/>
      <c r="AE130" s="1" t="s">
        <v>215</v>
      </c>
      <c r="AF130" s="1"/>
      <c r="AG130" s="7"/>
    </row>
    <row r="131" ht="17" customHeight="1">
      <c r="A131" s="11" t="s">
        <v>585</v>
      </c>
      <c r="B131" s="2"/>
      <c r="C131" s="2"/>
      <c r="D131" s="11" t="s">
        <v>586</v>
      </c>
      <c r="E131" s="5" t="str">
        <f t="shared" si="17"/>
        <v>DeCasien</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5" t="str">
        <f t="shared" si="18"/>
        <v>2017</v>
      </c>
      <c r="H131" s="5" t="str">
        <f t="shared" si="19"/>
        <v>DeCasien_etal_2017</v>
      </c>
      <c r="I131" s="5" t="str">
        <f t="shared" si="16"/>
        <v>10.1038%2Fs41559-017-0112</v>
      </c>
      <c r="J131" s="5" t="str">
        <f t="shared" si="20"/>
        <v>DeCasien_etal_2017_BrainData</v>
      </c>
      <c r="K131" s="5" t="str">
        <f t="shared" si="15"/>
        <v>10.1038%2Fs41559-017-0112_BrainData</v>
      </c>
      <c r="L131" s="5" t="str">
        <f t="array" ref="L131">IFERROR(INDEX(AUTO_Public_TSV_FileList!$A$1:$A$1000,MATCH(TRUE(),EXACT(K131,IFERROR(_xlfn.TEXTBEFORE(AUTO_Public_TSV_FileList!$A$1:$A$1000,".tsv"),"")),0)),"notfound")</f>
        <v>10.1038%2Fs41559-017-0112_BrainData.tsv</v>
      </c>
      <c r="M131" s="6"/>
      <c r="N131" s="1"/>
      <c r="O131" s="7"/>
      <c r="P131" s="7" t="s">
        <v>36</v>
      </c>
      <c r="Q131" s="6"/>
      <c r="R131" s="6"/>
      <c r="S131" s="6"/>
      <c r="T131" s="6"/>
      <c r="U131" s="6"/>
      <c r="V131" s="6"/>
      <c r="W131" s="11"/>
      <c r="X131" s="6"/>
      <c r="Y131" s="6"/>
      <c r="Z131" s="6"/>
      <c r="AA131" s="6"/>
      <c r="AB131" s="11"/>
      <c r="AC131" s="7"/>
      <c r="AD131" s="6"/>
      <c r="AE131" s="11"/>
      <c r="AF131" s="11"/>
      <c r="AG131" s="7"/>
    </row>
    <row r="132" ht="17" customHeight="1">
      <c r="A132" s="11" t="s">
        <v>585</v>
      </c>
      <c r="B132" s="2"/>
      <c r="C132" s="2"/>
      <c r="D132" s="11" t="s">
        <v>581</v>
      </c>
      <c r="E132" s="5" t="str">
        <f t="shared" si="17"/>
        <v>DeCasien</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5" t="str">
        <f t="shared" si="18"/>
        <v>2017</v>
      </c>
      <c r="H132" s="5" t="str">
        <f t="shared" si="19"/>
        <v>DeCasien_etal_2017</v>
      </c>
      <c r="I132" s="5" t="str">
        <f t="shared" si="16"/>
        <v>10.1038%2Fs41559-017-0112</v>
      </c>
      <c r="J132" s="5" t="str">
        <f t="shared" si="20"/>
        <v>DeCasien_etal_2017_referencesbraindata</v>
      </c>
      <c r="K132" s="5" t="str">
        <f t="shared" si="15"/>
        <v>10.1038%2Fs41559-017-0112_referencesbraindata</v>
      </c>
      <c r="L132" s="5" t="str">
        <f t="array" ref="L132">IFERROR(INDEX(AUTO_Public_TSV_FileList!$A$1:$A$1000,MATCH(TRUE(),EXACT(K132,IFERROR(_xlfn.TEXTBEFORE(AUTO_Public_TSV_FileList!$A$1:$A$1000,".tsv"),"")),0)),"notfound")</f>
        <v>10.1038%2Fs41559-017-0112_referencesbraindata.tsv</v>
      </c>
      <c r="M132" s="6"/>
      <c r="N132" s="1"/>
      <c r="O132" s="7"/>
      <c r="P132" s="7" t="s">
        <v>36</v>
      </c>
      <c r="Q132" s="6"/>
      <c r="R132" s="6"/>
      <c r="S132" s="6"/>
      <c r="T132" s="6"/>
      <c r="U132" s="6"/>
      <c r="V132" s="6"/>
      <c r="W132" s="11"/>
      <c r="X132" s="6"/>
      <c r="Y132" s="6"/>
      <c r="Z132" s="6"/>
      <c r="AA132" s="6"/>
      <c r="AB132" s="11"/>
      <c r="AC132" s="7"/>
      <c r="AD132" s="6"/>
      <c r="AE132" s="11"/>
      <c r="AF132" s="11"/>
      <c r="AG132" s="7"/>
    </row>
    <row r="133" ht="17" customHeight="1">
      <c r="A133" s="1" t="s">
        <v>587</v>
      </c>
      <c r="D133" s="1" t="s">
        <v>34</v>
      </c>
      <c r="E133" s="5" t="str">
        <f t="shared" si="17"/>
        <v>Dell</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5" t="str">
        <f t="shared" si="18"/>
        <v>2016</v>
      </c>
      <c r="H133" s="5" t="str">
        <f t="shared" si="19"/>
        <v>Dell_etal_2016</v>
      </c>
      <c r="I133" s="5" t="str">
        <f t="shared" si="16"/>
        <v>10.1002%2Fcne.23929</v>
      </c>
      <c r="J133" s="5" t="str">
        <f t="shared" si="20"/>
        <v>Dell_etal_2016_Table4</v>
      </c>
      <c r="K133" s="5" t="str">
        <f t="shared" si="15"/>
        <v>10.1002%2Fcne.23929_Table4</v>
      </c>
      <c r="L133" s="5" t="str">
        <f t="array" ref="L133">IFERROR(INDEX(AUTO_Public_TSV_FileList!$A$1:$A$1000,MATCH(TRUE(),EXACT(K133,IFERROR(_xlfn.TEXTBEFORE(AUTO_Public_TSV_FileList!$A$1:$A$1000,".tsv"),"")),0)),"notfound")</f>
        <v>10.1002%2Fcne.23929_Table4.tsv</v>
      </c>
      <c r="M133" s="1"/>
      <c r="N133" s="1"/>
      <c r="O133" s="7" t="s">
        <v>588</v>
      </c>
      <c r="P133" s="7" t="s">
        <v>36</v>
      </c>
      <c r="Q133" s="7"/>
      <c r="R133" s="1"/>
      <c r="S133" s="7"/>
      <c r="T133" s="7"/>
      <c r="U133" s="7"/>
      <c r="V133" s="7"/>
      <c r="W133" s="1"/>
      <c r="X133" s="1"/>
      <c r="Y133" s="7"/>
      <c r="Z133" s="1"/>
      <c r="AA133" s="7"/>
      <c r="AB133" s="1"/>
      <c r="AC133" s="7"/>
      <c r="AD133" s="7"/>
      <c r="AE133" s="1"/>
      <c r="AF133" s="1"/>
      <c r="AG133" s="7"/>
    </row>
    <row r="134" ht="17" customHeight="1">
      <c r="A134" s="7" t="s">
        <v>589</v>
      </c>
      <c r="D134" s="7" t="s">
        <v>590</v>
      </c>
      <c r="E134" s="5" t="str">
        <f t="shared" si="17"/>
        <v>Demirci</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5" t="str">
        <f t="shared" si="18"/>
        <v>2023</v>
      </c>
      <c r="H134" s="5" t="str">
        <f t="shared" si="19"/>
        <v>Demirci_etal_2023</v>
      </c>
      <c r="I134" s="5" t="str">
        <f t="shared" si="16"/>
        <v>10.1016%2Fj.neuroimage.2023.120283</v>
      </c>
      <c r="J134" s="5" t="str">
        <f t="shared" si="20"/>
        <v>Demirci_etal_2023_Fig.1</v>
      </c>
      <c r="K134" s="5" t="str">
        <f t="shared" si="15"/>
        <v>10.1016%2Fj.neuroimage.2023.120283_Fig.1</v>
      </c>
      <c r="L134" s="5" t="str">
        <f t="array" ref="L134">IFERROR(INDEX(AUTO_Public_TSV_FileList!$A$1:$A$1000,MATCH(TRUE(),EXACT(K134,IFERROR(_xlfn.TEXTBEFORE(AUTO_Public_TSV_FileList!$A$1:$A$1000,".tsv"),"")),0)),"notfound")</f>
        <v>10.1016%2Fj.neuroimage.2023.120283_Fig.1.tsv</v>
      </c>
      <c r="M134" s="7" t="s">
        <v>591</v>
      </c>
      <c r="N134" s="7"/>
      <c r="O134" s="7"/>
      <c r="P134" s="7" t="s">
        <v>36</v>
      </c>
      <c r="Q134" s="7"/>
      <c r="R134" s="7"/>
      <c r="S134" s="7"/>
      <c r="T134" s="7"/>
      <c r="U134" s="7"/>
      <c r="V134" s="7"/>
      <c r="W134" s="7"/>
      <c r="X134" s="7"/>
      <c r="Y134" s="7"/>
      <c r="Z134" s="7"/>
      <c r="AA134" s="7"/>
      <c r="AB134" s="7"/>
      <c r="AC134" s="7"/>
      <c r="AD134" s="7"/>
      <c r="AE134" s="7"/>
      <c r="AF134" s="7"/>
      <c r="AG134" s="7"/>
    </row>
    <row r="135" ht="17" customHeight="1">
      <c r="A135" s="9" t="s">
        <v>592</v>
      </c>
      <c r="D135" s="9" t="s">
        <v>593</v>
      </c>
      <c r="E135" s="3" t="str">
        <f t="shared" si="17"/>
        <v>Dom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5" t="str">
        <f t="shared" si="18"/>
        <v>1971</v>
      </c>
      <c r="H135" s="3" t="str">
        <f t="shared" si="19"/>
        <v>Dom_etal_1971</v>
      </c>
      <c r="I135" s="3" t="str">
        <f>_xlfn.LET(_xlpm.doi,IF(C135&lt;&gt;"",C135,_xlfn.TEXTAFTER(A135,"https://doi.org/")),SUBSTITUTE(SUBSTITUTE(SUBSTITUTE(SUBSTITUTE(_xlpm.doi,"/","%2F"),":","%3A"),"&lt;","%3C"),"&gt;","%3E"))</f>
        <v>10.1016%2F0022-510X(71)90092-X</v>
      </c>
      <c r="J135" s="3" t="str">
        <f t="shared" si="20"/>
        <v>Dom_etal_1971_motormapCST</v>
      </c>
      <c r="K135" s="5" t="str">
        <f t="shared" si="15"/>
        <v>10.1016%2F0022-510X(71)90092-X_motormapCST</v>
      </c>
      <c r="L135" s="5" t="str">
        <f t="array" ref="L135">IFERROR(INDEX(AUTO_Public_TSV_FileList!$A$1:$A$1000,MATCH(TRUE(),EXACT(K135,IFERROR(_xlfn.TEXTBEFORE(AUTO_Public_TSV_FileList!$A$1:$A$1000,".tsv"),"")),0)),"notfound")</f>
        <v>notfound</v>
      </c>
      <c r="M135" s="9" t="s">
        <v>594</v>
      </c>
      <c r="N135" s="9" t="s">
        <v>595</v>
      </c>
      <c r="O135" s="9" t="s">
        <v>596</v>
      </c>
      <c r="P135" s="9" t="s">
        <v>78</v>
      </c>
      <c r="Q135" s="9"/>
      <c r="R135" s="9" t="s">
        <v>597</v>
      </c>
      <c r="S135" s="9" t="s">
        <v>80</v>
      </c>
      <c r="T135" s="9" t="s">
        <v>598</v>
      </c>
      <c r="U135" s="9"/>
      <c r="V135" s="9" t="s">
        <v>599</v>
      </c>
      <c r="W135" s="9" t="s">
        <v>600</v>
      </c>
      <c r="X135" s="9" t="s">
        <v>601</v>
      </c>
      <c r="Y135" s="9"/>
      <c r="Z135" s="9" t="s">
        <v>602</v>
      </c>
      <c r="AA135" s="9" t="s">
        <v>603</v>
      </c>
      <c r="AB135" s="9" t="s">
        <v>604</v>
      </c>
      <c r="AC135" s="9" t="s">
        <v>605</v>
      </c>
      <c r="AD135" s="9"/>
      <c r="AE135" s="9" t="s">
        <v>66</v>
      </c>
      <c r="AF135" s="9"/>
      <c r="AG135" s="9" t="s">
        <v>606</v>
      </c>
    </row>
    <row r="136" ht="17" customHeight="1">
      <c r="A136" s="7" t="s">
        <v>607</v>
      </c>
      <c r="B136" s="13"/>
      <c r="C136" s="13"/>
      <c r="D136" s="7" t="s">
        <v>608</v>
      </c>
      <c r="E136" s="3" t="str">
        <f t="shared" si="17"/>
        <v>Dooley</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5" t="str">
        <f t="shared" si="18"/>
        <v>2012</v>
      </c>
      <c r="H136" s="3" t="str">
        <f t="shared" si="19"/>
        <v>Dooley_etal_2012</v>
      </c>
      <c r="I136" s="3" t="str">
        <f>_xlfn.LET(_xlpm.doi,IF(C136&lt;&gt;"",C136,_xlfn.TEXTAFTER(A136,"https://doi.org/")),SUBSTITUTE(SUBSTITUTE(SUBSTITUTE(SUBSTITUTE(_xlpm.doi,"/","%2F"),":","%3A"),"&lt;","%3C"),"&gt;","%3E"))</f>
        <v>10.1016%2Fj.neuroscience.2012.07.065</v>
      </c>
      <c r="J136" s="3" t="str">
        <f t="shared" si="20"/>
        <v>Dooley_etal_2012_DiscussionText</v>
      </c>
      <c r="K136" s="5" t="str">
        <f t="shared" ref="K136:K167" si="21">I136 &amp; "_" &amp; SUBSTITUTE(SUBSTITUTE(SUBSTITUTE(D136,CHAR(160),"")," ",""),"_","")</f>
        <v>10.1016%2Fj.neuroscience.2012.07.065_DiscussionText</v>
      </c>
      <c r="L136" s="5" t="str">
        <f t="array" ref="L136">IFERROR(INDEX(AUTO_Public_TSV_FileList!$A$1:$A$1000,MATCH(TRUE(),EXACT(K136,IFERROR(_xlfn.TEXTBEFORE(AUTO_Public_TSV_FileList!$A$1:$A$1000,".tsv"),"")),0)),"notfound")</f>
        <v>10.1016%2Fj.neuroscience.2012.07.065_DiscussionText.tsv</v>
      </c>
      <c r="M136" s="7" t="s">
        <v>609</v>
      </c>
      <c r="N136" s="7" t="s">
        <v>455</v>
      </c>
      <c r="O136" s="7" t="s">
        <v>610</v>
      </c>
      <c r="P136" s="7"/>
      <c r="Q136" s="7"/>
      <c r="R136" s="7" t="s">
        <v>611</v>
      </c>
      <c r="S136" s="7"/>
      <c r="T136" s="7" t="s">
        <v>612</v>
      </c>
      <c r="U136" s="7"/>
      <c r="V136" s="7" t="s">
        <v>613</v>
      </c>
      <c r="W136" s="7" t="s">
        <v>614</v>
      </c>
      <c r="X136" s="7" t="s">
        <v>615</v>
      </c>
      <c r="Y136" s="7" t="s">
        <v>616</v>
      </c>
      <c r="Z136" s="7"/>
      <c r="AA136" s="7" t="s">
        <v>617</v>
      </c>
      <c r="AB136" s="7" t="s">
        <v>618</v>
      </c>
      <c r="AC136" s="7" t="s">
        <v>619</v>
      </c>
      <c r="AD136" s="7"/>
      <c r="AE136" s="7" t="s">
        <v>215</v>
      </c>
      <c r="AF136" s="7" t="s">
        <v>620</v>
      </c>
      <c r="AG136" s="7" t="s">
        <v>621</v>
      </c>
    </row>
    <row r="137" ht="17" customHeight="1">
      <c r="A137" s="7" t="s">
        <v>607</v>
      </c>
      <c r="B137" s="13"/>
      <c r="C137" s="13"/>
      <c r="D137" s="7" t="s">
        <v>453</v>
      </c>
      <c r="E137" s="3" t="str">
        <f t="shared" si="17"/>
        <v>Dooley</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5" t="str">
        <f t="shared" si="18"/>
        <v>2012</v>
      </c>
      <c r="H137" s="3" t="str">
        <f t="shared" si="19"/>
        <v>Dooley_etal_2012</v>
      </c>
      <c r="I137" s="3" t="str">
        <f>_xlfn.LET(_xlpm.doi,IF(C137&lt;&gt;"",C137,_xlfn.TEXTAFTER(A137,"https://doi.org/")),SUBSTITUTE(SUBSTITUTE(SUBSTITUTE(SUBSTITUTE(_xlpm.doi,"/","%2F"),":","%3A"),"&lt;","%3C"),"&gt;","%3E"))</f>
        <v>10.1016%2Fj.neuroscience.2012.07.065</v>
      </c>
      <c r="J137" s="3" t="str">
        <f t="shared" si="20"/>
        <v>Dooley_etal_2012_ResultsText</v>
      </c>
      <c r="K137" s="5" t="str">
        <f t="shared" si="21"/>
        <v>10.1016%2Fj.neuroscience.2012.07.065_ResultsText</v>
      </c>
      <c r="L137" s="5" t="str">
        <f t="array" ref="L137">IFERROR(INDEX(AUTO_Public_TSV_FileList!$A$1:$A$1000,MATCH(TRUE(),EXACT(K137,IFERROR(_xlfn.TEXTBEFORE(AUTO_Public_TSV_FileList!$A$1:$A$1000,".tsv"),"")),0)),"notfound")</f>
        <v>10.1016%2Fj.neuroscience.2012.07.065_ResultsText.tsv</v>
      </c>
      <c r="M137" s="7" t="s">
        <v>622</v>
      </c>
      <c r="N137" s="7" t="s">
        <v>455</v>
      </c>
      <c r="O137" s="7" t="s">
        <v>623</v>
      </c>
      <c r="P137" s="7"/>
      <c r="Q137" s="7"/>
      <c r="R137" s="7" t="s">
        <v>611</v>
      </c>
      <c r="S137" s="7"/>
      <c r="T137" s="7" t="s">
        <v>624</v>
      </c>
      <c r="U137" s="7"/>
      <c r="V137" s="7" t="s">
        <v>613</v>
      </c>
      <c r="W137" s="7" t="s">
        <v>625</v>
      </c>
      <c r="X137" s="7" t="s">
        <v>615</v>
      </c>
      <c r="Y137" s="7" t="s">
        <v>626</v>
      </c>
      <c r="Z137" s="7"/>
      <c r="AA137" s="7" t="s">
        <v>627</v>
      </c>
      <c r="AB137" s="7" t="s">
        <v>618</v>
      </c>
      <c r="AC137" s="7" t="s">
        <v>619</v>
      </c>
      <c r="AD137" s="7"/>
      <c r="AE137" s="7" t="s">
        <v>66</v>
      </c>
      <c r="AF137" s="7"/>
      <c r="AG137" s="7" t="s">
        <v>628</v>
      </c>
    </row>
    <row r="138" ht="17" customHeight="1">
      <c r="A138" s="1" t="s">
        <v>629</v>
      </c>
      <c r="D138" s="1" t="s">
        <v>68</v>
      </c>
      <c r="E138" s="5" t="str">
        <f t="shared" si="17"/>
        <v>DosSantos</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5" t="str">
        <f t="shared" si="18"/>
        <v>2020</v>
      </c>
      <c r="H138" s="5" t="str">
        <f t="shared" si="19"/>
        <v>DosSantos_etal_2020</v>
      </c>
      <c r="I138" s="5" t="str">
        <f t="shared" ref="I138:I145" si="22">_xlfn.LET(
_xlpm.doi,IF(C138&lt;&gt;"",C138,_xlfn.TEXTAFTER(A138,"https://doi.org/")),
SUBSTITUTE(
SUBSTITUTE(
SUBSTITUTE(
SUBSTITUTE(
_xlpm.doi,
"/","%2F"),
":","%3A"),
"&lt;","%3C"),
"&gt;","%3E")
)</f>
        <v>10.1523%2FJNEUROSCI.2339-19.2020</v>
      </c>
      <c r="J138" s="5" t="str">
        <f t="shared" si="20"/>
        <v>DosSantos_etal_2020_Table1</v>
      </c>
      <c r="K138" s="5" t="str">
        <f t="shared" si="21"/>
        <v>10.1523%2FJNEUROSCI.2339-19.2020_Table1</v>
      </c>
      <c r="L138" s="5" t="str">
        <f t="array" ref="L138">IFERROR(INDEX(AUTO_Public_TSV_FileList!$A$1:$A$1000,MATCH(TRUE(),EXACT(K138,IFERROR(_xlfn.TEXTBEFORE(AUTO_Public_TSV_FileList!$A$1:$A$1000,".tsv"),"")),0)),"notfound")</f>
        <v>10.1523%2FJNEUROSCI.2339-19.2020_Table1.tsv</v>
      </c>
      <c r="M138" s="7"/>
      <c r="N138" s="1" t="s">
        <v>35</v>
      </c>
      <c r="O138" s="7"/>
      <c r="P138" s="1" t="s">
        <v>36</v>
      </c>
      <c r="Q138" s="1"/>
      <c r="R138" s="7"/>
      <c r="S138" s="1" t="s">
        <v>630</v>
      </c>
      <c r="T138" s="7"/>
      <c r="U138" s="1" t="s">
        <v>631</v>
      </c>
      <c r="V138" s="1" t="s">
        <v>632</v>
      </c>
      <c r="W138" s="1" t="s">
        <v>174</v>
      </c>
      <c r="X138" s="1" t="s">
        <v>633</v>
      </c>
      <c r="Y138" s="7"/>
      <c r="Z138" s="7"/>
      <c r="AA138" s="1" t="s">
        <v>63</v>
      </c>
      <c r="AB138" s="1" t="s">
        <v>634</v>
      </c>
      <c r="AC138" s="1" t="s">
        <v>65</v>
      </c>
      <c r="AD138" s="1" t="s">
        <v>65</v>
      </c>
      <c r="AE138" s="1" t="s">
        <v>66</v>
      </c>
      <c r="AF138" s="1"/>
      <c r="AG138" s="7"/>
    </row>
    <row r="139" ht="17" customHeight="1">
      <c r="A139" s="1" t="s">
        <v>629</v>
      </c>
      <c r="B139" s="9"/>
      <c r="C139" s="9"/>
      <c r="D139" s="1" t="s">
        <v>635</v>
      </c>
      <c r="E139" s="5" t="str">
        <f t="shared" si="17"/>
        <v>DosSantos</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5" t="str">
        <f t="shared" si="18"/>
        <v>2020</v>
      </c>
      <c r="H139" s="5" t="str">
        <f t="shared" si="19"/>
        <v>DosSantos_etal_2020</v>
      </c>
      <c r="I139" s="5" t="str">
        <f t="shared" si="22"/>
        <v>10.1523%2FJNEUROSCI.2339-19.2020</v>
      </c>
      <c r="J139" s="5" t="str">
        <f t="shared" si="20"/>
        <v>DosSantos_etal_2020_unpublished</v>
      </c>
      <c r="K139" s="5" t="str">
        <f t="shared" si="21"/>
        <v>10.1523%2FJNEUROSCI.2339-19.2020_unpublished</v>
      </c>
      <c r="L139" s="5" t="str">
        <f t="array" ref="L139">IFERROR(INDEX(AUTO_Public_TSV_FileList!$A$1:$A$1000,MATCH(TRUE(),EXACT(K139,IFERROR(_xlfn.TEXTBEFORE(AUTO_Public_TSV_FileList!$A$1:$A$1000,".tsv"),"")),0)),"notfound")</f>
        <v>10.1523%2FJNEUROSCI.2339-19.2020_unpublished.tsv</v>
      </c>
      <c r="M139" s="7"/>
      <c r="N139" s="1" t="s">
        <v>35</v>
      </c>
      <c r="O139" s="7"/>
      <c r="P139" s="1" t="s">
        <v>36</v>
      </c>
      <c r="Q139" s="1"/>
      <c r="R139" s="1" t="s">
        <v>636</v>
      </c>
      <c r="S139" s="1" t="s">
        <v>637</v>
      </c>
      <c r="T139" s="7"/>
      <c r="U139" s="7"/>
      <c r="V139" s="1" t="s">
        <v>632</v>
      </c>
      <c r="W139" s="1" t="s">
        <v>174</v>
      </c>
      <c r="X139" s="1" t="s">
        <v>633</v>
      </c>
      <c r="Y139" s="7"/>
      <c r="Z139" s="7"/>
      <c r="AA139" s="1" t="s">
        <v>63</v>
      </c>
      <c r="AB139" s="1" t="s">
        <v>634</v>
      </c>
      <c r="AC139" s="1" t="s">
        <v>65</v>
      </c>
      <c r="AD139" s="1" t="s">
        <v>65</v>
      </c>
      <c r="AE139" s="1" t="s">
        <v>66</v>
      </c>
      <c r="AF139" s="1"/>
      <c r="AG139" s="7"/>
    </row>
    <row r="140" ht="17" customHeight="1">
      <c r="A140" s="1" t="s">
        <v>638</v>
      </c>
      <c r="B140" s="17"/>
      <c r="C140" s="9"/>
      <c r="D140" s="1" t="s">
        <v>286</v>
      </c>
      <c r="E140" s="5" t="str">
        <f t="shared" si="17"/>
        <v>DosSantos</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5" t="str">
        <f t="shared" si="18"/>
        <v>2017</v>
      </c>
      <c r="H140" s="5" t="str">
        <f t="shared" si="19"/>
        <v>DosSantos_etal_2017</v>
      </c>
      <c r="I140" s="5" t="str">
        <f t="shared" si="22"/>
        <v>10.1159%2F000452856</v>
      </c>
      <c r="J140" s="5" t="str">
        <f t="shared" si="20"/>
        <v>DosSantos_etal_2017_TableS1</v>
      </c>
      <c r="K140" s="5" t="str">
        <f t="shared" si="21"/>
        <v>10.1159%2F000452856_TableS1</v>
      </c>
      <c r="L140" s="5" t="str">
        <f t="array" ref="L140">IFERROR(INDEX(AUTO_Public_TSV_FileList!$A$1:$A$1000,MATCH(TRUE(),EXACT(K140,IFERROR(_xlfn.TEXTBEFORE(AUTO_Public_TSV_FileList!$A$1:$A$1000,".tsv"),"")),0)),"notfound")</f>
        <v>10.1159%2F000452856_TableS1.tsv</v>
      </c>
      <c r="M140" s="7"/>
      <c r="N140" s="1" t="s">
        <v>639</v>
      </c>
      <c r="O140" s="7"/>
      <c r="P140" s="1" t="s">
        <v>36</v>
      </c>
      <c r="Q140" s="1"/>
      <c r="R140" s="1" t="s">
        <v>640</v>
      </c>
      <c r="S140" s="1" t="s">
        <v>641</v>
      </c>
      <c r="T140" s="7"/>
      <c r="U140" s="7"/>
      <c r="V140" s="7"/>
      <c r="W140" s="1" t="s">
        <v>642</v>
      </c>
      <c r="X140" s="1" t="s">
        <v>633</v>
      </c>
      <c r="Y140" s="7"/>
      <c r="Z140" s="7"/>
      <c r="AA140" s="1" t="s">
        <v>63</v>
      </c>
      <c r="AB140" s="1" t="s">
        <v>64</v>
      </c>
      <c r="AC140" s="1" t="s">
        <v>65</v>
      </c>
      <c r="AD140" s="1" t="s">
        <v>65</v>
      </c>
      <c r="AE140" s="1" t="s">
        <v>66</v>
      </c>
      <c r="AF140" s="1"/>
      <c r="AG140" s="7"/>
    </row>
    <row r="141" ht="17" customHeight="1">
      <c r="A141" s="1" t="s">
        <v>643</v>
      </c>
      <c r="B141" s="17"/>
      <c r="C141" s="9"/>
      <c r="D141" s="1" t="s">
        <v>68</v>
      </c>
      <c r="E141" s="5" t="str">
        <f t="shared" si="17"/>
        <v>Dunbar</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1" s="5" t="str">
        <f t="shared" si="18"/>
        <v>1992</v>
      </c>
      <c r="H141" s="5" t="str">
        <f t="shared" si="19"/>
        <v>Dunbar__1992</v>
      </c>
      <c r="I141" s="5" t="str">
        <f t="shared" si="22"/>
        <v>10.1016%2F0047-2484(92)90081-J</v>
      </c>
      <c r="J141" s="5" t="str">
        <f t="shared" si="20"/>
        <v>Dunbar__1992_Table1</v>
      </c>
      <c r="K141" s="5" t="str">
        <f t="shared" si="21"/>
        <v>10.1016%2F0047-2484(92)90081-J_Table1</v>
      </c>
      <c r="L141" s="5" t="str">
        <f t="array" ref="L141">IFERROR(INDEX(AUTO_Public_TSV_FileList!$A$1:$A$1000,MATCH(TRUE(),EXACT(K141,IFERROR(_xlfn.TEXTBEFORE(AUTO_Public_TSV_FileList!$A$1:$A$1000,".tsv"),"")),0)),"notfound")</f>
        <v>10.1016%2F0047-2484(92)90081-J_Table1.tsv</v>
      </c>
      <c r="M141" s="7" t="s">
        <v>644</v>
      </c>
      <c r="N141" s="1"/>
      <c r="O141" s="7"/>
      <c r="P141" s="1" t="s">
        <v>36</v>
      </c>
      <c r="Q141" s="1"/>
      <c r="R141" s="1"/>
      <c r="S141" s="1"/>
      <c r="T141" s="7"/>
      <c r="U141" s="7"/>
      <c r="V141" s="7"/>
      <c r="W141" s="1"/>
      <c r="X141" s="1"/>
      <c r="Y141" s="7"/>
      <c r="Z141" s="7"/>
      <c r="AA141" s="1"/>
      <c r="AB141" s="1"/>
      <c r="AC141" s="1"/>
      <c r="AD141" s="1"/>
      <c r="AE141" s="1"/>
      <c r="AF141" s="1"/>
      <c r="AG141" s="7"/>
    </row>
    <row r="142" ht="17" customHeight="1">
      <c r="A142" s="1" t="s">
        <v>645</v>
      </c>
      <c r="B142" s="17"/>
      <c r="C142" s="9"/>
      <c r="D142" s="1" t="s">
        <v>58</v>
      </c>
      <c r="E142" s="5" t="str">
        <f t="shared" si="17"/>
        <v>Eagleman</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5" t="str">
        <f t="shared" si="18"/>
        <v>2021</v>
      </c>
      <c r="H142" s="5" t="str">
        <f t="shared" si="19"/>
        <v>Eagleman_Vaughn_2021</v>
      </c>
      <c r="I142" s="5" t="str">
        <f t="shared" si="22"/>
        <v>10.3389%2Ffnins.2021.632853</v>
      </c>
      <c r="J142" s="5" t="str">
        <f t="shared" si="20"/>
        <v>Eagleman_Vaughn_2021_TABLE1</v>
      </c>
      <c r="K142" s="5" t="str">
        <f t="shared" si="21"/>
        <v>10.3389%2Ffnins.2021.632853_TABLE1</v>
      </c>
      <c r="L142" s="5" t="str">
        <f t="array" ref="L142">IFERROR(INDEX(AUTO_Public_TSV_FileList!$A$1:$A$1000,MATCH(TRUE(),EXACT(K142,IFERROR(_xlfn.TEXTBEFORE(AUTO_Public_TSV_FileList!$A$1:$A$1000,".tsv"),"")),0)),"notfound")</f>
        <v>10.3389%2Ffnins.2021.632853_TABLE1.tsv</v>
      </c>
      <c r="M142" s="1" t="s">
        <v>646</v>
      </c>
      <c r="N142" s="7"/>
      <c r="O142" s="7"/>
      <c r="P142" s="1" t="s">
        <v>36</v>
      </c>
      <c r="Q142" s="7"/>
      <c r="R142" s="7"/>
      <c r="S142" s="7"/>
      <c r="T142" s="7"/>
      <c r="U142" s="7"/>
      <c r="V142" s="7"/>
      <c r="W142" s="1" t="s">
        <v>174</v>
      </c>
      <c r="X142" s="1" t="s">
        <v>647</v>
      </c>
      <c r="Y142" s="7"/>
      <c r="Z142" s="7"/>
      <c r="AA142" s="7"/>
      <c r="AB142" s="1" t="s">
        <v>648</v>
      </c>
      <c r="AC142" s="7"/>
      <c r="AD142" s="7"/>
      <c r="AE142" s="1" t="s">
        <v>215</v>
      </c>
      <c r="AF142" s="1"/>
      <c r="AG142" s="7"/>
    </row>
    <row r="143" ht="17" customHeight="1">
      <c r="A143" s="1" t="s">
        <v>649</v>
      </c>
      <c r="B143" s="17"/>
      <c r="C143" s="9"/>
      <c r="D143" s="1" t="s">
        <v>650</v>
      </c>
      <c r="E143" s="5" t="str">
        <f t="shared" si="17"/>
        <v>Ebinger</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3" s="5" t="str">
        <f t="shared" si="18"/>
        <v>1974</v>
      </c>
      <c r="H143" s="5" t="str">
        <f t="shared" si="19"/>
        <v>Ebinger__1974</v>
      </c>
      <c r="I143" s="5" t="str">
        <f t="shared" si="22"/>
        <v>10.1007%2FBF00522811</v>
      </c>
      <c r="J143" s="5" t="str">
        <f t="shared" si="20"/>
        <v>Ebinger__1974_Tables3-4</v>
      </c>
      <c r="K143" s="5" t="str">
        <f t="shared" si="21"/>
        <v>10.1007%2FBF00522811_Tables3-4</v>
      </c>
      <c r="L143" s="5" t="str">
        <f t="array" ref="L143">IFERROR(INDEX(AUTO_Public_TSV_FileList!$A$1:$A$1000,MATCH(TRUE(),EXACT(K143,IFERROR(_xlfn.TEXTBEFORE(AUTO_Public_TSV_FileList!$A$1:$A$1000,".tsv"),"")),0)),"notfound")</f>
        <v>10.1007%2FBF00522811_Tables3-4.tsv</v>
      </c>
      <c r="M143" s="1" t="s">
        <v>651</v>
      </c>
      <c r="N143" s="7"/>
      <c r="O143" s="7"/>
      <c r="P143" s="1" t="s">
        <v>36</v>
      </c>
      <c r="Q143" s="7"/>
      <c r="R143" s="7"/>
      <c r="S143" s="7"/>
      <c r="T143" s="7"/>
      <c r="U143" s="7"/>
      <c r="V143" s="7"/>
      <c r="W143" s="1"/>
      <c r="X143" s="1"/>
      <c r="Y143" s="7"/>
      <c r="Z143" s="7"/>
      <c r="AA143" s="7"/>
      <c r="AB143" s="1"/>
      <c r="AC143" s="7"/>
      <c r="AD143" s="7"/>
      <c r="AE143" s="1" t="s">
        <v>66</v>
      </c>
      <c r="AF143" s="1"/>
      <c r="AG143" s="7"/>
    </row>
    <row r="144" ht="17" customHeight="1">
      <c r="A144" s="6" t="s">
        <v>652</v>
      </c>
      <c r="B144" s="2"/>
      <c r="C144" s="6"/>
      <c r="D144" s="6" t="s">
        <v>393</v>
      </c>
      <c r="E144" s="5" t="str">
        <f t="shared" si="17"/>
        <v>Elston</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4" s="5" t="str">
        <f t="shared" si="18"/>
        <v>2000</v>
      </c>
      <c r="H144" s="5" t="str">
        <f t="shared" si="19"/>
        <v>Elston__2000</v>
      </c>
      <c r="I144" s="5" t="str">
        <f t="shared" si="22"/>
        <v>10.1523%2FJNEUROSCI.20-18-j0002.2000</v>
      </c>
      <c r="J144" s="5" t="str">
        <f t="shared" si="20"/>
        <v>Elston__2000_Figure2</v>
      </c>
      <c r="K144" s="5" t="str">
        <f t="shared" si="21"/>
        <v>10.1523%2FJNEUROSCI.20-18-j0002.2000_Figure2</v>
      </c>
      <c r="L144" s="5" t="str">
        <f t="array" ref="L144">IFERROR(INDEX(AUTO_Public_TSV_FileList!$A$1:$A$1000,MATCH(TRUE(),EXACT(K144,IFERROR(_xlfn.TEXTBEFORE(AUTO_Public_TSV_FileList!$A$1:$A$1000,".tsv"),"")),0)),"notfound")</f>
        <v>10.1523%2FJNEUROSCI.20-18-j0002.2000_Figure2.tsv</v>
      </c>
      <c r="M144" s="7"/>
      <c r="N144" s="6" t="s">
        <v>251</v>
      </c>
      <c r="O144" s="7"/>
      <c r="P144" s="6" t="s">
        <v>36</v>
      </c>
      <c r="Q144" s="6"/>
      <c r="R144" s="6" t="s">
        <v>653</v>
      </c>
      <c r="S144" s="6"/>
      <c r="T144" s="6" t="s">
        <v>253</v>
      </c>
      <c r="U144" s="6"/>
      <c r="V144" s="6" t="s">
        <v>254</v>
      </c>
      <c r="W144" s="6" t="s">
        <v>137</v>
      </c>
      <c r="X144" s="6" t="s">
        <v>255</v>
      </c>
      <c r="Y144" s="6" t="s">
        <v>654</v>
      </c>
      <c r="Z144" s="6"/>
      <c r="AA144" s="6" t="s">
        <v>257</v>
      </c>
      <c r="AB144" s="6" t="s">
        <v>258</v>
      </c>
      <c r="AC144" s="6"/>
      <c r="AD144" s="6"/>
      <c r="AE144" s="6" t="s">
        <v>655</v>
      </c>
      <c r="AF144" s="6"/>
      <c r="AG144" s="6" t="s">
        <v>656</v>
      </c>
    </row>
    <row r="145" ht="17" customHeight="1">
      <c r="A145" s="6" t="s">
        <v>657</v>
      </c>
      <c r="B145" s="2"/>
      <c r="C145" s="6"/>
      <c r="D145" s="6" t="s">
        <v>68</v>
      </c>
      <c r="E145" s="5" t="str">
        <f t="shared" si="17"/>
        <v>Elston</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5" t="str">
        <f t="shared" si="18"/>
        <v>2001</v>
      </c>
      <c r="H145" s="5" t="str">
        <f t="shared" si="19"/>
        <v>Elston_etal_2001</v>
      </c>
      <c r="I145" s="5" t="str">
        <f t="shared" si="22"/>
        <v>10.1523%2FJNEUROSCI.21-17-j0002.2001</v>
      </c>
      <c r="J145" s="5" t="str">
        <f t="shared" si="20"/>
        <v>Elston_etal_2001_Table1</v>
      </c>
      <c r="K145" s="5" t="str">
        <f t="shared" si="21"/>
        <v>10.1523%2FJNEUROSCI.21-17-j0002.2001_Table1</v>
      </c>
      <c r="L145" s="5" t="str">
        <f t="array" ref="L145">IFERROR(INDEX(AUTO_Public_TSV_FileList!$A$1:$A$1000,MATCH(TRUE(),EXACT(K145,IFERROR(_xlfn.TEXTBEFORE(AUTO_Public_TSV_FileList!$A$1:$A$1000,".tsv"),"")),0)),"notfound")</f>
        <v>10.1523%2FJNEUROSCI.21-17-j0002.2001_Table1.tsv</v>
      </c>
      <c r="M145" s="7"/>
      <c r="N145" s="6" t="s">
        <v>251</v>
      </c>
      <c r="O145" s="7"/>
      <c r="P145" s="6" t="s">
        <v>36</v>
      </c>
      <c r="Q145" s="6"/>
      <c r="R145" s="6" t="s">
        <v>658</v>
      </c>
      <c r="S145" s="6"/>
      <c r="T145" s="6" t="s">
        <v>253</v>
      </c>
      <c r="U145" s="6"/>
      <c r="V145" s="6" t="s">
        <v>254</v>
      </c>
      <c r="W145" s="6" t="s">
        <v>137</v>
      </c>
      <c r="X145" s="6" t="s">
        <v>255</v>
      </c>
      <c r="Y145" s="6" t="s">
        <v>659</v>
      </c>
      <c r="Z145" s="6"/>
      <c r="AA145" s="6" t="s">
        <v>257</v>
      </c>
      <c r="AB145" s="6" t="s">
        <v>258</v>
      </c>
      <c r="AC145" s="6"/>
      <c r="AD145" s="6"/>
      <c r="AE145" s="11" t="s">
        <v>51</v>
      </c>
      <c r="AF145" s="11"/>
      <c r="AG145" s="6" t="s">
        <v>660</v>
      </c>
    </row>
    <row r="146" ht="17" customHeight="1">
      <c r="A146" s="9" t="s">
        <v>2919</v>
      </c>
      <c r="B146" t="s">
        <v>355</v>
      </c>
      <c r="C146" s="9"/>
      <c r="D146" s="9" t="s">
        <v>68</v>
      </c>
      <c r="E146" s="3" t="str">
        <f t="shared" si="17"/>
        <v>Elston</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5" t="str">
        <f t="shared" si="18"/>
        <v>2005</v>
      </c>
      <c r="H146" s="3" t="str">
        <f t="shared" si="19"/>
        <v>Elston_etal_2005_a</v>
      </c>
      <c r="I146" s="3" t="str">
        <f t="shared" ref="I146:I155" si="23">_xlfn.LET(_xlpm.doi,IF(C146&lt;&gt;"",C146,_xlfn.TEXTAFTER(A146,"https://doi.org/")),SUBSTITUTE(SUBSTITUTE(SUBSTITUTE(SUBSTITUTE(_xlpm.doi,"/","%2F"),":","%3A"),"&lt;","%3C"),"&gt;","%3E"))</f>
        <v>10.1016%2Fj.neuroscience.2005.04.054</v>
      </c>
      <c r="J146" s="3" t="str">
        <f t="shared" si="20"/>
        <v>Elston_etal_2005_a_Table1</v>
      </c>
      <c r="K146" s="5" t="str">
        <f t="shared" si="21"/>
        <v>10.1016%2Fj.neuroscience.2005.04.054_Table1</v>
      </c>
      <c r="L146" s="5" t="str">
        <f t="array" ref="L146">IFERROR(INDEX(AUTO_Public_TSV_FileList!$A$1:$A$1000,MATCH(TRUE(),EXACT(K146,IFERROR(_xlfn.TEXTBEFORE(AUTO_Public_TSV_FileList!$A$1:$A$1000,".tsv"),"")),0)),"notfound")</f>
        <v>10.1016%2Fj.neuroscience.2005.04.054_Table1.tsv</v>
      </c>
      <c r="M146" s="9" t="s">
        <v>661</v>
      </c>
      <c r="N146" s="9"/>
      <c r="O146" s="9"/>
      <c r="P146" s="9"/>
      <c r="Q146" s="9"/>
      <c r="R146" s="9"/>
      <c r="S146" s="9"/>
      <c r="T146" s="9"/>
      <c r="U146" s="9"/>
      <c r="V146" s="9"/>
      <c r="W146" s="9"/>
      <c r="X146" s="9"/>
      <c r="Y146" s="9"/>
      <c r="Z146" s="9"/>
      <c r="AA146" s="9"/>
      <c r="AB146" s="9"/>
      <c r="AC146" s="9"/>
      <c r="AD146" s="9"/>
      <c r="AE146" s="9"/>
      <c r="AF146" s="9"/>
      <c r="AG146" s="9"/>
    </row>
    <row r="147" ht="17" customHeight="1">
      <c r="A147" s="9" t="s">
        <v>2919</v>
      </c>
      <c r="B147" t="s">
        <v>355</v>
      </c>
      <c r="D147" s="9" t="s">
        <v>108</v>
      </c>
      <c r="E147" s="3" t="str">
        <f t="shared" si="17"/>
        <v>Elston</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5" t="str">
        <f t="shared" si="18"/>
        <v>2005</v>
      </c>
      <c r="H147" s="3" t="str">
        <f t="shared" si="19"/>
        <v>Elston_etal_2005_a</v>
      </c>
      <c r="I147" s="3" t="str">
        <f t="shared" si="23"/>
        <v>10.1016%2Fj.neuroscience.2005.04.054</v>
      </c>
      <c r="J147" s="3" t="str">
        <f t="shared" si="20"/>
        <v>Elston_etal_2005_a_Table2</v>
      </c>
      <c r="K147" s="5" t="str">
        <f t="shared" si="21"/>
        <v>10.1016%2Fj.neuroscience.2005.04.054_Table2</v>
      </c>
      <c r="L147" s="5" t="str">
        <f t="array" ref="L147">IFERROR(INDEX(AUTO_Public_TSV_FileList!$A$1:$A$1000,MATCH(TRUE(),EXACT(K147,IFERROR(_xlfn.TEXTBEFORE(AUTO_Public_TSV_FileList!$A$1:$A$1000,".tsv"),"")),0)),"notfound")</f>
        <v>10.1016%2Fj.neuroscience.2005.04.054_Table2.tsv</v>
      </c>
      <c r="M147" s="9" t="s">
        <v>662</v>
      </c>
      <c r="N147" s="9"/>
      <c r="O147" s="9"/>
      <c r="P147" s="9"/>
      <c r="Q147" s="9"/>
      <c r="R147" s="9"/>
      <c r="S147" s="9"/>
      <c r="T147" s="9"/>
      <c r="U147" s="9"/>
      <c r="V147" s="9"/>
      <c r="W147" s="9"/>
      <c r="X147" s="9"/>
      <c r="Y147" s="9"/>
      <c r="Z147" s="9"/>
      <c r="AA147" s="9"/>
      <c r="AB147" s="9"/>
      <c r="AC147" s="9"/>
      <c r="AD147" s="9"/>
      <c r="AE147" s="9"/>
      <c r="AF147" s="9"/>
      <c r="AG147" s="9"/>
    </row>
    <row r="148" ht="17" customHeight="1">
      <c r="A148" s="9" t="s">
        <v>2919</v>
      </c>
      <c r="B148" t="s">
        <v>355</v>
      </c>
      <c r="D148" s="9" t="s">
        <v>110</v>
      </c>
      <c r="E148" s="3" t="str">
        <f t="shared" si="17"/>
        <v>Elston</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5" t="str">
        <f t="shared" si="18"/>
        <v>2005</v>
      </c>
      <c r="H148" s="3" t="str">
        <f t="shared" si="19"/>
        <v>Elston_etal_2005_a</v>
      </c>
      <c r="I148" s="3" t="str">
        <f t="shared" si="23"/>
        <v>10.1016%2Fj.neuroscience.2005.04.054</v>
      </c>
      <c r="J148" s="3" t="str">
        <f t="shared" si="20"/>
        <v>Elston_etal_2005_a_Table3</v>
      </c>
      <c r="K148" s="5" t="str">
        <f t="shared" si="21"/>
        <v>10.1016%2Fj.neuroscience.2005.04.054_Table3</v>
      </c>
      <c r="L148" s="5" t="str">
        <f t="array" ref="L148">IFERROR(INDEX(AUTO_Public_TSV_FileList!$A$1:$A$1000,MATCH(TRUE(),EXACT(K148,IFERROR(_xlfn.TEXTBEFORE(AUTO_Public_TSV_FileList!$A$1:$A$1000,".tsv"),"")),0)),"notfound")</f>
        <v>10.1016%2Fj.neuroscience.2005.04.054_Table3.tsv</v>
      </c>
      <c r="M148" s="9" t="s">
        <v>663</v>
      </c>
      <c r="N148" s="9"/>
      <c r="O148" s="9"/>
      <c r="P148" s="9"/>
      <c r="Q148" s="9"/>
      <c r="R148" s="9"/>
      <c r="S148" s="9"/>
      <c r="T148" s="9"/>
      <c r="U148" s="9"/>
      <c r="V148" s="9"/>
      <c r="W148" s="9"/>
      <c r="X148" s="9"/>
      <c r="Y148" s="9"/>
      <c r="Z148" s="9"/>
      <c r="AA148" s="9"/>
      <c r="AB148" s="9"/>
      <c r="AC148" s="9"/>
      <c r="AD148" s="9"/>
      <c r="AE148" s="9"/>
      <c r="AF148" s="9"/>
      <c r="AG148" s="9"/>
    </row>
    <row r="149" ht="17" customHeight="1">
      <c r="A149" s="9" t="s">
        <v>2919</v>
      </c>
      <c r="B149" t="s">
        <v>355</v>
      </c>
      <c r="D149" s="9" t="s">
        <v>34</v>
      </c>
      <c r="E149" s="3" t="str">
        <f t="shared" si="17"/>
        <v>Elston</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5" t="str">
        <f t="shared" si="18"/>
        <v>2005</v>
      </c>
      <c r="H149" s="3" t="str">
        <f t="shared" si="19"/>
        <v>Elston_etal_2005_a</v>
      </c>
      <c r="I149" s="3" t="str">
        <f t="shared" si="23"/>
        <v>10.1016%2Fj.neuroscience.2005.04.054</v>
      </c>
      <c r="J149" s="3" t="str">
        <f t="shared" si="20"/>
        <v>Elston_etal_2005_a_Table4</v>
      </c>
      <c r="K149" s="5" t="str">
        <f t="shared" si="21"/>
        <v>10.1016%2Fj.neuroscience.2005.04.054_Table4</v>
      </c>
      <c r="L149" s="5" t="str">
        <f t="array" ref="L149">IFERROR(INDEX(AUTO_Public_TSV_FileList!$A$1:$A$1000,MATCH(TRUE(),EXACT(K149,IFERROR(_xlfn.TEXTBEFORE(AUTO_Public_TSV_FileList!$A$1:$A$1000,".tsv"),"")),0)),"notfound")</f>
        <v>notfound</v>
      </c>
      <c r="M149" s="9" t="s">
        <v>664</v>
      </c>
      <c r="N149" s="9"/>
      <c r="O149" s="9"/>
      <c r="P149" s="9"/>
      <c r="Q149" s="9"/>
      <c r="R149" s="9"/>
      <c r="S149" s="9"/>
      <c r="T149" s="9"/>
      <c r="U149" s="9"/>
      <c r="V149" s="9"/>
      <c r="W149" s="9"/>
      <c r="X149" s="9"/>
      <c r="Y149" s="9"/>
      <c r="Z149" s="9"/>
      <c r="AA149" s="9"/>
      <c r="AB149" s="9"/>
      <c r="AC149" s="9"/>
      <c r="AD149" s="9"/>
      <c r="AE149" s="9"/>
      <c r="AF149" s="9"/>
      <c r="AG149" s="9"/>
    </row>
    <row r="150" ht="17" customHeight="1">
      <c r="A150" s="9" t="s">
        <v>2919</v>
      </c>
      <c r="B150" t="s">
        <v>355</v>
      </c>
      <c r="D150" s="9" t="s">
        <v>112</v>
      </c>
      <c r="E150" s="3" t="str">
        <f t="shared" si="17"/>
        <v>Elston</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5" t="str">
        <f t="shared" si="18"/>
        <v>2005</v>
      </c>
      <c r="H150" s="3" t="str">
        <f t="shared" si="19"/>
        <v>Elston_etal_2005_a</v>
      </c>
      <c r="I150" s="3" t="str">
        <f t="shared" si="23"/>
        <v>10.1016%2Fj.neuroscience.2005.04.054</v>
      </c>
      <c r="J150" s="3" t="str">
        <f t="shared" si="20"/>
        <v>Elston_etal_2005_a_Table5</v>
      </c>
      <c r="K150" s="5" t="str">
        <f t="shared" si="21"/>
        <v>10.1016%2Fj.neuroscience.2005.04.054_Table5</v>
      </c>
      <c r="L150" s="5" t="str">
        <f t="array" ref="L150">IFERROR(INDEX(AUTO_Public_TSV_FileList!$A$1:$A$1000,MATCH(TRUE(),EXACT(K150,IFERROR(_xlfn.TEXTBEFORE(AUTO_Public_TSV_FileList!$A$1:$A$1000,".tsv"),"")),0)),"notfound")</f>
        <v>notfound</v>
      </c>
      <c r="M150" s="9" t="s">
        <v>665</v>
      </c>
      <c r="N150" s="9"/>
      <c r="O150" s="9"/>
      <c r="P150" s="9"/>
      <c r="Q150" s="9"/>
      <c r="R150" s="9"/>
      <c r="S150" s="9"/>
      <c r="T150" s="9"/>
      <c r="U150" s="9"/>
      <c r="V150" s="9"/>
      <c r="W150" s="9"/>
      <c r="X150" s="9"/>
      <c r="Y150" s="9"/>
      <c r="Z150" s="9"/>
      <c r="AA150" s="9"/>
      <c r="AB150" s="9"/>
      <c r="AC150" s="9"/>
      <c r="AD150" s="9"/>
      <c r="AE150" s="9"/>
      <c r="AF150" s="9"/>
      <c r="AG150" s="9"/>
    </row>
    <row r="151" ht="17" customHeight="1">
      <c r="A151" s="9" t="s">
        <v>2919</v>
      </c>
      <c r="B151" t="s">
        <v>355</v>
      </c>
      <c r="D151" s="9" t="s">
        <v>365</v>
      </c>
      <c r="E151" s="3" t="str">
        <f t="shared" si="17"/>
        <v>Elston</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5" t="str">
        <f t="shared" si="18"/>
        <v>2005</v>
      </c>
      <c r="H151" s="3" t="str">
        <f t="shared" si="19"/>
        <v>Elston_etal_2005_a</v>
      </c>
      <c r="I151" s="3" t="str">
        <f t="shared" si="23"/>
        <v>10.1016%2Fj.neuroscience.2005.04.054</v>
      </c>
      <c r="J151" s="3" t="str">
        <f t="shared" si="20"/>
        <v>Elston_etal_2005_a_Table6</v>
      </c>
      <c r="K151" s="5" t="str">
        <f t="shared" si="21"/>
        <v>10.1016%2Fj.neuroscience.2005.04.054_Table6</v>
      </c>
      <c r="L151" s="5" t="str">
        <f t="array" ref="L151">IFERROR(INDEX(AUTO_Public_TSV_FileList!$A$1:$A$1000,MATCH(TRUE(),EXACT(K151,IFERROR(_xlfn.TEXTBEFORE(AUTO_Public_TSV_FileList!$A$1:$A$1000,".tsv"),"")),0)),"notfound")</f>
        <v>notfound</v>
      </c>
      <c r="M151" s="9" t="s">
        <v>666</v>
      </c>
      <c r="N151" s="9"/>
      <c r="O151" s="9"/>
      <c r="P151" s="9"/>
      <c r="Q151" s="9"/>
      <c r="R151" s="9"/>
      <c r="S151" s="9"/>
      <c r="T151" s="9"/>
      <c r="U151" s="9"/>
      <c r="V151" s="9"/>
      <c r="W151" s="9"/>
      <c r="X151" s="9"/>
      <c r="Y151" s="9"/>
      <c r="Z151" s="9"/>
      <c r="AA151" s="9"/>
      <c r="AB151" s="9"/>
      <c r="AC151" s="9"/>
      <c r="AD151" s="9"/>
      <c r="AE151" s="9"/>
      <c r="AF151" s="9"/>
      <c r="AG151" s="9"/>
    </row>
    <row r="152" ht="17" customHeight="1">
      <c r="A152" s="9" t="s">
        <v>667</v>
      </c>
      <c r="B152" t="s">
        <v>360</v>
      </c>
      <c r="D152" s="9" t="s">
        <v>58</v>
      </c>
      <c r="E152" s="3" t="str">
        <f t="shared" si="17"/>
        <v>Elston</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5" t="str">
        <f t="shared" si="18"/>
        <v>2005</v>
      </c>
      <c r="H152" s="3" t="str">
        <f t="shared" si="19"/>
        <v>Elston_etal_2005_b</v>
      </c>
      <c r="I152" s="3" t="str">
        <f t="shared" si="23"/>
        <v>10.1002%2Far.a.20217</v>
      </c>
      <c r="J152" s="3" t="str">
        <f t="shared" si="20"/>
        <v>Elston_etal_2005_b_TABLE1</v>
      </c>
      <c r="K152" s="5" t="str">
        <f t="shared" si="21"/>
        <v>10.1002%2Far.a.20217_TABLE1</v>
      </c>
      <c r="L152" s="5" t="str">
        <f t="array" ref="L152">IFERROR(INDEX(AUTO_Public_TSV_FileList!$A$1:$A$1000,MATCH(TRUE(),EXACT(K152,IFERROR(_xlfn.TEXTBEFORE(AUTO_Public_TSV_FileList!$A$1:$A$1000,".tsv"),"")),0)),"notfound")</f>
        <v>10.1002%2Far.a.20217_TABLE1.tsv</v>
      </c>
      <c r="M152" s="9" t="s">
        <v>668</v>
      </c>
      <c r="N152" s="9"/>
      <c r="O152" s="9"/>
      <c r="P152" s="9"/>
      <c r="Q152" s="9"/>
      <c r="R152" s="9" t="s">
        <v>669</v>
      </c>
      <c r="S152" s="9" t="s">
        <v>670</v>
      </c>
      <c r="T152" s="9" t="s">
        <v>671</v>
      </c>
      <c r="U152" s="9"/>
      <c r="V152" s="9" t="s">
        <v>254</v>
      </c>
      <c r="W152" s="9" t="s">
        <v>672</v>
      </c>
      <c r="X152" s="9" t="s">
        <v>673</v>
      </c>
      <c r="Y152" s="9"/>
      <c r="Z152" s="9" t="s">
        <v>674</v>
      </c>
      <c r="AA152" s="9" t="s">
        <v>675</v>
      </c>
      <c r="AB152" s="9" t="s">
        <v>676</v>
      </c>
      <c r="AC152" s="9" t="s">
        <v>677</v>
      </c>
      <c r="AD152" s="9"/>
      <c r="AE152" s="9" t="s">
        <v>66</v>
      </c>
      <c r="AF152" s="9"/>
      <c r="AG152" s="9" t="s">
        <v>678</v>
      </c>
    </row>
    <row r="153" ht="17" customHeight="1">
      <c r="A153" s="9" t="s">
        <v>667</v>
      </c>
      <c r="B153" t="s">
        <v>360</v>
      </c>
      <c r="D153" s="9" t="s">
        <v>91</v>
      </c>
      <c r="E153" s="3" t="str">
        <f t="shared" si="17"/>
        <v>Elston</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5" t="str">
        <f t="shared" si="18"/>
        <v>2005</v>
      </c>
      <c r="H153" s="3" t="str">
        <f t="shared" si="19"/>
        <v>Elston_etal_2005_b</v>
      </c>
      <c r="I153" s="3" t="str">
        <f t="shared" si="23"/>
        <v>10.1002%2Far.a.20217</v>
      </c>
      <c r="J153" s="3" t="str">
        <f t="shared" si="20"/>
        <v>Elston_etal_2005_b_TABLE2</v>
      </c>
      <c r="K153" s="5" t="str">
        <f t="shared" si="21"/>
        <v>10.1002%2Far.a.20217_TABLE2</v>
      </c>
      <c r="L153" s="5" t="str">
        <f t="array" ref="L153">IFERROR(INDEX(AUTO_Public_TSV_FileList!$A$1:$A$1000,MATCH(TRUE(),EXACT(K153,IFERROR(_xlfn.TEXTBEFORE(AUTO_Public_TSV_FileList!$A$1:$A$1000,".tsv"),"")),0)),"notfound")</f>
        <v>10.1002%2Far.a.20217_TABLE2.tsv</v>
      </c>
      <c r="M153" s="9" t="s">
        <v>679</v>
      </c>
      <c r="N153" s="9"/>
      <c r="O153" s="9"/>
      <c r="P153" s="9"/>
      <c r="Q153" s="9"/>
      <c r="R153" s="9" t="s">
        <v>669</v>
      </c>
      <c r="S153" s="9" t="s">
        <v>670</v>
      </c>
      <c r="T153" s="9" t="s">
        <v>671</v>
      </c>
      <c r="U153" s="9"/>
      <c r="V153" s="9" t="s">
        <v>254</v>
      </c>
      <c r="W153" s="9" t="s">
        <v>672</v>
      </c>
      <c r="X153" s="9" t="s">
        <v>680</v>
      </c>
      <c r="Y153" s="9"/>
      <c r="Z153" s="9" t="s">
        <v>674</v>
      </c>
      <c r="AA153" s="9" t="s">
        <v>681</v>
      </c>
      <c r="AB153" s="9" t="s">
        <v>676</v>
      </c>
      <c r="AC153" s="9" t="s">
        <v>677</v>
      </c>
      <c r="AD153" s="9"/>
      <c r="AE153" s="9" t="s">
        <v>66</v>
      </c>
      <c r="AF153" s="9"/>
      <c r="AG153" s="9" t="s">
        <v>678</v>
      </c>
    </row>
    <row r="154" ht="17" customHeight="1">
      <c r="A154" s="9" t="s">
        <v>667</v>
      </c>
      <c r="B154" t="s">
        <v>360</v>
      </c>
      <c r="D154" s="9" t="s">
        <v>94</v>
      </c>
      <c r="E154" s="3" t="str">
        <f t="shared" si="17"/>
        <v>Elston</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5" t="str">
        <f t="shared" si="18"/>
        <v>2005</v>
      </c>
      <c r="H154" s="3" t="str">
        <f t="shared" si="19"/>
        <v>Elston_etal_2005_b</v>
      </c>
      <c r="I154" s="3" t="str">
        <f t="shared" si="23"/>
        <v>10.1002%2Far.a.20217</v>
      </c>
      <c r="J154" s="3" t="str">
        <f t="shared" si="20"/>
        <v>Elston_etal_2005_b_TABLE3</v>
      </c>
      <c r="K154" s="5" t="str">
        <f t="shared" si="21"/>
        <v>10.1002%2Far.a.20217_TABLE3</v>
      </c>
      <c r="L154" s="5" t="str">
        <f t="array" ref="L154">IFERROR(INDEX(AUTO_Public_TSV_FileList!$A$1:$A$1000,MATCH(TRUE(),EXACT(K154,IFERROR(_xlfn.TEXTBEFORE(AUTO_Public_TSV_FileList!$A$1:$A$1000,".tsv"),"")),0)),"notfound")</f>
        <v>10.1002%2Far.a.20217_TABLE3.tsv</v>
      </c>
      <c r="M154" s="9" t="s">
        <v>682</v>
      </c>
      <c r="N154" s="9"/>
      <c r="O154" s="9"/>
      <c r="P154" s="9"/>
      <c r="Q154" s="9"/>
      <c r="R154" s="9" t="s">
        <v>669</v>
      </c>
      <c r="S154" s="9" t="s">
        <v>670</v>
      </c>
      <c r="T154" s="9" t="s">
        <v>683</v>
      </c>
      <c r="U154" s="9"/>
      <c r="V154" s="9" t="s">
        <v>254</v>
      </c>
      <c r="W154" s="9" t="s">
        <v>672</v>
      </c>
      <c r="X154" s="9" t="s">
        <v>684</v>
      </c>
      <c r="Y154" s="9"/>
      <c r="Z154" s="9" t="s">
        <v>674</v>
      </c>
      <c r="AA154" s="9" t="s">
        <v>685</v>
      </c>
      <c r="AB154" s="9" t="s">
        <v>676</v>
      </c>
      <c r="AC154" s="9" t="s">
        <v>677</v>
      </c>
      <c r="AD154" s="9"/>
      <c r="AE154" s="9" t="s">
        <v>66</v>
      </c>
      <c r="AF154" s="9"/>
      <c r="AG154" s="9" t="s">
        <v>678</v>
      </c>
    </row>
    <row r="155" ht="18" customHeight="1">
      <c r="A155" s="9" t="s">
        <v>667</v>
      </c>
      <c r="B155" t="s">
        <v>360</v>
      </c>
      <c r="D155" s="9" t="s">
        <v>97</v>
      </c>
      <c r="E155" s="3" t="str">
        <f t="shared" si="17"/>
        <v>Elston</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5" t="str">
        <f t="shared" si="18"/>
        <v>2005</v>
      </c>
      <c r="H155" s="3" t="str">
        <f t="shared" si="19"/>
        <v>Elston_etal_2005_b</v>
      </c>
      <c r="I155" s="3" t="str">
        <f t="shared" si="23"/>
        <v>10.1002%2Far.a.20217</v>
      </c>
      <c r="J155" s="3" t="str">
        <f t="shared" si="20"/>
        <v>Elston_etal_2005_b_TABLE4</v>
      </c>
      <c r="K155" s="5" t="str">
        <f t="shared" si="21"/>
        <v>10.1002%2Far.a.20217_TABLE4</v>
      </c>
      <c r="L155" s="5" t="str">
        <f t="array" ref="L155">IFERROR(INDEX(AUTO_Public_TSV_FileList!$A$1:$A$1000,MATCH(TRUE(),EXACT(K155,IFERROR(_xlfn.TEXTBEFORE(AUTO_Public_TSV_FileList!$A$1:$A$1000,".tsv"),"")),0)),"notfound")</f>
        <v>notfound</v>
      </c>
      <c r="M155" s="23" t="s">
        <v>686</v>
      </c>
      <c r="N155" s="9"/>
      <c r="O155" s="23"/>
      <c r="Q155" s="23"/>
      <c r="R155" s="9" t="s">
        <v>687</v>
      </c>
      <c r="S155" s="23" t="s">
        <v>670</v>
      </c>
      <c r="T155" s="23" t="s">
        <v>671</v>
      </c>
      <c r="U155" s="23"/>
      <c r="V155" s="23" t="s">
        <v>254</v>
      </c>
      <c r="W155" s="9" t="s">
        <v>672</v>
      </c>
      <c r="X155" s="23" t="s">
        <v>688</v>
      </c>
      <c r="Z155" s="9" t="s">
        <v>674</v>
      </c>
      <c r="AA155" s="23" t="s">
        <v>689</v>
      </c>
      <c r="AB155" s="23" t="s">
        <v>676</v>
      </c>
      <c r="AC155" s="9" t="s">
        <v>677</v>
      </c>
      <c r="AD155" s="9"/>
      <c r="AE155" s="9" t="s">
        <v>66</v>
      </c>
      <c r="AG155" s="23" t="s">
        <v>678</v>
      </c>
    </row>
    <row r="156" ht="17" customHeight="1">
      <c r="A156" s="6" t="s">
        <v>690</v>
      </c>
      <c r="B156" s="6"/>
      <c r="C156" s="6"/>
      <c r="D156" s="6" t="s">
        <v>68</v>
      </c>
      <c r="E156" s="5" t="str">
        <f t="shared" si="17"/>
        <v>Elston</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5" t="str">
        <f t="shared" si="18"/>
        <v>2006</v>
      </c>
      <c r="H156" s="5" t="str">
        <f t="shared" si="19"/>
        <v>Elston_etal_2006</v>
      </c>
      <c r="I156" s="5" t="str">
        <f>_xlfn.LET(
_xlpm.doi,IF(C156&lt;&gt;"",C156,_xlfn.TEXTAFTER(A156,"https://doi.org/")),
SUBSTITUTE(
SUBSTITUTE(
SUBSTITUTE(
SUBSTITUTE(
_xlpm.doi,
"/","%2F"),
":","%3A"),
"&lt;","%3C"),
"&gt;","%3E")
)</f>
        <v>10.1002%2Far.a.20278</v>
      </c>
      <c r="J156" s="5" t="str">
        <f t="shared" si="20"/>
        <v>Elston_etal_2006_Table1</v>
      </c>
      <c r="K156" s="5" t="str">
        <f t="shared" si="21"/>
        <v>10.1002%2Far.a.20278_Table1</v>
      </c>
      <c r="L156" s="5" t="str">
        <f t="array" ref="L156">IFERROR(INDEX(AUTO_Public_TSV_FileList!$A$1:$A$1000,MATCH(TRUE(),EXACT(K156,IFERROR(_xlfn.TEXTBEFORE(AUTO_Public_TSV_FileList!$A$1:$A$1000,".tsv"),"")),0)),"notfound")</f>
        <v>10.1002%2Far.a.20278_Table1.tsv</v>
      </c>
      <c r="M156" s="7"/>
      <c r="N156" s="6" t="s">
        <v>251</v>
      </c>
      <c r="O156" s="7"/>
      <c r="P156" s="6" t="s">
        <v>36</v>
      </c>
      <c r="Q156" s="6"/>
      <c r="R156" s="6" t="s">
        <v>691</v>
      </c>
      <c r="S156" s="6"/>
      <c r="T156" s="6" t="s">
        <v>253</v>
      </c>
      <c r="U156" s="6"/>
      <c r="V156" s="6" t="s">
        <v>254</v>
      </c>
      <c r="W156" s="6" t="s">
        <v>137</v>
      </c>
      <c r="X156" s="6" t="s">
        <v>255</v>
      </c>
      <c r="Y156" s="6" t="s">
        <v>692</v>
      </c>
      <c r="Z156" s="6"/>
      <c r="AA156" s="6" t="s">
        <v>257</v>
      </c>
      <c r="AB156" s="6" t="s">
        <v>258</v>
      </c>
      <c r="AC156" s="6"/>
      <c r="AD156" s="6"/>
      <c r="AE156" s="11" t="s">
        <v>51</v>
      </c>
      <c r="AF156" s="11"/>
      <c r="AG156" s="6" t="s">
        <v>693</v>
      </c>
    </row>
    <row r="157" ht="17" customHeight="1">
      <c r="A157" s="7" t="s">
        <v>694</v>
      </c>
      <c r="B157" s="9"/>
      <c r="C157" s="9"/>
      <c r="D157" s="1" t="s">
        <v>58</v>
      </c>
      <c r="E157" s="5" t="str">
        <f t="shared" si="17"/>
        <v>Falcone</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5" t="str">
        <f t="shared" si="18"/>
        <v>2019</v>
      </c>
      <c r="H157" s="5" t="str">
        <f t="shared" si="19"/>
        <v>Falcone_etal_2019</v>
      </c>
      <c r="I157" s="5" t="str">
        <f>_xlfn.LET(
_xlpm.doi,IF(C157&lt;&gt;"",C157,_xlfn.TEXTAFTER(A157,"https://doi.org/")),
SUBSTITUTE(
SUBSTITUTE(
SUBSTITUTE(
SUBSTITUTE(
_xlpm.doi,
"/","%2F"),
":","%3A"),
"&lt;","%3C"),
"&gt;","%3E")
)</f>
        <v>10.1002%2Fcne.24605</v>
      </c>
      <c r="J157" s="5" t="str">
        <f t="shared" si="20"/>
        <v>Falcone_etal_2019_TABLE1</v>
      </c>
      <c r="K157" s="5" t="str">
        <f t="shared" si="21"/>
        <v>10.1002%2Fcne.24605_TABLE1</v>
      </c>
      <c r="L157" s="5" t="str">
        <f t="array" ref="L157">IFERROR(INDEX(AUTO_Public_TSV_FileList!$A$1:$A$1000,MATCH(TRUE(),EXACT(K157,IFERROR(_xlfn.TEXTBEFORE(AUTO_Public_TSV_FileList!$A$1:$A$1000,".tsv"),"")),0)),"notfound")</f>
        <v>10.1002%2Fcne.24605_TABLE1.tsv</v>
      </c>
      <c r="M157" s="1" t="s">
        <v>695</v>
      </c>
      <c r="N157" s="7"/>
      <c r="O157" s="7"/>
      <c r="P157" s="1" t="s">
        <v>36</v>
      </c>
      <c r="Q157" s="7"/>
      <c r="R157" s="7"/>
      <c r="S157" s="7"/>
      <c r="T157" s="7"/>
      <c r="U157" s="7"/>
      <c r="V157" s="7"/>
      <c r="W157" s="1" t="s">
        <v>696</v>
      </c>
      <c r="X157" s="1" t="s">
        <v>697</v>
      </c>
      <c r="Y157" s="7"/>
      <c r="Z157" s="7"/>
      <c r="AA157" s="7"/>
      <c r="AB157" s="1" t="s">
        <v>698</v>
      </c>
      <c r="AC157" s="7"/>
      <c r="AD157" s="7"/>
      <c r="AE157" s="1" t="s">
        <v>66</v>
      </c>
      <c r="AF157" s="1"/>
      <c r="AG157" s="7"/>
    </row>
    <row r="158" ht="17" customHeight="1">
      <c r="A158" s="7" t="s">
        <v>694</v>
      </c>
      <c r="D158" s="1" t="s">
        <v>91</v>
      </c>
      <c r="E158" s="5" t="str">
        <f t="shared" si="17"/>
        <v>Falcone</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5" t="str">
        <f t="shared" si="18"/>
        <v>2019</v>
      </c>
      <c r="H158" s="5" t="str">
        <f t="shared" si="19"/>
        <v>Falcone_etal_2019</v>
      </c>
      <c r="I158" s="5" t="str">
        <f>_xlfn.LET(
_xlpm.doi,IF(C158&lt;&gt;"",C158,_xlfn.TEXTAFTER(A158,"https://doi.org/")),
SUBSTITUTE(
SUBSTITUTE(
SUBSTITUTE(
SUBSTITUTE(
_xlpm.doi,
"/","%2F"),
":","%3A"),
"&lt;","%3C"),
"&gt;","%3E")
)</f>
        <v>10.1002%2Fcne.24605</v>
      </c>
      <c r="J158" s="5" t="str">
        <f t="shared" si="20"/>
        <v>Falcone_etal_2019_TABLE2</v>
      </c>
      <c r="K158" s="5" t="str">
        <f t="shared" si="21"/>
        <v>10.1002%2Fcne.24605_TABLE2</v>
      </c>
      <c r="L158" s="5" t="str">
        <f t="array" ref="L158">IFERROR(INDEX(AUTO_Public_TSV_FileList!$A$1:$A$1000,MATCH(TRUE(),EXACT(K158,IFERROR(_xlfn.TEXTBEFORE(AUTO_Public_TSV_FileList!$A$1:$A$1000,".tsv"),"")),0)),"notfound")</f>
        <v>10.1002%2Fcne.24605_TABLE2.tsv</v>
      </c>
      <c r="M158" s="1" t="s">
        <v>699</v>
      </c>
      <c r="N158" s="7"/>
      <c r="O158" s="7"/>
      <c r="P158" s="1" t="s">
        <v>36</v>
      </c>
      <c r="Q158" s="7"/>
      <c r="R158" s="7"/>
      <c r="S158" s="7"/>
      <c r="T158" s="7"/>
      <c r="U158" s="7"/>
      <c r="V158" s="7"/>
      <c r="W158" s="1" t="s">
        <v>696</v>
      </c>
      <c r="X158" s="1" t="s">
        <v>697</v>
      </c>
      <c r="Y158" s="7"/>
      <c r="Z158" s="7"/>
      <c r="AA158" s="7"/>
      <c r="AB158" s="1" t="s">
        <v>698</v>
      </c>
      <c r="AC158" s="7"/>
      <c r="AD158" s="7"/>
      <c r="AE158" s="1" t="s">
        <v>66</v>
      </c>
      <c r="AF158" s="1"/>
      <c r="AG158" s="7"/>
    </row>
    <row r="159" ht="17" customHeight="1">
      <c r="A159" s="1" t="s">
        <v>700</v>
      </c>
      <c r="D159" s="1" t="s">
        <v>701</v>
      </c>
      <c r="E159" s="5" t="str">
        <f t="shared" si="17"/>
        <v>Finlay</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5" t="str">
        <f t="shared" si="18"/>
        <v>2006</v>
      </c>
      <c r="H159" s="5" t="str">
        <f t="shared" si="19"/>
        <v>Finlay_etal_2006</v>
      </c>
      <c r="I159" s="5" t="str">
        <f>_xlfn.LET(
_xlpm.doi,IF(C159&lt;&gt;"",C159,_xlfn.TEXTAFTER(A159,"https://doi.org/")),
SUBSTITUTE(
SUBSTITUTE(
SUBSTITUTE(
SUBSTITUTE(
_xlpm.doi,
"/","%2F"),
":","%3A"),
"&lt;","%3C"),
"&gt;","%3E")
)</f>
        <v>10.1093%2Foso%2F9780198568742.003.0006</v>
      </c>
      <c r="J159" s="5" t="str">
        <f t="shared" si="20"/>
        <v>Finlay_etal_2006_Table6.1</v>
      </c>
      <c r="K159" s="5" t="str">
        <f t="shared" si="21"/>
        <v>10.1093%2Foso%2F9780198568742.003.0006_Table6.1</v>
      </c>
      <c r="L159" s="5" t="str">
        <f t="array" ref="L159">IFERROR(INDEX(AUTO_Public_TSV_FileList!$A$1:$A$1000,MATCH(TRUE(),EXACT(K159,IFERROR(_xlfn.TEXTBEFORE(AUTO_Public_TSV_FileList!$A$1:$A$1000,".tsv"),"")),0)),"notfound")</f>
        <v>10.1093%2Foso%2F9780198568742.003.0006_Table6.1.tsv</v>
      </c>
      <c r="M159" s="7"/>
      <c r="N159" s="1" t="s">
        <v>35</v>
      </c>
      <c r="O159" s="7"/>
      <c r="P159" s="1" t="s">
        <v>36</v>
      </c>
      <c r="Q159" s="1"/>
      <c r="R159" s="1" t="s">
        <v>702</v>
      </c>
      <c r="S159" s="7"/>
      <c r="T159" s="7"/>
      <c r="U159" s="7" t="s">
        <v>703</v>
      </c>
      <c r="V159" s="1"/>
      <c r="W159" s="1" t="s">
        <v>174</v>
      </c>
      <c r="X159" s="1" t="s">
        <v>704</v>
      </c>
      <c r="Y159" s="7"/>
      <c r="Z159" s="7"/>
      <c r="AA159" s="7"/>
      <c r="AB159" s="1" t="s">
        <v>705</v>
      </c>
      <c r="AC159" s="7"/>
      <c r="AD159" s="7"/>
      <c r="AE159" s="1" t="s">
        <v>215</v>
      </c>
      <c r="AF159" s="1"/>
      <c r="AG159" s="1" t="s">
        <v>425</v>
      </c>
    </row>
    <row r="160" ht="17" customHeight="1">
      <c r="A160" s="9" t="s">
        <v>706</v>
      </c>
      <c r="D160" s="9" t="s">
        <v>108</v>
      </c>
      <c r="E160" s="3" t="str">
        <f t="shared" si="17"/>
        <v>Flydal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5" t="str">
        <f t="shared" si="18"/>
        <v>2001</v>
      </c>
      <c r="H160" s="3" t="str">
        <f t="shared" si="19"/>
        <v>Flydal_etal_2001</v>
      </c>
      <c r="I160" s="3" t="str">
        <f>_xlfn.LET(_xlpm.doi,IF(C160&lt;&gt;"",C160,_xlfn.TEXTAFTER(A160,"https://doi.org/")),SUBSTITUTE(SUBSTITUTE(SUBSTITUTE(SUBSTITUTE(_xlpm.doi,"/","%2F"),":","%3A"),"&lt;","%3C"),"&gt;","%3E"))</f>
        <v>10.1007%2Fs003590100198</v>
      </c>
      <c r="J160" s="3" t="str">
        <f t="shared" si="20"/>
        <v>Flydal_etal_2001_Table2</v>
      </c>
      <c r="K160" s="5" t="str">
        <f t="shared" si="21"/>
        <v>10.1007%2Fs003590100198_Table2</v>
      </c>
      <c r="L160" s="5" t="str">
        <f t="array" ref="L160">IFERROR(INDEX(AUTO_Public_TSV_FileList!$A$1:$A$1000,MATCH(TRUE(),EXACT(K160,IFERROR(_xlfn.TEXTBEFORE(AUTO_Public_TSV_FileList!$A$1:$A$1000,".tsv"),"")),0)),"notfound")</f>
        <v>10.1007%2Fs003590100198_Table2.tsv</v>
      </c>
      <c r="M160" s="9" t="s">
        <v>707</v>
      </c>
      <c r="N160" s="9" t="s">
        <v>70</v>
      </c>
      <c r="O160" s="9" t="s">
        <v>495</v>
      </c>
      <c r="P160" s="9" t="s">
        <v>72</v>
      </c>
      <c r="Q160" s="9"/>
      <c r="R160" s="9"/>
      <c r="S160" s="9"/>
      <c r="T160" s="9"/>
      <c r="U160" s="9"/>
      <c r="V160" s="9"/>
      <c r="W160" s="9"/>
      <c r="X160" s="9"/>
      <c r="Y160" s="9"/>
      <c r="Z160" s="9"/>
      <c r="AA160" s="9"/>
      <c r="AB160" s="9"/>
      <c r="AC160" s="9"/>
      <c r="AD160" s="9"/>
      <c r="AE160" s="9"/>
      <c r="AF160" s="9"/>
      <c r="AG160" s="9"/>
    </row>
    <row r="161" ht="17" customHeight="1">
      <c r="A161" s="1" t="s">
        <v>708</v>
      </c>
      <c r="D161" s="1" t="s">
        <v>709</v>
      </c>
      <c r="E161" s="5" t="str">
        <f t="shared" si="17"/>
        <v>Fobbs</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5" t="str">
        <f t="shared" si="18"/>
        <v>2011</v>
      </c>
      <c r="H161" s="5" t="str">
        <f t="shared" si="19"/>
        <v>Fobbs_etal_2011</v>
      </c>
      <c r="I161" s="5" t="str">
        <f t="shared" ref="I161:I167" si="24">_xlfn.LET(
_xlpm.doi,IF(C161&lt;&gt;"",C161,_xlfn.TEXTAFTER(A161,"https://doi.org/")),
SUBSTITUTE(
SUBSTITUTE(
SUBSTITUTE(
SUBSTITUTE(
_xlpm.doi,
"/","%2F"),
":","%3A"),
"&lt;","%3C"),
"&gt;","%3E")
)</f>
        <v>10.1111%2Fj.1749-6632.2011.06036.x</v>
      </c>
      <c r="J161" s="5" t="str">
        <f t="shared" si="20"/>
        <v>Fobbs_etal_2011_TableS1a</v>
      </c>
      <c r="K161" s="5" t="str">
        <f t="shared" si="21"/>
        <v>10.1111%2Fj.1749-6632.2011.06036.x_TableS1a</v>
      </c>
      <c r="L161" s="5" t="str">
        <f t="array" ref="L161">IFERROR(INDEX(AUTO_Public_TSV_FileList!$A$1:$A$1000,MATCH(TRUE(),EXACT(K161,IFERROR(_xlfn.TEXTBEFORE(AUTO_Public_TSV_FileList!$A$1:$A$1000,".tsv"),"")),0)),"notfound")</f>
        <v>10.1111%2Fj.1749-6632.2011.06036.x_TableS1a.tsv</v>
      </c>
      <c r="M161" s="7" t="s">
        <v>710</v>
      </c>
      <c r="N161" s="1"/>
      <c r="O161" s="7"/>
      <c r="P161" s="1" t="s">
        <v>36</v>
      </c>
      <c r="Q161" s="1"/>
      <c r="R161" s="1"/>
      <c r="S161" s="7"/>
      <c r="T161" s="7"/>
      <c r="U161" s="7"/>
      <c r="V161" s="1"/>
      <c r="W161" s="1"/>
      <c r="X161" s="1"/>
      <c r="Y161" s="7"/>
      <c r="Z161" s="7"/>
      <c r="AA161" s="7"/>
      <c r="AB161" s="1"/>
      <c r="AC161" s="7"/>
      <c r="AD161" s="7"/>
      <c r="AE161" s="1"/>
      <c r="AF161" s="1"/>
      <c r="AG161" s="1"/>
    </row>
    <row r="162" ht="17" customHeight="1">
      <c r="A162" s="1" t="s">
        <v>708</v>
      </c>
      <c r="B162" s="9"/>
      <c r="C162" s="17"/>
      <c r="D162" s="1" t="s">
        <v>711</v>
      </c>
      <c r="E162" s="5" t="str">
        <f t="shared" si="17"/>
        <v>Fobbs</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5" t="str">
        <f t="shared" si="18"/>
        <v>2011</v>
      </c>
      <c r="H162" s="5" t="str">
        <f t="shared" si="19"/>
        <v>Fobbs_etal_2011</v>
      </c>
      <c r="I162" s="5" t="str">
        <f t="shared" si="24"/>
        <v>10.1111%2Fj.1749-6632.2011.06036.x</v>
      </c>
      <c r="J162" s="5" t="str">
        <f t="shared" si="20"/>
        <v>Fobbs_etal_2011_TableS1b</v>
      </c>
      <c r="K162" s="5" t="str">
        <f t="shared" si="21"/>
        <v>10.1111%2Fj.1749-6632.2011.06036.x_TableS1b</v>
      </c>
      <c r="L162" s="5" t="str">
        <f t="array" ref="L162">IFERROR(INDEX(AUTO_Public_TSV_FileList!$A$1:$A$1000,MATCH(TRUE(),EXACT(K162,IFERROR(_xlfn.TEXTBEFORE(AUTO_Public_TSV_FileList!$A$1:$A$1000,".tsv"),"")),0)),"notfound")</f>
        <v>10.1111%2Fj.1749-6632.2011.06036.x_TableS1b.tsv</v>
      </c>
      <c r="M162" s="7" t="s">
        <v>710</v>
      </c>
      <c r="N162" s="1"/>
      <c r="O162" s="7"/>
      <c r="P162" s="1" t="s">
        <v>36</v>
      </c>
      <c r="Q162" s="1"/>
      <c r="R162" s="1"/>
      <c r="S162" s="7"/>
      <c r="T162" s="7"/>
      <c r="U162" s="7"/>
      <c r="V162" s="1"/>
      <c r="W162" s="1"/>
      <c r="X162" s="1"/>
      <c r="Y162" s="7"/>
      <c r="Z162" s="7"/>
      <c r="AA162" s="7"/>
      <c r="AB162" s="1"/>
      <c r="AC162" s="7"/>
      <c r="AD162" s="7"/>
      <c r="AE162" s="1"/>
      <c r="AF162" s="1"/>
      <c r="AG162" s="1"/>
    </row>
    <row r="163" ht="17" customHeight="1">
      <c r="A163" s="1" t="s">
        <v>708</v>
      </c>
      <c r="C163" s="17"/>
      <c r="D163" s="1" t="s">
        <v>712</v>
      </c>
      <c r="E163" s="5" t="str">
        <f t="shared" si="17"/>
        <v>Fobbs</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5" t="str">
        <f t="shared" si="18"/>
        <v>2011</v>
      </c>
      <c r="H163" s="5" t="str">
        <f t="shared" si="19"/>
        <v>Fobbs_etal_2011</v>
      </c>
      <c r="I163" s="5" t="str">
        <f t="shared" si="24"/>
        <v>10.1111%2Fj.1749-6632.2011.06036.x</v>
      </c>
      <c r="J163" s="5" t="str">
        <f t="shared" si="20"/>
        <v>Fobbs_etal_2011_TableS2</v>
      </c>
      <c r="K163" s="5" t="str">
        <f t="shared" si="21"/>
        <v>10.1111%2Fj.1749-6632.2011.06036.x_TableS2</v>
      </c>
      <c r="L163" s="5" t="str">
        <f t="array" ref="L163">IFERROR(INDEX(AUTO_Public_TSV_FileList!$A$1:$A$1000,MATCH(TRUE(),EXACT(K163,IFERROR(_xlfn.TEXTBEFORE(AUTO_Public_TSV_FileList!$A$1:$A$1000,".tsv"),"")),0)),"notfound")</f>
        <v>10.1111%2Fj.1749-6632.2011.06036.x_TableS2.tsv</v>
      </c>
      <c r="M163" s="7" t="s">
        <v>713</v>
      </c>
      <c r="N163" s="1"/>
      <c r="O163" s="7"/>
      <c r="P163" s="1" t="s">
        <v>36</v>
      </c>
      <c r="Q163" s="1"/>
      <c r="R163" s="1"/>
      <c r="S163" s="7"/>
      <c r="T163" s="7"/>
      <c r="U163" s="7"/>
      <c r="V163" s="1"/>
      <c r="W163" s="1"/>
      <c r="X163" s="1"/>
      <c r="Y163" s="7"/>
      <c r="Z163" s="7"/>
      <c r="AA163" s="7"/>
      <c r="AB163" s="1"/>
      <c r="AC163" s="7"/>
      <c r="AD163" s="7"/>
      <c r="AE163" s="1"/>
      <c r="AF163" s="1"/>
      <c r="AG163" s="1"/>
    </row>
    <row r="164" ht="17" customHeight="1">
      <c r="A164" s="1" t="s">
        <v>708</v>
      </c>
      <c r="C164" s="17"/>
      <c r="D164" s="1" t="s">
        <v>714</v>
      </c>
      <c r="E164" s="5" t="str">
        <f t="shared" si="17"/>
        <v>Fobbs</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5" t="str">
        <f t="shared" si="18"/>
        <v>2011</v>
      </c>
      <c r="H164" s="5" t="str">
        <f t="shared" si="19"/>
        <v>Fobbs_etal_2011</v>
      </c>
      <c r="I164" s="5" t="str">
        <f t="shared" si="24"/>
        <v>10.1111%2Fj.1749-6632.2011.06036.x</v>
      </c>
      <c r="J164" s="5" t="str">
        <f t="shared" si="20"/>
        <v>Fobbs_etal_2011_TableS3</v>
      </c>
      <c r="K164" s="5" t="str">
        <f t="shared" si="21"/>
        <v>10.1111%2Fj.1749-6632.2011.06036.x_TableS3</v>
      </c>
      <c r="L164" s="5" t="str">
        <f t="array" ref="L164">IFERROR(INDEX(AUTO_Public_TSV_FileList!$A$1:$A$1000,MATCH(TRUE(),EXACT(K164,IFERROR(_xlfn.TEXTBEFORE(AUTO_Public_TSV_FileList!$A$1:$A$1000,".tsv"),"")),0)),"notfound")</f>
        <v>10.1111%2Fj.1749-6632.2011.06036.x_TableS3.tsv</v>
      </c>
      <c r="M164" s="7" t="s">
        <v>715</v>
      </c>
      <c r="N164" s="1"/>
      <c r="O164" s="7"/>
      <c r="P164" s="1" t="s">
        <v>36</v>
      </c>
      <c r="Q164" s="1"/>
      <c r="R164" s="1"/>
      <c r="S164" s="7"/>
      <c r="T164" s="7"/>
      <c r="U164" s="7"/>
      <c r="V164" s="1"/>
      <c r="W164" s="1"/>
      <c r="X164" s="1"/>
      <c r="Y164" s="7"/>
      <c r="Z164" s="7"/>
      <c r="AA164" s="7"/>
      <c r="AB164" s="1"/>
      <c r="AC164" s="7"/>
      <c r="AD164" s="7"/>
      <c r="AE164" s="1"/>
      <c r="AF164" s="1"/>
      <c r="AG164" s="1"/>
    </row>
    <row r="165" ht="15" customHeight="1">
      <c r="A165" s="10" t="s">
        <v>708</v>
      </c>
      <c r="C165" s="17"/>
      <c r="D165" s="10" t="s">
        <v>716</v>
      </c>
      <c r="E165" s="5" t="str">
        <f t="shared" si="17"/>
        <v>Fobbs</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5" t="str">
        <f t="shared" si="18"/>
        <v>2011</v>
      </c>
      <c r="H165" s="5" t="str">
        <f t="shared" si="19"/>
        <v>Fobbs_etal_2011</v>
      </c>
      <c r="I165" s="5" t="str">
        <f t="shared" si="24"/>
        <v>10.1111%2Fj.1749-6632.2011.06036.x</v>
      </c>
      <c r="J165" s="5" t="str">
        <f t="shared" si="20"/>
        <v>Fobbs_etal_2011_TableS4</v>
      </c>
      <c r="K165" s="5" t="str">
        <f t="shared" si="21"/>
        <v>10.1111%2Fj.1749-6632.2011.06036.x_TableS4</v>
      </c>
      <c r="L165" s="5" t="str">
        <f t="array" ref="L165">IFERROR(INDEX(AUTO_Public_TSV_FileList!$A$1:$A$1000,MATCH(TRUE(),EXACT(K165,IFERROR(_xlfn.TEXTBEFORE(AUTO_Public_TSV_FileList!$A$1:$A$1000,".tsv"),"")),0)),"notfound")</f>
        <v>10.1111%2Fj.1749-6632.2011.06036.x_TableS4.tsv</v>
      </c>
      <c r="M165" s="7" t="s">
        <v>717</v>
      </c>
      <c r="N165" s="1"/>
      <c r="O165" s="7"/>
      <c r="P165" s="1" t="s">
        <v>36</v>
      </c>
      <c r="Q165" s="1"/>
      <c r="R165" s="1"/>
      <c r="S165" s="7"/>
      <c r="T165" s="7"/>
      <c r="U165" s="7"/>
      <c r="V165" s="1"/>
      <c r="W165" s="1"/>
      <c r="X165" s="1"/>
      <c r="Y165" s="7"/>
      <c r="Z165" s="7"/>
      <c r="AA165" s="7"/>
      <c r="AB165" s="1"/>
      <c r="AC165" s="7"/>
      <c r="AD165" s="7"/>
      <c r="AE165" s="1"/>
      <c r="AF165" s="1"/>
      <c r="AG165" s="1"/>
    </row>
    <row r="166" ht="17" customHeight="1">
      <c r="A166" s="1" t="s">
        <v>708</v>
      </c>
      <c r="B166" s="17"/>
      <c r="C166" s="9"/>
      <c r="D166" s="1" t="s">
        <v>718</v>
      </c>
      <c r="E166" s="5" t="str">
        <f t="shared" si="17"/>
        <v>Fobbs</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5" t="str">
        <f t="shared" si="18"/>
        <v>2011</v>
      </c>
      <c r="H166" s="5" t="str">
        <f t="shared" si="19"/>
        <v>Fobbs_etal_2011</v>
      </c>
      <c r="I166" s="5" t="str">
        <f t="shared" si="24"/>
        <v>10.1111%2Fj.1749-6632.2011.06036.x</v>
      </c>
      <c r="J166" s="5" t="str">
        <f t="shared" si="20"/>
        <v>Fobbs_etal_2011_TableS5a</v>
      </c>
      <c r="K166" s="5" t="str">
        <f t="shared" si="21"/>
        <v>10.1111%2Fj.1749-6632.2011.06036.x_TableS5a</v>
      </c>
      <c r="L166" s="5" t="str">
        <f t="array" ref="L166">IFERROR(INDEX(AUTO_Public_TSV_FileList!$A$1:$A$1000,MATCH(TRUE(),EXACT(K166,IFERROR(_xlfn.TEXTBEFORE(AUTO_Public_TSV_FileList!$A$1:$A$1000,".tsv"),"")),0)),"notfound")</f>
        <v>10.1111%2Fj.1749-6632.2011.06036.x_TableS5a.tsv</v>
      </c>
      <c r="M166" s="7" t="s">
        <v>719</v>
      </c>
      <c r="N166" s="1"/>
      <c r="O166" s="7"/>
      <c r="P166" s="1" t="s">
        <v>36</v>
      </c>
      <c r="Q166" s="1"/>
      <c r="R166" s="1"/>
      <c r="S166" s="7"/>
      <c r="T166" s="7"/>
      <c r="U166" s="7"/>
      <c r="V166" s="1"/>
      <c r="W166" s="1"/>
      <c r="X166" s="1"/>
      <c r="Y166" s="7"/>
      <c r="Z166" s="7"/>
      <c r="AA166" s="7"/>
      <c r="AB166" s="1"/>
      <c r="AC166" s="7"/>
      <c r="AD166" s="7"/>
      <c r="AE166" s="1"/>
      <c r="AF166" s="1"/>
      <c r="AG166" s="1"/>
    </row>
    <row r="167" ht="17" customHeight="1">
      <c r="A167" s="1" t="s">
        <v>708</v>
      </c>
      <c r="C167" s="17"/>
      <c r="D167" s="1" t="s">
        <v>720</v>
      </c>
      <c r="E167" s="5" t="str">
        <f t="shared" si="17"/>
        <v>Fobbs</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5" t="str">
        <f t="shared" si="18"/>
        <v>2011</v>
      </c>
      <c r="H167" s="5" t="str">
        <f t="shared" si="19"/>
        <v>Fobbs_etal_2011</v>
      </c>
      <c r="I167" s="5" t="str">
        <f t="shared" si="24"/>
        <v>10.1111%2Fj.1749-6632.2011.06036.x</v>
      </c>
      <c r="J167" s="5" t="str">
        <f t="shared" si="20"/>
        <v>Fobbs_etal_2011_TableS5b</v>
      </c>
      <c r="K167" s="5" t="str">
        <f t="shared" si="21"/>
        <v>10.1111%2Fj.1749-6632.2011.06036.x_TableS5b</v>
      </c>
      <c r="L167" s="5" t="str">
        <f t="array" ref="L167">IFERROR(INDEX(AUTO_Public_TSV_FileList!$A$1:$A$1000,MATCH(TRUE(),EXACT(K167,IFERROR(_xlfn.TEXTBEFORE(AUTO_Public_TSV_FileList!$A$1:$A$1000,".tsv"),"")),0)),"notfound")</f>
        <v>10.1111%2Fj.1749-6632.2011.06036.x_TableS5b.tsv</v>
      </c>
      <c r="M167" s="7" t="s">
        <v>719</v>
      </c>
      <c r="N167" s="1"/>
      <c r="O167" s="7"/>
      <c r="P167" s="1" t="s">
        <v>36</v>
      </c>
      <c r="Q167" s="1"/>
      <c r="R167" s="1"/>
      <c r="S167" s="7"/>
      <c r="T167" s="7"/>
      <c r="U167" s="7"/>
      <c r="V167" s="1"/>
      <c r="W167" s="1"/>
      <c r="X167" s="1"/>
      <c r="Y167" s="7"/>
      <c r="Z167" s="7"/>
      <c r="AA167" s="7"/>
      <c r="AB167" s="1"/>
      <c r="AC167" s="7"/>
      <c r="AD167" s="7"/>
      <c r="AE167" s="1"/>
      <c r="AF167" s="1"/>
      <c r="AG167" s="1"/>
    </row>
    <row r="168" ht="17" customHeight="1">
      <c r="A168" s="6" t="s">
        <v>721</v>
      </c>
      <c r="B168" s="2"/>
      <c r="C168" s="2"/>
      <c r="D168" s="6" t="s">
        <v>305</v>
      </c>
      <c r="E168" s="3" t="str">
        <f t="shared" si="17"/>
        <v>Fox</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5" t="str">
        <f t="shared" si="18"/>
        <v>1986</v>
      </c>
      <c r="H168" s="3" t="str">
        <f t="shared" si="19"/>
        <v>Fox_Wilczynski_1986</v>
      </c>
      <c r="I168" s="3" t="str">
        <f>_xlfn.LET(_xlpm.doi,IF(C168&lt;&gt;"",C168,_xlfn.TEXTAFTER(A168,"https://doi.org/")),SUBSTITUTE(SUBSTITUTE(SUBSTITUTE(SUBSTITUTE(_xlpm.doi,"/","%2F"),":","%3A"),"&lt;","%3C"),"&gt;","%3E"))</f>
        <v>10.1159%2F000118700</v>
      </c>
      <c r="J168" s="3" t="str">
        <f t="shared" si="20"/>
        <v>Fox_Wilczynski_1986_TableI</v>
      </c>
      <c r="K168" s="3" t="str">
        <f t="shared" ref="K168:K189" si="25">I168 &amp; "_" &amp; SUBSTITUTE(SUBSTITUTE(SUBSTITUTE(D168,CHAR(160),"")," ",""),"_","")</f>
        <v>10.1159%2F000118700_TableI</v>
      </c>
      <c r="L168" s="5" t="str">
        <f t="array" ref="L168">IFERROR(INDEX(AUTO_Public_TSV_FileList!$A$1:$A$1000,MATCH(TRUE(),EXACT(K168,IFERROR(_xlfn.TEXTBEFORE(AUTO_Public_TSV_FileList!$A$1:$A$1000,".tsv"),"")),0)),"notfound")</f>
        <v>10.1159%2F000118700_TableI.tsv</v>
      </c>
      <c r="M168" s="7"/>
      <c r="N168" s="1" t="s">
        <v>35</v>
      </c>
      <c r="O168" s="7"/>
      <c r="P168" s="6" t="s">
        <v>36</v>
      </c>
      <c r="Q168" s="6"/>
      <c r="R168" s="6"/>
      <c r="S168" s="6" t="s">
        <v>722</v>
      </c>
      <c r="T168" s="6" t="s">
        <v>723</v>
      </c>
      <c r="U168" s="6"/>
      <c r="V168" s="6" t="s">
        <v>724</v>
      </c>
      <c r="W168" s="6" t="s">
        <v>371</v>
      </c>
      <c r="X168" s="6" t="s">
        <v>725</v>
      </c>
      <c r="Y168" s="6"/>
      <c r="Z168" s="6"/>
      <c r="AA168" s="6" t="s">
        <v>726</v>
      </c>
      <c r="AB168" s="6" t="s">
        <v>727</v>
      </c>
      <c r="AC168" s="7"/>
      <c r="AD168" s="6"/>
      <c r="AE168" s="6" t="s">
        <v>728</v>
      </c>
      <c r="AF168" s="6"/>
      <c r="AG168" s="6" t="s">
        <v>729</v>
      </c>
    </row>
    <row r="169" ht="17" customHeight="1">
      <c r="A169" s="1" t="s">
        <v>730</v>
      </c>
      <c r="C169" s="10" t="s">
        <v>731</v>
      </c>
      <c r="D169" s="1" t="s">
        <v>68</v>
      </c>
      <c r="E169" s="5" t="str">
        <f t="shared" si="17"/>
        <v>Frahm</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5" t="str">
        <f t="shared" si="18"/>
        <v>1994</v>
      </c>
      <c r="H169" s="5" t="str">
        <f t="shared" si="19"/>
        <v>Frahm_Zilles_1994</v>
      </c>
      <c r="I169" s="5" t="str">
        <f t="shared" ref="I169:I176" si="26">_xlfn.LET(
_xlpm.doi,IF(C169&lt;&gt;"",C169,_xlfn.TEXTAFTER(A169,"https://doi.org/")),
SUBSTITUTE(
SUBSTITUTE(
SUBSTITUTE(
SUBSTITUTE(
_xlpm.doi,
"/","%2F"),
":","%3A"),
"&lt;","%3C"),
"&gt;","%3E")
)</f>
        <v>PMID%3A7983368</v>
      </c>
      <c r="J169" s="5" t="str">
        <f t="shared" si="20"/>
        <v>Frahm_Zilles_1994_Table1</v>
      </c>
      <c r="K169" s="5" t="str">
        <f t="shared" si="25"/>
        <v>PMID%3A7983368_Table1</v>
      </c>
      <c r="L169" s="5" t="str">
        <f t="array" ref="L169">IFERROR(INDEX(AUTO_Public_TSV_FileList!$A$1:$A$1000,MATCH(TRUE(),EXACT(K169,IFERROR(_xlfn.TEXTBEFORE(AUTO_Public_TSV_FileList!$A$1:$A$1000,".tsv"),"")),0)),"notfound")</f>
        <v>PMID%3A7983368_Table1.tsv</v>
      </c>
      <c r="M169" s="7"/>
      <c r="N169" s="1" t="s">
        <v>35</v>
      </c>
      <c r="O169" s="7"/>
      <c r="P169" s="1" t="s">
        <v>36</v>
      </c>
      <c r="Q169" s="7"/>
      <c r="R169" s="7"/>
      <c r="S169" s="7"/>
      <c r="T169" s="7"/>
      <c r="U169" s="7"/>
      <c r="V169" s="7"/>
      <c r="W169" s="1" t="s">
        <v>153</v>
      </c>
      <c r="X169" s="1" t="s">
        <v>732</v>
      </c>
      <c r="Y169" s="7"/>
      <c r="Z169" s="1" t="s">
        <v>120</v>
      </c>
      <c r="AA169" s="1" t="s">
        <v>166</v>
      </c>
      <c r="AB169" s="1" t="s">
        <v>127</v>
      </c>
      <c r="AC169" s="1" t="s">
        <v>155</v>
      </c>
      <c r="AD169" s="1" t="s">
        <v>155</v>
      </c>
      <c r="AE169" s="1" t="s">
        <v>66</v>
      </c>
      <c r="AF169" s="1"/>
      <c r="AG169" s="7"/>
    </row>
    <row r="170" ht="17" customHeight="1">
      <c r="A170" s="1" t="s">
        <v>730</v>
      </c>
      <c r="C170" s="10" t="s">
        <v>731</v>
      </c>
      <c r="D170" s="1" t="s">
        <v>108</v>
      </c>
      <c r="E170" s="5" t="str">
        <f t="shared" si="17"/>
        <v>Frahm</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5" t="str">
        <f t="shared" si="18"/>
        <v>1994</v>
      </c>
      <c r="H170" s="5" t="str">
        <f t="shared" si="19"/>
        <v>Frahm_Zilles_1994</v>
      </c>
      <c r="I170" s="5" t="str">
        <f t="shared" si="26"/>
        <v>PMID%3A7983368</v>
      </c>
      <c r="J170" s="5" t="str">
        <f t="shared" si="20"/>
        <v>Frahm_Zilles_1994_Table2</v>
      </c>
      <c r="K170" s="5" t="str">
        <f t="shared" si="25"/>
        <v>PMID%3A7983368_Table2</v>
      </c>
      <c r="L170" s="5" t="str">
        <f t="array" ref="L170">IFERROR(INDEX(AUTO_Public_TSV_FileList!$A$1:$A$1000,MATCH(TRUE(),EXACT(K170,IFERROR(_xlfn.TEXTBEFORE(AUTO_Public_TSV_FileList!$A$1:$A$1000,".tsv"),"")),0)),"notfound")</f>
        <v>PMID%3A7983368_Table2.tsv</v>
      </c>
      <c r="M170" s="7"/>
      <c r="N170" s="7"/>
      <c r="O170" s="7"/>
      <c r="P170" s="7" t="s">
        <v>36</v>
      </c>
      <c r="Q170" s="7"/>
      <c r="R170" s="7"/>
      <c r="S170" s="7"/>
      <c r="T170" s="7"/>
      <c r="U170" s="7"/>
      <c r="V170" s="7"/>
      <c r="W170" s="7"/>
      <c r="X170" s="7"/>
      <c r="Y170" s="7"/>
      <c r="Z170" s="7"/>
      <c r="AA170" s="7"/>
      <c r="AB170" s="7"/>
      <c r="AC170" s="7"/>
      <c r="AD170" s="7"/>
      <c r="AE170" s="7"/>
      <c r="AF170" s="7"/>
      <c r="AG170" s="7"/>
    </row>
    <row r="171" ht="17" customHeight="1">
      <c r="A171" s="7" t="s">
        <v>733</v>
      </c>
      <c r="C171" s="10" t="s">
        <v>734</v>
      </c>
      <c r="D171" s="1" t="s">
        <v>68</v>
      </c>
      <c r="E171" s="5" t="str">
        <f t="shared" si="17"/>
        <v>Frahm</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5" t="str">
        <f t="shared" si="18"/>
        <v>1997</v>
      </c>
      <c r="H171" s="5" t="str">
        <f t="shared" si="19"/>
        <v>Frahm_etal_1997</v>
      </c>
      <c r="I171" s="5" t="str">
        <f t="shared" si="26"/>
        <v>PMID%3A9176733</v>
      </c>
      <c r="J171" s="5" t="str">
        <f t="shared" si="20"/>
        <v>Frahm_etal_1997_Table1</v>
      </c>
      <c r="K171" s="5" t="str">
        <f t="shared" si="25"/>
        <v>PMID%3A9176733_Table1</v>
      </c>
      <c r="L171" s="5" t="str">
        <f t="array" ref="L171">IFERROR(INDEX(AUTO_Public_TSV_FileList!$A$1:$A$1000,MATCH(TRUE(),EXACT(K171,IFERROR(_xlfn.TEXTBEFORE(AUTO_Public_TSV_FileList!$A$1:$A$1000,".tsv"),"")),0)),"notfound")</f>
        <v>PMID%3A9176733_Table1.tsv</v>
      </c>
      <c r="M171" s="7"/>
      <c r="N171" s="1" t="s">
        <v>35</v>
      </c>
      <c r="O171" s="7"/>
      <c r="P171" s="1" t="s">
        <v>36</v>
      </c>
      <c r="Q171" s="7"/>
      <c r="R171" s="7"/>
      <c r="S171" s="7"/>
      <c r="T171" s="7"/>
      <c r="U171" s="7"/>
      <c r="V171" s="7"/>
      <c r="W171" s="1" t="s">
        <v>153</v>
      </c>
      <c r="X171" s="1" t="s">
        <v>735</v>
      </c>
      <c r="Y171" s="7"/>
      <c r="Z171" s="1" t="s">
        <v>120</v>
      </c>
      <c r="AA171" s="1" t="s">
        <v>166</v>
      </c>
      <c r="AB171" s="1" t="s">
        <v>127</v>
      </c>
      <c r="AC171" s="1" t="s">
        <v>155</v>
      </c>
      <c r="AD171" s="1" t="s">
        <v>155</v>
      </c>
      <c r="AE171" s="1" t="s">
        <v>66</v>
      </c>
      <c r="AF171" s="1"/>
      <c r="AG171" s="7"/>
    </row>
    <row r="172" ht="17" customHeight="1">
      <c r="A172" s="1" t="s">
        <v>736</v>
      </c>
      <c r="C172" s="10" t="s">
        <v>737</v>
      </c>
      <c r="D172" s="1" t="s">
        <v>68</v>
      </c>
      <c r="E172" s="5" t="str">
        <f t="shared" si="17"/>
        <v>Frahm</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5" t="str">
        <f t="shared" si="18"/>
        <v>1984</v>
      </c>
      <c r="H172" s="5" t="str">
        <f t="shared" si="19"/>
        <v>Frahm_etal_1984</v>
      </c>
      <c r="I172" s="5" t="str">
        <f t="shared" si="26"/>
        <v>PMID%3A6501869</v>
      </c>
      <c r="J172" s="5" t="str">
        <f t="shared" si="20"/>
        <v>Frahm_etal_1984_Table1</v>
      </c>
      <c r="K172" s="5" t="str">
        <f t="shared" si="25"/>
        <v>PMID%3A6501869_Table1</v>
      </c>
      <c r="L172" s="5" t="str">
        <f t="array" ref="L172">IFERROR(INDEX(AUTO_Public_TSV_FileList!$A$1:$A$1000,MATCH(TRUE(),EXACT(K172,IFERROR(_xlfn.TEXTBEFORE(AUTO_Public_TSV_FileList!$A$1:$A$1000,".tsv"),"")),0)),"notfound")</f>
        <v>PMID%3A6501869_Table1.tsv</v>
      </c>
      <c r="M172" s="1" t="s">
        <v>738</v>
      </c>
      <c r="N172" s="1" t="s">
        <v>35</v>
      </c>
      <c r="O172" s="7"/>
      <c r="P172" s="1" t="s">
        <v>36</v>
      </c>
      <c r="Q172" s="7"/>
      <c r="R172" s="7"/>
      <c r="S172" s="7"/>
      <c r="T172" s="7"/>
      <c r="U172" s="7"/>
      <c r="V172" s="7"/>
      <c r="W172" s="1" t="s">
        <v>153</v>
      </c>
      <c r="X172" s="1" t="s">
        <v>739</v>
      </c>
      <c r="Y172" s="7"/>
      <c r="Z172" s="1" t="s">
        <v>120</v>
      </c>
      <c r="AA172" s="1" t="s">
        <v>166</v>
      </c>
      <c r="AB172" s="1" t="s">
        <v>127</v>
      </c>
      <c r="AC172" s="1" t="s">
        <v>155</v>
      </c>
      <c r="AD172" s="1" t="s">
        <v>155</v>
      </c>
      <c r="AE172" s="1" t="s">
        <v>66</v>
      </c>
      <c r="AF172" s="1"/>
      <c r="AG172" s="7"/>
    </row>
    <row r="173" ht="17" customHeight="1">
      <c r="A173" s="1" t="s">
        <v>736</v>
      </c>
      <c r="C173" s="10" t="s">
        <v>737</v>
      </c>
      <c r="D173" s="1" t="s">
        <v>108</v>
      </c>
      <c r="E173" s="5" t="str">
        <f t="shared" si="17"/>
        <v>Frahm</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5" t="str">
        <f t="shared" si="18"/>
        <v>1984</v>
      </c>
      <c r="H173" s="5" t="str">
        <f t="shared" si="19"/>
        <v>Frahm_etal_1984</v>
      </c>
      <c r="I173" s="5" t="str">
        <f t="shared" si="26"/>
        <v>PMID%3A6501869</v>
      </c>
      <c r="J173" s="5" t="str">
        <f t="shared" si="20"/>
        <v>Frahm_etal_1984_Table2</v>
      </c>
      <c r="K173" s="5" t="str">
        <f t="shared" si="25"/>
        <v>PMID%3A6501869_Table2</v>
      </c>
      <c r="L173" s="5" t="str">
        <f t="array" ref="L173">IFERROR(INDEX(AUTO_Public_TSV_FileList!$A$1:$A$1000,MATCH(TRUE(),EXACT(K173,IFERROR(_xlfn.TEXTBEFORE(AUTO_Public_TSV_FileList!$A$1:$A$1000,".tsv"),"")),0)),"notfound")</f>
        <v>PMID%3A6501869_Table2.tsv</v>
      </c>
      <c r="M173" s="1" t="s">
        <v>740</v>
      </c>
      <c r="N173" s="1"/>
      <c r="O173" s="7"/>
      <c r="P173" s="1" t="s">
        <v>36</v>
      </c>
      <c r="Q173" s="7"/>
      <c r="R173" s="7"/>
      <c r="S173" s="7"/>
      <c r="T173" s="7"/>
      <c r="U173" s="7"/>
      <c r="V173" s="7"/>
      <c r="W173" s="1"/>
      <c r="X173" s="1"/>
      <c r="Y173" s="7"/>
      <c r="Z173" s="1"/>
      <c r="AA173" s="1"/>
      <c r="AB173" s="1"/>
      <c r="AC173" s="1"/>
      <c r="AD173" s="1"/>
      <c r="AE173" s="1"/>
      <c r="AF173" s="1"/>
      <c r="AG173" s="7"/>
    </row>
    <row r="174" ht="17" customHeight="1">
      <c r="A174" s="1" t="s">
        <v>741</v>
      </c>
      <c r="C174" s="10" t="s">
        <v>742</v>
      </c>
      <c r="D174" s="1" t="s">
        <v>108</v>
      </c>
      <c r="E174" s="5" t="str">
        <f t="shared" si="17"/>
        <v>Frahm</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5" t="str">
        <f t="shared" si="18"/>
        <v>1982</v>
      </c>
      <c r="H174" s="5" t="str">
        <f t="shared" si="19"/>
        <v>Frahm_etal_1982</v>
      </c>
      <c r="I174" s="5" t="str">
        <f t="shared" si="26"/>
        <v>PMID%3A7161477</v>
      </c>
      <c r="J174" s="5" t="str">
        <f t="shared" si="20"/>
        <v>Frahm_etal_1982_Table2</v>
      </c>
      <c r="K174" s="5" t="str">
        <f t="shared" si="25"/>
        <v>PMID%3A7161477_Table2</v>
      </c>
      <c r="L174" s="5" t="str">
        <f t="array" ref="L174">IFERROR(INDEX(AUTO_Public_TSV_FileList!$A$1:$A$1000,MATCH(TRUE(),EXACT(K174,IFERROR(_xlfn.TEXTBEFORE(AUTO_Public_TSV_FileList!$A$1:$A$1000,".tsv"),"")),0)),"notfound")</f>
        <v>PMID%3A7161477_Table2.tsv</v>
      </c>
      <c r="M174" s="1" t="s">
        <v>743</v>
      </c>
      <c r="N174" s="1" t="s">
        <v>35</v>
      </c>
      <c r="O174" s="7"/>
      <c r="P174" s="1" t="s">
        <v>36</v>
      </c>
      <c r="Q174" s="7"/>
      <c r="R174" s="7"/>
      <c r="S174" s="7"/>
      <c r="T174" s="7"/>
      <c r="U174" s="7"/>
      <c r="V174" s="7"/>
      <c r="W174" s="1" t="s">
        <v>153</v>
      </c>
      <c r="X174" s="1" t="s">
        <v>744</v>
      </c>
      <c r="Y174" s="7"/>
      <c r="Z174" s="1" t="s">
        <v>120</v>
      </c>
      <c r="AA174" s="1" t="s">
        <v>166</v>
      </c>
      <c r="AB174" s="1" t="s">
        <v>127</v>
      </c>
      <c r="AC174" s="1" t="s">
        <v>155</v>
      </c>
      <c r="AD174" s="1" t="s">
        <v>155</v>
      </c>
      <c r="AE174" s="1" t="s">
        <v>66</v>
      </c>
      <c r="AF174" s="1"/>
      <c r="AG174" s="7"/>
    </row>
    <row r="175" ht="17" customHeight="1">
      <c r="A175" s="1" t="s">
        <v>745</v>
      </c>
      <c r="C175" s="10" t="s">
        <v>746</v>
      </c>
      <c r="D175" s="1" t="s">
        <v>68</v>
      </c>
      <c r="E175" s="5" t="str">
        <f t="shared" si="17"/>
        <v>Frahm</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5" t="str">
        <f t="shared" si="18"/>
        <v>1998</v>
      </c>
      <c r="H175" s="5" t="str">
        <f t="shared" si="19"/>
        <v>Frahm_etal_1998</v>
      </c>
      <c r="I175" s="5" t="str">
        <f t="shared" si="26"/>
        <v>PMID%3A9672110</v>
      </c>
      <c r="J175" s="5" t="str">
        <f t="shared" si="20"/>
        <v>Frahm_etal_1998_Table1</v>
      </c>
      <c r="K175" s="5" t="str">
        <f t="shared" si="25"/>
        <v>PMID%3A9672110_Table1</v>
      </c>
      <c r="L175" s="5" t="str">
        <f t="array" ref="L175">IFERROR(INDEX(AUTO_Public_TSV_FileList!$A$1:$A$1000,MATCH(TRUE(),EXACT(K175,IFERROR(_xlfn.TEXTBEFORE(AUTO_Public_TSV_FileList!$A$1:$A$1000,".tsv"),"")),0)),"notfound")</f>
        <v>PMID%3A9672110_Table1.tsv</v>
      </c>
      <c r="M175" s="7"/>
      <c r="N175" s="1" t="s">
        <v>35</v>
      </c>
      <c r="O175" s="7"/>
      <c r="P175" s="1" t="s">
        <v>36</v>
      </c>
      <c r="Q175" s="7"/>
      <c r="R175" s="7"/>
      <c r="S175" s="7"/>
      <c r="T175" s="7"/>
      <c r="U175" s="7"/>
      <c r="V175" s="7"/>
      <c r="W175" s="1" t="s">
        <v>153</v>
      </c>
      <c r="X175" s="1" t="s">
        <v>747</v>
      </c>
      <c r="Y175" s="7"/>
      <c r="Z175" s="1" t="s">
        <v>120</v>
      </c>
      <c r="AA175" s="1" t="s">
        <v>166</v>
      </c>
      <c r="AB175" s="1" t="s">
        <v>127</v>
      </c>
      <c r="AC175" s="1" t="s">
        <v>155</v>
      </c>
      <c r="AD175" s="1" t="s">
        <v>155</v>
      </c>
      <c r="AE175" s="1" t="s">
        <v>66</v>
      </c>
      <c r="AF175" s="1"/>
      <c r="AG175" s="7"/>
    </row>
    <row r="176" ht="17" customHeight="1">
      <c r="A176" s="1" t="s">
        <v>748</v>
      </c>
      <c r="D176" s="1" t="s">
        <v>749</v>
      </c>
      <c r="E176" s="5" t="str">
        <f t="shared" si="17"/>
        <v>Fritsches</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5" t="str">
        <f t="shared" si="18"/>
        <v>2005</v>
      </c>
      <c r="H176" s="5" t="str">
        <f t="shared" si="19"/>
        <v>Fritsches_etal_2005</v>
      </c>
      <c r="I176" s="5" t="str">
        <f t="shared" si="26"/>
        <v>10.1016%2Fj.cub.2004.12.064</v>
      </c>
      <c r="J176" s="5" t="str">
        <f t="shared" si="20"/>
        <v>Fritsches_etal_2005_Fig2</v>
      </c>
      <c r="K176" s="5" t="str">
        <f t="shared" si="25"/>
        <v>10.1016%2Fj.cub.2004.12.064_Fig2</v>
      </c>
      <c r="L176" s="5" t="str">
        <f t="array" ref="L176">IFERROR(INDEX(AUTO_Public_TSV_FileList!$A$1:$A$1000,MATCH(TRUE(),EXACT(K176,IFERROR(_xlfn.TEXTBEFORE(AUTO_Public_TSV_FileList!$A$1:$A$1000,".tsv"),"")),0)),"notfound")</f>
        <v>10.1016%2Fj.cub.2004.12.064_Fig2.tsv</v>
      </c>
      <c r="M176" s="7"/>
      <c r="N176" s="7"/>
      <c r="O176" s="7" t="s">
        <v>750</v>
      </c>
      <c r="P176" s="1" t="s">
        <v>36</v>
      </c>
      <c r="Q176" s="7"/>
      <c r="R176" s="7"/>
      <c r="S176" s="7"/>
      <c r="T176" s="7"/>
      <c r="U176" s="7"/>
      <c r="V176" s="7"/>
      <c r="W176" s="7"/>
      <c r="X176" s="7"/>
      <c r="Y176" s="7"/>
      <c r="Z176" s="7"/>
      <c r="AA176" s="7"/>
      <c r="AB176" s="7"/>
      <c r="AC176" s="7"/>
      <c r="AD176" s="7"/>
      <c r="AE176" s="7"/>
      <c r="AF176" s="7"/>
      <c r="AG176" s="7"/>
    </row>
    <row r="177" ht="17" customHeight="1">
      <c r="A177" s="9" t="s">
        <v>751</v>
      </c>
      <c r="D177" s="9" t="s">
        <v>421</v>
      </c>
      <c r="E177" s="3" t="str">
        <f t="shared" si="17"/>
        <v>Frost</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5" t="str">
        <f t="shared" si="18"/>
        <v>1994</v>
      </c>
      <c r="H177" s="3" t="str">
        <f t="shared" si="19"/>
        <v>Frost_Masterton_1994</v>
      </c>
      <c r="I177" s="3" t="str">
        <f>_xlfn.LET(_xlpm.doi,IF(C177&lt;&gt;"",C177,_xlfn.TEXTAFTER(A177,"https://doi.org/")),SUBSTITUTE(SUBSTITUTE(SUBSTITUTE(SUBSTITUTE(_xlpm.doi,"/","%2F"),":","%3A"),"&lt;","%3C"),"&gt;","%3E"))</f>
        <v>10.1016%2F0378-5955(94)90088-4</v>
      </c>
      <c r="J177" s="3" t="str">
        <f t="shared" si="20"/>
        <v>Frost_Masterton_1994_Figure3</v>
      </c>
      <c r="K177" s="5" t="str">
        <f t="shared" si="25"/>
        <v>10.1016%2F0378-5955(94)90088-4_Figure3</v>
      </c>
      <c r="L177" s="5" t="str">
        <f t="array" ref="L177">IFERROR(INDEX(AUTO_Public_TSV_FileList!$A$1:$A$1000,MATCH(TRUE(),EXACT(K177,IFERROR(_xlfn.TEXTBEFORE(AUTO_Public_TSV_FileList!$A$1:$A$1000,".tsv"),"")),0)),"notfound")</f>
        <v>notfound</v>
      </c>
      <c r="M177" s="9" t="s">
        <v>752</v>
      </c>
      <c r="N177" s="9" t="s">
        <v>395</v>
      </c>
      <c r="O177" s="9" t="s">
        <v>753</v>
      </c>
      <c r="P177" s="9" t="s">
        <v>78</v>
      </c>
      <c r="Q177" s="9"/>
      <c r="R177" s="15" t="s">
        <v>754</v>
      </c>
      <c r="S177" s="9"/>
      <c r="T177" s="9"/>
      <c r="U177" s="9"/>
      <c r="V177" s="9" t="s">
        <v>309</v>
      </c>
      <c r="W177" s="9" t="s">
        <v>755</v>
      </c>
      <c r="X177" s="9" t="s">
        <v>756</v>
      </c>
      <c r="Y177" s="9"/>
      <c r="Z177" s="9" t="s">
        <v>312</v>
      </c>
      <c r="AA177" s="9" t="s">
        <v>757</v>
      </c>
      <c r="AB177" s="9" t="s">
        <v>758</v>
      </c>
      <c r="AC177" s="9" t="s">
        <v>759</v>
      </c>
      <c r="AD177" s="9"/>
      <c r="AE177" s="9" t="s">
        <v>51</v>
      </c>
      <c r="AF177" s="9" t="s">
        <v>760</v>
      </c>
      <c r="AG177" s="9" t="s">
        <v>316</v>
      </c>
    </row>
    <row r="178" ht="17" customHeight="1">
      <c r="A178" s="9" t="s">
        <v>751</v>
      </c>
      <c r="B178" s="17"/>
      <c r="C178" s="17"/>
      <c r="D178" s="9" t="s">
        <v>761</v>
      </c>
      <c r="E178" s="3" t="str">
        <f t="shared" si="17"/>
        <v>Frost</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5" t="str">
        <f t="shared" si="18"/>
        <v>1994</v>
      </c>
      <c r="H178" s="3" t="str">
        <f t="shared" si="19"/>
        <v>Frost_Masterton_1994</v>
      </c>
      <c r="I178" s="3" t="str">
        <f>_xlfn.LET(_xlpm.doi,IF(C178&lt;&gt;"",C178,_xlfn.TEXTAFTER(A178,"https://doi.org/")),SUBSTITUTE(SUBSTITUTE(SUBSTITUTE(SUBSTITUTE(_xlpm.doi,"/","%2F"),":","%3A"),"&lt;","%3C"),"&gt;","%3E"))</f>
        <v>10.1016%2F0378-5955(94)90088-4</v>
      </c>
      <c r="J178" s="3" t="str">
        <f t="shared" si="20"/>
        <v>Frost_Masterton_1994_Resultstext</v>
      </c>
      <c r="K178" s="5" t="str">
        <f t="shared" si="25"/>
        <v>10.1016%2F0378-5955(94)90088-4_Resultstext</v>
      </c>
      <c r="L178" s="5" t="str">
        <f t="array" ref="L178">IFERROR(INDEX(AUTO_Public_TSV_FileList!$A$1:$A$1000,MATCH(TRUE(),EXACT(K178,IFERROR(_xlfn.TEXTBEFORE(AUTO_Public_TSV_FileList!$A$1:$A$1000,".tsv"),"")),0)),"notfound")</f>
        <v>10.1016%2F0378-5955(94)90088-4_Resultstext.tsv</v>
      </c>
      <c r="M178" s="9" t="s">
        <v>762</v>
      </c>
      <c r="N178" s="9" t="s">
        <v>455</v>
      </c>
      <c r="O178" s="9" t="s">
        <v>763</v>
      </c>
      <c r="P178" s="9" t="s">
        <v>36</v>
      </c>
      <c r="Q178" s="9"/>
      <c r="R178" s="15" t="s">
        <v>754</v>
      </c>
      <c r="S178" s="9"/>
      <c r="T178" s="9"/>
      <c r="U178" s="9"/>
      <c r="V178" s="9" t="s">
        <v>309</v>
      </c>
      <c r="W178" s="9" t="s">
        <v>764</v>
      </c>
      <c r="X178" s="9" t="s">
        <v>765</v>
      </c>
      <c r="Y178" s="9"/>
      <c r="Z178" s="9" t="s">
        <v>312</v>
      </c>
      <c r="AA178" s="9" t="s">
        <v>757</v>
      </c>
      <c r="AB178" s="9" t="s">
        <v>766</v>
      </c>
      <c r="AC178" s="9" t="s">
        <v>759</v>
      </c>
      <c r="AD178" s="9"/>
      <c r="AE178" s="9" t="s">
        <v>66</v>
      </c>
      <c r="AF178" s="9"/>
      <c r="AG178" s="9" t="s">
        <v>316</v>
      </c>
    </row>
    <row r="179" ht="17" customHeight="1">
      <c r="A179" s="1" t="s">
        <v>767</v>
      </c>
      <c r="B179" s="17"/>
      <c r="C179" s="17"/>
      <c r="D179" s="1" t="s">
        <v>68</v>
      </c>
      <c r="E179" s="5" t="str">
        <f t="shared" si="17"/>
        <v>Fu</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5" t="str">
        <f t="shared" si="18"/>
        <v>2013</v>
      </c>
      <c r="H179" s="5" t="str">
        <f t="shared" si="19"/>
        <v>Fu_etal_2013</v>
      </c>
      <c r="I179" s="5" t="str">
        <f>_xlfn.LET(
_xlpm.doi,IF(C179&lt;&gt;"",C179,_xlfn.TEXTAFTER(A179,"https://doi.org/")),
SUBSTITUTE(
SUBSTITUTE(
SUBSTITUTE(
SUBSTITUTE(
_xlpm.doi,
"/","%2F"),
":","%3A"),
"&lt;","%3C"),
"&gt;","%3E")
)</f>
        <v>10.1007%2Fs00429-012-0462-x</v>
      </c>
      <c r="J179" s="5" t="str">
        <f t="shared" si="20"/>
        <v>Fu_etal_2013_Table1</v>
      </c>
      <c r="K179" s="5" t="str">
        <f t="shared" si="25"/>
        <v>10.1007%2Fs00429-012-0462-x_Table1</v>
      </c>
      <c r="L179" s="5" t="str">
        <f t="array" ref="L179">IFERROR(INDEX(AUTO_Public_TSV_FileList!$A$1:$A$1000,MATCH(TRUE(),EXACT(K179,IFERROR(_xlfn.TEXTBEFORE(AUTO_Public_TSV_FileList!$A$1:$A$1000,".tsv"),"")),0)),"notfound")</f>
        <v>10.1007%2Fs00429-012-0462-x_Table1.tsv</v>
      </c>
      <c r="M179" s="1" t="s">
        <v>768</v>
      </c>
      <c r="N179" s="7"/>
      <c r="O179" s="7"/>
      <c r="P179" s="1" t="s">
        <v>36</v>
      </c>
      <c r="Q179" s="7"/>
      <c r="R179" s="7"/>
      <c r="S179" s="7"/>
      <c r="T179" s="7"/>
      <c r="U179" s="7"/>
      <c r="V179" s="7"/>
      <c r="W179" s="1"/>
      <c r="X179" s="7"/>
      <c r="Y179" s="1" t="s">
        <v>347</v>
      </c>
      <c r="Z179" s="7"/>
      <c r="AA179" s="7"/>
      <c r="AB179" s="1"/>
      <c r="AC179" s="7"/>
      <c r="AD179" s="7"/>
      <c r="AE179" s="1"/>
      <c r="AF179" s="1"/>
      <c r="AG179" s="7"/>
    </row>
    <row r="180" ht="17" customHeight="1">
      <c r="A180" s="1" t="s">
        <v>769</v>
      </c>
      <c r="D180" s="1" t="s">
        <v>286</v>
      </c>
      <c r="E180" s="5" t="str">
        <f t="shared" si="17"/>
        <v>Gabi</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5" t="str">
        <f t="shared" si="18"/>
        <v>2016</v>
      </c>
      <c r="H180" s="5" t="str">
        <f t="shared" si="19"/>
        <v>Gabi_etal_2016</v>
      </c>
      <c r="I180" s="5" t="str">
        <f>_xlfn.LET(
_xlpm.doi,IF(C180&lt;&gt;"",C180,_xlfn.TEXTAFTER(A180,"https://doi.org/")),
SUBSTITUTE(
SUBSTITUTE(
SUBSTITUTE(
SUBSTITUTE(
_xlpm.doi,
"/","%2F"),
":","%3A"),
"&lt;","%3C"),
"&gt;","%3E")
)</f>
        <v>10.1073%2Fpnas.1610178113</v>
      </c>
      <c r="J180" s="5" t="str">
        <f t="shared" si="20"/>
        <v>Gabi_etal_2016_TableS1</v>
      </c>
      <c r="K180" s="5" t="str">
        <f t="shared" si="25"/>
        <v>10.1073%2Fpnas.1610178113_TableS1</v>
      </c>
      <c r="L180" s="5" t="str">
        <f t="array" ref="L180">IFERROR(INDEX(AUTO_Public_TSV_FileList!$A$1:$A$1000,MATCH(TRUE(),EXACT(K180,IFERROR(_xlfn.TEXTBEFORE(AUTO_Public_TSV_FileList!$A$1:$A$1000,".tsv"),"")),0)),"notfound")</f>
        <v>10.1073%2Fpnas.1610178113_TableS1.tsv</v>
      </c>
      <c r="M180" s="7"/>
      <c r="N180" s="7" t="s">
        <v>35</v>
      </c>
      <c r="O180" s="7"/>
      <c r="P180" s="7" t="s">
        <v>36</v>
      </c>
      <c r="Q180" s="7"/>
      <c r="R180" s="7"/>
      <c r="S180" s="7"/>
      <c r="T180" s="7"/>
      <c r="U180" s="7"/>
      <c r="V180" s="7"/>
      <c r="W180" s="7" t="s">
        <v>770</v>
      </c>
      <c r="X180" s="7" t="s">
        <v>771</v>
      </c>
      <c r="Y180" s="7"/>
      <c r="Z180" s="7"/>
      <c r="AA180" s="7"/>
      <c r="AB180" s="7" t="s">
        <v>772</v>
      </c>
      <c r="AC180" s="7" t="s">
        <v>65</v>
      </c>
      <c r="AD180" s="7"/>
      <c r="AE180" s="7" t="s">
        <v>66</v>
      </c>
      <c r="AF180" s="7"/>
      <c r="AG180" s="7" t="s">
        <v>773</v>
      </c>
    </row>
    <row r="181" ht="17" customHeight="1">
      <c r="A181" s="1" t="s">
        <v>774</v>
      </c>
      <c r="D181" s="1" t="s">
        <v>286</v>
      </c>
      <c r="E181" s="5" t="str">
        <f t="shared" si="17"/>
        <v>Garwicz</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5" t="str">
        <f t="shared" si="18"/>
        <v>2009</v>
      </c>
      <c r="H181" s="5" t="str">
        <f t="shared" si="19"/>
        <v>Garwicz_etal_2009</v>
      </c>
      <c r="I181" s="5" t="str">
        <f>_xlfn.LET(
_xlpm.doi,IF(C181&lt;&gt;"",C181,_xlfn.TEXTAFTER(A181,"https://doi.org/")),
SUBSTITUTE(
SUBSTITUTE(
SUBSTITUTE(
SUBSTITUTE(
_xlpm.doi,
"/","%2F"),
":","%3A"),
"&lt;","%3C"),
"&gt;","%3E")
)</f>
        <v>10.1073%2Fpnas.0905777106</v>
      </c>
      <c r="J181" s="5" t="str">
        <f t="shared" si="20"/>
        <v>Garwicz_etal_2009_TableS1</v>
      </c>
      <c r="K181" s="5" t="str">
        <f t="shared" si="25"/>
        <v>10.1073%2Fpnas.0905777106_TableS1</v>
      </c>
      <c r="L181" s="5" t="str">
        <f t="array" ref="L181">IFERROR(INDEX(AUTO_Public_TSV_FileList!$A$1:$A$1000,MATCH(TRUE(),EXACT(K181,IFERROR(_xlfn.TEXTBEFORE(AUTO_Public_TSV_FileList!$A$1:$A$1000,".tsv"),"")),0)),"notfound")</f>
        <v>10.1073%2Fpnas.0905777106_TableS1.tsv</v>
      </c>
      <c r="M181" s="1" t="s">
        <v>775</v>
      </c>
      <c r="N181" s="7"/>
      <c r="O181" s="7"/>
      <c r="P181" s="7" t="s">
        <v>36</v>
      </c>
      <c r="Q181" s="7"/>
      <c r="R181" s="1" t="s">
        <v>776</v>
      </c>
      <c r="S181" s="7"/>
      <c r="T181" s="7"/>
      <c r="U181" s="7"/>
      <c r="V181" s="7"/>
      <c r="W181" s="1" t="s">
        <v>174</v>
      </c>
      <c r="X181" s="7"/>
      <c r="Y181" s="7"/>
      <c r="Z181" s="7"/>
      <c r="AA181" s="7"/>
      <c r="AB181" s="1" t="s">
        <v>777</v>
      </c>
      <c r="AC181" s="7"/>
      <c r="AD181" s="7"/>
      <c r="AE181" s="1" t="s">
        <v>215</v>
      </c>
      <c r="AF181" s="1"/>
      <c r="AG181" s="7"/>
    </row>
    <row r="182" ht="17" customHeight="1">
      <c r="A182" s="1" t="s">
        <v>774</v>
      </c>
      <c r="D182" s="1" t="s">
        <v>712</v>
      </c>
      <c r="E182" s="5" t="str">
        <f t="shared" si="17"/>
        <v>Garwicz</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5" t="str">
        <f t="shared" si="18"/>
        <v>2009</v>
      </c>
      <c r="H182" s="5" t="str">
        <f t="shared" si="19"/>
        <v>Garwicz_etal_2009</v>
      </c>
      <c r="I182" s="5" t="str">
        <f>_xlfn.LET(
_xlpm.doi,IF(C182&lt;&gt;"",C182,_xlfn.TEXTAFTER(A182,"https://doi.org/")),
SUBSTITUTE(
SUBSTITUTE(
SUBSTITUTE(
SUBSTITUTE(
_xlpm.doi,
"/","%2F"),
":","%3A"),
"&lt;","%3C"),
"&gt;","%3E")
)</f>
        <v>10.1073%2Fpnas.0905777106</v>
      </c>
      <c r="J182" s="5" t="str">
        <f t="shared" si="20"/>
        <v>Garwicz_etal_2009_TableS2</v>
      </c>
      <c r="K182" s="5" t="str">
        <f t="shared" si="25"/>
        <v>10.1073%2Fpnas.0905777106_TableS2</v>
      </c>
      <c r="L182" s="5" t="str">
        <f t="array" ref="L182">IFERROR(INDEX(AUTO_Public_TSV_FileList!$A$1:$A$1000,MATCH(TRUE(),EXACT(K182,IFERROR(_xlfn.TEXTBEFORE(AUTO_Public_TSV_FileList!$A$1:$A$1000,".tsv"),"")),0)),"notfound")</f>
        <v>10.1073%2Fpnas.0905777106_TableS2.tsv</v>
      </c>
      <c r="M182" s="1" t="s">
        <v>778</v>
      </c>
      <c r="N182" s="7"/>
      <c r="O182" s="7"/>
      <c r="P182" s="7" t="s">
        <v>36</v>
      </c>
      <c r="Q182" s="7"/>
      <c r="R182" s="1" t="s">
        <v>776</v>
      </c>
      <c r="S182" s="7"/>
      <c r="T182" s="7"/>
      <c r="U182" s="7"/>
      <c r="V182" s="7"/>
      <c r="W182" s="1" t="s">
        <v>174</v>
      </c>
      <c r="X182" s="7"/>
      <c r="Y182" s="7"/>
      <c r="Z182" s="7"/>
      <c r="AA182" s="7"/>
      <c r="AB182" s="1" t="s">
        <v>777</v>
      </c>
      <c r="AC182" s="7"/>
      <c r="AD182" s="7"/>
      <c r="AE182" s="1" t="s">
        <v>215</v>
      </c>
      <c r="AF182" s="1"/>
      <c r="AG182" s="7"/>
    </row>
    <row r="183" ht="17" customHeight="1">
      <c r="A183" s="1" t="s">
        <v>779</v>
      </c>
      <c r="D183" s="1" t="s">
        <v>712</v>
      </c>
      <c r="E183" s="5" t="str">
        <f t="shared" si="17"/>
        <v>Genoud</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5" t="str">
        <f t="shared" si="18"/>
        <v>2018</v>
      </c>
      <c r="H183" s="5" t="str">
        <f t="shared" si="19"/>
        <v>Genoud_etal_2018</v>
      </c>
      <c r="I183" s="5" t="str">
        <f>_xlfn.LET(
_xlpm.doi,IF(C183&lt;&gt;"",C183,_xlfn.TEXTAFTER(A183,"https://doi.org/")),
SUBSTITUTE(
SUBSTITUTE(
SUBSTITUTE(
SUBSTITUTE(
_xlpm.doi,
"/","%2F"),
":","%3A"),
"&lt;","%3C"),
"&gt;","%3E")
)</f>
        <v>10.1111%2Fbrv.12350</v>
      </c>
      <c r="J183" s="5" t="str">
        <f t="shared" si="20"/>
        <v>Genoud_etal_2018_TableS2</v>
      </c>
      <c r="K183" s="5" t="str">
        <f t="shared" si="25"/>
        <v>10.1111%2Fbrv.12350_TableS2</v>
      </c>
      <c r="L183" s="5" t="str">
        <f t="array" ref="L183">IFERROR(INDEX(AUTO_Public_TSV_FileList!$A$1:$A$1000,MATCH(TRUE(),EXACT(K183,IFERROR(_xlfn.TEXTBEFORE(AUTO_Public_TSV_FileList!$A$1:$A$1000,".tsv"),"")),0)),"notfound")</f>
        <v>10.1111%2Fbrv.12350_TableS2.tsv</v>
      </c>
      <c r="M183" s="1" t="s">
        <v>780</v>
      </c>
      <c r="N183" s="7"/>
      <c r="O183" s="7"/>
      <c r="P183" s="7" t="s">
        <v>36</v>
      </c>
      <c r="Q183" s="7"/>
      <c r="R183" s="7"/>
      <c r="S183" s="7"/>
      <c r="T183" s="7"/>
      <c r="U183" s="7"/>
      <c r="V183" s="7"/>
      <c r="W183" s="1"/>
      <c r="X183" s="1" t="s">
        <v>781</v>
      </c>
      <c r="Y183" s="7"/>
      <c r="Z183" s="7"/>
      <c r="AA183" s="7"/>
      <c r="AB183" s="1"/>
      <c r="AC183" s="7"/>
      <c r="AD183" s="7"/>
      <c r="AE183" s="1" t="s">
        <v>215</v>
      </c>
      <c r="AF183" s="1"/>
      <c r="AG183" s="7"/>
    </row>
    <row r="184" ht="17" customHeight="1">
      <c r="A184" s="9" t="s">
        <v>782</v>
      </c>
      <c r="B184" s="17"/>
      <c r="C184" t="s">
        <v>783</v>
      </c>
      <c r="D184" s="9" t="s">
        <v>453</v>
      </c>
      <c r="E184" s="3" t="str">
        <f t="shared" si="17"/>
        <v>Gillette</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5" t="str">
        <f t="shared" si="18"/>
        <v>1973</v>
      </c>
      <c r="H184" s="3" t="str">
        <f t="shared" si="19"/>
        <v>Gillette_etal_1973</v>
      </c>
      <c r="I184" s="3" t="str">
        <f>_xlfn.LET(_xlpm.doi,IF(C184&lt;&gt;"",C184,_xlfn.TEXTAFTER(A184,"https://doi.org/")),SUBSTITUTE(SUBSTITUTE(SUBSTITUTE(SUBSTITUTE(_xlpm.doi,"/","%2F"),":","%3A"),"&lt;","%3C"),"&gt;","%3E"))</f>
        <v>PMID%3A4689764</v>
      </c>
      <c r="J184" s="3" t="str">
        <f t="shared" si="20"/>
        <v>Gillette_etal_1973_ResultsText</v>
      </c>
      <c r="K184" s="5" t="str">
        <f t="shared" si="25"/>
        <v>PMID%3A4689764_ResultsText</v>
      </c>
      <c r="L184" s="5" t="str">
        <f t="array" ref="L184">IFERROR(INDEX(AUTO_Public_TSV_FileList!$A$1:$A$1000,MATCH(TRUE(),EXACT(K184,IFERROR(_xlfn.TEXTBEFORE(AUTO_Public_TSV_FileList!$A$1:$A$1000,".tsv"),"")),0)),"notfound")</f>
        <v>PMID%3A4689764_ResultsText.tsv</v>
      </c>
      <c r="M184" s="9" t="s">
        <v>784</v>
      </c>
      <c r="N184" s="9" t="s">
        <v>455</v>
      </c>
      <c r="O184" s="9" t="s">
        <v>785</v>
      </c>
      <c r="P184" s="9" t="s">
        <v>72</v>
      </c>
      <c r="Q184" s="9"/>
      <c r="R184" s="9"/>
      <c r="S184" s="9"/>
      <c r="T184" s="9"/>
      <c r="U184" s="9"/>
      <c r="V184" s="9"/>
      <c r="W184" s="9"/>
      <c r="X184" s="9"/>
      <c r="Y184" s="9"/>
      <c r="Z184" s="9"/>
      <c r="AA184" s="9"/>
      <c r="AB184" s="9"/>
      <c r="AC184" s="9"/>
      <c r="AD184" s="9"/>
      <c r="AE184" s="9"/>
      <c r="AF184" s="9"/>
      <c r="AG184" s="9"/>
    </row>
    <row r="185" ht="17" customHeight="1">
      <c r="A185" s="1" t="s">
        <v>786</v>
      </c>
      <c r="B185" s="17"/>
      <c r="C185" s="17"/>
      <c r="D185" s="1" t="s">
        <v>286</v>
      </c>
      <c r="E185" s="5" t="str">
        <f t="shared" si="17"/>
        <v>Granatosky</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85" s="5" t="str">
        <f t="shared" si="18"/>
        <v>2018</v>
      </c>
      <c r="H185" s="5" t="str">
        <f t="shared" si="19"/>
        <v>Granatosky__2018</v>
      </c>
      <c r="I185" s="5" t="str">
        <f>_xlfn.LET(
_xlpm.doi,IF(C185&lt;&gt;"",C185,_xlfn.TEXTAFTER(A185,"https://doi.org/")),
SUBSTITUTE(
SUBSTITUTE(
SUBSTITUTE(
SUBSTITUTE(
_xlpm.doi,
"/","%2F"),
":","%3A"),
"&lt;","%3C"),
"&gt;","%3E")
)</f>
        <v>10.1111%2Fjzo.12608</v>
      </c>
      <c r="J185" s="5" t="str">
        <f t="shared" si="20"/>
        <v>Granatosky__2018_TableS1</v>
      </c>
      <c r="K185" s="5" t="str">
        <f t="shared" si="25"/>
        <v>10.1111%2Fjzo.12608_TableS1</v>
      </c>
      <c r="L185" s="5" t="str">
        <f t="array" ref="L185">IFERROR(INDEX(AUTO_Public_TSV_FileList!$A$1:$A$1000,MATCH(TRUE(),EXACT(K185,IFERROR(_xlfn.TEXTBEFORE(AUTO_Public_TSV_FileList!$A$1:$A$1000,".tsv"),"")),0)),"notfound")</f>
        <v>10.1111%2Fjzo.12608_TableS1.tsv</v>
      </c>
      <c r="M185" s="1" t="s">
        <v>787</v>
      </c>
      <c r="N185" s="7"/>
      <c r="O185" s="7"/>
      <c r="P185" s="7" t="s">
        <v>36</v>
      </c>
      <c r="Q185" s="7"/>
      <c r="R185" s="1" t="s">
        <v>788</v>
      </c>
      <c r="S185" s="7"/>
      <c r="T185" s="7"/>
      <c r="U185" s="7"/>
      <c r="V185" s="7"/>
      <c r="W185" s="1" t="s">
        <v>174</v>
      </c>
      <c r="X185" s="7"/>
      <c r="Y185" s="7"/>
      <c r="Z185" s="7"/>
      <c r="AA185" s="7"/>
      <c r="AB185" s="1" t="s">
        <v>789</v>
      </c>
      <c r="AC185" s="7"/>
      <c r="AD185" s="7"/>
      <c r="AE185" s="1" t="s">
        <v>215</v>
      </c>
      <c r="AF185" s="1"/>
      <c r="AG185" s="7"/>
    </row>
    <row r="186" ht="17" customHeight="1">
      <c r="A186" s="1" t="s">
        <v>790</v>
      </c>
      <c r="B186" s="17"/>
      <c r="C186" s="17"/>
      <c r="D186" s="1" t="s">
        <v>791</v>
      </c>
      <c r="E186" s="5" t="str">
        <f t="shared" si="17"/>
        <v>Haarlem</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5" t="str">
        <f t="shared" si="18"/>
        <v>2026</v>
      </c>
      <c r="H186" s="5" t="str">
        <f t="shared" si="19"/>
        <v>Haarlem_etal_2026</v>
      </c>
      <c r="I186" s="5" t="str">
        <f>_xlfn.LET(
_xlpm.doi,IF(C186&lt;&gt;"",C186,_xlfn.TEXTAFTER(A186,"https://doi.org/")),
SUBSTITUTE(
SUBSTITUTE(
SUBSTITUTE(
SUBSTITUTE(
_xlpm.doi,
"/","%2F"),
":","%3A"),
"&lt;","%3C"),
"&gt;","%3E")
)</f>
        <v>10.1038%2Fs41559-026-02994-7</v>
      </c>
      <c r="J186" s="5" t="str">
        <f t="shared" si="20"/>
        <v>Haarlem_etal_2026_CFFdataset</v>
      </c>
      <c r="K186" s="5" t="str">
        <f t="shared" si="25"/>
        <v>10.1038%2Fs41559-026-02994-7_CFFdataset</v>
      </c>
      <c r="L186" s="5" t="str">
        <f t="array" ref="L186">IFERROR(INDEX(AUTO_Public_TSV_FileList!$A$1:$A$1000,MATCH(TRUE(),EXACT(K186,IFERROR(_xlfn.TEXTBEFORE(AUTO_Public_TSV_FileList!$A$1:$A$1000,".tsv"),"")),0)),"notfound")</f>
        <v>10.1038%2Fs41559-026-02994-7_CFFdataset.tsv</v>
      </c>
      <c r="M186" s="7"/>
      <c r="N186" s="7"/>
      <c r="O186" s="1" t="s">
        <v>791</v>
      </c>
      <c r="P186" s="7" t="s">
        <v>36</v>
      </c>
      <c r="Q186" s="7"/>
      <c r="R186" s="1" t="s">
        <v>788</v>
      </c>
      <c r="S186" s="7"/>
      <c r="T186" s="7"/>
      <c r="U186" s="7"/>
      <c r="V186" s="7"/>
      <c r="W186" s="1"/>
      <c r="X186" s="7"/>
      <c r="Y186" s="7"/>
      <c r="Z186" s="7"/>
      <c r="AA186" s="7"/>
      <c r="AB186" s="1"/>
      <c r="AC186" s="7"/>
      <c r="AD186" s="7"/>
      <c r="AE186" s="1"/>
      <c r="AF186" s="1"/>
      <c r="AG186" s="7"/>
    </row>
    <row r="187" ht="17" customHeight="1">
      <c r="A187" s="6" t="s">
        <v>792</v>
      </c>
      <c r="B187" s="2"/>
      <c r="C187" s="2"/>
      <c r="D187" s="6" t="s">
        <v>108</v>
      </c>
      <c r="E187" s="3" t="str">
        <f t="shared" si="17"/>
        <v>Hakeem</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5" t="str">
        <f t="shared" si="18"/>
        <v>2005</v>
      </c>
      <c r="H187" s="3" t="str">
        <f t="shared" si="19"/>
        <v>Hakeem_etal_2005</v>
      </c>
      <c r="I187" s="3" t="str">
        <f>_xlfn.LET(_xlpm.doi,IF(C187&lt;&gt;"",C187,_xlfn.TEXTAFTER(A187,"https://doi.org/")),SUBSTITUTE(SUBSTITUTE(SUBSTITUTE(SUBSTITUTE(_xlpm.doi,"/","%2F"),":","%3A"),"&lt;","%3C"),"&gt;","%3E"))</f>
        <v>10.1002%2Far.a.20255</v>
      </c>
      <c r="J187" s="3" t="str">
        <f t="shared" si="20"/>
        <v>Hakeem_etal_2005_Table2</v>
      </c>
      <c r="K187" s="3" t="str">
        <f t="shared" si="25"/>
        <v>10.1002%2Far.a.20255_Table2</v>
      </c>
      <c r="L187" s="5" t="str">
        <f t="array" ref="L187">IFERROR(INDEX(AUTO_Public_TSV_FileList!$A$1:$A$1000,MATCH(TRUE(),EXACT(K187,IFERROR(_xlfn.TEXTBEFORE(AUTO_Public_TSV_FileList!$A$1:$A$1000,".tsv"),"")),0)),"notfound")</f>
        <v>10.1002%2Far.a.20255_Table2.tsv</v>
      </c>
      <c r="M187" s="7"/>
      <c r="N187" s="1" t="s">
        <v>35</v>
      </c>
      <c r="O187" s="7"/>
      <c r="P187" s="6" t="s">
        <v>36</v>
      </c>
      <c r="Q187" s="6"/>
      <c r="R187" s="6" t="s">
        <v>793</v>
      </c>
      <c r="S187" s="6" t="s">
        <v>722</v>
      </c>
      <c r="T187" s="6" t="s">
        <v>723</v>
      </c>
      <c r="U187" s="6"/>
      <c r="V187" s="6" t="s">
        <v>724</v>
      </c>
      <c r="W187" s="6" t="s">
        <v>794</v>
      </c>
      <c r="X187" s="6" t="s">
        <v>795</v>
      </c>
      <c r="Y187" s="6"/>
      <c r="Z187" s="6"/>
      <c r="AA187" s="6" t="s">
        <v>796</v>
      </c>
      <c r="AB187" s="6" t="s">
        <v>797</v>
      </c>
      <c r="AC187" s="7"/>
      <c r="AD187" s="6"/>
      <c r="AE187" s="6" t="s">
        <v>66</v>
      </c>
      <c r="AF187" s="6"/>
      <c r="AG187" s="6" t="s">
        <v>798</v>
      </c>
    </row>
    <row r="188" ht="17" customHeight="1">
      <c r="A188" s="6" t="s">
        <v>799</v>
      </c>
      <c r="B188" s="2"/>
      <c r="C188" s="2"/>
      <c r="D188" s="6" t="s">
        <v>68</v>
      </c>
      <c r="E188" s="3" t="str">
        <f t="shared" si="17"/>
        <v>Hakeem</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5" t="str">
        <f t="shared" si="18"/>
        <v>2009</v>
      </c>
      <c r="H188" s="3" t="str">
        <f t="shared" si="19"/>
        <v>Hakeem_etal_2009</v>
      </c>
      <c r="I188" s="3" t="str">
        <f>_xlfn.LET(_xlpm.doi,IF(C188&lt;&gt;"",C188,_xlfn.TEXTAFTER(A188,"https://doi.org/")),SUBSTITUTE(SUBSTITUTE(SUBSTITUTE(SUBSTITUTE(_xlpm.doi,"/","%2F"),":","%3A"),"&lt;","%3C"),"&gt;","%3E"))</f>
        <v>10.1002%2Far.20829</v>
      </c>
      <c r="J188" s="3" t="str">
        <f t="shared" si="20"/>
        <v>Hakeem_etal_2009_Table1</v>
      </c>
      <c r="K188" s="3" t="str">
        <f t="shared" si="25"/>
        <v>10.1002%2Far.20829_Table1</v>
      </c>
      <c r="L188" s="5" t="str">
        <f t="array" ref="L188">IFERROR(INDEX(AUTO_Public_TSV_FileList!$A$1:$A$1000,MATCH(TRUE(),EXACT(K188,IFERROR(_xlfn.TEXTBEFORE(AUTO_Public_TSV_FileList!$A$1:$A$1000,".tsv"),"")),0)),"notfound")</f>
        <v>10.1002%2Far.20829_Table1.tsv</v>
      </c>
      <c r="M188" s="7"/>
      <c r="N188" s="1"/>
      <c r="O188" s="7"/>
      <c r="P188" s="6" t="s">
        <v>36</v>
      </c>
      <c r="Q188" s="6"/>
      <c r="R188" s="6"/>
      <c r="S188" s="6"/>
      <c r="T188" s="6"/>
      <c r="U188" s="6"/>
      <c r="V188" s="6"/>
      <c r="W188" s="6"/>
      <c r="X188" s="6"/>
      <c r="Y188" s="6"/>
      <c r="Z188" s="6"/>
      <c r="AA188" s="6"/>
      <c r="AB188" s="6"/>
      <c r="AC188" s="7"/>
      <c r="AD188" s="6"/>
      <c r="AE188" s="6"/>
      <c r="AF188" s="6"/>
      <c r="AG188" s="6"/>
    </row>
    <row r="189" ht="17" customHeight="1">
      <c r="A189" s="7" t="s">
        <v>800</v>
      </c>
      <c r="D189" s="7" t="s">
        <v>801</v>
      </c>
      <c r="E189" s="3" t="str">
        <f t="shared" si="17"/>
        <v>Halley</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5" t="str">
        <f t="shared" si="18"/>
        <v>2019</v>
      </c>
      <c r="H189" s="3" t="str">
        <f t="shared" si="19"/>
        <v>Halley_Krubitzer_2019</v>
      </c>
      <c r="I189" s="3" t="str">
        <f>_xlfn.LET(_xlpm.doi,IF(C189&lt;&gt;"",C189,_xlfn.TEXTAFTER(A189,"https://doi.org/")),SUBSTITUTE(SUBSTITUTE(SUBSTITUTE(SUBSTITUTE(_xlpm.doi,"/","%2F"),":","%3A"),"&lt;","%3C"),"&gt;","%3E"))</f>
        <v>10.1016%2Fj.conb.2018.12.003</v>
      </c>
      <c r="J189" s="3" t="str">
        <f t="shared" si="20"/>
        <v>Halley_Krubitzer_2019_Figure1</v>
      </c>
      <c r="K189" s="3" t="str">
        <f t="shared" si="25"/>
        <v>10.1016%2Fj.conb.2018.12.003_Figure1</v>
      </c>
      <c r="L189" s="5" t="str">
        <f t="array" ref="L189">IFERROR(INDEX(AUTO_Public_TSV_FileList!$A$1:$A$1000,MATCH(TRUE(),EXACT(K189,IFERROR(_xlfn.TEXTBEFORE(AUTO_Public_TSV_FileList!$A$1:$A$1000,".tsv"),"")),0)),"notfound")</f>
        <v>notfound</v>
      </c>
      <c r="M189" s="7" t="s">
        <v>802</v>
      </c>
      <c r="N189" s="7" t="s">
        <v>395</v>
      </c>
      <c r="O189" s="7" t="s">
        <v>803</v>
      </c>
      <c r="P189" s="7" t="s">
        <v>36</v>
      </c>
      <c r="Q189" s="7"/>
      <c r="R189" s="7" t="s">
        <v>804</v>
      </c>
      <c r="S189" s="7"/>
      <c r="T189" s="7" t="s">
        <v>805</v>
      </c>
      <c r="U189" s="7"/>
      <c r="V189" s="7" t="s">
        <v>806</v>
      </c>
      <c r="W189" s="7" t="s">
        <v>174</v>
      </c>
      <c r="X189" s="7" t="s">
        <v>807</v>
      </c>
      <c r="Y189" s="7" t="s">
        <v>808</v>
      </c>
      <c r="Z189" s="7"/>
      <c r="AA189" s="7"/>
      <c r="AB189" s="7" t="s">
        <v>809</v>
      </c>
      <c r="AC189" s="7" t="s">
        <v>810</v>
      </c>
      <c r="AD189" s="7"/>
      <c r="AE189" s="7" t="s">
        <v>215</v>
      </c>
      <c r="AF189" s="7"/>
      <c r="AG189" s="7" t="s">
        <v>811</v>
      </c>
    </row>
    <row r="190" ht="17" customHeight="1">
      <c r="A190" s="7" t="s">
        <v>812</v>
      </c>
      <c r="D190" s="7" t="s">
        <v>108</v>
      </c>
      <c r="E190" s="3" t="str">
        <f t="shared" si="17"/>
        <v>Hanson</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3" t="str">
        <f t="shared" si="18"/>
        <v>2018</v>
      </c>
      <c r="H190" s="3" t="str">
        <f t="shared" si="19"/>
        <v>Hanson_etal_2018</v>
      </c>
      <c r="I190" s="3" t="str">
        <f>_xlfn.LET(
_xlpm.doi,IF(C190&lt;&gt;"",C190,_xlfn.TEXTAFTER(A190,"https://doi.org/")),
SUBSTITUTE(
SUBSTITUTE(
SUBSTITUTE(
SUBSTITUTE(
_xlpm.doi,
"/","%2F"),
":","%3A"),
"&lt;","%3C"),
"&gt;","%3E")
)</f>
        <v>10.1002%2Fdneu.22554</v>
      </c>
      <c r="J190" s="3" t="str">
        <f t="shared" si="20"/>
        <v>Hanson_etal_2018_Table2</v>
      </c>
      <c r="K190" s="3" t="str">
        <f>I190 &amp; "_" &amp; SUBSTITUTE(SUBSTITUTE(SUBSTITUTE(D190,CHAR(160),""), " ", ""), "_", "")</f>
        <v>10.1002%2Fdneu.22554_Table2</v>
      </c>
      <c r="L190" s="5" t="str">
        <f t="array" ref="L190">IFERROR(INDEX(AUTO_Public_TSV_FileList!$A$1:$A$1000,MATCH(TRUE(),EXACT(K190,IFERROR(_xlfn.TEXTBEFORE(AUTO_Public_TSV_FileList!$A$1:$A$1000,".tsv"),"")),0)),"notfound")</f>
        <v>10.1002%2Fdneu.22554_Table2.tsv</v>
      </c>
      <c r="M190" s="7" t="s">
        <v>813</v>
      </c>
      <c r="N190" s="7" t="s">
        <v>814</v>
      </c>
      <c r="O190" s="7"/>
      <c r="P190" s="7" t="s">
        <v>36</v>
      </c>
      <c r="Q190" s="7" t="s">
        <v>815</v>
      </c>
      <c r="R190" s="7"/>
      <c r="S190" s="7"/>
      <c r="T190" s="7"/>
      <c r="U190" s="7"/>
      <c r="V190" s="7"/>
      <c r="W190" s="7" t="s">
        <v>816</v>
      </c>
      <c r="X190" s="7"/>
      <c r="Y190" s="7"/>
      <c r="Z190" s="7" t="s">
        <v>817</v>
      </c>
      <c r="AA190" s="7" t="s">
        <v>272</v>
      </c>
      <c r="AB190" s="7" t="s">
        <v>115</v>
      </c>
      <c r="AC190" s="7" t="s">
        <v>818</v>
      </c>
      <c r="AD190" s="7"/>
      <c r="AE190" s="7" t="s">
        <v>66</v>
      </c>
      <c r="AF190" s="7"/>
      <c r="AG190" s="7"/>
    </row>
    <row r="191" ht="17" customHeight="1">
      <c r="A191" s="7" t="s">
        <v>812</v>
      </c>
      <c r="B191" s="17"/>
      <c r="D191" s="7" t="s">
        <v>110</v>
      </c>
      <c r="E191" s="3" t="str">
        <f t="shared" si="17"/>
        <v>Hanson</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3" t="str">
        <f t="shared" si="18"/>
        <v>2018</v>
      </c>
      <c r="H191" s="3" t="str">
        <f t="shared" si="19"/>
        <v>Hanson_etal_2018</v>
      </c>
      <c r="I191" s="3" t="str">
        <f>_xlfn.LET(
_xlpm.doi,IF(C191&lt;&gt;"",C191,_xlfn.TEXTAFTER(A191,"https://doi.org/")),
SUBSTITUTE(
SUBSTITUTE(
SUBSTITUTE(
SUBSTITUTE(
_xlpm.doi,
"/","%2F"),
":","%3A"),
"&lt;","%3C"),
"&gt;","%3E")
)</f>
        <v>10.1002%2Fdneu.22554</v>
      </c>
      <c r="J191" s="3" t="str">
        <f t="shared" si="20"/>
        <v>Hanson_etal_2018_Table3</v>
      </c>
      <c r="K191" s="3" t="str">
        <f>I191 &amp; "_" &amp; SUBSTITUTE(SUBSTITUTE(SUBSTITUTE(D191,CHAR(160),""), " ", ""), "_", "")</f>
        <v>10.1002%2Fdneu.22554_Table3</v>
      </c>
      <c r="L191" s="5" t="str">
        <f t="array" ref="L191">IFERROR(INDEX(AUTO_Public_TSV_FileList!$A$1:$A$1000,MATCH(TRUE(),EXACT(K191,IFERROR(_xlfn.TEXTBEFORE(AUTO_Public_TSV_FileList!$A$1:$A$1000,".tsv"),"")),0)),"notfound")</f>
        <v>10.1002%2Fdneu.22554_Table3.tsv</v>
      </c>
      <c r="M191" s="7" t="s">
        <v>819</v>
      </c>
      <c r="N191" s="7" t="s">
        <v>814</v>
      </c>
      <c r="O191" s="7"/>
      <c r="P191" s="7" t="s">
        <v>36</v>
      </c>
      <c r="Q191" s="7" t="s">
        <v>820</v>
      </c>
      <c r="R191" s="7"/>
      <c r="S191" s="7"/>
      <c r="T191" s="7"/>
      <c r="U191" s="7"/>
      <c r="V191" s="7"/>
      <c r="W191" s="7" t="s">
        <v>816</v>
      </c>
      <c r="X191" s="7"/>
      <c r="Y191" s="7"/>
      <c r="Z191" s="7" t="s">
        <v>821</v>
      </c>
      <c r="AA191" s="7" t="s">
        <v>272</v>
      </c>
      <c r="AB191" s="7" t="s">
        <v>115</v>
      </c>
      <c r="AC191" s="7" t="s">
        <v>818</v>
      </c>
      <c r="AD191" s="7"/>
      <c r="AE191" s="7" t="s">
        <v>66</v>
      </c>
      <c r="AF191" s="7"/>
      <c r="AG191" s="7"/>
    </row>
    <row r="192" ht="17" customHeight="1">
      <c r="A192" s="7" t="s">
        <v>822</v>
      </c>
      <c r="D192" s="7" t="s">
        <v>68</v>
      </c>
      <c r="E192" s="3" t="str">
        <f t="shared" si="17"/>
        <v>Heesy</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2" s="5" t="str">
        <f t="shared" si="18"/>
        <v>2004</v>
      </c>
      <c r="H192" s="3" t="str">
        <f t="shared" si="19"/>
        <v>Heesy__2004</v>
      </c>
      <c r="I192" s="3" t="str">
        <f>_xlfn.LET(_xlpm.doi,IF(C192&lt;&gt;"",C192,_xlfn.TEXTAFTER(A192,"https://doi.org/")),SUBSTITUTE(SUBSTITUTE(SUBSTITUTE(SUBSTITUTE(_xlpm.doi,"/","%2F"),":","%3A"),"&lt;","%3C"),"&gt;","%3E"))</f>
        <v>10.1002%2Far.a.20116</v>
      </c>
      <c r="J192" s="3" t="str">
        <f t="shared" si="20"/>
        <v>Heesy__2004_Table1</v>
      </c>
      <c r="K192" s="3" t="str">
        <f>I192 &amp; "_" &amp; SUBSTITUTE(SUBSTITUTE(SUBSTITUTE(D192,CHAR(160),"")," ",""),"_","")</f>
        <v>10.1002%2Far.a.20116_Table1</v>
      </c>
      <c r="L192" s="5" t="str">
        <f t="array" ref="L192">IFERROR(INDEX(AUTO_Public_TSV_FileList!$A$1:$A$1000,MATCH(TRUE(),EXACT(K192,IFERROR(_xlfn.TEXTBEFORE(AUTO_Public_TSV_FileList!$A$1:$A$1000,".tsv"),"")),0)),"notfound")</f>
        <v>10.1002%2Far.a.20116_Table1.tsv</v>
      </c>
      <c r="M192" s="7" t="s">
        <v>823</v>
      </c>
      <c r="N192" s="1" t="s">
        <v>35</v>
      </c>
      <c r="O192" s="7" t="s">
        <v>824</v>
      </c>
      <c r="P192" s="7" t="s">
        <v>36</v>
      </c>
      <c r="Q192" s="7"/>
      <c r="R192" s="7" t="s">
        <v>825</v>
      </c>
      <c r="S192" s="7"/>
      <c r="T192" s="7"/>
      <c r="U192" s="7"/>
      <c r="V192" s="7" t="s">
        <v>613</v>
      </c>
      <c r="W192" s="6" t="s">
        <v>174</v>
      </c>
      <c r="X192" s="7" t="s">
        <v>826</v>
      </c>
      <c r="Y192" s="7"/>
      <c r="Z192" s="7"/>
      <c r="AA192" s="7" t="s">
        <v>827</v>
      </c>
      <c r="AB192" s="7" t="s">
        <v>828</v>
      </c>
      <c r="AC192" s="7"/>
      <c r="AD192" s="7"/>
      <c r="AE192" s="7" t="s">
        <v>51</v>
      </c>
      <c r="AF192" s="7"/>
      <c r="AG192" s="7"/>
    </row>
    <row r="193" ht="17" customHeight="1">
      <c r="A193" s="6" t="s">
        <v>829</v>
      </c>
      <c r="D193" s="6" t="s">
        <v>68</v>
      </c>
      <c r="E193" s="5" t="str">
        <f t="shared" si="17"/>
        <v>Heffner</v>
      </c>
      <c r="F193" s="1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3" s="5" t="str">
        <f t="shared" si="18"/>
        <v>1998</v>
      </c>
      <c r="H193" s="5" t="str">
        <f t="shared" si="19"/>
        <v>Heffner__1998</v>
      </c>
      <c r="I193" s="5" t="str">
        <f>_xlfn.LET(
_xlpm.doi,IF(C193&lt;&gt;"",C193,_xlfn.TEXTAFTER(A193,"https://doi.org/")),
SUBSTITUTE(
SUBSTITUTE(
SUBSTITUTE(
SUBSTITUTE(
_xlpm.doi,
"/","%2F"),
":","%3A"),
"&lt;","%3C"),
"&gt;","%3E")
)</f>
        <v>10.1016%2FS0168-1591(98)00101-4</v>
      </c>
      <c r="J193" s="5" t="str">
        <f t="shared" si="20"/>
        <v>Heffner__1998_Table1</v>
      </c>
      <c r="K193" s="5" t="str">
        <f>I193 &amp; "_" &amp; SUBSTITUTE(SUBSTITUTE(SUBSTITUTE(D193,CHAR(160),""), " ", ""), "_", "")</f>
        <v>10.1016%2FS0168-1591(98)00101-4_Table1</v>
      </c>
      <c r="L193" s="5" t="str">
        <f t="array" ref="L193">IFERROR(INDEX(AUTO_Public_TSV_FileList!$A$1:$A$1000,MATCH(TRUE(),EXACT(K193,IFERROR(_xlfn.TEXTBEFORE(AUTO_Public_TSV_FileList!$A$1:$A$1000,".tsv"),"")),0)),"notfound")</f>
        <v>10.1016%2FS0168-1591(98)00101-4_Table1.tsv</v>
      </c>
      <c r="M193" s="7" t="s">
        <v>830</v>
      </c>
      <c r="N193" s="6" t="s">
        <v>35</v>
      </c>
      <c r="O193" s="7" t="s">
        <v>831</v>
      </c>
      <c r="P193" s="6" t="s">
        <v>36</v>
      </c>
      <c r="Q193" s="9"/>
      <c r="R193" s="6" t="s">
        <v>832</v>
      </c>
      <c r="S193" s="9"/>
      <c r="T193" s="9"/>
      <c r="U193" s="9"/>
      <c r="V193" s="6" t="s">
        <v>833</v>
      </c>
      <c r="W193" s="6" t="s">
        <v>834</v>
      </c>
      <c r="X193" s="6" t="s">
        <v>835</v>
      </c>
      <c r="Y193" s="9"/>
      <c r="Z193" s="6" t="s">
        <v>836</v>
      </c>
      <c r="AA193" s="6" t="s">
        <v>837</v>
      </c>
      <c r="AB193" s="6" t="s">
        <v>838</v>
      </c>
      <c r="AC193" s="6" t="s">
        <v>839</v>
      </c>
      <c r="AD193" s="6" t="s">
        <v>840</v>
      </c>
      <c r="AE193" s="6" t="s">
        <v>215</v>
      </c>
      <c r="AF193" s="6" t="s">
        <v>840</v>
      </c>
      <c r="AG193" s="9"/>
    </row>
    <row r="194" ht="17" customHeight="1">
      <c r="A194" s="7" t="s">
        <v>841</v>
      </c>
      <c r="B194" s="13"/>
      <c r="C194" s="13"/>
      <c r="D194" s="7" t="s">
        <v>68</v>
      </c>
      <c r="E194" s="3" t="str">
        <f t="shared" ref="E194:E257" si="27">SUBSTITUTE(SUBSTITUTE(_xlfn.TEXTBEFORE(A194,","), "-", ""), " ", "")</f>
        <v>Heffner</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4" s="5" t="str">
        <f t="shared" ref="G194:G257" si="28">_xlfn.TEXTBEFORE(_xlfn.TEXTAFTER(A194, "("), ")")</f>
        <v>1998</v>
      </c>
      <c r="H194" s="3" t="str">
        <f t="shared" ref="H194:H257" si="29">E194 &amp; IF(F194&lt;&gt;"", "_" &amp; F194, "_") &amp; IF(G194&lt;&gt;"", "_" &amp; G194, "_") &amp; IF(B194&lt;&gt;"", "_" &amp; B194, "")</f>
        <v>Heffner__1998</v>
      </c>
      <c r="I194" s="3" t="str">
        <f t="shared" ref="I194:I201" si="30">_xlfn.LET(_xlpm.doi,IF(C194&lt;&gt;"",C194,_xlfn.TEXTAFTER(A194,"https://doi.org/")),SUBSTITUTE(SUBSTITUTE(SUBSTITUTE(SUBSTITUTE(_xlpm.doi,"/","%2F"),":","%3A"),"&lt;","%3C"),"&gt;","%3E"))</f>
        <v>10.1016%2FS0168-1591(98)00101-4</v>
      </c>
      <c r="J194" s="3" t="str">
        <f t="shared" ref="J194:J257" si="31">TRIM(_xlfn.TEXTJOIN("_",FALSE(),H194,(SUBSTITUTE(SUBSTITUTE(D194," ",""), "_", ""))))</f>
        <v>Heffner__1998_Table1</v>
      </c>
      <c r="K194" s="5" t="str">
        <f t="shared" ref="K194:K201" si="32">I194 &amp; "_" &amp; SUBSTITUTE(SUBSTITUTE(SUBSTITUTE(D194,CHAR(160),"")," ",""),"_","")</f>
        <v>10.1016%2FS0168-1591(98)00101-4_Table1</v>
      </c>
      <c r="L194" s="5" t="str">
        <f t="array" ref="L194">IFERROR(INDEX(AUTO_Public_TSV_FileList!$A$1:$A$1000,MATCH(TRUE(),EXACT(K194,IFERROR(_xlfn.TEXTBEFORE(AUTO_Public_TSV_FileList!$A$1:$A$1000,".tsv"),"")),0)),"notfound")</f>
        <v>10.1016%2FS0168-1591(98)00101-4_Table1.tsv</v>
      </c>
      <c r="M194" s="7" t="s">
        <v>830</v>
      </c>
      <c r="N194" s="7" t="s">
        <v>70</v>
      </c>
      <c r="O194" s="7" t="s">
        <v>842</v>
      </c>
      <c r="P194" s="7"/>
      <c r="Q194" s="7"/>
      <c r="R194" s="7" t="s">
        <v>832</v>
      </c>
      <c r="S194" s="7"/>
      <c r="T194" s="7" t="s">
        <v>843</v>
      </c>
      <c r="U194" s="7"/>
      <c r="V194" s="7" t="s">
        <v>309</v>
      </c>
      <c r="W194" s="7" t="s">
        <v>844</v>
      </c>
      <c r="X194" s="7" t="s">
        <v>845</v>
      </c>
      <c r="Y194" s="7"/>
      <c r="Z194" s="7"/>
      <c r="AA194" s="7" t="s">
        <v>846</v>
      </c>
      <c r="AB194" s="7" t="s">
        <v>847</v>
      </c>
      <c r="AC194" s="7" t="s">
        <v>839</v>
      </c>
      <c r="AD194" s="7"/>
      <c r="AE194" s="7" t="s">
        <v>215</v>
      </c>
      <c r="AF194" s="7" t="s">
        <v>848</v>
      </c>
      <c r="AG194" s="7" t="s">
        <v>849</v>
      </c>
    </row>
    <row r="195" ht="17" customHeight="1">
      <c r="A195" s="27" t="s">
        <v>850</v>
      </c>
      <c r="B195" s="29"/>
      <c r="C195" s="29" t="s">
        <v>851</v>
      </c>
      <c r="D195" s="27" t="s">
        <v>852</v>
      </c>
      <c r="E195" s="25" t="str">
        <f t="shared" si="27"/>
        <v>Heffner</v>
      </c>
      <c r="F195" s="2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26" t="str">
        <f t="shared" si="28"/>
        <v>2003</v>
      </c>
      <c r="H195" s="25" t="str">
        <f t="shared" si="29"/>
        <v>Heffner_Heffner_2003</v>
      </c>
      <c r="I195" s="25" t="str">
        <f t="shared" si="30"/>
        <v>ISBN%3A9780631226499</v>
      </c>
      <c r="J195" s="25" t="str">
        <f t="shared" si="31"/>
        <v>Heffner_Heffner_2003_Table19.1</v>
      </c>
      <c r="K195" s="26" t="str">
        <f t="shared" si="32"/>
        <v>ISBN%3A9780631226499_Table19.1</v>
      </c>
      <c r="L195" s="26" t="str">
        <f t="array" ref="L195">IFERROR(INDEX(AUTO_Public_TSV_FileList!$A$1:$A$1000,MATCH(TRUE(),EXACT(K195,IFERROR(_xlfn.TEXTBEFORE(AUTO_Public_TSV_FileList!$A$1:$A$1000,".tsv"),"")),0)),"notfound")</f>
        <v>ISBN%3A9780631226499_Table19.1.tsv</v>
      </c>
      <c r="M195" s="27" t="s">
        <v>853</v>
      </c>
      <c r="N195" s="27" t="s">
        <v>854</v>
      </c>
      <c r="O195" s="27" t="s">
        <v>855</v>
      </c>
      <c r="P195" s="27" t="s">
        <v>856</v>
      </c>
      <c r="Q195" s="27" t="s">
        <v>857</v>
      </c>
      <c r="R195" s="27" t="s">
        <v>858</v>
      </c>
      <c r="S195" s="27" t="s">
        <v>859</v>
      </c>
      <c r="T195" s="27" t="s">
        <v>860</v>
      </c>
      <c r="U195" s="27" t="s">
        <v>861</v>
      </c>
      <c r="V195" s="27" t="s">
        <v>862</v>
      </c>
      <c r="W195" s="27" t="s">
        <v>863</v>
      </c>
      <c r="X195" s="27" t="s">
        <v>864</v>
      </c>
      <c r="Y195" s="27" t="s">
        <v>865</v>
      </c>
      <c r="Z195" s="27" t="s">
        <v>866</v>
      </c>
      <c r="AA195" s="27" t="s">
        <v>867</v>
      </c>
      <c r="AB195" s="27" t="s">
        <v>868</v>
      </c>
      <c r="AC195" s="27" t="s">
        <v>839</v>
      </c>
      <c r="AD195" s="27" t="s">
        <v>869</v>
      </c>
      <c r="AE195" s="27" t="s">
        <v>215</v>
      </c>
      <c r="AF195" s="27" t="s">
        <v>870</v>
      </c>
      <c r="AG195" s="27" t="s">
        <v>871</v>
      </c>
      <c r="AH195" s="29"/>
    </row>
    <row r="196" ht="17" customHeight="1">
      <c r="A196" s="9" t="s">
        <v>872</v>
      </c>
      <c r="C196" s="17"/>
      <c r="D196" s="9" t="s">
        <v>761</v>
      </c>
      <c r="E196" s="3" t="str">
        <f t="shared" si="27"/>
        <v>Heffner</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5" t="str">
        <f t="shared" si="28"/>
        <v>2008</v>
      </c>
      <c r="H196" s="3" t="str">
        <f t="shared" si="29"/>
        <v>Heffner_Heffner_2008</v>
      </c>
      <c r="I196" s="3" t="str">
        <f t="shared" si="30"/>
        <v>10.1016%2FB978-012370880-9.00004-9</v>
      </c>
      <c r="J196" s="3" t="str">
        <f t="shared" si="31"/>
        <v>Heffner_Heffner_2008_Resultstext</v>
      </c>
      <c r="K196" s="5" t="str">
        <f t="shared" si="32"/>
        <v>10.1016%2FB978-012370880-9.00004-9_Resultstext</v>
      </c>
      <c r="L196" s="5" t="str">
        <f t="array" ref="L196">IFERROR(INDEX(AUTO_Public_TSV_FileList!$A$1:$A$1000,MATCH(TRUE(),EXACT(K196,IFERROR(_xlfn.TEXTBEFORE(AUTO_Public_TSV_FileList!$A$1:$A$1000,".tsv"),"")),0)),"notfound")</f>
        <v>notfound</v>
      </c>
      <c r="M196" s="9" t="s">
        <v>873</v>
      </c>
      <c r="N196" s="9" t="s">
        <v>874</v>
      </c>
      <c r="O196" s="9" t="s">
        <v>875</v>
      </c>
      <c r="P196" s="9" t="s">
        <v>36</v>
      </c>
      <c r="Q196" s="9"/>
      <c r="R196" s="9"/>
      <c r="S196" s="9"/>
      <c r="T196" s="9"/>
      <c r="U196" s="9"/>
      <c r="V196" s="9"/>
      <c r="W196" s="9"/>
      <c r="X196" s="9"/>
      <c r="Y196" s="9"/>
      <c r="Z196" s="9"/>
      <c r="AA196" s="9"/>
      <c r="AB196" s="9"/>
      <c r="AC196" s="9"/>
      <c r="AD196" s="9"/>
      <c r="AE196" s="9"/>
      <c r="AF196" s="9"/>
      <c r="AG196" s="9"/>
    </row>
    <row r="197" ht="17" customHeight="1">
      <c r="A197" s="7" t="s">
        <v>876</v>
      </c>
      <c r="B197" s="13"/>
      <c r="C197" s="13"/>
      <c r="D197" s="7" t="s">
        <v>421</v>
      </c>
      <c r="E197" s="3" t="str">
        <f t="shared" si="27"/>
        <v>Heffner</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5" t="str">
        <f t="shared" si="28"/>
        <v>2018</v>
      </c>
      <c r="H197" s="3" t="str">
        <f t="shared" si="29"/>
        <v>Heffner_Heffner_2018</v>
      </c>
      <c r="I197" s="3" t="str">
        <f t="shared" si="30"/>
        <v>10.1063%2F1.5038516</v>
      </c>
      <c r="J197" s="3" t="str">
        <f t="shared" si="31"/>
        <v>Heffner_Heffner_2018_Figure3</v>
      </c>
      <c r="K197" s="5" t="str">
        <f t="shared" si="32"/>
        <v>10.1063%2F1.5038516_Figure3</v>
      </c>
      <c r="L197" s="5" t="str">
        <f t="array" ref="L197">IFERROR(INDEX(AUTO_Public_TSV_FileList!$A$1:$A$1000,MATCH(TRUE(),EXACT(K197,IFERROR(_xlfn.TEXTBEFORE(AUTO_Public_TSV_FileList!$A$1:$A$1000,".tsv"),"")),0)),"notfound")</f>
        <v>notfound</v>
      </c>
      <c r="M197" s="7" t="s">
        <v>877</v>
      </c>
      <c r="N197" s="7" t="s">
        <v>395</v>
      </c>
      <c r="O197" s="7" t="s">
        <v>878</v>
      </c>
      <c r="P197" s="7"/>
      <c r="Q197" s="7"/>
      <c r="R197" s="7" t="s">
        <v>879</v>
      </c>
      <c r="S197" s="7"/>
      <c r="T197" s="7" t="s">
        <v>880</v>
      </c>
      <c r="U197" s="7"/>
      <c r="V197" s="7" t="s">
        <v>881</v>
      </c>
      <c r="W197" s="7" t="s">
        <v>882</v>
      </c>
      <c r="X197" s="7" t="s">
        <v>883</v>
      </c>
      <c r="Y197" s="7"/>
      <c r="Z197" s="7"/>
      <c r="AA197" s="7" t="s">
        <v>884</v>
      </c>
      <c r="AB197" s="7" t="s">
        <v>885</v>
      </c>
      <c r="AC197" s="7" t="s">
        <v>839</v>
      </c>
      <c r="AD197" s="7"/>
      <c r="AE197" s="7" t="s">
        <v>215</v>
      </c>
      <c r="AF197" s="7" t="s">
        <v>886</v>
      </c>
      <c r="AG197" s="7" t="s">
        <v>887</v>
      </c>
    </row>
    <row r="198" ht="17" customHeight="1">
      <c r="A198" s="9" t="s">
        <v>888</v>
      </c>
      <c r="B198" t="s">
        <v>360</v>
      </c>
      <c r="D198" s="9" t="s">
        <v>421</v>
      </c>
      <c r="E198" s="3" t="str">
        <f t="shared" si="27"/>
        <v>Heffner</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5" t="str">
        <f t="shared" si="28"/>
        <v>1994</v>
      </c>
      <c r="H198" s="3" t="str">
        <f t="shared" si="29"/>
        <v>Heffner_etal_1994_b</v>
      </c>
      <c r="I198" s="3" t="str">
        <f t="shared" si="30"/>
        <v>10.1016%2F0378-5955(94)90240-2</v>
      </c>
      <c r="J198" s="3" t="str">
        <f t="shared" si="31"/>
        <v>Heffner_etal_1994_b_Figure3</v>
      </c>
      <c r="K198" s="5" t="str">
        <f t="shared" si="32"/>
        <v>10.1016%2F0378-5955(94)90240-2_Figure3</v>
      </c>
      <c r="L198" s="5" t="str">
        <f t="array" ref="L198">IFERROR(INDEX(AUTO_Public_TSV_FileList!$A$1:$A$1000,MATCH(TRUE(),EXACT(K198,IFERROR(_xlfn.TEXTBEFORE(AUTO_Public_TSV_FileList!$A$1:$A$1000,".tsv"),"")),0)),"notfound")</f>
        <v>10.1016%2F0378-5955(94)90240-2_Figure3.tsv</v>
      </c>
      <c r="M198" s="9" t="s">
        <v>889</v>
      </c>
      <c r="N198" s="9" t="s">
        <v>395</v>
      </c>
      <c r="O198" s="9" t="s">
        <v>890</v>
      </c>
      <c r="P198" s="9" t="s">
        <v>36</v>
      </c>
      <c r="Q198" s="9"/>
      <c r="R198" s="15" t="s">
        <v>891</v>
      </c>
      <c r="S198" s="9"/>
      <c r="T198" s="9" t="s">
        <v>892</v>
      </c>
      <c r="U198" s="9"/>
      <c r="V198" s="9" t="s">
        <v>309</v>
      </c>
      <c r="W198" s="9" t="s">
        <v>893</v>
      </c>
      <c r="X198" s="9" t="s">
        <v>756</v>
      </c>
      <c r="Y198" s="9"/>
      <c r="Z198" s="9" t="s">
        <v>312</v>
      </c>
      <c r="AA198" s="9" t="s">
        <v>894</v>
      </c>
      <c r="AB198" s="9" t="s">
        <v>758</v>
      </c>
      <c r="AC198" s="9" t="s">
        <v>839</v>
      </c>
      <c r="AD198" s="9"/>
      <c r="AE198" s="9" t="s">
        <v>51</v>
      </c>
      <c r="AF198" s="9" t="s">
        <v>895</v>
      </c>
      <c r="AG198" s="9" t="s">
        <v>316</v>
      </c>
    </row>
    <row r="199" ht="17" customHeight="1">
      <c r="A199" s="9" t="s">
        <v>896</v>
      </c>
      <c r="D199" s="9" t="s">
        <v>68</v>
      </c>
      <c r="E199" s="3" t="str">
        <f t="shared" si="27"/>
        <v>Heffner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5" t="str">
        <f t="shared" si="28"/>
        <v>2016</v>
      </c>
      <c r="H199" s="3" t="str">
        <f t="shared" si="29"/>
        <v>Heffner_etal_2016</v>
      </c>
      <c r="I199" s="3" t="str">
        <f t="shared" si="30"/>
        <v>10.1007%2Fs00359-016-1125-9</v>
      </c>
      <c r="J199" s="3" t="str">
        <f t="shared" si="31"/>
        <v>Heffner_etal_2016_Table1</v>
      </c>
      <c r="K199" s="5" t="str">
        <f t="shared" si="32"/>
        <v>10.1007%2Fs00359-016-1125-9_Table1</v>
      </c>
      <c r="L199" s="5" t="str">
        <f t="array" ref="L199">IFERROR(INDEX(AUTO_Public_TSV_FileList!$A$1:$A$1000,MATCH(TRUE(),EXACT(K199,IFERROR(_xlfn.TEXTBEFORE(AUTO_Public_TSV_FileList!$A$1:$A$1000,".tsv"),"")),0)),"notfound")</f>
        <v>10.1007%2Fs00359-016-1125-9_Table1.tsv</v>
      </c>
      <c r="M199" s="9" t="s">
        <v>897</v>
      </c>
      <c r="N199" s="9" t="s">
        <v>35</v>
      </c>
      <c r="O199" s="9" t="s">
        <v>898</v>
      </c>
      <c r="P199" s="9" t="s">
        <v>36</v>
      </c>
      <c r="Q199" s="9"/>
      <c r="R199" s="9"/>
      <c r="S199" s="9"/>
      <c r="T199" s="9"/>
      <c r="U199" s="9"/>
      <c r="V199" s="9"/>
      <c r="W199" s="9"/>
      <c r="X199" s="9"/>
      <c r="Y199" s="9"/>
      <c r="Z199" s="9"/>
      <c r="AA199" s="9"/>
      <c r="AB199" s="9"/>
      <c r="AC199" s="9"/>
      <c r="AD199" s="9"/>
      <c r="AE199" s="9"/>
      <c r="AF199" s="9"/>
      <c r="AG199" s="9"/>
    </row>
    <row r="200" ht="17" customHeight="1">
      <c r="A200" s="9" t="s">
        <v>899</v>
      </c>
      <c r="B200" s="9"/>
      <c r="C200" s="9" t="s">
        <v>900</v>
      </c>
      <c r="D200" s="9" t="s">
        <v>453</v>
      </c>
      <c r="E200" s="3" t="str">
        <f t="shared" si="27"/>
        <v>Heffner</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5" t="str">
        <f t="shared" si="28"/>
        <v>1969</v>
      </c>
      <c r="H200" s="3" t="str">
        <f t="shared" si="29"/>
        <v>Heffner_etal_1969</v>
      </c>
      <c r="I200" s="3" t="str">
        <f t="shared" si="30"/>
        <v>AN%3A1970-12222-001</v>
      </c>
      <c r="J200" s="3" t="str">
        <f t="shared" si="31"/>
        <v>Heffner_etal_1969_ResultsText</v>
      </c>
      <c r="K200" s="5" t="str">
        <f t="shared" si="32"/>
        <v>AN%3A1970-12222-001_ResultsText</v>
      </c>
      <c r="L200" s="5" t="str">
        <f t="array" ref="L200">IFERROR(INDEX(AUTO_Public_TSV_FileList!$A$1:$A$1000,MATCH(TRUE(),EXACT(K200,IFERROR(_xlfn.TEXTBEFORE(AUTO_Public_TSV_FileList!$A$1:$A$1000,".tsv"),"")),0)),"notfound")</f>
        <v>AN%3A1970-12222-001_ResultsText.tsv</v>
      </c>
      <c r="M200" s="9" t="s">
        <v>901</v>
      </c>
      <c r="N200" s="9" t="s">
        <v>455</v>
      </c>
      <c r="O200" s="9" t="s">
        <v>902</v>
      </c>
      <c r="P200" s="9" t="s">
        <v>72</v>
      </c>
      <c r="Q200" s="9"/>
      <c r="R200" s="9"/>
      <c r="S200" s="9"/>
      <c r="T200" s="9"/>
      <c r="U200" s="9"/>
      <c r="V200" s="9"/>
      <c r="W200" s="9"/>
      <c r="X200" s="9"/>
      <c r="Y200" s="9"/>
      <c r="Z200" s="9"/>
      <c r="AA200" s="9"/>
      <c r="AB200" s="9"/>
      <c r="AC200" s="9"/>
      <c r="AD200" s="9"/>
      <c r="AE200" s="9"/>
      <c r="AF200" s="9"/>
      <c r="AG200" s="9"/>
    </row>
    <row r="201" ht="17" customHeight="1">
      <c r="A201" s="9" t="s">
        <v>903</v>
      </c>
      <c r="B201" s="9"/>
      <c r="C201" s="9"/>
      <c r="D201" s="9" t="s">
        <v>761</v>
      </c>
      <c r="E201" s="3" t="str">
        <f t="shared" si="27"/>
        <v>Heffner</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5" t="str">
        <f t="shared" si="28"/>
        <v>2010</v>
      </c>
      <c r="H201" s="3" t="str">
        <f t="shared" si="29"/>
        <v>Heffner_etal_2010</v>
      </c>
      <c r="I201" s="3" t="str">
        <f t="shared" si="30"/>
        <v>10.1121%2F1.3284546</v>
      </c>
      <c r="J201" s="3" t="str">
        <f t="shared" si="31"/>
        <v>Heffner_etal_2010_Resultstext</v>
      </c>
      <c r="K201" s="5" t="str">
        <f t="shared" si="32"/>
        <v>10.1121%2F1.3284546_Resultstext</v>
      </c>
      <c r="L201" s="5" t="str">
        <f t="array" ref="L201">IFERROR(INDEX(AUTO_Public_TSV_FileList!$A$1:$A$1000,MATCH(TRUE(),EXACT(K201,IFERROR(_xlfn.TEXTBEFORE(AUTO_Public_TSV_FileList!$A$1:$A$1000,".tsv"),"")),0)),"notfound")</f>
        <v>notfound</v>
      </c>
      <c r="M201" s="9" t="s">
        <v>904</v>
      </c>
      <c r="N201" s="9" t="s">
        <v>455</v>
      </c>
      <c r="O201" s="9" t="s">
        <v>905</v>
      </c>
      <c r="P201" s="9" t="s">
        <v>36</v>
      </c>
      <c r="Q201" s="9"/>
      <c r="R201" s="9"/>
      <c r="S201" s="9"/>
      <c r="T201" s="9"/>
      <c r="U201" s="9"/>
      <c r="V201" s="9"/>
      <c r="W201" s="9"/>
      <c r="X201" s="9"/>
      <c r="Y201" s="9"/>
      <c r="Z201" s="9"/>
      <c r="AA201" s="9"/>
      <c r="AB201" s="9"/>
      <c r="AC201" s="9"/>
      <c r="AD201" s="9"/>
      <c r="AE201" s="9"/>
      <c r="AF201" s="9"/>
      <c r="AG201" s="9"/>
    </row>
    <row r="202" ht="17" customHeight="1">
      <c r="A202" s="1" t="s">
        <v>906</v>
      </c>
      <c r="D202" s="1" t="s">
        <v>68</v>
      </c>
      <c r="E202" s="5" t="str">
        <f t="shared" si="27"/>
        <v>Heffner</v>
      </c>
      <c r="F202" s="1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2" s="5" t="str">
        <f t="shared" si="28"/>
        <v>2004</v>
      </c>
      <c r="H202" s="5" t="str">
        <f t="shared" si="29"/>
        <v>Heffner__2004</v>
      </c>
      <c r="I202" s="5" t="str">
        <f>_xlfn.LET(
_xlpm.doi,IF(C202&lt;&gt;"",C202,_xlfn.TEXTAFTER(A202,"https://doi.org/")),
SUBSTITUTE(
SUBSTITUTE(
SUBSTITUTE(
SUBSTITUTE(
_xlpm.doi,
"/","%2F"),
":","%3A"),
"&lt;","%3C"),
"&gt;","%3E")
)</f>
        <v>10.1002%2Far.a.20117</v>
      </c>
      <c r="J202" s="5" t="str">
        <f t="shared" si="31"/>
        <v>Heffner__2004_Table1</v>
      </c>
      <c r="K202" s="5" t="str">
        <f>I202 &amp; "_" &amp; SUBSTITUTE(SUBSTITUTE(SUBSTITUTE(D202,CHAR(160),""), " ", ""), "_", "")</f>
        <v>10.1002%2Far.a.20117_Table1</v>
      </c>
      <c r="L202" s="5" t="str">
        <f t="array" ref="L202">IFERROR(INDEX(AUTO_Public_TSV_FileList!$A$1:$A$1000,MATCH(TRUE(),EXACT(K202,IFERROR(_xlfn.TEXTBEFORE(AUTO_Public_TSV_FileList!$A$1:$A$1000,".tsv"),"")),0)),"notfound")</f>
        <v>10.1002%2Far.a.20117_Table1.tsv</v>
      </c>
      <c r="M202" s="7" t="s">
        <v>907</v>
      </c>
      <c r="N202" s="1" t="s">
        <v>35</v>
      </c>
      <c r="O202" s="7" t="s">
        <v>908</v>
      </c>
      <c r="P202" s="1" t="s">
        <v>36</v>
      </c>
      <c r="Q202" s="9"/>
      <c r="R202" s="7" t="s">
        <v>909</v>
      </c>
      <c r="S202" s="9"/>
      <c r="T202" s="9"/>
      <c r="U202" s="9"/>
      <c r="V202" s="7" t="s">
        <v>833</v>
      </c>
      <c r="W202" s="1" t="s">
        <v>910</v>
      </c>
      <c r="X202" s="1" t="s">
        <v>911</v>
      </c>
      <c r="Y202" s="9"/>
      <c r="Z202" s="7" t="s">
        <v>836</v>
      </c>
      <c r="AA202" s="7" t="s">
        <v>837</v>
      </c>
      <c r="AB202" s="1" t="s">
        <v>912</v>
      </c>
      <c r="AC202" s="1" t="s">
        <v>839</v>
      </c>
      <c r="AD202" s="7" t="s">
        <v>913</v>
      </c>
      <c r="AE202" s="1" t="s">
        <v>215</v>
      </c>
      <c r="AF202" s="1" t="s">
        <v>913</v>
      </c>
      <c r="AG202" s="9"/>
    </row>
    <row r="203" ht="17" customHeight="1">
      <c r="A203" s="7" t="s">
        <v>914</v>
      </c>
      <c r="B203" s="13"/>
      <c r="C203" s="13"/>
      <c r="D203" s="7" t="s">
        <v>68</v>
      </c>
      <c r="E203" s="3" t="str">
        <f t="shared" si="27"/>
        <v>Heffner</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5" t="str">
        <f t="shared" si="28"/>
        <v>2004</v>
      </c>
      <c r="H203" s="3" t="str">
        <f t="shared" si="29"/>
        <v>Heffner__2004</v>
      </c>
      <c r="I203" s="3" t="str">
        <f t="shared" ref="I203:I212" si="33">_xlfn.LET(_xlpm.doi,IF(C203&lt;&gt;"",C203,_xlfn.TEXTAFTER(A203,"https://doi.org/")),SUBSTITUTE(SUBSTITUTE(SUBSTITUTE(SUBSTITUTE(_xlpm.doi,"/","%2F"),":","%3A"),"&lt;","%3C"),"&gt;","%3E"))</f>
        <v>10.1002%2Far.a.20117</v>
      </c>
      <c r="J203" s="3" t="str">
        <f t="shared" si="31"/>
        <v>Heffner__2004_Table1</v>
      </c>
      <c r="K203" s="5" t="str">
        <f t="shared" ref="K203:K226" si="34">I203 &amp; "_" &amp; SUBSTITUTE(SUBSTITUTE(SUBSTITUTE(D203,CHAR(160),"")," ",""),"_","")</f>
        <v>10.1002%2Far.a.20117_Table1</v>
      </c>
      <c r="L203" s="5" t="str">
        <f t="array" ref="L203">IFERROR(INDEX(AUTO_Public_TSV_FileList!$A$1:$A$1000,MATCH(TRUE(),EXACT(K203,IFERROR(_xlfn.TEXTBEFORE(AUTO_Public_TSV_FileList!$A$1:$A$1000,".tsv"),"")),0)),"notfound")</f>
        <v>10.1002%2Far.a.20117_Table1.tsv</v>
      </c>
      <c r="M203" s="7" t="s">
        <v>915</v>
      </c>
      <c r="N203" s="7" t="s">
        <v>70</v>
      </c>
      <c r="O203" s="7" t="s">
        <v>916</v>
      </c>
      <c r="P203" s="7"/>
      <c r="Q203" s="7"/>
      <c r="R203" s="7" t="s">
        <v>909</v>
      </c>
      <c r="S203" s="7"/>
      <c r="T203" s="7" t="s">
        <v>917</v>
      </c>
      <c r="U203" s="7"/>
      <c r="V203" s="7" t="s">
        <v>309</v>
      </c>
      <c r="W203" s="7" t="s">
        <v>137</v>
      </c>
      <c r="X203" s="7" t="s">
        <v>918</v>
      </c>
      <c r="Y203" s="7"/>
      <c r="Z203" s="7"/>
      <c r="AA203" s="7" t="s">
        <v>919</v>
      </c>
      <c r="AB203" s="7" t="s">
        <v>920</v>
      </c>
      <c r="AC203" s="7" t="s">
        <v>839</v>
      </c>
      <c r="AD203" s="7"/>
      <c r="AE203" s="7" t="s">
        <v>51</v>
      </c>
      <c r="AF203" s="7" t="s">
        <v>921</v>
      </c>
      <c r="AG203" s="7" t="s">
        <v>922</v>
      </c>
    </row>
    <row r="204" ht="17" customHeight="1">
      <c r="A204" s="9" t="s">
        <v>923</v>
      </c>
      <c r="D204" s="9" t="s">
        <v>453</v>
      </c>
      <c r="E204" s="3" t="str">
        <f t="shared" si="27"/>
        <v>Heffner</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5" t="str">
        <f t="shared" si="28"/>
        <v>1982</v>
      </c>
      <c r="H204" s="3" t="str">
        <f t="shared" si="29"/>
        <v>Heffner_Heffner_1982</v>
      </c>
      <c r="I204" s="3" t="str">
        <f t="shared" si="33"/>
        <v>10.1037%2F0735-7036.96.6.926</v>
      </c>
      <c r="J204" s="3" t="str">
        <f t="shared" si="31"/>
        <v>Heffner_Heffner_1982_ResultsText</v>
      </c>
      <c r="K204" s="5" t="str">
        <f t="shared" si="34"/>
        <v>10.1037%2F0735-7036.96.6.926_ResultsText</v>
      </c>
      <c r="L204" s="5" t="str">
        <f t="array" ref="L204">IFERROR(INDEX(AUTO_Public_TSV_FileList!$A$1:$A$1000,MATCH(TRUE(),EXACT(K204,IFERROR(_xlfn.TEXTBEFORE(AUTO_Public_TSV_FileList!$A$1:$A$1000,".tsv"),"")),0)),"notfound")</f>
        <v>10.1037%2F0735-7036.96.6.926_ResultsText.tsv</v>
      </c>
      <c r="M204" s="9" t="s">
        <v>924</v>
      </c>
      <c r="N204" s="9" t="s">
        <v>455</v>
      </c>
      <c r="O204" s="9" t="s">
        <v>925</v>
      </c>
      <c r="P204" s="9" t="s">
        <v>36</v>
      </c>
      <c r="Q204" s="9"/>
      <c r="R204" s="9"/>
      <c r="S204" s="9"/>
      <c r="T204" s="9"/>
      <c r="U204" s="9"/>
      <c r="V204" s="9"/>
      <c r="W204" s="9"/>
      <c r="X204" s="9"/>
      <c r="Y204" s="9"/>
      <c r="Z204" s="9"/>
      <c r="AA204" s="9"/>
      <c r="AB204" s="9"/>
      <c r="AC204" s="9"/>
      <c r="AD204" s="9"/>
      <c r="AE204" s="9"/>
      <c r="AF204" s="9"/>
      <c r="AG204" s="9"/>
    </row>
    <row r="205" ht="17" customHeight="1">
      <c r="A205" s="9" t="s">
        <v>926</v>
      </c>
      <c r="D205" s="9" t="s">
        <v>421</v>
      </c>
      <c r="E205" s="3" t="str">
        <f t="shared" si="27"/>
        <v>Heffner</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5" t="str">
        <f t="shared" si="28"/>
        <v>1985</v>
      </c>
      <c r="H205" s="3" t="str">
        <f t="shared" si="29"/>
        <v>Heffner_Heffner_1985</v>
      </c>
      <c r="I205" s="3" t="str">
        <f t="shared" si="33"/>
        <v>10.2307%2F1380801</v>
      </c>
      <c r="J205" s="3" t="str">
        <f t="shared" si="31"/>
        <v>Heffner_Heffner_1985_Figure3</v>
      </c>
      <c r="K205" s="5" t="str">
        <f t="shared" si="34"/>
        <v>10.2307%2F1380801_Figure3</v>
      </c>
      <c r="L205" s="5" t="str">
        <f t="array" ref="L205">IFERROR(INDEX(AUTO_Public_TSV_FileList!$A$1:$A$1000,MATCH(TRUE(),EXACT(K205,IFERROR(_xlfn.TEXTBEFORE(AUTO_Public_TSV_FileList!$A$1:$A$1000,".tsv"),"")),0)),"notfound")</f>
        <v>notfound</v>
      </c>
      <c r="M205" s="9" t="s">
        <v>927</v>
      </c>
      <c r="N205" s="9" t="s">
        <v>395</v>
      </c>
      <c r="O205" s="9" t="s">
        <v>928</v>
      </c>
      <c r="P205" s="9" t="s">
        <v>78</v>
      </c>
      <c r="Q205" s="9"/>
      <c r="R205" s="15" t="s">
        <v>929</v>
      </c>
      <c r="S205" s="9"/>
      <c r="T205" s="9"/>
      <c r="U205" s="9"/>
      <c r="V205" s="9" t="s">
        <v>309</v>
      </c>
      <c r="W205" s="9" t="s">
        <v>930</v>
      </c>
      <c r="X205" s="9" t="s">
        <v>756</v>
      </c>
      <c r="Y205" s="9"/>
      <c r="Z205" s="9" t="s">
        <v>312</v>
      </c>
      <c r="AA205" s="9" t="s">
        <v>894</v>
      </c>
      <c r="AB205" s="9" t="s">
        <v>758</v>
      </c>
      <c r="AC205" s="9" t="s">
        <v>839</v>
      </c>
      <c r="AD205" s="9"/>
      <c r="AE205" s="9" t="s">
        <v>66</v>
      </c>
      <c r="AF205" s="9"/>
      <c r="AG205" s="9" t="s">
        <v>931</v>
      </c>
    </row>
    <row r="206" ht="17" customHeight="1">
      <c r="A206" s="9" t="s">
        <v>926</v>
      </c>
      <c r="D206" s="9" t="s">
        <v>932</v>
      </c>
      <c r="E206" s="3" t="str">
        <f t="shared" si="27"/>
        <v>Heffner</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5" t="str">
        <f t="shared" si="28"/>
        <v>1985</v>
      </c>
      <c r="H206" s="3" t="str">
        <f t="shared" si="29"/>
        <v>Heffner_Heffner_1985</v>
      </c>
      <c r="I206" s="3" t="str">
        <f t="shared" si="33"/>
        <v>10.2307%2F1380801</v>
      </c>
      <c r="J206" s="3" t="str">
        <f t="shared" si="31"/>
        <v>Heffner_Heffner_1985_Figure6</v>
      </c>
      <c r="K206" s="5" t="str">
        <f t="shared" si="34"/>
        <v>10.2307%2F1380801_Figure6</v>
      </c>
      <c r="L206" s="5" t="str">
        <f t="array" ref="L206">IFERROR(INDEX(AUTO_Public_TSV_FileList!$A$1:$A$1000,MATCH(TRUE(),EXACT(K206,IFERROR(_xlfn.TEXTBEFORE(AUTO_Public_TSV_FileList!$A$1:$A$1000,".tsv"),"")),0)),"notfound")</f>
        <v>notfound</v>
      </c>
      <c r="M206" s="9" t="s">
        <v>933</v>
      </c>
      <c r="N206" s="9" t="s">
        <v>395</v>
      </c>
      <c r="O206" s="9" t="s">
        <v>928</v>
      </c>
      <c r="P206" s="9" t="s">
        <v>78</v>
      </c>
      <c r="Q206" s="9"/>
      <c r="R206" s="15" t="s">
        <v>929</v>
      </c>
      <c r="S206" s="9"/>
      <c r="T206" s="9"/>
      <c r="U206" s="9"/>
      <c r="V206" s="9" t="s">
        <v>309</v>
      </c>
      <c r="W206" s="9" t="s">
        <v>934</v>
      </c>
      <c r="X206" s="9" t="s">
        <v>935</v>
      </c>
      <c r="Y206" s="9"/>
      <c r="Z206" s="9" t="s">
        <v>836</v>
      </c>
      <c r="AA206" s="9" t="s">
        <v>936</v>
      </c>
      <c r="AB206" s="9" t="s">
        <v>937</v>
      </c>
      <c r="AC206" s="9" t="s">
        <v>839</v>
      </c>
      <c r="AD206" s="9"/>
      <c r="AE206" s="9" t="s">
        <v>215</v>
      </c>
      <c r="AF206" s="9" t="s">
        <v>938</v>
      </c>
      <c r="AG206" s="9" t="s">
        <v>939</v>
      </c>
    </row>
    <row r="207" ht="17" customHeight="1">
      <c r="A207" s="9" t="s">
        <v>926</v>
      </c>
      <c r="D207" s="9" t="s">
        <v>761</v>
      </c>
      <c r="E207" s="3" t="str">
        <f t="shared" si="27"/>
        <v>Heffner</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5" t="str">
        <f t="shared" si="28"/>
        <v>1985</v>
      </c>
      <c r="H207" s="3" t="str">
        <f t="shared" si="29"/>
        <v>Heffner_Heffner_1985</v>
      </c>
      <c r="I207" s="3" t="str">
        <f t="shared" si="33"/>
        <v>10.2307%2F1380801</v>
      </c>
      <c r="J207" s="3" t="str">
        <f t="shared" si="31"/>
        <v>Heffner_Heffner_1985_Resultstext</v>
      </c>
      <c r="K207" s="5" t="str">
        <f t="shared" si="34"/>
        <v>10.2307%2F1380801_Resultstext</v>
      </c>
      <c r="L207" s="5" t="str">
        <f t="array" ref="L207">IFERROR(INDEX(AUTO_Public_TSV_FileList!$A$1:$A$1000,MATCH(TRUE(),EXACT(K207,IFERROR(_xlfn.TEXTBEFORE(AUTO_Public_TSV_FileList!$A$1:$A$1000,".tsv"),"")),0)),"notfound")</f>
        <v>10.2307%2F1380801_Resultstext.tsv</v>
      </c>
      <c r="M207" s="9" t="s">
        <v>940</v>
      </c>
      <c r="N207" s="9" t="s">
        <v>455</v>
      </c>
      <c r="O207" s="9" t="s">
        <v>941</v>
      </c>
      <c r="P207" s="9" t="s">
        <v>36</v>
      </c>
      <c r="Q207" s="9"/>
      <c r="R207" s="15" t="s">
        <v>929</v>
      </c>
      <c r="S207" s="9"/>
      <c r="T207" s="9"/>
      <c r="U207" s="9"/>
      <c r="V207" s="9" t="s">
        <v>309</v>
      </c>
      <c r="W207" s="9" t="s">
        <v>942</v>
      </c>
      <c r="X207" s="9" t="s">
        <v>765</v>
      </c>
      <c r="Y207" s="9"/>
      <c r="Z207" s="9" t="s">
        <v>312</v>
      </c>
      <c r="AA207" s="9" t="s">
        <v>894</v>
      </c>
      <c r="AB207" s="9" t="s">
        <v>943</v>
      </c>
      <c r="AC207" s="9" t="s">
        <v>839</v>
      </c>
      <c r="AD207" s="9"/>
      <c r="AE207" s="9" t="s">
        <v>66</v>
      </c>
      <c r="AF207" s="9"/>
      <c r="AG207" s="9" t="s">
        <v>316</v>
      </c>
    </row>
    <row r="208" ht="17" customHeight="1">
      <c r="A208" s="7" t="s">
        <v>944</v>
      </c>
      <c r="B208" s="13" t="s">
        <v>360</v>
      </c>
      <c r="C208" s="13"/>
      <c r="D208" s="7" t="s">
        <v>945</v>
      </c>
      <c r="E208" s="3" t="str">
        <f t="shared" si="27"/>
        <v>Heffner</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5" t="str">
        <f t="shared" si="28"/>
        <v>1992</v>
      </c>
      <c r="H208" s="3" t="str">
        <f t="shared" si="29"/>
        <v>Heffner_Heffner_1992_b</v>
      </c>
      <c r="I208" s="3" t="str">
        <f t="shared" si="33"/>
        <v>10.1007%2F978-1-4612-2784-7_43</v>
      </c>
      <c r="J208" s="3" t="str">
        <f t="shared" si="31"/>
        <v>Heffner_Heffner_1992_b_TABLE34.1</v>
      </c>
      <c r="K208" s="5" t="str">
        <f t="shared" si="34"/>
        <v>10.1007%2F978-1-4612-2784-7_43_TABLE34.1</v>
      </c>
      <c r="L208" s="5" t="str">
        <f t="array" ref="L208">IFERROR(INDEX(AUTO_Public_TSV_FileList!$A$1:$A$1000,MATCH(TRUE(),EXACT(K208,IFERROR(_xlfn.TEXTBEFORE(AUTO_Public_TSV_FileList!$A$1:$A$1000,".tsv"),"")),0)),"notfound")</f>
        <v>notfound</v>
      </c>
      <c r="M208" s="7" t="s">
        <v>946</v>
      </c>
      <c r="N208" s="7" t="s">
        <v>70</v>
      </c>
      <c r="O208" s="7" t="s">
        <v>947</v>
      </c>
      <c r="P208" s="7"/>
      <c r="Q208" s="7"/>
      <c r="R208" s="7" t="s">
        <v>948</v>
      </c>
      <c r="S208" s="7"/>
      <c r="T208" s="7" t="s">
        <v>949</v>
      </c>
      <c r="U208" s="7"/>
      <c r="V208" s="7" t="s">
        <v>309</v>
      </c>
      <c r="W208" s="7" t="s">
        <v>950</v>
      </c>
      <c r="X208" s="7" t="s">
        <v>951</v>
      </c>
      <c r="Y208" s="7"/>
      <c r="Z208" s="7"/>
      <c r="AA208" s="7" t="s">
        <v>952</v>
      </c>
      <c r="AB208" s="7" t="s">
        <v>953</v>
      </c>
      <c r="AC208" s="7" t="s">
        <v>839</v>
      </c>
      <c r="AD208" s="7"/>
      <c r="AE208" s="7" t="s">
        <v>215</v>
      </c>
      <c r="AF208" s="7" t="s">
        <v>954</v>
      </c>
      <c r="AG208" s="7" t="s">
        <v>955</v>
      </c>
    </row>
    <row r="209" ht="17" customHeight="1">
      <c r="A209" s="7" t="s">
        <v>944</v>
      </c>
      <c r="B209" s="13" t="s">
        <v>360</v>
      </c>
      <c r="C209" s="13"/>
      <c r="D209" s="7" t="s">
        <v>956</v>
      </c>
      <c r="E209" s="3" t="str">
        <f t="shared" si="27"/>
        <v>Heffner</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5" t="str">
        <f t="shared" si="28"/>
        <v>1992</v>
      </c>
      <c r="H209" s="3" t="str">
        <f t="shared" si="29"/>
        <v>Heffner_Heffner_1992_b</v>
      </c>
      <c r="I209" s="3" t="str">
        <f t="shared" si="33"/>
        <v>10.1007%2F978-1-4612-2784-7_43</v>
      </c>
      <c r="J209" s="3" t="str">
        <f t="shared" si="31"/>
        <v>Heffner_Heffner_1992_b_TABLE34.2</v>
      </c>
      <c r="K209" s="5" t="str">
        <f t="shared" si="34"/>
        <v>10.1007%2F978-1-4612-2784-7_43_TABLE34.2</v>
      </c>
      <c r="L209" s="5" t="str">
        <f t="array" ref="L209">IFERROR(INDEX(AUTO_Public_TSV_FileList!$A$1:$A$1000,MATCH(TRUE(),EXACT(K209,IFERROR(_xlfn.TEXTBEFORE(AUTO_Public_TSV_FileList!$A$1:$A$1000,".tsv"),"")),0)),"notfound")</f>
        <v>notfound</v>
      </c>
      <c r="M209" s="7" t="s">
        <v>957</v>
      </c>
      <c r="N209" s="7" t="s">
        <v>70</v>
      </c>
      <c r="O209" s="7" t="s">
        <v>958</v>
      </c>
      <c r="P209" s="7"/>
      <c r="Q209" s="13"/>
      <c r="R209" s="7" t="s">
        <v>948</v>
      </c>
      <c r="S209" s="13"/>
      <c r="T209" s="13" t="s">
        <v>959</v>
      </c>
      <c r="U209" s="13"/>
      <c r="V209" s="7" t="s">
        <v>309</v>
      </c>
      <c r="W209" s="7" t="s">
        <v>960</v>
      </c>
      <c r="X209" s="7" t="s">
        <v>961</v>
      </c>
      <c r="Y209" s="13"/>
      <c r="Z209" s="7"/>
      <c r="AA209" s="7" t="s">
        <v>962</v>
      </c>
      <c r="AB209" s="7" t="s">
        <v>963</v>
      </c>
      <c r="AC209" s="7" t="s">
        <v>839</v>
      </c>
      <c r="AD209" s="13"/>
      <c r="AE209" s="7" t="s">
        <v>215</v>
      </c>
      <c r="AF209" s="13" t="s">
        <v>964</v>
      </c>
      <c r="AG209" s="13" t="s">
        <v>965</v>
      </c>
    </row>
    <row r="210" ht="17" customHeight="1">
      <c r="A210" s="7" t="s">
        <v>966</v>
      </c>
      <c r="B210" s="13" t="s">
        <v>967</v>
      </c>
      <c r="C210" s="13"/>
      <c r="D210" s="7" t="s">
        <v>453</v>
      </c>
      <c r="E210" s="3" t="str">
        <f t="shared" si="27"/>
        <v>Heffner</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5" t="str">
        <f t="shared" si="28"/>
        <v>1992</v>
      </c>
      <c r="H210" s="3" t="str">
        <f t="shared" si="29"/>
        <v>Heffner_Heffner_1992_c</v>
      </c>
      <c r="I210" s="3" t="str">
        <f t="shared" si="33"/>
        <v>10.1016%2F0378-5955(92)90188-S</v>
      </c>
      <c r="J210" s="3" t="str">
        <f t="shared" si="31"/>
        <v>Heffner_Heffner_1992_c_ResultsText</v>
      </c>
      <c r="K210" s="5" t="str">
        <f t="shared" si="34"/>
        <v>10.1016%2F0378-5955(92)90188-S_ResultsText</v>
      </c>
      <c r="L210" s="5" t="str">
        <f t="array" ref="L210">IFERROR(INDEX(AUTO_Public_TSV_FileList!$A$1:$A$1000,MATCH(TRUE(),EXACT(K210,IFERROR(_xlfn.TEXTBEFORE(AUTO_Public_TSV_FileList!$A$1:$A$1000,".tsv"),"")),0)),"notfound")</f>
        <v>10.1016%2F0378-5955(92)90188-S_ResultsText.tsv</v>
      </c>
      <c r="M210" s="7" t="s">
        <v>968</v>
      </c>
      <c r="N210" s="7" t="s">
        <v>455</v>
      </c>
      <c r="O210" s="7" t="s">
        <v>969</v>
      </c>
      <c r="P210" s="7"/>
      <c r="Q210" s="13"/>
      <c r="R210" s="7" t="s">
        <v>970</v>
      </c>
      <c r="S210" s="13"/>
      <c r="T210" s="13" t="s">
        <v>971</v>
      </c>
      <c r="U210" s="13"/>
      <c r="V210" s="7" t="s">
        <v>309</v>
      </c>
      <c r="W210" s="7" t="s">
        <v>972</v>
      </c>
      <c r="X210" s="7" t="s">
        <v>973</v>
      </c>
      <c r="Y210" s="7" t="s">
        <v>974</v>
      </c>
      <c r="Z210" s="7"/>
      <c r="AA210" s="7" t="s">
        <v>757</v>
      </c>
      <c r="AB210" s="7" t="s">
        <v>975</v>
      </c>
      <c r="AC210" s="7" t="s">
        <v>839</v>
      </c>
      <c r="AD210" s="13"/>
      <c r="AE210" s="7" t="s">
        <v>66</v>
      </c>
      <c r="AF210" s="13"/>
      <c r="AG210" s="13" t="s">
        <v>976</v>
      </c>
    </row>
    <row r="211" ht="17" customHeight="1">
      <c r="A211" s="7" t="s">
        <v>966</v>
      </c>
      <c r="B211" s="13" t="s">
        <v>967</v>
      </c>
      <c r="C211" s="13"/>
      <c r="D211" s="7" t="s">
        <v>265</v>
      </c>
      <c r="E211" s="3" t="str">
        <f t="shared" si="27"/>
        <v>Heffner</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5" t="str">
        <f t="shared" si="28"/>
        <v>1992</v>
      </c>
      <c r="H211" s="3" t="str">
        <f t="shared" si="29"/>
        <v>Heffner_Heffner_1992_c</v>
      </c>
      <c r="I211" s="3" t="str">
        <f t="shared" si="33"/>
        <v>10.1016%2F0378-5955(92)90188-S</v>
      </c>
      <c r="J211" s="3" t="str">
        <f t="shared" si="31"/>
        <v>Heffner_Heffner_1992_c_TABLEI</v>
      </c>
      <c r="K211" s="5" t="str">
        <f t="shared" si="34"/>
        <v>10.1016%2F0378-5955(92)90188-S_TABLEI</v>
      </c>
      <c r="L211" s="5" t="str">
        <f t="array" ref="L211">IFERROR(INDEX(AUTO_Public_TSV_FileList!$A$1:$A$1000,MATCH(TRUE(),EXACT(K211,IFERROR(_xlfn.TEXTBEFORE(AUTO_Public_TSV_FileList!$A$1:$A$1000,".tsv"),"")),0)),"notfound")</f>
        <v>10.1016%2F0378-5955(92)90188-S_TABLEI.tsv</v>
      </c>
      <c r="M211" s="7" t="s">
        <v>977</v>
      </c>
      <c r="N211" s="7" t="s">
        <v>978</v>
      </c>
      <c r="O211" s="7" t="s">
        <v>979</v>
      </c>
      <c r="P211" s="7"/>
      <c r="Q211" s="13"/>
      <c r="R211" s="7" t="s">
        <v>970</v>
      </c>
      <c r="S211" s="13"/>
      <c r="T211" s="13" t="s">
        <v>980</v>
      </c>
      <c r="U211" s="13"/>
      <c r="V211" s="7" t="s">
        <v>309</v>
      </c>
      <c r="W211" s="7" t="s">
        <v>981</v>
      </c>
      <c r="X211" s="7" t="s">
        <v>982</v>
      </c>
      <c r="Y211" s="13" t="s">
        <v>983</v>
      </c>
      <c r="Z211" s="7"/>
      <c r="AA211" s="7" t="s">
        <v>919</v>
      </c>
      <c r="AB211" s="7" t="s">
        <v>766</v>
      </c>
      <c r="AC211" s="7" t="s">
        <v>839</v>
      </c>
      <c r="AD211" s="13"/>
      <c r="AE211" s="7" t="s">
        <v>51</v>
      </c>
      <c r="AF211" s="13" t="s">
        <v>984</v>
      </c>
      <c r="AG211" s="13" t="s">
        <v>985</v>
      </c>
    </row>
    <row r="212" ht="17" customHeight="1">
      <c r="A212" s="7" t="s">
        <v>986</v>
      </c>
      <c r="B212" s="13" t="s">
        <v>355</v>
      </c>
      <c r="D212" s="7" t="s">
        <v>58</v>
      </c>
      <c r="E212" s="3" t="str">
        <f t="shared" si="27"/>
        <v>Heffner</v>
      </c>
      <c r="F212" s="20"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5" t="str">
        <f t="shared" si="28"/>
        <v>1992</v>
      </c>
      <c r="H212" s="3" t="str">
        <f t="shared" si="29"/>
        <v>Heffner_Heffner_1992_a</v>
      </c>
      <c r="I212" s="3" t="str">
        <f t="shared" si="33"/>
        <v>10.1002%2Fcne.903170302</v>
      </c>
      <c r="J212" s="3" t="str">
        <f t="shared" si="31"/>
        <v>Heffner_Heffner_1992_a_TABLE1</v>
      </c>
      <c r="K212" s="3" t="str">
        <f t="shared" si="34"/>
        <v>10.1002%2Fcne.903170302_TABLE1</v>
      </c>
      <c r="L212" s="5" t="str">
        <f t="array" ref="L212">IFERROR(INDEX(AUTO_Public_TSV_FileList!$A$1:$A$1000,MATCH(TRUE(),EXACT(K212,IFERROR(_xlfn.TEXTBEFORE(AUTO_Public_TSV_FileList!$A$1:$A$1000,".tsv"),"")),0)),"notfound")</f>
        <v>10.1002%2Fcne.903170302_TABLE1.tsv</v>
      </c>
      <c r="M212" s="7" t="s">
        <v>987</v>
      </c>
      <c r="N212" s="1" t="s">
        <v>35</v>
      </c>
      <c r="O212" s="7" t="s">
        <v>988</v>
      </c>
      <c r="P212" s="7" t="s">
        <v>36</v>
      </c>
      <c r="Q212" s="13"/>
      <c r="R212" s="7"/>
      <c r="S212" s="13"/>
      <c r="T212" s="13"/>
      <c r="U212" s="13"/>
      <c r="V212" s="7"/>
      <c r="W212" s="7" t="s">
        <v>989</v>
      </c>
      <c r="X212" s="7" t="s">
        <v>990</v>
      </c>
      <c r="Y212" s="13"/>
      <c r="Z212" s="7"/>
      <c r="AA212" s="7"/>
      <c r="AB212" s="7" t="s">
        <v>991</v>
      </c>
      <c r="AC212" s="7" t="s">
        <v>839</v>
      </c>
      <c r="AD212" s="7"/>
      <c r="AE212" s="7" t="s">
        <v>51</v>
      </c>
      <c r="AF212" s="7"/>
      <c r="AG212" s="13"/>
    </row>
    <row r="213" ht="17" customHeight="1">
      <c r="A213" s="9" t="s">
        <v>992</v>
      </c>
      <c r="D213" s="9" t="s">
        <v>305</v>
      </c>
      <c r="E213" s="5" t="str">
        <f t="shared" si="27"/>
        <v>Heffner</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5" t="str">
        <f t="shared" si="28"/>
        <v>1983</v>
      </c>
      <c r="H213" s="5" t="str">
        <f t="shared" si="29"/>
        <v>Heffner_Masterton_1983</v>
      </c>
      <c r="I213" s="5" t="str">
        <f>_xlfn.LET(
_xlpm.doi,IF(C213&lt;&gt;"",C213,_xlfn.TEXTAFTER(A213,"https://doi.org/")),
SUBSTITUTE(
SUBSTITUTE(
SUBSTITUTE(
SUBSTITUTE(
_xlpm.doi,
"/","%2F"),
":","%3A"),
"&lt;","%3C"),
"&gt;","%3E")
)</f>
        <v>10.1159%2F000121494</v>
      </c>
      <c r="J213" s="5" t="str">
        <f t="shared" si="31"/>
        <v>Heffner_Masterton_1983_TableI</v>
      </c>
      <c r="K213" s="5" t="str">
        <f t="shared" si="34"/>
        <v>10.1159%2F000121494_TableI</v>
      </c>
      <c r="L213" s="5" t="str">
        <f t="array" ref="L213">IFERROR(INDEX(AUTO_Public_TSV_FileList!$A$1:$A$1000,MATCH(TRUE(),EXACT(K213,IFERROR(_xlfn.TEXTBEFORE(AUTO_Public_TSV_FileList!$A$1:$A$1000,".tsv"),"")),0)),"notfound")</f>
        <v>10.1159%2F000121494_TableI.tsv</v>
      </c>
      <c r="M213" s="7" t="s">
        <v>993</v>
      </c>
      <c r="N213" s="7" t="s">
        <v>70</v>
      </c>
      <c r="O213" s="7" t="s">
        <v>994</v>
      </c>
      <c r="P213" s="7" t="s">
        <v>36</v>
      </c>
      <c r="Q213" s="13" t="s">
        <v>995</v>
      </c>
      <c r="R213" s="7"/>
      <c r="S213" s="13"/>
      <c r="T213" s="13"/>
      <c r="U213" s="13"/>
      <c r="V213" s="7"/>
      <c r="W213" s="7"/>
      <c r="X213" s="7"/>
      <c r="Y213" s="13"/>
      <c r="Z213" s="7"/>
      <c r="AA213" s="7"/>
      <c r="AB213" s="7"/>
      <c r="AC213" s="7"/>
      <c r="AD213" s="7"/>
      <c r="AE213" s="7"/>
      <c r="AF213" s="7"/>
      <c r="AG213" s="13"/>
    </row>
    <row r="214" ht="17" customHeight="1">
      <c r="A214" s="9" t="s">
        <v>996</v>
      </c>
      <c r="B214" s="17" t="s">
        <v>355</v>
      </c>
      <c r="C214" s="17"/>
      <c r="D214" s="9" t="s">
        <v>801</v>
      </c>
      <c r="E214" s="3" t="str">
        <f t="shared" si="27"/>
        <v>Heffner</v>
      </c>
      <c r="F214" s="2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5" t="str">
        <f t="shared" si="28"/>
        <v>1994</v>
      </c>
      <c r="H214" s="3" t="str">
        <f t="shared" si="29"/>
        <v>Heffner_etal_1994_a</v>
      </c>
      <c r="I214" s="3" t="str">
        <f t="shared" ref="I214:I226" si="35">_xlfn.LET(_xlpm.doi,IF(C214&lt;&gt;"",C214,_xlfn.TEXTAFTER(A214,"https://doi.org/")),SUBSTITUTE(SUBSTITUTE(SUBSTITUTE(SUBSTITUTE(_xlpm.doi,"/","%2F"),":","%3A"),"&lt;","%3C"),"&gt;","%3E"))</f>
        <v>10.1016%2F0378-5955(94)90233-x</v>
      </c>
      <c r="J214" s="3" t="str">
        <f t="shared" si="31"/>
        <v>Heffner_etal_1994_a_Figure1</v>
      </c>
      <c r="K214" s="5" t="str">
        <f t="shared" si="34"/>
        <v>10.1016%2F0378-5955(94)90233-x_Figure1</v>
      </c>
      <c r="L214" s="5" t="str">
        <f t="array" ref="L214">IFERROR(INDEX(AUTO_Public_TSV_FileList!$A$1:$A$1000,MATCH(TRUE(),EXACT(K214,IFERROR(_xlfn.TEXTBEFORE(AUTO_Public_TSV_FileList!$A$1:$A$1000,".tsv"),"")),0)),"notfound")</f>
        <v>10.1016%2F0378-5955(94)90233-x_Figure1.tsv</v>
      </c>
      <c r="M214" s="9" t="s">
        <v>997</v>
      </c>
      <c r="N214" s="9" t="s">
        <v>395</v>
      </c>
      <c r="O214" s="9" t="s">
        <v>998</v>
      </c>
      <c r="P214" s="9" t="s">
        <v>36</v>
      </c>
      <c r="Q214" s="17"/>
      <c r="R214" s="15" t="s">
        <v>999</v>
      </c>
      <c r="S214" s="17"/>
      <c r="T214" s="17"/>
      <c r="U214" s="17"/>
      <c r="V214" s="9" t="s">
        <v>309</v>
      </c>
      <c r="W214" s="9" t="s">
        <v>1000</v>
      </c>
      <c r="X214" s="9" t="s">
        <v>756</v>
      </c>
      <c r="Y214" s="17"/>
      <c r="Z214" s="9" t="s">
        <v>312</v>
      </c>
      <c r="AA214" s="9" t="s">
        <v>894</v>
      </c>
      <c r="AB214" s="9" t="s">
        <v>758</v>
      </c>
      <c r="AC214" s="9" t="s">
        <v>839</v>
      </c>
      <c r="AD214" s="9"/>
      <c r="AE214" s="9" t="s">
        <v>66</v>
      </c>
      <c r="AF214" s="9"/>
      <c r="AG214" s="17" t="s">
        <v>931</v>
      </c>
    </row>
    <row r="215" ht="17" customHeight="1">
      <c r="A215" s="9" t="s">
        <v>996</v>
      </c>
      <c r="B215" s="9" t="s">
        <v>355</v>
      </c>
      <c r="C215" s="9"/>
      <c r="D215" s="9" t="s">
        <v>393</v>
      </c>
      <c r="E215" s="3" t="str">
        <f t="shared" si="27"/>
        <v>Heffner</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5" t="str">
        <f t="shared" si="28"/>
        <v>1994</v>
      </c>
      <c r="H215" s="3" t="str">
        <f t="shared" si="29"/>
        <v>Heffner_etal_1994_a</v>
      </c>
      <c r="I215" s="3" t="str">
        <f t="shared" si="35"/>
        <v>10.1016%2F0378-5955(94)90233-x</v>
      </c>
      <c r="J215" s="3" t="str">
        <f t="shared" si="31"/>
        <v>Heffner_etal_1994_a_Figure2</v>
      </c>
      <c r="K215" s="5" t="str">
        <f t="shared" si="34"/>
        <v>10.1016%2F0378-5955(94)90233-x_Figure2</v>
      </c>
      <c r="L215" s="5" t="str">
        <f t="array" ref="L215">IFERROR(INDEX(AUTO_Public_TSV_FileList!$A$1:$A$1000,MATCH(TRUE(),EXACT(K215,IFERROR(_xlfn.TEXTBEFORE(AUTO_Public_TSV_FileList!$A$1:$A$1000,".tsv"),"")),0)),"notfound")</f>
        <v>10.1016%2F0378-5955(94)90233-x_Figure2.tsv</v>
      </c>
      <c r="M215" s="9" t="s">
        <v>1001</v>
      </c>
      <c r="N215" s="9" t="s">
        <v>395</v>
      </c>
      <c r="O215" s="9" t="s">
        <v>1002</v>
      </c>
      <c r="P215" s="9" t="s">
        <v>36</v>
      </c>
      <c r="Q215" s="9"/>
      <c r="R215" s="15" t="s">
        <v>999</v>
      </c>
      <c r="S215" s="9"/>
      <c r="T215" s="9"/>
      <c r="U215" s="9"/>
      <c r="V215" s="9" t="s">
        <v>309</v>
      </c>
      <c r="W215" s="9" t="s">
        <v>1003</v>
      </c>
      <c r="X215" s="9" t="s">
        <v>756</v>
      </c>
      <c r="Y215" s="9"/>
      <c r="Z215" s="9" t="s">
        <v>312</v>
      </c>
      <c r="AA215" s="9" t="s">
        <v>894</v>
      </c>
      <c r="AB215" s="9" t="s">
        <v>758</v>
      </c>
      <c r="AC215" s="9" t="s">
        <v>839</v>
      </c>
      <c r="AD215" s="9"/>
      <c r="AE215" s="9" t="s">
        <v>66</v>
      </c>
      <c r="AF215" s="9"/>
      <c r="AG215" s="9" t="s">
        <v>316</v>
      </c>
    </row>
    <row r="216" ht="17" customHeight="1">
      <c r="A216" s="9" t="s">
        <v>1004</v>
      </c>
      <c r="B216" s="9" t="s">
        <v>967</v>
      </c>
      <c r="C216" s="9"/>
      <c r="D216" s="9" t="s">
        <v>1005</v>
      </c>
      <c r="E216" s="3" t="str">
        <f t="shared" si="27"/>
        <v>Heffner</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5" t="str">
        <f t="shared" si="28"/>
        <v>1994</v>
      </c>
      <c r="H216" s="3" t="str">
        <f t="shared" si="29"/>
        <v>Heffner_etal_1994_c</v>
      </c>
      <c r="I216" s="3" t="str">
        <f t="shared" si="35"/>
        <v>10.1016%2F0378-5955(94)90116-3</v>
      </c>
      <c r="J216" s="3" t="str">
        <f t="shared" si="31"/>
        <v>Heffner_etal_1994_c_Figure7</v>
      </c>
      <c r="K216" s="5" t="str">
        <f t="shared" si="34"/>
        <v>10.1016%2F0378-5955(94)90116-3_Figure7</v>
      </c>
      <c r="L216" s="5" t="str">
        <f t="array" ref="L216">IFERROR(INDEX(AUTO_Public_TSV_FileList!$A$1:$A$1000,MATCH(TRUE(),EXACT(K216,IFERROR(_xlfn.TEXTBEFORE(AUTO_Public_TSV_FileList!$A$1:$A$1000,".tsv"),"")),0)),"notfound")</f>
        <v>notfound</v>
      </c>
      <c r="M216" s="9" t="s">
        <v>1006</v>
      </c>
      <c r="N216" s="9" t="s">
        <v>395</v>
      </c>
      <c r="O216" s="9" t="s">
        <v>1007</v>
      </c>
      <c r="P216" s="9" t="s">
        <v>78</v>
      </c>
      <c r="Q216" s="9"/>
      <c r="R216" s="15" t="s">
        <v>1008</v>
      </c>
      <c r="S216" s="9"/>
      <c r="T216" s="9" t="s">
        <v>892</v>
      </c>
      <c r="U216" s="9"/>
      <c r="V216" s="9" t="s">
        <v>309</v>
      </c>
      <c r="W216" s="9" t="s">
        <v>1009</v>
      </c>
      <c r="X216" s="9" t="s">
        <v>1010</v>
      </c>
      <c r="Y216" s="9"/>
      <c r="Z216" s="9" t="s">
        <v>836</v>
      </c>
      <c r="AA216" s="9" t="s">
        <v>1011</v>
      </c>
      <c r="AB216" s="9" t="s">
        <v>1012</v>
      </c>
      <c r="AC216" s="9" t="s">
        <v>839</v>
      </c>
      <c r="AD216" s="9"/>
      <c r="AE216" s="9" t="s">
        <v>215</v>
      </c>
      <c r="AF216" s="9" t="s">
        <v>1013</v>
      </c>
      <c r="AG216" s="9" t="s">
        <v>939</v>
      </c>
    </row>
    <row r="217" ht="17" customHeight="1">
      <c r="A217" s="9" t="s">
        <v>1004</v>
      </c>
      <c r="B217" s="9" t="s">
        <v>967</v>
      </c>
      <c r="C217" s="9"/>
      <c r="D217" s="9" t="s">
        <v>68</v>
      </c>
      <c r="E217" s="3" t="str">
        <f t="shared" si="27"/>
        <v>Heffner</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5" t="str">
        <f t="shared" si="28"/>
        <v>1994</v>
      </c>
      <c r="H217" s="3" t="str">
        <f t="shared" si="29"/>
        <v>Heffner_etal_1994_c</v>
      </c>
      <c r="I217" s="3" t="str">
        <f t="shared" si="35"/>
        <v>10.1016%2F0378-5955(94)90116-3</v>
      </c>
      <c r="J217" s="3" t="str">
        <f t="shared" si="31"/>
        <v>Heffner_etal_1994_c_Table1</v>
      </c>
      <c r="K217" s="5" t="str">
        <f t="shared" si="34"/>
        <v>10.1016%2F0378-5955(94)90116-3_Table1</v>
      </c>
      <c r="L217" s="5" t="str">
        <f t="array" ref="L217">IFERROR(INDEX(AUTO_Public_TSV_FileList!$A$1:$A$1000,MATCH(TRUE(),EXACT(K217,IFERROR(_xlfn.TEXTBEFORE(AUTO_Public_TSV_FileList!$A$1:$A$1000,".tsv"),"")),0)),"notfound")</f>
        <v>10.1016%2F0378-5955(94)90116-3_Table1.tsv</v>
      </c>
      <c r="M217" s="9" t="s">
        <v>1014</v>
      </c>
      <c r="N217" s="9" t="s">
        <v>70</v>
      </c>
      <c r="O217" s="9" t="s">
        <v>1015</v>
      </c>
      <c r="P217" s="9" t="s">
        <v>36</v>
      </c>
      <c r="Q217" s="9"/>
      <c r="R217" s="15" t="s">
        <v>1008</v>
      </c>
      <c r="S217" s="9"/>
      <c r="T217" s="9" t="s">
        <v>892</v>
      </c>
      <c r="U217" s="9"/>
      <c r="V217" s="9" t="s">
        <v>309</v>
      </c>
      <c r="W217" s="9" t="s">
        <v>1016</v>
      </c>
      <c r="X217" s="9" t="s">
        <v>1017</v>
      </c>
      <c r="Y217" s="9"/>
      <c r="Z217" s="9" t="s">
        <v>312</v>
      </c>
      <c r="AA217" s="9" t="s">
        <v>1018</v>
      </c>
      <c r="AB217" s="9" t="s">
        <v>885</v>
      </c>
      <c r="AC217" s="9" t="s">
        <v>839</v>
      </c>
      <c r="AD217" s="9"/>
      <c r="AE217" s="9" t="s">
        <v>51</v>
      </c>
      <c r="AF217" s="9" t="s">
        <v>1019</v>
      </c>
      <c r="AG217" s="9" t="s">
        <v>316</v>
      </c>
    </row>
    <row r="218" ht="17" customHeight="1">
      <c r="A218" s="7" t="s">
        <v>1020</v>
      </c>
      <c r="B218" s="7"/>
      <c r="C218" s="7"/>
      <c r="D218" s="7" t="s">
        <v>453</v>
      </c>
      <c r="E218" s="3" t="str">
        <f t="shared" si="27"/>
        <v>Heffner</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5" t="str">
        <f t="shared" si="28"/>
        <v>1999</v>
      </c>
      <c r="H218" s="3" t="str">
        <f t="shared" si="29"/>
        <v>Heffner_etal_1999</v>
      </c>
      <c r="I218" s="3" t="str">
        <f t="shared" si="35"/>
        <v>10.1037%2F0735-7036.113.3.297</v>
      </c>
      <c r="J218" s="3" t="str">
        <f t="shared" si="31"/>
        <v>Heffner_etal_1999_ResultsText</v>
      </c>
      <c r="K218" s="5" t="str">
        <f t="shared" si="34"/>
        <v>10.1037%2F0735-7036.113.3.297_ResultsText</v>
      </c>
      <c r="L218" s="5" t="str">
        <f t="array" ref="L218">IFERROR(INDEX(AUTO_Public_TSV_FileList!$A$1:$A$1000,MATCH(TRUE(),EXACT(K218,IFERROR(_xlfn.TEXTBEFORE(AUTO_Public_TSV_FileList!$A$1:$A$1000,".tsv"),"")),0)),"notfound")</f>
        <v>notfound</v>
      </c>
      <c r="M218" s="7" t="s">
        <v>1021</v>
      </c>
      <c r="N218" s="7" t="s">
        <v>455</v>
      </c>
      <c r="O218" s="7" t="s">
        <v>1022</v>
      </c>
      <c r="P218" s="7"/>
      <c r="Q218" s="7"/>
      <c r="R218" s="7" t="s">
        <v>1023</v>
      </c>
      <c r="S218" s="7"/>
      <c r="T218" s="7" t="s">
        <v>1024</v>
      </c>
      <c r="U218" s="7"/>
      <c r="V218" s="7" t="s">
        <v>881</v>
      </c>
      <c r="W218" s="7" t="s">
        <v>1025</v>
      </c>
      <c r="X218" s="7" t="s">
        <v>1026</v>
      </c>
      <c r="Y218" s="7" t="s">
        <v>1027</v>
      </c>
      <c r="Z218" s="7"/>
      <c r="AA218" s="7" t="s">
        <v>1028</v>
      </c>
      <c r="AB218" s="7" t="s">
        <v>1029</v>
      </c>
      <c r="AC218" s="7" t="s">
        <v>839</v>
      </c>
      <c r="AD218" s="7"/>
      <c r="AE218" s="7" t="s">
        <v>66</v>
      </c>
      <c r="AF218" s="7"/>
      <c r="AG218" s="7" t="s">
        <v>1030</v>
      </c>
    </row>
    <row r="219" ht="17" customHeight="1">
      <c r="A219" s="9" t="s">
        <v>1031</v>
      </c>
      <c r="B219" s="9"/>
      <c r="C219" s="9"/>
      <c r="D219" s="9" t="s">
        <v>453</v>
      </c>
      <c r="E219" s="3" t="str">
        <f t="shared" si="27"/>
        <v>Heffner</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5" t="str">
        <f t="shared" si="28"/>
        <v>2001</v>
      </c>
      <c r="H219" s="3" t="str">
        <f t="shared" si="29"/>
        <v>Heffner_etal_2001</v>
      </c>
      <c r="I219" s="3" t="str">
        <f t="shared" si="35"/>
        <v>10.1016%2FS0378-5955(01)00298-2</v>
      </c>
      <c r="J219" s="3" t="str">
        <f t="shared" si="31"/>
        <v>Heffner_etal_2001_ResultsText</v>
      </c>
      <c r="K219" s="5" t="str">
        <f t="shared" si="34"/>
        <v>10.1016%2FS0378-5955(01)00298-2_ResultsText</v>
      </c>
      <c r="L219" s="5" t="str">
        <f t="array" ref="L219">IFERROR(INDEX(AUTO_Public_TSV_FileList!$A$1:$A$1000,MATCH(TRUE(),EXACT(K219,IFERROR(_xlfn.TEXTBEFORE(AUTO_Public_TSV_FileList!$A$1:$A$1000,".tsv"),"")),0)),"notfound")</f>
        <v>10.1016%2FS0378-5955(01)00298-2_ResultsText.tsv</v>
      </c>
      <c r="M219" s="9" t="s">
        <v>1032</v>
      </c>
      <c r="N219" s="9" t="s">
        <v>455</v>
      </c>
      <c r="O219" s="9" t="s">
        <v>495</v>
      </c>
      <c r="P219" s="9" t="s">
        <v>72</v>
      </c>
      <c r="Q219" s="9"/>
      <c r="R219" s="9"/>
      <c r="S219" s="9"/>
      <c r="T219" s="9"/>
      <c r="U219" s="9"/>
      <c r="V219" s="9"/>
      <c r="W219" s="9"/>
      <c r="X219" s="9"/>
      <c r="Y219" s="9"/>
      <c r="Z219" s="9"/>
      <c r="AA219" s="9"/>
      <c r="AB219" s="9"/>
      <c r="AC219" s="9"/>
      <c r="AD219" s="9"/>
      <c r="AE219" s="9"/>
      <c r="AF219" s="9"/>
      <c r="AG219" s="9"/>
    </row>
    <row r="220" ht="17" customHeight="1">
      <c r="A220" s="9" t="s">
        <v>1033</v>
      </c>
      <c r="B220" s="9"/>
      <c r="C220" s="9"/>
      <c r="D220" s="9" t="s">
        <v>1034</v>
      </c>
      <c r="E220" s="3" t="str">
        <f t="shared" si="27"/>
        <v>Heffner</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5" t="str">
        <f t="shared" si="28"/>
        <v>2003</v>
      </c>
      <c r="H220" s="3" t="str">
        <f t="shared" si="29"/>
        <v>Heffner_etal_2003</v>
      </c>
      <c r="I220" s="3" t="str">
        <f t="shared" si="35"/>
        <v>10.1016%2Fs0378-5955(03)00233-8</v>
      </c>
      <c r="J220" s="3" t="str">
        <f t="shared" si="31"/>
        <v>Heffner_etal_2003_Figure4</v>
      </c>
      <c r="K220" s="5" t="str">
        <f t="shared" si="34"/>
        <v>10.1016%2Fs0378-5955(03)00233-8_Figure4</v>
      </c>
      <c r="L220" s="5" t="str">
        <f t="array" ref="L220">IFERROR(INDEX(AUTO_Public_TSV_FileList!$A$1:$A$1000,MATCH(TRUE(),EXACT(K220,IFERROR(_xlfn.TEXTBEFORE(AUTO_Public_TSV_FileList!$A$1:$A$1000,".tsv"),"")),0)),"notfound")</f>
        <v>notfound</v>
      </c>
      <c r="M220" s="9" t="s">
        <v>1035</v>
      </c>
      <c r="N220" s="9" t="s">
        <v>395</v>
      </c>
      <c r="O220" s="9" t="s">
        <v>928</v>
      </c>
      <c r="P220" s="9" t="s">
        <v>78</v>
      </c>
      <c r="Q220" s="9"/>
      <c r="R220" s="15" t="s">
        <v>1036</v>
      </c>
      <c r="S220" s="9"/>
      <c r="T220" s="9"/>
      <c r="U220" s="9"/>
      <c r="V220" s="9" t="s">
        <v>309</v>
      </c>
      <c r="W220" s="9" t="s">
        <v>1037</v>
      </c>
      <c r="X220" s="9" t="s">
        <v>1038</v>
      </c>
      <c r="Y220" s="9"/>
      <c r="Z220" s="9" t="s">
        <v>312</v>
      </c>
      <c r="AA220" s="9" t="s">
        <v>894</v>
      </c>
      <c r="AB220" s="9" t="s">
        <v>758</v>
      </c>
      <c r="AC220" s="9" t="s">
        <v>839</v>
      </c>
      <c r="AD220" s="9"/>
      <c r="AE220" s="9" t="s">
        <v>51</v>
      </c>
      <c r="AF220" s="9" t="s">
        <v>1039</v>
      </c>
      <c r="AG220" s="9" t="s">
        <v>931</v>
      </c>
    </row>
    <row r="221" ht="17" customHeight="1">
      <c r="A221" s="9" t="s">
        <v>1033</v>
      </c>
      <c r="B221" s="9"/>
      <c r="C221" s="9"/>
      <c r="D221" s="9" t="s">
        <v>1040</v>
      </c>
      <c r="E221" s="3" t="str">
        <f t="shared" si="27"/>
        <v>Heffner</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5" t="str">
        <f t="shared" si="28"/>
        <v>2003</v>
      </c>
      <c r="H221" s="3" t="str">
        <f t="shared" si="29"/>
        <v>Heffner_etal_2003</v>
      </c>
      <c r="I221" s="3" t="str">
        <f t="shared" si="35"/>
        <v>10.1016%2Fs0378-5955(03)00233-8</v>
      </c>
      <c r="J221" s="3" t="str">
        <f t="shared" si="31"/>
        <v>Heffner_etal_2003_Figure5</v>
      </c>
      <c r="K221" s="5" t="str">
        <f t="shared" si="34"/>
        <v>10.1016%2Fs0378-5955(03)00233-8_Figure5</v>
      </c>
      <c r="L221" s="5" t="str">
        <f t="array" ref="L221">IFERROR(INDEX(AUTO_Public_TSV_FileList!$A$1:$A$1000,MATCH(TRUE(),EXACT(K221,IFERROR(_xlfn.TEXTBEFORE(AUTO_Public_TSV_FileList!$A$1:$A$1000,".tsv"),"")),0)),"notfound")</f>
        <v>notfound</v>
      </c>
      <c r="M221" s="9" t="s">
        <v>1041</v>
      </c>
      <c r="N221" s="9" t="s">
        <v>395</v>
      </c>
      <c r="O221" s="9" t="s">
        <v>928</v>
      </c>
      <c r="P221" s="9" t="s">
        <v>78</v>
      </c>
      <c r="Q221" s="9"/>
      <c r="R221" s="15" t="s">
        <v>1036</v>
      </c>
      <c r="S221" s="9"/>
      <c r="T221" s="9"/>
      <c r="U221" s="9"/>
      <c r="V221" s="9" t="s">
        <v>309</v>
      </c>
      <c r="W221" s="9" t="s">
        <v>1042</v>
      </c>
      <c r="X221" s="9" t="s">
        <v>1043</v>
      </c>
      <c r="Y221" s="9"/>
      <c r="Z221" s="9" t="s">
        <v>836</v>
      </c>
      <c r="AA221" s="9" t="s">
        <v>1011</v>
      </c>
      <c r="AB221" s="9" t="s">
        <v>1044</v>
      </c>
      <c r="AC221" s="9" t="s">
        <v>839</v>
      </c>
      <c r="AD221" s="9"/>
      <c r="AE221" s="9" t="s">
        <v>215</v>
      </c>
      <c r="AF221" s="9" t="s">
        <v>1013</v>
      </c>
      <c r="AG221" s="9" t="s">
        <v>939</v>
      </c>
    </row>
    <row r="222" ht="17" customHeight="1">
      <c r="A222" s="9" t="s">
        <v>1033</v>
      </c>
      <c r="B222" s="9"/>
      <c r="C222" s="9"/>
      <c r="D222" s="9" t="s">
        <v>761</v>
      </c>
      <c r="E222" s="3" t="str">
        <f t="shared" si="27"/>
        <v>Heffner</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5" t="str">
        <f t="shared" si="28"/>
        <v>2003</v>
      </c>
      <c r="H222" s="3" t="str">
        <f t="shared" si="29"/>
        <v>Heffner_etal_2003</v>
      </c>
      <c r="I222" s="3" t="str">
        <f t="shared" si="35"/>
        <v>10.1016%2Fs0378-5955(03)00233-8</v>
      </c>
      <c r="J222" s="3" t="str">
        <f t="shared" si="31"/>
        <v>Heffner_etal_2003_Resultstext</v>
      </c>
      <c r="K222" s="5" t="str">
        <f t="shared" si="34"/>
        <v>10.1016%2Fs0378-5955(03)00233-8_Resultstext</v>
      </c>
      <c r="L222" s="5" t="str">
        <f t="array" ref="L222">IFERROR(INDEX(AUTO_Public_TSV_FileList!$A$1:$A$1000,MATCH(TRUE(),EXACT(K222,IFERROR(_xlfn.TEXTBEFORE(AUTO_Public_TSV_FileList!$A$1:$A$1000,".tsv"),"")),0)),"notfound")</f>
        <v>10.1016%2Fs0378-5955(03)00233-8_Resultstext.tsv</v>
      </c>
      <c r="M222" s="9" t="s">
        <v>1045</v>
      </c>
      <c r="N222" s="9" t="s">
        <v>455</v>
      </c>
      <c r="O222" s="9" t="s">
        <v>1046</v>
      </c>
      <c r="P222" s="9" t="s">
        <v>36</v>
      </c>
      <c r="Q222" s="9"/>
      <c r="R222" s="15" t="s">
        <v>1036</v>
      </c>
      <c r="S222" s="9"/>
      <c r="T222" s="9"/>
      <c r="U222" s="9"/>
      <c r="V222" s="9" t="s">
        <v>309</v>
      </c>
      <c r="W222" s="9" t="s">
        <v>1047</v>
      </c>
      <c r="X222" s="9" t="s">
        <v>1048</v>
      </c>
      <c r="Y222" s="9"/>
      <c r="Z222" s="9" t="s">
        <v>312</v>
      </c>
      <c r="AA222" s="9" t="s">
        <v>894</v>
      </c>
      <c r="AB222" s="9" t="s">
        <v>1049</v>
      </c>
      <c r="AC222" s="9" t="s">
        <v>839</v>
      </c>
      <c r="AD222" s="9"/>
      <c r="AE222" s="9" t="s">
        <v>66</v>
      </c>
      <c r="AF222" s="9"/>
      <c r="AG222" s="9" t="s">
        <v>316</v>
      </c>
    </row>
    <row r="223" ht="17" customHeight="1">
      <c r="A223" s="9" t="s">
        <v>1050</v>
      </c>
      <c r="B223" s="9"/>
      <c r="C223" s="9"/>
      <c r="D223" s="9" t="s">
        <v>453</v>
      </c>
      <c r="E223" s="3" t="str">
        <f t="shared" si="27"/>
        <v>Heffner</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5" t="str">
        <f t="shared" si="28"/>
        <v>2006</v>
      </c>
      <c r="H223" s="3" t="str">
        <f t="shared" si="29"/>
        <v>Heffner_etal_2006</v>
      </c>
      <c r="I223" s="3" t="str">
        <f t="shared" si="35"/>
        <v>10.1016%2Fj.heares.2006.06.008</v>
      </c>
      <c r="J223" s="3" t="str">
        <f t="shared" si="31"/>
        <v>Heffner_etal_2006_ResultsText</v>
      </c>
      <c r="K223" s="5" t="str">
        <f t="shared" si="34"/>
        <v>10.1016%2Fj.heares.2006.06.008_ResultsText</v>
      </c>
      <c r="L223" s="5" t="str">
        <f t="array" ref="L223">IFERROR(INDEX(AUTO_Public_TSV_FileList!$A$1:$A$1000,MATCH(TRUE(),EXACT(K223,IFERROR(_xlfn.TEXTBEFORE(AUTO_Public_TSV_FileList!$A$1:$A$1000,".tsv"),"")),0)),"notfound")</f>
        <v>10.1016%2Fj.heares.2006.06.008_ResultsText.tsv</v>
      </c>
      <c r="M223" s="9" t="s">
        <v>1051</v>
      </c>
      <c r="N223" s="9" t="s">
        <v>455</v>
      </c>
      <c r="O223" s="9" t="s">
        <v>1052</v>
      </c>
      <c r="P223" s="9" t="s">
        <v>36</v>
      </c>
      <c r="Q223" s="9"/>
      <c r="R223" s="9"/>
      <c r="S223" s="9"/>
      <c r="T223" s="9"/>
      <c r="U223" s="9"/>
      <c r="V223" s="9"/>
      <c r="W223" s="9"/>
      <c r="X223" s="9"/>
      <c r="Y223" s="9"/>
      <c r="Z223" s="9"/>
      <c r="AA223" s="9"/>
      <c r="AB223" s="9"/>
      <c r="AC223" s="9"/>
      <c r="AD223" s="9"/>
      <c r="AE223" s="9"/>
      <c r="AF223" s="9"/>
      <c r="AG223" s="9"/>
    </row>
    <row r="224" ht="17" customHeight="1">
      <c r="A224" s="9" t="s">
        <v>1053</v>
      </c>
      <c r="B224" s="9"/>
      <c r="C224" s="9"/>
      <c r="D224" s="9" t="s">
        <v>1034</v>
      </c>
      <c r="E224" s="3" t="str">
        <f t="shared" si="27"/>
        <v>Heffner</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5" t="str">
        <f t="shared" si="28"/>
        <v>2007</v>
      </c>
      <c r="H224" s="3" t="str">
        <f t="shared" si="29"/>
        <v>Heffner_etal_2007</v>
      </c>
      <c r="I224" s="3" t="str">
        <f t="shared" si="35"/>
        <v>10.1016%2Fj.heares.2007.06.001</v>
      </c>
      <c r="J224" s="3" t="str">
        <f t="shared" si="31"/>
        <v>Heffner_etal_2007_Figure4</v>
      </c>
      <c r="K224" s="5" t="str">
        <f t="shared" si="34"/>
        <v>10.1016%2Fj.heares.2007.06.001_Figure4</v>
      </c>
      <c r="L224" s="5" t="str">
        <f t="array" ref="L224">IFERROR(INDEX(AUTO_Public_TSV_FileList!$A$1:$A$1000,MATCH(TRUE(),EXACT(K224,IFERROR(_xlfn.TEXTBEFORE(AUTO_Public_TSV_FileList!$A$1:$A$1000,".tsv"),"")),0)),"notfound")</f>
        <v>notfound</v>
      </c>
      <c r="M224" s="9" t="s">
        <v>1054</v>
      </c>
      <c r="N224" s="9" t="s">
        <v>395</v>
      </c>
      <c r="O224" s="9" t="s">
        <v>1055</v>
      </c>
      <c r="P224" s="9" t="s">
        <v>78</v>
      </c>
      <c r="Q224" s="9"/>
      <c r="R224" s="15" t="s">
        <v>1056</v>
      </c>
      <c r="S224" s="9"/>
      <c r="T224" s="9"/>
      <c r="U224" s="9"/>
      <c r="V224" s="9" t="s">
        <v>881</v>
      </c>
      <c r="W224" s="9" t="s">
        <v>1057</v>
      </c>
      <c r="X224" s="9" t="s">
        <v>1058</v>
      </c>
      <c r="Y224" s="9"/>
      <c r="Z224" s="9" t="s">
        <v>1059</v>
      </c>
      <c r="AA224" s="9" t="s">
        <v>1060</v>
      </c>
      <c r="AB224" s="9" t="s">
        <v>1061</v>
      </c>
      <c r="AC224" s="9" t="s">
        <v>839</v>
      </c>
      <c r="AD224" s="9"/>
      <c r="AE224" s="9" t="s">
        <v>66</v>
      </c>
      <c r="AF224" s="9"/>
      <c r="AG224" s="9" t="s">
        <v>939</v>
      </c>
    </row>
    <row r="225" ht="17" customHeight="1">
      <c r="A225" s="9" t="s">
        <v>1053</v>
      </c>
      <c r="B225" s="9"/>
      <c r="C225" s="9"/>
      <c r="D225" s="9" t="s">
        <v>932</v>
      </c>
      <c r="E225" s="3" t="str">
        <f t="shared" si="27"/>
        <v>Heffner</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5" t="str">
        <f t="shared" si="28"/>
        <v>2007</v>
      </c>
      <c r="H225" s="3" t="str">
        <f t="shared" si="29"/>
        <v>Heffner_etal_2007</v>
      </c>
      <c r="I225" s="3" t="str">
        <f t="shared" si="35"/>
        <v>10.1016%2Fj.heares.2007.06.001</v>
      </c>
      <c r="J225" s="3" t="str">
        <f t="shared" si="31"/>
        <v>Heffner_etal_2007_Figure6</v>
      </c>
      <c r="K225" s="5" t="str">
        <f t="shared" si="34"/>
        <v>10.1016%2Fj.heares.2007.06.001_Figure6</v>
      </c>
      <c r="L225" s="5" t="str">
        <f t="array" ref="L225">IFERROR(INDEX(AUTO_Public_TSV_FileList!$A$1:$A$1000,MATCH(TRUE(),EXACT(K225,IFERROR(_xlfn.TEXTBEFORE(AUTO_Public_TSV_FileList!$A$1:$A$1000,".tsv"),"")),0)),"notfound")</f>
        <v>10.1016%2Fj.heares.2007.06.001_Figure6.tsv</v>
      </c>
      <c r="M225" s="9" t="s">
        <v>1062</v>
      </c>
      <c r="N225" s="9" t="s">
        <v>395</v>
      </c>
      <c r="O225" s="9" t="s">
        <v>1063</v>
      </c>
      <c r="P225" s="9" t="s">
        <v>36</v>
      </c>
      <c r="Q225" s="9"/>
      <c r="R225" s="15" t="s">
        <v>1056</v>
      </c>
      <c r="S225" s="9"/>
      <c r="T225" s="9"/>
      <c r="U225" s="9"/>
      <c r="V225" s="9" t="s">
        <v>881</v>
      </c>
      <c r="W225" s="9" t="s">
        <v>1064</v>
      </c>
      <c r="X225" s="9" t="s">
        <v>1065</v>
      </c>
      <c r="Y225" s="9"/>
      <c r="Z225" s="9" t="s">
        <v>312</v>
      </c>
      <c r="AA225" s="9" t="s">
        <v>1066</v>
      </c>
      <c r="AB225" s="9" t="s">
        <v>885</v>
      </c>
      <c r="AC225" s="9" t="s">
        <v>839</v>
      </c>
      <c r="AD225" s="9"/>
      <c r="AE225" s="9" t="s">
        <v>51</v>
      </c>
      <c r="AF225" s="9" t="s">
        <v>1067</v>
      </c>
      <c r="AG225" s="9" t="s">
        <v>316</v>
      </c>
    </row>
    <row r="226" ht="17" customHeight="1">
      <c r="A226" s="7" t="s">
        <v>1068</v>
      </c>
      <c r="B226" s="7"/>
      <c r="C226" s="7"/>
      <c r="D226" s="7" t="s">
        <v>453</v>
      </c>
      <c r="E226" s="3" t="str">
        <f t="shared" si="27"/>
        <v>Heffner</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5" t="str">
        <f t="shared" si="28"/>
        <v>2008</v>
      </c>
      <c r="H226" s="3" t="str">
        <f t="shared" si="29"/>
        <v>Heffner_etal_2008</v>
      </c>
      <c r="I226" s="3" t="str">
        <f t="shared" si="35"/>
        <v>10.1016%2Fj.heares.2008.05.001</v>
      </c>
      <c r="J226" s="3" t="str">
        <f t="shared" si="31"/>
        <v>Heffner_etal_2008_ResultsText</v>
      </c>
      <c r="K226" s="5" t="str">
        <f t="shared" si="34"/>
        <v>10.1016%2Fj.heares.2008.05.001_ResultsText</v>
      </c>
      <c r="L226" s="5" t="str">
        <f t="array" ref="L226">IFERROR(INDEX(AUTO_Public_TSV_FileList!$A$1:$A$1000,MATCH(TRUE(),EXACT(K226,IFERROR(_xlfn.TEXTBEFORE(AUTO_Public_TSV_FileList!$A$1:$A$1000,".tsv"),"")),0)),"notfound")</f>
        <v>notfound</v>
      </c>
      <c r="M226" s="7" t="s">
        <v>1069</v>
      </c>
      <c r="N226" s="7" t="s">
        <v>455</v>
      </c>
      <c r="O226" s="7" t="s">
        <v>1070</v>
      </c>
      <c r="P226" s="7"/>
      <c r="Q226" s="7"/>
      <c r="R226" s="7" t="s">
        <v>1071</v>
      </c>
      <c r="S226" s="7"/>
      <c r="T226" s="7"/>
      <c r="U226" s="7"/>
      <c r="V226" s="7" t="s">
        <v>881</v>
      </c>
      <c r="W226" s="7" t="s">
        <v>1072</v>
      </c>
      <c r="X226" s="7" t="s">
        <v>1073</v>
      </c>
      <c r="Y226" s="7" t="s">
        <v>1074</v>
      </c>
      <c r="Z226" s="7"/>
      <c r="AA226" s="7" t="s">
        <v>1028</v>
      </c>
      <c r="AB226" s="7" t="s">
        <v>885</v>
      </c>
      <c r="AC226" s="7" t="s">
        <v>839</v>
      </c>
      <c r="AD226" s="7"/>
      <c r="AE226" s="7" t="s">
        <v>66</v>
      </c>
      <c r="AF226" s="7"/>
      <c r="AG226" s="7" t="s">
        <v>1030</v>
      </c>
    </row>
    <row r="227" ht="17" customHeight="1">
      <c r="A227" s="7" t="s">
        <v>1068</v>
      </c>
      <c r="B227" s="9"/>
      <c r="C227" s="9"/>
      <c r="D227" s="7" t="s">
        <v>68</v>
      </c>
      <c r="E227" s="3" t="str">
        <f t="shared" si="27"/>
        <v>Heffner</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5" t="str">
        <f t="shared" si="28"/>
        <v>2008</v>
      </c>
      <c r="H227" s="3" t="str">
        <f t="shared" si="29"/>
        <v>Heffner_etal_2008</v>
      </c>
      <c r="I227" s="3" t="str">
        <f>_xlfn.LET(
_xlpm.doi,IF(C227&lt;&gt;"",C227,_xlfn.TEXTAFTER(A227,"https://doi.org/")),
SUBSTITUTE(
SUBSTITUTE(
SUBSTITUTE(
SUBSTITUTE(
_xlpm.doi,
"/","%2F"),
":","%3A"),
"&lt;","%3C"),
"&gt;","%3E")
)</f>
        <v>10.1016%2Fj.heares.2008.05.001</v>
      </c>
      <c r="J227" s="3" t="str">
        <f t="shared" si="31"/>
        <v>Heffner_etal_2008_Table1</v>
      </c>
      <c r="K227" s="5" t="str">
        <f>I227 &amp; "_" &amp; SUBSTITUTE(SUBSTITUTE(SUBSTITUTE(D227,CHAR(160),""), " ", ""), "_", "")</f>
        <v>10.1016%2Fj.heares.2008.05.001_Table1</v>
      </c>
      <c r="L227" s="5" t="str">
        <f t="array" ref="L227">IFERROR(INDEX(AUTO_Public_TSV_FileList!$A$1:$A$1000,MATCH(TRUE(),EXACT(K227,IFERROR(_xlfn.TEXTBEFORE(AUTO_Public_TSV_FileList!$A$1:$A$1000,".tsv"),"")),0)),"notfound")</f>
        <v>10.1016%2Fj.heares.2008.05.001_Table1.tsv</v>
      </c>
      <c r="M227" s="7" t="s">
        <v>1075</v>
      </c>
      <c r="N227" s="7" t="s">
        <v>35</v>
      </c>
      <c r="O227" s="7" t="s">
        <v>1076</v>
      </c>
      <c r="P227" s="7" t="s">
        <v>36</v>
      </c>
      <c r="Q227" s="9"/>
      <c r="R227" s="7" t="s">
        <v>1071</v>
      </c>
      <c r="S227" s="9"/>
      <c r="T227" s="9"/>
      <c r="U227" s="9"/>
      <c r="V227" s="7" t="s">
        <v>833</v>
      </c>
      <c r="W227" s="7" t="s">
        <v>1077</v>
      </c>
      <c r="X227" s="7" t="s">
        <v>1078</v>
      </c>
      <c r="Y227" s="9"/>
      <c r="Z227" s="7" t="s">
        <v>312</v>
      </c>
      <c r="AA227" s="7" t="s">
        <v>837</v>
      </c>
      <c r="AB227" s="7" t="s">
        <v>1079</v>
      </c>
      <c r="AC227" s="7" t="s">
        <v>839</v>
      </c>
      <c r="AD227" s="9"/>
      <c r="AE227" s="7" t="s">
        <v>51</v>
      </c>
      <c r="AF227" s="9"/>
      <c r="AG227" s="9"/>
    </row>
    <row r="228" ht="17" customHeight="1">
      <c r="A228" s="9" t="s">
        <v>1080</v>
      </c>
      <c r="B228" s="9"/>
      <c r="C228" s="9"/>
      <c r="D228" s="9" t="s">
        <v>305</v>
      </c>
      <c r="E228" s="3" t="str">
        <f t="shared" si="27"/>
        <v>Heffner</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5" t="str">
        <f t="shared" si="28"/>
        <v>2010</v>
      </c>
      <c r="H228" s="3" t="str">
        <f t="shared" si="29"/>
        <v>Heffner_etal_2010</v>
      </c>
      <c r="I228" s="3" t="str">
        <f t="shared" ref="I228:I235" si="36">_xlfn.LET(_xlpm.doi,IF(C228&lt;&gt;"",C228,_xlfn.TEXTAFTER(A228,"https://doi.org/")),SUBSTITUTE(SUBSTITUTE(SUBSTITUTE(SUBSTITUTE(_xlpm.doi,"/","%2F"),":","%3A"),"&lt;","%3C"),"&gt;","%3E"))</f>
        <v>10.1121%2F1.3372717</v>
      </c>
      <c r="J228" s="3" t="str">
        <f t="shared" si="31"/>
        <v>Heffner_etal_2010_TableI</v>
      </c>
      <c r="K228" s="5" t="str">
        <f t="shared" ref="K228:K235" si="37">I228 &amp; "_" &amp; SUBSTITUTE(SUBSTITUTE(SUBSTITUTE(D228,CHAR(160),"")," ",""),"_","")</f>
        <v>10.1121%2F1.3372717_TableI</v>
      </c>
      <c r="L228" s="5" t="str">
        <f t="array" ref="L228">IFERROR(INDEX(AUTO_Public_TSV_FileList!$A$1:$A$1000,MATCH(TRUE(),EXACT(K228,IFERROR(_xlfn.TEXTBEFORE(AUTO_Public_TSV_FileList!$A$1:$A$1000,".tsv"),"")),0)),"notfound")</f>
        <v>10.1121%2F1.3372717_TableI.tsv</v>
      </c>
      <c r="M228" s="9" t="s">
        <v>1081</v>
      </c>
      <c r="N228" s="9" t="s">
        <v>35</v>
      </c>
      <c r="O228" s="9" t="s">
        <v>1082</v>
      </c>
      <c r="P228" s="9" t="s">
        <v>36</v>
      </c>
      <c r="Q228" s="9"/>
      <c r="R228" s="9"/>
      <c r="S228" s="9"/>
      <c r="T228" s="9"/>
      <c r="U228" s="9"/>
      <c r="V228" s="9"/>
      <c r="W228" s="9"/>
      <c r="X228" s="9"/>
      <c r="Y228" s="9"/>
      <c r="Z228" s="9"/>
      <c r="AA228" s="9"/>
      <c r="AB228" s="9"/>
      <c r="AC228" s="9"/>
      <c r="AD228" s="9"/>
      <c r="AE228" s="9"/>
      <c r="AF228" s="9"/>
      <c r="AG228" s="9"/>
    </row>
    <row r="229" ht="17" customHeight="1">
      <c r="A229" s="9" t="s">
        <v>1083</v>
      </c>
      <c r="B229" s="9"/>
      <c r="C229" s="9"/>
      <c r="D229" s="9" t="s">
        <v>393</v>
      </c>
      <c r="E229" s="3" t="str">
        <f t="shared" si="27"/>
        <v>Heffner</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5" t="str">
        <f t="shared" si="28"/>
        <v>2013</v>
      </c>
      <c r="H229" s="3" t="str">
        <f t="shared" si="29"/>
        <v>Heffner_etal_2013</v>
      </c>
      <c r="I229" s="3" t="str">
        <f t="shared" si="36"/>
        <v>10.1016%2Fj.heares.2012.09.011</v>
      </c>
      <c r="J229" s="3" t="str">
        <f t="shared" si="31"/>
        <v>Heffner_etal_2013_Figure2</v>
      </c>
      <c r="K229" s="5" t="str">
        <f t="shared" si="37"/>
        <v>10.1016%2Fj.heares.2012.09.011_Figure2</v>
      </c>
      <c r="L229" s="5" t="str">
        <f t="array" ref="L229">IFERROR(INDEX(AUTO_Public_TSV_FileList!$A$1:$A$1000,MATCH(TRUE(),EXACT(K229,IFERROR(_xlfn.TEXTBEFORE(AUTO_Public_TSV_FileList!$A$1:$A$1000,".tsv"),"")),0)),"notfound")</f>
        <v>notfound</v>
      </c>
      <c r="M229" s="9" t="s">
        <v>1084</v>
      </c>
      <c r="N229" s="9" t="s">
        <v>395</v>
      </c>
      <c r="O229" s="9" t="s">
        <v>928</v>
      </c>
      <c r="P229" s="9" t="s">
        <v>78</v>
      </c>
      <c r="Q229" s="9"/>
      <c r="R229" s="15" t="s">
        <v>1085</v>
      </c>
      <c r="S229" s="9"/>
      <c r="T229" s="9"/>
      <c r="U229" s="9"/>
      <c r="V229" s="9" t="s">
        <v>309</v>
      </c>
      <c r="W229" s="9" t="s">
        <v>1086</v>
      </c>
      <c r="X229" s="9" t="s">
        <v>1038</v>
      </c>
      <c r="Y229" s="9"/>
      <c r="Z229" s="9" t="s">
        <v>312</v>
      </c>
      <c r="AA229" s="9" t="s">
        <v>894</v>
      </c>
      <c r="AB229" s="9" t="s">
        <v>758</v>
      </c>
      <c r="AC229" s="9" t="s">
        <v>839</v>
      </c>
      <c r="AD229" s="9"/>
      <c r="AE229" s="9" t="s">
        <v>66</v>
      </c>
      <c r="AF229" s="9"/>
      <c r="AG229" s="9" t="s">
        <v>931</v>
      </c>
    </row>
    <row r="230" ht="17" customHeight="1">
      <c r="A230" s="9" t="s">
        <v>1083</v>
      </c>
      <c r="B230" s="9"/>
      <c r="C230" s="9"/>
      <c r="D230" s="9" t="s">
        <v>761</v>
      </c>
      <c r="E230" s="3" t="str">
        <f t="shared" si="27"/>
        <v>Heffner</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5" t="str">
        <f t="shared" si="28"/>
        <v>2013</v>
      </c>
      <c r="H230" s="3" t="str">
        <f t="shared" si="29"/>
        <v>Heffner_etal_2013</v>
      </c>
      <c r="I230" s="3" t="str">
        <f t="shared" si="36"/>
        <v>10.1016%2Fj.heares.2012.09.011</v>
      </c>
      <c r="J230" s="3" t="str">
        <f t="shared" si="31"/>
        <v>Heffner_etal_2013_Resultstext</v>
      </c>
      <c r="K230" s="5" t="str">
        <f t="shared" si="37"/>
        <v>10.1016%2Fj.heares.2012.09.011_Resultstext</v>
      </c>
      <c r="L230" s="5" t="str">
        <f t="array" ref="L230">IFERROR(INDEX(AUTO_Public_TSV_FileList!$A$1:$A$1000,MATCH(TRUE(),EXACT(K230,IFERROR(_xlfn.TEXTBEFORE(AUTO_Public_TSV_FileList!$A$1:$A$1000,".tsv"),"")),0)),"notfound")</f>
        <v>10.1016%2Fj.heares.2012.09.011_Resultstext.tsv</v>
      </c>
      <c r="M230" s="9" t="s">
        <v>1087</v>
      </c>
      <c r="N230" s="9" t="s">
        <v>455</v>
      </c>
      <c r="O230" s="9" t="s">
        <v>1088</v>
      </c>
      <c r="P230" s="9" t="s">
        <v>36</v>
      </c>
      <c r="Q230" s="9"/>
      <c r="R230" s="15" t="s">
        <v>1085</v>
      </c>
      <c r="S230" s="9"/>
      <c r="T230" s="9"/>
      <c r="U230" s="9"/>
      <c r="V230" s="9" t="s">
        <v>309</v>
      </c>
      <c r="W230" s="9" t="s">
        <v>1089</v>
      </c>
      <c r="X230" s="9" t="s">
        <v>1090</v>
      </c>
      <c r="Y230" s="9"/>
      <c r="Z230" s="9" t="s">
        <v>312</v>
      </c>
      <c r="AA230" s="9" t="s">
        <v>894</v>
      </c>
      <c r="AB230" s="9" t="s">
        <v>1091</v>
      </c>
      <c r="AC230" s="9" t="s">
        <v>839</v>
      </c>
      <c r="AD230" s="9"/>
      <c r="AE230" s="9" t="s">
        <v>66</v>
      </c>
      <c r="AF230" s="9"/>
      <c r="AG230" s="9" t="s">
        <v>316</v>
      </c>
    </row>
    <row r="231" ht="17" customHeight="1">
      <c r="A231" s="9" t="s">
        <v>1083</v>
      </c>
      <c r="B231" s="9"/>
      <c r="C231" s="9"/>
      <c r="D231" s="9" t="s">
        <v>68</v>
      </c>
      <c r="E231" s="3" t="str">
        <f t="shared" si="27"/>
        <v>Heffner</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5" t="str">
        <f t="shared" si="28"/>
        <v>2013</v>
      </c>
      <c r="H231" s="3" t="str">
        <f t="shared" si="29"/>
        <v>Heffner_etal_2013</v>
      </c>
      <c r="I231" s="3" t="str">
        <f t="shared" si="36"/>
        <v>10.1016%2Fj.heares.2012.09.011</v>
      </c>
      <c r="J231" s="3" t="str">
        <f t="shared" si="31"/>
        <v>Heffner_etal_2013_Table1</v>
      </c>
      <c r="K231" s="5" t="str">
        <f t="shared" si="37"/>
        <v>10.1016%2Fj.heares.2012.09.011_Table1</v>
      </c>
      <c r="L231" s="5" t="str">
        <f t="array" ref="L231">IFERROR(INDEX(AUTO_Public_TSV_FileList!$A$1:$A$1000,MATCH(TRUE(),EXACT(K231,IFERROR(_xlfn.TEXTBEFORE(AUTO_Public_TSV_FileList!$A$1:$A$1000,".tsv"),"")),0)),"notfound")</f>
        <v>notfound</v>
      </c>
      <c r="M231" s="9" t="s">
        <v>1092</v>
      </c>
      <c r="N231" s="9" t="s">
        <v>70</v>
      </c>
      <c r="O231" s="9" t="s">
        <v>928</v>
      </c>
      <c r="P231" s="9" t="s">
        <v>78</v>
      </c>
      <c r="Q231" s="9"/>
      <c r="R231" s="15" t="s">
        <v>1085</v>
      </c>
      <c r="S231" s="9"/>
      <c r="T231" s="9"/>
      <c r="U231" s="9"/>
      <c r="V231" s="9" t="s">
        <v>309</v>
      </c>
      <c r="W231" s="9" t="s">
        <v>1093</v>
      </c>
      <c r="X231" s="9" t="s">
        <v>1094</v>
      </c>
      <c r="Y231" s="9"/>
      <c r="Z231" s="9" t="s">
        <v>312</v>
      </c>
      <c r="AA231" s="9" t="s">
        <v>1011</v>
      </c>
      <c r="AB231" s="9" t="s">
        <v>1095</v>
      </c>
      <c r="AC231" s="9" t="s">
        <v>839</v>
      </c>
      <c r="AD231" s="9"/>
      <c r="AE231" s="9" t="s">
        <v>51</v>
      </c>
      <c r="AF231" s="9" t="s">
        <v>1013</v>
      </c>
      <c r="AG231" s="9" t="s">
        <v>931</v>
      </c>
    </row>
    <row r="232" ht="17" customHeight="1">
      <c r="A232" s="9" t="s">
        <v>1096</v>
      </c>
      <c r="B232" s="9"/>
      <c r="C232" s="9"/>
      <c r="D232" s="9" t="s">
        <v>421</v>
      </c>
      <c r="E232" s="3" t="str">
        <f t="shared" si="27"/>
        <v>Heffner</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5" t="str">
        <f t="shared" si="28"/>
        <v>2014</v>
      </c>
      <c r="H232" s="3" t="str">
        <f t="shared" si="29"/>
        <v>Heffner_etal_2014</v>
      </c>
      <c r="I232" s="3" t="str">
        <f t="shared" si="36"/>
        <v>10.1121%2F1.4861344</v>
      </c>
      <c r="J232" s="3" t="str">
        <f t="shared" si="31"/>
        <v>Heffner_etal_2014_Figure3</v>
      </c>
      <c r="K232" s="5" t="str">
        <f t="shared" si="37"/>
        <v>10.1121%2F1.4861344_Figure3</v>
      </c>
      <c r="L232" s="5" t="str">
        <f t="array" ref="L232">IFERROR(INDEX(AUTO_Public_TSV_FileList!$A$1:$A$1000,MATCH(TRUE(),EXACT(K232,IFERROR(_xlfn.TEXTBEFORE(AUTO_Public_TSV_FileList!$A$1:$A$1000,".tsv"),"")),0)),"notfound")</f>
        <v>notfound</v>
      </c>
      <c r="M232" s="9" t="s">
        <v>1097</v>
      </c>
      <c r="N232" s="9" t="s">
        <v>395</v>
      </c>
      <c r="O232" s="9" t="s">
        <v>928</v>
      </c>
      <c r="P232" s="9" t="s">
        <v>78</v>
      </c>
      <c r="Q232" s="9"/>
      <c r="R232" s="15" t="s">
        <v>1098</v>
      </c>
      <c r="S232" s="9"/>
      <c r="T232" s="9"/>
      <c r="U232" s="9"/>
      <c r="V232" s="9" t="s">
        <v>309</v>
      </c>
      <c r="W232" s="9" t="s">
        <v>1099</v>
      </c>
      <c r="X232" s="9" t="s">
        <v>1100</v>
      </c>
      <c r="Y232" s="9"/>
      <c r="Z232" s="9" t="s">
        <v>312</v>
      </c>
      <c r="AA232" s="9" t="s">
        <v>894</v>
      </c>
      <c r="AB232" s="9" t="s">
        <v>758</v>
      </c>
      <c r="AC232" s="9" t="s">
        <v>839</v>
      </c>
      <c r="AD232" s="9"/>
      <c r="AE232" s="9" t="s">
        <v>66</v>
      </c>
      <c r="AF232" s="9"/>
      <c r="AG232" s="9" t="s">
        <v>931</v>
      </c>
    </row>
    <row r="233" ht="17" customHeight="1">
      <c r="A233" s="9" t="s">
        <v>1096</v>
      </c>
      <c r="B233" s="9"/>
      <c r="C233" s="9"/>
      <c r="D233" s="9" t="s">
        <v>1101</v>
      </c>
      <c r="E233" s="3" t="str">
        <f t="shared" si="27"/>
        <v>Heffner</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5" t="str">
        <f t="shared" si="28"/>
        <v>2014</v>
      </c>
      <c r="H233" s="3" t="str">
        <f t="shared" si="29"/>
        <v>Heffner_etal_2014</v>
      </c>
      <c r="I233" s="3" t="str">
        <f t="shared" si="36"/>
        <v>10.1121%2F1.4861344</v>
      </c>
      <c r="J233" s="3" t="str">
        <f t="shared" si="31"/>
        <v>Heffner_etal_2014_Figure9</v>
      </c>
      <c r="K233" s="5" t="str">
        <f t="shared" si="37"/>
        <v>10.1121%2F1.4861344_Figure9</v>
      </c>
      <c r="L233" s="5" t="str">
        <f t="array" ref="L233">IFERROR(INDEX(AUTO_Public_TSV_FileList!$A$1:$A$1000,MATCH(TRUE(),EXACT(K233,IFERROR(_xlfn.TEXTBEFORE(AUTO_Public_TSV_FileList!$A$1:$A$1000,".tsv"),"")),0)),"notfound")</f>
        <v>notfound</v>
      </c>
      <c r="M233" s="9" t="s">
        <v>1102</v>
      </c>
      <c r="N233" s="9" t="s">
        <v>395</v>
      </c>
      <c r="O233" s="9" t="s">
        <v>928</v>
      </c>
      <c r="P233" s="9" t="s">
        <v>78</v>
      </c>
      <c r="Q233" s="9"/>
      <c r="R233" s="15" t="s">
        <v>1098</v>
      </c>
      <c r="S233" s="9"/>
      <c r="T233" s="9"/>
      <c r="U233" s="9"/>
      <c r="V233" s="9" t="s">
        <v>309</v>
      </c>
      <c r="W233" s="9" t="s">
        <v>1042</v>
      </c>
      <c r="X233" s="9" t="s">
        <v>1017</v>
      </c>
      <c r="Y233" s="9"/>
      <c r="Z233" s="9" t="s">
        <v>836</v>
      </c>
      <c r="AA233" s="9" t="s">
        <v>1011</v>
      </c>
      <c r="AB233" s="9" t="s">
        <v>885</v>
      </c>
      <c r="AC233" s="9" t="s">
        <v>839</v>
      </c>
      <c r="AD233" s="9"/>
      <c r="AE233" s="9" t="s">
        <v>215</v>
      </c>
      <c r="AF233" s="9" t="s">
        <v>1013</v>
      </c>
      <c r="AG233" s="9" t="s">
        <v>939</v>
      </c>
    </row>
    <row r="234" ht="17" customHeight="1">
      <c r="A234" s="9" t="s">
        <v>1096</v>
      </c>
      <c r="B234" s="9"/>
      <c r="C234" s="9"/>
      <c r="D234" s="9" t="s">
        <v>1103</v>
      </c>
      <c r="E234" s="3" t="str">
        <f t="shared" si="27"/>
        <v>Heffner</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5" t="str">
        <f t="shared" si="28"/>
        <v>2014</v>
      </c>
      <c r="H234" s="3" t="str">
        <f t="shared" si="29"/>
        <v>Heffner_etal_2014</v>
      </c>
      <c r="I234" s="3" t="str">
        <f t="shared" si="36"/>
        <v>10.1121%2F1.4861344</v>
      </c>
      <c r="J234" s="3" t="str">
        <f t="shared" si="31"/>
        <v>Heffner_etal_2014_Figures10-11</v>
      </c>
      <c r="K234" s="5" t="str">
        <f t="shared" si="37"/>
        <v>10.1121%2F1.4861344_Figures10-11</v>
      </c>
      <c r="L234" s="5" t="str">
        <f t="array" ref="L234">IFERROR(INDEX(AUTO_Public_TSV_FileList!$A$1:$A$1000,MATCH(TRUE(),EXACT(K234,IFERROR(_xlfn.TEXTBEFORE(AUTO_Public_TSV_FileList!$A$1:$A$1000,".tsv"),"")),0)),"notfound")</f>
        <v>notfound</v>
      </c>
      <c r="M234" s="9" t="s">
        <v>1104</v>
      </c>
      <c r="N234" s="9" t="s">
        <v>395</v>
      </c>
      <c r="O234" s="9" t="s">
        <v>928</v>
      </c>
      <c r="P234" s="9" t="s">
        <v>78</v>
      </c>
      <c r="Q234" s="9"/>
      <c r="R234" s="15" t="s">
        <v>1098</v>
      </c>
      <c r="S234" s="9"/>
      <c r="T234" s="9"/>
      <c r="U234" s="9"/>
      <c r="V234" s="9" t="s">
        <v>309</v>
      </c>
      <c r="W234" s="9" t="s">
        <v>1042</v>
      </c>
      <c r="X234" s="9" t="s">
        <v>1105</v>
      </c>
      <c r="Y234" s="9"/>
      <c r="Z234" s="9" t="s">
        <v>836</v>
      </c>
      <c r="AA234" s="9" t="s">
        <v>1011</v>
      </c>
      <c r="AB234" s="9" t="s">
        <v>1106</v>
      </c>
      <c r="AC234" s="9" t="s">
        <v>839</v>
      </c>
      <c r="AD234" s="9"/>
      <c r="AE234" s="9" t="s">
        <v>215</v>
      </c>
      <c r="AF234" s="9" t="s">
        <v>1013</v>
      </c>
      <c r="AG234" s="9" t="s">
        <v>939</v>
      </c>
    </row>
    <row r="235" ht="17" customHeight="1">
      <c r="A235" s="9" t="s">
        <v>1096</v>
      </c>
      <c r="B235" s="9"/>
      <c r="C235" s="9"/>
      <c r="D235" s="9" t="s">
        <v>761</v>
      </c>
      <c r="E235" s="3" t="str">
        <f t="shared" si="27"/>
        <v>Heffner</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5" t="str">
        <f t="shared" si="28"/>
        <v>2014</v>
      </c>
      <c r="H235" s="3" t="str">
        <f t="shared" si="29"/>
        <v>Heffner_etal_2014</v>
      </c>
      <c r="I235" s="3" t="str">
        <f t="shared" si="36"/>
        <v>10.1121%2F1.4861344</v>
      </c>
      <c r="J235" s="3" t="str">
        <f t="shared" si="31"/>
        <v>Heffner_etal_2014_Resultstext</v>
      </c>
      <c r="K235" s="5" t="str">
        <f t="shared" si="37"/>
        <v>10.1121%2F1.4861344_Resultstext</v>
      </c>
      <c r="L235" s="5" t="str">
        <f t="array" ref="L235">IFERROR(INDEX(AUTO_Public_TSV_FileList!$A$1:$A$1000,MATCH(TRUE(),EXACT(K235,IFERROR(_xlfn.TEXTBEFORE(AUTO_Public_TSV_FileList!$A$1:$A$1000,".tsv"),"")),0)),"notfound")</f>
        <v>10.1121%2F1.4861344_Resultstext.tsv</v>
      </c>
      <c r="M235" s="9" t="s">
        <v>1107</v>
      </c>
      <c r="N235" s="9" t="s">
        <v>455</v>
      </c>
      <c r="O235" s="9" t="s">
        <v>1108</v>
      </c>
      <c r="P235" s="9" t="s">
        <v>72</v>
      </c>
      <c r="Q235" s="9"/>
      <c r="R235" s="15" t="s">
        <v>1098</v>
      </c>
      <c r="S235" s="9"/>
      <c r="T235" s="9"/>
      <c r="U235" s="9"/>
      <c r="V235" s="9" t="s">
        <v>309</v>
      </c>
      <c r="W235" s="9" t="s">
        <v>1109</v>
      </c>
      <c r="X235" s="9" t="s">
        <v>1110</v>
      </c>
      <c r="Y235" s="9"/>
      <c r="Z235" s="9" t="s">
        <v>312</v>
      </c>
      <c r="AA235" s="9" t="s">
        <v>1111</v>
      </c>
      <c r="AB235" s="9" t="s">
        <v>1112</v>
      </c>
      <c r="AC235" s="9" t="s">
        <v>839</v>
      </c>
      <c r="AD235" s="9"/>
      <c r="AE235" s="9" t="s">
        <v>66</v>
      </c>
      <c r="AF235" s="9"/>
      <c r="AG235" s="9" t="s">
        <v>316</v>
      </c>
    </row>
    <row r="236" ht="17" customHeight="1">
      <c r="A236" s="7" t="s">
        <v>1113</v>
      </c>
      <c r="B236" s="9"/>
      <c r="C236" s="9"/>
      <c r="D236" s="7" t="s">
        <v>305</v>
      </c>
      <c r="E236" s="3" t="str">
        <f t="shared" si="27"/>
        <v>Heffner</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5" t="str">
        <f t="shared" si="28"/>
        <v>2015</v>
      </c>
      <c r="H236" s="3" t="str">
        <f t="shared" si="29"/>
        <v>Heffner_etal_2015</v>
      </c>
      <c r="I236" s="3" t="str">
        <f>_xlfn.LET(
_xlpm.doi,IF(C236&lt;&gt;"",C236,_xlfn.TEXTAFTER(A236,"https://doi.org/")),
SUBSTITUTE(
SUBSTITUTE(
SUBSTITUTE(
SUBSTITUTE(
_xlpm.doi,
"/","%2F"),
":","%3A"),
"&lt;","%3C"),
"&gt;","%3E")
)</f>
        <v>10.1121%2F1.4904529</v>
      </c>
      <c r="J236" s="3" t="str">
        <f t="shared" si="31"/>
        <v>Heffner_etal_2015_TableI</v>
      </c>
      <c r="K236" s="5" t="str">
        <f>I236 &amp; "_" &amp; SUBSTITUTE(SUBSTITUTE(SUBSTITUTE(D236,CHAR(160),""), " ", ""), "_", "")</f>
        <v>10.1121%2F1.4904529_TableI</v>
      </c>
      <c r="L236" s="5" t="str">
        <f t="array" ref="L236">IFERROR(INDEX(AUTO_Public_TSV_FileList!$A$1:$A$1000,MATCH(TRUE(),EXACT(K236,IFERROR(_xlfn.TEXTBEFORE(AUTO_Public_TSV_FileList!$A$1:$A$1000,".tsv"),"")),0)),"notfound")</f>
        <v>10.1121%2F1.4904529_TableI.tsv</v>
      </c>
      <c r="M236" s="7" t="s">
        <v>1114</v>
      </c>
      <c r="N236" s="7" t="s">
        <v>35</v>
      </c>
      <c r="O236" s="7" t="s">
        <v>1115</v>
      </c>
      <c r="P236" s="7" t="s">
        <v>36</v>
      </c>
      <c r="Q236" s="9"/>
      <c r="R236" s="7" t="s">
        <v>1116</v>
      </c>
      <c r="S236" s="9"/>
      <c r="T236" s="9"/>
      <c r="U236" s="9"/>
      <c r="V236" s="7" t="s">
        <v>833</v>
      </c>
      <c r="W236" s="7" t="s">
        <v>1077</v>
      </c>
      <c r="X236" s="7" t="s">
        <v>1117</v>
      </c>
      <c r="Y236" s="7" t="s">
        <v>1118</v>
      </c>
      <c r="Z236" s="7" t="s">
        <v>312</v>
      </c>
      <c r="AA236" s="7" t="s">
        <v>837</v>
      </c>
      <c r="AB236" s="7" t="s">
        <v>1119</v>
      </c>
      <c r="AC236" s="7" t="s">
        <v>839</v>
      </c>
      <c r="AD236" s="9"/>
      <c r="AE236" s="7" t="s">
        <v>51</v>
      </c>
      <c r="AF236" s="9"/>
      <c r="AG236" s="9"/>
    </row>
    <row r="237" ht="17" customHeight="1">
      <c r="A237" s="7" t="s">
        <v>1120</v>
      </c>
      <c r="B237" s="7"/>
      <c r="C237" s="7"/>
      <c r="D237" s="7" t="s">
        <v>265</v>
      </c>
      <c r="E237" s="3" t="str">
        <f t="shared" si="27"/>
        <v>Heffner</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5" t="str">
        <f t="shared" si="28"/>
        <v>2015</v>
      </c>
      <c r="H237" s="3" t="str">
        <f t="shared" si="29"/>
        <v>Heffner_etal_2015</v>
      </c>
      <c r="I237" s="3" t="str">
        <f>_xlfn.LET(_xlpm.doi,IF(C237&lt;&gt;"",C237,_xlfn.TEXTAFTER(A237,"https://doi.org/")),SUBSTITUTE(SUBSTITUTE(SUBSTITUTE(SUBSTITUTE(_xlpm.doi,"/","%2F"),":","%3A"),"&lt;","%3C"),"&gt;","%3E"))</f>
        <v>10.1121%2F1.4904529</v>
      </c>
      <c r="J237" s="3" t="str">
        <f t="shared" si="31"/>
        <v>Heffner_etal_2015_TABLEI</v>
      </c>
      <c r="K237" s="5" t="str">
        <f t="shared" ref="K237:K268" si="38">I237 &amp; "_" &amp; SUBSTITUTE(SUBSTITUTE(SUBSTITUTE(D237,CHAR(160),"")," ",""),"_","")</f>
        <v>10.1121%2F1.4904529_TABLEI</v>
      </c>
      <c r="L237" s="5" t="str">
        <f t="array" ref="L237">IFERROR(INDEX(AUTO_Public_TSV_FileList!$A$1:$A$1000,MATCH(TRUE(),EXACT(K237,IFERROR(_xlfn.TEXTBEFORE(AUTO_Public_TSV_FileList!$A$1:$A$1000,".tsv"),"")),0)),"notfound")</f>
        <v>notfound</v>
      </c>
      <c r="M237" s="7" t="s">
        <v>1121</v>
      </c>
      <c r="N237" s="7" t="s">
        <v>70</v>
      </c>
      <c r="O237" s="7" t="s">
        <v>1122</v>
      </c>
      <c r="P237" s="7"/>
      <c r="Q237" s="7"/>
      <c r="R237" s="7" t="s">
        <v>1116</v>
      </c>
      <c r="S237" s="7"/>
      <c r="T237" s="7" t="s">
        <v>1123</v>
      </c>
      <c r="U237" s="7"/>
      <c r="V237" s="7" t="s">
        <v>309</v>
      </c>
      <c r="W237" s="7" t="s">
        <v>1124</v>
      </c>
      <c r="X237" s="7" t="s">
        <v>1125</v>
      </c>
      <c r="Y237" s="7" t="s">
        <v>1126</v>
      </c>
      <c r="Z237" s="7"/>
      <c r="AA237" s="7" t="s">
        <v>1127</v>
      </c>
      <c r="AB237" s="7" t="s">
        <v>1128</v>
      </c>
      <c r="AC237" s="7" t="s">
        <v>839</v>
      </c>
      <c r="AD237" s="7"/>
      <c r="AE237" s="7" t="s">
        <v>51</v>
      </c>
      <c r="AF237" s="7" t="s">
        <v>1129</v>
      </c>
      <c r="AG237" s="7" t="s">
        <v>1130</v>
      </c>
    </row>
    <row r="238" ht="17" customHeight="1">
      <c r="A238" s="1" t="s">
        <v>1131</v>
      </c>
      <c r="B238" s="9"/>
      <c r="C238" s="9"/>
      <c r="D238" s="1" t="s">
        <v>421</v>
      </c>
      <c r="E238" s="5" t="str">
        <f t="shared" si="27"/>
        <v>Heffner</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5" t="str">
        <f t="shared" si="28"/>
        <v>2020</v>
      </c>
      <c r="H238" s="5" t="str">
        <f t="shared" si="29"/>
        <v>Heffner_etal_2020</v>
      </c>
      <c r="I238" s="5" t="str">
        <f>_xlfn.LET(
_xlpm.doi,IF(C238&lt;&gt;"",C238,_xlfn.TEXTAFTER(A238,"https://doi.org/")),
SUBSTITUTE(
SUBSTITUTE(
SUBSTITUTE(
SUBSTITUTE(
_xlpm.doi,
"/","%2F"),
":","%3A"),
"&lt;","%3C"),
"&gt;","%3E")
)</f>
        <v>10.1007%2Fs00359-020-01424-8</v>
      </c>
      <c r="J238" s="5" t="str">
        <f t="shared" si="31"/>
        <v>Heffner_etal_2020_Figure3</v>
      </c>
      <c r="K238" s="5" t="str">
        <f t="shared" si="38"/>
        <v>10.1007%2Fs00359-020-01424-8_Figure3</v>
      </c>
      <c r="L238" s="5" t="str">
        <f t="array" ref="L238">IFERROR(INDEX(AUTO_Public_TSV_FileList!$A$1:$A$1000,MATCH(TRUE(),EXACT(K238,IFERROR(_xlfn.TEXTBEFORE(AUTO_Public_TSV_FileList!$A$1:$A$1000,".tsv"),"")),0)),"notfound")</f>
        <v>10.1007%2Fs00359-020-01424-8_Figure3.tsv</v>
      </c>
      <c r="M238" s="7" t="s">
        <v>1132</v>
      </c>
      <c r="N238" s="1" t="s">
        <v>395</v>
      </c>
      <c r="O238" s="7" t="s">
        <v>1133</v>
      </c>
      <c r="P238" s="1" t="s">
        <v>36</v>
      </c>
      <c r="Q238" s="1"/>
      <c r="R238" s="1"/>
      <c r="S238" s="7"/>
      <c r="T238" s="7"/>
      <c r="U238" s="7"/>
      <c r="V238" s="1"/>
      <c r="W238" s="7" t="s">
        <v>1134</v>
      </c>
      <c r="X238" s="7" t="s">
        <v>1135</v>
      </c>
      <c r="Y238" s="7"/>
      <c r="Z238" s="7"/>
      <c r="AA238" s="7"/>
      <c r="AB238" s="7" t="s">
        <v>991</v>
      </c>
      <c r="AC238" s="7" t="s">
        <v>839</v>
      </c>
      <c r="AD238" s="7"/>
      <c r="AE238" s="7" t="s">
        <v>51</v>
      </c>
      <c r="AF238" s="1"/>
      <c r="AG238" s="7"/>
    </row>
    <row r="239" ht="17" customHeight="1">
      <c r="A239" s="9" t="s">
        <v>1136</v>
      </c>
      <c r="B239" s="9" t="s">
        <v>360</v>
      </c>
      <c r="C239" s="9"/>
      <c r="D239" s="9" t="s">
        <v>68</v>
      </c>
      <c r="E239" s="3" t="str">
        <f t="shared" si="27"/>
        <v>Heffner</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5" t="str">
        <f t="shared" si="28"/>
        <v>2010</v>
      </c>
      <c r="H239" s="3" t="str">
        <f t="shared" si="29"/>
        <v>Heffner_Heffner_2010_b</v>
      </c>
      <c r="I239" s="3" t="str">
        <f>_xlfn.LET(_xlpm.doi,IF(C239&lt;&gt;"",C239,_xlfn.TEXTAFTER(A239,"https://doi.org/")),SUBSTITUTE(SUBSTITUTE(SUBSTITUTE(SUBSTITUTE(_xlpm.doi,"/","%2F"),":","%3A"),"&lt;","%3C"),"&gt;","%3E"))</f>
        <v>10.1002%2Far.21292</v>
      </c>
      <c r="J239" s="3" t="str">
        <f t="shared" si="31"/>
        <v>Heffner_Heffner_2010_b_Table1</v>
      </c>
      <c r="K239" s="5" t="str">
        <f t="shared" si="38"/>
        <v>10.1002%2Far.21292_Table1</v>
      </c>
      <c r="L239" s="5" t="str">
        <f t="array" ref="L239">IFERROR(INDEX(AUTO_Public_TSV_FileList!$A$1:$A$1000,MATCH(TRUE(),EXACT(K239,IFERROR(_xlfn.TEXTBEFORE(AUTO_Public_TSV_FileList!$A$1:$A$1000,".tsv"),"")),0)),"notfound")</f>
        <v>10.1002%2Far.21292_Table1.tsv</v>
      </c>
      <c r="M239" s="9" t="s">
        <v>1137</v>
      </c>
      <c r="N239" s="9" t="s">
        <v>70</v>
      </c>
      <c r="O239" s="9" t="s">
        <v>1138</v>
      </c>
      <c r="P239" s="9" t="s">
        <v>36</v>
      </c>
      <c r="Q239" s="9"/>
      <c r="R239" s="15" t="s">
        <v>1139</v>
      </c>
      <c r="S239" s="9"/>
      <c r="T239" s="9"/>
      <c r="U239" s="9"/>
      <c r="V239" s="9" t="s">
        <v>309</v>
      </c>
      <c r="W239" s="9" t="s">
        <v>1140</v>
      </c>
      <c r="X239" s="9" t="s">
        <v>1141</v>
      </c>
      <c r="Y239" s="9"/>
      <c r="Z239" s="9" t="s">
        <v>836</v>
      </c>
      <c r="AA239" s="9" t="s">
        <v>1011</v>
      </c>
      <c r="AB239" s="9" t="s">
        <v>1142</v>
      </c>
      <c r="AC239" s="9" t="s">
        <v>839</v>
      </c>
      <c r="AD239" s="9"/>
      <c r="AE239" s="9" t="s">
        <v>215</v>
      </c>
      <c r="AF239" s="9" t="s">
        <v>1143</v>
      </c>
      <c r="AG239" s="9" t="s">
        <v>316</v>
      </c>
    </row>
    <row r="240" ht="17" customHeight="1">
      <c r="A240" s="1" t="s">
        <v>1144</v>
      </c>
      <c r="B240" s="9"/>
      <c r="C240" s="9"/>
      <c r="D240" s="1" t="s">
        <v>305</v>
      </c>
      <c r="E240" s="5" t="str">
        <f t="shared" si="27"/>
        <v>Heffner</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5" t="str">
        <f t="shared" si="28"/>
        <v>1975</v>
      </c>
      <c r="H240" s="5" t="str">
        <f t="shared" si="29"/>
        <v>Heffner_Masterton_1975</v>
      </c>
      <c r="I240" s="5" t="str">
        <f t="shared" ref="I240:I251" si="39">_xlfn.LET(
_xlpm.doi,IF(C240&lt;&gt;"",C240,_xlfn.TEXTAFTER(A240,"https://doi.org/")),
SUBSTITUTE(
SUBSTITUTE(
SUBSTITUTE(
SUBSTITUTE(
_xlpm.doi,
"/","%2F"),
":","%3A"),
"&lt;","%3C"),
"&gt;","%3E")
)</f>
        <v>10.1159%2F000124401</v>
      </c>
      <c r="J240" s="5" t="str">
        <f t="shared" si="31"/>
        <v>Heffner_Masterton_1975_TableI</v>
      </c>
      <c r="K240" s="5" t="str">
        <f t="shared" si="38"/>
        <v>10.1159%2F000124401_TableI</v>
      </c>
      <c r="L240" s="5" t="str">
        <f t="array" ref="L240">IFERROR(INDEX(AUTO_Public_TSV_FileList!$A$1:$A$1000,MATCH(TRUE(),EXACT(K240,IFERROR(_xlfn.TEXTBEFORE(AUTO_Public_TSV_FileList!$A$1:$A$1000,".tsv"),"")),0)),"notfound")</f>
        <v>10.1159%2F000124401_TableI.tsv</v>
      </c>
      <c r="M240" s="7"/>
      <c r="N240" s="1" t="s">
        <v>35</v>
      </c>
      <c r="O240" s="7"/>
      <c r="P240" s="1" t="s">
        <v>36</v>
      </c>
      <c r="Q240" s="1"/>
      <c r="R240" s="1" t="s">
        <v>788</v>
      </c>
      <c r="S240" s="7"/>
      <c r="T240" s="7"/>
      <c r="U240" s="7"/>
      <c r="V240" s="1"/>
      <c r="W240" s="1" t="s">
        <v>174</v>
      </c>
      <c r="X240" s="1" t="s">
        <v>1145</v>
      </c>
      <c r="Y240" s="1" t="s">
        <v>1146</v>
      </c>
      <c r="Z240" s="7"/>
      <c r="AA240" s="7"/>
      <c r="AB240" s="1" t="s">
        <v>1147</v>
      </c>
      <c r="AC240" s="7"/>
      <c r="AD240" s="7"/>
      <c r="AE240" s="1" t="s">
        <v>51</v>
      </c>
      <c r="AF240" s="1"/>
      <c r="AG240" s="7"/>
    </row>
    <row r="241" ht="17" customHeight="1">
      <c r="A241" s="1" t="s">
        <v>1148</v>
      </c>
      <c r="B241" s="9"/>
      <c r="C241" s="1" t="s">
        <v>1149</v>
      </c>
      <c r="D241" s="1" t="s">
        <v>58</v>
      </c>
      <c r="E241" s="5" t="str">
        <f t="shared" si="27"/>
        <v>Heiss</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5" t="str">
        <f t="shared" si="28"/>
        <v>2004</v>
      </c>
      <c r="H241" s="5" t="str">
        <f t="shared" si="29"/>
        <v>Heiss_etal_2004</v>
      </c>
      <c r="I241" s="5" t="str">
        <f t="shared" si="39"/>
        <v>PMID%3A15534048</v>
      </c>
      <c r="J241" s="5" t="str">
        <f t="shared" si="31"/>
        <v>Heiss_etal_2004_TABLE1</v>
      </c>
      <c r="K241" s="5" t="str">
        <f t="shared" si="38"/>
        <v>PMID%3A15534048_TABLE1</v>
      </c>
      <c r="L241" s="5" t="str">
        <f t="array" ref="L241">IFERROR(INDEX(AUTO_Public_TSV_FileList!$A$1:$A$1000,MATCH(TRUE(),EXACT(K241,IFERROR(_xlfn.TEXTBEFORE(AUTO_Public_TSV_FileList!$A$1:$A$1000,".tsv"),"")),0)),"notfound")</f>
        <v>PMID%3A15534048_TABLE1.tsv</v>
      </c>
      <c r="M241" s="1" t="s">
        <v>1150</v>
      </c>
      <c r="N241" s="7"/>
      <c r="O241" s="1"/>
      <c r="P241" s="7" t="s">
        <v>36</v>
      </c>
      <c r="Q241" s="7"/>
      <c r="R241" s="1" t="s">
        <v>788</v>
      </c>
      <c r="S241" s="7"/>
      <c r="T241" s="7"/>
      <c r="U241" s="7"/>
      <c r="V241" s="7"/>
      <c r="W241" s="1" t="s">
        <v>816</v>
      </c>
      <c r="X241" s="1" t="s">
        <v>1151</v>
      </c>
      <c r="Y241" s="7"/>
      <c r="Z241" s="7"/>
      <c r="AA241" s="7"/>
      <c r="AB241" s="1" t="s">
        <v>1152</v>
      </c>
      <c r="AC241" s="7"/>
      <c r="AD241" s="7"/>
      <c r="AE241" s="1" t="s">
        <v>66</v>
      </c>
      <c r="AF241" s="1"/>
      <c r="AG241" s="7"/>
    </row>
    <row r="242" ht="17" customHeight="1">
      <c r="A242" s="1" t="s">
        <v>1153</v>
      </c>
      <c r="B242" s="9"/>
      <c r="C242" s="9"/>
      <c r="D242" s="1" t="s">
        <v>286</v>
      </c>
      <c r="E242" s="5" t="str">
        <f t="shared" si="27"/>
        <v>Heldstab</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5" t="str">
        <f t="shared" si="28"/>
        <v>2016</v>
      </c>
      <c r="H242" s="5" t="str">
        <f t="shared" si="29"/>
        <v>Heldstab_etal_2016</v>
      </c>
      <c r="I242" s="5" t="str">
        <f t="shared" si="39"/>
        <v>10.1038%2Fsrep24528</v>
      </c>
      <c r="J242" s="5" t="str">
        <f t="shared" si="31"/>
        <v>Heldstab_etal_2016_TableS1</v>
      </c>
      <c r="K242" s="5" t="str">
        <f t="shared" si="38"/>
        <v>10.1038%2Fsrep24528_TableS1</v>
      </c>
      <c r="L242" s="5" t="str">
        <f t="array" ref="L242">IFERROR(INDEX(AUTO_Public_TSV_FileList!$A$1:$A$1000,MATCH(TRUE(),EXACT(K242,IFERROR(_xlfn.TEXTBEFORE(AUTO_Public_TSV_FileList!$A$1:$A$1000,".tsv"),"")),0)),"notfound")</f>
        <v>10.1038%2Fsrep24528_TableS1.tsv</v>
      </c>
      <c r="M242" s="7"/>
      <c r="N242" s="1" t="s">
        <v>35</v>
      </c>
      <c r="O242" s="7"/>
      <c r="P242" s="7" t="s">
        <v>36</v>
      </c>
      <c r="Q242" s="7"/>
      <c r="R242" s="1" t="s">
        <v>788</v>
      </c>
      <c r="S242" s="7"/>
      <c r="T242" s="7"/>
      <c r="U242" s="7"/>
      <c r="V242" s="1"/>
      <c r="W242" s="1" t="s">
        <v>137</v>
      </c>
      <c r="X242" s="1" t="s">
        <v>1154</v>
      </c>
      <c r="Y242" s="7"/>
      <c r="Z242" s="7"/>
      <c r="AA242" s="7"/>
      <c r="AB242" s="1" t="s">
        <v>1155</v>
      </c>
      <c r="AC242" s="7"/>
      <c r="AD242" s="7"/>
      <c r="AE242" s="1" t="s">
        <v>215</v>
      </c>
      <c r="AF242" s="1"/>
      <c r="AG242" s="7"/>
    </row>
    <row r="243" ht="17" customHeight="1">
      <c r="A243" s="1" t="s">
        <v>1156</v>
      </c>
      <c r="B243" s="9"/>
      <c r="C243" s="9"/>
      <c r="D243" s="1" t="s">
        <v>68</v>
      </c>
      <c r="E243" s="5" t="str">
        <f t="shared" si="27"/>
        <v>HerculanoHouzel</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3" s="5" t="str">
        <f t="shared" si="28"/>
        <v>2015</v>
      </c>
      <c r="H243" s="5" t="str">
        <f t="shared" si="29"/>
        <v>HerculanoHouzel__2015</v>
      </c>
      <c r="I243" s="5" t="str">
        <f t="shared" si="39"/>
        <v>10.1098%2Frspb.2015.1853</v>
      </c>
      <c r="J243" s="5" t="str">
        <f t="shared" si="31"/>
        <v>HerculanoHouzel__2015_Table1</v>
      </c>
      <c r="K243" s="5" t="str">
        <f t="shared" si="38"/>
        <v>10.1098%2Frspb.2015.1853_Table1</v>
      </c>
      <c r="L243" s="5" t="str">
        <f t="array" ref="L243">IFERROR(INDEX(AUTO_Public_TSV_FileList!$A$1:$A$1000,MATCH(TRUE(),EXACT(K243,IFERROR(_xlfn.TEXTBEFORE(AUTO_Public_TSV_FileList!$A$1:$A$1000,".tsv"),"")),0)),"notfound")</f>
        <v>10.1098%2Frspb.2015.1853_Table1.tsv</v>
      </c>
      <c r="M243" s="7"/>
      <c r="N243" s="1" t="s">
        <v>35</v>
      </c>
      <c r="O243" s="7"/>
      <c r="P243" s="7" t="s">
        <v>36</v>
      </c>
      <c r="Q243" s="7"/>
      <c r="R243" s="7"/>
      <c r="S243" s="7"/>
      <c r="T243" s="7"/>
      <c r="U243" s="7"/>
      <c r="V243" s="7"/>
      <c r="W243" s="1" t="s">
        <v>174</v>
      </c>
      <c r="X243" s="1" t="s">
        <v>1157</v>
      </c>
      <c r="Y243" s="7"/>
      <c r="Z243" s="7"/>
      <c r="AA243" s="7"/>
      <c r="AB243" s="1" t="s">
        <v>1158</v>
      </c>
      <c r="AC243" s="7"/>
      <c r="AD243" s="7"/>
      <c r="AE243" s="1" t="s">
        <v>51</v>
      </c>
      <c r="AF243" s="1"/>
      <c r="AG243" s="7"/>
    </row>
    <row r="244" ht="17" customHeight="1">
      <c r="A244" s="1" t="s">
        <v>1156</v>
      </c>
      <c r="B244" s="9"/>
      <c r="C244" s="9"/>
      <c r="D244" s="1" t="s">
        <v>108</v>
      </c>
      <c r="E244" s="5" t="str">
        <f t="shared" si="27"/>
        <v>HerculanoHouzel</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44" s="5" t="str">
        <f t="shared" si="28"/>
        <v>2015</v>
      </c>
      <c r="H244" s="5" t="str">
        <f t="shared" si="29"/>
        <v>HerculanoHouzel__2015</v>
      </c>
      <c r="I244" s="5" t="str">
        <f t="shared" si="39"/>
        <v>10.1098%2Frspb.2015.1853</v>
      </c>
      <c r="J244" s="5" t="str">
        <f t="shared" si="31"/>
        <v>HerculanoHouzel__2015_Table2</v>
      </c>
      <c r="K244" s="5" t="str">
        <f t="shared" si="38"/>
        <v>10.1098%2Frspb.2015.1853_Table2</v>
      </c>
      <c r="L244" s="5" t="str">
        <f t="array" ref="L244">IFERROR(INDEX(AUTO_Public_TSV_FileList!$A$1:$A$1000,MATCH(TRUE(),EXACT(K244,IFERROR(_xlfn.TEXTBEFORE(AUTO_Public_TSV_FileList!$A$1:$A$1000,".tsv"),"")),0)),"notfound")</f>
        <v>10.1098%2Frspb.2015.1853_Table2.tsv</v>
      </c>
      <c r="M244" s="1" t="s">
        <v>1159</v>
      </c>
      <c r="N244" s="1" t="s">
        <v>35</v>
      </c>
      <c r="O244" s="1"/>
      <c r="P244" s="7" t="s">
        <v>36</v>
      </c>
      <c r="Q244" s="7"/>
      <c r="R244" s="7"/>
      <c r="S244" s="7"/>
      <c r="T244" s="7"/>
      <c r="U244" s="7"/>
      <c r="V244" s="7"/>
      <c r="W244" s="1" t="s">
        <v>174</v>
      </c>
      <c r="X244" s="1" t="s">
        <v>1160</v>
      </c>
      <c r="Y244" s="7"/>
      <c r="Z244" s="7"/>
      <c r="AA244" s="7"/>
      <c r="AB244" s="1" t="s">
        <v>1161</v>
      </c>
      <c r="AC244" s="7"/>
      <c r="AD244" s="7"/>
      <c r="AE244" s="1" t="s">
        <v>51</v>
      </c>
      <c r="AF244" s="1"/>
      <c r="AG244" s="7"/>
    </row>
    <row r="245" ht="17" customHeight="1">
      <c r="A245" s="1" t="s">
        <v>1162</v>
      </c>
      <c r="B245" s="9"/>
      <c r="C245" s="9"/>
      <c r="D245" s="1" t="s">
        <v>68</v>
      </c>
      <c r="E245" s="5" t="str">
        <f t="shared" si="27"/>
        <v>HerculanoHouzel</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5" t="str">
        <f t="shared" si="28"/>
        <v>2015</v>
      </c>
      <c r="H245" s="5" t="str">
        <f t="shared" si="29"/>
        <v>HerculanoHouzel_etal_2015</v>
      </c>
      <c r="I245" s="5" t="str">
        <f t="shared" si="39"/>
        <v>10.1159%2F000437413</v>
      </c>
      <c r="J245" s="5" t="str">
        <f t="shared" si="31"/>
        <v>HerculanoHouzel_etal_2015_Table1</v>
      </c>
      <c r="K245" s="5" t="str">
        <f t="shared" si="38"/>
        <v>10.1159%2F000437413_Table1</v>
      </c>
      <c r="L245" s="5" t="str">
        <f t="array" ref="L245">IFERROR(INDEX(AUTO_Public_TSV_FileList!$A$1:$A$1000,MATCH(TRUE(),EXACT(K245,IFERROR(_xlfn.TEXTBEFORE(AUTO_Public_TSV_FileList!$A$1:$A$1000,".tsv"),"")),0)),"notfound")</f>
        <v>10.1159%2F000437413_Table1.tsv</v>
      </c>
      <c r="M245" s="1" t="s">
        <v>1163</v>
      </c>
      <c r="N245" s="1" t="s">
        <v>35</v>
      </c>
      <c r="O245" s="1"/>
      <c r="P245" s="1" t="s">
        <v>36</v>
      </c>
      <c r="Q245" s="1"/>
      <c r="R245" s="1" t="s">
        <v>788</v>
      </c>
      <c r="S245" s="1" t="s">
        <v>1164</v>
      </c>
      <c r="T245" s="7"/>
      <c r="U245" s="7"/>
      <c r="V245" s="7"/>
      <c r="W245" s="1" t="s">
        <v>1165</v>
      </c>
      <c r="X245" s="1" t="s">
        <v>633</v>
      </c>
      <c r="Y245" s="7"/>
      <c r="Z245" s="7"/>
      <c r="AA245" s="1" t="s">
        <v>63</v>
      </c>
      <c r="AB245" s="1" t="s">
        <v>64</v>
      </c>
      <c r="AC245" s="1" t="s">
        <v>65</v>
      </c>
      <c r="AD245" s="1" t="s">
        <v>65</v>
      </c>
      <c r="AE245" s="1" t="s">
        <v>66</v>
      </c>
      <c r="AF245" s="1"/>
      <c r="AG245" s="7"/>
    </row>
    <row r="246" ht="17" customHeight="1">
      <c r="A246" s="1" t="s">
        <v>1162</v>
      </c>
      <c r="B246" s="9"/>
      <c r="C246" s="9"/>
      <c r="D246" s="1" t="s">
        <v>108</v>
      </c>
      <c r="E246" s="5" t="str">
        <f t="shared" si="27"/>
        <v>HerculanoHouzel</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5" t="str">
        <f t="shared" si="28"/>
        <v>2015</v>
      </c>
      <c r="H246" s="5" t="str">
        <f t="shared" si="29"/>
        <v>HerculanoHouzel_etal_2015</v>
      </c>
      <c r="I246" s="5" t="str">
        <f t="shared" si="39"/>
        <v>10.1159%2F000437413</v>
      </c>
      <c r="J246" s="5" t="str">
        <f t="shared" si="31"/>
        <v>HerculanoHouzel_etal_2015_Table2</v>
      </c>
      <c r="K246" s="5" t="str">
        <f t="shared" si="38"/>
        <v>10.1159%2F000437413_Table2</v>
      </c>
      <c r="L246" s="5" t="str">
        <f t="array" ref="L246">IFERROR(INDEX(AUTO_Public_TSV_FileList!$A$1:$A$1000,MATCH(TRUE(),EXACT(K246,IFERROR(_xlfn.TEXTBEFORE(AUTO_Public_TSV_FileList!$A$1:$A$1000,".tsv"),"")),0)),"notfound")</f>
        <v>10.1159%2F000437413_Table2.tsv</v>
      </c>
      <c r="M246" s="1" t="s">
        <v>1166</v>
      </c>
      <c r="N246" s="1" t="s">
        <v>35</v>
      </c>
      <c r="O246" s="1"/>
      <c r="P246" s="1" t="s">
        <v>36</v>
      </c>
      <c r="Q246" s="1"/>
      <c r="R246" s="1" t="s">
        <v>788</v>
      </c>
      <c r="S246" s="7"/>
      <c r="T246" s="7"/>
      <c r="U246" s="7"/>
      <c r="V246" s="7"/>
      <c r="W246" s="1" t="s">
        <v>1165</v>
      </c>
      <c r="X246" s="1" t="s">
        <v>633</v>
      </c>
      <c r="Y246" s="7"/>
      <c r="Z246" s="7"/>
      <c r="AA246" s="1" t="s">
        <v>63</v>
      </c>
      <c r="AB246" s="1" t="s">
        <v>64</v>
      </c>
      <c r="AC246" s="1" t="s">
        <v>65</v>
      </c>
      <c r="AD246" s="1" t="s">
        <v>65</v>
      </c>
      <c r="AE246" s="1" t="s">
        <v>66</v>
      </c>
      <c r="AF246" s="1"/>
      <c r="AG246" s="7"/>
    </row>
    <row r="247" ht="17" customHeight="1">
      <c r="A247" s="1" t="s">
        <v>1162</v>
      </c>
      <c r="B247" s="9"/>
      <c r="C247" s="9"/>
      <c r="D247" s="1" t="s">
        <v>110</v>
      </c>
      <c r="E247" s="5" t="str">
        <f t="shared" si="27"/>
        <v>HerculanoHouzel</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5" t="str">
        <f t="shared" si="28"/>
        <v>2015</v>
      </c>
      <c r="H247" s="5" t="str">
        <f t="shared" si="29"/>
        <v>HerculanoHouzel_etal_2015</v>
      </c>
      <c r="I247" s="5" t="str">
        <f t="shared" si="39"/>
        <v>10.1159%2F000437413</v>
      </c>
      <c r="J247" s="5" t="str">
        <f t="shared" si="31"/>
        <v>HerculanoHouzel_etal_2015_Table3</v>
      </c>
      <c r="K247" s="5" t="str">
        <f t="shared" si="38"/>
        <v>10.1159%2F000437413_Table3</v>
      </c>
      <c r="L247" s="5" t="str">
        <f t="array" ref="L247">IFERROR(INDEX(AUTO_Public_TSV_FileList!$A$1:$A$1000,MATCH(TRUE(),EXACT(K247,IFERROR(_xlfn.TEXTBEFORE(AUTO_Public_TSV_FileList!$A$1:$A$1000,".tsv"),"")),0)),"notfound")</f>
        <v>10.1159%2F000437413_Table3.tsv</v>
      </c>
      <c r="M247" s="1" t="s">
        <v>1167</v>
      </c>
      <c r="N247" s="1" t="s">
        <v>35</v>
      </c>
      <c r="O247" s="1"/>
      <c r="P247" s="1" t="s">
        <v>36</v>
      </c>
      <c r="Q247" s="1"/>
      <c r="R247" s="1" t="s">
        <v>788</v>
      </c>
      <c r="S247" s="7"/>
      <c r="T247" s="7"/>
      <c r="U247" s="7"/>
      <c r="V247" s="7"/>
      <c r="W247" s="1" t="s">
        <v>1165</v>
      </c>
      <c r="X247" s="1" t="s">
        <v>633</v>
      </c>
      <c r="Y247" s="7"/>
      <c r="Z247" s="7"/>
      <c r="AA247" s="1" t="s">
        <v>63</v>
      </c>
      <c r="AB247" s="1" t="s">
        <v>64</v>
      </c>
      <c r="AC247" s="1" t="s">
        <v>65</v>
      </c>
      <c r="AD247" s="1" t="s">
        <v>65</v>
      </c>
      <c r="AE247" s="1" t="s">
        <v>66</v>
      </c>
      <c r="AF247" s="1"/>
      <c r="AG247" s="7"/>
    </row>
    <row r="248" ht="17" customHeight="1">
      <c r="A248" s="1" t="s">
        <v>1162</v>
      </c>
      <c r="B248" s="9"/>
      <c r="C248" s="9"/>
      <c r="D248" s="1" t="s">
        <v>34</v>
      </c>
      <c r="E248" s="5" t="str">
        <f t="shared" si="27"/>
        <v>HerculanoHouzel</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5" t="str">
        <f t="shared" si="28"/>
        <v>2015</v>
      </c>
      <c r="H248" s="5" t="str">
        <f t="shared" si="29"/>
        <v>HerculanoHouzel_etal_2015</v>
      </c>
      <c r="I248" s="5" t="str">
        <f t="shared" si="39"/>
        <v>10.1159%2F000437413</v>
      </c>
      <c r="J248" s="5" t="str">
        <f t="shared" si="31"/>
        <v>HerculanoHouzel_etal_2015_Table4</v>
      </c>
      <c r="K248" s="5" t="str">
        <f t="shared" si="38"/>
        <v>10.1159%2F000437413_Table4</v>
      </c>
      <c r="L248" s="5" t="str">
        <f t="array" ref="L248">IFERROR(INDEX(AUTO_Public_TSV_FileList!$A$1:$A$1000,MATCH(TRUE(),EXACT(K248,IFERROR(_xlfn.TEXTBEFORE(AUTO_Public_TSV_FileList!$A$1:$A$1000,".tsv"),"")),0)),"notfound")</f>
        <v>10.1159%2F000437413_Table4.tsv</v>
      </c>
      <c r="M248" s="1" t="s">
        <v>1168</v>
      </c>
      <c r="N248" s="1" t="s">
        <v>35</v>
      </c>
      <c r="O248" s="1"/>
      <c r="P248" s="1" t="s">
        <v>36</v>
      </c>
      <c r="Q248" s="1"/>
      <c r="R248" s="1" t="s">
        <v>788</v>
      </c>
      <c r="S248" s="7"/>
      <c r="T248" s="7"/>
      <c r="U248" s="7"/>
      <c r="V248" s="7"/>
      <c r="W248" s="1" t="s">
        <v>1165</v>
      </c>
      <c r="X248" s="1" t="s">
        <v>633</v>
      </c>
      <c r="Y248" s="7"/>
      <c r="Z248" s="7"/>
      <c r="AA248" s="1" t="s">
        <v>63</v>
      </c>
      <c r="AB248" s="1" t="s">
        <v>64</v>
      </c>
      <c r="AC248" s="1" t="s">
        <v>65</v>
      </c>
      <c r="AD248" s="1" t="s">
        <v>65</v>
      </c>
      <c r="AE248" s="1" t="s">
        <v>66</v>
      </c>
      <c r="AF248" s="1"/>
      <c r="AG248" s="7"/>
    </row>
    <row r="249" ht="17" customHeight="1">
      <c r="A249" s="1" t="s">
        <v>1162</v>
      </c>
      <c r="B249" s="9"/>
      <c r="C249" s="9"/>
      <c r="D249" s="1" t="s">
        <v>112</v>
      </c>
      <c r="E249" s="5" t="str">
        <f t="shared" si="27"/>
        <v>HerculanoHouzel</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5" t="str">
        <f t="shared" si="28"/>
        <v>2015</v>
      </c>
      <c r="H249" s="5" t="str">
        <f t="shared" si="29"/>
        <v>HerculanoHouzel_etal_2015</v>
      </c>
      <c r="I249" s="5" t="str">
        <f t="shared" si="39"/>
        <v>10.1159%2F000437413</v>
      </c>
      <c r="J249" s="5" t="str">
        <f t="shared" si="31"/>
        <v>HerculanoHouzel_etal_2015_Table5</v>
      </c>
      <c r="K249" s="5" t="str">
        <f t="shared" si="38"/>
        <v>10.1159%2F000437413_Table5</v>
      </c>
      <c r="L249" s="5" t="str">
        <f t="array" ref="L249">IFERROR(INDEX(AUTO_Public_TSV_FileList!$A$1:$A$1000,MATCH(TRUE(),EXACT(K249,IFERROR(_xlfn.TEXTBEFORE(AUTO_Public_TSV_FileList!$A$1:$A$1000,".tsv"),"")),0)),"notfound")</f>
        <v>10.1159%2F000437413_Table5.tsv</v>
      </c>
      <c r="M249" s="1" t="s">
        <v>1169</v>
      </c>
      <c r="N249" s="1" t="s">
        <v>35</v>
      </c>
      <c r="O249" s="1"/>
      <c r="P249" s="1" t="s">
        <v>36</v>
      </c>
      <c r="Q249" s="1"/>
      <c r="R249" s="1" t="s">
        <v>788</v>
      </c>
      <c r="S249" s="7"/>
      <c r="T249" s="7"/>
      <c r="U249" s="7"/>
      <c r="V249" s="7"/>
      <c r="W249" s="1" t="s">
        <v>1165</v>
      </c>
      <c r="X249" s="1" t="s">
        <v>633</v>
      </c>
      <c r="Y249" s="7"/>
      <c r="Z249" s="7"/>
      <c r="AA249" s="1" t="s">
        <v>63</v>
      </c>
      <c r="AB249" s="1" t="s">
        <v>64</v>
      </c>
      <c r="AC249" s="1" t="s">
        <v>65</v>
      </c>
      <c r="AD249" s="1" t="s">
        <v>65</v>
      </c>
      <c r="AE249" s="1" t="s">
        <v>66</v>
      </c>
      <c r="AF249" s="1"/>
      <c r="AG249" s="7"/>
    </row>
    <row r="250" ht="17" customHeight="1">
      <c r="A250" s="1" t="s">
        <v>1170</v>
      </c>
      <c r="B250" s="9"/>
      <c r="C250" s="9"/>
      <c r="D250" s="1" t="s">
        <v>58</v>
      </c>
      <c r="E250" s="5" t="str">
        <f t="shared" si="27"/>
        <v>HerculanoHouzel</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5" t="str">
        <f t="shared" si="28"/>
        <v>2020</v>
      </c>
      <c r="H250" s="5" t="str">
        <f t="shared" si="29"/>
        <v>HerculanoHouzel_etal_2020</v>
      </c>
      <c r="I250" s="5" t="str">
        <f t="shared" si="39"/>
        <v>10.1002%2Fcne.24985</v>
      </c>
      <c r="J250" s="5" t="str">
        <f t="shared" si="31"/>
        <v>HerculanoHouzel_etal_2020_TABLE1</v>
      </c>
      <c r="K250" s="5" t="str">
        <f t="shared" si="38"/>
        <v>10.1002%2Fcne.24985_TABLE1</v>
      </c>
      <c r="L250" s="5" t="str">
        <f t="array" ref="L250">IFERROR(INDEX(AUTO_Public_TSV_FileList!$A$1:$A$1000,MATCH(TRUE(),EXACT(K250,IFERROR(_xlfn.TEXTBEFORE(AUTO_Public_TSV_FileList!$A$1:$A$1000,".tsv"),"")),0)),"notfound")</f>
        <v>10.1002%2Fcne.24985_TABLE1.tsv</v>
      </c>
      <c r="M250" s="1" t="s">
        <v>1171</v>
      </c>
      <c r="N250" s="1" t="s">
        <v>35</v>
      </c>
      <c r="O250" s="1"/>
      <c r="P250" s="1" t="s">
        <v>36</v>
      </c>
      <c r="Q250" s="1"/>
      <c r="R250" s="1" t="s">
        <v>1172</v>
      </c>
      <c r="S250" s="1" t="s">
        <v>350</v>
      </c>
      <c r="T250" s="7"/>
      <c r="U250" s="7"/>
      <c r="V250" s="7"/>
      <c r="W250" s="1" t="s">
        <v>1173</v>
      </c>
      <c r="X250" s="1" t="s">
        <v>1174</v>
      </c>
      <c r="Y250" s="7"/>
      <c r="Z250" s="7"/>
      <c r="AA250" s="1" t="s">
        <v>63</v>
      </c>
      <c r="AB250" s="1" t="s">
        <v>1175</v>
      </c>
      <c r="AC250" s="1" t="s">
        <v>65</v>
      </c>
      <c r="AD250" s="1" t="s">
        <v>65</v>
      </c>
      <c r="AE250" s="1" t="s">
        <v>66</v>
      </c>
      <c r="AF250" s="1"/>
      <c r="AG250" s="7"/>
    </row>
    <row r="251" ht="17" customHeight="1">
      <c r="A251" s="1" t="s">
        <v>1170</v>
      </c>
      <c r="B251" s="9"/>
      <c r="C251" s="9"/>
      <c r="D251" s="1" t="s">
        <v>91</v>
      </c>
      <c r="E251" s="5" t="str">
        <f t="shared" si="27"/>
        <v>HerculanoHouzel</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5" t="str">
        <f t="shared" si="28"/>
        <v>2020</v>
      </c>
      <c r="H251" s="5" t="str">
        <f t="shared" si="29"/>
        <v>HerculanoHouzel_etal_2020</v>
      </c>
      <c r="I251" s="5" t="str">
        <f t="shared" si="39"/>
        <v>10.1002%2Fcne.24985</v>
      </c>
      <c r="J251" s="5" t="str">
        <f t="shared" si="31"/>
        <v>HerculanoHouzel_etal_2020_TABLE2</v>
      </c>
      <c r="K251" s="5" t="str">
        <f t="shared" si="38"/>
        <v>10.1002%2Fcne.24985_TABLE2</v>
      </c>
      <c r="L251" s="5" t="str">
        <f t="array" ref="L251">IFERROR(INDEX(AUTO_Public_TSV_FileList!$A$1:$A$1000,MATCH(TRUE(),EXACT(K251,IFERROR(_xlfn.TEXTBEFORE(AUTO_Public_TSV_FileList!$A$1:$A$1000,".tsv"),"")),0)),"notfound")</f>
        <v>10.1002%2Fcne.24985_TABLE2.tsv</v>
      </c>
      <c r="M251" s="1" t="s">
        <v>1176</v>
      </c>
      <c r="N251" s="1" t="s">
        <v>35</v>
      </c>
      <c r="O251" s="1"/>
      <c r="P251" s="1" t="s">
        <v>36</v>
      </c>
      <c r="Q251" s="1"/>
      <c r="R251" s="1" t="s">
        <v>1172</v>
      </c>
      <c r="S251" s="1" t="s">
        <v>350</v>
      </c>
      <c r="T251" s="7"/>
      <c r="U251" s="7"/>
      <c r="V251" s="7"/>
      <c r="W251" s="1" t="s">
        <v>1173</v>
      </c>
      <c r="X251" s="1" t="s">
        <v>1177</v>
      </c>
      <c r="Y251" s="7"/>
      <c r="Z251" s="7"/>
      <c r="AA251" s="1" t="s">
        <v>63</v>
      </c>
      <c r="AB251" s="1" t="s">
        <v>64</v>
      </c>
      <c r="AC251" s="1" t="s">
        <v>65</v>
      </c>
      <c r="AD251" s="1" t="s">
        <v>65</v>
      </c>
      <c r="AE251" s="1" t="s">
        <v>66</v>
      </c>
      <c r="AF251" s="1"/>
      <c r="AG251" s="7"/>
    </row>
    <row r="252" ht="17" customHeight="1">
      <c r="A252" s="7" t="s">
        <v>1178</v>
      </c>
      <c r="B252" s="9"/>
      <c r="C252" s="9"/>
      <c r="D252" s="7" t="s">
        <v>108</v>
      </c>
      <c r="E252" s="3" t="str">
        <f t="shared" si="27"/>
        <v>HerculanoHouzel</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5" t="str">
        <f t="shared" si="28"/>
        <v>2016</v>
      </c>
      <c r="H252" s="3" t="str">
        <f t="shared" si="29"/>
        <v>HerculanoHouzel_etal_2016</v>
      </c>
      <c r="I252" s="3" t="str">
        <f>_xlfn.LET(_xlpm.doi,IF(C252&lt;&gt;"",C252,_xlfn.TEXTAFTER(A252,"https://doi.org/")),SUBSTITUTE(SUBSTITUTE(SUBSTITUTE(SUBSTITUTE(_xlpm.doi,"/","%2F"),":","%3A"),"&lt;","%3C"),"&gt;","%3E"))</f>
        <v>10.1002%2Fcne.23792</v>
      </c>
      <c r="J252" s="3" t="str">
        <f t="shared" si="31"/>
        <v>HerculanoHouzel_etal_2016_Table2</v>
      </c>
      <c r="K252" s="5" t="str">
        <f t="shared" si="38"/>
        <v>10.1002%2Fcne.23792_Table2</v>
      </c>
      <c r="L252" s="5" t="str">
        <f t="array" ref="L252">IFERROR(INDEX(AUTO_Public_TSV_FileList!$A$1:$A$1000,MATCH(TRUE(),EXACT(K252,IFERROR(_xlfn.TEXTBEFORE(AUTO_Public_TSV_FileList!$A$1:$A$1000,".tsv"),"")),0)),"notfound")</f>
        <v>10.1002%2Fcne.23792_Table2.tsv</v>
      </c>
      <c r="M252" s="7" t="s">
        <v>1179</v>
      </c>
      <c r="N252" s="7" t="s">
        <v>35</v>
      </c>
      <c r="O252" s="7"/>
      <c r="P252" s="7" t="s">
        <v>36</v>
      </c>
      <c r="Q252" s="7"/>
      <c r="R252" s="7"/>
      <c r="S252" s="7"/>
      <c r="T252" s="7"/>
      <c r="U252" s="7"/>
      <c r="V252" s="7"/>
      <c r="W252" s="7" t="s">
        <v>137</v>
      </c>
      <c r="X252" s="7" t="s">
        <v>1180</v>
      </c>
      <c r="Y252" s="7" t="s">
        <v>1181</v>
      </c>
      <c r="Z252" s="7" t="s">
        <v>1182</v>
      </c>
      <c r="AA252" s="7" t="s">
        <v>1183</v>
      </c>
      <c r="AB252" s="7" t="s">
        <v>64</v>
      </c>
      <c r="AC252" s="7"/>
      <c r="AD252" s="7"/>
      <c r="AE252" s="7" t="s">
        <v>1184</v>
      </c>
      <c r="AF252" s="7" t="s">
        <v>1185</v>
      </c>
      <c r="AG252" s="7"/>
    </row>
    <row r="253" ht="17" customHeight="1">
      <c r="A253" s="1" t="s">
        <v>1186</v>
      </c>
      <c r="B253" s="9"/>
      <c r="C253" s="9"/>
      <c r="D253" s="1" t="s">
        <v>1187</v>
      </c>
      <c r="E253" s="5" t="str">
        <f t="shared" si="27"/>
        <v>HerculanoHouzel</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5" t="str">
        <f t="shared" si="28"/>
        <v>2013</v>
      </c>
      <c r="H253" s="5" t="str">
        <f t="shared" si="29"/>
        <v>HerculanoHouzel_etal_2013</v>
      </c>
      <c r="I253" s="5" t="str">
        <f t="shared" ref="I253:I258" si="40">_xlfn.LET(
_xlpm.doi,IF(C253&lt;&gt;"",C253,_xlfn.TEXTAFTER(A253,"https://doi.org/")),
SUBSTITUTE(
SUBSTITUTE(
SUBSTITUTE(
SUBSTITUTE(
_xlpm.doi,
"/","%2F"),
":","%3A"),
"&lt;","%3C"),
"&gt;","%3E")
)</f>
        <v>10.3389%2Ffnana.2013.00035</v>
      </c>
      <c r="J253" s="5" t="str">
        <f t="shared" si="31"/>
        <v>HerculanoHouzel_etal_2013_Figure2TopLeft</v>
      </c>
      <c r="K253" s="5" t="str">
        <f t="shared" si="38"/>
        <v>10.3389%2Ffnana.2013.00035_Figure2TopLeft</v>
      </c>
      <c r="L253" s="5" t="str">
        <f t="array" ref="L253">IFERROR(INDEX(AUTO_Public_TSV_FileList!$A$1:$A$1000,MATCH(TRUE(),EXACT(K253,IFERROR(_xlfn.TEXTBEFORE(AUTO_Public_TSV_FileList!$A$1:$A$1000,".tsv"),"")),0)),"notfound")</f>
        <v>10.3389%2Ffnana.2013.00035_Figure2TopLeft.tsv</v>
      </c>
      <c r="M253" s="7"/>
      <c r="N253" s="7"/>
      <c r="O253" s="7"/>
      <c r="P253" s="1" t="s">
        <v>36</v>
      </c>
      <c r="Q253" s="7"/>
      <c r="R253" s="7"/>
      <c r="S253" s="7"/>
      <c r="T253" s="7"/>
      <c r="U253" s="7"/>
      <c r="V253" s="7"/>
      <c r="W253" s="1" t="s">
        <v>174</v>
      </c>
      <c r="X253" s="1" t="s">
        <v>1177</v>
      </c>
      <c r="Y253" s="7"/>
      <c r="Z253" s="7"/>
      <c r="AA253" s="1" t="s">
        <v>63</v>
      </c>
      <c r="AB253" s="1" t="s">
        <v>64</v>
      </c>
      <c r="AC253" s="1" t="s">
        <v>65</v>
      </c>
      <c r="AD253" s="1" t="s">
        <v>65</v>
      </c>
      <c r="AE253" s="1" t="s">
        <v>66</v>
      </c>
      <c r="AF253" s="1"/>
      <c r="AG253" s="7"/>
    </row>
    <row r="254" ht="17" customHeight="1">
      <c r="A254" s="1" t="s">
        <v>1186</v>
      </c>
      <c r="B254" s="9"/>
      <c r="C254" s="9"/>
      <c r="D254" s="1" t="s">
        <v>1188</v>
      </c>
      <c r="E254" s="5" t="str">
        <f t="shared" si="27"/>
        <v>HerculanoHouzel</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5" t="str">
        <f t="shared" si="28"/>
        <v>2013</v>
      </c>
      <c r="H254" s="5" t="str">
        <f t="shared" si="29"/>
        <v>HerculanoHouzel_etal_2013</v>
      </c>
      <c r="I254" s="5" t="str">
        <f t="shared" si="40"/>
        <v>10.3389%2Ffnana.2013.00035</v>
      </c>
      <c r="J254" s="5" t="str">
        <f t="shared" si="31"/>
        <v>HerculanoHouzel_etal_2013_Table1-a</v>
      </c>
      <c r="K254" s="5" t="str">
        <f t="shared" si="38"/>
        <v>10.3389%2Ffnana.2013.00035_Table1-a</v>
      </c>
      <c r="L254" s="5" t="str">
        <f t="array" ref="L254">IFERROR(INDEX(AUTO_Public_TSV_FileList!$A$1:$A$1000,MATCH(TRUE(),EXACT(K254,IFERROR(_xlfn.TEXTBEFORE(AUTO_Public_TSV_FileList!$A$1:$A$1000,".tsv"),"")),0)),"notfound")</f>
        <v>10.3389%2Ffnana.2013.00035_Table1-a.tsv</v>
      </c>
      <c r="M254" s="7"/>
      <c r="N254" s="1" t="s">
        <v>35</v>
      </c>
      <c r="O254" s="7"/>
      <c r="P254" s="1" t="s">
        <v>36</v>
      </c>
      <c r="Q254" s="7"/>
      <c r="R254" s="7"/>
      <c r="S254" s="7"/>
      <c r="T254" s="7"/>
      <c r="U254" s="7"/>
      <c r="V254" s="7"/>
      <c r="W254" s="1" t="s">
        <v>174</v>
      </c>
      <c r="X254" s="1" t="s">
        <v>1177</v>
      </c>
      <c r="Y254" s="7"/>
      <c r="Z254" s="7"/>
      <c r="AA254" s="1" t="s">
        <v>63</v>
      </c>
      <c r="AB254" s="1" t="s">
        <v>64</v>
      </c>
      <c r="AC254" s="1" t="s">
        <v>65</v>
      </c>
      <c r="AD254" s="1" t="s">
        <v>65</v>
      </c>
      <c r="AE254" s="1" t="s">
        <v>66</v>
      </c>
      <c r="AF254" s="1"/>
      <c r="AG254" s="7"/>
    </row>
    <row r="255" ht="17" customHeight="1">
      <c r="A255" s="1" t="s">
        <v>1186</v>
      </c>
      <c r="B255" s="9"/>
      <c r="C255" s="9"/>
      <c r="D255" s="1" t="s">
        <v>1189</v>
      </c>
      <c r="E255" s="5" t="str">
        <f t="shared" si="27"/>
        <v>HerculanoHouzel</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5" t="str">
        <f t="shared" si="28"/>
        <v>2013</v>
      </c>
      <c r="H255" s="5" t="str">
        <f t="shared" si="29"/>
        <v>HerculanoHouzel_etal_2013</v>
      </c>
      <c r="I255" s="5" t="str">
        <f t="shared" si="40"/>
        <v>10.3389%2Ffnana.2013.00035</v>
      </c>
      <c r="J255" s="5" t="str">
        <f t="shared" si="31"/>
        <v>HerculanoHouzel_etal_2013_Table1-b</v>
      </c>
      <c r="K255" s="5" t="str">
        <f t="shared" si="38"/>
        <v>10.3389%2Ffnana.2013.00035_Table1-b</v>
      </c>
      <c r="L255" s="5" t="str">
        <f t="array" ref="L255">IFERROR(INDEX(AUTO_Public_TSV_FileList!$A$1:$A$1000,MATCH(TRUE(),EXACT(K255,IFERROR(_xlfn.TEXTBEFORE(AUTO_Public_TSV_FileList!$A$1:$A$1000,".tsv"),"")),0)),"notfound")</f>
        <v>10.3389%2Ffnana.2013.00035_Table1-b.tsv</v>
      </c>
      <c r="M255" s="7"/>
      <c r="N255" s="1" t="s">
        <v>35</v>
      </c>
      <c r="O255" s="7"/>
      <c r="P255" s="1" t="s">
        <v>36</v>
      </c>
      <c r="Q255" s="7"/>
      <c r="R255" s="7"/>
      <c r="S255" s="7"/>
      <c r="T255" s="7"/>
      <c r="U255" s="7"/>
      <c r="V255" s="7"/>
      <c r="W255" s="1" t="s">
        <v>174</v>
      </c>
      <c r="X255" s="1" t="s">
        <v>1177</v>
      </c>
      <c r="Y255" s="7"/>
      <c r="Z255" s="7"/>
      <c r="AA255" s="1" t="s">
        <v>63</v>
      </c>
      <c r="AB255" s="1" t="s">
        <v>64</v>
      </c>
      <c r="AC255" s="1" t="s">
        <v>65</v>
      </c>
      <c r="AD255" s="1" t="s">
        <v>65</v>
      </c>
      <c r="AE255" s="1" t="s">
        <v>66</v>
      </c>
      <c r="AF255" s="1"/>
      <c r="AG255" s="7"/>
    </row>
    <row r="256" ht="17" customHeight="1">
      <c r="A256" s="1" t="s">
        <v>1190</v>
      </c>
      <c r="B256" s="9"/>
      <c r="C256" s="9"/>
      <c r="D256" s="1" t="s">
        <v>1191</v>
      </c>
      <c r="E256" s="5" t="str">
        <f t="shared" si="27"/>
        <v>Heuer</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5" t="str">
        <f t="shared" si="28"/>
        <v>2019</v>
      </c>
      <c r="H256" s="5" t="str">
        <f t="shared" si="29"/>
        <v>Heuer_etal_2019</v>
      </c>
      <c r="I256" s="5" t="str">
        <f t="shared" si="40"/>
        <v>10.1016%2Fj.cortex.2019.04.011</v>
      </c>
      <c r="J256" s="5" t="str">
        <f t="shared" si="31"/>
        <v>Heuer_etal_2019_S1</v>
      </c>
      <c r="K256" s="5" t="str">
        <f t="shared" si="38"/>
        <v>10.1016%2Fj.cortex.2019.04.011_S1</v>
      </c>
      <c r="L256" s="5" t="str">
        <f t="array" ref="L256">IFERROR(INDEX(AUTO_Public_TSV_FileList!$A$1:$A$1000,MATCH(TRUE(),EXACT(K256,IFERROR(_xlfn.TEXTBEFORE(AUTO_Public_TSV_FileList!$A$1:$A$1000,".tsv"),"")),0)),"notfound")</f>
        <v>10.1016%2Fj.cortex.2019.04.011_S1.tsv</v>
      </c>
      <c r="M256" s="7"/>
      <c r="N256" s="1" t="s">
        <v>35</v>
      </c>
      <c r="O256" s="7"/>
      <c r="P256" s="1" t="s">
        <v>36</v>
      </c>
      <c r="Q256" s="1" t="s">
        <v>1192</v>
      </c>
      <c r="R256" s="7"/>
      <c r="S256" s="7"/>
      <c r="T256" s="7"/>
      <c r="U256" s="7"/>
      <c r="V256" s="7"/>
      <c r="W256" s="1" t="s">
        <v>137</v>
      </c>
      <c r="X256" s="1" t="s">
        <v>1193</v>
      </c>
      <c r="Y256" s="7"/>
      <c r="Z256" s="7"/>
      <c r="AA256" s="7"/>
      <c r="AB256" s="1" t="s">
        <v>1194</v>
      </c>
      <c r="AC256" s="1" t="s">
        <v>1195</v>
      </c>
      <c r="AD256" s="7"/>
      <c r="AE256" s="1" t="s">
        <v>215</v>
      </c>
      <c r="AF256" s="1"/>
      <c r="AG256" s="1" t="s">
        <v>1196</v>
      </c>
    </row>
    <row r="257" ht="17" customHeight="1">
      <c r="A257" s="1" t="s">
        <v>1190</v>
      </c>
      <c r="B257" s="9"/>
      <c r="C257" s="9"/>
      <c r="D257" s="1" t="s">
        <v>68</v>
      </c>
      <c r="E257" s="5" t="str">
        <f t="shared" si="27"/>
        <v>Heuer</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5" t="str">
        <f t="shared" si="28"/>
        <v>2019</v>
      </c>
      <c r="H257" s="5" t="str">
        <f t="shared" si="29"/>
        <v>Heuer_etal_2019</v>
      </c>
      <c r="I257" s="5" t="str">
        <f t="shared" si="40"/>
        <v>10.1016%2Fj.cortex.2019.04.011</v>
      </c>
      <c r="J257" s="5" t="str">
        <f t="shared" si="31"/>
        <v>Heuer_etal_2019_Table1</v>
      </c>
      <c r="K257" s="5" t="str">
        <f t="shared" si="38"/>
        <v>10.1016%2Fj.cortex.2019.04.011_Table1</v>
      </c>
      <c r="L257" s="5" t="str">
        <f t="array" ref="L257">IFERROR(INDEX(AUTO_Public_TSV_FileList!$A$1:$A$1000,MATCH(TRUE(),EXACT(K257,IFERROR(_xlfn.TEXTBEFORE(AUTO_Public_TSV_FileList!$A$1:$A$1000,".tsv"),"")),0)),"notfound")</f>
        <v>10.1016%2Fj.cortex.2019.04.011_Table1.tsv</v>
      </c>
      <c r="M257" s="7"/>
      <c r="N257" s="1" t="s">
        <v>35</v>
      </c>
      <c r="O257" s="7"/>
      <c r="P257" s="1" t="s">
        <v>36</v>
      </c>
      <c r="Q257" s="1"/>
      <c r="R257" s="7"/>
      <c r="S257" s="7"/>
      <c r="T257" s="7"/>
      <c r="U257" s="7"/>
      <c r="V257" s="7"/>
      <c r="W257" s="1" t="s">
        <v>137</v>
      </c>
      <c r="X257" s="1" t="s">
        <v>1197</v>
      </c>
      <c r="Y257" s="7"/>
      <c r="Z257" s="7"/>
      <c r="AA257" s="1"/>
      <c r="AB257" s="1"/>
      <c r="AC257" s="1" t="s">
        <v>1195</v>
      </c>
      <c r="AD257" s="1"/>
      <c r="AE257" s="1" t="s">
        <v>215</v>
      </c>
      <c r="AF257" s="1"/>
      <c r="AG257" s="1" t="s">
        <v>1198</v>
      </c>
    </row>
    <row r="258" ht="17" customHeight="1">
      <c r="A258" s="1" t="s">
        <v>1199</v>
      </c>
      <c r="B258" s="9"/>
      <c r="C258" s="9"/>
      <c r="D258" s="1" t="s">
        <v>1200</v>
      </c>
      <c r="E258" s="5" t="str">
        <f t="shared" ref="E258:E321" si="41">SUBSTITUTE(SUBSTITUTE(_xlfn.TEXTBEFORE(A258,","), "-", ""), " ", "")</f>
        <v>Heuer</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5" t="str">
        <f t="shared" ref="G258:G321" si="42">_xlfn.TEXTBEFORE(_xlfn.TEXTAFTER(A258, "("), ")")</f>
        <v>2023</v>
      </c>
      <c r="H258" s="5" t="str">
        <f t="shared" ref="H258:H321" si="43">E258 &amp; IF(F258&lt;&gt;"", "_" &amp; F258, "_") &amp; IF(G258&lt;&gt;"", "_" &amp; G258, "_") &amp; IF(B258&lt;&gt;"", "_" &amp; B258, "")</f>
        <v>Heuer_etal_2023</v>
      </c>
      <c r="I258" s="5" t="str">
        <f t="shared" si="40"/>
        <v>10.7554%2FeLife.85907</v>
      </c>
      <c r="J258" s="5" t="str">
        <f t="shared" ref="J258:J321" si="44">TRIM(_xlfn.TEXTJOIN("_",FALSE(),H258,(SUBSTITUTE(SUBSTITUTE(D258," ",""), "_", ""))))</f>
        <v>Heuer_etal_2023_Data</v>
      </c>
      <c r="K258" s="5" t="str">
        <f t="shared" si="38"/>
        <v>10.7554%2FeLife.85907_Data</v>
      </c>
      <c r="L258" s="5" t="str">
        <f t="array" ref="L258">IFERROR(INDEX(AUTO_Public_TSV_FileList!$A$1:$A$1000,MATCH(TRUE(),EXACT(K258,IFERROR(_xlfn.TEXTBEFORE(AUTO_Public_TSV_FileList!$A$1:$A$1000,".tsv"),"")),0)),"notfound")</f>
        <v>10.7554%2FeLife.85907_Data.tsv</v>
      </c>
      <c r="M258" s="7"/>
      <c r="N258" s="1" t="s">
        <v>35</v>
      </c>
      <c r="O258" s="1" t="s">
        <v>1201</v>
      </c>
      <c r="P258" s="1" t="s">
        <v>36</v>
      </c>
      <c r="Q258" s="1" t="s">
        <v>1202</v>
      </c>
      <c r="R258" s="1" t="s">
        <v>1203</v>
      </c>
      <c r="S258" s="7"/>
      <c r="T258" s="7"/>
      <c r="U258" s="7"/>
      <c r="V258" s="1" t="s">
        <v>1204</v>
      </c>
      <c r="W258" s="1" t="s">
        <v>174</v>
      </c>
      <c r="X258" s="1" t="s">
        <v>1205</v>
      </c>
      <c r="Y258" s="1" t="s">
        <v>1206</v>
      </c>
      <c r="Z258" s="1"/>
      <c r="AA258" s="1" t="s">
        <v>1207</v>
      </c>
      <c r="AB258" s="1" t="s">
        <v>1208</v>
      </c>
      <c r="AC258" s="1" t="s">
        <v>1195</v>
      </c>
      <c r="AD258" s="7"/>
      <c r="AE258" s="1" t="s">
        <v>66</v>
      </c>
      <c r="AF258" s="1"/>
      <c r="AG258" s="1" t="s">
        <v>1209</v>
      </c>
    </row>
    <row r="259" ht="17" customHeight="1">
      <c r="A259" s="27" t="s">
        <v>1210</v>
      </c>
      <c r="B259" s="27"/>
      <c r="C259" s="27"/>
      <c r="D259" s="27" t="s">
        <v>421</v>
      </c>
      <c r="E259" s="25" t="str">
        <f t="shared" si="41"/>
        <v>Hutsler</v>
      </c>
      <c r="F259" s="2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6" t="str">
        <f t="shared" si="42"/>
        <v>2005</v>
      </c>
      <c r="H259" s="25" t="str">
        <f t="shared" si="43"/>
        <v>Hutsler_etal_2005</v>
      </c>
      <c r="I259" s="25" t="str">
        <f>_xlfn.LET(_xlpm.doi,IF(C259&lt;&gt;"",C259,_xlfn.TEXTAFTER(A259,"https://doi.org/")),SUBSTITUTE(SUBSTITUTE(SUBSTITUTE(SUBSTITUTE(_xlpm.doi,"/","%2F"),":","%3A"),"&lt;","%3C"),"&gt;","%3E"))</f>
        <v>10.1016%2Fj.brainres.2005.06.015</v>
      </c>
      <c r="J259" s="25" t="str">
        <f t="shared" si="44"/>
        <v>Hutsler_etal_2005_Figure3</v>
      </c>
      <c r="K259" s="26" t="str">
        <f t="shared" si="38"/>
        <v>10.1016%2Fj.brainres.2005.06.015_Figure3</v>
      </c>
      <c r="L259" s="26" t="str">
        <f t="array" ref="L259">IFERROR(INDEX(AUTO_Public_TSV_FileList!$A$1:$A$1000,MATCH(TRUE(),EXACT(K259,IFERROR(_xlfn.TEXTBEFORE(AUTO_Public_TSV_FileList!$A$1:$A$1000,".tsv"),"")),0)),"notfound")</f>
        <v>10.1016%2Fj.brainres.2005.06.015_Figure3.tsv</v>
      </c>
      <c r="M259" s="27" t="s">
        <v>1211</v>
      </c>
      <c r="N259" s="27" t="s">
        <v>1212</v>
      </c>
      <c r="O259" s="27" t="s">
        <v>1213</v>
      </c>
      <c r="P259" s="27" t="s">
        <v>1214</v>
      </c>
      <c r="Q259" s="27" t="s">
        <v>1215</v>
      </c>
      <c r="R259" s="27" t="s">
        <v>1216</v>
      </c>
      <c r="S259" s="27"/>
      <c r="T259" s="27" t="s">
        <v>1217</v>
      </c>
      <c r="U259" s="27"/>
      <c r="V259" s="27" t="s">
        <v>1218</v>
      </c>
      <c r="W259" s="27" t="s">
        <v>1219</v>
      </c>
      <c r="X259" s="27" t="s">
        <v>1220</v>
      </c>
      <c r="Y259" s="27"/>
      <c r="Z259" s="27" t="s">
        <v>1221</v>
      </c>
      <c r="AA259" s="27" t="s">
        <v>1222</v>
      </c>
      <c r="AB259" s="27" t="s">
        <v>1223</v>
      </c>
      <c r="AC259" s="27" t="s">
        <v>1224</v>
      </c>
      <c r="AD259" s="27"/>
      <c r="AE259" s="27" t="s">
        <v>66</v>
      </c>
      <c r="AF259" s="27"/>
      <c r="AG259" s="27" t="s">
        <v>1225</v>
      </c>
      <c r="AH259" s="29"/>
    </row>
    <row r="260" ht="17" customHeight="1">
      <c r="A260" s="27" t="s">
        <v>1210</v>
      </c>
      <c r="B260" s="27"/>
      <c r="C260" s="27"/>
      <c r="D260" s="27" t="s">
        <v>932</v>
      </c>
      <c r="E260" s="25" t="str">
        <f t="shared" si="41"/>
        <v>Hutsler</v>
      </c>
      <c r="F260" s="2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26" t="str">
        <f t="shared" si="42"/>
        <v>2005</v>
      </c>
      <c r="H260" s="25" t="str">
        <f t="shared" si="43"/>
        <v>Hutsler_etal_2005</v>
      </c>
      <c r="I260" s="25" t="str">
        <f>_xlfn.LET(_xlpm.doi,IF(C260&lt;&gt;"",C260,_xlfn.TEXTAFTER(A260,"https://doi.org/")),SUBSTITUTE(SUBSTITUTE(SUBSTITUTE(SUBSTITUTE(_xlpm.doi,"/","%2F"),":","%3A"),"&lt;","%3C"),"&gt;","%3E"))</f>
        <v>10.1016%2Fj.brainres.2005.06.015</v>
      </c>
      <c r="J260" s="25" t="str">
        <f t="shared" si="44"/>
        <v>Hutsler_etal_2005_Figure6</v>
      </c>
      <c r="K260" s="26" t="str">
        <f t="shared" si="38"/>
        <v>10.1016%2Fj.brainres.2005.06.015_Figure6</v>
      </c>
      <c r="L260" s="26" t="str">
        <f t="array" ref="L260">IFERROR(INDEX(AUTO_Public_TSV_FileList!$A$1:$A$1000,MATCH(TRUE(),EXACT(K260,IFERROR(_xlfn.TEXTBEFORE(AUTO_Public_TSV_FileList!$A$1:$A$1000,".tsv"),"")),0)),"notfound")</f>
        <v>10.1016%2Fj.brainres.2005.06.015_Figure6.tsv</v>
      </c>
      <c r="M260" s="27" t="s">
        <v>1226</v>
      </c>
      <c r="N260" s="27" t="s">
        <v>1212</v>
      </c>
      <c r="O260" s="27" t="s">
        <v>1227</v>
      </c>
      <c r="P260" s="27" t="s">
        <v>1228</v>
      </c>
      <c r="Q260" s="27" t="s">
        <v>1229</v>
      </c>
      <c r="R260" s="27" t="s">
        <v>1216</v>
      </c>
      <c r="S260" s="27"/>
      <c r="T260" s="27" t="s">
        <v>1217</v>
      </c>
      <c r="U260" s="27"/>
      <c r="V260" s="27" t="s">
        <v>1218</v>
      </c>
      <c r="W260" s="27" t="s">
        <v>1230</v>
      </c>
      <c r="X260" s="27" t="s">
        <v>1231</v>
      </c>
      <c r="Y260" s="27"/>
      <c r="Z260" s="27" t="s">
        <v>1221</v>
      </c>
      <c r="AA260" s="27" t="s">
        <v>1222</v>
      </c>
      <c r="AB260" s="27" t="s">
        <v>1223</v>
      </c>
      <c r="AC260" s="27" t="s">
        <v>1224</v>
      </c>
      <c r="AD260" s="27"/>
      <c r="AE260" s="27" t="s">
        <v>66</v>
      </c>
      <c r="AF260" s="27"/>
      <c r="AG260" s="27" t="s">
        <v>1225</v>
      </c>
      <c r="AH260" s="29"/>
    </row>
    <row r="261" ht="17" customHeight="1">
      <c r="A261" s="27" t="s">
        <v>1210</v>
      </c>
      <c r="B261" s="27"/>
      <c r="C261" s="27"/>
      <c r="D261" s="27" t="s">
        <v>1232</v>
      </c>
      <c r="E261" s="25" t="str">
        <f t="shared" si="41"/>
        <v>Hutsler</v>
      </c>
      <c r="F261" s="2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26" t="str">
        <f t="shared" si="42"/>
        <v>2005</v>
      </c>
      <c r="H261" s="25" t="str">
        <f t="shared" si="43"/>
        <v>Hutsler_etal_2005</v>
      </c>
      <c r="I261" s="25" t="str">
        <f>_xlfn.LET(_xlpm.doi,IF(C261&lt;&gt;"",C261,_xlfn.TEXTAFTER(A261,"https://doi.org/")),SUBSTITUTE(SUBSTITUTE(SUBSTITUTE(SUBSTITUTE(_xlpm.doi,"/","%2F"),":","%3A"),"&lt;","%3C"),"&gt;","%3E"))</f>
        <v>10.1016%2Fj.brainres.2005.06.015</v>
      </c>
      <c r="J261" s="25" t="str">
        <f t="shared" si="44"/>
        <v>Hutsler_etal_2005_ReportedValues</v>
      </c>
      <c r="K261" s="26" t="str">
        <f t="shared" si="38"/>
        <v>10.1016%2Fj.brainres.2005.06.015_ReportedValues</v>
      </c>
      <c r="L261" s="26" t="str">
        <f t="array" ref="L261">IFERROR(INDEX(AUTO_Public_TSV_FileList!$A$1:$A$1000,MATCH(TRUE(),EXACT(K261,IFERROR(_xlfn.TEXTBEFORE(AUTO_Public_TSV_FileList!$A$1:$A$1000,".tsv"),"")),0)),"notfound")</f>
        <v>10.1016%2Fj.brainres.2005.06.015_ReportedValues.tsv</v>
      </c>
      <c r="M261" s="27" t="s">
        <v>1233</v>
      </c>
      <c r="N261" s="27" t="s">
        <v>455</v>
      </c>
      <c r="O261" s="27" t="s">
        <v>1234</v>
      </c>
      <c r="P261" s="27" t="s">
        <v>1235</v>
      </c>
      <c r="Q261" s="27" t="s">
        <v>1236</v>
      </c>
      <c r="R261" s="27" t="s">
        <v>1216</v>
      </c>
      <c r="S261" s="27"/>
      <c r="T261" s="27" t="s">
        <v>1217</v>
      </c>
      <c r="U261" s="27"/>
      <c r="V261" s="27" t="s">
        <v>1218</v>
      </c>
      <c r="W261" s="27" t="s">
        <v>1237</v>
      </c>
      <c r="X261" s="27" t="s">
        <v>1238</v>
      </c>
      <c r="Y261" s="27"/>
      <c r="Z261" s="27" t="s">
        <v>1221</v>
      </c>
      <c r="AA261" s="27" t="s">
        <v>1222</v>
      </c>
      <c r="AB261" s="27" t="s">
        <v>1223</v>
      </c>
      <c r="AC261" s="27" t="s">
        <v>1224</v>
      </c>
      <c r="AD261" s="27"/>
      <c r="AE261" s="27" t="s">
        <v>66</v>
      </c>
      <c r="AF261" s="27"/>
      <c r="AG261" s="27" t="s">
        <v>1225</v>
      </c>
      <c r="AH261" s="29"/>
    </row>
    <row r="262" ht="17" customHeight="1">
      <c r="A262" s="27" t="s">
        <v>1210</v>
      </c>
      <c r="B262" s="27"/>
      <c r="C262" s="27"/>
      <c r="D262" s="27" t="s">
        <v>68</v>
      </c>
      <c r="E262" s="25" t="str">
        <f t="shared" si="41"/>
        <v>Hutsler</v>
      </c>
      <c r="F262" s="2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26" t="str">
        <f t="shared" si="42"/>
        <v>2005</v>
      </c>
      <c r="H262" s="25" t="str">
        <f t="shared" si="43"/>
        <v>Hutsler_etal_2005</v>
      </c>
      <c r="I262" s="25" t="str">
        <f>_xlfn.LET(_xlpm.doi,IF(C262&lt;&gt;"",C262,_xlfn.TEXTAFTER(A262,"https://doi.org/")),SUBSTITUTE(SUBSTITUTE(SUBSTITUTE(SUBSTITUTE(_xlpm.doi,"/","%2F"),":","%3A"),"&lt;","%3C"),"&gt;","%3E"))</f>
        <v>10.1016%2Fj.brainres.2005.06.015</v>
      </c>
      <c r="J262" s="25" t="str">
        <f t="shared" si="44"/>
        <v>Hutsler_etal_2005_Table1</v>
      </c>
      <c r="K262" s="26" t="str">
        <f t="shared" si="38"/>
        <v>10.1016%2Fj.brainres.2005.06.015_Table1</v>
      </c>
      <c r="L262" s="26" t="str">
        <f t="array" ref="L262">IFERROR(INDEX(AUTO_Public_TSV_FileList!$A$1:$A$1000,MATCH(TRUE(),EXACT(K262,IFERROR(_xlfn.TEXTBEFORE(AUTO_Public_TSV_FileList!$A$1:$A$1000,".tsv"),"")),0)),"notfound")</f>
        <v>10.1016%2Fj.brainres.2005.06.015_Table1.tsv</v>
      </c>
      <c r="M262" s="27" t="s">
        <v>1239</v>
      </c>
      <c r="N262" s="27" t="s">
        <v>70</v>
      </c>
      <c r="O262" s="27" t="s">
        <v>1240</v>
      </c>
      <c r="P262" s="27" t="s">
        <v>1241</v>
      </c>
      <c r="Q262" s="27" t="s">
        <v>1242</v>
      </c>
      <c r="R262" s="27" t="s">
        <v>1216</v>
      </c>
      <c r="S262" s="27"/>
      <c r="T262" s="27" t="s">
        <v>1217</v>
      </c>
      <c r="U262" s="27"/>
      <c r="V262" s="27" t="s">
        <v>1218</v>
      </c>
      <c r="W262" s="27" t="s">
        <v>1243</v>
      </c>
      <c r="X262" s="27" t="s">
        <v>1244</v>
      </c>
      <c r="Y262" s="27"/>
      <c r="Z262" s="27" t="s">
        <v>1221</v>
      </c>
      <c r="AA262" s="27" t="s">
        <v>1222</v>
      </c>
      <c r="AB262" s="27" t="s">
        <v>1223</v>
      </c>
      <c r="AC262" s="27" t="s">
        <v>1224</v>
      </c>
      <c r="AD262" s="27"/>
      <c r="AE262" s="27" t="s">
        <v>66</v>
      </c>
      <c r="AF262" s="27"/>
      <c r="AG262" s="27" t="s">
        <v>1225</v>
      </c>
      <c r="AH262" s="29"/>
    </row>
    <row r="263" ht="17" customHeight="1">
      <c r="A263" s="1" t="s">
        <v>1245</v>
      </c>
      <c r="B263" s="9"/>
      <c r="C263" s="9"/>
      <c r="D263" s="1" t="s">
        <v>108</v>
      </c>
      <c r="E263" s="5" t="str">
        <f t="shared" si="41"/>
        <v>Isler</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5" t="str">
        <f t="shared" si="42"/>
        <v>2008</v>
      </c>
      <c r="H263" s="5" t="str">
        <f t="shared" si="43"/>
        <v>Isler_etal_2008</v>
      </c>
      <c r="I263" s="5" t="str">
        <f t="shared" ref="I263:I274" si="45">_xlfn.LET(
_xlpm.doi,IF(C263&lt;&gt;"",C263,_xlfn.TEXTAFTER(A263,"https://doi.org/")),
SUBSTITUTE(
SUBSTITUTE(
SUBSTITUTE(
SUBSTITUTE(
_xlpm.doi,
"/","%2F"),
":","%3A"),
"&lt;","%3C"),
"&gt;","%3E")
)</f>
        <v>10.1016%2Fj.jhevol.2008.08.004</v>
      </c>
      <c r="J263" s="5" t="str">
        <f t="shared" si="44"/>
        <v>Isler_etal_2008_Table2</v>
      </c>
      <c r="K263" s="5" t="str">
        <f t="shared" si="38"/>
        <v>10.1016%2Fj.jhevol.2008.08.004_Table2</v>
      </c>
      <c r="L263" s="5" t="str">
        <f t="array" ref="L263">IFERROR(INDEX(AUTO_Public_TSV_FileList!$A$1:$A$1000,MATCH(TRUE(),EXACT(K263,IFERROR(_xlfn.TEXTBEFORE(AUTO_Public_TSV_FileList!$A$1:$A$1000,".tsv"),"")),0)),"notfound")</f>
        <v>10.1016%2Fj.jhevol.2008.08.004_Table2.tsv</v>
      </c>
      <c r="M263" s="7"/>
      <c r="N263" s="1" t="s">
        <v>35</v>
      </c>
      <c r="O263" s="7"/>
      <c r="P263" s="1" t="s">
        <v>36</v>
      </c>
      <c r="Q263" s="7"/>
      <c r="R263" s="7"/>
      <c r="S263" s="7"/>
      <c r="T263" s="7"/>
      <c r="U263" s="7"/>
      <c r="V263" s="7"/>
      <c r="W263" s="1" t="s">
        <v>137</v>
      </c>
      <c r="X263" s="1" t="s">
        <v>1246</v>
      </c>
      <c r="Y263" s="7"/>
      <c r="Z263" s="7"/>
      <c r="AA263" s="7"/>
      <c r="AB263" s="1" t="s">
        <v>1247</v>
      </c>
      <c r="AC263" s="7"/>
      <c r="AD263" s="7"/>
      <c r="AE263" s="1" t="s">
        <v>215</v>
      </c>
      <c r="AF263" s="1"/>
      <c r="AG263" s="7"/>
    </row>
    <row r="264" ht="17" customHeight="1">
      <c r="A264" s="1" t="s">
        <v>1245</v>
      </c>
      <c r="B264" s="9"/>
      <c r="C264" s="9"/>
      <c r="D264" s="1" t="s">
        <v>1248</v>
      </c>
      <c r="E264" s="5" t="str">
        <f t="shared" si="41"/>
        <v>Isler</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5" t="str">
        <f t="shared" si="42"/>
        <v>2008</v>
      </c>
      <c r="H264" s="5" t="str">
        <f t="shared" si="43"/>
        <v>Isler_etal_2008</v>
      </c>
      <c r="I264" s="5" t="str">
        <f t="shared" si="45"/>
        <v>10.1016%2Fj.jhevol.2008.08.004</v>
      </c>
      <c r="J264" s="5" t="str">
        <f t="shared" si="44"/>
        <v>Isler_etal_2008_Table7</v>
      </c>
      <c r="K264" s="5" t="str">
        <f t="shared" si="38"/>
        <v>10.1016%2Fj.jhevol.2008.08.004_Table7</v>
      </c>
      <c r="L264" s="5" t="str">
        <f t="array" ref="L264">IFERROR(INDEX(AUTO_Public_TSV_FileList!$A$1:$A$1000,MATCH(TRUE(),EXACT(K264,IFERROR(_xlfn.TEXTBEFORE(AUTO_Public_TSV_FileList!$A$1:$A$1000,".tsv"),"")),0)),"notfound")</f>
        <v>10.1016%2Fj.jhevol.2008.08.004_Table7.tsv</v>
      </c>
      <c r="M264" s="7"/>
      <c r="N264" s="1" t="s">
        <v>35</v>
      </c>
      <c r="O264" s="7"/>
      <c r="P264" s="1" t="s">
        <v>36</v>
      </c>
      <c r="Q264" s="7"/>
      <c r="R264" s="7"/>
      <c r="S264" s="7"/>
      <c r="T264" s="7"/>
      <c r="U264" s="7"/>
      <c r="V264" s="7"/>
      <c r="W264" s="1" t="s">
        <v>137</v>
      </c>
      <c r="X264" s="1" t="s">
        <v>1246</v>
      </c>
      <c r="Y264" s="7"/>
      <c r="Z264" s="7"/>
      <c r="AA264" s="7"/>
      <c r="AB264" s="1" t="s">
        <v>1247</v>
      </c>
      <c r="AC264" s="7"/>
      <c r="AD264" s="7"/>
      <c r="AE264" s="1" t="s">
        <v>215</v>
      </c>
      <c r="AF264" s="1"/>
      <c r="AG264" s="7"/>
    </row>
    <row r="265" ht="17" customHeight="1">
      <c r="A265" s="1" t="s">
        <v>1245</v>
      </c>
      <c r="B265" s="9"/>
      <c r="C265" s="9"/>
      <c r="D265" s="1" t="s">
        <v>286</v>
      </c>
      <c r="E265" s="5" t="str">
        <f t="shared" si="41"/>
        <v>Isler</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5" t="str">
        <f t="shared" si="42"/>
        <v>2008</v>
      </c>
      <c r="H265" s="5" t="str">
        <f t="shared" si="43"/>
        <v>Isler_etal_2008</v>
      </c>
      <c r="I265" s="5" t="str">
        <f t="shared" si="45"/>
        <v>10.1016%2Fj.jhevol.2008.08.004</v>
      </c>
      <c r="J265" s="5" t="str">
        <f t="shared" si="44"/>
        <v>Isler_etal_2008_TableS1</v>
      </c>
      <c r="K265" s="5" t="str">
        <f t="shared" si="38"/>
        <v>10.1016%2Fj.jhevol.2008.08.004_TableS1</v>
      </c>
      <c r="L265" s="5" t="str">
        <f t="array" ref="L265">IFERROR(INDEX(AUTO_Public_TSV_FileList!$A$1:$A$1000,MATCH(TRUE(),EXACT(K265,IFERROR(_xlfn.TEXTBEFORE(AUTO_Public_TSV_FileList!$A$1:$A$1000,".tsv"),"")),0)),"notfound")</f>
        <v>10.1016%2Fj.jhevol.2008.08.004_TableS1.tsv</v>
      </c>
      <c r="M265" s="7"/>
      <c r="N265" s="1" t="s">
        <v>35</v>
      </c>
      <c r="O265" s="7"/>
      <c r="P265" s="1" t="s">
        <v>36</v>
      </c>
      <c r="Q265" s="7"/>
      <c r="R265" s="7"/>
      <c r="S265" s="7"/>
      <c r="T265" s="7"/>
      <c r="U265" s="7"/>
      <c r="V265" s="7"/>
      <c r="W265" s="1" t="s">
        <v>137</v>
      </c>
      <c r="X265" s="1" t="s">
        <v>1246</v>
      </c>
      <c r="Y265" s="7"/>
      <c r="Z265" s="7"/>
      <c r="AA265" s="7"/>
      <c r="AB265" s="1" t="s">
        <v>1247</v>
      </c>
      <c r="AC265" s="7"/>
      <c r="AD265" s="7"/>
      <c r="AE265" s="1" t="s">
        <v>215</v>
      </c>
      <c r="AF265" s="1"/>
      <c r="AG265" s="7"/>
    </row>
    <row r="266" ht="17" customHeight="1">
      <c r="A266" s="1" t="s">
        <v>1245</v>
      </c>
      <c r="B266" s="9"/>
      <c r="C266" s="9"/>
      <c r="D266" s="1" t="s">
        <v>712</v>
      </c>
      <c r="E266" s="5" t="str">
        <f t="shared" si="41"/>
        <v>Isler</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5" t="str">
        <f t="shared" si="42"/>
        <v>2008</v>
      </c>
      <c r="H266" s="5" t="str">
        <f t="shared" si="43"/>
        <v>Isler_etal_2008</v>
      </c>
      <c r="I266" s="5" t="str">
        <f t="shared" si="45"/>
        <v>10.1016%2Fj.jhevol.2008.08.004</v>
      </c>
      <c r="J266" s="5" t="str">
        <f t="shared" si="44"/>
        <v>Isler_etal_2008_TableS2</v>
      </c>
      <c r="K266" s="5" t="str">
        <f t="shared" si="38"/>
        <v>10.1016%2Fj.jhevol.2008.08.004_TableS2</v>
      </c>
      <c r="L266" s="5" t="str">
        <f t="array" ref="L266">IFERROR(INDEX(AUTO_Public_TSV_FileList!$A$1:$A$1000,MATCH(TRUE(),EXACT(K266,IFERROR(_xlfn.TEXTBEFORE(AUTO_Public_TSV_FileList!$A$1:$A$1000,".tsv"),"")),0)),"notfound")</f>
        <v>10.1016%2Fj.jhevol.2008.08.004_TableS2.tsv</v>
      </c>
      <c r="M266" s="7"/>
      <c r="N266" s="1" t="s">
        <v>35</v>
      </c>
      <c r="O266" s="7"/>
      <c r="P266" s="1" t="s">
        <v>36</v>
      </c>
      <c r="Q266" s="7"/>
      <c r="R266" s="7"/>
      <c r="S266" s="7"/>
      <c r="T266" s="7"/>
      <c r="U266" s="7"/>
      <c r="V266" s="7"/>
      <c r="W266" s="1" t="s">
        <v>137</v>
      </c>
      <c r="X266" s="1" t="s">
        <v>1246</v>
      </c>
      <c r="Y266" s="7"/>
      <c r="Z266" s="7"/>
      <c r="AA266" s="7"/>
      <c r="AB266" s="1" t="s">
        <v>1247</v>
      </c>
      <c r="AC266" s="7"/>
      <c r="AD266" s="7"/>
      <c r="AE266" s="1" t="s">
        <v>215</v>
      </c>
      <c r="AF266" s="1"/>
      <c r="AG266" s="7"/>
    </row>
    <row r="267" ht="17" customHeight="1">
      <c r="A267" s="1" t="s">
        <v>1245</v>
      </c>
      <c r="B267" s="9"/>
      <c r="C267" s="9"/>
      <c r="D267" s="1" t="s">
        <v>714</v>
      </c>
      <c r="E267" s="5" t="str">
        <f t="shared" si="41"/>
        <v>Isler</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5" t="str">
        <f t="shared" si="42"/>
        <v>2008</v>
      </c>
      <c r="H267" s="5" t="str">
        <f t="shared" si="43"/>
        <v>Isler_etal_2008</v>
      </c>
      <c r="I267" s="5" t="str">
        <f t="shared" si="45"/>
        <v>10.1016%2Fj.jhevol.2008.08.004</v>
      </c>
      <c r="J267" s="5" t="str">
        <f t="shared" si="44"/>
        <v>Isler_etal_2008_TableS3</v>
      </c>
      <c r="K267" s="5" t="str">
        <f t="shared" si="38"/>
        <v>10.1016%2Fj.jhevol.2008.08.004_TableS3</v>
      </c>
      <c r="L267" s="5" t="str">
        <f t="array" ref="L267">IFERROR(INDEX(AUTO_Public_TSV_FileList!$A$1:$A$1000,MATCH(TRUE(),EXACT(K267,IFERROR(_xlfn.TEXTBEFORE(AUTO_Public_TSV_FileList!$A$1:$A$1000,".tsv"),"")),0)),"notfound")</f>
        <v>10.1016%2Fj.jhevol.2008.08.004_TableS3.tsv</v>
      </c>
      <c r="M267" s="7"/>
      <c r="N267" s="1" t="s">
        <v>35</v>
      </c>
      <c r="O267" s="7"/>
      <c r="P267" s="1" t="s">
        <v>36</v>
      </c>
      <c r="Q267" s="7"/>
      <c r="R267" s="7"/>
      <c r="S267" s="7"/>
      <c r="T267" s="7"/>
      <c r="U267" s="7"/>
      <c r="V267" s="7"/>
      <c r="W267" s="1" t="s">
        <v>137</v>
      </c>
      <c r="X267" s="1" t="s">
        <v>1246</v>
      </c>
      <c r="Y267" s="7"/>
      <c r="Z267" s="7"/>
      <c r="AA267" s="7"/>
      <c r="AB267" s="1" t="s">
        <v>1247</v>
      </c>
      <c r="AC267" s="7"/>
      <c r="AD267" s="7"/>
      <c r="AE267" s="1" t="s">
        <v>215</v>
      </c>
      <c r="AF267" s="1"/>
      <c r="AG267" s="7"/>
    </row>
    <row r="268" ht="17" customHeight="1">
      <c r="A268" s="1" t="s">
        <v>1245</v>
      </c>
      <c r="B268" s="9"/>
      <c r="C268" s="9"/>
      <c r="D268" s="1" t="s">
        <v>1249</v>
      </c>
      <c r="E268" s="5" t="str">
        <f t="shared" si="41"/>
        <v>Isler</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5" t="str">
        <f t="shared" si="42"/>
        <v>2008</v>
      </c>
      <c r="H268" s="5" t="str">
        <f t="shared" si="43"/>
        <v>Isler_etal_2008</v>
      </c>
      <c r="I268" s="5" t="str">
        <f t="shared" si="45"/>
        <v>10.1016%2Fj.jhevol.2008.08.004</v>
      </c>
      <c r="J268" s="5" t="str">
        <f t="shared" si="44"/>
        <v>Isler_etal_2008_Tree.nex</v>
      </c>
      <c r="K268" s="5" t="str">
        <f t="shared" si="38"/>
        <v>10.1016%2Fj.jhevol.2008.08.004_Tree.nex</v>
      </c>
      <c r="L268" s="5" t="str">
        <f t="array" ref="L268">IFERROR(INDEX(AUTO_Public_TSV_FileList!$A$1:$A$1000,MATCH(TRUE(),EXACT(K268,IFERROR(_xlfn.TEXTBEFORE(AUTO_Public_TSV_FileList!$A$1:$A$1000,".tsv"),"")),0)),"notfound")</f>
        <v>notfound</v>
      </c>
      <c r="M268" s="7"/>
      <c r="N268" s="1" t="s">
        <v>1250</v>
      </c>
      <c r="O268" s="7" t="s">
        <v>1251</v>
      </c>
      <c r="P268" s="7" t="s">
        <v>36</v>
      </c>
      <c r="Q268" s="7"/>
      <c r="R268" s="7"/>
      <c r="S268" s="7"/>
      <c r="T268" s="7"/>
      <c r="U268" s="7"/>
      <c r="V268" s="7"/>
      <c r="W268" s="1" t="s">
        <v>137</v>
      </c>
      <c r="X268" s="1" t="s">
        <v>1252</v>
      </c>
      <c r="Y268" s="7"/>
      <c r="Z268" s="7"/>
      <c r="AA268" s="7"/>
      <c r="AB268" s="1" t="s">
        <v>1253</v>
      </c>
      <c r="AC268" s="7"/>
      <c r="AD268" s="7"/>
      <c r="AE268" s="1" t="s">
        <v>215</v>
      </c>
      <c r="AF268" s="1"/>
      <c r="AG268" s="7"/>
    </row>
    <row r="269" ht="17" customHeight="1">
      <c r="A269" s="1" t="s">
        <v>1254</v>
      </c>
      <c r="B269" s="9"/>
      <c r="C269" s="9"/>
      <c r="D269" s="1" t="s">
        <v>68</v>
      </c>
      <c r="E269" s="5" t="str">
        <f t="shared" si="41"/>
        <v>Iwaniuk</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5" t="str">
        <f t="shared" si="42"/>
        <v>2001</v>
      </c>
      <c r="H269" s="5" t="str">
        <f t="shared" si="43"/>
        <v>Iwaniuk_etal_2001</v>
      </c>
      <c r="I269" s="5" t="str">
        <f t="shared" si="45"/>
        <v>10.1037%2F0735-7036.115.1.29</v>
      </c>
      <c r="J269" s="5" t="str">
        <f t="shared" si="44"/>
        <v>Iwaniuk_etal_2001_Table1</v>
      </c>
      <c r="K269" s="5" t="str">
        <f t="shared" ref="K269:K300" si="46">I269 &amp; "_" &amp; SUBSTITUTE(SUBSTITUTE(SUBSTITUTE(D269,CHAR(160),"")," ",""),"_","")</f>
        <v>10.1037%2F0735-7036.115.1.29_Table1</v>
      </c>
      <c r="L269" s="5" t="str">
        <f t="array" ref="L269">IFERROR(INDEX(AUTO_Public_TSV_FileList!$A$1:$A$1000,MATCH(TRUE(),EXACT(K269,IFERROR(_xlfn.TEXTBEFORE(AUTO_Public_TSV_FileList!$A$1:$A$1000,".tsv"),"")),0)),"notfound")</f>
        <v>10.1037%2F0735-7036.115.1.29_Table1.tsv</v>
      </c>
      <c r="M269" s="1" t="s">
        <v>1255</v>
      </c>
      <c r="N269" s="1" t="s">
        <v>35</v>
      </c>
      <c r="O269" s="7"/>
      <c r="P269" s="1" t="s">
        <v>36</v>
      </c>
      <c r="Q269" s="7"/>
      <c r="R269" s="7"/>
      <c r="S269" s="7"/>
      <c r="T269" s="7"/>
      <c r="U269" s="7"/>
      <c r="V269" s="1"/>
      <c r="W269" s="1" t="s">
        <v>174</v>
      </c>
      <c r="X269" s="1" t="s">
        <v>1256</v>
      </c>
      <c r="Y269" s="7"/>
      <c r="Z269" s="7"/>
      <c r="AA269" s="7"/>
      <c r="AB269" s="1" t="s">
        <v>1257</v>
      </c>
      <c r="AC269" s="7"/>
      <c r="AD269" s="7"/>
      <c r="AE269" s="1" t="s">
        <v>215</v>
      </c>
      <c r="AF269" s="1"/>
      <c r="AG269" s="7"/>
    </row>
    <row r="270" ht="17" customHeight="1">
      <c r="A270" s="1" t="s">
        <v>1254</v>
      </c>
      <c r="B270" s="9"/>
      <c r="C270" s="9"/>
      <c r="D270" s="1" t="s">
        <v>108</v>
      </c>
      <c r="E270" s="5" t="str">
        <f t="shared" si="41"/>
        <v>Iwaniuk</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5" t="str">
        <f t="shared" si="42"/>
        <v>2001</v>
      </c>
      <c r="H270" s="5" t="str">
        <f t="shared" si="43"/>
        <v>Iwaniuk_etal_2001</v>
      </c>
      <c r="I270" s="5" t="str">
        <f t="shared" si="45"/>
        <v>10.1037%2F0735-7036.115.1.29</v>
      </c>
      <c r="J270" s="5" t="str">
        <f t="shared" si="44"/>
        <v>Iwaniuk_etal_2001_Table2</v>
      </c>
      <c r="K270" s="5" t="str">
        <f t="shared" si="46"/>
        <v>10.1037%2F0735-7036.115.1.29_Table2</v>
      </c>
      <c r="L270" s="5" t="str">
        <f t="array" ref="L270">IFERROR(INDEX(AUTO_Public_TSV_FileList!$A$1:$A$1000,MATCH(TRUE(),EXACT(K270,IFERROR(_xlfn.TEXTBEFORE(AUTO_Public_TSV_FileList!$A$1:$A$1000,".tsv"),"")),0)),"notfound")</f>
        <v>10.1037%2F0735-7036.115.1.29_Table2.tsv</v>
      </c>
      <c r="M270" s="1" t="s">
        <v>1258</v>
      </c>
      <c r="N270" s="1" t="s">
        <v>35</v>
      </c>
      <c r="O270" s="7"/>
      <c r="P270" s="1" t="s">
        <v>36</v>
      </c>
      <c r="Q270" s="7"/>
      <c r="R270" s="7"/>
      <c r="S270" s="7"/>
      <c r="T270" s="7"/>
      <c r="U270" s="7"/>
      <c r="V270" s="1"/>
      <c r="W270" s="1" t="s">
        <v>174</v>
      </c>
      <c r="X270" s="1" t="s">
        <v>1256</v>
      </c>
      <c r="Y270" s="7"/>
      <c r="Z270" s="7"/>
      <c r="AA270" s="7"/>
      <c r="AB270" s="1" t="s">
        <v>1257</v>
      </c>
      <c r="AC270" s="7"/>
      <c r="AD270" s="7"/>
      <c r="AE270" s="1" t="s">
        <v>215</v>
      </c>
      <c r="AF270" s="1"/>
      <c r="AG270" s="7"/>
    </row>
    <row r="271" ht="17" customHeight="1">
      <c r="A271" s="1" t="s">
        <v>1254</v>
      </c>
      <c r="B271" s="9"/>
      <c r="C271" s="9"/>
      <c r="D271" s="1" t="s">
        <v>110</v>
      </c>
      <c r="E271" s="5" t="str">
        <f t="shared" si="41"/>
        <v>Iwaniuk</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5" t="str">
        <f t="shared" si="42"/>
        <v>2001</v>
      </c>
      <c r="H271" s="5" t="str">
        <f t="shared" si="43"/>
        <v>Iwaniuk_etal_2001</v>
      </c>
      <c r="I271" s="5" t="str">
        <f t="shared" si="45"/>
        <v>10.1037%2F0735-7036.115.1.29</v>
      </c>
      <c r="J271" s="5" t="str">
        <f t="shared" si="44"/>
        <v>Iwaniuk_etal_2001_Table3</v>
      </c>
      <c r="K271" s="5" t="str">
        <f t="shared" si="46"/>
        <v>10.1037%2F0735-7036.115.1.29_Table3</v>
      </c>
      <c r="L271" s="5" t="str">
        <f t="array" ref="L271">IFERROR(INDEX(AUTO_Public_TSV_FileList!$A$1:$A$1000,MATCH(TRUE(),EXACT(K271,IFERROR(_xlfn.TEXTBEFORE(AUTO_Public_TSV_FileList!$A$1:$A$1000,".tsv"),"")),0)),"notfound")</f>
        <v>10.1037%2F0735-7036.115.1.29_Table3.tsv</v>
      </c>
      <c r="M271" s="1" t="s">
        <v>1259</v>
      </c>
      <c r="N271" s="1" t="s">
        <v>35</v>
      </c>
      <c r="O271" s="7"/>
      <c r="P271" s="1" t="s">
        <v>36</v>
      </c>
      <c r="Q271" s="7"/>
      <c r="R271" s="7"/>
      <c r="S271" s="7"/>
      <c r="T271" s="7"/>
      <c r="U271" s="7"/>
      <c r="V271" s="1"/>
      <c r="W271" s="1" t="s">
        <v>174</v>
      </c>
      <c r="X271" s="1" t="s">
        <v>1256</v>
      </c>
      <c r="Y271" s="7"/>
      <c r="Z271" s="7"/>
      <c r="AA271" s="7"/>
      <c r="AB271" s="1" t="s">
        <v>1257</v>
      </c>
      <c r="AC271" s="7"/>
      <c r="AD271" s="7"/>
      <c r="AE271" s="1" t="s">
        <v>215</v>
      </c>
      <c r="AF271" s="1"/>
      <c r="AG271" s="7"/>
    </row>
    <row r="272" ht="17" customHeight="1">
      <c r="A272" s="1" t="s">
        <v>1254</v>
      </c>
      <c r="B272" s="9"/>
      <c r="C272" s="9"/>
      <c r="D272" s="1" t="s">
        <v>34</v>
      </c>
      <c r="E272" s="5" t="str">
        <f t="shared" si="41"/>
        <v>Iwaniuk</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5" t="str">
        <f t="shared" si="42"/>
        <v>2001</v>
      </c>
      <c r="H272" s="5" t="str">
        <f t="shared" si="43"/>
        <v>Iwaniuk_etal_2001</v>
      </c>
      <c r="I272" s="5" t="str">
        <f t="shared" si="45"/>
        <v>10.1037%2F0735-7036.115.1.29</v>
      </c>
      <c r="J272" s="5" t="str">
        <f t="shared" si="44"/>
        <v>Iwaniuk_etal_2001_Table4</v>
      </c>
      <c r="K272" s="5" t="str">
        <f t="shared" si="46"/>
        <v>10.1037%2F0735-7036.115.1.29_Table4</v>
      </c>
      <c r="L272" s="5" t="str">
        <f t="array" ref="L272">IFERROR(INDEX(AUTO_Public_TSV_FileList!$A$1:$A$1000,MATCH(TRUE(),EXACT(K272,IFERROR(_xlfn.TEXTBEFORE(AUTO_Public_TSV_FileList!$A$1:$A$1000,".tsv"),"")),0)),"notfound")</f>
        <v>10.1037%2F0735-7036.115.1.29_Table4.tsv</v>
      </c>
      <c r="M272" s="1" t="s">
        <v>1260</v>
      </c>
      <c r="N272" s="1" t="s">
        <v>35</v>
      </c>
      <c r="O272" s="7"/>
      <c r="P272" s="1" t="s">
        <v>36</v>
      </c>
      <c r="Q272" s="7"/>
      <c r="R272" s="7"/>
      <c r="S272" s="7"/>
      <c r="T272" s="7"/>
      <c r="U272" s="7"/>
      <c r="V272" s="1"/>
      <c r="W272" s="1" t="s">
        <v>174</v>
      </c>
      <c r="X272" s="1" t="s">
        <v>1256</v>
      </c>
      <c r="Y272" s="7"/>
      <c r="Z272" s="7"/>
      <c r="AA272" s="7"/>
      <c r="AB272" s="1" t="s">
        <v>1257</v>
      </c>
      <c r="AC272" s="7"/>
      <c r="AD272" s="7"/>
      <c r="AE272" s="1" t="s">
        <v>215</v>
      </c>
      <c r="AF272" s="1"/>
      <c r="AG272" s="7"/>
    </row>
    <row r="273" ht="17" customHeight="1">
      <c r="A273" s="1" t="s">
        <v>1261</v>
      </c>
      <c r="B273" s="9"/>
      <c r="C273" s="9"/>
      <c r="D273" s="1" t="s">
        <v>1262</v>
      </c>
      <c r="E273" s="5" t="str">
        <f t="shared" si="41"/>
        <v>Iwaniuk</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5" t="str">
        <f t="shared" si="42"/>
        <v>1999</v>
      </c>
      <c r="H273" s="5" t="str">
        <f t="shared" si="43"/>
        <v>Iwaniuk_etal_1999</v>
      </c>
      <c r="I273" s="5" t="str">
        <f t="shared" si="45"/>
        <v>10.1016%2Fs0166-4328(98)00151-x</v>
      </c>
      <c r="J273" s="5" t="str">
        <f t="shared" si="44"/>
        <v>Iwaniuk_etal_1999_References</v>
      </c>
      <c r="K273" s="5" t="str">
        <f t="shared" si="46"/>
        <v>10.1016%2Fs0166-4328(98)00151-x_References</v>
      </c>
      <c r="L273" s="5" t="str">
        <f t="array" ref="L273">IFERROR(INDEX(AUTO_Public_TSV_FileList!$A$1:$A$1000,MATCH(TRUE(),EXACT(K273,IFERROR(_xlfn.TEXTBEFORE(AUTO_Public_TSV_FileList!$A$1:$A$1000,".tsv"),"")),0)),"notfound")</f>
        <v>10.1016%2Fs0166-4328(98)00151-x_References.tsv</v>
      </c>
      <c r="M273" s="1" t="s">
        <v>1262</v>
      </c>
      <c r="N273" s="1" t="s">
        <v>1263</v>
      </c>
      <c r="O273" s="7"/>
      <c r="P273" s="1" t="s">
        <v>36</v>
      </c>
      <c r="Q273" s="7"/>
      <c r="R273" s="7"/>
      <c r="S273" s="7"/>
      <c r="T273" s="7"/>
      <c r="U273" s="7"/>
      <c r="V273" s="7"/>
      <c r="W273" s="1" t="s">
        <v>174</v>
      </c>
      <c r="X273" s="1" t="s">
        <v>1264</v>
      </c>
      <c r="Y273" s="7"/>
      <c r="Z273" s="7"/>
      <c r="AA273" s="7"/>
      <c r="AB273" s="1" t="s">
        <v>1265</v>
      </c>
      <c r="AC273" s="7"/>
      <c r="AD273" s="7"/>
      <c r="AE273" s="1" t="s">
        <v>215</v>
      </c>
      <c r="AF273" s="1"/>
      <c r="AG273" s="7"/>
    </row>
    <row r="274" ht="17" customHeight="1">
      <c r="A274" s="1" t="s">
        <v>1261</v>
      </c>
      <c r="B274" s="9"/>
      <c r="C274" s="9"/>
      <c r="D274" s="1" t="s">
        <v>68</v>
      </c>
      <c r="E274" s="5" t="str">
        <f t="shared" si="41"/>
        <v>Iwaniuk</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5" t="str">
        <f t="shared" si="42"/>
        <v>1999</v>
      </c>
      <c r="H274" s="5" t="str">
        <f t="shared" si="43"/>
        <v>Iwaniuk_etal_1999</v>
      </c>
      <c r="I274" s="5" t="str">
        <f t="shared" si="45"/>
        <v>10.1016%2Fs0166-4328(98)00151-x</v>
      </c>
      <c r="J274" s="5" t="str">
        <f t="shared" si="44"/>
        <v>Iwaniuk_etal_1999_Table1</v>
      </c>
      <c r="K274" s="5" t="str">
        <f t="shared" si="46"/>
        <v>10.1016%2Fs0166-4328(98)00151-x_Table1</v>
      </c>
      <c r="L274" s="5" t="str">
        <f t="array" ref="L274">IFERROR(INDEX(AUTO_Public_TSV_FileList!$A$1:$A$1000,MATCH(TRUE(),EXACT(K274,IFERROR(_xlfn.TEXTBEFORE(AUTO_Public_TSV_FileList!$A$1:$A$1000,".tsv"),"")),0)),"notfound")</f>
        <v>10.1016%2Fs0166-4328(98)00151-x_Table1.tsv</v>
      </c>
      <c r="M274" s="1" t="s">
        <v>1266</v>
      </c>
      <c r="N274" s="1" t="s">
        <v>35</v>
      </c>
      <c r="O274" s="7"/>
      <c r="P274" s="1" t="s">
        <v>36</v>
      </c>
      <c r="Q274" s="7"/>
      <c r="R274" s="7"/>
      <c r="S274" s="7"/>
      <c r="T274" s="7"/>
      <c r="U274" s="7"/>
      <c r="V274" s="7"/>
      <c r="W274" s="1" t="s">
        <v>174</v>
      </c>
      <c r="X274" s="1" t="s">
        <v>1264</v>
      </c>
      <c r="Y274" s="7"/>
      <c r="Z274" s="7"/>
      <c r="AA274" s="7"/>
      <c r="AB274" s="1" t="s">
        <v>1265</v>
      </c>
      <c r="AC274" s="7"/>
      <c r="AD274" s="7"/>
      <c r="AE274" s="1" t="s">
        <v>215</v>
      </c>
      <c r="AF274" s="1"/>
      <c r="AG274" s="7"/>
    </row>
    <row r="275" ht="17" customHeight="1">
      <c r="A275" s="18" t="s">
        <v>1267</v>
      </c>
      <c r="B275" s="18"/>
      <c r="C275" s="18"/>
      <c r="D275" s="18" t="s">
        <v>68</v>
      </c>
      <c r="E275" s="3" t="str">
        <f t="shared" si="41"/>
        <v>Iwaniuk</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5" t="str">
        <f t="shared" si="42"/>
        <v>2000</v>
      </c>
      <c r="H275" s="3" t="str">
        <f t="shared" si="43"/>
        <v>Iwaniuk_etal_2000</v>
      </c>
      <c r="I275" s="3" t="str">
        <f t="shared" ref="I275:I284" si="47">_xlfn.LET(_xlpm.doi,IF(C275&lt;&gt;"",C275,_xlfn.TEXTAFTER(A275,"https://doi.org/")),SUBSTITUTE(SUBSTITUTE(SUBSTITUTE(SUBSTITUTE(_xlpm.doi,"/","%2F"),":","%3A"),"&lt;","%3C"),"&gt;","%3E"))</f>
        <v>10.1139%2Fz00-023</v>
      </c>
      <c r="J275" s="3" t="str">
        <f t="shared" si="44"/>
        <v>Iwaniuk_etal_2000_Table1</v>
      </c>
      <c r="K275" s="5" t="str">
        <f t="shared" si="46"/>
        <v>10.1139%2Fz00-023_Table1</v>
      </c>
      <c r="L275" s="5" t="str">
        <f t="array" ref="L275">IFERROR(INDEX(AUTO_Public_TSV_FileList!$A$1:$A$1000,MATCH(TRUE(),EXACT(K275,IFERROR(_xlfn.TEXTBEFORE(AUTO_Public_TSV_FileList!$A$1:$A$1000,".tsv"),"")),0)),"notfound")</f>
        <v>notfound</v>
      </c>
      <c r="M275" s="18" t="s">
        <v>1268</v>
      </c>
      <c r="N275" s="18" t="s">
        <v>70</v>
      </c>
      <c r="O275" s="18" t="s">
        <v>1269</v>
      </c>
      <c r="P275" s="18" t="s">
        <v>78</v>
      </c>
      <c r="Q275" s="18"/>
      <c r="R275" s="18" t="s">
        <v>1270</v>
      </c>
      <c r="S275" s="18" t="s">
        <v>80</v>
      </c>
      <c r="T275" s="18" t="s">
        <v>1271</v>
      </c>
      <c r="U275" s="18"/>
      <c r="V275" s="18" t="s">
        <v>1272</v>
      </c>
      <c r="W275" s="18" t="s">
        <v>1273</v>
      </c>
      <c r="X275" s="18" t="s">
        <v>1274</v>
      </c>
      <c r="Y275" s="18" t="s">
        <v>1275</v>
      </c>
      <c r="Z275" s="18" t="s">
        <v>1276</v>
      </c>
      <c r="AA275" s="18" t="s">
        <v>1277</v>
      </c>
      <c r="AB275" s="18" t="s">
        <v>1278</v>
      </c>
      <c r="AC275" s="18" t="s">
        <v>1279</v>
      </c>
      <c r="AD275" s="18"/>
      <c r="AE275" s="18" t="s">
        <v>51</v>
      </c>
      <c r="AF275" s="18" t="s">
        <v>1280</v>
      </c>
      <c r="AG275" s="18" t="s">
        <v>1281</v>
      </c>
    </row>
    <row r="276" ht="17" customHeight="1">
      <c r="A276" s="8" t="s">
        <v>1282</v>
      </c>
      <c r="B276" s="9"/>
      <c r="C276" s="9"/>
      <c r="D276" s="8" t="s">
        <v>453</v>
      </c>
      <c r="E276" s="3" t="str">
        <f t="shared" si="41"/>
        <v>Jackson</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5" t="str">
        <f t="shared" si="42"/>
        <v>1997</v>
      </c>
      <c r="H276" s="3" t="str">
        <f t="shared" si="43"/>
        <v>Jackson_etal_1997</v>
      </c>
      <c r="I276" s="3" t="str">
        <f t="shared" si="47"/>
        <v>10.1037%2F0735-7036.111.1.100</v>
      </c>
      <c r="J276" s="3" t="str">
        <f t="shared" si="44"/>
        <v>Jackson_etal_1997_ResultsText</v>
      </c>
      <c r="K276" s="5" t="str">
        <f t="shared" si="46"/>
        <v>10.1037%2F0735-7036.111.1.100_ResultsText</v>
      </c>
      <c r="L276" s="5" t="str">
        <f t="array" ref="L276">IFERROR(INDEX(AUTO_Public_TSV_FileList!$A$1:$A$1000,MATCH(TRUE(),EXACT(K276,IFERROR(_xlfn.TEXTBEFORE(AUTO_Public_TSV_FileList!$A$1:$A$1000,".tsv"),"")),0)),"notfound")</f>
        <v>10.1037%2F0735-7036.111.1.100_ResultsText.tsv</v>
      </c>
      <c r="M276" s="9" t="s">
        <v>1283</v>
      </c>
      <c r="N276" s="7" t="s">
        <v>455</v>
      </c>
      <c r="O276" s="7" t="s">
        <v>1284</v>
      </c>
      <c r="P276" s="7" t="s">
        <v>72</v>
      </c>
      <c r="Q276" s="7" t="s">
        <v>1285</v>
      </c>
      <c r="R276" s="9"/>
      <c r="S276" s="9"/>
      <c r="T276" s="9"/>
      <c r="U276" s="9"/>
      <c r="V276" s="9"/>
      <c r="W276" s="7" t="s">
        <v>816</v>
      </c>
      <c r="X276" s="9"/>
      <c r="Y276" s="9"/>
      <c r="Z276" s="9"/>
      <c r="AA276" s="7" t="s">
        <v>1286</v>
      </c>
      <c r="AB276" s="7" t="s">
        <v>127</v>
      </c>
      <c r="AC276" s="7" t="s">
        <v>1287</v>
      </c>
      <c r="AD276" s="9"/>
      <c r="AE276" s="7" t="s">
        <v>66</v>
      </c>
      <c r="AF276" s="9"/>
      <c r="AG276" s="9"/>
    </row>
    <row r="277" ht="17" customHeight="1">
      <c r="A277" s="7" t="s">
        <v>1288</v>
      </c>
      <c r="B277" s="9"/>
      <c r="C277" s="9"/>
      <c r="D277" s="7" t="s">
        <v>1289</v>
      </c>
      <c r="E277" s="3" t="str">
        <f t="shared" si="41"/>
        <v>Jacob</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5" t="str">
        <f t="shared" si="42"/>
        <v>2021</v>
      </c>
      <c r="H277" s="3" t="str">
        <f t="shared" si="43"/>
        <v>Jacob_etal_2021</v>
      </c>
      <c r="I277" s="3" t="str">
        <f t="shared" si="47"/>
        <v>10.1002%2Fcne.25197</v>
      </c>
      <c r="J277" s="3" t="str">
        <f t="shared" si="44"/>
        <v>Jacob_etal_2021_FIGURE4</v>
      </c>
      <c r="K277" s="5" t="str">
        <f t="shared" si="46"/>
        <v>10.1002%2Fcne.25197_FIGURE4</v>
      </c>
      <c r="L277" s="5" t="str">
        <f t="array" ref="L277">IFERROR(INDEX(AUTO_Public_TSV_FileList!$A$1:$A$1000,MATCH(TRUE(),EXACT(K277,IFERROR(_xlfn.TEXTBEFORE(AUTO_Public_TSV_FileList!$A$1:$A$1000,".tsv"),"")),0)),"notfound")</f>
        <v>10.1002%2Fcne.25197_FIGURE4.tsv</v>
      </c>
      <c r="M277" s="7" t="s">
        <v>1289</v>
      </c>
      <c r="N277" s="7"/>
      <c r="O277" s="7"/>
      <c r="P277" s="7" t="s">
        <v>36</v>
      </c>
      <c r="Q277" s="7"/>
      <c r="R277" s="7"/>
      <c r="S277" s="7"/>
      <c r="T277" s="7"/>
      <c r="U277" s="7"/>
      <c r="V277" s="7"/>
      <c r="W277" s="7"/>
      <c r="X277" s="7"/>
      <c r="Y277" s="7"/>
      <c r="Z277" s="7"/>
      <c r="AA277" s="7"/>
      <c r="AB277" s="7"/>
      <c r="AC277" s="7"/>
      <c r="AD277" s="7"/>
      <c r="AE277" s="7"/>
      <c r="AF277" s="7"/>
      <c r="AG277" s="7"/>
    </row>
    <row r="278" ht="17" customHeight="1">
      <c r="A278" s="9" t="s">
        <v>1288</v>
      </c>
      <c r="B278" s="9"/>
      <c r="C278" s="9"/>
      <c r="D278" s="9" t="s">
        <v>58</v>
      </c>
      <c r="E278" s="3" t="str">
        <f t="shared" si="41"/>
        <v>Jacob</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5" t="str">
        <f t="shared" si="42"/>
        <v>2021</v>
      </c>
      <c r="H278" s="3" t="str">
        <f t="shared" si="43"/>
        <v>Jacob_etal_2021</v>
      </c>
      <c r="I278" s="3" t="str">
        <f t="shared" si="47"/>
        <v>10.1002%2Fcne.25197</v>
      </c>
      <c r="J278" s="3" t="str">
        <f t="shared" si="44"/>
        <v>Jacob_etal_2021_TABLE1</v>
      </c>
      <c r="K278" s="5" t="str">
        <f t="shared" si="46"/>
        <v>10.1002%2Fcne.25197_TABLE1</v>
      </c>
      <c r="L278" s="5" t="str">
        <f t="array" ref="L278">IFERROR(INDEX(AUTO_Public_TSV_FileList!$A$1:$A$1000,MATCH(TRUE(),EXACT(K278,IFERROR(_xlfn.TEXTBEFORE(AUTO_Public_TSV_FileList!$A$1:$A$1000,".tsv"),"")),0)),"notfound")</f>
        <v>10.1002%2Fcne.25197_TABLE1.tsv</v>
      </c>
      <c r="M278" s="9" t="s">
        <v>1290</v>
      </c>
      <c r="N278" s="9" t="s">
        <v>35</v>
      </c>
      <c r="O278" s="9" t="s">
        <v>1291</v>
      </c>
      <c r="P278" s="9" t="s">
        <v>36</v>
      </c>
      <c r="Q278" s="9"/>
      <c r="R278" s="9"/>
      <c r="S278" s="9"/>
      <c r="T278" s="9"/>
      <c r="U278" s="9"/>
      <c r="V278" s="9"/>
      <c r="W278" s="9"/>
      <c r="X278" s="9"/>
      <c r="Y278" s="9"/>
      <c r="Z278" s="9"/>
      <c r="AA278" s="9"/>
      <c r="AB278" s="9"/>
      <c r="AC278" s="9"/>
      <c r="AD278" s="9"/>
      <c r="AE278" s="9"/>
      <c r="AF278" s="9"/>
      <c r="AG278" s="9"/>
    </row>
    <row r="279" ht="17" customHeight="1">
      <c r="A279" s="9" t="s">
        <v>1288</v>
      </c>
      <c r="B279" s="9"/>
      <c r="C279" s="9"/>
      <c r="D279" s="9" t="s">
        <v>91</v>
      </c>
      <c r="E279" s="3" t="str">
        <f t="shared" si="41"/>
        <v>Jacob</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5" t="str">
        <f t="shared" si="42"/>
        <v>2021</v>
      </c>
      <c r="H279" s="3" t="str">
        <f t="shared" si="43"/>
        <v>Jacob_etal_2021</v>
      </c>
      <c r="I279" s="3" t="str">
        <f t="shared" si="47"/>
        <v>10.1002%2Fcne.25197</v>
      </c>
      <c r="J279" s="3" t="str">
        <f t="shared" si="44"/>
        <v>Jacob_etal_2021_TABLE2</v>
      </c>
      <c r="K279" s="5" t="str">
        <f t="shared" si="46"/>
        <v>10.1002%2Fcne.25197_TABLE2</v>
      </c>
      <c r="L279" s="5" t="str">
        <f t="array" ref="L279">IFERROR(INDEX(AUTO_Public_TSV_FileList!$A$1:$A$1000,MATCH(TRUE(),EXACT(K279,IFERROR(_xlfn.TEXTBEFORE(AUTO_Public_TSV_FileList!$A$1:$A$1000,".tsv"),"")),0)),"notfound")</f>
        <v>10.1002%2Fcne.25197_TABLE2.tsv</v>
      </c>
      <c r="M279" s="9" t="s">
        <v>1292</v>
      </c>
      <c r="N279" s="9" t="s">
        <v>35</v>
      </c>
      <c r="O279" s="9" t="s">
        <v>1291</v>
      </c>
      <c r="P279" s="9" t="s">
        <v>36</v>
      </c>
      <c r="Q279" s="9"/>
      <c r="R279" s="9"/>
      <c r="S279" s="9"/>
      <c r="T279" s="9"/>
      <c r="U279" s="9"/>
      <c r="V279" s="9"/>
      <c r="W279" s="9"/>
      <c r="X279" s="9"/>
      <c r="Y279" s="9"/>
      <c r="Z279" s="9"/>
      <c r="AA279" s="9"/>
      <c r="AB279" s="9"/>
      <c r="AC279" s="9"/>
      <c r="AD279" s="9"/>
      <c r="AE279" s="9"/>
      <c r="AF279" s="9"/>
      <c r="AG279" s="9"/>
    </row>
    <row r="280" ht="17" customHeight="1">
      <c r="A280" s="9" t="s">
        <v>1288</v>
      </c>
      <c r="B280" s="9"/>
      <c r="C280" s="9"/>
      <c r="D280" s="9" t="s">
        <v>94</v>
      </c>
      <c r="E280" s="3" t="str">
        <f t="shared" si="41"/>
        <v>Jacob</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5" t="str">
        <f t="shared" si="42"/>
        <v>2021</v>
      </c>
      <c r="H280" s="3" t="str">
        <f t="shared" si="43"/>
        <v>Jacob_etal_2021</v>
      </c>
      <c r="I280" s="3" t="str">
        <f t="shared" si="47"/>
        <v>10.1002%2Fcne.25197</v>
      </c>
      <c r="J280" s="3" t="str">
        <f t="shared" si="44"/>
        <v>Jacob_etal_2021_TABLE3</v>
      </c>
      <c r="K280" s="5" t="str">
        <f t="shared" si="46"/>
        <v>10.1002%2Fcne.25197_TABLE3</v>
      </c>
      <c r="L280" s="5" t="str">
        <f t="array" ref="L280">IFERROR(INDEX(AUTO_Public_TSV_FileList!$A$1:$A$1000,MATCH(TRUE(),EXACT(K280,IFERROR(_xlfn.TEXTBEFORE(AUTO_Public_TSV_FileList!$A$1:$A$1000,".tsv"),"")),0)),"notfound")</f>
        <v>10.1002%2Fcne.25197_TABLE3.tsv</v>
      </c>
      <c r="M280" s="9" t="s">
        <v>1293</v>
      </c>
      <c r="N280" s="9" t="s">
        <v>35</v>
      </c>
      <c r="O280" s="9" t="s">
        <v>1291</v>
      </c>
      <c r="P280" s="9" t="s">
        <v>36</v>
      </c>
      <c r="Q280" s="9"/>
      <c r="R280" s="9"/>
      <c r="S280" s="9"/>
      <c r="T280" s="9"/>
      <c r="U280" s="9"/>
      <c r="V280" s="9"/>
      <c r="W280" s="9"/>
      <c r="X280" s="9"/>
      <c r="Y280" s="9"/>
      <c r="Z280" s="9"/>
      <c r="AA280" s="9"/>
      <c r="AB280" s="9"/>
      <c r="AC280" s="9"/>
      <c r="AD280" s="9"/>
      <c r="AE280" s="9"/>
      <c r="AF280" s="9"/>
      <c r="AG280" s="9"/>
    </row>
    <row r="281" ht="17" customHeight="1">
      <c r="A281" s="9" t="s">
        <v>1294</v>
      </c>
      <c r="B281" s="9"/>
      <c r="C281" s="9" t="s">
        <v>1295</v>
      </c>
      <c r="D281" s="9" t="s">
        <v>68</v>
      </c>
      <c r="E281" s="3" t="str">
        <f t="shared" si="41"/>
        <v>Jacobs</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5" t="str">
        <f t="shared" si="42"/>
        <v>1997</v>
      </c>
      <c r="H281" s="3" t="str">
        <f t="shared" si="43"/>
        <v>Jacobs_etal_1997</v>
      </c>
      <c r="I281" s="3" t="str">
        <f t="shared" si="47"/>
        <v>10.1002%2F(sici)1096-9861(19971006)386%3A4%3C661%3A%3AAid-cne11%3E3.0.Co;2-n</v>
      </c>
      <c r="J281" s="3" t="str">
        <f t="shared" si="44"/>
        <v>Jacobs_etal_1997_Table1</v>
      </c>
      <c r="K281" s="5" t="str">
        <f t="shared" si="46"/>
        <v>10.1002%2F(sici)1096-9861(19971006)386%3A4%3C661%3A%3AAid-cne11%3E3.0.Co;2-n_Table1</v>
      </c>
      <c r="L281" s="5" t="str">
        <f t="array" ref="L281">IFERROR(INDEX(AUTO_Public_TSV_FileList!$A$1:$A$1000,MATCH(TRUE(),EXACT(K281,IFERROR(_xlfn.TEXTBEFORE(AUTO_Public_TSV_FileList!$A$1:$A$1000,".tsv"),"")),0)),"notfound")</f>
        <v>10.1002%2F(sici)1096-9861(19971006)386%3A4%3C661%3A%3AAid-cne11%3E3.0.Co;2-n_Table1.tsv</v>
      </c>
      <c r="M281" s="9"/>
      <c r="N281" s="9" t="s">
        <v>251</v>
      </c>
      <c r="O281" s="9" t="s">
        <v>1296</v>
      </c>
      <c r="P281" s="9" t="s">
        <v>36</v>
      </c>
      <c r="Q281" s="9"/>
      <c r="R281" s="9"/>
      <c r="S281" s="9"/>
      <c r="T281" s="9"/>
      <c r="U281" s="9"/>
      <c r="V281" s="9"/>
      <c r="W281" s="9"/>
      <c r="X281" s="9"/>
      <c r="Y281" s="9"/>
      <c r="Z281" s="9"/>
      <c r="AA281" s="9"/>
      <c r="AB281" s="9"/>
      <c r="AC281" s="9"/>
      <c r="AD281" s="9"/>
      <c r="AE281" s="9"/>
      <c r="AF281" s="9"/>
      <c r="AG281" s="9"/>
    </row>
    <row r="282" ht="17" customHeight="1">
      <c r="A282" s="9" t="s">
        <v>1294</v>
      </c>
      <c r="B282" s="9"/>
      <c r="C282" s="9" t="s">
        <v>1295</v>
      </c>
      <c r="D282" s="9" t="s">
        <v>108</v>
      </c>
      <c r="E282" s="3" t="str">
        <f t="shared" si="41"/>
        <v>Jacobs</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5" t="str">
        <f t="shared" si="42"/>
        <v>1997</v>
      </c>
      <c r="H282" s="3" t="str">
        <f t="shared" si="43"/>
        <v>Jacobs_etal_1997</v>
      </c>
      <c r="I282" s="3" t="str">
        <f t="shared" si="47"/>
        <v>10.1002%2F(sici)1096-9861(19971006)386%3A4%3C661%3A%3AAid-cne11%3E3.0.Co;2-n</v>
      </c>
      <c r="J282" s="3" t="str">
        <f t="shared" si="44"/>
        <v>Jacobs_etal_1997_Table2</v>
      </c>
      <c r="K282" s="5" t="str">
        <f t="shared" si="46"/>
        <v>10.1002%2F(sici)1096-9861(19971006)386%3A4%3C661%3A%3AAid-cne11%3E3.0.Co;2-n_Table2</v>
      </c>
      <c r="L282" s="5" t="str">
        <f t="array" ref="L282">IFERROR(INDEX(AUTO_Public_TSV_FileList!$A$1:$A$1000,MATCH(TRUE(),EXACT(K282,IFERROR(_xlfn.TEXTBEFORE(AUTO_Public_TSV_FileList!$A$1:$A$1000,".tsv"),"")),0)),"notfound")</f>
        <v>10.1002%2F(sici)1096-9861(19971006)386%3A4%3C661%3A%3AAid-cne11%3E3.0.Co;2-n_Table2.tsv</v>
      </c>
      <c r="M282" s="9"/>
      <c r="N282" s="9" t="s">
        <v>251</v>
      </c>
      <c r="O282" s="9" t="s">
        <v>1296</v>
      </c>
      <c r="P282" s="9" t="s">
        <v>36</v>
      </c>
      <c r="Q282" s="9"/>
      <c r="R282" s="9"/>
      <c r="S282" s="9"/>
      <c r="T282" s="9"/>
      <c r="U282" s="9"/>
      <c r="V282" s="9"/>
      <c r="W282" s="9"/>
      <c r="X282" s="9"/>
      <c r="Y282" s="9"/>
      <c r="Z282" s="9"/>
      <c r="AA282" s="9"/>
      <c r="AB282" s="9"/>
      <c r="AC282" s="9"/>
      <c r="AD282" s="9"/>
      <c r="AE282" s="9"/>
      <c r="AF282" s="9"/>
      <c r="AG282" s="9"/>
    </row>
    <row r="283" ht="17" customHeight="1">
      <c r="A283" s="9" t="s">
        <v>1297</v>
      </c>
      <c r="B283" s="9"/>
      <c r="C283" s="9"/>
      <c r="D283" s="9" t="s">
        <v>110</v>
      </c>
      <c r="E283" s="3" t="str">
        <f t="shared" si="41"/>
        <v>Jacobs</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5" t="str">
        <f t="shared" si="42"/>
        <v>2018</v>
      </c>
      <c r="H283" s="3" t="str">
        <f t="shared" si="43"/>
        <v>Jacobs_etal_2018</v>
      </c>
      <c r="I283" s="3" t="str">
        <f t="shared" si="47"/>
        <v>10.1002%2Fcne.24349</v>
      </c>
      <c r="J283" s="3" t="str">
        <f t="shared" si="44"/>
        <v>Jacobs_etal_2018_Table3</v>
      </c>
      <c r="K283" s="5" t="str">
        <f t="shared" si="46"/>
        <v>10.1002%2Fcne.24349_Table3</v>
      </c>
      <c r="L283" s="5" t="str">
        <f t="array" ref="L283">IFERROR(INDEX(AUTO_Public_TSV_FileList!$A$1:$A$1000,MATCH(TRUE(),EXACT(K283,IFERROR(_xlfn.TEXTBEFORE(AUTO_Public_TSV_FileList!$A$1:$A$1000,".tsv"),"")),0)),"notfound")</f>
        <v>10.1002%2Fcne.24349_Table3.tsv</v>
      </c>
      <c r="M283" s="9"/>
      <c r="N283" s="9" t="s">
        <v>251</v>
      </c>
      <c r="O283" s="9" t="s">
        <v>1298</v>
      </c>
      <c r="P283" s="9" t="s">
        <v>36</v>
      </c>
      <c r="Q283" s="9"/>
      <c r="R283" s="9"/>
      <c r="S283" s="9"/>
      <c r="T283" s="9"/>
      <c r="U283" s="9"/>
      <c r="V283" s="9"/>
      <c r="W283" s="9"/>
      <c r="X283" s="9"/>
      <c r="Y283" s="9"/>
      <c r="Z283" s="9"/>
      <c r="AA283" s="9"/>
      <c r="AB283" s="9"/>
      <c r="AC283" s="9"/>
      <c r="AD283" s="9"/>
      <c r="AE283" s="9"/>
      <c r="AF283" s="9"/>
      <c r="AG283" s="9"/>
    </row>
    <row r="284" ht="17" customHeight="1">
      <c r="A284" s="9" t="s">
        <v>1297</v>
      </c>
      <c r="B284" s="9"/>
      <c r="C284" s="9"/>
      <c r="D284" s="9" t="s">
        <v>112</v>
      </c>
      <c r="E284" s="3" t="str">
        <f t="shared" si="41"/>
        <v>Jacobs</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5" t="str">
        <f t="shared" si="42"/>
        <v>2018</v>
      </c>
      <c r="H284" s="3" t="str">
        <f t="shared" si="43"/>
        <v>Jacobs_etal_2018</v>
      </c>
      <c r="I284" s="3" t="str">
        <f t="shared" si="47"/>
        <v>10.1002%2Fcne.24349</v>
      </c>
      <c r="J284" s="3" t="str">
        <f t="shared" si="44"/>
        <v>Jacobs_etal_2018_Table5</v>
      </c>
      <c r="K284" s="5" t="str">
        <f t="shared" si="46"/>
        <v>10.1002%2Fcne.24349_Table5</v>
      </c>
      <c r="L284" s="5" t="str">
        <f t="array" ref="L284">IFERROR(INDEX(AUTO_Public_TSV_FileList!$A$1:$A$1000,MATCH(TRUE(),EXACT(K284,IFERROR(_xlfn.TEXTBEFORE(AUTO_Public_TSV_FileList!$A$1:$A$1000,".tsv"),"")),0)),"notfound")</f>
        <v>10.1002%2Fcne.24349_Table5.tsv</v>
      </c>
      <c r="M284" s="9"/>
      <c r="N284" s="9" t="s">
        <v>251</v>
      </c>
      <c r="O284" s="9" t="s">
        <v>1298</v>
      </c>
      <c r="P284" s="9" t="s">
        <v>36</v>
      </c>
      <c r="Q284" s="9"/>
      <c r="R284" s="9"/>
      <c r="S284" s="9"/>
      <c r="T284" s="9"/>
      <c r="U284" s="9"/>
      <c r="V284" s="9"/>
      <c r="W284" s="9"/>
      <c r="X284" s="9"/>
      <c r="Y284" s="9"/>
      <c r="Z284" s="9"/>
      <c r="AA284" s="9"/>
      <c r="AB284" s="9"/>
      <c r="AC284" s="9"/>
      <c r="AD284" s="9"/>
      <c r="AE284" s="9"/>
      <c r="AF284" s="9"/>
      <c r="AG284" s="9"/>
    </row>
    <row r="285" ht="17" customHeight="1">
      <c r="A285" s="1" t="s">
        <v>1299</v>
      </c>
      <c r="B285" s="9"/>
      <c r="C285" s="9"/>
      <c r="D285" s="1" t="s">
        <v>68</v>
      </c>
      <c r="E285" s="5" t="str">
        <f t="shared" si="41"/>
        <v>Jacobs</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5" t="str">
        <f t="shared" si="42"/>
        <v>2015</v>
      </c>
      <c r="H285" s="5" t="str">
        <f t="shared" si="43"/>
        <v>Jacobs_etal_2015</v>
      </c>
      <c r="I285" s="5" t="str">
        <f t="shared" ref="I285:I297" si="48">_xlfn.LET(
_xlpm.doi,IF(C285&lt;&gt;"",C285,_xlfn.TEXTAFTER(A285,"https://doi.org/")),
SUBSTITUTE(
SUBSTITUTE(
SUBSTITUTE(
SUBSTITUTE(
_xlpm.doi,
"/","%2F"),
":","%3A"),
"&lt;","%3C"),
"&gt;","%3E")
)</f>
        <v>10.1007%2Fs00429-014-0830-9</v>
      </c>
      <c r="J285" s="5" t="str">
        <f t="shared" si="44"/>
        <v>Jacobs_etal_2015_Table1</v>
      </c>
      <c r="K285" s="5" t="str">
        <f t="shared" si="46"/>
        <v>10.1007%2Fs00429-014-0830-9_Table1</v>
      </c>
      <c r="L285" s="5" t="str">
        <f t="array" ref="L285">IFERROR(INDEX(AUTO_Public_TSV_FileList!$A$1:$A$1000,MATCH(TRUE(),EXACT(K285,IFERROR(_xlfn.TEXTBEFORE(AUTO_Public_TSV_FileList!$A$1:$A$1000,".tsv"),"")),0)),"notfound")</f>
        <v>10.1007%2Fs00429-014-0830-9_Table1.tsv</v>
      </c>
      <c r="M285" s="1" t="s">
        <v>1300</v>
      </c>
      <c r="N285" s="7"/>
      <c r="O285" s="7"/>
      <c r="P285" s="1" t="s">
        <v>36</v>
      </c>
      <c r="Q285" s="7"/>
      <c r="R285" s="7"/>
      <c r="S285" s="7"/>
      <c r="T285" s="7"/>
      <c r="U285" s="7"/>
      <c r="V285" s="7"/>
      <c r="W285" s="7"/>
      <c r="X285" s="7"/>
      <c r="Y285" s="7"/>
      <c r="Z285" s="7"/>
      <c r="AA285" s="7"/>
      <c r="AB285" s="7"/>
      <c r="AC285" s="7"/>
      <c r="AD285" s="7"/>
      <c r="AE285" s="7"/>
      <c r="AF285" s="7"/>
      <c r="AG285" s="7"/>
    </row>
    <row r="286" ht="17" customHeight="1">
      <c r="A286" s="1" t="s">
        <v>1299</v>
      </c>
      <c r="B286" s="9"/>
      <c r="C286" s="9"/>
      <c r="D286" s="1" t="s">
        <v>110</v>
      </c>
      <c r="E286" s="5" t="str">
        <f t="shared" si="41"/>
        <v>Jacobs</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5" t="str">
        <f t="shared" si="42"/>
        <v>2015</v>
      </c>
      <c r="H286" s="5" t="str">
        <f t="shared" si="43"/>
        <v>Jacobs_etal_2015</v>
      </c>
      <c r="I286" s="5" t="str">
        <f t="shared" si="48"/>
        <v>10.1007%2Fs00429-014-0830-9</v>
      </c>
      <c r="J286" s="5" t="str">
        <f t="shared" si="44"/>
        <v>Jacobs_etal_2015_Table3</v>
      </c>
      <c r="K286" s="5" t="str">
        <f t="shared" si="46"/>
        <v>10.1007%2Fs00429-014-0830-9_Table3</v>
      </c>
      <c r="L286" s="5" t="str">
        <f t="array" ref="L286">IFERROR(INDEX(AUTO_Public_TSV_FileList!$A$1:$A$1000,MATCH(TRUE(),EXACT(K286,IFERROR(_xlfn.TEXTBEFORE(AUTO_Public_TSV_FileList!$A$1:$A$1000,".tsv"),"")),0)),"notfound")</f>
        <v>10.1007%2Fs00429-014-0830-9_Table3.tsv</v>
      </c>
      <c r="M286" s="7" t="s">
        <v>1301</v>
      </c>
      <c r="N286" s="7"/>
      <c r="O286" s="7"/>
      <c r="P286" s="7" t="s">
        <v>36</v>
      </c>
      <c r="Q286" s="7"/>
      <c r="R286" s="7"/>
      <c r="S286" s="7"/>
      <c r="T286" s="7"/>
      <c r="U286" s="7"/>
      <c r="V286" s="7"/>
      <c r="W286" s="7"/>
      <c r="X286" s="7"/>
      <c r="Y286" s="7"/>
      <c r="Z286" s="7"/>
      <c r="AA286" s="7"/>
      <c r="AB286" s="7"/>
      <c r="AC286" s="7"/>
      <c r="AD286" s="7"/>
      <c r="AE286" s="7"/>
      <c r="AF286" s="7"/>
      <c r="AG286" s="7"/>
    </row>
    <row r="287" ht="17" customHeight="1">
      <c r="A287" s="1" t="s">
        <v>1299</v>
      </c>
      <c r="B287" s="9"/>
      <c r="C287" s="9"/>
      <c r="D287" s="7" t="s">
        <v>34</v>
      </c>
      <c r="E287" s="5" t="str">
        <f t="shared" si="41"/>
        <v>Jacobs</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5" t="str">
        <f t="shared" si="42"/>
        <v>2015</v>
      </c>
      <c r="H287" s="5" t="str">
        <f t="shared" si="43"/>
        <v>Jacobs_etal_2015</v>
      </c>
      <c r="I287" s="5" t="str">
        <f t="shared" si="48"/>
        <v>10.1007%2Fs00429-014-0830-9</v>
      </c>
      <c r="J287" s="5" t="str">
        <f t="shared" si="44"/>
        <v>Jacobs_etal_2015_Table4</v>
      </c>
      <c r="K287" s="5" t="str">
        <f t="shared" si="46"/>
        <v>10.1007%2Fs00429-014-0830-9_Table4</v>
      </c>
      <c r="L287" s="5" t="str">
        <f t="array" ref="L287">IFERROR(INDEX(AUTO_Public_TSV_FileList!$A$1:$A$1000,MATCH(TRUE(),EXACT(K287,IFERROR(_xlfn.TEXTBEFORE(AUTO_Public_TSV_FileList!$A$1:$A$1000,".tsv"),"")),0)),"notfound")</f>
        <v>10.1007%2Fs00429-014-0830-9_Table4.tsv</v>
      </c>
      <c r="M287" s="7" t="s">
        <v>1302</v>
      </c>
      <c r="N287" s="7"/>
      <c r="O287" s="7"/>
      <c r="P287" s="7" t="s">
        <v>36</v>
      </c>
      <c r="Q287" s="7"/>
      <c r="R287" s="7"/>
      <c r="S287" s="7"/>
      <c r="T287" s="7"/>
      <c r="U287" s="7"/>
      <c r="V287" s="7"/>
      <c r="W287" s="7"/>
      <c r="X287" s="7"/>
      <c r="Y287" s="7"/>
      <c r="Z287" s="7"/>
      <c r="AA287" s="7"/>
      <c r="AB287" s="7"/>
      <c r="AC287" s="7"/>
      <c r="AD287" s="7"/>
      <c r="AE287" s="7"/>
      <c r="AF287" s="7"/>
      <c r="AG287" s="7"/>
    </row>
    <row r="288" ht="17" customHeight="1">
      <c r="A288" s="7" t="s">
        <v>1303</v>
      </c>
      <c r="B288" s="9"/>
      <c r="C288" s="9"/>
      <c r="D288" s="7" t="s">
        <v>68</v>
      </c>
      <c r="E288" s="5" t="str">
        <f t="shared" si="41"/>
        <v>Jacobs</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5" t="str">
        <f t="shared" si="42"/>
        <v>2016</v>
      </c>
      <c r="H288" s="5" t="str">
        <f t="shared" si="43"/>
        <v>Jacobs_etal_2016</v>
      </c>
      <c r="I288" s="5" t="str">
        <f t="shared" si="48"/>
        <v>10.1002%2Fcne.23841</v>
      </c>
      <c r="J288" s="5" t="str">
        <f t="shared" si="44"/>
        <v>Jacobs_etal_2016_Table1</v>
      </c>
      <c r="K288" s="5" t="str">
        <f t="shared" si="46"/>
        <v>10.1002%2Fcne.23841_Table1</v>
      </c>
      <c r="L288" s="5" t="str">
        <f t="array" ref="L288">IFERROR(INDEX(AUTO_Public_TSV_FileList!$A$1:$A$1000,MATCH(TRUE(),EXACT(K288,IFERROR(_xlfn.TEXTBEFORE(AUTO_Public_TSV_FileList!$A$1:$A$1000,".tsv"),"")),0)),"notfound")</f>
        <v>10.1002%2Fcne.23841_Table1.tsv</v>
      </c>
      <c r="M288" s="7"/>
      <c r="N288" s="1" t="s">
        <v>35</v>
      </c>
      <c r="O288" s="7"/>
      <c r="P288" s="7" t="s">
        <v>36</v>
      </c>
      <c r="Q288" s="7"/>
      <c r="R288" s="7" t="s">
        <v>1304</v>
      </c>
      <c r="S288" s="7"/>
      <c r="T288" s="7"/>
      <c r="U288" s="7"/>
      <c r="V288" s="7" t="s">
        <v>1305</v>
      </c>
      <c r="W288" s="7" t="s">
        <v>1306</v>
      </c>
      <c r="X288" s="7" t="s">
        <v>1307</v>
      </c>
      <c r="Y288" s="7"/>
      <c r="Z288" s="7"/>
      <c r="AA288" s="7"/>
      <c r="AB288" s="7" t="s">
        <v>1308</v>
      </c>
      <c r="AC288" s="7"/>
      <c r="AD288" s="7"/>
      <c r="AE288" s="7" t="s">
        <v>66</v>
      </c>
      <c r="AF288" s="7"/>
      <c r="AG288" s="7"/>
    </row>
    <row r="289" ht="17" customHeight="1">
      <c r="A289" s="1" t="s">
        <v>1303</v>
      </c>
      <c r="B289" s="9"/>
      <c r="C289" s="9"/>
      <c r="D289" s="1" t="s">
        <v>68</v>
      </c>
      <c r="E289" s="5" t="str">
        <f t="shared" si="41"/>
        <v>Jacobs</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5" t="str">
        <f t="shared" si="42"/>
        <v>2016</v>
      </c>
      <c r="H289" s="5" t="str">
        <f t="shared" si="43"/>
        <v>Jacobs_etal_2016</v>
      </c>
      <c r="I289" s="5" t="str">
        <f t="shared" si="48"/>
        <v>10.1002%2Fcne.23841</v>
      </c>
      <c r="J289" s="5" t="str">
        <f t="shared" si="44"/>
        <v>Jacobs_etal_2016_Table1</v>
      </c>
      <c r="K289" s="5" t="str">
        <f t="shared" si="46"/>
        <v>10.1002%2Fcne.23841_Table1</v>
      </c>
      <c r="L289" s="5" t="str">
        <f t="array" ref="L289">IFERROR(INDEX(AUTO_Public_TSV_FileList!$A$1:$A$1000,MATCH(TRUE(),EXACT(K289,IFERROR(_xlfn.TEXTBEFORE(AUTO_Public_TSV_FileList!$A$1:$A$1000,".tsv"),"")),0)),"notfound")</f>
        <v>10.1002%2Fcne.23841_Table1.tsv</v>
      </c>
      <c r="M289" s="7"/>
      <c r="N289" s="1" t="s">
        <v>35</v>
      </c>
      <c r="O289" s="7"/>
      <c r="P289" s="1" t="s">
        <v>36</v>
      </c>
      <c r="Q289" s="7"/>
      <c r="R289" s="7" t="s">
        <v>1304</v>
      </c>
      <c r="S289" s="7"/>
      <c r="T289" s="7"/>
      <c r="U289" s="7"/>
      <c r="V289" s="1" t="s">
        <v>1305</v>
      </c>
      <c r="W289" s="1" t="s">
        <v>1306</v>
      </c>
      <c r="X289" s="1" t="s">
        <v>1307</v>
      </c>
      <c r="Y289" s="7"/>
      <c r="Z289" s="7"/>
      <c r="AA289" s="7"/>
      <c r="AB289" s="1" t="s">
        <v>1308</v>
      </c>
      <c r="AC289" s="7"/>
      <c r="AD289" s="7"/>
      <c r="AE289" s="1" t="s">
        <v>66</v>
      </c>
      <c r="AF289" s="1"/>
      <c r="AG289" s="7"/>
    </row>
    <row r="290" ht="17" customHeight="1">
      <c r="A290" s="6" t="s">
        <v>1309</v>
      </c>
      <c r="B290" s="6"/>
      <c r="C290" s="6"/>
      <c r="D290" s="6" t="s">
        <v>68</v>
      </c>
      <c r="E290" s="5" t="str">
        <f t="shared" si="41"/>
        <v>Jacobs</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5" t="str">
        <f t="shared" si="42"/>
        <v>2001</v>
      </c>
      <c r="H290" s="5" t="str">
        <f t="shared" si="43"/>
        <v>Jacobs_etal_2001</v>
      </c>
      <c r="I290" s="5" t="str">
        <f t="shared" si="48"/>
        <v>10.1093%2Fcercor%2F11.6.558</v>
      </c>
      <c r="J290" s="5" t="str">
        <f t="shared" si="44"/>
        <v>Jacobs_etal_2001_Table1</v>
      </c>
      <c r="K290" s="5" t="str">
        <f t="shared" si="46"/>
        <v>10.1093%2Fcercor%2F11.6.558_Table1</v>
      </c>
      <c r="L290" s="5" t="str">
        <f t="array" ref="L290">IFERROR(INDEX(AUTO_Public_TSV_FileList!$A$1:$A$1000,MATCH(TRUE(),EXACT(K290,IFERROR(_xlfn.TEXTBEFORE(AUTO_Public_TSV_FileList!$A$1:$A$1000,".tsv"),"")),0)),"notfound")</f>
        <v>10.1093%2Fcercor%2F11.6.558_Table1.tsv</v>
      </c>
      <c r="M290" s="7"/>
      <c r="N290" s="6" t="s">
        <v>251</v>
      </c>
      <c r="O290" s="6"/>
      <c r="P290" s="6" t="s">
        <v>36</v>
      </c>
      <c r="Q290" s="6"/>
      <c r="R290" s="6" t="s">
        <v>1310</v>
      </c>
      <c r="S290" s="6"/>
      <c r="T290" s="6" t="s">
        <v>253</v>
      </c>
      <c r="U290" s="6"/>
      <c r="V290" s="6" t="s">
        <v>254</v>
      </c>
      <c r="W290" s="6" t="s">
        <v>137</v>
      </c>
      <c r="X290" s="6" t="s">
        <v>255</v>
      </c>
      <c r="Y290" s="6" t="s">
        <v>1311</v>
      </c>
      <c r="Z290" s="6"/>
      <c r="AA290" s="6" t="s">
        <v>257</v>
      </c>
      <c r="AB290" s="6" t="s">
        <v>258</v>
      </c>
      <c r="AC290" s="6"/>
      <c r="AD290" s="6"/>
      <c r="AE290" s="6" t="s">
        <v>1312</v>
      </c>
      <c r="AF290" s="6"/>
      <c r="AG290" s="6" t="s">
        <v>1313</v>
      </c>
    </row>
    <row r="291" ht="17" customHeight="1">
      <c r="A291" s="6" t="s">
        <v>1309</v>
      </c>
      <c r="B291" s="6"/>
      <c r="C291" s="6"/>
      <c r="D291" s="6" t="s">
        <v>108</v>
      </c>
      <c r="E291" s="5" t="str">
        <f t="shared" si="41"/>
        <v>Jacobs</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5" t="str">
        <f t="shared" si="42"/>
        <v>2001</v>
      </c>
      <c r="H291" s="5" t="str">
        <f t="shared" si="43"/>
        <v>Jacobs_etal_2001</v>
      </c>
      <c r="I291" s="5" t="str">
        <f t="shared" si="48"/>
        <v>10.1093%2Fcercor%2F11.6.558</v>
      </c>
      <c r="J291" s="5" t="str">
        <f t="shared" si="44"/>
        <v>Jacobs_etal_2001_Table2</v>
      </c>
      <c r="K291" s="5" t="str">
        <f t="shared" si="46"/>
        <v>10.1093%2Fcercor%2F11.6.558_Table2</v>
      </c>
      <c r="L291" s="5" t="str">
        <f t="array" ref="L291">IFERROR(INDEX(AUTO_Public_TSV_FileList!$A$1:$A$1000,MATCH(TRUE(),EXACT(K291,IFERROR(_xlfn.TEXTBEFORE(AUTO_Public_TSV_FileList!$A$1:$A$1000,".tsv"),"")),0)),"notfound")</f>
        <v>10.1093%2Fcercor%2F11.6.558_Table2.tsv</v>
      </c>
      <c r="M291" s="7"/>
      <c r="N291" s="6" t="s">
        <v>251</v>
      </c>
      <c r="O291" s="7"/>
      <c r="P291" s="6" t="s">
        <v>36</v>
      </c>
      <c r="Q291" s="6"/>
      <c r="R291" s="6" t="s">
        <v>1310</v>
      </c>
      <c r="S291" s="6"/>
      <c r="T291" s="6" t="s">
        <v>253</v>
      </c>
      <c r="U291" s="6"/>
      <c r="V291" s="6" t="s">
        <v>254</v>
      </c>
      <c r="W291" s="6" t="s">
        <v>137</v>
      </c>
      <c r="X291" s="6" t="s">
        <v>255</v>
      </c>
      <c r="Y291" s="6" t="s">
        <v>1314</v>
      </c>
      <c r="Z291" s="6"/>
      <c r="AA291" s="6" t="s">
        <v>257</v>
      </c>
      <c r="AB291" s="6" t="s">
        <v>258</v>
      </c>
      <c r="AC291" s="6"/>
      <c r="AD291" s="6"/>
      <c r="AE291" s="6" t="s">
        <v>66</v>
      </c>
      <c r="AF291" s="6"/>
      <c r="AG291" s="6" t="s">
        <v>1315</v>
      </c>
    </row>
    <row r="292" ht="17" customHeight="1">
      <c r="A292" s="1" t="s">
        <v>1316</v>
      </c>
      <c r="B292" s="7"/>
      <c r="C292" s="7"/>
      <c r="D292" s="1" t="s">
        <v>68</v>
      </c>
      <c r="E292" s="5" t="str">
        <f t="shared" si="41"/>
        <v>JardimMesseder</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5" t="str">
        <f t="shared" si="42"/>
        <v>2017</v>
      </c>
      <c r="H292" s="5" t="str">
        <f t="shared" si="43"/>
        <v>JardimMesseder_etal_2017</v>
      </c>
      <c r="I292" s="5" t="str">
        <f t="shared" si="48"/>
        <v>10.3389%2Ffnana.2017.00118</v>
      </c>
      <c r="J292" s="5" t="str">
        <f t="shared" si="44"/>
        <v>JardimMesseder_etal_2017_Table1</v>
      </c>
      <c r="K292" s="5" t="str">
        <f t="shared" si="46"/>
        <v>10.3389%2Ffnana.2017.00118_Table1</v>
      </c>
      <c r="L292" s="5" t="str">
        <f t="array" ref="L292">IFERROR(INDEX(AUTO_Public_TSV_FileList!$A$1:$A$1000,MATCH(TRUE(),EXACT(K292,IFERROR(_xlfn.TEXTBEFORE(AUTO_Public_TSV_FileList!$A$1:$A$1000,".tsv"),"")),0)),"notfound")</f>
        <v>10.3389%2Ffnana.2017.00118_Table1.tsv</v>
      </c>
      <c r="M292" s="1" t="s">
        <v>1317</v>
      </c>
      <c r="N292" s="1" t="s">
        <v>35</v>
      </c>
      <c r="O292" s="7"/>
      <c r="P292" s="1" t="s">
        <v>36</v>
      </c>
      <c r="Q292" s="1"/>
      <c r="R292" s="1" t="s">
        <v>1318</v>
      </c>
      <c r="S292" s="7"/>
      <c r="T292" s="7"/>
      <c r="U292" s="7"/>
      <c r="V292" s="7"/>
      <c r="W292" s="1" t="s">
        <v>1319</v>
      </c>
      <c r="X292" s="1" t="s">
        <v>633</v>
      </c>
      <c r="Y292" s="7"/>
      <c r="Z292" s="7"/>
      <c r="AA292" s="1" t="s">
        <v>63</v>
      </c>
      <c r="AB292" s="1" t="s">
        <v>64</v>
      </c>
      <c r="AC292" s="1" t="s">
        <v>65</v>
      </c>
      <c r="AD292" s="1" t="s">
        <v>65</v>
      </c>
      <c r="AE292" s="1" t="s">
        <v>66</v>
      </c>
      <c r="AF292" s="1"/>
      <c r="AG292" s="7"/>
    </row>
    <row r="293" ht="17" customHeight="1">
      <c r="A293" s="1" t="s">
        <v>1320</v>
      </c>
      <c r="B293" s="7"/>
      <c r="C293" s="7"/>
      <c r="D293" s="1" t="s">
        <v>108</v>
      </c>
      <c r="E293" s="5" t="str">
        <f t="shared" si="41"/>
        <v>Johansen</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5" t="str">
        <f t="shared" si="42"/>
        <v>2024</v>
      </c>
      <c r="H293" s="5" t="str">
        <f t="shared" si="43"/>
        <v>Johansen_etal_2024</v>
      </c>
      <c r="I293" s="5" t="str">
        <f t="shared" si="48"/>
        <v>10.1523%2FJNEUROSCI.1750-23.2024</v>
      </c>
      <c r="J293" s="5" t="str">
        <f t="shared" si="44"/>
        <v>Johansen_etal_2024_Table2</v>
      </c>
      <c r="K293" s="5" t="str">
        <f t="shared" si="46"/>
        <v>10.1523%2FJNEUROSCI.1750-23.2024_Table2</v>
      </c>
      <c r="L293" s="5" t="str">
        <f t="array" ref="L293">IFERROR(INDEX(AUTO_Public_TSV_FileList!$A$1:$A$1000,MATCH(TRUE(),EXACT(K293,IFERROR(_xlfn.TEXTBEFORE(AUTO_Public_TSV_FileList!$A$1:$A$1000,".tsv"),"")),0)),"notfound")</f>
        <v>10.1523%2FJNEUROSCI.1750-23.2024_Table2.tsv</v>
      </c>
      <c r="M293" s="1" t="s">
        <v>1321</v>
      </c>
      <c r="N293" s="1" t="s">
        <v>35</v>
      </c>
      <c r="O293" s="7"/>
      <c r="P293" s="1" t="s">
        <v>36</v>
      </c>
      <c r="Q293" s="7"/>
      <c r="R293" s="7"/>
      <c r="S293" s="7"/>
      <c r="T293" s="7"/>
      <c r="U293" s="7"/>
      <c r="V293" s="7"/>
      <c r="W293" s="1" t="s">
        <v>1322</v>
      </c>
      <c r="X293" s="1" t="s">
        <v>1323</v>
      </c>
      <c r="Y293" s="7"/>
      <c r="Z293" s="7"/>
      <c r="AA293" s="7"/>
      <c r="AB293" s="1" t="s">
        <v>1324</v>
      </c>
      <c r="AC293" s="7"/>
      <c r="AD293" s="7"/>
      <c r="AE293" s="1" t="s">
        <v>66</v>
      </c>
      <c r="AF293" s="1"/>
      <c r="AG293" s="7"/>
    </row>
    <row r="294" ht="17" customHeight="1">
      <c r="A294" s="7" t="s">
        <v>1325</v>
      </c>
      <c r="B294" s="7"/>
      <c r="C294" s="7"/>
      <c r="D294" s="7" t="s">
        <v>68</v>
      </c>
      <c r="E294" s="5" t="str">
        <f t="shared" si="41"/>
        <v>Johnson</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5" t="str">
        <f t="shared" si="42"/>
        <v>2016</v>
      </c>
      <c r="H294" s="5" t="str">
        <f t="shared" si="43"/>
        <v>Johnson_etal_2016</v>
      </c>
      <c r="I294" s="5" t="str">
        <f t="shared" si="48"/>
        <v>10.1002%2Fcne.24022</v>
      </c>
      <c r="J294" s="5" t="str">
        <f t="shared" si="44"/>
        <v>Johnson_etal_2016_Table1</v>
      </c>
      <c r="K294" s="5" t="str">
        <f t="shared" si="46"/>
        <v>10.1002%2Fcne.24022_Table1</v>
      </c>
      <c r="L294" s="5" t="str">
        <f t="array" ref="L294">IFERROR(INDEX(AUTO_Public_TSV_FileList!$A$1:$A$1000,MATCH(TRUE(),EXACT(K294,IFERROR(_xlfn.TEXTBEFORE(AUTO_Public_TSV_FileList!$A$1:$A$1000,".tsv"),"")),0)),"notfound")</f>
        <v>10.1002%2Fcne.24022_Table1.tsv</v>
      </c>
      <c r="M294" s="7"/>
      <c r="N294" s="1" t="s">
        <v>35</v>
      </c>
      <c r="O294" s="7"/>
      <c r="P294" s="7" t="s">
        <v>36</v>
      </c>
      <c r="Q294" s="7"/>
      <c r="R294" s="7" t="s">
        <v>1326</v>
      </c>
      <c r="S294" s="7"/>
      <c r="T294" s="7"/>
      <c r="U294" s="7"/>
      <c r="V294" s="7" t="s">
        <v>1305</v>
      </c>
      <c r="W294" s="7" t="s">
        <v>1327</v>
      </c>
      <c r="X294" s="7" t="s">
        <v>1307</v>
      </c>
      <c r="Y294" s="7"/>
      <c r="Z294" s="7"/>
      <c r="AA294" s="7"/>
      <c r="AB294" s="7" t="s">
        <v>1308</v>
      </c>
      <c r="AC294" s="7"/>
      <c r="AD294" s="7"/>
      <c r="AE294" s="7" t="s">
        <v>66</v>
      </c>
      <c r="AF294" s="7"/>
      <c r="AG294" s="7"/>
    </row>
    <row r="295" ht="17" customHeight="1">
      <c r="A295" s="1" t="s">
        <v>1325</v>
      </c>
      <c r="B295" s="7"/>
      <c r="C295" s="7"/>
      <c r="D295" s="1" t="s">
        <v>68</v>
      </c>
      <c r="E295" s="5" t="str">
        <f t="shared" si="41"/>
        <v>Johnson</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5" t="str">
        <f t="shared" si="42"/>
        <v>2016</v>
      </c>
      <c r="H295" s="5" t="str">
        <f t="shared" si="43"/>
        <v>Johnson_etal_2016</v>
      </c>
      <c r="I295" s="5" t="str">
        <f t="shared" si="48"/>
        <v>10.1002%2Fcne.24022</v>
      </c>
      <c r="J295" s="5" t="str">
        <f t="shared" si="44"/>
        <v>Johnson_etal_2016_Table1</v>
      </c>
      <c r="K295" s="5" t="str">
        <f t="shared" si="46"/>
        <v>10.1002%2Fcne.24022_Table1</v>
      </c>
      <c r="L295" s="5" t="str">
        <f t="array" ref="L295">IFERROR(INDEX(AUTO_Public_TSV_FileList!$A$1:$A$1000,MATCH(TRUE(),EXACT(K295,IFERROR(_xlfn.TEXTBEFORE(AUTO_Public_TSV_FileList!$A$1:$A$1000,".tsv"),"")),0)),"notfound")</f>
        <v>10.1002%2Fcne.24022_Table1.tsv</v>
      </c>
      <c r="M295" s="7"/>
      <c r="N295" s="1" t="s">
        <v>35</v>
      </c>
      <c r="O295" s="7"/>
      <c r="P295" s="1" t="s">
        <v>36</v>
      </c>
      <c r="Q295" s="7"/>
      <c r="R295" s="7" t="s">
        <v>1326</v>
      </c>
      <c r="S295" s="7"/>
      <c r="T295" s="7"/>
      <c r="U295" s="7"/>
      <c r="V295" s="1" t="s">
        <v>1305</v>
      </c>
      <c r="W295" s="1" t="s">
        <v>1327</v>
      </c>
      <c r="X295" s="1" t="s">
        <v>1307</v>
      </c>
      <c r="Y295" s="7"/>
      <c r="Z295" s="7"/>
      <c r="AA295" s="7"/>
      <c r="AB295" s="1" t="s">
        <v>1308</v>
      </c>
      <c r="AC295" s="7"/>
      <c r="AD295" s="7"/>
      <c r="AE295" s="1" t="s">
        <v>66</v>
      </c>
      <c r="AF295" s="1"/>
      <c r="AG295" s="7"/>
    </row>
    <row r="296" ht="17" customHeight="1">
      <c r="A296" s="1" t="s">
        <v>1325</v>
      </c>
      <c r="B296" s="7"/>
      <c r="C296" s="1"/>
      <c r="D296" s="1" t="s">
        <v>68</v>
      </c>
      <c r="E296" s="5" t="str">
        <f t="shared" si="41"/>
        <v>Johnson</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5" t="str">
        <f t="shared" si="42"/>
        <v>2016</v>
      </c>
      <c r="H296" s="5" t="str">
        <f t="shared" si="43"/>
        <v>Johnson_etal_2016</v>
      </c>
      <c r="I296" s="5" t="str">
        <f t="shared" si="48"/>
        <v>10.1002%2Fcne.24022</v>
      </c>
      <c r="J296" s="5" t="str">
        <f t="shared" si="44"/>
        <v>Johnson_etal_2016_Table1</v>
      </c>
      <c r="K296" s="5" t="str">
        <f t="shared" si="46"/>
        <v>10.1002%2Fcne.24022_Table1</v>
      </c>
      <c r="L296" s="5" t="str">
        <f t="array" ref="L296">IFERROR(INDEX(AUTO_Public_TSV_FileList!$A$1:$A$1000,MATCH(TRUE(),EXACT(K296,IFERROR(_xlfn.TEXTBEFORE(AUTO_Public_TSV_FileList!$A$1:$A$1000,".tsv"),"")),0)),"notfound")</f>
        <v>10.1002%2Fcne.24022_Table1.tsv</v>
      </c>
      <c r="M296" s="7"/>
      <c r="N296" s="1" t="s">
        <v>35</v>
      </c>
      <c r="O296" s="7"/>
      <c r="P296" s="7" t="s">
        <v>36</v>
      </c>
      <c r="Q296" s="7"/>
      <c r="R296" s="7" t="s">
        <v>1326</v>
      </c>
      <c r="S296" s="7"/>
      <c r="T296" s="7"/>
      <c r="U296" s="7"/>
      <c r="V296" s="7" t="s">
        <v>1305</v>
      </c>
      <c r="W296" s="1" t="s">
        <v>1327</v>
      </c>
      <c r="X296" s="1" t="s">
        <v>1307</v>
      </c>
      <c r="Y296" s="7"/>
      <c r="Z296" s="1"/>
      <c r="AA296" s="1" t="s">
        <v>166</v>
      </c>
      <c r="AB296" s="1" t="s">
        <v>1308</v>
      </c>
      <c r="AC296" s="1" t="s">
        <v>155</v>
      </c>
      <c r="AD296" s="1" t="s">
        <v>526</v>
      </c>
      <c r="AE296" s="1" t="s">
        <v>66</v>
      </c>
      <c r="AF296" s="1"/>
      <c r="AG296" s="7"/>
    </row>
    <row r="297" ht="17" customHeight="1">
      <c r="A297" s="11" t="s">
        <v>1328</v>
      </c>
      <c r="B297" s="6"/>
      <c r="C297" s="6"/>
      <c r="D297" s="11" t="s">
        <v>68</v>
      </c>
      <c r="E297" s="5" t="str">
        <f t="shared" si="41"/>
        <v>Johnson</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5" t="str">
        <f t="shared" si="42"/>
        <v>2002</v>
      </c>
      <c r="H297" s="5" t="str">
        <f t="shared" si="43"/>
        <v>Johnson_etal_2002</v>
      </c>
      <c r="I297" s="5" t="str">
        <f t="shared" si="48"/>
        <v>10.1198%2F016214502753479185</v>
      </c>
      <c r="J297" s="5" t="str">
        <f t="shared" si="44"/>
        <v>Johnson_etal_2002_Table1</v>
      </c>
      <c r="K297" s="5" t="str">
        <f t="shared" si="46"/>
        <v>10.1198%2F016214502753479185_Table1</v>
      </c>
      <c r="L297" s="5" t="str">
        <f t="array" ref="L297">IFERROR(INDEX(AUTO_Public_TSV_FileList!$A$1:$A$1000,MATCH(TRUE(),EXACT(K297,IFERROR(_xlfn.TEXTBEFORE(AUTO_Public_TSV_FileList!$A$1:$A$1000,".tsv"),"")),0)),"notfound")</f>
        <v>notfound</v>
      </c>
      <c r="M297" s="7"/>
      <c r="N297" s="1" t="s">
        <v>35</v>
      </c>
      <c r="O297" s="7"/>
      <c r="P297" s="7"/>
      <c r="Q297" s="6"/>
      <c r="R297" s="6" t="s">
        <v>1329</v>
      </c>
      <c r="S297" s="6" t="s">
        <v>429</v>
      </c>
      <c r="T297" s="6" t="s">
        <v>430</v>
      </c>
      <c r="U297" s="6"/>
      <c r="V297" s="6" t="s">
        <v>1330</v>
      </c>
      <c r="W297" s="11" t="s">
        <v>137</v>
      </c>
      <c r="X297" s="6" t="s">
        <v>1331</v>
      </c>
      <c r="Y297" s="6" t="s">
        <v>1331</v>
      </c>
      <c r="Z297" s="6"/>
      <c r="AA297" s="6"/>
      <c r="AB297" s="11"/>
      <c r="AC297" s="6"/>
      <c r="AD297" s="6"/>
      <c r="AE297" s="11" t="s">
        <v>66</v>
      </c>
      <c r="AF297" s="11"/>
      <c r="AG297" s="7" t="s">
        <v>1332</v>
      </c>
    </row>
    <row r="298" ht="17" customHeight="1">
      <c r="A298" s="7" t="s">
        <v>1333</v>
      </c>
      <c r="B298" s="7"/>
      <c r="C298" s="7"/>
      <c r="D298" s="7" t="s">
        <v>1334</v>
      </c>
      <c r="E298" s="3" t="str">
        <f t="shared" si="41"/>
        <v>Jones</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5" t="str">
        <f t="shared" si="42"/>
        <v>2009</v>
      </c>
      <c r="H298" s="3" t="str">
        <f t="shared" si="43"/>
        <v>Jones_etal_2009</v>
      </c>
      <c r="I298" s="3" t="str">
        <f t="shared" ref="I298:I308" si="49">_xlfn.LET(_xlpm.doi,IF(C298&lt;&gt;"",C298,_xlfn.TEXTAFTER(A298,"https://doi.org/")),SUBSTITUTE(SUBSTITUTE(SUBSTITUTE(SUBSTITUTE(_xlpm.doi,"/","%2F"),":","%3A"),"&lt;","%3C"),"&gt;","%3E"))</f>
        <v>10.1890%2F08-1494.1</v>
      </c>
      <c r="J298" s="3" t="str">
        <f t="shared" si="44"/>
        <v>Jones_etal_2009_PanTHERIA1-0WR05Aug2008.txt</v>
      </c>
      <c r="K298" s="5" t="str">
        <f t="shared" si="46"/>
        <v>10.1890%2F08-1494.1_PanTHERIA1-0WR05Aug2008.txt</v>
      </c>
      <c r="L298" s="5" t="str">
        <f t="array" ref="L298">IFERROR(INDEX(AUTO_Public_TSV_FileList!$A$1:$A$1000,MATCH(TRUE(),EXACT(K298,IFERROR(_xlfn.TEXTBEFORE(AUTO_Public_TSV_FileList!$A$1:$A$1000,".tsv"),"")),0)),"notfound")</f>
        <v>notfound</v>
      </c>
      <c r="M298" s="7"/>
      <c r="N298" s="7"/>
      <c r="O298" s="7"/>
      <c r="P298" s="7"/>
      <c r="Q298" s="7"/>
      <c r="R298" s="7"/>
      <c r="S298" s="7"/>
      <c r="T298" s="7"/>
      <c r="U298" s="7"/>
      <c r="V298" s="7"/>
      <c r="W298" s="7"/>
      <c r="X298" s="7"/>
      <c r="Y298" s="7"/>
      <c r="Z298" s="7"/>
      <c r="AA298" s="7"/>
      <c r="AB298" s="7"/>
      <c r="AC298" s="7"/>
      <c r="AD298" s="7"/>
      <c r="AE298" s="7"/>
      <c r="AF298" s="7"/>
      <c r="AG298" s="7"/>
    </row>
    <row r="299" ht="17" customHeight="1">
      <c r="A299" s="7" t="s">
        <v>1333</v>
      </c>
      <c r="B299" s="7"/>
      <c r="C299" s="7"/>
      <c r="D299" s="7" t="s">
        <v>1335</v>
      </c>
      <c r="E299" s="3" t="str">
        <f t="shared" si="41"/>
        <v>Jones</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5" t="str">
        <f t="shared" si="42"/>
        <v>2009</v>
      </c>
      <c r="H299" s="3" t="str">
        <f t="shared" si="43"/>
        <v>Jones_etal_2009</v>
      </c>
      <c r="I299" s="3" t="str">
        <f t="shared" si="49"/>
        <v>10.1890%2F08-1494.1</v>
      </c>
      <c r="J299" s="3" t="str">
        <f t="shared" si="44"/>
        <v>Jones_etal_2009_PanTHERIA1-0WR93Aug2008.txt</v>
      </c>
      <c r="K299" s="5" t="str">
        <f t="shared" si="46"/>
        <v>10.1890%2F08-1494.1_PanTHERIA1-0WR93Aug2008.txt</v>
      </c>
      <c r="L299" s="5" t="str">
        <f t="array" ref="L299">IFERROR(INDEX(AUTO_Public_TSV_FileList!$A$1:$A$1000,MATCH(TRUE(),EXACT(K299,IFERROR(_xlfn.TEXTBEFORE(AUTO_Public_TSV_FileList!$A$1:$A$1000,".tsv"),"")),0)),"notfound")</f>
        <v>notfound</v>
      </c>
      <c r="M299" s="7"/>
      <c r="N299" s="7"/>
      <c r="O299" s="7"/>
      <c r="P299" s="7"/>
      <c r="Q299" s="7"/>
      <c r="R299" s="7"/>
      <c r="S299" s="7"/>
      <c r="T299" s="7"/>
      <c r="U299" s="7"/>
      <c r="V299" s="7"/>
      <c r="W299" s="7"/>
      <c r="X299" s="7"/>
      <c r="Y299" s="7"/>
      <c r="Z299" s="7"/>
      <c r="AA299" s="7"/>
      <c r="AB299" s="7"/>
      <c r="AC299" s="7"/>
      <c r="AD299" s="7"/>
      <c r="AE299" s="7"/>
      <c r="AF299" s="7"/>
      <c r="AG299" s="7"/>
    </row>
    <row r="300" ht="17" customHeight="1">
      <c r="A300" s="7" t="s">
        <v>1336</v>
      </c>
      <c r="B300" s="7"/>
      <c r="C300" s="7"/>
      <c r="D300" s="7" t="s">
        <v>286</v>
      </c>
      <c r="E300" s="3" t="str">
        <f t="shared" si="41"/>
        <v>Jorstad</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5" t="str">
        <f t="shared" si="42"/>
        <v>2023</v>
      </c>
      <c r="H300" s="3" t="str">
        <f t="shared" si="43"/>
        <v>Jorstad_etal_2023</v>
      </c>
      <c r="I300" s="3" t="str">
        <f t="shared" si="49"/>
        <v>10.1126%2Fscience.adf6812</v>
      </c>
      <c r="J300" s="3" t="str">
        <f t="shared" si="44"/>
        <v>Jorstad_etal_2023_TableS1</v>
      </c>
      <c r="K300" s="5" t="str">
        <f t="shared" si="46"/>
        <v>10.1126%2Fscience.adf6812_TableS1</v>
      </c>
      <c r="L300" s="5" t="str">
        <f t="array" ref="L300">IFERROR(INDEX(AUTO_Public_TSV_FileList!$A$1:$A$1000,MATCH(TRUE(),EXACT(K300,IFERROR(_xlfn.TEXTBEFORE(AUTO_Public_TSV_FileList!$A$1:$A$1000,".tsv"),"")),0)),"notfound")</f>
        <v>notfound</v>
      </c>
      <c r="M300" s="7" t="s">
        <v>1337</v>
      </c>
      <c r="N300" s="1" t="s">
        <v>35</v>
      </c>
      <c r="O300" s="7"/>
      <c r="P300" s="7" t="s">
        <v>36</v>
      </c>
      <c r="Q300" s="7" t="s">
        <v>1338</v>
      </c>
      <c r="R300" s="7" t="s">
        <v>1339</v>
      </c>
      <c r="S300" s="7" t="s">
        <v>1340</v>
      </c>
      <c r="T300" s="7" t="s">
        <v>1341</v>
      </c>
      <c r="U300" s="7" t="s">
        <v>1342</v>
      </c>
      <c r="V300" s="7"/>
      <c r="W300" s="7" t="s">
        <v>137</v>
      </c>
      <c r="X300" s="7" t="s">
        <v>1343</v>
      </c>
      <c r="Y300" s="7" t="s">
        <v>1344</v>
      </c>
      <c r="Z300" s="7"/>
      <c r="AA300" s="7" t="s">
        <v>1345</v>
      </c>
      <c r="AB300" s="7" t="s">
        <v>1346</v>
      </c>
      <c r="AC300" s="7" t="s">
        <v>1347</v>
      </c>
      <c r="AD300" s="7"/>
      <c r="AE300" s="7" t="s">
        <v>1348</v>
      </c>
      <c r="AF300" s="7"/>
      <c r="AG300" s="7"/>
    </row>
    <row r="301" ht="17" customHeight="1">
      <c r="A301" s="7" t="s">
        <v>1336</v>
      </c>
      <c r="B301" s="7"/>
      <c r="C301" s="7"/>
      <c r="D301" s="7" t="s">
        <v>712</v>
      </c>
      <c r="E301" s="3" t="str">
        <f t="shared" si="41"/>
        <v>Jorstad</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5" t="str">
        <f t="shared" si="42"/>
        <v>2023</v>
      </c>
      <c r="H301" s="3" t="str">
        <f t="shared" si="43"/>
        <v>Jorstad_etal_2023</v>
      </c>
      <c r="I301" s="3" t="str">
        <f t="shared" si="49"/>
        <v>10.1126%2Fscience.adf6812</v>
      </c>
      <c r="J301" s="3" t="str">
        <f t="shared" si="44"/>
        <v>Jorstad_etal_2023_TableS2</v>
      </c>
      <c r="K301" s="5" t="str">
        <f t="shared" ref="K301:K333" si="50">I301 &amp; "_" &amp; SUBSTITUTE(SUBSTITUTE(SUBSTITUTE(D301,CHAR(160),"")," ",""),"_","")</f>
        <v>10.1126%2Fscience.adf6812_TableS2</v>
      </c>
      <c r="L301" s="5" t="str">
        <f t="array" ref="L301">IFERROR(INDEX(AUTO_Public_TSV_FileList!$A$1:$A$1000,MATCH(TRUE(),EXACT(K301,IFERROR(_xlfn.TEXTBEFORE(AUTO_Public_TSV_FileList!$A$1:$A$1000,".tsv"),"")),0)),"notfound")</f>
        <v>notfound</v>
      </c>
      <c r="M301" s="7" t="s">
        <v>1349</v>
      </c>
      <c r="N301" s="1" t="s">
        <v>35</v>
      </c>
      <c r="O301" s="7"/>
      <c r="P301" s="7" t="s">
        <v>36</v>
      </c>
      <c r="Q301" s="7" t="s">
        <v>1338</v>
      </c>
      <c r="R301" s="7" t="s">
        <v>1339</v>
      </c>
      <c r="S301" s="7" t="s">
        <v>1340</v>
      </c>
      <c r="T301" s="7" t="s">
        <v>1341</v>
      </c>
      <c r="U301" s="7" t="s">
        <v>1342</v>
      </c>
      <c r="V301" s="7"/>
      <c r="W301" s="7" t="s">
        <v>137</v>
      </c>
      <c r="X301" s="7" t="s">
        <v>1343</v>
      </c>
      <c r="Y301" s="7" t="s">
        <v>1344</v>
      </c>
      <c r="Z301" s="7"/>
      <c r="AA301" s="7" t="s">
        <v>1345</v>
      </c>
      <c r="AB301" s="7" t="s">
        <v>1346</v>
      </c>
      <c r="AC301" s="7" t="s">
        <v>1347</v>
      </c>
      <c r="AD301" s="7"/>
      <c r="AE301" s="7" t="s">
        <v>1350</v>
      </c>
      <c r="AF301" s="7"/>
      <c r="AG301" s="7"/>
    </row>
    <row r="302" ht="17" customHeight="1">
      <c r="A302" s="7" t="s">
        <v>1336</v>
      </c>
      <c r="B302" s="7"/>
      <c r="C302" s="7"/>
      <c r="D302" s="7" t="s">
        <v>714</v>
      </c>
      <c r="E302" s="3" t="str">
        <f t="shared" si="41"/>
        <v>Jorstad</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5" t="str">
        <f t="shared" si="42"/>
        <v>2023</v>
      </c>
      <c r="H302" s="3" t="str">
        <f t="shared" si="43"/>
        <v>Jorstad_etal_2023</v>
      </c>
      <c r="I302" s="3" t="str">
        <f t="shared" si="49"/>
        <v>10.1126%2Fscience.adf6812</v>
      </c>
      <c r="J302" s="3" t="str">
        <f t="shared" si="44"/>
        <v>Jorstad_etal_2023_TableS3</v>
      </c>
      <c r="K302" s="5" t="str">
        <f t="shared" si="50"/>
        <v>10.1126%2Fscience.adf6812_TableS3</v>
      </c>
      <c r="L302" s="5" t="str">
        <f t="array" ref="L302">IFERROR(INDEX(AUTO_Public_TSV_FileList!$A$1:$A$1000,MATCH(TRUE(),EXACT(K302,IFERROR(_xlfn.TEXTBEFORE(AUTO_Public_TSV_FileList!$A$1:$A$1000,".tsv"),"")),0)),"notfound")</f>
        <v>notfound</v>
      </c>
      <c r="M302" s="7" t="s">
        <v>1351</v>
      </c>
      <c r="N302" s="1" t="s">
        <v>35</v>
      </c>
      <c r="O302" s="7"/>
      <c r="P302" s="7" t="s">
        <v>36</v>
      </c>
      <c r="Q302" s="7" t="s">
        <v>1338</v>
      </c>
      <c r="R302" s="7" t="s">
        <v>1339</v>
      </c>
      <c r="S302" s="7" t="s">
        <v>1340</v>
      </c>
      <c r="T302" s="7" t="s">
        <v>1341</v>
      </c>
      <c r="U302" s="7" t="s">
        <v>1342</v>
      </c>
      <c r="V302" s="7"/>
      <c r="W302" s="7" t="s">
        <v>137</v>
      </c>
      <c r="X302" s="7" t="s">
        <v>1343</v>
      </c>
      <c r="Y302" s="7" t="s">
        <v>1344</v>
      </c>
      <c r="Z302" s="7"/>
      <c r="AA302" s="7" t="s">
        <v>1345</v>
      </c>
      <c r="AB302" s="7" t="s">
        <v>1346</v>
      </c>
      <c r="AC302" s="7" t="s">
        <v>1347</v>
      </c>
      <c r="AD302" s="7"/>
      <c r="AE302" s="7" t="s">
        <v>1352</v>
      </c>
      <c r="AF302" s="7"/>
      <c r="AG302" s="7"/>
    </row>
    <row r="303" ht="17" customHeight="1">
      <c r="A303" s="7" t="s">
        <v>1336</v>
      </c>
      <c r="B303" s="7"/>
      <c r="C303" s="7"/>
      <c r="D303" s="7" t="s">
        <v>716</v>
      </c>
      <c r="E303" s="3" t="str">
        <f t="shared" si="41"/>
        <v>Jorstad</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5" t="str">
        <f t="shared" si="42"/>
        <v>2023</v>
      </c>
      <c r="H303" s="3" t="str">
        <f t="shared" si="43"/>
        <v>Jorstad_etal_2023</v>
      </c>
      <c r="I303" s="3" t="str">
        <f t="shared" si="49"/>
        <v>10.1126%2Fscience.adf6812</v>
      </c>
      <c r="J303" s="3" t="str">
        <f t="shared" si="44"/>
        <v>Jorstad_etal_2023_TableS4</v>
      </c>
      <c r="K303" s="5" t="str">
        <f t="shared" si="50"/>
        <v>10.1126%2Fscience.adf6812_TableS4</v>
      </c>
      <c r="L303" s="5" t="str">
        <f t="array" ref="L303">IFERROR(INDEX(AUTO_Public_TSV_FileList!$A$1:$A$1000,MATCH(TRUE(),EXACT(K303,IFERROR(_xlfn.TEXTBEFORE(AUTO_Public_TSV_FileList!$A$1:$A$1000,".tsv"),"")),0)),"notfound")</f>
        <v>notfound</v>
      </c>
      <c r="M303" s="7" t="s">
        <v>1353</v>
      </c>
      <c r="N303" s="1" t="s">
        <v>35</v>
      </c>
      <c r="O303" s="7"/>
      <c r="P303" s="7" t="s">
        <v>36</v>
      </c>
      <c r="Q303" s="7" t="s">
        <v>1338</v>
      </c>
      <c r="R303" s="7" t="s">
        <v>1339</v>
      </c>
      <c r="S303" s="7" t="s">
        <v>1340</v>
      </c>
      <c r="T303" s="7" t="s">
        <v>1341</v>
      </c>
      <c r="U303" s="7" t="s">
        <v>1342</v>
      </c>
      <c r="V303" s="7"/>
      <c r="W303" s="7" t="s">
        <v>137</v>
      </c>
      <c r="X303" s="7" t="s">
        <v>1343</v>
      </c>
      <c r="Y303" s="7" t="s">
        <v>1344</v>
      </c>
      <c r="Z303" s="7"/>
      <c r="AA303" s="7" t="s">
        <v>1345</v>
      </c>
      <c r="AB303" s="7" t="s">
        <v>1346</v>
      </c>
      <c r="AC303" s="7" t="s">
        <v>1347</v>
      </c>
      <c r="AD303" s="7"/>
      <c r="AE303" s="7" t="s">
        <v>1354</v>
      </c>
      <c r="AF303" s="7"/>
      <c r="AG303" s="7"/>
    </row>
    <row r="304" ht="17" customHeight="1">
      <c r="A304" s="7" t="s">
        <v>1355</v>
      </c>
      <c r="B304" s="7"/>
      <c r="C304" s="7"/>
      <c r="D304" s="7" t="s">
        <v>1356</v>
      </c>
      <c r="E304" s="3" t="str">
        <f t="shared" si="41"/>
        <v>Jung</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5" t="str">
        <f t="shared" si="42"/>
        <v>2022</v>
      </c>
      <c r="H304" s="3" t="str">
        <f t="shared" si="43"/>
        <v>Jung_etal_2022</v>
      </c>
      <c r="I304" s="3" t="str">
        <f t="shared" si="49"/>
        <v>10.1126%2Fsciadv.abn0954</v>
      </c>
      <c r="J304" s="3" t="str">
        <f t="shared" si="44"/>
        <v>Jung_etal_2022_Reportedresults</v>
      </c>
      <c r="K304" s="5" t="str">
        <f t="shared" si="50"/>
        <v>10.1126%2Fsciadv.abn0954_Reportedresults</v>
      </c>
      <c r="L304" s="5" t="str">
        <f t="array" ref="L304">IFERROR(INDEX(AUTO_Public_TSV_FileList!$A$1:$A$1000,MATCH(TRUE(),EXACT(K304,IFERROR(_xlfn.TEXTBEFORE(AUTO_Public_TSV_FileList!$A$1:$A$1000,".tsv"),"")),0)),"notfound")</f>
        <v>10.1126%2Fsciadv.abn0954_Reportedresults.tsv</v>
      </c>
      <c r="M304" s="7" t="s">
        <v>1357</v>
      </c>
      <c r="N304" s="1" t="s">
        <v>35</v>
      </c>
      <c r="O304" s="7"/>
      <c r="P304" s="7" t="s">
        <v>36</v>
      </c>
      <c r="Q304" s="7"/>
      <c r="R304" s="7" t="s">
        <v>1358</v>
      </c>
      <c r="S304" s="7"/>
      <c r="T304" s="7"/>
      <c r="U304" s="7"/>
      <c r="V304" s="7"/>
      <c r="W304" s="1" t="s">
        <v>174</v>
      </c>
      <c r="X304" s="7" t="s">
        <v>1359</v>
      </c>
      <c r="Y304" s="7"/>
      <c r="Z304" s="7"/>
      <c r="AA304" s="7"/>
      <c r="AB304" s="7"/>
      <c r="AC304" s="7"/>
      <c r="AD304" s="7"/>
      <c r="AE304" s="7" t="s">
        <v>51</v>
      </c>
      <c r="AF304" s="7"/>
      <c r="AG304" s="7"/>
    </row>
    <row r="305" ht="17" customHeight="1">
      <c r="A305" s="7" t="s">
        <v>1355</v>
      </c>
      <c r="B305" s="7"/>
      <c r="C305" s="7"/>
      <c r="D305" s="7" t="s">
        <v>286</v>
      </c>
      <c r="E305" s="3" t="str">
        <f t="shared" si="41"/>
        <v>Jung</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5" t="str">
        <f t="shared" si="42"/>
        <v>2022</v>
      </c>
      <c r="H305" s="3" t="str">
        <f t="shared" si="43"/>
        <v>Jung_etal_2022</v>
      </c>
      <c r="I305" s="3" t="str">
        <f t="shared" si="49"/>
        <v>10.1126%2Fsciadv.abn0954</v>
      </c>
      <c r="J305" s="3" t="str">
        <f t="shared" si="44"/>
        <v>Jung_etal_2022_TableS1</v>
      </c>
      <c r="K305" s="3" t="str">
        <f t="shared" si="50"/>
        <v>10.1126%2Fsciadv.abn0954_TableS1</v>
      </c>
      <c r="L305" s="5" t="str">
        <f t="array" ref="L305">IFERROR(INDEX(AUTO_Public_TSV_FileList!$A$1:$A$1000,MATCH(TRUE(),EXACT(K305,IFERROR(_xlfn.TEXTBEFORE(AUTO_Public_TSV_FileList!$A$1:$A$1000,".tsv"),"")),0)),"notfound")</f>
        <v>notfound</v>
      </c>
      <c r="M305" s="7" t="s">
        <v>1360</v>
      </c>
      <c r="N305" s="1" t="s">
        <v>35</v>
      </c>
      <c r="O305" s="7"/>
      <c r="P305" s="7"/>
      <c r="Q305" s="7"/>
      <c r="R305" s="7" t="s">
        <v>1358</v>
      </c>
      <c r="S305" s="7"/>
      <c r="T305" s="7"/>
      <c r="U305" s="7"/>
      <c r="V305" s="7"/>
      <c r="W305" s="1" t="s">
        <v>174</v>
      </c>
      <c r="X305" s="7" t="s">
        <v>1359</v>
      </c>
      <c r="Y305" s="7"/>
      <c r="Z305" s="7"/>
      <c r="AA305" s="7"/>
      <c r="AB305" s="7"/>
      <c r="AC305" s="7"/>
      <c r="AD305" s="7"/>
      <c r="AE305" s="7" t="s">
        <v>51</v>
      </c>
      <c r="AF305" s="7"/>
      <c r="AG305" s="7"/>
    </row>
    <row r="306" ht="17" customHeight="1">
      <c r="A306" s="7" t="s">
        <v>1355</v>
      </c>
      <c r="B306" s="7"/>
      <c r="C306" s="7"/>
      <c r="D306" s="7" t="s">
        <v>712</v>
      </c>
      <c r="E306" s="3" t="str">
        <f t="shared" si="41"/>
        <v>Jung</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5" t="str">
        <f t="shared" si="42"/>
        <v>2022</v>
      </c>
      <c r="H306" s="3" t="str">
        <f t="shared" si="43"/>
        <v>Jung_etal_2022</v>
      </c>
      <c r="I306" s="3" t="str">
        <f t="shared" si="49"/>
        <v>10.1126%2Fsciadv.abn0954</v>
      </c>
      <c r="J306" s="3" t="str">
        <f t="shared" si="44"/>
        <v>Jung_etal_2022_TableS2</v>
      </c>
      <c r="K306" s="3" t="str">
        <f t="shared" si="50"/>
        <v>10.1126%2Fsciadv.abn0954_TableS2</v>
      </c>
      <c r="L306" s="5" t="str">
        <f t="array" ref="L306">IFERROR(INDEX(AUTO_Public_TSV_FileList!$A$1:$A$1000,MATCH(TRUE(),EXACT(K306,IFERROR(_xlfn.TEXTBEFORE(AUTO_Public_TSV_FileList!$A$1:$A$1000,".tsv"),"")),0)),"notfound")</f>
        <v>notfound</v>
      </c>
      <c r="M306" s="7" t="s">
        <v>1361</v>
      </c>
      <c r="N306" s="1" t="s">
        <v>35</v>
      </c>
      <c r="O306" s="7"/>
      <c r="P306" s="7"/>
      <c r="Q306" s="7"/>
      <c r="R306" s="7" t="s">
        <v>1358</v>
      </c>
      <c r="S306" s="7"/>
      <c r="T306" s="7"/>
      <c r="U306" s="7"/>
      <c r="V306" s="7"/>
      <c r="W306" s="1" t="s">
        <v>174</v>
      </c>
      <c r="X306" s="7" t="s">
        <v>1359</v>
      </c>
      <c r="Y306" s="7"/>
      <c r="Z306" s="7"/>
      <c r="AA306" s="7"/>
      <c r="AB306" s="7"/>
      <c r="AC306" s="7"/>
      <c r="AD306" s="7"/>
      <c r="AE306" s="7" t="s">
        <v>51</v>
      </c>
      <c r="AF306" s="7"/>
      <c r="AG306" s="7"/>
    </row>
    <row r="307" ht="17" customHeight="1">
      <c r="A307" s="7" t="s">
        <v>1362</v>
      </c>
      <c r="B307" s="7"/>
      <c r="C307" s="7" t="s">
        <v>1363</v>
      </c>
      <c r="D307" s="7" t="s">
        <v>58</v>
      </c>
      <c r="E307" s="3" t="str">
        <f t="shared" si="41"/>
        <v>Kamiya</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7" s="5" t="str">
        <f t="shared" si="42"/>
        <v>1980</v>
      </c>
      <c r="H307" s="3" t="str">
        <f t="shared" si="43"/>
        <v>Kamiya_Pirlot_1980</v>
      </c>
      <c r="I307" s="3" t="str">
        <f t="shared" si="49"/>
        <v>SRWRI%3A32%3A105-126</v>
      </c>
      <c r="J307" s="3" t="str">
        <f t="shared" si="44"/>
        <v>Kamiya_Pirlot_1980_TABLE1</v>
      </c>
      <c r="K307" s="5" t="str">
        <f t="shared" si="50"/>
        <v>SRWRI%3A32%3A105-126_TABLE1</v>
      </c>
      <c r="L307" s="5" t="str">
        <f t="array" ref="L307">IFERROR(INDEX(AUTO_Public_TSV_FileList!$A$1:$A$1000,MATCH(TRUE(),EXACT(K307,IFERROR(_xlfn.TEXTBEFORE(AUTO_Public_TSV_FileList!$A$1:$A$1000,".tsv"),"")),0)),"notfound")</f>
        <v>SRWRI%3A32%3A105-126_TABLE1.tsv</v>
      </c>
      <c r="M307" s="7"/>
      <c r="N307" s="7"/>
      <c r="O307" s="7"/>
      <c r="P307" s="7"/>
      <c r="Q307" s="7"/>
      <c r="R307" s="7"/>
      <c r="S307" s="7"/>
      <c r="T307" s="7"/>
      <c r="U307" s="7"/>
      <c r="V307" s="7"/>
      <c r="W307" s="7"/>
      <c r="X307" s="7"/>
      <c r="Y307" s="7"/>
      <c r="Z307" s="7"/>
      <c r="AA307" s="7"/>
      <c r="AB307" s="7"/>
      <c r="AC307" s="7"/>
      <c r="AD307" s="7"/>
      <c r="AE307" s="7"/>
      <c r="AF307" s="7"/>
      <c r="AG307" s="7"/>
    </row>
    <row r="308" ht="17" customHeight="1">
      <c r="A308" s="7" t="s">
        <v>1364</v>
      </c>
      <c r="B308" s="7"/>
      <c r="C308" s="7"/>
      <c r="D308" s="7" t="s">
        <v>68</v>
      </c>
      <c r="E308" s="3" t="str">
        <f t="shared" si="41"/>
        <v>Kamiya</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5" t="str">
        <f t="shared" si="42"/>
        <v>1988</v>
      </c>
      <c r="H308" s="3" t="str">
        <f t="shared" si="43"/>
        <v>Kamiya_Pirlot_1988</v>
      </c>
      <c r="I308" s="3" t="str">
        <f t="shared" si="49"/>
        <v>10.1111%2Fj.1439-0469.1988.tb00644.x</v>
      </c>
      <c r="J308" s="3" t="str">
        <f t="shared" si="44"/>
        <v>Kamiya_Pirlot_1988_Table1</v>
      </c>
      <c r="K308" s="5" t="str">
        <f t="shared" si="50"/>
        <v>10.1111%2Fj.1439-0469.1988.tb00644.x_Table1</v>
      </c>
      <c r="L308" s="5" t="str">
        <f t="array" ref="L308">IFERROR(INDEX(AUTO_Public_TSV_FileList!$A$1:$A$1000,MATCH(TRUE(),EXACT(K308,IFERROR(_xlfn.TEXTBEFORE(AUTO_Public_TSV_FileList!$A$1:$A$1000,".tsv"),"")),0)),"notfound")</f>
        <v>10.1111%2Fj.1439-0469.1988.tb00644.x_Table1.tsv</v>
      </c>
      <c r="M308" s="7" t="s">
        <v>1365</v>
      </c>
      <c r="N308" s="7"/>
      <c r="O308" s="7"/>
      <c r="P308" s="7"/>
      <c r="Q308" s="7"/>
      <c r="R308" s="7"/>
      <c r="S308" s="7"/>
      <c r="T308" s="7"/>
      <c r="U308" s="7"/>
      <c r="V308" s="7"/>
      <c r="W308" s="7"/>
      <c r="X308" s="7"/>
      <c r="Y308" s="7"/>
      <c r="Z308" s="7"/>
      <c r="AA308" s="7"/>
      <c r="AB308" s="7"/>
      <c r="AC308" s="7"/>
      <c r="AD308" s="7"/>
      <c r="AE308" s="7"/>
      <c r="AF308" s="7"/>
      <c r="AG308" s="7"/>
    </row>
    <row r="309" ht="17" customHeight="1">
      <c r="A309" s="1" t="s">
        <v>1366</v>
      </c>
      <c r="B309" s="7"/>
      <c r="C309" s="7"/>
      <c r="D309" s="1" t="s">
        <v>68</v>
      </c>
      <c r="E309" s="5" t="str">
        <f t="shared" si="41"/>
        <v>Karbowski</v>
      </c>
      <c r="F309" s="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09" s="5" t="str">
        <f t="shared" si="42"/>
        <v>2007</v>
      </c>
      <c r="H309" s="5" t="str">
        <f t="shared" si="43"/>
        <v>Karbowski__2007</v>
      </c>
      <c r="I309" s="5" t="str">
        <f t="shared" ref="I309:I341" si="51">_xlfn.LET(
_xlpm.doi,IF(C309&lt;&gt;"",C309,_xlfn.TEXTAFTER(A309,"https://doi.org/")),
SUBSTITUTE(
SUBSTITUTE(
SUBSTITUTE(
SUBSTITUTE(
_xlpm.doi,
"/","%2F"),
":","%3A"),
"&lt;","%3C"),
"&gt;","%3E")
)</f>
        <v>10.1186%2F1741-7007-5-18</v>
      </c>
      <c r="J309" s="5" t="str">
        <f t="shared" si="44"/>
        <v>Karbowski__2007_Table1</v>
      </c>
      <c r="K309" s="5" t="str">
        <f t="shared" si="50"/>
        <v>10.1186%2F1741-7007-5-18_Table1</v>
      </c>
      <c r="L309" s="5" t="str">
        <f t="array" ref="L309">IFERROR(INDEX(AUTO_Public_TSV_FileList!$A$1:$A$1000,MATCH(TRUE(),EXACT(K309,IFERROR(_xlfn.TEXTBEFORE(AUTO_Public_TSV_FileList!$A$1:$A$1000,".tsv"),"")),0)),"notfound")</f>
        <v>notfound</v>
      </c>
      <c r="M309" s="7"/>
      <c r="N309" s="1" t="s">
        <v>35</v>
      </c>
      <c r="O309" s="7"/>
      <c r="P309" s="7"/>
      <c r="Q309" s="7"/>
      <c r="R309" s="7"/>
      <c r="S309" s="7"/>
      <c r="T309" s="7"/>
      <c r="U309" s="7"/>
      <c r="V309" s="7"/>
      <c r="W309" s="1" t="s">
        <v>174</v>
      </c>
      <c r="X309" s="1" t="s">
        <v>1367</v>
      </c>
      <c r="Y309" s="7"/>
      <c r="Z309" s="7"/>
      <c r="AA309" s="1"/>
      <c r="AB309" s="1" t="s">
        <v>1368</v>
      </c>
      <c r="AC309" s="7"/>
      <c r="AD309" s="7"/>
      <c r="AE309" s="1" t="s">
        <v>215</v>
      </c>
      <c r="AF309" s="1"/>
      <c r="AG309" s="7"/>
    </row>
    <row r="310" ht="17" customHeight="1">
      <c r="A310" s="1" t="s">
        <v>1366</v>
      </c>
      <c r="B310" s="7"/>
      <c r="C310" s="7"/>
      <c r="D310" s="1" t="s">
        <v>286</v>
      </c>
      <c r="E310" s="5" t="str">
        <f t="shared" si="41"/>
        <v>Karbowski</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0" s="5" t="str">
        <f t="shared" si="42"/>
        <v>2007</v>
      </c>
      <c r="H310" s="5" t="str">
        <f t="shared" si="43"/>
        <v>Karbowski__2007</v>
      </c>
      <c r="I310" s="5" t="str">
        <f t="shared" si="51"/>
        <v>10.1186%2F1741-7007-5-18</v>
      </c>
      <c r="J310" s="5" t="str">
        <f t="shared" si="44"/>
        <v>Karbowski__2007_TableS1</v>
      </c>
      <c r="K310" s="5" t="str">
        <f t="shared" si="50"/>
        <v>10.1186%2F1741-7007-5-18_TableS1</v>
      </c>
      <c r="L310" s="5" t="str">
        <f t="array" ref="L310">IFERROR(INDEX(AUTO_Public_TSV_FileList!$A$1:$A$1000,MATCH(TRUE(),EXACT(K310,IFERROR(_xlfn.TEXTBEFORE(AUTO_Public_TSV_FileList!$A$1:$A$1000,".tsv"),"")),0)),"notfound")</f>
        <v>10.1186%2F1741-7007-5-18_TableS1.tsv</v>
      </c>
      <c r="M310" s="1" t="s">
        <v>1369</v>
      </c>
      <c r="N310" s="1" t="s">
        <v>35</v>
      </c>
      <c r="O310" s="7"/>
      <c r="P310" s="1" t="s">
        <v>36</v>
      </c>
      <c r="Q310" s="7"/>
      <c r="R310" s="7"/>
      <c r="S310" s="7"/>
      <c r="T310" s="7"/>
      <c r="U310" s="7"/>
      <c r="V310" s="7"/>
      <c r="W310" s="1" t="s">
        <v>174</v>
      </c>
      <c r="X310" s="1" t="s">
        <v>1370</v>
      </c>
      <c r="Y310" s="7"/>
      <c r="Z310" s="7"/>
      <c r="AA310" s="1"/>
      <c r="AB310" s="1" t="s">
        <v>1371</v>
      </c>
      <c r="AC310" s="7"/>
      <c r="AD310" s="7"/>
      <c r="AE310" s="1" t="s">
        <v>215</v>
      </c>
      <c r="AF310" s="1"/>
      <c r="AG310" s="7"/>
    </row>
    <row r="311" ht="17" customHeight="1">
      <c r="A311" s="1" t="s">
        <v>1366</v>
      </c>
      <c r="B311" s="7"/>
      <c r="C311" s="7"/>
      <c r="D311" s="1" t="s">
        <v>1372</v>
      </c>
      <c r="E311" s="5" t="str">
        <f t="shared" si="41"/>
        <v>Karbowski</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1" s="5" t="str">
        <f t="shared" si="42"/>
        <v>2007</v>
      </c>
      <c r="H311" s="5" t="str">
        <f t="shared" si="43"/>
        <v>Karbowski__2007</v>
      </c>
      <c r="I311" s="5" t="str">
        <f t="shared" si="51"/>
        <v>10.1186%2F1741-7007-5-18</v>
      </c>
      <c r="J311" s="5" t="str">
        <f t="shared" si="44"/>
        <v>Karbowski__2007_TableS10</v>
      </c>
      <c r="K311" s="5" t="str">
        <f t="shared" si="50"/>
        <v>10.1186%2F1741-7007-5-18_TableS10</v>
      </c>
      <c r="L311" s="5" t="str">
        <f t="array" ref="L311">IFERROR(INDEX(AUTO_Public_TSV_FileList!$A$1:$A$1000,MATCH(TRUE(),EXACT(K311,IFERROR(_xlfn.TEXTBEFORE(AUTO_Public_TSV_FileList!$A$1:$A$1000,".tsv"),"")),0)),"notfound")</f>
        <v>10.1186%2F1741-7007-5-18_TableS10.tsv</v>
      </c>
      <c r="M311" s="1" t="s">
        <v>1373</v>
      </c>
      <c r="N311" s="1" t="s">
        <v>35</v>
      </c>
      <c r="O311" s="7"/>
      <c r="P311" s="1" t="s">
        <v>36</v>
      </c>
      <c r="Q311" s="7"/>
      <c r="R311" s="7"/>
      <c r="S311" s="7"/>
      <c r="T311" s="7"/>
      <c r="U311" s="7"/>
      <c r="V311" s="7"/>
      <c r="W311" s="1" t="s">
        <v>174</v>
      </c>
      <c r="X311" s="1" t="s">
        <v>1374</v>
      </c>
      <c r="Y311" s="7"/>
      <c r="Z311" s="7"/>
      <c r="AA311" s="1"/>
      <c r="AB311" s="1" t="s">
        <v>1371</v>
      </c>
      <c r="AC311" s="7"/>
      <c r="AD311" s="7"/>
      <c r="AE311" s="1" t="s">
        <v>215</v>
      </c>
      <c r="AF311" s="1"/>
      <c r="AG311" s="7"/>
    </row>
    <row r="312" ht="17" customHeight="1">
      <c r="A312" s="1" t="s">
        <v>1366</v>
      </c>
      <c r="B312" s="7"/>
      <c r="C312" s="7"/>
      <c r="D312" s="1" t="s">
        <v>1375</v>
      </c>
      <c r="E312" s="5" t="str">
        <f t="shared" si="41"/>
        <v>Karbowski</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2" s="5" t="str">
        <f t="shared" si="42"/>
        <v>2007</v>
      </c>
      <c r="H312" s="5" t="str">
        <f t="shared" si="43"/>
        <v>Karbowski__2007</v>
      </c>
      <c r="I312" s="5" t="str">
        <f t="shared" si="51"/>
        <v>10.1186%2F1741-7007-5-18</v>
      </c>
      <c r="J312" s="5" t="str">
        <f t="shared" si="44"/>
        <v>Karbowski__2007_TableS11</v>
      </c>
      <c r="K312" s="5" t="str">
        <f t="shared" si="50"/>
        <v>10.1186%2F1741-7007-5-18_TableS11</v>
      </c>
      <c r="L312" s="5" t="str">
        <f t="array" ref="L312">IFERROR(INDEX(AUTO_Public_TSV_FileList!$A$1:$A$1000,MATCH(TRUE(),EXACT(K312,IFERROR(_xlfn.TEXTBEFORE(AUTO_Public_TSV_FileList!$A$1:$A$1000,".tsv"),"")),0)),"notfound")</f>
        <v>10.1186%2F1741-7007-5-18_TableS11.tsv</v>
      </c>
      <c r="M312" s="1" t="s">
        <v>1376</v>
      </c>
      <c r="N312" s="1" t="s">
        <v>35</v>
      </c>
      <c r="O312" s="7"/>
      <c r="P312" s="1" t="s">
        <v>36</v>
      </c>
      <c r="Q312" s="7"/>
      <c r="R312" s="7"/>
      <c r="S312" s="7"/>
      <c r="T312" s="7"/>
      <c r="U312" s="7"/>
      <c r="V312" s="7"/>
      <c r="W312" s="1" t="s">
        <v>174</v>
      </c>
      <c r="X312" s="1" t="s">
        <v>1374</v>
      </c>
      <c r="Y312" s="7"/>
      <c r="Z312" s="7"/>
      <c r="AA312" s="1"/>
      <c r="AB312" s="1" t="s">
        <v>1371</v>
      </c>
      <c r="AC312" s="7"/>
      <c r="AD312" s="7"/>
      <c r="AE312" s="1" t="s">
        <v>215</v>
      </c>
      <c r="AF312" s="1"/>
      <c r="AG312" s="7"/>
    </row>
    <row r="313" ht="17" customHeight="1">
      <c r="A313" s="1" t="s">
        <v>1366</v>
      </c>
      <c r="B313" s="7"/>
      <c r="C313" s="7"/>
      <c r="D313" s="1" t="s">
        <v>1377</v>
      </c>
      <c r="E313" s="5" t="str">
        <f t="shared" si="41"/>
        <v>Karbowski</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3" s="5" t="str">
        <f t="shared" si="42"/>
        <v>2007</v>
      </c>
      <c r="H313" s="5" t="str">
        <f t="shared" si="43"/>
        <v>Karbowski__2007</v>
      </c>
      <c r="I313" s="5" t="str">
        <f t="shared" si="51"/>
        <v>10.1186%2F1741-7007-5-18</v>
      </c>
      <c r="J313" s="5" t="str">
        <f t="shared" si="44"/>
        <v>Karbowski__2007_TableS12</v>
      </c>
      <c r="K313" s="5" t="str">
        <f t="shared" si="50"/>
        <v>10.1186%2F1741-7007-5-18_TableS12</v>
      </c>
      <c r="L313" s="5" t="str">
        <f t="array" ref="L313">IFERROR(INDEX(AUTO_Public_TSV_FileList!$A$1:$A$1000,MATCH(TRUE(),EXACT(K313,IFERROR(_xlfn.TEXTBEFORE(AUTO_Public_TSV_FileList!$A$1:$A$1000,".tsv"),"")),0)),"notfound")</f>
        <v>10.1186%2F1741-7007-5-18_TableS12.tsv</v>
      </c>
      <c r="M313" s="1" t="s">
        <v>1378</v>
      </c>
      <c r="N313" s="1" t="s">
        <v>35</v>
      </c>
      <c r="O313" s="7"/>
      <c r="P313" s="1" t="s">
        <v>36</v>
      </c>
      <c r="Q313" s="7"/>
      <c r="R313" s="7"/>
      <c r="S313" s="7"/>
      <c r="T313" s="7"/>
      <c r="U313" s="7"/>
      <c r="V313" s="7"/>
      <c r="W313" s="1" t="s">
        <v>174</v>
      </c>
      <c r="X313" s="1" t="s">
        <v>1374</v>
      </c>
      <c r="Y313" s="7"/>
      <c r="Z313" s="7"/>
      <c r="AA313" s="1"/>
      <c r="AB313" s="1" t="s">
        <v>1371</v>
      </c>
      <c r="AC313" s="7"/>
      <c r="AD313" s="7"/>
      <c r="AE313" s="1" t="s">
        <v>215</v>
      </c>
      <c r="AF313" s="1"/>
      <c r="AG313" s="7"/>
    </row>
    <row r="314" ht="17" customHeight="1">
      <c r="A314" s="1" t="s">
        <v>1366</v>
      </c>
      <c r="B314" s="7"/>
      <c r="C314" s="7"/>
      <c r="D314" s="1" t="s">
        <v>1379</v>
      </c>
      <c r="E314" s="5" t="str">
        <f t="shared" si="41"/>
        <v>Karbowski</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4" s="5" t="str">
        <f t="shared" si="42"/>
        <v>2007</v>
      </c>
      <c r="H314" s="5" t="str">
        <f t="shared" si="43"/>
        <v>Karbowski__2007</v>
      </c>
      <c r="I314" s="5" t="str">
        <f t="shared" si="51"/>
        <v>10.1186%2F1741-7007-5-18</v>
      </c>
      <c r="J314" s="5" t="str">
        <f t="shared" si="44"/>
        <v>Karbowski__2007_TableS13</v>
      </c>
      <c r="K314" s="5" t="str">
        <f t="shared" si="50"/>
        <v>10.1186%2F1741-7007-5-18_TableS13</v>
      </c>
      <c r="L314" s="5" t="str">
        <f t="array" ref="L314">IFERROR(INDEX(AUTO_Public_TSV_FileList!$A$1:$A$1000,MATCH(TRUE(),EXACT(K314,IFERROR(_xlfn.TEXTBEFORE(AUTO_Public_TSV_FileList!$A$1:$A$1000,".tsv"),"")),0)),"notfound")</f>
        <v>10.1186%2F1741-7007-5-18_TableS13.tsv</v>
      </c>
      <c r="M314" s="1" t="s">
        <v>1380</v>
      </c>
      <c r="N314" s="1" t="s">
        <v>35</v>
      </c>
      <c r="O314" s="7"/>
      <c r="P314" s="1" t="s">
        <v>36</v>
      </c>
      <c r="Q314" s="7"/>
      <c r="R314" s="7"/>
      <c r="S314" s="7"/>
      <c r="T314" s="7"/>
      <c r="U314" s="7"/>
      <c r="V314" s="7"/>
      <c r="W314" s="1" t="s">
        <v>174</v>
      </c>
      <c r="X314" s="1" t="s">
        <v>1374</v>
      </c>
      <c r="Y314" s="7"/>
      <c r="Z314" s="7"/>
      <c r="AA314" s="1"/>
      <c r="AB314" s="1" t="s">
        <v>1371</v>
      </c>
      <c r="AC314" s="7"/>
      <c r="AD314" s="7"/>
      <c r="AE314" s="1" t="s">
        <v>215</v>
      </c>
      <c r="AF314" s="1"/>
      <c r="AG314" s="7"/>
    </row>
    <row r="315" ht="17" customHeight="1">
      <c r="A315" s="1" t="s">
        <v>1366</v>
      </c>
      <c r="B315" s="7"/>
      <c r="C315" s="7"/>
      <c r="D315" s="1" t="s">
        <v>1381</v>
      </c>
      <c r="E315" s="5" t="str">
        <f t="shared" si="41"/>
        <v>Karbowski</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5" s="5" t="str">
        <f t="shared" si="42"/>
        <v>2007</v>
      </c>
      <c r="H315" s="5" t="str">
        <f t="shared" si="43"/>
        <v>Karbowski__2007</v>
      </c>
      <c r="I315" s="5" t="str">
        <f t="shared" si="51"/>
        <v>10.1186%2F1741-7007-5-18</v>
      </c>
      <c r="J315" s="5" t="str">
        <f t="shared" si="44"/>
        <v>Karbowski__2007_TableS14</v>
      </c>
      <c r="K315" s="5" t="str">
        <f t="shared" si="50"/>
        <v>10.1186%2F1741-7007-5-18_TableS14</v>
      </c>
      <c r="L315" s="5" t="str">
        <f t="array" ref="L315">IFERROR(INDEX(AUTO_Public_TSV_FileList!$A$1:$A$1000,MATCH(TRUE(),EXACT(K315,IFERROR(_xlfn.TEXTBEFORE(AUTO_Public_TSV_FileList!$A$1:$A$1000,".tsv"),"")),0)),"notfound")</f>
        <v>10.1186%2F1741-7007-5-18_TableS14.tsv</v>
      </c>
      <c r="M315" s="1" t="s">
        <v>1382</v>
      </c>
      <c r="N315" s="1" t="s">
        <v>35</v>
      </c>
      <c r="O315" s="7"/>
      <c r="P315" s="1" t="s">
        <v>36</v>
      </c>
      <c r="Q315" s="7"/>
      <c r="R315" s="7"/>
      <c r="S315" s="7"/>
      <c r="T315" s="7"/>
      <c r="U315" s="7"/>
      <c r="V315" s="7"/>
      <c r="W315" s="1" t="s">
        <v>174</v>
      </c>
      <c r="X315" s="1" t="s">
        <v>1374</v>
      </c>
      <c r="Y315" s="7"/>
      <c r="Z315" s="7"/>
      <c r="AA315" s="1"/>
      <c r="AB315" s="1" t="s">
        <v>1371</v>
      </c>
      <c r="AC315" s="7"/>
      <c r="AD315" s="7"/>
      <c r="AE315" s="1" t="s">
        <v>215</v>
      </c>
      <c r="AF315" s="1"/>
      <c r="AG315" s="7"/>
    </row>
    <row r="316" ht="17" customHeight="1">
      <c r="A316" s="1" t="s">
        <v>1366</v>
      </c>
      <c r="B316" s="7"/>
      <c r="C316" s="7"/>
      <c r="D316" s="1" t="s">
        <v>1383</v>
      </c>
      <c r="E316" s="5" t="str">
        <f t="shared" si="41"/>
        <v>Karbowski</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6" s="5" t="str">
        <f t="shared" si="42"/>
        <v>2007</v>
      </c>
      <c r="H316" s="5" t="str">
        <f t="shared" si="43"/>
        <v>Karbowski__2007</v>
      </c>
      <c r="I316" s="5" t="str">
        <f t="shared" si="51"/>
        <v>10.1186%2F1741-7007-5-18</v>
      </c>
      <c r="J316" s="5" t="str">
        <f t="shared" si="44"/>
        <v>Karbowski__2007_TableS15</v>
      </c>
      <c r="K316" s="5" t="str">
        <f t="shared" si="50"/>
        <v>10.1186%2F1741-7007-5-18_TableS15</v>
      </c>
      <c r="L316" s="5" t="str">
        <f t="array" ref="L316">IFERROR(INDEX(AUTO_Public_TSV_FileList!$A$1:$A$1000,MATCH(TRUE(),EXACT(K316,IFERROR(_xlfn.TEXTBEFORE(AUTO_Public_TSV_FileList!$A$1:$A$1000,".tsv"),"")),0)),"notfound")</f>
        <v>10.1186%2F1741-7007-5-18_TableS15.tsv</v>
      </c>
      <c r="M316" s="1" t="s">
        <v>1384</v>
      </c>
      <c r="N316" s="1" t="s">
        <v>35</v>
      </c>
      <c r="O316" s="7"/>
      <c r="P316" s="1" t="s">
        <v>36</v>
      </c>
      <c r="Q316" s="7"/>
      <c r="R316" s="7"/>
      <c r="S316" s="7"/>
      <c r="T316" s="7"/>
      <c r="U316" s="7"/>
      <c r="V316" s="7"/>
      <c r="W316" s="1" t="s">
        <v>174</v>
      </c>
      <c r="X316" s="1" t="s">
        <v>1374</v>
      </c>
      <c r="Y316" s="7"/>
      <c r="Z316" s="7"/>
      <c r="AA316" s="1"/>
      <c r="AB316" s="1" t="s">
        <v>1371</v>
      </c>
      <c r="AC316" s="7"/>
      <c r="AD316" s="7"/>
      <c r="AE316" s="1" t="s">
        <v>215</v>
      </c>
      <c r="AF316" s="1"/>
      <c r="AG316" s="7"/>
    </row>
    <row r="317" ht="17" customHeight="1">
      <c r="A317" s="1" t="s">
        <v>1366</v>
      </c>
      <c r="B317" s="7"/>
      <c r="C317" s="7"/>
      <c r="D317" s="1" t="s">
        <v>1385</v>
      </c>
      <c r="E317" s="5" t="str">
        <f t="shared" si="41"/>
        <v>Karbowski</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7" s="5" t="str">
        <f t="shared" si="42"/>
        <v>2007</v>
      </c>
      <c r="H317" s="5" t="str">
        <f t="shared" si="43"/>
        <v>Karbowski__2007</v>
      </c>
      <c r="I317" s="5" t="str">
        <f t="shared" si="51"/>
        <v>10.1186%2F1741-7007-5-18</v>
      </c>
      <c r="J317" s="5" t="str">
        <f t="shared" si="44"/>
        <v>Karbowski__2007_TableS16</v>
      </c>
      <c r="K317" s="5" t="str">
        <f t="shared" si="50"/>
        <v>10.1186%2F1741-7007-5-18_TableS16</v>
      </c>
      <c r="L317" s="5" t="str">
        <f t="array" ref="L317">IFERROR(INDEX(AUTO_Public_TSV_FileList!$A$1:$A$1000,MATCH(TRUE(),EXACT(K317,IFERROR(_xlfn.TEXTBEFORE(AUTO_Public_TSV_FileList!$A$1:$A$1000,".tsv"),"")),0)),"notfound")</f>
        <v>10.1186%2F1741-7007-5-18_TableS16.tsv</v>
      </c>
      <c r="M317" s="1" t="s">
        <v>1386</v>
      </c>
      <c r="N317" s="1" t="s">
        <v>35</v>
      </c>
      <c r="O317" s="7"/>
      <c r="P317" s="1" t="s">
        <v>36</v>
      </c>
      <c r="Q317" s="7"/>
      <c r="R317" s="7"/>
      <c r="S317" s="7"/>
      <c r="T317" s="7"/>
      <c r="U317" s="7"/>
      <c r="V317" s="7"/>
      <c r="W317" s="1" t="s">
        <v>174</v>
      </c>
      <c r="X317" s="1" t="s">
        <v>1374</v>
      </c>
      <c r="Y317" s="7"/>
      <c r="Z317" s="7"/>
      <c r="AA317" s="1"/>
      <c r="AB317" s="1" t="s">
        <v>1371</v>
      </c>
      <c r="AC317" s="7"/>
      <c r="AD317" s="7"/>
      <c r="AE317" s="1" t="s">
        <v>215</v>
      </c>
      <c r="AF317" s="1"/>
      <c r="AG317" s="7"/>
    </row>
    <row r="318" ht="17" customHeight="1">
      <c r="A318" s="1" t="s">
        <v>1366</v>
      </c>
      <c r="B318" s="7"/>
      <c r="C318" s="7"/>
      <c r="D318" s="1" t="s">
        <v>1387</v>
      </c>
      <c r="E318" s="5" t="str">
        <f t="shared" si="41"/>
        <v>Karbowski</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8" s="5" t="str">
        <f t="shared" si="42"/>
        <v>2007</v>
      </c>
      <c r="H318" s="5" t="str">
        <f t="shared" si="43"/>
        <v>Karbowski__2007</v>
      </c>
      <c r="I318" s="5" t="str">
        <f t="shared" si="51"/>
        <v>10.1186%2F1741-7007-5-18</v>
      </c>
      <c r="J318" s="5" t="str">
        <f t="shared" si="44"/>
        <v>Karbowski__2007_TableS17</v>
      </c>
      <c r="K318" s="5" t="str">
        <f t="shared" si="50"/>
        <v>10.1186%2F1741-7007-5-18_TableS17</v>
      </c>
      <c r="L318" s="5" t="str">
        <f t="array" ref="L318">IFERROR(INDEX(AUTO_Public_TSV_FileList!$A$1:$A$1000,MATCH(TRUE(),EXACT(K318,IFERROR(_xlfn.TEXTBEFORE(AUTO_Public_TSV_FileList!$A$1:$A$1000,".tsv"),"")),0)),"notfound")</f>
        <v>10.1186%2F1741-7007-5-18_TableS17.tsv</v>
      </c>
      <c r="M318" s="1" t="s">
        <v>1388</v>
      </c>
      <c r="N318" s="1" t="s">
        <v>35</v>
      </c>
      <c r="O318" s="7"/>
      <c r="P318" s="1" t="s">
        <v>36</v>
      </c>
      <c r="Q318" s="7"/>
      <c r="R318" s="7"/>
      <c r="S318" s="7"/>
      <c r="T318" s="7"/>
      <c r="U318" s="7"/>
      <c r="V318" s="7"/>
      <c r="W318" s="1" t="s">
        <v>174</v>
      </c>
      <c r="X318" s="1" t="s">
        <v>1374</v>
      </c>
      <c r="Y318" s="7"/>
      <c r="Z318" s="7"/>
      <c r="AA318" s="1"/>
      <c r="AB318" s="1" t="s">
        <v>1371</v>
      </c>
      <c r="AC318" s="7"/>
      <c r="AD318" s="7"/>
      <c r="AE318" s="1" t="s">
        <v>215</v>
      </c>
      <c r="AF318" s="1"/>
      <c r="AG318" s="7"/>
    </row>
    <row r="319" ht="17" customHeight="1">
      <c r="A319" s="1" t="s">
        <v>1366</v>
      </c>
      <c r="B319" s="7"/>
      <c r="C319" s="7"/>
      <c r="D319" s="1" t="s">
        <v>1389</v>
      </c>
      <c r="E319" s="5" t="str">
        <f t="shared" si="41"/>
        <v>Karbowski</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19" s="5" t="str">
        <f t="shared" si="42"/>
        <v>2007</v>
      </c>
      <c r="H319" s="5" t="str">
        <f t="shared" si="43"/>
        <v>Karbowski__2007</v>
      </c>
      <c r="I319" s="5" t="str">
        <f t="shared" si="51"/>
        <v>10.1186%2F1741-7007-5-18</v>
      </c>
      <c r="J319" s="5" t="str">
        <f t="shared" si="44"/>
        <v>Karbowski__2007_TableS18</v>
      </c>
      <c r="K319" s="5" t="str">
        <f t="shared" si="50"/>
        <v>10.1186%2F1741-7007-5-18_TableS18</v>
      </c>
      <c r="L319" s="5" t="str">
        <f t="array" ref="L319">IFERROR(INDEX(AUTO_Public_TSV_FileList!$A$1:$A$1000,MATCH(TRUE(),EXACT(K319,IFERROR(_xlfn.TEXTBEFORE(AUTO_Public_TSV_FileList!$A$1:$A$1000,".tsv"),"")),0)),"notfound")</f>
        <v>10.1186%2F1741-7007-5-18_TableS18.tsv</v>
      </c>
      <c r="M319" s="1" t="s">
        <v>1390</v>
      </c>
      <c r="N319" s="1" t="s">
        <v>35</v>
      </c>
      <c r="O319" s="7"/>
      <c r="P319" s="1" t="s">
        <v>36</v>
      </c>
      <c r="Q319" s="7"/>
      <c r="R319" s="7"/>
      <c r="S319" s="7"/>
      <c r="T319" s="7"/>
      <c r="U319" s="7"/>
      <c r="V319" s="7"/>
      <c r="W319" s="1" t="s">
        <v>174</v>
      </c>
      <c r="X319" s="1" t="s">
        <v>1374</v>
      </c>
      <c r="Y319" s="7"/>
      <c r="Z319" s="7"/>
      <c r="AA319" s="1"/>
      <c r="AB319" s="1" t="s">
        <v>1371</v>
      </c>
      <c r="AC319" s="7"/>
      <c r="AD319" s="7"/>
      <c r="AE319" s="1" t="s">
        <v>215</v>
      </c>
      <c r="AF319" s="1"/>
      <c r="AG319" s="7"/>
    </row>
    <row r="320" ht="17" customHeight="1">
      <c r="A320" s="1" t="s">
        <v>1366</v>
      </c>
      <c r="B320" s="7"/>
      <c r="C320" s="7"/>
      <c r="D320" s="1" t="s">
        <v>1391</v>
      </c>
      <c r="E320" s="5" t="str">
        <f t="shared" si="41"/>
        <v>Karbowski</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0" s="5" t="str">
        <f t="shared" si="42"/>
        <v>2007</v>
      </c>
      <c r="H320" s="5" t="str">
        <f t="shared" si="43"/>
        <v>Karbowski__2007</v>
      </c>
      <c r="I320" s="5" t="str">
        <f t="shared" si="51"/>
        <v>10.1186%2F1741-7007-5-18</v>
      </c>
      <c r="J320" s="5" t="str">
        <f t="shared" si="44"/>
        <v>Karbowski__2007_TableS19</v>
      </c>
      <c r="K320" s="5" t="str">
        <f t="shared" si="50"/>
        <v>10.1186%2F1741-7007-5-18_TableS19</v>
      </c>
      <c r="L320" s="5" t="str">
        <f t="array" ref="L320">IFERROR(INDEX(AUTO_Public_TSV_FileList!$A$1:$A$1000,MATCH(TRUE(),EXACT(K320,IFERROR(_xlfn.TEXTBEFORE(AUTO_Public_TSV_FileList!$A$1:$A$1000,".tsv"),"")),0)),"notfound")</f>
        <v>10.1186%2F1741-7007-5-18_TableS19.tsv</v>
      </c>
      <c r="M320" s="1" t="s">
        <v>1392</v>
      </c>
      <c r="N320" s="1" t="s">
        <v>35</v>
      </c>
      <c r="O320" s="7"/>
      <c r="P320" s="1" t="s">
        <v>36</v>
      </c>
      <c r="Q320" s="7"/>
      <c r="R320" s="7"/>
      <c r="S320" s="7"/>
      <c r="T320" s="7"/>
      <c r="U320" s="7"/>
      <c r="V320" s="7"/>
      <c r="W320" s="1" t="s">
        <v>174</v>
      </c>
      <c r="X320" s="1" t="s">
        <v>1374</v>
      </c>
      <c r="Y320" s="7"/>
      <c r="Z320" s="7"/>
      <c r="AA320" s="1"/>
      <c r="AB320" s="1" t="s">
        <v>1371</v>
      </c>
      <c r="AC320" s="7"/>
      <c r="AD320" s="7"/>
      <c r="AE320" s="1" t="s">
        <v>215</v>
      </c>
      <c r="AF320" s="1"/>
      <c r="AG320" s="7"/>
    </row>
    <row r="321" ht="17" customHeight="1">
      <c r="A321" s="1" t="s">
        <v>1366</v>
      </c>
      <c r="B321" s="7"/>
      <c r="C321" s="7"/>
      <c r="D321" s="1" t="s">
        <v>712</v>
      </c>
      <c r="E321" s="5" t="str">
        <f t="shared" si="41"/>
        <v>Karbowski</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1" s="5" t="str">
        <f t="shared" si="42"/>
        <v>2007</v>
      </c>
      <c r="H321" s="5" t="str">
        <f t="shared" si="43"/>
        <v>Karbowski__2007</v>
      </c>
      <c r="I321" s="5" t="str">
        <f t="shared" si="51"/>
        <v>10.1186%2F1741-7007-5-18</v>
      </c>
      <c r="J321" s="5" t="str">
        <f t="shared" si="44"/>
        <v>Karbowski__2007_TableS2</v>
      </c>
      <c r="K321" s="5" t="str">
        <f t="shared" si="50"/>
        <v>10.1186%2F1741-7007-5-18_TableS2</v>
      </c>
      <c r="L321" s="5" t="str">
        <f t="array" ref="L321">IFERROR(INDEX(AUTO_Public_TSV_FileList!$A$1:$A$1000,MATCH(TRUE(),EXACT(K321,IFERROR(_xlfn.TEXTBEFORE(AUTO_Public_TSV_FileList!$A$1:$A$1000,".tsv"),"")),0)),"notfound")</f>
        <v>10.1186%2F1741-7007-5-18_TableS2.tsv</v>
      </c>
      <c r="M321" s="1" t="s">
        <v>1393</v>
      </c>
      <c r="N321" s="1" t="s">
        <v>35</v>
      </c>
      <c r="O321" s="7"/>
      <c r="P321" s="1" t="s">
        <v>1394</v>
      </c>
      <c r="Q321" s="7"/>
      <c r="R321" s="7"/>
      <c r="S321" s="7"/>
      <c r="T321" s="7"/>
      <c r="U321" s="7"/>
      <c r="V321" s="7"/>
      <c r="W321" s="1" t="s">
        <v>174</v>
      </c>
      <c r="X321" s="1" t="s">
        <v>1374</v>
      </c>
      <c r="Y321" s="7"/>
      <c r="Z321" s="7"/>
      <c r="AA321" s="1"/>
      <c r="AB321" s="1" t="s">
        <v>1371</v>
      </c>
      <c r="AC321" s="7"/>
      <c r="AD321" s="7"/>
      <c r="AE321" s="1" t="s">
        <v>215</v>
      </c>
      <c r="AF321" s="1"/>
      <c r="AG321" s="7"/>
    </row>
    <row r="322" ht="17" customHeight="1">
      <c r="A322" s="1" t="s">
        <v>1366</v>
      </c>
      <c r="B322" s="7"/>
      <c r="C322" s="7"/>
      <c r="D322" s="1" t="s">
        <v>1395</v>
      </c>
      <c r="E322" s="5" t="str">
        <f t="shared" ref="E322:E385" si="52">SUBSTITUTE(SUBSTITUTE(_xlfn.TEXTBEFORE(A322,","), "-", ""), " ", "")</f>
        <v>Karbowski</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2" s="5" t="str">
        <f t="shared" ref="G322:G385" si="53">_xlfn.TEXTBEFORE(_xlfn.TEXTAFTER(A322, "("), ")")</f>
        <v>2007</v>
      </c>
      <c r="H322" s="5" t="str">
        <f t="shared" ref="H322:H385" si="54">E322 &amp; IF(F322&lt;&gt;"", "_" &amp; F322, "_") &amp; IF(G322&lt;&gt;"", "_" &amp; G322, "_") &amp; IF(B322&lt;&gt;"", "_" &amp; B322, "")</f>
        <v>Karbowski__2007</v>
      </c>
      <c r="I322" s="5" t="str">
        <f t="shared" si="51"/>
        <v>10.1186%2F1741-7007-5-18</v>
      </c>
      <c r="J322" s="5" t="str">
        <f t="shared" ref="J322:J385" si="55">TRIM(_xlfn.TEXTJOIN("_",FALSE(),H322,(SUBSTITUTE(SUBSTITUTE(D322," ",""), "_", ""))))</f>
        <v>Karbowski__2007_TableS20</v>
      </c>
      <c r="K322" s="5" t="str">
        <f t="shared" si="50"/>
        <v>10.1186%2F1741-7007-5-18_TableS20</v>
      </c>
      <c r="L322" s="5" t="str">
        <f t="array" ref="L322">IFERROR(INDEX(AUTO_Public_TSV_FileList!$A$1:$A$1000,MATCH(TRUE(),EXACT(K322,IFERROR(_xlfn.TEXTBEFORE(AUTO_Public_TSV_FileList!$A$1:$A$1000,".tsv"),"")),0)),"notfound")</f>
        <v>10.1186%2F1741-7007-5-18_TableS20.tsv</v>
      </c>
      <c r="M322" s="1" t="s">
        <v>1396</v>
      </c>
      <c r="N322" s="1" t="s">
        <v>35</v>
      </c>
      <c r="O322" s="7"/>
      <c r="P322" s="1" t="s">
        <v>36</v>
      </c>
      <c r="Q322" s="7"/>
      <c r="R322" s="7"/>
      <c r="S322" s="7"/>
      <c r="T322" s="7"/>
      <c r="U322" s="7"/>
      <c r="V322" s="7"/>
      <c r="W322" s="1" t="s">
        <v>174</v>
      </c>
      <c r="X322" s="1" t="s">
        <v>1374</v>
      </c>
      <c r="Y322" s="7"/>
      <c r="Z322" s="7"/>
      <c r="AA322" s="1"/>
      <c r="AB322" s="1" t="s">
        <v>1371</v>
      </c>
      <c r="AC322" s="7"/>
      <c r="AD322" s="7"/>
      <c r="AE322" s="1" t="s">
        <v>215</v>
      </c>
      <c r="AF322" s="1"/>
      <c r="AG322" s="7"/>
    </row>
    <row r="323" ht="17" customHeight="1">
      <c r="A323" s="1" t="s">
        <v>1366</v>
      </c>
      <c r="B323" s="7"/>
      <c r="C323" s="7"/>
      <c r="D323" s="1" t="s">
        <v>1397</v>
      </c>
      <c r="E323" s="5" t="str">
        <f t="shared" si="52"/>
        <v>Karbowski</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3" s="5" t="str">
        <f t="shared" si="53"/>
        <v>2007</v>
      </c>
      <c r="H323" s="5" t="str">
        <f t="shared" si="54"/>
        <v>Karbowski__2007</v>
      </c>
      <c r="I323" s="5" t="str">
        <f t="shared" si="51"/>
        <v>10.1186%2F1741-7007-5-18</v>
      </c>
      <c r="J323" s="5" t="str">
        <f t="shared" si="55"/>
        <v>Karbowski__2007_TableS21</v>
      </c>
      <c r="K323" s="5" t="str">
        <f t="shared" si="50"/>
        <v>10.1186%2F1741-7007-5-18_TableS21</v>
      </c>
      <c r="L323" s="5" t="str">
        <f t="array" ref="L323">IFERROR(INDEX(AUTO_Public_TSV_FileList!$A$1:$A$1000,MATCH(TRUE(),EXACT(K323,IFERROR(_xlfn.TEXTBEFORE(AUTO_Public_TSV_FileList!$A$1:$A$1000,".tsv"),"")),0)),"notfound")</f>
        <v>10.1186%2F1741-7007-5-18_TableS21.tsv</v>
      </c>
      <c r="M323" s="1" t="s">
        <v>1398</v>
      </c>
      <c r="N323" s="1" t="s">
        <v>35</v>
      </c>
      <c r="O323" s="7"/>
      <c r="P323" s="1" t="s">
        <v>36</v>
      </c>
      <c r="Q323" s="7"/>
      <c r="R323" s="7"/>
      <c r="S323" s="7"/>
      <c r="T323" s="7"/>
      <c r="U323" s="7"/>
      <c r="V323" s="7"/>
      <c r="W323" s="1" t="s">
        <v>174</v>
      </c>
      <c r="X323" s="1" t="s">
        <v>1374</v>
      </c>
      <c r="Y323" s="7"/>
      <c r="Z323" s="7"/>
      <c r="AA323" s="1"/>
      <c r="AB323" s="1" t="s">
        <v>1371</v>
      </c>
      <c r="AC323" s="7"/>
      <c r="AD323" s="7"/>
      <c r="AE323" s="1" t="s">
        <v>215</v>
      </c>
      <c r="AF323" s="1"/>
      <c r="AG323" s="7"/>
    </row>
    <row r="324" ht="17" customHeight="1">
      <c r="A324" s="1" t="s">
        <v>1366</v>
      </c>
      <c r="B324" s="7"/>
      <c r="C324" s="7"/>
      <c r="D324" s="1" t="s">
        <v>1399</v>
      </c>
      <c r="E324" s="5" t="str">
        <f t="shared" si="52"/>
        <v>Karbowski</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4" s="5" t="str">
        <f t="shared" si="53"/>
        <v>2007</v>
      </c>
      <c r="H324" s="5" t="str">
        <f t="shared" si="54"/>
        <v>Karbowski__2007</v>
      </c>
      <c r="I324" s="5" t="str">
        <f t="shared" si="51"/>
        <v>10.1186%2F1741-7007-5-18</v>
      </c>
      <c r="J324" s="5" t="str">
        <f t="shared" si="55"/>
        <v>Karbowski__2007_TableS22</v>
      </c>
      <c r="K324" s="5" t="str">
        <f t="shared" si="50"/>
        <v>10.1186%2F1741-7007-5-18_TableS22</v>
      </c>
      <c r="L324" s="5" t="str">
        <f t="array" ref="L324">IFERROR(INDEX(AUTO_Public_TSV_FileList!$A$1:$A$1000,MATCH(TRUE(),EXACT(K324,IFERROR(_xlfn.TEXTBEFORE(AUTO_Public_TSV_FileList!$A$1:$A$1000,".tsv"),"")),0)),"notfound")</f>
        <v>10.1186%2F1741-7007-5-18_TableS22.tsv</v>
      </c>
      <c r="M324" s="1" t="s">
        <v>1400</v>
      </c>
      <c r="N324" s="1" t="s">
        <v>35</v>
      </c>
      <c r="O324" s="7"/>
      <c r="P324" s="1" t="s">
        <v>36</v>
      </c>
      <c r="Q324" s="7"/>
      <c r="R324" s="7"/>
      <c r="S324" s="7"/>
      <c r="T324" s="7"/>
      <c r="U324" s="7"/>
      <c r="V324" s="7"/>
      <c r="W324" s="1" t="s">
        <v>174</v>
      </c>
      <c r="X324" s="1" t="s">
        <v>1374</v>
      </c>
      <c r="Y324" s="7"/>
      <c r="Z324" s="7"/>
      <c r="AA324" s="1"/>
      <c r="AB324" s="1" t="s">
        <v>1371</v>
      </c>
      <c r="AC324" s="7"/>
      <c r="AD324" s="7"/>
      <c r="AE324" s="1" t="s">
        <v>215</v>
      </c>
      <c r="AF324" s="1"/>
      <c r="AG324" s="7"/>
    </row>
    <row r="325" ht="17" customHeight="1">
      <c r="A325" s="1" t="s">
        <v>1366</v>
      </c>
      <c r="B325" s="7"/>
      <c r="C325" s="7"/>
      <c r="D325" s="1" t="s">
        <v>1401</v>
      </c>
      <c r="E325" s="5" t="str">
        <f t="shared" si="52"/>
        <v>Karbowski</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5" s="5" t="str">
        <f t="shared" si="53"/>
        <v>2007</v>
      </c>
      <c r="H325" s="5" t="str">
        <f t="shared" si="54"/>
        <v>Karbowski__2007</v>
      </c>
      <c r="I325" s="5" t="str">
        <f t="shared" si="51"/>
        <v>10.1186%2F1741-7007-5-18</v>
      </c>
      <c r="J325" s="5" t="str">
        <f t="shared" si="55"/>
        <v>Karbowski__2007_TableS23</v>
      </c>
      <c r="K325" s="5" t="str">
        <f t="shared" si="50"/>
        <v>10.1186%2F1741-7007-5-18_TableS23</v>
      </c>
      <c r="L325" s="5" t="str">
        <f t="array" ref="L325">IFERROR(INDEX(AUTO_Public_TSV_FileList!$A$1:$A$1000,MATCH(TRUE(),EXACT(K325,IFERROR(_xlfn.TEXTBEFORE(AUTO_Public_TSV_FileList!$A$1:$A$1000,".tsv"),"")),0)),"notfound")</f>
        <v>10.1186%2F1741-7007-5-18_TableS23.tsv</v>
      </c>
      <c r="M325" s="1" t="s">
        <v>1402</v>
      </c>
      <c r="N325" s="1" t="s">
        <v>35</v>
      </c>
      <c r="O325" s="7"/>
      <c r="P325" s="1" t="s">
        <v>36</v>
      </c>
      <c r="Q325" s="7"/>
      <c r="R325" s="7"/>
      <c r="S325" s="7"/>
      <c r="T325" s="7"/>
      <c r="U325" s="7"/>
      <c r="V325" s="7"/>
      <c r="W325" s="1" t="s">
        <v>174</v>
      </c>
      <c r="X325" s="1" t="s">
        <v>1374</v>
      </c>
      <c r="Y325" s="7"/>
      <c r="Z325" s="7"/>
      <c r="AA325" s="1"/>
      <c r="AB325" s="1" t="s">
        <v>1371</v>
      </c>
      <c r="AC325" s="7"/>
      <c r="AD325" s="7"/>
      <c r="AE325" s="1" t="s">
        <v>215</v>
      </c>
      <c r="AF325" s="1"/>
      <c r="AG325" s="7"/>
    </row>
    <row r="326" ht="17" customHeight="1">
      <c r="A326" s="1" t="s">
        <v>1366</v>
      </c>
      <c r="B326" s="7"/>
      <c r="C326" s="7"/>
      <c r="D326" s="1" t="s">
        <v>714</v>
      </c>
      <c r="E326" s="5" t="str">
        <f t="shared" si="52"/>
        <v>Karbowski</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6" s="5" t="str">
        <f t="shared" si="53"/>
        <v>2007</v>
      </c>
      <c r="H326" s="5" t="str">
        <f t="shared" si="54"/>
        <v>Karbowski__2007</v>
      </c>
      <c r="I326" s="5" t="str">
        <f t="shared" si="51"/>
        <v>10.1186%2F1741-7007-5-18</v>
      </c>
      <c r="J326" s="5" t="str">
        <f t="shared" si="55"/>
        <v>Karbowski__2007_TableS3</v>
      </c>
      <c r="K326" s="5" t="str">
        <f t="shared" si="50"/>
        <v>10.1186%2F1741-7007-5-18_TableS3</v>
      </c>
      <c r="L326" s="5" t="str">
        <f t="array" ref="L326">IFERROR(INDEX(AUTO_Public_TSV_FileList!$A$1:$A$1000,MATCH(TRUE(),EXACT(K326,IFERROR(_xlfn.TEXTBEFORE(AUTO_Public_TSV_FileList!$A$1:$A$1000,".tsv"),"")),0)),"notfound")</f>
        <v>10.1186%2F1741-7007-5-18_TableS3.tsv</v>
      </c>
      <c r="M326" s="1" t="s">
        <v>1403</v>
      </c>
      <c r="N326" s="1" t="s">
        <v>35</v>
      </c>
      <c r="O326" s="7"/>
      <c r="P326" s="1" t="s">
        <v>36</v>
      </c>
      <c r="Q326" s="7"/>
      <c r="R326" s="7"/>
      <c r="S326" s="7"/>
      <c r="T326" s="7"/>
      <c r="U326" s="7"/>
      <c r="V326" s="7"/>
      <c r="W326" s="1" t="s">
        <v>174</v>
      </c>
      <c r="X326" s="1" t="s">
        <v>1374</v>
      </c>
      <c r="Y326" s="7"/>
      <c r="Z326" s="7"/>
      <c r="AA326" s="1"/>
      <c r="AB326" s="1" t="s">
        <v>1371</v>
      </c>
      <c r="AC326" s="7"/>
      <c r="AD326" s="7"/>
      <c r="AE326" s="1" t="s">
        <v>215</v>
      </c>
      <c r="AF326" s="1"/>
      <c r="AG326" s="7"/>
    </row>
    <row r="327" ht="17" customHeight="1">
      <c r="A327" s="1" t="s">
        <v>1366</v>
      </c>
      <c r="B327" s="7"/>
      <c r="C327" s="7"/>
      <c r="D327" s="1" t="s">
        <v>716</v>
      </c>
      <c r="E327" s="5" t="str">
        <f t="shared" si="52"/>
        <v>Karbowski</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7" s="5" t="str">
        <f t="shared" si="53"/>
        <v>2007</v>
      </c>
      <c r="H327" s="5" t="str">
        <f t="shared" si="54"/>
        <v>Karbowski__2007</v>
      </c>
      <c r="I327" s="5" t="str">
        <f t="shared" si="51"/>
        <v>10.1186%2F1741-7007-5-18</v>
      </c>
      <c r="J327" s="5" t="str">
        <f t="shared" si="55"/>
        <v>Karbowski__2007_TableS4</v>
      </c>
      <c r="K327" s="5" t="str">
        <f t="shared" si="50"/>
        <v>10.1186%2F1741-7007-5-18_TableS4</v>
      </c>
      <c r="L327" s="5" t="str">
        <f t="array" ref="L327">IFERROR(INDEX(AUTO_Public_TSV_FileList!$A$1:$A$1000,MATCH(TRUE(),EXACT(K327,IFERROR(_xlfn.TEXTBEFORE(AUTO_Public_TSV_FileList!$A$1:$A$1000,".tsv"),"")),0)),"notfound")</f>
        <v>10.1186%2F1741-7007-5-18_TableS4.tsv</v>
      </c>
      <c r="M327" s="1" t="s">
        <v>1404</v>
      </c>
      <c r="N327" s="1" t="s">
        <v>35</v>
      </c>
      <c r="O327" s="7"/>
      <c r="P327" s="1" t="s">
        <v>36</v>
      </c>
      <c r="Q327" s="7"/>
      <c r="R327" s="7"/>
      <c r="S327" s="7"/>
      <c r="T327" s="7"/>
      <c r="U327" s="7"/>
      <c r="V327" s="7"/>
      <c r="W327" s="1" t="s">
        <v>174</v>
      </c>
      <c r="X327" s="1" t="s">
        <v>1374</v>
      </c>
      <c r="Y327" s="7"/>
      <c r="Z327" s="7"/>
      <c r="AA327" s="1"/>
      <c r="AB327" s="1" t="s">
        <v>1371</v>
      </c>
      <c r="AC327" s="7"/>
      <c r="AD327" s="7"/>
      <c r="AE327" s="1" t="s">
        <v>215</v>
      </c>
      <c r="AF327" s="1"/>
      <c r="AG327" s="7"/>
    </row>
    <row r="328" ht="17" customHeight="1">
      <c r="A328" s="1" t="s">
        <v>1366</v>
      </c>
      <c r="B328" s="7"/>
      <c r="C328" s="7"/>
      <c r="D328" s="1" t="s">
        <v>1405</v>
      </c>
      <c r="E328" s="5" t="str">
        <f t="shared" si="52"/>
        <v>Karbowski</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8" s="5" t="str">
        <f t="shared" si="53"/>
        <v>2007</v>
      </c>
      <c r="H328" s="5" t="str">
        <f t="shared" si="54"/>
        <v>Karbowski__2007</v>
      </c>
      <c r="I328" s="5" t="str">
        <f t="shared" si="51"/>
        <v>10.1186%2F1741-7007-5-18</v>
      </c>
      <c r="J328" s="5" t="str">
        <f t="shared" si="55"/>
        <v>Karbowski__2007_TableS5</v>
      </c>
      <c r="K328" s="5" t="str">
        <f t="shared" si="50"/>
        <v>10.1186%2F1741-7007-5-18_TableS5</v>
      </c>
      <c r="L328" s="5" t="str">
        <f t="array" ref="L328">IFERROR(INDEX(AUTO_Public_TSV_FileList!$A$1:$A$1000,MATCH(TRUE(),EXACT(K328,IFERROR(_xlfn.TEXTBEFORE(AUTO_Public_TSV_FileList!$A$1:$A$1000,".tsv"),"")),0)),"notfound")</f>
        <v>10.1186%2F1741-7007-5-18_TableS5.tsv</v>
      </c>
      <c r="M328" s="1" t="s">
        <v>1406</v>
      </c>
      <c r="N328" s="1" t="s">
        <v>35</v>
      </c>
      <c r="O328" s="7"/>
      <c r="P328" s="1" t="s">
        <v>36</v>
      </c>
      <c r="Q328" s="7"/>
      <c r="R328" s="7"/>
      <c r="S328" s="7"/>
      <c r="T328" s="7"/>
      <c r="U328" s="7"/>
      <c r="V328" s="7"/>
      <c r="W328" s="1" t="s">
        <v>174</v>
      </c>
      <c r="X328" s="1" t="s">
        <v>1374</v>
      </c>
      <c r="Y328" s="7"/>
      <c r="Z328" s="7"/>
      <c r="AA328" s="1"/>
      <c r="AB328" s="1" t="s">
        <v>1371</v>
      </c>
      <c r="AC328" s="7"/>
      <c r="AD328" s="7"/>
      <c r="AE328" s="1" t="s">
        <v>215</v>
      </c>
      <c r="AF328" s="1"/>
      <c r="AG328" s="7"/>
    </row>
    <row r="329" ht="17" customHeight="1">
      <c r="A329" s="1" t="s">
        <v>1366</v>
      </c>
      <c r="B329" s="7"/>
      <c r="C329" s="7"/>
      <c r="D329" s="1" t="s">
        <v>1407</v>
      </c>
      <c r="E329" s="5" t="str">
        <f t="shared" si="52"/>
        <v>Karbowski</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29" s="5" t="str">
        <f t="shared" si="53"/>
        <v>2007</v>
      </c>
      <c r="H329" s="5" t="str">
        <f t="shared" si="54"/>
        <v>Karbowski__2007</v>
      </c>
      <c r="I329" s="5" t="str">
        <f t="shared" si="51"/>
        <v>10.1186%2F1741-7007-5-18</v>
      </c>
      <c r="J329" s="5" t="str">
        <f t="shared" si="55"/>
        <v>Karbowski__2007_TableS6</v>
      </c>
      <c r="K329" s="5" t="str">
        <f t="shared" si="50"/>
        <v>10.1186%2F1741-7007-5-18_TableS6</v>
      </c>
      <c r="L329" s="5" t="str">
        <f t="array" ref="L329">IFERROR(INDEX(AUTO_Public_TSV_FileList!$A$1:$A$1000,MATCH(TRUE(),EXACT(K329,IFERROR(_xlfn.TEXTBEFORE(AUTO_Public_TSV_FileList!$A$1:$A$1000,".tsv"),"")),0)),"notfound")</f>
        <v>10.1186%2F1741-7007-5-18_TableS6.tsv</v>
      </c>
      <c r="M329" s="1" t="s">
        <v>1408</v>
      </c>
      <c r="N329" s="1" t="s">
        <v>35</v>
      </c>
      <c r="O329" s="7"/>
      <c r="P329" s="1" t="s">
        <v>36</v>
      </c>
      <c r="Q329" s="7"/>
      <c r="R329" s="7"/>
      <c r="S329" s="7"/>
      <c r="T329" s="7"/>
      <c r="U329" s="7"/>
      <c r="V329" s="7"/>
      <c r="W329" s="1" t="s">
        <v>174</v>
      </c>
      <c r="X329" s="1" t="s">
        <v>1374</v>
      </c>
      <c r="Y329" s="7"/>
      <c r="Z329" s="7"/>
      <c r="AA329" s="1"/>
      <c r="AB329" s="1" t="s">
        <v>1371</v>
      </c>
      <c r="AC329" s="7"/>
      <c r="AD329" s="7"/>
      <c r="AE329" s="1" t="s">
        <v>215</v>
      </c>
      <c r="AF329" s="1"/>
      <c r="AG329" s="7"/>
    </row>
    <row r="330" ht="17" customHeight="1">
      <c r="A330" s="1" t="s">
        <v>1366</v>
      </c>
      <c r="B330" s="7"/>
      <c r="C330" s="7"/>
      <c r="D330" s="1" t="s">
        <v>1409</v>
      </c>
      <c r="E330" s="5" t="str">
        <f t="shared" si="52"/>
        <v>Karbowski</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5" t="str">
        <f t="shared" si="53"/>
        <v>2007</v>
      </c>
      <c r="H330" s="5" t="str">
        <f t="shared" si="54"/>
        <v>Karbowski__2007</v>
      </c>
      <c r="I330" s="5" t="str">
        <f t="shared" si="51"/>
        <v>10.1186%2F1741-7007-5-18</v>
      </c>
      <c r="J330" s="5" t="str">
        <f t="shared" si="55"/>
        <v>Karbowski__2007_TableS7</v>
      </c>
      <c r="K330" s="5" t="str">
        <f t="shared" si="50"/>
        <v>10.1186%2F1741-7007-5-18_TableS7</v>
      </c>
      <c r="L330" s="5" t="str">
        <f t="array" ref="L330">IFERROR(INDEX(AUTO_Public_TSV_FileList!$A$1:$A$1000,MATCH(TRUE(),EXACT(K330,IFERROR(_xlfn.TEXTBEFORE(AUTO_Public_TSV_FileList!$A$1:$A$1000,".tsv"),"")),0)),"notfound")</f>
        <v>10.1186%2F1741-7007-5-18_TableS7.tsv</v>
      </c>
      <c r="M330" s="1" t="s">
        <v>1410</v>
      </c>
      <c r="N330" s="1" t="s">
        <v>35</v>
      </c>
      <c r="O330" s="7"/>
      <c r="P330" s="1" t="s">
        <v>36</v>
      </c>
      <c r="Q330" s="7"/>
      <c r="R330" s="7"/>
      <c r="S330" s="7"/>
      <c r="T330" s="7"/>
      <c r="U330" s="7"/>
      <c r="V330" s="7"/>
      <c r="W330" s="1" t="s">
        <v>174</v>
      </c>
      <c r="X330" s="1" t="s">
        <v>1374</v>
      </c>
      <c r="Y330" s="7"/>
      <c r="Z330" s="7"/>
      <c r="AA330" s="1"/>
      <c r="AB330" s="1" t="s">
        <v>1371</v>
      </c>
      <c r="AC330" s="7"/>
      <c r="AD330" s="7"/>
      <c r="AE330" s="1" t="s">
        <v>215</v>
      </c>
      <c r="AF330" s="1"/>
      <c r="AG330" s="7"/>
    </row>
    <row r="331" ht="17" customHeight="1">
      <c r="A331" s="1" t="s">
        <v>1366</v>
      </c>
      <c r="B331" s="7"/>
      <c r="C331" s="7"/>
      <c r="D331" s="1" t="s">
        <v>1411</v>
      </c>
      <c r="E331" s="5" t="str">
        <f t="shared" si="52"/>
        <v>Karbowski</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5" t="str">
        <f t="shared" si="53"/>
        <v>2007</v>
      </c>
      <c r="H331" s="5" t="str">
        <f t="shared" si="54"/>
        <v>Karbowski__2007</v>
      </c>
      <c r="I331" s="5" t="str">
        <f t="shared" si="51"/>
        <v>10.1186%2F1741-7007-5-18</v>
      </c>
      <c r="J331" s="5" t="str">
        <f t="shared" si="55"/>
        <v>Karbowski__2007_TableS8</v>
      </c>
      <c r="K331" s="5" t="str">
        <f t="shared" si="50"/>
        <v>10.1186%2F1741-7007-5-18_TableS8</v>
      </c>
      <c r="L331" s="5" t="str">
        <f t="array" ref="L331">IFERROR(INDEX(AUTO_Public_TSV_FileList!$A$1:$A$1000,MATCH(TRUE(),EXACT(K331,IFERROR(_xlfn.TEXTBEFORE(AUTO_Public_TSV_FileList!$A$1:$A$1000,".tsv"),"")),0)),"notfound")</f>
        <v>10.1186%2F1741-7007-5-18_TableS8.tsv</v>
      </c>
      <c r="M331" s="1" t="s">
        <v>1412</v>
      </c>
      <c r="N331" s="1" t="s">
        <v>35</v>
      </c>
      <c r="O331" s="7"/>
      <c r="P331" s="1" t="s">
        <v>36</v>
      </c>
      <c r="Q331" s="7"/>
      <c r="R331" s="7"/>
      <c r="S331" s="7"/>
      <c r="T331" s="7"/>
      <c r="U331" s="7"/>
      <c r="V331" s="7"/>
      <c r="W331" s="1" t="s">
        <v>174</v>
      </c>
      <c r="X331" s="1" t="s">
        <v>1374</v>
      </c>
      <c r="Y331" s="7"/>
      <c r="Z331" s="7"/>
      <c r="AA331" s="1"/>
      <c r="AB331" s="1" t="s">
        <v>1371</v>
      </c>
      <c r="AC331" s="7"/>
      <c r="AD331" s="7"/>
      <c r="AE331" s="1" t="s">
        <v>215</v>
      </c>
      <c r="AF331" s="1"/>
      <c r="AG331" s="7"/>
    </row>
    <row r="332" ht="17" customHeight="1">
      <c r="A332" s="1" t="s">
        <v>1366</v>
      </c>
      <c r="B332" s="7"/>
      <c r="C332" s="7"/>
      <c r="D332" s="1" t="s">
        <v>1413</v>
      </c>
      <c r="E332" s="5" t="str">
        <f t="shared" si="52"/>
        <v>Karbowski</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5" t="str">
        <f t="shared" si="53"/>
        <v>2007</v>
      </c>
      <c r="H332" s="5" t="str">
        <f t="shared" si="54"/>
        <v>Karbowski__2007</v>
      </c>
      <c r="I332" s="5" t="str">
        <f t="shared" si="51"/>
        <v>10.1186%2F1741-7007-5-18</v>
      </c>
      <c r="J332" s="5" t="str">
        <f t="shared" si="55"/>
        <v>Karbowski__2007_TableS9</v>
      </c>
      <c r="K332" s="5" t="str">
        <f t="shared" si="50"/>
        <v>10.1186%2F1741-7007-5-18_TableS9</v>
      </c>
      <c r="L332" s="5" t="str">
        <f t="array" ref="L332">IFERROR(INDEX(AUTO_Public_TSV_FileList!$A$1:$A$1000,MATCH(TRUE(),EXACT(K332,IFERROR(_xlfn.TEXTBEFORE(AUTO_Public_TSV_FileList!$A$1:$A$1000,".tsv"),"")),0)),"notfound")</f>
        <v>10.1186%2F1741-7007-5-18_TableS9.tsv</v>
      </c>
      <c r="M332" s="1" t="s">
        <v>1414</v>
      </c>
      <c r="N332" s="1" t="s">
        <v>35</v>
      </c>
      <c r="O332" s="7"/>
      <c r="P332" s="1" t="s">
        <v>36</v>
      </c>
      <c r="Q332" s="7"/>
      <c r="R332" s="7"/>
      <c r="S332" s="7"/>
      <c r="T332" s="7"/>
      <c r="U332" s="7"/>
      <c r="V332" s="7"/>
      <c r="W332" s="1" t="s">
        <v>174</v>
      </c>
      <c r="X332" s="1" t="s">
        <v>1374</v>
      </c>
      <c r="Y332" s="7"/>
      <c r="Z332" s="7"/>
      <c r="AA332" s="1"/>
      <c r="AB332" s="1" t="s">
        <v>1371</v>
      </c>
      <c r="AC332" s="7"/>
      <c r="AD332" s="7"/>
      <c r="AE332" s="1" t="s">
        <v>215</v>
      </c>
      <c r="AF332" s="1"/>
      <c r="AG332" s="7"/>
    </row>
    <row r="333" ht="17" customHeight="1">
      <c r="A333" s="1" t="s">
        <v>1415</v>
      </c>
      <c r="B333" s="7"/>
      <c r="C333" s="7"/>
      <c r="D333" s="1" t="s">
        <v>58</v>
      </c>
      <c r="E333" s="5" t="str">
        <f t="shared" si="52"/>
        <v>Karl</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3" s="5" t="str">
        <f t="shared" si="53"/>
        <v>2024</v>
      </c>
      <c r="H333" s="5" t="str">
        <f t="shared" si="54"/>
        <v>Karl_etal_2024</v>
      </c>
      <c r="I333" s="5" t="str">
        <f t="shared" si="51"/>
        <v>10.1002%2Fcne.25669</v>
      </c>
      <c r="J333" s="5" t="str">
        <f t="shared" si="55"/>
        <v>Karl_etal_2024_TABLE1</v>
      </c>
      <c r="K333" s="5" t="str">
        <f t="shared" si="50"/>
        <v>10.1002%2Fcne.25669_TABLE1</v>
      </c>
      <c r="L333" s="5" t="str">
        <f t="array" ref="L333">IFERROR(INDEX(AUTO_Public_TSV_FileList!$A$1:$A$1000,MATCH(TRUE(),EXACT(K333,IFERROR(_xlfn.TEXTBEFORE(AUTO_Public_TSV_FileList!$A$1:$A$1000,".tsv"),"")),0)),"notfound")</f>
        <v>10.1002%2Fcne.25669_TABLE1.tsv</v>
      </c>
      <c r="M333" s="1" t="s">
        <v>1416</v>
      </c>
      <c r="N333" s="1" t="s">
        <v>35</v>
      </c>
      <c r="O333" s="7"/>
      <c r="P333" s="1" t="s">
        <v>36</v>
      </c>
      <c r="Q333" s="7"/>
      <c r="R333" s="7"/>
      <c r="S333" s="7"/>
      <c r="T333" s="7"/>
      <c r="U333" s="7"/>
      <c r="V333" s="7"/>
      <c r="W333" s="1" t="s">
        <v>174</v>
      </c>
      <c r="X333" s="1" t="s">
        <v>1417</v>
      </c>
      <c r="Y333" s="7"/>
      <c r="Z333" s="7"/>
      <c r="AA333" s="7"/>
      <c r="AB333" s="1" t="s">
        <v>1417</v>
      </c>
      <c r="AC333" s="7"/>
      <c r="AD333" s="7"/>
      <c r="AE333" s="1" t="s">
        <v>66</v>
      </c>
      <c r="AF333" s="1"/>
      <c r="AG333" s="7"/>
    </row>
    <row r="334" ht="17" customHeight="1">
      <c r="A334" s="7" t="s">
        <v>1418</v>
      </c>
      <c r="B334" s="7"/>
      <c r="C334" s="7"/>
      <c r="D334" s="7" t="s">
        <v>1419</v>
      </c>
      <c r="E334" s="3" t="str">
        <f t="shared" si="52"/>
        <v>Karlsen</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4" s="3" t="str">
        <f t="shared" si="53"/>
        <v>2011</v>
      </c>
      <c r="H334" s="3" t="str">
        <f t="shared" si="54"/>
        <v>Karlsen_Pakkenberg_2011</v>
      </c>
      <c r="I334" s="3" t="str">
        <f t="shared" si="51"/>
        <v>10.1093%2Fcercor%2Fbhr033</v>
      </c>
      <c r="J334" s="3" t="str">
        <f t="shared" si="55"/>
        <v>Karlsen_Pakkenberg_2011_authordata(groupmeans)</v>
      </c>
      <c r="K334" s="3" t="str">
        <f>I334 &amp; "_" &amp; SUBSTITUTE(SUBSTITUTE(SUBSTITUTE(D334,CHAR(160),""), " ", ""), "_", "")</f>
        <v>10.1093%2Fcercor%2Fbhr033_authordata(groupmeans)</v>
      </c>
      <c r="L334" s="5" t="str">
        <f t="array" ref="L334">IFERROR(INDEX(AUTO_Public_TSV_FileList!$A$1:$A$1000,MATCH(TRUE(),EXACT(K334,IFERROR(_xlfn.TEXTBEFORE(AUTO_Public_TSV_FileList!$A$1:$A$1000,".tsv"),"")),0)),"notfound")</f>
        <v>10.1093%2Fcercor%2Fbhr033_authordata(groupmeans).tsv</v>
      </c>
      <c r="M334" s="7" t="s">
        <v>1420</v>
      </c>
      <c r="N334" s="7" t="s">
        <v>1421</v>
      </c>
      <c r="O334" s="7"/>
      <c r="P334" s="7" t="s">
        <v>36</v>
      </c>
      <c r="Q334" s="7" t="s">
        <v>1422</v>
      </c>
      <c r="R334" s="7"/>
      <c r="S334" s="7"/>
      <c r="T334" s="7"/>
      <c r="U334" s="7"/>
      <c r="V334" s="7"/>
      <c r="W334" s="7" t="s">
        <v>816</v>
      </c>
      <c r="X334" s="7"/>
      <c r="Y334" s="7"/>
      <c r="Z334" s="7" t="s">
        <v>1423</v>
      </c>
      <c r="AA334" s="7" t="s">
        <v>272</v>
      </c>
      <c r="AB334" s="7" t="s">
        <v>1424</v>
      </c>
      <c r="AC334" s="7" t="s">
        <v>1425</v>
      </c>
      <c r="AD334" s="7"/>
      <c r="AE334" s="7" t="s">
        <v>66</v>
      </c>
      <c r="AF334" s="7"/>
      <c r="AG334" s="7"/>
    </row>
    <row r="335" ht="17" customHeight="1">
      <c r="A335" s="7" t="s">
        <v>1418</v>
      </c>
      <c r="B335" s="7"/>
      <c r="C335" s="7"/>
      <c r="D335" s="7" t="s">
        <v>1426</v>
      </c>
      <c r="E335" s="3" t="str">
        <f t="shared" si="52"/>
        <v>Karlsen</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3" t="str">
        <f t="shared" si="53"/>
        <v>2011</v>
      </c>
      <c r="H335" s="3" t="str">
        <f t="shared" si="54"/>
        <v>Karlsen_Pakkenberg_2011</v>
      </c>
      <c r="I335" s="3" t="str">
        <f t="shared" si="51"/>
        <v>10.1093%2Fcercor%2Fbhr033</v>
      </c>
      <c r="J335" s="3" t="str">
        <f t="shared" si="55"/>
        <v>Karlsen_Pakkenberg_2011_reportedvalues</v>
      </c>
      <c r="K335" s="3" t="str">
        <f>I335 &amp; "_" &amp; SUBSTITUTE(SUBSTITUTE(SUBSTITUTE(D335,CHAR(160),""), " ", ""), "_", "")</f>
        <v>10.1093%2Fcercor%2Fbhr033_reportedvalues</v>
      </c>
      <c r="L335" s="5" t="str">
        <f t="array" ref="L335">IFERROR(INDEX(AUTO_Public_TSV_FileList!$A$1:$A$1000,MATCH(TRUE(),EXACT(K335,IFERROR(_xlfn.TEXTBEFORE(AUTO_Public_TSV_FileList!$A$1:$A$1000,".tsv"),"")),0)),"notfound")</f>
        <v>10.1093%2Fcercor%2Fbhr033_reportedvalues.tsv</v>
      </c>
      <c r="M335" s="7" t="s">
        <v>1427</v>
      </c>
      <c r="N335" s="7" t="s">
        <v>1428</v>
      </c>
      <c r="O335" s="7"/>
      <c r="P335" s="7" t="s">
        <v>36</v>
      </c>
      <c r="Q335" s="7" t="s">
        <v>1429</v>
      </c>
      <c r="R335" s="7"/>
      <c r="S335" s="7"/>
      <c r="T335" s="7"/>
      <c r="U335" s="7"/>
      <c r="V335" s="7"/>
      <c r="W335" s="7" t="s">
        <v>816</v>
      </c>
      <c r="X335" s="7"/>
      <c r="Y335" s="7"/>
      <c r="Z335" s="7" t="s">
        <v>1430</v>
      </c>
      <c r="AA335" s="7" t="s">
        <v>272</v>
      </c>
      <c r="AB335" s="7" t="s">
        <v>1424</v>
      </c>
      <c r="AC335" s="7" t="s">
        <v>1425</v>
      </c>
      <c r="AD335" s="7"/>
      <c r="AE335" s="7" t="s">
        <v>66</v>
      </c>
      <c r="AF335" s="7"/>
      <c r="AG335" s="7"/>
    </row>
    <row r="336" ht="17" customHeight="1">
      <c r="A336" s="7" t="s">
        <v>1418</v>
      </c>
      <c r="B336" s="7"/>
      <c r="C336" s="7"/>
      <c r="D336" s="7" t="s">
        <v>108</v>
      </c>
      <c r="E336" s="3" t="str">
        <f t="shared" si="52"/>
        <v>Karlsen</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3" t="str">
        <f t="shared" si="53"/>
        <v>2011</v>
      </c>
      <c r="H336" s="3" t="str">
        <f t="shared" si="54"/>
        <v>Karlsen_Pakkenberg_2011</v>
      </c>
      <c r="I336" s="3" t="str">
        <f t="shared" si="51"/>
        <v>10.1093%2Fcercor%2Fbhr033</v>
      </c>
      <c r="J336" s="3" t="str">
        <f t="shared" si="55"/>
        <v>Karlsen_Pakkenberg_2011_Table2</v>
      </c>
      <c r="K336" s="3" t="str">
        <f>I336 &amp; "_" &amp; SUBSTITUTE(SUBSTITUTE(SUBSTITUTE(D336,CHAR(160),""), " ", ""), "_", "")</f>
        <v>10.1093%2Fcercor%2Fbhr033_Table2</v>
      </c>
      <c r="L336" s="5" t="str">
        <f t="array" ref="L336">IFERROR(INDEX(AUTO_Public_TSV_FileList!$A$1:$A$1000,MATCH(TRUE(),EXACT(K336,IFERROR(_xlfn.TEXTBEFORE(AUTO_Public_TSV_FileList!$A$1:$A$1000,".tsv"),"")),0)),"notfound")</f>
        <v>10.1093%2Fcercor%2Fbhr033_Table2.tsv</v>
      </c>
      <c r="M336" s="7" t="s">
        <v>1431</v>
      </c>
      <c r="N336" s="7" t="s">
        <v>1432</v>
      </c>
      <c r="O336" s="7"/>
      <c r="P336" s="7" t="s">
        <v>36</v>
      </c>
      <c r="Q336" s="7" t="s">
        <v>1433</v>
      </c>
      <c r="R336" s="7"/>
      <c r="S336" s="7"/>
      <c r="T336" s="7"/>
      <c r="U336" s="7"/>
      <c r="V336" s="7"/>
      <c r="W336" s="7" t="s">
        <v>816</v>
      </c>
      <c r="X336" s="7"/>
      <c r="Y336" s="7"/>
      <c r="Z336" s="7" t="s">
        <v>1434</v>
      </c>
      <c r="AA336" s="7" t="s">
        <v>1435</v>
      </c>
      <c r="AB336" s="7" t="s">
        <v>127</v>
      </c>
      <c r="AC336" s="7" t="s">
        <v>1425</v>
      </c>
      <c r="AD336" s="7"/>
      <c r="AE336" s="7" t="s">
        <v>66</v>
      </c>
      <c r="AF336" s="7"/>
      <c r="AG336" s="7"/>
    </row>
    <row r="337" ht="17" customHeight="1">
      <c r="A337" s="7" t="s">
        <v>1436</v>
      </c>
      <c r="B337" s="7"/>
      <c r="C337" s="7"/>
      <c r="D337" s="7" t="s">
        <v>393</v>
      </c>
      <c r="E337" s="5" t="str">
        <f t="shared" si="52"/>
        <v>Kaskan</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7" s="5" t="str">
        <f t="shared" si="53"/>
        <v>2005</v>
      </c>
      <c r="H337" s="5" t="str">
        <f t="shared" si="54"/>
        <v>Kaskan_etal_2005</v>
      </c>
      <c r="I337" s="5" t="str">
        <f t="shared" si="51"/>
        <v>10.1098%2Frspb.2004.2925</v>
      </c>
      <c r="J337" s="5" t="str">
        <f t="shared" si="55"/>
        <v>Kaskan_etal_2005_Figure2</v>
      </c>
      <c r="K337" s="5" t="str">
        <f t="shared" ref="K337:K368" si="56">I337 &amp; "_" &amp; SUBSTITUTE(SUBSTITUTE(SUBSTITUTE(D337,CHAR(160),"")," ",""),"_","")</f>
        <v>10.1098%2Frspb.2004.2925_Figure2</v>
      </c>
      <c r="L337" s="5" t="str">
        <f t="array" ref="L337">IFERROR(INDEX(AUTO_Public_TSV_FileList!$A$1:$A$1000,MATCH(TRUE(),EXACT(K337,IFERROR(_xlfn.TEXTBEFORE(AUTO_Public_TSV_FileList!$A$1:$A$1000,".tsv"),"")),0)),"notfound")</f>
        <v>notfound</v>
      </c>
      <c r="M337" s="7" t="s">
        <v>1437</v>
      </c>
      <c r="N337" s="7"/>
      <c r="O337" s="7"/>
      <c r="P337" s="7"/>
      <c r="Q337" s="7"/>
      <c r="R337" s="7"/>
      <c r="S337" s="7"/>
      <c r="T337" s="7"/>
      <c r="U337" s="7"/>
      <c r="V337" s="7"/>
      <c r="W337" s="7"/>
      <c r="X337" s="7"/>
      <c r="Y337" s="7"/>
      <c r="Z337" s="7"/>
      <c r="AA337" s="7"/>
      <c r="AB337" s="7"/>
      <c r="AC337" s="7"/>
      <c r="AD337" s="7"/>
      <c r="AE337" s="7"/>
      <c r="AF337" s="7"/>
      <c r="AG337" s="7"/>
    </row>
    <row r="338" ht="17" customHeight="1">
      <c r="A338" s="7" t="s">
        <v>1436</v>
      </c>
      <c r="B338" s="7"/>
      <c r="C338" s="7"/>
      <c r="D338" s="7" t="s">
        <v>421</v>
      </c>
      <c r="E338" s="5" t="str">
        <f t="shared" si="52"/>
        <v>Kaskan</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5" t="str">
        <f t="shared" si="53"/>
        <v>2005</v>
      </c>
      <c r="H338" s="5" t="str">
        <f t="shared" si="54"/>
        <v>Kaskan_etal_2005</v>
      </c>
      <c r="I338" s="5" t="str">
        <f t="shared" si="51"/>
        <v>10.1098%2Frspb.2004.2925</v>
      </c>
      <c r="J338" s="5" t="str">
        <f t="shared" si="55"/>
        <v>Kaskan_etal_2005_Figure3</v>
      </c>
      <c r="K338" s="5" t="str">
        <f t="shared" si="56"/>
        <v>10.1098%2Frspb.2004.2925_Figure3</v>
      </c>
      <c r="L338" s="5" t="str">
        <f t="array" ref="L338">IFERROR(INDEX(AUTO_Public_TSV_FileList!$A$1:$A$1000,MATCH(TRUE(),EXACT(K338,IFERROR(_xlfn.TEXTBEFORE(AUTO_Public_TSV_FileList!$A$1:$A$1000,".tsv"),"")),0)),"notfound")</f>
        <v>notfound</v>
      </c>
      <c r="M338" s="7" t="s">
        <v>1438</v>
      </c>
      <c r="N338" s="7"/>
      <c r="O338" s="7"/>
      <c r="P338" s="7"/>
      <c r="Q338" s="7"/>
      <c r="R338" s="7"/>
      <c r="S338" s="7"/>
      <c r="T338" s="7"/>
      <c r="U338" s="7"/>
      <c r="V338" s="7"/>
      <c r="W338" s="7"/>
      <c r="X338" s="7"/>
      <c r="Y338" s="7"/>
      <c r="Z338" s="7"/>
      <c r="AA338" s="7"/>
      <c r="AB338" s="7"/>
      <c r="AC338" s="7"/>
      <c r="AD338" s="7"/>
      <c r="AE338" s="7"/>
      <c r="AF338" s="7"/>
      <c r="AG338" s="7"/>
    </row>
    <row r="339" ht="17" customHeight="1">
      <c r="A339" s="7" t="s">
        <v>1436</v>
      </c>
      <c r="B339" s="7"/>
      <c r="C339" s="7"/>
      <c r="D339" s="7" t="s">
        <v>1262</v>
      </c>
      <c r="E339" s="5" t="str">
        <f t="shared" si="52"/>
        <v>Kaskan</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5" t="str">
        <f t="shared" si="53"/>
        <v>2005</v>
      </c>
      <c r="H339" s="5" t="str">
        <f t="shared" si="54"/>
        <v>Kaskan_etal_2005</v>
      </c>
      <c r="I339" s="5" t="str">
        <f t="shared" si="51"/>
        <v>10.1098%2Frspb.2004.2925</v>
      </c>
      <c r="J339" s="5" t="str">
        <f t="shared" si="55"/>
        <v>Kaskan_etal_2005_References</v>
      </c>
      <c r="K339" s="5" t="str">
        <f t="shared" si="56"/>
        <v>10.1098%2Frspb.2004.2925_References</v>
      </c>
      <c r="L339" s="5" t="str">
        <f t="array" ref="L339">IFERROR(INDEX(AUTO_Public_TSV_FileList!$A$1:$A$1000,MATCH(TRUE(),EXACT(K339,IFERROR(_xlfn.TEXTBEFORE(AUTO_Public_TSV_FileList!$A$1:$A$1000,".tsv"),"")),0)),"notfound")</f>
        <v>notfound</v>
      </c>
      <c r="M339" s="7"/>
      <c r="N339" s="7"/>
      <c r="O339" s="7"/>
      <c r="P339" s="7"/>
      <c r="Q339" s="7"/>
      <c r="R339" s="7"/>
      <c r="S339" s="7"/>
      <c r="T339" s="7"/>
      <c r="U339" s="7"/>
      <c r="V339" s="7"/>
      <c r="W339" s="7"/>
      <c r="X339" s="7"/>
      <c r="Y339" s="7"/>
      <c r="Z339" s="7"/>
      <c r="AA339" s="7"/>
      <c r="AB339" s="7"/>
      <c r="AC339" s="7"/>
      <c r="AD339" s="7"/>
      <c r="AE339" s="7"/>
      <c r="AF339" s="7"/>
      <c r="AG339" s="7"/>
    </row>
    <row r="340" ht="17" customHeight="1">
      <c r="A340" s="7" t="s">
        <v>1436</v>
      </c>
      <c r="B340" s="7"/>
      <c r="C340" s="7"/>
      <c r="D340" s="7" t="s">
        <v>286</v>
      </c>
      <c r="E340" s="5" t="str">
        <f t="shared" si="52"/>
        <v>Kaskan</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5" t="str">
        <f t="shared" si="53"/>
        <v>2005</v>
      </c>
      <c r="H340" s="5" t="str">
        <f t="shared" si="54"/>
        <v>Kaskan_etal_2005</v>
      </c>
      <c r="I340" s="5" t="str">
        <f t="shared" si="51"/>
        <v>10.1098%2Frspb.2004.2925</v>
      </c>
      <c r="J340" s="5" t="str">
        <f t="shared" si="55"/>
        <v>Kaskan_etal_2005_TableS1</v>
      </c>
      <c r="K340" s="5" t="str">
        <f t="shared" si="56"/>
        <v>10.1098%2Frspb.2004.2925_TableS1</v>
      </c>
      <c r="L340" s="5" t="str">
        <f t="array" ref="L340">IFERROR(INDEX(AUTO_Public_TSV_FileList!$A$1:$A$1000,MATCH(TRUE(),EXACT(K340,IFERROR(_xlfn.TEXTBEFORE(AUTO_Public_TSV_FileList!$A$1:$A$1000,".tsv"),"")),0)),"notfound")</f>
        <v>10.1098%2Frspb.2004.2925_TableS1.tsv</v>
      </c>
      <c r="M340" s="7" t="s">
        <v>1439</v>
      </c>
      <c r="N340" s="7"/>
      <c r="O340" s="7"/>
      <c r="P340" s="7"/>
      <c r="Q340" s="7"/>
      <c r="R340" s="7"/>
      <c r="S340" s="7"/>
      <c r="T340" s="7"/>
      <c r="U340" s="7"/>
      <c r="V340" s="7"/>
      <c r="W340" s="7"/>
      <c r="X340" s="7"/>
      <c r="Y340" s="7"/>
      <c r="Z340" s="7"/>
      <c r="AA340" s="7"/>
      <c r="AB340" s="7"/>
      <c r="AC340" s="7"/>
      <c r="AD340" s="7"/>
      <c r="AE340" s="7"/>
      <c r="AF340" s="7"/>
      <c r="AG340" s="7"/>
    </row>
    <row r="341" ht="17" customHeight="1">
      <c r="A341" s="7" t="s">
        <v>1436</v>
      </c>
      <c r="B341" s="7"/>
      <c r="C341" s="7"/>
      <c r="D341" s="7" t="s">
        <v>712</v>
      </c>
      <c r="E341" s="5" t="str">
        <f t="shared" si="52"/>
        <v>Kaskan</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5" t="str">
        <f t="shared" si="53"/>
        <v>2005</v>
      </c>
      <c r="H341" s="5" t="str">
        <f t="shared" si="54"/>
        <v>Kaskan_etal_2005</v>
      </c>
      <c r="I341" s="5" t="str">
        <f t="shared" si="51"/>
        <v>10.1098%2Frspb.2004.2925</v>
      </c>
      <c r="J341" s="5" t="str">
        <f t="shared" si="55"/>
        <v>Kaskan_etal_2005_TableS2</v>
      </c>
      <c r="K341" s="5" t="str">
        <f t="shared" si="56"/>
        <v>10.1098%2Frspb.2004.2925_TableS2</v>
      </c>
      <c r="L341" s="5" t="str">
        <f t="array" ref="L341">IFERROR(INDEX(AUTO_Public_TSV_FileList!$A$1:$A$1000,MATCH(TRUE(),EXACT(K341,IFERROR(_xlfn.TEXTBEFORE(AUTO_Public_TSV_FileList!$A$1:$A$1000,".tsv"),"")),0)),"notfound")</f>
        <v>notfound</v>
      </c>
      <c r="M341" s="7" t="s">
        <v>1440</v>
      </c>
      <c r="N341" s="7"/>
      <c r="O341" s="7"/>
      <c r="P341" s="7"/>
      <c r="Q341" s="7"/>
      <c r="R341" s="7"/>
      <c r="S341" s="7"/>
      <c r="T341" s="7"/>
      <c r="U341" s="7"/>
      <c r="V341" s="7"/>
      <c r="W341" s="7"/>
      <c r="X341" s="7"/>
      <c r="Y341" s="7"/>
      <c r="Z341" s="7"/>
      <c r="AA341" s="7"/>
      <c r="AB341" s="7"/>
      <c r="AC341" s="7"/>
      <c r="AD341" s="7"/>
      <c r="AE341" s="7"/>
      <c r="AF341" s="7"/>
      <c r="AG341" s="7"/>
    </row>
    <row r="342" ht="17" customHeight="1">
      <c r="A342" s="9" t="s">
        <v>1441</v>
      </c>
      <c r="B342" s="9"/>
      <c r="C342" s="9"/>
      <c r="D342" s="9" t="s">
        <v>1442</v>
      </c>
      <c r="E342" s="3" t="str">
        <f t="shared" si="52"/>
        <v>Kastak</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2" s="5" t="str">
        <f t="shared" si="53"/>
        <v>1998</v>
      </c>
      <c r="H342" s="3" t="str">
        <f t="shared" si="54"/>
        <v>Kastak_Schusterman_1998</v>
      </c>
      <c r="I342" s="3" t="str">
        <f>_xlfn.LET(_xlpm.doi,IF(C342&lt;&gt;"",C342,_xlfn.TEXTAFTER(A342,"https://doi.org/")),SUBSTITUTE(SUBSTITUTE(SUBSTITUTE(SUBSTITUTE(_xlpm.doi,"/","%2F"),":","%3A"),"&lt;","%3C"),"&gt;","%3E"))</f>
        <v>10.1121%2F1.421367</v>
      </c>
      <c r="J342" s="3" t="str">
        <f t="shared" si="55"/>
        <v>Kastak_Schusterman_1998_TablesI-II</v>
      </c>
      <c r="K342" s="5" t="str">
        <f t="shared" si="56"/>
        <v>10.1121%2F1.421367_TablesI-II</v>
      </c>
      <c r="L342" s="5" t="str">
        <f t="array" ref="L342">IFERROR(INDEX(AUTO_Public_TSV_FileList!$A$1:$A$1000,MATCH(TRUE(),EXACT(K342,IFERROR(_xlfn.TEXTBEFORE(AUTO_Public_TSV_FileList!$A$1:$A$1000,".tsv"),"")),0)),"notfound")</f>
        <v>10.1121%2F1.421367_TablesI-II.tsv</v>
      </c>
      <c r="M342" s="9" t="s">
        <v>1443</v>
      </c>
      <c r="N342" s="9" t="s">
        <v>70</v>
      </c>
      <c r="O342" s="9" t="s">
        <v>1284</v>
      </c>
      <c r="P342" s="9" t="s">
        <v>72</v>
      </c>
      <c r="Q342" s="9"/>
      <c r="R342" s="9"/>
      <c r="S342" s="9"/>
      <c r="T342" s="9"/>
      <c r="U342" s="9"/>
      <c r="V342" s="9"/>
      <c r="W342" s="9"/>
      <c r="X342" s="9"/>
      <c r="Y342" s="9"/>
      <c r="Z342" s="9"/>
      <c r="AA342" s="9"/>
      <c r="AB342" s="9"/>
      <c r="AC342" s="9"/>
      <c r="AD342" s="9"/>
      <c r="AE342" s="9"/>
      <c r="AF342" s="9"/>
      <c r="AG342" s="9"/>
    </row>
    <row r="343" ht="17" customHeight="1">
      <c r="A343" s="9" t="s">
        <v>1444</v>
      </c>
      <c r="B343" s="9"/>
      <c r="C343" s="9"/>
      <c r="D343" s="9" t="s">
        <v>453</v>
      </c>
      <c r="E343" s="3" t="str">
        <f t="shared" si="52"/>
        <v>Kastak</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5" t="str">
        <f t="shared" si="53"/>
        <v>1999</v>
      </c>
      <c r="H343" s="3" t="str">
        <f t="shared" si="54"/>
        <v>Kastak_Schusterman_1999</v>
      </c>
      <c r="I343" s="3" t="str">
        <f>_xlfn.LET(_xlpm.doi,IF(C343&lt;&gt;"",C343,_xlfn.TEXTAFTER(A343,"https://doi.org/")),SUBSTITUTE(SUBSTITUTE(SUBSTITUTE(SUBSTITUTE(_xlpm.doi,"/","%2F"),":","%3A"),"&lt;","%3C"),"&gt;","%3E"))</f>
        <v>10.1139%2Fz99-151</v>
      </c>
      <c r="J343" s="3" t="str">
        <f t="shared" si="55"/>
        <v>Kastak_Schusterman_1999_ResultsText</v>
      </c>
      <c r="K343" s="5" t="str">
        <f t="shared" si="56"/>
        <v>10.1139%2Fz99-151_ResultsText</v>
      </c>
      <c r="L343" s="5" t="str">
        <f t="array" ref="L343">IFERROR(INDEX(AUTO_Public_TSV_FileList!$A$1:$A$1000,MATCH(TRUE(),EXACT(K343,IFERROR(_xlfn.TEXTBEFORE(AUTO_Public_TSV_FileList!$A$1:$A$1000,".tsv"),"")),0)),"notfound")</f>
        <v>10.1139%2Fz99-151_ResultsText.tsv</v>
      </c>
      <c r="M343" s="9" t="s">
        <v>1445</v>
      </c>
      <c r="N343" s="9" t="s">
        <v>455</v>
      </c>
      <c r="O343" s="9" t="s">
        <v>1284</v>
      </c>
      <c r="P343" s="9" t="s">
        <v>72</v>
      </c>
      <c r="Q343" s="9"/>
      <c r="R343" s="9"/>
      <c r="S343" s="9"/>
      <c r="T343" s="9"/>
      <c r="U343" s="9"/>
      <c r="V343" s="9"/>
      <c r="W343" s="9"/>
      <c r="X343" s="9"/>
      <c r="Y343" s="9"/>
      <c r="Z343" s="9"/>
      <c r="AA343" s="9"/>
      <c r="AB343" s="9"/>
      <c r="AC343" s="9"/>
      <c r="AD343" s="9"/>
      <c r="AE343" s="9"/>
      <c r="AF343" s="9"/>
      <c r="AG343" s="9"/>
    </row>
    <row r="344" ht="17" customHeight="1">
      <c r="A344" s="9" t="s">
        <v>1446</v>
      </c>
      <c r="B344" s="9" t="s">
        <v>360</v>
      </c>
      <c r="C344" s="9"/>
      <c r="D344" s="9" t="s">
        <v>305</v>
      </c>
      <c r="E344" s="3" t="str">
        <f t="shared" si="52"/>
        <v>Kastelein</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4" s="5" t="str">
        <f t="shared" si="53"/>
        <v>2010</v>
      </c>
      <c r="H344" s="3" t="str">
        <f t="shared" si="54"/>
        <v>Kastelein_etal_2010_b</v>
      </c>
      <c r="I344" s="3" t="str">
        <f>_xlfn.LET(_xlpm.doi,IF(C344&lt;&gt;"",C344,_xlfn.TEXTAFTER(A344,"https://doi.org/")),SUBSTITUTE(SUBSTITUTE(SUBSTITUTE(SUBSTITUTE(_xlpm.doi,"/","%2F"),":","%3A"),"&lt;","%3C"),"&gt;","%3E"))</f>
        <v>10.1121%2F1.3493435</v>
      </c>
      <c r="J344" s="3" t="str">
        <f t="shared" si="55"/>
        <v>Kastelein_etal_2010_b_TableI</v>
      </c>
      <c r="K344" s="5" t="str">
        <f t="shared" si="56"/>
        <v>10.1121%2F1.3493435_TableI</v>
      </c>
      <c r="L344" s="5" t="str">
        <f t="array" ref="L344">IFERROR(INDEX(AUTO_Public_TSV_FileList!$A$1:$A$1000,MATCH(TRUE(),EXACT(K344,IFERROR(_xlfn.TEXTBEFORE(AUTO_Public_TSV_FileList!$A$1:$A$1000,".tsv"),"")),0)),"notfound")</f>
        <v>10.1121%2F1.3493435_TableI.tsv</v>
      </c>
      <c r="M344" s="9" t="s">
        <v>1447</v>
      </c>
      <c r="N344" s="9" t="s">
        <v>70</v>
      </c>
      <c r="O344" s="9" t="s">
        <v>1284</v>
      </c>
      <c r="P344" s="9" t="s">
        <v>72</v>
      </c>
      <c r="Q344" s="9"/>
      <c r="R344" s="9"/>
      <c r="S344" s="9"/>
      <c r="T344" s="9"/>
      <c r="U344" s="9"/>
      <c r="V344" s="9"/>
      <c r="W344" s="9"/>
      <c r="X344" s="9"/>
      <c r="Y344" s="9"/>
      <c r="Z344" s="9"/>
      <c r="AA344" s="9"/>
      <c r="AB344" s="9"/>
      <c r="AC344" s="9"/>
      <c r="AD344" s="9"/>
      <c r="AE344" s="9"/>
      <c r="AF344" s="9"/>
      <c r="AG344" s="9"/>
    </row>
    <row r="345" ht="17" customHeight="1">
      <c r="A345" s="1" t="s">
        <v>1448</v>
      </c>
      <c r="B345" s="7"/>
      <c r="C345" s="1" t="s">
        <v>1449</v>
      </c>
      <c r="D345" s="1" t="s">
        <v>1450</v>
      </c>
      <c r="E345" s="5" t="str">
        <f t="shared" si="52"/>
        <v>Kaufman</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5" t="str">
        <f t="shared" si="53"/>
        <v>2004</v>
      </c>
      <c r="H345" s="5" t="str">
        <f t="shared" si="54"/>
        <v>Kaufman__2004</v>
      </c>
      <c r="I345" s="5" t="str">
        <f t="shared" ref="I345:I362" si="57">_xlfn.LET(
_xlpm.doi,IF(C345&lt;&gt;"",C345,_xlfn.TEXTAFTER(A345,"https://doi.org/")),
SUBSTITUTE(
SUBSTITUTE(
SUBSTITUTE(
SUBSTITUTE(
_xlpm.doi,
"/","%2F"),
":","%3A"),
"&lt;","%3C"),
"&gt;","%3E")
)</f>
        <v>UMI%3A3147447</v>
      </c>
      <c r="J345" s="5" t="str">
        <f t="shared" si="55"/>
        <v>Kaufman__2004_TableA1</v>
      </c>
      <c r="K345" s="5" t="str">
        <f t="shared" si="56"/>
        <v>UMI%3A3147447_TableA1</v>
      </c>
      <c r="L345" s="5" t="str">
        <f t="array" ref="L345">IFERROR(INDEX(AUTO_Public_TSV_FileList!$A$1:$A$1000,MATCH(TRUE(),EXACT(K345,IFERROR(_xlfn.TEXTBEFORE(AUTO_Public_TSV_FileList!$A$1:$A$1000,".tsv"),"")),0)),"notfound")</f>
        <v>UMI%3A3147447_TableA1.tsv</v>
      </c>
      <c r="M345" s="1" t="s">
        <v>1451</v>
      </c>
      <c r="N345" s="1" t="s">
        <v>35</v>
      </c>
      <c r="O345" s="7"/>
      <c r="P345" s="1" t="s">
        <v>36</v>
      </c>
      <c r="Q345" s="1"/>
      <c r="R345" s="7"/>
      <c r="S345" s="7"/>
      <c r="T345" s="7"/>
      <c r="U345" s="7"/>
      <c r="V345" s="7"/>
      <c r="W345" s="1" t="s">
        <v>174</v>
      </c>
      <c r="X345" s="1" t="s">
        <v>1452</v>
      </c>
      <c r="Y345" s="7"/>
      <c r="Z345" s="7"/>
      <c r="AA345" s="7"/>
      <c r="AB345" s="1" t="s">
        <v>1453</v>
      </c>
      <c r="AC345" s="7"/>
      <c r="AD345" s="7"/>
      <c r="AE345" s="1" t="s">
        <v>215</v>
      </c>
      <c r="AF345" s="1"/>
      <c r="AG345" s="7"/>
    </row>
    <row r="346" ht="17" customHeight="1">
      <c r="A346" s="1" t="s">
        <v>1448</v>
      </c>
      <c r="B346" s="7"/>
      <c r="C346" s="1" t="s">
        <v>1449</v>
      </c>
      <c r="D346" s="1" t="s">
        <v>1454</v>
      </c>
      <c r="E346" s="5" t="str">
        <f t="shared" si="52"/>
        <v>Kaufman</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5" t="str">
        <f t="shared" si="53"/>
        <v>2004</v>
      </c>
      <c r="H346" s="5" t="str">
        <f t="shared" si="54"/>
        <v>Kaufman__2004</v>
      </c>
      <c r="I346" s="5" t="str">
        <f t="shared" si="57"/>
        <v>UMI%3A3147447</v>
      </c>
      <c r="J346" s="5" t="str">
        <f t="shared" si="55"/>
        <v>Kaufman__2004_TableA10</v>
      </c>
      <c r="K346" s="5" t="str">
        <f t="shared" si="56"/>
        <v>UMI%3A3147447_TableA10</v>
      </c>
      <c r="L346" s="5" t="str">
        <f t="array" ref="L346">IFERROR(INDEX(AUTO_Public_TSV_FileList!$A$1:$A$1000,MATCH(TRUE(),EXACT(K346,IFERROR(_xlfn.TEXTBEFORE(AUTO_Public_TSV_FileList!$A$1:$A$1000,".tsv"),"")),0)),"notfound")</f>
        <v>UMI%3A3147447_TableA10.tsv</v>
      </c>
      <c r="M346" s="1" t="s">
        <v>1455</v>
      </c>
      <c r="N346" s="1" t="s">
        <v>35</v>
      </c>
      <c r="O346" s="7"/>
      <c r="P346" s="1" t="s">
        <v>36</v>
      </c>
      <c r="Q346" s="1"/>
      <c r="R346" s="7"/>
      <c r="S346" s="7"/>
      <c r="T346" s="7"/>
      <c r="U346" s="7"/>
      <c r="V346" s="7"/>
      <c r="W346" s="1" t="s">
        <v>174</v>
      </c>
      <c r="X346" s="1" t="s">
        <v>1452</v>
      </c>
      <c r="Y346" s="7"/>
      <c r="Z346" s="7"/>
      <c r="AA346" s="7"/>
      <c r="AB346" s="1" t="s">
        <v>1453</v>
      </c>
      <c r="AC346" s="7"/>
      <c r="AD346" s="7"/>
      <c r="AE346" s="1" t="s">
        <v>215</v>
      </c>
      <c r="AF346" s="1"/>
      <c r="AG346" s="7"/>
    </row>
    <row r="347" ht="17" customHeight="1">
      <c r="A347" s="1" t="s">
        <v>1448</v>
      </c>
      <c r="B347" s="7"/>
      <c r="C347" s="1" t="s">
        <v>1449</v>
      </c>
      <c r="D347" s="1" t="s">
        <v>1456</v>
      </c>
      <c r="E347" s="5" t="str">
        <f t="shared" si="52"/>
        <v>Kaufman</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5" t="str">
        <f t="shared" si="53"/>
        <v>2004</v>
      </c>
      <c r="H347" s="5" t="str">
        <f t="shared" si="54"/>
        <v>Kaufman__2004</v>
      </c>
      <c r="I347" s="5" t="str">
        <f t="shared" si="57"/>
        <v>UMI%3A3147447</v>
      </c>
      <c r="J347" s="5" t="str">
        <f t="shared" si="55"/>
        <v>Kaufman__2004_TableA11</v>
      </c>
      <c r="K347" s="5" t="str">
        <f t="shared" si="56"/>
        <v>UMI%3A3147447_TableA11</v>
      </c>
      <c r="L347" s="5" t="str">
        <f t="array" ref="L347">IFERROR(INDEX(AUTO_Public_TSV_FileList!$A$1:$A$1000,MATCH(TRUE(),EXACT(K347,IFERROR(_xlfn.TEXTBEFORE(AUTO_Public_TSV_FileList!$A$1:$A$1000,".tsv"),"")),0)),"notfound")</f>
        <v>UMI%3A3147447_TableA11.tsv</v>
      </c>
      <c r="M347" s="1" t="s">
        <v>1457</v>
      </c>
      <c r="N347" s="1" t="s">
        <v>35</v>
      </c>
      <c r="O347" s="7"/>
      <c r="P347" s="1" t="s">
        <v>36</v>
      </c>
      <c r="Q347" s="1"/>
      <c r="R347" s="7"/>
      <c r="S347" s="7"/>
      <c r="T347" s="7"/>
      <c r="U347" s="7"/>
      <c r="V347" s="7"/>
      <c r="W347" s="1" t="s">
        <v>174</v>
      </c>
      <c r="X347" s="1" t="s">
        <v>1452</v>
      </c>
      <c r="Y347" s="7"/>
      <c r="Z347" s="7"/>
      <c r="AA347" s="7"/>
      <c r="AB347" s="1" t="s">
        <v>1453</v>
      </c>
      <c r="AC347" s="7"/>
      <c r="AD347" s="7"/>
      <c r="AE347" s="1" t="s">
        <v>215</v>
      </c>
      <c r="AF347" s="1"/>
      <c r="AG347" s="7"/>
    </row>
    <row r="348" ht="17" customHeight="1">
      <c r="A348" s="1" t="s">
        <v>1448</v>
      </c>
      <c r="B348" s="7"/>
      <c r="C348" s="1" t="s">
        <v>1449</v>
      </c>
      <c r="D348" s="1" t="s">
        <v>1458</v>
      </c>
      <c r="E348" s="5" t="str">
        <f t="shared" si="52"/>
        <v>Kaufman</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5" t="str">
        <f t="shared" si="53"/>
        <v>2004</v>
      </c>
      <c r="H348" s="5" t="str">
        <f t="shared" si="54"/>
        <v>Kaufman__2004</v>
      </c>
      <c r="I348" s="5" t="str">
        <f t="shared" si="57"/>
        <v>UMI%3A3147447</v>
      </c>
      <c r="J348" s="5" t="str">
        <f t="shared" si="55"/>
        <v>Kaufman__2004_TableA12</v>
      </c>
      <c r="K348" s="5" t="str">
        <f t="shared" si="56"/>
        <v>UMI%3A3147447_TableA12</v>
      </c>
      <c r="L348" s="5" t="str">
        <f t="array" ref="L348">IFERROR(INDEX(AUTO_Public_TSV_FileList!$A$1:$A$1000,MATCH(TRUE(),EXACT(K348,IFERROR(_xlfn.TEXTBEFORE(AUTO_Public_TSV_FileList!$A$1:$A$1000,".tsv"),"")),0)),"notfound")</f>
        <v>UMI%3A3147447_TableA12.tsv</v>
      </c>
      <c r="M348" s="1" t="s">
        <v>1459</v>
      </c>
      <c r="N348" s="1" t="s">
        <v>35</v>
      </c>
      <c r="O348" s="7"/>
      <c r="P348" s="1" t="s">
        <v>36</v>
      </c>
      <c r="Q348" s="1"/>
      <c r="R348" s="7"/>
      <c r="S348" s="7"/>
      <c r="T348" s="7"/>
      <c r="U348" s="7"/>
      <c r="V348" s="7"/>
      <c r="W348" s="1" t="s">
        <v>174</v>
      </c>
      <c r="X348" s="1" t="s">
        <v>1452</v>
      </c>
      <c r="Y348" s="7"/>
      <c r="Z348" s="7"/>
      <c r="AA348" s="7"/>
      <c r="AB348" s="1" t="s">
        <v>1453</v>
      </c>
      <c r="AC348" s="7"/>
      <c r="AD348" s="7"/>
      <c r="AE348" s="1" t="s">
        <v>215</v>
      </c>
      <c r="AF348" s="1"/>
      <c r="AG348" s="7"/>
    </row>
    <row r="349" ht="17" customHeight="1">
      <c r="A349" s="1" t="s">
        <v>1448</v>
      </c>
      <c r="B349" s="7"/>
      <c r="C349" s="1" t="s">
        <v>1449</v>
      </c>
      <c r="D349" s="1" t="s">
        <v>1460</v>
      </c>
      <c r="E349" s="5" t="str">
        <f t="shared" si="52"/>
        <v>Kaufman</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5" t="str">
        <f t="shared" si="53"/>
        <v>2004</v>
      </c>
      <c r="H349" s="5" t="str">
        <f t="shared" si="54"/>
        <v>Kaufman__2004</v>
      </c>
      <c r="I349" s="5" t="str">
        <f t="shared" si="57"/>
        <v>UMI%3A3147447</v>
      </c>
      <c r="J349" s="5" t="str">
        <f t="shared" si="55"/>
        <v>Kaufman__2004_TableA13</v>
      </c>
      <c r="K349" s="5" t="str">
        <f t="shared" si="56"/>
        <v>UMI%3A3147447_TableA13</v>
      </c>
      <c r="L349" s="5" t="str">
        <f t="array" ref="L349">IFERROR(INDEX(AUTO_Public_TSV_FileList!$A$1:$A$1000,MATCH(TRUE(),EXACT(K349,IFERROR(_xlfn.TEXTBEFORE(AUTO_Public_TSV_FileList!$A$1:$A$1000,".tsv"),"")),0)),"notfound")</f>
        <v>UMI%3A3147447_TableA13.tsv</v>
      </c>
      <c r="M349" s="1" t="s">
        <v>1461</v>
      </c>
      <c r="N349" s="1" t="s">
        <v>35</v>
      </c>
      <c r="O349" s="7"/>
      <c r="P349" s="1" t="s">
        <v>36</v>
      </c>
      <c r="Q349" s="1"/>
      <c r="R349" s="7"/>
      <c r="S349" s="7"/>
      <c r="T349" s="7"/>
      <c r="U349" s="7"/>
      <c r="V349" s="7"/>
      <c r="W349" s="1" t="s">
        <v>174</v>
      </c>
      <c r="X349" s="1" t="s">
        <v>1452</v>
      </c>
      <c r="Y349" s="7"/>
      <c r="Z349" s="7"/>
      <c r="AA349" s="7"/>
      <c r="AB349" s="1" t="s">
        <v>1453</v>
      </c>
      <c r="AC349" s="7"/>
      <c r="AD349" s="7"/>
      <c r="AE349" s="1" t="s">
        <v>215</v>
      </c>
      <c r="AF349" s="1"/>
      <c r="AG349" s="7"/>
    </row>
    <row r="350" ht="17" customHeight="1">
      <c r="A350" s="1" t="s">
        <v>1448</v>
      </c>
      <c r="B350" s="7"/>
      <c r="C350" s="1" t="s">
        <v>1449</v>
      </c>
      <c r="D350" s="1" t="s">
        <v>1462</v>
      </c>
      <c r="E350" s="5" t="str">
        <f t="shared" si="52"/>
        <v>Kaufman</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5" t="str">
        <f t="shared" si="53"/>
        <v>2004</v>
      </c>
      <c r="H350" s="5" t="str">
        <f t="shared" si="54"/>
        <v>Kaufman__2004</v>
      </c>
      <c r="I350" s="5" t="str">
        <f t="shared" si="57"/>
        <v>UMI%3A3147447</v>
      </c>
      <c r="J350" s="5" t="str">
        <f t="shared" si="55"/>
        <v>Kaufman__2004_TableA14</v>
      </c>
      <c r="K350" s="5" t="str">
        <f t="shared" si="56"/>
        <v>UMI%3A3147447_TableA14</v>
      </c>
      <c r="L350" s="5" t="str">
        <f t="array" ref="L350">IFERROR(INDEX(AUTO_Public_TSV_FileList!$A$1:$A$1000,MATCH(TRUE(),EXACT(K350,IFERROR(_xlfn.TEXTBEFORE(AUTO_Public_TSV_FileList!$A$1:$A$1000,".tsv"),"")),0)),"notfound")</f>
        <v>UMI%3A3147447_TableA14.tsv</v>
      </c>
      <c r="M350" s="1" t="s">
        <v>1463</v>
      </c>
      <c r="N350" s="1" t="s">
        <v>35</v>
      </c>
      <c r="O350" s="7"/>
      <c r="P350" s="1" t="s">
        <v>36</v>
      </c>
      <c r="Q350" s="1"/>
      <c r="R350" s="7"/>
      <c r="S350" s="7"/>
      <c r="T350" s="7"/>
      <c r="U350" s="7"/>
      <c r="V350" s="7"/>
      <c r="W350" s="1" t="s">
        <v>174</v>
      </c>
      <c r="X350" s="1" t="s">
        <v>1452</v>
      </c>
      <c r="Y350" s="7"/>
      <c r="Z350" s="7"/>
      <c r="AA350" s="7"/>
      <c r="AB350" s="1" t="s">
        <v>1453</v>
      </c>
      <c r="AC350" s="7"/>
      <c r="AD350" s="7"/>
      <c r="AE350" s="1" t="s">
        <v>215</v>
      </c>
      <c r="AF350" s="1"/>
      <c r="AG350" s="7"/>
    </row>
    <row r="351" ht="17" customHeight="1">
      <c r="A351" s="1" t="s">
        <v>1448</v>
      </c>
      <c r="B351" s="7"/>
      <c r="C351" s="1" t="s">
        <v>1449</v>
      </c>
      <c r="D351" s="1" t="s">
        <v>1464</v>
      </c>
      <c r="E351" s="5" t="str">
        <f t="shared" si="52"/>
        <v>Kaufman</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5" t="str">
        <f t="shared" si="53"/>
        <v>2004</v>
      </c>
      <c r="H351" s="5" t="str">
        <f t="shared" si="54"/>
        <v>Kaufman__2004</v>
      </c>
      <c r="I351" s="5" t="str">
        <f t="shared" si="57"/>
        <v>UMI%3A3147447</v>
      </c>
      <c r="J351" s="5" t="str">
        <f t="shared" si="55"/>
        <v>Kaufman__2004_TableA15</v>
      </c>
      <c r="K351" s="5" t="str">
        <f t="shared" si="56"/>
        <v>UMI%3A3147447_TableA15</v>
      </c>
      <c r="L351" s="5" t="str">
        <f t="array" ref="L351">IFERROR(INDEX(AUTO_Public_TSV_FileList!$A$1:$A$1000,MATCH(TRUE(),EXACT(K351,IFERROR(_xlfn.TEXTBEFORE(AUTO_Public_TSV_FileList!$A$1:$A$1000,".tsv"),"")),0)),"notfound")</f>
        <v>UMI%3A3147447_TableA15.tsv</v>
      </c>
      <c r="M351" s="1" t="s">
        <v>1465</v>
      </c>
      <c r="N351" s="1" t="s">
        <v>35</v>
      </c>
      <c r="O351" s="7"/>
      <c r="P351" s="1" t="s">
        <v>36</v>
      </c>
      <c r="Q351" s="1"/>
      <c r="R351" s="7"/>
      <c r="S351" s="7"/>
      <c r="T351" s="7"/>
      <c r="U351" s="7"/>
      <c r="V351" s="7"/>
      <c r="W351" s="1" t="s">
        <v>174</v>
      </c>
      <c r="X351" s="1" t="s">
        <v>1452</v>
      </c>
      <c r="Y351" s="7"/>
      <c r="Z351" s="7"/>
      <c r="AA351" s="7"/>
      <c r="AB351" s="1" t="s">
        <v>1453</v>
      </c>
      <c r="AC351" s="7"/>
      <c r="AD351" s="7"/>
      <c r="AE351" s="1" t="s">
        <v>215</v>
      </c>
      <c r="AF351" s="1"/>
      <c r="AG351" s="7"/>
    </row>
    <row r="352" ht="17" customHeight="1">
      <c r="A352" s="1" t="s">
        <v>1448</v>
      </c>
      <c r="B352" s="7"/>
      <c r="C352" s="1" t="s">
        <v>1449</v>
      </c>
      <c r="D352" s="1" t="s">
        <v>1466</v>
      </c>
      <c r="E352" s="5" t="str">
        <f t="shared" si="52"/>
        <v>Kaufman</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5" t="str">
        <f t="shared" si="53"/>
        <v>2004</v>
      </c>
      <c r="H352" s="5" t="str">
        <f t="shared" si="54"/>
        <v>Kaufman__2004</v>
      </c>
      <c r="I352" s="5" t="str">
        <f t="shared" si="57"/>
        <v>UMI%3A3147447</v>
      </c>
      <c r="J352" s="5" t="str">
        <f t="shared" si="55"/>
        <v>Kaufman__2004_TableA2</v>
      </c>
      <c r="K352" s="5" t="str">
        <f t="shared" si="56"/>
        <v>UMI%3A3147447_TableA2</v>
      </c>
      <c r="L352" s="5" t="str">
        <f t="array" ref="L352">IFERROR(INDEX(AUTO_Public_TSV_FileList!$A$1:$A$1000,MATCH(TRUE(),EXACT(K352,IFERROR(_xlfn.TEXTBEFORE(AUTO_Public_TSV_FileList!$A$1:$A$1000,".tsv"),"")),0)),"notfound")</f>
        <v>UMI%3A3147447_TableA2.tsv</v>
      </c>
      <c r="M352" s="1" t="s">
        <v>1467</v>
      </c>
      <c r="N352" s="1" t="s">
        <v>35</v>
      </c>
      <c r="O352" s="7"/>
      <c r="P352" s="1" t="s">
        <v>36</v>
      </c>
      <c r="Q352" s="1"/>
      <c r="R352" s="7"/>
      <c r="S352" s="7"/>
      <c r="T352" s="7"/>
      <c r="U352" s="7"/>
      <c r="V352" s="7"/>
      <c r="W352" s="1" t="s">
        <v>174</v>
      </c>
      <c r="X352" s="1" t="s">
        <v>1452</v>
      </c>
      <c r="Y352" s="7"/>
      <c r="Z352" s="7"/>
      <c r="AA352" s="7"/>
      <c r="AB352" s="1" t="s">
        <v>1453</v>
      </c>
      <c r="AC352" s="7"/>
      <c r="AD352" s="7"/>
      <c r="AE352" s="1" t="s">
        <v>215</v>
      </c>
      <c r="AF352" s="1"/>
      <c r="AG352" s="7"/>
    </row>
    <row r="353" ht="17" customHeight="1">
      <c r="A353" s="1" t="s">
        <v>1448</v>
      </c>
      <c r="B353" s="7"/>
      <c r="C353" s="1" t="s">
        <v>1449</v>
      </c>
      <c r="D353" s="1" t="s">
        <v>1468</v>
      </c>
      <c r="E353" s="5" t="str">
        <f t="shared" si="52"/>
        <v>Kaufman</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5" t="str">
        <f t="shared" si="53"/>
        <v>2004</v>
      </c>
      <c r="H353" s="5" t="str">
        <f t="shared" si="54"/>
        <v>Kaufman__2004</v>
      </c>
      <c r="I353" s="5" t="str">
        <f t="shared" si="57"/>
        <v>UMI%3A3147447</v>
      </c>
      <c r="J353" s="5" t="str">
        <f t="shared" si="55"/>
        <v>Kaufman__2004_TableA3</v>
      </c>
      <c r="K353" s="5" t="str">
        <f t="shared" si="56"/>
        <v>UMI%3A3147447_TableA3</v>
      </c>
      <c r="L353" s="5" t="str">
        <f t="array" ref="L353">IFERROR(INDEX(AUTO_Public_TSV_FileList!$A$1:$A$1000,MATCH(TRUE(),EXACT(K353,IFERROR(_xlfn.TEXTBEFORE(AUTO_Public_TSV_FileList!$A$1:$A$1000,".tsv"),"")),0)),"notfound")</f>
        <v>UMI%3A3147447_TableA3.tsv</v>
      </c>
      <c r="M353" s="1" t="s">
        <v>1469</v>
      </c>
      <c r="N353" s="1" t="s">
        <v>35</v>
      </c>
      <c r="O353" s="7"/>
      <c r="P353" s="1" t="s">
        <v>36</v>
      </c>
      <c r="Q353" s="1"/>
      <c r="R353" s="7"/>
      <c r="S353" s="7"/>
      <c r="T353" s="7"/>
      <c r="U353" s="7"/>
      <c r="V353" s="7"/>
      <c r="W353" s="1" t="s">
        <v>174</v>
      </c>
      <c r="X353" s="1" t="s">
        <v>1452</v>
      </c>
      <c r="Y353" s="7"/>
      <c r="Z353" s="7"/>
      <c r="AA353" s="7"/>
      <c r="AB353" s="1" t="s">
        <v>1453</v>
      </c>
      <c r="AC353" s="7"/>
      <c r="AD353" s="7"/>
      <c r="AE353" s="1" t="s">
        <v>215</v>
      </c>
      <c r="AF353" s="1"/>
      <c r="AG353" s="7"/>
    </row>
    <row r="354" ht="17" customHeight="1">
      <c r="A354" s="1" t="s">
        <v>1448</v>
      </c>
      <c r="B354" s="7"/>
      <c r="C354" s="1" t="s">
        <v>1449</v>
      </c>
      <c r="D354" s="1" t="s">
        <v>1470</v>
      </c>
      <c r="E354" s="5" t="str">
        <f t="shared" si="52"/>
        <v>Kaufman</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4" s="5" t="str">
        <f t="shared" si="53"/>
        <v>2004</v>
      </c>
      <c r="H354" s="5" t="str">
        <f t="shared" si="54"/>
        <v>Kaufman__2004</v>
      </c>
      <c r="I354" s="5" t="str">
        <f t="shared" si="57"/>
        <v>UMI%3A3147447</v>
      </c>
      <c r="J354" s="5" t="str">
        <f t="shared" si="55"/>
        <v>Kaufman__2004_TableA4</v>
      </c>
      <c r="K354" s="5" t="str">
        <f t="shared" si="56"/>
        <v>UMI%3A3147447_TableA4</v>
      </c>
      <c r="L354" s="5" t="str">
        <f t="array" ref="L354">IFERROR(INDEX(AUTO_Public_TSV_FileList!$A$1:$A$1000,MATCH(TRUE(),EXACT(K354,IFERROR(_xlfn.TEXTBEFORE(AUTO_Public_TSV_FileList!$A$1:$A$1000,".tsv"),"")),0)),"notfound")</f>
        <v>UMI%3A3147447_TableA4.tsv</v>
      </c>
      <c r="M354" s="1" t="s">
        <v>1471</v>
      </c>
      <c r="N354" s="1" t="s">
        <v>35</v>
      </c>
      <c r="O354" s="7"/>
      <c r="P354" s="1" t="s">
        <v>36</v>
      </c>
      <c r="Q354" s="1"/>
      <c r="R354" s="7"/>
      <c r="S354" s="7"/>
      <c r="T354" s="7"/>
      <c r="U354" s="7"/>
      <c r="V354" s="7"/>
      <c r="W354" s="1" t="s">
        <v>174</v>
      </c>
      <c r="X354" s="1" t="s">
        <v>1452</v>
      </c>
      <c r="Y354" s="7"/>
      <c r="Z354" s="7"/>
      <c r="AA354" s="7"/>
      <c r="AB354" s="1" t="s">
        <v>1453</v>
      </c>
      <c r="AC354" s="7"/>
      <c r="AD354" s="7"/>
      <c r="AE354" s="1" t="s">
        <v>215</v>
      </c>
      <c r="AF354" s="1"/>
      <c r="AG354" s="7"/>
    </row>
    <row r="355" ht="17" customHeight="1">
      <c r="A355" s="1" t="s">
        <v>1448</v>
      </c>
      <c r="B355" s="7"/>
      <c r="C355" s="1" t="s">
        <v>1449</v>
      </c>
      <c r="D355" s="1" t="s">
        <v>1472</v>
      </c>
      <c r="E355" s="5" t="str">
        <f t="shared" si="52"/>
        <v>Kaufman</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5" s="5" t="str">
        <f t="shared" si="53"/>
        <v>2004</v>
      </c>
      <c r="H355" s="5" t="str">
        <f t="shared" si="54"/>
        <v>Kaufman__2004</v>
      </c>
      <c r="I355" s="5" t="str">
        <f t="shared" si="57"/>
        <v>UMI%3A3147447</v>
      </c>
      <c r="J355" s="5" t="str">
        <f t="shared" si="55"/>
        <v>Kaufman__2004_TableA5</v>
      </c>
      <c r="K355" s="5" t="str">
        <f t="shared" si="56"/>
        <v>UMI%3A3147447_TableA5</v>
      </c>
      <c r="L355" s="5" t="str">
        <f t="array" ref="L355">IFERROR(INDEX(AUTO_Public_TSV_FileList!$A$1:$A$1000,MATCH(TRUE(),EXACT(K355,IFERROR(_xlfn.TEXTBEFORE(AUTO_Public_TSV_FileList!$A$1:$A$1000,".tsv"),"")),0)),"notfound")</f>
        <v>UMI%3A3147447_TableA5.tsv</v>
      </c>
      <c r="M355" s="1" t="s">
        <v>1473</v>
      </c>
      <c r="N355" s="1" t="s">
        <v>35</v>
      </c>
      <c r="O355" s="7"/>
      <c r="P355" s="1" t="s">
        <v>36</v>
      </c>
      <c r="Q355" s="1"/>
      <c r="R355" s="7"/>
      <c r="S355" s="7"/>
      <c r="T355" s="7"/>
      <c r="U355" s="7"/>
      <c r="V355" s="7"/>
      <c r="W355" s="1" t="s">
        <v>174</v>
      </c>
      <c r="X355" s="1" t="s">
        <v>1452</v>
      </c>
      <c r="Y355" s="7"/>
      <c r="Z355" s="7"/>
      <c r="AA355" s="7"/>
      <c r="AB355" s="1" t="s">
        <v>1453</v>
      </c>
      <c r="AC355" s="7"/>
      <c r="AD355" s="7"/>
      <c r="AE355" s="1" t="s">
        <v>215</v>
      </c>
      <c r="AF355" s="1"/>
      <c r="AG355" s="7"/>
    </row>
    <row r="356" ht="17" customHeight="1">
      <c r="A356" s="1" t="s">
        <v>1448</v>
      </c>
      <c r="B356" s="7"/>
      <c r="C356" s="1" t="s">
        <v>1449</v>
      </c>
      <c r="D356" s="1" t="s">
        <v>1474</v>
      </c>
      <c r="E356" s="5" t="str">
        <f t="shared" si="52"/>
        <v>Kaufman</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6" s="5" t="str">
        <f t="shared" si="53"/>
        <v>2004</v>
      </c>
      <c r="H356" s="5" t="str">
        <f t="shared" si="54"/>
        <v>Kaufman__2004</v>
      </c>
      <c r="I356" s="5" t="str">
        <f t="shared" si="57"/>
        <v>UMI%3A3147447</v>
      </c>
      <c r="J356" s="5" t="str">
        <f t="shared" si="55"/>
        <v>Kaufman__2004_TableA6</v>
      </c>
      <c r="K356" s="5" t="str">
        <f t="shared" si="56"/>
        <v>UMI%3A3147447_TableA6</v>
      </c>
      <c r="L356" s="5" t="str">
        <f t="array" ref="L356">IFERROR(INDEX(AUTO_Public_TSV_FileList!$A$1:$A$1000,MATCH(TRUE(),EXACT(K356,IFERROR(_xlfn.TEXTBEFORE(AUTO_Public_TSV_FileList!$A$1:$A$1000,".tsv"),"")),0)),"notfound")</f>
        <v>UMI%3A3147447_TableA6.tsv</v>
      </c>
      <c r="M356" s="1" t="s">
        <v>1475</v>
      </c>
      <c r="N356" s="1" t="s">
        <v>35</v>
      </c>
      <c r="O356" s="7"/>
      <c r="P356" s="1" t="s">
        <v>36</v>
      </c>
      <c r="Q356" s="1"/>
      <c r="R356" s="7"/>
      <c r="S356" s="7"/>
      <c r="T356" s="7"/>
      <c r="U356" s="7"/>
      <c r="V356" s="7"/>
      <c r="W356" s="1" t="s">
        <v>174</v>
      </c>
      <c r="X356" s="1" t="s">
        <v>1452</v>
      </c>
      <c r="Y356" s="7"/>
      <c r="Z356" s="7"/>
      <c r="AA356" s="7"/>
      <c r="AB356" s="1" t="s">
        <v>1453</v>
      </c>
      <c r="AC356" s="7"/>
      <c r="AD356" s="7"/>
      <c r="AE356" s="1" t="s">
        <v>215</v>
      </c>
      <c r="AF356" s="1"/>
      <c r="AG356" s="7"/>
    </row>
    <row r="357" ht="17" customHeight="1">
      <c r="A357" s="1" t="s">
        <v>1448</v>
      </c>
      <c r="B357" s="7"/>
      <c r="C357" s="1" t="s">
        <v>1449</v>
      </c>
      <c r="D357" s="1" t="s">
        <v>1476</v>
      </c>
      <c r="E357" s="5" t="str">
        <f t="shared" si="52"/>
        <v>Kaufman</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7" s="5" t="str">
        <f t="shared" si="53"/>
        <v>2004</v>
      </c>
      <c r="H357" s="5" t="str">
        <f t="shared" si="54"/>
        <v>Kaufman__2004</v>
      </c>
      <c r="I357" s="5" t="str">
        <f t="shared" si="57"/>
        <v>UMI%3A3147447</v>
      </c>
      <c r="J357" s="5" t="str">
        <f t="shared" si="55"/>
        <v>Kaufman__2004_TableA7</v>
      </c>
      <c r="K357" s="5" t="str">
        <f t="shared" si="56"/>
        <v>UMI%3A3147447_TableA7</v>
      </c>
      <c r="L357" s="5" t="str">
        <f t="array" ref="L357">IFERROR(INDEX(AUTO_Public_TSV_FileList!$A$1:$A$1000,MATCH(TRUE(),EXACT(K357,IFERROR(_xlfn.TEXTBEFORE(AUTO_Public_TSV_FileList!$A$1:$A$1000,".tsv"),"")),0)),"notfound")</f>
        <v>UMI%3A3147447_TableA7.tsv</v>
      </c>
      <c r="M357" s="1" t="s">
        <v>1477</v>
      </c>
      <c r="N357" s="1" t="s">
        <v>35</v>
      </c>
      <c r="O357" s="7"/>
      <c r="P357" s="1" t="s">
        <v>36</v>
      </c>
      <c r="Q357" s="1"/>
      <c r="R357" s="7"/>
      <c r="S357" s="7"/>
      <c r="T357" s="7"/>
      <c r="U357" s="7"/>
      <c r="V357" s="7"/>
      <c r="W357" s="1" t="s">
        <v>174</v>
      </c>
      <c r="X357" s="1" t="s">
        <v>1452</v>
      </c>
      <c r="Y357" s="7"/>
      <c r="Z357" s="7"/>
      <c r="AA357" s="7"/>
      <c r="AB357" s="1" t="s">
        <v>1453</v>
      </c>
      <c r="AC357" s="7"/>
      <c r="AD357" s="7"/>
      <c r="AE357" s="1" t="s">
        <v>215</v>
      </c>
      <c r="AF357" s="1"/>
      <c r="AG357" s="7"/>
    </row>
    <row r="358" ht="17" customHeight="1">
      <c r="A358" s="1" t="s">
        <v>1448</v>
      </c>
      <c r="B358" s="7"/>
      <c r="C358" s="1" t="s">
        <v>1449</v>
      </c>
      <c r="D358" s="1" t="s">
        <v>1478</v>
      </c>
      <c r="E358" s="5" t="str">
        <f t="shared" si="52"/>
        <v>Kaufman</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8" s="5" t="str">
        <f t="shared" si="53"/>
        <v>2004</v>
      </c>
      <c r="H358" s="5" t="str">
        <f t="shared" si="54"/>
        <v>Kaufman__2004</v>
      </c>
      <c r="I358" s="5" t="str">
        <f t="shared" si="57"/>
        <v>UMI%3A3147447</v>
      </c>
      <c r="J358" s="5" t="str">
        <f t="shared" si="55"/>
        <v>Kaufman__2004_TableA8</v>
      </c>
      <c r="K358" s="5" t="str">
        <f t="shared" si="56"/>
        <v>UMI%3A3147447_TableA8</v>
      </c>
      <c r="L358" s="5" t="str">
        <f t="array" ref="L358">IFERROR(INDEX(AUTO_Public_TSV_FileList!$A$1:$A$1000,MATCH(TRUE(),EXACT(K358,IFERROR(_xlfn.TEXTBEFORE(AUTO_Public_TSV_FileList!$A$1:$A$1000,".tsv"),"")),0)),"notfound")</f>
        <v>UMI%3A3147447_TableA8.tsv</v>
      </c>
      <c r="M358" s="1" t="s">
        <v>1479</v>
      </c>
      <c r="N358" s="1" t="s">
        <v>35</v>
      </c>
      <c r="O358" s="7"/>
      <c r="P358" s="1" t="s">
        <v>36</v>
      </c>
      <c r="Q358" s="1"/>
      <c r="R358" s="7"/>
      <c r="S358" s="7"/>
      <c r="T358" s="7"/>
      <c r="U358" s="7"/>
      <c r="V358" s="7"/>
      <c r="W358" s="1" t="s">
        <v>174</v>
      </c>
      <c r="X358" s="1" t="s">
        <v>1452</v>
      </c>
      <c r="Y358" s="7"/>
      <c r="Z358" s="7"/>
      <c r="AA358" s="7"/>
      <c r="AB358" s="1" t="s">
        <v>1453</v>
      </c>
      <c r="AC358" s="7"/>
      <c r="AD358" s="7"/>
      <c r="AE358" s="1" t="s">
        <v>215</v>
      </c>
      <c r="AF358" s="1"/>
      <c r="AG358" s="7"/>
    </row>
    <row r="359" ht="17" customHeight="1">
      <c r="A359" s="1" t="s">
        <v>1448</v>
      </c>
      <c r="B359" s="7"/>
      <c r="C359" s="1" t="s">
        <v>1449</v>
      </c>
      <c r="D359" s="1" t="s">
        <v>1480</v>
      </c>
      <c r="E359" s="5" t="str">
        <f t="shared" si="52"/>
        <v>Kaufman</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9" s="5" t="str">
        <f t="shared" si="53"/>
        <v>2004</v>
      </c>
      <c r="H359" s="5" t="str">
        <f t="shared" si="54"/>
        <v>Kaufman__2004</v>
      </c>
      <c r="I359" s="5" t="str">
        <f t="shared" si="57"/>
        <v>UMI%3A3147447</v>
      </c>
      <c r="J359" s="5" t="str">
        <f t="shared" si="55"/>
        <v>Kaufman__2004_TableA9</v>
      </c>
      <c r="K359" s="5" t="str">
        <f t="shared" si="56"/>
        <v>UMI%3A3147447_TableA9</v>
      </c>
      <c r="L359" s="5" t="str">
        <f t="array" ref="L359">IFERROR(INDEX(AUTO_Public_TSV_FileList!$A$1:$A$1000,MATCH(TRUE(),EXACT(K359,IFERROR(_xlfn.TEXTBEFORE(AUTO_Public_TSV_FileList!$A$1:$A$1000,".tsv"),"")),0)),"notfound")</f>
        <v>UMI%3A3147447_TableA9.tsv</v>
      </c>
      <c r="M359" s="1" t="s">
        <v>1481</v>
      </c>
      <c r="N359" s="1" t="s">
        <v>35</v>
      </c>
      <c r="O359" s="7"/>
      <c r="P359" s="1" t="s">
        <v>36</v>
      </c>
      <c r="Q359" s="1"/>
      <c r="R359" s="7"/>
      <c r="S359" s="7"/>
      <c r="T359" s="7"/>
      <c r="U359" s="7"/>
      <c r="V359" s="7"/>
      <c r="W359" s="1" t="s">
        <v>174</v>
      </c>
      <c r="X359" s="1" t="s">
        <v>1452</v>
      </c>
      <c r="Y359" s="7"/>
      <c r="Z359" s="7"/>
      <c r="AA359" s="7"/>
      <c r="AB359" s="1" t="s">
        <v>1453</v>
      </c>
      <c r="AC359" s="7"/>
      <c r="AD359" s="7"/>
      <c r="AE359" s="1" t="s">
        <v>215</v>
      </c>
      <c r="AF359" s="1"/>
      <c r="AG359" s="7"/>
    </row>
    <row r="360" ht="17" customHeight="1">
      <c r="A360" s="1" t="s">
        <v>1482</v>
      </c>
      <c r="B360" s="7"/>
      <c r="C360" s="1"/>
      <c r="D360" s="1" t="s">
        <v>1483</v>
      </c>
      <c r="E360" s="5" t="str">
        <f t="shared" si="52"/>
        <v>Kay</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5" t="str">
        <f t="shared" si="53"/>
        <v>2026</v>
      </c>
      <c r="H360" s="5" t="str">
        <f t="shared" si="54"/>
        <v>Kay_etal_2026</v>
      </c>
      <c r="I360" s="5" t="str">
        <f t="shared" si="57"/>
        <v>10.1126%2Fscience.aee3541</v>
      </c>
      <c r="J360" s="5" t="str">
        <f t="shared" si="55"/>
        <v>Kay_etal_2026_DataS1</v>
      </c>
      <c r="K360" s="5" t="str">
        <f t="shared" si="56"/>
        <v>10.1126%2Fscience.aee3541_DataS1</v>
      </c>
      <c r="L360" s="5" t="str">
        <f t="array" ref="L360">IFERROR(INDEX(AUTO_Public_TSV_FileList!$A$1:$A$1000,MATCH(TRUE(),EXACT(K360,IFERROR(_xlfn.TEXTBEFORE(AUTO_Public_TSV_FileList!$A$1:$A$1000,".tsv"),"")),0)),"notfound")</f>
        <v>notfound</v>
      </c>
      <c r="M360" s="1"/>
      <c r="N360" s="1"/>
      <c r="O360" s="7"/>
      <c r="P360" s="1"/>
      <c r="Q360" s="1"/>
      <c r="R360" s="7"/>
      <c r="S360" s="7"/>
      <c r="T360" s="7"/>
      <c r="U360" s="7"/>
      <c r="V360" s="7"/>
      <c r="W360" s="1"/>
      <c r="X360" s="1"/>
      <c r="Y360" s="7"/>
      <c r="Z360" s="7"/>
      <c r="AA360" s="7"/>
      <c r="AB360" s="1"/>
      <c r="AC360" s="7"/>
      <c r="AD360" s="7"/>
      <c r="AE360" s="1"/>
      <c r="AF360" s="1"/>
      <c r="AG360" s="7"/>
    </row>
    <row r="361" ht="17" customHeight="1">
      <c r="A361" s="1" t="s">
        <v>1484</v>
      </c>
      <c r="B361" s="7"/>
      <c r="C361" s="7"/>
      <c r="D361" s="1" t="s">
        <v>68</v>
      </c>
      <c r="E361" s="5" t="str">
        <f t="shared" si="52"/>
        <v>Kazu</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5" t="str">
        <f t="shared" si="53"/>
        <v>2014</v>
      </c>
      <c r="H361" s="5" t="str">
        <f t="shared" si="54"/>
        <v>Kazu_etal_2014</v>
      </c>
      <c r="I361" s="5" t="str">
        <f t="shared" si="57"/>
        <v>10.3389%2Ffnana.2014.00128</v>
      </c>
      <c r="J361" s="5" t="str">
        <f t="shared" si="55"/>
        <v>Kazu_etal_2014_Table1</v>
      </c>
      <c r="K361" s="5" t="str">
        <f t="shared" si="56"/>
        <v>10.3389%2Ffnana.2014.00128_Table1</v>
      </c>
      <c r="L361" s="5" t="str">
        <f t="array" ref="L361">IFERROR(INDEX(AUTO_Public_TSV_FileList!$A$1:$A$1000,MATCH(TRUE(),EXACT(K361,IFERROR(_xlfn.TEXTBEFORE(AUTO_Public_TSV_FileList!$A$1:$A$1000,".tsv"),"")),0)),"notfound")</f>
        <v>10.3389%2Ffnana.2014.00128_Table1.tsv</v>
      </c>
      <c r="M361" s="7"/>
      <c r="N361" s="1" t="s">
        <v>35</v>
      </c>
      <c r="O361" s="7"/>
      <c r="P361" s="1" t="s">
        <v>36</v>
      </c>
      <c r="Q361" s="1"/>
      <c r="R361" s="7"/>
      <c r="S361" s="7"/>
      <c r="T361" s="7"/>
      <c r="U361" s="7" t="s">
        <v>1485</v>
      </c>
      <c r="V361" s="7"/>
      <c r="W361" s="1" t="s">
        <v>1486</v>
      </c>
      <c r="X361" s="1" t="s">
        <v>1487</v>
      </c>
      <c r="Y361" s="7"/>
      <c r="Z361" s="7"/>
      <c r="AA361" s="1" t="s">
        <v>63</v>
      </c>
      <c r="AB361" s="1" t="s">
        <v>64</v>
      </c>
      <c r="AC361" s="1" t="s">
        <v>65</v>
      </c>
      <c r="AD361" s="7"/>
      <c r="AE361" s="1" t="s">
        <v>66</v>
      </c>
      <c r="AF361" s="1"/>
      <c r="AG361" s="1" t="s">
        <v>1488</v>
      </c>
    </row>
    <row r="362" ht="17" customHeight="1">
      <c r="A362" s="1" t="s">
        <v>1489</v>
      </c>
      <c r="B362" s="7"/>
      <c r="C362" s="7"/>
      <c r="D362" s="1" t="s">
        <v>58</v>
      </c>
      <c r="E362" s="5" t="str">
        <f t="shared" si="52"/>
        <v>Kazu</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5" t="str">
        <f t="shared" si="53"/>
        <v>2015</v>
      </c>
      <c r="H362" s="5" t="str">
        <f t="shared" si="54"/>
        <v>Kazu_etal_2015</v>
      </c>
      <c r="I362" s="5" t="str">
        <f t="shared" si="57"/>
        <v>10.3389%2Ffnana.2015.00039</v>
      </c>
      <c r="J362" s="5" t="str">
        <f t="shared" si="55"/>
        <v>Kazu_etal_2015_TABLE1</v>
      </c>
      <c r="K362" s="5" t="str">
        <f t="shared" si="56"/>
        <v>10.3389%2Ffnana.2015.00039_TABLE1</v>
      </c>
      <c r="L362" s="5" t="str">
        <f t="array" ref="L362">IFERROR(INDEX(AUTO_Public_TSV_FileList!$A$1:$A$1000,MATCH(TRUE(),EXACT(K362,IFERROR(_xlfn.TEXTBEFORE(AUTO_Public_TSV_FileList!$A$1:$A$1000,".tsv"),"")),0)),"notfound")</f>
        <v>10.3389%2Ffnana.2015.00039_TABLE1.tsv</v>
      </c>
      <c r="M362" s="1" t="s">
        <v>1490</v>
      </c>
      <c r="N362" s="7" t="s">
        <v>35</v>
      </c>
      <c r="O362" s="7"/>
      <c r="P362" s="7" t="s">
        <v>36</v>
      </c>
      <c r="Q362" s="7"/>
      <c r="R362" s="7"/>
      <c r="S362" s="7"/>
      <c r="T362" s="7"/>
      <c r="U362" s="7"/>
      <c r="V362" s="7"/>
      <c r="W362" s="7" t="s">
        <v>1486</v>
      </c>
      <c r="X362" s="7" t="s">
        <v>1491</v>
      </c>
      <c r="Y362" s="7"/>
      <c r="Z362" s="7"/>
      <c r="AA362" s="1" t="s">
        <v>63</v>
      </c>
      <c r="AB362" s="1" t="s">
        <v>64</v>
      </c>
      <c r="AC362" s="7" t="s">
        <v>65</v>
      </c>
      <c r="AD362" s="7"/>
      <c r="AE362" s="7" t="s">
        <v>66</v>
      </c>
      <c r="AF362" s="7"/>
      <c r="AG362" s="7" t="s">
        <v>1492</v>
      </c>
    </row>
    <row r="363" ht="17" customHeight="1">
      <c r="A363" s="9" t="s">
        <v>1493</v>
      </c>
      <c r="B363" s="9"/>
      <c r="C363" s="9"/>
      <c r="D363" s="9" t="s">
        <v>453</v>
      </c>
      <c r="E363" s="3" t="str">
        <f t="shared" si="52"/>
        <v>Kelly</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5" t="str">
        <f t="shared" si="53"/>
        <v>1986</v>
      </c>
      <c r="H363" s="3" t="str">
        <f t="shared" si="54"/>
        <v>Kelly_etal_1986</v>
      </c>
      <c r="I363" s="3" t="str">
        <f>_xlfn.LET(_xlpm.doi,IF(C363&lt;&gt;"",C363,_xlfn.TEXTAFTER(A363,"https://doi.org/")),SUBSTITUTE(SUBSTITUTE(SUBSTITUTE(SUBSTITUTE(_xlpm.doi,"/","%2F"),":","%3A"),"&lt;","%3C"),"&gt;","%3E"))</f>
        <v>10.1016%2F0378-5955(86)90025-0</v>
      </c>
      <c r="J363" s="3" t="str">
        <f t="shared" si="55"/>
        <v>Kelly_etal_1986_ResultsText</v>
      </c>
      <c r="K363" s="5" t="str">
        <f t="shared" si="56"/>
        <v>10.1016%2F0378-5955(86)90025-0_ResultsText</v>
      </c>
      <c r="L363" s="5" t="str">
        <f t="array" ref="L363">IFERROR(INDEX(AUTO_Public_TSV_FileList!$A$1:$A$1000,MATCH(TRUE(),EXACT(K363,IFERROR(_xlfn.TEXTBEFORE(AUTO_Public_TSV_FileList!$A$1:$A$1000,".tsv"),"")),0)),"notfound")</f>
        <v>10.1016%2F0378-5955(86)90025-0_ResultsText.tsv</v>
      </c>
      <c r="M363" s="9" t="s">
        <v>1494</v>
      </c>
      <c r="N363" s="9" t="s">
        <v>455</v>
      </c>
      <c r="O363" s="9" t="s">
        <v>1284</v>
      </c>
      <c r="P363" s="9" t="s">
        <v>72</v>
      </c>
      <c r="Q363" s="9"/>
      <c r="R363" s="9"/>
      <c r="S363" s="9"/>
      <c r="T363" s="9"/>
      <c r="U363" s="9"/>
      <c r="V363" s="9"/>
      <c r="W363" s="9"/>
      <c r="X363" s="9"/>
      <c r="Y363" s="9"/>
      <c r="Z363" s="9"/>
      <c r="AA363" s="9"/>
      <c r="AB363" s="9"/>
      <c r="AC363" s="9"/>
      <c r="AD363" s="9"/>
      <c r="AE363" s="9"/>
      <c r="AF363" s="9"/>
      <c r="AG363" s="9"/>
    </row>
    <row r="364" ht="17" customHeight="1">
      <c r="A364" s="7" t="s">
        <v>1495</v>
      </c>
      <c r="B364" s="7"/>
      <c r="C364" s="7"/>
      <c r="D364" s="7" t="s">
        <v>1496</v>
      </c>
      <c r="E364" s="3" t="str">
        <f t="shared" si="52"/>
        <v>Ketten</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4" s="5" t="str">
        <f t="shared" si="53"/>
        <v>2012</v>
      </c>
      <c r="H364" s="3" t="str">
        <f t="shared" si="54"/>
        <v>Ketten__2012</v>
      </c>
      <c r="I364" s="3" t="str">
        <f>_xlfn.LET(_xlpm.doi,IF(C364&lt;&gt;"",C364,_xlfn.TEXTAFTER(A364,"https://doi.org/")),SUBSTITUTE(SUBSTITUTE(SUBSTITUTE(SUBSTITUTE(_xlpm.doi,"/","%2F"),":","%3A"),"&lt;","%3C"),"&gt;","%3E"))</f>
        <v>10.1007%2F978-1-4419-7311-5_46</v>
      </c>
      <c r="J364" s="3" t="str">
        <f t="shared" si="55"/>
        <v>Ketten__2012_Text(TTSvalues)</v>
      </c>
      <c r="K364" s="5" t="str">
        <f t="shared" si="56"/>
        <v>10.1007%2F978-1-4419-7311-5_46_Text(TTSvalues)</v>
      </c>
      <c r="L364" s="5" t="str">
        <f t="array" ref="L364">IFERROR(INDEX(AUTO_Public_TSV_FileList!$A$1:$A$1000,MATCH(TRUE(),EXACT(K364,IFERROR(_xlfn.TEXTBEFORE(AUTO_Public_TSV_FileList!$A$1:$A$1000,".tsv"),"")),0)),"notfound")</f>
        <v>notfound</v>
      </c>
      <c r="M364" s="7" t="s">
        <v>1497</v>
      </c>
      <c r="N364" s="7" t="s">
        <v>455</v>
      </c>
      <c r="O364" s="7" t="s">
        <v>1498</v>
      </c>
      <c r="P364" s="7"/>
      <c r="Q364" s="7"/>
      <c r="R364" s="7" t="s">
        <v>1499</v>
      </c>
      <c r="S364" s="7"/>
      <c r="T364" s="7" t="s">
        <v>1500</v>
      </c>
      <c r="U364" s="7"/>
      <c r="V364" s="7" t="s">
        <v>1501</v>
      </c>
      <c r="W364" s="7" t="s">
        <v>1502</v>
      </c>
      <c r="X364" s="7" t="s">
        <v>1503</v>
      </c>
      <c r="Y364" s="7"/>
      <c r="Z364" s="7"/>
      <c r="AA364" s="7" t="s">
        <v>1504</v>
      </c>
      <c r="AB364" s="7" t="s">
        <v>1505</v>
      </c>
      <c r="AC364" s="7" t="s">
        <v>1506</v>
      </c>
      <c r="AD364" s="7"/>
      <c r="AE364" s="7" t="s">
        <v>215</v>
      </c>
      <c r="AF364" s="7" t="s">
        <v>1507</v>
      </c>
      <c r="AG364" s="7" t="s">
        <v>1508</v>
      </c>
    </row>
    <row r="365" ht="17" customHeight="1">
      <c r="A365" s="1" t="s">
        <v>1509</v>
      </c>
      <c r="B365" s="7"/>
      <c r="C365" s="7"/>
      <c r="D365" s="1" t="s">
        <v>68</v>
      </c>
      <c r="E365" s="5" t="str">
        <f t="shared" si="52"/>
        <v>Kirk</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5" s="5" t="str">
        <f t="shared" si="53"/>
        <v>2004</v>
      </c>
      <c r="H365" s="5" t="str">
        <f t="shared" si="54"/>
        <v>Kirk_Kay_2004</v>
      </c>
      <c r="I365" s="5" t="str">
        <f>_xlfn.LET(
_xlpm.doi,IF(C365&lt;&gt;"",C365,_xlfn.TEXTAFTER(A365,"https://doi.org/")),
SUBSTITUTE(
SUBSTITUTE(
SUBSTITUTE(
SUBSTITUTE(
_xlpm.doi,
"/","%2F"),
":","%3A"),
"&lt;","%3C"),
"&gt;","%3E")
)</f>
        <v>10.1007%2F978-1-4419-8873-7_20</v>
      </c>
      <c r="J365" s="5" t="str">
        <f t="shared" si="55"/>
        <v>Kirk_Kay_2004_Table1</v>
      </c>
      <c r="K365" s="5" t="str">
        <f t="shared" si="56"/>
        <v>10.1007%2F978-1-4419-8873-7_20_Table1</v>
      </c>
      <c r="L365" s="5" t="str">
        <f t="array" ref="L365">IFERROR(INDEX(AUTO_Public_TSV_FileList!$A$1:$A$1000,MATCH(TRUE(),EXACT(K365,IFERROR(_xlfn.TEXTBEFORE(AUTO_Public_TSV_FileList!$A$1:$A$1000,".tsv"),"")),0)),"notfound")</f>
        <v>10.1007%2F978-1-4419-8873-7_20_Table1.tsv</v>
      </c>
      <c r="M365" s="1" t="s">
        <v>1510</v>
      </c>
      <c r="N365" s="7"/>
      <c r="O365" s="7"/>
      <c r="P365" s="7"/>
      <c r="Q365" s="7"/>
      <c r="R365" s="7"/>
      <c r="S365" s="7"/>
      <c r="T365" s="7"/>
      <c r="U365" s="7"/>
      <c r="V365" s="7"/>
      <c r="W365" s="7"/>
      <c r="X365" s="7"/>
      <c r="Y365" s="7"/>
      <c r="Z365" s="7"/>
      <c r="AA365" s="7"/>
      <c r="AB365" s="7"/>
      <c r="AC365" s="7"/>
      <c r="AD365" s="7"/>
      <c r="AE365" s="7"/>
      <c r="AF365" s="7"/>
      <c r="AG365" s="7"/>
    </row>
    <row r="366" ht="17" customHeight="1">
      <c r="A366" s="1" t="s">
        <v>1509</v>
      </c>
      <c r="B366" s="7"/>
      <c r="C366" s="7"/>
      <c r="D366" s="1" t="s">
        <v>108</v>
      </c>
      <c r="E366" s="5" t="str">
        <f t="shared" si="52"/>
        <v>Kirk</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5" t="str">
        <f t="shared" si="53"/>
        <v>2004</v>
      </c>
      <c r="H366" s="5" t="str">
        <f t="shared" si="54"/>
        <v>Kirk_Kay_2004</v>
      </c>
      <c r="I366" s="5" t="str">
        <f>_xlfn.LET(
_xlpm.doi,IF(C366&lt;&gt;"",C366,_xlfn.TEXTAFTER(A366,"https://doi.org/")),
SUBSTITUTE(
SUBSTITUTE(
SUBSTITUTE(
SUBSTITUTE(
_xlpm.doi,
"/","%2F"),
":","%3A"),
"&lt;","%3C"),
"&gt;","%3E")
)</f>
        <v>10.1007%2F978-1-4419-8873-7_20</v>
      </c>
      <c r="J366" s="5" t="str">
        <f t="shared" si="55"/>
        <v>Kirk_Kay_2004_Table2</v>
      </c>
      <c r="K366" s="5" t="str">
        <f t="shared" si="56"/>
        <v>10.1007%2F978-1-4419-8873-7_20_Table2</v>
      </c>
      <c r="L366" s="5" t="str">
        <f t="array" ref="L366">IFERROR(INDEX(AUTO_Public_TSV_FileList!$A$1:$A$1000,MATCH(TRUE(),EXACT(K366,IFERROR(_xlfn.TEXTBEFORE(AUTO_Public_TSV_FileList!$A$1:$A$1000,".tsv"),"")),0)),"notfound")</f>
        <v>10.1007%2F978-1-4419-8873-7_20_Table2.tsv</v>
      </c>
      <c r="M366" s="1" t="s">
        <v>1511</v>
      </c>
      <c r="N366" s="7"/>
      <c r="O366" s="7"/>
      <c r="P366" s="7"/>
      <c r="Q366" s="7"/>
      <c r="R366" s="7"/>
      <c r="S366" s="7"/>
      <c r="T366" s="7"/>
      <c r="U366" s="7"/>
      <c r="V366" s="7"/>
      <c r="W366" s="7"/>
      <c r="X366" s="7"/>
      <c r="Y366" s="7"/>
      <c r="Z366" s="7"/>
      <c r="AA366" s="7"/>
      <c r="AB366" s="7"/>
      <c r="AC366" s="7"/>
      <c r="AD366" s="7"/>
      <c r="AE366" s="7"/>
      <c r="AF366" s="7"/>
      <c r="AG366" s="7"/>
    </row>
    <row r="367" ht="17" customHeight="1">
      <c r="A367" s="9" t="s">
        <v>1512</v>
      </c>
      <c r="B367" s="9"/>
      <c r="C367" s="9"/>
      <c r="D367" s="9" t="s">
        <v>421</v>
      </c>
      <c r="E367" s="3" t="str">
        <f t="shared" si="52"/>
        <v>Koay</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7" s="5" t="str">
        <f t="shared" si="53"/>
        <v>2002</v>
      </c>
      <c r="H367" s="3" t="str">
        <f t="shared" si="54"/>
        <v>Koay_etal_2002</v>
      </c>
      <c r="I367" s="3" t="str">
        <f>_xlfn.LET(_xlpm.doi,IF(C367&lt;&gt;"",C367,_xlfn.TEXTAFTER(A367,"https://doi.org/")),SUBSTITUTE(SUBSTITUTE(SUBSTITUTE(SUBSTITUTE(_xlpm.doi,"/","%2F"),":","%3A"),"&lt;","%3C"),"&gt;","%3E"))</f>
        <v>10.1016%2Fs0378-5955(02)00458-6</v>
      </c>
      <c r="J367" s="3" t="str">
        <f t="shared" si="55"/>
        <v>Koay_etal_2002_Figure3</v>
      </c>
      <c r="K367" s="5" t="str">
        <f t="shared" si="56"/>
        <v>10.1016%2Fs0378-5955(02)00458-6_Figure3</v>
      </c>
      <c r="L367" s="5" t="str">
        <f t="array" ref="L367">IFERROR(INDEX(AUTO_Public_TSV_FileList!$A$1:$A$1000,MATCH(TRUE(),EXACT(K367,IFERROR(_xlfn.TEXTBEFORE(AUTO_Public_TSV_FileList!$A$1:$A$1000,".tsv"),"")),0)),"notfound")</f>
        <v>notfound</v>
      </c>
      <c r="M367" s="9" t="s">
        <v>1513</v>
      </c>
      <c r="N367" s="9" t="s">
        <v>395</v>
      </c>
      <c r="O367" s="9" t="s">
        <v>928</v>
      </c>
      <c r="P367" s="9" t="s">
        <v>78</v>
      </c>
      <c r="Q367" s="9"/>
      <c r="R367" s="15" t="s">
        <v>1514</v>
      </c>
      <c r="S367" s="9"/>
      <c r="T367" s="9"/>
      <c r="U367" s="9"/>
      <c r="V367" s="9" t="s">
        <v>309</v>
      </c>
      <c r="W367" s="9" t="s">
        <v>1515</v>
      </c>
      <c r="X367" s="9" t="s">
        <v>1038</v>
      </c>
      <c r="Y367" s="9"/>
      <c r="Z367" s="9" t="s">
        <v>312</v>
      </c>
      <c r="AA367" s="9" t="s">
        <v>894</v>
      </c>
      <c r="AB367" s="9" t="s">
        <v>758</v>
      </c>
      <c r="AC367" s="9" t="s">
        <v>839</v>
      </c>
      <c r="AD367" s="9"/>
      <c r="AE367" s="9" t="s">
        <v>66</v>
      </c>
      <c r="AF367" s="9"/>
      <c r="AG367" s="9" t="s">
        <v>931</v>
      </c>
    </row>
    <row r="368" ht="17" customHeight="1">
      <c r="A368" s="9" t="s">
        <v>1512</v>
      </c>
      <c r="B368" s="9"/>
      <c r="C368" s="9"/>
      <c r="D368" s="9" t="s">
        <v>761</v>
      </c>
      <c r="E368" s="3" t="str">
        <f t="shared" si="52"/>
        <v>Koay</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5" t="str">
        <f t="shared" si="53"/>
        <v>2002</v>
      </c>
      <c r="H368" s="3" t="str">
        <f t="shared" si="54"/>
        <v>Koay_etal_2002</v>
      </c>
      <c r="I368" s="3" t="str">
        <f>_xlfn.LET(_xlpm.doi,IF(C368&lt;&gt;"",C368,_xlfn.TEXTAFTER(A368,"https://doi.org/")),SUBSTITUTE(SUBSTITUTE(SUBSTITUTE(SUBSTITUTE(_xlpm.doi,"/","%2F"),":","%3A"),"&lt;","%3C"),"&gt;","%3E"))</f>
        <v>10.1016%2Fs0378-5955(02)00458-6</v>
      </c>
      <c r="J368" s="3" t="str">
        <f t="shared" si="55"/>
        <v>Koay_etal_2002_Resultstext</v>
      </c>
      <c r="K368" s="5" t="str">
        <f t="shared" si="56"/>
        <v>10.1016%2Fs0378-5955(02)00458-6_Resultstext</v>
      </c>
      <c r="L368" s="5" t="str">
        <f t="array" ref="L368">IFERROR(INDEX(AUTO_Public_TSV_FileList!$A$1:$A$1000,MATCH(TRUE(),EXACT(K368,IFERROR(_xlfn.TEXTBEFORE(AUTO_Public_TSV_FileList!$A$1:$A$1000,".tsv"),"")),0)),"notfound")</f>
        <v>10.1016%2Fs0378-5955(02)00458-6_Resultstext.tsv</v>
      </c>
      <c r="M368" s="9" t="s">
        <v>1516</v>
      </c>
      <c r="N368" s="9" t="s">
        <v>455</v>
      </c>
      <c r="O368" s="9" t="s">
        <v>1517</v>
      </c>
      <c r="P368" s="9" t="s">
        <v>72</v>
      </c>
      <c r="Q368" s="9"/>
      <c r="R368" s="15" t="s">
        <v>1514</v>
      </c>
      <c r="S368" s="9"/>
      <c r="T368" s="9"/>
      <c r="U368" s="9"/>
      <c r="V368" s="9" t="s">
        <v>309</v>
      </c>
      <c r="W368" s="9" t="s">
        <v>1515</v>
      </c>
      <c r="X368" s="9" t="s">
        <v>765</v>
      </c>
      <c r="Y368" s="9"/>
      <c r="Z368" s="9" t="s">
        <v>312</v>
      </c>
      <c r="AA368" s="9" t="s">
        <v>894</v>
      </c>
      <c r="AB368" s="9" t="s">
        <v>766</v>
      </c>
      <c r="AC368" s="9" t="s">
        <v>839</v>
      </c>
      <c r="AD368" s="9"/>
      <c r="AE368" s="9" t="s">
        <v>66</v>
      </c>
      <c r="AF368" s="9"/>
      <c r="AG368" s="9" t="s">
        <v>316</v>
      </c>
    </row>
    <row r="369" ht="17" customHeight="1">
      <c r="A369" s="1" t="s">
        <v>1518</v>
      </c>
      <c r="B369" s="7"/>
      <c r="C369" s="7"/>
      <c r="D369" s="1" t="s">
        <v>932</v>
      </c>
      <c r="E369" s="5" t="str">
        <f t="shared" si="52"/>
        <v>Koay</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5" t="str">
        <f t="shared" si="53"/>
        <v>1998</v>
      </c>
      <c r="H369" s="5" t="str">
        <f t="shared" si="54"/>
        <v>Koay_etal_1998</v>
      </c>
      <c r="I369" s="5" t="str">
        <f>_xlfn.LET(
_xlpm.doi,IF(C369&lt;&gt;"",C369,_xlfn.TEXTAFTER(A369,"https://doi.org/")),
SUBSTITUTE(
SUBSTITUTE(
SUBSTITUTE(
SUBSTITUTE(
_xlpm.doi,
"/","%2F"),
":","%3A"),
"&lt;","%3C"),
"&gt;","%3E")
)</f>
        <v>10.1037%2F0735-7036.112.4.371</v>
      </c>
      <c r="J369" s="5" t="str">
        <f t="shared" si="55"/>
        <v>Koay_etal_1998_Figure6</v>
      </c>
      <c r="K369" s="5" t="str">
        <f t="shared" ref="K369:K401" si="58">I369 &amp; "_" &amp; SUBSTITUTE(SUBSTITUTE(SUBSTITUTE(D369,CHAR(160),"")," ",""),"_","")</f>
        <v>10.1037%2F0735-7036.112.4.371_Figure6</v>
      </c>
      <c r="L369" s="5" t="str">
        <f t="array" ref="L369">IFERROR(INDEX(AUTO_Public_TSV_FileList!$A$1:$A$1000,MATCH(TRUE(),EXACT(K369,IFERROR(_xlfn.TEXTBEFORE(AUTO_Public_TSV_FileList!$A$1:$A$1000,".tsv"),"")),0)),"notfound")</f>
        <v>10.1037%2F0735-7036.112.4.371_Figure6.tsv</v>
      </c>
      <c r="M369" s="1"/>
      <c r="N369" s="7"/>
      <c r="O369" s="7"/>
      <c r="P369" s="7"/>
      <c r="Q369" s="7"/>
      <c r="R369" s="7"/>
      <c r="S369" s="7"/>
      <c r="T369" s="7"/>
      <c r="U369" s="7"/>
      <c r="V369" s="7"/>
      <c r="W369" s="7"/>
      <c r="X369" s="7"/>
      <c r="Y369" s="7"/>
      <c r="Z369" s="7"/>
      <c r="AA369" s="7"/>
      <c r="AB369" s="7"/>
      <c r="AC369" s="7"/>
      <c r="AD369" s="7"/>
      <c r="AE369" s="7"/>
      <c r="AF369" s="7"/>
      <c r="AG369" s="7"/>
    </row>
    <row r="370" ht="17" customHeight="1">
      <c r="A370" s="7" t="s">
        <v>1518</v>
      </c>
      <c r="B370" s="7"/>
      <c r="C370" s="7"/>
      <c r="D370" s="7" t="s">
        <v>1005</v>
      </c>
      <c r="E370" s="3" t="str">
        <f t="shared" si="52"/>
        <v>Koay</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5" t="str">
        <f t="shared" si="53"/>
        <v>1998</v>
      </c>
      <c r="H370" s="3" t="str">
        <f t="shared" si="54"/>
        <v>Koay_etal_1998</v>
      </c>
      <c r="I370" s="3" t="str">
        <f>_xlfn.LET(_xlpm.doi,IF(C370&lt;&gt;"",C370,_xlfn.TEXTAFTER(A370,"https://doi.org/")),SUBSTITUTE(SUBSTITUTE(SUBSTITUTE(SUBSTITUTE(_xlpm.doi,"/","%2F"),":","%3A"),"&lt;","%3C"),"&gt;","%3E"))</f>
        <v>10.1037%2F0735-7036.112.4.371</v>
      </c>
      <c r="J370" s="3" t="str">
        <f t="shared" si="55"/>
        <v>Koay_etal_1998_Figure7</v>
      </c>
      <c r="K370" s="5" t="str">
        <f t="shared" si="58"/>
        <v>10.1037%2F0735-7036.112.4.371_Figure7</v>
      </c>
      <c r="L370" s="5" t="str">
        <f t="array" ref="L370">IFERROR(INDEX(AUTO_Public_TSV_FileList!$A$1:$A$1000,MATCH(TRUE(),EXACT(K370,IFERROR(_xlfn.TEXTBEFORE(AUTO_Public_TSV_FileList!$A$1:$A$1000,".tsv"),"")),0)),"notfound")</f>
        <v>notfound</v>
      </c>
      <c r="M370" s="7" t="s">
        <v>1519</v>
      </c>
      <c r="N370" s="7" t="s">
        <v>395</v>
      </c>
      <c r="O370" s="7" t="s">
        <v>1520</v>
      </c>
      <c r="P370" s="7"/>
      <c r="Q370" s="7"/>
      <c r="R370" s="7" t="s">
        <v>1521</v>
      </c>
      <c r="S370" s="7"/>
      <c r="T370" s="7" t="s">
        <v>1522</v>
      </c>
      <c r="U370" s="7"/>
      <c r="V370" s="7" t="s">
        <v>309</v>
      </c>
      <c r="W370" s="7" t="s">
        <v>1523</v>
      </c>
      <c r="X370" s="7" t="s">
        <v>1524</v>
      </c>
      <c r="Y370" s="7"/>
      <c r="Z370" s="7"/>
      <c r="AA370" s="7" t="s">
        <v>884</v>
      </c>
      <c r="AB370" s="7" t="s">
        <v>937</v>
      </c>
      <c r="AC370" s="7" t="s">
        <v>839</v>
      </c>
      <c r="AD370" s="7"/>
      <c r="AE370" s="7" t="s">
        <v>51</v>
      </c>
      <c r="AF370" s="7" t="s">
        <v>1525</v>
      </c>
      <c r="AG370" s="7" t="s">
        <v>1526</v>
      </c>
    </row>
    <row r="371" ht="17" customHeight="1">
      <c r="A371" s="9" t="s">
        <v>1527</v>
      </c>
      <c r="B371" s="9"/>
      <c r="C371" s="9"/>
      <c r="D371" s="9" t="s">
        <v>453</v>
      </c>
      <c r="E371" s="3" t="str">
        <f t="shared" si="52"/>
        <v>Koay</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5" t="str">
        <f t="shared" si="53"/>
        <v>2003</v>
      </c>
      <c r="H371" s="3" t="str">
        <f t="shared" si="54"/>
        <v>Koay_etal_2003</v>
      </c>
      <c r="I371" s="3" t="str">
        <f>_xlfn.LET(_xlpm.doi,IF(C371&lt;&gt;"",C371,_xlfn.TEXTAFTER(A371,"https://doi.org/")),SUBSTITUTE(SUBSTITUTE(SUBSTITUTE(SUBSTITUTE(_xlpm.doi,"/","%2F"),":","%3A"),"&lt;","%3C"),"&gt;","%3E"))</f>
        <v>10.1016%2FS0378-5955(03)00025-X</v>
      </c>
      <c r="J371" s="3" t="str">
        <f t="shared" si="55"/>
        <v>Koay_etal_2003_ResultsText</v>
      </c>
      <c r="K371" s="5" t="str">
        <f t="shared" si="58"/>
        <v>10.1016%2FS0378-5955(03)00025-X_ResultsText</v>
      </c>
      <c r="L371" s="5" t="str">
        <f t="array" ref="L371">IFERROR(INDEX(AUTO_Public_TSV_FileList!$A$1:$A$1000,MATCH(TRUE(),EXACT(K371,IFERROR(_xlfn.TEXTBEFORE(AUTO_Public_TSV_FileList!$A$1:$A$1000,".tsv"),"")),0)),"notfound")</f>
        <v>10.1016%2FS0378-5955(03)00025-X_ResultsText.tsv</v>
      </c>
      <c r="M371" s="9" t="s">
        <v>1528</v>
      </c>
      <c r="N371" s="9" t="s">
        <v>455</v>
      </c>
      <c r="O371" s="9" t="s">
        <v>1284</v>
      </c>
      <c r="P371" s="9" t="s">
        <v>72</v>
      </c>
      <c r="Q371" s="9"/>
      <c r="R371" s="9"/>
      <c r="S371" s="9"/>
      <c r="T371" s="9"/>
      <c r="U371" s="9"/>
      <c r="V371" s="9"/>
      <c r="W371" s="9"/>
      <c r="X371" s="9"/>
      <c r="Y371" s="9"/>
      <c r="Z371" s="9"/>
      <c r="AA371" s="9"/>
      <c r="AB371" s="9"/>
      <c r="AC371" s="9"/>
      <c r="AD371" s="9"/>
      <c r="AE371" s="9"/>
      <c r="AF371" s="9"/>
      <c r="AG371" s="9"/>
    </row>
    <row r="372" ht="17" customHeight="1">
      <c r="A372" s="9" t="s">
        <v>1529</v>
      </c>
      <c r="B372" s="9" t="s">
        <v>360</v>
      </c>
      <c r="C372" s="9"/>
      <c r="D372" s="9" t="s">
        <v>1530</v>
      </c>
      <c r="E372" s="3" t="str">
        <f t="shared" si="52"/>
        <v>Koay</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5" t="str">
        <f t="shared" si="53"/>
        <v>1998</v>
      </c>
      <c r="H372" s="3" t="str">
        <f t="shared" si="54"/>
        <v>Koay_etal_1998_b</v>
      </c>
      <c r="I372" s="3" t="str">
        <f>_xlfn.LET(_xlpm.doi,IF(C372&lt;&gt;"",C372,_xlfn.TEXTAFTER(A372,"https://doi.org/")),SUBSTITUTE(SUBSTITUTE(SUBSTITUTE(SUBSTITUTE(_xlpm.doi,"/","%2F"),":","%3A"),"&lt;","%3C"),"&gt;","%3E"))</f>
        <v>10.1016%2Fs0378-5955(98)00037-9</v>
      </c>
      <c r="J372" s="3" t="str">
        <f t="shared" si="55"/>
        <v>Koay_etal_1998_b_Figure8</v>
      </c>
      <c r="K372" s="5" t="str">
        <f t="shared" si="58"/>
        <v>10.1016%2Fs0378-5955(98)00037-9_Figure8</v>
      </c>
      <c r="L372" s="5" t="str">
        <f t="array" ref="L372">IFERROR(INDEX(AUTO_Public_TSV_FileList!$A$1:$A$1000,MATCH(TRUE(),EXACT(K372,IFERROR(_xlfn.TEXTBEFORE(AUTO_Public_TSV_FileList!$A$1:$A$1000,".tsv"),"")),0)),"notfound")</f>
        <v>notfound</v>
      </c>
      <c r="M372" s="9" t="s">
        <v>1531</v>
      </c>
      <c r="N372" s="9" t="s">
        <v>395</v>
      </c>
      <c r="O372" s="9" t="s">
        <v>1532</v>
      </c>
      <c r="P372" s="9" t="s">
        <v>78</v>
      </c>
      <c r="Q372" s="9"/>
      <c r="R372" s="15" t="s">
        <v>1533</v>
      </c>
      <c r="S372" s="9"/>
      <c r="T372" s="9" t="s">
        <v>1534</v>
      </c>
      <c r="U372" s="9"/>
      <c r="V372" s="9" t="s">
        <v>309</v>
      </c>
      <c r="W372" s="9" t="s">
        <v>1009</v>
      </c>
      <c r="X372" s="9" t="s">
        <v>1017</v>
      </c>
      <c r="Y372" s="9"/>
      <c r="Z372" s="9" t="s">
        <v>836</v>
      </c>
      <c r="AA372" s="9" t="s">
        <v>1011</v>
      </c>
      <c r="AB372" s="9" t="s">
        <v>885</v>
      </c>
      <c r="AC372" s="9" t="s">
        <v>839</v>
      </c>
      <c r="AD372" s="9"/>
      <c r="AE372" s="9" t="s">
        <v>215</v>
      </c>
      <c r="AF372" s="9" t="s">
        <v>1013</v>
      </c>
      <c r="AG372" s="9" t="s">
        <v>939</v>
      </c>
    </row>
    <row r="373" ht="17" customHeight="1">
      <c r="A373" s="9" t="s">
        <v>1529</v>
      </c>
      <c r="B373" s="9" t="s">
        <v>360</v>
      </c>
      <c r="C373" s="9"/>
      <c r="D373" s="9" t="s">
        <v>1101</v>
      </c>
      <c r="E373" s="3" t="str">
        <f t="shared" si="52"/>
        <v>Koay</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5" t="str">
        <f t="shared" si="53"/>
        <v>1998</v>
      </c>
      <c r="H373" s="3" t="str">
        <f t="shared" si="54"/>
        <v>Koay_etal_1998_b</v>
      </c>
      <c r="I373" s="3" t="str">
        <f>_xlfn.LET(_xlpm.doi,IF(C373&lt;&gt;"",C373,_xlfn.TEXTAFTER(A373,"https://doi.org/")),SUBSTITUTE(SUBSTITUTE(SUBSTITUTE(SUBSTITUTE(_xlpm.doi,"/","%2F"),":","%3A"),"&lt;","%3C"),"&gt;","%3E"))</f>
        <v>10.1016%2Fs0378-5955(98)00037-9</v>
      </c>
      <c r="J373" s="3" t="str">
        <f t="shared" si="55"/>
        <v>Koay_etal_1998_b_Figure9</v>
      </c>
      <c r="K373" s="5" t="str">
        <f t="shared" si="58"/>
        <v>10.1016%2Fs0378-5955(98)00037-9_Figure9</v>
      </c>
      <c r="L373" s="5" t="str">
        <f t="array" ref="L373">IFERROR(INDEX(AUTO_Public_TSV_FileList!$A$1:$A$1000,MATCH(TRUE(),EXACT(K373,IFERROR(_xlfn.TEXTBEFORE(AUTO_Public_TSV_FileList!$A$1:$A$1000,".tsv"),"")),0)),"notfound")</f>
        <v>notfound</v>
      </c>
      <c r="M373" s="9" t="s">
        <v>1535</v>
      </c>
      <c r="N373" s="9" t="s">
        <v>395</v>
      </c>
      <c r="O373" s="9" t="s">
        <v>1532</v>
      </c>
      <c r="P373" s="9" t="s">
        <v>78</v>
      </c>
      <c r="Q373" s="9"/>
      <c r="R373" s="15" t="s">
        <v>1533</v>
      </c>
      <c r="S373" s="9"/>
      <c r="T373" s="9" t="s">
        <v>1534</v>
      </c>
      <c r="U373" s="9"/>
      <c r="V373" s="9" t="s">
        <v>881</v>
      </c>
      <c r="W373" s="9" t="s">
        <v>1042</v>
      </c>
      <c r="X373" s="9" t="s">
        <v>1536</v>
      </c>
      <c r="Y373" s="9"/>
      <c r="Z373" s="9" t="s">
        <v>836</v>
      </c>
      <c r="AA373" s="9" t="s">
        <v>1011</v>
      </c>
      <c r="AB373" s="9" t="s">
        <v>885</v>
      </c>
      <c r="AC373" s="9" t="s">
        <v>839</v>
      </c>
      <c r="AD373" s="9"/>
      <c r="AE373" s="9" t="s">
        <v>215</v>
      </c>
      <c r="AF373" s="9" t="s">
        <v>1013</v>
      </c>
      <c r="AG373" s="9" t="s">
        <v>939</v>
      </c>
    </row>
    <row r="374" ht="17" customHeight="1">
      <c r="A374" s="9" t="s">
        <v>1529</v>
      </c>
      <c r="B374" s="9" t="s">
        <v>360</v>
      </c>
      <c r="C374" s="9"/>
      <c r="D374" s="9" t="s">
        <v>761</v>
      </c>
      <c r="E374" s="3" t="str">
        <f t="shared" si="52"/>
        <v>Koay</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5" t="str">
        <f t="shared" si="53"/>
        <v>1998</v>
      </c>
      <c r="H374" s="3" t="str">
        <f t="shared" si="54"/>
        <v>Koay_etal_1998_b</v>
      </c>
      <c r="I374" s="3" t="str">
        <f>_xlfn.LET(_xlpm.doi,IF(C374&lt;&gt;"",C374,_xlfn.TEXTAFTER(A374,"https://doi.org/")),SUBSTITUTE(SUBSTITUTE(SUBSTITUTE(SUBSTITUTE(_xlpm.doi,"/","%2F"),":","%3A"),"&lt;","%3C"),"&gt;","%3E"))</f>
        <v>10.1016%2Fs0378-5955(98)00037-9</v>
      </c>
      <c r="J374" s="3" t="str">
        <f t="shared" si="55"/>
        <v>Koay_etal_1998_b_Resultstext</v>
      </c>
      <c r="K374" s="5" t="str">
        <f t="shared" si="58"/>
        <v>10.1016%2Fs0378-5955(98)00037-9_Resultstext</v>
      </c>
      <c r="L374" s="5" t="str">
        <f t="array" ref="L374">IFERROR(INDEX(AUTO_Public_TSV_FileList!$A$1:$A$1000,MATCH(TRUE(),EXACT(K374,IFERROR(_xlfn.TEXTBEFORE(AUTO_Public_TSV_FileList!$A$1:$A$1000,".tsv"),"")),0)),"notfound")</f>
        <v>10.1016%2Fs0378-5955(98)00037-9_Resultstext.tsv</v>
      </c>
      <c r="M374" s="9" t="s">
        <v>1537</v>
      </c>
      <c r="N374" s="9" t="s">
        <v>455</v>
      </c>
      <c r="O374" s="9" t="s">
        <v>1538</v>
      </c>
      <c r="P374" s="9" t="s">
        <v>36</v>
      </c>
      <c r="Q374" s="9"/>
      <c r="R374" s="15" t="s">
        <v>1533</v>
      </c>
      <c r="S374" s="9"/>
      <c r="T374" s="9" t="s">
        <v>1534</v>
      </c>
      <c r="U374" s="9"/>
      <c r="V374" s="9" t="s">
        <v>881</v>
      </c>
      <c r="W374" s="9" t="s">
        <v>1539</v>
      </c>
      <c r="X374" s="9" t="s">
        <v>1540</v>
      </c>
      <c r="Y374" s="9"/>
      <c r="Z374" s="9" t="s">
        <v>312</v>
      </c>
      <c r="AA374" s="9" t="s">
        <v>1541</v>
      </c>
      <c r="AB374" s="9" t="s">
        <v>1542</v>
      </c>
      <c r="AC374" s="9" t="s">
        <v>839</v>
      </c>
      <c r="AD374" s="9"/>
      <c r="AE374" s="9" t="s">
        <v>66</v>
      </c>
      <c r="AF374" s="9"/>
      <c r="AG374" s="9" t="s">
        <v>316</v>
      </c>
    </row>
    <row r="375" ht="17" customHeight="1">
      <c r="A375" s="1" t="s">
        <v>1543</v>
      </c>
      <c r="B375" s="7"/>
      <c r="C375" s="1"/>
      <c r="D375" s="1" t="s">
        <v>1544</v>
      </c>
      <c r="E375" s="5" t="str">
        <f t="shared" si="52"/>
        <v>Kochiyama</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5" t="str">
        <f t="shared" si="53"/>
        <v>2018</v>
      </c>
      <c r="H375" s="5" t="str">
        <f t="shared" si="54"/>
        <v>Kochiyama_etal_2018</v>
      </c>
      <c r="I375" s="5" t="str">
        <f t="shared" ref="I375:I381" si="59">_xlfn.LET(
_xlpm.doi,IF(C375&lt;&gt;"",C375,_xlfn.TEXTAFTER(A375,"https://doi.org/")),
SUBSTITUTE(
SUBSTITUTE(
SUBSTITUTE(
SUBSTITUTE(
_xlpm.doi,
"/","%2F"),
":","%3A"),
"&lt;","%3C"),
"&gt;","%3E")
)</f>
        <v>10.1038%2Fs41598-018-24331-0</v>
      </c>
      <c r="J375" s="5" t="str">
        <f t="shared" si="55"/>
        <v>Kochiyama_etal_2018_ExtendedDataFigure4</v>
      </c>
      <c r="K375" s="5" t="str">
        <f t="shared" si="58"/>
        <v>10.1038%2Fs41598-018-24331-0_ExtendedDataFigure4</v>
      </c>
      <c r="L375" s="5" t="str">
        <f t="array" ref="L375">IFERROR(INDEX(AUTO_Public_TSV_FileList!$A$1:$A$1000,MATCH(TRUE(),EXACT(K375,IFERROR(_xlfn.TEXTBEFORE(AUTO_Public_TSV_FileList!$A$1:$A$1000,".tsv"),"")),0)),"notfound")</f>
        <v>10.1038%2Fs41598-018-24331-0_ExtendedDataFigure4.tsv</v>
      </c>
      <c r="M375" s="1" t="s">
        <v>1545</v>
      </c>
      <c r="N375" s="1" t="s">
        <v>395</v>
      </c>
      <c r="O375" s="7"/>
      <c r="P375" s="7" t="s">
        <v>36</v>
      </c>
      <c r="Q375" s="7"/>
      <c r="R375" s="7"/>
      <c r="S375" s="7"/>
      <c r="T375" s="7"/>
      <c r="U375" s="7"/>
      <c r="V375" s="7"/>
      <c r="W375" s="7"/>
      <c r="X375" s="7"/>
      <c r="Y375" s="7"/>
      <c r="Z375" s="7"/>
      <c r="AA375" s="7"/>
      <c r="AB375" s="7"/>
      <c r="AC375" s="7"/>
      <c r="AD375" s="7"/>
      <c r="AE375" s="7"/>
      <c r="AF375" s="7"/>
      <c r="AG375" s="7"/>
    </row>
    <row r="376" ht="17" customHeight="1">
      <c r="A376" s="1" t="s">
        <v>1543</v>
      </c>
      <c r="B376" s="7"/>
      <c r="C376" s="1"/>
      <c r="D376" s="1" t="s">
        <v>1546</v>
      </c>
      <c r="E376" s="5" t="str">
        <f t="shared" si="52"/>
        <v>Kochiyama</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5" t="str">
        <f t="shared" si="53"/>
        <v>2018</v>
      </c>
      <c r="H376" s="5" t="str">
        <f t="shared" si="54"/>
        <v>Kochiyama_etal_2018</v>
      </c>
      <c r="I376" s="5" t="str">
        <f t="shared" si="59"/>
        <v>10.1038%2Fs41598-018-24331-0</v>
      </c>
      <c r="J376" s="5" t="str">
        <f t="shared" si="55"/>
        <v>Kochiyama_etal_2018_ExtendedDataTable1</v>
      </c>
      <c r="K376" s="5" t="str">
        <f t="shared" si="58"/>
        <v>10.1038%2Fs41598-018-24331-0_ExtendedDataTable1</v>
      </c>
      <c r="L376" s="5" t="str">
        <f t="array" ref="L376">IFERROR(INDEX(AUTO_Public_TSV_FileList!$A$1:$A$1000,MATCH(TRUE(),EXACT(K376,IFERROR(_xlfn.TEXTBEFORE(AUTO_Public_TSV_FileList!$A$1:$A$1000,".tsv"),"")),0)),"notfound")</f>
        <v>10.1038%2Fs41598-018-24331-0_ExtendedDataTable1.tsv</v>
      </c>
      <c r="M376" s="1" t="s">
        <v>1547</v>
      </c>
      <c r="N376" s="1" t="s">
        <v>35</v>
      </c>
      <c r="O376" s="7"/>
      <c r="P376" s="7" t="s">
        <v>36</v>
      </c>
      <c r="Q376" s="7"/>
      <c r="R376" s="7"/>
      <c r="S376" s="7"/>
      <c r="T376" s="7"/>
      <c r="U376" s="7"/>
      <c r="V376" s="7"/>
      <c r="W376" s="7"/>
      <c r="X376" s="7"/>
      <c r="Y376" s="7"/>
      <c r="Z376" s="7"/>
      <c r="AA376" s="7"/>
      <c r="AB376" s="7"/>
      <c r="AC376" s="7"/>
      <c r="AD376" s="7"/>
      <c r="AE376" s="7"/>
      <c r="AF376" s="7"/>
      <c r="AG376" s="7"/>
    </row>
    <row r="377" ht="17" customHeight="1">
      <c r="A377" s="1" t="s">
        <v>1543</v>
      </c>
      <c r="B377" s="7"/>
      <c r="C377" s="1"/>
      <c r="D377" s="1" t="s">
        <v>1548</v>
      </c>
      <c r="E377" s="5" t="str">
        <f t="shared" si="52"/>
        <v>Kochiyama</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5" t="str">
        <f t="shared" si="53"/>
        <v>2018</v>
      </c>
      <c r="H377" s="5" t="str">
        <f t="shared" si="54"/>
        <v>Kochiyama_etal_2018</v>
      </c>
      <c r="I377" s="5" t="str">
        <f t="shared" si="59"/>
        <v>10.1038%2Fs41598-018-24331-0</v>
      </c>
      <c r="J377" s="5" t="str">
        <f t="shared" si="55"/>
        <v>Kochiyama_etal_2018_ExtendedDataTable3</v>
      </c>
      <c r="K377" s="5" t="str">
        <f t="shared" si="58"/>
        <v>10.1038%2Fs41598-018-24331-0_ExtendedDataTable3</v>
      </c>
      <c r="L377" s="5" t="str">
        <f t="array" ref="L377">IFERROR(INDEX(AUTO_Public_TSV_FileList!$A$1:$A$1000,MATCH(TRUE(),EXACT(K377,IFERROR(_xlfn.TEXTBEFORE(AUTO_Public_TSV_FileList!$A$1:$A$1000,".tsv"),"")),0)),"notfound")</f>
        <v>10.1038%2Fs41598-018-24331-0_ExtendedDataTable3.tsv</v>
      </c>
      <c r="M377" s="1" t="s">
        <v>1549</v>
      </c>
      <c r="N377" s="1" t="s">
        <v>35</v>
      </c>
      <c r="O377" s="7"/>
      <c r="P377" s="7" t="s">
        <v>36</v>
      </c>
      <c r="Q377" s="7"/>
      <c r="R377" s="7"/>
      <c r="S377" s="7"/>
      <c r="T377" s="7"/>
      <c r="U377" s="7"/>
      <c r="V377" s="7"/>
      <c r="W377" s="7"/>
      <c r="X377" s="7"/>
      <c r="Y377" s="7"/>
      <c r="Z377" s="7"/>
      <c r="AA377" s="7"/>
      <c r="AB377" s="7"/>
      <c r="AC377" s="7"/>
      <c r="AD377" s="7"/>
      <c r="AE377" s="7"/>
      <c r="AF377" s="7"/>
      <c r="AG377" s="7"/>
    </row>
    <row r="378" ht="17" customHeight="1">
      <c r="A378" s="1" t="s">
        <v>1543</v>
      </c>
      <c r="B378" s="7"/>
      <c r="C378" s="1"/>
      <c r="D378" s="1" t="s">
        <v>1550</v>
      </c>
      <c r="E378" s="5" t="str">
        <f t="shared" si="52"/>
        <v>Kochiyama</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5" t="str">
        <f t="shared" si="53"/>
        <v>2018</v>
      </c>
      <c r="H378" s="5" t="str">
        <f t="shared" si="54"/>
        <v>Kochiyama_etal_2018</v>
      </c>
      <c r="I378" s="5" t="str">
        <f t="shared" si="59"/>
        <v>10.1038%2Fs41598-018-24331-0</v>
      </c>
      <c r="J378" s="5" t="str">
        <f t="shared" si="55"/>
        <v>Kochiyama_etal_2018_Figure3legend</v>
      </c>
      <c r="K378" s="5" t="str">
        <f t="shared" si="58"/>
        <v>10.1038%2Fs41598-018-24331-0_Figure3legend</v>
      </c>
      <c r="L378" s="5" t="str">
        <f t="array" ref="L378">IFERROR(INDEX(AUTO_Public_TSV_FileList!$A$1:$A$1000,MATCH(TRUE(),EXACT(K378,IFERROR(_xlfn.TEXTBEFORE(AUTO_Public_TSV_FileList!$A$1:$A$1000,".tsv"),"")),0)),"notfound")</f>
        <v>10.1038%2Fs41598-018-24331-0_Figure3legend.tsv</v>
      </c>
      <c r="M378" s="1" t="s">
        <v>1551</v>
      </c>
      <c r="N378" s="1" t="s">
        <v>1552</v>
      </c>
      <c r="O378" s="7"/>
      <c r="P378" s="7" t="s">
        <v>36</v>
      </c>
      <c r="Q378" s="7"/>
      <c r="R378" s="7"/>
      <c r="S378" s="7"/>
      <c r="T378" s="7"/>
      <c r="U378" s="7"/>
      <c r="V378" s="7"/>
      <c r="W378" s="7"/>
      <c r="X378" s="7"/>
      <c r="Y378" s="7"/>
      <c r="Z378" s="7"/>
      <c r="AA378" s="7"/>
      <c r="AB378" s="7"/>
      <c r="AC378" s="7"/>
      <c r="AD378" s="7"/>
      <c r="AE378" s="7"/>
      <c r="AF378" s="7"/>
      <c r="AG378" s="7"/>
    </row>
    <row r="379" ht="17" customHeight="1">
      <c r="A379" s="1" t="s">
        <v>1543</v>
      </c>
      <c r="B379" s="7"/>
      <c r="C379" s="1"/>
      <c r="D379" s="1" t="s">
        <v>102</v>
      </c>
      <c r="E379" s="5" t="str">
        <f t="shared" si="52"/>
        <v>Kochiyama</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5" t="str">
        <f t="shared" si="53"/>
        <v>2018</v>
      </c>
      <c r="H379" s="5" t="str">
        <f t="shared" si="54"/>
        <v>Kochiyama_etal_2018</v>
      </c>
      <c r="I379" s="5" t="str">
        <f t="shared" si="59"/>
        <v>10.1038%2Fs41598-018-24331-0</v>
      </c>
      <c r="J379" s="5" t="str">
        <f t="shared" si="55"/>
        <v>Kochiyama_etal_2018_Figure3A</v>
      </c>
      <c r="K379" s="5" t="str">
        <f t="shared" si="58"/>
        <v>10.1038%2Fs41598-018-24331-0_Figure3A</v>
      </c>
      <c r="L379" s="5" t="str">
        <f t="array" ref="L379">IFERROR(INDEX(AUTO_Public_TSV_FileList!$A$1:$A$1000,MATCH(TRUE(),EXACT(K379,IFERROR(_xlfn.TEXTBEFORE(AUTO_Public_TSV_FileList!$A$1:$A$1000,".tsv"),"")),0)),"notfound")</f>
        <v>10.1038%2Fs41598-018-24331-0_Figure3A.tsv</v>
      </c>
      <c r="M379" s="1" t="s">
        <v>1551</v>
      </c>
      <c r="N379" s="1" t="s">
        <v>395</v>
      </c>
      <c r="O379" s="7"/>
      <c r="P379" s="7" t="s">
        <v>36</v>
      </c>
      <c r="Q379" s="7"/>
      <c r="R379" s="7"/>
      <c r="S379" s="7"/>
      <c r="T379" s="7"/>
      <c r="U379" s="7"/>
      <c r="V379" s="7"/>
      <c r="W379" s="7"/>
      <c r="X379" s="7"/>
      <c r="Y379" s="7"/>
      <c r="Z379" s="7"/>
      <c r="AA379" s="7"/>
      <c r="AB379" s="7"/>
      <c r="AC379" s="7"/>
      <c r="AD379" s="7"/>
      <c r="AE379" s="7"/>
      <c r="AF379" s="7"/>
      <c r="AG379" s="7"/>
    </row>
    <row r="380" ht="17" customHeight="1">
      <c r="A380" s="1" t="s">
        <v>1543</v>
      </c>
      <c r="B380" s="7"/>
      <c r="C380" s="1"/>
      <c r="D380" s="1" t="s">
        <v>103</v>
      </c>
      <c r="E380" s="5" t="str">
        <f t="shared" si="52"/>
        <v>Kochiyama</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5" t="str">
        <f t="shared" si="53"/>
        <v>2018</v>
      </c>
      <c r="H380" s="5" t="str">
        <f t="shared" si="54"/>
        <v>Kochiyama_etal_2018</v>
      </c>
      <c r="I380" s="5" t="str">
        <f t="shared" si="59"/>
        <v>10.1038%2Fs41598-018-24331-0</v>
      </c>
      <c r="J380" s="5" t="str">
        <f t="shared" si="55"/>
        <v>Kochiyama_etal_2018_Figure3B</v>
      </c>
      <c r="K380" s="5" t="str">
        <f t="shared" si="58"/>
        <v>10.1038%2Fs41598-018-24331-0_Figure3B</v>
      </c>
      <c r="L380" s="5" t="str">
        <f t="array" ref="L380">IFERROR(INDEX(AUTO_Public_TSV_FileList!$A$1:$A$1000,MATCH(TRUE(),EXACT(K380,IFERROR(_xlfn.TEXTBEFORE(AUTO_Public_TSV_FileList!$A$1:$A$1000,".tsv"),"")),0)),"notfound")</f>
        <v>10.1038%2Fs41598-018-24331-0_Figure3B.tsv</v>
      </c>
      <c r="M380" s="1" t="s">
        <v>1551</v>
      </c>
      <c r="N380" s="1" t="s">
        <v>395</v>
      </c>
      <c r="O380" s="7"/>
      <c r="P380" s="7" t="s">
        <v>36</v>
      </c>
      <c r="Q380" s="7"/>
      <c r="R380" s="7"/>
      <c r="S380" s="7"/>
      <c r="T380" s="7"/>
      <c r="U380" s="7"/>
      <c r="V380" s="7"/>
      <c r="W380" s="7"/>
      <c r="X380" s="7"/>
      <c r="Y380" s="7"/>
      <c r="Z380" s="7"/>
      <c r="AA380" s="7"/>
      <c r="AB380" s="7"/>
      <c r="AC380" s="7"/>
      <c r="AD380" s="7"/>
      <c r="AE380" s="7"/>
      <c r="AF380" s="7"/>
      <c r="AG380" s="7"/>
    </row>
    <row r="381" ht="17" customHeight="1">
      <c r="A381" s="1" t="s">
        <v>1543</v>
      </c>
      <c r="B381" s="7"/>
      <c r="C381" s="1"/>
      <c r="D381" s="1" t="s">
        <v>1553</v>
      </c>
      <c r="E381" s="5" t="str">
        <f t="shared" si="52"/>
        <v>Kochiyama</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5" t="str">
        <f t="shared" si="53"/>
        <v>2018</v>
      </c>
      <c r="H381" s="5" t="str">
        <f t="shared" si="54"/>
        <v>Kochiyama_etal_2018</v>
      </c>
      <c r="I381" s="5" t="str">
        <f t="shared" si="59"/>
        <v>10.1038%2Fs41598-018-24331-0</v>
      </c>
      <c r="J381" s="5" t="str">
        <f t="shared" si="55"/>
        <v>Kochiyama_etal_2018_FossilSpecimensText</v>
      </c>
      <c r="K381" s="5" t="str">
        <f t="shared" si="58"/>
        <v>10.1038%2Fs41598-018-24331-0_FossilSpecimensText</v>
      </c>
      <c r="L381" s="5" t="str">
        <f t="array" ref="L381">IFERROR(INDEX(AUTO_Public_TSV_FileList!$A$1:$A$1000,MATCH(TRUE(),EXACT(K381,IFERROR(_xlfn.TEXTBEFORE(AUTO_Public_TSV_FileList!$A$1:$A$1000,".tsv"),"")),0)),"notfound")</f>
        <v>10.1038%2Fs41598-018-24331-0_FossilSpecimensText.tsv</v>
      </c>
      <c r="M381" s="1" t="s">
        <v>1554</v>
      </c>
      <c r="N381" s="1" t="s">
        <v>35</v>
      </c>
      <c r="O381" s="7"/>
      <c r="P381" s="7" t="s">
        <v>36</v>
      </c>
      <c r="Q381" s="7"/>
      <c r="R381" s="7"/>
      <c r="S381" s="7"/>
      <c r="T381" s="7"/>
      <c r="U381" s="7"/>
      <c r="V381" s="7"/>
      <c r="W381" s="7"/>
      <c r="X381" s="7"/>
      <c r="Y381" s="7"/>
      <c r="Z381" s="7"/>
      <c r="AA381" s="7"/>
      <c r="AB381" s="7"/>
      <c r="AC381" s="7"/>
      <c r="AD381" s="7"/>
      <c r="AE381" s="7"/>
      <c r="AF381" s="7"/>
      <c r="AG381" s="7"/>
    </row>
    <row r="382" ht="17" customHeight="1">
      <c r="A382" s="7" t="s">
        <v>1555</v>
      </c>
      <c r="B382" s="7"/>
      <c r="C382" s="7"/>
      <c r="D382" s="7" t="s">
        <v>108</v>
      </c>
      <c r="E382" s="3" t="str">
        <f t="shared" si="52"/>
        <v>Krompecher</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2" s="5" t="str">
        <f t="shared" si="53"/>
        <v>1966</v>
      </c>
      <c r="H382" s="3" t="str">
        <f t="shared" si="54"/>
        <v>Krompecher_Lipak_1966</v>
      </c>
      <c r="I382" s="3" t="str">
        <f>_xlfn.LET(_xlpm.doi,IF(C382&lt;&gt;"",C382,_xlfn.TEXTAFTER(A382,"https://doi.org/")),SUBSTITUTE(SUBSTITUTE(SUBSTITUTE(SUBSTITUTE(_xlpm.doi,"/","%2F"),":","%3A"),"&lt;","%3C"),"&gt;","%3E"))</f>
        <v>10.1002%2Fcne.901270108</v>
      </c>
      <c r="J382" s="3" t="str">
        <f t="shared" si="55"/>
        <v>Krompecher_Lipak_1966_Table2</v>
      </c>
      <c r="K382" s="5" t="str">
        <f t="shared" si="58"/>
        <v>10.1002%2Fcne.901270108_Table2</v>
      </c>
      <c r="L382" s="5" t="str">
        <f t="array" ref="L382">IFERROR(INDEX(AUTO_Public_TSV_FileList!$A$1:$A$1000,MATCH(TRUE(),EXACT(K382,IFERROR(_xlfn.TEXTBEFORE(AUTO_Public_TSV_FileList!$A$1:$A$1000,".tsv"),"")),0)),"notfound")</f>
        <v>10.1002%2Fcne.901270108_Table2.tsv</v>
      </c>
      <c r="M382" s="7" t="s">
        <v>1556</v>
      </c>
      <c r="N382" s="7" t="s">
        <v>35</v>
      </c>
      <c r="O382" s="7"/>
      <c r="P382" s="7" t="s">
        <v>36</v>
      </c>
      <c r="Q382" s="7"/>
      <c r="R382" s="7"/>
      <c r="S382" s="7"/>
      <c r="T382" s="7"/>
      <c r="U382" s="7"/>
      <c r="V382" s="7"/>
      <c r="W382" s="7" t="s">
        <v>1557</v>
      </c>
      <c r="X382" s="7" t="s">
        <v>1558</v>
      </c>
      <c r="Y382" s="7" t="s">
        <v>1559</v>
      </c>
      <c r="Z382" s="7" t="s">
        <v>1560</v>
      </c>
      <c r="AA382" s="7" t="s">
        <v>1561</v>
      </c>
      <c r="AB382" s="7" t="s">
        <v>1562</v>
      </c>
      <c r="AC382" s="7"/>
      <c r="AD382" s="7"/>
      <c r="AE382" s="7" t="s">
        <v>51</v>
      </c>
      <c r="AF382" s="7" t="s">
        <v>1563</v>
      </c>
      <c r="AG382" s="7"/>
    </row>
    <row r="383" ht="17" customHeight="1">
      <c r="A383" s="1" t="s">
        <v>1564</v>
      </c>
      <c r="B383" s="7"/>
      <c r="C383" s="1"/>
      <c r="D383" s="1" t="s">
        <v>68</v>
      </c>
      <c r="E383" s="5" t="str">
        <f t="shared" si="52"/>
        <v>Krubitzer</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3" s="5" t="str">
        <f t="shared" si="53"/>
        <v>1990</v>
      </c>
      <c r="H383" s="5" t="str">
        <f t="shared" si="54"/>
        <v>Krubitzer_Kaas_1990</v>
      </c>
      <c r="I383" s="5" t="str">
        <f>_xlfn.LET(
_xlpm.doi,IF(C383&lt;&gt;"",C383,_xlfn.TEXTAFTER(A383,"https://doi.org/")),
SUBSTITUTE(
SUBSTITUTE(
SUBSTITUTE(
SUBSTITUTE(
_xlpm.doi,
"/","%2F"),
":","%3A"),
"&lt;","%3C"),
"&gt;","%3E")
)</f>
        <v>10.1017%2Fs0952523800000213</v>
      </c>
      <c r="J383" s="5" t="str">
        <f t="shared" si="55"/>
        <v>Krubitzer_Kaas_1990_Table1</v>
      </c>
      <c r="K383" s="5" t="str">
        <f t="shared" si="58"/>
        <v>10.1017%2Fs0952523800000213_Table1</v>
      </c>
      <c r="L383" s="5" t="str">
        <f t="array" ref="L383">IFERROR(INDEX(AUTO_Public_TSV_FileList!$A$1:$A$1000,MATCH(TRUE(),EXACT(K383,IFERROR(_xlfn.TEXTBEFORE(AUTO_Public_TSV_FileList!$A$1:$A$1000,".tsv"),"")),0)),"notfound")</f>
        <v>10.1017%2Fs0952523800000213_Table1.tsv</v>
      </c>
      <c r="M383" s="1" t="s">
        <v>1565</v>
      </c>
      <c r="N383" s="7"/>
      <c r="O383" s="7"/>
      <c r="P383" s="7" t="s">
        <v>36</v>
      </c>
      <c r="Q383" s="7"/>
      <c r="R383" s="7"/>
      <c r="S383" s="7"/>
      <c r="T383" s="7"/>
      <c r="U383" s="7"/>
      <c r="V383" s="7"/>
      <c r="W383" s="7"/>
      <c r="X383" s="7"/>
      <c r="Y383" s="7"/>
      <c r="Z383" s="7"/>
      <c r="AA383" s="7"/>
      <c r="AB383" s="7"/>
      <c r="AC383" s="7"/>
      <c r="AD383" s="7"/>
      <c r="AE383" s="7"/>
      <c r="AF383" s="7"/>
      <c r="AG383" s="7"/>
    </row>
    <row r="384" ht="17" customHeight="1">
      <c r="A384" s="6" t="s">
        <v>1566</v>
      </c>
      <c r="B384" s="6"/>
      <c r="C384" s="6"/>
      <c r="D384" s="6" t="s">
        <v>108</v>
      </c>
      <c r="E384" s="3" t="str">
        <f t="shared" si="52"/>
        <v>Kruska</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4" s="5" t="str">
        <f t="shared" si="53"/>
        <v>2014</v>
      </c>
      <c r="H384" s="3" t="str">
        <f t="shared" si="54"/>
        <v>Kruska__2014</v>
      </c>
      <c r="I384" s="3" t="str">
        <f>_xlfn.LET(_xlpm.doi,IF(C384&lt;&gt;"",C384,_xlfn.TEXTAFTER(A384,"https://doi.org/")),SUBSTITUTE(SUBSTITUTE(SUBSTITUTE(SUBSTITUTE(_xlpm.doi,"/","%2F"),":","%3A"),"&lt;","%3C"),"&gt;","%3E"))</f>
        <v>10.1016%2Fj.mambio.2013.12.005</v>
      </c>
      <c r="J384" s="3" t="str">
        <f t="shared" si="55"/>
        <v>Kruska__2014_Table2</v>
      </c>
      <c r="K384" s="3" t="str">
        <f t="shared" si="58"/>
        <v>10.1016%2Fj.mambio.2013.12.005_Table2</v>
      </c>
      <c r="L384" s="5" t="str">
        <f t="array" ref="L384">IFERROR(INDEX(AUTO_Public_TSV_FileList!$A$1:$A$1000,MATCH(TRUE(),EXACT(K384,IFERROR(_xlfn.TEXTBEFORE(AUTO_Public_TSV_FileList!$A$1:$A$1000,".tsv"),"")),0)),"notfound")</f>
        <v>10.1016%2Fj.mambio.2013.12.005_Table2.tsv</v>
      </c>
      <c r="M384" s="7" t="s">
        <v>1567</v>
      </c>
      <c r="N384" s="1" t="s">
        <v>35</v>
      </c>
      <c r="O384" s="7"/>
      <c r="P384" s="6" t="s">
        <v>36</v>
      </c>
      <c r="Q384" s="6"/>
      <c r="R384" s="6" t="s">
        <v>1568</v>
      </c>
      <c r="S384" s="6" t="s">
        <v>722</v>
      </c>
      <c r="T384" s="6" t="s">
        <v>723</v>
      </c>
      <c r="U384" s="6"/>
      <c r="V384" s="6" t="s">
        <v>1569</v>
      </c>
      <c r="W384" s="6" t="s">
        <v>1570</v>
      </c>
      <c r="X384" s="6" t="s">
        <v>1571</v>
      </c>
      <c r="Y384" s="6" t="s">
        <v>1572</v>
      </c>
      <c r="Z384" s="6"/>
      <c r="AA384" s="6"/>
      <c r="AB384" s="6" t="s">
        <v>1573</v>
      </c>
      <c r="AC384" s="6" t="s">
        <v>155</v>
      </c>
      <c r="AD384" s="6" t="s">
        <v>155</v>
      </c>
      <c r="AE384" s="6" t="s">
        <v>66</v>
      </c>
      <c r="AF384" s="6"/>
      <c r="AG384" s="6" t="s">
        <v>1574</v>
      </c>
    </row>
    <row r="385" ht="17" customHeight="1">
      <c r="A385" s="6" t="s">
        <v>1566</v>
      </c>
      <c r="B385" s="6"/>
      <c r="C385" s="6"/>
      <c r="D385" s="6" t="s">
        <v>110</v>
      </c>
      <c r="E385" s="3" t="str">
        <f t="shared" si="52"/>
        <v>Kruska</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5" t="str">
        <f t="shared" si="53"/>
        <v>2014</v>
      </c>
      <c r="H385" s="3" t="str">
        <f t="shared" si="54"/>
        <v>Kruska__2014</v>
      </c>
      <c r="I385" s="3" t="str">
        <f>_xlfn.LET(_xlpm.doi,IF(C385&lt;&gt;"",C385,_xlfn.TEXTAFTER(A385,"https://doi.org/")),SUBSTITUTE(SUBSTITUTE(SUBSTITUTE(SUBSTITUTE(_xlpm.doi,"/","%2F"),":","%3A"),"&lt;","%3C"),"&gt;","%3E"))</f>
        <v>10.1016%2Fj.mambio.2013.12.005</v>
      </c>
      <c r="J385" s="3" t="str">
        <f t="shared" si="55"/>
        <v>Kruska__2014_Table3</v>
      </c>
      <c r="K385" s="3" t="str">
        <f t="shared" si="58"/>
        <v>10.1016%2Fj.mambio.2013.12.005_Table3</v>
      </c>
      <c r="L385" s="5" t="str">
        <f t="array" ref="L385">IFERROR(INDEX(AUTO_Public_TSV_FileList!$A$1:$A$1000,MATCH(TRUE(),EXACT(K385,IFERROR(_xlfn.TEXTBEFORE(AUTO_Public_TSV_FileList!$A$1:$A$1000,".tsv"),"")),0)),"notfound")</f>
        <v>10.1016%2Fj.mambio.2013.12.005_Table3.tsv</v>
      </c>
      <c r="M385" s="7" t="s">
        <v>1575</v>
      </c>
      <c r="N385" s="1" t="s">
        <v>35</v>
      </c>
      <c r="O385" s="7"/>
      <c r="P385" s="6" t="s">
        <v>36</v>
      </c>
      <c r="Q385" s="6"/>
      <c r="R385" s="6" t="s">
        <v>1568</v>
      </c>
      <c r="S385" s="6" t="s">
        <v>722</v>
      </c>
      <c r="T385" s="6" t="s">
        <v>723</v>
      </c>
      <c r="U385" s="6"/>
      <c r="V385" s="6" t="s">
        <v>1569</v>
      </c>
      <c r="W385" s="6" t="s">
        <v>1570</v>
      </c>
      <c r="X385" s="6" t="s">
        <v>1571</v>
      </c>
      <c r="Y385" s="6" t="s">
        <v>1572</v>
      </c>
      <c r="Z385" s="6"/>
      <c r="AA385" s="6"/>
      <c r="AB385" s="6" t="s">
        <v>1573</v>
      </c>
      <c r="AC385" s="6" t="s">
        <v>155</v>
      </c>
      <c r="AD385" s="6" t="s">
        <v>155</v>
      </c>
      <c r="AE385" s="6" t="s">
        <v>66</v>
      </c>
      <c r="AF385" s="6"/>
      <c r="AG385" s="6" t="s">
        <v>1574</v>
      </c>
    </row>
    <row r="386" ht="17" customHeight="1">
      <c r="A386" s="6" t="s">
        <v>1576</v>
      </c>
      <c r="B386" s="6"/>
      <c r="C386" s="6"/>
      <c r="D386" s="6" t="s">
        <v>108</v>
      </c>
      <c r="E386" s="3" t="str">
        <f t="shared" ref="E386:E449" si="60">SUBSTITUTE(SUBSTITUTE(_xlfn.TEXTBEFORE(A386,","), "-", ""), " ", "")</f>
        <v>Kruska</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6" s="5" t="str">
        <f t="shared" ref="G386:G449" si="61">_xlfn.TEXTBEFORE(_xlfn.TEXTAFTER(A386, "("), ")")</f>
        <v>1974</v>
      </c>
      <c r="H386" s="3" t="str">
        <f t="shared" ref="H386:H449" si="62">E386 &amp; IF(F386&lt;&gt;"", "_" &amp; F386, "_") &amp; IF(G386&lt;&gt;"", "_" &amp; G386, "_") &amp; IF(B386&lt;&gt;"", "_" &amp; B386, "")</f>
        <v>Kruska_Rohrs_1974</v>
      </c>
      <c r="I386" s="3" t="str">
        <f>_xlfn.LET(_xlpm.doi,IF(C386&lt;&gt;"",C386,_xlfn.TEXTAFTER(A386,"https://doi.org/")),SUBSTITUTE(SUBSTITUTE(SUBSTITUTE(SUBSTITUTE(_xlpm.doi,"/","%2F"),":","%3A"),"&lt;","%3C"),"&gt;","%3E"))</f>
        <v>10.1007%2Fbf00518633</v>
      </c>
      <c r="J386" s="3" t="str">
        <f t="shared" ref="J386:J449" si="63">TRIM(_xlfn.TEXTJOIN("_",FALSE(),H386,(SUBSTITUTE(SUBSTITUTE(D386," ",""), "_", ""))))</f>
        <v>Kruska_Rohrs_1974_Table2</v>
      </c>
      <c r="K386" s="3" t="str">
        <f t="shared" si="58"/>
        <v>10.1007%2Fbf00518633_Table2</v>
      </c>
      <c r="L386" s="5" t="str">
        <f t="array" ref="L386">IFERROR(INDEX(AUTO_Public_TSV_FileList!$A$1:$A$1000,MATCH(TRUE(),EXACT(K386,IFERROR(_xlfn.TEXTBEFORE(AUTO_Public_TSV_FileList!$A$1:$A$1000,".tsv"),"")),0)),"notfound")</f>
        <v>10.1007%2Fbf00518633_Table2.tsv</v>
      </c>
      <c r="M386" s="7"/>
      <c r="N386" s="1" t="s">
        <v>35</v>
      </c>
      <c r="O386" s="7"/>
      <c r="P386" s="6" t="s">
        <v>36</v>
      </c>
      <c r="Q386" s="6"/>
      <c r="R386" s="6"/>
      <c r="S386" s="6" t="s">
        <v>722</v>
      </c>
      <c r="T386" s="6" t="s">
        <v>723</v>
      </c>
      <c r="U386" s="6"/>
      <c r="V386" s="6" t="s">
        <v>724</v>
      </c>
      <c r="W386" s="6" t="s">
        <v>1486</v>
      </c>
      <c r="X386" s="6" t="s">
        <v>1577</v>
      </c>
      <c r="Y386" s="6"/>
      <c r="Z386" s="6"/>
      <c r="AA386" s="6" t="s">
        <v>1578</v>
      </c>
      <c r="AB386" s="6" t="s">
        <v>1573</v>
      </c>
      <c r="AC386" s="7"/>
      <c r="AD386" s="6"/>
      <c r="AE386" s="6" t="s">
        <v>66</v>
      </c>
      <c r="AF386" s="6"/>
      <c r="AG386" s="6" t="s">
        <v>1579</v>
      </c>
    </row>
    <row r="387" ht="17" customHeight="1">
      <c r="A387" s="6" t="s">
        <v>1576</v>
      </c>
      <c r="B387" s="6"/>
      <c r="C387" s="6"/>
      <c r="D387" s="6" t="s">
        <v>110</v>
      </c>
      <c r="E387" s="3" t="str">
        <f t="shared" si="60"/>
        <v>Kruska</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5" t="str">
        <f t="shared" si="61"/>
        <v>1974</v>
      </c>
      <c r="H387" s="3" t="str">
        <f t="shared" si="62"/>
        <v>Kruska_Rohrs_1974</v>
      </c>
      <c r="I387" s="3" t="str">
        <f>_xlfn.LET(_xlpm.doi,IF(C387&lt;&gt;"",C387,_xlfn.TEXTAFTER(A387,"https://doi.org/")),SUBSTITUTE(SUBSTITUTE(SUBSTITUTE(SUBSTITUTE(_xlpm.doi,"/","%2F"),":","%3A"),"&lt;","%3C"),"&gt;","%3E"))</f>
        <v>10.1007%2Fbf00518633</v>
      </c>
      <c r="J387" s="3" t="str">
        <f t="shared" si="63"/>
        <v>Kruska_Rohrs_1974_Table3</v>
      </c>
      <c r="K387" s="3" t="str">
        <f t="shared" si="58"/>
        <v>10.1007%2Fbf00518633_Table3</v>
      </c>
      <c r="L387" s="5" t="str">
        <f t="array" ref="L387">IFERROR(INDEX(AUTO_Public_TSV_FileList!$A$1:$A$1000,MATCH(TRUE(),EXACT(K387,IFERROR(_xlfn.TEXTBEFORE(AUTO_Public_TSV_FileList!$A$1:$A$1000,".tsv"),"")),0)),"notfound")</f>
        <v>10.1007%2Fbf00518633_Table3.tsv</v>
      </c>
      <c r="M387" s="7"/>
      <c r="N387" s="1" t="s">
        <v>35</v>
      </c>
      <c r="O387" s="7"/>
      <c r="P387" s="6" t="s">
        <v>36</v>
      </c>
      <c r="Q387" s="6"/>
      <c r="R387" s="6"/>
      <c r="S387" s="6" t="s">
        <v>722</v>
      </c>
      <c r="T387" s="6" t="s">
        <v>723</v>
      </c>
      <c r="U387" s="6"/>
      <c r="V387" s="6" t="s">
        <v>724</v>
      </c>
      <c r="W387" s="6" t="s">
        <v>1486</v>
      </c>
      <c r="X387" s="6" t="s">
        <v>1577</v>
      </c>
      <c r="Y387" s="6"/>
      <c r="Z387" s="6"/>
      <c r="AA387" s="6" t="s">
        <v>1578</v>
      </c>
      <c r="AB387" s="6" t="s">
        <v>1573</v>
      </c>
      <c r="AC387" s="7"/>
      <c r="AD387" s="6"/>
      <c r="AE387" s="6" t="s">
        <v>66</v>
      </c>
      <c r="AF387" s="6"/>
      <c r="AG387" s="6" t="s">
        <v>1579</v>
      </c>
    </row>
    <row r="388" ht="17" customHeight="1">
      <c r="A388" s="1" t="s">
        <v>1580</v>
      </c>
      <c r="B388" s="7"/>
      <c r="C388" s="7"/>
      <c r="D388" s="1" t="s">
        <v>68</v>
      </c>
      <c r="E388" s="5" t="str">
        <f t="shared" si="60"/>
        <v>Kverkova</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5" t="str">
        <f t="shared" si="61"/>
        <v>2018</v>
      </c>
      <c r="H388" s="5" t="str">
        <f t="shared" si="62"/>
        <v>Kverkova_etal_2018</v>
      </c>
      <c r="I388" s="5" t="str">
        <f>_xlfn.LET(
_xlpm.doi,IF(C388&lt;&gt;"",C388,_xlfn.TEXTAFTER(A388,"https://doi.org/")),
SUBSTITUTE(
SUBSTITUTE(
SUBSTITUTE(
SUBSTITUTE(
_xlpm.doi,
"/","%2F"),
":","%3A"),
"&lt;","%3C"),
"&gt;","%3E")
)</f>
        <v>10.1038%2Fs41598-018-26062-8</v>
      </c>
      <c r="J388" s="5" t="str">
        <f t="shared" si="63"/>
        <v>Kverkova_etal_2018_Table1</v>
      </c>
      <c r="K388" s="5" t="str">
        <f t="shared" si="58"/>
        <v>10.1038%2Fs41598-018-26062-8_Table1</v>
      </c>
      <c r="L388" s="5" t="str">
        <f t="array" ref="L388">IFERROR(INDEX(AUTO_Public_TSV_FileList!$A$1:$A$1000,MATCH(TRUE(),EXACT(K388,IFERROR(_xlfn.TEXTBEFORE(AUTO_Public_TSV_FileList!$A$1:$A$1000,".tsv"),"")),0)),"notfound")</f>
        <v>10.1038%2Fs41598-018-26062-8_Table1.tsv</v>
      </c>
      <c r="M388" s="1" t="s">
        <v>1581</v>
      </c>
      <c r="N388" s="1" t="s">
        <v>35</v>
      </c>
      <c r="O388" s="7"/>
      <c r="P388" s="1" t="s">
        <v>36</v>
      </c>
      <c r="Q388" s="1"/>
      <c r="R388" s="7"/>
      <c r="S388" s="7"/>
      <c r="T388" s="7"/>
      <c r="U388" s="7"/>
      <c r="V388" s="7"/>
      <c r="W388" s="1" t="s">
        <v>1582</v>
      </c>
      <c r="X388" s="1" t="s">
        <v>1197</v>
      </c>
      <c r="Y388" s="7"/>
      <c r="Z388" s="7"/>
      <c r="AA388" s="7"/>
      <c r="AB388" s="1"/>
      <c r="AC388" s="1" t="s">
        <v>1583</v>
      </c>
      <c r="AD388" s="1" t="s">
        <v>1583</v>
      </c>
      <c r="AE388" s="1" t="s">
        <v>66</v>
      </c>
      <c r="AF388" s="1"/>
      <c r="AG388" s="7"/>
    </row>
    <row r="389" ht="17" customHeight="1">
      <c r="A389" s="1" t="s">
        <v>1580</v>
      </c>
      <c r="B389" s="7"/>
      <c r="C389" s="7"/>
      <c r="D389" s="1" t="s">
        <v>286</v>
      </c>
      <c r="E389" s="5" t="str">
        <f t="shared" si="60"/>
        <v>Kverkova</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5" t="str">
        <f t="shared" si="61"/>
        <v>2018</v>
      </c>
      <c r="H389" s="5" t="str">
        <f t="shared" si="62"/>
        <v>Kverkova_etal_2018</v>
      </c>
      <c r="I389" s="5" t="str">
        <f>_xlfn.LET(
_xlpm.doi,IF(C389&lt;&gt;"",C389,_xlfn.TEXTAFTER(A389,"https://doi.org/")),
SUBSTITUTE(
SUBSTITUTE(
SUBSTITUTE(
SUBSTITUTE(
_xlpm.doi,
"/","%2F"),
":","%3A"),
"&lt;","%3C"),
"&gt;","%3E")
)</f>
        <v>10.1038%2Fs41598-018-26062-8</v>
      </c>
      <c r="J389" s="5" t="str">
        <f t="shared" si="63"/>
        <v>Kverkova_etal_2018_TableS1</v>
      </c>
      <c r="K389" s="5" t="str">
        <f t="shared" si="58"/>
        <v>10.1038%2Fs41598-018-26062-8_TableS1</v>
      </c>
      <c r="L389" s="5" t="str">
        <f t="array" ref="L389">IFERROR(INDEX(AUTO_Public_TSV_FileList!$A$1:$A$1000,MATCH(TRUE(),EXACT(K389,IFERROR(_xlfn.TEXTBEFORE(AUTO_Public_TSV_FileList!$A$1:$A$1000,".tsv"),"")),0)),"notfound")</f>
        <v>10.1038%2Fs41598-018-26062-8_TableS1.tsv</v>
      </c>
      <c r="M389" s="1" t="s">
        <v>1584</v>
      </c>
      <c r="N389" s="1" t="s">
        <v>35</v>
      </c>
      <c r="O389" s="7"/>
      <c r="P389" s="1" t="s">
        <v>36</v>
      </c>
      <c r="Q389" s="1"/>
      <c r="R389" s="1" t="s">
        <v>1585</v>
      </c>
      <c r="S389" s="7"/>
      <c r="T389" s="7"/>
      <c r="U389" s="7"/>
      <c r="V389" s="7"/>
      <c r="W389" s="1" t="s">
        <v>1582</v>
      </c>
      <c r="X389" s="1" t="s">
        <v>1174</v>
      </c>
      <c r="Y389" s="7"/>
      <c r="Z389" s="7"/>
      <c r="AA389" s="7"/>
      <c r="AB389" s="1" t="s">
        <v>1175</v>
      </c>
      <c r="AC389" s="1" t="s">
        <v>1583</v>
      </c>
      <c r="AD389" s="1" t="s">
        <v>1583</v>
      </c>
      <c r="AE389" s="1" t="s">
        <v>66</v>
      </c>
      <c r="AF389" s="1"/>
      <c r="AG389" s="7"/>
    </row>
    <row r="390" ht="17" customHeight="1">
      <c r="A390" s="1" t="s">
        <v>1580</v>
      </c>
      <c r="B390" s="7"/>
      <c r="C390" s="7"/>
      <c r="D390" s="1" t="s">
        <v>1405</v>
      </c>
      <c r="E390" s="5" t="str">
        <f t="shared" si="60"/>
        <v>Kverkova</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5" t="str">
        <f t="shared" si="61"/>
        <v>2018</v>
      </c>
      <c r="H390" s="5" t="str">
        <f t="shared" si="62"/>
        <v>Kverkova_etal_2018</v>
      </c>
      <c r="I390" s="5" t="str">
        <f>_xlfn.LET(
_xlpm.doi,IF(C390&lt;&gt;"",C390,_xlfn.TEXTAFTER(A390,"https://doi.org/")),
SUBSTITUTE(
SUBSTITUTE(
SUBSTITUTE(
SUBSTITUTE(
_xlpm.doi,
"/","%2F"),
":","%3A"),
"&lt;","%3C"),
"&gt;","%3E")
)</f>
        <v>10.1038%2Fs41598-018-26062-8</v>
      </c>
      <c r="J390" s="5" t="str">
        <f t="shared" si="63"/>
        <v>Kverkova_etal_2018_TableS5</v>
      </c>
      <c r="K390" s="5" t="str">
        <f t="shared" si="58"/>
        <v>10.1038%2Fs41598-018-26062-8_TableS5</v>
      </c>
      <c r="L390" s="5" t="str">
        <f t="array" ref="L390">IFERROR(INDEX(AUTO_Public_TSV_FileList!$A$1:$A$1000,MATCH(TRUE(),EXACT(K390,IFERROR(_xlfn.TEXTBEFORE(AUTO_Public_TSV_FileList!$A$1:$A$1000,".tsv"),"")),0)),"notfound")</f>
        <v>10.1038%2Fs41598-018-26062-8_TableS5.tsv</v>
      </c>
      <c r="M390" s="1" t="s">
        <v>1586</v>
      </c>
      <c r="N390" s="1" t="s">
        <v>35</v>
      </c>
      <c r="O390" s="7"/>
      <c r="P390" s="1" t="s">
        <v>36</v>
      </c>
      <c r="Q390" s="1"/>
      <c r="R390" s="1" t="s">
        <v>1585</v>
      </c>
      <c r="S390" s="7"/>
      <c r="T390" s="7"/>
      <c r="U390" s="7"/>
      <c r="V390" s="7"/>
      <c r="W390" s="1" t="s">
        <v>1582</v>
      </c>
      <c r="X390" s="1" t="s">
        <v>1587</v>
      </c>
      <c r="Y390" s="7"/>
      <c r="Z390" s="7"/>
      <c r="AA390" s="1" t="s">
        <v>63</v>
      </c>
      <c r="AB390" s="1" t="s">
        <v>64</v>
      </c>
      <c r="AC390" s="1" t="s">
        <v>1583</v>
      </c>
      <c r="AD390" s="1" t="s">
        <v>1583</v>
      </c>
      <c r="AE390" s="1" t="s">
        <v>66</v>
      </c>
      <c r="AF390" s="1"/>
      <c r="AG390" s="7"/>
    </row>
    <row r="391" ht="17" customHeight="1">
      <c r="A391" s="27" t="s">
        <v>1588</v>
      </c>
      <c r="B391" s="27"/>
      <c r="C391" s="27"/>
      <c r="D391" s="27" t="s">
        <v>68</v>
      </c>
      <c r="E391" s="25" t="str">
        <f t="shared" si="60"/>
        <v>Lassek</v>
      </c>
      <c r="F391" s="2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1" s="26" t="str">
        <f t="shared" si="61"/>
        <v>1940</v>
      </c>
      <c r="H391" s="25" t="str">
        <f t="shared" si="62"/>
        <v>Lassek_Rasmussen_1940</v>
      </c>
      <c r="I391" s="25" t="str">
        <f>_xlfn.LET(_xlpm.doi,IF(C391&lt;&gt;"",C391,_xlfn.TEXTAFTER(A391,"https://doi.org/")),SUBSTITUTE(SUBSTITUTE(SUBSTITUTE(SUBSTITUTE(_xlpm.doi,"/","%2F"),":","%3A"),"&lt;","%3C"),"&gt;","%3E"))</f>
        <v>10.1002%2Fcne.900720209</v>
      </c>
      <c r="J391" s="25" t="str">
        <f t="shared" si="63"/>
        <v>Lassek_Rasmussen_1940_Table1</v>
      </c>
      <c r="K391" s="26" t="str">
        <f t="shared" si="58"/>
        <v>10.1002%2Fcne.900720209_Table1</v>
      </c>
      <c r="L391" s="26" t="str">
        <f t="array" ref="L391">IFERROR(INDEX(AUTO_Public_TSV_FileList!$A$1:$A$1000,MATCH(TRUE(),EXACT(K391,IFERROR(_xlfn.TEXTBEFORE(AUTO_Public_TSV_FileList!$A$1:$A$1000,".tsv"),"")),0)),"notfound")</f>
        <v>10.1002%2Fcne.900720209_Table1.tsv</v>
      </c>
      <c r="M391" s="27" t="s">
        <v>1589</v>
      </c>
      <c r="N391" s="27" t="s">
        <v>1590</v>
      </c>
      <c r="O391" s="27" t="s">
        <v>1591</v>
      </c>
      <c r="P391" s="27" t="s">
        <v>1592</v>
      </c>
      <c r="Q391" s="27" t="s">
        <v>1593</v>
      </c>
      <c r="R391" s="27" t="s">
        <v>1594</v>
      </c>
      <c r="S391" s="27"/>
      <c r="T391" s="27" t="s">
        <v>1595</v>
      </c>
      <c r="U391" s="27"/>
      <c r="V391" s="27"/>
      <c r="W391" s="27"/>
      <c r="X391" s="27"/>
      <c r="Y391" s="27"/>
      <c r="Z391" s="27"/>
      <c r="AA391" s="27" t="s">
        <v>1596</v>
      </c>
      <c r="AB391" s="27" t="s">
        <v>1597</v>
      </c>
      <c r="AC391" s="27"/>
      <c r="AD391" s="27"/>
      <c r="AE391" s="27" t="s">
        <v>51</v>
      </c>
      <c r="AF391" s="27"/>
      <c r="AG391" s="27" t="s">
        <v>1598</v>
      </c>
      <c r="AH391" s="29"/>
    </row>
    <row r="392" ht="17" customHeight="1">
      <c r="A392" s="7" t="s">
        <v>1599</v>
      </c>
      <c r="B392" s="7"/>
      <c r="C392" s="7" t="s">
        <v>1600</v>
      </c>
      <c r="D392" s="7" t="s">
        <v>265</v>
      </c>
      <c r="E392" s="3" t="str">
        <f t="shared" si="60"/>
        <v>Latimer</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2" s="5" t="str">
        <f t="shared" si="61"/>
        <v>1942</v>
      </c>
      <c r="H392" s="3" t="str">
        <f t="shared" si="62"/>
        <v>Latimer__1942</v>
      </c>
      <c r="I392" s="3" t="str">
        <f>_xlfn.LET(_xlpm.doi,IF(C392&lt;&gt;"",C392,_xlfn.TEXTAFTER(A392,"https://doi.org/")),SUBSTITUTE(SUBSTITUTE(SUBSTITUTE(SUBSTITUTE(_xlpm.doi,"/","%2F"),":","%3A"),"&lt;","%3C"),"&gt;","%3E"))</f>
        <v>10.0001%2Fplaceholder</v>
      </c>
      <c r="J392" s="3" t="str">
        <f t="shared" si="63"/>
        <v>Latimer__1942_TABLEI</v>
      </c>
      <c r="K392" s="5" t="str">
        <f t="shared" si="58"/>
        <v>10.0001%2Fplaceholder_TABLEI</v>
      </c>
      <c r="L392" s="5" t="str">
        <f t="array" ref="L392">IFERROR(INDEX(AUTO_Public_TSV_FileList!$A$1:$A$1000,MATCH(TRUE(),EXACT(K392,IFERROR(_xlfn.TEXTBEFORE(AUTO_Public_TSV_FileList!$A$1:$A$1000,".tsv"),"")),0)),"notfound")</f>
        <v>10.0001%2Fplaceholder_TABLEI.tsv</v>
      </c>
      <c r="M392" s="7" t="s">
        <v>1601</v>
      </c>
      <c r="N392" s="7" t="s">
        <v>35</v>
      </c>
      <c r="O392" s="7"/>
      <c r="P392" s="7" t="s">
        <v>36</v>
      </c>
      <c r="Q392" s="7"/>
      <c r="R392" s="7"/>
      <c r="S392" s="7"/>
      <c r="T392" s="7"/>
      <c r="U392" s="7"/>
      <c r="V392" s="7"/>
      <c r="W392" s="7" t="s">
        <v>1602</v>
      </c>
      <c r="X392" s="7" t="s">
        <v>1603</v>
      </c>
      <c r="Y392" s="7" t="s">
        <v>1604</v>
      </c>
      <c r="Z392" s="7" t="s">
        <v>1560</v>
      </c>
      <c r="AA392" s="7" t="s">
        <v>1605</v>
      </c>
      <c r="AB392" s="7" t="s">
        <v>1606</v>
      </c>
      <c r="AC392" s="7"/>
      <c r="AD392" s="7"/>
      <c r="AE392" s="7" t="s">
        <v>66</v>
      </c>
      <c r="AF392" s="7"/>
      <c r="AG392" s="7"/>
    </row>
    <row r="393" ht="17" customHeight="1">
      <c r="A393" s="7" t="s">
        <v>1607</v>
      </c>
      <c r="B393" s="7"/>
      <c r="C393" s="7"/>
      <c r="D393" s="7" t="s">
        <v>108</v>
      </c>
      <c r="E393" s="3" t="str">
        <f t="shared" si="60"/>
        <v>Latimer</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93" s="5" t="str">
        <f t="shared" si="61"/>
        <v>1956</v>
      </c>
      <c r="H393" s="3" t="str">
        <f t="shared" si="62"/>
        <v>Latimer__1956</v>
      </c>
      <c r="I393" s="3" t="str">
        <f>_xlfn.LET(_xlpm.doi,IF(C393&lt;&gt;"",C393,_xlfn.TEXTAFTER(A393,"https://doi.org/")),SUBSTITUTE(SUBSTITUTE(SUBSTITUTE(SUBSTITUTE(_xlpm.doi,"/","%2F"),":","%3A"),"&lt;","%3C"),"&gt;","%3E"))</f>
        <v>10.2307%2F3626308</v>
      </c>
      <c r="J393" s="3" t="str">
        <f t="shared" si="63"/>
        <v>Latimer__1956_Table2</v>
      </c>
      <c r="K393" s="5" t="str">
        <f t="shared" si="58"/>
        <v>10.2307%2F3626308_Table2</v>
      </c>
      <c r="L393" s="5" t="str">
        <f t="array" ref="L393">IFERROR(INDEX(AUTO_Public_TSV_FileList!$A$1:$A$1000,MATCH(TRUE(),EXACT(K393,IFERROR(_xlfn.TEXTBEFORE(AUTO_Public_TSV_FileList!$A$1:$A$1000,".tsv"),"")),0)),"notfound")</f>
        <v>10.2307%2F3626308_Table2.tsv</v>
      </c>
      <c r="M393" s="7" t="s">
        <v>1608</v>
      </c>
      <c r="N393" s="7"/>
      <c r="O393" s="7"/>
      <c r="P393" s="7"/>
      <c r="Q393" s="7"/>
      <c r="R393" s="7"/>
      <c r="S393" s="7"/>
      <c r="T393" s="7"/>
      <c r="U393" s="7"/>
      <c r="V393" s="7"/>
      <c r="W393" s="7"/>
      <c r="X393" s="7"/>
      <c r="Y393" s="7"/>
      <c r="Z393" s="7"/>
      <c r="AA393" s="7"/>
      <c r="AB393" s="7"/>
      <c r="AC393" s="7"/>
      <c r="AD393" s="7"/>
      <c r="AE393" s="7"/>
      <c r="AF393" s="7"/>
      <c r="AG393" s="7"/>
    </row>
    <row r="394" ht="17" customHeight="1">
      <c r="A394" s="1" t="s">
        <v>1609</v>
      </c>
      <c r="B394" s="7"/>
      <c r="C394" s="7"/>
      <c r="D394" s="1" t="s">
        <v>1450</v>
      </c>
      <c r="E394" s="5" t="str">
        <f t="shared" si="60"/>
        <v>Lewitus</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5" t="str">
        <f t="shared" si="61"/>
        <v>2013</v>
      </c>
      <c r="H394" s="5" t="str">
        <f t="shared" si="62"/>
        <v>Lewitus_etal_2013</v>
      </c>
      <c r="I394" s="5" t="str">
        <f t="shared" ref="I394:I423" si="64">_xlfn.LET(
_xlpm.doi,IF(C394&lt;&gt;"",C394,_xlfn.TEXTAFTER(A394,"https://doi.org/")),
SUBSTITUTE(
SUBSTITUTE(
SUBSTITUTE(
SUBSTITUTE(
_xlpm.doi,
"/","%2F"),
":","%3A"),
"&lt;","%3C"),
"&gt;","%3E")
)</f>
        <v>10.3389%2Ffnhum.2013.00424</v>
      </c>
      <c r="J394" s="5" t="str">
        <f t="shared" si="63"/>
        <v>Lewitus_etal_2013_TableA1</v>
      </c>
      <c r="K394" s="5" t="str">
        <f t="shared" si="58"/>
        <v>10.3389%2Ffnhum.2013.00424_TableA1</v>
      </c>
      <c r="L394" s="5" t="str">
        <f t="array" ref="L394">IFERROR(INDEX(AUTO_Public_TSV_FileList!$A$1:$A$1000,MATCH(TRUE(),EXACT(K394,IFERROR(_xlfn.TEXTBEFORE(AUTO_Public_TSV_FileList!$A$1:$A$1000,".tsv"),"")),0)),"notfound")</f>
        <v>10.3389%2Ffnhum.2013.00424_TableA1.tsv</v>
      </c>
      <c r="M394" s="1" t="s">
        <v>1610</v>
      </c>
      <c r="N394" s="7"/>
      <c r="O394" s="7"/>
      <c r="P394" s="1"/>
      <c r="Q394" s="7"/>
      <c r="R394" s="7"/>
      <c r="S394" s="7"/>
      <c r="T394" s="7"/>
      <c r="U394" s="7"/>
      <c r="V394" s="7"/>
      <c r="W394" s="1" t="s">
        <v>174</v>
      </c>
      <c r="X394" s="1"/>
      <c r="Y394" s="7"/>
      <c r="Z394" s="7"/>
      <c r="AA394" s="7"/>
      <c r="AB394" s="1" t="s">
        <v>1611</v>
      </c>
      <c r="AC394" s="7"/>
      <c r="AD394" s="7"/>
      <c r="AE394" s="1" t="s">
        <v>215</v>
      </c>
      <c r="AF394" s="1"/>
      <c r="AG394" s="7"/>
    </row>
    <row r="395" ht="17" customHeight="1">
      <c r="A395" s="1" t="s">
        <v>1612</v>
      </c>
      <c r="B395" s="7"/>
      <c r="C395" s="7"/>
      <c r="D395" s="1" t="s">
        <v>1613</v>
      </c>
      <c r="E395" s="5" t="str">
        <f t="shared" si="60"/>
        <v>Lewitus</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5" t="str">
        <f t="shared" si="61"/>
        <v>2014</v>
      </c>
      <c r="H395" s="5" t="str">
        <f t="shared" si="62"/>
        <v>Lewitus_etal_2014</v>
      </c>
      <c r="I395" s="5" t="str">
        <f t="shared" si="64"/>
        <v>10.1371%2Fjournal.pbio.1002000</v>
      </c>
      <c r="J395" s="5" t="str">
        <f t="shared" si="63"/>
        <v>Lewitus_etal_2014_ExternalDatabaseS1references</v>
      </c>
      <c r="K395" s="5" t="str">
        <f t="shared" si="58"/>
        <v>10.1371%2Fjournal.pbio.1002000_ExternalDatabaseS1references</v>
      </c>
      <c r="L395" s="5" t="str">
        <f t="array" ref="L395">IFERROR(INDEX(AUTO_Public_TSV_FileList!$A$1:$A$1000,MATCH(TRUE(),EXACT(K395,IFERROR(_xlfn.TEXTBEFORE(AUTO_Public_TSV_FileList!$A$1:$A$1000,".tsv"),"")),0)),"notfound")</f>
        <v>10.1371%2Fjournal.pbio.1002000_ExternalDatabaseS1references.tsv</v>
      </c>
      <c r="M395" s="1" t="s">
        <v>1614</v>
      </c>
      <c r="N395" s="7"/>
      <c r="O395" s="7"/>
      <c r="P395" s="1"/>
      <c r="Q395" s="7"/>
      <c r="R395" s="7"/>
      <c r="S395" s="7"/>
      <c r="T395" s="7"/>
      <c r="U395" s="7"/>
      <c r="V395" s="7"/>
      <c r="W395" s="1" t="s">
        <v>174</v>
      </c>
      <c r="X395" s="1"/>
      <c r="Y395" s="7"/>
      <c r="Z395" s="7"/>
      <c r="AA395" s="7"/>
      <c r="AB395" s="1"/>
      <c r="AC395" s="7"/>
      <c r="AD395" s="7"/>
      <c r="AE395" s="1" t="s">
        <v>215</v>
      </c>
      <c r="AF395" s="1"/>
      <c r="AG395" s="7"/>
    </row>
    <row r="396" ht="15" customHeight="1">
      <c r="A396" s="1" t="s">
        <v>1612</v>
      </c>
      <c r="B396" s="7"/>
      <c r="C396" s="7"/>
      <c r="D396" s="1" t="s">
        <v>1615</v>
      </c>
      <c r="E396" s="5" t="str">
        <f t="shared" si="60"/>
        <v>Lewitus</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5" t="str">
        <f t="shared" si="61"/>
        <v>2014</v>
      </c>
      <c r="H396" s="5" t="str">
        <f t="shared" si="62"/>
        <v>Lewitus_etal_2014</v>
      </c>
      <c r="I396" s="5" t="str">
        <f t="shared" si="64"/>
        <v>10.1371%2Fjournal.pbio.1002000</v>
      </c>
      <c r="J396" s="5" t="str">
        <f t="shared" si="63"/>
        <v>Lewitus_etal_2014_ExternalDatabaseS1sources</v>
      </c>
      <c r="K396" s="5" t="str">
        <f t="shared" si="58"/>
        <v>10.1371%2Fjournal.pbio.1002000_ExternalDatabaseS1sources</v>
      </c>
      <c r="L396" s="5" t="str">
        <f t="array" ref="L396">IFERROR(INDEX(AUTO_Public_TSV_FileList!$A$1:$A$1000,MATCH(TRUE(),EXACT(K396,IFERROR(_xlfn.TEXTBEFORE(AUTO_Public_TSV_FileList!$A$1:$A$1000,".tsv"),"")),0)),"notfound")</f>
        <v>10.1371%2Fjournal.pbio.1002000_ExternalDatabaseS1sources.tsv</v>
      </c>
      <c r="M396" s="1" t="s">
        <v>1614</v>
      </c>
      <c r="N396" s="7"/>
      <c r="O396" s="7"/>
      <c r="P396" s="1"/>
      <c r="Q396" s="7"/>
      <c r="R396" s="7"/>
      <c r="S396" s="7"/>
      <c r="T396" s="7"/>
      <c r="U396" s="7"/>
      <c r="V396" s="7"/>
      <c r="W396" s="1" t="s">
        <v>174</v>
      </c>
      <c r="X396" s="1"/>
      <c r="Y396" s="7"/>
      <c r="Z396" s="7"/>
      <c r="AA396" s="7"/>
      <c r="AB396" s="1"/>
      <c r="AC396" s="7"/>
      <c r="AD396" s="7"/>
      <c r="AE396" s="1" t="s">
        <v>215</v>
      </c>
      <c r="AF396" s="1"/>
      <c r="AG396" s="7"/>
    </row>
    <row r="397" ht="15.75" customHeight="1">
      <c r="A397" s="1" t="s">
        <v>1612</v>
      </c>
      <c r="B397" s="7"/>
      <c r="C397" s="7"/>
      <c r="D397" s="1" t="s">
        <v>286</v>
      </c>
      <c r="E397" s="5" t="str">
        <f t="shared" si="60"/>
        <v>Lewitus</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5" t="str">
        <f t="shared" si="61"/>
        <v>2014</v>
      </c>
      <c r="H397" s="5" t="str">
        <f t="shared" si="62"/>
        <v>Lewitus_etal_2014</v>
      </c>
      <c r="I397" s="5" t="str">
        <f t="shared" si="64"/>
        <v>10.1371%2Fjournal.pbio.1002000</v>
      </c>
      <c r="J397" s="5" t="str">
        <f t="shared" si="63"/>
        <v>Lewitus_etal_2014_TableS1</v>
      </c>
      <c r="K397" s="5" t="str">
        <f t="shared" si="58"/>
        <v>10.1371%2Fjournal.pbio.1002000_TableS1</v>
      </c>
      <c r="L397" s="5" t="str">
        <f t="array" ref="L397">IFERROR(INDEX(AUTO_Public_TSV_FileList!$A$1:$A$1000,MATCH(TRUE(),EXACT(K397,IFERROR(_xlfn.TEXTBEFORE(AUTO_Public_TSV_FileList!$A$1:$A$1000,".tsv"),"")),0)),"notfound")</f>
        <v>10.1371%2Fjournal.pbio.1002000_TableS1.tsv</v>
      </c>
      <c r="M397" s="1" t="s">
        <v>1616</v>
      </c>
      <c r="N397" s="7"/>
      <c r="O397" s="7"/>
      <c r="P397" s="1" t="s">
        <v>36</v>
      </c>
      <c r="Q397" s="7"/>
      <c r="R397" s="7"/>
      <c r="S397" s="7"/>
      <c r="T397" s="7"/>
      <c r="U397" s="7"/>
      <c r="V397" s="7"/>
      <c r="W397" s="1" t="s">
        <v>174</v>
      </c>
      <c r="X397" s="1" t="s">
        <v>1617</v>
      </c>
      <c r="Y397" s="7"/>
      <c r="Z397" s="7"/>
      <c r="AA397" s="7"/>
      <c r="AB397" s="1" t="s">
        <v>1618</v>
      </c>
      <c r="AC397" s="7"/>
      <c r="AD397" s="7"/>
      <c r="AE397" s="1" t="s">
        <v>215</v>
      </c>
      <c r="AF397" s="1"/>
      <c r="AG397" s="7"/>
    </row>
    <row r="398" ht="15.75" customHeight="1">
      <c r="A398" s="1" t="s">
        <v>1612</v>
      </c>
      <c r="B398" s="7"/>
      <c r="C398" s="7"/>
      <c r="D398" s="1" t="s">
        <v>1411</v>
      </c>
      <c r="E398" s="5" t="str">
        <f t="shared" si="60"/>
        <v>Lewitus</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5" t="str">
        <f t="shared" si="61"/>
        <v>2014</v>
      </c>
      <c r="H398" s="5" t="str">
        <f t="shared" si="62"/>
        <v>Lewitus_etal_2014</v>
      </c>
      <c r="I398" s="5" t="str">
        <f t="shared" si="64"/>
        <v>10.1371%2Fjournal.pbio.1002000</v>
      </c>
      <c r="J398" s="5" t="str">
        <f t="shared" si="63"/>
        <v>Lewitus_etal_2014_TableS8</v>
      </c>
      <c r="K398" s="5" t="str">
        <f t="shared" si="58"/>
        <v>10.1371%2Fjournal.pbio.1002000_TableS8</v>
      </c>
      <c r="L398" s="5" t="str">
        <f t="array" ref="L398">IFERROR(INDEX(AUTO_Public_TSV_FileList!$A$1:$A$1000,MATCH(TRUE(),EXACT(K398,IFERROR(_xlfn.TEXTBEFORE(AUTO_Public_TSV_FileList!$A$1:$A$1000,".tsv"),"")),0)),"notfound")</f>
        <v>10.1371%2Fjournal.pbio.1002000_TableS8.tsv</v>
      </c>
      <c r="M398" s="1" t="s">
        <v>1619</v>
      </c>
      <c r="N398" s="7"/>
      <c r="O398" s="7"/>
      <c r="P398" s="1" t="s">
        <v>36</v>
      </c>
      <c r="Q398" s="7"/>
      <c r="R398" s="7"/>
      <c r="S398" s="7"/>
      <c r="T398" s="7"/>
      <c r="U398" s="7"/>
      <c r="V398" s="7"/>
      <c r="W398" s="1" t="s">
        <v>174</v>
      </c>
      <c r="X398" s="1"/>
      <c r="Y398" s="7"/>
      <c r="Z398" s="7"/>
      <c r="AA398" s="7"/>
      <c r="AB398" s="1"/>
      <c r="AC398" s="7"/>
      <c r="AD398" s="7"/>
      <c r="AE398" s="1" t="s">
        <v>215</v>
      </c>
      <c r="AF398" s="1"/>
      <c r="AG398" s="7"/>
    </row>
    <row r="399" ht="15.75" customHeight="1">
      <c r="A399" s="1" t="s">
        <v>1620</v>
      </c>
      <c r="B399" s="7"/>
      <c r="C399" s="7"/>
      <c r="D399" s="1" t="s">
        <v>286</v>
      </c>
      <c r="E399" s="5" t="str">
        <f t="shared" si="60"/>
        <v>Liu</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5" t="str">
        <f t="shared" si="61"/>
        <v>2016</v>
      </c>
      <c r="H399" s="5" t="str">
        <f t="shared" si="62"/>
        <v>Liu_etal_2016</v>
      </c>
      <c r="I399" s="5" t="str">
        <f t="shared" si="64"/>
        <v>10.1098%2Frspb.2016.1923</v>
      </c>
      <c r="J399" s="5" t="str">
        <f t="shared" si="63"/>
        <v>Liu_etal_2016_TableS1</v>
      </c>
      <c r="K399" s="5" t="str">
        <f t="shared" si="58"/>
        <v>10.1098%2Frspb.2016.1923_TableS1</v>
      </c>
      <c r="L399" s="5" t="str">
        <f t="array" ref="L399">IFERROR(INDEX(AUTO_Public_TSV_FileList!$A$1:$A$1000,MATCH(TRUE(),EXACT(K399,IFERROR(_xlfn.TEXTBEFORE(AUTO_Public_TSV_FileList!$A$1:$A$1000,".tsv"),"")),0)),"notfound")</f>
        <v>10.1098%2Frspb.2016.1923_TableS1.tsv</v>
      </c>
      <c r="M399" s="7"/>
      <c r="N399" s="1" t="s">
        <v>35</v>
      </c>
      <c r="O399" s="7"/>
      <c r="P399" s="1" t="s">
        <v>36</v>
      </c>
      <c r="Q399" s="1"/>
      <c r="R399" s="7"/>
      <c r="S399" s="7"/>
      <c r="T399" s="7"/>
      <c r="U399" s="7"/>
      <c r="V399" s="7"/>
      <c r="W399" s="1" t="s">
        <v>137</v>
      </c>
      <c r="X399" s="1" t="s">
        <v>1621</v>
      </c>
      <c r="Y399" s="7"/>
      <c r="Z399" s="7"/>
      <c r="AA399" s="7"/>
      <c r="AB399" s="1" t="s">
        <v>1622</v>
      </c>
      <c r="AC399" s="1" t="s">
        <v>1623</v>
      </c>
      <c r="AD399" s="7"/>
      <c r="AE399" s="1" t="s">
        <v>215</v>
      </c>
      <c r="AF399" s="1"/>
      <c r="AG399" s="1" t="s">
        <v>1624</v>
      </c>
    </row>
    <row r="400" ht="15.75" customHeight="1">
      <c r="A400" s="1" t="s">
        <v>1625</v>
      </c>
      <c r="B400" s="7"/>
      <c r="C400" s="7"/>
      <c r="D400" s="1" t="s">
        <v>68</v>
      </c>
      <c r="E400" s="5" t="str">
        <f t="shared" si="60"/>
        <v>Lyamin</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5" t="str">
        <f t="shared" si="61"/>
        <v>2008</v>
      </c>
      <c r="H400" s="5" t="str">
        <f t="shared" si="62"/>
        <v>Lyamin_etal_2008</v>
      </c>
      <c r="I400" s="5" t="str">
        <f t="shared" si="64"/>
        <v>10.1016%2Fj.neubiorev.2008.05.023</v>
      </c>
      <c r="J400" s="5" t="str">
        <f t="shared" si="63"/>
        <v>Lyamin_etal_2008_Table1</v>
      </c>
      <c r="K400" s="5" t="str">
        <f t="shared" si="58"/>
        <v>10.1016%2Fj.neubiorev.2008.05.023_Table1</v>
      </c>
      <c r="L400" s="5" t="str">
        <f t="array" ref="L400">IFERROR(INDEX(AUTO_Public_TSV_FileList!$A$1:$A$1000,MATCH(TRUE(),EXACT(K400,IFERROR(_xlfn.TEXTBEFORE(AUTO_Public_TSV_FileList!$A$1:$A$1000,".tsv"),"")),0)),"notfound")</f>
        <v>10.1016%2Fj.neubiorev.2008.05.023_Table1.tsv</v>
      </c>
      <c r="M400" s="7"/>
      <c r="N400" s="7"/>
      <c r="O400" s="7"/>
      <c r="P400" s="1" t="s">
        <v>36</v>
      </c>
      <c r="Q400" s="7"/>
      <c r="R400" s="7"/>
      <c r="S400" s="7"/>
      <c r="T400" s="7"/>
      <c r="U400" s="7"/>
      <c r="V400" s="7"/>
      <c r="W400" s="7"/>
      <c r="X400" s="7"/>
      <c r="Y400" s="7"/>
      <c r="Z400" s="7"/>
      <c r="AA400" s="7"/>
      <c r="AB400" s="7"/>
      <c r="AC400" s="7"/>
      <c r="AD400" s="7"/>
      <c r="AE400" s="7"/>
      <c r="AF400" s="7"/>
      <c r="AG400" s="7"/>
    </row>
    <row r="401" ht="15.75" customHeight="1">
      <c r="A401" s="1" t="s">
        <v>1625</v>
      </c>
      <c r="B401" s="7"/>
      <c r="C401" s="7"/>
      <c r="D401" s="1" t="s">
        <v>108</v>
      </c>
      <c r="E401" s="5" t="str">
        <f t="shared" si="60"/>
        <v>Lyamin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5" t="str">
        <f t="shared" si="61"/>
        <v>2008</v>
      </c>
      <c r="H401" s="5" t="str">
        <f t="shared" si="62"/>
        <v>Lyamin_etal_2008</v>
      </c>
      <c r="I401" s="5" t="str">
        <f t="shared" si="64"/>
        <v>10.1016%2Fj.neubiorev.2008.05.023</v>
      </c>
      <c r="J401" s="5" t="str">
        <f t="shared" si="63"/>
        <v>Lyamin_etal_2008_Table2</v>
      </c>
      <c r="K401" s="5" t="str">
        <f t="shared" si="58"/>
        <v>10.1016%2Fj.neubiorev.2008.05.023_Table2</v>
      </c>
      <c r="L401" s="5" t="str">
        <f t="array" ref="L401">IFERROR(INDEX(AUTO_Public_TSV_FileList!$A$1:$A$1000,MATCH(TRUE(),EXACT(K401,IFERROR(_xlfn.TEXTBEFORE(AUTO_Public_TSV_FileList!$A$1:$A$1000,".tsv"),"")),0)),"notfound")</f>
        <v>10.1016%2Fj.neubiorev.2008.05.023_Table2.tsv</v>
      </c>
      <c r="M401" s="7"/>
      <c r="N401" s="7"/>
      <c r="O401" s="7" t="s">
        <v>1626</v>
      </c>
      <c r="P401" s="1" t="s">
        <v>36</v>
      </c>
      <c r="Q401" s="7"/>
      <c r="R401" s="7"/>
      <c r="S401" s="7"/>
      <c r="T401" s="7"/>
      <c r="U401" s="7"/>
      <c r="V401" s="7"/>
      <c r="W401" s="7"/>
      <c r="X401" s="7"/>
      <c r="Y401" s="7"/>
      <c r="Z401" s="7"/>
      <c r="AA401" s="7"/>
      <c r="AB401" s="7"/>
      <c r="AC401" s="7"/>
      <c r="AD401" s="7"/>
      <c r="AE401" s="7"/>
      <c r="AF401" s="7"/>
      <c r="AG401" s="7"/>
    </row>
    <row r="402" ht="15.75" customHeight="1">
      <c r="A402" s="7" t="s">
        <v>1627</v>
      </c>
      <c r="B402" s="7"/>
      <c r="C402" s="7"/>
      <c r="D402" s="7" t="s">
        <v>1628</v>
      </c>
      <c r="E402" s="3" t="str">
        <f t="shared" si="60"/>
        <v>Mackes</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3" t="str">
        <f t="shared" si="61"/>
        <v>2020</v>
      </c>
      <c r="H402" s="3" t="str">
        <f t="shared" si="62"/>
        <v>Mackes_etal_2020</v>
      </c>
      <c r="I402" s="3" t="str">
        <f t="shared" si="64"/>
        <v>10.1073%2Fpnas.1911264116</v>
      </c>
      <c r="J402" s="3" t="str">
        <f t="shared" si="63"/>
        <v>Mackes_etal_2020_ERABIS(cortical)</v>
      </c>
      <c r="K402" s="3" t="str">
        <f>I402 &amp; "_" &amp; SUBSTITUTE(SUBSTITUTE(SUBSTITUTE(D402,CHAR(160),""), " ", ""), "_", "")</f>
        <v>10.1073%2Fpnas.1911264116_ERABIS(cortical)</v>
      </c>
      <c r="L402" s="5" t="str">
        <f t="array" ref="L402">IFERROR(INDEX(AUTO_Public_TSV_FileList!$A$1:$A$1000,MATCH(TRUE(),EXACT(K402,IFERROR(_xlfn.TEXTBEFORE(AUTO_Public_TSV_FileList!$A$1:$A$1000,".tsv"),"")),0)),"notfound")</f>
        <v>10.1073%2Fpnas.1911264116_ERABIS(cortical).tsv</v>
      </c>
      <c r="M402" s="7" t="s">
        <v>1629</v>
      </c>
      <c r="N402" s="7" t="s">
        <v>1421</v>
      </c>
      <c r="O402" s="7"/>
      <c r="P402" s="7" t="s">
        <v>36</v>
      </c>
      <c r="Q402" s="7" t="s">
        <v>1630</v>
      </c>
      <c r="R402" s="7"/>
      <c r="S402" s="7"/>
      <c r="T402" s="7"/>
      <c r="U402" s="7"/>
      <c r="V402" s="7"/>
      <c r="W402" s="7" t="s">
        <v>816</v>
      </c>
      <c r="X402" s="7"/>
      <c r="Y402" s="7"/>
      <c r="Z402" s="7" t="s">
        <v>1631</v>
      </c>
      <c r="AA402" s="7" t="s">
        <v>1632</v>
      </c>
      <c r="AB402" s="7" t="s">
        <v>127</v>
      </c>
      <c r="AC402" s="7" t="s">
        <v>1287</v>
      </c>
      <c r="AD402" s="7"/>
      <c r="AE402" s="7" t="s">
        <v>66</v>
      </c>
      <c r="AF402" s="7"/>
      <c r="AG402" s="7"/>
    </row>
    <row r="403" ht="15.75" customHeight="1">
      <c r="A403" s="7" t="s">
        <v>1627</v>
      </c>
      <c r="B403" s="7"/>
      <c r="C403" s="7"/>
      <c r="D403" s="7" t="s">
        <v>1633</v>
      </c>
      <c r="E403" s="3" t="str">
        <f t="shared" si="60"/>
        <v>Mackes</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3" t="str">
        <f t="shared" si="61"/>
        <v>2020</v>
      </c>
      <c r="H403" s="3" t="str">
        <f t="shared" si="62"/>
        <v>Mackes_etal_2020</v>
      </c>
      <c r="I403" s="3" t="str">
        <f t="shared" si="64"/>
        <v>10.1073%2Fpnas.1911264116</v>
      </c>
      <c r="J403" s="3" t="str">
        <f t="shared" si="63"/>
        <v>Mackes_etal_2020_subcortical</v>
      </c>
      <c r="K403" s="3" t="str">
        <f>I403 &amp; "_" &amp; SUBSTITUTE(SUBSTITUTE(SUBSTITUTE(D403,CHAR(160),""), " ", ""), "_", "")</f>
        <v>10.1073%2Fpnas.1911264116_subcortical</v>
      </c>
      <c r="L403" s="5" t="str">
        <f t="array" ref="L403">IFERROR(INDEX(AUTO_Public_TSV_FileList!$A$1:$A$1000,MATCH(TRUE(),EXACT(K403,IFERROR(_xlfn.TEXTBEFORE(AUTO_Public_TSV_FileList!$A$1:$A$1000,".tsv"),"")),0)),"notfound")</f>
        <v>10.1073%2Fpnas.1911264116_subcortical.tsv</v>
      </c>
      <c r="M403" s="7" t="s">
        <v>1634</v>
      </c>
      <c r="N403" s="7" t="s">
        <v>1421</v>
      </c>
      <c r="O403" s="7"/>
      <c r="P403" s="7" t="s">
        <v>36</v>
      </c>
      <c r="Q403" s="7" t="s">
        <v>1285</v>
      </c>
      <c r="R403" s="7"/>
      <c r="S403" s="7"/>
      <c r="T403" s="7"/>
      <c r="U403" s="7"/>
      <c r="V403" s="7"/>
      <c r="W403" s="7" t="s">
        <v>816</v>
      </c>
      <c r="X403" s="7"/>
      <c r="Y403" s="7"/>
      <c r="Z403" s="7" t="s">
        <v>1635</v>
      </c>
      <c r="AA403" s="7" t="s">
        <v>1286</v>
      </c>
      <c r="AB403" s="7" t="s">
        <v>127</v>
      </c>
      <c r="AC403" s="7" t="s">
        <v>1287</v>
      </c>
      <c r="AD403" s="7"/>
      <c r="AE403" s="7" t="s">
        <v>66</v>
      </c>
      <c r="AF403" s="7"/>
      <c r="AG403" s="7"/>
    </row>
    <row r="404" ht="15.75" customHeight="1">
      <c r="A404" s="1" t="s">
        <v>1636</v>
      </c>
      <c r="B404" s="7"/>
      <c r="C404" s="7"/>
      <c r="D404" s="1" t="s">
        <v>68</v>
      </c>
      <c r="E404" s="5" t="str">
        <f t="shared" si="60"/>
        <v>MacLarnon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4" s="5" t="str">
        <f t="shared" si="61"/>
        <v>1996</v>
      </c>
      <c r="H404" s="5" t="str">
        <f t="shared" si="62"/>
        <v>MacLarnon__1996</v>
      </c>
      <c r="I404" s="5" t="str">
        <f t="shared" si="64"/>
        <v>10.1006%2Fjhev.1996.0005</v>
      </c>
      <c r="J404" s="5" t="str">
        <f t="shared" si="63"/>
        <v>MacLarnon__1996_Table1</v>
      </c>
      <c r="K404" s="5" t="str">
        <f t="shared" ref="K404:K424" si="65">I404 &amp; "_" &amp; SUBSTITUTE(SUBSTITUTE(SUBSTITUTE(D404,CHAR(160),"")," ",""),"_","")</f>
        <v>10.1006%2Fjhev.1996.0005_Table1</v>
      </c>
      <c r="L404" s="5" t="str">
        <f t="array" ref="L404">IFERROR(INDEX(AUTO_Public_TSV_FileList!$A$1:$A$1000,MATCH(TRUE(),EXACT(K404,IFERROR(_xlfn.TEXTBEFORE(AUTO_Public_TSV_FileList!$A$1:$A$1000,".tsv"),"")),0)),"notfound")</f>
        <v>10.1006%2Fjhev.1996.0005_Table1.tsv</v>
      </c>
      <c r="M404" s="1" t="s">
        <v>1637</v>
      </c>
      <c r="N404" s="7"/>
      <c r="O404" s="7"/>
      <c r="P404" s="1" t="s">
        <v>36</v>
      </c>
      <c r="Q404" s="7"/>
      <c r="R404" s="7"/>
      <c r="S404" s="7"/>
      <c r="T404" s="7"/>
      <c r="U404" s="7"/>
      <c r="V404" s="7"/>
      <c r="W404" s="1" t="s">
        <v>137</v>
      </c>
      <c r="X404" s="1" t="s">
        <v>1638</v>
      </c>
      <c r="Y404" s="7"/>
      <c r="Z404" s="7"/>
      <c r="AA404" s="7"/>
      <c r="AB404" s="1" t="s">
        <v>1639</v>
      </c>
      <c r="AC404" s="7"/>
      <c r="AD404" s="7"/>
      <c r="AE404" s="1" t="s">
        <v>66</v>
      </c>
      <c r="AF404" s="1"/>
      <c r="AG404" s="7"/>
    </row>
    <row r="405" ht="15.75" customHeight="1">
      <c r="A405" s="1" t="s">
        <v>1640</v>
      </c>
      <c r="B405" s="7"/>
      <c r="C405" s="1" t="s">
        <v>1641</v>
      </c>
      <c r="D405" s="1" t="s">
        <v>1642</v>
      </c>
      <c r="E405" s="5" t="str">
        <f t="shared" si="60"/>
        <v>MacLeod</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5" s="5" t="str">
        <f t="shared" si="61"/>
        <v>2000</v>
      </c>
      <c r="H405" s="5" t="str">
        <f t="shared" si="62"/>
        <v>MacLeod__2000</v>
      </c>
      <c r="I405" s="5" t="str">
        <f t="shared" si="64"/>
        <v>NQ%3A61662</v>
      </c>
      <c r="J405" s="5" t="str">
        <f t="shared" si="63"/>
        <v>MacLeod__2000_APPENDIXI</v>
      </c>
      <c r="K405" s="5" t="str">
        <f t="shared" si="65"/>
        <v>NQ%3A61662_APPENDIXI</v>
      </c>
      <c r="L405" s="5" t="str">
        <f t="array" ref="L405">IFERROR(INDEX(AUTO_Public_TSV_FileList!$A$1:$A$1000,MATCH(TRUE(),EXACT(K405,IFERROR(_xlfn.TEXTBEFORE(AUTO_Public_TSV_FileList!$A$1:$A$1000,".tsv"),"")),0)),"notfound")</f>
        <v>NQ%3A61662_APPENDIXI.tsv</v>
      </c>
      <c r="M405" s="1" t="s">
        <v>1643</v>
      </c>
      <c r="N405" s="7"/>
      <c r="O405" s="7"/>
      <c r="P405" s="1" t="s">
        <v>36</v>
      </c>
      <c r="Q405" s="7"/>
      <c r="R405" s="7"/>
      <c r="S405" s="7"/>
      <c r="T405" s="7"/>
      <c r="U405" s="7"/>
      <c r="V405" s="7"/>
      <c r="W405" s="7"/>
      <c r="X405" s="7"/>
      <c r="Y405" s="7"/>
      <c r="Z405" s="7"/>
      <c r="AA405" s="7"/>
      <c r="AB405" s="7"/>
      <c r="AC405" s="7"/>
      <c r="AD405" s="7"/>
      <c r="AE405" s="7"/>
      <c r="AF405" s="7"/>
      <c r="AG405" s="7"/>
    </row>
    <row r="406" ht="15.75" customHeight="1">
      <c r="A406" s="1" t="s">
        <v>1644</v>
      </c>
      <c r="B406" s="7"/>
      <c r="C406" s="7"/>
      <c r="D406" s="1" t="s">
        <v>68</v>
      </c>
      <c r="E406" s="5" t="str">
        <f t="shared" si="60"/>
        <v>MacLeod</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5" t="str">
        <f t="shared" si="61"/>
        <v>2003</v>
      </c>
      <c r="H406" s="5" t="str">
        <f t="shared" si="62"/>
        <v>MacLeod_etal_2003</v>
      </c>
      <c r="I406" s="5" t="str">
        <f t="shared" si="64"/>
        <v>10.1016%2Fs0047-2484(03)00028-9</v>
      </c>
      <c r="J406" s="5" t="str">
        <f t="shared" si="63"/>
        <v>MacLeod_etal_2003_Table1</v>
      </c>
      <c r="K406" s="5" t="str">
        <f t="shared" si="65"/>
        <v>10.1016%2Fs0047-2484(03)00028-9_Table1</v>
      </c>
      <c r="L406" s="5" t="str">
        <f t="array" ref="L406">IFERROR(INDEX(AUTO_Public_TSV_FileList!$A$1:$A$1000,MATCH(TRUE(),EXACT(K406,IFERROR(_xlfn.TEXTBEFORE(AUTO_Public_TSV_FileList!$A$1:$A$1000,".tsv"),"")),0)),"notfound")</f>
        <v>10.1016%2Fs0047-2484(03)00028-9_Table1.tsv</v>
      </c>
      <c r="M406" s="1" t="s">
        <v>1645</v>
      </c>
      <c r="N406" s="7"/>
      <c r="O406" s="7"/>
      <c r="P406" s="1" t="s">
        <v>36</v>
      </c>
      <c r="Q406" s="7"/>
      <c r="R406" s="7"/>
      <c r="S406" s="7"/>
      <c r="T406" s="7"/>
      <c r="U406" s="7"/>
      <c r="V406" s="7"/>
      <c r="W406" s="1" t="s">
        <v>137</v>
      </c>
      <c r="X406" s="1" t="s">
        <v>1646</v>
      </c>
      <c r="Y406" s="7"/>
      <c r="Z406" s="1" t="s">
        <v>1647</v>
      </c>
      <c r="AA406" s="1" t="s">
        <v>166</v>
      </c>
      <c r="AB406" s="1" t="s">
        <v>127</v>
      </c>
      <c r="AC406" s="1" t="s">
        <v>1648</v>
      </c>
      <c r="AD406" s="1" t="s">
        <v>1649</v>
      </c>
      <c r="AE406" s="1" t="s">
        <v>66</v>
      </c>
      <c r="AF406" s="1"/>
      <c r="AG406" s="7"/>
    </row>
    <row r="407" ht="15.75" customHeight="1">
      <c r="A407" s="1" t="s">
        <v>1644</v>
      </c>
      <c r="B407" s="7"/>
      <c r="C407" s="7"/>
      <c r="D407" s="1" t="s">
        <v>108</v>
      </c>
      <c r="E407" s="5" t="str">
        <f t="shared" si="60"/>
        <v>MacLeod</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5" t="str">
        <f t="shared" si="61"/>
        <v>2003</v>
      </c>
      <c r="H407" s="5" t="str">
        <f t="shared" si="62"/>
        <v>MacLeod_etal_2003</v>
      </c>
      <c r="I407" s="5" t="str">
        <f t="shared" si="64"/>
        <v>10.1016%2Fs0047-2484(03)00028-9</v>
      </c>
      <c r="J407" s="5" t="str">
        <f t="shared" si="63"/>
        <v>MacLeod_etal_2003_Table2</v>
      </c>
      <c r="K407" s="5" t="str">
        <f t="shared" si="65"/>
        <v>10.1016%2Fs0047-2484(03)00028-9_Table2</v>
      </c>
      <c r="L407" s="5" t="str">
        <f t="array" ref="L407">IFERROR(INDEX(AUTO_Public_TSV_FileList!$A$1:$A$1000,MATCH(TRUE(),EXACT(K407,IFERROR(_xlfn.TEXTBEFORE(AUTO_Public_TSV_FileList!$A$1:$A$1000,".tsv"),"")),0)),"notfound")</f>
        <v>10.1016%2Fs0047-2484(03)00028-9_Table2.tsv</v>
      </c>
      <c r="M407" s="1" t="s">
        <v>1650</v>
      </c>
      <c r="N407" s="7"/>
      <c r="O407" s="7"/>
      <c r="P407" s="1" t="s">
        <v>36</v>
      </c>
      <c r="Q407" s="7"/>
      <c r="R407" s="7"/>
      <c r="S407" s="7"/>
      <c r="T407" s="7"/>
      <c r="U407" s="7"/>
      <c r="V407" s="7"/>
      <c r="W407" s="1" t="s">
        <v>137</v>
      </c>
      <c r="X407" s="1" t="s">
        <v>1646</v>
      </c>
      <c r="Y407" s="7"/>
      <c r="Z407" s="1" t="s">
        <v>120</v>
      </c>
      <c r="AA407" s="1" t="s">
        <v>166</v>
      </c>
      <c r="AB407" s="1" t="s">
        <v>127</v>
      </c>
      <c r="AC407" s="1" t="s">
        <v>526</v>
      </c>
      <c r="AD407" s="1" t="s">
        <v>526</v>
      </c>
      <c r="AE407" s="1" t="s">
        <v>66</v>
      </c>
      <c r="AF407" s="1"/>
      <c r="AG407" s="7"/>
    </row>
    <row r="408" ht="15.75" customHeight="1">
      <c r="A408" s="1" t="s">
        <v>1651</v>
      </c>
      <c r="B408" s="7"/>
      <c r="C408" s="7"/>
      <c r="D408" s="1" t="s">
        <v>68</v>
      </c>
      <c r="E408" s="5" t="str">
        <f t="shared" si="60"/>
        <v>Manger</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8" s="5" t="str">
        <f t="shared" si="61"/>
        <v>2006</v>
      </c>
      <c r="H408" s="5" t="str">
        <f t="shared" si="62"/>
        <v>Manger__2006</v>
      </c>
      <c r="I408" s="5" t="str">
        <f t="shared" si="64"/>
        <v>10.1017%2FS1464793106007019</v>
      </c>
      <c r="J408" s="5" t="str">
        <f t="shared" si="63"/>
        <v>Manger__2006_Table1</v>
      </c>
      <c r="K408" s="5" t="str">
        <f t="shared" si="65"/>
        <v>10.1017%2FS1464793106007019_Table1</v>
      </c>
      <c r="L408" s="5" t="str">
        <f t="array" ref="L408">IFERROR(INDEX(AUTO_Public_TSV_FileList!$A$1:$A$1000,MATCH(TRUE(),EXACT(K408,IFERROR(_xlfn.TEXTBEFORE(AUTO_Public_TSV_FileList!$A$1:$A$1000,".tsv"),"")),0)),"notfound")</f>
        <v>10.1017%2FS1464793106007019_Table1.tsv</v>
      </c>
      <c r="M408" s="7"/>
      <c r="N408" s="7"/>
      <c r="O408" s="7"/>
      <c r="P408" s="1" t="s">
        <v>36</v>
      </c>
      <c r="Q408" s="7"/>
      <c r="R408" s="7"/>
      <c r="S408" s="7"/>
      <c r="T408" s="7"/>
      <c r="U408" s="7"/>
      <c r="V408" s="7"/>
      <c r="W408" s="7"/>
      <c r="X408" s="7"/>
      <c r="Y408" s="7"/>
      <c r="Z408" s="7"/>
      <c r="AA408" s="7"/>
      <c r="AB408" s="7"/>
      <c r="AC408" s="7"/>
      <c r="AD408" s="7"/>
      <c r="AE408" s="7"/>
      <c r="AF408" s="7"/>
      <c r="AG408" s="7"/>
    </row>
    <row r="409" ht="15.75" customHeight="1">
      <c r="A409" s="1" t="s">
        <v>1652</v>
      </c>
      <c r="B409" s="7"/>
      <c r="C409" s="7"/>
      <c r="D409" s="1" t="s">
        <v>1653</v>
      </c>
      <c r="E409" s="5" t="str">
        <f t="shared" si="60"/>
        <v>ManyPrimates</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9" s="5" t="str">
        <f t="shared" si="61"/>
        <v>2022</v>
      </c>
      <c r="H409" s="5" t="str">
        <f t="shared" si="62"/>
        <v>ManyPrimates__2022</v>
      </c>
      <c r="I409" s="5" t="str">
        <f t="shared" si="64"/>
        <v>10.26451%2Fabc.09.04.06.2022</v>
      </c>
      <c r="J409" s="5" t="str">
        <f t="shared" si="63"/>
        <v>ManyPrimates__2022_speciespredictors</v>
      </c>
      <c r="K409" s="5" t="str">
        <f t="shared" si="65"/>
        <v>10.26451%2Fabc.09.04.06.2022_speciespredictors</v>
      </c>
      <c r="L409" s="5" t="str">
        <f t="array" ref="L409">IFERROR(INDEX(AUTO_Public_TSV_FileList!$A$1:$A$1000,MATCH(TRUE(),EXACT(K409,IFERROR(_xlfn.TEXTBEFORE(AUTO_Public_TSV_FileList!$A$1:$A$1000,".tsv"),"")),0)),"notfound")</f>
        <v>10.26451%2Fabc.09.04.06.2022_speciespredictors.tsv</v>
      </c>
      <c r="M409" s="7"/>
      <c r="N409" s="1" t="s">
        <v>35</v>
      </c>
      <c r="O409" s="7"/>
      <c r="P409" s="1" t="s">
        <v>36</v>
      </c>
      <c r="Q409" s="7"/>
      <c r="R409" s="1" t="s">
        <v>1654</v>
      </c>
      <c r="S409" s="7"/>
      <c r="T409" s="7"/>
      <c r="U409" s="7"/>
      <c r="V409" s="1"/>
      <c r="W409" s="1" t="s">
        <v>137</v>
      </c>
      <c r="X409" s="1" t="s">
        <v>1655</v>
      </c>
      <c r="Y409" s="1" t="s">
        <v>1656</v>
      </c>
      <c r="Z409" s="7"/>
      <c r="AA409" s="7"/>
      <c r="AB409" s="1" t="s">
        <v>1657</v>
      </c>
      <c r="AC409" s="7"/>
      <c r="AD409" s="7"/>
      <c r="AE409" s="1" t="s">
        <v>51</v>
      </c>
      <c r="AF409" s="1"/>
      <c r="AG409" s="7"/>
    </row>
    <row r="410" ht="15.75" customHeight="1">
      <c r="A410" s="1" t="s">
        <v>1652</v>
      </c>
      <c r="B410" s="7"/>
      <c r="C410" s="7"/>
      <c r="D410" s="1" t="s">
        <v>1658</v>
      </c>
      <c r="E410" s="5" t="str">
        <f t="shared" si="60"/>
        <v>ManyPrimates</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0" s="5" t="str">
        <f t="shared" si="61"/>
        <v>2022</v>
      </c>
      <c r="H410" s="5" t="str">
        <f t="shared" si="62"/>
        <v>ManyPrimates__2022</v>
      </c>
      <c r="I410" s="5" t="str">
        <f t="shared" si="64"/>
        <v>10.26451%2Fabc.09.04.06.2022</v>
      </c>
      <c r="J410" s="5" t="str">
        <f t="shared" si="63"/>
        <v>ManyPrimates__2022_STMperformance</v>
      </c>
      <c r="K410" s="5" t="str">
        <f t="shared" si="65"/>
        <v>10.26451%2Fabc.09.04.06.2022_STMperformance</v>
      </c>
      <c r="L410" s="5" t="str">
        <f t="array" ref="L410">IFERROR(INDEX(AUTO_Public_TSV_FileList!$A$1:$A$1000,MATCH(TRUE(),EXACT(K410,IFERROR(_xlfn.TEXTBEFORE(AUTO_Public_TSV_FileList!$A$1:$A$1000,".tsv"),"")),0)),"notfound")</f>
        <v>notfound</v>
      </c>
      <c r="M410" s="7"/>
      <c r="N410" s="1"/>
      <c r="O410" s="7"/>
      <c r="P410" s="1"/>
      <c r="Q410" s="7"/>
      <c r="R410" s="1"/>
      <c r="S410" s="7"/>
      <c r="T410" s="7"/>
      <c r="U410" s="7"/>
      <c r="V410" s="1"/>
      <c r="W410" s="1"/>
      <c r="X410" s="1"/>
      <c r="Y410" s="1"/>
      <c r="Z410" s="7"/>
      <c r="AA410" s="7"/>
      <c r="AB410" s="1"/>
      <c r="AC410" s="7"/>
      <c r="AD410" s="7"/>
      <c r="AE410" s="1"/>
      <c r="AF410" s="1"/>
      <c r="AG410" s="7"/>
    </row>
    <row r="411" ht="15.75" customHeight="1">
      <c r="A411" s="1" t="s">
        <v>1659</v>
      </c>
      <c r="B411" s="1"/>
      <c r="C411" s="7"/>
      <c r="D411" s="1" t="s">
        <v>305</v>
      </c>
      <c r="E411" s="5" t="str">
        <f t="shared" si="60"/>
        <v>Matano</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1" s="5" t="str">
        <f t="shared" si="61"/>
        <v>1986</v>
      </c>
      <c r="H411" s="5" t="str">
        <f t="shared" si="62"/>
        <v>Matano__1986</v>
      </c>
      <c r="I411" s="5" t="str">
        <f t="shared" si="64"/>
        <v>10.1159%2F000156277</v>
      </c>
      <c r="J411" s="5" t="str">
        <f t="shared" si="63"/>
        <v>Matano__1986_TableI</v>
      </c>
      <c r="K411" s="5" t="str">
        <f t="shared" si="65"/>
        <v>10.1159%2F000156277_TableI</v>
      </c>
      <c r="L411" s="5" t="str">
        <f t="array" ref="L411">IFERROR(INDEX(AUTO_Public_TSV_FileList!$A$1:$A$1000,MATCH(TRUE(),EXACT(K411,IFERROR(_xlfn.TEXTBEFORE(AUTO_Public_TSV_FileList!$A$1:$A$1000,".tsv"),"")),0)),"notfound")</f>
        <v>10.1159%2F000156277_TableI.tsv</v>
      </c>
      <c r="M411" s="7"/>
      <c r="N411" s="7"/>
      <c r="O411" s="7"/>
      <c r="P411" s="1" t="s">
        <v>36</v>
      </c>
      <c r="Q411" s="7"/>
      <c r="R411" s="7"/>
      <c r="S411" s="7"/>
      <c r="T411" s="7"/>
      <c r="U411" s="7"/>
      <c r="V411" s="7"/>
      <c r="W411" s="7"/>
      <c r="X411" s="7"/>
      <c r="Y411" s="7"/>
      <c r="Z411" s="1"/>
      <c r="AA411" s="7"/>
      <c r="AB411" s="7"/>
      <c r="AC411" s="1"/>
      <c r="AD411" s="1"/>
      <c r="AE411" s="7" t="s">
        <v>51</v>
      </c>
      <c r="AF411" s="7"/>
      <c r="AG411" s="7"/>
    </row>
    <row r="412" ht="15.75" customHeight="1">
      <c r="A412" s="1" t="s">
        <v>1660</v>
      </c>
      <c r="B412" s="1"/>
      <c r="C412" s="7"/>
      <c r="D412" s="1" t="s">
        <v>68</v>
      </c>
      <c r="E412" s="5" t="str">
        <f t="shared" si="60"/>
        <v>Matano</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2" s="5" t="str">
        <f t="shared" si="61"/>
        <v>1992</v>
      </c>
      <c r="H412" s="5" t="str">
        <f t="shared" si="62"/>
        <v>Matano__1992</v>
      </c>
      <c r="I412" s="5" t="str">
        <f t="shared" si="64"/>
        <v>10.1537%2Fase1911.100.69</v>
      </c>
      <c r="J412" s="5" t="str">
        <f t="shared" si="63"/>
        <v>Matano__1992_Table1</v>
      </c>
      <c r="K412" s="5" t="str">
        <f t="shared" si="65"/>
        <v>10.1537%2Fase1911.100.69_Table1</v>
      </c>
      <c r="L412" s="5" t="str">
        <f t="array" ref="L412">IFERROR(INDEX(AUTO_Public_TSV_FileList!$A$1:$A$1000,MATCH(TRUE(),EXACT(K412,IFERROR(_xlfn.TEXTBEFORE(AUTO_Public_TSV_FileList!$A$1:$A$1000,".tsv"),"")),0)),"notfound")</f>
        <v>10.1537%2Fase1911.100.69_Table1.tsv</v>
      </c>
      <c r="M412" s="7" t="s">
        <v>1661</v>
      </c>
      <c r="N412" s="7"/>
      <c r="O412" s="7"/>
      <c r="P412" s="1" t="s">
        <v>36</v>
      </c>
      <c r="Q412" s="7"/>
      <c r="R412" s="7"/>
      <c r="S412" s="7"/>
      <c r="T412" s="7"/>
      <c r="U412" s="7"/>
      <c r="V412" s="7"/>
      <c r="W412" s="7"/>
      <c r="X412" s="7"/>
      <c r="Y412" s="7"/>
      <c r="Z412" s="1"/>
      <c r="AA412" s="7"/>
      <c r="AB412" s="7"/>
      <c r="AC412" s="1"/>
      <c r="AD412" s="1"/>
      <c r="AE412" s="7"/>
      <c r="AF412" s="7"/>
      <c r="AG412" s="7"/>
    </row>
    <row r="413" ht="15.75" customHeight="1">
      <c r="A413" s="1" t="s">
        <v>1660</v>
      </c>
      <c r="B413" s="1"/>
      <c r="C413" s="7"/>
      <c r="D413" s="1" t="s">
        <v>108</v>
      </c>
      <c r="E413" s="5" t="str">
        <f t="shared" si="60"/>
        <v>Matano</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3" s="5" t="str">
        <f t="shared" si="61"/>
        <v>1992</v>
      </c>
      <c r="H413" s="5" t="str">
        <f t="shared" si="62"/>
        <v>Matano__1992</v>
      </c>
      <c r="I413" s="5" t="str">
        <f t="shared" si="64"/>
        <v>10.1537%2Fase1911.100.69</v>
      </c>
      <c r="J413" s="5" t="str">
        <f t="shared" si="63"/>
        <v>Matano__1992_Table2</v>
      </c>
      <c r="K413" s="5" t="str">
        <f t="shared" si="65"/>
        <v>10.1537%2Fase1911.100.69_Table2</v>
      </c>
      <c r="L413" s="5" t="str">
        <f t="array" ref="L413">IFERROR(INDEX(AUTO_Public_TSV_FileList!$A$1:$A$1000,MATCH(TRUE(),EXACT(K413,IFERROR(_xlfn.TEXTBEFORE(AUTO_Public_TSV_FileList!$A$1:$A$1000,".tsv"),"")),0)),"notfound")</f>
        <v>10.1537%2Fase1911.100.69_Table2.tsv</v>
      </c>
      <c r="M413" s="7" t="s">
        <v>1662</v>
      </c>
      <c r="N413" s="7"/>
      <c r="O413" s="7"/>
      <c r="P413" s="1" t="s">
        <v>36</v>
      </c>
      <c r="Q413" s="7"/>
      <c r="R413" s="7"/>
      <c r="S413" s="7"/>
      <c r="T413" s="7"/>
      <c r="U413" s="7"/>
      <c r="V413" s="7"/>
      <c r="W413" s="7"/>
      <c r="X413" s="7"/>
      <c r="Y413" s="7"/>
      <c r="Z413" s="1"/>
      <c r="AA413" s="7"/>
      <c r="AB413" s="7"/>
      <c r="AC413" s="1"/>
      <c r="AD413" s="1"/>
      <c r="AE413" s="7"/>
      <c r="AF413" s="7"/>
      <c r="AG413" s="7"/>
    </row>
    <row r="414" ht="15.75" customHeight="1">
      <c r="A414" s="1" t="s">
        <v>1660</v>
      </c>
      <c r="B414" s="1"/>
      <c r="C414" s="7"/>
      <c r="D414" s="1" t="s">
        <v>110</v>
      </c>
      <c r="E414" s="5" t="str">
        <f t="shared" si="60"/>
        <v>Matano</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5" t="str">
        <f t="shared" si="61"/>
        <v>1992</v>
      </c>
      <c r="H414" s="5" t="str">
        <f t="shared" si="62"/>
        <v>Matano__1992</v>
      </c>
      <c r="I414" s="5" t="str">
        <f t="shared" si="64"/>
        <v>10.1537%2Fase1911.100.69</v>
      </c>
      <c r="J414" s="5" t="str">
        <f t="shared" si="63"/>
        <v>Matano__1992_Table3</v>
      </c>
      <c r="K414" s="5" t="str">
        <f t="shared" si="65"/>
        <v>10.1537%2Fase1911.100.69_Table3</v>
      </c>
      <c r="L414" s="5" t="str">
        <f t="array" ref="L414">IFERROR(INDEX(AUTO_Public_TSV_FileList!$A$1:$A$1000,MATCH(TRUE(),EXACT(K414,IFERROR(_xlfn.TEXTBEFORE(AUTO_Public_TSV_FileList!$A$1:$A$1000,".tsv"),"")),0)),"notfound")</f>
        <v>10.1537%2Fase1911.100.69_Table3.tsv</v>
      </c>
      <c r="M414" s="7"/>
      <c r="N414" s="7"/>
      <c r="O414" s="7"/>
      <c r="P414" s="1" t="s">
        <v>36</v>
      </c>
      <c r="Q414" s="7"/>
      <c r="R414" s="7"/>
      <c r="S414" s="7"/>
      <c r="T414" s="7"/>
      <c r="U414" s="7"/>
      <c r="V414" s="7"/>
      <c r="W414" s="7"/>
      <c r="X414" s="7"/>
      <c r="Y414" s="7"/>
      <c r="Z414" s="1"/>
      <c r="AA414" s="7"/>
      <c r="AB414" s="7"/>
      <c r="AC414" s="1"/>
      <c r="AD414" s="1"/>
      <c r="AE414" s="7" t="s">
        <v>51</v>
      </c>
      <c r="AF414" s="7"/>
      <c r="AG414" s="7"/>
    </row>
    <row r="415" ht="15.75" customHeight="1">
      <c r="A415" s="1" t="s">
        <v>1660</v>
      </c>
      <c r="B415" s="1"/>
      <c r="C415" s="7"/>
      <c r="D415" s="1" t="s">
        <v>34</v>
      </c>
      <c r="E415" s="5" t="str">
        <f t="shared" si="60"/>
        <v>Matano</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5" t="str">
        <f t="shared" si="61"/>
        <v>1992</v>
      </c>
      <c r="H415" s="5" t="str">
        <f t="shared" si="62"/>
        <v>Matano__1992</v>
      </c>
      <c r="I415" s="5" t="str">
        <f t="shared" si="64"/>
        <v>10.1537%2Fase1911.100.69</v>
      </c>
      <c r="J415" s="5" t="str">
        <f t="shared" si="63"/>
        <v>Matano__1992_Table4</v>
      </c>
      <c r="K415" s="5" t="str">
        <f t="shared" si="65"/>
        <v>10.1537%2Fase1911.100.69_Table4</v>
      </c>
      <c r="L415" s="5" t="str">
        <f t="array" ref="L415">IFERROR(INDEX(AUTO_Public_TSV_FileList!$A$1:$A$1000,MATCH(TRUE(),EXACT(K415,IFERROR(_xlfn.TEXTBEFORE(AUTO_Public_TSV_FileList!$A$1:$A$1000,".tsv"),"")),0)),"notfound")</f>
        <v>10.1537%2Fase1911.100.69_Table4.tsv</v>
      </c>
      <c r="M415" s="7" t="s">
        <v>1663</v>
      </c>
      <c r="N415" s="7"/>
      <c r="O415" s="7"/>
      <c r="P415" s="1" t="s">
        <v>36</v>
      </c>
      <c r="Q415" s="7"/>
      <c r="R415" s="7"/>
      <c r="S415" s="7"/>
      <c r="T415" s="7"/>
      <c r="U415" s="7"/>
      <c r="V415" s="7"/>
      <c r="W415" s="7"/>
      <c r="X415" s="7"/>
      <c r="Y415" s="7"/>
      <c r="Z415" s="1"/>
      <c r="AA415" s="7"/>
      <c r="AB415" s="7"/>
      <c r="AC415" s="1"/>
      <c r="AD415" s="1"/>
      <c r="AE415" s="7"/>
      <c r="AF415" s="7"/>
      <c r="AG415" s="7"/>
    </row>
    <row r="416" ht="15.75" customHeight="1">
      <c r="A416" s="1" t="s">
        <v>1664</v>
      </c>
      <c r="B416" s="1"/>
      <c r="C416" s="7"/>
      <c r="D416" s="1" t="s">
        <v>91</v>
      </c>
      <c r="E416" s="5" t="str">
        <f t="shared" si="60"/>
        <v>Matano</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6" s="5" t="str">
        <f t="shared" si="61"/>
        <v>2001</v>
      </c>
      <c r="H416" s="5" t="str">
        <f t="shared" si="62"/>
        <v>Matano__2001</v>
      </c>
      <c r="I416" s="5" t="str">
        <f t="shared" si="64"/>
        <v>10.1002%2F1096-8644(200102)114%3A2%3C163%3A%3AAID-AJPA1016%3E3.0.CO;2-F</v>
      </c>
      <c r="J416" s="5" t="str">
        <f t="shared" si="63"/>
        <v>Matano__2001_TABLE2</v>
      </c>
      <c r="K416" s="5" t="str">
        <f t="shared" si="65"/>
        <v>10.1002%2F1096-8644(200102)114%3A2%3C163%3A%3AAID-AJPA1016%3E3.0.CO;2-F_TABLE2</v>
      </c>
      <c r="L416" s="5" t="str">
        <f t="array" ref="L416">IFERROR(INDEX(AUTO_Public_TSV_FileList!$A$1:$A$1000,MATCH(TRUE(),EXACT(K416,IFERROR(_xlfn.TEXTBEFORE(AUTO_Public_TSV_FileList!$A$1:$A$1000,".tsv"),"")),0)),"notfound")</f>
        <v>10.1002%2F1096-8644(200102)114%3A2%3C163%3A%3AAID-AJPA1016%3E3.0.CO;2-F_TABLE2.tsv</v>
      </c>
      <c r="M416" s="1" t="s">
        <v>1665</v>
      </c>
      <c r="N416" s="7"/>
      <c r="O416" s="7"/>
      <c r="P416" s="1" t="s">
        <v>36</v>
      </c>
      <c r="Q416" s="7"/>
      <c r="R416" s="7"/>
      <c r="S416" s="7"/>
      <c r="T416" s="7"/>
      <c r="U416" s="7"/>
      <c r="V416" s="7"/>
      <c r="W416" s="7"/>
      <c r="X416" s="7"/>
      <c r="Y416" s="7"/>
      <c r="Z416" s="7"/>
      <c r="AA416" s="7"/>
      <c r="AB416" s="7"/>
      <c r="AC416" s="7"/>
      <c r="AD416" s="7"/>
      <c r="AE416" s="7"/>
      <c r="AF416" s="7"/>
      <c r="AG416" s="7"/>
    </row>
    <row r="417" ht="15" customHeight="1">
      <c r="A417" s="1" t="s">
        <v>1666</v>
      </c>
      <c r="B417" s="1" t="s">
        <v>355</v>
      </c>
      <c r="C417" s="7"/>
      <c r="D417" s="1" t="s">
        <v>68</v>
      </c>
      <c r="E417" s="5" t="str">
        <f t="shared" si="60"/>
        <v>Matano</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5" t="str">
        <f t="shared" si="61"/>
        <v>1985</v>
      </c>
      <c r="H417" s="5" t="str">
        <f t="shared" si="62"/>
        <v>Matano_etal_1985_a</v>
      </c>
      <c r="I417" s="5" t="str">
        <f t="shared" si="64"/>
        <v>10.1159%2F000156212</v>
      </c>
      <c r="J417" s="5" t="str">
        <f t="shared" si="63"/>
        <v>Matano_etal_1985_a_Table1</v>
      </c>
      <c r="K417" s="5" t="str">
        <f t="shared" si="65"/>
        <v>10.1159%2F000156212_Table1</v>
      </c>
      <c r="L417" s="5" t="str">
        <f t="array" ref="L417">IFERROR(INDEX(AUTO_Public_TSV_FileList!$A$1:$A$1000,MATCH(TRUE(),EXACT(K417,IFERROR(_xlfn.TEXTBEFORE(AUTO_Public_TSV_FileList!$A$1:$A$1000,".tsv"),"")),0)),"notfound")</f>
        <v>10.1159%2F000156212_Table1.tsv</v>
      </c>
      <c r="M417" s="7"/>
      <c r="N417" s="1" t="s">
        <v>35</v>
      </c>
      <c r="O417" s="7"/>
      <c r="P417" s="1" t="s">
        <v>36</v>
      </c>
      <c r="Q417" s="7"/>
      <c r="R417" s="7"/>
      <c r="S417" s="7"/>
      <c r="T417" s="7"/>
      <c r="U417" s="7"/>
      <c r="V417" s="7"/>
      <c r="W417" s="1" t="s">
        <v>153</v>
      </c>
      <c r="X417" s="1" t="s">
        <v>1667</v>
      </c>
      <c r="Y417" s="7"/>
      <c r="Z417" s="1" t="s">
        <v>120</v>
      </c>
      <c r="AA417" s="1" t="s">
        <v>166</v>
      </c>
      <c r="AB417" s="1" t="s">
        <v>127</v>
      </c>
      <c r="AC417" s="1" t="s">
        <v>155</v>
      </c>
      <c r="AD417" s="1" t="s">
        <v>155</v>
      </c>
      <c r="AE417" s="1" t="s">
        <v>51</v>
      </c>
      <c r="AF417" s="1"/>
      <c r="AG417" s="7"/>
    </row>
    <row r="418" ht="15" customHeight="1">
      <c r="A418" s="1" t="s">
        <v>1668</v>
      </c>
      <c r="B418" s="1" t="s">
        <v>360</v>
      </c>
      <c r="C418" s="7"/>
      <c r="D418" s="1" t="s">
        <v>68</v>
      </c>
      <c r="E418" s="5" t="str">
        <f t="shared" si="60"/>
        <v>Matano</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5" t="str">
        <f t="shared" si="61"/>
        <v>1985</v>
      </c>
      <c r="H418" s="5" t="str">
        <f t="shared" si="62"/>
        <v>Matano_etal_1985_b</v>
      </c>
      <c r="I418" s="5" t="str">
        <f t="shared" si="64"/>
        <v>10.1159%2F000156211</v>
      </c>
      <c r="J418" s="5" t="str">
        <f t="shared" si="63"/>
        <v>Matano_etal_1985_b_Table1</v>
      </c>
      <c r="K418" s="5" t="str">
        <f t="shared" si="65"/>
        <v>10.1159%2F000156211_Table1</v>
      </c>
      <c r="L418" s="5" t="str">
        <f t="array" ref="L418">IFERROR(INDEX(AUTO_Public_TSV_FileList!$A$1:$A$1000,MATCH(TRUE(),EXACT(K418,IFERROR(_xlfn.TEXTBEFORE(AUTO_Public_TSV_FileList!$A$1:$A$1000,".tsv"),"")),0)),"notfound")</f>
        <v>10.1159%2F000156211_Table1.tsv</v>
      </c>
      <c r="M418" s="7"/>
      <c r="N418" s="7"/>
      <c r="O418" s="7"/>
      <c r="P418" s="1" t="s">
        <v>36</v>
      </c>
      <c r="Q418" s="7"/>
      <c r="R418" s="7"/>
      <c r="S418" s="7"/>
      <c r="T418" s="7"/>
      <c r="U418" s="7"/>
      <c r="V418" s="7"/>
      <c r="W418" s="7"/>
      <c r="X418" s="7"/>
      <c r="Y418" s="7"/>
      <c r="Z418" s="1" t="s">
        <v>120</v>
      </c>
      <c r="AA418" s="7"/>
      <c r="AB418" s="7"/>
      <c r="AC418" s="1" t="s">
        <v>155</v>
      </c>
      <c r="AD418" s="1" t="s">
        <v>155</v>
      </c>
      <c r="AE418" s="7" t="s">
        <v>66</v>
      </c>
      <c r="AF418" s="7"/>
      <c r="AG418" s="7"/>
    </row>
    <row r="419" ht="15" customHeight="1">
      <c r="A419" s="1" t="s">
        <v>1669</v>
      </c>
      <c r="B419" s="1"/>
      <c r="C419" s="7"/>
      <c r="D419" s="1" t="s">
        <v>68</v>
      </c>
      <c r="E419" s="5" t="str">
        <f t="shared" si="60"/>
        <v>McDowell</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5" t="str">
        <f t="shared" si="61"/>
        <v>2024</v>
      </c>
      <c r="H419" s="5" t="str">
        <f t="shared" si="62"/>
        <v>McDowell_etal_2024</v>
      </c>
      <c r="I419" s="5" t="str">
        <f t="shared" si="64"/>
        <v>10.1186%2Fs12915-024-02038-1</v>
      </c>
      <c r="J419" s="5" t="str">
        <f t="shared" si="63"/>
        <v>McDowell_etal_2024_Table1</v>
      </c>
      <c r="K419" s="5" t="str">
        <f t="shared" si="65"/>
        <v>10.1186%2Fs12915-024-02038-1_Table1</v>
      </c>
      <c r="L419" s="5" t="str">
        <f t="array" ref="L419">IFERROR(INDEX(AUTO_Public_TSV_FileList!$A$1:$A$1000,MATCH(TRUE(),EXACT(K419,IFERROR(_xlfn.TEXTBEFORE(AUTO_Public_TSV_FileList!$A$1:$A$1000,".tsv"),"")),0)),"notfound")</f>
        <v>10.1186%2Fs12915-024-02038-1_Table1.tsv</v>
      </c>
      <c r="M419" s="7"/>
      <c r="N419" s="7"/>
      <c r="O419" s="7"/>
      <c r="P419" s="1"/>
      <c r="Q419" s="7"/>
      <c r="R419" s="7"/>
      <c r="S419" s="7"/>
      <c r="T419" s="7"/>
      <c r="U419" s="7"/>
      <c r="V419" s="7"/>
      <c r="W419" s="7"/>
      <c r="X419" s="7"/>
      <c r="Y419" s="7"/>
      <c r="Z419" s="1"/>
      <c r="AA419" s="7"/>
      <c r="AB419" s="7"/>
      <c r="AC419" s="1"/>
      <c r="AD419" s="1"/>
      <c r="AE419" s="7"/>
      <c r="AF419" s="7"/>
      <c r="AG419" s="7"/>
    </row>
    <row r="420" ht="15" customHeight="1">
      <c r="A420" s="6" t="s">
        <v>1670</v>
      </c>
      <c r="B420" s="6"/>
      <c r="C420" s="6"/>
      <c r="D420" s="6" t="s">
        <v>1671</v>
      </c>
      <c r="E420" s="5" t="str">
        <f t="shared" si="60"/>
        <v>McGuire</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0" s="5" t="str">
        <f t="shared" si="61"/>
        <v>2011</v>
      </c>
      <c r="H420" s="5" t="str">
        <f t="shared" si="62"/>
        <v>McGuire_Ratcliffe_2011</v>
      </c>
      <c r="I420" s="5" t="str">
        <f t="shared" si="64"/>
        <v>10.1098%2Frsbl.2010.0744</v>
      </c>
      <c r="J420" s="5" t="str">
        <f t="shared" si="63"/>
        <v>McGuire_Ratcliffe_2011_ElectronicSupplementaryMaterial1,Table1</v>
      </c>
      <c r="K420" s="5" t="str">
        <f t="shared" si="65"/>
        <v>10.1098%2Frsbl.2010.0744_ElectronicSupplementaryMaterial1,Table1</v>
      </c>
      <c r="L420" s="5" t="str">
        <f t="array" ref="L420">IFERROR(INDEX(AUTO_Public_TSV_FileList!$A$1:$A$1000,MATCH(TRUE(),EXACT(K420,IFERROR(_xlfn.TEXTBEFORE(AUTO_Public_TSV_FileList!$A$1:$A$1000,".tsv"),"")),0)),"notfound")</f>
        <v>notfound</v>
      </c>
      <c r="M420" s="7"/>
      <c r="N420" s="1" t="s">
        <v>35</v>
      </c>
      <c r="O420" s="7"/>
      <c r="P420" s="6"/>
      <c r="Q420" s="6"/>
      <c r="R420" s="6" t="s">
        <v>1672</v>
      </c>
      <c r="S420" s="6" t="s">
        <v>722</v>
      </c>
      <c r="T420" s="6" t="s">
        <v>723</v>
      </c>
      <c r="U420" s="6"/>
      <c r="V420" s="6" t="s">
        <v>1569</v>
      </c>
      <c r="W420" s="6" t="s">
        <v>1673</v>
      </c>
      <c r="X420" s="6" t="s">
        <v>1674</v>
      </c>
      <c r="Y420" s="6" t="s">
        <v>1675</v>
      </c>
      <c r="Z420" s="6"/>
      <c r="AA420" s="6"/>
      <c r="AB420" s="6" t="s">
        <v>1676</v>
      </c>
      <c r="AC420" s="6" t="s">
        <v>155</v>
      </c>
      <c r="AD420" s="6" t="s">
        <v>155</v>
      </c>
      <c r="AE420" s="6" t="s">
        <v>215</v>
      </c>
      <c r="AF420" s="6"/>
      <c r="AG420" s="6" t="s">
        <v>1677</v>
      </c>
    </row>
    <row r="421" ht="15" customHeight="1">
      <c r="A421" s="1" t="s">
        <v>1678</v>
      </c>
      <c r="B421" s="7"/>
      <c r="C421" s="7"/>
      <c r="D421" s="7" t="s">
        <v>1679</v>
      </c>
      <c r="E421" s="5" t="str">
        <f t="shared" si="60"/>
        <v>MedinaGonzález</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1" s="5" t="str">
        <f t="shared" si="61"/>
        <v>2026</v>
      </c>
      <c r="H421" s="5" t="str">
        <f t="shared" si="62"/>
        <v>MedinaGonzález__2026</v>
      </c>
      <c r="I421" s="5" t="str">
        <f t="shared" si="64"/>
        <v>10.1002%2Fjez.70069</v>
      </c>
      <c r="J421" s="5" t="str">
        <f t="shared" si="63"/>
        <v>MedinaGonzález__2026_SupplementaryFile1</v>
      </c>
      <c r="K421" s="5" t="str">
        <f t="shared" si="65"/>
        <v>10.1002%2Fjez.70069_SupplementaryFile1</v>
      </c>
      <c r="L421" s="5" t="str">
        <f t="array" ref="L421">IFERROR(INDEX(AUTO_Public_TSV_FileList!$A$1:$A$1000,MATCH(TRUE(),EXACT(K421,IFERROR(_xlfn.TEXTBEFORE(AUTO_Public_TSV_FileList!$A$1:$A$1000,".tsv"),"")),0)),"notfound")</f>
        <v>10.1002%2Fjez.70069_SupplementaryFile1.tsv</v>
      </c>
      <c r="M421" s="7"/>
      <c r="N421" s="1" t="s">
        <v>35</v>
      </c>
      <c r="O421" s="7"/>
      <c r="P421" s="7"/>
      <c r="Q421" s="7"/>
      <c r="R421" s="7"/>
      <c r="S421" s="7"/>
      <c r="T421" s="7"/>
      <c r="U421" s="7"/>
      <c r="V421" s="7"/>
      <c r="W421" s="7"/>
      <c r="X421" s="7"/>
      <c r="Y421" s="7"/>
      <c r="Z421" s="7"/>
      <c r="AA421" s="7"/>
      <c r="AB421" s="7"/>
      <c r="AC421" s="7"/>
      <c r="AD421" s="7"/>
      <c r="AE421" s="7" t="s">
        <v>51</v>
      </c>
      <c r="AF421" s="7"/>
      <c r="AG421" s="7"/>
    </row>
    <row r="422" ht="15" customHeight="1">
      <c r="A422" s="1" t="s">
        <v>1678</v>
      </c>
      <c r="B422" s="7"/>
      <c r="C422" s="7"/>
      <c r="D422" s="7" t="s">
        <v>1680</v>
      </c>
      <c r="E422" s="5" t="str">
        <f t="shared" si="60"/>
        <v>MedinaGonzález</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2" s="5" t="str">
        <f t="shared" si="61"/>
        <v>2026</v>
      </c>
      <c r="H422" s="5" t="str">
        <f t="shared" si="62"/>
        <v>MedinaGonzález__2026</v>
      </c>
      <c r="I422" s="5" t="str">
        <f t="shared" si="64"/>
        <v>10.1002%2Fjez.70069</v>
      </c>
      <c r="J422" s="5" t="str">
        <f t="shared" si="63"/>
        <v>MedinaGonzález__2026_SupplementaryFile2</v>
      </c>
      <c r="K422" s="5" t="str">
        <f t="shared" si="65"/>
        <v>10.1002%2Fjez.70069_SupplementaryFile2</v>
      </c>
      <c r="L422" s="5" t="str">
        <f t="array" ref="L422">IFERROR(INDEX(AUTO_Public_TSV_FileList!$A$1:$A$1000,MATCH(TRUE(),EXACT(K422,IFERROR(_xlfn.TEXTBEFORE(AUTO_Public_TSV_FileList!$A$1:$A$1000,".tsv"),"")),0)),"notfound")</f>
        <v>10.1002%2Fjez.70069_SupplementaryFile2.tsv</v>
      </c>
      <c r="M422" s="7"/>
      <c r="N422" s="1" t="s">
        <v>35</v>
      </c>
      <c r="O422" s="7"/>
      <c r="P422" s="7"/>
      <c r="Q422" s="7"/>
      <c r="R422" s="7"/>
      <c r="S422" s="7"/>
      <c r="T422" s="7"/>
      <c r="U422" s="7"/>
      <c r="V422" s="7"/>
      <c r="W422" s="7"/>
      <c r="X422" s="7"/>
      <c r="Y422" s="7"/>
      <c r="Z422" s="7"/>
      <c r="AA422" s="7"/>
      <c r="AB422" s="7"/>
      <c r="AC422" s="7"/>
      <c r="AD422" s="7"/>
      <c r="AE422" s="7" t="s">
        <v>51</v>
      </c>
      <c r="AF422" s="7"/>
      <c r="AG422" s="7"/>
    </row>
    <row r="423" ht="15" customHeight="1">
      <c r="A423" s="1" t="s">
        <v>1678</v>
      </c>
      <c r="B423" s="7"/>
      <c r="C423" s="7"/>
      <c r="D423" s="7" t="s">
        <v>1681</v>
      </c>
      <c r="E423" s="5" t="str">
        <f t="shared" si="60"/>
        <v>MedinaGonzález</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3" s="5" t="str">
        <f t="shared" si="61"/>
        <v>2026</v>
      </c>
      <c r="H423" s="5" t="str">
        <f t="shared" si="62"/>
        <v>MedinaGonzález__2026</v>
      </c>
      <c r="I423" s="5" t="str">
        <f t="shared" si="64"/>
        <v>10.1002%2Fjez.70069</v>
      </c>
      <c r="J423" s="5" t="str">
        <f t="shared" si="63"/>
        <v>MedinaGonzález__2026_SupplementaryFile3</v>
      </c>
      <c r="K423" s="5" t="str">
        <f t="shared" si="65"/>
        <v>10.1002%2Fjez.70069_SupplementaryFile3</v>
      </c>
      <c r="L423" s="5" t="str">
        <f t="array" ref="L423">IFERROR(INDEX(AUTO_Public_TSV_FileList!$A$1:$A$1000,MATCH(TRUE(),EXACT(K423,IFERROR(_xlfn.TEXTBEFORE(AUTO_Public_TSV_FileList!$A$1:$A$1000,".tsv"),"")),0)),"notfound")</f>
        <v>10.1002%2Fjez.70069_SupplementaryFile3.tsv</v>
      </c>
      <c r="M423" s="7"/>
      <c r="N423" s="1" t="s">
        <v>35</v>
      </c>
      <c r="O423" s="7"/>
      <c r="P423" s="7"/>
      <c r="Q423" s="7"/>
      <c r="R423" s="7"/>
      <c r="S423" s="7"/>
      <c r="T423" s="7"/>
      <c r="U423" s="7"/>
      <c r="V423" s="7"/>
      <c r="W423" s="7"/>
      <c r="X423" s="7"/>
      <c r="Y423" s="7"/>
      <c r="Z423" s="7"/>
      <c r="AA423" s="7"/>
      <c r="AB423" s="7"/>
      <c r="AC423" s="7"/>
      <c r="AD423" s="7"/>
      <c r="AE423" s="7" t="s">
        <v>51</v>
      </c>
      <c r="AF423" s="7"/>
      <c r="AG423" s="7"/>
    </row>
    <row r="424" ht="15" customHeight="1">
      <c r="A424" s="9" t="s">
        <v>1682</v>
      </c>
      <c r="B424" s="9"/>
      <c r="C424" s="9" t="s">
        <v>1683</v>
      </c>
      <c r="D424" s="9" t="s">
        <v>1684</v>
      </c>
      <c r="E424" s="3" t="str">
        <f t="shared" si="60"/>
        <v>Møhl</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24" s="5" t="str">
        <f t="shared" si="61"/>
        <v>1968</v>
      </c>
      <c r="H424" s="3" t="str">
        <f t="shared" si="62"/>
        <v>Møhl__1968</v>
      </c>
      <c r="I424" s="3" t="str">
        <f>_xlfn.LET(_xlpm.doi,IF(C424&lt;&gt;"",C424,_xlfn.TEXTAFTER(A424,"https://doi.org/")),SUBSTITUTE(SUBSTITUTE(SUBSTITUTE(SUBSTITUTE(_xlpm.doi,"/","%2F"),":","%3A"),"&lt;","%3C"),"&gt;","%3E"))</f>
        <v>AN%3A1969-15508-001</v>
      </c>
      <c r="J424" s="3" t="str">
        <f t="shared" si="63"/>
        <v>Møhl__1968_TableII</v>
      </c>
      <c r="K424" s="5" t="str">
        <f t="shared" si="65"/>
        <v>AN%3A1969-15508-001_TableII</v>
      </c>
      <c r="L424" s="5" t="str">
        <f t="array" ref="L424">IFERROR(INDEX(AUTO_Public_TSV_FileList!$A$1:$A$1000,MATCH(TRUE(),EXACT(K424,IFERROR(_xlfn.TEXTBEFORE(AUTO_Public_TSV_FileList!$A$1:$A$1000,".tsv"),"")),0)),"notfound")</f>
        <v>AN%3A1969-15508-001_TableII.tsv</v>
      </c>
      <c r="M424" s="9" t="s">
        <v>1685</v>
      </c>
      <c r="N424" s="9" t="s">
        <v>70</v>
      </c>
      <c r="O424" s="9" t="s">
        <v>1686</v>
      </c>
      <c r="P424" s="9" t="s">
        <v>36</v>
      </c>
      <c r="Q424" s="9"/>
      <c r="R424" s="9"/>
      <c r="S424" s="9"/>
      <c r="T424" s="9"/>
      <c r="U424" s="9"/>
      <c r="V424" s="9"/>
      <c r="W424" s="9"/>
      <c r="X424" s="9"/>
      <c r="Y424" s="9"/>
      <c r="Z424" s="9"/>
      <c r="AA424" s="9"/>
      <c r="AB424" s="9"/>
      <c r="AC424" s="9"/>
      <c r="AD424" s="9"/>
      <c r="AE424" s="9"/>
      <c r="AF424" s="9"/>
      <c r="AG424" s="9"/>
    </row>
    <row r="425" ht="15" customHeight="1">
      <c r="A425" s="1" t="s">
        <v>1687</v>
      </c>
      <c r="B425" s="9"/>
      <c r="C425" s="9"/>
      <c r="D425" s="1" t="s">
        <v>516</v>
      </c>
      <c r="E425" s="5" t="str">
        <f t="shared" si="60"/>
        <v>Mooney</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5" t="str">
        <f t="shared" si="61"/>
        <v>2012</v>
      </c>
      <c r="H425" s="5" t="str">
        <f t="shared" si="62"/>
        <v>Mooney_etal_2012</v>
      </c>
      <c r="I425" s="5" t="str">
        <f t="shared" ref="I425:I439" si="66">_xlfn.LET(
_xlpm.doi,IF(C425&lt;&gt;"",C425,_xlfn.TEXTAFTER(A425,"https://doi.org/")),
SUBSTITUTE(
SUBSTITUTE(
SUBSTITUTE(
SUBSTITUTE(
_xlpm.doi,
"/","%2F"),
":","%3A"),
"&lt;","%3C"),
"&gt;","%3E")
)</f>
        <v>10.1016%2FB978-0-12-394282-1.00004-1</v>
      </c>
      <c r="J425" s="5" t="str">
        <f t="shared" si="63"/>
        <v>Mooney_etal_2012_Table4.1</v>
      </c>
      <c r="K425" s="5" t="str">
        <f>I425 &amp; "_" &amp; SUBSTITUTE(SUBSTITUTE(SUBSTITUTE(D425,CHAR(160),""), " ", ""), "_", "")</f>
        <v>10.1016%2FB978-0-12-394282-1.00004-1_Table4.1</v>
      </c>
      <c r="L425" s="5" t="str">
        <f t="array" ref="L425">IFERROR(INDEX(AUTO_Public_TSV_FileList!$A$1:$A$1000,MATCH(TRUE(),EXACT(K425,IFERROR(_xlfn.TEXTBEFORE(AUTO_Public_TSV_FileList!$A$1:$A$1000,".tsv"),"")),0)),"notfound")</f>
        <v>10.1016%2FB978-0-12-394282-1.00004-1_Table4.1.tsv</v>
      </c>
      <c r="M425" s="7" t="s">
        <v>1688</v>
      </c>
      <c r="N425" s="1" t="s">
        <v>35</v>
      </c>
      <c r="O425" s="7" t="s">
        <v>1689</v>
      </c>
      <c r="P425" s="1" t="s">
        <v>36</v>
      </c>
      <c r="Q425" s="9"/>
      <c r="R425" s="7" t="s">
        <v>1690</v>
      </c>
      <c r="S425" s="9"/>
      <c r="T425" s="9"/>
      <c r="U425" s="9"/>
      <c r="V425" s="7" t="s">
        <v>833</v>
      </c>
      <c r="W425" s="1" t="s">
        <v>1691</v>
      </c>
      <c r="X425" s="1" t="s">
        <v>1692</v>
      </c>
      <c r="Y425" s="9"/>
      <c r="Z425" s="7" t="s">
        <v>1693</v>
      </c>
      <c r="AA425" s="7" t="s">
        <v>1694</v>
      </c>
      <c r="AB425" s="1" t="s">
        <v>1695</v>
      </c>
      <c r="AC425" s="1" t="s">
        <v>1696</v>
      </c>
      <c r="AD425" s="7" t="s">
        <v>1697</v>
      </c>
      <c r="AE425" s="1" t="s">
        <v>215</v>
      </c>
      <c r="AF425" s="1" t="s">
        <v>1697</v>
      </c>
      <c r="AG425" s="9"/>
    </row>
    <row r="426" ht="15" customHeight="1">
      <c r="A426" s="7" t="s">
        <v>1698</v>
      </c>
      <c r="B426" s="7"/>
      <c r="C426" s="7"/>
      <c r="D426" s="7" t="s">
        <v>516</v>
      </c>
      <c r="E426" s="5" t="str">
        <f t="shared" si="60"/>
        <v>Mooney</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5" t="str">
        <f t="shared" si="61"/>
        <v>2012</v>
      </c>
      <c r="H426" s="5" t="str">
        <f t="shared" si="62"/>
        <v>Mooney_etal_2012</v>
      </c>
      <c r="I426" s="5" t="str">
        <f t="shared" si="66"/>
        <v>10.1016%2FB978-0-12-394282-1.00004-1</v>
      </c>
      <c r="J426" s="5" t="str">
        <f t="shared" si="63"/>
        <v>Mooney_etal_2012_Table4.1</v>
      </c>
      <c r="K426" s="5" t="str">
        <f t="shared" ref="K426:K437" si="67">I426 &amp; "_" &amp; SUBSTITUTE(SUBSTITUTE(SUBSTITUTE(D426,CHAR(160),"")," ",""),"_","")</f>
        <v>10.1016%2FB978-0-12-394282-1.00004-1_Table4.1</v>
      </c>
      <c r="L426" s="5" t="str">
        <f t="array" ref="L426">IFERROR(INDEX(AUTO_Public_TSV_FileList!$A$1:$A$1000,MATCH(TRUE(),EXACT(K426,IFERROR(_xlfn.TEXTBEFORE(AUTO_Public_TSV_FileList!$A$1:$A$1000,".tsv"),"")),0)),"notfound")</f>
        <v>10.1016%2FB978-0-12-394282-1.00004-1_Table4.1.tsv</v>
      </c>
      <c r="M426" s="7" t="s">
        <v>1699</v>
      </c>
      <c r="N426" s="7" t="s">
        <v>70</v>
      </c>
      <c r="O426" s="7" t="s">
        <v>1700</v>
      </c>
      <c r="P426" s="7"/>
      <c r="Q426" s="7"/>
      <c r="R426" s="7" t="s">
        <v>1690</v>
      </c>
      <c r="S426" s="7"/>
      <c r="T426" s="7" t="s">
        <v>1701</v>
      </c>
      <c r="U426" s="7"/>
      <c r="V426" s="7" t="s">
        <v>309</v>
      </c>
      <c r="W426" s="7" t="s">
        <v>1702</v>
      </c>
      <c r="X426" s="7" t="s">
        <v>1703</v>
      </c>
      <c r="Y426" s="7" t="s">
        <v>1704</v>
      </c>
      <c r="Z426" s="7"/>
      <c r="AA426" s="7" t="s">
        <v>1705</v>
      </c>
      <c r="AB426" s="7" t="s">
        <v>937</v>
      </c>
      <c r="AC426" s="7" t="s">
        <v>1696</v>
      </c>
      <c r="AD426" s="7"/>
      <c r="AE426" s="7" t="s">
        <v>215</v>
      </c>
      <c r="AF426" s="7" t="s">
        <v>1706</v>
      </c>
      <c r="AG426" s="7" t="s">
        <v>1707</v>
      </c>
    </row>
    <row r="427" ht="15" customHeight="1">
      <c r="A427" s="7" t="s">
        <v>1698</v>
      </c>
      <c r="B427" s="7"/>
      <c r="C427" s="7"/>
      <c r="D427" s="7" t="s">
        <v>1708</v>
      </c>
      <c r="E427" s="5" t="str">
        <f t="shared" si="60"/>
        <v>Mooney</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5" t="str">
        <f t="shared" si="61"/>
        <v>2012</v>
      </c>
      <c r="H427" s="5" t="str">
        <f t="shared" si="62"/>
        <v>Mooney_etal_2012</v>
      </c>
      <c r="I427" s="5" t="str">
        <f t="shared" si="66"/>
        <v>10.1016%2FB978-0-12-394282-1.00004-1</v>
      </c>
      <c r="J427" s="5" t="str">
        <f t="shared" si="63"/>
        <v>Mooney_etal_2012_Text</v>
      </c>
      <c r="K427" s="5" t="str">
        <f t="shared" si="67"/>
        <v>10.1016%2FB978-0-12-394282-1.00004-1_Text</v>
      </c>
      <c r="L427" s="5" t="str">
        <f t="array" ref="L427">IFERROR(INDEX(AUTO_Public_TSV_FileList!$A$1:$A$1000,MATCH(TRUE(),EXACT(K427,IFERROR(_xlfn.TEXTBEFORE(AUTO_Public_TSV_FileList!$A$1:$A$1000,".tsv"),"")),0)),"notfound")</f>
        <v>10.1016%2FB978-0-12-394282-1.00004-1_Text.tsv</v>
      </c>
      <c r="M427" s="7" t="s">
        <v>1709</v>
      </c>
      <c r="N427" s="7" t="s">
        <v>455</v>
      </c>
      <c r="O427" s="7" t="s">
        <v>1710</v>
      </c>
      <c r="P427" s="7"/>
      <c r="Q427" s="7"/>
      <c r="R427" s="7" t="s">
        <v>1690</v>
      </c>
      <c r="S427" s="7"/>
      <c r="T427" s="7" t="s">
        <v>1711</v>
      </c>
      <c r="U427" s="7"/>
      <c r="V427" s="7" t="s">
        <v>309</v>
      </c>
      <c r="W427" s="7" t="s">
        <v>1712</v>
      </c>
      <c r="X427" s="7" t="s">
        <v>1713</v>
      </c>
      <c r="Y427" s="7"/>
      <c r="Z427" s="7"/>
      <c r="AA427" s="7" t="s">
        <v>1504</v>
      </c>
      <c r="AB427" s="7" t="s">
        <v>1714</v>
      </c>
      <c r="AC427" s="7" t="s">
        <v>1696</v>
      </c>
      <c r="AD427" s="7"/>
      <c r="AE427" s="7" t="s">
        <v>215</v>
      </c>
      <c r="AF427" s="7" t="s">
        <v>1715</v>
      </c>
      <c r="AG427" s="7" t="s">
        <v>1716</v>
      </c>
    </row>
    <row r="428" ht="15" customHeight="1">
      <c r="A428" s="7" t="s">
        <v>1717</v>
      </c>
      <c r="B428" s="7"/>
      <c r="C428" s="7"/>
      <c r="D428" s="7" t="s">
        <v>1040</v>
      </c>
      <c r="E428" s="5" t="str">
        <f t="shared" si="60"/>
        <v>Morelli</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5" t="str">
        <f t="shared" si="61"/>
        <v>2025</v>
      </c>
      <c r="H428" s="5" t="str">
        <f t="shared" si="62"/>
        <v>Morelli_etal_2025</v>
      </c>
      <c r="I428" s="5" t="str">
        <f t="shared" si="66"/>
        <v>10.1016%2Fj.pbiomolbio.2025.03.001</v>
      </c>
      <c r="J428" s="5" t="str">
        <f t="shared" si="63"/>
        <v>Morelli_etal_2025_Figure5</v>
      </c>
      <c r="K428" s="5" t="str">
        <f t="shared" si="67"/>
        <v>10.1016%2Fj.pbiomolbio.2025.03.001_Figure5</v>
      </c>
      <c r="L428" s="5" t="str">
        <f t="array" ref="L428">IFERROR(INDEX(AUTO_Public_TSV_FileList!$A$1:$A$1000,MATCH(TRUE(),EXACT(K428,IFERROR(_xlfn.TEXTBEFORE(AUTO_Public_TSV_FileList!$A$1:$A$1000,".tsv"),"")),0)),"notfound")</f>
        <v>notfound</v>
      </c>
      <c r="M428" s="7" t="s">
        <v>1718</v>
      </c>
      <c r="N428" s="7"/>
      <c r="O428" s="7"/>
      <c r="P428" s="7"/>
      <c r="Q428" s="7"/>
      <c r="R428" s="7"/>
      <c r="S428" s="7"/>
      <c r="T428" s="7"/>
      <c r="U428" s="7"/>
      <c r="V428" s="7"/>
      <c r="W428" s="7"/>
      <c r="X428" s="7"/>
      <c r="Y428" s="7"/>
      <c r="Z428" s="7"/>
      <c r="AA428" s="7"/>
      <c r="AB428" s="7"/>
      <c r="AC428" s="7"/>
      <c r="AD428" s="7"/>
      <c r="AE428" s="7"/>
      <c r="AF428" s="7"/>
      <c r="AG428" s="7"/>
    </row>
    <row r="429" ht="15" customHeight="1">
      <c r="A429" s="7" t="s">
        <v>1719</v>
      </c>
      <c r="B429" s="7"/>
      <c r="C429" s="7"/>
      <c r="D429" s="7" t="s">
        <v>1483</v>
      </c>
      <c r="E429" s="5" t="str">
        <f t="shared" si="60"/>
        <v>Morgan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5" t="str">
        <f t="shared" si="61"/>
        <v>2014</v>
      </c>
      <c r="H429" s="5" t="str">
        <f t="shared" si="62"/>
        <v>Morgan_etal_2014</v>
      </c>
      <c r="I429" s="5" t="str">
        <f t="shared" si="66"/>
        <v>10.1371%2Fjournal.pone.0110356</v>
      </c>
      <c r="J429" s="5" t="str">
        <f t="shared" si="63"/>
        <v>Morgan_etal_2014_DataS1</v>
      </c>
      <c r="K429" s="5" t="str">
        <f t="shared" si="67"/>
        <v>10.1371%2Fjournal.pone.0110356_DataS1</v>
      </c>
      <c r="L429" s="5" t="str">
        <f t="array" ref="L429">IFERROR(INDEX(AUTO_Public_TSV_FileList!$A$1:$A$1000,MATCH(TRUE(),EXACT(K429,IFERROR(_xlfn.TEXTBEFORE(AUTO_Public_TSV_FileList!$A$1:$A$1000,".tsv"),"")),0)),"notfound")</f>
        <v>10.1371%2Fjournal.pone.0110356_DataS1.tsv</v>
      </c>
      <c r="M429" s="7" t="s">
        <v>1720</v>
      </c>
      <c r="N429" s="7" t="s">
        <v>1721</v>
      </c>
      <c r="O429" s="7"/>
      <c r="P429" s="7" t="s">
        <v>36</v>
      </c>
      <c r="Q429" s="7" t="s">
        <v>1722</v>
      </c>
      <c r="R429" s="7"/>
      <c r="S429" s="7"/>
      <c r="T429" s="7"/>
      <c r="U429" s="7"/>
      <c r="V429" s="7"/>
      <c r="W429" s="7" t="s">
        <v>816</v>
      </c>
      <c r="X429" s="7"/>
      <c r="Y429" s="7"/>
      <c r="Z429" s="7" t="s">
        <v>1723</v>
      </c>
      <c r="AA429" s="7" t="s">
        <v>1724</v>
      </c>
      <c r="AB429" s="7" t="s">
        <v>1424</v>
      </c>
      <c r="AC429" s="7" t="s">
        <v>1725</v>
      </c>
      <c r="AD429" s="7"/>
      <c r="AE429" s="7" t="s">
        <v>66</v>
      </c>
      <c r="AF429" s="7"/>
      <c r="AG429" s="7"/>
    </row>
    <row r="430" ht="15" customHeight="1">
      <c r="A430" s="1" t="s">
        <v>1726</v>
      </c>
      <c r="B430" s="7"/>
      <c r="C430" s="7"/>
      <c r="D430" s="1" t="s">
        <v>286</v>
      </c>
      <c r="E430" s="5" t="str">
        <f t="shared" si="60"/>
        <v>Mota</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0" s="5" t="str">
        <f t="shared" si="61"/>
        <v>2015</v>
      </c>
      <c r="H430" s="5" t="str">
        <f t="shared" si="62"/>
        <v>Mota_HerculanoHouzel_2015</v>
      </c>
      <c r="I430" s="5" t="str">
        <f t="shared" si="66"/>
        <v>10.1126%2Fscience.aaa9101</v>
      </c>
      <c r="J430" s="5" t="str">
        <f t="shared" si="63"/>
        <v>Mota_HerculanoHouzel_2015_TableS1</v>
      </c>
      <c r="K430" s="5" t="str">
        <f t="shared" si="67"/>
        <v>10.1126%2Fscience.aaa9101_TableS1</v>
      </c>
      <c r="L430" s="5" t="str">
        <f t="array" ref="L430">IFERROR(INDEX(AUTO_Public_TSV_FileList!$A$1:$A$1000,MATCH(TRUE(),EXACT(K430,IFERROR(_xlfn.TEXTBEFORE(AUTO_Public_TSV_FileList!$A$1:$A$1000,".tsv"),"")),0)),"notfound")</f>
        <v>10.1126%2Fscience.aaa9101_TableS1.tsv</v>
      </c>
      <c r="M430" s="7"/>
      <c r="N430" s="7"/>
      <c r="O430" s="7"/>
      <c r="P430" s="7" t="s">
        <v>36</v>
      </c>
      <c r="Q430" s="7"/>
      <c r="R430" s="7"/>
      <c r="S430" s="7"/>
      <c r="T430" s="7"/>
      <c r="U430" s="7"/>
      <c r="V430" s="7"/>
      <c r="W430" s="1" t="s">
        <v>174</v>
      </c>
      <c r="X430" s="1" t="s">
        <v>1727</v>
      </c>
      <c r="Y430" s="7"/>
      <c r="Z430" s="7"/>
      <c r="AA430" s="7"/>
      <c r="AB430" s="1" t="s">
        <v>1727</v>
      </c>
      <c r="AC430" s="7"/>
      <c r="AD430" s="7"/>
      <c r="AE430" s="1" t="s">
        <v>51</v>
      </c>
      <c r="AF430" s="1"/>
      <c r="AG430" s="7"/>
    </row>
    <row r="431" ht="15" customHeight="1">
      <c r="A431" s="1" t="s">
        <v>1728</v>
      </c>
      <c r="B431" s="7"/>
      <c r="C431" s="7"/>
      <c r="D431" s="1" t="s">
        <v>1729</v>
      </c>
      <c r="E431" s="5" t="str">
        <f t="shared" si="60"/>
        <v>Mota</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5" t="str">
        <f t="shared" si="61"/>
        <v>2019</v>
      </c>
      <c r="H431" s="5" t="str">
        <f t="shared" si="62"/>
        <v>Mota_etal_2019</v>
      </c>
      <c r="I431" s="5" t="str">
        <f t="shared" si="66"/>
        <v>10.1073%2Fpnas.1716956116</v>
      </c>
      <c r="J431" s="5" t="str">
        <f t="shared" si="63"/>
        <v>Mota_etal_2019_SupplementaryTableS1</v>
      </c>
      <c r="K431" s="5" t="str">
        <f t="shared" si="67"/>
        <v>10.1073%2Fpnas.1716956116_SupplementaryTableS1</v>
      </c>
      <c r="L431" s="5" t="str">
        <f t="array" ref="L431">IFERROR(INDEX(AUTO_Public_TSV_FileList!$A$1:$A$1000,MATCH(TRUE(),EXACT(K431,IFERROR(_xlfn.TEXTBEFORE(AUTO_Public_TSV_FileList!$A$1:$A$1000,".tsv"),"")),0)),"notfound")</f>
        <v>10.1073%2Fpnas.1716956116_SupplementaryTableS1.tsv</v>
      </c>
      <c r="M431" s="1" t="s">
        <v>1730</v>
      </c>
      <c r="N431" s="7"/>
      <c r="O431" s="7"/>
      <c r="P431" s="7" t="s">
        <v>36</v>
      </c>
      <c r="Q431" s="7"/>
      <c r="R431" s="7"/>
      <c r="S431" s="7"/>
      <c r="T431" s="7"/>
      <c r="U431" s="7"/>
      <c r="V431" s="7"/>
      <c r="W431" s="1" t="s">
        <v>174</v>
      </c>
      <c r="X431" s="1" t="s">
        <v>1731</v>
      </c>
      <c r="Y431" s="1" t="s">
        <v>1732</v>
      </c>
      <c r="Z431" s="7"/>
      <c r="AA431" s="7"/>
      <c r="AB431" s="1" t="s">
        <v>1733</v>
      </c>
      <c r="AC431" s="7"/>
      <c r="AD431" s="7"/>
      <c r="AE431" s="1" t="s">
        <v>51</v>
      </c>
      <c r="AF431" s="1"/>
      <c r="AG431" s="7"/>
    </row>
    <row r="432" ht="15" customHeight="1">
      <c r="A432" s="7" t="s">
        <v>1734</v>
      </c>
      <c r="B432" s="7"/>
      <c r="C432" s="7"/>
      <c r="D432" s="7" t="s">
        <v>1735</v>
      </c>
      <c r="E432" s="5" t="str">
        <f t="shared" si="60"/>
        <v>Myhrvold</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5" t="str">
        <f t="shared" si="61"/>
        <v>2015</v>
      </c>
      <c r="H432" s="5" t="str">
        <f t="shared" si="62"/>
        <v>Myhrvold_etal_2015</v>
      </c>
      <c r="I432" s="5" t="str">
        <f t="shared" si="66"/>
        <v>10.1890%2F15-0846r.1</v>
      </c>
      <c r="J432" s="5" t="str">
        <f t="shared" si="63"/>
        <v>Myhrvold_etal_2015_AmnioteDatabaseAug2015.csv</v>
      </c>
      <c r="K432" s="5" t="str">
        <f t="shared" si="67"/>
        <v>10.1890%2F15-0846r.1_AmnioteDatabaseAug2015.csv</v>
      </c>
      <c r="L432" s="5" t="str">
        <f t="array" ref="L432">IFERROR(INDEX(AUTO_Public_TSV_FileList!$A$1:$A$1000,MATCH(TRUE(),EXACT(K432,IFERROR(_xlfn.TEXTBEFORE(AUTO_Public_TSV_FileList!$A$1:$A$1000,".tsv"),"")),0)),"notfound")</f>
        <v>notfound</v>
      </c>
      <c r="M432" s="7"/>
      <c r="N432" s="7"/>
      <c r="O432" s="7"/>
      <c r="P432" s="7"/>
      <c r="Q432" s="7"/>
      <c r="R432" s="7"/>
      <c r="S432" s="7"/>
      <c r="T432" s="7"/>
      <c r="U432" s="7"/>
      <c r="V432" s="7"/>
      <c r="W432" s="7"/>
      <c r="X432" s="7"/>
      <c r="Y432" s="7"/>
      <c r="Z432" s="7"/>
      <c r="AA432" s="7"/>
      <c r="AB432" s="7"/>
      <c r="AC432" s="7"/>
      <c r="AD432" s="7"/>
      <c r="AE432" s="7"/>
      <c r="AF432" s="7"/>
      <c r="AG432" s="7"/>
    </row>
    <row r="433" ht="15" customHeight="1">
      <c r="A433" s="7" t="s">
        <v>1734</v>
      </c>
      <c r="B433" s="7"/>
      <c r="C433" s="7"/>
      <c r="D433" s="7" t="s">
        <v>1736</v>
      </c>
      <c r="E433" s="5" t="str">
        <f t="shared" si="60"/>
        <v>Myhrvold</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5" t="str">
        <f t="shared" si="61"/>
        <v>2015</v>
      </c>
      <c r="H433" s="5" t="str">
        <f t="shared" si="62"/>
        <v>Myhrvold_etal_2015</v>
      </c>
      <c r="I433" s="5" t="str">
        <f t="shared" si="66"/>
        <v>10.1890%2F15-0846r.1</v>
      </c>
      <c r="J433" s="5" t="str">
        <f t="shared" si="63"/>
        <v>Myhrvold_etal_2015_AmnioteDatabaseReferencesAug2015.csv</v>
      </c>
      <c r="K433" s="5" t="str">
        <f t="shared" si="67"/>
        <v>10.1890%2F15-0846r.1_AmnioteDatabaseReferencesAug2015.csv</v>
      </c>
      <c r="L433" s="5" t="str">
        <f t="array" ref="L433">IFERROR(INDEX(AUTO_Public_TSV_FileList!$A$1:$A$1000,MATCH(TRUE(),EXACT(K433,IFERROR(_xlfn.TEXTBEFORE(AUTO_Public_TSV_FileList!$A$1:$A$1000,".tsv"),"")),0)),"notfound")</f>
        <v>notfound</v>
      </c>
      <c r="M433" s="7"/>
      <c r="N433" s="7"/>
      <c r="O433" s="7"/>
      <c r="P433" s="7"/>
      <c r="Q433" s="7"/>
      <c r="R433" s="7"/>
      <c r="S433" s="7"/>
      <c r="T433" s="7"/>
      <c r="U433" s="7"/>
      <c r="V433" s="7"/>
      <c r="W433" s="7"/>
      <c r="X433" s="7"/>
      <c r="Y433" s="7"/>
      <c r="Z433" s="7"/>
      <c r="AA433" s="7"/>
      <c r="AB433" s="7"/>
      <c r="AC433" s="7"/>
      <c r="AD433" s="7"/>
      <c r="AE433" s="7"/>
      <c r="AF433" s="7"/>
      <c r="AG433" s="7"/>
    </row>
    <row r="434" ht="15" customHeight="1">
      <c r="A434" s="7" t="s">
        <v>1734</v>
      </c>
      <c r="B434" s="7"/>
      <c r="C434" s="7"/>
      <c r="D434" s="7" t="s">
        <v>1737</v>
      </c>
      <c r="E434" s="5" t="str">
        <f t="shared" si="60"/>
        <v>Myhrvold</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5" t="str">
        <f t="shared" si="61"/>
        <v>2015</v>
      </c>
      <c r="H434" s="5" t="str">
        <f t="shared" si="62"/>
        <v>Myhrvold_etal_2015</v>
      </c>
      <c r="I434" s="5" t="str">
        <f t="shared" si="66"/>
        <v>10.1890%2F15-0846r.1</v>
      </c>
      <c r="J434" s="5" t="str">
        <f t="shared" si="63"/>
        <v>Myhrvold_etal_2015_AmnioteRangeCountAug2015.csv</v>
      </c>
      <c r="K434" s="5" t="str">
        <f t="shared" si="67"/>
        <v>10.1890%2F15-0846r.1_AmnioteRangeCountAug2015.csv</v>
      </c>
      <c r="L434" s="5" t="str">
        <f t="array" ref="L434">IFERROR(INDEX(AUTO_Public_TSV_FileList!$A$1:$A$1000,MATCH(TRUE(),EXACT(K434,IFERROR(_xlfn.TEXTBEFORE(AUTO_Public_TSV_FileList!$A$1:$A$1000,".tsv"),"")),0)),"notfound")</f>
        <v>notfound</v>
      </c>
      <c r="M434" s="7"/>
      <c r="N434" s="7"/>
      <c r="O434" s="7"/>
      <c r="P434" s="7"/>
      <c r="Q434" s="7"/>
      <c r="R434" s="7"/>
      <c r="S434" s="7"/>
      <c r="T434" s="7"/>
      <c r="U434" s="7"/>
      <c r="V434" s="7"/>
      <c r="W434" s="7"/>
      <c r="X434" s="7"/>
      <c r="Y434" s="7"/>
      <c r="Z434" s="7"/>
      <c r="AA434" s="7"/>
      <c r="AB434" s="7"/>
      <c r="AC434" s="7"/>
      <c r="AD434" s="7"/>
      <c r="AE434" s="7"/>
      <c r="AF434" s="7"/>
      <c r="AG434" s="7"/>
    </row>
    <row r="435" ht="15" customHeight="1">
      <c r="A435" s="7" t="s">
        <v>1734</v>
      </c>
      <c r="B435" s="7"/>
      <c r="C435" s="7"/>
      <c r="D435" s="7" t="s">
        <v>1738</v>
      </c>
      <c r="E435" s="5" t="str">
        <f t="shared" si="60"/>
        <v>Myhrvold</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5" t="str">
        <f t="shared" si="61"/>
        <v>2015</v>
      </c>
      <c r="H435" s="5" t="str">
        <f t="shared" si="62"/>
        <v>Myhrvold_etal_2015</v>
      </c>
      <c r="I435" s="5" t="str">
        <f t="shared" si="66"/>
        <v>10.1890%2F15-0846r.1</v>
      </c>
      <c r="J435" s="5" t="str">
        <f t="shared" si="63"/>
        <v>Myhrvold_etal_2015_AmnioteSparseTableAug2015.csv</v>
      </c>
      <c r="K435" s="5" t="str">
        <f t="shared" si="67"/>
        <v>10.1890%2F15-0846r.1_AmnioteSparseTableAug2015.csv</v>
      </c>
      <c r="L435" s="5" t="str">
        <f t="array" ref="L435">IFERROR(INDEX(AUTO_Public_TSV_FileList!$A$1:$A$1000,MATCH(TRUE(),EXACT(K435,IFERROR(_xlfn.TEXTBEFORE(AUTO_Public_TSV_FileList!$A$1:$A$1000,".tsv"),"")),0)),"notfound")</f>
        <v>notfound</v>
      </c>
      <c r="M435" s="7"/>
      <c r="N435" s="7"/>
      <c r="O435" s="7"/>
      <c r="P435" s="7"/>
      <c r="Q435" s="7"/>
      <c r="R435" s="7"/>
      <c r="S435" s="7"/>
      <c r="T435" s="7"/>
      <c r="U435" s="7"/>
      <c r="V435" s="7"/>
      <c r="W435" s="7"/>
      <c r="X435" s="7"/>
      <c r="Y435" s="7"/>
      <c r="Z435" s="7"/>
      <c r="AA435" s="7"/>
      <c r="AB435" s="7"/>
      <c r="AC435" s="7"/>
      <c r="AD435" s="7"/>
      <c r="AE435" s="7"/>
      <c r="AF435" s="7"/>
      <c r="AG435" s="7"/>
    </row>
    <row r="436" ht="15" customHeight="1">
      <c r="A436" s="1" t="s">
        <v>1739</v>
      </c>
      <c r="B436" s="7"/>
      <c r="C436" s="7"/>
      <c r="D436" s="1" t="s">
        <v>1200</v>
      </c>
      <c r="E436" s="5" t="str">
        <f t="shared" si="60"/>
        <v>Navarrete</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5" t="str">
        <f t="shared" si="61"/>
        <v>2016</v>
      </c>
      <c r="H436" s="5" t="str">
        <f t="shared" si="62"/>
        <v>Navarrete_etal_2016</v>
      </c>
      <c r="I436" s="5" t="str">
        <f t="shared" si="66"/>
        <v>10.1098%2Frstb.2015.0186</v>
      </c>
      <c r="J436" s="5" t="str">
        <f t="shared" si="63"/>
        <v>Navarrete_etal_2016_Data</v>
      </c>
      <c r="K436" s="5" t="str">
        <f t="shared" si="67"/>
        <v>10.1098%2Frstb.2015.0186_Data</v>
      </c>
      <c r="L436" s="5" t="str">
        <f t="array" ref="L436">IFERROR(INDEX(AUTO_Public_TSV_FileList!$A$1:$A$1000,MATCH(TRUE(),EXACT(K436,IFERROR(_xlfn.TEXTBEFORE(AUTO_Public_TSV_FileList!$A$1:$A$1000,".tsv"),"")),0)),"notfound")</f>
        <v>10.1098%2Frstb.2015.0186_Data.tsv</v>
      </c>
      <c r="M436" s="7"/>
      <c r="N436" s="7"/>
      <c r="O436" s="7"/>
      <c r="P436" s="7" t="s">
        <v>36</v>
      </c>
      <c r="Q436" s="7" t="s">
        <v>1740</v>
      </c>
      <c r="R436" s="7"/>
      <c r="S436" s="7"/>
      <c r="T436" s="7"/>
      <c r="U436" s="7"/>
      <c r="V436" s="7"/>
      <c r="W436" s="1"/>
      <c r="X436" s="1"/>
      <c r="Y436" s="1"/>
      <c r="Z436" s="7"/>
      <c r="AA436" s="7"/>
      <c r="AB436" s="1"/>
      <c r="AC436" s="7"/>
      <c r="AD436" s="7"/>
      <c r="AE436" s="1" t="s">
        <v>51</v>
      </c>
      <c r="AF436" s="1"/>
      <c r="AG436" s="7"/>
    </row>
    <row r="437" ht="15" customHeight="1">
      <c r="A437" s="1" t="s">
        <v>1741</v>
      </c>
      <c r="B437" s="7"/>
      <c r="C437" s="7"/>
      <c r="D437" s="7" t="s">
        <v>108</v>
      </c>
      <c r="E437" s="5" t="str">
        <f t="shared" si="60"/>
        <v>Nguyen</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5" t="str">
        <f t="shared" si="61"/>
        <v>2019</v>
      </c>
      <c r="H437" s="5" t="str">
        <f t="shared" si="62"/>
        <v>Nguyen_etal_2019</v>
      </c>
      <c r="I437" s="5" t="str">
        <f t="shared" si="66"/>
        <v>10.1002%2Fcne.24823</v>
      </c>
      <c r="J437" s="5" t="str">
        <f t="shared" si="63"/>
        <v>Nguyen_etal_2019_Table2</v>
      </c>
      <c r="K437" s="5" t="str">
        <f t="shared" si="67"/>
        <v>10.1002%2Fcne.24823_Table2</v>
      </c>
      <c r="L437" s="5" t="str">
        <f t="array" ref="L437">IFERROR(INDEX(AUTO_Public_TSV_FileList!$A$1:$A$1000,MATCH(TRUE(),EXACT(K437,IFERROR(_xlfn.TEXTBEFORE(AUTO_Public_TSV_FileList!$A$1:$A$1000,".tsv"),"")),0)),"notfound")</f>
        <v>10.1002%2Fcne.24823_Table2.tsv</v>
      </c>
      <c r="M437" s="7" t="s">
        <v>1742</v>
      </c>
      <c r="N437" s="7"/>
      <c r="O437" s="7"/>
      <c r="P437" s="7" t="s">
        <v>36</v>
      </c>
      <c r="Q437" s="7"/>
      <c r="R437" s="7"/>
      <c r="S437" s="7"/>
      <c r="T437" s="7"/>
      <c r="U437" s="7"/>
      <c r="V437" s="7"/>
      <c r="W437" s="7"/>
      <c r="X437" s="7"/>
      <c r="Y437" s="7"/>
      <c r="Z437" s="7"/>
      <c r="AA437" s="7"/>
      <c r="AB437" s="7"/>
      <c r="AC437" s="7"/>
      <c r="AD437" s="7"/>
      <c r="AE437" s="7" t="s">
        <v>66</v>
      </c>
      <c r="AF437" s="7"/>
      <c r="AG437" s="7"/>
    </row>
    <row r="438" ht="15" customHeight="1">
      <c r="A438" s="7" t="s">
        <v>1743</v>
      </c>
      <c r="B438" s="7"/>
      <c r="C438" s="7"/>
      <c r="D438" s="7" t="s">
        <v>68</v>
      </c>
      <c r="E438" s="3" t="str">
        <f t="shared" si="60"/>
        <v>Nimchinsky</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3" t="str">
        <f t="shared" si="61"/>
        <v>1999</v>
      </c>
      <c r="H438" s="3" t="str">
        <f t="shared" si="62"/>
        <v>Nimchinsky_etal_1999</v>
      </c>
      <c r="I438" s="3" t="str">
        <f t="shared" si="66"/>
        <v>10.1073%2Fpnas.96.9.5268</v>
      </c>
      <c r="J438" s="3" t="str">
        <f t="shared" si="63"/>
        <v>Nimchinsky_etal_1999_Table1</v>
      </c>
      <c r="K438" s="3" t="str">
        <f>I438 &amp; "_" &amp; SUBSTITUTE(SUBSTITUTE(SUBSTITUTE(D438,CHAR(160),""), " ", ""), "_", "")</f>
        <v>10.1073%2Fpnas.96.9.5268_Table1</v>
      </c>
      <c r="L438" s="5" t="str">
        <f t="array" ref="L438">IFERROR(INDEX(AUTO_Public_TSV_FileList!$A$1:$A$1000,MATCH(TRUE(),EXACT(K438,IFERROR(_xlfn.TEXTBEFORE(AUTO_Public_TSV_FileList!$A$1:$A$1000,".tsv"),"")),0)),"notfound")</f>
        <v>10.1073%2Fpnas.96.9.5268_Table1.tsv</v>
      </c>
      <c r="M438" s="7"/>
      <c r="N438" s="7"/>
      <c r="O438" s="7" t="s">
        <v>1744</v>
      </c>
      <c r="P438" s="1" t="s">
        <v>36</v>
      </c>
      <c r="Q438" s="7"/>
      <c r="R438" s="7"/>
      <c r="S438" s="7"/>
      <c r="T438" s="7"/>
      <c r="U438" s="7"/>
      <c r="V438" s="7"/>
      <c r="W438" s="7"/>
      <c r="X438" s="7"/>
      <c r="Y438" s="7"/>
      <c r="Z438" s="7"/>
      <c r="AA438" s="7"/>
      <c r="AB438" s="7"/>
      <c r="AC438" s="7"/>
      <c r="AD438" s="7"/>
      <c r="AE438" s="7"/>
      <c r="AF438" s="7"/>
      <c r="AG438" s="7"/>
    </row>
    <row r="439" ht="15" customHeight="1">
      <c r="A439" s="7" t="s">
        <v>1743</v>
      </c>
      <c r="B439" s="7"/>
      <c r="C439" s="7"/>
      <c r="D439" s="7" t="s">
        <v>108</v>
      </c>
      <c r="E439" s="3" t="str">
        <f t="shared" si="60"/>
        <v>Nimchinsky</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3" t="str">
        <f t="shared" si="61"/>
        <v>1999</v>
      </c>
      <c r="H439" s="3" t="str">
        <f t="shared" si="62"/>
        <v>Nimchinsky_etal_1999</v>
      </c>
      <c r="I439" s="3" t="str">
        <f t="shared" si="66"/>
        <v>10.1073%2Fpnas.96.9.5268</v>
      </c>
      <c r="J439" s="3" t="str">
        <f t="shared" si="63"/>
        <v>Nimchinsky_etal_1999_Table2</v>
      </c>
      <c r="K439" s="3" t="str">
        <f>I439 &amp; "_" &amp; SUBSTITUTE(SUBSTITUTE(SUBSTITUTE(D439,CHAR(160),""), " ", ""), "_", "")</f>
        <v>10.1073%2Fpnas.96.9.5268_Table2</v>
      </c>
      <c r="L439" s="5" t="str">
        <f t="array" ref="L439">IFERROR(INDEX(AUTO_Public_TSV_FileList!$A$1:$A$1000,MATCH(TRUE(),EXACT(K439,IFERROR(_xlfn.TEXTBEFORE(AUTO_Public_TSV_FileList!$A$1:$A$1000,".tsv"),"")),0)),"notfound")</f>
        <v>10.1073%2Fpnas.96.9.5268_Table2.tsv</v>
      </c>
      <c r="M439" s="7"/>
      <c r="N439" s="7"/>
      <c r="O439" s="7" t="s">
        <v>1744</v>
      </c>
      <c r="P439" s="1" t="s">
        <v>36</v>
      </c>
      <c r="Q439" s="7"/>
      <c r="R439" s="7"/>
      <c r="S439" s="7"/>
      <c r="T439" s="7"/>
      <c r="U439" s="7"/>
      <c r="V439" s="7"/>
      <c r="W439" s="7"/>
      <c r="X439" s="7"/>
      <c r="Y439" s="7"/>
      <c r="Z439" s="7"/>
      <c r="AA439" s="7"/>
      <c r="AB439" s="7"/>
      <c r="AC439" s="7"/>
      <c r="AD439" s="7"/>
      <c r="AE439" s="7"/>
      <c r="AF439" s="7"/>
      <c r="AG439" s="7"/>
    </row>
    <row r="440" ht="15" customHeight="1">
      <c r="A440" s="9" t="s">
        <v>1745</v>
      </c>
      <c r="B440" s="9"/>
      <c r="C440" s="9"/>
      <c r="D440" s="9" t="s">
        <v>58</v>
      </c>
      <c r="E440" s="3" t="str">
        <f t="shared" si="60"/>
        <v>Nudo</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0" s="5" t="str">
        <f t="shared" si="61"/>
        <v>1988</v>
      </c>
      <c r="H440" s="3" t="str">
        <f t="shared" si="62"/>
        <v>Nudo_Masterton_1988</v>
      </c>
      <c r="I440" s="3" t="str">
        <f>_xlfn.LET(_xlpm.doi,IF(C440&lt;&gt;"",C440,_xlfn.TEXTAFTER(A440,"https://doi.org/")),SUBSTITUTE(SUBSTITUTE(SUBSTITUTE(SUBSTITUTE(_xlpm.doi,"/","%2F"),":","%3A"),"&lt;","%3C"),"&gt;","%3E"))</f>
        <v>10.1002%2Fcne.902770105</v>
      </c>
      <c r="J440" s="3" t="str">
        <f t="shared" si="63"/>
        <v>Nudo_Masterton_1988_TABLE1</v>
      </c>
      <c r="K440" s="5" t="str">
        <f t="shared" ref="K440:K453" si="68">I440 &amp; "_" &amp; SUBSTITUTE(SUBSTITUTE(SUBSTITUTE(D440,CHAR(160),"")," ",""),"_","")</f>
        <v>10.1002%2Fcne.902770105_TABLE1</v>
      </c>
      <c r="L440" s="5" t="str">
        <f t="array" ref="L440">IFERROR(INDEX(AUTO_Public_TSV_FileList!$A$1:$A$1000,MATCH(TRUE(),EXACT(K440,IFERROR(_xlfn.TEXTBEFORE(AUTO_Public_TSV_FileList!$A$1:$A$1000,".tsv"),"")),0)),"notfound")</f>
        <v>10.1002%2Fcne.902770105_TABLE1.tsv</v>
      </c>
      <c r="M440" s="9" t="s">
        <v>1746</v>
      </c>
      <c r="N440" s="9" t="s">
        <v>70</v>
      </c>
      <c r="O440" s="9" t="s">
        <v>1747</v>
      </c>
      <c r="P440" s="9" t="s">
        <v>78</v>
      </c>
      <c r="Q440" s="9"/>
      <c r="R440" s="9" t="s">
        <v>1748</v>
      </c>
      <c r="S440" s="9" t="s">
        <v>80</v>
      </c>
      <c r="T440" s="9" t="s">
        <v>1749</v>
      </c>
      <c r="U440" s="9"/>
      <c r="V440" s="9" t="s">
        <v>599</v>
      </c>
      <c r="W440" s="9" t="s">
        <v>1750</v>
      </c>
      <c r="X440" s="9" t="s">
        <v>1751</v>
      </c>
      <c r="Y440" s="9"/>
      <c r="Z440" s="9" t="s">
        <v>1752</v>
      </c>
      <c r="AA440" s="9" t="s">
        <v>1753</v>
      </c>
      <c r="AB440" s="9" t="s">
        <v>64</v>
      </c>
      <c r="AC440" s="9" t="s">
        <v>1754</v>
      </c>
      <c r="AD440" s="9"/>
      <c r="AE440" s="9" t="s">
        <v>66</v>
      </c>
      <c r="AF440" s="9"/>
      <c r="AG440" s="9" t="s">
        <v>1755</v>
      </c>
    </row>
    <row r="441" ht="15" customHeight="1">
      <c r="A441" s="9" t="s">
        <v>1756</v>
      </c>
      <c r="B441" s="9" t="s">
        <v>1757</v>
      </c>
      <c r="C441" s="9"/>
      <c r="D441" s="9" t="s">
        <v>761</v>
      </c>
      <c r="E441" s="3" t="str">
        <f t="shared" si="60"/>
        <v>Nudo</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5" t="str">
        <f t="shared" si="61"/>
        <v>1990</v>
      </c>
      <c r="H441" s="3" t="str">
        <f t="shared" si="62"/>
        <v>Nudo_Masterton_1990_III</v>
      </c>
      <c r="I441" s="3" t="str">
        <f>_xlfn.LET(_xlpm.doi,IF(C441&lt;&gt;"",C441,_xlfn.TEXTAFTER(A441,"https://doi.org/")),SUBSTITUTE(SUBSTITUTE(SUBSTITUTE(SUBSTITUTE(_xlpm.doi,"/","%2F"),":","%3A"),"&lt;","%3C"),"&gt;","%3E"))</f>
        <v>10.1002%2Fcne.902960405</v>
      </c>
      <c r="J441" s="3" t="str">
        <f t="shared" si="63"/>
        <v>Nudo_Masterton_1990_III_Resultstext</v>
      </c>
      <c r="K441" s="5" t="str">
        <f t="shared" si="68"/>
        <v>10.1002%2Fcne.902960405_Resultstext</v>
      </c>
      <c r="L441" s="5" t="str">
        <f t="array" ref="L441">IFERROR(INDEX(AUTO_Public_TSV_FileList!$A$1:$A$1000,MATCH(TRUE(),EXACT(K441,IFERROR(_xlfn.TEXTBEFORE(AUTO_Public_TSV_FileList!$A$1:$A$1000,".tsv"),"")),0)),"notfound")</f>
        <v>10.1002%2Fcne.902960405_Resultstext.tsv</v>
      </c>
      <c r="M441" s="9" t="s">
        <v>1758</v>
      </c>
      <c r="N441" s="9" t="s">
        <v>455</v>
      </c>
      <c r="O441" s="9" t="s">
        <v>1759</v>
      </c>
      <c r="P441" s="9" t="s">
        <v>78</v>
      </c>
      <c r="Q441" s="9"/>
      <c r="R441" s="9" t="s">
        <v>1760</v>
      </c>
      <c r="S441" s="9" t="s">
        <v>80</v>
      </c>
      <c r="T441" s="9" t="s">
        <v>1761</v>
      </c>
      <c r="U441" s="9"/>
      <c r="V441" s="9" t="s">
        <v>599</v>
      </c>
      <c r="W441" s="9" t="s">
        <v>1762</v>
      </c>
      <c r="X441" s="9" t="s">
        <v>1763</v>
      </c>
      <c r="Y441" s="9"/>
      <c r="Z441" s="9" t="s">
        <v>1752</v>
      </c>
      <c r="AA441" s="9" t="s">
        <v>1764</v>
      </c>
      <c r="AB441" s="9" t="s">
        <v>1424</v>
      </c>
      <c r="AC441" s="9" t="s">
        <v>1754</v>
      </c>
      <c r="AD441" s="9"/>
      <c r="AE441" s="9" t="s">
        <v>66</v>
      </c>
      <c r="AF441" s="9"/>
      <c r="AG441" s="9" t="s">
        <v>1765</v>
      </c>
    </row>
    <row r="442" ht="15" customHeight="1">
      <c r="A442" s="9" t="s">
        <v>1766</v>
      </c>
      <c r="B442" s="9" t="s">
        <v>1767</v>
      </c>
      <c r="C442" s="9"/>
      <c r="D442" s="9" t="s">
        <v>1768</v>
      </c>
      <c r="E442" s="3" t="str">
        <f t="shared" si="60"/>
        <v>Nudo</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5" t="str">
        <f t="shared" si="61"/>
        <v>1990</v>
      </c>
      <c r="H442" s="3" t="str">
        <f t="shared" si="62"/>
        <v>Nudo_Masterton_1990_IV</v>
      </c>
      <c r="I442" s="3" t="str">
        <f>_xlfn.LET(_xlpm.doi,IF(C442&lt;&gt;"",C442,_xlfn.TEXTAFTER(A442,"https://doi.org/")),SUBSTITUTE(SUBSTITUTE(SUBSTITUTE(SUBSTITUTE(_xlpm.doi,"/","%2F"),":","%3A"),"&lt;","%3C"),"&gt;","%3E"))</f>
        <v>10.1002%2Fcne.902960406</v>
      </c>
      <c r="J442" s="3" t="str">
        <f t="shared" si="63"/>
        <v>Nudo_Masterton_1990_IV_Figure2A</v>
      </c>
      <c r="K442" s="5" t="str">
        <f t="shared" si="68"/>
        <v>10.1002%2Fcne.902960406_Figure2A</v>
      </c>
      <c r="L442" s="5" t="str">
        <f t="array" ref="L442">IFERROR(INDEX(AUTO_Public_TSV_FileList!$A$1:$A$1000,MATCH(TRUE(),EXACT(K442,IFERROR(_xlfn.TEXTBEFORE(AUTO_Public_TSV_FileList!$A$1:$A$1000,".tsv"),"")),0)),"notfound")</f>
        <v>notfound</v>
      </c>
      <c r="M442" s="9" t="s">
        <v>1769</v>
      </c>
      <c r="N442" s="9" t="s">
        <v>395</v>
      </c>
      <c r="O442" s="9" t="s">
        <v>1770</v>
      </c>
      <c r="P442" s="9" t="s">
        <v>78</v>
      </c>
      <c r="Q442" s="9"/>
      <c r="R442" s="9" t="s">
        <v>1771</v>
      </c>
      <c r="S442" s="9" t="s">
        <v>80</v>
      </c>
      <c r="T442" s="9" t="s">
        <v>1772</v>
      </c>
      <c r="U442" s="9"/>
      <c r="V442" s="9" t="s">
        <v>599</v>
      </c>
      <c r="W442" s="9" t="s">
        <v>1773</v>
      </c>
      <c r="X442" s="9" t="s">
        <v>1774</v>
      </c>
      <c r="Y442" s="9"/>
      <c r="Z442" s="9" t="s">
        <v>1752</v>
      </c>
      <c r="AA442" s="9" t="s">
        <v>1775</v>
      </c>
      <c r="AB442" s="9" t="s">
        <v>214</v>
      </c>
      <c r="AC442" s="9" t="s">
        <v>1754</v>
      </c>
      <c r="AD442" s="9"/>
      <c r="AE442" s="9" t="s">
        <v>66</v>
      </c>
      <c r="AF442" s="9"/>
      <c r="AG442" s="9" t="s">
        <v>1776</v>
      </c>
    </row>
    <row r="443" ht="15" customHeight="1">
      <c r="A443" s="1" t="s">
        <v>1777</v>
      </c>
      <c r="B443" s="7"/>
      <c r="C443" s="7"/>
      <c r="D443" s="1" t="s">
        <v>58</v>
      </c>
      <c r="E443" s="5" t="str">
        <f t="shared" si="60"/>
        <v>Nudo</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3" s="5" t="str">
        <f t="shared" si="61"/>
        <v>1995</v>
      </c>
      <c r="H443" s="5" t="str">
        <f t="shared" si="62"/>
        <v>Nudo_etal_1995</v>
      </c>
      <c r="I443" s="5" t="str">
        <f t="shared" ref="I443:I448" si="69">_xlfn.LET(
_xlpm.doi,IF(C443&lt;&gt;"",C443,_xlfn.TEXTAFTER(A443,"https://doi.org/")),
SUBSTITUTE(
SUBSTITUTE(
SUBSTITUTE(
SUBSTITUTE(
_xlpm.doi,
"/","%2F"),
":","%3A"),
"&lt;","%3C"),
"&gt;","%3E")
)</f>
        <v>10.1002%2Fcne.903580203</v>
      </c>
      <c r="J443" s="5" t="str">
        <f t="shared" si="63"/>
        <v>Nudo_etal_1995_TABLE1</v>
      </c>
      <c r="K443" s="5" t="str">
        <f t="shared" si="68"/>
        <v>10.1002%2Fcne.903580203_TABLE1</v>
      </c>
      <c r="L443" s="5" t="str">
        <f t="array" ref="L443">IFERROR(INDEX(AUTO_Public_TSV_FileList!$A$1:$A$1000,MATCH(TRUE(),EXACT(K443,IFERROR(_xlfn.TEXTBEFORE(AUTO_Public_TSV_FileList!$A$1:$A$1000,".tsv"),"")),0)),"notfound")</f>
        <v>10.1002%2Fcne.903580203_TABLE1.tsv</v>
      </c>
      <c r="M443" s="7"/>
      <c r="N443" s="1" t="s">
        <v>35</v>
      </c>
      <c r="O443" s="7"/>
      <c r="P443" s="7" t="s">
        <v>36</v>
      </c>
      <c r="Q443" s="7" t="s">
        <v>1778</v>
      </c>
      <c r="R443" s="7"/>
      <c r="S443" s="7"/>
      <c r="T443" s="7"/>
      <c r="U443" s="7"/>
      <c r="V443" s="7"/>
      <c r="W443" s="1" t="s">
        <v>174</v>
      </c>
      <c r="X443" s="1" t="s">
        <v>1779</v>
      </c>
      <c r="Y443" s="1"/>
      <c r="Z443" s="7"/>
      <c r="AA443" s="7"/>
      <c r="AB443" s="1" t="s">
        <v>1780</v>
      </c>
      <c r="AC443" s="1" t="s">
        <v>1754</v>
      </c>
      <c r="AD443" s="7"/>
      <c r="AE443" s="1" t="s">
        <v>66</v>
      </c>
      <c r="AF443" s="1"/>
      <c r="AG443" s="1" t="s">
        <v>1781</v>
      </c>
    </row>
    <row r="444" ht="15" customHeight="1">
      <c r="A444" s="1" t="s">
        <v>1777</v>
      </c>
      <c r="B444" s="7"/>
      <c r="C444" s="7"/>
      <c r="D444" s="1" t="s">
        <v>91</v>
      </c>
      <c r="E444" s="5" t="str">
        <f t="shared" si="60"/>
        <v>Nudo</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5" t="str">
        <f t="shared" si="61"/>
        <v>1995</v>
      </c>
      <c r="H444" s="5" t="str">
        <f t="shared" si="62"/>
        <v>Nudo_etal_1995</v>
      </c>
      <c r="I444" s="5" t="str">
        <f t="shared" si="69"/>
        <v>10.1002%2Fcne.903580203</v>
      </c>
      <c r="J444" s="5" t="str">
        <f t="shared" si="63"/>
        <v>Nudo_etal_1995_TABLE2</v>
      </c>
      <c r="K444" s="5" t="str">
        <f t="shared" si="68"/>
        <v>10.1002%2Fcne.903580203_TABLE2</v>
      </c>
      <c r="L444" s="5" t="str">
        <f t="array" ref="L444">IFERROR(INDEX(AUTO_Public_TSV_FileList!$A$1:$A$1000,MATCH(TRUE(),EXACT(K444,IFERROR(_xlfn.TEXTBEFORE(AUTO_Public_TSV_FileList!$A$1:$A$1000,".tsv"),"")),0)),"notfound")</f>
        <v>10.1002%2Fcne.903580203_TABLE2.tsv</v>
      </c>
      <c r="M444" s="7"/>
      <c r="N444" s="1" t="s">
        <v>35</v>
      </c>
      <c r="O444" s="7"/>
      <c r="P444" s="7" t="s">
        <v>36</v>
      </c>
      <c r="Q444" s="1"/>
      <c r="R444" s="7"/>
      <c r="S444" s="7"/>
      <c r="T444" s="7"/>
      <c r="U444" s="7"/>
      <c r="V444" s="7"/>
      <c r="W444" s="1" t="s">
        <v>174</v>
      </c>
      <c r="X444" s="1" t="s">
        <v>1782</v>
      </c>
      <c r="Y444" s="1"/>
      <c r="Z444" s="7"/>
      <c r="AA444" s="7"/>
      <c r="AB444" s="1" t="s">
        <v>1783</v>
      </c>
      <c r="AC444" s="1" t="s">
        <v>1754</v>
      </c>
      <c r="AD444" s="7"/>
      <c r="AE444" s="1" t="s">
        <v>66</v>
      </c>
      <c r="AF444" s="1"/>
      <c r="AG444" s="1" t="s">
        <v>1784</v>
      </c>
    </row>
    <row r="445" ht="15" customHeight="1">
      <c r="A445" s="1" t="s">
        <v>1777</v>
      </c>
      <c r="B445" s="7"/>
      <c r="C445" s="7"/>
      <c r="D445" s="1" t="s">
        <v>94</v>
      </c>
      <c r="E445" s="5" t="str">
        <f t="shared" si="60"/>
        <v>Nudo</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5" t="str">
        <f t="shared" si="61"/>
        <v>1995</v>
      </c>
      <c r="H445" s="5" t="str">
        <f t="shared" si="62"/>
        <v>Nudo_etal_1995</v>
      </c>
      <c r="I445" s="5" t="str">
        <f t="shared" si="69"/>
        <v>10.1002%2Fcne.903580203</v>
      </c>
      <c r="J445" s="5" t="str">
        <f t="shared" si="63"/>
        <v>Nudo_etal_1995_TABLE3</v>
      </c>
      <c r="K445" s="5" t="str">
        <f t="shared" si="68"/>
        <v>10.1002%2Fcne.903580203_TABLE3</v>
      </c>
      <c r="L445" s="5" t="str">
        <f t="array" ref="L445">IFERROR(INDEX(AUTO_Public_TSV_FileList!$A$1:$A$1000,MATCH(TRUE(),EXACT(K445,IFERROR(_xlfn.TEXTBEFORE(AUTO_Public_TSV_FileList!$A$1:$A$1000,".tsv"),"")),0)),"notfound")</f>
        <v>10.1002%2Fcne.903580203_TABLE3.tsv</v>
      </c>
      <c r="M445" s="7"/>
      <c r="N445" s="1" t="s">
        <v>35</v>
      </c>
      <c r="O445" s="7"/>
      <c r="P445" s="7" t="s">
        <v>36</v>
      </c>
      <c r="Q445" s="1"/>
      <c r="R445" s="7"/>
      <c r="S445" s="7"/>
      <c r="T445" s="7"/>
      <c r="U445" s="7"/>
      <c r="V445" s="7"/>
      <c r="W445" s="1" t="s">
        <v>174</v>
      </c>
      <c r="X445" s="1" t="s">
        <v>1785</v>
      </c>
      <c r="Y445" s="1"/>
      <c r="Z445" s="7"/>
      <c r="AA445" s="7"/>
      <c r="AB445" s="1" t="s">
        <v>1786</v>
      </c>
      <c r="AC445" s="1" t="s">
        <v>1754</v>
      </c>
      <c r="AD445" s="7"/>
      <c r="AE445" s="1" t="s">
        <v>215</v>
      </c>
      <c r="AF445" s="1"/>
      <c r="AG445" s="1" t="s">
        <v>1787</v>
      </c>
    </row>
    <row r="446" ht="15" customHeight="1">
      <c r="A446" s="1" t="s">
        <v>1777</v>
      </c>
      <c r="B446" s="7"/>
      <c r="C446" s="7"/>
      <c r="D446" s="1" t="s">
        <v>97</v>
      </c>
      <c r="E446" s="5" t="str">
        <f t="shared" si="60"/>
        <v>Nudo</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5" t="str">
        <f t="shared" si="61"/>
        <v>1995</v>
      </c>
      <c r="H446" s="5" t="str">
        <f t="shared" si="62"/>
        <v>Nudo_etal_1995</v>
      </c>
      <c r="I446" s="5" t="str">
        <f t="shared" si="69"/>
        <v>10.1002%2Fcne.903580203</v>
      </c>
      <c r="J446" s="5" t="str">
        <f t="shared" si="63"/>
        <v>Nudo_etal_1995_TABLE4</v>
      </c>
      <c r="K446" s="5" t="str">
        <f t="shared" si="68"/>
        <v>10.1002%2Fcne.903580203_TABLE4</v>
      </c>
      <c r="L446" s="5" t="str">
        <f t="array" ref="L446">IFERROR(INDEX(AUTO_Public_TSV_FileList!$A$1:$A$1000,MATCH(TRUE(),EXACT(K446,IFERROR(_xlfn.TEXTBEFORE(AUTO_Public_TSV_FileList!$A$1:$A$1000,".tsv"),"")),0)),"notfound")</f>
        <v>10.1002%2Fcne.903580203_TABLE4.tsv</v>
      </c>
      <c r="M446" s="7"/>
      <c r="N446" s="1" t="s">
        <v>35</v>
      </c>
      <c r="O446" s="7"/>
      <c r="P446" s="7" t="s">
        <v>36</v>
      </c>
      <c r="Q446" s="1"/>
      <c r="R446" s="7"/>
      <c r="S446" s="7"/>
      <c r="T446" s="7"/>
      <c r="U446" s="7"/>
      <c r="V446" s="7"/>
      <c r="W446" s="1" t="s">
        <v>174</v>
      </c>
      <c r="X446" s="1" t="s">
        <v>1788</v>
      </c>
      <c r="Y446" s="1"/>
      <c r="Z446" s="7"/>
      <c r="AA446" s="7"/>
      <c r="AB446" s="1" t="s">
        <v>1789</v>
      </c>
      <c r="AC446" s="1" t="s">
        <v>1754</v>
      </c>
      <c r="AD446" s="7"/>
      <c r="AE446" s="1" t="s">
        <v>66</v>
      </c>
      <c r="AF446" s="1"/>
      <c r="AG446" s="1" t="s">
        <v>1790</v>
      </c>
    </row>
    <row r="447" ht="15" customHeight="1">
      <c r="A447" s="1" t="s">
        <v>1777</v>
      </c>
      <c r="B447" s="7"/>
      <c r="C447" s="7"/>
      <c r="D447" s="1" t="s">
        <v>1791</v>
      </c>
      <c r="E447" s="5" t="str">
        <f t="shared" si="60"/>
        <v>Nudo</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5" t="str">
        <f t="shared" si="61"/>
        <v>1995</v>
      </c>
      <c r="H447" s="5" t="str">
        <f t="shared" si="62"/>
        <v>Nudo_etal_1995</v>
      </c>
      <c r="I447" s="5" t="str">
        <f t="shared" si="69"/>
        <v>10.1002%2Fcne.903580203</v>
      </c>
      <c r="J447" s="5" t="str">
        <f t="shared" si="63"/>
        <v>Nudo_etal_1995_TABLE5</v>
      </c>
      <c r="K447" s="5" t="str">
        <f t="shared" si="68"/>
        <v>10.1002%2Fcne.903580203_TABLE5</v>
      </c>
      <c r="L447" s="5" t="str">
        <f t="array" ref="L447">IFERROR(INDEX(AUTO_Public_TSV_FileList!$A$1:$A$1000,MATCH(TRUE(),EXACT(K447,IFERROR(_xlfn.TEXTBEFORE(AUTO_Public_TSV_FileList!$A$1:$A$1000,".tsv"),"")),0)),"notfound")</f>
        <v>10.1002%2Fcne.903580203_TABLE5.tsv</v>
      </c>
      <c r="M447" s="7"/>
      <c r="N447" s="1" t="s">
        <v>35</v>
      </c>
      <c r="O447" s="7"/>
      <c r="P447" s="7" t="s">
        <v>36</v>
      </c>
      <c r="Q447" s="1"/>
      <c r="R447" s="7"/>
      <c r="S447" s="7"/>
      <c r="T447" s="7"/>
      <c r="U447" s="7"/>
      <c r="V447" s="7"/>
      <c r="W447" s="1" t="s">
        <v>174</v>
      </c>
      <c r="X447" s="1" t="s">
        <v>1792</v>
      </c>
      <c r="Y447" s="1"/>
      <c r="Z447" s="7"/>
      <c r="AA447" s="7"/>
      <c r="AB447" s="1" t="s">
        <v>1793</v>
      </c>
      <c r="AC447" s="1" t="s">
        <v>1754</v>
      </c>
      <c r="AD447" s="7"/>
      <c r="AE447" s="1" t="s">
        <v>66</v>
      </c>
      <c r="AF447" s="1"/>
      <c r="AG447" s="1" t="s">
        <v>1794</v>
      </c>
    </row>
    <row r="448" ht="15" customHeight="1">
      <c r="A448" s="1" t="s">
        <v>1795</v>
      </c>
      <c r="B448" s="7"/>
      <c r="C448" s="7"/>
      <c r="D448" s="7" t="s">
        <v>471</v>
      </c>
      <c r="E448" s="5" t="str">
        <f t="shared" si="60"/>
        <v>Olkowicz</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5" t="str">
        <f t="shared" si="61"/>
        <v>2016</v>
      </c>
      <c r="H448" s="5" t="str">
        <f t="shared" si="62"/>
        <v>Olkowicz_etal_2016</v>
      </c>
      <c r="I448" s="5" t="str">
        <f t="shared" si="69"/>
        <v>10.1073%2Fpnas.1517131113</v>
      </c>
      <c r="J448" s="5" t="str">
        <f t="shared" si="63"/>
        <v>Olkowicz_etal_2016_DatasetS1</v>
      </c>
      <c r="K448" s="5" t="str">
        <f t="shared" si="68"/>
        <v>10.1073%2Fpnas.1517131113_DatasetS1</v>
      </c>
      <c r="L448" s="5" t="str">
        <f t="array" ref="L448">IFERROR(INDEX(AUTO_Public_TSV_FileList!$A$1:$A$1000,MATCH(TRUE(),EXACT(K448,IFERROR(_xlfn.TEXTBEFORE(AUTO_Public_TSV_FileList!$A$1:$A$1000,".tsv"),"")),0)),"notfound")</f>
        <v>10.1073%2Fpnas.1517131113_DatasetS1.tsv</v>
      </c>
      <c r="M448" s="7" t="s">
        <v>1796</v>
      </c>
      <c r="N448" s="7"/>
      <c r="O448" s="7"/>
      <c r="P448" s="7" t="s">
        <v>36</v>
      </c>
      <c r="Q448" s="7" t="s">
        <v>1778</v>
      </c>
      <c r="R448" s="7"/>
      <c r="S448" s="7"/>
      <c r="T448" s="7"/>
      <c r="U448" s="7"/>
      <c r="V448" s="7"/>
      <c r="W448" s="7"/>
      <c r="X448" s="7"/>
      <c r="Y448" s="7"/>
      <c r="Z448" s="7"/>
      <c r="AA448" s="7"/>
      <c r="AB448" s="7"/>
      <c r="AC448" s="7"/>
      <c r="AD448" s="7"/>
      <c r="AE448" s="7" t="s">
        <v>66</v>
      </c>
      <c r="AF448" s="7"/>
      <c r="AG448" s="7"/>
    </row>
    <row r="449" ht="15" customHeight="1">
      <c r="A449" s="9" t="s">
        <v>1797</v>
      </c>
      <c r="B449" s="9"/>
      <c r="C449" s="9"/>
      <c r="D449" s="9" t="s">
        <v>1798</v>
      </c>
      <c r="E449" s="3" t="str">
        <f t="shared" si="60"/>
        <v>Owren</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5" t="str">
        <f t="shared" si="61"/>
        <v>1988</v>
      </c>
      <c r="H449" s="3" t="str">
        <f t="shared" si="62"/>
        <v>Owren_etal_1988</v>
      </c>
      <c r="I449" s="3" t="str">
        <f>_xlfn.LET(_xlpm.doi,IF(C449&lt;&gt;"",C449,_xlfn.TEXTAFTER(A449,"https://doi.org/")),SUBSTITUTE(SUBSTITUTE(SUBSTITUTE(SUBSTITUTE(_xlpm.doi,"/","%2F"),":","%3A"),"&lt;","%3C"),"&gt;","%3E"))</f>
        <v>10.1037%2F0735-7036.102.2.99</v>
      </c>
      <c r="J449" s="3" t="str">
        <f t="shared" si="63"/>
        <v>Owren_etal_1988_Table1+Table3</v>
      </c>
      <c r="K449" s="5" t="str">
        <f t="shared" si="68"/>
        <v>10.1037%2F0735-7036.102.2.99_Table1+Table3</v>
      </c>
      <c r="L449" s="5" t="str">
        <f t="array" ref="L449">IFERROR(INDEX(AUTO_Public_TSV_FileList!$A$1:$A$1000,MATCH(TRUE(),EXACT(K449,IFERROR(_xlfn.TEXTBEFORE(AUTO_Public_TSV_FileList!$A$1:$A$1000,".tsv"),"")),0)),"notfound")</f>
        <v>10.1037%2F0735-7036.102.2.99_Table1+Table3.tsv</v>
      </c>
      <c r="M449" s="9" t="s">
        <v>1799</v>
      </c>
      <c r="N449" s="9" t="s">
        <v>70</v>
      </c>
      <c r="O449" s="9" t="s">
        <v>1800</v>
      </c>
      <c r="P449" s="9" t="s">
        <v>36</v>
      </c>
      <c r="Q449" s="9"/>
      <c r="R449" s="9"/>
      <c r="S449" s="9"/>
      <c r="T449" s="9"/>
      <c r="U449" s="9"/>
      <c r="V449" s="9"/>
      <c r="W449" s="9"/>
      <c r="X449" s="9"/>
      <c r="Y449" s="9"/>
      <c r="Z449" s="9"/>
      <c r="AA449" s="9"/>
      <c r="AB449" s="9"/>
      <c r="AC449" s="9"/>
      <c r="AD449" s="9"/>
      <c r="AE449" s="9"/>
      <c r="AF449" s="9"/>
      <c r="AG449" s="9"/>
    </row>
    <row r="450" ht="15" customHeight="1">
      <c r="A450" s="7" t="s">
        <v>1801</v>
      </c>
      <c r="B450" s="7"/>
      <c r="C450" s="7"/>
      <c r="D450" s="7" t="s">
        <v>714</v>
      </c>
      <c r="E450" s="3" t="str">
        <f t="shared" ref="E450:E513" si="70">SUBSTITUTE(SUBSTITUTE(_xlfn.TEXTBEFORE(A450,","), "-", ""), " ", "")</f>
        <v>PalomeroGallagher</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0" s="5" t="str">
        <f t="shared" ref="G450:G513" si="71">_xlfn.TEXTBEFORE(_xlfn.TEXTAFTER(A450, "("), ")")</f>
        <v>2018</v>
      </c>
      <c r="H450" s="3" t="str">
        <f t="shared" ref="H450:H513" si="72">E450 &amp; IF(F450&lt;&gt;"", "_" &amp; F450, "_") &amp; IF(G450&lt;&gt;"", "_" &amp; G450, "_") &amp; IF(B450&lt;&gt;"", "_" &amp; B450, "")</f>
        <v>PalomeroGallagher_Zilles_2018</v>
      </c>
      <c r="I450" s="3" t="str">
        <f>_xlfn.LET(_xlpm.doi,IF(C450&lt;&gt;"",C450,_xlfn.TEXTAFTER(A450,"https://doi.org/")),SUBSTITUTE(SUBSTITUTE(SUBSTITUTE(SUBSTITUTE(_xlpm.doi,"/","%2F"),":","%3A"),"&lt;","%3C"),"&gt;","%3E"))</f>
        <v>10.1016%2Fj.cortex.2018.09.008</v>
      </c>
      <c r="J450" s="3" t="str">
        <f t="shared" ref="J450:J513" si="73">TRIM(_xlfn.TEXTJOIN("_",FALSE(),H450,(SUBSTITUTE(SUBSTITUTE(D450," ",""), "_", ""))))</f>
        <v>PalomeroGallagher_Zilles_2018_TableS3</v>
      </c>
      <c r="K450" s="5" t="str">
        <f t="shared" si="68"/>
        <v>10.1016%2Fj.cortex.2018.09.008_TableS3</v>
      </c>
      <c r="L450" s="5" t="str">
        <f t="array" ref="L450">IFERROR(INDEX(AUTO_Public_TSV_FileList!$A$1:$A$1000,MATCH(TRUE(),EXACT(K450,IFERROR(_xlfn.TEXTBEFORE(AUTO_Public_TSV_FileList!$A$1:$A$1000,".tsv"),"")),0)),"notfound")</f>
        <v>10.1016%2Fj.cortex.2018.09.008_TableS3.tsv</v>
      </c>
      <c r="M450" s="7" t="s">
        <v>1802</v>
      </c>
      <c r="N450" s="7" t="s">
        <v>1803</v>
      </c>
      <c r="O450" s="7" t="s">
        <v>1804</v>
      </c>
      <c r="P450" s="7" t="s">
        <v>36</v>
      </c>
      <c r="Q450" s="7" t="s">
        <v>1805</v>
      </c>
      <c r="R450" s="7"/>
      <c r="S450" s="7"/>
      <c r="T450" s="7"/>
      <c r="U450" s="7"/>
      <c r="V450" s="7" t="s">
        <v>1806</v>
      </c>
      <c r="W450" s="7" t="s">
        <v>1807</v>
      </c>
      <c r="X450" s="7" t="s">
        <v>1808</v>
      </c>
      <c r="Y450" s="7"/>
      <c r="Z450" s="7" t="s">
        <v>1809</v>
      </c>
      <c r="AA450" s="7" t="s">
        <v>1810</v>
      </c>
      <c r="AB450" s="7" t="s">
        <v>1811</v>
      </c>
      <c r="AC450" s="7"/>
      <c r="AD450" s="7"/>
      <c r="AE450" s="7" t="s">
        <v>66</v>
      </c>
      <c r="AF450" s="7"/>
      <c r="AG450" s="7" t="s">
        <v>1812</v>
      </c>
    </row>
    <row r="451" ht="15" customHeight="1">
      <c r="A451" s="7" t="s">
        <v>1813</v>
      </c>
      <c r="B451" s="7"/>
      <c r="C451" s="7"/>
      <c r="D451" s="7" t="s">
        <v>108</v>
      </c>
      <c r="E451" s="5" t="str">
        <f t="shared" si="70"/>
        <v>Peruffo</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5" t="str">
        <f t="shared" si="71"/>
        <v>2019</v>
      </c>
      <c r="H451" s="5" t="str">
        <f t="shared" si="72"/>
        <v>Peruffo_etal_2019</v>
      </c>
      <c r="I451" s="5" t="str">
        <f>_xlfn.LET(
_xlpm.doi,IF(C451&lt;&gt;"",C451,_xlfn.TEXTAFTER(A451,"https://doi.org/")),
SUBSTITUTE(
SUBSTITUTE(
SUBSTITUTE(
SUBSTITUTE(
_xlpm.doi,
"/","%2F"),
":","%3A"),
"&lt;","%3C"),
"&gt;","%3E")
)</f>
        <v>10.1007%2Fs00429-019-01885-x</v>
      </c>
      <c r="J451" s="5" t="str">
        <f t="shared" si="73"/>
        <v>Peruffo_etal_2019_Table2</v>
      </c>
      <c r="K451" s="5" t="str">
        <f t="shared" si="68"/>
        <v>10.1007%2Fs00429-019-01885-x_Table2</v>
      </c>
      <c r="L451" s="5" t="str">
        <f t="array" ref="L451">IFERROR(INDEX(AUTO_Public_TSV_FileList!$A$1:$A$1000,MATCH(TRUE(),EXACT(K451,IFERROR(_xlfn.TEXTBEFORE(AUTO_Public_TSV_FileList!$A$1:$A$1000,".tsv"),"")),0)),"notfound")</f>
        <v>10.1007%2Fs00429-019-01885-x_Table2.tsv</v>
      </c>
      <c r="M451" s="7"/>
      <c r="N451" s="1" t="s">
        <v>35</v>
      </c>
      <c r="O451" s="7"/>
      <c r="P451" s="7" t="s">
        <v>36</v>
      </c>
      <c r="Q451" s="7"/>
      <c r="R451" s="7" t="s">
        <v>1814</v>
      </c>
      <c r="S451" s="7"/>
      <c r="T451" s="7"/>
      <c r="U451" s="7"/>
      <c r="V451" s="7" t="s">
        <v>1305</v>
      </c>
      <c r="W451" s="7" t="s">
        <v>1815</v>
      </c>
      <c r="X451" s="7" t="s">
        <v>1816</v>
      </c>
      <c r="Y451" s="7"/>
      <c r="Z451" s="7" t="s">
        <v>1817</v>
      </c>
      <c r="AA451" s="7"/>
      <c r="AB451" s="7" t="s">
        <v>1818</v>
      </c>
      <c r="AC451" s="7"/>
      <c r="AD451" s="7"/>
      <c r="AE451" s="7" t="s">
        <v>66</v>
      </c>
      <c r="AF451" s="7"/>
      <c r="AG451" s="7"/>
    </row>
    <row r="452" ht="15" customHeight="1">
      <c r="A452" s="1" t="s">
        <v>1813</v>
      </c>
      <c r="B452" s="7"/>
      <c r="C452" s="7"/>
      <c r="D452" s="1" t="s">
        <v>108</v>
      </c>
      <c r="E452" s="5" t="str">
        <f t="shared" si="70"/>
        <v>Peruffo</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5" t="str">
        <f t="shared" si="71"/>
        <v>2019</v>
      </c>
      <c r="H452" s="5" t="str">
        <f t="shared" si="72"/>
        <v>Peruffo_etal_2019</v>
      </c>
      <c r="I452" s="5" t="str">
        <f>_xlfn.LET(
_xlpm.doi,IF(C452&lt;&gt;"",C452,_xlfn.TEXTAFTER(A452,"https://doi.org/")),
SUBSTITUTE(
SUBSTITUTE(
SUBSTITUTE(
SUBSTITUTE(
_xlpm.doi,
"/","%2F"),
":","%3A"),
"&lt;","%3C"),
"&gt;","%3E")
)</f>
        <v>10.1007%2Fs00429-019-01885-x</v>
      </c>
      <c r="J452" s="5" t="str">
        <f t="shared" si="73"/>
        <v>Peruffo_etal_2019_Table2</v>
      </c>
      <c r="K452" s="5" t="str">
        <f t="shared" si="68"/>
        <v>10.1007%2Fs00429-019-01885-x_Table2</v>
      </c>
      <c r="L452" s="5" t="str">
        <f t="array" ref="L452">IFERROR(INDEX(AUTO_Public_TSV_FileList!$A$1:$A$1000,MATCH(TRUE(),EXACT(K452,IFERROR(_xlfn.TEXTBEFORE(AUTO_Public_TSV_FileList!$A$1:$A$1000,".tsv"),"")),0)),"notfound")</f>
        <v>10.1007%2Fs00429-019-01885-x_Table2.tsv</v>
      </c>
      <c r="M452" s="7"/>
      <c r="N452" s="1" t="s">
        <v>35</v>
      </c>
      <c r="O452" s="7"/>
      <c r="P452" s="7" t="s">
        <v>36</v>
      </c>
      <c r="Q452" s="7"/>
      <c r="R452" s="7" t="s">
        <v>1814</v>
      </c>
      <c r="S452" s="7"/>
      <c r="T452" s="7"/>
      <c r="U452" s="7"/>
      <c r="V452" s="7" t="s">
        <v>1305</v>
      </c>
      <c r="W452" s="1" t="s">
        <v>1815</v>
      </c>
      <c r="X452" s="1" t="s">
        <v>1816</v>
      </c>
      <c r="Y452" s="7"/>
      <c r="Z452" s="7" t="s">
        <v>1817</v>
      </c>
      <c r="AA452" s="1" t="s">
        <v>63</v>
      </c>
      <c r="AB452" s="1" t="s">
        <v>1818</v>
      </c>
      <c r="AC452" s="1" t="s">
        <v>473</v>
      </c>
      <c r="AD452" s="7"/>
      <c r="AE452" s="1" t="s">
        <v>66</v>
      </c>
      <c r="AF452" s="1"/>
      <c r="AG452" s="7"/>
    </row>
    <row r="453" ht="15" customHeight="1">
      <c r="A453" s="1" t="s">
        <v>1813</v>
      </c>
      <c r="B453" s="7"/>
      <c r="C453" s="7"/>
      <c r="D453" s="1" t="s">
        <v>108</v>
      </c>
      <c r="E453" s="5" t="str">
        <f t="shared" si="70"/>
        <v>Peruffo</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5" t="str">
        <f t="shared" si="71"/>
        <v>2019</v>
      </c>
      <c r="H453" s="5" t="str">
        <f t="shared" si="72"/>
        <v>Peruffo_etal_2019</v>
      </c>
      <c r="I453" s="5" t="str">
        <f>_xlfn.LET(
_xlpm.doi,IF(C453&lt;&gt;"",C453,_xlfn.TEXTAFTER(A453,"https://doi.org/")),
SUBSTITUTE(
SUBSTITUTE(
SUBSTITUTE(
SUBSTITUTE(
_xlpm.doi,
"/","%2F"),
":","%3A"),
"&lt;","%3C"),
"&gt;","%3E")
)</f>
        <v>10.1007%2Fs00429-019-01885-x</v>
      </c>
      <c r="J453" s="5" t="str">
        <f t="shared" si="73"/>
        <v>Peruffo_etal_2019_Table2</v>
      </c>
      <c r="K453" s="5" t="str">
        <f t="shared" si="68"/>
        <v>10.1007%2Fs00429-019-01885-x_Table2</v>
      </c>
      <c r="L453" s="5" t="str">
        <f t="array" ref="L453">IFERROR(INDEX(AUTO_Public_TSV_FileList!$A$1:$A$1000,MATCH(TRUE(),EXACT(K453,IFERROR(_xlfn.TEXTBEFORE(AUTO_Public_TSV_FileList!$A$1:$A$1000,".tsv"),"")),0)),"notfound")</f>
        <v>10.1007%2Fs00429-019-01885-x_Table2.tsv</v>
      </c>
      <c r="M453" s="7"/>
      <c r="N453" s="1" t="s">
        <v>35</v>
      </c>
      <c r="O453" s="7"/>
      <c r="P453" s="7" t="s">
        <v>36</v>
      </c>
      <c r="Q453" s="7"/>
      <c r="R453" s="7" t="s">
        <v>1814</v>
      </c>
      <c r="S453" s="7"/>
      <c r="T453" s="7"/>
      <c r="U453" s="7"/>
      <c r="V453" s="7" t="s">
        <v>1305</v>
      </c>
      <c r="W453" s="1" t="s">
        <v>1815</v>
      </c>
      <c r="X453" s="1" t="s">
        <v>1816</v>
      </c>
      <c r="Y453" s="7"/>
      <c r="Z453" s="7" t="s">
        <v>1817</v>
      </c>
      <c r="AA453" s="1"/>
      <c r="AB453" s="1" t="s">
        <v>1818</v>
      </c>
      <c r="AC453" s="1" t="s">
        <v>121</v>
      </c>
      <c r="AD453" s="7"/>
      <c r="AE453" s="1" t="s">
        <v>66</v>
      </c>
      <c r="AF453" s="1"/>
      <c r="AG453" s="7"/>
    </row>
    <row r="454" ht="15" customHeight="1">
      <c r="A454" s="6" t="s">
        <v>1819</v>
      </c>
      <c r="B454" s="9"/>
      <c r="C454" s="9"/>
      <c r="D454" s="6" t="s">
        <v>108</v>
      </c>
      <c r="E454" s="5" t="str">
        <f t="shared" si="70"/>
        <v>Pettigrew</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5" t="str">
        <f t="shared" si="71"/>
        <v>1998</v>
      </c>
      <c r="H454" s="5" t="str">
        <f t="shared" si="72"/>
        <v>Pettigrew_etal_1998</v>
      </c>
      <c r="I454" s="5" t="str">
        <f>_xlfn.LET(
_xlpm.doi,IF(C454&lt;&gt;"",C454,_xlfn.TEXTAFTER(A454,"https://doi.org/")),
SUBSTITUTE(
SUBSTITUTE(
SUBSTITUTE(
SUBSTITUTE(
_xlpm.doi,
"/","%2F"),
":","%3A"),
"&lt;","%3C"),
"&gt;","%3E")
)</f>
        <v>10.1098%2Frstb.1998.0276</v>
      </c>
      <c r="J454" s="5" t="str">
        <f t="shared" si="73"/>
        <v>Pettigrew_etal_1998_Table2</v>
      </c>
      <c r="K454" s="5" t="str">
        <f>I454 &amp; "_" &amp; SUBSTITUTE(SUBSTITUTE(SUBSTITUTE(D454,CHAR(160),""), " ", ""), "_", "")</f>
        <v>10.1098%2Frstb.1998.0276_Table2</v>
      </c>
      <c r="L454" s="5" t="str">
        <f t="array" ref="L454">IFERROR(INDEX(AUTO_Public_TSV_FileList!$A$1:$A$1000,MATCH(TRUE(),EXACT(K454,IFERROR(_xlfn.TEXTBEFORE(AUTO_Public_TSV_FileList!$A$1:$A$1000,".tsv"),"")),0)),"notfound")</f>
        <v>10.1098%2Frstb.1998.0276_Table2.tsv</v>
      </c>
      <c r="M454" s="7" t="s">
        <v>1820</v>
      </c>
      <c r="N454" s="6" t="s">
        <v>35</v>
      </c>
      <c r="O454" s="6" t="s">
        <v>1821</v>
      </c>
      <c r="P454" s="6" t="s">
        <v>36</v>
      </c>
      <c r="Q454" s="9"/>
      <c r="R454" s="6" t="s">
        <v>1822</v>
      </c>
      <c r="S454" s="9"/>
      <c r="T454" s="9"/>
      <c r="U454" s="9"/>
      <c r="V454" s="6" t="s">
        <v>833</v>
      </c>
      <c r="W454" s="6" t="s">
        <v>1823</v>
      </c>
      <c r="X454" s="6" t="s">
        <v>1824</v>
      </c>
      <c r="Y454" s="9"/>
      <c r="Z454" s="6" t="s">
        <v>1825</v>
      </c>
      <c r="AA454" s="6" t="s">
        <v>1826</v>
      </c>
      <c r="AB454" s="6" t="s">
        <v>1827</v>
      </c>
      <c r="AC454" s="6" t="s">
        <v>1828</v>
      </c>
      <c r="AD454" s="9"/>
      <c r="AE454" s="6" t="s">
        <v>51</v>
      </c>
      <c r="AF454" s="9"/>
      <c r="AG454" s="9"/>
    </row>
    <row r="455" ht="15" customHeight="1">
      <c r="A455" s="7" t="s">
        <v>1829</v>
      </c>
      <c r="B455" s="7"/>
      <c r="C455" s="7"/>
      <c r="D455" s="7" t="s">
        <v>68</v>
      </c>
      <c r="E455" s="3" t="str">
        <f t="shared" si="70"/>
        <v>Pettigrew</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5" t="str">
        <f t="shared" si="71"/>
        <v>1998</v>
      </c>
      <c r="H455" s="3" t="str">
        <f t="shared" si="72"/>
        <v>Pettigrew_etal_1998</v>
      </c>
      <c r="I455" s="3" t="str">
        <f>_xlfn.LET(_xlpm.doi,IF(C455&lt;&gt;"",C455,_xlfn.TEXTAFTER(A455,"https://doi.org/")),SUBSTITUTE(SUBSTITUTE(SUBSTITUTE(SUBSTITUTE(_xlpm.doi,"/","%2F"),":","%3A"),"&lt;","%3C"),"&gt;","%3E"))</f>
        <v>10.1098%2Frstb.1998.0276</v>
      </c>
      <c r="J455" s="3" t="str">
        <f t="shared" si="73"/>
        <v>Pettigrew_etal_1998_Table1</v>
      </c>
      <c r="K455" s="5" t="str">
        <f t="shared" ref="K455:K486" si="74">I455 &amp; "_" &amp; SUBSTITUTE(SUBSTITUTE(SUBSTITUTE(D455,CHAR(160),"")," ",""),"_","")</f>
        <v>10.1098%2Frstb.1998.0276_Table1</v>
      </c>
      <c r="L455" s="5" t="str">
        <f t="array" ref="L455">IFERROR(INDEX(AUTO_Public_TSV_FileList!$A$1:$A$1000,MATCH(TRUE(),EXACT(K455,IFERROR(_xlfn.TEXTBEFORE(AUTO_Public_TSV_FileList!$A$1:$A$1000,".tsv"),"")),0)),"notfound")</f>
        <v>10.1098%2Frstb.1998.0276_Table1.tsv</v>
      </c>
      <c r="M455" s="7" t="s">
        <v>1830</v>
      </c>
      <c r="N455" s="7" t="s">
        <v>70</v>
      </c>
      <c r="O455" s="7" t="s">
        <v>1831</v>
      </c>
      <c r="P455" s="7"/>
      <c r="Q455" s="7"/>
      <c r="R455" s="7" t="s">
        <v>1822</v>
      </c>
      <c r="S455" s="7"/>
      <c r="T455" s="7" t="s">
        <v>1832</v>
      </c>
      <c r="U455" s="7"/>
      <c r="V455" s="7" t="s">
        <v>613</v>
      </c>
      <c r="W455" s="7" t="s">
        <v>1833</v>
      </c>
      <c r="X455" s="7" t="s">
        <v>1834</v>
      </c>
      <c r="Y455" s="7"/>
      <c r="Z455" s="7"/>
      <c r="AA455" s="7" t="s">
        <v>1835</v>
      </c>
      <c r="AB455" s="7" t="s">
        <v>1836</v>
      </c>
      <c r="AC455" s="7" t="s">
        <v>1828</v>
      </c>
      <c r="AD455" s="7"/>
      <c r="AE455" s="7" t="s">
        <v>66</v>
      </c>
      <c r="AF455" s="7"/>
      <c r="AG455" s="7" t="s">
        <v>1837</v>
      </c>
    </row>
    <row r="456" ht="15" customHeight="1">
      <c r="A456" s="7" t="s">
        <v>1829</v>
      </c>
      <c r="B456" s="7"/>
      <c r="C456" s="7"/>
      <c r="D456" s="7" t="s">
        <v>108</v>
      </c>
      <c r="E456" s="3" t="str">
        <f t="shared" si="70"/>
        <v>Pettigrew</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5" t="str">
        <f t="shared" si="71"/>
        <v>1998</v>
      </c>
      <c r="H456" s="3" t="str">
        <f t="shared" si="72"/>
        <v>Pettigrew_etal_1998</v>
      </c>
      <c r="I456" s="3" t="str">
        <f>_xlfn.LET(_xlpm.doi,IF(C456&lt;&gt;"",C456,_xlfn.TEXTAFTER(A456,"https://doi.org/")),SUBSTITUTE(SUBSTITUTE(SUBSTITUTE(SUBSTITUTE(_xlpm.doi,"/","%2F"),":","%3A"),"&lt;","%3C"),"&gt;","%3E"))</f>
        <v>10.1098%2Frstb.1998.0276</v>
      </c>
      <c r="J456" s="3" t="str">
        <f t="shared" si="73"/>
        <v>Pettigrew_etal_1998_Table2</v>
      </c>
      <c r="K456" s="5" t="str">
        <f t="shared" si="74"/>
        <v>10.1098%2Frstb.1998.0276_Table2</v>
      </c>
      <c r="L456" s="5" t="str">
        <f t="array" ref="L456">IFERROR(INDEX(AUTO_Public_TSV_FileList!$A$1:$A$1000,MATCH(TRUE(),EXACT(K456,IFERROR(_xlfn.TEXTBEFORE(AUTO_Public_TSV_FileList!$A$1:$A$1000,".tsv"),"")),0)),"notfound")</f>
        <v>10.1098%2Frstb.1998.0276_Table2.tsv</v>
      </c>
      <c r="M456" s="7" t="s">
        <v>1820</v>
      </c>
      <c r="N456" s="7" t="s">
        <v>70</v>
      </c>
      <c r="O456" s="7" t="s">
        <v>1838</v>
      </c>
      <c r="P456" s="7"/>
      <c r="Q456" s="7"/>
      <c r="R456" s="7" t="s">
        <v>1822</v>
      </c>
      <c r="S456" s="7"/>
      <c r="T456" s="7" t="s">
        <v>1839</v>
      </c>
      <c r="U456" s="7"/>
      <c r="V456" s="7" t="s">
        <v>613</v>
      </c>
      <c r="W456" s="7" t="s">
        <v>1840</v>
      </c>
      <c r="X456" s="7" t="s">
        <v>1841</v>
      </c>
      <c r="Y456" s="7" t="s">
        <v>1842</v>
      </c>
      <c r="Z456" s="7"/>
      <c r="AA456" s="7" t="s">
        <v>1843</v>
      </c>
      <c r="AB456" s="7" t="s">
        <v>1844</v>
      </c>
      <c r="AC456" s="7" t="s">
        <v>1828</v>
      </c>
      <c r="AD456" s="7"/>
      <c r="AE456" s="7" t="s">
        <v>51</v>
      </c>
      <c r="AF456" s="7"/>
      <c r="AG456" s="7" t="s">
        <v>1845</v>
      </c>
    </row>
    <row r="457" ht="15" customHeight="1">
      <c r="A457" s="7" t="s">
        <v>1829</v>
      </c>
      <c r="B457" s="7"/>
      <c r="C457" s="7"/>
      <c r="D457" s="7" t="s">
        <v>1708</v>
      </c>
      <c r="E457" s="3" t="str">
        <f t="shared" si="70"/>
        <v>Pettigrew</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5" t="str">
        <f t="shared" si="71"/>
        <v>1998</v>
      </c>
      <c r="H457" s="3" t="str">
        <f t="shared" si="72"/>
        <v>Pettigrew_etal_1998</v>
      </c>
      <c r="I457" s="3" t="str">
        <f>_xlfn.LET(_xlpm.doi,IF(C457&lt;&gt;"",C457,_xlfn.TEXTAFTER(A457,"https://doi.org/")),SUBSTITUTE(SUBSTITUTE(SUBSTITUTE(SUBSTITUTE(_xlpm.doi,"/","%2F"),":","%3A"),"&lt;","%3C"),"&gt;","%3E"))</f>
        <v>10.1098%2Frstb.1998.0276</v>
      </c>
      <c r="J457" s="3" t="str">
        <f t="shared" si="73"/>
        <v>Pettigrew_etal_1998_Text</v>
      </c>
      <c r="K457" s="5" t="str">
        <f t="shared" si="74"/>
        <v>10.1098%2Frstb.1998.0276_Text</v>
      </c>
      <c r="L457" s="5" t="str">
        <f t="array" ref="L457">IFERROR(INDEX(AUTO_Public_TSV_FileList!$A$1:$A$1000,MATCH(TRUE(),EXACT(K457,IFERROR(_xlfn.TEXTBEFORE(AUTO_Public_TSV_FileList!$A$1:$A$1000,".tsv"),"")),0)),"notfound")</f>
        <v>10.1098%2Frstb.1998.0276_Text.tsv</v>
      </c>
      <c r="M457" s="7" t="s">
        <v>1846</v>
      </c>
      <c r="N457" s="7" t="s">
        <v>455</v>
      </c>
      <c r="O457" s="7" t="s">
        <v>1847</v>
      </c>
      <c r="P457" s="7"/>
      <c r="Q457" s="7"/>
      <c r="R457" s="7" t="s">
        <v>1822</v>
      </c>
      <c r="S457" s="7"/>
      <c r="T457" s="7" t="s">
        <v>1848</v>
      </c>
      <c r="U457" s="7"/>
      <c r="V457" s="7" t="s">
        <v>1849</v>
      </c>
      <c r="W457" s="7" t="s">
        <v>1833</v>
      </c>
      <c r="X457" s="7" t="s">
        <v>1850</v>
      </c>
      <c r="Y457" s="7"/>
      <c r="Z457" s="7"/>
      <c r="AA457" s="7" t="s">
        <v>1851</v>
      </c>
      <c r="AB457" s="7" t="s">
        <v>1852</v>
      </c>
      <c r="AC457" s="7" t="s">
        <v>1828</v>
      </c>
      <c r="AD457" s="7"/>
      <c r="AE457" s="7" t="s">
        <v>51</v>
      </c>
      <c r="AF457" s="7" t="s">
        <v>1853</v>
      </c>
      <c r="AG457" s="7" t="s">
        <v>1030</v>
      </c>
    </row>
    <row r="458" ht="15" customHeight="1">
      <c r="A458" s="7" t="s">
        <v>1854</v>
      </c>
      <c r="B458" s="7"/>
      <c r="C458" s="6" t="s">
        <v>1855</v>
      </c>
      <c r="D458" s="7" t="s">
        <v>265</v>
      </c>
      <c r="E458" s="5" t="str">
        <f t="shared" si="70"/>
        <v>Pirlot</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8" s="5" t="str">
        <f t="shared" si="71"/>
        <v>1981</v>
      </c>
      <c r="H458" s="5" t="str">
        <f t="shared" si="72"/>
        <v>Pirlot__1981</v>
      </c>
      <c r="I458" s="5" t="str">
        <f t="shared" ref="I458:I465" si="75">_xlfn.LET(
_xlpm.doi,IF(C458&lt;&gt;"",C458,_xlfn.TEXTAFTER(A458,"https://doi.org/")),
SUBSTITUTE(
SUBSTITUTE(
SUBSTITUTE(
SUBSTITUTE(
_xlpm.doi,
"/","%2F"),
":","%3A"),
"&lt;","%3C"),
"&gt;","%3E")
)</f>
        <v>PMID%3A7280305</v>
      </c>
      <c r="J458" s="5" t="str">
        <f t="shared" si="73"/>
        <v>Pirlot__1981_TABLEI</v>
      </c>
      <c r="K458" s="5" t="str">
        <f t="shared" si="74"/>
        <v>PMID%3A7280305_TABLEI</v>
      </c>
      <c r="L458" s="5" t="str">
        <f t="array" ref="L458">IFERROR(INDEX(AUTO_Public_TSV_FileList!$A$1:$A$1000,MATCH(TRUE(),EXACT(K458,IFERROR(_xlfn.TEXTBEFORE(AUTO_Public_TSV_FileList!$A$1:$A$1000,".tsv"),"")),0)),"notfound")</f>
        <v>PMID%3A7280305_TABLEI.tsv</v>
      </c>
      <c r="M458" s="7"/>
      <c r="N458" s="7" t="s">
        <v>35</v>
      </c>
      <c r="O458" s="7"/>
      <c r="P458" s="7"/>
      <c r="Q458" s="7"/>
      <c r="R458" s="7"/>
      <c r="S458" s="7"/>
      <c r="T458" s="7"/>
      <c r="U458" s="7"/>
      <c r="V458" s="7"/>
      <c r="W458" s="7"/>
      <c r="X458" s="7"/>
      <c r="Y458" s="7"/>
      <c r="Z458" s="7"/>
      <c r="AA458" s="7"/>
      <c r="AB458" s="7"/>
      <c r="AC458" s="7"/>
      <c r="AD458" s="7"/>
      <c r="AE458" s="7"/>
      <c r="AF458" s="7"/>
      <c r="AG458" s="7"/>
    </row>
    <row r="459" ht="15" customHeight="1">
      <c r="A459" s="7" t="s">
        <v>1854</v>
      </c>
      <c r="B459" s="7"/>
      <c r="C459" s="6" t="s">
        <v>1855</v>
      </c>
      <c r="D459" s="7" t="s">
        <v>275</v>
      </c>
      <c r="E459" s="5" t="str">
        <f t="shared" si="70"/>
        <v>Pirlot</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9" s="5" t="str">
        <f t="shared" si="71"/>
        <v>1981</v>
      </c>
      <c r="H459" s="5" t="str">
        <f t="shared" si="72"/>
        <v>Pirlot__1981</v>
      </c>
      <c r="I459" s="5" t="str">
        <f t="shared" si="75"/>
        <v>PMID%3A7280305</v>
      </c>
      <c r="J459" s="5" t="str">
        <f t="shared" si="73"/>
        <v>Pirlot__1981_TABLEII</v>
      </c>
      <c r="K459" s="5" t="str">
        <f t="shared" si="74"/>
        <v>PMID%3A7280305_TABLEII</v>
      </c>
      <c r="L459" s="5" t="str">
        <f t="array" ref="L459">IFERROR(INDEX(AUTO_Public_TSV_FileList!$A$1:$A$1000,MATCH(TRUE(),EXACT(K459,IFERROR(_xlfn.TEXTBEFORE(AUTO_Public_TSV_FileList!$A$1:$A$1000,".tsv"),"")),0)),"notfound")</f>
        <v>PMID%3A7280305_TABLEII.tsv</v>
      </c>
      <c r="M459" s="7"/>
      <c r="N459" s="7" t="s">
        <v>35</v>
      </c>
      <c r="O459" s="7"/>
      <c r="P459" s="7"/>
      <c r="Q459" s="7"/>
      <c r="R459" s="7"/>
      <c r="S459" s="7" t="s">
        <v>2430</v>
      </c>
      <c r="T459" s="7"/>
      <c r="U459" s="7"/>
      <c r="V459" s="7"/>
      <c r="W459" s="7"/>
      <c r="X459" s="7"/>
      <c r="Y459" s="7"/>
      <c r="Z459" s="7"/>
      <c r="AA459" s="7"/>
      <c r="AB459" s="7"/>
      <c r="AC459" s="7"/>
      <c r="AD459" s="7"/>
      <c r="AE459" s="7"/>
      <c r="AF459" s="7"/>
      <c r="AG459" s="7"/>
    </row>
    <row r="460" ht="15" customHeight="1">
      <c r="A460" s="7" t="s">
        <v>1856</v>
      </c>
      <c r="B460" s="7"/>
      <c r="C460" s="7" t="s">
        <v>1857</v>
      </c>
      <c r="D460" s="7" t="s">
        <v>68</v>
      </c>
      <c r="E460" s="5" t="str">
        <f t="shared" si="70"/>
        <v>Pirlot</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0" s="5" t="str">
        <f t="shared" si="71"/>
        <v>1985</v>
      </c>
      <c r="H460" s="5" t="str">
        <f t="shared" si="72"/>
        <v>Pirlot_Jiao_1985</v>
      </c>
      <c r="I460" s="5" t="str">
        <f t="shared" si="75"/>
        <v>PMID%3A3989277</v>
      </c>
      <c r="J460" s="5" t="str">
        <f t="shared" si="73"/>
        <v>Pirlot_Jiao_1985_Table1</v>
      </c>
      <c r="K460" s="5" t="str">
        <f t="shared" si="74"/>
        <v>PMID%3A3989277_Table1</v>
      </c>
      <c r="L460" s="5" t="str">
        <f t="array" ref="L460">IFERROR(INDEX(AUTO_Public_TSV_FileList!$A$1:$A$1000,MATCH(TRUE(),EXACT(K460,IFERROR(_xlfn.TEXTBEFORE(AUTO_Public_TSV_FileList!$A$1:$A$1000,".tsv"),"")),0)),"notfound")</f>
        <v>PMID%3A3989277_Table1.tsv</v>
      </c>
      <c r="M460" s="7"/>
      <c r="N460" s="7"/>
      <c r="O460" s="7"/>
      <c r="P460" s="7"/>
      <c r="Q460" s="7"/>
      <c r="R460" s="7"/>
      <c r="S460" s="7"/>
      <c r="T460" s="7"/>
      <c r="U460" s="7"/>
      <c r="V460" s="7"/>
      <c r="W460" s="7"/>
      <c r="X460" s="7"/>
      <c r="Y460" s="7"/>
      <c r="Z460" s="7"/>
      <c r="AA460" s="7"/>
      <c r="AB460" s="7"/>
      <c r="AC460" s="7"/>
      <c r="AD460" s="7"/>
      <c r="AE460" s="7"/>
      <c r="AF460" s="7"/>
      <c r="AG460" s="7"/>
    </row>
    <row r="461" ht="15" customHeight="1">
      <c r="A461" s="6" t="s">
        <v>1858</v>
      </c>
      <c r="B461" s="6"/>
      <c r="C461" s="7"/>
      <c r="D461" s="6" t="s">
        <v>68</v>
      </c>
      <c r="E461" s="5" t="str">
        <f t="shared" si="70"/>
        <v>Pirlot</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1" s="5" t="str">
        <f t="shared" si="71"/>
        <v>1982</v>
      </c>
      <c r="H461" s="5" t="str">
        <f t="shared" si="72"/>
        <v>Pirlot_Kamiya_1982</v>
      </c>
      <c r="I461" s="5" t="str">
        <f t="shared" si="75"/>
        <v>10.1139%2FZ82-084</v>
      </c>
      <c r="J461" s="5" t="str">
        <f t="shared" si="73"/>
        <v>Pirlot_Kamiya_1982_Table1</v>
      </c>
      <c r="K461" s="5" t="str">
        <f t="shared" si="74"/>
        <v>10.1139%2FZ82-084_Table1</v>
      </c>
      <c r="L461" s="5" t="str">
        <f t="array" ref="L461">IFERROR(INDEX(AUTO_Public_TSV_FileList!$A$1:$A$1000,MATCH(TRUE(),EXACT(K461,IFERROR(_xlfn.TEXTBEFORE(AUTO_Public_TSV_FileList!$A$1:$A$1000,".tsv"),"")),0)),"notfound")</f>
        <v>10.1139%2FZ82-084_Table1.tsv</v>
      </c>
      <c r="M461" s="7"/>
      <c r="N461" s="1" t="s">
        <v>35</v>
      </c>
      <c r="O461" s="7"/>
      <c r="P461" s="6" t="s">
        <v>36</v>
      </c>
      <c r="Q461" s="6"/>
      <c r="R461" s="6"/>
      <c r="S461" s="6" t="s">
        <v>722</v>
      </c>
      <c r="T461" s="6" t="s">
        <v>723</v>
      </c>
      <c r="U461" s="6"/>
      <c r="V461" s="6" t="s">
        <v>724</v>
      </c>
      <c r="W461" s="6" t="s">
        <v>1859</v>
      </c>
      <c r="X461" s="6" t="s">
        <v>1860</v>
      </c>
      <c r="Y461" s="6"/>
      <c r="Z461" s="6"/>
      <c r="AA461" s="6" t="s">
        <v>1861</v>
      </c>
      <c r="AB461" s="6" t="s">
        <v>1862</v>
      </c>
      <c r="AC461" s="7"/>
      <c r="AD461" s="6"/>
      <c r="AE461" s="1" t="s">
        <v>51</v>
      </c>
      <c r="AF461" s="1"/>
      <c r="AG461" s="6" t="s">
        <v>1863</v>
      </c>
    </row>
    <row r="462" ht="15" customHeight="1">
      <c r="A462" s="6" t="s">
        <v>1864</v>
      </c>
      <c r="B462" s="6"/>
      <c r="C462" s="6"/>
      <c r="D462" s="6" t="s">
        <v>68</v>
      </c>
      <c r="E462" s="5" t="str">
        <f t="shared" si="70"/>
        <v>Pirlot</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5" t="str">
        <f t="shared" si="71"/>
        <v>1985</v>
      </c>
      <c r="H462" s="5" t="str">
        <f t="shared" si="72"/>
        <v>Pirlot_Kamiya_1985</v>
      </c>
      <c r="I462" s="5" t="str">
        <f t="shared" si="75"/>
        <v>10.1111%2Fj.1439-0469.1985.tb00577.x</v>
      </c>
      <c r="J462" s="5" t="str">
        <f t="shared" si="73"/>
        <v>Pirlot_Kamiya_1985_Table1</v>
      </c>
      <c r="K462" s="5" t="str">
        <f t="shared" si="74"/>
        <v>10.1111%2Fj.1439-0469.1985.tb00577.x_Table1</v>
      </c>
      <c r="L462" s="5" t="str">
        <f t="array" ref="L462">IFERROR(INDEX(AUTO_Public_TSV_FileList!$A$1:$A$1000,MATCH(TRUE(),EXACT(K462,IFERROR(_xlfn.TEXTBEFORE(AUTO_Public_TSV_FileList!$A$1:$A$1000,".tsv"),"")),0)),"notfound")</f>
        <v>10.1111%2Fj.1439-0469.1985.tb00577.x_Table1.tsv</v>
      </c>
      <c r="M462" s="7"/>
      <c r="N462" s="1" t="s">
        <v>35</v>
      </c>
      <c r="O462" s="7"/>
      <c r="P462" s="6" t="s">
        <v>36</v>
      </c>
      <c r="Q462" s="6"/>
      <c r="R462" s="6" t="s">
        <v>1865</v>
      </c>
      <c r="S462" s="6" t="s">
        <v>722</v>
      </c>
      <c r="T462" s="6" t="s">
        <v>723</v>
      </c>
      <c r="U462" s="6"/>
      <c r="V462" s="6" t="s">
        <v>724</v>
      </c>
      <c r="W462" s="6" t="s">
        <v>1866</v>
      </c>
      <c r="X462" s="6" t="s">
        <v>1867</v>
      </c>
      <c r="Y462" s="6"/>
      <c r="Z462" s="6"/>
      <c r="AA462" s="6" t="s">
        <v>1868</v>
      </c>
      <c r="AB462" s="6" t="s">
        <v>1862</v>
      </c>
      <c r="AC462" s="7"/>
      <c r="AD462" s="6"/>
      <c r="AE462" s="6" t="s">
        <v>66</v>
      </c>
      <c r="AF462" s="6"/>
      <c r="AG462" s="6" t="s">
        <v>1869</v>
      </c>
    </row>
    <row r="463" ht="15" customHeight="1">
      <c r="A463" s="7" t="s">
        <v>1870</v>
      </c>
      <c r="B463" s="7"/>
      <c r="C463" s="7" t="s">
        <v>1871</v>
      </c>
      <c r="D463" s="7" t="s">
        <v>94</v>
      </c>
      <c r="E463" s="5" t="str">
        <f t="shared" si="70"/>
        <v>Pirlot</v>
      </c>
      <c r="F463" s="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3" s="5" t="str">
        <f t="shared" si="71"/>
        <v>1978</v>
      </c>
      <c r="H463" s="5" t="str">
        <f t="shared" si="72"/>
        <v>Pirlot_Nelson_1978</v>
      </c>
      <c r="I463" s="5" t="str">
        <f t="shared" si="75"/>
        <v>OCLC%3A1340515946</v>
      </c>
      <c r="J463" s="5" t="str">
        <f t="shared" si="73"/>
        <v>Pirlot_Nelson_1978_TABLE3</v>
      </c>
      <c r="K463" s="5" t="str">
        <f t="shared" si="74"/>
        <v>OCLC%3A1340515946_TABLE3</v>
      </c>
      <c r="L463" s="5" t="str">
        <f t="array" ref="L463">IFERROR(INDEX(AUTO_Public_TSV_FileList!$A$1:$A$1000,MATCH(TRUE(),EXACT(K463,IFERROR(_xlfn.TEXTBEFORE(AUTO_Public_TSV_FileList!$A$1:$A$1000,".tsv"),"")),0)),"notfound")</f>
        <v>OCLC%3A1340515946_TABLE3.tsv</v>
      </c>
      <c r="M463" s="7"/>
      <c r="N463" s="7"/>
      <c r="O463" s="7"/>
      <c r="P463" s="7"/>
      <c r="Q463" s="7"/>
      <c r="R463" s="7"/>
      <c r="S463" s="7"/>
      <c r="T463" s="7"/>
      <c r="U463" s="7"/>
      <c r="V463" s="7"/>
      <c r="W463" s="7"/>
      <c r="X463" s="7"/>
      <c r="Y463" s="7"/>
      <c r="Z463" s="7"/>
      <c r="AA463" s="7"/>
      <c r="AB463" s="7"/>
      <c r="AC463" s="7"/>
      <c r="AD463" s="7"/>
      <c r="AE463" s="7"/>
      <c r="AF463" s="7"/>
      <c r="AG463" s="7"/>
    </row>
    <row r="464" ht="15" customHeight="1">
      <c r="A464" s="1" t="s">
        <v>1872</v>
      </c>
      <c r="B464" s="7"/>
      <c r="C464" s="1"/>
      <c r="D464" s="1" t="s">
        <v>1873</v>
      </c>
      <c r="E464" s="5" t="str">
        <f t="shared" si="70"/>
        <v>Powell</v>
      </c>
      <c r="F464" s="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5" t="str">
        <f t="shared" si="71"/>
        <v>2017</v>
      </c>
      <c r="H464" s="5" t="str">
        <f t="shared" si="72"/>
        <v>Powell_etal_2017</v>
      </c>
      <c r="I464" s="5" t="str">
        <f t="shared" si="75"/>
        <v>10.1098%2Frspb.2017.1765</v>
      </c>
      <c r="J464" s="5" t="str">
        <f t="shared" si="73"/>
        <v>Powell_etal_2017_Dataset1</v>
      </c>
      <c r="K464" s="5" t="str">
        <f t="shared" si="74"/>
        <v>10.1098%2Frspb.2017.1765_Dataset1</v>
      </c>
      <c r="L464" s="5" t="str">
        <f t="array" ref="L464">IFERROR(INDEX(AUTO_Public_TSV_FileList!$A$1:$A$1000,MATCH(TRUE(),EXACT(K464,IFERROR(_xlfn.TEXTBEFORE(AUTO_Public_TSV_FileList!$A$1:$A$1000,".tsv"),"")),0)),"notfound")</f>
        <v>10.1098%2Frspb.2017.1765_Dataset1.tsv</v>
      </c>
      <c r="M464" s="7"/>
      <c r="N464" s="1" t="s">
        <v>35</v>
      </c>
      <c r="O464" s="7"/>
      <c r="P464" s="7" t="s">
        <v>36</v>
      </c>
      <c r="Q464" s="1"/>
      <c r="R464" s="1" t="s">
        <v>1874</v>
      </c>
      <c r="S464" s="7"/>
      <c r="T464" s="7"/>
      <c r="U464" s="7"/>
      <c r="V464" s="1"/>
      <c r="W464" s="1" t="s">
        <v>137</v>
      </c>
      <c r="X464" s="1" t="s">
        <v>1875</v>
      </c>
      <c r="Y464" s="1" t="s">
        <v>1876</v>
      </c>
      <c r="Z464" s="7"/>
      <c r="AA464" s="7"/>
      <c r="AB464" s="1" t="s">
        <v>1875</v>
      </c>
      <c r="AC464" s="7"/>
      <c r="AD464" s="7"/>
      <c r="AE464" s="1" t="s">
        <v>215</v>
      </c>
      <c r="AF464" s="1"/>
      <c r="AG464" s="7"/>
    </row>
    <row r="465" ht="15" customHeight="1">
      <c r="A465" s="1" t="s">
        <v>1877</v>
      </c>
      <c r="B465" s="7"/>
      <c r="C465" s="1"/>
      <c r="D465" s="1" t="s">
        <v>68</v>
      </c>
      <c r="E465" s="5" t="str">
        <f t="shared" si="70"/>
        <v>Raghanti</v>
      </c>
      <c r="F465" s="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5" t="str">
        <f t="shared" si="71"/>
        <v>2015</v>
      </c>
      <c r="H465" s="5" t="str">
        <f t="shared" si="72"/>
        <v>Raghanti_etal_2015</v>
      </c>
      <c r="I465" s="5" t="str">
        <f t="shared" si="75"/>
        <v>10.1007%2Fs00429-014-0792-y</v>
      </c>
      <c r="J465" s="5" t="str">
        <f t="shared" si="73"/>
        <v>Raghanti_etal_2015_Table1</v>
      </c>
      <c r="K465" s="5" t="str">
        <f t="shared" si="74"/>
        <v>10.1007%2Fs00429-014-0792-y_Table1</v>
      </c>
      <c r="L465" s="5" t="str">
        <f t="array" ref="L465">IFERROR(INDEX(AUTO_Public_TSV_FileList!$A$1:$A$1000,MATCH(TRUE(),EXACT(K465,IFERROR(_xlfn.TEXTBEFORE(AUTO_Public_TSV_FileList!$A$1:$A$1000,".tsv"),"")),0)),"notfound")</f>
        <v>10.1007%2Fs00429-014-0792-y_Table1.tsv</v>
      </c>
      <c r="M465" s="7"/>
      <c r="N465" s="1"/>
      <c r="O465" s="7"/>
      <c r="P465" s="7"/>
      <c r="Q465" s="1"/>
      <c r="R465" s="1"/>
      <c r="S465" s="7"/>
      <c r="T465" s="7"/>
      <c r="U465" s="7"/>
      <c r="V465" s="1"/>
      <c r="W465" s="1"/>
      <c r="X465" s="1"/>
      <c r="Y465" s="1"/>
      <c r="Z465" s="7"/>
      <c r="AA465" s="7"/>
      <c r="AB465" s="1"/>
      <c r="AC465" s="7"/>
      <c r="AD465" s="7"/>
      <c r="AE465" s="1"/>
      <c r="AF465" s="1"/>
      <c r="AG465" s="7"/>
    </row>
    <row r="466" ht="15" customHeight="1">
      <c r="A466" s="9" t="s">
        <v>1878</v>
      </c>
      <c r="B466" s="9" t="s">
        <v>355</v>
      </c>
      <c r="C466" s="9"/>
      <c r="D466" s="9" t="s">
        <v>108</v>
      </c>
      <c r="E466" s="3" t="str">
        <f t="shared" si="70"/>
        <v>Raghanti</v>
      </c>
      <c r="F466" s="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5" t="str">
        <f t="shared" si="71"/>
        <v>2008</v>
      </c>
      <c r="H466" s="3" t="str">
        <f t="shared" si="72"/>
        <v>Raghanti_etal_2008_a</v>
      </c>
      <c r="I466" s="3" t="str">
        <f>_xlfn.LET(_xlpm.doi,IF(C466&lt;&gt;"",C466,_xlfn.TEXTAFTER(A466,"https://doi.org/")),SUBSTITUTE(SUBSTITUTE(SUBSTITUTE(SUBSTITUTE(_xlpm.doi,"/","%2F"),":","%3A"),"&lt;","%3C"),"&gt;","%3E"))</f>
        <v>10.1002%2Fcne.21546</v>
      </c>
      <c r="J466" s="3" t="str">
        <f t="shared" si="73"/>
        <v>Raghanti_etal_2008_a_Table2</v>
      </c>
      <c r="K466" s="5" t="str">
        <f t="shared" si="74"/>
        <v>10.1002%2Fcne.21546_Table2</v>
      </c>
      <c r="L466" s="5" t="str">
        <f t="array" ref="L466">IFERROR(INDEX(AUTO_Public_TSV_FileList!$A$1:$A$1000,MATCH(TRUE(),EXACT(K466,IFERROR(_xlfn.TEXTBEFORE(AUTO_Public_TSV_FileList!$A$1:$A$1000,".tsv"),"")),0)),"notfound")</f>
        <v>10.1002%2Fcne.21546_Table2.tsv</v>
      </c>
      <c r="M466" s="9" t="s">
        <v>1879</v>
      </c>
      <c r="N466" s="9" t="s">
        <v>70</v>
      </c>
      <c r="O466" s="9" t="s">
        <v>1880</v>
      </c>
      <c r="P466" s="9" t="s">
        <v>78</v>
      </c>
      <c r="Q466" s="9"/>
      <c r="R466" s="9" t="s">
        <v>1881</v>
      </c>
      <c r="S466" s="9" t="s">
        <v>80</v>
      </c>
      <c r="T466" s="9" t="s">
        <v>1882</v>
      </c>
      <c r="U466" s="9"/>
      <c r="V466" s="9" t="s">
        <v>1883</v>
      </c>
      <c r="W466" s="9" t="s">
        <v>1884</v>
      </c>
      <c r="X466" s="9" t="s">
        <v>1885</v>
      </c>
      <c r="Y466" s="9" t="s">
        <v>1886</v>
      </c>
      <c r="Z466" s="9" t="s">
        <v>1887</v>
      </c>
      <c r="AA466" s="9" t="s">
        <v>1888</v>
      </c>
      <c r="AB466" s="9" t="s">
        <v>1889</v>
      </c>
      <c r="AC466" s="9" t="s">
        <v>1890</v>
      </c>
      <c r="AD466" s="9" t="s">
        <v>1891</v>
      </c>
      <c r="AE466" s="9" t="s">
        <v>66</v>
      </c>
      <c r="AF466" s="9"/>
      <c r="AG466" s="9" t="s">
        <v>1892</v>
      </c>
    </row>
    <row r="467" ht="15" customHeight="1">
      <c r="A467" s="9" t="s">
        <v>1893</v>
      </c>
      <c r="B467" s="9" t="s">
        <v>967</v>
      </c>
      <c r="C467" s="9"/>
      <c r="D467" s="9" t="s">
        <v>108</v>
      </c>
      <c r="E467" s="3" t="str">
        <f t="shared" si="70"/>
        <v>Raghanti</v>
      </c>
      <c r="F467" s="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5" t="str">
        <f t="shared" si="71"/>
        <v>2008</v>
      </c>
      <c r="H467" s="3" t="str">
        <f t="shared" si="72"/>
        <v>Raghanti_etal_2008_c</v>
      </c>
      <c r="I467" s="3" t="str">
        <f>_xlfn.LET(_xlpm.doi,IF(C467&lt;&gt;"",C467,_xlfn.TEXTAFTER(A467,"https://doi.org/")),SUBSTITUTE(SUBSTITUTE(SUBSTITUTE(SUBSTITUTE(_xlpm.doi,"/","%2F"),":","%3A"),"&lt;","%3C"),"&gt;","%3E"))</f>
        <v>10.1016%2Fj.neuroscience.2008.05.008</v>
      </c>
      <c r="J467" s="3" t="str">
        <f t="shared" si="73"/>
        <v>Raghanti_etal_2008_c_Table2</v>
      </c>
      <c r="K467" s="5" t="str">
        <f t="shared" si="74"/>
        <v>10.1016%2Fj.neuroscience.2008.05.008_Table2</v>
      </c>
      <c r="L467" s="5" t="str">
        <f t="array" ref="L467">IFERROR(INDEX(AUTO_Public_TSV_FileList!$A$1:$A$1000,MATCH(TRUE(),EXACT(K467,IFERROR(_xlfn.TEXTBEFORE(AUTO_Public_TSV_FileList!$A$1:$A$1000,".tsv"),"")),0)),"notfound")</f>
        <v>10.1016%2Fj.neuroscience.2008.05.008_Table2.tsv</v>
      </c>
      <c r="M467" s="9" t="s">
        <v>1894</v>
      </c>
      <c r="N467" s="9" t="s">
        <v>70</v>
      </c>
      <c r="O467" s="9" t="s">
        <v>1895</v>
      </c>
      <c r="P467" s="9" t="s">
        <v>78</v>
      </c>
      <c r="Q467" s="9"/>
      <c r="R467" s="9" t="s">
        <v>1896</v>
      </c>
      <c r="S467" s="9" t="s">
        <v>80</v>
      </c>
      <c r="T467" s="9" t="s">
        <v>1897</v>
      </c>
      <c r="U467" s="9"/>
      <c r="V467" s="9" t="s">
        <v>1883</v>
      </c>
      <c r="W467" s="9" t="s">
        <v>1884</v>
      </c>
      <c r="X467" s="9" t="s">
        <v>1898</v>
      </c>
      <c r="Y467" s="9"/>
      <c r="Z467" s="9" t="s">
        <v>1887</v>
      </c>
      <c r="AA467" s="9" t="s">
        <v>1888</v>
      </c>
      <c r="AB467" s="9" t="s">
        <v>1899</v>
      </c>
      <c r="AC467" s="9" t="s">
        <v>1890</v>
      </c>
      <c r="AD467" s="9" t="s">
        <v>1891</v>
      </c>
      <c r="AE467" s="9" t="s">
        <v>66</v>
      </c>
      <c r="AF467" s="9"/>
      <c r="AG467" s="9" t="s">
        <v>1900</v>
      </c>
    </row>
    <row r="468" ht="15" customHeight="1">
      <c r="A468" s="9" t="s">
        <v>1901</v>
      </c>
      <c r="B468" s="9" t="s">
        <v>360</v>
      </c>
      <c r="C468" s="9"/>
      <c r="D468" s="9" t="s">
        <v>108</v>
      </c>
      <c r="E468" s="3" t="str">
        <f t="shared" si="70"/>
        <v>Raghanti</v>
      </c>
      <c r="F468" s="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5" t="str">
        <f t="shared" si="71"/>
        <v>2008</v>
      </c>
      <c r="H468" s="3" t="str">
        <f t="shared" si="72"/>
        <v>Raghanti_etal_2008_b</v>
      </c>
      <c r="I468" s="3" t="str">
        <f>_xlfn.LET(_xlpm.doi,IF(C468&lt;&gt;"",C468,_xlfn.TEXTAFTER(A468,"https://doi.org/")),SUBSTITUTE(SUBSTITUTE(SUBSTITUTE(SUBSTITUTE(_xlpm.doi,"/","%2F"),":","%3A"),"&lt;","%3C"),"&gt;","%3E"))</f>
        <v>10.1093%2Fcercor%2Fbhm089</v>
      </c>
      <c r="J468" s="3" t="str">
        <f t="shared" si="73"/>
        <v>Raghanti_etal_2008_b_Table2</v>
      </c>
      <c r="K468" s="5" t="str">
        <f t="shared" si="74"/>
        <v>10.1093%2Fcercor%2Fbhm089_Table2</v>
      </c>
      <c r="L468" s="5" t="str">
        <f t="array" ref="L468">IFERROR(INDEX(AUTO_Public_TSV_FileList!$A$1:$A$1000,MATCH(TRUE(),EXACT(K468,IFERROR(_xlfn.TEXTBEFORE(AUTO_Public_TSV_FileList!$A$1:$A$1000,".tsv"),"")),0)),"notfound")</f>
        <v>10.1093%2Fcercor%2Fbhm089_Table2.tsv</v>
      </c>
      <c r="M468" s="9" t="s">
        <v>1902</v>
      </c>
      <c r="N468" s="9" t="s">
        <v>70</v>
      </c>
      <c r="O468" s="9" t="s">
        <v>1903</v>
      </c>
      <c r="P468" s="9" t="s">
        <v>78</v>
      </c>
      <c r="Q468" s="9"/>
      <c r="R468" s="9" t="s">
        <v>1904</v>
      </c>
      <c r="S468" s="9" t="s">
        <v>80</v>
      </c>
      <c r="T468" s="9" t="s">
        <v>1905</v>
      </c>
      <c r="U468" s="9"/>
      <c r="V468" s="9" t="s">
        <v>1883</v>
      </c>
      <c r="W468" s="9" t="s">
        <v>1884</v>
      </c>
      <c r="X468" s="9" t="s">
        <v>1906</v>
      </c>
      <c r="Y468" s="9"/>
      <c r="Z468" s="9" t="s">
        <v>1887</v>
      </c>
      <c r="AA468" s="9" t="s">
        <v>1888</v>
      </c>
      <c r="AB468" s="9" t="s">
        <v>1899</v>
      </c>
      <c r="AC468" s="9" t="s">
        <v>1890</v>
      </c>
      <c r="AD468" s="9" t="s">
        <v>1891</v>
      </c>
      <c r="AE468" s="9" t="s">
        <v>66</v>
      </c>
      <c r="AF468" s="9"/>
      <c r="AG468" s="9" t="s">
        <v>1907</v>
      </c>
    </row>
    <row r="469" ht="15" customHeight="1">
      <c r="A469" s="9" t="s">
        <v>1908</v>
      </c>
      <c r="B469" s="9"/>
      <c r="C469" s="9"/>
      <c r="D469" s="9" t="s">
        <v>453</v>
      </c>
      <c r="E469" s="3" t="str">
        <f t="shared" si="70"/>
        <v>Ravizza</v>
      </c>
      <c r="F469" s="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5" t="str">
        <f t="shared" si="71"/>
        <v>1972</v>
      </c>
      <c r="H469" s="3" t="str">
        <f t="shared" si="72"/>
        <v>Ravizza_Masterton_1972</v>
      </c>
      <c r="I469" s="3" t="str">
        <f>_xlfn.LET(_xlpm.doi,IF(C469&lt;&gt;"",C469,_xlfn.TEXTAFTER(A469,"https://doi.org/")),SUBSTITUTE(SUBSTITUTE(SUBSTITUTE(SUBSTITUTE(_xlpm.doi,"/","%2F"),":","%3A"),"&lt;","%3C"),"&gt;","%3E"))</f>
        <v>10.1152%2Fjn.1972.35.3.344</v>
      </c>
      <c r="J469" s="3" t="str">
        <f t="shared" si="73"/>
        <v>Ravizza_Masterton_1972_ResultsText</v>
      </c>
      <c r="K469" s="5" t="str">
        <f t="shared" si="74"/>
        <v>10.1152%2Fjn.1972.35.3.344_ResultsText</v>
      </c>
      <c r="L469" s="5" t="str">
        <f t="array" ref="L469">IFERROR(INDEX(AUTO_Public_TSV_FileList!$A$1:$A$1000,MATCH(TRUE(),EXACT(K469,IFERROR(_xlfn.TEXTBEFORE(AUTO_Public_TSV_FileList!$A$1:$A$1000,".tsv"),"")),0)),"notfound")</f>
        <v>10.1152%2Fjn.1972.35.3.344_ResultsText.tsv</v>
      </c>
      <c r="M469" s="9" t="s">
        <v>1909</v>
      </c>
      <c r="N469" s="9" t="s">
        <v>455</v>
      </c>
      <c r="O469" s="9" t="s">
        <v>1910</v>
      </c>
      <c r="P469" s="9" t="s">
        <v>36</v>
      </c>
      <c r="Q469" s="9"/>
      <c r="R469" s="9"/>
      <c r="S469" s="9"/>
      <c r="T469" s="9"/>
      <c r="U469" s="9"/>
      <c r="V469" s="9"/>
      <c r="W469" s="9"/>
      <c r="X469" s="9"/>
      <c r="Y469" s="9"/>
      <c r="Z469" s="9"/>
      <c r="AA469" s="9"/>
      <c r="AB469" s="9"/>
      <c r="AC469" s="9"/>
      <c r="AD469" s="9"/>
      <c r="AE469" s="9"/>
      <c r="AF469" s="9"/>
      <c r="AG469" s="9"/>
    </row>
    <row r="470" ht="15" customHeight="1">
      <c r="A470" s="9" t="s">
        <v>1911</v>
      </c>
      <c r="B470" s="9"/>
      <c r="C470" s="9" t="s">
        <v>1912</v>
      </c>
      <c r="D470" s="9" t="s">
        <v>453</v>
      </c>
      <c r="E470" s="3" t="str">
        <f t="shared" si="70"/>
        <v>Ravizza</v>
      </c>
      <c r="F470" s="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5" t="str">
        <f t="shared" si="71"/>
        <v>1969</v>
      </c>
      <c r="H470" s="3" t="str">
        <f t="shared" si="72"/>
        <v>Ravizza_etal_1969</v>
      </c>
      <c r="I470" s="3" t="str">
        <f>_xlfn.LET(_xlpm.doi,IF(C470&lt;&gt;"",C470,_xlfn.TEXTAFTER(A470,"https://doi.org/")),SUBSTITUTE(SUBSTITUTE(SUBSTITUTE(SUBSTITUTE(_xlpm.doi,"/","%2F"),":","%3A"),"&lt;","%3C"),"&gt;","%3E"))</f>
        <v>AN%3A1970-12227-001</v>
      </c>
      <c r="J470" s="3" t="str">
        <f t="shared" si="73"/>
        <v>Ravizza_etal_1969_ResultsText</v>
      </c>
      <c r="K470" s="5" t="str">
        <f t="shared" si="74"/>
        <v>AN%3A1970-12227-001_ResultsText</v>
      </c>
      <c r="L470" s="5" t="str">
        <f t="array" ref="L470">IFERROR(INDEX(AUTO_Public_TSV_FileList!$A$1:$A$1000,MATCH(TRUE(),EXACT(K470,IFERROR(_xlfn.TEXTBEFORE(AUTO_Public_TSV_FileList!$A$1:$A$1000,".tsv"),"")),0)),"notfound")</f>
        <v>AN%3A1970-12227-001_ResultsText.tsv</v>
      </c>
      <c r="M470" s="9" t="s">
        <v>1913</v>
      </c>
      <c r="N470" s="9" t="s">
        <v>455</v>
      </c>
      <c r="O470" s="9" t="s">
        <v>1914</v>
      </c>
      <c r="P470" s="9" t="s">
        <v>36</v>
      </c>
      <c r="Q470" s="9"/>
      <c r="R470" s="9"/>
      <c r="S470" s="9"/>
      <c r="T470" s="9"/>
      <c r="U470" s="9"/>
      <c r="V470" s="9"/>
      <c r="W470" s="9"/>
      <c r="X470" s="9"/>
      <c r="Y470" s="9"/>
      <c r="Z470" s="9"/>
      <c r="AA470" s="9"/>
      <c r="AB470" s="9"/>
      <c r="AC470" s="9"/>
      <c r="AD470" s="9"/>
      <c r="AE470" s="9"/>
      <c r="AF470" s="9"/>
      <c r="AG470" s="9"/>
    </row>
    <row r="471" ht="15" customHeight="1">
      <c r="A471" s="1" t="s">
        <v>1915</v>
      </c>
      <c r="B471" s="7"/>
      <c r="C471" s="1"/>
      <c r="D471" s="1" t="s">
        <v>1200</v>
      </c>
      <c r="E471" s="5" t="str">
        <f t="shared" si="70"/>
        <v>Reader</v>
      </c>
      <c r="F471" s="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5" t="str">
        <f t="shared" si="71"/>
        <v>2011</v>
      </c>
      <c r="H471" s="5" t="str">
        <f t="shared" si="72"/>
        <v>Reader_etal_2011</v>
      </c>
      <c r="I471" s="5" t="str">
        <f>_xlfn.LET(
_xlpm.doi,IF(C471&lt;&gt;"",C471,_xlfn.TEXTAFTER(A471,"https://doi.org/")),
SUBSTITUTE(
SUBSTITUTE(
SUBSTITUTE(
SUBSTITUTE(
_xlpm.doi,
"/","%2F"),
":","%3A"),
"&lt;","%3C"),
"&gt;","%3E")
)</f>
        <v>10.1098%2Frstb.2010.0342</v>
      </c>
      <c r="J471" s="5" t="str">
        <f t="shared" si="73"/>
        <v>Reader_etal_2011_Data</v>
      </c>
      <c r="K471" s="5" t="str">
        <f t="shared" si="74"/>
        <v>10.1098%2Frstb.2010.0342_Data</v>
      </c>
      <c r="L471" s="5" t="str">
        <f t="array" ref="L471">IFERROR(INDEX(AUTO_Public_TSV_FileList!$A$1:$A$1000,MATCH(TRUE(),EXACT(K471,IFERROR(_xlfn.TEXTBEFORE(AUTO_Public_TSV_FileList!$A$1:$A$1000,".tsv"),"")),0)),"notfound")</f>
        <v>10.1098%2Frstb.2010.0342_Data.tsv</v>
      </c>
      <c r="M471" s="7"/>
      <c r="N471" s="1" t="s">
        <v>35</v>
      </c>
      <c r="O471" s="7"/>
      <c r="P471" s="1" t="s">
        <v>36</v>
      </c>
      <c r="Q471" s="1"/>
      <c r="R471" s="1"/>
      <c r="S471" s="7"/>
      <c r="T471" s="7"/>
      <c r="U471" s="7"/>
      <c r="V471" s="1"/>
      <c r="W471" s="1" t="s">
        <v>137</v>
      </c>
      <c r="X471" s="1" t="s">
        <v>1916</v>
      </c>
      <c r="Y471" s="1"/>
      <c r="Z471" s="7"/>
      <c r="AA471" s="7"/>
      <c r="AB471" s="1" t="s">
        <v>1917</v>
      </c>
      <c r="AC471" s="1" t="s">
        <v>1918</v>
      </c>
      <c r="AD471" s="7"/>
      <c r="AE471" s="1" t="s">
        <v>66</v>
      </c>
      <c r="AF471" s="1"/>
      <c r="AG471" s="1" t="s">
        <v>1919</v>
      </c>
    </row>
    <row r="472" ht="15" customHeight="1">
      <c r="A472" s="7" t="s">
        <v>1920</v>
      </c>
      <c r="B472" s="7"/>
      <c r="C472" s="7"/>
      <c r="D472" s="7" t="s">
        <v>68</v>
      </c>
      <c r="E472" s="5" t="str">
        <f t="shared" ref="E472:E475" si="76">SUBSTITUTE(SUBSTITUTE(_xlfn.TEXTBEFORE(A472,","), "-", ""), " ", "")</f>
        <v>Reep</v>
      </c>
      <c r="F472" s="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5" t="str">
        <f t="shared" ref="G472:G475" si="77">_xlfn.TEXTBEFORE(_xlfn.TEXTAFTER(A472, "("), ")")</f>
        <v>2007</v>
      </c>
      <c r="H472" s="5" t="str">
        <f t="shared" ref="H472:H475" si="78">E472 &amp; IF(F472&lt;&gt;"", "_" &amp; F472, "_") &amp; IF(G472&lt;&gt;"", "_" &amp; G472, "_") &amp; IF(B472&lt;&gt;"", "_" &amp; B472, "")</f>
        <v>Reep_etal_2007</v>
      </c>
      <c r="I472" s="5" t="str">
        <f t="shared" ref="I472:I475" si="79">_xlfn.LET(
_xlpm.doi,IF(C472&lt;&gt;"",C472,_xlfn.TEXTAFTER(A472,"https://doi.org/")),
SUBSTITUTE(
SUBSTITUTE(
SUBSTITUTE(
SUBSTITUTE(
_xlpm.doi,
"/","%2F"),
":","%3A"),
"&lt;","%3C"),
"&gt;","%3E")
)</f>
        <v>10.1159%2F000101491</v>
      </c>
      <c r="J472" s="5" t="str">
        <f t="shared" ref="J472:J475" si="80">TRIM(_xlfn.TEXTJOIN("_",FALSE(),H472,(SUBSTITUTE(SUBSTITUTE(D472," ",""), "_", ""))))</f>
        <v>Reep_etal_2007_Table1</v>
      </c>
      <c r="K472" s="5" t="str">
        <f t="shared" ref="K472:K475" si="81">I472 &amp; "_" &amp; SUBSTITUTE(SUBSTITUTE(SUBSTITUTE(D472,CHAR(160),"")," ",""),"_","")</f>
        <v>10.1159%2F000101491_Table1</v>
      </c>
      <c r="L472" s="5" t="str">
        <f t="array" ref="L472">IFERROR(INDEX(AUTO_Public_TSV_FileList!$A$1:$A$1000,MATCH(TRUE(),EXACT(K472,IFERROR(_xlfn.TEXTBEFORE(AUTO_Public_TSV_FileList!$A$1:$A$1000,".tsv"),"")),0)),"notfound")</f>
        <v>10.1159%2F000101491_Table1.tsv</v>
      </c>
      <c r="M472" s="7" t="s">
        <v>1921</v>
      </c>
      <c r="N472" s="7" t="s">
        <v>35</v>
      </c>
      <c r="O472" s="7"/>
      <c r="P472" s="7" t="s">
        <v>36</v>
      </c>
      <c r="Q472" s="7"/>
      <c r="R472" s="7" t="s">
        <v>1922</v>
      </c>
      <c r="S472" s="7" t="s">
        <v>1923</v>
      </c>
      <c r="T472" s="7" t="s">
        <v>1924</v>
      </c>
      <c r="U472" s="7"/>
      <c r="V472" s="7" t="s">
        <v>1925</v>
      </c>
      <c r="W472" s="7" t="s">
        <v>1926</v>
      </c>
      <c r="X472" s="7" t="s">
        <v>1927</v>
      </c>
      <c r="Y472" s="7" t="s">
        <v>1928</v>
      </c>
      <c r="Z472" s="1" t="s">
        <v>120</v>
      </c>
      <c r="AA472" s="7" t="s">
        <v>1929</v>
      </c>
      <c r="AB472" s="7" t="s">
        <v>1930</v>
      </c>
      <c r="AC472" s="7" t="s">
        <v>1931</v>
      </c>
      <c r="AD472" s="7" t="s">
        <v>377</v>
      </c>
      <c r="AE472" s="7" t="s">
        <v>66</v>
      </c>
      <c r="AF472" s="7"/>
      <c r="AG472" s="7" t="s">
        <v>1932</v>
      </c>
    </row>
    <row r="473" ht="15" customHeight="1">
      <c r="A473" s="27" t="s">
        <v>1933</v>
      </c>
      <c r="B473" s="27"/>
      <c r="C473" s="27"/>
      <c r="D473" s="27" t="s">
        <v>68</v>
      </c>
      <c r="E473" s="5" t="str">
        <f t="shared" si="76"/>
        <v>Reyes</v>
      </c>
      <c r="F473" s="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5" t="str">
        <f t="shared" si="77"/>
        <v>2016</v>
      </c>
      <c r="H473" s="5" t="str">
        <f t="shared" si="78"/>
        <v>Reyes_etal_2016</v>
      </c>
      <c r="I473" s="5" t="str">
        <f t="shared" si="79"/>
        <v>10.1159%2F000445495</v>
      </c>
      <c r="J473" s="5" t="str">
        <f t="shared" si="80"/>
        <v>Reyes_etal_2016_Table1</v>
      </c>
      <c r="K473" s="5" t="str">
        <f t="shared" si="81"/>
        <v>10.1159%2F000445495_Table1</v>
      </c>
      <c r="L473" s="5" t="str">
        <f t="array" ref="L473">IFERROR(INDEX(AUTO_Public_TSV_FileList!$A$1:$A$1000,MATCH(TRUE(),EXACT(K473,IFERROR(_xlfn.TEXTBEFORE(AUTO_Public_TSV_FileList!$A$1:$A$1000,".tsv"),"")),0)),"notfound")</f>
        <v>10.1159%2F000445495_Table1.tsv</v>
      </c>
      <c r="M473" s="27" t="s">
        <v>1934</v>
      </c>
      <c r="N473" s="27" t="s">
        <v>1590</v>
      </c>
      <c r="O473" s="27" t="s">
        <v>1935</v>
      </c>
      <c r="P473" s="27" t="s">
        <v>1592</v>
      </c>
      <c r="Q473" s="27" t="s">
        <v>1936</v>
      </c>
      <c r="R473" s="27" t="s">
        <v>1937</v>
      </c>
      <c r="S473" s="27"/>
      <c r="T473" s="27" t="s">
        <v>1595</v>
      </c>
      <c r="U473" s="27"/>
      <c r="V473" s="27"/>
      <c r="W473" s="27"/>
      <c r="X473" s="27"/>
      <c r="Y473" s="27"/>
      <c r="Z473" s="27"/>
      <c r="AA473" s="27" t="s">
        <v>1938</v>
      </c>
      <c r="AB473" s="27" t="s">
        <v>1939</v>
      </c>
      <c r="AC473" s="27"/>
      <c r="AD473" s="27"/>
      <c r="AE473" s="27" t="s">
        <v>66</v>
      </c>
      <c r="AF473" s="27"/>
      <c r="AG473" s="27" t="s">
        <v>1598</v>
      </c>
      <c r="AH473" s="29" t="s">
        <v>2431</v>
      </c>
    </row>
    <row r="474" ht="15" customHeight="1">
      <c r="A474" s="27" t="s">
        <v>1933</v>
      </c>
      <c r="B474" s="27"/>
      <c r="C474" s="27"/>
      <c r="D474" s="27" t="s">
        <v>108</v>
      </c>
      <c r="E474" s="5" t="str">
        <f t="shared" si="76"/>
        <v>Reyes</v>
      </c>
      <c r="F474" s="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5" t="str">
        <f t="shared" si="77"/>
        <v>2016</v>
      </c>
      <c r="H474" s="5" t="str">
        <f t="shared" si="78"/>
        <v>Reyes_etal_2016</v>
      </c>
      <c r="I474" s="5" t="str">
        <f t="shared" si="79"/>
        <v>10.1159%2F000445495</v>
      </c>
      <c r="J474" s="5" t="str">
        <f t="shared" si="80"/>
        <v>Reyes_etal_2016_Table2</v>
      </c>
      <c r="K474" s="5" t="str">
        <f t="shared" si="81"/>
        <v>10.1159%2F000445495_Table2</v>
      </c>
      <c r="L474" s="5" t="str">
        <f t="array" ref="L474">IFERROR(INDEX(AUTO_Public_TSV_FileList!$A$1:$A$1000,MATCH(TRUE(),EXACT(K474,IFERROR(_xlfn.TEXTBEFORE(AUTO_Public_TSV_FileList!$A$1:$A$1000,".tsv"),"")),0)),"notfound")</f>
        <v>10.1159%2F000445495_Table2.tsv</v>
      </c>
      <c r="M474" s="27" t="s">
        <v>1940</v>
      </c>
      <c r="N474" s="27" t="s">
        <v>1590</v>
      </c>
      <c r="O474" s="27" t="s">
        <v>1941</v>
      </c>
      <c r="P474" s="27" t="s">
        <v>1592</v>
      </c>
      <c r="Q474" s="27" t="s">
        <v>1942</v>
      </c>
      <c r="R474" s="27" t="s">
        <v>1937</v>
      </c>
      <c r="S474" s="27"/>
      <c r="T474" s="27" t="s">
        <v>1595</v>
      </c>
      <c r="U474" s="27"/>
      <c r="V474" s="27"/>
      <c r="W474" s="27"/>
      <c r="X474" s="27"/>
      <c r="Y474" s="27"/>
      <c r="Z474" s="27"/>
      <c r="AA474" s="27" t="s">
        <v>1938</v>
      </c>
      <c r="AB474" s="27" t="s">
        <v>1943</v>
      </c>
      <c r="AC474" s="27"/>
      <c r="AD474" s="27"/>
      <c r="AE474" s="27" t="s">
        <v>66</v>
      </c>
      <c r="AF474" s="27"/>
      <c r="AG474" s="27" t="s">
        <v>1598</v>
      </c>
      <c r="AH474" s="29" t="s">
        <v>2431</v>
      </c>
    </row>
    <row r="475" ht="15" customHeight="1">
      <c r="A475" s="27" t="s">
        <v>1933</v>
      </c>
      <c r="B475" s="27"/>
      <c r="C475" s="27"/>
      <c r="D475" s="27" t="s">
        <v>110</v>
      </c>
      <c r="E475" s="5" t="str">
        <f t="shared" si="76"/>
        <v>Reyes</v>
      </c>
      <c r="F475" s="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5" t="str">
        <f t="shared" si="77"/>
        <v>2016</v>
      </c>
      <c r="H475" s="5" t="str">
        <f t="shared" si="78"/>
        <v>Reyes_etal_2016</v>
      </c>
      <c r="I475" s="5" t="str">
        <f t="shared" si="79"/>
        <v>10.1159%2F000445495</v>
      </c>
      <c r="J475" s="5" t="str">
        <f t="shared" si="80"/>
        <v>Reyes_etal_2016_Table3</v>
      </c>
      <c r="K475" s="5" t="str">
        <f t="shared" si="81"/>
        <v>10.1159%2F000445495_Table3</v>
      </c>
      <c r="L475" s="5" t="str">
        <f t="array" ref="L475">IFERROR(INDEX(AUTO_Public_TSV_FileList!$A$1:$A$1000,MATCH(TRUE(),EXACT(K475,IFERROR(_xlfn.TEXTBEFORE(AUTO_Public_TSV_FileList!$A$1:$A$1000,".tsv"),"")),0)),"notfound")</f>
        <v>10.1159%2F000445495_Table3.tsv</v>
      </c>
      <c r="M475" s="27" t="s">
        <v>1944</v>
      </c>
      <c r="N475" s="27" t="s">
        <v>1590</v>
      </c>
      <c r="O475" s="27" t="s">
        <v>1945</v>
      </c>
      <c r="P475" s="27" t="s">
        <v>1592</v>
      </c>
      <c r="Q475" s="27" t="s">
        <v>1946</v>
      </c>
      <c r="R475" s="27" t="s">
        <v>1937</v>
      </c>
      <c r="S475" s="27"/>
      <c r="T475" s="27" t="s">
        <v>1595</v>
      </c>
      <c r="U475" s="27"/>
      <c r="V475" s="27"/>
      <c r="W475" s="27"/>
      <c r="X475" s="27"/>
      <c r="Y475" s="27"/>
      <c r="Z475" s="27"/>
      <c r="AA475" s="27" t="s">
        <v>1938</v>
      </c>
      <c r="AB475" s="27" t="s">
        <v>1943</v>
      </c>
      <c r="AC475" s="27"/>
      <c r="AD475" s="27"/>
      <c r="AE475" s="27" t="s">
        <v>51</v>
      </c>
      <c r="AF475" s="27"/>
      <c r="AG475" s="27" t="s">
        <v>1598</v>
      </c>
      <c r="AH475" s="29" t="s">
        <v>2431</v>
      </c>
    </row>
    <row r="476" ht="15" customHeight="1">
      <c r="A476" s="1" t="s">
        <v>1947</v>
      </c>
      <c r="B476" s="7"/>
      <c r="C476" s="7"/>
      <c r="D476" s="1" t="s">
        <v>68</v>
      </c>
      <c r="E476" s="5" t="str">
        <f t="shared" si="70"/>
        <v>Ribeiro</v>
      </c>
      <c r="F476" s="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5" t="str">
        <f t="shared" si="71"/>
        <v>2013</v>
      </c>
      <c r="H476" s="5" t="str">
        <f t="shared" si="72"/>
        <v>Ribeiro_etal_2013</v>
      </c>
      <c r="I476" s="5" t="str">
        <f>_xlfn.LET(
_xlpm.doi,IF(C476&lt;&gt;"",C476,_xlfn.TEXTAFTER(A476,"https://doi.org/")),
SUBSTITUTE(
SUBSTITUTE(
SUBSTITUTE(
SUBSTITUTE(
_xlpm.doi,
"/","%2F"),
":","%3A"),
"&lt;","%3C"),
"&gt;","%3E")
)</f>
        <v>10.3389%2Ffnana.2013.00028</v>
      </c>
      <c r="J476" s="5" t="str">
        <f t="shared" si="73"/>
        <v>Ribeiro_etal_2013_Table1</v>
      </c>
      <c r="K476" s="5" t="str">
        <f t="shared" si="74"/>
        <v>10.3389%2Ffnana.2013.00028_Table1</v>
      </c>
      <c r="L476" s="5" t="str">
        <f t="array" ref="L476">IFERROR(INDEX(AUTO_Public_TSV_FileList!$A$1:$A$1000,MATCH(TRUE(),EXACT(K476,IFERROR(_xlfn.TEXTBEFORE(AUTO_Public_TSV_FileList!$A$1:$A$1000,".tsv"),"")),0)),"notfound")</f>
        <v>10.3389%2Ffnana.2013.00028_Table1.tsv</v>
      </c>
      <c r="M476" s="7"/>
      <c r="N476" s="1" t="s">
        <v>35</v>
      </c>
      <c r="O476" s="7"/>
      <c r="P476" s="1" t="s">
        <v>36</v>
      </c>
      <c r="Q476" s="1"/>
      <c r="R476" s="7"/>
      <c r="S476" s="7"/>
      <c r="T476" s="7"/>
      <c r="U476" s="7"/>
      <c r="V476" s="7"/>
      <c r="W476" s="1" t="s">
        <v>816</v>
      </c>
      <c r="X476" s="1" t="s">
        <v>1948</v>
      </c>
      <c r="Y476" s="7"/>
      <c r="Z476" s="7"/>
      <c r="AA476" s="7"/>
      <c r="AB476" s="1" t="s">
        <v>1949</v>
      </c>
      <c r="AC476" s="1" t="s">
        <v>65</v>
      </c>
      <c r="AD476" s="7"/>
      <c r="AE476" s="1" t="s">
        <v>66</v>
      </c>
      <c r="AF476" s="1"/>
      <c r="AG476" s="1" t="s">
        <v>1950</v>
      </c>
    </row>
    <row r="477" ht="15" customHeight="1">
      <c r="A477" s="6" t="s">
        <v>1951</v>
      </c>
      <c r="B477" s="6"/>
      <c r="C477" s="6"/>
      <c r="D477" s="6" t="s">
        <v>68</v>
      </c>
      <c r="E477" s="3" t="str">
        <f t="shared" si="70"/>
        <v>Ridgway</v>
      </c>
      <c r="F477" s="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77" s="5" t="str">
        <f t="shared" si="71"/>
        <v>1990</v>
      </c>
      <c r="H477" s="3" t="str">
        <f t="shared" si="72"/>
        <v>Ridgway__1990</v>
      </c>
      <c r="I477" s="3" t="str">
        <f>_xlfn.LET(_xlpm.doi,IF(C477&lt;&gt;"",C477,_xlfn.TEXTAFTER(A477,"https://doi.org/")),SUBSTITUTE(SUBSTITUTE(SUBSTITUTE(SUBSTITUTE(_xlpm.doi,"/","%2F"),":","%3A"),"&lt;","%3C"),"&gt;","%3E"))</f>
        <v>10.1016%2FB978-0-12-440280-5.50008-1</v>
      </c>
      <c r="J477" s="3" t="str">
        <f t="shared" si="73"/>
        <v>Ridgway__1990_Table1</v>
      </c>
      <c r="K477" s="3" t="str">
        <f t="shared" si="74"/>
        <v>10.1016%2FB978-0-12-440280-5.50008-1_Table1</v>
      </c>
      <c r="L477" s="5" t="str">
        <f t="array" ref="L477">IFERROR(INDEX(AUTO_Public_TSV_FileList!$A$1:$A$1000,MATCH(TRUE(),EXACT(K477,IFERROR(_xlfn.TEXTBEFORE(AUTO_Public_TSV_FileList!$A$1:$A$1000,".tsv"),"")),0)),"notfound")</f>
        <v>10.1016%2FB978-0-12-440280-5.50008-1_Table1.tsv</v>
      </c>
      <c r="M477" s="6" t="s">
        <v>1952</v>
      </c>
      <c r="N477" s="1" t="s">
        <v>35</v>
      </c>
      <c r="O477" s="7" t="s">
        <v>1953</v>
      </c>
      <c r="P477" s="6" t="s">
        <v>36</v>
      </c>
      <c r="Q477" s="6"/>
      <c r="R477" s="6"/>
      <c r="S477" s="6" t="s">
        <v>722</v>
      </c>
      <c r="T477" s="6" t="s">
        <v>723</v>
      </c>
      <c r="U477" s="6"/>
      <c r="V477" s="6" t="s">
        <v>724</v>
      </c>
      <c r="W477" s="6" t="s">
        <v>1712</v>
      </c>
      <c r="X477" s="6" t="s">
        <v>1954</v>
      </c>
      <c r="Y477" s="6"/>
      <c r="Z477" s="6"/>
      <c r="AA477" s="6" t="s">
        <v>1955</v>
      </c>
      <c r="AB477" s="6" t="s">
        <v>1956</v>
      </c>
      <c r="AC477" s="7"/>
      <c r="AD477" s="6"/>
      <c r="AE477" s="1" t="s">
        <v>51</v>
      </c>
      <c r="AF477" s="1"/>
      <c r="AG477" s="6" t="s">
        <v>1957</v>
      </c>
    </row>
    <row r="478" ht="15" customHeight="1">
      <c r="A478" s="1" t="s">
        <v>1958</v>
      </c>
      <c r="B478" s="7"/>
      <c r="C478" s="7"/>
      <c r="D478" s="1" t="s">
        <v>68</v>
      </c>
      <c r="E478" s="5" t="str">
        <f t="shared" si="70"/>
        <v>Rilling</v>
      </c>
      <c r="F478" s="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8" s="5" t="str">
        <f t="shared" si="71"/>
        <v>1998</v>
      </c>
      <c r="H478" s="5" t="str">
        <f t="shared" si="72"/>
        <v>Rilling_Insel_1998</v>
      </c>
      <c r="I478" s="5" t="str">
        <f>_xlfn.LET(
_xlpm.doi,IF(C478&lt;&gt;"",C478,_xlfn.TEXTAFTER(A478,"https://doi.org/")),
SUBSTITUTE(
SUBSTITUTE(
SUBSTITUTE(
SUBSTITUTE(
_xlpm.doi,
"/","%2F"),
":","%3A"),
"&lt;","%3C"),
"&gt;","%3E")
)</f>
        <v>10.1159%2F000006575</v>
      </c>
      <c r="J478" s="5" t="str">
        <f t="shared" si="73"/>
        <v>Rilling_Insel_1998_Table1</v>
      </c>
      <c r="K478" s="5" t="str">
        <f t="shared" si="74"/>
        <v>10.1159%2F000006575_Table1</v>
      </c>
      <c r="L478" s="5" t="str">
        <f t="array" ref="L478">IFERROR(INDEX(AUTO_Public_TSV_FileList!$A$1:$A$1000,MATCH(TRUE(),EXACT(K478,IFERROR(_xlfn.TEXTBEFORE(AUTO_Public_TSV_FileList!$A$1:$A$1000,".tsv"),"")),0)),"notfound")</f>
        <v>10.1159%2F000006575_Table1.tsv</v>
      </c>
      <c r="M478" s="1" t="s">
        <v>1959</v>
      </c>
      <c r="N478" s="7"/>
      <c r="O478" s="7"/>
      <c r="P478" s="1" t="s">
        <v>36</v>
      </c>
      <c r="Q478" s="7"/>
      <c r="R478" s="7"/>
      <c r="S478" s="7"/>
      <c r="T478" s="7"/>
      <c r="U478" s="7"/>
      <c r="V478" s="7"/>
      <c r="W478" s="7" t="s">
        <v>1960</v>
      </c>
      <c r="X478" s="7"/>
      <c r="Y478" s="7"/>
      <c r="Z478" s="1" t="s">
        <v>1647</v>
      </c>
      <c r="AA478" s="1" t="s">
        <v>166</v>
      </c>
      <c r="AB478" s="1" t="s">
        <v>127</v>
      </c>
      <c r="AC478" s="1" t="s">
        <v>1648</v>
      </c>
      <c r="AD478" s="1" t="s">
        <v>1649</v>
      </c>
      <c r="AE478" s="1" t="s">
        <v>66</v>
      </c>
      <c r="AF478" s="1"/>
      <c r="AG478" s="7"/>
    </row>
    <row r="479" ht="15" customHeight="1">
      <c r="A479" s="1" t="s">
        <v>1961</v>
      </c>
      <c r="B479" s="7"/>
      <c r="C479" s="7"/>
      <c r="D479" s="1" t="s">
        <v>68</v>
      </c>
      <c r="E479" s="5" t="str">
        <f t="shared" si="70"/>
        <v>Rilling</v>
      </c>
      <c r="F479" s="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5" t="str">
        <f t="shared" si="71"/>
        <v>1999</v>
      </c>
      <c r="H479" s="5" t="str">
        <f t="shared" si="72"/>
        <v>Rilling_Insel_1999</v>
      </c>
      <c r="I479" s="5" t="str">
        <f>_xlfn.LET(
_xlpm.doi,IF(C479&lt;&gt;"",C479,_xlfn.TEXTAFTER(A479,"https://doi.org/")),
SUBSTITUTE(
SUBSTITUTE(
SUBSTITUTE(
SUBSTITUTE(
_xlpm.doi,
"/","%2F"),
":","%3A"),
"&lt;","%3C"),
"&gt;","%3E")
)</f>
        <v>10.1006%2Fjhev.1999.0313</v>
      </c>
      <c r="J479" s="5" t="str">
        <f t="shared" si="73"/>
        <v>Rilling_Insel_1999_Table1</v>
      </c>
      <c r="K479" s="5" t="str">
        <f t="shared" si="74"/>
        <v>10.1006%2Fjhev.1999.0313_Table1</v>
      </c>
      <c r="L479" s="5" t="str">
        <f t="array" ref="L479">IFERROR(INDEX(AUTO_Public_TSV_FileList!$A$1:$A$1000,MATCH(TRUE(),EXACT(K479,IFERROR(_xlfn.TEXTBEFORE(AUTO_Public_TSV_FileList!$A$1:$A$1000,".tsv"),"")),0)),"notfound")</f>
        <v>10.1006%2Fjhev.1999.0313_Table1.tsv</v>
      </c>
      <c r="M479" s="1" t="s">
        <v>1962</v>
      </c>
      <c r="N479" s="7"/>
      <c r="O479" s="7"/>
      <c r="P479" s="1" t="s">
        <v>36</v>
      </c>
      <c r="Q479" s="7"/>
      <c r="R479" s="7"/>
      <c r="S479" s="7"/>
      <c r="T479" s="7"/>
      <c r="U479" s="7"/>
      <c r="V479" s="7"/>
      <c r="W479" s="7" t="s">
        <v>1963</v>
      </c>
      <c r="X479" s="7"/>
      <c r="Y479" s="7"/>
      <c r="Z479" s="1" t="s">
        <v>1647</v>
      </c>
      <c r="AA479" s="1" t="s">
        <v>166</v>
      </c>
      <c r="AB479" s="1" t="s">
        <v>127</v>
      </c>
      <c r="AC479" s="1" t="s">
        <v>1648</v>
      </c>
      <c r="AD479" s="1" t="s">
        <v>1649</v>
      </c>
      <c r="AE479" s="1" t="s">
        <v>66</v>
      </c>
      <c r="AF479" s="1"/>
      <c r="AG479" s="7"/>
    </row>
    <row r="480" ht="15" customHeight="1">
      <c r="A480" s="9" t="s">
        <v>1964</v>
      </c>
      <c r="B480" s="9"/>
      <c r="C480" s="9"/>
      <c r="D480" s="9" t="s">
        <v>1965</v>
      </c>
      <c r="E480" s="3" t="str">
        <f t="shared" si="70"/>
        <v>Rivara</v>
      </c>
      <c r="F480" s="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5" t="str">
        <f t="shared" si="71"/>
        <v>2003</v>
      </c>
      <c r="H480" s="3" t="str">
        <f t="shared" si="72"/>
        <v>Rivara_etal_2003</v>
      </c>
      <c r="I480" s="3" t="str">
        <f>_xlfn.LET(_xlpm.doi,IF(C480&lt;&gt;"",C480,_xlfn.TEXTAFTER(A480,"https://doi.org/")),SUBSTITUTE(SUBSTITUTE(SUBSTITUTE(SUBSTITUTE(_xlpm.doi,"/","%2F"),":","%3A"),"&lt;","%3C"),"&gt;","%3E"))</f>
        <v>10.1002%2Far.a.10015</v>
      </c>
      <c r="J480" s="3" t="str">
        <f t="shared" si="73"/>
        <v>Rivara_etal_2003_Betzcells</v>
      </c>
      <c r="K480" s="5" t="str">
        <f t="shared" si="74"/>
        <v>10.1002%2Far.a.10015_Betzcells</v>
      </c>
      <c r="L480" s="5" t="str">
        <f t="array" ref="L480">IFERROR(INDEX(AUTO_Public_TSV_FileList!$A$1:$A$1000,MATCH(TRUE(),EXACT(K480,IFERROR(_xlfn.TEXTBEFORE(AUTO_Public_TSV_FileList!$A$1:$A$1000,".tsv"),"")),0)),"notfound")</f>
        <v>notfound</v>
      </c>
      <c r="M480" s="9" t="s">
        <v>1966</v>
      </c>
      <c r="N480" s="9" t="s">
        <v>70</v>
      </c>
      <c r="O480" s="9" t="s">
        <v>1967</v>
      </c>
      <c r="P480" s="9" t="s">
        <v>78</v>
      </c>
      <c r="Q480" s="9"/>
      <c r="R480" s="9" t="s">
        <v>1968</v>
      </c>
      <c r="S480" s="9" t="s">
        <v>80</v>
      </c>
      <c r="T480" s="9" t="s">
        <v>1969</v>
      </c>
      <c r="U480" s="9"/>
      <c r="V480" s="9" t="s">
        <v>599</v>
      </c>
      <c r="W480" s="9" t="s">
        <v>1970</v>
      </c>
      <c r="X480" s="9" t="s">
        <v>1971</v>
      </c>
      <c r="Y480" s="9"/>
      <c r="Z480" s="9" t="s">
        <v>120</v>
      </c>
      <c r="AA480" s="9" t="s">
        <v>1972</v>
      </c>
      <c r="AB480" s="9" t="s">
        <v>1973</v>
      </c>
      <c r="AC480" s="9" t="s">
        <v>1974</v>
      </c>
      <c r="AD480" s="9" t="s">
        <v>1975</v>
      </c>
      <c r="AE480" s="9" t="s">
        <v>66</v>
      </c>
      <c r="AF480" s="9"/>
      <c r="AG480" s="9" t="s">
        <v>1976</v>
      </c>
    </row>
    <row r="481" ht="15" customHeight="1">
      <c r="A481" s="9" t="s">
        <v>1977</v>
      </c>
      <c r="B481" s="9"/>
      <c r="C481" s="9"/>
      <c r="D481" s="9" t="s">
        <v>94</v>
      </c>
      <c r="E481" s="3" t="str">
        <f t="shared" si="70"/>
        <v>Rockel</v>
      </c>
      <c r="F481" s="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5" t="str">
        <f t="shared" si="71"/>
        <v>1980</v>
      </c>
      <c r="H481" s="3" t="str">
        <f t="shared" si="72"/>
        <v>Rockel_etal_1980</v>
      </c>
      <c r="I481" s="3" t="str">
        <f>_xlfn.LET(_xlpm.doi,IF(C481&lt;&gt;"",C481,_xlfn.TEXTAFTER(A481,"https://doi.org/")),SUBSTITUTE(SUBSTITUTE(SUBSTITUTE(SUBSTITUTE(_xlpm.doi,"/","%2F"),":","%3A"),"&lt;","%3C"),"&gt;","%3E"))</f>
        <v>10.1093%2Fbrain%2F103.2.221</v>
      </c>
      <c r="J481" s="3" t="str">
        <f t="shared" si="73"/>
        <v>Rockel_etal_1980_TABLE3</v>
      </c>
      <c r="K481" s="5" t="str">
        <f t="shared" si="74"/>
        <v>10.1093%2Fbrain%2F103.2.221_TABLE3</v>
      </c>
      <c r="L481" s="5" t="str">
        <f t="array" ref="L481">IFERROR(INDEX(AUTO_Public_TSV_FileList!$A$1:$A$1000,MATCH(TRUE(),EXACT(K481,IFERROR(_xlfn.TEXTBEFORE(AUTO_Public_TSV_FileList!$A$1:$A$1000,".tsv"),"")),0)),"notfound")</f>
        <v>10.1093%2Fbrain%2F103.2.221_TABLE3.tsv</v>
      </c>
      <c r="M481" s="9" t="s">
        <v>1978</v>
      </c>
      <c r="N481" s="9" t="s">
        <v>1979</v>
      </c>
      <c r="O481" s="9" t="s">
        <v>1980</v>
      </c>
      <c r="P481" s="9"/>
      <c r="Q481" s="9" t="s">
        <v>1981</v>
      </c>
      <c r="R481" s="9" t="s">
        <v>1982</v>
      </c>
      <c r="S481" s="9" t="s">
        <v>1983</v>
      </c>
      <c r="T481" s="9" t="s">
        <v>1984</v>
      </c>
      <c r="U481" s="9" t="s">
        <v>1985</v>
      </c>
      <c r="V481" s="9" t="s">
        <v>1986</v>
      </c>
      <c r="W481" s="9" t="s">
        <v>1987</v>
      </c>
      <c r="X481" s="9" t="s">
        <v>1988</v>
      </c>
      <c r="Y481" s="9" t="s">
        <v>1989</v>
      </c>
      <c r="Z481" s="9" t="s">
        <v>1990</v>
      </c>
      <c r="AA481" s="9" t="s">
        <v>1991</v>
      </c>
      <c r="AB481" s="9" t="s">
        <v>1992</v>
      </c>
      <c r="AC481" s="9" t="s">
        <v>1993</v>
      </c>
      <c r="AD481" s="9"/>
      <c r="AE481" s="9" t="s">
        <v>66</v>
      </c>
      <c r="AF481" s="9"/>
      <c r="AG481" s="9" t="s">
        <v>1994</v>
      </c>
    </row>
    <row r="482" ht="15" customHeight="1">
      <c r="A482" s="1" t="s">
        <v>1995</v>
      </c>
      <c r="B482" s="7"/>
      <c r="C482" s="7"/>
      <c r="D482" s="1" t="s">
        <v>68</v>
      </c>
      <c r="E482" s="5" t="str">
        <f t="shared" si="70"/>
        <v>Ruf</v>
      </c>
      <c r="F482" s="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2" s="5" t="str">
        <f t="shared" si="71"/>
        <v>2015</v>
      </c>
      <c r="H482" s="5" t="str">
        <f t="shared" si="72"/>
        <v>Ruf_Geiser_2015</v>
      </c>
      <c r="I482" s="5" t="str">
        <f t="shared" ref="I482:I487" si="82">_xlfn.LET(
_xlpm.doi,IF(C482&lt;&gt;"",C482,_xlfn.TEXTAFTER(A482,"https://doi.org/")),
SUBSTITUTE(
SUBSTITUTE(
SUBSTITUTE(
SUBSTITUTE(
_xlpm.doi,
"/","%2F"),
":","%3A"),
"&lt;","%3C"),
"&gt;","%3E")
)</f>
        <v>10.1111%2Fbrv.12137</v>
      </c>
      <c r="J482" s="5" t="str">
        <f t="shared" si="73"/>
        <v>Ruf_Geiser_2015_Table1</v>
      </c>
      <c r="K482" s="5" t="str">
        <f t="shared" si="74"/>
        <v>10.1111%2Fbrv.12137_Table1</v>
      </c>
      <c r="L482" s="5" t="str">
        <f t="array" ref="L482">IFERROR(INDEX(AUTO_Public_TSV_FileList!$A$1:$A$1000,MATCH(TRUE(),EXACT(K482,IFERROR(_xlfn.TEXTBEFORE(AUTO_Public_TSV_FileList!$A$1:$A$1000,".tsv"),"")),0)),"notfound")</f>
        <v>10.1111%2Fbrv.12137_Table1.tsv</v>
      </c>
      <c r="M482" s="7"/>
      <c r="N482" s="7"/>
      <c r="O482" s="7"/>
      <c r="P482" s="1" t="s">
        <v>36</v>
      </c>
      <c r="Q482" s="7"/>
      <c r="R482" s="7"/>
      <c r="S482" s="7"/>
      <c r="T482" s="7"/>
      <c r="U482" s="7"/>
      <c r="V482" s="7"/>
      <c r="W482" s="7"/>
      <c r="X482" s="7"/>
      <c r="Y482" s="7"/>
      <c r="Z482" s="7"/>
      <c r="AA482" s="7"/>
      <c r="AB482" s="7"/>
      <c r="AC482" s="7"/>
      <c r="AD482" s="7"/>
      <c r="AE482" s="7"/>
      <c r="AF482" s="7"/>
      <c r="AG482" s="7"/>
    </row>
    <row r="483" ht="15" customHeight="1">
      <c r="A483" s="1" t="s">
        <v>1996</v>
      </c>
      <c r="B483" s="7"/>
      <c r="C483" s="7"/>
      <c r="D483" s="1" t="s">
        <v>1997</v>
      </c>
      <c r="E483" s="5" t="str">
        <f t="shared" si="70"/>
        <v>Schenker</v>
      </c>
      <c r="F483" s="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5" t="str">
        <f t="shared" si="71"/>
        <v>2005</v>
      </c>
      <c r="H483" s="5" t="str">
        <f t="shared" si="72"/>
        <v>Schenker_etal_2005</v>
      </c>
      <c r="I483" s="5" t="str">
        <f t="shared" si="82"/>
        <v>10.1016%2Fj.jhevol.2005.06.004</v>
      </c>
      <c r="J483" s="5" t="str">
        <f t="shared" si="73"/>
        <v>Schenker_etal_2005_Appendix1</v>
      </c>
      <c r="K483" s="5" t="str">
        <f t="shared" si="74"/>
        <v>10.1016%2Fj.jhevol.2005.06.004_Appendix1</v>
      </c>
      <c r="L483" s="5" t="str">
        <f t="array" ref="L483">IFERROR(INDEX(AUTO_Public_TSV_FileList!$A$1:$A$1000,MATCH(TRUE(),EXACT(K483,IFERROR(_xlfn.TEXTBEFORE(AUTO_Public_TSV_FileList!$A$1:$A$1000,".tsv"),"")),0)),"notfound")</f>
        <v>10.1016%2Fj.jhevol.2005.06.004_Appendix1.tsv</v>
      </c>
      <c r="M483" s="7" t="s">
        <v>1998</v>
      </c>
      <c r="N483" s="7"/>
      <c r="O483" s="7"/>
      <c r="P483" s="1"/>
      <c r="Q483" s="7"/>
      <c r="R483" s="7"/>
      <c r="S483" s="7"/>
      <c r="T483" s="7"/>
      <c r="U483" s="7"/>
      <c r="V483" s="7"/>
      <c r="W483" s="7"/>
      <c r="X483" s="7"/>
      <c r="Y483" s="7"/>
      <c r="Z483" s="7"/>
      <c r="AA483" s="7"/>
      <c r="AB483" s="7"/>
      <c r="AC483" s="7"/>
      <c r="AD483" s="7"/>
      <c r="AE483" s="7"/>
      <c r="AF483" s="7"/>
      <c r="AG483" s="7"/>
    </row>
    <row r="484" ht="15" customHeight="1">
      <c r="A484" s="1" t="s">
        <v>1996</v>
      </c>
      <c r="B484" s="7"/>
      <c r="C484" s="7"/>
      <c r="D484" s="1" t="s">
        <v>68</v>
      </c>
      <c r="E484" s="5" t="str">
        <f t="shared" si="70"/>
        <v>Schenker</v>
      </c>
      <c r="F484" s="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5" t="str">
        <f t="shared" si="71"/>
        <v>2005</v>
      </c>
      <c r="H484" s="5" t="str">
        <f t="shared" si="72"/>
        <v>Schenker_etal_2005</v>
      </c>
      <c r="I484" s="5" t="str">
        <f t="shared" si="82"/>
        <v>10.1016%2Fj.jhevol.2005.06.004</v>
      </c>
      <c r="J484" s="5" t="str">
        <f t="shared" si="73"/>
        <v>Schenker_etal_2005_Table1</v>
      </c>
      <c r="K484" s="5" t="str">
        <f t="shared" si="74"/>
        <v>10.1016%2Fj.jhevol.2005.06.004_Table1</v>
      </c>
      <c r="L484" s="5" t="str">
        <f t="array" ref="L484">IFERROR(INDEX(AUTO_Public_TSV_FileList!$A$1:$A$1000,MATCH(TRUE(),EXACT(K484,IFERROR(_xlfn.TEXTBEFORE(AUTO_Public_TSV_FileList!$A$1:$A$1000,".tsv"),"")),0)),"notfound")</f>
        <v>10.1016%2Fj.jhevol.2005.06.004_Table1.tsv</v>
      </c>
      <c r="M484" s="7" t="s">
        <v>1999</v>
      </c>
      <c r="N484" s="7"/>
      <c r="O484" s="7"/>
      <c r="P484" s="1"/>
      <c r="Q484" s="7"/>
      <c r="R484" s="7"/>
      <c r="S484" s="7"/>
      <c r="T484" s="7"/>
      <c r="U484" s="7"/>
      <c r="V484" s="7"/>
      <c r="W484" s="7"/>
      <c r="X484" s="7"/>
      <c r="Y484" s="7"/>
      <c r="Z484" s="7"/>
      <c r="AA484" s="7"/>
      <c r="AB484" s="7"/>
      <c r="AC484" s="7"/>
      <c r="AD484" s="7"/>
      <c r="AE484" s="7"/>
      <c r="AF484" s="7"/>
      <c r="AG484" s="7"/>
    </row>
    <row r="485" ht="15" customHeight="1">
      <c r="A485" s="1" t="s">
        <v>2000</v>
      </c>
      <c r="B485" s="7"/>
      <c r="C485" s="7"/>
      <c r="D485" s="1" t="s">
        <v>2001</v>
      </c>
      <c r="E485" s="5" t="str">
        <f t="shared" si="70"/>
        <v>Schleifenbaum</v>
      </c>
      <c r="F485" s="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5" s="5" t="str">
        <f t="shared" si="71"/>
        <v>1973</v>
      </c>
      <c r="H485" s="5" t="str">
        <f t="shared" si="72"/>
        <v>Schleifenbaum__1973</v>
      </c>
      <c r="I485" s="5" t="str">
        <f t="shared" si="82"/>
        <v>10.1007%2FBF00519885</v>
      </c>
      <c r="J485" s="5" t="str">
        <f t="shared" si="73"/>
        <v>Schleifenbaum__1973_Tables1-2</v>
      </c>
      <c r="K485" s="5" t="str">
        <f t="shared" si="74"/>
        <v>10.1007%2FBF00519885_Tables1-2</v>
      </c>
      <c r="L485" s="5" t="str">
        <f t="array" ref="L485">IFERROR(INDEX(AUTO_Public_TSV_FileList!$A$1:$A$1000,MATCH(TRUE(),EXACT(K485,IFERROR(_xlfn.TEXTBEFORE(AUTO_Public_TSV_FileList!$A$1:$A$1000,".tsv"),"")),0)),"notfound")</f>
        <v>10.1007%2FBF00519885_Tables1-2.tsv</v>
      </c>
      <c r="M485" s="7" t="s">
        <v>2002</v>
      </c>
      <c r="N485" s="7"/>
      <c r="O485" s="7"/>
      <c r="P485" s="1" t="s">
        <v>36</v>
      </c>
      <c r="Q485" s="7"/>
      <c r="R485" s="7"/>
      <c r="S485" s="7"/>
      <c r="T485" s="7"/>
      <c r="U485" s="7"/>
      <c r="V485" s="7"/>
      <c r="W485" s="7"/>
      <c r="X485" s="7"/>
      <c r="Y485" s="7"/>
      <c r="Z485" s="7"/>
      <c r="AA485" s="7"/>
      <c r="AB485" s="7"/>
      <c r="AC485" s="7"/>
      <c r="AD485" s="7"/>
      <c r="AE485" s="7" t="s">
        <v>66</v>
      </c>
      <c r="AF485" s="7"/>
      <c r="AG485" s="7"/>
    </row>
    <row r="486" ht="15.75" customHeight="1">
      <c r="A486" s="1" t="s">
        <v>2003</v>
      </c>
      <c r="B486" s="7"/>
      <c r="C486" s="7" t="s">
        <v>2004</v>
      </c>
      <c r="D486" s="1" t="s">
        <v>455</v>
      </c>
      <c r="E486" s="5" t="str">
        <f t="shared" si="70"/>
        <v>Schmidt</v>
      </c>
      <c r="F486" s="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5" t="str">
        <f t="shared" si="71"/>
        <v>1984</v>
      </c>
      <c r="H486" s="5" t="str">
        <f t="shared" si="72"/>
        <v>Schmidt_etal_1984</v>
      </c>
      <c r="I486" s="5" t="str">
        <f t="shared" si="82"/>
        <v>Myotis%3A21-22%3A62-66</v>
      </c>
      <c r="J486" s="5" t="str">
        <f t="shared" si="73"/>
        <v>Schmidt_etal_1984_text</v>
      </c>
      <c r="K486" s="5" t="str">
        <f t="shared" si="74"/>
        <v>Myotis%3A21-22%3A62-66_text</v>
      </c>
      <c r="L486" s="5" t="str">
        <f t="array" ref="L486">IFERROR(INDEX(AUTO_Public_TSV_FileList!$A$1:$A$1000,MATCH(TRUE(),EXACT(K486,IFERROR(_xlfn.TEXTBEFORE(AUTO_Public_TSV_FileList!$A$1:$A$1000,".tsv"),"")),0)),"notfound")</f>
        <v>Myotis%3A21-22%3A62-66_text.tsv</v>
      </c>
      <c r="M486" s="7" t="s">
        <v>2005</v>
      </c>
      <c r="N486" s="7" t="s">
        <v>2006</v>
      </c>
      <c r="O486" s="7" t="s">
        <v>2007</v>
      </c>
      <c r="P486" s="1"/>
      <c r="Q486" s="7"/>
      <c r="R486" s="7" t="s">
        <v>2008</v>
      </c>
      <c r="S486" s="7"/>
      <c r="T486" s="7" t="s">
        <v>2009</v>
      </c>
      <c r="U486" s="7"/>
      <c r="V486" s="7" t="s">
        <v>485</v>
      </c>
      <c r="W486" s="7" t="s">
        <v>2010</v>
      </c>
      <c r="X486" s="7" t="s">
        <v>2011</v>
      </c>
      <c r="Y486" s="7" t="s">
        <v>2012</v>
      </c>
      <c r="Z486" s="7" t="s">
        <v>2013</v>
      </c>
      <c r="AA486" s="7" t="s">
        <v>2014</v>
      </c>
      <c r="AB486" s="7" t="s">
        <v>2015</v>
      </c>
      <c r="AC486" s="7"/>
      <c r="AD486" s="7"/>
      <c r="AE486" s="7" t="s">
        <v>66</v>
      </c>
      <c r="AF486" s="7"/>
      <c r="AG486" s="7" t="s">
        <v>2016</v>
      </c>
    </row>
    <row r="487" ht="15.75" customHeight="1">
      <c r="A487" s="1" t="s">
        <v>2017</v>
      </c>
      <c r="B487" s="7"/>
      <c r="C487" s="7"/>
      <c r="D487" s="1" t="s">
        <v>2018</v>
      </c>
      <c r="E487" s="5" t="str">
        <f t="shared" si="70"/>
        <v>Schniter</v>
      </c>
      <c r="F487" s="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7" s="5" t="str">
        <f t="shared" si="71"/>
        <v>2026</v>
      </c>
      <c r="H487" s="5" t="str">
        <f t="shared" si="72"/>
        <v>Schniter_PenaherreraAguirre_2026</v>
      </c>
      <c r="I487" s="5" t="str">
        <f t="shared" si="82"/>
        <v>10.1007%2Fs10329-026-01271-2</v>
      </c>
      <c r="J487" s="5" t="str">
        <f t="shared" si="73"/>
        <v>Schniter_PenaherreraAguirre_2026_data</v>
      </c>
      <c r="K487" s="5" t="str">
        <f t="shared" ref="K487:K518" si="83">I487 &amp; "_" &amp; SUBSTITUTE(SUBSTITUTE(SUBSTITUTE(D487,CHAR(160),"")," ",""),"_","")</f>
        <v>10.1007%2Fs10329-026-01271-2_data</v>
      </c>
      <c r="L487" s="5" t="str">
        <f t="array" ref="L487">IFERROR(INDEX(AUTO_Public_TSV_FileList!$A$1:$A$1000,MATCH(TRUE(),EXACT(K487,IFERROR(_xlfn.TEXTBEFORE(AUTO_Public_TSV_FileList!$A$1:$A$1000,".tsv"),"")),0)),"notfound")</f>
        <v>10.1007%2Fs10329-026-01271-2_data.tsv</v>
      </c>
      <c r="M487" s="1" t="s">
        <v>2018</v>
      </c>
      <c r="N487" s="7"/>
      <c r="O487" s="7"/>
      <c r="P487" s="1" t="s">
        <v>36</v>
      </c>
      <c r="Q487" s="7"/>
      <c r="R487" s="7"/>
      <c r="S487" s="7"/>
      <c r="T487" s="7"/>
      <c r="U487" s="7"/>
      <c r="V487" s="7"/>
      <c r="W487" s="7"/>
      <c r="X487" s="1" t="s">
        <v>2019</v>
      </c>
      <c r="Y487" s="7"/>
      <c r="Z487" s="7"/>
      <c r="AA487" s="7"/>
      <c r="AB487" s="1" t="s">
        <v>2020</v>
      </c>
      <c r="AC487" s="7"/>
      <c r="AD487" s="7"/>
      <c r="AE487" s="1" t="s">
        <v>66</v>
      </c>
      <c r="AF487" s="1"/>
      <c r="AG487" s="7"/>
      <c r="AH487" s="29" t="s">
        <v>2918</v>
      </c>
    </row>
    <row r="488" ht="15.75" customHeight="1">
      <c r="A488" s="9" t="s">
        <v>2021</v>
      </c>
      <c r="B488" s="9"/>
      <c r="C488" s="9"/>
      <c r="D488" s="9" t="s">
        <v>305</v>
      </c>
      <c r="E488" s="3" t="str">
        <f t="shared" si="70"/>
        <v>Schusterman</v>
      </c>
      <c r="F488" s="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8" s="5" t="str">
        <f t="shared" si="71"/>
        <v>1974</v>
      </c>
      <c r="H488" s="3" t="str">
        <f t="shared" si="72"/>
        <v>Schusterman__1974</v>
      </c>
      <c r="I488" s="3" t="str">
        <f>_xlfn.LET(_xlpm.doi,IF(C488&lt;&gt;"",C488,_xlfn.TEXTAFTER(A488,"https://doi.org/")),SUBSTITUTE(SUBSTITUTE(SUBSTITUTE(SUBSTITUTE(_xlpm.doi,"/","%2F"),":","%3A"),"&lt;","%3C"),"&gt;","%3E"))</f>
        <v>10.1121%2F1.1903415</v>
      </c>
      <c r="J488" s="3" t="str">
        <f t="shared" si="73"/>
        <v>Schusterman__1974_TableI</v>
      </c>
      <c r="K488" s="5" t="str">
        <f t="shared" si="83"/>
        <v>10.1121%2F1.1903415_TableI</v>
      </c>
      <c r="L488" s="5" t="str">
        <f t="array" ref="L488">IFERROR(INDEX(AUTO_Public_TSV_FileList!$A$1:$A$1000,MATCH(TRUE(),EXACT(K488,IFERROR(_xlfn.TEXTBEFORE(AUTO_Public_TSV_FileList!$A$1:$A$1000,".tsv"),"")),0)),"notfound")</f>
        <v>10.1121%2F1.1903415_TableI.tsv</v>
      </c>
      <c r="M488" s="9" t="s">
        <v>2022</v>
      </c>
      <c r="N488" s="9" t="s">
        <v>70</v>
      </c>
      <c r="O488" s="9" t="s">
        <v>1800</v>
      </c>
      <c r="P488" s="9" t="s">
        <v>36</v>
      </c>
      <c r="Q488" s="9"/>
      <c r="R488" s="9"/>
      <c r="S488" s="9"/>
      <c r="T488" s="9"/>
      <c r="U488" s="9"/>
      <c r="V488" s="9"/>
      <c r="W488" s="9"/>
      <c r="X488" s="9"/>
      <c r="Y488" s="9"/>
      <c r="Z488" s="9"/>
      <c r="AA488" s="9"/>
      <c r="AB488" s="9"/>
      <c r="AC488" s="9"/>
      <c r="AD488" s="9"/>
      <c r="AE488" s="9"/>
      <c r="AF488" s="9"/>
      <c r="AG488" s="9"/>
    </row>
    <row r="489" ht="15.75" customHeight="1">
      <c r="A489" s="9" t="s">
        <v>2023</v>
      </c>
      <c r="B489" s="9"/>
      <c r="C489" s="9"/>
      <c r="D489" s="9" t="s">
        <v>68</v>
      </c>
      <c r="E489" s="3" t="str">
        <f t="shared" si="70"/>
        <v>Schusterman</v>
      </c>
      <c r="F489" s="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9" s="5" t="str">
        <f t="shared" si="71"/>
        <v>1981</v>
      </c>
      <c r="H489" s="3" t="str">
        <f t="shared" si="72"/>
        <v>Schusterman__1981</v>
      </c>
      <c r="I489" s="3" t="str">
        <f>_xlfn.LET(_xlpm.doi,IF(C489&lt;&gt;"",C489,_xlfn.TEXTAFTER(A489,"https://doi.org/")),SUBSTITUTE(SUBSTITUTE(SUBSTITUTE(SUBSTITUTE(_xlpm.doi,"/","%2F"),":","%3A"),"&lt;","%3C"),"&gt;","%3E"))</f>
        <v>10.1007%2FBF03394729</v>
      </c>
      <c r="J489" s="3" t="str">
        <f t="shared" si="73"/>
        <v>Schusterman__1981_Table1</v>
      </c>
      <c r="K489" s="5" t="str">
        <f t="shared" si="83"/>
        <v>10.1007%2FBF03394729_Table1</v>
      </c>
      <c r="L489" s="5" t="str">
        <f t="array" ref="L489">IFERROR(INDEX(AUTO_Public_TSV_FileList!$A$1:$A$1000,MATCH(TRUE(),EXACT(K489,IFERROR(_xlfn.TEXTBEFORE(AUTO_Public_TSV_FileList!$A$1:$A$1000,".tsv"),"")),0)),"notfound")</f>
        <v>10.1007%2FBF03394729_Table1.tsv</v>
      </c>
      <c r="M489" s="9" t="s">
        <v>2024</v>
      </c>
      <c r="N489" s="9" t="s">
        <v>70</v>
      </c>
      <c r="O489" s="9" t="s">
        <v>2025</v>
      </c>
      <c r="P489" s="9" t="s">
        <v>36</v>
      </c>
      <c r="Q489" s="9"/>
      <c r="R489" s="9"/>
      <c r="S489" s="9"/>
      <c r="T489" s="9"/>
      <c r="U489" s="9"/>
      <c r="V489" s="9"/>
      <c r="W489" s="9"/>
      <c r="X489" s="9"/>
      <c r="Y489" s="9"/>
      <c r="Z489" s="9"/>
      <c r="AA489" s="9"/>
      <c r="AB489" s="9"/>
      <c r="AC489" s="9"/>
      <c r="AD489" s="9"/>
      <c r="AE489" s="9"/>
      <c r="AF489" s="9"/>
      <c r="AG489" s="9"/>
    </row>
    <row r="490" ht="15.75" customHeight="1">
      <c r="A490" s="9" t="s">
        <v>2026</v>
      </c>
      <c r="B490" s="9"/>
      <c r="C490" s="9"/>
      <c r="D490" s="9" t="s">
        <v>453</v>
      </c>
      <c r="E490" s="3" t="str">
        <f t="shared" si="70"/>
        <v>Schusterman</v>
      </c>
      <c r="F490" s="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0" s="5" t="str">
        <f t="shared" si="71"/>
        <v>1980</v>
      </c>
      <c r="H490" s="3" t="str">
        <f t="shared" si="72"/>
        <v>Schusterman_Moore_1980</v>
      </c>
      <c r="I490" s="3" t="str">
        <f>_xlfn.LET(_xlpm.doi,IF(C490&lt;&gt;"",C490,_xlfn.TEXTAFTER(A490,"https://doi.org/")),SUBSTITUTE(SUBSTITUTE(SUBSTITUTE(SUBSTITUTE(_xlpm.doi,"/","%2F"),":","%3A"),"&lt;","%3C"),"&gt;","%3E"))</f>
        <v>10.1121%2F1.2004876</v>
      </c>
      <c r="J490" s="3" t="str">
        <f t="shared" si="73"/>
        <v>Schusterman_Moore_1980_ResultsText</v>
      </c>
      <c r="K490" s="5" t="str">
        <f t="shared" si="83"/>
        <v>10.1121%2F1.2004876_ResultsText</v>
      </c>
      <c r="L490" s="5" t="str">
        <f t="array" ref="L490">IFERROR(INDEX(AUTO_Public_TSV_FileList!$A$1:$A$1000,MATCH(TRUE(),EXACT(K490,IFERROR(_xlfn.TEXTBEFORE(AUTO_Public_TSV_FileList!$A$1:$A$1000,".tsv"),"")),0)),"notfound")</f>
        <v>10.1121%2F1.2004876_ResultsText.tsv</v>
      </c>
      <c r="M490" s="9" t="s">
        <v>2027</v>
      </c>
      <c r="N490" s="9" t="s">
        <v>455</v>
      </c>
      <c r="O490" s="9" t="s">
        <v>2028</v>
      </c>
      <c r="P490" s="9" t="s">
        <v>72</v>
      </c>
      <c r="Q490" s="9"/>
      <c r="R490" s="9"/>
      <c r="S490" s="9"/>
      <c r="T490" s="9"/>
      <c r="U490" s="9"/>
      <c r="V490" s="9"/>
      <c r="W490" s="9"/>
      <c r="X490" s="9"/>
      <c r="Y490" s="9"/>
      <c r="Z490" s="9"/>
      <c r="AA490" s="9"/>
      <c r="AB490" s="9"/>
      <c r="AC490" s="9"/>
      <c r="AD490" s="9"/>
      <c r="AE490" s="9"/>
      <c r="AF490" s="9"/>
      <c r="AG490" s="9"/>
    </row>
    <row r="491" ht="15.75" customHeight="1">
      <c r="A491" s="1" t="s">
        <v>2029</v>
      </c>
      <c r="B491" s="7"/>
      <c r="C491" s="7"/>
      <c r="D491" s="1" t="s">
        <v>108</v>
      </c>
      <c r="E491" s="5" t="str">
        <f t="shared" si="70"/>
        <v>Semendeferi</v>
      </c>
      <c r="F491" s="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1" s="5" t="str">
        <f t="shared" si="71"/>
        <v>2000</v>
      </c>
      <c r="H491" s="5" t="str">
        <f t="shared" si="72"/>
        <v>Semendeferi_Damasio_2000</v>
      </c>
      <c r="I491" s="5" t="str">
        <f t="shared" ref="I491:I507" si="84">_xlfn.LET(
_xlpm.doi,IF(C491&lt;&gt;"",C491,_xlfn.TEXTAFTER(A491,"https://doi.org/")),
SUBSTITUTE(
SUBSTITUTE(
SUBSTITUTE(
SUBSTITUTE(
_xlpm.doi,
"/","%2F"),
":","%3A"),
"&lt;","%3C"),
"&gt;","%3E")
)</f>
        <v>10.1006%2Fjhev.1999.0381</v>
      </c>
      <c r="J491" s="5" t="str">
        <f t="shared" si="73"/>
        <v>Semendeferi_Damasio_2000_Table2</v>
      </c>
      <c r="K491" s="5" t="str">
        <f t="shared" si="83"/>
        <v>10.1006%2Fjhev.1999.0381_Table2</v>
      </c>
      <c r="L491" s="5" t="str">
        <f t="array" ref="L491">IFERROR(INDEX(AUTO_Public_TSV_FileList!$A$1:$A$1000,MATCH(TRUE(),EXACT(K491,IFERROR(_xlfn.TEXTBEFORE(AUTO_Public_TSV_FileList!$A$1:$A$1000,".tsv"),"")),0)),"notfound")</f>
        <v>10.1006%2Fjhev.1999.0381_Table2.tsv</v>
      </c>
      <c r="M491" s="7"/>
      <c r="N491" s="7"/>
      <c r="O491" s="7"/>
      <c r="P491" s="1" t="s">
        <v>36</v>
      </c>
      <c r="Q491" s="7"/>
      <c r="R491" s="7"/>
      <c r="S491" s="7"/>
      <c r="T491" s="7"/>
      <c r="U491" s="7"/>
      <c r="V491" s="7"/>
      <c r="W491" s="7"/>
      <c r="X491" s="7"/>
      <c r="Y491" s="7"/>
      <c r="Z491" s="7"/>
      <c r="AA491" s="7"/>
      <c r="AB491" s="7"/>
      <c r="AC491" s="7"/>
      <c r="AD491" s="7"/>
      <c r="AE491" s="7"/>
      <c r="AF491" s="7"/>
      <c r="AG491" s="7"/>
    </row>
    <row r="492" ht="15.75" customHeight="1">
      <c r="A492" s="1" t="s">
        <v>2030</v>
      </c>
      <c r="B492" s="7"/>
      <c r="C492" s="7"/>
      <c r="D492" s="1" t="s">
        <v>91</v>
      </c>
      <c r="E492" s="5" t="str">
        <f t="shared" si="70"/>
        <v>Semendeferi</v>
      </c>
      <c r="F492" s="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2" s="5" t="str">
        <f t="shared" si="71"/>
        <v>1998</v>
      </c>
      <c r="H492" s="5" t="str">
        <f t="shared" si="72"/>
        <v>Semendeferi_etal_1998</v>
      </c>
      <c r="I492" s="5" t="str">
        <f t="shared" si="84"/>
        <v>10.1002%2F(SICI)1096-8644(199806)106%3A2%3C129%3A%3AAID-AJPA3%3E3.0.CO;2-L</v>
      </c>
      <c r="J492" s="5" t="str">
        <f t="shared" si="73"/>
        <v>Semendeferi_etal_1998_TABLE2</v>
      </c>
      <c r="K492" s="5" t="str">
        <f t="shared" si="83"/>
        <v>10.1002%2F(SICI)1096-8644(199806)106%3A2%3C129%3A%3AAID-AJPA3%3E3.0.CO;2-L_TABLE2</v>
      </c>
      <c r="L492" s="5" t="str">
        <f t="array" ref="L492">IFERROR(INDEX(AUTO_Public_TSV_FileList!$A$1:$A$1000,MATCH(TRUE(),EXACT(K492,IFERROR(_xlfn.TEXTBEFORE(AUTO_Public_TSV_FileList!$A$1:$A$1000,".tsv"),"")),0)),"notfound")</f>
        <v>10.1002%2F(SICI)1096-8644(199806)106%3A2%3C129%3A%3AAID-AJPA3%3E3.0.CO;2-L_TABLE2.tsv</v>
      </c>
      <c r="M492" s="1" t="s">
        <v>2031</v>
      </c>
      <c r="N492" s="7"/>
      <c r="O492" s="7"/>
      <c r="P492" s="1" t="s">
        <v>36</v>
      </c>
      <c r="Q492" s="7"/>
      <c r="R492" s="7"/>
      <c r="S492" s="7"/>
      <c r="T492" s="7"/>
      <c r="U492" s="7"/>
      <c r="V492" s="7"/>
      <c r="W492" s="1" t="s">
        <v>124</v>
      </c>
      <c r="X492" s="1" t="s">
        <v>2032</v>
      </c>
      <c r="Y492" s="7"/>
      <c r="Z492" s="1" t="s">
        <v>120</v>
      </c>
      <c r="AA492" s="1" t="s">
        <v>166</v>
      </c>
      <c r="AB492" s="1" t="s">
        <v>127</v>
      </c>
      <c r="AC492" s="1" t="s">
        <v>121</v>
      </c>
      <c r="AD492" s="7"/>
      <c r="AE492" s="1" t="s">
        <v>66</v>
      </c>
      <c r="AF492" s="1"/>
      <c r="AG492" s="7"/>
    </row>
    <row r="493" ht="15.75" customHeight="1">
      <c r="A493" s="1" t="s">
        <v>2030</v>
      </c>
      <c r="B493" s="7"/>
      <c r="C493" s="7"/>
      <c r="D493" s="1" t="s">
        <v>97</v>
      </c>
      <c r="E493" s="5" t="str">
        <f t="shared" si="70"/>
        <v>Semendeferi</v>
      </c>
      <c r="F493" s="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5" t="str">
        <f t="shared" si="71"/>
        <v>1998</v>
      </c>
      <c r="H493" s="5" t="str">
        <f t="shared" si="72"/>
        <v>Semendeferi_etal_1998</v>
      </c>
      <c r="I493" s="5" t="str">
        <f t="shared" si="84"/>
        <v>10.1002%2F(SICI)1096-8644(199806)106%3A2%3C129%3A%3AAID-AJPA3%3E3.0.CO;2-L</v>
      </c>
      <c r="J493" s="5" t="str">
        <f t="shared" si="73"/>
        <v>Semendeferi_etal_1998_TABLE4</v>
      </c>
      <c r="K493" s="5" t="str">
        <f t="shared" si="83"/>
        <v>10.1002%2F(SICI)1096-8644(199806)106%3A2%3C129%3A%3AAID-AJPA3%3E3.0.CO;2-L_TABLE4</v>
      </c>
      <c r="L493" s="5" t="str">
        <f t="array" ref="L493">IFERROR(INDEX(AUTO_Public_TSV_FileList!$A$1:$A$1000,MATCH(TRUE(),EXACT(K493,IFERROR(_xlfn.TEXTBEFORE(AUTO_Public_TSV_FileList!$A$1:$A$1000,".tsv"),"")),0)),"notfound")</f>
        <v>10.1002%2F(SICI)1096-8644(199806)106%3A2%3C129%3A%3AAID-AJPA3%3E3.0.CO;2-L_TABLE4.tsv</v>
      </c>
      <c r="M493" s="1" t="s">
        <v>2033</v>
      </c>
      <c r="N493" s="7"/>
      <c r="O493" s="7"/>
      <c r="P493" s="1"/>
      <c r="Q493" s="7"/>
      <c r="R493" s="7"/>
      <c r="S493" s="7"/>
      <c r="T493" s="7"/>
      <c r="U493" s="7"/>
      <c r="V493" s="7"/>
      <c r="W493" s="1" t="s">
        <v>124</v>
      </c>
      <c r="X493" s="1" t="s">
        <v>2032</v>
      </c>
      <c r="Y493" s="7"/>
      <c r="Z493" s="1" t="s">
        <v>120</v>
      </c>
      <c r="AA493" s="1" t="s">
        <v>166</v>
      </c>
      <c r="AB493" s="1" t="s">
        <v>127</v>
      </c>
      <c r="AC493" s="1" t="s">
        <v>121</v>
      </c>
      <c r="AD493" s="7"/>
      <c r="AE493" s="1" t="s">
        <v>66</v>
      </c>
      <c r="AF493" s="1"/>
      <c r="AG493" s="7"/>
    </row>
    <row r="494" ht="15.75" customHeight="1">
      <c r="A494" s="1" t="s">
        <v>2030</v>
      </c>
      <c r="B494" s="7"/>
      <c r="C494" s="7"/>
      <c r="D494" s="1" t="s">
        <v>1791</v>
      </c>
      <c r="E494" s="5" t="str">
        <f t="shared" si="70"/>
        <v>Semendeferi</v>
      </c>
      <c r="F494" s="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5" t="str">
        <f t="shared" si="71"/>
        <v>1998</v>
      </c>
      <c r="H494" s="5" t="str">
        <f t="shared" si="72"/>
        <v>Semendeferi_etal_1998</v>
      </c>
      <c r="I494" s="5" t="str">
        <f t="shared" si="84"/>
        <v>10.1002%2F(SICI)1096-8644(199806)106%3A2%3C129%3A%3AAID-AJPA3%3E3.0.CO;2-L</v>
      </c>
      <c r="J494" s="5" t="str">
        <f t="shared" si="73"/>
        <v>Semendeferi_etal_1998_TABLE5</v>
      </c>
      <c r="K494" s="5" t="str">
        <f t="shared" si="83"/>
        <v>10.1002%2F(SICI)1096-8644(199806)106%3A2%3C129%3A%3AAID-AJPA3%3E3.0.CO;2-L_TABLE5</v>
      </c>
      <c r="L494" s="5" t="str">
        <f t="array" ref="L494">IFERROR(INDEX(AUTO_Public_TSV_FileList!$A$1:$A$1000,MATCH(TRUE(),EXACT(K494,IFERROR(_xlfn.TEXTBEFORE(AUTO_Public_TSV_FileList!$A$1:$A$1000,".tsv"),"")),0)),"notfound")</f>
        <v>10.1002%2F(SICI)1096-8644(199806)106%3A2%3C129%3A%3AAID-AJPA3%3E3.0.CO;2-L_TABLE5.tsv</v>
      </c>
      <c r="M494" s="1" t="s">
        <v>2034</v>
      </c>
      <c r="N494" s="7"/>
      <c r="O494" s="7"/>
      <c r="P494" s="1"/>
      <c r="Q494" s="7"/>
      <c r="R494" s="7"/>
      <c r="S494" s="7"/>
      <c r="T494" s="7"/>
      <c r="U494" s="7"/>
      <c r="V494" s="7"/>
      <c r="W494" s="1" t="s">
        <v>124</v>
      </c>
      <c r="X494" s="1" t="s">
        <v>2032</v>
      </c>
      <c r="Y494" s="7"/>
      <c r="Z494" s="1" t="s">
        <v>120</v>
      </c>
      <c r="AA494" s="1" t="s">
        <v>166</v>
      </c>
      <c r="AB494" s="1" t="s">
        <v>127</v>
      </c>
      <c r="AC494" s="1" t="s">
        <v>121</v>
      </c>
      <c r="AD494" s="7"/>
      <c r="AE494" s="1" t="s">
        <v>66</v>
      </c>
      <c r="AF494" s="1"/>
      <c r="AG494" s="7"/>
    </row>
    <row r="495" ht="15" customHeight="1">
      <c r="A495" s="1" t="s">
        <v>2035</v>
      </c>
      <c r="B495" s="7"/>
      <c r="C495" s="7"/>
      <c r="D495" s="1" t="s">
        <v>91</v>
      </c>
      <c r="E495" s="5" t="str">
        <f t="shared" si="70"/>
        <v>Semendeferi</v>
      </c>
      <c r="F495" s="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5" t="str">
        <f t="shared" si="71"/>
        <v>2001</v>
      </c>
      <c r="H495" s="5" t="str">
        <f t="shared" si="72"/>
        <v>Semendeferi_etal_2001</v>
      </c>
      <c r="I495" s="5" t="str">
        <f t="shared" si="84"/>
        <v>10.1002%2F1096-8644(200103)114%3A3%3C224%3A%3AAID-AJPA1022%3E3.0.CO;2-I</v>
      </c>
      <c r="J495" s="5" t="str">
        <f t="shared" si="73"/>
        <v>Semendeferi_etal_2001_TABLE2</v>
      </c>
      <c r="K495" s="5" t="str">
        <f t="shared" si="83"/>
        <v>10.1002%2F1096-8644(200103)114%3A3%3C224%3A%3AAID-AJPA1022%3E3.0.CO;2-I_TABLE2</v>
      </c>
      <c r="L495" s="5" t="str">
        <f t="array" ref="L495">IFERROR(INDEX(AUTO_Public_TSV_FileList!$A$1:$A$1000,MATCH(TRUE(),EXACT(K495,IFERROR(_xlfn.TEXTBEFORE(AUTO_Public_TSV_FileList!$A$1:$A$1000,".tsv"),"")),0)),"notfound")</f>
        <v>10.1002%2F1096-8644(200103)114%3A3%3C224%3A%3AAID-AJPA1022%3E3.0.CO;2-I_TABLE2.tsv</v>
      </c>
      <c r="M495" s="1" t="s">
        <v>2036</v>
      </c>
      <c r="N495" s="7"/>
      <c r="O495" s="7"/>
      <c r="P495" s="1" t="s">
        <v>36</v>
      </c>
      <c r="Q495" s="7"/>
      <c r="R495" s="7"/>
      <c r="S495" s="7"/>
      <c r="T495" s="7"/>
      <c r="U495" s="7"/>
      <c r="V495" s="7"/>
      <c r="W495" s="1" t="s">
        <v>124</v>
      </c>
      <c r="X495" s="1" t="s">
        <v>2037</v>
      </c>
      <c r="Y495" s="7"/>
      <c r="Z495" s="1" t="s">
        <v>120</v>
      </c>
      <c r="AA495" s="1" t="s">
        <v>166</v>
      </c>
      <c r="AB495" s="1" t="s">
        <v>127</v>
      </c>
      <c r="AC495" s="1" t="s">
        <v>121</v>
      </c>
      <c r="AD495" s="7"/>
      <c r="AE495" s="1" t="s">
        <v>66</v>
      </c>
      <c r="AF495" s="1"/>
      <c r="AG495" s="7"/>
    </row>
    <row r="496" ht="15" customHeight="1">
      <c r="A496" s="1" t="s">
        <v>2035</v>
      </c>
      <c r="B496" s="7"/>
      <c r="C496" s="7"/>
      <c r="D496" s="1" t="s">
        <v>94</v>
      </c>
      <c r="E496" s="5" t="str">
        <f t="shared" si="70"/>
        <v>Semendeferi</v>
      </c>
      <c r="F496" s="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5" t="str">
        <f t="shared" si="71"/>
        <v>2001</v>
      </c>
      <c r="H496" s="5" t="str">
        <f t="shared" si="72"/>
        <v>Semendeferi_etal_2001</v>
      </c>
      <c r="I496" s="5" t="str">
        <f t="shared" si="84"/>
        <v>10.1002%2F1096-8644(200103)114%3A3%3C224%3A%3AAID-AJPA1022%3E3.0.CO;2-I</v>
      </c>
      <c r="J496" s="5" t="str">
        <f t="shared" si="73"/>
        <v>Semendeferi_etal_2001_TABLE3</v>
      </c>
      <c r="K496" s="5" t="str">
        <f t="shared" si="83"/>
        <v>10.1002%2F1096-8644(200103)114%3A3%3C224%3A%3AAID-AJPA1022%3E3.0.CO;2-I_TABLE3</v>
      </c>
      <c r="L496" s="5" t="str">
        <f t="array" ref="L496">IFERROR(INDEX(AUTO_Public_TSV_FileList!$A$1:$A$1000,MATCH(TRUE(),EXACT(K496,IFERROR(_xlfn.TEXTBEFORE(AUTO_Public_TSV_FileList!$A$1:$A$1000,".tsv"),"")),0)),"notfound")</f>
        <v>10.1002%2F1096-8644(200103)114%3A3%3C224%3A%3AAID-AJPA1022%3E3.0.CO;2-I_TABLE3.tsv</v>
      </c>
      <c r="M496" s="1" t="s">
        <v>2038</v>
      </c>
      <c r="N496" s="7"/>
      <c r="O496" s="7"/>
      <c r="P496" s="1"/>
      <c r="Q496" s="7"/>
      <c r="R496" s="7"/>
      <c r="S496" s="7"/>
      <c r="T496" s="7"/>
      <c r="U496" s="7"/>
      <c r="V496" s="7"/>
      <c r="W496" s="1" t="s">
        <v>124</v>
      </c>
      <c r="X496" s="1" t="s">
        <v>2037</v>
      </c>
      <c r="Y496" s="7"/>
      <c r="Z496" s="1" t="s">
        <v>120</v>
      </c>
      <c r="AA496" s="1"/>
      <c r="AB496" s="1"/>
      <c r="AC496" s="1" t="s">
        <v>121</v>
      </c>
      <c r="AD496" s="7"/>
      <c r="AE496" s="1" t="s">
        <v>66</v>
      </c>
      <c r="AF496" s="1"/>
      <c r="AG496" s="7"/>
    </row>
    <row r="497" ht="15" customHeight="1">
      <c r="A497" s="1" t="s">
        <v>2035</v>
      </c>
      <c r="B497" s="7"/>
      <c r="C497" s="7"/>
      <c r="D497" s="1" t="s">
        <v>97</v>
      </c>
      <c r="E497" s="5" t="str">
        <f t="shared" si="70"/>
        <v>Semendeferi</v>
      </c>
      <c r="F497" s="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5" t="str">
        <f t="shared" si="71"/>
        <v>2001</v>
      </c>
      <c r="H497" s="5" t="str">
        <f t="shared" si="72"/>
        <v>Semendeferi_etal_2001</v>
      </c>
      <c r="I497" s="5" t="str">
        <f t="shared" si="84"/>
        <v>10.1002%2F1096-8644(200103)114%3A3%3C224%3A%3AAID-AJPA1022%3E3.0.CO;2-I</v>
      </c>
      <c r="J497" s="5" t="str">
        <f t="shared" si="73"/>
        <v>Semendeferi_etal_2001_TABLE4</v>
      </c>
      <c r="K497" s="5" t="str">
        <f t="shared" si="83"/>
        <v>10.1002%2F1096-8644(200103)114%3A3%3C224%3A%3AAID-AJPA1022%3E3.0.CO;2-I_TABLE4</v>
      </c>
      <c r="L497" s="5" t="str">
        <f t="array" ref="L497">IFERROR(INDEX(AUTO_Public_TSV_FileList!$A$1:$A$1000,MATCH(TRUE(),EXACT(K497,IFERROR(_xlfn.TEXTBEFORE(AUTO_Public_TSV_FileList!$A$1:$A$1000,".tsv"),"")),0)),"notfound")</f>
        <v>10.1002%2F1096-8644(200103)114%3A3%3C224%3A%3AAID-AJPA1022%3E3.0.CO;2-I_TABLE4.tsv</v>
      </c>
      <c r="M497" s="1" t="s">
        <v>2039</v>
      </c>
      <c r="N497" s="7"/>
      <c r="O497" s="7"/>
      <c r="P497" s="1"/>
      <c r="Q497" s="7"/>
      <c r="R497" s="7"/>
      <c r="S497" s="7"/>
      <c r="T497" s="7"/>
      <c r="U497" s="7"/>
      <c r="V497" s="7"/>
      <c r="W497" s="1" t="s">
        <v>124</v>
      </c>
      <c r="X497" s="1" t="s">
        <v>2037</v>
      </c>
      <c r="Y497" s="7"/>
      <c r="Z497" s="1" t="s">
        <v>120</v>
      </c>
      <c r="AA497" s="7"/>
      <c r="AB497" s="7"/>
      <c r="AC497" s="1" t="s">
        <v>121</v>
      </c>
      <c r="AD497" s="7"/>
      <c r="AE497" s="1" t="s">
        <v>66</v>
      </c>
      <c r="AF497" s="1"/>
      <c r="AG497" s="7"/>
    </row>
    <row r="498" ht="15" customHeight="1">
      <c r="A498" s="1" t="s">
        <v>2040</v>
      </c>
      <c r="B498" s="7"/>
      <c r="C498" s="7"/>
      <c r="D498" s="1" t="s">
        <v>68</v>
      </c>
      <c r="E498" s="5" t="str">
        <f t="shared" si="70"/>
        <v>Semendeferi</v>
      </c>
      <c r="F498" s="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5" t="str">
        <f t="shared" si="71"/>
        <v>2002</v>
      </c>
      <c r="H498" s="5" t="str">
        <f t="shared" si="72"/>
        <v>Semendeferi_etal_2002</v>
      </c>
      <c r="I498" s="5" t="str">
        <f t="shared" si="84"/>
        <v>10.1038%2Fnn814</v>
      </c>
      <c r="J498" s="5" t="str">
        <f t="shared" si="73"/>
        <v>Semendeferi_etal_2002_Table1</v>
      </c>
      <c r="K498" s="5" t="str">
        <f t="shared" si="83"/>
        <v>10.1038%2Fnn814_Table1</v>
      </c>
      <c r="L498" s="5" t="str">
        <f t="array" ref="L498">IFERROR(INDEX(AUTO_Public_TSV_FileList!$A$1:$A$1000,MATCH(TRUE(),EXACT(K498,IFERROR(_xlfn.TEXTBEFORE(AUTO_Public_TSV_FileList!$A$1:$A$1000,".tsv"),"")),0)),"notfound")</f>
        <v>10.1038%2Fnn814_Table1.tsv</v>
      </c>
      <c r="M498" s="1" t="s">
        <v>2041</v>
      </c>
      <c r="N498" s="7"/>
      <c r="O498" s="7"/>
      <c r="P498" s="1" t="s">
        <v>36</v>
      </c>
      <c r="Q498" s="7"/>
      <c r="R498" s="7"/>
      <c r="S498" s="7"/>
      <c r="T498" s="7"/>
      <c r="U498" s="7"/>
      <c r="V498" s="7"/>
      <c r="W498" s="1" t="s">
        <v>124</v>
      </c>
      <c r="X498" s="1" t="s">
        <v>2042</v>
      </c>
      <c r="Y498" s="7"/>
      <c r="Z498" s="1" t="s">
        <v>120</v>
      </c>
      <c r="AA498" s="1" t="s">
        <v>166</v>
      </c>
      <c r="AB498" s="1" t="s">
        <v>127</v>
      </c>
      <c r="AC498" s="1" t="s">
        <v>121</v>
      </c>
      <c r="AD498" s="7"/>
      <c r="AE498" s="1" t="s">
        <v>66</v>
      </c>
      <c r="AF498" s="1"/>
      <c r="AG498" s="7"/>
    </row>
    <row r="499" ht="15" customHeight="1">
      <c r="A499" s="1" t="s">
        <v>2043</v>
      </c>
      <c r="B499" s="7"/>
      <c r="C499" s="7"/>
      <c r="D499" s="1" t="s">
        <v>286</v>
      </c>
      <c r="E499" s="5" t="str">
        <f t="shared" si="70"/>
        <v>Seymour</v>
      </c>
      <c r="F499" s="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5" t="str">
        <f t="shared" si="71"/>
        <v>2015</v>
      </c>
      <c r="H499" s="5" t="str">
        <f t="shared" si="72"/>
        <v>Seymour_etal_2015</v>
      </c>
      <c r="I499" s="5" t="str">
        <f t="shared" si="84"/>
        <v>10.1242%2Fjeb.124826</v>
      </c>
      <c r="J499" s="5" t="str">
        <f t="shared" si="73"/>
        <v>Seymour_etal_2015_TableS1</v>
      </c>
      <c r="K499" s="5" t="str">
        <f t="shared" si="83"/>
        <v>10.1242%2Fjeb.124826_TableS1</v>
      </c>
      <c r="L499" s="5" t="str">
        <f t="array" ref="L499">IFERROR(INDEX(AUTO_Public_TSV_FileList!$A$1:$A$1000,MATCH(TRUE(),EXACT(K499,IFERROR(_xlfn.TEXTBEFORE(AUTO_Public_TSV_FileList!$A$1:$A$1000,".tsv"),"")),0)),"notfound")</f>
        <v>10.1242%2Fjeb.124826_TableS1.tsv</v>
      </c>
      <c r="M499" s="7"/>
      <c r="N499" s="7"/>
      <c r="O499" s="7"/>
      <c r="P499" s="1" t="s">
        <v>36</v>
      </c>
      <c r="Q499" s="7"/>
      <c r="R499" s="7"/>
      <c r="S499" s="7"/>
      <c r="T499" s="7"/>
      <c r="U499" s="7"/>
      <c r="V499" s="7"/>
      <c r="W499" s="7"/>
      <c r="X499" s="7"/>
      <c r="Y499" s="7"/>
      <c r="Z499" s="7"/>
      <c r="AA499" s="7"/>
      <c r="AB499" s="7"/>
      <c r="AC499" s="7"/>
      <c r="AD499" s="7"/>
      <c r="AE499" s="7"/>
      <c r="AF499" s="7"/>
      <c r="AG499" s="7"/>
    </row>
    <row r="500" ht="15" customHeight="1">
      <c r="A500" s="1" t="s">
        <v>2044</v>
      </c>
      <c r="B500" s="7"/>
      <c r="C500" s="7"/>
      <c r="D500" s="1" t="s">
        <v>286</v>
      </c>
      <c r="E500" s="5" t="str">
        <f t="shared" si="70"/>
        <v>Seymour</v>
      </c>
      <c r="F500" s="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5" t="str">
        <f t="shared" si="71"/>
        <v>2017</v>
      </c>
      <c r="H500" s="5" t="str">
        <f t="shared" si="72"/>
        <v>Seymour_etal_2017</v>
      </c>
      <c r="I500" s="5" t="str">
        <f t="shared" si="84"/>
        <v>10.1098%2Frsos.170846</v>
      </c>
      <c r="J500" s="5" t="str">
        <f t="shared" si="73"/>
        <v>Seymour_etal_2017_TableS1</v>
      </c>
      <c r="K500" s="5" t="str">
        <f t="shared" si="83"/>
        <v>10.1098%2Frsos.170846_TableS1</v>
      </c>
      <c r="L500" s="5" t="str">
        <f t="array" ref="L500">IFERROR(INDEX(AUTO_Public_TSV_FileList!$A$1:$A$1000,MATCH(TRUE(),EXACT(K500,IFERROR(_xlfn.TEXTBEFORE(AUTO_Public_TSV_FileList!$A$1:$A$1000,".tsv"),"")),0)),"notfound")</f>
        <v>10.1098%2Frsos.170846_TableS1.tsv</v>
      </c>
      <c r="M500" s="7"/>
      <c r="N500" s="7"/>
      <c r="O500" s="7"/>
      <c r="P500" s="1" t="s">
        <v>36</v>
      </c>
      <c r="Q500" s="7"/>
      <c r="R500" s="7"/>
      <c r="S500" s="7"/>
      <c r="T500" s="7"/>
      <c r="U500" s="7"/>
      <c r="V500" s="7"/>
      <c r="W500" s="7"/>
      <c r="X500" s="7"/>
      <c r="Y500" s="7"/>
      <c r="Z500" s="7"/>
      <c r="AA500" s="7"/>
      <c r="AB500" s="7"/>
      <c r="AC500" s="7"/>
      <c r="AD500" s="7"/>
      <c r="AE500" s="7"/>
      <c r="AF500" s="7"/>
      <c r="AG500" s="7"/>
    </row>
    <row r="501" ht="15" customHeight="1">
      <c r="A501" s="1" t="s">
        <v>2045</v>
      </c>
      <c r="B501" s="7"/>
      <c r="C501" s="7"/>
      <c r="D501" s="1" t="s">
        <v>2046</v>
      </c>
      <c r="E501" s="5" t="str">
        <f t="shared" si="70"/>
        <v>Seymour</v>
      </c>
      <c r="F501" s="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5" t="str">
        <f t="shared" si="71"/>
        <v>2019</v>
      </c>
      <c r="H501" s="5" t="str">
        <f t="shared" si="72"/>
        <v>Seymour_etal_2019</v>
      </c>
      <c r="I501" s="5" t="str">
        <f t="shared" si="84"/>
        <v>10.1098%2Frspb.2019.2208</v>
      </c>
      <c r="J501" s="5" t="str">
        <f t="shared" si="73"/>
        <v>Seymour_etal_2019_rspb20192208si002</v>
      </c>
      <c r="K501" s="5" t="str">
        <f t="shared" si="83"/>
        <v>10.1098%2Frspb.2019.2208_rspb20192208si002</v>
      </c>
      <c r="L501" s="5" t="str">
        <f t="array" ref="L501">IFERROR(INDEX(AUTO_Public_TSV_FileList!$A$1:$A$1000,MATCH(TRUE(),EXACT(K501,IFERROR(_xlfn.TEXTBEFORE(AUTO_Public_TSV_FileList!$A$1:$A$1000,".tsv"),"")),0)),"notfound")</f>
        <v>10.1098%2Frspb.2019.2208_rspb20192208si002.tsv</v>
      </c>
      <c r="M501" s="7"/>
      <c r="N501" s="7"/>
      <c r="O501" s="7"/>
      <c r="P501" s="1" t="s">
        <v>36</v>
      </c>
      <c r="Q501" s="7"/>
      <c r="R501" s="7"/>
      <c r="S501" s="7"/>
      <c r="T501" s="7"/>
      <c r="U501" s="7"/>
      <c r="V501" s="7"/>
      <c r="W501" s="7"/>
      <c r="X501" s="7"/>
      <c r="Y501" s="7"/>
      <c r="Z501" s="7"/>
      <c r="AA501" s="7"/>
      <c r="AB501" s="7"/>
      <c r="AC501" s="7"/>
      <c r="AD501" s="7"/>
      <c r="AE501" s="7"/>
      <c r="AF501" s="7"/>
      <c r="AG501" s="7"/>
    </row>
    <row r="502" ht="15" customHeight="1">
      <c r="A502" s="1" t="s">
        <v>2047</v>
      </c>
      <c r="B502" s="7"/>
      <c r="C502" s="7"/>
      <c r="D502" s="1" t="s">
        <v>265</v>
      </c>
      <c r="E502" s="5" t="str">
        <f t="shared" si="70"/>
        <v>Sherwood</v>
      </c>
      <c r="F502" s="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5" t="str">
        <f t="shared" si="71"/>
        <v>2004</v>
      </c>
      <c r="H502" s="5" t="str">
        <f t="shared" si="72"/>
        <v>Sherwood_etal_2004</v>
      </c>
      <c r="I502" s="5" t="str">
        <f t="shared" si="84"/>
        <v>10.1002%2Fajp.20048</v>
      </c>
      <c r="J502" s="5" t="str">
        <f t="shared" si="73"/>
        <v>Sherwood_etal_2004_TABLEI</v>
      </c>
      <c r="K502" s="5" t="str">
        <f t="shared" si="83"/>
        <v>10.1002%2Fajp.20048_TABLEI</v>
      </c>
      <c r="L502" s="5" t="str">
        <f t="array" ref="L502">IFERROR(INDEX(AUTO_Public_TSV_FileList!$A$1:$A$1000,MATCH(TRUE(),EXACT(K502,IFERROR(_xlfn.TEXTBEFORE(AUTO_Public_TSV_FileList!$A$1:$A$1000,".tsv"),"")),0)),"notfound")</f>
        <v>10.1002%2Fajp.20048_TABLEI.tsv</v>
      </c>
      <c r="M502" s="1" t="s">
        <v>2048</v>
      </c>
      <c r="N502" s="7"/>
      <c r="O502" s="7"/>
      <c r="P502" s="1" t="s">
        <v>36</v>
      </c>
      <c r="Q502" s="7"/>
      <c r="R502" s="7"/>
      <c r="S502" s="7"/>
      <c r="T502" s="7"/>
      <c r="U502" s="7"/>
      <c r="V502" s="7"/>
      <c r="W502" s="7"/>
      <c r="X502" s="7"/>
      <c r="Y502" s="7"/>
      <c r="Z502" s="1" t="s">
        <v>1647</v>
      </c>
      <c r="AA502" s="1" t="s">
        <v>166</v>
      </c>
      <c r="AB502" s="1" t="s">
        <v>127</v>
      </c>
      <c r="AC502" s="1" t="s">
        <v>2049</v>
      </c>
      <c r="AD502" s="1" t="s">
        <v>1975</v>
      </c>
      <c r="AE502" s="1" t="s">
        <v>66</v>
      </c>
      <c r="AF502" s="1"/>
      <c r="AG502" s="7"/>
    </row>
    <row r="503" ht="15" customHeight="1">
      <c r="A503" s="1" t="s">
        <v>2047</v>
      </c>
      <c r="B503" s="1"/>
      <c r="C503" s="7"/>
      <c r="D503" s="1" t="s">
        <v>148</v>
      </c>
      <c r="E503" s="5" t="str">
        <f t="shared" si="70"/>
        <v>Sherwood</v>
      </c>
      <c r="F503" s="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5" t="str">
        <f t="shared" si="71"/>
        <v>2004</v>
      </c>
      <c r="H503" s="5" t="str">
        <f t="shared" si="72"/>
        <v>Sherwood_etal_2004</v>
      </c>
      <c r="I503" s="5" t="str">
        <f t="shared" si="84"/>
        <v>10.1002%2Fajp.20048</v>
      </c>
      <c r="J503" s="5" t="str">
        <f t="shared" si="73"/>
        <v>Sherwood_etal_2004_unpublishedviaDeCasien</v>
      </c>
      <c r="K503" s="5" t="str">
        <f t="shared" si="83"/>
        <v>10.1002%2Fajp.20048_unpublishedviaDeCasien</v>
      </c>
      <c r="L503" s="5" t="str">
        <f t="array" ref="L503">IFERROR(INDEX(AUTO_Public_TSV_FileList!$A$1:$A$1000,MATCH(TRUE(),EXACT(K503,IFERROR(_xlfn.TEXTBEFORE(AUTO_Public_TSV_FileList!$A$1:$A$1000,".tsv"),"")),0)),"notfound")</f>
        <v>10.1002%2Fajp.20048_unpublishedviaDeCasien.tsv</v>
      </c>
      <c r="M503" s="7"/>
      <c r="N503" s="7"/>
      <c r="O503" s="1" t="s">
        <v>149</v>
      </c>
      <c r="P503" s="1" t="s">
        <v>36</v>
      </c>
      <c r="Q503" s="7"/>
      <c r="R503" s="7"/>
      <c r="S503" s="7"/>
      <c r="T503" s="7"/>
      <c r="U503" s="7"/>
      <c r="V503" s="7"/>
      <c r="W503" s="7"/>
      <c r="X503" s="7"/>
      <c r="Y503" s="7"/>
      <c r="Z503" s="1" t="s">
        <v>1647</v>
      </c>
      <c r="AA503" s="1" t="s">
        <v>166</v>
      </c>
      <c r="AB503" s="1" t="s">
        <v>127</v>
      </c>
      <c r="AC503" s="1" t="s">
        <v>2049</v>
      </c>
      <c r="AD503" s="1" t="s">
        <v>1975</v>
      </c>
      <c r="AE503" s="1" t="s">
        <v>66</v>
      </c>
      <c r="AF503" s="1"/>
      <c r="AG503" s="7"/>
    </row>
    <row r="504" ht="15" customHeight="1">
      <c r="A504" s="10" t="s">
        <v>2050</v>
      </c>
      <c r="B504" s="10"/>
      <c r="C504" s="13"/>
      <c r="D504" s="10" t="s">
        <v>68</v>
      </c>
      <c r="E504" s="5" t="str">
        <f t="shared" si="70"/>
        <v>Sherwood</v>
      </c>
      <c r="F504" s="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5" t="str">
        <f t="shared" si="71"/>
        <v>2005</v>
      </c>
      <c r="H504" s="5" t="str">
        <f t="shared" si="72"/>
        <v>Sherwood_etal_2005</v>
      </c>
      <c r="I504" s="5" t="str">
        <f t="shared" si="84"/>
        <v>10.1016%2Fj.jhevol.2004.10.003</v>
      </c>
      <c r="J504" s="5" t="str">
        <f t="shared" si="73"/>
        <v>Sherwood_etal_2005_Table1</v>
      </c>
      <c r="K504" s="5" t="str">
        <f t="shared" si="83"/>
        <v>10.1016%2Fj.jhevol.2004.10.003_Table1</v>
      </c>
      <c r="L504" s="5" t="str">
        <f t="array" ref="L504">IFERROR(INDEX(AUTO_Public_TSV_FileList!$A$1:$A$1000,MATCH(TRUE(),EXACT(K504,IFERROR(_xlfn.TEXTBEFORE(AUTO_Public_TSV_FileList!$A$1:$A$1000,".tsv"),"")),0)),"notfound")</f>
        <v>10.1016%2Fj.jhevol.2004.10.003_Table1.tsv</v>
      </c>
      <c r="M504" s="10" t="s">
        <v>2051</v>
      </c>
      <c r="N504" s="10" t="s">
        <v>35</v>
      </c>
      <c r="O504" s="13"/>
      <c r="P504" s="10" t="s">
        <v>36</v>
      </c>
      <c r="Q504" s="13"/>
      <c r="R504" s="13"/>
      <c r="S504" s="13"/>
      <c r="T504" s="13"/>
      <c r="U504" s="13"/>
      <c r="V504" s="13"/>
      <c r="W504" s="10" t="s">
        <v>2052</v>
      </c>
      <c r="X504" s="10" t="s">
        <v>2053</v>
      </c>
      <c r="Y504" s="13"/>
      <c r="Z504" s="10" t="s">
        <v>120</v>
      </c>
      <c r="AA504" s="10" t="s">
        <v>166</v>
      </c>
      <c r="AB504" s="10" t="s">
        <v>127</v>
      </c>
      <c r="AC504" s="10" t="s">
        <v>155</v>
      </c>
      <c r="AD504" s="10" t="s">
        <v>526</v>
      </c>
      <c r="AE504" s="10" t="s">
        <v>66</v>
      </c>
      <c r="AF504" s="10"/>
      <c r="AG504" s="13"/>
    </row>
    <row r="505" ht="15" customHeight="1">
      <c r="A505" s="10" t="s">
        <v>2054</v>
      </c>
      <c r="B505" s="10" t="s">
        <v>2055</v>
      </c>
      <c r="C505" s="13"/>
      <c r="D505" s="10" t="s">
        <v>34</v>
      </c>
      <c r="E505" s="5" t="str">
        <f t="shared" si="70"/>
        <v>Sherwood</v>
      </c>
      <c r="F505" s="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5" t="str">
        <f t="shared" si="71"/>
        <v>2004</v>
      </c>
      <c r="H505" s="5" t="str">
        <f t="shared" si="72"/>
        <v>Sherwood_etal_2004_I</v>
      </c>
      <c r="I505" s="5" t="str">
        <f t="shared" si="84"/>
        <v>10.1159%2F000075672</v>
      </c>
      <c r="J505" s="5" t="str">
        <f t="shared" si="73"/>
        <v>Sherwood_etal_2004_I_Table4</v>
      </c>
      <c r="K505" s="5" t="str">
        <f t="shared" si="83"/>
        <v>10.1159%2F000075672_Table4</v>
      </c>
      <c r="L505" s="5" t="str">
        <f t="array" ref="L505">IFERROR(INDEX(AUTO_Public_TSV_FileList!$A$1:$A$1000,MATCH(TRUE(),EXACT(K505,IFERROR(_xlfn.TEXTBEFORE(AUTO_Public_TSV_FileList!$A$1:$A$1000,".tsv"),"")),0)),"notfound")</f>
        <v>10.1159%2F000075672_Table4.tsv</v>
      </c>
      <c r="M505" s="10" t="s">
        <v>2056</v>
      </c>
      <c r="N505" s="10" t="s">
        <v>40</v>
      </c>
      <c r="O505" s="13"/>
      <c r="P505" s="10" t="s">
        <v>36</v>
      </c>
      <c r="Q505" s="13"/>
      <c r="R505" s="13"/>
      <c r="S505" s="13"/>
      <c r="T505" s="13"/>
      <c r="U505" s="13"/>
      <c r="V505" s="13"/>
      <c r="W505" s="10" t="s">
        <v>137</v>
      </c>
      <c r="X505" s="10" t="s">
        <v>2057</v>
      </c>
      <c r="Y505" s="13"/>
      <c r="Z505" s="10" t="s">
        <v>120</v>
      </c>
      <c r="AA505" s="13"/>
      <c r="AB505" s="10" t="s">
        <v>2058</v>
      </c>
      <c r="AC505" s="10" t="s">
        <v>121</v>
      </c>
      <c r="AD505" s="10" t="s">
        <v>121</v>
      </c>
      <c r="AE505" s="10" t="s">
        <v>66</v>
      </c>
      <c r="AF505" s="10"/>
      <c r="AG505" s="13"/>
    </row>
    <row r="506" ht="15" customHeight="1">
      <c r="A506" s="10" t="s">
        <v>2054</v>
      </c>
      <c r="B506" s="10" t="s">
        <v>2055</v>
      </c>
      <c r="C506" s="13"/>
      <c r="D506" s="10" t="s">
        <v>112</v>
      </c>
      <c r="E506" s="5" t="str">
        <f t="shared" si="70"/>
        <v>Sherwood</v>
      </c>
      <c r="F506" s="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5" t="str">
        <f t="shared" si="71"/>
        <v>2004</v>
      </c>
      <c r="H506" s="5" t="str">
        <f t="shared" si="72"/>
        <v>Sherwood_etal_2004_I</v>
      </c>
      <c r="I506" s="5" t="str">
        <f t="shared" si="84"/>
        <v>10.1159%2F000075672</v>
      </c>
      <c r="J506" s="5" t="str">
        <f t="shared" si="73"/>
        <v>Sherwood_etal_2004_I_Table5</v>
      </c>
      <c r="K506" s="5" t="str">
        <f t="shared" si="83"/>
        <v>10.1159%2F000075672_Table5</v>
      </c>
      <c r="L506" s="5" t="str">
        <f t="array" ref="L506">IFERROR(INDEX(AUTO_Public_TSV_FileList!$A$1:$A$1000,MATCH(TRUE(),EXACT(K506,IFERROR(_xlfn.TEXTBEFORE(AUTO_Public_TSV_FileList!$A$1:$A$1000,".tsv"),"")),0)),"notfound")</f>
        <v>10.1159%2F000075672_Table5.tsv</v>
      </c>
      <c r="M506" s="10" t="s">
        <v>2059</v>
      </c>
      <c r="N506" s="10" t="s">
        <v>40</v>
      </c>
      <c r="O506" s="13"/>
      <c r="P506" s="10" t="s">
        <v>36</v>
      </c>
      <c r="Q506" s="13"/>
      <c r="R506" s="13"/>
      <c r="S506" s="13"/>
      <c r="T506" s="13"/>
      <c r="U506" s="13"/>
      <c r="V506" s="13"/>
      <c r="W506" s="10" t="s">
        <v>137</v>
      </c>
      <c r="X506" s="10" t="s">
        <v>2057</v>
      </c>
      <c r="Y506" s="13"/>
      <c r="Z506" s="10" t="s">
        <v>120</v>
      </c>
      <c r="AA506" s="10" t="s">
        <v>166</v>
      </c>
      <c r="AB506" s="10" t="s">
        <v>2058</v>
      </c>
      <c r="AC506" s="13"/>
      <c r="AD506" s="10" t="s">
        <v>526</v>
      </c>
      <c r="AE506" s="10" t="s">
        <v>66</v>
      </c>
      <c r="AF506" s="10"/>
      <c r="AG506" s="13"/>
    </row>
    <row r="507" ht="15" customHeight="1">
      <c r="A507" s="10" t="s">
        <v>2060</v>
      </c>
      <c r="B507" s="13"/>
      <c r="C507" s="13"/>
      <c r="D507" s="10" t="s">
        <v>68</v>
      </c>
      <c r="E507" s="5" t="str">
        <f t="shared" si="70"/>
        <v>Sherwood</v>
      </c>
      <c r="F507" s="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5" t="str">
        <f t="shared" si="71"/>
        <v>2003</v>
      </c>
      <c r="H507" s="5" t="str">
        <f t="shared" si="72"/>
        <v>Sherwood_etal_2003</v>
      </c>
      <c r="I507" s="5" t="str">
        <f t="shared" si="84"/>
        <v>10.1159%2F000068879</v>
      </c>
      <c r="J507" s="5" t="str">
        <f t="shared" si="73"/>
        <v>Sherwood_etal_2003_Table1</v>
      </c>
      <c r="K507" s="5" t="str">
        <f t="shared" si="83"/>
        <v>10.1159%2F000068879_Table1</v>
      </c>
      <c r="L507" s="5" t="str">
        <f t="array" ref="L507">IFERROR(INDEX(AUTO_Public_TSV_FileList!$A$1:$A$1000,MATCH(TRUE(),EXACT(K507,IFERROR(_xlfn.TEXTBEFORE(AUTO_Public_TSV_FileList!$A$1:$A$1000,".tsv"),"")),0)),"notfound")</f>
        <v>10.1159%2F000068879_Table1.tsv</v>
      </c>
      <c r="M507" s="10" t="s">
        <v>2061</v>
      </c>
      <c r="N507" s="13"/>
      <c r="O507" s="13"/>
      <c r="P507" s="13"/>
      <c r="Q507" s="13"/>
      <c r="R507" s="13"/>
      <c r="S507" s="13"/>
      <c r="T507" s="13"/>
      <c r="U507" s="13"/>
      <c r="V507" s="13"/>
      <c r="W507" s="13"/>
      <c r="X507" s="13"/>
      <c r="Y507" s="13"/>
      <c r="Z507" s="13"/>
      <c r="AA507" s="13"/>
      <c r="AB507" s="13"/>
      <c r="AC507" s="13"/>
      <c r="AD507" s="13"/>
      <c r="AE507" s="13"/>
      <c r="AF507" s="13"/>
      <c r="AG507" s="13"/>
    </row>
    <row r="508" ht="15" customHeight="1">
      <c r="A508" s="28" t="s">
        <v>2062</v>
      </c>
      <c r="B508" s="28"/>
      <c r="C508" s="28"/>
      <c r="D508" s="28" t="s">
        <v>108</v>
      </c>
      <c r="E508" s="3" t="str">
        <f t="shared" si="70"/>
        <v>Sherwood</v>
      </c>
      <c r="F508" s="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5" t="str">
        <f t="shared" si="71"/>
        <v>2006</v>
      </c>
      <c r="H508" s="3" t="str">
        <f t="shared" si="72"/>
        <v>Sherwood_etal_2006</v>
      </c>
      <c r="I508" s="3" t="str">
        <f>_xlfn.LET(_xlpm.doi,IF(C508&lt;&gt;"",C508,_xlfn.TEXTAFTER(A508,"https://doi.org/")),SUBSTITUTE(SUBSTITUTE(SUBSTITUTE(SUBSTITUTE(_xlpm.doi,"/","%2F"),":","%3A"),"&lt;","%3C"),"&gt;","%3E"))</f>
        <v>10.1073%2Fpnas.0605843103</v>
      </c>
      <c r="J508" s="3" t="str">
        <f t="shared" si="73"/>
        <v>Sherwood_etal_2006_Table2</v>
      </c>
      <c r="K508" s="5" t="str">
        <f t="shared" si="83"/>
        <v>10.1073%2Fpnas.0605843103_Table2</v>
      </c>
      <c r="L508" s="5" t="str">
        <f t="array" ref="L508">IFERROR(INDEX(AUTO_Public_TSV_FileList!$A$1:$A$1000,MATCH(TRUE(),EXACT(K508,IFERROR(_xlfn.TEXTBEFORE(AUTO_Public_TSV_FileList!$A$1:$A$1000,".tsv"),"")),0)),"notfound")</f>
        <v>10.1073%2Fpnas.0605843103_Table2.tsv</v>
      </c>
      <c r="M508" s="28" t="s">
        <v>2063</v>
      </c>
      <c r="N508" s="28" t="s">
        <v>70</v>
      </c>
      <c r="O508" s="28" t="s">
        <v>2064</v>
      </c>
      <c r="P508" s="28"/>
      <c r="Q508" s="28" t="s">
        <v>2065</v>
      </c>
      <c r="R508" s="28" t="s">
        <v>2066</v>
      </c>
      <c r="S508" s="28" t="s">
        <v>2067</v>
      </c>
      <c r="T508" s="28" t="s">
        <v>2068</v>
      </c>
      <c r="U508" s="28" t="s">
        <v>2069</v>
      </c>
      <c r="V508" s="28" t="s">
        <v>2070</v>
      </c>
      <c r="W508" s="28" t="s">
        <v>2071</v>
      </c>
      <c r="X508" s="28" t="s">
        <v>2072</v>
      </c>
      <c r="Y508" s="28"/>
      <c r="Z508" s="28" t="s">
        <v>2073</v>
      </c>
      <c r="AA508" s="28" t="s">
        <v>2074</v>
      </c>
      <c r="AB508" s="28" t="s">
        <v>2075</v>
      </c>
      <c r="AC508" s="28" t="s">
        <v>2049</v>
      </c>
      <c r="AD508" s="28" t="s">
        <v>1891</v>
      </c>
      <c r="AE508" s="28" t="s">
        <v>66</v>
      </c>
      <c r="AF508" s="28"/>
      <c r="AG508" s="28"/>
    </row>
    <row r="509" ht="15" customHeight="1">
      <c r="A509" s="10" t="s">
        <v>2076</v>
      </c>
      <c r="B509" s="13"/>
      <c r="C509" s="13"/>
      <c r="D509" s="10" t="s">
        <v>286</v>
      </c>
      <c r="E509" s="5" t="str">
        <f t="shared" si="70"/>
        <v>Shultz</v>
      </c>
      <c r="F509" s="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09" s="5" t="str">
        <f t="shared" si="71"/>
        <v>2010</v>
      </c>
      <c r="H509" s="5" t="str">
        <f t="shared" si="72"/>
        <v>Shultz_Dunbar_2010</v>
      </c>
      <c r="I509" s="5" t="str">
        <f t="shared" ref="I509:I540" si="85">_xlfn.LET(
_xlpm.doi,IF(C509&lt;&gt;"",C509,_xlfn.TEXTAFTER(A509,"https://doi.org/")),
SUBSTITUTE(
SUBSTITUTE(
SUBSTITUTE(
SUBSTITUTE(
_xlpm.doi,
"/","%2F"),
":","%3A"),
"&lt;","%3C"),
"&gt;","%3E")
)</f>
        <v>10.1037%2Fa0018894</v>
      </c>
      <c r="J509" s="5" t="str">
        <f t="shared" si="73"/>
        <v>Shultz_Dunbar_2010_TableS1</v>
      </c>
      <c r="K509" s="5" t="str">
        <f t="shared" si="83"/>
        <v>10.1037%2Fa0018894_TableS1</v>
      </c>
      <c r="L509" s="5" t="str">
        <f t="array" ref="L509">IFERROR(INDEX(AUTO_Public_TSV_FileList!$A$1:$A$1000,MATCH(TRUE(),EXACT(K509,IFERROR(_xlfn.TEXTBEFORE(AUTO_Public_TSV_FileList!$A$1:$A$1000,".tsv"),"")),0)),"notfound")</f>
        <v>notfound</v>
      </c>
      <c r="M509" s="2" t="s">
        <v>2077</v>
      </c>
      <c r="N509" s="10" t="s">
        <v>35</v>
      </c>
      <c r="O509" s="2" t="s">
        <v>2078</v>
      </c>
      <c r="P509" s="2"/>
      <c r="Q509" s="2"/>
      <c r="R509" s="2" t="s">
        <v>2079</v>
      </c>
      <c r="S509" s="2" t="s">
        <v>2080</v>
      </c>
      <c r="T509" s="2" t="s">
        <v>2081</v>
      </c>
      <c r="U509" s="2"/>
      <c r="V509" s="2" t="s">
        <v>431</v>
      </c>
      <c r="W509" s="2" t="s">
        <v>137</v>
      </c>
      <c r="X509" s="2" t="s">
        <v>2082</v>
      </c>
      <c r="Y509" s="2" t="s">
        <v>2083</v>
      </c>
      <c r="Z509" s="2"/>
      <c r="AA509" s="2"/>
      <c r="AB509" s="2" t="s">
        <v>2084</v>
      </c>
      <c r="AC509" s="13"/>
      <c r="AD509" s="2"/>
      <c r="AE509" s="2" t="s">
        <v>215</v>
      </c>
      <c r="AF509" s="2"/>
      <c r="AG509" s="2" t="s">
        <v>2085</v>
      </c>
    </row>
    <row r="510" ht="15" customHeight="1">
      <c r="A510" s="10" t="s">
        <v>2086</v>
      </c>
      <c r="B510" s="13"/>
      <c r="C510" s="13"/>
      <c r="D510" s="10" t="s">
        <v>2087</v>
      </c>
      <c r="E510" s="5" t="str">
        <f t="shared" si="70"/>
        <v>Siegel</v>
      </c>
      <c r="F510" s="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0" s="5" t="str">
        <f t="shared" si="71"/>
        <v>2022</v>
      </c>
      <c r="H510" s="5" t="str">
        <f t="shared" si="72"/>
        <v>Siegel__2022</v>
      </c>
      <c r="I510" s="5" t="str">
        <f t="shared" si="85"/>
        <v>10.1016%2FS1474-4422(22)00210-1</v>
      </c>
      <c r="J510" s="5" t="str">
        <f t="shared" si="73"/>
        <v>Siegel__2022_Appendix</v>
      </c>
      <c r="K510" s="5" t="str">
        <f t="shared" si="83"/>
        <v>10.1016%2FS1474-4422(22)00210-1_Appendix</v>
      </c>
      <c r="L510" s="5" t="str">
        <f t="array" ref="L510">IFERROR(INDEX(AUTO_Public_TSV_FileList!$A$1:$A$1000,MATCH(TRUE(),EXACT(K510,IFERROR(_xlfn.TEXTBEFORE(AUTO_Public_TSV_FileList!$A$1:$A$1000,".tsv"),"")),0)),"notfound")</f>
        <v>notfound</v>
      </c>
      <c r="M510" s="2" t="s">
        <v>2088</v>
      </c>
      <c r="N510" s="10"/>
      <c r="O510" s="2"/>
      <c r="P510" s="2"/>
      <c r="Q510" s="2"/>
      <c r="R510" s="2"/>
      <c r="S510" s="2"/>
      <c r="T510" s="2"/>
      <c r="U510" s="2"/>
      <c r="V510" s="2"/>
      <c r="W510" s="2"/>
      <c r="X510" s="2"/>
      <c r="Y510" s="2"/>
      <c r="Z510" s="2"/>
      <c r="AA510" s="2"/>
      <c r="AB510" s="2"/>
      <c r="AC510" s="13"/>
      <c r="AD510" s="2"/>
      <c r="AE510" s="2"/>
      <c r="AF510" s="2"/>
      <c r="AG510" s="2"/>
    </row>
    <row r="511" ht="15" customHeight="1">
      <c r="A511" s="10" t="s">
        <v>2089</v>
      </c>
      <c r="B511" s="13"/>
      <c r="C511" s="10"/>
      <c r="D511" s="10" t="s">
        <v>2090</v>
      </c>
      <c r="E511" s="5" t="str">
        <f t="shared" si="70"/>
        <v>Smaers</v>
      </c>
      <c r="F511" s="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1" s="5" t="str">
        <f t="shared" si="71"/>
        <v>2013</v>
      </c>
      <c r="H511" s="5" t="str">
        <f t="shared" si="72"/>
        <v>Smaers_Soligo_2013</v>
      </c>
      <c r="I511" s="5" t="str">
        <f t="shared" si="85"/>
        <v>10.1098%2Frspb.2013.0269</v>
      </c>
      <c r="J511" s="5" t="str">
        <f t="shared" si="73"/>
        <v>Smaers_Soligo_2013_Supplement</v>
      </c>
      <c r="K511" s="5" t="str">
        <f t="shared" si="83"/>
        <v>10.1098%2Frspb.2013.0269_Supplement</v>
      </c>
      <c r="L511" s="5" t="str">
        <f t="array" ref="L511">IFERROR(INDEX(AUTO_Public_TSV_FileList!$A$1:$A$1000,MATCH(TRUE(),EXACT(K511,IFERROR(_xlfn.TEXTBEFORE(AUTO_Public_TSV_FileList!$A$1:$A$1000,".tsv"),"")),0)),"notfound")</f>
        <v>notfound</v>
      </c>
      <c r="M511" s="10" t="s">
        <v>2091</v>
      </c>
      <c r="N511" s="13"/>
      <c r="O511" s="13"/>
      <c r="P511" s="13"/>
      <c r="Q511" s="13"/>
      <c r="R511" s="13"/>
      <c r="S511" s="13"/>
      <c r="T511" s="13"/>
      <c r="U511" s="13"/>
      <c r="V511" s="13"/>
      <c r="W511" s="10" t="s">
        <v>1963</v>
      </c>
      <c r="X511" s="10" t="s">
        <v>2092</v>
      </c>
      <c r="Y511" s="13"/>
      <c r="Z511" s="10" t="s">
        <v>120</v>
      </c>
      <c r="AA511" s="10" t="s">
        <v>166</v>
      </c>
      <c r="AB511" s="10" t="s">
        <v>127</v>
      </c>
      <c r="AC511" s="13"/>
      <c r="AD511" s="13"/>
      <c r="AE511" s="10" t="s">
        <v>51</v>
      </c>
      <c r="AF511" s="10"/>
      <c r="AG511" s="13"/>
    </row>
    <row r="512" ht="15" customHeight="1">
      <c r="A512" s="13" t="s">
        <v>2093</v>
      </c>
      <c r="B512" s="13"/>
      <c r="C512" s="13"/>
      <c r="D512" s="10" t="s">
        <v>2094</v>
      </c>
      <c r="E512" s="5" t="str">
        <f t="shared" si="70"/>
        <v>Smaers</v>
      </c>
      <c r="F512" s="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5" t="str">
        <f t="shared" si="71"/>
        <v>2017</v>
      </c>
      <c r="H512" s="5" t="str">
        <f t="shared" si="72"/>
        <v>Smaers_etal_2017</v>
      </c>
      <c r="I512" s="5" t="str">
        <f t="shared" si="85"/>
        <v>10.1016%2Fj.cub.2017.01.020</v>
      </c>
      <c r="J512" s="5" t="str">
        <f t="shared" si="73"/>
        <v>Smaers_etal_2017_TableS1part1</v>
      </c>
      <c r="K512" s="5" t="str">
        <f t="shared" si="83"/>
        <v>10.1016%2Fj.cub.2017.01.020_TableS1part1</v>
      </c>
      <c r="L512" s="5" t="str">
        <f t="array" ref="L512">IFERROR(INDEX(AUTO_Public_TSV_FileList!$A$1:$A$1000,MATCH(TRUE(),EXACT(K512,IFERROR(_xlfn.TEXTBEFORE(AUTO_Public_TSV_FileList!$A$1:$A$1000,".tsv"),"")),0)),"notfound")</f>
        <v>10.1016%2Fj.cub.2017.01.020_TableS1part1.tsv</v>
      </c>
      <c r="M512" s="10" t="s">
        <v>2095</v>
      </c>
      <c r="N512" s="10" t="s">
        <v>35</v>
      </c>
      <c r="O512" s="10" t="s">
        <v>2096</v>
      </c>
      <c r="P512" s="10" t="s">
        <v>36</v>
      </c>
      <c r="Q512" s="13"/>
      <c r="R512" s="13"/>
      <c r="S512" s="10" t="s">
        <v>2097</v>
      </c>
      <c r="T512" s="13"/>
      <c r="U512" s="13"/>
      <c r="V512" s="13"/>
      <c r="W512" s="10" t="s">
        <v>137</v>
      </c>
      <c r="X512" s="10" t="s">
        <v>2098</v>
      </c>
      <c r="Y512" s="13"/>
      <c r="Z512" s="10" t="s">
        <v>120</v>
      </c>
      <c r="AA512" s="10" t="s">
        <v>166</v>
      </c>
      <c r="AB512" s="10" t="s">
        <v>127</v>
      </c>
      <c r="AC512" s="10" t="s">
        <v>2099</v>
      </c>
      <c r="AD512" s="10" t="s">
        <v>526</v>
      </c>
      <c r="AE512" s="10" t="s">
        <v>51</v>
      </c>
      <c r="AF512" s="10"/>
      <c r="AG512" s="13"/>
    </row>
    <row r="513" ht="15" customHeight="1">
      <c r="A513" s="13" t="s">
        <v>2093</v>
      </c>
      <c r="B513" s="13"/>
      <c r="C513" s="13"/>
      <c r="D513" s="10" t="s">
        <v>2100</v>
      </c>
      <c r="E513" s="5" t="str">
        <f t="shared" si="70"/>
        <v>Smaers</v>
      </c>
      <c r="F513" s="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5" t="str">
        <f t="shared" si="71"/>
        <v>2017</v>
      </c>
      <c r="H513" s="5" t="str">
        <f t="shared" si="72"/>
        <v>Smaers_etal_2017</v>
      </c>
      <c r="I513" s="5" t="str">
        <f t="shared" si="85"/>
        <v>10.1016%2Fj.cub.2017.01.020</v>
      </c>
      <c r="J513" s="5" t="str">
        <f t="shared" si="73"/>
        <v>Smaers_etal_2017_TableS1part2</v>
      </c>
      <c r="K513" s="5" t="str">
        <f t="shared" si="83"/>
        <v>10.1016%2Fj.cub.2017.01.020_TableS1part2</v>
      </c>
      <c r="L513" s="5" t="str">
        <f t="array" ref="L513">IFERROR(INDEX(AUTO_Public_TSV_FileList!$A$1:$A$1000,MATCH(TRUE(),EXACT(K513,IFERROR(_xlfn.TEXTBEFORE(AUTO_Public_TSV_FileList!$A$1:$A$1000,".tsv"),"")),0)),"notfound")</f>
        <v>10.1016%2Fj.cub.2017.01.020_TableS1part2.tsv</v>
      </c>
      <c r="M513" s="10" t="s">
        <v>2095</v>
      </c>
      <c r="N513" s="10" t="s">
        <v>35</v>
      </c>
      <c r="O513" s="10" t="s">
        <v>2101</v>
      </c>
      <c r="P513" s="10" t="s">
        <v>36</v>
      </c>
      <c r="Q513" s="13"/>
      <c r="R513" s="13"/>
      <c r="S513" s="10" t="s">
        <v>2097</v>
      </c>
      <c r="T513" s="13"/>
      <c r="U513" s="13"/>
      <c r="V513" s="13"/>
      <c r="W513" s="10" t="s">
        <v>137</v>
      </c>
      <c r="X513" s="10" t="s">
        <v>2098</v>
      </c>
      <c r="Y513" s="13"/>
      <c r="Z513" s="10" t="s">
        <v>120</v>
      </c>
      <c r="AA513" s="10" t="s">
        <v>166</v>
      </c>
      <c r="AB513" s="10" t="s">
        <v>127</v>
      </c>
      <c r="AC513" s="10" t="s">
        <v>2099</v>
      </c>
      <c r="AD513" s="10" t="s">
        <v>526</v>
      </c>
      <c r="AE513" s="10" t="s">
        <v>51</v>
      </c>
      <c r="AF513" s="10"/>
      <c r="AG513" s="13"/>
    </row>
    <row r="514" ht="15" customHeight="1">
      <c r="A514" s="10" t="s">
        <v>2102</v>
      </c>
      <c r="B514" s="13"/>
      <c r="C514" s="13"/>
      <c r="D514" s="10" t="s">
        <v>68</v>
      </c>
      <c r="E514" s="5" t="str">
        <f t="shared" ref="E514:E577" si="86">SUBSTITUTE(SUBSTITUTE(_xlfn.TEXTBEFORE(A514,","), "-", ""), " ", "")</f>
        <v>Smaers</v>
      </c>
      <c r="F514" s="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5" t="str">
        <f t="shared" ref="G514:G577" si="87">_xlfn.TEXTBEFORE(_xlfn.TEXTAFTER(A514, "("), ")")</f>
        <v>2010</v>
      </c>
      <c r="H514" s="5" t="str">
        <f t="shared" ref="H514:H577" si="88">E514 &amp; IF(F514&lt;&gt;"", "_" &amp; F514, "_") &amp; IF(G514&lt;&gt;"", "_" &amp; G514, "_") &amp; IF(B514&lt;&gt;"", "_" &amp; B514, "")</f>
        <v>Smaers_etal_2010</v>
      </c>
      <c r="I514" s="5" t="str">
        <f t="shared" si="85"/>
        <v>10.1371%2Fjournal.pone.0009123</v>
      </c>
      <c r="J514" s="5" t="str">
        <f t="shared" ref="J514:J577" si="89">TRIM(_xlfn.TEXTJOIN("_",FALSE(),H514,(SUBSTITUTE(SUBSTITUTE(D514," ",""), "_", ""))))</f>
        <v>Smaers_etal_2010_Table1</v>
      </c>
      <c r="K514" s="5" t="str">
        <f t="shared" si="83"/>
        <v>10.1371%2Fjournal.pone.0009123_Table1</v>
      </c>
      <c r="L514" s="5" t="str">
        <f t="array" ref="L514">IFERROR(INDEX(AUTO_Public_TSV_FileList!$A$1:$A$1000,MATCH(TRUE(),EXACT(K514,IFERROR(_xlfn.TEXTBEFORE(AUTO_Public_TSV_FileList!$A$1:$A$1000,".tsv"),"")),0)),"notfound")</f>
        <v>10.1371%2Fjournal.pone.0009123_Table1.tsv</v>
      </c>
      <c r="M514" s="10" t="s">
        <v>2103</v>
      </c>
      <c r="N514" s="13"/>
      <c r="O514" s="13"/>
      <c r="P514" s="13" t="s">
        <v>36</v>
      </c>
      <c r="Q514" s="13"/>
      <c r="R514" s="13"/>
      <c r="S514" s="13"/>
      <c r="T514" s="13"/>
      <c r="U514" s="13"/>
      <c r="V514" s="13"/>
      <c r="W514" s="13"/>
      <c r="X514" s="13"/>
      <c r="Y514" s="13"/>
      <c r="Z514" s="13"/>
      <c r="AA514" s="13"/>
      <c r="AB514" s="13"/>
      <c r="AC514" s="13"/>
      <c r="AD514" s="13"/>
      <c r="AE514" s="13"/>
      <c r="AF514" s="13"/>
      <c r="AG514" s="13"/>
    </row>
    <row r="515" ht="15" customHeight="1">
      <c r="A515" s="10" t="s">
        <v>2104</v>
      </c>
      <c r="B515" s="13"/>
      <c r="C515" s="13"/>
      <c r="D515" s="10" t="s">
        <v>344</v>
      </c>
      <c r="E515" s="5" t="str">
        <f t="shared" si="86"/>
        <v>Smaers</v>
      </c>
      <c r="F515" s="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5" t="str">
        <f t="shared" si="87"/>
        <v>2011</v>
      </c>
      <c r="H515" s="5" t="str">
        <f t="shared" si="88"/>
        <v>Smaers_etal_2011</v>
      </c>
      <c r="I515" s="5" t="str">
        <f t="shared" si="85"/>
        <v>10.1159%2F000323671</v>
      </c>
      <c r="J515" s="5" t="str">
        <f t="shared" si="89"/>
        <v>Smaers_etal_2011_SupplementaryTable1</v>
      </c>
      <c r="K515" s="5" t="str">
        <f t="shared" si="83"/>
        <v>10.1159%2F000323671_SupplementaryTable1</v>
      </c>
      <c r="L515" s="5" t="str">
        <f t="array" ref="L515">IFERROR(INDEX(AUTO_Public_TSV_FileList!$A$1:$A$1000,MATCH(TRUE(),EXACT(K515,IFERROR(_xlfn.TEXTBEFORE(AUTO_Public_TSV_FileList!$A$1:$A$1000,".tsv"),"")),0)),"notfound")</f>
        <v>10.1159%2F000323671_SupplementaryTable1.tsv</v>
      </c>
      <c r="M515" s="13"/>
      <c r="N515" s="10" t="s">
        <v>35</v>
      </c>
      <c r="O515" s="13"/>
      <c r="P515" s="13" t="s">
        <v>36</v>
      </c>
      <c r="Q515" s="13"/>
      <c r="R515" s="13"/>
      <c r="S515" s="13"/>
      <c r="T515" s="13"/>
      <c r="U515" s="13"/>
      <c r="V515" s="13"/>
      <c r="W515" s="10" t="s">
        <v>137</v>
      </c>
      <c r="X515" s="10" t="s">
        <v>2105</v>
      </c>
      <c r="Y515" s="13"/>
      <c r="Z515" s="10" t="s">
        <v>120</v>
      </c>
      <c r="AA515" s="10" t="s">
        <v>166</v>
      </c>
      <c r="AB515" s="10" t="s">
        <v>127</v>
      </c>
      <c r="AC515" s="13"/>
      <c r="AD515" s="10" t="s">
        <v>526</v>
      </c>
      <c r="AE515" s="10" t="s">
        <v>51</v>
      </c>
      <c r="AF515" s="10"/>
      <c r="AG515" s="13"/>
    </row>
    <row r="516" ht="15" customHeight="1">
      <c r="A516" s="10" t="s">
        <v>2104</v>
      </c>
      <c r="B516" s="13"/>
      <c r="C516" s="13"/>
      <c r="D516" s="10" t="s">
        <v>2106</v>
      </c>
      <c r="E516" s="5" t="str">
        <f t="shared" si="86"/>
        <v>Smaers</v>
      </c>
      <c r="F516" s="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5" t="str">
        <f t="shared" si="87"/>
        <v>2011</v>
      </c>
      <c r="H516" s="5" t="str">
        <f t="shared" si="88"/>
        <v>Smaers_etal_2011</v>
      </c>
      <c r="I516" s="5" t="str">
        <f t="shared" si="85"/>
        <v>10.1159%2F000323671</v>
      </c>
      <c r="J516" s="5" t="str">
        <f t="shared" si="89"/>
        <v>Smaers_etal_2011_SupplementaryTable2</v>
      </c>
      <c r="K516" s="5" t="str">
        <f t="shared" si="83"/>
        <v>10.1159%2F000323671_SupplementaryTable2</v>
      </c>
      <c r="L516" s="5" t="str">
        <f t="array" ref="L516">IFERROR(INDEX(AUTO_Public_TSV_FileList!$A$1:$A$1000,MATCH(TRUE(),EXACT(K516,IFERROR(_xlfn.TEXTBEFORE(AUTO_Public_TSV_FileList!$A$1:$A$1000,".tsv"),"")),0)),"notfound")</f>
        <v>10.1159%2F000323671_SupplementaryTable2.tsv</v>
      </c>
      <c r="M516" s="13"/>
      <c r="N516" s="10" t="s">
        <v>35</v>
      </c>
      <c r="O516" s="13"/>
      <c r="P516" s="13" t="s">
        <v>36</v>
      </c>
      <c r="Q516" s="13"/>
      <c r="R516" s="13"/>
      <c r="S516" s="13"/>
      <c r="T516" s="13"/>
      <c r="U516" s="13"/>
      <c r="V516" s="13"/>
      <c r="W516" s="10" t="s">
        <v>137</v>
      </c>
      <c r="X516" s="10" t="s">
        <v>2105</v>
      </c>
      <c r="Y516" s="13"/>
      <c r="Z516" s="10" t="s">
        <v>120</v>
      </c>
      <c r="AA516" s="10" t="s">
        <v>166</v>
      </c>
      <c r="AB516" s="10" t="s">
        <v>127</v>
      </c>
      <c r="AC516" s="13"/>
      <c r="AD516" s="10" t="s">
        <v>526</v>
      </c>
      <c r="AE516" s="10" t="s">
        <v>51</v>
      </c>
      <c r="AF516" s="10"/>
      <c r="AG516" s="13"/>
    </row>
    <row r="517" ht="15" customHeight="1">
      <c r="A517" s="10" t="s">
        <v>2107</v>
      </c>
      <c r="B517" s="13"/>
      <c r="C517" s="10"/>
      <c r="D517" s="10" t="s">
        <v>2108</v>
      </c>
      <c r="E517" s="5" t="str">
        <f t="shared" si="86"/>
        <v>Smaers</v>
      </c>
      <c r="F517" s="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5" t="str">
        <f t="shared" si="87"/>
        <v>2018</v>
      </c>
      <c r="H517" s="5" t="str">
        <f t="shared" si="88"/>
        <v>Smaers_etal_2018</v>
      </c>
      <c r="I517" s="5" t="str">
        <f t="shared" si="85"/>
        <v>10.7554%2FeLife.35696</v>
      </c>
      <c r="J517" s="5" t="str">
        <f t="shared" si="89"/>
        <v>Smaers_etal_2018_Figure2-data1</v>
      </c>
      <c r="K517" s="5" t="str">
        <f t="shared" si="83"/>
        <v>10.7554%2FeLife.35696_Figure2-data1</v>
      </c>
      <c r="L517" s="5" t="str">
        <f t="array" ref="L517">IFERROR(INDEX(AUTO_Public_TSV_FileList!$A$1:$A$1000,MATCH(TRUE(),EXACT(K517,IFERROR(_xlfn.TEXTBEFORE(AUTO_Public_TSV_FileList!$A$1:$A$1000,".tsv"),"")),0)),"notfound")</f>
        <v>10.7554%2FeLife.35696_Figure2-data1.tsv</v>
      </c>
      <c r="M517" s="10" t="s">
        <v>2109</v>
      </c>
      <c r="N517" s="13"/>
      <c r="O517" s="13"/>
      <c r="P517" s="13" t="s">
        <v>36</v>
      </c>
      <c r="Q517" s="13"/>
      <c r="R517" s="13"/>
      <c r="S517" s="13"/>
      <c r="T517" s="13"/>
      <c r="U517" s="13"/>
      <c r="V517" s="13"/>
      <c r="W517" s="10" t="s">
        <v>174</v>
      </c>
      <c r="X517" s="10" t="s">
        <v>2110</v>
      </c>
      <c r="Y517" s="13"/>
      <c r="Z517" s="10" t="s">
        <v>120</v>
      </c>
      <c r="AA517" s="10" t="s">
        <v>166</v>
      </c>
      <c r="AB517" s="10" t="s">
        <v>127</v>
      </c>
      <c r="AC517" s="13"/>
      <c r="AD517" s="10" t="s">
        <v>526</v>
      </c>
      <c r="AE517" s="10" t="s">
        <v>51</v>
      </c>
      <c r="AF517" s="10"/>
      <c r="AG517" s="13"/>
    </row>
    <row r="518" ht="15" customHeight="1">
      <c r="A518" s="10" t="s">
        <v>2111</v>
      </c>
      <c r="B518" s="13"/>
      <c r="C518" s="10"/>
      <c r="D518" s="10" t="s">
        <v>68</v>
      </c>
      <c r="E518" s="5" t="str">
        <f t="shared" si="86"/>
        <v>Stephan</v>
      </c>
      <c r="F518" s="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8" s="5" t="str">
        <f t="shared" si="87"/>
        <v>1970</v>
      </c>
      <c r="H518" s="5" t="str">
        <f t="shared" si="88"/>
        <v>Stephan_Pirlot_1970</v>
      </c>
      <c r="I518" s="5" t="str">
        <f t="shared" si="85"/>
        <v>10.1111%2Fj.1439-0469.1970.tb00876.x</v>
      </c>
      <c r="J518" s="5" t="str">
        <f t="shared" si="89"/>
        <v>Stephan_Pirlot_1970_Table1</v>
      </c>
      <c r="K518" s="5" t="str">
        <f t="shared" si="83"/>
        <v>10.1111%2Fj.1439-0469.1970.tb00876.x_Table1</v>
      </c>
      <c r="L518" s="5" t="str">
        <f t="array" ref="L518">IFERROR(INDEX(AUTO_Public_TSV_FileList!$A$1:$A$1000,MATCH(TRUE(),EXACT(K518,IFERROR(_xlfn.TEXTBEFORE(AUTO_Public_TSV_FileList!$A$1:$A$1000,".tsv"),"")),0)),"notfound")</f>
        <v>10.1111%2Fj.1439-0469.1970.tb00876.x_Table1.tsv</v>
      </c>
      <c r="M518" s="2" t="s">
        <v>2112</v>
      </c>
      <c r="N518" s="10" t="s">
        <v>35</v>
      </c>
      <c r="O518" s="13"/>
      <c r="P518" s="2"/>
      <c r="Q518" s="2"/>
      <c r="R518" s="2" t="s">
        <v>2113</v>
      </c>
      <c r="S518" s="2" t="s">
        <v>2114</v>
      </c>
      <c r="T518" s="2" t="s">
        <v>2115</v>
      </c>
      <c r="U518" s="2"/>
      <c r="V518" s="13"/>
      <c r="W518" s="2" t="s">
        <v>174</v>
      </c>
      <c r="X518" s="2" t="s">
        <v>2116</v>
      </c>
      <c r="Y518" s="2" t="s">
        <v>2117</v>
      </c>
      <c r="Z518" s="2" t="s">
        <v>120</v>
      </c>
      <c r="AA518" s="2" t="s">
        <v>2118</v>
      </c>
      <c r="AB518" s="2" t="s">
        <v>127</v>
      </c>
      <c r="AC518" s="2" t="s">
        <v>155</v>
      </c>
      <c r="AD518" s="2" t="s">
        <v>155</v>
      </c>
      <c r="AE518" s="2" t="s">
        <v>66</v>
      </c>
      <c r="AF518" s="2"/>
      <c r="AG518" s="2" t="s">
        <v>2119</v>
      </c>
    </row>
    <row r="519" ht="15" customHeight="1">
      <c r="A519" s="10" t="s">
        <v>2120</v>
      </c>
      <c r="B519" s="13"/>
      <c r="C519" s="10" t="s">
        <v>2121</v>
      </c>
      <c r="D519" s="10" t="s">
        <v>68</v>
      </c>
      <c r="E519" s="5" t="str">
        <f t="shared" si="86"/>
        <v>Stephan</v>
      </c>
      <c r="F519" s="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5" t="str">
        <f t="shared" si="87"/>
        <v>1982</v>
      </c>
      <c r="H519" s="5" t="str">
        <f t="shared" si="88"/>
        <v>Stephan_etal_1982</v>
      </c>
      <c r="I519" s="5" t="str">
        <f t="shared" si="85"/>
        <v>PMID%3A7161483</v>
      </c>
      <c r="J519" s="5" t="str">
        <f t="shared" si="89"/>
        <v>Stephan_etal_1982_Table1</v>
      </c>
      <c r="K519" s="5" t="str">
        <f t="shared" ref="K519:K550" si="90">I519 &amp; "_" &amp; SUBSTITUTE(SUBSTITUTE(SUBSTITUTE(D519,CHAR(160),"")," ",""),"_","")</f>
        <v>PMID%3A7161483_Table1</v>
      </c>
      <c r="L519" s="5" t="str">
        <f t="array" ref="L519">IFERROR(INDEX(AUTO_Public_TSV_FileList!$A$1:$A$1000,MATCH(TRUE(),EXACT(K519,IFERROR(_xlfn.TEXTBEFORE(AUTO_Public_TSV_FileList!$A$1:$A$1000,".tsv"),"")),0)),"notfound")</f>
        <v>PMID%3A7161483_Table1.tsv</v>
      </c>
      <c r="M519" s="10" t="s">
        <v>2122</v>
      </c>
      <c r="N519" s="10" t="s">
        <v>35</v>
      </c>
      <c r="O519" s="13"/>
      <c r="P519" s="10" t="s">
        <v>36</v>
      </c>
      <c r="Q519" s="13"/>
      <c r="R519" s="13"/>
      <c r="S519" s="13"/>
      <c r="T519" s="13"/>
      <c r="U519" s="13"/>
      <c r="V519" s="13"/>
      <c r="W519" s="10" t="s">
        <v>153</v>
      </c>
      <c r="X519" s="10" t="s">
        <v>208</v>
      </c>
      <c r="Y519" s="13"/>
      <c r="Z519" s="10" t="s">
        <v>120</v>
      </c>
      <c r="AA519" s="10" t="s">
        <v>166</v>
      </c>
      <c r="AB519" s="10" t="s">
        <v>127</v>
      </c>
      <c r="AC519" s="10" t="s">
        <v>155</v>
      </c>
      <c r="AD519" s="10" t="s">
        <v>155</v>
      </c>
      <c r="AE519" s="10" t="s">
        <v>66</v>
      </c>
      <c r="AF519" s="10"/>
      <c r="AG519" s="13"/>
    </row>
    <row r="520" ht="15" customHeight="1">
      <c r="A520" s="10" t="s">
        <v>2123</v>
      </c>
      <c r="B520" s="13"/>
      <c r="C520" s="10" t="s">
        <v>2124</v>
      </c>
      <c r="D520" s="10" t="s">
        <v>58</v>
      </c>
      <c r="E520" s="5" t="str">
        <f t="shared" si="86"/>
        <v>Stephan</v>
      </c>
      <c r="F520" s="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5" t="str">
        <f t="shared" si="87"/>
        <v>1988</v>
      </c>
      <c r="H520" s="5" t="str">
        <f t="shared" si="88"/>
        <v>Stephan_etal_1988</v>
      </c>
      <c r="I520" s="5" t="str">
        <f t="shared" si="85"/>
        <v>ISBN%3A0845140000</v>
      </c>
      <c r="J520" s="5" t="str">
        <f t="shared" si="89"/>
        <v>Stephan_etal_1988_TABLE1</v>
      </c>
      <c r="K520" s="5" t="str">
        <f t="shared" si="90"/>
        <v>ISBN%3A0845140000_TABLE1</v>
      </c>
      <c r="L520" s="5" t="str">
        <f t="array" ref="L520">IFERROR(INDEX(AUTO_Public_TSV_FileList!$A$1:$A$1000,MATCH(TRUE(),EXACT(K520,IFERROR(_xlfn.TEXTBEFORE(AUTO_Public_TSV_FileList!$A$1:$A$1000,".tsv"),"")),0)),"notfound")</f>
        <v>ISBN%3A0845140000_TABLE1.tsv</v>
      </c>
      <c r="M520" s="10" t="s">
        <v>2125</v>
      </c>
      <c r="N520" s="13"/>
      <c r="O520" s="13"/>
      <c r="P520" s="13" t="s">
        <v>36</v>
      </c>
      <c r="Q520" s="13"/>
      <c r="R520" s="13"/>
      <c r="S520" s="13"/>
      <c r="T520" s="13"/>
      <c r="U520" s="13"/>
      <c r="V520" s="13"/>
      <c r="W520" s="13"/>
      <c r="X520" s="13"/>
      <c r="Y520" s="13"/>
      <c r="Z520" s="13"/>
      <c r="AA520" s="13"/>
      <c r="AB520" s="13"/>
      <c r="AC520" s="13"/>
      <c r="AD520" s="13"/>
      <c r="AE520" s="13"/>
      <c r="AF520" s="13"/>
      <c r="AG520" s="13"/>
    </row>
    <row r="521" ht="15" customHeight="1">
      <c r="A521" s="10" t="s">
        <v>2126</v>
      </c>
      <c r="B521" s="13"/>
      <c r="C521" s="10"/>
      <c r="D521" s="10" t="s">
        <v>169</v>
      </c>
      <c r="E521" s="5" t="str">
        <f t="shared" si="86"/>
        <v>Stephan</v>
      </c>
      <c r="F521" s="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5" t="str">
        <f t="shared" si="87"/>
        <v>1991</v>
      </c>
      <c r="H521" s="5" t="str">
        <f t="shared" si="88"/>
        <v>Stephan_etal_1991</v>
      </c>
      <c r="I521" s="5" t="str">
        <f t="shared" si="85"/>
        <v>10.1007%2F978-1-4613-9124-1</v>
      </c>
      <c r="J521" s="5" t="str">
        <f t="shared" si="89"/>
        <v>Stephan_etal_1991_Table10</v>
      </c>
      <c r="K521" s="5" t="str">
        <f t="shared" si="90"/>
        <v>10.1007%2F978-1-4613-9124-1_Table10</v>
      </c>
      <c r="L521" s="5" t="str">
        <f t="array" ref="L521">IFERROR(INDEX(AUTO_Public_TSV_FileList!$A$1:$A$1000,MATCH(TRUE(),EXACT(K521,IFERROR(_xlfn.TEXTBEFORE(AUTO_Public_TSV_FileList!$A$1:$A$1000,".tsv"),"")),0)),"notfound")</f>
        <v>10.1007%2F978-1-4613-9124-1_Table10.tsv</v>
      </c>
      <c r="M521" s="10" t="s">
        <v>2127</v>
      </c>
      <c r="N521" s="13"/>
      <c r="O521" s="13"/>
      <c r="P521" s="13"/>
      <c r="Q521" s="13"/>
      <c r="R521" s="13"/>
      <c r="S521" s="13"/>
      <c r="T521" s="13"/>
      <c r="U521" s="13"/>
      <c r="V521" s="13"/>
      <c r="W521" s="10"/>
      <c r="X521" s="10"/>
      <c r="Y521" s="13"/>
      <c r="Z521" s="10"/>
      <c r="AA521" s="10"/>
      <c r="AB521" s="10"/>
      <c r="AC521" s="13"/>
      <c r="AD521" s="10"/>
      <c r="AE521" s="10"/>
      <c r="AF521" s="10"/>
      <c r="AG521" s="13"/>
    </row>
    <row r="522" ht="15" customHeight="1">
      <c r="A522" s="10" t="s">
        <v>2126</v>
      </c>
      <c r="B522" s="13"/>
      <c r="C522" s="10"/>
      <c r="D522" s="10" t="s">
        <v>170</v>
      </c>
      <c r="E522" s="5" t="str">
        <f t="shared" si="86"/>
        <v>Stephan</v>
      </c>
      <c r="F522" s="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5" t="str">
        <f t="shared" si="87"/>
        <v>1991</v>
      </c>
      <c r="H522" s="5" t="str">
        <f t="shared" si="88"/>
        <v>Stephan_etal_1991</v>
      </c>
      <c r="I522" s="5" t="str">
        <f t="shared" si="85"/>
        <v>10.1007%2F978-1-4613-9124-1</v>
      </c>
      <c r="J522" s="5" t="str">
        <f t="shared" si="89"/>
        <v>Stephan_etal_1991_Table13</v>
      </c>
      <c r="K522" s="5" t="str">
        <f t="shared" si="90"/>
        <v>10.1007%2F978-1-4613-9124-1_Table13</v>
      </c>
      <c r="L522" s="5" t="str">
        <f t="array" ref="L522">IFERROR(INDEX(AUTO_Public_TSV_FileList!$A$1:$A$1000,MATCH(TRUE(),EXACT(K522,IFERROR(_xlfn.TEXTBEFORE(AUTO_Public_TSV_FileList!$A$1:$A$1000,".tsv"),"")),0)),"notfound")</f>
        <v>10.1007%2F978-1-4613-9124-1_Table13.tsv</v>
      </c>
      <c r="M522" s="10" t="s">
        <v>2128</v>
      </c>
      <c r="N522" s="13"/>
      <c r="O522" s="13"/>
      <c r="P522" s="13"/>
      <c r="Q522" s="13"/>
      <c r="R522" s="13"/>
      <c r="S522" s="13"/>
      <c r="T522" s="13"/>
      <c r="U522" s="13"/>
      <c r="V522" s="13"/>
      <c r="W522" s="10"/>
      <c r="X522" s="10"/>
      <c r="Y522" s="13"/>
      <c r="Z522" s="10"/>
      <c r="AA522" s="10"/>
      <c r="AB522" s="10"/>
      <c r="AC522" s="13"/>
      <c r="AD522" s="10"/>
      <c r="AE522" s="10"/>
      <c r="AF522" s="10"/>
      <c r="AG522" s="13"/>
    </row>
    <row r="523" ht="15" customHeight="1">
      <c r="A523" s="10" t="s">
        <v>2126</v>
      </c>
      <c r="B523" s="13"/>
      <c r="C523" s="10"/>
      <c r="D523" s="10" t="s">
        <v>177</v>
      </c>
      <c r="E523" s="5" t="str">
        <f t="shared" si="86"/>
        <v>Stephan</v>
      </c>
      <c r="F523" s="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5" t="str">
        <f t="shared" si="87"/>
        <v>1991</v>
      </c>
      <c r="H523" s="5" t="str">
        <f t="shared" si="88"/>
        <v>Stephan_etal_1991</v>
      </c>
      <c r="I523" s="5" t="str">
        <f t="shared" si="85"/>
        <v>10.1007%2F978-1-4613-9124-1</v>
      </c>
      <c r="J523" s="5" t="str">
        <f t="shared" si="89"/>
        <v>Stephan_etal_1991_Table16</v>
      </c>
      <c r="K523" s="5" t="str">
        <f t="shared" si="90"/>
        <v>10.1007%2F978-1-4613-9124-1_Table16</v>
      </c>
      <c r="L523" s="5" t="str">
        <f t="array" ref="L523">IFERROR(INDEX(AUTO_Public_TSV_FileList!$A$1:$A$1000,MATCH(TRUE(),EXACT(K523,IFERROR(_xlfn.TEXTBEFORE(AUTO_Public_TSV_FileList!$A$1:$A$1000,".tsv"),"")),0)),"notfound")</f>
        <v>10.1007%2F978-1-4613-9124-1_Table16.tsv</v>
      </c>
      <c r="M523" s="10" t="s">
        <v>2129</v>
      </c>
      <c r="N523" s="13"/>
      <c r="O523" s="13"/>
      <c r="P523" s="13"/>
      <c r="Q523" s="13"/>
      <c r="R523" s="13"/>
      <c r="S523" s="13"/>
      <c r="T523" s="13"/>
      <c r="U523" s="13"/>
      <c r="V523" s="13"/>
      <c r="W523" s="10"/>
      <c r="X523" s="10"/>
      <c r="Y523" s="13"/>
      <c r="Z523" s="10"/>
      <c r="AA523" s="10"/>
      <c r="AB523" s="10"/>
      <c r="AC523" s="13"/>
      <c r="AD523" s="10"/>
      <c r="AE523" s="10"/>
      <c r="AF523" s="10"/>
      <c r="AG523" s="13"/>
    </row>
    <row r="524" ht="15" customHeight="1">
      <c r="A524" s="10" t="s">
        <v>2126</v>
      </c>
      <c r="B524" s="13"/>
      <c r="C524" s="10"/>
      <c r="D524" s="10" t="s">
        <v>181</v>
      </c>
      <c r="E524" s="5" t="str">
        <f t="shared" si="86"/>
        <v>Stephan</v>
      </c>
      <c r="F524" s="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5" t="str">
        <f t="shared" si="87"/>
        <v>1991</v>
      </c>
      <c r="H524" s="5" t="str">
        <f t="shared" si="88"/>
        <v>Stephan_etal_1991</v>
      </c>
      <c r="I524" s="5" t="str">
        <f t="shared" si="85"/>
        <v>10.1007%2F978-1-4613-9124-1</v>
      </c>
      <c r="J524" s="5" t="str">
        <f t="shared" si="89"/>
        <v>Stephan_etal_1991_Table19</v>
      </c>
      <c r="K524" s="5" t="str">
        <f t="shared" si="90"/>
        <v>10.1007%2F978-1-4613-9124-1_Table19</v>
      </c>
      <c r="L524" s="5" t="str">
        <f t="array" ref="L524">IFERROR(INDEX(AUTO_Public_TSV_FileList!$A$1:$A$1000,MATCH(TRUE(),EXACT(K524,IFERROR(_xlfn.TEXTBEFORE(AUTO_Public_TSV_FileList!$A$1:$A$1000,".tsv"),"")),0)),"notfound")</f>
        <v>10.1007%2F978-1-4613-9124-1_Table19.tsv</v>
      </c>
      <c r="M524" s="10" t="s">
        <v>2130</v>
      </c>
      <c r="N524" s="13"/>
      <c r="O524" s="13"/>
      <c r="P524" s="13"/>
      <c r="Q524" s="13"/>
      <c r="R524" s="13"/>
      <c r="S524" s="13"/>
      <c r="T524" s="13"/>
      <c r="U524" s="13"/>
      <c r="V524" s="13"/>
      <c r="W524" s="10"/>
      <c r="X524" s="10"/>
      <c r="Y524" s="13"/>
      <c r="Z524" s="10"/>
      <c r="AA524" s="10"/>
      <c r="AB524" s="10"/>
      <c r="AC524" s="13"/>
      <c r="AD524" s="10"/>
      <c r="AE524" s="10"/>
      <c r="AF524" s="10"/>
      <c r="AG524" s="13"/>
    </row>
    <row r="525" ht="15" customHeight="1">
      <c r="A525" s="10" t="s">
        <v>2126</v>
      </c>
      <c r="B525" s="13"/>
      <c r="C525" s="10"/>
      <c r="D525" s="10" t="s">
        <v>108</v>
      </c>
      <c r="E525" s="5" t="str">
        <f t="shared" si="86"/>
        <v>Stephan</v>
      </c>
      <c r="F525" s="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5" t="str">
        <f t="shared" si="87"/>
        <v>1991</v>
      </c>
      <c r="H525" s="5" t="str">
        <f t="shared" si="88"/>
        <v>Stephan_etal_1991</v>
      </c>
      <c r="I525" s="5" t="str">
        <f t="shared" si="85"/>
        <v>10.1007%2F978-1-4613-9124-1</v>
      </c>
      <c r="J525" s="5" t="str">
        <f t="shared" si="89"/>
        <v>Stephan_etal_1991_Table2</v>
      </c>
      <c r="K525" s="5" t="str">
        <f t="shared" si="90"/>
        <v>10.1007%2F978-1-4613-9124-1_Table2</v>
      </c>
      <c r="L525" s="5" t="str">
        <f t="array" ref="L525">IFERROR(INDEX(AUTO_Public_TSV_FileList!$A$1:$A$1000,MATCH(TRUE(),EXACT(K525,IFERROR(_xlfn.TEXTBEFORE(AUTO_Public_TSV_FileList!$A$1:$A$1000,".tsv"),"")),0)),"notfound")</f>
        <v>10.1007%2F978-1-4613-9124-1_Table2.tsv</v>
      </c>
      <c r="M525" s="10" t="s">
        <v>2131</v>
      </c>
      <c r="N525" s="13"/>
      <c r="O525" s="13"/>
      <c r="P525" s="13"/>
      <c r="Q525" s="13"/>
      <c r="R525" s="13"/>
      <c r="S525" s="13"/>
      <c r="T525" s="13"/>
      <c r="U525" s="13"/>
      <c r="V525" s="13"/>
      <c r="W525" s="10"/>
      <c r="X525" s="10"/>
      <c r="Y525" s="13"/>
      <c r="Z525" s="10"/>
      <c r="AA525" s="10"/>
      <c r="AB525" s="10"/>
      <c r="AC525" s="13"/>
      <c r="AD525" s="10"/>
      <c r="AE525" s="10"/>
      <c r="AF525" s="10"/>
      <c r="AG525" s="13"/>
    </row>
    <row r="526" ht="15" customHeight="1">
      <c r="A526" s="10" t="s">
        <v>2126</v>
      </c>
      <c r="B526" s="13"/>
      <c r="C526" s="10"/>
      <c r="D526" s="10" t="s">
        <v>189</v>
      </c>
      <c r="E526" s="5" t="str">
        <f t="shared" si="86"/>
        <v>Stephan</v>
      </c>
      <c r="F526" s="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5" t="str">
        <f t="shared" si="87"/>
        <v>1991</v>
      </c>
      <c r="H526" s="5" t="str">
        <f t="shared" si="88"/>
        <v>Stephan_etal_1991</v>
      </c>
      <c r="I526" s="5" t="str">
        <f t="shared" si="85"/>
        <v>10.1007%2F978-1-4613-9124-1</v>
      </c>
      <c r="J526" s="5" t="str">
        <f t="shared" si="89"/>
        <v>Stephan_etal_1991_Table22</v>
      </c>
      <c r="K526" s="5" t="str">
        <f t="shared" si="90"/>
        <v>10.1007%2F978-1-4613-9124-1_Table22</v>
      </c>
      <c r="L526" s="5" t="str">
        <f t="array" ref="L526">IFERROR(INDEX(AUTO_Public_TSV_FileList!$A$1:$A$1000,MATCH(TRUE(),EXACT(K526,IFERROR(_xlfn.TEXTBEFORE(AUTO_Public_TSV_FileList!$A$1:$A$1000,".tsv"),"")),0)),"notfound")</f>
        <v>10.1007%2F978-1-4613-9124-1_Table22.tsv</v>
      </c>
      <c r="M526" s="10" t="s">
        <v>2132</v>
      </c>
      <c r="N526" s="13"/>
      <c r="O526" s="13"/>
      <c r="P526" s="13"/>
      <c r="Q526" s="13"/>
      <c r="R526" s="13"/>
      <c r="S526" s="13"/>
      <c r="T526" s="13"/>
      <c r="U526" s="13"/>
      <c r="V526" s="13"/>
      <c r="W526" s="10"/>
      <c r="X526" s="10"/>
      <c r="Y526" s="13"/>
      <c r="Z526" s="10"/>
      <c r="AA526" s="10"/>
      <c r="AB526" s="10"/>
      <c r="AC526" s="13"/>
      <c r="AD526" s="10"/>
      <c r="AE526" s="10"/>
      <c r="AF526" s="10"/>
      <c r="AG526" s="13"/>
    </row>
    <row r="527" ht="15" customHeight="1">
      <c r="A527" s="10" t="s">
        <v>2126</v>
      </c>
      <c r="B527" s="13"/>
      <c r="C527" s="10"/>
      <c r="D527" s="10" t="s">
        <v>193</v>
      </c>
      <c r="E527" s="5" t="str">
        <f t="shared" si="86"/>
        <v>Stephan</v>
      </c>
      <c r="F527" s="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5" t="str">
        <f t="shared" si="87"/>
        <v>1991</v>
      </c>
      <c r="H527" s="5" t="str">
        <f t="shared" si="88"/>
        <v>Stephan_etal_1991</v>
      </c>
      <c r="I527" s="5" t="str">
        <f t="shared" si="85"/>
        <v>10.1007%2F978-1-4613-9124-1</v>
      </c>
      <c r="J527" s="5" t="str">
        <f t="shared" si="89"/>
        <v>Stephan_etal_1991_Table25</v>
      </c>
      <c r="K527" s="5" t="str">
        <f t="shared" si="90"/>
        <v>10.1007%2F978-1-4613-9124-1_Table25</v>
      </c>
      <c r="L527" s="5" t="str">
        <f t="array" ref="L527">IFERROR(INDEX(AUTO_Public_TSV_FileList!$A$1:$A$1000,MATCH(TRUE(),EXACT(K527,IFERROR(_xlfn.TEXTBEFORE(AUTO_Public_TSV_FileList!$A$1:$A$1000,".tsv"),"")),0)),"notfound")</f>
        <v>10.1007%2F978-1-4613-9124-1_Table25.tsv</v>
      </c>
      <c r="M527" s="10" t="s">
        <v>2133</v>
      </c>
      <c r="N527" s="13"/>
      <c r="O527" s="13"/>
      <c r="P527" s="13"/>
      <c r="Q527" s="13"/>
      <c r="R527" s="13"/>
      <c r="S527" s="13"/>
      <c r="T527" s="13"/>
      <c r="U527" s="13"/>
      <c r="V527" s="13"/>
      <c r="W527" s="10"/>
      <c r="X527" s="10"/>
      <c r="Y527" s="13"/>
      <c r="Z527" s="10"/>
      <c r="AA527" s="10"/>
      <c r="AB527" s="10"/>
      <c r="AC527" s="13"/>
      <c r="AD527" s="10"/>
      <c r="AE527" s="10"/>
      <c r="AF527" s="10"/>
      <c r="AG527" s="13"/>
    </row>
    <row r="528" ht="15" customHeight="1">
      <c r="A528" s="10" t="s">
        <v>2126</v>
      </c>
      <c r="B528" s="13"/>
      <c r="C528" s="10"/>
      <c r="D528" s="10" t="s">
        <v>197</v>
      </c>
      <c r="E528" s="5" t="str">
        <f t="shared" si="86"/>
        <v>Stephan</v>
      </c>
      <c r="F528" s="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5" t="str">
        <f t="shared" si="87"/>
        <v>1991</v>
      </c>
      <c r="H528" s="5" t="str">
        <f t="shared" si="88"/>
        <v>Stephan_etal_1991</v>
      </c>
      <c r="I528" s="5" t="str">
        <f t="shared" si="85"/>
        <v>10.1007%2F978-1-4613-9124-1</v>
      </c>
      <c r="J528" s="5" t="str">
        <f t="shared" si="89"/>
        <v>Stephan_etal_1991_Table28</v>
      </c>
      <c r="K528" s="5" t="str">
        <f t="shared" si="90"/>
        <v>10.1007%2F978-1-4613-9124-1_Table28</v>
      </c>
      <c r="L528" s="5" t="str">
        <f t="array" ref="L528">IFERROR(INDEX(AUTO_Public_TSV_FileList!$A$1:$A$1000,MATCH(TRUE(),EXACT(K528,IFERROR(_xlfn.TEXTBEFORE(AUTO_Public_TSV_FileList!$A$1:$A$1000,".tsv"),"")),0)),"notfound")</f>
        <v>10.1007%2F978-1-4613-9124-1_Table28.tsv</v>
      </c>
      <c r="M528" s="10" t="s">
        <v>2134</v>
      </c>
      <c r="N528" s="13"/>
      <c r="O528" s="13"/>
      <c r="P528" s="13"/>
      <c r="Q528" s="13"/>
      <c r="R528" s="13"/>
      <c r="S528" s="13"/>
      <c r="T528" s="13"/>
      <c r="U528" s="13"/>
      <c r="V528" s="13"/>
      <c r="W528" s="10"/>
      <c r="X528" s="10"/>
      <c r="Y528" s="13"/>
      <c r="Z528" s="10"/>
      <c r="AA528" s="10"/>
      <c r="AB528" s="10"/>
      <c r="AC528" s="13"/>
      <c r="AD528" s="10"/>
      <c r="AE528" s="10"/>
      <c r="AF528" s="10"/>
      <c r="AG528" s="13"/>
    </row>
    <row r="529" ht="15" customHeight="1">
      <c r="A529" s="10" t="s">
        <v>2126</v>
      </c>
      <c r="B529" s="13"/>
      <c r="C529" s="10"/>
      <c r="D529" s="10" t="s">
        <v>2135</v>
      </c>
      <c r="E529" s="5" t="str">
        <f t="shared" si="86"/>
        <v>Stephan</v>
      </c>
      <c r="F529" s="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5" t="str">
        <f t="shared" si="87"/>
        <v>1991</v>
      </c>
      <c r="H529" s="5" t="str">
        <f t="shared" si="88"/>
        <v>Stephan_etal_1991</v>
      </c>
      <c r="I529" s="5" t="str">
        <f t="shared" si="85"/>
        <v>10.1007%2F978-1-4613-9124-1</v>
      </c>
      <c r="J529" s="5" t="str">
        <f t="shared" si="89"/>
        <v>Stephan_etal_1991_Table31</v>
      </c>
      <c r="K529" s="5" t="str">
        <f t="shared" si="90"/>
        <v>10.1007%2F978-1-4613-9124-1_Table31</v>
      </c>
      <c r="L529" s="5" t="str">
        <f t="array" ref="L529">IFERROR(INDEX(AUTO_Public_TSV_FileList!$A$1:$A$1000,MATCH(TRUE(),EXACT(K529,IFERROR(_xlfn.TEXTBEFORE(AUTO_Public_TSV_FileList!$A$1:$A$1000,".tsv"),"")),0)),"notfound")</f>
        <v>10.1007%2F978-1-4613-9124-1_Table31.tsv</v>
      </c>
      <c r="M529" s="10" t="s">
        <v>2136</v>
      </c>
      <c r="N529" s="13"/>
      <c r="O529" s="13"/>
      <c r="P529" s="13"/>
      <c r="Q529" s="13"/>
      <c r="R529" s="13"/>
      <c r="S529" s="13"/>
      <c r="T529" s="13"/>
      <c r="U529" s="13"/>
      <c r="V529" s="13"/>
      <c r="W529" s="10"/>
      <c r="X529" s="10"/>
      <c r="Y529" s="13"/>
      <c r="Z529" s="10"/>
      <c r="AA529" s="10"/>
      <c r="AB529" s="10"/>
      <c r="AC529" s="13"/>
      <c r="AD529" s="10"/>
      <c r="AE529" s="10"/>
      <c r="AF529" s="10"/>
      <c r="AG529" s="13"/>
    </row>
    <row r="530" ht="15" customHeight="1">
      <c r="A530" s="10" t="s">
        <v>2126</v>
      </c>
      <c r="B530" s="13"/>
      <c r="C530" s="10"/>
      <c r="D530" s="10" t="s">
        <v>2137</v>
      </c>
      <c r="E530" s="5" t="str">
        <f t="shared" si="86"/>
        <v>Stephan</v>
      </c>
      <c r="F530" s="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5" t="str">
        <f t="shared" si="87"/>
        <v>1991</v>
      </c>
      <c r="H530" s="5" t="str">
        <f t="shared" si="88"/>
        <v>Stephan_etal_1991</v>
      </c>
      <c r="I530" s="5" t="str">
        <f t="shared" si="85"/>
        <v>10.1007%2F978-1-4613-9124-1</v>
      </c>
      <c r="J530" s="5" t="str">
        <f t="shared" si="89"/>
        <v>Stephan_etal_1991_Table34</v>
      </c>
      <c r="K530" s="5" t="str">
        <f t="shared" si="90"/>
        <v>10.1007%2F978-1-4613-9124-1_Table34</v>
      </c>
      <c r="L530" s="5" t="str">
        <f t="array" ref="L530">IFERROR(INDEX(AUTO_Public_TSV_FileList!$A$1:$A$1000,MATCH(TRUE(),EXACT(K530,IFERROR(_xlfn.TEXTBEFORE(AUTO_Public_TSV_FileList!$A$1:$A$1000,".tsv"),"")),0)),"notfound")</f>
        <v>10.1007%2F978-1-4613-9124-1_Table34.tsv</v>
      </c>
      <c r="M530" s="10" t="s">
        <v>2138</v>
      </c>
      <c r="N530" s="13"/>
      <c r="O530" s="13"/>
      <c r="P530" s="13"/>
      <c r="Q530" s="13"/>
      <c r="R530" s="13"/>
      <c r="S530" s="13"/>
      <c r="T530" s="13"/>
      <c r="U530" s="13"/>
      <c r="V530" s="13"/>
      <c r="W530" s="10"/>
      <c r="X530" s="10"/>
      <c r="Y530" s="13"/>
      <c r="Z530" s="10"/>
      <c r="AA530" s="10"/>
      <c r="AB530" s="10"/>
      <c r="AC530" s="13"/>
      <c r="AD530" s="10"/>
      <c r="AE530" s="10"/>
      <c r="AF530" s="10"/>
      <c r="AG530" s="13"/>
    </row>
    <row r="531" ht="15" customHeight="1">
      <c r="A531" s="10" t="s">
        <v>2126</v>
      </c>
      <c r="B531" s="13"/>
      <c r="C531" s="10"/>
      <c r="D531" s="10" t="s">
        <v>2139</v>
      </c>
      <c r="E531" s="5" t="str">
        <f t="shared" si="86"/>
        <v>Stephan</v>
      </c>
      <c r="F531" s="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5" t="str">
        <f t="shared" si="87"/>
        <v>1991</v>
      </c>
      <c r="H531" s="5" t="str">
        <f t="shared" si="88"/>
        <v>Stephan_etal_1991</v>
      </c>
      <c r="I531" s="5" t="str">
        <f t="shared" si="85"/>
        <v>10.1007%2F978-1-4613-9124-1</v>
      </c>
      <c r="J531" s="5" t="str">
        <f t="shared" si="89"/>
        <v>Stephan_etal_1991_Table37</v>
      </c>
      <c r="K531" s="5" t="str">
        <f t="shared" si="90"/>
        <v>10.1007%2F978-1-4613-9124-1_Table37</v>
      </c>
      <c r="L531" s="5" t="str">
        <f t="array" ref="L531">IFERROR(INDEX(AUTO_Public_TSV_FileList!$A$1:$A$1000,MATCH(TRUE(),EXACT(K531,IFERROR(_xlfn.TEXTBEFORE(AUTO_Public_TSV_FileList!$A$1:$A$1000,".tsv"),"")),0)),"notfound")</f>
        <v>10.1007%2F978-1-4613-9124-1_Table37.tsv</v>
      </c>
      <c r="M531" s="10" t="s">
        <v>2140</v>
      </c>
      <c r="N531" s="13"/>
      <c r="O531" s="13"/>
      <c r="P531" s="13"/>
      <c r="Q531" s="13"/>
      <c r="R531" s="13"/>
      <c r="S531" s="13"/>
      <c r="T531" s="13"/>
      <c r="U531" s="13"/>
      <c r="V531" s="13"/>
      <c r="W531" s="10"/>
      <c r="X531" s="10"/>
      <c r="Y531" s="13"/>
      <c r="Z531" s="10"/>
      <c r="AA531" s="10"/>
      <c r="AB531" s="10"/>
      <c r="AC531" s="13"/>
      <c r="AD531" s="10"/>
      <c r="AE531" s="10"/>
      <c r="AF531" s="10"/>
      <c r="AG531" s="13"/>
    </row>
    <row r="532" ht="15" customHeight="1">
      <c r="A532" s="10" t="s">
        <v>2126</v>
      </c>
      <c r="B532" s="13"/>
      <c r="C532" s="10"/>
      <c r="D532" s="10" t="s">
        <v>2141</v>
      </c>
      <c r="E532" s="5" t="str">
        <f t="shared" si="86"/>
        <v>Stephan</v>
      </c>
      <c r="F532" s="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5" t="str">
        <f t="shared" si="87"/>
        <v>1991</v>
      </c>
      <c r="H532" s="5" t="str">
        <f t="shared" si="88"/>
        <v>Stephan_etal_1991</v>
      </c>
      <c r="I532" s="5" t="str">
        <f t="shared" si="85"/>
        <v>10.1007%2F978-1-4613-9124-1</v>
      </c>
      <c r="J532" s="5" t="str">
        <f t="shared" si="89"/>
        <v>Stephan_etal_1991_Table40</v>
      </c>
      <c r="K532" s="5" t="str">
        <f t="shared" si="90"/>
        <v>10.1007%2F978-1-4613-9124-1_Table40</v>
      </c>
      <c r="L532" s="5" t="str">
        <f t="array" ref="L532">IFERROR(INDEX(AUTO_Public_TSV_FileList!$A$1:$A$1000,MATCH(TRUE(),EXACT(K532,IFERROR(_xlfn.TEXTBEFORE(AUTO_Public_TSV_FileList!$A$1:$A$1000,".tsv"),"")),0)),"notfound")</f>
        <v>10.1007%2F978-1-4613-9124-1_Table40.tsv</v>
      </c>
      <c r="M532" s="10" t="s">
        <v>2142</v>
      </c>
      <c r="N532" s="13"/>
      <c r="O532" s="13"/>
      <c r="P532" s="13"/>
      <c r="Q532" s="13"/>
      <c r="R532" s="13"/>
      <c r="S532" s="13"/>
      <c r="T532" s="13"/>
      <c r="U532" s="13"/>
      <c r="V532" s="13"/>
      <c r="W532" s="10"/>
      <c r="X532" s="10"/>
      <c r="Y532" s="13"/>
      <c r="Z532" s="10"/>
      <c r="AA532" s="10"/>
      <c r="AB532" s="10"/>
      <c r="AC532" s="13"/>
      <c r="AD532" s="10"/>
      <c r="AE532" s="10"/>
      <c r="AF532" s="10"/>
      <c r="AG532" s="13"/>
    </row>
    <row r="533" ht="15" customHeight="1">
      <c r="A533" s="10" t="s">
        <v>2126</v>
      </c>
      <c r="B533" s="13"/>
      <c r="C533" s="10"/>
      <c r="D533" s="10" t="s">
        <v>2143</v>
      </c>
      <c r="E533" s="5" t="str">
        <f t="shared" si="86"/>
        <v>Stephan</v>
      </c>
      <c r="F533" s="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5" t="str">
        <f t="shared" si="87"/>
        <v>1991</v>
      </c>
      <c r="H533" s="5" t="str">
        <f t="shared" si="88"/>
        <v>Stephan_etal_1991</v>
      </c>
      <c r="I533" s="5" t="str">
        <f t="shared" si="85"/>
        <v>10.1007%2F978-1-4613-9124-1</v>
      </c>
      <c r="J533" s="5" t="str">
        <f t="shared" si="89"/>
        <v>Stephan_etal_1991_Table43</v>
      </c>
      <c r="K533" s="5" t="str">
        <f t="shared" si="90"/>
        <v>10.1007%2F978-1-4613-9124-1_Table43</v>
      </c>
      <c r="L533" s="5" t="str">
        <f t="array" ref="L533">IFERROR(INDEX(AUTO_Public_TSV_FileList!$A$1:$A$1000,MATCH(TRUE(),EXACT(K533,IFERROR(_xlfn.TEXTBEFORE(AUTO_Public_TSV_FileList!$A$1:$A$1000,".tsv"),"")),0)),"notfound")</f>
        <v>10.1007%2F978-1-4613-9124-1_Table43.tsv</v>
      </c>
      <c r="M533" s="10" t="s">
        <v>2144</v>
      </c>
      <c r="N533" s="13"/>
      <c r="O533" s="13"/>
      <c r="P533" s="13"/>
      <c r="Q533" s="13"/>
      <c r="R533" s="13"/>
      <c r="S533" s="13"/>
      <c r="T533" s="13"/>
      <c r="U533" s="13"/>
      <c r="V533" s="13"/>
      <c r="W533" s="10"/>
      <c r="X533" s="10"/>
      <c r="Y533" s="13"/>
      <c r="Z533" s="10"/>
      <c r="AA533" s="10"/>
      <c r="AB533" s="10"/>
      <c r="AC533" s="13"/>
      <c r="AD533" s="10"/>
      <c r="AE533" s="10"/>
      <c r="AF533" s="10"/>
      <c r="AG533" s="13"/>
    </row>
    <row r="534" ht="15" customHeight="1">
      <c r="A534" s="10" t="s">
        <v>2126</v>
      </c>
      <c r="B534" s="13"/>
      <c r="C534" s="10"/>
      <c r="D534" s="10" t="s">
        <v>2145</v>
      </c>
      <c r="E534" s="5" t="str">
        <f t="shared" si="86"/>
        <v>Stephan</v>
      </c>
      <c r="F534" s="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5" t="str">
        <f t="shared" si="87"/>
        <v>1991</v>
      </c>
      <c r="H534" s="5" t="str">
        <f t="shared" si="88"/>
        <v>Stephan_etal_1991</v>
      </c>
      <c r="I534" s="5" t="str">
        <f t="shared" si="85"/>
        <v>10.1007%2F978-1-4613-9124-1</v>
      </c>
      <c r="J534" s="5" t="str">
        <f t="shared" si="89"/>
        <v>Stephan_etal_1991_Table46</v>
      </c>
      <c r="K534" s="5" t="str">
        <f t="shared" si="90"/>
        <v>10.1007%2F978-1-4613-9124-1_Table46</v>
      </c>
      <c r="L534" s="5" t="str">
        <f t="array" ref="L534">IFERROR(INDEX(AUTO_Public_TSV_FileList!$A$1:$A$1000,MATCH(TRUE(),EXACT(K534,IFERROR(_xlfn.TEXTBEFORE(AUTO_Public_TSV_FileList!$A$1:$A$1000,".tsv"),"")),0)),"notfound")</f>
        <v>10.1007%2F978-1-4613-9124-1_Table46.tsv</v>
      </c>
      <c r="M534" s="10" t="s">
        <v>2146</v>
      </c>
      <c r="N534" s="13"/>
      <c r="O534" s="13"/>
      <c r="P534" s="13"/>
      <c r="Q534" s="13"/>
      <c r="R534" s="13"/>
      <c r="S534" s="13"/>
      <c r="T534" s="13"/>
      <c r="U534" s="13"/>
      <c r="V534" s="13"/>
      <c r="W534" s="10"/>
      <c r="X534" s="10"/>
      <c r="Y534" s="13"/>
      <c r="Z534" s="10"/>
      <c r="AA534" s="10"/>
      <c r="AB534" s="10"/>
      <c r="AC534" s="13"/>
      <c r="AD534" s="10"/>
      <c r="AE534" s="10"/>
      <c r="AF534" s="10"/>
      <c r="AG534" s="13"/>
    </row>
    <row r="535" ht="15" customHeight="1">
      <c r="A535" s="10" t="s">
        <v>2126</v>
      </c>
      <c r="B535" s="13"/>
      <c r="C535" s="10"/>
      <c r="D535" s="10" t="s">
        <v>2147</v>
      </c>
      <c r="E535" s="5" t="str">
        <f t="shared" si="86"/>
        <v>Stephan</v>
      </c>
      <c r="F535" s="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5" t="str">
        <f t="shared" si="87"/>
        <v>1991</v>
      </c>
      <c r="H535" s="5" t="str">
        <f t="shared" si="88"/>
        <v>Stephan_etal_1991</v>
      </c>
      <c r="I535" s="5" t="str">
        <f t="shared" si="85"/>
        <v>10.1007%2F978-1-4613-9124-1</v>
      </c>
      <c r="J535" s="5" t="str">
        <f t="shared" si="89"/>
        <v>Stephan_etal_1991_Table49</v>
      </c>
      <c r="K535" s="5" t="str">
        <f t="shared" si="90"/>
        <v>10.1007%2F978-1-4613-9124-1_Table49</v>
      </c>
      <c r="L535" s="5" t="str">
        <f t="array" ref="L535">IFERROR(INDEX(AUTO_Public_TSV_FileList!$A$1:$A$1000,MATCH(TRUE(),EXACT(K535,IFERROR(_xlfn.TEXTBEFORE(AUTO_Public_TSV_FileList!$A$1:$A$1000,".tsv"),"")),0)),"notfound")</f>
        <v>10.1007%2F978-1-4613-9124-1_Table49.tsv</v>
      </c>
      <c r="M535" s="10" t="s">
        <v>2148</v>
      </c>
      <c r="N535" s="13"/>
      <c r="O535" s="13"/>
      <c r="P535" s="13"/>
      <c r="Q535" s="13"/>
      <c r="R535" s="13"/>
      <c r="S535" s="13"/>
      <c r="T535" s="13"/>
      <c r="U535" s="13"/>
      <c r="V535" s="13"/>
      <c r="W535" s="10"/>
      <c r="X535" s="10"/>
      <c r="Y535" s="13"/>
      <c r="Z535" s="10"/>
      <c r="AA535" s="10"/>
      <c r="AB535" s="10"/>
      <c r="AC535" s="13"/>
      <c r="AD535" s="10"/>
      <c r="AE535" s="10"/>
      <c r="AF535" s="10"/>
      <c r="AG535" s="13"/>
    </row>
    <row r="536" ht="15" customHeight="1">
      <c r="A536" s="10" t="s">
        <v>2126</v>
      </c>
      <c r="B536" s="13"/>
      <c r="C536" s="10"/>
      <c r="D536" s="10" t="s">
        <v>112</v>
      </c>
      <c r="E536" s="5" t="str">
        <f t="shared" si="86"/>
        <v>Stephan</v>
      </c>
      <c r="F536" s="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5" t="str">
        <f t="shared" si="87"/>
        <v>1991</v>
      </c>
      <c r="H536" s="5" t="str">
        <f t="shared" si="88"/>
        <v>Stephan_etal_1991</v>
      </c>
      <c r="I536" s="5" t="str">
        <f t="shared" si="85"/>
        <v>10.1007%2F978-1-4613-9124-1</v>
      </c>
      <c r="J536" s="5" t="str">
        <f t="shared" si="89"/>
        <v>Stephan_etal_1991_Table5</v>
      </c>
      <c r="K536" s="5" t="str">
        <f t="shared" si="90"/>
        <v>10.1007%2F978-1-4613-9124-1_Table5</v>
      </c>
      <c r="L536" s="5" t="str">
        <f t="array" ref="L536">IFERROR(INDEX(AUTO_Public_TSV_FileList!$A$1:$A$1000,MATCH(TRUE(),EXACT(K536,IFERROR(_xlfn.TEXTBEFORE(AUTO_Public_TSV_FileList!$A$1:$A$1000,".tsv"),"")),0)),"notfound")</f>
        <v>10.1007%2F978-1-4613-9124-1_Table5.tsv</v>
      </c>
      <c r="M536" s="10" t="s">
        <v>2149</v>
      </c>
      <c r="N536" s="13"/>
      <c r="O536" s="13"/>
      <c r="P536" s="13"/>
      <c r="Q536" s="13"/>
      <c r="R536" s="13"/>
      <c r="S536" s="13"/>
      <c r="T536" s="13"/>
      <c r="U536" s="13"/>
      <c r="V536" s="13"/>
      <c r="W536" s="10"/>
      <c r="X536" s="10"/>
      <c r="Y536" s="13"/>
      <c r="Z536" s="10"/>
      <c r="AA536" s="10"/>
      <c r="AB536" s="10"/>
      <c r="AC536" s="13"/>
      <c r="AD536" s="10"/>
      <c r="AE536" s="10"/>
      <c r="AF536" s="10"/>
      <c r="AG536" s="13"/>
    </row>
    <row r="537" ht="15" customHeight="1">
      <c r="A537" s="10" t="s">
        <v>2126</v>
      </c>
      <c r="B537" s="13"/>
      <c r="C537" s="10"/>
      <c r="D537" s="10" t="s">
        <v>2150</v>
      </c>
      <c r="E537" s="5" t="str">
        <f t="shared" si="86"/>
        <v>Stephan</v>
      </c>
      <c r="F537" s="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5" t="str">
        <f t="shared" si="87"/>
        <v>1991</v>
      </c>
      <c r="H537" s="5" t="str">
        <f t="shared" si="88"/>
        <v>Stephan_etal_1991</v>
      </c>
      <c r="I537" s="5" t="str">
        <f t="shared" si="85"/>
        <v>10.1007%2F978-1-4613-9124-1</v>
      </c>
      <c r="J537" s="5" t="str">
        <f t="shared" si="89"/>
        <v>Stephan_etal_1991_Table52</v>
      </c>
      <c r="K537" s="5" t="str">
        <f t="shared" si="90"/>
        <v>10.1007%2F978-1-4613-9124-1_Table52</v>
      </c>
      <c r="L537" s="5" t="str">
        <f t="array" ref="L537">IFERROR(INDEX(AUTO_Public_TSV_FileList!$A$1:$A$1000,MATCH(TRUE(),EXACT(K537,IFERROR(_xlfn.TEXTBEFORE(AUTO_Public_TSV_FileList!$A$1:$A$1000,".tsv"),"")),0)),"notfound")</f>
        <v>10.1007%2F978-1-4613-9124-1_Table52.tsv</v>
      </c>
      <c r="M537" s="10" t="s">
        <v>2151</v>
      </c>
      <c r="N537" s="13"/>
      <c r="O537" s="13"/>
      <c r="P537" s="13"/>
      <c r="Q537" s="13"/>
      <c r="R537" s="13"/>
      <c r="S537" s="13"/>
      <c r="T537" s="13"/>
      <c r="U537" s="13"/>
      <c r="V537" s="13"/>
      <c r="W537" s="10"/>
      <c r="X537" s="10"/>
      <c r="Y537" s="13"/>
      <c r="Z537" s="10"/>
      <c r="AA537" s="10"/>
      <c r="AB537" s="10"/>
      <c r="AC537" s="13"/>
      <c r="AD537" s="10"/>
      <c r="AE537" s="10"/>
      <c r="AF537" s="10"/>
      <c r="AG537" s="13"/>
    </row>
    <row r="538" ht="15" customHeight="1">
      <c r="A538" s="10" t="s">
        <v>2126</v>
      </c>
      <c r="B538" s="13"/>
      <c r="C538" s="10"/>
      <c r="D538" s="10" t="s">
        <v>2152</v>
      </c>
      <c r="E538" s="5" t="str">
        <f t="shared" si="86"/>
        <v>Stephan</v>
      </c>
      <c r="F538" s="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5" t="str">
        <f t="shared" si="87"/>
        <v>1991</v>
      </c>
      <c r="H538" s="5" t="str">
        <f t="shared" si="88"/>
        <v>Stephan_etal_1991</v>
      </c>
      <c r="I538" s="5" t="str">
        <f t="shared" si="85"/>
        <v>10.1007%2F978-1-4613-9124-1</v>
      </c>
      <c r="J538" s="5" t="str">
        <f t="shared" si="89"/>
        <v>Stephan_etal_1991_Table55</v>
      </c>
      <c r="K538" s="5" t="str">
        <f t="shared" si="90"/>
        <v>10.1007%2F978-1-4613-9124-1_Table55</v>
      </c>
      <c r="L538" s="5" t="str">
        <f t="array" ref="L538">IFERROR(INDEX(AUTO_Public_TSV_FileList!$A$1:$A$1000,MATCH(TRUE(),EXACT(K538,IFERROR(_xlfn.TEXTBEFORE(AUTO_Public_TSV_FileList!$A$1:$A$1000,".tsv"),"")),0)),"notfound")</f>
        <v>10.1007%2F978-1-4613-9124-1_Table55.tsv</v>
      </c>
      <c r="M538" s="10" t="s">
        <v>2153</v>
      </c>
      <c r="N538" s="13"/>
      <c r="O538" s="13"/>
      <c r="P538" s="13"/>
      <c r="Q538" s="13"/>
      <c r="R538" s="13"/>
      <c r="S538" s="13"/>
      <c r="T538" s="13"/>
      <c r="U538" s="13"/>
      <c r="V538" s="13"/>
      <c r="W538" s="10"/>
      <c r="X538" s="10"/>
      <c r="Y538" s="13"/>
      <c r="Z538" s="10"/>
      <c r="AA538" s="10"/>
      <c r="AB538" s="10"/>
      <c r="AC538" s="13"/>
      <c r="AD538" s="10"/>
      <c r="AE538" s="10"/>
      <c r="AF538" s="10"/>
      <c r="AG538" s="13"/>
    </row>
    <row r="539" ht="15" customHeight="1">
      <c r="A539" s="10" t="s">
        <v>2126</v>
      </c>
      <c r="B539" s="13"/>
      <c r="C539" s="10"/>
      <c r="D539" s="10" t="s">
        <v>2154</v>
      </c>
      <c r="E539" s="5" t="str">
        <f t="shared" si="86"/>
        <v>Stephan</v>
      </c>
      <c r="F539" s="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5" t="str">
        <f t="shared" si="87"/>
        <v>1991</v>
      </c>
      <c r="H539" s="5" t="str">
        <f t="shared" si="88"/>
        <v>Stephan_etal_1991</v>
      </c>
      <c r="I539" s="5" t="str">
        <f t="shared" si="85"/>
        <v>10.1007%2F978-1-4613-9124-1</v>
      </c>
      <c r="J539" s="5" t="str">
        <f t="shared" si="89"/>
        <v>Stephan_etal_1991_Table58</v>
      </c>
      <c r="K539" s="5" t="str">
        <f t="shared" si="90"/>
        <v>10.1007%2F978-1-4613-9124-1_Table58</v>
      </c>
      <c r="L539" s="5" t="str">
        <f t="array" ref="L539">IFERROR(INDEX(AUTO_Public_TSV_FileList!$A$1:$A$1000,MATCH(TRUE(),EXACT(K539,IFERROR(_xlfn.TEXTBEFORE(AUTO_Public_TSV_FileList!$A$1:$A$1000,".tsv"),"")),0)),"notfound")</f>
        <v>10.1007%2F978-1-4613-9124-1_Table58.tsv</v>
      </c>
      <c r="M539" s="10" t="s">
        <v>2155</v>
      </c>
      <c r="N539" s="13"/>
      <c r="O539" s="13"/>
      <c r="P539" s="13"/>
      <c r="Q539" s="13"/>
      <c r="R539" s="13"/>
      <c r="S539" s="13"/>
      <c r="T539" s="13"/>
      <c r="U539" s="13"/>
      <c r="V539" s="13"/>
      <c r="W539" s="10"/>
      <c r="X539" s="10"/>
      <c r="Y539" s="13"/>
      <c r="Z539" s="10"/>
      <c r="AA539" s="10"/>
      <c r="AB539" s="10"/>
      <c r="AC539" s="13"/>
      <c r="AD539" s="10"/>
      <c r="AE539" s="10"/>
      <c r="AF539" s="10"/>
      <c r="AG539" s="13"/>
    </row>
    <row r="540" ht="15" customHeight="1">
      <c r="A540" s="10" t="s">
        <v>2126</v>
      </c>
      <c r="B540" s="13"/>
      <c r="C540" s="10"/>
      <c r="D540" s="10" t="s">
        <v>2156</v>
      </c>
      <c r="E540" s="5" t="str">
        <f t="shared" si="86"/>
        <v>Stephan</v>
      </c>
      <c r="F540" s="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5" t="str">
        <f t="shared" si="87"/>
        <v>1991</v>
      </c>
      <c r="H540" s="5" t="str">
        <f t="shared" si="88"/>
        <v>Stephan_etal_1991</v>
      </c>
      <c r="I540" s="5" t="str">
        <f t="shared" si="85"/>
        <v>10.1007%2F978-1-4613-9124-1</v>
      </c>
      <c r="J540" s="5" t="str">
        <f t="shared" si="89"/>
        <v>Stephan_etal_1991_Table61</v>
      </c>
      <c r="K540" s="5" t="str">
        <f t="shared" si="90"/>
        <v>10.1007%2F978-1-4613-9124-1_Table61</v>
      </c>
      <c r="L540" s="5" t="str">
        <f t="array" ref="L540">IFERROR(INDEX(AUTO_Public_TSV_FileList!$A$1:$A$1000,MATCH(TRUE(),EXACT(K540,IFERROR(_xlfn.TEXTBEFORE(AUTO_Public_TSV_FileList!$A$1:$A$1000,".tsv"),"")),0)),"notfound")</f>
        <v>10.1007%2F978-1-4613-9124-1_Table61.tsv</v>
      </c>
      <c r="M540" s="10" t="s">
        <v>2157</v>
      </c>
      <c r="N540" s="13"/>
      <c r="O540" s="13"/>
      <c r="P540" s="13"/>
      <c r="Q540" s="13"/>
      <c r="R540" s="13"/>
      <c r="S540" s="13"/>
      <c r="T540" s="13"/>
      <c r="U540" s="13"/>
      <c r="V540" s="13"/>
      <c r="W540" s="10"/>
      <c r="X540" s="10"/>
      <c r="Y540" s="13"/>
      <c r="Z540" s="10"/>
      <c r="AA540" s="10"/>
      <c r="AB540" s="10"/>
      <c r="AC540" s="13"/>
      <c r="AD540" s="10"/>
      <c r="AE540" s="10"/>
      <c r="AF540" s="10"/>
      <c r="AG540" s="13"/>
    </row>
    <row r="541" ht="15" customHeight="1">
      <c r="A541" s="10" t="s">
        <v>2126</v>
      </c>
      <c r="B541" s="13"/>
      <c r="C541" s="10"/>
      <c r="D541" s="10" t="s">
        <v>2158</v>
      </c>
      <c r="E541" s="5" t="str">
        <f t="shared" si="86"/>
        <v>Stephan</v>
      </c>
      <c r="F541" s="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5" t="str">
        <f t="shared" si="87"/>
        <v>1991</v>
      </c>
      <c r="H541" s="5" t="str">
        <f t="shared" si="88"/>
        <v>Stephan_etal_1991</v>
      </c>
      <c r="I541" s="5" t="str">
        <f t="shared" ref="I541:I573" si="91">_xlfn.LET(
_xlpm.doi,IF(C541&lt;&gt;"",C541,_xlfn.TEXTAFTER(A541,"https://doi.org/")),
SUBSTITUTE(
SUBSTITUTE(
SUBSTITUTE(
SUBSTITUTE(
_xlpm.doi,
"/","%2F"),
":","%3A"),
"&lt;","%3C"),
"&gt;","%3E")
)</f>
        <v>10.1007%2F978-1-4613-9124-1</v>
      </c>
      <c r="J541" s="5" t="str">
        <f t="shared" si="89"/>
        <v>Stephan_etal_1991_Table64</v>
      </c>
      <c r="K541" s="5" t="str">
        <f t="shared" si="90"/>
        <v>10.1007%2F978-1-4613-9124-1_Table64</v>
      </c>
      <c r="L541" s="5" t="str">
        <f t="array" ref="L541">IFERROR(INDEX(AUTO_Public_TSV_FileList!$A$1:$A$1000,MATCH(TRUE(),EXACT(K541,IFERROR(_xlfn.TEXTBEFORE(AUTO_Public_TSV_FileList!$A$1:$A$1000,".tsv"),"")),0)),"notfound")</f>
        <v>10.1007%2F978-1-4613-9124-1_Table64.tsv</v>
      </c>
      <c r="M541" s="10" t="s">
        <v>2159</v>
      </c>
      <c r="N541" s="13"/>
      <c r="O541" s="13"/>
      <c r="P541" s="13"/>
      <c r="Q541" s="13"/>
      <c r="R541" s="13"/>
      <c r="S541" s="13"/>
      <c r="T541" s="13"/>
      <c r="U541" s="13"/>
      <c r="V541" s="13"/>
      <c r="W541" s="10"/>
      <c r="X541" s="10"/>
      <c r="Y541" s="13"/>
      <c r="Z541" s="10"/>
      <c r="AA541" s="10"/>
      <c r="AB541" s="10"/>
      <c r="AC541" s="13"/>
      <c r="AD541" s="10"/>
      <c r="AE541" s="10"/>
      <c r="AF541" s="10"/>
      <c r="AG541" s="13"/>
    </row>
    <row r="542" ht="15" customHeight="1">
      <c r="A542" s="10" t="s">
        <v>2126</v>
      </c>
      <c r="B542" s="13"/>
      <c r="C542" s="10"/>
      <c r="D542" s="10" t="s">
        <v>2160</v>
      </c>
      <c r="E542" s="5" t="str">
        <f t="shared" si="86"/>
        <v>Stephan</v>
      </c>
      <c r="F542" s="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5" t="str">
        <f t="shared" si="87"/>
        <v>1991</v>
      </c>
      <c r="H542" s="5" t="str">
        <f t="shared" si="88"/>
        <v>Stephan_etal_1991</v>
      </c>
      <c r="I542" s="5" t="str">
        <f t="shared" si="91"/>
        <v>10.1007%2F978-1-4613-9124-1</v>
      </c>
      <c r="J542" s="5" t="str">
        <f t="shared" si="89"/>
        <v>Stephan_etal_1991_Table65</v>
      </c>
      <c r="K542" s="5" t="str">
        <f t="shared" si="90"/>
        <v>10.1007%2F978-1-4613-9124-1_Table65</v>
      </c>
      <c r="L542" s="5" t="str">
        <f t="array" ref="L542">IFERROR(INDEX(AUTO_Public_TSV_FileList!$A$1:$A$1000,MATCH(TRUE(),EXACT(K542,IFERROR(_xlfn.TEXTBEFORE(AUTO_Public_TSV_FileList!$A$1:$A$1000,".tsv"),"")),0)),"notfound")</f>
        <v>10.1007%2F978-1-4613-9124-1_Table65.tsv</v>
      </c>
      <c r="M542" s="10" t="s">
        <v>2161</v>
      </c>
      <c r="N542" s="13"/>
      <c r="O542" s="13"/>
      <c r="P542" s="13"/>
      <c r="Q542" s="13"/>
      <c r="R542" s="13"/>
      <c r="S542" s="13"/>
      <c r="T542" s="13"/>
      <c r="U542" s="13"/>
      <c r="V542" s="13"/>
      <c r="W542" s="10"/>
      <c r="X542" s="10"/>
      <c r="Y542" s="13"/>
      <c r="Z542" s="10"/>
      <c r="AA542" s="10"/>
      <c r="AB542" s="10"/>
      <c r="AC542" s="13"/>
      <c r="AD542" s="10"/>
      <c r="AE542" s="10"/>
      <c r="AF542" s="10"/>
      <c r="AG542" s="13"/>
    </row>
    <row r="543" ht="15" customHeight="1">
      <c r="A543" s="10" t="s">
        <v>2126</v>
      </c>
      <c r="B543" s="13"/>
      <c r="C543" s="10"/>
      <c r="D543" s="10" t="s">
        <v>2162</v>
      </c>
      <c r="E543" s="5" t="str">
        <f t="shared" si="86"/>
        <v>Stephan</v>
      </c>
      <c r="F543" s="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5" t="str">
        <f t="shared" si="87"/>
        <v>1991</v>
      </c>
      <c r="H543" s="5" t="str">
        <f t="shared" si="88"/>
        <v>Stephan_etal_1991</v>
      </c>
      <c r="I543" s="5" t="str">
        <f t="shared" si="91"/>
        <v>10.1007%2F978-1-4613-9124-1</v>
      </c>
      <c r="J543" s="5" t="str">
        <f t="shared" si="89"/>
        <v>Stephan_etal_1991_Table68</v>
      </c>
      <c r="K543" s="5" t="str">
        <f t="shared" si="90"/>
        <v>10.1007%2F978-1-4613-9124-1_Table68</v>
      </c>
      <c r="L543" s="5" t="str">
        <f t="array" ref="L543">IFERROR(INDEX(AUTO_Public_TSV_FileList!$A$1:$A$1000,MATCH(TRUE(),EXACT(K543,IFERROR(_xlfn.TEXTBEFORE(AUTO_Public_TSV_FileList!$A$1:$A$1000,".tsv"),"")),0)),"notfound")</f>
        <v>10.1007%2F978-1-4613-9124-1_Table68.tsv</v>
      </c>
      <c r="M543" s="10" t="s">
        <v>2163</v>
      </c>
      <c r="N543" s="13"/>
      <c r="O543" s="13"/>
      <c r="P543" s="13"/>
      <c r="Q543" s="13"/>
      <c r="R543" s="13"/>
      <c r="S543" s="13"/>
      <c r="T543" s="13"/>
      <c r="U543" s="13"/>
      <c r="V543" s="13"/>
      <c r="W543" s="10"/>
      <c r="X543" s="10"/>
      <c r="Y543" s="13"/>
      <c r="Z543" s="10"/>
      <c r="AA543" s="10"/>
      <c r="AB543" s="10"/>
      <c r="AC543" s="13"/>
      <c r="AD543" s="10"/>
      <c r="AE543" s="10"/>
      <c r="AF543" s="10"/>
      <c r="AG543" s="13"/>
    </row>
    <row r="544" ht="15" customHeight="1">
      <c r="A544" s="10" t="s">
        <v>2126</v>
      </c>
      <c r="B544" s="13"/>
      <c r="C544" s="10"/>
      <c r="D544" s="10" t="s">
        <v>2164</v>
      </c>
      <c r="E544" s="5" t="str">
        <f t="shared" si="86"/>
        <v>Stephan</v>
      </c>
      <c r="F544" s="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5" t="str">
        <f t="shared" si="87"/>
        <v>1991</v>
      </c>
      <c r="H544" s="5" t="str">
        <f t="shared" si="88"/>
        <v>Stephan_etal_1991</v>
      </c>
      <c r="I544" s="5" t="str">
        <f t="shared" si="91"/>
        <v>10.1007%2F978-1-4613-9124-1</v>
      </c>
      <c r="J544" s="5" t="str">
        <f t="shared" si="89"/>
        <v>Stephan_etal_1991_Table71</v>
      </c>
      <c r="K544" s="5" t="str">
        <f t="shared" si="90"/>
        <v>10.1007%2F978-1-4613-9124-1_Table71</v>
      </c>
      <c r="L544" s="5" t="str">
        <f t="array" ref="L544">IFERROR(INDEX(AUTO_Public_TSV_FileList!$A$1:$A$1000,MATCH(TRUE(),EXACT(K544,IFERROR(_xlfn.TEXTBEFORE(AUTO_Public_TSV_FileList!$A$1:$A$1000,".tsv"),"")),0)),"notfound")</f>
        <v>notfound</v>
      </c>
      <c r="M544" s="10" t="s">
        <v>2165</v>
      </c>
      <c r="N544" s="13"/>
      <c r="O544" s="13"/>
      <c r="P544" s="13"/>
      <c r="Q544" s="13"/>
      <c r="R544" s="13"/>
      <c r="S544" s="13"/>
      <c r="T544" s="13"/>
      <c r="U544" s="13"/>
      <c r="V544" s="13"/>
      <c r="W544" s="10"/>
      <c r="X544" s="10"/>
      <c r="Y544" s="13"/>
      <c r="Z544" s="10"/>
      <c r="AA544" s="10"/>
      <c r="AB544" s="10"/>
      <c r="AC544" s="13"/>
      <c r="AD544" s="10"/>
      <c r="AE544" s="10"/>
      <c r="AF544" s="10"/>
      <c r="AG544" s="13"/>
    </row>
    <row r="545" ht="15" customHeight="1">
      <c r="A545" s="10" t="s">
        <v>2126</v>
      </c>
      <c r="B545" s="13"/>
      <c r="C545" s="10"/>
      <c r="D545" s="10" t="s">
        <v>240</v>
      </c>
      <c r="E545" s="5" t="str">
        <f t="shared" si="86"/>
        <v>Stephan</v>
      </c>
      <c r="F545" s="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5" t="str">
        <f t="shared" si="87"/>
        <v>1991</v>
      </c>
      <c r="H545" s="5" t="str">
        <f t="shared" si="88"/>
        <v>Stephan_etal_1991</v>
      </c>
      <c r="I545" s="5" t="str">
        <f t="shared" si="91"/>
        <v>10.1007%2F978-1-4613-9124-1</v>
      </c>
      <c r="J545" s="5" t="str">
        <f t="shared" si="89"/>
        <v>Stephan_etal_1991_Table8</v>
      </c>
      <c r="K545" s="5" t="str">
        <f t="shared" si="90"/>
        <v>10.1007%2F978-1-4613-9124-1_Table8</v>
      </c>
      <c r="L545" s="5" t="str">
        <f t="array" ref="L545">IFERROR(INDEX(AUTO_Public_TSV_FileList!$A$1:$A$1000,MATCH(TRUE(),EXACT(K545,IFERROR(_xlfn.TEXTBEFORE(AUTO_Public_TSV_FileList!$A$1:$A$1000,".tsv"),"")),0)),"notfound")</f>
        <v>10.1007%2F978-1-4613-9124-1_Table8.tsv</v>
      </c>
      <c r="M545" s="10" t="s">
        <v>2166</v>
      </c>
      <c r="N545" s="13"/>
      <c r="O545" s="13"/>
      <c r="P545" s="13"/>
      <c r="Q545" s="13"/>
      <c r="R545" s="13"/>
      <c r="S545" s="13"/>
      <c r="T545" s="13"/>
      <c r="U545" s="13"/>
      <c r="V545" s="13"/>
      <c r="W545" s="10"/>
      <c r="X545" s="10"/>
      <c r="Y545" s="13"/>
      <c r="Z545" s="10"/>
      <c r="AA545" s="10"/>
      <c r="AB545" s="10"/>
      <c r="AC545" s="13"/>
      <c r="AD545" s="10"/>
      <c r="AE545" s="10"/>
      <c r="AF545" s="10"/>
      <c r="AG545" s="13"/>
    </row>
    <row r="546" ht="15" customHeight="1">
      <c r="A546" s="10" t="s">
        <v>2167</v>
      </c>
      <c r="B546" s="13"/>
      <c r="C546" s="10" t="s">
        <v>2168</v>
      </c>
      <c r="D546" s="10" t="s">
        <v>58</v>
      </c>
      <c r="E546" s="5" t="str">
        <f t="shared" si="86"/>
        <v>Stephan</v>
      </c>
      <c r="F546" s="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5" t="str">
        <f t="shared" si="87"/>
        <v>1970</v>
      </c>
      <c r="H546" s="5" t="str">
        <f t="shared" si="88"/>
        <v>Stephan_etal_1970</v>
      </c>
      <c r="I546" s="5" t="str">
        <f t="shared" si="91"/>
        <v>ISBN%3A0390672505</v>
      </c>
      <c r="J546" s="5" t="str">
        <f t="shared" si="89"/>
        <v>Stephan_etal_1970_TABLE1</v>
      </c>
      <c r="K546" s="5" t="str">
        <f t="shared" si="90"/>
        <v>ISBN%3A0390672505_TABLE1</v>
      </c>
      <c r="L546" s="5" t="str">
        <f t="array" ref="L546">IFERROR(INDEX(AUTO_Public_TSV_FileList!$A$1:$A$1000,MATCH(TRUE(),EXACT(K546,IFERROR(_xlfn.TEXTBEFORE(AUTO_Public_TSV_FileList!$A$1:$A$1000,".tsv"),"")),0)),"notfound")</f>
        <v>ISBN%3A0390672505_TABLE1.tsv</v>
      </c>
      <c r="M546" s="10" t="s">
        <v>2169</v>
      </c>
      <c r="N546" s="10" t="s">
        <v>35</v>
      </c>
      <c r="O546" s="13"/>
      <c r="P546" s="13" t="s">
        <v>36</v>
      </c>
      <c r="Q546" s="13"/>
      <c r="R546" s="13"/>
      <c r="S546" s="13"/>
      <c r="T546" s="13"/>
      <c r="U546" s="13"/>
      <c r="V546" s="13"/>
      <c r="W546" s="10" t="s">
        <v>2170</v>
      </c>
      <c r="X546" s="13"/>
      <c r="Y546" s="13"/>
      <c r="Z546" s="10" t="s">
        <v>120</v>
      </c>
      <c r="AA546" s="10" t="s">
        <v>166</v>
      </c>
      <c r="AB546" s="10" t="s">
        <v>127</v>
      </c>
      <c r="AC546" s="13"/>
      <c r="AD546" s="10" t="s">
        <v>155</v>
      </c>
      <c r="AE546" s="10" t="s">
        <v>66</v>
      </c>
      <c r="AF546" s="10"/>
      <c r="AG546" s="13"/>
    </row>
    <row r="547" ht="15" customHeight="1">
      <c r="A547" s="10" t="s">
        <v>2167</v>
      </c>
      <c r="B547" s="13"/>
      <c r="C547" s="10" t="s">
        <v>2168</v>
      </c>
      <c r="D547" s="10" t="s">
        <v>91</v>
      </c>
      <c r="E547" s="5" t="str">
        <f t="shared" si="86"/>
        <v>Stephan</v>
      </c>
      <c r="F547" s="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5" t="str">
        <f t="shared" si="87"/>
        <v>1970</v>
      </c>
      <c r="H547" s="5" t="str">
        <f t="shared" si="88"/>
        <v>Stephan_etal_1970</v>
      </c>
      <c r="I547" s="5" t="str">
        <f t="shared" si="91"/>
        <v>ISBN%3A0390672505</v>
      </c>
      <c r="J547" s="5" t="str">
        <f t="shared" si="89"/>
        <v>Stephan_etal_1970_TABLE2</v>
      </c>
      <c r="K547" s="5" t="str">
        <f t="shared" si="90"/>
        <v>ISBN%3A0390672505_TABLE2</v>
      </c>
      <c r="L547" s="5" t="str">
        <f t="array" ref="L547">IFERROR(INDEX(AUTO_Public_TSV_FileList!$A$1:$A$1000,MATCH(TRUE(),EXACT(K547,IFERROR(_xlfn.TEXTBEFORE(AUTO_Public_TSV_FileList!$A$1:$A$1000,".tsv"),"")),0)),"notfound")</f>
        <v>ISBN%3A0390672505_TABLE2.tsv</v>
      </c>
      <c r="M547" s="10" t="s">
        <v>2171</v>
      </c>
      <c r="N547" s="10" t="s">
        <v>35</v>
      </c>
      <c r="O547" s="13"/>
      <c r="P547" s="13" t="s">
        <v>36</v>
      </c>
      <c r="Q547" s="13"/>
      <c r="R547" s="13"/>
      <c r="S547" s="13"/>
      <c r="T547" s="13"/>
      <c r="U547" s="13"/>
      <c r="V547" s="13"/>
      <c r="W547" s="10" t="s">
        <v>137</v>
      </c>
      <c r="X547" s="13"/>
      <c r="Y547" s="13"/>
      <c r="Z547" s="10" t="s">
        <v>120</v>
      </c>
      <c r="AA547" s="10" t="s">
        <v>166</v>
      </c>
      <c r="AB547" s="10" t="s">
        <v>127</v>
      </c>
      <c r="AC547" s="13"/>
      <c r="AD547" s="10" t="s">
        <v>155</v>
      </c>
      <c r="AE547" s="10" t="s">
        <v>66</v>
      </c>
      <c r="AF547" s="10"/>
      <c r="AG547" s="13"/>
    </row>
    <row r="548" ht="15" customHeight="1">
      <c r="A548" s="10" t="s">
        <v>2167</v>
      </c>
      <c r="B548" s="13"/>
      <c r="C548" s="10" t="s">
        <v>2168</v>
      </c>
      <c r="D548" s="10" t="s">
        <v>94</v>
      </c>
      <c r="E548" s="5" t="str">
        <f t="shared" si="86"/>
        <v>Stephan</v>
      </c>
      <c r="F548" s="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5" t="str">
        <f t="shared" si="87"/>
        <v>1970</v>
      </c>
      <c r="H548" s="5" t="str">
        <f t="shared" si="88"/>
        <v>Stephan_etal_1970</v>
      </c>
      <c r="I548" s="5" t="str">
        <f t="shared" si="91"/>
        <v>ISBN%3A0390672505</v>
      </c>
      <c r="J548" s="5" t="str">
        <f t="shared" si="89"/>
        <v>Stephan_etal_1970_TABLE3</v>
      </c>
      <c r="K548" s="5" t="str">
        <f t="shared" si="90"/>
        <v>ISBN%3A0390672505_TABLE3</v>
      </c>
      <c r="L548" s="5" t="str">
        <f t="array" ref="L548">IFERROR(INDEX(AUTO_Public_TSV_FileList!$A$1:$A$1000,MATCH(TRUE(),EXACT(K548,IFERROR(_xlfn.TEXTBEFORE(AUTO_Public_TSV_FileList!$A$1:$A$1000,".tsv"),"")),0)),"notfound")</f>
        <v>ISBN%3A0390672505_TABLE3.tsv</v>
      </c>
      <c r="M548" s="10" t="s">
        <v>2172</v>
      </c>
      <c r="N548" s="10" t="s">
        <v>35</v>
      </c>
      <c r="O548" s="13"/>
      <c r="P548" s="13" t="s">
        <v>36</v>
      </c>
      <c r="Q548" s="13"/>
      <c r="R548" s="13"/>
      <c r="S548" s="13"/>
      <c r="T548" s="13"/>
      <c r="U548" s="13"/>
      <c r="V548" s="13"/>
      <c r="W548" s="10" t="s">
        <v>137</v>
      </c>
      <c r="X548" s="13"/>
      <c r="Y548" s="13"/>
      <c r="Z548" s="10" t="s">
        <v>120</v>
      </c>
      <c r="AA548" s="10" t="s">
        <v>166</v>
      </c>
      <c r="AB548" s="10" t="s">
        <v>127</v>
      </c>
      <c r="AC548" s="13"/>
      <c r="AD548" s="10" t="s">
        <v>155</v>
      </c>
      <c r="AE548" s="10" t="s">
        <v>66</v>
      </c>
      <c r="AF548" s="10"/>
      <c r="AG548" s="13"/>
    </row>
    <row r="549" ht="15" customHeight="1">
      <c r="A549" s="10" t="s">
        <v>2167</v>
      </c>
      <c r="B549" s="13"/>
      <c r="C549" s="10" t="s">
        <v>2168</v>
      </c>
      <c r="D549" s="10" t="s">
        <v>97</v>
      </c>
      <c r="E549" s="5" t="str">
        <f t="shared" si="86"/>
        <v>Stephan</v>
      </c>
      <c r="F549" s="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5" t="str">
        <f t="shared" si="87"/>
        <v>1970</v>
      </c>
      <c r="H549" s="5" t="str">
        <f t="shared" si="88"/>
        <v>Stephan_etal_1970</v>
      </c>
      <c r="I549" s="5" t="str">
        <f t="shared" si="91"/>
        <v>ISBN%3A0390672505</v>
      </c>
      <c r="J549" s="5" t="str">
        <f t="shared" si="89"/>
        <v>Stephan_etal_1970_TABLE4</v>
      </c>
      <c r="K549" s="5" t="str">
        <f t="shared" si="90"/>
        <v>ISBN%3A0390672505_TABLE4</v>
      </c>
      <c r="L549" s="5" t="str">
        <f t="array" ref="L549">IFERROR(INDEX(AUTO_Public_TSV_FileList!$A$1:$A$1000,MATCH(TRUE(),EXACT(K549,IFERROR(_xlfn.TEXTBEFORE(AUTO_Public_TSV_FileList!$A$1:$A$1000,".tsv"),"")),0)),"notfound")</f>
        <v>ISBN%3A0390672505_TABLE4.tsv</v>
      </c>
      <c r="M549" s="10" t="s">
        <v>2173</v>
      </c>
      <c r="N549" s="10" t="s">
        <v>35</v>
      </c>
      <c r="O549" s="13"/>
      <c r="P549" s="13" t="s">
        <v>36</v>
      </c>
      <c r="Q549" s="13"/>
      <c r="R549" s="13"/>
      <c r="S549" s="13"/>
      <c r="T549" s="13"/>
      <c r="U549" s="13"/>
      <c r="V549" s="13"/>
      <c r="W549" s="10" t="s">
        <v>2170</v>
      </c>
      <c r="X549" s="13"/>
      <c r="Y549" s="13"/>
      <c r="Z549" s="10" t="s">
        <v>120</v>
      </c>
      <c r="AA549" s="10" t="s">
        <v>166</v>
      </c>
      <c r="AB549" s="10" t="s">
        <v>127</v>
      </c>
      <c r="AC549" s="13"/>
      <c r="AD549" s="10" t="s">
        <v>155</v>
      </c>
      <c r="AE549" s="10" t="s">
        <v>66</v>
      </c>
      <c r="AF549" s="10"/>
      <c r="AG549" s="13"/>
    </row>
    <row r="550" ht="15" customHeight="1">
      <c r="A550" s="10" t="s">
        <v>2167</v>
      </c>
      <c r="B550" s="13"/>
      <c r="C550" s="10" t="s">
        <v>2168</v>
      </c>
      <c r="D550" s="10" t="s">
        <v>1791</v>
      </c>
      <c r="E550" s="5" t="str">
        <f t="shared" si="86"/>
        <v>Stephan</v>
      </c>
      <c r="F550" s="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5" t="str">
        <f t="shared" si="87"/>
        <v>1970</v>
      </c>
      <c r="H550" s="5" t="str">
        <f t="shared" si="88"/>
        <v>Stephan_etal_1970</v>
      </c>
      <c r="I550" s="5" t="str">
        <f t="shared" si="91"/>
        <v>ISBN%3A0390672505</v>
      </c>
      <c r="J550" s="5" t="str">
        <f t="shared" si="89"/>
        <v>Stephan_etal_1970_TABLE5</v>
      </c>
      <c r="K550" s="5" t="str">
        <f t="shared" si="90"/>
        <v>ISBN%3A0390672505_TABLE5</v>
      </c>
      <c r="L550" s="5" t="str">
        <f t="array" ref="L550">IFERROR(INDEX(AUTO_Public_TSV_FileList!$A$1:$A$1000,MATCH(TRUE(),EXACT(K550,IFERROR(_xlfn.TEXTBEFORE(AUTO_Public_TSV_FileList!$A$1:$A$1000,".tsv"),"")),0)),"notfound")</f>
        <v>ISBN%3A0390672505_TABLE5.tsv</v>
      </c>
      <c r="M550" s="10" t="s">
        <v>2174</v>
      </c>
      <c r="N550" s="10" t="s">
        <v>35</v>
      </c>
      <c r="O550" s="13"/>
      <c r="P550" s="13" t="s">
        <v>36</v>
      </c>
      <c r="Q550" s="13"/>
      <c r="R550" s="13"/>
      <c r="S550" s="13"/>
      <c r="T550" s="13"/>
      <c r="U550" s="13"/>
      <c r="V550" s="13"/>
      <c r="W550" s="10" t="s">
        <v>137</v>
      </c>
      <c r="X550" s="13"/>
      <c r="Y550" s="13"/>
      <c r="Z550" s="10" t="s">
        <v>120</v>
      </c>
      <c r="AA550" s="10" t="s">
        <v>166</v>
      </c>
      <c r="AB550" s="10" t="s">
        <v>127</v>
      </c>
      <c r="AC550" s="13"/>
      <c r="AD550" s="10" t="s">
        <v>155</v>
      </c>
      <c r="AE550" s="10" t="s">
        <v>66</v>
      </c>
      <c r="AF550" s="10"/>
      <c r="AG550" s="13"/>
    </row>
    <row r="551" ht="15" customHeight="1">
      <c r="A551" s="10" t="s">
        <v>2167</v>
      </c>
      <c r="B551" s="13"/>
      <c r="C551" s="10" t="s">
        <v>2168</v>
      </c>
      <c r="D551" s="10" t="s">
        <v>2175</v>
      </c>
      <c r="E551" s="5" t="str">
        <f t="shared" si="86"/>
        <v>Stephan</v>
      </c>
      <c r="F551" s="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5" t="str">
        <f t="shared" si="87"/>
        <v>1970</v>
      </c>
      <c r="H551" s="5" t="str">
        <f t="shared" si="88"/>
        <v>Stephan_etal_1970</v>
      </c>
      <c r="I551" s="5" t="str">
        <f t="shared" si="91"/>
        <v>ISBN%3A0390672505</v>
      </c>
      <c r="J551" s="5" t="str">
        <f t="shared" si="89"/>
        <v>Stephan_etal_1970_TABLE6</v>
      </c>
      <c r="K551" s="5" t="str">
        <f t="shared" ref="K551:K583" si="92">I551 &amp; "_" &amp; SUBSTITUTE(SUBSTITUTE(SUBSTITUTE(D551,CHAR(160),"")," ",""),"_","")</f>
        <v>ISBN%3A0390672505_TABLE6</v>
      </c>
      <c r="L551" s="5" t="str">
        <f t="array" ref="L551">IFERROR(INDEX(AUTO_Public_TSV_FileList!$A$1:$A$1000,MATCH(TRUE(),EXACT(K551,IFERROR(_xlfn.TEXTBEFORE(AUTO_Public_TSV_FileList!$A$1:$A$1000,".tsv"),"")),0)),"notfound")</f>
        <v>ISBN%3A0390672505_TABLE6.tsv</v>
      </c>
      <c r="M551" s="10" t="s">
        <v>2176</v>
      </c>
      <c r="N551" s="10" t="s">
        <v>35</v>
      </c>
      <c r="O551" s="13"/>
      <c r="P551" s="13" t="s">
        <v>36</v>
      </c>
      <c r="Q551" s="13"/>
      <c r="R551" s="13"/>
      <c r="S551" s="13"/>
      <c r="T551" s="13"/>
      <c r="U551" s="13"/>
      <c r="V551" s="13"/>
      <c r="W551" s="10" t="s">
        <v>137</v>
      </c>
      <c r="X551" s="13"/>
      <c r="Y551" s="13"/>
      <c r="Z551" s="10" t="s">
        <v>120</v>
      </c>
      <c r="AA551" s="10" t="s">
        <v>166</v>
      </c>
      <c r="AB551" s="10" t="s">
        <v>127</v>
      </c>
      <c r="AC551" s="13"/>
      <c r="AD551" s="10" t="s">
        <v>155</v>
      </c>
      <c r="AE551" s="10" t="s">
        <v>66</v>
      </c>
      <c r="AF551" s="10"/>
      <c r="AG551" s="13"/>
    </row>
    <row r="552" ht="16" customHeight="1">
      <c r="A552" s="10" t="s">
        <v>2167</v>
      </c>
      <c r="B552" s="13"/>
      <c r="C552" s="10" t="s">
        <v>2168</v>
      </c>
      <c r="D552" s="10" t="s">
        <v>2177</v>
      </c>
      <c r="E552" s="5" t="str">
        <f t="shared" si="86"/>
        <v>Stephan</v>
      </c>
      <c r="F552" s="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5" t="str">
        <f t="shared" si="87"/>
        <v>1970</v>
      </c>
      <c r="H552" s="5" t="str">
        <f t="shared" si="88"/>
        <v>Stephan_etal_1970</v>
      </c>
      <c r="I552" s="5" t="str">
        <f t="shared" si="91"/>
        <v>ISBN%3A0390672505</v>
      </c>
      <c r="J552" s="5" t="str">
        <f t="shared" si="89"/>
        <v>Stephan_etal_1970_Tables1-6</v>
      </c>
      <c r="K552" s="5" t="str">
        <f t="shared" si="92"/>
        <v>ISBN%3A0390672505_Tables1-6</v>
      </c>
      <c r="L552" s="5" t="str">
        <f t="array" ref="L552">IFERROR(INDEX(AUTO_Public_TSV_FileList!$A$1:$A$1000,MATCH(TRUE(),EXACT(K552,IFERROR(_xlfn.TEXTBEFORE(AUTO_Public_TSV_FileList!$A$1:$A$1000,".tsv"),"")),0)),"notfound")</f>
        <v>ISBN%3A0390672505_Tables1-6.tsv</v>
      </c>
      <c r="M552" s="13"/>
      <c r="N552" s="1" t="s">
        <v>2178</v>
      </c>
      <c r="O552" s="1" t="s">
        <v>2179</v>
      </c>
      <c r="P552" s="1" t="s">
        <v>36</v>
      </c>
      <c r="Q552" s="7"/>
      <c r="R552" s="13"/>
      <c r="S552" s="13"/>
      <c r="T552" s="13"/>
      <c r="U552" s="13"/>
      <c r="V552" s="13"/>
      <c r="W552" s="1" t="s">
        <v>153</v>
      </c>
      <c r="X552" s="13"/>
      <c r="Y552" s="13"/>
      <c r="Z552" s="10" t="s">
        <v>120</v>
      </c>
      <c r="AA552" s="1" t="s">
        <v>166</v>
      </c>
      <c r="AB552" s="1" t="s">
        <v>127</v>
      </c>
      <c r="AC552" s="1" t="s">
        <v>155</v>
      </c>
      <c r="AD552" s="10" t="s">
        <v>155</v>
      </c>
      <c r="AE552" s="1" t="s">
        <v>66</v>
      </c>
      <c r="AF552" s="10"/>
      <c r="AG552" s="13"/>
    </row>
    <row r="553" ht="15" customHeight="1">
      <c r="A553" s="10" t="s">
        <v>2180</v>
      </c>
      <c r="B553" s="13"/>
      <c r="C553" s="10" t="s">
        <v>2181</v>
      </c>
      <c r="D553" s="10" t="s">
        <v>68</v>
      </c>
      <c r="E553" s="5" t="str">
        <f t="shared" si="86"/>
        <v>Stephan</v>
      </c>
      <c r="F553" s="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5" t="str">
        <f t="shared" si="87"/>
        <v>1984</v>
      </c>
      <c r="H553" s="5" t="str">
        <f t="shared" si="88"/>
        <v>Stephan_etal_1984</v>
      </c>
      <c r="I553" s="5" t="str">
        <f t="shared" si="91"/>
        <v>PMID%3A6481154</v>
      </c>
      <c r="J553" s="5" t="str">
        <f t="shared" si="89"/>
        <v>Stephan_etal_1984_Table1</v>
      </c>
      <c r="K553" s="5" t="str">
        <f t="shared" si="92"/>
        <v>PMID%3A6481154_Table1</v>
      </c>
      <c r="L553" s="5" t="str">
        <f t="array" ref="L553">IFERROR(INDEX(AUTO_Public_TSV_FileList!$A$1:$A$1000,MATCH(TRUE(),EXACT(K553,IFERROR(_xlfn.TEXTBEFORE(AUTO_Public_TSV_FileList!$A$1:$A$1000,".tsv"),"")),0)),"notfound")</f>
        <v>PMID%3A6481154_Table1.tsv</v>
      </c>
      <c r="M553" s="10" t="s">
        <v>2182</v>
      </c>
      <c r="N553" s="10" t="s">
        <v>35</v>
      </c>
      <c r="O553" s="13"/>
      <c r="P553" s="10" t="s">
        <v>36</v>
      </c>
      <c r="Q553" s="13"/>
      <c r="R553" s="13"/>
      <c r="S553" s="13"/>
      <c r="T553" s="13"/>
      <c r="U553" s="13"/>
      <c r="V553" s="13"/>
      <c r="W553" s="10" t="s">
        <v>153</v>
      </c>
      <c r="X553" s="10" t="s">
        <v>2183</v>
      </c>
      <c r="Y553" s="13"/>
      <c r="Z553" s="10" t="s">
        <v>120</v>
      </c>
      <c r="AA553" s="10" t="s">
        <v>166</v>
      </c>
      <c r="AB553" s="10" t="s">
        <v>127</v>
      </c>
      <c r="AC553" s="10" t="s">
        <v>155</v>
      </c>
      <c r="AD553" s="10" t="s">
        <v>155</v>
      </c>
      <c r="AE553" s="10" t="s">
        <v>66</v>
      </c>
      <c r="AF553" s="10"/>
      <c r="AG553" s="13"/>
    </row>
    <row r="554" ht="15" customHeight="1">
      <c r="A554" s="10" t="s">
        <v>2184</v>
      </c>
      <c r="B554" s="13"/>
      <c r="C554" s="10" t="s">
        <v>2185</v>
      </c>
      <c r="D554" s="10" t="s">
        <v>68</v>
      </c>
      <c r="E554" s="5" t="str">
        <f t="shared" si="86"/>
        <v>Stephan</v>
      </c>
      <c r="F554" s="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5" t="str">
        <f t="shared" si="87"/>
        <v>1987</v>
      </c>
      <c r="H554" s="5" t="str">
        <f t="shared" si="88"/>
        <v>Stephan_etal_1987</v>
      </c>
      <c r="I554" s="5" t="str">
        <f t="shared" si="91"/>
        <v>PMID%3A3693895</v>
      </c>
      <c r="J554" s="5" t="str">
        <f t="shared" si="89"/>
        <v>Stephan_etal_1987_Table1</v>
      </c>
      <c r="K554" s="5" t="str">
        <f t="shared" si="92"/>
        <v>PMID%3A3693895_Table1</v>
      </c>
      <c r="L554" s="5" t="str">
        <f t="array" ref="L554">IFERROR(INDEX(AUTO_Public_TSV_FileList!$A$1:$A$1000,MATCH(TRUE(),EXACT(K554,IFERROR(_xlfn.TEXTBEFORE(AUTO_Public_TSV_FileList!$A$1:$A$1000,".tsv"),"")),0)),"notfound")</f>
        <v>PMID%3A3693895_Table1.tsv</v>
      </c>
      <c r="M554" s="10" t="s">
        <v>2186</v>
      </c>
      <c r="N554" s="10" t="s">
        <v>35</v>
      </c>
      <c r="O554" s="13"/>
      <c r="P554" s="10" t="s">
        <v>36</v>
      </c>
      <c r="Q554" s="13"/>
      <c r="R554" s="13"/>
      <c r="S554" s="13"/>
      <c r="T554" s="13"/>
      <c r="U554" s="13"/>
      <c r="V554" s="13"/>
      <c r="W554" s="10" t="s">
        <v>153</v>
      </c>
      <c r="X554" s="10" t="s">
        <v>2187</v>
      </c>
      <c r="Y554" s="13"/>
      <c r="Z554" s="10" t="s">
        <v>120</v>
      </c>
      <c r="AA554" s="10" t="s">
        <v>166</v>
      </c>
      <c r="AB554" s="10" t="s">
        <v>127</v>
      </c>
      <c r="AC554" s="10" t="s">
        <v>155</v>
      </c>
      <c r="AD554" s="10" t="s">
        <v>155</v>
      </c>
      <c r="AE554" s="10" t="s">
        <v>66</v>
      </c>
      <c r="AF554" s="10"/>
      <c r="AG554" s="13"/>
    </row>
    <row r="555" ht="15" customHeight="1">
      <c r="A555" s="10" t="s">
        <v>2188</v>
      </c>
      <c r="B555" s="13"/>
      <c r="C555" s="13"/>
      <c r="D555" s="10" t="s">
        <v>305</v>
      </c>
      <c r="E555" s="5" t="str">
        <f t="shared" si="86"/>
        <v>Stephan</v>
      </c>
      <c r="F555" s="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5" t="str">
        <f t="shared" si="87"/>
        <v>1981</v>
      </c>
      <c r="H555" s="5" t="str">
        <f t="shared" si="88"/>
        <v>Stephan_etal_1981</v>
      </c>
      <c r="I555" s="5" t="str">
        <f t="shared" si="91"/>
        <v>10.1159%2F000155963</v>
      </c>
      <c r="J555" s="5" t="str">
        <f t="shared" si="89"/>
        <v>Stephan_etal_1981_TableI</v>
      </c>
      <c r="K555" s="5" t="str">
        <f t="shared" si="92"/>
        <v>10.1159%2F000155963_TableI</v>
      </c>
      <c r="L555" s="5" t="str">
        <f t="array" ref="L555">IFERROR(INDEX(AUTO_Public_TSV_FileList!$A$1:$A$1000,MATCH(TRUE(),EXACT(K555,IFERROR(_xlfn.TEXTBEFORE(AUTO_Public_TSV_FileList!$A$1:$A$1000,".tsv"),"")),0)),"notfound")</f>
        <v>10.1159%2F000155963_TableI.tsv</v>
      </c>
      <c r="M555" s="10" t="s">
        <v>2189</v>
      </c>
      <c r="N555" s="10" t="s">
        <v>35</v>
      </c>
      <c r="O555" s="13"/>
      <c r="P555" s="10" t="s">
        <v>36</v>
      </c>
      <c r="Q555" s="13"/>
      <c r="R555" s="13"/>
      <c r="S555" s="13"/>
      <c r="T555" s="13"/>
      <c r="U555" s="13"/>
      <c r="V555" s="13"/>
      <c r="W555" s="10" t="s">
        <v>153</v>
      </c>
      <c r="X555" s="10" t="s">
        <v>2190</v>
      </c>
      <c r="Y555" s="13"/>
      <c r="Z555" s="10" t="s">
        <v>120</v>
      </c>
      <c r="AA555" s="10" t="s">
        <v>166</v>
      </c>
      <c r="AB555" s="10" t="s">
        <v>127</v>
      </c>
      <c r="AC555" s="10" t="s">
        <v>155</v>
      </c>
      <c r="AD555" s="10" t="s">
        <v>155</v>
      </c>
      <c r="AE555" s="10" t="s">
        <v>66</v>
      </c>
      <c r="AF555" s="10"/>
      <c r="AG555" s="13"/>
    </row>
    <row r="556" ht="15" customHeight="1">
      <c r="A556" s="10" t="s">
        <v>2188</v>
      </c>
      <c r="B556" s="13"/>
      <c r="C556" s="13"/>
      <c r="D556" s="10" t="s">
        <v>1684</v>
      </c>
      <c r="E556" s="5" t="str">
        <f t="shared" si="86"/>
        <v>Stephan</v>
      </c>
      <c r="F556" s="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5" t="str">
        <f t="shared" si="87"/>
        <v>1981</v>
      </c>
      <c r="H556" s="5" t="str">
        <f t="shared" si="88"/>
        <v>Stephan_etal_1981</v>
      </c>
      <c r="I556" s="5" t="str">
        <f t="shared" si="91"/>
        <v>10.1159%2F000155963</v>
      </c>
      <c r="J556" s="5" t="str">
        <f t="shared" si="89"/>
        <v>Stephan_etal_1981_TableII</v>
      </c>
      <c r="K556" s="5" t="str">
        <f t="shared" si="92"/>
        <v>10.1159%2F000155963_TableII</v>
      </c>
      <c r="L556" s="5" t="str">
        <f t="array" ref="L556">IFERROR(INDEX(AUTO_Public_TSV_FileList!$A$1:$A$1000,MATCH(TRUE(),EXACT(K556,IFERROR(_xlfn.TEXTBEFORE(AUTO_Public_TSV_FileList!$A$1:$A$1000,".tsv"),"")),0)),"notfound")</f>
        <v>10.1159%2F000155963_TableII.tsv</v>
      </c>
      <c r="M556" s="10" t="s">
        <v>2191</v>
      </c>
      <c r="N556" s="10" t="s">
        <v>35</v>
      </c>
      <c r="O556" s="13"/>
      <c r="P556" s="10" t="s">
        <v>36</v>
      </c>
      <c r="Q556" s="13"/>
      <c r="R556" s="13"/>
      <c r="S556" s="13"/>
      <c r="T556" s="13"/>
      <c r="U556" s="13"/>
      <c r="V556" s="13"/>
      <c r="W556" s="10" t="s">
        <v>153</v>
      </c>
      <c r="X556" s="10" t="s">
        <v>2190</v>
      </c>
      <c r="Y556" s="13"/>
      <c r="Z556" s="10" t="s">
        <v>120</v>
      </c>
      <c r="AA556" s="10" t="s">
        <v>166</v>
      </c>
      <c r="AB556" s="10" t="s">
        <v>127</v>
      </c>
      <c r="AC556" s="10" t="s">
        <v>155</v>
      </c>
      <c r="AD556" s="10" t="s">
        <v>155</v>
      </c>
      <c r="AE556" s="10" t="s">
        <v>66</v>
      </c>
      <c r="AF556" s="10"/>
      <c r="AG556" s="13"/>
    </row>
    <row r="557" ht="15" customHeight="1">
      <c r="A557" s="10" t="s">
        <v>2188</v>
      </c>
      <c r="B557" s="13"/>
      <c r="C557" s="13"/>
      <c r="D557" s="10" t="s">
        <v>2192</v>
      </c>
      <c r="E557" s="5" t="str">
        <f t="shared" si="86"/>
        <v>Stephan</v>
      </c>
      <c r="F557" s="5"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5" t="str">
        <f t="shared" si="87"/>
        <v>1981</v>
      </c>
      <c r="H557" s="5" t="str">
        <f t="shared" si="88"/>
        <v>Stephan_etal_1981</v>
      </c>
      <c r="I557" s="5" t="str">
        <f t="shared" si="91"/>
        <v>10.1159%2F000155963</v>
      </c>
      <c r="J557" s="5" t="str">
        <f t="shared" si="89"/>
        <v>Stephan_etal_1981_TableIII</v>
      </c>
      <c r="K557" s="5" t="str">
        <f t="shared" si="92"/>
        <v>10.1159%2F000155963_TableIII</v>
      </c>
      <c r="L557" s="5" t="str">
        <f t="array" ref="L557">IFERROR(INDEX(AUTO_Public_TSV_FileList!$A$1:$A$1000,MATCH(TRUE(),EXACT(K557,IFERROR(_xlfn.TEXTBEFORE(AUTO_Public_TSV_FileList!$A$1:$A$1000,".tsv"),"")),0)),"notfound")</f>
        <v>10.1159%2F000155963_TableIII.tsv</v>
      </c>
      <c r="M557" s="10" t="s">
        <v>2193</v>
      </c>
      <c r="N557" s="10" t="s">
        <v>35</v>
      </c>
      <c r="O557" s="13"/>
      <c r="P557" s="10" t="s">
        <v>36</v>
      </c>
      <c r="Q557" s="13"/>
      <c r="R557" s="13"/>
      <c r="S557" s="13"/>
      <c r="T557" s="13"/>
      <c r="U557" s="13"/>
      <c r="V557" s="13"/>
      <c r="W557" s="10" t="s">
        <v>153</v>
      </c>
      <c r="X557" s="10" t="s">
        <v>2190</v>
      </c>
      <c r="Y557" s="13"/>
      <c r="Z557" s="10" t="s">
        <v>120</v>
      </c>
      <c r="AA557" s="10" t="s">
        <v>166</v>
      </c>
      <c r="AB557" s="10" t="s">
        <v>127</v>
      </c>
      <c r="AC557" s="10" t="s">
        <v>155</v>
      </c>
      <c r="AD557" s="10" t="s">
        <v>155</v>
      </c>
      <c r="AE557" s="10" t="s">
        <v>66</v>
      </c>
      <c r="AF557" s="10"/>
      <c r="AG557" s="13"/>
    </row>
    <row r="558" ht="15" customHeight="1">
      <c r="A558" s="10" t="s">
        <v>2188</v>
      </c>
      <c r="B558" s="13"/>
      <c r="C558" s="13"/>
      <c r="D558" s="10" t="s">
        <v>317</v>
      </c>
      <c r="E558" s="5" t="str">
        <f t="shared" si="86"/>
        <v>Stephan</v>
      </c>
      <c r="F558" s="5"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5" t="str">
        <f t="shared" si="87"/>
        <v>1981</v>
      </c>
      <c r="H558" s="5" t="str">
        <f t="shared" si="88"/>
        <v>Stephan_etal_1981</v>
      </c>
      <c r="I558" s="5" t="str">
        <f t="shared" si="91"/>
        <v>10.1159%2F000155963</v>
      </c>
      <c r="J558" s="5" t="str">
        <f t="shared" si="89"/>
        <v>Stephan_etal_1981_TableIV</v>
      </c>
      <c r="K558" s="5" t="str">
        <f t="shared" si="92"/>
        <v>10.1159%2F000155963_TableIV</v>
      </c>
      <c r="L558" s="5" t="str">
        <f t="array" ref="L558">IFERROR(INDEX(AUTO_Public_TSV_FileList!$A$1:$A$1000,MATCH(TRUE(),EXACT(K558,IFERROR(_xlfn.TEXTBEFORE(AUTO_Public_TSV_FileList!$A$1:$A$1000,".tsv"),"")),0)),"notfound")</f>
        <v>10.1159%2F000155963_TableIV.tsv</v>
      </c>
      <c r="M558" s="10" t="s">
        <v>2194</v>
      </c>
      <c r="N558" s="10" t="s">
        <v>35</v>
      </c>
      <c r="O558" s="13"/>
      <c r="P558" s="10" t="s">
        <v>36</v>
      </c>
      <c r="Q558" s="13"/>
      <c r="R558" s="13"/>
      <c r="S558" s="13"/>
      <c r="T558" s="13"/>
      <c r="U558" s="13"/>
      <c r="V558" s="13"/>
      <c r="W558" s="10" t="s">
        <v>153</v>
      </c>
      <c r="X558" s="10" t="s">
        <v>2190</v>
      </c>
      <c r="Y558" s="13"/>
      <c r="Z558" s="10" t="s">
        <v>120</v>
      </c>
      <c r="AA558" s="10" t="s">
        <v>166</v>
      </c>
      <c r="AB558" s="10" t="s">
        <v>127</v>
      </c>
      <c r="AC558" s="10" t="s">
        <v>155</v>
      </c>
      <c r="AD558" s="10" t="s">
        <v>155</v>
      </c>
      <c r="AE558" s="10" t="s">
        <v>66</v>
      </c>
      <c r="AF558" s="10"/>
      <c r="AG558" s="13"/>
    </row>
    <row r="559" ht="15" customHeight="1">
      <c r="A559" s="10" t="s">
        <v>2188</v>
      </c>
      <c r="B559" s="13"/>
      <c r="C559" s="10"/>
      <c r="D559" s="10" t="s">
        <v>2195</v>
      </c>
      <c r="E559" s="5" t="str">
        <f t="shared" si="86"/>
        <v>Stephan</v>
      </c>
      <c r="F559" s="5"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5" t="str">
        <f t="shared" si="87"/>
        <v>1981</v>
      </c>
      <c r="H559" s="5" t="str">
        <f t="shared" si="88"/>
        <v>Stephan_etal_1981</v>
      </c>
      <c r="I559" s="5" t="str">
        <f t="shared" si="91"/>
        <v>10.1159%2F000155963</v>
      </c>
      <c r="J559" s="5" t="str">
        <f t="shared" si="89"/>
        <v>Stephan_etal_1981_TableIX</v>
      </c>
      <c r="K559" s="5" t="str">
        <f t="shared" si="92"/>
        <v>10.1159%2F000155963_TableIX</v>
      </c>
      <c r="L559" s="5" t="str">
        <f t="array" ref="L559">IFERROR(INDEX(AUTO_Public_TSV_FileList!$A$1:$A$1000,MATCH(TRUE(),EXACT(K559,IFERROR(_xlfn.TEXTBEFORE(AUTO_Public_TSV_FileList!$A$1:$A$1000,".tsv"),"")),0)),"notfound")</f>
        <v>10.1159%2F000155963_TableIX.tsv</v>
      </c>
      <c r="M559" s="10" t="s">
        <v>2196</v>
      </c>
      <c r="N559" s="13"/>
      <c r="O559" s="13"/>
      <c r="P559" s="10" t="s">
        <v>36</v>
      </c>
      <c r="Q559" s="13"/>
      <c r="R559" s="13"/>
      <c r="S559" s="13"/>
      <c r="T559" s="13"/>
      <c r="U559" s="13"/>
      <c r="V559" s="13"/>
      <c r="W559" s="13"/>
      <c r="X559" s="13"/>
      <c r="Y559" s="13"/>
      <c r="Z559" s="13"/>
      <c r="AA559" s="13"/>
      <c r="AB559" s="13"/>
      <c r="AC559" s="13"/>
      <c r="AD559" s="13"/>
      <c r="AE559" s="13"/>
      <c r="AF559" s="13"/>
      <c r="AG559" s="13"/>
    </row>
    <row r="560" ht="15" customHeight="1">
      <c r="A560" s="10" t="s">
        <v>2188</v>
      </c>
      <c r="B560" s="13"/>
      <c r="C560" s="13"/>
      <c r="D560" s="10" t="s">
        <v>2197</v>
      </c>
      <c r="E560" s="5" t="str">
        <f t="shared" si="86"/>
        <v>Stephan</v>
      </c>
      <c r="F560" s="5"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5" t="str">
        <f t="shared" si="87"/>
        <v>1981</v>
      </c>
      <c r="H560" s="5" t="str">
        <f t="shared" si="88"/>
        <v>Stephan_etal_1981</v>
      </c>
      <c r="I560" s="5" t="str">
        <f t="shared" si="91"/>
        <v>10.1159%2F000155963</v>
      </c>
      <c r="J560" s="5" t="str">
        <f t="shared" si="89"/>
        <v>Stephan_etal_1981_TableV</v>
      </c>
      <c r="K560" s="5" t="str">
        <f t="shared" si="92"/>
        <v>10.1159%2F000155963_TableV</v>
      </c>
      <c r="L560" s="5" t="str">
        <f t="array" ref="L560">IFERROR(INDEX(AUTO_Public_TSV_FileList!$A$1:$A$1000,MATCH(TRUE(),EXACT(K560,IFERROR(_xlfn.TEXTBEFORE(AUTO_Public_TSV_FileList!$A$1:$A$1000,".tsv"),"")),0)),"notfound")</f>
        <v>10.1159%2F000155963_TableV.tsv</v>
      </c>
      <c r="M560" s="10" t="s">
        <v>2198</v>
      </c>
      <c r="N560" s="10" t="s">
        <v>35</v>
      </c>
      <c r="O560" s="13"/>
      <c r="P560" s="10" t="s">
        <v>36</v>
      </c>
      <c r="Q560" s="13"/>
      <c r="R560" s="13"/>
      <c r="S560" s="13"/>
      <c r="T560" s="13"/>
      <c r="U560" s="13"/>
      <c r="V560" s="13"/>
      <c r="W560" s="10" t="s">
        <v>153</v>
      </c>
      <c r="X560" s="10" t="s">
        <v>2190</v>
      </c>
      <c r="Y560" s="13"/>
      <c r="Z560" s="10" t="s">
        <v>120</v>
      </c>
      <c r="AA560" s="10" t="s">
        <v>166</v>
      </c>
      <c r="AB560" s="10" t="s">
        <v>127</v>
      </c>
      <c r="AC560" s="10" t="s">
        <v>155</v>
      </c>
      <c r="AD560" s="10" t="s">
        <v>155</v>
      </c>
      <c r="AE560" s="10" t="s">
        <v>66</v>
      </c>
      <c r="AF560" s="10"/>
      <c r="AG560" s="13"/>
    </row>
    <row r="561" ht="15" customHeight="1">
      <c r="A561" s="10" t="s">
        <v>2188</v>
      </c>
      <c r="B561" s="13"/>
      <c r="C561" s="13"/>
      <c r="D561" s="10" t="s">
        <v>2199</v>
      </c>
      <c r="E561" s="5" t="str">
        <f t="shared" si="86"/>
        <v>Stephan</v>
      </c>
      <c r="F561" s="5"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5" t="str">
        <f t="shared" si="87"/>
        <v>1981</v>
      </c>
      <c r="H561" s="5" t="str">
        <f t="shared" si="88"/>
        <v>Stephan_etal_1981</v>
      </c>
      <c r="I561" s="5" t="str">
        <f t="shared" si="91"/>
        <v>10.1159%2F000155963</v>
      </c>
      <c r="J561" s="5" t="str">
        <f t="shared" si="89"/>
        <v>Stephan_etal_1981_TableVI</v>
      </c>
      <c r="K561" s="5" t="str">
        <f t="shared" si="92"/>
        <v>10.1159%2F000155963_TableVI</v>
      </c>
      <c r="L561" s="5" t="str">
        <f t="array" ref="L561">IFERROR(INDEX(AUTO_Public_TSV_FileList!$A$1:$A$1000,MATCH(TRUE(),EXACT(K561,IFERROR(_xlfn.TEXTBEFORE(AUTO_Public_TSV_FileList!$A$1:$A$1000,".tsv"),"")),0)),"notfound")</f>
        <v>10.1159%2F000155963_TableVI.tsv</v>
      </c>
      <c r="M561" s="10" t="s">
        <v>2200</v>
      </c>
      <c r="N561" s="10" t="s">
        <v>35</v>
      </c>
      <c r="O561" s="13"/>
      <c r="P561" s="10" t="s">
        <v>36</v>
      </c>
      <c r="Q561" s="13"/>
      <c r="R561" s="13"/>
      <c r="S561" s="13"/>
      <c r="T561" s="13"/>
      <c r="U561" s="13"/>
      <c r="V561" s="13"/>
      <c r="W561" s="10" t="s">
        <v>153</v>
      </c>
      <c r="X561" s="10" t="s">
        <v>2190</v>
      </c>
      <c r="Y561" s="13"/>
      <c r="Z561" s="10" t="s">
        <v>120</v>
      </c>
      <c r="AA561" s="10" t="s">
        <v>166</v>
      </c>
      <c r="AB561" s="10" t="s">
        <v>127</v>
      </c>
      <c r="AC561" s="10" t="s">
        <v>155</v>
      </c>
      <c r="AD561" s="10" t="s">
        <v>155</v>
      </c>
      <c r="AE561" s="10" t="s">
        <v>66</v>
      </c>
      <c r="AF561" s="10"/>
      <c r="AG561" s="13"/>
    </row>
    <row r="562" ht="15" customHeight="1">
      <c r="A562" s="10" t="s">
        <v>2188</v>
      </c>
      <c r="B562" s="13"/>
      <c r="C562" s="10"/>
      <c r="D562" s="10" t="s">
        <v>2201</v>
      </c>
      <c r="E562" s="5" t="str">
        <f t="shared" si="86"/>
        <v>Stephan</v>
      </c>
      <c r="F562" s="5"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5" t="str">
        <f t="shared" si="87"/>
        <v>1981</v>
      </c>
      <c r="H562" s="5" t="str">
        <f t="shared" si="88"/>
        <v>Stephan_etal_1981</v>
      </c>
      <c r="I562" s="5" t="str">
        <f t="shared" si="91"/>
        <v>10.1159%2F000155963</v>
      </c>
      <c r="J562" s="5" t="str">
        <f t="shared" si="89"/>
        <v>Stephan_etal_1981_TableVII</v>
      </c>
      <c r="K562" s="5" t="str">
        <f t="shared" si="92"/>
        <v>10.1159%2F000155963_TableVII</v>
      </c>
      <c r="L562" s="5" t="str">
        <f t="array" ref="L562">IFERROR(INDEX(AUTO_Public_TSV_FileList!$A$1:$A$1000,MATCH(TRUE(),EXACT(K562,IFERROR(_xlfn.TEXTBEFORE(AUTO_Public_TSV_FileList!$A$1:$A$1000,".tsv"),"")),0)),"notfound")</f>
        <v>10.1159%2F000155963_TableVII.tsv</v>
      </c>
      <c r="M562" s="10" t="s">
        <v>2202</v>
      </c>
      <c r="N562" s="10" t="s">
        <v>35</v>
      </c>
      <c r="O562" s="13"/>
      <c r="P562" s="10" t="s">
        <v>36</v>
      </c>
      <c r="Q562" s="13"/>
      <c r="R562" s="13"/>
      <c r="S562" s="13"/>
      <c r="T562" s="13"/>
      <c r="U562" s="13"/>
      <c r="V562" s="13"/>
      <c r="W562" s="10" t="s">
        <v>153</v>
      </c>
      <c r="X562" s="10" t="s">
        <v>2190</v>
      </c>
      <c r="Y562" s="13"/>
      <c r="Z562" s="10" t="s">
        <v>120</v>
      </c>
      <c r="AA562" s="10" t="s">
        <v>166</v>
      </c>
      <c r="AB562" s="10" t="s">
        <v>127</v>
      </c>
      <c r="AC562" s="10" t="s">
        <v>155</v>
      </c>
      <c r="AD562" s="10" t="s">
        <v>155</v>
      </c>
      <c r="AE562" s="10" t="s">
        <v>66</v>
      </c>
      <c r="AF562" s="10"/>
      <c r="AG562" s="13"/>
    </row>
    <row r="563" ht="15" customHeight="1">
      <c r="A563" s="10" t="s">
        <v>2188</v>
      </c>
      <c r="B563" s="13"/>
      <c r="C563" s="10"/>
      <c r="D563" s="10" t="s">
        <v>2203</v>
      </c>
      <c r="E563" s="5" t="str">
        <f t="shared" si="86"/>
        <v>Stephan</v>
      </c>
      <c r="F563" s="5"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5" t="str">
        <f t="shared" si="87"/>
        <v>1981</v>
      </c>
      <c r="H563" s="5" t="str">
        <f t="shared" si="88"/>
        <v>Stephan_etal_1981</v>
      </c>
      <c r="I563" s="5" t="str">
        <f t="shared" si="91"/>
        <v>10.1159%2F000155963</v>
      </c>
      <c r="J563" s="5" t="str">
        <f t="shared" si="89"/>
        <v>Stephan_etal_1981_TableVIII</v>
      </c>
      <c r="K563" s="5" t="str">
        <f t="shared" si="92"/>
        <v>10.1159%2F000155963_TableVIII</v>
      </c>
      <c r="L563" s="5" t="str">
        <f t="array" ref="L563">IFERROR(INDEX(AUTO_Public_TSV_FileList!$A$1:$A$1000,MATCH(TRUE(),EXACT(K563,IFERROR(_xlfn.TEXTBEFORE(AUTO_Public_TSV_FileList!$A$1:$A$1000,".tsv"),"")),0)),"notfound")</f>
        <v>10.1159%2F000155963_TableVIII.tsv</v>
      </c>
      <c r="M563" s="10" t="s">
        <v>2204</v>
      </c>
      <c r="N563" s="13"/>
      <c r="O563" s="13"/>
      <c r="P563" s="10" t="s">
        <v>36</v>
      </c>
      <c r="Q563" s="13"/>
      <c r="R563" s="13"/>
      <c r="S563" s="13"/>
      <c r="T563" s="13"/>
      <c r="U563" s="13"/>
      <c r="V563" s="13"/>
      <c r="W563" s="13"/>
      <c r="X563" s="13"/>
      <c r="Y563" s="13"/>
      <c r="Z563" s="13"/>
      <c r="AA563" s="13"/>
      <c r="AB563" s="13"/>
      <c r="AC563" s="13"/>
      <c r="AD563" s="13"/>
      <c r="AE563" s="13"/>
      <c r="AF563" s="13"/>
      <c r="AG563" s="13"/>
    </row>
    <row r="564" ht="15" customHeight="1">
      <c r="A564" s="10" t="s">
        <v>2188</v>
      </c>
      <c r="B564" s="13"/>
      <c r="C564" s="10"/>
      <c r="D564" s="10" t="s">
        <v>2205</v>
      </c>
      <c r="E564" s="5" t="str">
        <f t="shared" si="86"/>
        <v>Stephan</v>
      </c>
      <c r="F564" s="5"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5" t="str">
        <f t="shared" si="87"/>
        <v>1981</v>
      </c>
      <c r="H564" s="5" t="str">
        <f t="shared" si="88"/>
        <v>Stephan_etal_1981</v>
      </c>
      <c r="I564" s="5" t="str">
        <f t="shared" si="91"/>
        <v>10.1159%2F000155963</v>
      </c>
      <c r="J564" s="5" t="str">
        <f t="shared" si="89"/>
        <v>Stephan_etal_1981_TableX</v>
      </c>
      <c r="K564" s="5" t="str">
        <f t="shared" si="92"/>
        <v>10.1159%2F000155963_TableX</v>
      </c>
      <c r="L564" s="5" t="str">
        <f t="array" ref="L564">IFERROR(INDEX(AUTO_Public_TSV_FileList!$A$1:$A$1000,MATCH(TRUE(),EXACT(K564,IFERROR(_xlfn.TEXTBEFORE(AUTO_Public_TSV_FileList!$A$1:$A$1000,".tsv"),"")),0)),"notfound")</f>
        <v>10.1159%2F000155963_TableX.tsv</v>
      </c>
      <c r="M564" s="10" t="s">
        <v>2206</v>
      </c>
      <c r="N564" s="13"/>
      <c r="O564" s="13"/>
      <c r="P564" s="10" t="s">
        <v>36</v>
      </c>
      <c r="Q564" s="13"/>
      <c r="R564" s="13"/>
      <c r="S564" s="13"/>
      <c r="T564" s="13"/>
      <c r="U564" s="13"/>
      <c r="V564" s="13"/>
      <c r="W564" s="13"/>
      <c r="X564" s="13"/>
      <c r="Y564" s="13"/>
      <c r="Z564" s="13"/>
      <c r="AA564" s="13"/>
      <c r="AB564" s="13"/>
      <c r="AC564" s="13"/>
      <c r="AD564" s="13"/>
      <c r="AE564" s="13"/>
      <c r="AF564" s="13"/>
      <c r="AG564" s="13"/>
    </row>
    <row r="565" ht="15" customHeight="1">
      <c r="A565" s="10" t="s">
        <v>2188</v>
      </c>
      <c r="B565" s="13"/>
      <c r="C565" s="13"/>
      <c r="D565" s="10" t="s">
        <v>2207</v>
      </c>
      <c r="E565" s="5" t="str">
        <f t="shared" si="86"/>
        <v>Stephan</v>
      </c>
      <c r="F565" s="5"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5" t="str">
        <f t="shared" si="87"/>
        <v>1981</v>
      </c>
      <c r="H565" s="5" t="str">
        <f t="shared" si="88"/>
        <v>Stephan_etal_1981</v>
      </c>
      <c r="I565" s="5" t="str">
        <f t="shared" si="91"/>
        <v>10.1159%2F000155963</v>
      </c>
      <c r="J565" s="5" t="str">
        <f t="shared" si="89"/>
        <v>Stephan_etal_1981_TableXI</v>
      </c>
      <c r="K565" s="5" t="str">
        <f t="shared" si="92"/>
        <v>10.1159%2F000155963_TableXI</v>
      </c>
      <c r="L565" s="5" t="str">
        <f t="array" ref="L565">IFERROR(INDEX(AUTO_Public_TSV_FileList!$A$1:$A$1000,MATCH(TRUE(),EXACT(K565,IFERROR(_xlfn.TEXTBEFORE(AUTO_Public_TSV_FileList!$A$1:$A$1000,".tsv"),"")),0)),"notfound")</f>
        <v>10.1159%2F000155963_TableXI.tsv</v>
      </c>
      <c r="M565" s="10" t="s">
        <v>2208</v>
      </c>
      <c r="N565" s="10" t="s">
        <v>35</v>
      </c>
      <c r="O565" s="13"/>
      <c r="P565" s="10" t="s">
        <v>36</v>
      </c>
      <c r="Q565" s="13"/>
      <c r="R565" s="13"/>
      <c r="S565" s="13"/>
      <c r="T565" s="13"/>
      <c r="U565" s="13"/>
      <c r="V565" s="13"/>
      <c r="W565" s="10" t="s">
        <v>153</v>
      </c>
      <c r="X565" s="10" t="s">
        <v>2190</v>
      </c>
      <c r="Y565" s="13"/>
      <c r="Z565" s="10" t="s">
        <v>120</v>
      </c>
      <c r="AA565" s="10" t="s">
        <v>166</v>
      </c>
      <c r="AB565" s="10" t="s">
        <v>127</v>
      </c>
      <c r="AC565" s="10" t="s">
        <v>155</v>
      </c>
      <c r="AD565" s="10" t="s">
        <v>155</v>
      </c>
      <c r="AE565" s="10" t="s">
        <v>66</v>
      </c>
      <c r="AF565" s="10"/>
      <c r="AG565" s="13"/>
    </row>
    <row r="566" ht="15" customHeight="1">
      <c r="A566" s="10" t="s">
        <v>2188</v>
      </c>
      <c r="B566" s="13"/>
      <c r="C566" s="13"/>
      <c r="D566" s="10" t="s">
        <v>2209</v>
      </c>
      <c r="E566" s="5" t="str">
        <f t="shared" si="86"/>
        <v>Stephan</v>
      </c>
      <c r="F566" s="5"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5" t="str">
        <f t="shared" si="87"/>
        <v>1981</v>
      </c>
      <c r="H566" s="5" t="str">
        <f t="shared" si="88"/>
        <v>Stephan_etal_1981</v>
      </c>
      <c r="I566" s="5" t="str">
        <f t="shared" si="91"/>
        <v>10.1159%2F000155963</v>
      </c>
      <c r="J566" s="5" t="str">
        <f t="shared" si="89"/>
        <v>Stephan_etal_1981_TableXII</v>
      </c>
      <c r="K566" s="5" t="str">
        <f t="shared" si="92"/>
        <v>10.1159%2F000155963_TableXII</v>
      </c>
      <c r="L566" s="5" t="str">
        <f t="array" ref="L566">IFERROR(INDEX(AUTO_Public_TSV_FileList!$A$1:$A$1000,MATCH(TRUE(),EXACT(K566,IFERROR(_xlfn.TEXTBEFORE(AUTO_Public_TSV_FileList!$A$1:$A$1000,".tsv"),"")),0)),"notfound")</f>
        <v>10.1159%2F000155963_TableXII.tsv</v>
      </c>
      <c r="M566" s="10" t="s">
        <v>2210</v>
      </c>
      <c r="N566" s="10" t="s">
        <v>35</v>
      </c>
      <c r="O566" s="13"/>
      <c r="P566" s="10" t="s">
        <v>36</v>
      </c>
      <c r="Q566" s="13"/>
      <c r="R566" s="13"/>
      <c r="S566" s="13"/>
      <c r="T566" s="13"/>
      <c r="U566" s="13"/>
      <c r="V566" s="13"/>
      <c r="W566" s="10" t="s">
        <v>153</v>
      </c>
      <c r="X566" s="10" t="s">
        <v>2190</v>
      </c>
      <c r="Y566" s="13"/>
      <c r="Z566" s="10" t="s">
        <v>120</v>
      </c>
      <c r="AA566" s="10" t="s">
        <v>166</v>
      </c>
      <c r="AB566" s="10" t="s">
        <v>127</v>
      </c>
      <c r="AC566" s="10" t="s">
        <v>155</v>
      </c>
      <c r="AD566" s="10" t="s">
        <v>155</v>
      </c>
      <c r="AE566" s="10" t="s">
        <v>66</v>
      </c>
      <c r="AF566" s="10"/>
      <c r="AG566" s="13"/>
    </row>
    <row r="567" ht="15" customHeight="1">
      <c r="A567" s="10" t="s">
        <v>2188</v>
      </c>
      <c r="B567" s="13"/>
      <c r="C567" s="13"/>
      <c r="D567" s="10" t="s">
        <v>2211</v>
      </c>
      <c r="E567" s="5" t="str">
        <f t="shared" si="86"/>
        <v>Stephan</v>
      </c>
      <c r="F567" s="5"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5" t="str">
        <f t="shared" si="87"/>
        <v>1981</v>
      </c>
      <c r="H567" s="5" t="str">
        <f t="shared" si="88"/>
        <v>Stephan_etal_1981</v>
      </c>
      <c r="I567" s="5" t="str">
        <f t="shared" si="91"/>
        <v>10.1159%2F000155963</v>
      </c>
      <c r="J567" s="5" t="str">
        <f t="shared" si="89"/>
        <v>Stephan_etal_1981_TableXIII</v>
      </c>
      <c r="K567" s="5" t="str">
        <f t="shared" si="92"/>
        <v>10.1159%2F000155963_TableXIII</v>
      </c>
      <c r="L567" s="5" t="str">
        <f t="array" ref="L567">IFERROR(INDEX(AUTO_Public_TSV_FileList!$A$1:$A$1000,MATCH(TRUE(),EXACT(K567,IFERROR(_xlfn.TEXTBEFORE(AUTO_Public_TSV_FileList!$A$1:$A$1000,".tsv"),"")),0)),"notfound")</f>
        <v>10.1159%2F000155963_TableXIII.tsv</v>
      </c>
      <c r="M567" s="10" t="s">
        <v>2212</v>
      </c>
      <c r="N567" s="10" t="s">
        <v>35</v>
      </c>
      <c r="O567" s="13"/>
      <c r="P567" s="10" t="s">
        <v>36</v>
      </c>
      <c r="Q567" s="13"/>
      <c r="R567" s="13"/>
      <c r="S567" s="13"/>
      <c r="T567" s="13"/>
      <c r="U567" s="13"/>
      <c r="V567" s="13"/>
      <c r="W567" s="10" t="s">
        <v>153</v>
      </c>
      <c r="X567" s="10" t="s">
        <v>2190</v>
      </c>
      <c r="Y567" s="13"/>
      <c r="Z567" s="10" t="s">
        <v>120</v>
      </c>
      <c r="AA567" s="10" t="s">
        <v>166</v>
      </c>
      <c r="AB567" s="10" t="s">
        <v>127</v>
      </c>
      <c r="AC567" s="10" t="s">
        <v>155</v>
      </c>
      <c r="AD567" s="10" t="s">
        <v>155</v>
      </c>
      <c r="AE567" s="10" t="s">
        <v>66</v>
      </c>
      <c r="AF567" s="10"/>
      <c r="AG567" s="13"/>
    </row>
    <row r="568" ht="15" customHeight="1">
      <c r="A568" s="10" t="s">
        <v>2188</v>
      </c>
      <c r="B568" s="13"/>
      <c r="C568" s="13"/>
      <c r="D568" s="10" t="s">
        <v>2213</v>
      </c>
      <c r="E568" s="5" t="str">
        <f t="shared" si="86"/>
        <v>Stephan</v>
      </c>
      <c r="F568" s="5"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5" t="str">
        <f t="shared" si="87"/>
        <v>1981</v>
      </c>
      <c r="H568" s="5" t="str">
        <f t="shared" si="88"/>
        <v>Stephan_etal_1981</v>
      </c>
      <c r="I568" s="5" t="str">
        <f t="shared" si="91"/>
        <v>10.1159%2F000155963</v>
      </c>
      <c r="J568" s="5" t="str">
        <f t="shared" si="89"/>
        <v>Stephan_etal_1981_TableXIV</v>
      </c>
      <c r="K568" s="5" t="str">
        <f t="shared" si="92"/>
        <v>10.1159%2F000155963_TableXIV</v>
      </c>
      <c r="L568" s="5" t="str">
        <f t="array" ref="L568">IFERROR(INDEX(AUTO_Public_TSV_FileList!$A$1:$A$1000,MATCH(TRUE(),EXACT(K568,IFERROR(_xlfn.TEXTBEFORE(AUTO_Public_TSV_FileList!$A$1:$A$1000,".tsv"),"")),0)),"notfound")</f>
        <v>10.1159%2F000155963_TableXIV.tsv</v>
      </c>
      <c r="M568" s="10" t="s">
        <v>2214</v>
      </c>
      <c r="N568" s="10" t="s">
        <v>35</v>
      </c>
      <c r="O568" s="13"/>
      <c r="P568" s="10" t="s">
        <v>36</v>
      </c>
      <c r="Q568" s="13"/>
      <c r="R568" s="13"/>
      <c r="S568" s="13"/>
      <c r="T568" s="13"/>
      <c r="U568" s="13"/>
      <c r="V568" s="13"/>
      <c r="W568" s="10" t="s">
        <v>153</v>
      </c>
      <c r="X568" s="10" t="s">
        <v>2190</v>
      </c>
      <c r="Y568" s="13"/>
      <c r="Z568" s="10" t="s">
        <v>120</v>
      </c>
      <c r="AA568" s="10" t="s">
        <v>166</v>
      </c>
      <c r="AB568" s="10" t="s">
        <v>127</v>
      </c>
      <c r="AC568" s="10" t="s">
        <v>155</v>
      </c>
      <c r="AD568" s="10" t="s">
        <v>155</v>
      </c>
      <c r="AE568" s="10" t="s">
        <v>66</v>
      </c>
      <c r="AF568" s="10"/>
      <c r="AG568" s="13"/>
    </row>
    <row r="569" ht="15" customHeight="1">
      <c r="A569" s="10" t="s">
        <v>2188</v>
      </c>
      <c r="B569" s="13"/>
      <c r="C569" s="13"/>
      <c r="D569" s="10" t="s">
        <v>2215</v>
      </c>
      <c r="E569" s="5" t="str">
        <f t="shared" si="86"/>
        <v>Stephan</v>
      </c>
      <c r="F569" s="5"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5" t="str">
        <f t="shared" si="87"/>
        <v>1981</v>
      </c>
      <c r="H569" s="5" t="str">
        <f t="shared" si="88"/>
        <v>Stephan_etal_1981</v>
      </c>
      <c r="I569" s="5" t="str">
        <f t="shared" si="91"/>
        <v>10.1159%2F000155963</v>
      </c>
      <c r="J569" s="5" t="str">
        <f t="shared" si="89"/>
        <v>Stephan_etal_1981_TableXV</v>
      </c>
      <c r="K569" s="5" t="str">
        <f t="shared" si="92"/>
        <v>10.1159%2F000155963_TableXV</v>
      </c>
      <c r="L569" s="5" t="str">
        <f t="array" ref="L569">IFERROR(INDEX(AUTO_Public_TSV_FileList!$A$1:$A$1000,MATCH(TRUE(),EXACT(K569,IFERROR(_xlfn.TEXTBEFORE(AUTO_Public_TSV_FileList!$A$1:$A$1000,".tsv"),"")),0)),"notfound")</f>
        <v>10.1159%2F000155963_TableXV.tsv</v>
      </c>
      <c r="M569" s="10" t="s">
        <v>2216</v>
      </c>
      <c r="N569" s="10" t="s">
        <v>35</v>
      </c>
      <c r="O569" s="13"/>
      <c r="P569" s="10" t="s">
        <v>36</v>
      </c>
      <c r="Q569" s="13"/>
      <c r="R569" s="13"/>
      <c r="S569" s="13"/>
      <c r="T569" s="13"/>
      <c r="U569" s="13"/>
      <c r="V569" s="13"/>
      <c r="W569" s="10" t="s">
        <v>153</v>
      </c>
      <c r="X569" s="10" t="s">
        <v>2190</v>
      </c>
      <c r="Y569" s="13"/>
      <c r="Z569" s="10" t="s">
        <v>120</v>
      </c>
      <c r="AA569" s="10" t="s">
        <v>166</v>
      </c>
      <c r="AB569" s="10" t="s">
        <v>127</v>
      </c>
      <c r="AC569" s="10" t="s">
        <v>155</v>
      </c>
      <c r="AD569" s="10" t="s">
        <v>155</v>
      </c>
      <c r="AE569" s="10" t="s">
        <v>66</v>
      </c>
      <c r="AF569" s="10"/>
      <c r="AG569" s="13"/>
    </row>
    <row r="570" ht="15" customHeight="1">
      <c r="A570" s="10" t="s">
        <v>2188</v>
      </c>
      <c r="B570" s="13"/>
      <c r="C570" s="13"/>
      <c r="D570" s="10" t="s">
        <v>2217</v>
      </c>
      <c r="E570" s="5" t="str">
        <f t="shared" si="86"/>
        <v>Stephan</v>
      </c>
      <c r="F570" s="5"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5" t="str">
        <f t="shared" si="87"/>
        <v>1981</v>
      </c>
      <c r="H570" s="5" t="str">
        <f t="shared" si="88"/>
        <v>Stephan_etal_1981</v>
      </c>
      <c r="I570" s="5" t="str">
        <f t="shared" si="91"/>
        <v>10.1159%2F000155963</v>
      </c>
      <c r="J570" s="5" t="str">
        <f t="shared" si="89"/>
        <v>Stephan_etal_1981_TableXVI</v>
      </c>
      <c r="K570" s="5" t="str">
        <f t="shared" si="92"/>
        <v>10.1159%2F000155963_TableXVI</v>
      </c>
      <c r="L570" s="5" t="str">
        <f t="array" ref="L570">IFERROR(INDEX(AUTO_Public_TSV_FileList!$A$1:$A$1000,MATCH(TRUE(),EXACT(K570,IFERROR(_xlfn.TEXTBEFORE(AUTO_Public_TSV_FileList!$A$1:$A$1000,".tsv"),"")),0)),"notfound")</f>
        <v>10.1159%2F000155963_TableXVI.tsv</v>
      </c>
      <c r="M570" s="10" t="s">
        <v>2218</v>
      </c>
      <c r="N570" s="10" t="s">
        <v>35</v>
      </c>
      <c r="O570" s="13"/>
      <c r="P570" s="10" t="s">
        <v>36</v>
      </c>
      <c r="Q570" s="13"/>
      <c r="R570" s="13"/>
      <c r="S570" s="13"/>
      <c r="T570" s="13"/>
      <c r="U570" s="13"/>
      <c r="V570" s="13"/>
      <c r="W570" s="10" t="s">
        <v>153</v>
      </c>
      <c r="X570" s="10" t="s">
        <v>2190</v>
      </c>
      <c r="Y570" s="13"/>
      <c r="Z570" s="10" t="s">
        <v>120</v>
      </c>
      <c r="AA570" s="10" t="s">
        <v>166</v>
      </c>
      <c r="AB570" s="10" t="s">
        <v>127</v>
      </c>
      <c r="AC570" s="10" t="s">
        <v>155</v>
      </c>
      <c r="AD570" s="10" t="s">
        <v>155</v>
      </c>
      <c r="AE570" s="10" t="s">
        <v>66</v>
      </c>
      <c r="AF570" s="10"/>
      <c r="AG570" s="13"/>
    </row>
    <row r="571" ht="15" customHeight="1">
      <c r="A571" s="10" t="s">
        <v>2219</v>
      </c>
      <c r="B571" s="13"/>
      <c r="C571" s="13"/>
      <c r="D571" s="10" t="s">
        <v>2220</v>
      </c>
      <c r="E571" s="5" t="str">
        <f t="shared" si="86"/>
        <v>Stimpson</v>
      </c>
      <c r="F571" s="5"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5" t="str">
        <f t="shared" si="87"/>
        <v>2015</v>
      </c>
      <c r="H571" s="5" t="str">
        <f t="shared" si="88"/>
        <v>Stimpson_etal_2015</v>
      </c>
      <c r="I571" s="5" t="str">
        <f t="shared" si="91"/>
        <v>10.1093%2Fscan%2Fnsv128</v>
      </c>
      <c r="J571" s="5" t="str">
        <f t="shared" si="89"/>
        <v>Stimpson_etal_2015_TableS1</v>
      </c>
      <c r="K571" s="5" t="str">
        <f t="shared" si="92"/>
        <v>10.1093%2Fscan%2Fnsv128_TableS1</v>
      </c>
      <c r="L571" s="5" t="str">
        <f t="array" ref="L571">IFERROR(INDEX(AUTO_Public_TSV_FileList!$A$1:$A$1000,MATCH(TRUE(),EXACT(K571,IFERROR(_xlfn.TEXTBEFORE(AUTO_Public_TSV_FileList!$A$1:$A$1000,".tsv"),"")),0)),"notfound")</f>
        <v>10.1093%2Fscan%2Fnsv128_TableS1.tsv</v>
      </c>
      <c r="M571" s="10" t="s">
        <v>2220</v>
      </c>
      <c r="N571" s="10" t="s">
        <v>35</v>
      </c>
      <c r="O571" s="13"/>
      <c r="P571" s="10" t="s">
        <v>36</v>
      </c>
      <c r="Q571" s="13"/>
      <c r="R571" s="13"/>
      <c r="S571" s="13"/>
      <c r="T571" s="13"/>
      <c r="U571" s="13"/>
      <c r="V571" s="13"/>
      <c r="W571" s="13"/>
      <c r="X571" s="13"/>
      <c r="Y571" s="13"/>
      <c r="Z571" s="10" t="s">
        <v>120</v>
      </c>
      <c r="AA571" s="10" t="s">
        <v>166</v>
      </c>
      <c r="AB571" s="10" t="s">
        <v>127</v>
      </c>
      <c r="AC571" s="10" t="s">
        <v>2049</v>
      </c>
      <c r="AD571" s="10" t="s">
        <v>2049</v>
      </c>
      <c r="AE571" s="10" t="s">
        <v>66</v>
      </c>
      <c r="AF571" s="10"/>
      <c r="AG571" s="13"/>
    </row>
    <row r="572" ht="15" customHeight="1">
      <c r="A572" s="10" t="s">
        <v>2219</v>
      </c>
      <c r="B572" s="13"/>
      <c r="C572" s="13"/>
      <c r="D572" s="10" t="s">
        <v>2221</v>
      </c>
      <c r="E572" s="5" t="str">
        <f t="shared" si="86"/>
        <v>Stimpson</v>
      </c>
      <c r="F572" s="5"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5" t="str">
        <f t="shared" si="87"/>
        <v>2015</v>
      </c>
      <c r="H572" s="5" t="str">
        <f t="shared" si="88"/>
        <v>Stimpson_etal_2015</v>
      </c>
      <c r="I572" s="5" t="str">
        <f t="shared" si="91"/>
        <v>10.1093%2Fscan%2Fnsv128</v>
      </c>
      <c r="J572" s="5" t="str">
        <f t="shared" si="89"/>
        <v>Stimpson_etal_2015_TableS2</v>
      </c>
      <c r="K572" s="5" t="str">
        <f t="shared" si="92"/>
        <v>10.1093%2Fscan%2Fnsv128_TableS2</v>
      </c>
      <c r="L572" s="5" t="str">
        <f t="array" ref="L572">IFERROR(INDEX(AUTO_Public_TSV_FileList!$A$1:$A$1000,MATCH(TRUE(),EXACT(K572,IFERROR(_xlfn.TEXTBEFORE(AUTO_Public_TSV_FileList!$A$1:$A$1000,".tsv"),"")),0)),"notfound")</f>
        <v>10.1093%2Fscan%2Fnsv128_TableS2.tsv</v>
      </c>
      <c r="M572" s="10" t="s">
        <v>2221</v>
      </c>
      <c r="N572" s="10" t="s">
        <v>35</v>
      </c>
      <c r="O572" s="13"/>
      <c r="P572" s="10" t="s">
        <v>36</v>
      </c>
      <c r="Q572" s="13"/>
      <c r="R572" s="13"/>
      <c r="S572" s="13"/>
      <c r="T572" s="13"/>
      <c r="U572" s="13"/>
      <c r="V572" s="13"/>
      <c r="W572" s="13"/>
      <c r="X572" s="13"/>
      <c r="Y572" s="13"/>
      <c r="Z572" s="10" t="s">
        <v>120</v>
      </c>
      <c r="AA572" s="10" t="s">
        <v>166</v>
      </c>
      <c r="AB572" s="10" t="s">
        <v>127</v>
      </c>
      <c r="AC572" s="10" t="s">
        <v>2049</v>
      </c>
      <c r="AD572" s="10" t="s">
        <v>2049</v>
      </c>
      <c r="AE572" s="10" t="s">
        <v>66</v>
      </c>
      <c r="AF572" s="10"/>
      <c r="AG572" s="13"/>
    </row>
    <row r="573" ht="15" customHeight="1">
      <c r="A573" s="10" t="s">
        <v>2222</v>
      </c>
      <c r="B573" s="13"/>
      <c r="C573" s="13"/>
      <c r="D573" s="10" t="s">
        <v>2223</v>
      </c>
      <c r="E573" s="5" t="str">
        <f t="shared" si="86"/>
        <v>Taniguchi</v>
      </c>
      <c r="F573" s="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5" t="str">
        <f t="shared" si="87"/>
        <v>2022</v>
      </c>
      <c r="H573" s="5" t="str">
        <f t="shared" si="88"/>
        <v>Taniguchi_etal_2022</v>
      </c>
      <c r="I573" s="5" t="str">
        <f t="shared" si="91"/>
        <v>10.1371%2Fjournal.pone.0274170</v>
      </c>
      <c r="J573" s="5" t="str">
        <f t="shared" si="89"/>
        <v>Taniguchi_etal_2022_Findings</v>
      </c>
      <c r="K573" s="5" t="str">
        <f t="shared" si="92"/>
        <v>10.1371%2Fjournal.pone.0274170_Findings</v>
      </c>
      <c r="L573" s="5" t="str">
        <f t="array" ref="L573">IFERROR(INDEX(AUTO_Public_TSV_FileList!$A$1:$A$1000,MATCH(TRUE(),EXACT(K573,IFERROR(_xlfn.TEXTBEFORE(AUTO_Public_TSV_FileList!$A$1:$A$1000,".tsv"),"")),0)),"notfound")</f>
        <v>10.1371%2Fjournal.pone.0274170_Findings.tsv</v>
      </c>
      <c r="M573" s="10"/>
      <c r="N573" s="10"/>
      <c r="O573" s="13"/>
      <c r="P573" s="10"/>
      <c r="Q573" s="13"/>
      <c r="R573" s="13"/>
      <c r="S573" s="13"/>
      <c r="T573" s="13"/>
      <c r="U573" s="13"/>
      <c r="V573" s="13"/>
      <c r="W573" s="13"/>
      <c r="X573" s="13"/>
      <c r="Y573" s="13"/>
      <c r="Z573" s="10"/>
      <c r="AA573" s="10"/>
      <c r="AB573" s="10"/>
      <c r="AC573" s="10"/>
      <c r="AD573" s="10"/>
      <c r="AE573" s="10"/>
      <c r="AF573" s="10"/>
      <c r="AG573" s="13"/>
    </row>
    <row r="574" ht="15" customHeight="1">
      <c r="A574" t="s">
        <v>2224</v>
      </c>
      <c r="D574" t="s">
        <v>68</v>
      </c>
      <c r="E574" s="3" t="str">
        <f t="shared" si="86"/>
        <v>Terhune</v>
      </c>
      <c r="F574" s="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4" s="5" t="str">
        <f t="shared" si="87"/>
        <v>1972</v>
      </c>
      <c r="H574" s="3" t="str">
        <f t="shared" si="88"/>
        <v>Terhune_Ronald_1972</v>
      </c>
      <c r="I574" s="3" t="str">
        <f>_xlfn.LET(_xlpm.doi,IF(C574&lt;&gt;"",C574,_xlfn.TEXTAFTER(A574,"https://doi.org/")),SUBSTITUTE(SUBSTITUTE(SUBSTITUTE(SUBSTITUTE(_xlpm.doi,"/","%2F"),":","%3A"),"&lt;","%3C"),"&gt;","%3E"))</f>
        <v>10.1139%2Fz72-077</v>
      </c>
      <c r="J574" s="3" t="str">
        <f t="shared" si="89"/>
        <v>Terhune_Ronald_1972_Table1</v>
      </c>
      <c r="K574" s="5" t="str">
        <f t="shared" si="92"/>
        <v>10.1139%2Fz72-077_Table1</v>
      </c>
      <c r="L574" s="5" t="str">
        <f t="array" ref="L574">IFERROR(INDEX(AUTO_Public_TSV_FileList!$A$1:$A$1000,MATCH(TRUE(),EXACT(K574,IFERROR(_xlfn.TEXTBEFORE(AUTO_Public_TSV_FileList!$A$1:$A$1000,".tsv"),"")),0)),"notfound")</f>
        <v>10.1139%2Fz72-077_Table1.tsv</v>
      </c>
      <c r="M574" t="s">
        <v>2225</v>
      </c>
      <c r="N574" t="s">
        <v>70</v>
      </c>
      <c r="O574" t="s">
        <v>1284</v>
      </c>
      <c r="P574" t="s">
        <v>72</v>
      </c>
    </row>
    <row r="575" ht="15" customHeight="1">
      <c r="A575" t="s">
        <v>2226</v>
      </c>
      <c r="D575" t="s">
        <v>68</v>
      </c>
      <c r="E575" s="3" t="str">
        <f t="shared" si="86"/>
        <v>Terhune</v>
      </c>
      <c r="F575" s="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5" t="str">
        <f t="shared" si="87"/>
        <v>1975</v>
      </c>
      <c r="H575" s="3" t="str">
        <f t="shared" si="88"/>
        <v>Terhune_Ronald_1975</v>
      </c>
      <c r="I575" s="3" t="str">
        <f>_xlfn.LET(_xlpm.doi,IF(C575&lt;&gt;"",C575,_xlfn.TEXTAFTER(A575,"https://doi.org/")),SUBSTITUTE(SUBSTITUTE(SUBSTITUTE(SUBSTITUTE(_xlpm.doi,"/","%2F"),":","%3A"),"&lt;","%3C"),"&gt;","%3E"))</f>
        <v>10.1139%2Fz75-028</v>
      </c>
      <c r="J575" s="3" t="str">
        <f t="shared" si="89"/>
        <v>Terhune_Ronald_1975_Table1</v>
      </c>
      <c r="K575" s="5" t="str">
        <f t="shared" si="92"/>
        <v>10.1139%2Fz75-028_Table1</v>
      </c>
      <c r="L575" s="5" t="str">
        <f t="array" ref="L575">IFERROR(INDEX(AUTO_Public_TSV_FileList!$A$1:$A$1000,MATCH(TRUE(),EXACT(K575,IFERROR(_xlfn.TEXTBEFORE(AUTO_Public_TSV_FileList!$A$1:$A$1000,".tsv"),"")),0)),"notfound")</f>
        <v>10.1139%2Fz75-028_Table1.tsv</v>
      </c>
      <c r="M575" t="s">
        <v>2227</v>
      </c>
      <c r="N575" t="s">
        <v>70</v>
      </c>
      <c r="O575" t="s">
        <v>2228</v>
      </c>
      <c r="P575" t="s">
        <v>72</v>
      </c>
    </row>
    <row r="576" ht="15" customHeight="1">
      <c r="A576" t="s">
        <v>2229</v>
      </c>
      <c r="D576" t="s">
        <v>305</v>
      </c>
      <c r="E576" s="3" t="str">
        <f t="shared" si="86"/>
        <v>Thomas</v>
      </c>
      <c r="F576" s="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5" t="str">
        <f t="shared" si="87"/>
        <v>1988</v>
      </c>
      <c r="H576" s="3" t="str">
        <f t="shared" si="88"/>
        <v>Thomas_etal_1988</v>
      </c>
      <c r="I576" s="3" t="str">
        <f>_xlfn.LET(_xlpm.doi,IF(C576&lt;&gt;"",C576,_xlfn.TEXTAFTER(A576,"https://doi.org/")),SUBSTITUTE(SUBSTITUTE(SUBSTITUTE(SUBSTITUTE(_xlpm.doi,"/","%2F"),":","%3A"),"&lt;","%3C"),"&gt;","%3E"))</f>
        <v>10.1121%2F1.396662</v>
      </c>
      <c r="J576" s="3" t="str">
        <f t="shared" si="89"/>
        <v>Thomas_etal_1988_TableI</v>
      </c>
      <c r="K576" s="5" t="str">
        <f t="shared" si="92"/>
        <v>10.1121%2F1.396662_TableI</v>
      </c>
      <c r="L576" s="5" t="str">
        <f t="array" ref="L576">IFERROR(INDEX(AUTO_Public_TSV_FileList!$A$1:$A$1000,MATCH(TRUE(),EXACT(K576,IFERROR(_xlfn.TEXTBEFORE(AUTO_Public_TSV_FileList!$A$1:$A$1000,".tsv"),"")),0)),"notfound")</f>
        <v>10.1121%2F1.396662_TableI.tsv</v>
      </c>
      <c r="M576" t="s">
        <v>2230</v>
      </c>
      <c r="N576" t="s">
        <v>70</v>
      </c>
      <c r="O576" t="s">
        <v>1284</v>
      </c>
      <c r="P576" t="s">
        <v>72</v>
      </c>
    </row>
    <row r="577" ht="15" customHeight="1">
      <c r="A577" s="10" t="s">
        <v>2231</v>
      </c>
      <c r="B577" s="13"/>
      <c r="C577" s="13"/>
      <c r="D577" s="10" t="s">
        <v>2232</v>
      </c>
      <c r="E577" s="5" t="str">
        <f t="shared" si="86"/>
        <v>Todorov</v>
      </c>
      <c r="F577" s="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5" t="str">
        <f t="shared" si="87"/>
        <v>2019</v>
      </c>
      <c r="H577" s="5" t="str">
        <f t="shared" si="88"/>
        <v>Todorov_etal_2019</v>
      </c>
      <c r="I577" s="5" t="str">
        <f>_xlfn.LET(
_xlpm.doi,IF(C577&lt;&gt;"",C577,_xlfn.TEXTAFTER(A577,"https://doi.org/")),
SUBSTITUTE(
SUBSTITUTE(
SUBSTITUTE(
SUBSTITUTE(
_xlpm.doi,
"/","%2F"),
":","%3A"),
"&lt;","%3C"),
"&gt;","%3E")
)</f>
        <v>10.1098%2Frspb.2019.1712</v>
      </c>
      <c r="J577" s="5" t="str">
        <f t="shared" si="89"/>
        <v>Todorov_etal_2019_rspb20191712si001</v>
      </c>
      <c r="K577" s="5" t="str">
        <f t="shared" si="92"/>
        <v>10.1098%2Frspb.2019.1712_rspb20191712si001</v>
      </c>
      <c r="L577" s="5" t="str">
        <f t="array" ref="L577">IFERROR(INDEX(AUTO_Public_TSV_FileList!$A$1:$A$1000,MATCH(TRUE(),EXACT(K577,IFERROR(_xlfn.TEXTBEFORE(AUTO_Public_TSV_FileList!$A$1:$A$1000,".tsv"),"")),0)),"notfound")</f>
        <v>notfound</v>
      </c>
      <c r="M577" s="10" t="s">
        <v>2233</v>
      </c>
      <c r="N577" s="10"/>
      <c r="O577" s="13"/>
      <c r="P577" s="10"/>
      <c r="Q577" s="13"/>
      <c r="R577" s="13"/>
      <c r="S577" s="13"/>
      <c r="T577" s="13"/>
      <c r="U577" s="13"/>
      <c r="V577" s="13"/>
      <c r="W577" s="13"/>
      <c r="X577" s="13"/>
      <c r="Y577" s="13"/>
      <c r="Z577" s="10"/>
      <c r="AA577" s="10"/>
      <c r="AB577" s="10"/>
      <c r="AC577" s="10"/>
      <c r="AD577" s="10"/>
      <c r="AE577" s="10"/>
      <c r="AF577" s="10"/>
      <c r="AG577" s="13"/>
    </row>
    <row r="578" ht="15" customHeight="1">
      <c r="A578" s="2" t="s">
        <v>2234</v>
      </c>
      <c r="B578" s="2"/>
      <c r="C578" s="2" t="s">
        <v>2235</v>
      </c>
      <c r="D578" s="2" t="s">
        <v>2236</v>
      </c>
      <c r="E578" s="3" t="str">
        <f t="shared" ref="E578:E614" si="93">SUBSTITUTE(SUBSTITUTE(_xlfn.TEXTBEFORE(A578,","), "-", ""), " ", "")</f>
        <v>Tschudin</v>
      </c>
      <c r="F578" s="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78" s="5" t="str">
        <f t="shared" ref="G578:G614" si="94">_xlfn.TEXTBEFORE(_xlfn.TEXTAFTER(A578, "("), ")")</f>
        <v>1998</v>
      </c>
      <c r="H578" s="3" t="str">
        <f t="shared" ref="H578:H614" si="95">E578 &amp; IF(F578&lt;&gt;"", "_" &amp; F578, "_") &amp; IF(G578&lt;&gt;"", "_" &amp; G578, "_") &amp; IF(B578&lt;&gt;"", "_" &amp; B578, "")</f>
        <v>Tschudin__1998</v>
      </c>
      <c r="I578" s="3" t="str">
        <f>_xlfn.LET(_xlpm.doi,IF(C578&lt;&gt;"",C578,_xlfn.TEXTAFTER(A578,"https://doi.org/")),SUBSTITUTE(SUBSTITUTE(SUBSTITUTE(SUBSTITUTE(_xlpm.doi,"/","%2F"),":","%3A"),"&lt;","%3C"),"&gt;","%3E"))</f>
        <v>CorpusID%3A142614626</v>
      </c>
      <c r="J578" s="3" t="str">
        <f t="shared" ref="J578:J614" si="96">TRIM(_xlfn.TEXTJOIN("_",FALSE(),H578,(SUBSTITUTE(SUBSTITUTE(D578," ",""), "_", ""))))</f>
        <v>Tschudin__1998_Table2.5</v>
      </c>
      <c r="K578" s="3" t="str">
        <f t="shared" si="92"/>
        <v>CorpusID%3A142614626_Table2.5</v>
      </c>
      <c r="L578" s="5" t="str">
        <f t="array" ref="L578">IFERROR(INDEX(AUTO_Public_TSV_FileList!$A$1:$A$1000,MATCH(TRUE(),EXACT(K578,IFERROR(_xlfn.TEXTBEFORE(AUTO_Public_TSV_FileList!$A$1:$A$1000,".tsv"),"")),0)),"notfound")</f>
        <v>CorpusID%3A142614626_Table2.5.tsv</v>
      </c>
      <c r="M578" s="2" t="s">
        <v>2237</v>
      </c>
      <c r="N578" s="10" t="s">
        <v>35</v>
      </c>
      <c r="O578" s="13" t="s">
        <v>2238</v>
      </c>
      <c r="P578" s="2" t="s">
        <v>36</v>
      </c>
      <c r="Q578" s="2"/>
      <c r="R578" s="2"/>
      <c r="S578" s="2" t="s">
        <v>722</v>
      </c>
      <c r="T578" s="2" t="s">
        <v>723</v>
      </c>
      <c r="U578" s="2"/>
      <c r="V578" s="2" t="s">
        <v>724</v>
      </c>
      <c r="W578" s="2" t="s">
        <v>1712</v>
      </c>
      <c r="X578" s="2" t="s">
        <v>2239</v>
      </c>
      <c r="Y578" s="2"/>
      <c r="Z578" s="2"/>
      <c r="AA578" s="2" t="s">
        <v>2240</v>
      </c>
      <c r="AB578" s="2" t="s">
        <v>2241</v>
      </c>
      <c r="AC578" s="13"/>
      <c r="AD578" s="2"/>
      <c r="AE578" s="2" t="s">
        <v>66</v>
      </c>
      <c r="AF578" s="2"/>
      <c r="AG578" s="2" t="s">
        <v>2242</v>
      </c>
    </row>
    <row r="579" ht="15" customHeight="1">
      <c r="A579" s="10" t="s">
        <v>2243</v>
      </c>
      <c r="B579" s="13"/>
      <c r="C579" s="13"/>
      <c r="D579" s="10" t="s">
        <v>68</v>
      </c>
      <c r="E579" s="5" t="str">
        <f t="shared" si="93"/>
        <v>Turner</v>
      </c>
      <c r="F579" s="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5" t="str">
        <f t="shared" si="94"/>
        <v>2016</v>
      </c>
      <c r="H579" s="5" t="str">
        <f t="shared" si="95"/>
        <v>Turner_etal_2016</v>
      </c>
      <c r="I579" s="5" t="str">
        <f>_xlfn.LET(
_xlpm.doi,IF(C579&lt;&gt;"",C579,_xlfn.TEXTAFTER(A579,"https://doi.org/")),
SUBSTITUTE(
SUBSTITUTE(
SUBSTITUTE(
SUBSTITUTE(
_xlpm.doi,
"/","%2F"),
":","%3A"),
"&lt;","%3C"),
"&gt;","%3E")
)</f>
        <v>10.1159%2F000446762</v>
      </c>
      <c r="J579" s="5" t="str">
        <f t="shared" si="96"/>
        <v>Turner_etal_2016_Table1</v>
      </c>
      <c r="K579" s="5" t="str">
        <f t="shared" si="92"/>
        <v>10.1159%2F000446762_Table1</v>
      </c>
      <c r="L579" s="5" t="str">
        <f t="array" ref="L579">IFERROR(INDEX(AUTO_Public_TSV_FileList!$A$1:$A$1000,MATCH(TRUE(),EXACT(K579,IFERROR(_xlfn.TEXTBEFORE(AUTO_Public_TSV_FileList!$A$1:$A$1000,".tsv"),"")),0)),"notfound")</f>
        <v>10.1159%2F000446762_Table1.tsv</v>
      </c>
      <c r="M579" s="10" t="s">
        <v>2244</v>
      </c>
      <c r="N579" s="13"/>
      <c r="O579" s="13"/>
      <c r="P579" s="13" t="s">
        <v>36</v>
      </c>
      <c r="Q579" s="13"/>
      <c r="R579" s="13"/>
      <c r="S579" s="13"/>
      <c r="T579" s="13"/>
      <c r="U579" s="13"/>
      <c r="V579" s="13"/>
      <c r="W579" s="10" t="s">
        <v>174</v>
      </c>
      <c r="X579" s="10" t="s">
        <v>2245</v>
      </c>
      <c r="Y579" s="13"/>
      <c r="Z579" s="13"/>
      <c r="AA579" s="13"/>
      <c r="AB579" s="10" t="s">
        <v>214</v>
      </c>
      <c r="AC579" s="13"/>
      <c r="AD579" s="13"/>
      <c r="AE579" s="10" t="s">
        <v>66</v>
      </c>
      <c r="AF579" s="10"/>
      <c r="AG579" s="13"/>
    </row>
    <row r="580" ht="15" customHeight="1">
      <c r="A580" s="13" t="s">
        <v>2246</v>
      </c>
      <c r="B580" s="13"/>
      <c r="C580" s="13"/>
      <c r="D580" s="13" t="s">
        <v>2247</v>
      </c>
      <c r="E580" s="3" t="str">
        <f t="shared" si="93"/>
        <v>Upham</v>
      </c>
      <c r="F580" s="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5" t="str">
        <f t="shared" si="94"/>
        <v>2019</v>
      </c>
      <c r="H580" s="3" t="str">
        <f t="shared" si="95"/>
        <v>Upham_etal_2019</v>
      </c>
      <c r="I580" s="3" t="str">
        <f>_xlfn.LET(_xlpm.doi,IF(C580&lt;&gt;"",C580,_xlfn.TEXTAFTER(A580,"https://doi.org/")),SUBSTITUTE(SUBSTITUTE(SUBSTITUTE(SUBSTITUTE(_xlpm.doi,"/","%2F"),":","%3A"),"&lt;","%3C"),"&gt;","%3E"))</f>
        <v>10.1371%2Fjournal.pbio.3000494</v>
      </c>
      <c r="J580" s="3" t="str">
        <f t="shared" si="96"/>
        <v>Upham_etal_2019_Completed100</v>
      </c>
      <c r="K580" s="5" t="str">
        <f t="shared" si="92"/>
        <v>10.1371%2Fjournal.pbio.3000494_Completed100</v>
      </c>
      <c r="L580" s="5" t="str">
        <f t="array" ref="L580">IFERROR(INDEX(AUTO_Public_TSV_FileList!$A$1:$A$1000,MATCH(TRUE(),EXACT(K580,IFERROR(_xlfn.TEXTBEFORE(AUTO_Public_TSV_FileList!$A$1:$A$1000,".tsv"),"")),0)),"notfound")</f>
        <v>notfound</v>
      </c>
      <c r="M580" s="13" t="s">
        <v>2248</v>
      </c>
      <c r="N580" s="10" t="s">
        <v>1250</v>
      </c>
      <c r="O580" s="13" t="s">
        <v>2249</v>
      </c>
      <c r="P580" s="13"/>
      <c r="Q580" s="13"/>
      <c r="R580" s="13"/>
      <c r="S580" s="13"/>
      <c r="T580" s="13"/>
      <c r="U580" s="13"/>
      <c r="V580" s="13"/>
      <c r="W580" s="13"/>
      <c r="X580" s="13"/>
      <c r="Y580" s="13"/>
      <c r="Z580" s="13"/>
      <c r="AA580" s="13"/>
      <c r="AB580" s="13"/>
      <c r="AC580" s="13"/>
      <c r="AD580" s="13"/>
      <c r="AE580" s="13"/>
      <c r="AF580" s="13"/>
      <c r="AG580" s="13"/>
    </row>
    <row r="581" ht="15" customHeight="1">
      <c r="A581" s="10" t="s">
        <v>2246</v>
      </c>
      <c r="B581" s="13"/>
      <c r="C581" s="13"/>
      <c r="D581" s="10" t="s">
        <v>2250</v>
      </c>
      <c r="E581" s="3" t="str">
        <f t="shared" si="93"/>
        <v>Upham</v>
      </c>
      <c r="F581" s="5"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5" t="str">
        <f t="shared" si="94"/>
        <v>2019</v>
      </c>
      <c r="H581" s="3" t="str">
        <f t="shared" si="95"/>
        <v>Upham_etal_2019</v>
      </c>
      <c r="I581" s="3" t="str">
        <f>_xlfn.LET(_xlpm.doi,IF(C581&lt;&gt;"",C581,_xlfn.TEXTAFTER(A581,"https://doi.org/")),SUBSTITUTE(SUBSTITUTE(SUBSTITUTE(SUBSTITUTE(_xlpm.doi,"/","%2F"),":","%3A"),"&lt;","%3C"),"&gt;","%3E"))</f>
        <v>10.1371%2Fjournal.pbio.3000494</v>
      </c>
      <c r="J581" s="3" t="str">
        <f t="shared" si="96"/>
        <v>Upham_etal_2019_DNAonlyMCC</v>
      </c>
      <c r="K581" s="5" t="str">
        <f t="shared" si="92"/>
        <v>10.1371%2Fjournal.pbio.3000494_DNAonlyMCC</v>
      </c>
      <c r="L581" s="5" t="str">
        <f t="array" ref="L581">IFERROR(INDEX(AUTO_Public_TSV_FileList!$A$1:$A$1000,MATCH(TRUE(),EXACT(K581,IFERROR(_xlfn.TEXTBEFORE(AUTO_Public_TSV_FileList!$A$1:$A$1000,".tsv"),"")),0)),"notfound")</f>
        <v>10.1371%2Fjournal.pbio.3000494_DNAonlyMCC.tsv</v>
      </c>
      <c r="M581" s="10" t="s">
        <v>2251</v>
      </c>
      <c r="N581" s="10" t="s">
        <v>1250</v>
      </c>
      <c r="O581" s="13"/>
      <c r="P581" s="13" t="s">
        <v>36</v>
      </c>
      <c r="Q581" s="13"/>
      <c r="R581" s="13"/>
      <c r="S581" s="13"/>
      <c r="T581" s="13"/>
      <c r="U581" s="13"/>
      <c r="V581" s="13"/>
      <c r="W581" s="13"/>
      <c r="X581" s="13"/>
      <c r="Y581" s="13"/>
      <c r="Z581" s="13"/>
      <c r="AA581" s="13"/>
      <c r="AB581" s="13"/>
      <c r="AC581" s="13"/>
      <c r="AD581" s="13"/>
      <c r="AE581" s="13"/>
      <c r="AF581" s="13"/>
      <c r="AG581" s="13"/>
    </row>
    <row r="582" ht="15" customHeight="1">
      <c r="A582" s="13" t="s">
        <v>2252</v>
      </c>
      <c r="B582" s="13"/>
      <c r="C582" s="13"/>
      <c r="D582" s="13" t="s">
        <v>68</v>
      </c>
      <c r="E582" s="5" t="str">
        <f t="shared" si="93"/>
        <v>VanEssen</v>
      </c>
      <c r="F582" s="5"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2" s="5" t="str">
        <f t="shared" si="94"/>
        <v>1997</v>
      </c>
      <c r="H582" s="5" t="str">
        <f t="shared" si="95"/>
        <v>VanEssen_Drury_1997</v>
      </c>
      <c r="I582" s="5" t="str">
        <f t="shared" ref="I582:I589" si="97">_xlfn.LET(
_xlpm.doi,IF(C582&lt;&gt;"",C582,_xlfn.TEXTAFTER(A582,"https://doi.org/")),
SUBSTITUTE(
SUBSTITUTE(
SUBSTITUTE(
SUBSTITUTE(
_xlpm.doi,
"/","%2F"),
":","%3A"),
"&lt;","%3C"),
"&gt;","%3E")
)</f>
        <v>10.1523%2FJNEUROSCI.17-18-07079.1997</v>
      </c>
      <c r="J582" s="5" t="str">
        <f t="shared" si="96"/>
        <v>VanEssen_Drury_1997_Table1</v>
      </c>
      <c r="K582" s="5" t="str">
        <f t="shared" si="92"/>
        <v>10.1523%2FJNEUROSCI.17-18-07079.1997_Table1</v>
      </c>
      <c r="L582" s="5" t="str">
        <f t="array" ref="L582">IFERROR(INDEX(AUTO_Public_TSV_FileList!$A$1:$A$1000,MATCH(TRUE(),EXACT(K582,IFERROR(_xlfn.TEXTBEFORE(AUTO_Public_TSV_FileList!$A$1:$A$1000,".tsv"),"")),0)),"notfound")</f>
        <v>10.1523%2FJNEUROSCI.17-18-07079.1997_Table1.tsv</v>
      </c>
      <c r="M582" s="13" t="s">
        <v>2253</v>
      </c>
      <c r="N582" s="13"/>
      <c r="O582" s="13"/>
      <c r="P582" s="13"/>
      <c r="Q582" s="13"/>
      <c r="R582" s="13"/>
      <c r="S582" s="13"/>
      <c r="T582" s="13"/>
      <c r="U582" s="13"/>
      <c r="V582" s="13"/>
      <c r="W582" s="13"/>
      <c r="X582" s="13"/>
      <c r="Y582" s="13"/>
      <c r="Z582" s="13"/>
      <c r="AA582" s="13"/>
      <c r="AB582" s="13"/>
      <c r="AC582" s="13"/>
      <c r="AD582" s="13"/>
      <c r="AE582" s="13"/>
      <c r="AF582" s="13"/>
      <c r="AG582" s="13"/>
    </row>
    <row r="583" ht="15" customHeight="1">
      <c r="A583" s="13" t="s">
        <v>2254</v>
      </c>
      <c r="B583" s="13"/>
      <c r="C583" s="13"/>
      <c r="D583" s="13" t="s">
        <v>2255</v>
      </c>
      <c r="E583" s="5" t="str">
        <f t="shared" si="93"/>
        <v>Veilleux</v>
      </c>
      <c r="F583" s="5"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3" s="5" t="str">
        <f t="shared" si="94"/>
        <v>2014</v>
      </c>
      <c r="H583" s="5" t="str">
        <f t="shared" si="95"/>
        <v>Veilleux_Kirk_2014</v>
      </c>
      <c r="I583" s="5" t="str">
        <f t="shared" si="97"/>
        <v>10.1159%2F000357830</v>
      </c>
      <c r="J583" s="5" t="str">
        <f t="shared" si="96"/>
        <v>Veilleux_Kirk_2014_SupplementalTable1</v>
      </c>
      <c r="K583" s="5" t="str">
        <f t="shared" si="92"/>
        <v>10.1159%2F000357830_SupplementalTable1</v>
      </c>
      <c r="L583" s="5" t="str">
        <f t="array" ref="L583">IFERROR(INDEX(AUTO_Public_TSV_FileList!$A$1:$A$1000,MATCH(TRUE(),EXACT(K583,IFERROR(_xlfn.TEXTBEFORE(AUTO_Public_TSV_FileList!$A$1:$A$1000,".tsv"),"")),0)),"notfound")</f>
        <v>10.1159%2F000357830_SupplementalTable1.tsv</v>
      </c>
      <c r="M583" s="13" t="s">
        <v>2256</v>
      </c>
      <c r="N583" s="10" t="s">
        <v>35</v>
      </c>
      <c r="O583" s="2" t="s">
        <v>2257</v>
      </c>
      <c r="P583" s="2"/>
      <c r="Q583" s="2"/>
      <c r="R583" s="2" t="s">
        <v>2258</v>
      </c>
      <c r="S583" s="2" t="s">
        <v>2259</v>
      </c>
      <c r="T583" s="2" t="s">
        <v>2260</v>
      </c>
      <c r="U583" s="2"/>
      <c r="V583" s="2"/>
      <c r="W583" s="2" t="s">
        <v>174</v>
      </c>
      <c r="X583" s="2" t="s">
        <v>2261</v>
      </c>
      <c r="Y583" s="2"/>
      <c r="Z583" s="2"/>
      <c r="AA583" s="2" t="s">
        <v>2262</v>
      </c>
      <c r="AB583" s="2" t="s">
        <v>2263</v>
      </c>
      <c r="AC583" s="2"/>
      <c r="AD583" s="2"/>
      <c r="AE583" s="13" t="s">
        <v>51</v>
      </c>
      <c r="AF583" s="13"/>
      <c r="AG583" s="2" t="s">
        <v>2264</v>
      </c>
    </row>
    <row r="584" ht="15" customHeight="1">
      <c r="A584" s="13" t="s">
        <v>2265</v>
      </c>
      <c r="B584" s="13"/>
      <c r="C584" s="13"/>
      <c r="D584" s="13" t="s">
        <v>2266</v>
      </c>
      <c r="E584" s="3" t="str">
        <f t="shared" si="93"/>
        <v>Walhovd</v>
      </c>
      <c r="F584" s="3"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3" t="str">
        <f t="shared" si="94"/>
        <v>2011</v>
      </c>
      <c r="H584" s="3" t="str">
        <f t="shared" si="95"/>
        <v>Walhovd_etal_2011</v>
      </c>
      <c r="I584" s="3" t="str">
        <f t="shared" si="97"/>
        <v>10.1016%2Fj.neurobiolaging.2009.05.013</v>
      </c>
      <c r="J584" s="3" t="str">
        <f t="shared" si="96"/>
        <v>Walhovd_etal_2011_normativevolumes</v>
      </c>
      <c r="K584" s="3" t="str">
        <f>I584 &amp; "_" &amp; SUBSTITUTE(SUBSTITUTE(SUBSTITUTE(D584,CHAR(160),""), " ", ""), "_", "")</f>
        <v>10.1016%2Fj.neurobiolaging.2009.05.013_normativevolumes</v>
      </c>
      <c r="L584" s="5" t="str">
        <f t="array" ref="L584">IFERROR(INDEX(AUTO_Public_TSV_FileList!$A$1:$A$1000,MATCH(TRUE(),EXACT(K584,IFERROR(_xlfn.TEXTBEFORE(AUTO_Public_TSV_FileList!$A$1:$A$1000,".tsv"),"")),0)),"notfound")</f>
        <v>10.1016%2Fj.neurobiolaging.2009.05.013_normativevolumes.tsv</v>
      </c>
      <c r="M584" s="13" t="s">
        <v>2267</v>
      </c>
      <c r="N584" s="13" t="s">
        <v>2268</v>
      </c>
      <c r="O584" s="13"/>
      <c r="P584" s="13" t="s">
        <v>36</v>
      </c>
      <c r="Q584" s="13" t="s">
        <v>2269</v>
      </c>
      <c r="R584" s="13"/>
      <c r="S584" s="13"/>
      <c r="T584" s="13"/>
      <c r="U584" s="13"/>
      <c r="V584" s="13"/>
      <c r="W584" s="13" t="s">
        <v>816</v>
      </c>
      <c r="X584" s="13"/>
      <c r="Y584" s="13"/>
      <c r="Z584" s="13" t="s">
        <v>2270</v>
      </c>
      <c r="AA584" s="13" t="s">
        <v>1286</v>
      </c>
      <c r="AB584" s="13" t="s">
        <v>127</v>
      </c>
      <c r="AC584" s="13" t="s">
        <v>2271</v>
      </c>
      <c r="AD584" s="13"/>
      <c r="AE584" s="13" t="s">
        <v>215</v>
      </c>
      <c r="AF584" s="13"/>
      <c r="AG584" s="13"/>
    </row>
    <row r="585" ht="15" customHeight="1">
      <c r="A585" s="10" t="s">
        <v>2272</v>
      </c>
      <c r="B585" s="13"/>
      <c r="C585" s="10" t="s">
        <v>2273</v>
      </c>
      <c r="D585" s="10" t="s">
        <v>2274</v>
      </c>
      <c r="E585" s="5" t="str">
        <f t="shared" si="93"/>
        <v>Weaver</v>
      </c>
      <c r="F585" s="5"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5" s="5" t="str">
        <f t="shared" si="94"/>
        <v>2001</v>
      </c>
      <c r="H585" s="5" t="str">
        <f t="shared" si="95"/>
        <v>Weaver__2001</v>
      </c>
      <c r="I585" s="5" t="str">
        <f t="shared" si="97"/>
        <v>UMI%3A3017523</v>
      </c>
      <c r="J585" s="5" t="str">
        <f t="shared" si="96"/>
        <v>Weaver__2001_NotesforTableA-15</v>
      </c>
      <c r="K585" s="5" t="str">
        <f t="shared" ref="K585:K614" si="98">I585 &amp; "_" &amp; SUBSTITUTE(SUBSTITUTE(SUBSTITUTE(D585,CHAR(160),"")," ",""),"_","")</f>
        <v>UMI%3A3017523_NotesforTableA-15</v>
      </c>
      <c r="L585" s="5" t="str">
        <f t="array" ref="L585">IFERROR(INDEX(AUTO_Public_TSV_FileList!$A$1:$A$1000,MATCH(TRUE(),EXACT(K585,IFERROR(_xlfn.TEXTBEFORE(AUTO_Public_TSV_FileList!$A$1:$A$1000,".tsv"),"")),0)),"notfound")</f>
        <v>UMI%3A3017523_NotesforTableA-15.tsv</v>
      </c>
      <c r="M585" s="10" t="s">
        <v>2274</v>
      </c>
      <c r="N585" s="13"/>
      <c r="O585" s="13"/>
      <c r="P585" s="10" t="s">
        <v>36</v>
      </c>
      <c r="Q585" s="13"/>
      <c r="R585" s="13"/>
      <c r="S585" s="13"/>
      <c r="T585" s="13"/>
      <c r="U585" s="13"/>
      <c r="V585" s="13"/>
      <c r="W585" s="13"/>
      <c r="X585" s="13"/>
      <c r="Y585" s="13"/>
      <c r="Z585" s="13"/>
      <c r="AA585" s="13"/>
      <c r="AB585" s="13"/>
      <c r="AC585" s="13"/>
      <c r="AD585" s="13"/>
      <c r="AE585" s="13"/>
      <c r="AF585" s="13"/>
      <c r="AG585" s="13"/>
    </row>
    <row r="586" ht="15" customHeight="1">
      <c r="A586" s="10" t="s">
        <v>2272</v>
      </c>
      <c r="B586" s="13"/>
      <c r="C586" s="10" t="s">
        <v>2273</v>
      </c>
      <c r="D586" s="10" t="s">
        <v>2275</v>
      </c>
      <c r="E586" s="5" t="str">
        <f t="shared" si="93"/>
        <v>Weaver</v>
      </c>
      <c r="F586" s="5"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6" s="5" t="str">
        <f t="shared" si="94"/>
        <v>2001</v>
      </c>
      <c r="H586" s="5" t="str">
        <f t="shared" si="95"/>
        <v>Weaver__2001</v>
      </c>
      <c r="I586" s="5" t="str">
        <f t="shared" si="97"/>
        <v>UMI%3A3017523</v>
      </c>
      <c r="J586" s="5" t="str">
        <f t="shared" si="96"/>
        <v>Weaver__2001_TableA-11</v>
      </c>
      <c r="K586" s="5" t="str">
        <f t="shared" si="98"/>
        <v>UMI%3A3017523_TableA-11</v>
      </c>
      <c r="L586" s="5" t="str">
        <f t="array" ref="L586">IFERROR(INDEX(AUTO_Public_TSV_FileList!$A$1:$A$1000,MATCH(TRUE(),EXACT(K586,IFERROR(_xlfn.TEXTBEFORE(AUTO_Public_TSV_FileList!$A$1:$A$1000,".tsv"),"")),0)),"notfound")</f>
        <v>UMI%3A3017523_TableA-11.tsv</v>
      </c>
      <c r="M586" s="10" t="s">
        <v>2276</v>
      </c>
      <c r="N586" s="13"/>
      <c r="O586" s="13"/>
      <c r="P586" s="10" t="s">
        <v>36</v>
      </c>
      <c r="Q586" s="13"/>
      <c r="R586" s="13"/>
      <c r="S586" s="13"/>
      <c r="T586" s="13"/>
      <c r="U586" s="13"/>
      <c r="V586" s="13"/>
      <c r="W586" s="13"/>
      <c r="X586" s="13"/>
      <c r="Y586" s="13"/>
      <c r="Z586" s="13"/>
      <c r="AA586" s="13"/>
      <c r="AB586" s="13"/>
      <c r="AC586" s="13"/>
      <c r="AD586" s="13"/>
      <c r="AE586" s="13"/>
      <c r="AF586" s="13"/>
      <c r="AG586" s="13"/>
    </row>
    <row r="587" ht="15" customHeight="1">
      <c r="A587" s="10" t="s">
        <v>2272</v>
      </c>
      <c r="B587" s="13"/>
      <c r="C587" s="10" t="s">
        <v>2273</v>
      </c>
      <c r="D587" s="10" t="s">
        <v>2277</v>
      </c>
      <c r="E587" s="5" t="str">
        <f t="shared" si="93"/>
        <v>Weaver</v>
      </c>
      <c r="F587" s="5"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87" s="5" t="str">
        <f t="shared" si="94"/>
        <v>2001</v>
      </c>
      <c r="H587" s="5" t="str">
        <f t="shared" si="95"/>
        <v>Weaver__2001</v>
      </c>
      <c r="I587" s="5" t="str">
        <f t="shared" si="97"/>
        <v>UMI%3A3017523</v>
      </c>
      <c r="J587" s="5" t="str">
        <f t="shared" si="96"/>
        <v>Weaver__2001_TableA-15</v>
      </c>
      <c r="K587" s="5" t="str">
        <f t="shared" si="98"/>
        <v>UMI%3A3017523_TableA-15</v>
      </c>
      <c r="L587" s="5" t="str">
        <f t="array" ref="L587">IFERROR(INDEX(AUTO_Public_TSV_FileList!$A$1:$A$1000,MATCH(TRUE(),EXACT(K587,IFERROR(_xlfn.TEXTBEFORE(AUTO_Public_TSV_FileList!$A$1:$A$1000,".tsv"),"")),0)),"notfound")</f>
        <v>UMI%3A3017523_TableA-15.tsv</v>
      </c>
      <c r="M587" s="10" t="s">
        <v>2278</v>
      </c>
      <c r="N587" s="13"/>
      <c r="O587" s="13"/>
      <c r="P587" s="10" t="s">
        <v>36</v>
      </c>
      <c r="Q587" s="13"/>
      <c r="R587" s="13"/>
      <c r="S587" s="13"/>
      <c r="T587" s="13"/>
      <c r="U587" s="13"/>
      <c r="V587" s="13"/>
      <c r="W587" s="13"/>
      <c r="X587" s="13"/>
      <c r="Y587" s="13"/>
      <c r="Z587" s="13"/>
      <c r="AA587" s="13"/>
      <c r="AB587" s="13"/>
      <c r="AC587" s="13"/>
      <c r="AD587" s="13"/>
      <c r="AE587" s="13"/>
      <c r="AF587" s="13"/>
      <c r="AG587" s="13"/>
    </row>
    <row r="588" ht="15" customHeight="1">
      <c r="A588" s="13" t="s">
        <v>2279</v>
      </c>
      <c r="B588" s="13"/>
      <c r="C588" s="13"/>
      <c r="D588" s="13" t="s">
        <v>68</v>
      </c>
      <c r="E588" s="5" t="str">
        <f t="shared" si="93"/>
        <v>Weibel</v>
      </c>
      <c r="F588" s="5"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5" t="str">
        <f t="shared" si="94"/>
        <v>2004</v>
      </c>
      <c r="H588" s="5" t="str">
        <f t="shared" si="95"/>
        <v>Weibel_etal_2004</v>
      </c>
      <c r="I588" s="5" t="str">
        <f t="shared" si="97"/>
        <v>10.1016%2Fj.resp.2004.01.006</v>
      </c>
      <c r="J588" s="5" t="str">
        <f t="shared" si="96"/>
        <v>Weibel_etal_2004_Table1</v>
      </c>
      <c r="K588" s="5" t="str">
        <f t="shared" si="98"/>
        <v>10.1016%2Fj.resp.2004.01.006_Table1</v>
      </c>
      <c r="L588" s="5" t="str">
        <f t="array" ref="L588">IFERROR(INDEX(AUTO_Public_TSV_FileList!$A$1:$A$1000,MATCH(TRUE(),EXACT(K588,IFERROR(_xlfn.TEXTBEFORE(AUTO_Public_TSV_FileList!$A$1:$A$1000,".tsv"),"")),0)),"notfound")</f>
        <v>10.1016%2Fj.resp.2004.01.006_Table1.tsv</v>
      </c>
      <c r="M588" s="13" t="s">
        <v>2280</v>
      </c>
      <c r="N588" s="13"/>
      <c r="O588" s="13"/>
      <c r="P588" s="13"/>
      <c r="Q588" s="13"/>
      <c r="R588" s="13"/>
      <c r="S588" s="13"/>
      <c r="T588" s="13"/>
      <c r="U588" s="13"/>
      <c r="V588" s="13"/>
      <c r="W588" s="13"/>
      <c r="X588" s="13"/>
      <c r="Y588" s="13"/>
      <c r="Z588" s="13"/>
      <c r="AA588" s="13"/>
      <c r="AB588" s="13"/>
      <c r="AC588" s="13"/>
      <c r="AD588" s="13"/>
      <c r="AE588" s="13"/>
      <c r="AF588" s="13"/>
      <c r="AG588" s="13"/>
    </row>
    <row r="589" ht="15" customHeight="1">
      <c r="A589" s="13" t="s">
        <v>2279</v>
      </c>
      <c r="B589" s="13"/>
      <c r="C589" s="13"/>
      <c r="D589" s="13" t="s">
        <v>2281</v>
      </c>
      <c r="E589" s="5" t="str">
        <f t="shared" si="93"/>
        <v>Weibel</v>
      </c>
      <c r="F589" s="5"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5" t="str">
        <f t="shared" si="94"/>
        <v>2004</v>
      </c>
      <c r="H589" s="5" t="str">
        <f t="shared" si="95"/>
        <v>Weibel_etal_2004</v>
      </c>
      <c r="I589" s="5" t="str">
        <f t="shared" si="97"/>
        <v>10.1016%2Fj.resp.2004.01.006</v>
      </c>
      <c r="J589" s="5" t="str">
        <f t="shared" si="96"/>
        <v>Weibel_etal_2004_TableA.1</v>
      </c>
      <c r="K589" s="5" t="str">
        <f t="shared" si="98"/>
        <v>10.1016%2Fj.resp.2004.01.006_TableA.1</v>
      </c>
      <c r="L589" s="5" t="str">
        <f t="array" ref="L589">IFERROR(INDEX(AUTO_Public_TSV_FileList!$A$1:$A$1000,MATCH(TRUE(),EXACT(K589,IFERROR(_xlfn.TEXTBEFORE(AUTO_Public_TSV_FileList!$A$1:$A$1000,".tsv"),"")),0)),"notfound")</f>
        <v>10.1016%2Fj.resp.2004.01.006_TableA.1.tsv</v>
      </c>
      <c r="M589" s="13" t="s">
        <v>2282</v>
      </c>
      <c r="N589" s="13"/>
      <c r="O589" s="13"/>
      <c r="P589" s="13"/>
      <c r="Q589" s="13"/>
      <c r="R589" s="13"/>
      <c r="S589" s="13"/>
      <c r="T589" s="13"/>
      <c r="U589" s="13"/>
      <c r="V589" s="13"/>
      <c r="W589" s="13"/>
      <c r="X589" s="13"/>
      <c r="Y589" s="13"/>
      <c r="Z589" s="13"/>
      <c r="AA589" s="13"/>
      <c r="AB589" s="13"/>
      <c r="AC589" s="13"/>
      <c r="AD589" s="13"/>
      <c r="AE589" s="13"/>
      <c r="AF589" s="13"/>
      <c r="AG589" s="13"/>
    </row>
    <row r="590" ht="15" customHeight="1">
      <c r="A590" t="s">
        <v>2283</v>
      </c>
      <c r="D590" t="s">
        <v>1530</v>
      </c>
      <c r="E590" s="3" t="str">
        <f t="shared" si="93"/>
        <v>Wenstrup</v>
      </c>
      <c r="F590" s="5"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0" s="5" t="str">
        <f t="shared" si="94"/>
        <v>1984</v>
      </c>
      <c r="H590" s="3" t="str">
        <f t="shared" si="95"/>
        <v>Wenstrup__1984</v>
      </c>
      <c r="I590" s="3" t="str">
        <f>_xlfn.LET(_xlpm.doi,IF(C590&lt;&gt;"",C590,_xlfn.TEXTAFTER(A590,"https://doi.org/")),SUBSTITUTE(SUBSTITUTE(SUBSTITUTE(SUBSTITUTE(_xlpm.doi,"/","%2F"),":","%3A"),"&lt;","%3C"),"&gt;","%3E"))</f>
        <v>10.1007%2FBf00610934</v>
      </c>
      <c r="J590" s="3" t="str">
        <f t="shared" si="96"/>
        <v>Wenstrup__1984_Figure8</v>
      </c>
      <c r="K590" s="5" t="str">
        <f t="shared" si="98"/>
        <v>10.1007%2FBf00610934_Figure8</v>
      </c>
      <c r="L590" s="5" t="str">
        <f t="array" ref="L590">IFERROR(INDEX(AUTO_Public_TSV_FileList!$A$1:$A$1000,MATCH(TRUE(),EXACT(K590,IFERROR(_xlfn.TEXTBEFORE(AUTO_Public_TSV_FileList!$A$1:$A$1000,".tsv"),"")),0)),"notfound")</f>
        <v>notfound</v>
      </c>
      <c r="M590" t="s">
        <v>2284</v>
      </c>
      <c r="N590" t="s">
        <v>395</v>
      </c>
      <c r="O590" t="s">
        <v>2285</v>
      </c>
      <c r="P590" t="s">
        <v>78</v>
      </c>
      <c r="R590" s="24" t="s">
        <v>2286</v>
      </c>
      <c r="V590" t="s">
        <v>309</v>
      </c>
      <c r="W590" t="s">
        <v>2287</v>
      </c>
      <c r="X590" t="s">
        <v>756</v>
      </c>
      <c r="Z590" t="s">
        <v>836</v>
      </c>
      <c r="AA590" t="s">
        <v>1011</v>
      </c>
      <c r="AB590" t="s">
        <v>2288</v>
      </c>
      <c r="AC590" t="s">
        <v>2289</v>
      </c>
      <c r="AE590" t="s">
        <v>215</v>
      </c>
      <c r="AF590" t="s">
        <v>2290</v>
      </c>
      <c r="AG590" t="s">
        <v>939</v>
      </c>
    </row>
    <row r="591" ht="15" customHeight="1">
      <c r="A591" t="s">
        <v>2283</v>
      </c>
      <c r="D591" t="s">
        <v>2291</v>
      </c>
      <c r="E591" s="3" t="str">
        <f t="shared" si="93"/>
        <v>Wenstrup</v>
      </c>
      <c r="F591" s="5"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91" s="5" t="str">
        <f t="shared" si="94"/>
        <v>1984</v>
      </c>
      <c r="H591" s="3" t="str">
        <f t="shared" si="95"/>
        <v>Wenstrup__1984</v>
      </c>
      <c r="I591" s="3" t="str">
        <f>_xlfn.LET(_xlpm.doi,IF(C591&lt;&gt;"",C591,_xlfn.TEXTAFTER(A591,"https://doi.org/")),SUBSTITUTE(SUBSTITUTE(SUBSTITUTE(SUBSTITUTE(_xlpm.doi,"/","%2F"),":","%3A"),"&lt;","%3C"),"&gt;","%3E"))</f>
        <v>10.1007%2FBf00610934</v>
      </c>
      <c r="J591" s="3" t="str">
        <f t="shared" si="96"/>
        <v>Wenstrup__1984_Figures3-5</v>
      </c>
      <c r="K591" s="5" t="str">
        <f t="shared" si="98"/>
        <v>10.1007%2FBf00610934_Figures3-5</v>
      </c>
      <c r="L591" s="5" t="str">
        <f t="array" ref="L591">IFERROR(INDEX(AUTO_Public_TSV_FileList!$A$1:$A$1000,MATCH(TRUE(),EXACT(K591,IFERROR(_xlfn.TEXTBEFORE(AUTO_Public_TSV_FileList!$A$1:$A$1000,".tsv"),"")),0)),"notfound")</f>
        <v>10.1007%2FBf00610934_Figures3-5.tsv</v>
      </c>
      <c r="M591" t="s">
        <v>2292</v>
      </c>
      <c r="N591" t="s">
        <v>395</v>
      </c>
      <c r="O591" t="s">
        <v>2293</v>
      </c>
      <c r="P591" t="s">
        <v>72</v>
      </c>
      <c r="R591" s="24" t="s">
        <v>2286</v>
      </c>
      <c r="V591" t="s">
        <v>309</v>
      </c>
      <c r="W591" t="s">
        <v>2294</v>
      </c>
      <c r="X591" t="s">
        <v>756</v>
      </c>
      <c r="Z591" t="s">
        <v>312</v>
      </c>
      <c r="AA591" t="s">
        <v>2295</v>
      </c>
      <c r="AB591" t="s">
        <v>758</v>
      </c>
      <c r="AC591" t="s">
        <v>2289</v>
      </c>
      <c r="AE591" t="s">
        <v>66</v>
      </c>
      <c r="AG591" t="s">
        <v>316</v>
      </c>
    </row>
    <row r="592" ht="15" customHeight="1">
      <c r="A592" s="10" t="s">
        <v>2296</v>
      </c>
      <c r="B592" s="13"/>
      <c r="C592" s="13"/>
      <c r="D592" s="10" t="s">
        <v>2297</v>
      </c>
      <c r="E592" s="5" t="str">
        <f t="shared" si="93"/>
        <v>Wilman</v>
      </c>
      <c r="F592" s="5"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5" t="str">
        <f t="shared" si="94"/>
        <v>2014</v>
      </c>
      <c r="H592" s="5" t="str">
        <f t="shared" si="95"/>
        <v>Wilman_etal_2014</v>
      </c>
      <c r="I592" s="5" t="str">
        <f>_xlfn.LET(
_xlpm.doi,IF(C592&lt;&gt;"",C592,_xlfn.TEXTAFTER(A592,"https://doi.org/")),
SUBSTITUTE(
SUBSTITUTE(
SUBSTITUTE(
SUBSTITUTE(
_xlpm.doi,
"/","%2F"),
":","%3A"),
"&lt;","%3C"),
"&gt;","%3E")
)</f>
        <v>10.1890%2F13-1917.1</v>
      </c>
      <c r="J592" s="5" t="str">
        <f t="shared" si="96"/>
        <v>Wilman_etal_2014_MamFuncDat</v>
      </c>
      <c r="K592" s="5" t="str">
        <f t="shared" si="98"/>
        <v>10.1890%2F13-1917.1_MamFuncDat</v>
      </c>
      <c r="L592" s="5" t="str">
        <f t="array" ref="L592">IFERROR(INDEX(AUTO_Public_TSV_FileList!$A$1:$A$1000,MATCH(TRUE(),EXACT(K592,IFERROR(_xlfn.TEXTBEFORE(AUTO_Public_TSV_FileList!$A$1:$A$1000,".tsv"),"")),0)),"notfound")</f>
        <v>10.1890%2F13-1917.1_MamFuncDat.tsv</v>
      </c>
      <c r="M592" s="13"/>
      <c r="N592" s="13"/>
      <c r="O592" s="13"/>
      <c r="P592" s="13" t="s">
        <v>36</v>
      </c>
      <c r="Q592" s="13"/>
      <c r="R592" s="13"/>
      <c r="S592" s="13"/>
      <c r="T592" s="13"/>
      <c r="U592" s="13"/>
      <c r="V592" s="13"/>
      <c r="W592" s="10" t="s">
        <v>174</v>
      </c>
      <c r="X592" s="10" t="s">
        <v>2298</v>
      </c>
      <c r="Y592" s="13"/>
      <c r="Z592" s="13"/>
      <c r="AA592" s="13"/>
      <c r="AB592" s="10" t="s">
        <v>2299</v>
      </c>
      <c r="AC592" s="13"/>
      <c r="AD592" s="13"/>
      <c r="AE592" s="10" t="s">
        <v>215</v>
      </c>
      <c r="AF592" s="10"/>
      <c r="AG592" s="13"/>
    </row>
    <row r="593" ht="15" customHeight="1">
      <c r="A593" s="10" t="s">
        <v>2300</v>
      </c>
      <c r="B593" s="13"/>
      <c r="C593" s="13"/>
      <c r="D593" s="10" t="s">
        <v>2301</v>
      </c>
      <c r="E593" s="5" t="str">
        <f t="shared" si="93"/>
        <v>Wimberly</v>
      </c>
      <c r="F593" s="5"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5" t="str">
        <f t="shared" si="94"/>
        <v>2021</v>
      </c>
      <c r="H593" s="5" t="str">
        <f t="shared" si="95"/>
        <v>Wimberly_etal_2021</v>
      </c>
      <c r="I593" s="5" t="str">
        <f>_xlfn.LET(
_xlpm.doi,IF(C593&lt;&gt;"",C593,_xlfn.TEXTAFTER(A593,"https://doi.org/")),
SUBSTITUTE(
SUBSTITUTE(
SUBSTITUTE(
SUBSTITUTE(
_xlpm.doi,
"/","%2F"),
":","%3A"),
"&lt;","%3C"),
"&gt;","%3E")
)</f>
        <v>10.1098%2Frspb.2021.0937</v>
      </c>
      <c r="J593" s="5" t="str">
        <f t="shared" si="96"/>
        <v>Wimberly_etal_2021_MammalGait</v>
      </c>
      <c r="K593" s="5" t="str">
        <f t="shared" si="98"/>
        <v>10.1098%2Frspb.2021.0937_MammalGait</v>
      </c>
      <c r="L593" s="5" t="str">
        <f t="array" ref="L593">IFERROR(INDEX(AUTO_Public_TSV_FileList!$A$1:$A$1000,MATCH(TRUE(),EXACT(K593,IFERROR(_xlfn.TEXTBEFORE(AUTO_Public_TSV_FileList!$A$1:$A$1000,".tsv"),"")),0)),"notfound")</f>
        <v>10.1098%2Frspb.2021.0937_MammalGait.tsv</v>
      </c>
      <c r="M593" s="13"/>
      <c r="N593" s="13"/>
      <c r="O593" s="13"/>
      <c r="P593" s="10" t="s">
        <v>36</v>
      </c>
      <c r="Q593" s="13"/>
      <c r="R593" s="13"/>
      <c r="S593" s="13"/>
      <c r="T593" s="13"/>
      <c r="U593" s="13"/>
      <c r="V593" s="13"/>
      <c r="W593" s="10"/>
      <c r="X593" s="13"/>
      <c r="Y593" s="13"/>
      <c r="Z593" s="13"/>
      <c r="AA593" s="13"/>
      <c r="AB593" s="10"/>
      <c r="AC593" s="13"/>
      <c r="AD593" s="13"/>
      <c r="AE593" s="10"/>
      <c r="AF593" s="10"/>
      <c r="AG593" s="13"/>
    </row>
    <row r="594" ht="15" customHeight="1">
      <c r="A594" s="10" t="s">
        <v>2302</v>
      </c>
      <c r="B594" s="13"/>
      <c r="C594" s="13"/>
      <c r="D594" s="10" t="s">
        <v>801</v>
      </c>
      <c r="E594" s="3" t="str">
        <f t="shared" si="93"/>
        <v>Winkler</v>
      </c>
      <c r="F594" s="5"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4" s="5" t="str">
        <f t="shared" si="94"/>
        <v>2021</v>
      </c>
      <c r="H594" s="3" t="str">
        <f t="shared" si="95"/>
        <v>Winkler_Bryant_2021</v>
      </c>
      <c r="I594" s="3" t="str">
        <f t="shared" ref="I594:I614" si="99">_xlfn.LET(_xlpm.doi,IF(C594&lt;&gt;"",C594,_xlfn.TEXTAFTER(A594,"https://doi.org/")),SUBSTITUTE(SUBSTITUTE(SUBSTITUTE(SUBSTITUTE(_xlpm.doi,"/","%2F"),":","%3A"),"&lt;","%3C"),"&gt;","%3E"))</f>
        <v>10.1080%2F09524622.2021.1905065</v>
      </c>
      <c r="J594" s="3" t="str">
        <f t="shared" si="96"/>
        <v>Winkler_Bryant_2021_Figure1</v>
      </c>
      <c r="K594" s="5" t="str">
        <f t="shared" si="98"/>
        <v>10.1080%2F09524622.2021.1905065_Figure1</v>
      </c>
      <c r="L594" s="5" t="str">
        <f t="array" ref="L594">IFERROR(INDEX(AUTO_Public_TSV_FileList!$A$1:$A$1000,MATCH(TRUE(),EXACT(K594,IFERROR(_xlfn.TEXTBEFORE(AUTO_Public_TSV_FileList!$A$1:$A$1000,".tsv"),"")),0)),"notfound")</f>
        <v>10.1080%2F09524622.2021.1905065_Figure1.tsv</v>
      </c>
      <c r="M594" s="10" t="s">
        <v>2303</v>
      </c>
      <c r="N594" s="13" t="s">
        <v>395</v>
      </c>
      <c r="O594" s="13"/>
      <c r="P594" s="13" t="s">
        <v>36</v>
      </c>
      <c r="Q594" s="13"/>
      <c r="R594" s="13"/>
      <c r="S594" s="13"/>
      <c r="T594" s="13"/>
      <c r="U594" s="13"/>
      <c r="V594" s="13"/>
      <c r="W594" s="13"/>
      <c r="X594" s="13"/>
      <c r="Y594" s="13"/>
      <c r="Z594" s="13"/>
      <c r="AA594" s="13"/>
      <c r="AB594" s="13"/>
      <c r="AC594" s="13"/>
      <c r="AD594" s="13"/>
      <c r="AE594" s="13"/>
      <c r="AF594" s="13"/>
      <c r="AG594" s="13"/>
    </row>
    <row r="595" ht="15" customHeight="1">
      <c r="A595" s="7" t="s">
        <v>2302</v>
      </c>
      <c r="B595" s="7"/>
      <c r="C595" s="7"/>
      <c r="D595" s="7" t="s">
        <v>801</v>
      </c>
      <c r="E595" s="3" t="str">
        <f t="shared" si="93"/>
        <v>Winkler</v>
      </c>
      <c r="F595" s="5"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5" t="str">
        <f t="shared" si="94"/>
        <v>2021</v>
      </c>
      <c r="H595" s="3" t="str">
        <f t="shared" si="95"/>
        <v>Winkler_Bryant_2021</v>
      </c>
      <c r="I595" s="3" t="str">
        <f t="shared" si="99"/>
        <v>10.1080%2F09524622.2021.1905065</v>
      </c>
      <c r="J595" s="3" t="str">
        <f t="shared" si="96"/>
        <v>Winkler_Bryant_2021_Figure1</v>
      </c>
      <c r="K595" s="5" t="str">
        <f t="shared" si="98"/>
        <v>10.1080%2F09524622.2021.1905065_Figure1</v>
      </c>
      <c r="L595" s="5" t="str">
        <f t="array" ref="L595">IFERROR(INDEX(AUTO_Public_TSV_FileList!$A$1:$A$1000,MATCH(TRUE(),EXACT(K595,IFERROR(_xlfn.TEXTBEFORE(AUTO_Public_TSV_FileList!$A$1:$A$1000,".tsv"),"")),0)),"notfound")</f>
        <v>10.1080%2F09524622.2021.1905065_Figure1.tsv</v>
      </c>
      <c r="M595" s="13" t="s">
        <v>2303</v>
      </c>
      <c r="N595" s="13" t="s">
        <v>395</v>
      </c>
      <c r="O595" s="13"/>
      <c r="P595" s="13" t="s">
        <v>36</v>
      </c>
      <c r="Q595" s="13"/>
      <c r="R595" s="13"/>
      <c r="S595" s="13"/>
      <c r="T595" s="13"/>
      <c r="U595" s="13"/>
      <c r="V595" s="13"/>
      <c r="W595" s="13"/>
      <c r="X595" s="13"/>
      <c r="Y595" s="13"/>
      <c r="Z595" s="13"/>
      <c r="AA595" s="13"/>
      <c r="AB595" s="13"/>
      <c r="AC595" s="13"/>
      <c r="AD595" s="13"/>
      <c r="AE595" s="13"/>
      <c r="AF595" s="13"/>
      <c r="AG595" s="13"/>
    </row>
    <row r="596" ht="15" customHeight="1">
      <c r="A596" s="1" t="s">
        <v>2304</v>
      </c>
      <c r="B596" s="7"/>
      <c r="C596" s="7"/>
      <c r="D596" s="1" t="s">
        <v>68</v>
      </c>
      <c r="E596" s="3" t="str">
        <f t="shared" si="93"/>
        <v>Young</v>
      </c>
      <c r="F596" s="5"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5" t="str">
        <f t="shared" si="94"/>
        <v>2013</v>
      </c>
      <c r="H596" s="3" t="str">
        <f t="shared" si="95"/>
        <v>Young_etal_2013</v>
      </c>
      <c r="I596" s="3" t="str">
        <f t="shared" si="99"/>
        <v>10.3389%2Ffncir.2013.00030</v>
      </c>
      <c r="J596" s="3" t="str">
        <f t="shared" si="96"/>
        <v>Young_etal_2013_Table1</v>
      </c>
      <c r="K596" s="5" t="str">
        <f t="shared" si="98"/>
        <v>10.3389%2Ffncir.2013.00030_Table1</v>
      </c>
      <c r="L596" s="5" t="str">
        <f t="array" ref="L596">IFERROR(INDEX(AUTO_Public_TSV_FileList!$A$1:$A$1000,MATCH(TRUE(),EXACT(K596,IFERROR(_xlfn.TEXTBEFORE(AUTO_Public_TSV_FileList!$A$1:$A$1000,".tsv"),"")),0)),"notfound")</f>
        <v>10.3389%2Ffncir.2013.00030_Table1.tsv</v>
      </c>
      <c r="M596" s="10" t="s">
        <v>2305</v>
      </c>
      <c r="N596" s="10" t="s">
        <v>35</v>
      </c>
      <c r="O596" s="13"/>
      <c r="P596" s="13" t="s">
        <v>36</v>
      </c>
      <c r="Q596" s="13"/>
      <c r="R596" s="13"/>
      <c r="S596" s="13"/>
      <c r="T596" s="13"/>
      <c r="U596" s="13"/>
      <c r="V596" s="13"/>
      <c r="W596" s="13"/>
      <c r="X596" s="13"/>
      <c r="Y596" s="13"/>
      <c r="Z596" s="13"/>
      <c r="AA596" s="13"/>
      <c r="AB596" s="13"/>
      <c r="AC596" s="13"/>
      <c r="AD596" s="13"/>
      <c r="AE596" s="13"/>
      <c r="AF596" s="13"/>
      <c r="AG596" s="13"/>
    </row>
    <row r="597" ht="15" customHeight="1">
      <c r="A597" s="7" t="s">
        <v>2304</v>
      </c>
      <c r="B597" s="7"/>
      <c r="C597" s="7"/>
      <c r="D597" s="7" t="s">
        <v>68</v>
      </c>
      <c r="E597" s="3" t="str">
        <f t="shared" si="93"/>
        <v>Young</v>
      </c>
      <c r="F597" s="5"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5" t="str">
        <f t="shared" si="94"/>
        <v>2013</v>
      </c>
      <c r="H597" s="3" t="str">
        <f t="shared" si="95"/>
        <v>Young_etal_2013</v>
      </c>
      <c r="I597" s="3" t="str">
        <f t="shared" si="99"/>
        <v>10.3389%2Ffncir.2013.00030</v>
      </c>
      <c r="J597" s="3" t="str">
        <f t="shared" si="96"/>
        <v>Young_etal_2013_Table1</v>
      </c>
      <c r="K597" s="5" t="str">
        <f t="shared" si="98"/>
        <v>10.3389%2Ffncir.2013.00030_Table1</v>
      </c>
      <c r="L597" s="5" t="str">
        <f t="array" ref="L597">IFERROR(INDEX(AUTO_Public_TSV_FileList!$A$1:$A$1000,MATCH(TRUE(),EXACT(K597,IFERROR(_xlfn.TEXTBEFORE(AUTO_Public_TSV_FileList!$A$1:$A$1000,".tsv"),"")),0)),"notfound")</f>
        <v>10.3389%2Ffncir.2013.00030_Table1.tsv</v>
      </c>
      <c r="M597" s="13" t="s">
        <v>2305</v>
      </c>
      <c r="N597" s="10" t="s">
        <v>35</v>
      </c>
      <c r="O597" s="13"/>
      <c r="P597" s="13" t="s">
        <v>36</v>
      </c>
      <c r="Q597" s="13"/>
      <c r="R597" s="13"/>
      <c r="S597" s="13"/>
      <c r="T597" s="13"/>
      <c r="U597" s="13"/>
      <c r="V597" s="13"/>
      <c r="W597" s="13"/>
      <c r="X597" s="13"/>
      <c r="Y597" s="13"/>
      <c r="Z597" s="13"/>
      <c r="AA597" s="13"/>
      <c r="AB597" s="13"/>
      <c r="AC597" s="13"/>
      <c r="AD597" s="13"/>
      <c r="AE597" s="13"/>
      <c r="AF597" s="13"/>
      <c r="AG597" s="13"/>
    </row>
    <row r="598" ht="15" customHeight="1">
      <c r="A598" s="1" t="s">
        <v>2306</v>
      </c>
      <c r="B598" s="1" t="s">
        <v>360</v>
      </c>
      <c r="C598" s="7"/>
      <c r="D598" s="1" t="s">
        <v>68</v>
      </c>
      <c r="E598" s="3" t="str">
        <f t="shared" si="93"/>
        <v>Young</v>
      </c>
      <c r="F598" s="5"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5" t="str">
        <f t="shared" si="94"/>
        <v>2013</v>
      </c>
      <c r="H598" s="3" t="str">
        <f t="shared" si="95"/>
        <v>Young_etal_2013_b</v>
      </c>
      <c r="I598" s="3" t="str">
        <f t="shared" si="99"/>
        <v>10.1073%2Fpnas.1318894110</v>
      </c>
      <c r="J598" s="3" t="str">
        <f t="shared" si="96"/>
        <v>Young_etal_2013_b_Table1</v>
      </c>
      <c r="K598" s="5" t="str">
        <f t="shared" si="98"/>
        <v>10.1073%2Fpnas.1318894110_Table1</v>
      </c>
      <c r="L598" s="5" t="str">
        <f t="array" ref="L598">IFERROR(INDEX(AUTO_Public_TSV_FileList!$A$1:$A$1000,MATCH(TRUE(),EXACT(K598,IFERROR(_xlfn.TEXTBEFORE(AUTO_Public_TSV_FileList!$A$1:$A$1000,".tsv"),"")),0)),"notfound")</f>
        <v>10.1073%2Fpnas.1318894110_Table1.tsv</v>
      </c>
      <c r="M598" s="10" t="s">
        <v>2307</v>
      </c>
      <c r="N598" s="10" t="s">
        <v>35</v>
      </c>
      <c r="O598" s="13"/>
      <c r="P598" s="13" t="s">
        <v>36</v>
      </c>
      <c r="Q598" s="13"/>
      <c r="R598" s="13"/>
      <c r="S598" s="13"/>
      <c r="T598" s="13"/>
      <c r="U598" s="13"/>
      <c r="V598" s="13"/>
      <c r="W598" s="13"/>
      <c r="X598" s="13"/>
      <c r="Y598" s="13"/>
      <c r="Z598" s="13"/>
      <c r="AA598" s="13"/>
      <c r="AB598" s="13"/>
      <c r="AC598" s="13"/>
      <c r="AD598" s="13"/>
      <c r="AE598" s="13"/>
      <c r="AF598" s="13"/>
      <c r="AG598" s="13"/>
    </row>
    <row r="599" ht="15" customHeight="1">
      <c r="A599" s="7" t="s">
        <v>2306</v>
      </c>
      <c r="B599" s="7" t="s">
        <v>360</v>
      </c>
      <c r="C599" s="7"/>
      <c r="D599" s="7" t="s">
        <v>68</v>
      </c>
      <c r="E599" s="3" t="str">
        <f t="shared" si="93"/>
        <v>Young</v>
      </c>
      <c r="F599" s="5"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5" t="str">
        <f t="shared" si="94"/>
        <v>2013</v>
      </c>
      <c r="H599" s="3" t="str">
        <f t="shared" si="95"/>
        <v>Young_etal_2013_b</v>
      </c>
      <c r="I599" s="3" t="str">
        <f t="shared" si="99"/>
        <v>10.1073%2Fpnas.1318894110</v>
      </c>
      <c r="J599" s="3" t="str">
        <f t="shared" si="96"/>
        <v>Young_etal_2013_b_Table1</v>
      </c>
      <c r="K599" s="5" t="str">
        <f t="shared" si="98"/>
        <v>10.1073%2Fpnas.1318894110_Table1</v>
      </c>
      <c r="L599" s="5" t="str">
        <f t="array" ref="L599">IFERROR(INDEX(AUTO_Public_TSV_FileList!$A$1:$A$1000,MATCH(TRUE(),EXACT(K599,IFERROR(_xlfn.TEXTBEFORE(AUTO_Public_TSV_FileList!$A$1:$A$1000,".tsv"),"")),0)),"notfound")</f>
        <v>10.1073%2Fpnas.1318894110_Table1.tsv</v>
      </c>
      <c r="M599" s="13" t="s">
        <v>2307</v>
      </c>
      <c r="N599" s="10" t="s">
        <v>35</v>
      </c>
      <c r="O599" s="13"/>
      <c r="P599" s="13" t="s">
        <v>36</v>
      </c>
      <c r="Q599" s="13"/>
      <c r="R599" s="13"/>
      <c r="S599" s="13"/>
      <c r="T599" s="13"/>
      <c r="U599" s="13"/>
      <c r="V599" s="13"/>
      <c r="W599" s="13"/>
      <c r="X599" s="13"/>
      <c r="Y599" s="13"/>
      <c r="Z599" s="13"/>
      <c r="AA599" s="13"/>
      <c r="AB599" s="13"/>
      <c r="AC599" s="13"/>
      <c r="AD599" s="13"/>
      <c r="AE599" s="13"/>
      <c r="AF599" s="13"/>
      <c r="AG599" s="13"/>
    </row>
    <row r="600" ht="15" customHeight="1">
      <c r="A600" s="9" t="s">
        <v>2308</v>
      </c>
      <c r="B600" s="9"/>
      <c r="C600" s="9"/>
      <c r="D600" s="9" t="s">
        <v>305</v>
      </c>
      <c r="E600" s="3" t="str">
        <f t="shared" si="93"/>
        <v>Yuen</v>
      </c>
      <c r="F600" s="5"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5" t="str">
        <f t="shared" si="94"/>
        <v>2005</v>
      </c>
      <c r="H600" s="3" t="str">
        <f t="shared" si="95"/>
        <v>Yuen_etal_2005</v>
      </c>
      <c r="I600" s="3" t="str">
        <f t="shared" si="99"/>
        <v>10.1121%2F1.2010350</v>
      </c>
      <c r="J600" s="3" t="str">
        <f t="shared" si="96"/>
        <v>Yuen_etal_2005_TableI</v>
      </c>
      <c r="K600" s="5" t="str">
        <f t="shared" si="98"/>
        <v>10.1121%2F1.2010350_TableI</v>
      </c>
      <c r="L600" s="5" t="str">
        <f t="array" ref="L600">IFERROR(INDEX(AUTO_Public_TSV_FileList!$A$1:$A$1000,MATCH(TRUE(),EXACT(K600,IFERROR(_xlfn.TEXTBEFORE(AUTO_Public_TSV_FileList!$A$1:$A$1000,".tsv"),"")),0)),"notfound")</f>
        <v>10.1121%2F1.2010350_TableI.tsv</v>
      </c>
      <c r="M600" t="s">
        <v>2309</v>
      </c>
      <c r="N600" t="s">
        <v>70</v>
      </c>
      <c r="O600" t="s">
        <v>1284</v>
      </c>
      <c r="P600" t="s">
        <v>72</v>
      </c>
    </row>
    <row r="601" ht="15" customHeight="1">
      <c r="A601" s="7" t="s">
        <v>2310</v>
      </c>
      <c r="B601" s="7"/>
      <c r="C601" s="7"/>
      <c r="D601" s="7" t="s">
        <v>393</v>
      </c>
      <c r="E601" s="3" t="str">
        <f t="shared" si="93"/>
        <v>Zhang</v>
      </c>
      <c r="F601" s="5"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1" s="5" t="str">
        <f t="shared" si="94"/>
        <v>2000</v>
      </c>
      <c r="H601" s="3" t="str">
        <f t="shared" si="95"/>
        <v>Zhang_Sejnowski_2000</v>
      </c>
      <c r="I601" s="3" t="str">
        <f t="shared" si="99"/>
        <v>10.1073%2Fpnas.090504197</v>
      </c>
      <c r="J601" s="3" t="str">
        <f t="shared" si="96"/>
        <v>Zhang_Sejnowski_2000_Figure2</v>
      </c>
      <c r="K601" s="5" t="str">
        <f t="shared" si="98"/>
        <v>10.1073%2Fpnas.090504197_Figure2</v>
      </c>
      <c r="L601" s="5" t="str">
        <f t="array" ref="L601">IFERROR(INDEX(AUTO_Public_TSV_FileList!$A$1:$A$1000,MATCH(TRUE(),EXACT(K601,IFERROR(_xlfn.TEXTBEFORE(AUTO_Public_TSV_FileList!$A$1:$A$1000,".tsv"),"")),0)),"notfound")</f>
        <v>10.1073%2Fpnas.090504197_Figure2.tsv</v>
      </c>
      <c r="M601" s="13"/>
      <c r="N601" s="10"/>
      <c r="O601" s="13"/>
      <c r="P601" s="13"/>
      <c r="Q601" s="13"/>
      <c r="R601" s="13"/>
      <c r="S601" s="13"/>
      <c r="T601" s="13"/>
      <c r="U601" s="13"/>
      <c r="V601" s="13"/>
      <c r="W601" s="13"/>
      <c r="X601" s="13"/>
      <c r="Y601" s="13"/>
      <c r="Z601" s="13"/>
      <c r="AA601" s="13"/>
      <c r="AB601" s="13"/>
      <c r="AC601" s="13"/>
      <c r="AD601" s="13"/>
      <c r="AE601" s="13"/>
      <c r="AF601" s="13"/>
      <c r="AG601" s="13"/>
    </row>
    <row r="602" ht="15" customHeight="1">
      <c r="A602" s="7" t="s">
        <v>2310</v>
      </c>
      <c r="B602" s="7"/>
      <c r="C602" s="7"/>
      <c r="D602" s="7" t="s">
        <v>421</v>
      </c>
      <c r="E602" s="3" t="str">
        <f t="shared" si="93"/>
        <v>Zhang</v>
      </c>
      <c r="F602" s="5"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5" t="str">
        <f t="shared" si="94"/>
        <v>2000</v>
      </c>
      <c r="H602" s="3" t="str">
        <f t="shared" si="95"/>
        <v>Zhang_Sejnowski_2000</v>
      </c>
      <c r="I602" s="3" t="str">
        <f t="shared" si="99"/>
        <v>10.1073%2Fpnas.090504197</v>
      </c>
      <c r="J602" s="3" t="str">
        <f t="shared" si="96"/>
        <v>Zhang_Sejnowski_2000_Figure3</v>
      </c>
      <c r="K602" s="5" t="str">
        <f t="shared" si="98"/>
        <v>10.1073%2Fpnas.090504197_Figure3</v>
      </c>
      <c r="L602" s="5" t="str">
        <f t="array" ref="L602">IFERROR(INDEX(AUTO_Public_TSV_FileList!$A$1:$A$1000,MATCH(TRUE(),EXACT(K602,IFERROR(_xlfn.TEXTBEFORE(AUTO_Public_TSV_FileList!$A$1:$A$1000,".tsv"),"")),0)),"notfound")</f>
        <v>10.1073%2Fpnas.090504197_Figure3.tsv</v>
      </c>
      <c r="M602" s="13"/>
      <c r="N602" s="10"/>
      <c r="O602" s="13"/>
      <c r="P602" s="13"/>
      <c r="Q602" s="13"/>
      <c r="R602" s="13"/>
      <c r="S602" s="13"/>
      <c r="T602" s="13"/>
      <c r="U602" s="13"/>
      <c r="V602" s="13"/>
      <c r="W602" s="13"/>
      <c r="X602" s="13"/>
      <c r="Y602" s="13"/>
      <c r="Z602" s="13"/>
      <c r="AA602" s="13"/>
      <c r="AB602" s="13"/>
      <c r="AC602" s="13"/>
      <c r="AD602" s="13"/>
      <c r="AE602" s="13"/>
      <c r="AF602" s="13"/>
      <c r="AG602" s="13"/>
    </row>
    <row r="603" ht="15" customHeight="1">
      <c r="A603" s="7" t="s">
        <v>2311</v>
      </c>
      <c r="B603" s="7"/>
      <c r="C603" s="7" t="s">
        <v>2312</v>
      </c>
      <c r="D603" s="7" t="s">
        <v>2313</v>
      </c>
      <c r="E603" s="3" t="str">
        <f t="shared" si="93"/>
        <v>Zilles</v>
      </c>
      <c r="F603" s="5"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3" s="5" t="str">
        <f t="shared" si="94"/>
        <v>1988</v>
      </c>
      <c r="H603" s="3" t="str">
        <f t="shared" si="95"/>
        <v>Zilles_Rehkämper_1988</v>
      </c>
      <c r="I603" s="3" t="str">
        <f t="shared" si="99"/>
        <v>ISBN%3A9780195043716</v>
      </c>
      <c r="J603" s="3" t="str">
        <f t="shared" si="96"/>
        <v>Zilles_Rehkämper_1988_Table12-1</v>
      </c>
      <c r="K603" s="5" t="str">
        <f t="shared" si="98"/>
        <v>ISBN%3A9780195043716_Table12-1</v>
      </c>
      <c r="L603" s="5" t="str">
        <f t="array" ref="L603">IFERROR(INDEX(AUTO_Public_TSV_FileList!$A$1:$A$1000,MATCH(TRUE(),EXACT(K603,IFERROR(_xlfn.TEXTBEFORE(AUTO_Public_TSV_FileList!$A$1:$A$1000,".tsv"),"")),0)),"notfound")</f>
        <v>ISBN%3A9780195043716_Table12-1.tsv</v>
      </c>
      <c r="M603" s="13" t="s">
        <v>2314</v>
      </c>
      <c r="N603" s="10" t="s">
        <v>35</v>
      </c>
      <c r="O603" s="13"/>
      <c r="P603" s="13"/>
      <c r="Q603" s="13"/>
      <c r="R603" s="13"/>
      <c r="S603" s="13"/>
      <c r="T603" s="13"/>
      <c r="U603" s="13"/>
      <c r="V603" s="13"/>
      <c r="W603" s="13"/>
      <c r="X603" s="13"/>
      <c r="Y603" s="13"/>
      <c r="Z603" s="13"/>
      <c r="AA603" s="13"/>
      <c r="AB603" s="13"/>
      <c r="AC603" s="13"/>
      <c r="AD603" s="13"/>
      <c r="AE603" s="13"/>
      <c r="AF603" s="13"/>
      <c r="AG603" s="13"/>
    </row>
    <row r="604" ht="13" customHeight="1">
      <c r="A604" s="12" t="s">
        <v>2311</v>
      </c>
      <c r="B604" s="22"/>
      <c r="C604" s="12" t="s">
        <v>2312</v>
      </c>
      <c r="D604" s="12" t="s">
        <v>2315</v>
      </c>
      <c r="E604" s="3" t="str">
        <f t="shared" si="93"/>
        <v>Zilles</v>
      </c>
      <c r="F604" s="5"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5" t="str">
        <f t="shared" si="94"/>
        <v>1988</v>
      </c>
      <c r="H604" s="3" t="str">
        <f t="shared" si="95"/>
        <v>Zilles_Rehkämper_1988</v>
      </c>
      <c r="I604" s="3" t="str">
        <f t="shared" si="99"/>
        <v>ISBN%3A9780195043716</v>
      </c>
      <c r="J604" s="3" t="str">
        <f t="shared" si="96"/>
        <v>Zilles_Rehkämper_1988_Table12-2</v>
      </c>
      <c r="K604" s="5" t="str">
        <f t="shared" si="98"/>
        <v>ISBN%3A9780195043716_Table12-2</v>
      </c>
      <c r="L604" s="5" t="str">
        <f t="array" ref="L604">IFERROR(INDEX(AUTO_Public_TSV_FileList!$A$1:$A$1000,MATCH(TRUE(),EXACT(K604,IFERROR(_xlfn.TEXTBEFORE(AUTO_Public_TSV_FileList!$A$1:$A$1000,".tsv"),"")),0)),"notfound")</f>
        <v>ISBN%3A9780195043716_Table12-2.tsv</v>
      </c>
      <c r="M604" s="10" t="s">
        <v>2316</v>
      </c>
      <c r="N604" s="10" t="s">
        <v>35</v>
      </c>
      <c r="O604" s="13"/>
      <c r="P604" s="13" t="s">
        <v>36</v>
      </c>
      <c r="Q604" s="13"/>
      <c r="R604" s="13"/>
      <c r="S604" s="13"/>
      <c r="T604" s="13"/>
      <c r="U604" s="13"/>
      <c r="V604" s="13"/>
      <c r="W604" s="13"/>
      <c r="X604" s="13"/>
      <c r="Y604" s="13"/>
      <c r="Z604" s="13"/>
      <c r="AA604" s="13"/>
      <c r="AB604" s="13"/>
      <c r="AC604" s="13"/>
      <c r="AD604" s="13"/>
      <c r="AE604" s="13"/>
      <c r="AF604" s="13"/>
      <c r="AG604" s="13"/>
    </row>
    <row r="605" ht="18" customHeight="1">
      <c r="A605" s="22" t="s">
        <v>2311</v>
      </c>
      <c r="B605" s="22"/>
      <c r="C605" s="22" t="s">
        <v>2312</v>
      </c>
      <c r="D605" s="22" t="s">
        <v>2317</v>
      </c>
      <c r="E605" s="3" t="str">
        <f t="shared" si="93"/>
        <v>Zilles</v>
      </c>
      <c r="F605" s="5"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5" t="str">
        <f t="shared" si="94"/>
        <v>1988</v>
      </c>
      <c r="H605" s="3" t="str">
        <f t="shared" si="95"/>
        <v>Zilles_Rehkämper_1988</v>
      </c>
      <c r="I605" s="3" t="str">
        <f t="shared" si="99"/>
        <v>ISBN%3A9780195043716</v>
      </c>
      <c r="J605" s="3" t="str">
        <f t="shared" si="96"/>
        <v>Zilles_Rehkämper_1988_Table12-3</v>
      </c>
      <c r="K605" s="5" t="str">
        <f t="shared" si="98"/>
        <v>ISBN%3A9780195043716_Table12-3</v>
      </c>
      <c r="L605" s="5" t="str">
        <f t="array" ref="L605">IFERROR(INDEX(AUTO_Public_TSV_FileList!$A$1:$A$1000,MATCH(TRUE(),EXACT(K605,IFERROR(_xlfn.TEXTBEFORE(AUTO_Public_TSV_FileList!$A$1:$A$1000,".tsv"),"")),0)),"notfound")</f>
        <v>ISBN%3A9780195043716_Table12-3.tsv</v>
      </c>
      <c r="M605" s="7" t="s">
        <v>2318</v>
      </c>
      <c r="N605" s="1" t="s">
        <v>35</v>
      </c>
      <c r="O605" s="7"/>
      <c r="P605" s="7"/>
      <c r="Q605" s="7"/>
      <c r="R605" s="7"/>
      <c r="S605" s="7"/>
      <c r="T605" s="7"/>
      <c r="U605" s="7"/>
      <c r="V605" s="7"/>
      <c r="W605" s="7"/>
      <c r="X605" s="7"/>
      <c r="Y605" s="7"/>
      <c r="Z605" s="7"/>
      <c r="AA605" s="7"/>
      <c r="AB605" s="7"/>
      <c r="AC605" s="7"/>
      <c r="AD605" s="7"/>
      <c r="AE605" s="7"/>
      <c r="AF605" s="7"/>
      <c r="AG605" s="7"/>
      <c r="AH605" s="9"/>
    </row>
    <row r="606" ht="18" customHeight="1">
      <c r="A606" s="22" t="s">
        <v>2311</v>
      </c>
      <c r="B606" s="22"/>
      <c r="C606" s="22" t="s">
        <v>2312</v>
      </c>
      <c r="D606" s="22" t="s">
        <v>455</v>
      </c>
      <c r="E606" s="3" t="str">
        <f t="shared" si="93"/>
        <v>Zilles</v>
      </c>
      <c r="F606" s="5"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5" t="str">
        <f t="shared" si="94"/>
        <v>1988</v>
      </c>
      <c r="H606" s="3" t="str">
        <f t="shared" si="95"/>
        <v>Zilles_Rehkämper_1988</v>
      </c>
      <c r="I606" s="3" t="str">
        <f t="shared" si="99"/>
        <v>ISBN%3A9780195043716</v>
      </c>
      <c r="J606" s="3" t="str">
        <f t="shared" si="96"/>
        <v>Zilles_Rehkämper_1988_text</v>
      </c>
      <c r="K606" s="5" t="str">
        <f t="shared" si="98"/>
        <v>ISBN%3A9780195043716_text</v>
      </c>
      <c r="L606" s="5" t="str">
        <f t="array" ref="L606">IFERROR(INDEX(AUTO_Public_TSV_FileList!$A$1:$A$1000,MATCH(TRUE(),EXACT(K606,IFERROR(_xlfn.TEXTBEFORE(AUTO_Public_TSV_FileList!$A$1:$A$1000,".tsv"),"")),0)),"notfound")</f>
        <v>ISBN%3A9780195043716_text.tsv</v>
      </c>
      <c r="M606" s="7"/>
      <c r="N606" s="1"/>
      <c r="O606" s="7"/>
      <c r="P606" s="7"/>
      <c r="Q606" s="7"/>
      <c r="R606" s="7"/>
      <c r="S606" s="7"/>
      <c r="T606" s="7"/>
      <c r="U606" s="7"/>
      <c r="V606" s="7"/>
      <c r="W606" s="7"/>
      <c r="X606" s="7"/>
      <c r="Y606" s="7"/>
      <c r="Z606" s="7"/>
      <c r="AA606" s="7"/>
      <c r="AB606" s="7"/>
      <c r="AC606" s="7"/>
      <c r="AD606" s="7"/>
      <c r="AE606" s="7"/>
      <c r="AF606" s="7"/>
      <c r="AG606" s="7"/>
      <c r="AH606" s="9"/>
    </row>
    <row r="607" ht="18" customHeight="1">
      <c r="A607" s="22" t="s">
        <v>2319</v>
      </c>
      <c r="B607" s="22"/>
      <c r="C607" s="22"/>
      <c r="D607" s="22" t="s">
        <v>286</v>
      </c>
      <c r="E607" s="3" t="str">
        <f t="shared" si="93"/>
        <v>Zilles</v>
      </c>
      <c r="F607" s="5"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5" t="str">
        <f t="shared" si="94"/>
        <v>2011</v>
      </c>
      <c r="H607" s="3" t="str">
        <f t="shared" si="95"/>
        <v>Zilles_etal_2011</v>
      </c>
      <c r="I607" s="3" t="str">
        <f t="shared" si="99"/>
        <v>10.1111%2Fj.1749-6632.2011.05978.x</v>
      </c>
      <c r="J607" s="3" t="str">
        <f t="shared" si="96"/>
        <v>Zilles_etal_2011_TableS1</v>
      </c>
      <c r="K607" s="5" t="str">
        <f t="shared" si="98"/>
        <v>10.1111%2Fj.1749-6632.2011.05978.x_TableS1</v>
      </c>
      <c r="L607" s="5" t="str">
        <f t="array" ref="L607">IFERROR(INDEX(AUTO_Public_TSV_FileList!$A$1:$A$1000,MATCH(TRUE(),EXACT(K607,IFERROR(_xlfn.TEXTBEFORE(AUTO_Public_TSV_FileList!$A$1:$A$1000,".tsv"),"")),0)),"notfound")</f>
        <v>10.1111%2Fj.1749-6632.2011.05978.x_TableS1.tsv</v>
      </c>
      <c r="M607" s="7" t="s">
        <v>2320</v>
      </c>
      <c r="N607" s="1"/>
      <c r="O607" s="7"/>
      <c r="P607" s="7"/>
      <c r="Q607" s="7"/>
      <c r="R607" s="7"/>
      <c r="S607" s="7"/>
      <c r="T607" s="7"/>
      <c r="U607" s="7"/>
      <c r="V607" s="7"/>
      <c r="W607" s="7"/>
      <c r="X607" s="7"/>
      <c r="Y607" s="7"/>
      <c r="Z607" s="7"/>
      <c r="AA607" s="7"/>
      <c r="AB607" s="7"/>
      <c r="AC607" s="7"/>
      <c r="AD607" s="7"/>
      <c r="AE607" s="7"/>
      <c r="AF607" s="7"/>
      <c r="AG607" s="7"/>
      <c r="AH607" s="9"/>
    </row>
    <row r="608" ht="18" customHeight="1">
      <c r="A608" s="22" t="s">
        <v>2319</v>
      </c>
      <c r="B608" s="22"/>
      <c r="C608" s="22"/>
      <c r="D608" s="22" t="s">
        <v>712</v>
      </c>
      <c r="E608" s="3" t="str">
        <f t="shared" si="93"/>
        <v>Zilles</v>
      </c>
      <c r="F608" s="5"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5" t="str">
        <f t="shared" si="94"/>
        <v>2011</v>
      </c>
      <c r="H608" s="3" t="str">
        <f t="shared" si="95"/>
        <v>Zilles_etal_2011</v>
      </c>
      <c r="I608" s="3" t="str">
        <f t="shared" si="99"/>
        <v>10.1111%2Fj.1749-6632.2011.05978.x</v>
      </c>
      <c r="J608" s="3" t="str">
        <f t="shared" si="96"/>
        <v>Zilles_etal_2011_TableS2</v>
      </c>
      <c r="K608" s="5" t="str">
        <f t="shared" si="98"/>
        <v>10.1111%2Fj.1749-6632.2011.05978.x_TableS2</v>
      </c>
      <c r="L608" s="5" t="str">
        <f t="array" ref="L608">IFERROR(INDEX(AUTO_Public_TSV_FileList!$A$1:$A$1000,MATCH(TRUE(),EXACT(K608,IFERROR(_xlfn.TEXTBEFORE(AUTO_Public_TSV_FileList!$A$1:$A$1000,".tsv"),"")),0)),"notfound")</f>
        <v>10.1111%2Fj.1749-6632.2011.05978.x_TableS2.tsv</v>
      </c>
      <c r="M608" s="7" t="s">
        <v>2321</v>
      </c>
      <c r="N608" s="1"/>
      <c r="O608" s="7"/>
      <c r="P608" s="7"/>
      <c r="Q608" s="7"/>
      <c r="R608" s="7"/>
      <c r="S608" s="7"/>
      <c r="T608" s="7"/>
      <c r="U608" s="7"/>
      <c r="V608" s="7"/>
      <c r="W608" s="7"/>
      <c r="X608" s="7"/>
      <c r="Y608" s="7"/>
      <c r="Z608" s="7"/>
      <c r="AA608" s="7"/>
      <c r="AB608" s="7"/>
      <c r="AC608" s="7"/>
      <c r="AD608" s="7"/>
      <c r="AE608" s="7"/>
      <c r="AF608" s="7"/>
      <c r="AG608" s="7"/>
      <c r="AH608" s="9"/>
    </row>
    <row r="609" ht="18" customHeight="1">
      <c r="A609" s="22" t="s">
        <v>2319</v>
      </c>
      <c r="B609" s="22"/>
      <c r="C609" s="22"/>
      <c r="D609" s="22" t="s">
        <v>714</v>
      </c>
      <c r="E609" s="3" t="str">
        <f t="shared" si="93"/>
        <v>Zilles</v>
      </c>
      <c r="F609" s="5"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5" t="str">
        <f t="shared" si="94"/>
        <v>2011</v>
      </c>
      <c r="H609" s="3" t="str">
        <f t="shared" si="95"/>
        <v>Zilles_etal_2011</v>
      </c>
      <c r="I609" s="3" t="str">
        <f t="shared" si="99"/>
        <v>10.1111%2Fj.1749-6632.2011.05978.x</v>
      </c>
      <c r="J609" s="3" t="str">
        <f t="shared" si="96"/>
        <v>Zilles_etal_2011_TableS3</v>
      </c>
      <c r="K609" s="5" t="str">
        <f t="shared" si="98"/>
        <v>10.1111%2Fj.1749-6632.2011.05978.x_TableS3</v>
      </c>
      <c r="L609" s="5" t="str">
        <f t="array" ref="L609">IFERROR(INDEX(AUTO_Public_TSV_FileList!$A$1:$A$1000,MATCH(TRUE(),EXACT(K609,IFERROR(_xlfn.TEXTBEFORE(AUTO_Public_TSV_FileList!$A$1:$A$1000,".tsv"),"")),0)),"notfound")</f>
        <v>10.1111%2Fj.1749-6632.2011.05978.x_TableS3.tsv</v>
      </c>
      <c r="M609" s="7" t="s">
        <v>2322</v>
      </c>
      <c r="N609" s="1"/>
      <c r="O609" s="7"/>
      <c r="P609" s="7"/>
      <c r="Q609" s="7"/>
      <c r="R609" s="7"/>
      <c r="S609" s="7"/>
      <c r="T609" s="7"/>
      <c r="U609" s="7"/>
      <c r="V609" s="7"/>
      <c r="W609" s="7"/>
      <c r="X609" s="7"/>
      <c r="Y609" s="7"/>
      <c r="Z609" s="7"/>
      <c r="AA609" s="7"/>
      <c r="AB609" s="7"/>
      <c r="AC609" s="7"/>
      <c r="AD609" s="7"/>
      <c r="AE609" s="7"/>
      <c r="AF609" s="7"/>
      <c r="AG609" s="7"/>
      <c r="AH609" s="9"/>
    </row>
    <row r="610" ht="18" customHeight="1">
      <c r="A610" s="27" t="s">
        <v>2323</v>
      </c>
      <c r="B610" s="27"/>
      <c r="C610" s="27"/>
      <c r="D610" s="27" t="s">
        <v>68</v>
      </c>
      <c r="E610" s="25" t="str">
        <f t="shared" si="93"/>
        <v>Zilles</v>
      </c>
      <c r="F610" s="26"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6" t="str">
        <f t="shared" si="94"/>
        <v>1989</v>
      </c>
      <c r="H610" s="25" t="str">
        <f t="shared" si="95"/>
        <v>Zilles_etal_1989</v>
      </c>
      <c r="I610" s="25" t="str">
        <f t="shared" si="99"/>
        <v>10.1159%2F000116500</v>
      </c>
      <c r="J610" s="25" t="str">
        <f t="shared" si="96"/>
        <v>Zilles_etal_1989_Table1</v>
      </c>
      <c r="K610" s="26" t="str">
        <f t="shared" si="98"/>
        <v>10.1159%2F000116500_Table1</v>
      </c>
      <c r="L610" s="26" t="str">
        <f t="array" ref="L610">IFERROR(INDEX(AUTO_Public_TSV_FileList!$A$1:$A$1000,MATCH(TRUE(),EXACT(K610,IFERROR(_xlfn.TEXTBEFORE(AUTO_Public_TSV_FileList!$A$1:$A$1000,".tsv"),"")),0)),"notfound")</f>
        <v>10.1159%2F000116500_Table1.tsv</v>
      </c>
      <c r="M610" s="27" t="s">
        <v>2324</v>
      </c>
      <c r="N610" s="27" t="s">
        <v>1590</v>
      </c>
      <c r="O610" s="27" t="s">
        <v>2325</v>
      </c>
      <c r="P610" s="27" t="s">
        <v>1592</v>
      </c>
      <c r="Q610" s="27" t="s">
        <v>2326</v>
      </c>
      <c r="R610" s="27" t="s">
        <v>2327</v>
      </c>
      <c r="S610" s="27"/>
      <c r="T610" s="27" t="s">
        <v>1595</v>
      </c>
      <c r="U610" s="27"/>
      <c r="V610" s="27"/>
      <c r="W610" s="27"/>
      <c r="X610" s="27"/>
      <c r="Y610" s="27"/>
      <c r="Z610" s="27"/>
      <c r="AA610" s="27" t="s">
        <v>2328</v>
      </c>
      <c r="AB610" s="27" t="s">
        <v>2329</v>
      </c>
      <c r="AC610" s="27"/>
      <c r="AD610" s="27"/>
      <c r="AE610" s="27" t="s">
        <v>51</v>
      </c>
      <c r="AF610" s="27"/>
      <c r="AG610" s="27" t="s">
        <v>1598</v>
      </c>
      <c r="AH610" s="27"/>
    </row>
    <row r="611" ht="18" customHeight="1">
      <c r="A611" s="22" t="s">
        <v>2330</v>
      </c>
      <c r="B611" s="22"/>
      <c r="C611" s="22"/>
      <c r="D611" s="22" t="s">
        <v>68</v>
      </c>
      <c r="E611" s="3" t="str">
        <f t="shared" si="93"/>
        <v>Zilles</v>
      </c>
      <c r="F611" s="5"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5" t="str">
        <f t="shared" si="94"/>
        <v>1986</v>
      </c>
      <c r="H611" s="3" t="str">
        <f t="shared" si="95"/>
        <v>Zilles_etal_1986</v>
      </c>
      <c r="I611" s="3" t="str">
        <f t="shared" si="99"/>
        <v>10.1002%2Fcne.902530408</v>
      </c>
      <c r="J611" s="3" t="str">
        <f t="shared" si="96"/>
        <v>Zilles_etal_1986_Table1</v>
      </c>
      <c r="K611" s="5" t="str">
        <f t="shared" si="98"/>
        <v>10.1002%2Fcne.902530408_Table1</v>
      </c>
      <c r="L611" s="5" t="str">
        <f t="array" ref="L611">IFERROR(INDEX(AUTO_Public_TSV_FileList!$A$1:$A$1000,MATCH(TRUE(),EXACT(K611,IFERROR(_xlfn.TEXTBEFORE(AUTO_Public_TSV_FileList!$A$1:$A$1000,".tsv"),"")),0)),"notfound")</f>
        <v>10.1002%2Fcne.902530408_Table1.tsv</v>
      </c>
      <c r="M611" s="7"/>
      <c r="N611" s="1"/>
      <c r="O611" s="7"/>
      <c r="P611" s="7"/>
      <c r="Q611" s="7"/>
      <c r="R611" s="7"/>
      <c r="S611" s="7"/>
      <c r="T611" s="7"/>
      <c r="U611" s="7"/>
      <c r="V611" s="7"/>
      <c r="W611" s="7"/>
      <c r="X611" s="7"/>
      <c r="Y611" s="7"/>
      <c r="Z611" s="7"/>
      <c r="AA611" s="7"/>
      <c r="AB611" s="7"/>
      <c r="AC611" s="7"/>
      <c r="AD611" s="7"/>
      <c r="AE611" s="7"/>
      <c r="AF611" s="7"/>
      <c r="AG611" s="7"/>
      <c r="AH611" s="9"/>
    </row>
    <row r="612" ht="18" customHeight="1">
      <c r="A612" s="22" t="s">
        <v>2330</v>
      </c>
      <c r="B612" s="22"/>
      <c r="C612" s="22"/>
      <c r="D612" s="22" t="s">
        <v>108</v>
      </c>
      <c r="E612" s="3" t="str">
        <f t="shared" si="93"/>
        <v>Zilles</v>
      </c>
      <c r="F612" s="5"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5" t="str">
        <f t="shared" si="94"/>
        <v>1986</v>
      </c>
      <c r="H612" s="3" t="str">
        <f t="shared" si="95"/>
        <v>Zilles_etal_1986</v>
      </c>
      <c r="I612" s="3" t="str">
        <f t="shared" si="99"/>
        <v>10.1002%2Fcne.902530408</v>
      </c>
      <c r="J612" s="3" t="str">
        <f t="shared" si="96"/>
        <v>Zilles_etal_1986_Table2</v>
      </c>
      <c r="K612" s="5" t="str">
        <f t="shared" si="98"/>
        <v>10.1002%2Fcne.902530408_Table2</v>
      </c>
      <c r="L612" s="5" t="str">
        <f t="array" ref="L612">IFERROR(INDEX(AUTO_Public_TSV_FileList!$A$1:$A$1000,MATCH(TRUE(),EXACT(K612,IFERROR(_xlfn.TEXTBEFORE(AUTO_Public_TSV_FileList!$A$1:$A$1000,".tsv"),"")),0)),"notfound")</f>
        <v>10.1002%2Fcne.902530408_Table2.tsv</v>
      </c>
      <c r="M612" s="7"/>
      <c r="N612" s="1"/>
      <c r="O612" s="7"/>
      <c r="P612" s="7"/>
      <c r="Q612" s="7"/>
      <c r="R612" s="7"/>
      <c r="S612" s="7"/>
      <c r="T612" s="7"/>
      <c r="U612" s="7"/>
      <c r="V612" s="7"/>
      <c r="W612" s="7"/>
      <c r="X612" s="7"/>
      <c r="Y612" s="7"/>
      <c r="Z612" s="7"/>
      <c r="AA612" s="7"/>
      <c r="AB612" s="7"/>
      <c r="AC612" s="7"/>
      <c r="AD612" s="7"/>
      <c r="AE612" s="7"/>
      <c r="AF612" s="7"/>
      <c r="AG612" s="7"/>
      <c r="AH612" s="9"/>
    </row>
    <row r="613" ht="18" customHeight="1">
      <c r="A613" s="12" t="s">
        <v>2331</v>
      </c>
      <c r="B613" s="22"/>
      <c r="C613" s="22"/>
      <c r="D613" s="12" t="s">
        <v>68</v>
      </c>
      <c r="E613" s="3" t="str">
        <f t="shared" si="93"/>
        <v>Zilles</v>
      </c>
      <c r="F613" s="5"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5" t="str">
        <f t="shared" si="94"/>
        <v>2013</v>
      </c>
      <c r="H613" s="3" t="str">
        <f t="shared" si="95"/>
        <v>Zilles_etal_2013</v>
      </c>
      <c r="I613" s="3" t="str">
        <f t="shared" si="99"/>
        <v>10.1016%2Fj.tins.2013.01.006</v>
      </c>
      <c r="J613" s="3" t="str">
        <f t="shared" si="96"/>
        <v>Zilles_etal_2013_Table1</v>
      </c>
      <c r="K613" s="5" t="str">
        <f t="shared" si="98"/>
        <v>10.1016%2Fj.tins.2013.01.006_Table1</v>
      </c>
      <c r="L613" s="5" t="str">
        <f t="array" ref="L613">IFERROR(INDEX(AUTO_Public_TSV_FileList!$A$1:$A$1000,MATCH(TRUE(),EXACT(K613,IFERROR(_xlfn.TEXTBEFORE(AUTO_Public_TSV_FileList!$A$1:$A$1000,".tsv"),"")),0)),"notfound")</f>
        <v>10.1016%2Fj.tins.2013.01.006_Table1.tsv</v>
      </c>
      <c r="M613" s="1" t="s">
        <v>2332</v>
      </c>
      <c r="N613" s="1" t="s">
        <v>35</v>
      </c>
      <c r="O613" s="7"/>
      <c r="P613" s="7" t="s">
        <v>36</v>
      </c>
      <c r="Q613" s="7"/>
      <c r="R613" s="7"/>
      <c r="S613" s="7"/>
      <c r="T613" s="7"/>
      <c r="U613" s="7"/>
      <c r="V613" s="7"/>
      <c r="W613" s="7"/>
      <c r="X613" s="7"/>
      <c r="Y613" s="7"/>
      <c r="Z613" s="7"/>
      <c r="AA613" s="7"/>
      <c r="AB613" s="7"/>
      <c r="AC613" s="7"/>
      <c r="AD613" s="7"/>
      <c r="AE613" s="7"/>
      <c r="AF613" s="7"/>
      <c r="AG613" s="7"/>
      <c r="AH613" s="9"/>
    </row>
    <row r="614" ht="18" customHeight="1">
      <c r="A614" s="22" t="s">
        <v>2331</v>
      </c>
      <c r="B614" s="22"/>
      <c r="C614" s="22"/>
      <c r="D614" s="22" t="s">
        <v>68</v>
      </c>
      <c r="E614" s="25" t="str">
        <f t="shared" si="93"/>
        <v>Zilles</v>
      </c>
      <c r="F614" s="26"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6" t="str">
        <f t="shared" si="94"/>
        <v>2013</v>
      </c>
      <c r="H614" s="25" t="str">
        <f t="shared" si="95"/>
        <v>Zilles_etal_2013</v>
      </c>
      <c r="I614" s="25" t="str">
        <f t="shared" si="99"/>
        <v>10.1016%2Fj.tins.2013.01.006</v>
      </c>
      <c r="J614" s="25" t="str">
        <f t="shared" si="96"/>
        <v>Zilles_etal_2013_Table1</v>
      </c>
      <c r="K614" s="26" t="str">
        <f t="shared" si="98"/>
        <v>10.1016%2Fj.tins.2013.01.006_Table1</v>
      </c>
      <c r="L614" s="26" t="str">
        <f t="array" ref="L614">IFERROR(INDEX(AUTO_Public_TSV_FileList!$A$1:$A$1000,MATCH(TRUE(),EXACT(K614,IFERROR(_xlfn.TEXTBEFORE(AUTO_Public_TSV_FileList!$A$1:$A$1000,".tsv"),"")),0)),"notfound")</f>
        <v>10.1016%2Fj.tins.2013.01.006_Table1.tsv</v>
      </c>
      <c r="M614" s="7" t="s">
        <v>2332</v>
      </c>
      <c r="N614" s="1" t="s">
        <v>35</v>
      </c>
      <c r="O614" s="7"/>
      <c r="P614" s="7" t="s">
        <v>36</v>
      </c>
      <c r="Q614" s="7"/>
      <c r="R614" s="7"/>
      <c r="S614" s="7"/>
      <c r="T614" s="7"/>
      <c r="U614" s="7"/>
      <c r="V614" s="7"/>
      <c r="W614" s="7"/>
      <c r="X614" s="7"/>
      <c r="Y614" s="7"/>
      <c r="Z614" s="7"/>
      <c r="AA614" s="7"/>
      <c r="AB614" s="7"/>
      <c r="AC614" s="7"/>
      <c r="AD614" s="7"/>
      <c r="AE614" s="7"/>
      <c r="AF614" s="7"/>
      <c r="AG614" s="7"/>
      <c r="AH614" s="9"/>
    </row>
    <row r="622" ht="16" customHeight="1">
      <c r="A622" s="21" t="s">
        <v>1719</v>
      </c>
      <c r="D622" s="21" t="s">
        <v>1483</v>
      </c>
      <c r="E622" s="21" t="str">
        <f t="shared" ref="E622:E629" si="100">SUBSTITUTE(SUBSTITUTE(_xlfn.TEXTBEFORE(A622,","), "-", ""), " ", "")</f>
        <v>Morgan</v>
      </c>
      <c r="F622" s="21"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21" t="str">
        <f t="shared" ref="G622:G629" si="101">_xlfn.TEXTBEFORE(_xlfn.TEXTAFTER(A622, "("), ")")</f>
        <v>2014</v>
      </c>
      <c r="H622" s="21" t="str">
        <f t="shared" ref="H622:H629" si="102">E622 &amp; IF(F622&lt;&gt;"", "_" &amp; F622, "_") &amp; IF(G622&lt;&gt;"", "_" &amp; G622, "_") &amp; IF(B622&lt;&gt;"", "_" &amp; B622, "")</f>
        <v>Morgan_etal_2014</v>
      </c>
      <c r="I622" s="21" t="str">
        <f t="shared" ref="I622:I629" si="103">_xlfn.LET(
_xlpm.doi,IF(C622&lt;&gt;"",C622,_xlfn.TEXTAFTER(A622,"https://doi.org/")),
SUBSTITUTE(
SUBSTITUTE(
SUBSTITUTE(
SUBSTITUTE(
_xlpm.doi,
"/","%2F"),
":","%3A"),
"&lt;","%3C"),
"&gt;","%3E")
)</f>
        <v>10.1371%2Fjournal.pone.0110356</v>
      </c>
      <c r="J622" s="21" t="str">
        <f t="shared" ref="J622:J629" si="104">TRIM(_xlfn.TEXTJOIN("_",FALSE(),H622,(SUBSTITUTE(SUBSTITUTE(D622," ",""), "_", ""))))</f>
        <v>Morgan_etal_2014_DataS1</v>
      </c>
      <c r="K622" t="str">
        <f t="shared" ref="K622:K629" si="105">I622 &amp; "_" &amp; SUBSTITUTE(SUBSTITUTE(SUBSTITUTE(D622,CHAR(160),""), " ", ""), "_", "")</f>
        <v>10.1371%2Fjournal.pone.0110356_DataS1</v>
      </c>
      <c r="L622" t="str">
        <f t="array" ref="L622">IFERROR(INDEX(AUTO_Public_TSV_FileList!$A$1:$A$1000,MATCH(TRUE(),EXACT(K622,IFERROR(_xlfn.TEXTBEFORE(AUTO_Public_TSV_FileList!$A$1:$A$1000,".tsv"),"")),0)),"notfound")</f>
        <v>10.1371%2Fjournal.pone.0110356_DataS1.tsv</v>
      </c>
      <c r="N622" s="7" t="s">
        <v>1721</v>
      </c>
      <c r="O622" s="7" t="s">
        <v>1720</v>
      </c>
      <c r="P622" s="7" t="s">
        <v>2333</v>
      </c>
      <c r="Q622" s="7" t="s">
        <v>1722</v>
      </c>
      <c r="W622" s="7" t="s">
        <v>816</v>
      </c>
      <c r="AA622" s="7" t="s">
        <v>1724</v>
      </c>
      <c r="AB622" s="7" t="s">
        <v>1424</v>
      </c>
      <c r="AC622" s="7" t="s">
        <v>1725</v>
      </c>
      <c r="AE622" s="7" t="s">
        <v>66</v>
      </c>
    </row>
    <row r="623" ht="16" customHeight="1">
      <c r="A623" s="21" t="s">
        <v>812</v>
      </c>
      <c r="D623" s="21" t="s">
        <v>108</v>
      </c>
      <c r="E623" s="21" t="str">
        <f t="shared" si="100"/>
        <v>Hanson</v>
      </c>
      <c r="F623" s="21"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21" t="str">
        <f t="shared" si="101"/>
        <v>2018</v>
      </c>
      <c r="H623" s="21" t="str">
        <f t="shared" si="102"/>
        <v>Hanson_etal_2018</v>
      </c>
      <c r="I623" s="21" t="str">
        <f t="shared" si="103"/>
        <v>10.1002%2Fdneu.22554</v>
      </c>
      <c r="J623" s="21" t="str">
        <f t="shared" si="104"/>
        <v>Hanson_etal_2018_Table2</v>
      </c>
      <c r="K623" t="str">
        <f t="shared" si="105"/>
        <v>10.1002%2Fdneu.22554_Table2</v>
      </c>
      <c r="L623" t="str">
        <f t="array" ref="L623">IFERROR(INDEX(AUTO_Public_TSV_FileList!$A$1:$A$1000,MATCH(TRUE(),EXACT(K623,IFERROR(_xlfn.TEXTBEFORE(AUTO_Public_TSV_FileList!$A$1:$A$1000,".tsv"),"")),0)),"notfound")</f>
        <v>10.1002%2Fdneu.22554_Table2.tsv</v>
      </c>
      <c r="N623" s="7" t="s">
        <v>814</v>
      </c>
      <c r="O623" s="7" t="s">
        <v>813</v>
      </c>
      <c r="P623" s="7" t="s">
        <v>2334</v>
      </c>
      <c r="Q623" s="7" t="s">
        <v>815</v>
      </c>
      <c r="W623" s="7" t="s">
        <v>816</v>
      </c>
      <c r="AA623" s="7" t="s">
        <v>272</v>
      </c>
      <c r="AB623" s="7" t="s">
        <v>115</v>
      </c>
      <c r="AC623" s="7" t="s">
        <v>818</v>
      </c>
      <c r="AE623" s="7" t="s">
        <v>66</v>
      </c>
    </row>
    <row r="624" ht="16" customHeight="1">
      <c r="A624" s="21" t="s">
        <v>812</v>
      </c>
      <c r="D624" s="21" t="s">
        <v>110</v>
      </c>
      <c r="E624" s="21" t="str">
        <f t="shared" si="100"/>
        <v>Hanson</v>
      </c>
      <c r="F624" s="21"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21" t="str">
        <f t="shared" si="101"/>
        <v>2018</v>
      </c>
      <c r="H624" s="21" t="str">
        <f t="shared" si="102"/>
        <v>Hanson_etal_2018</v>
      </c>
      <c r="I624" s="21" t="str">
        <f t="shared" si="103"/>
        <v>10.1002%2Fdneu.22554</v>
      </c>
      <c r="J624" s="21" t="str">
        <f t="shared" si="104"/>
        <v>Hanson_etal_2018_Table3</v>
      </c>
      <c r="K624" t="str">
        <f t="shared" si="105"/>
        <v>10.1002%2Fdneu.22554_Table3</v>
      </c>
      <c r="L624" t="str">
        <f t="array" ref="L624">IFERROR(INDEX(AUTO_Public_TSV_FileList!$A$1:$A$1000,MATCH(TRUE(),EXACT(K624,IFERROR(_xlfn.TEXTBEFORE(AUTO_Public_TSV_FileList!$A$1:$A$1000,".tsv"),"")),0)),"notfound")</f>
        <v>10.1002%2Fdneu.22554_Table3.tsv</v>
      </c>
      <c r="N624" s="7" t="s">
        <v>814</v>
      </c>
      <c r="O624" s="7" t="s">
        <v>819</v>
      </c>
      <c r="P624" s="7" t="s">
        <v>2334</v>
      </c>
      <c r="Q624" s="7" t="s">
        <v>820</v>
      </c>
      <c r="W624" s="7" t="s">
        <v>816</v>
      </c>
      <c r="AA624" s="7" t="s">
        <v>272</v>
      </c>
      <c r="AB624" s="7" t="s">
        <v>115</v>
      </c>
      <c r="AC624" s="7" t="s">
        <v>818</v>
      </c>
      <c r="AE624" s="7" t="s">
        <v>66</v>
      </c>
    </row>
    <row r="625" ht="16" customHeight="1">
      <c r="A625" s="21" t="s">
        <v>1418</v>
      </c>
      <c r="D625" s="21" t="s">
        <v>108</v>
      </c>
      <c r="E625" s="21" t="str">
        <f t="shared" si="100"/>
        <v>Karlsen</v>
      </c>
      <c r="F625" s="21"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5" s="21" t="str">
        <f t="shared" si="101"/>
        <v>2011</v>
      </c>
      <c r="H625" s="21" t="str">
        <f t="shared" si="102"/>
        <v>Karlsen_Pakkenberg_2011</v>
      </c>
      <c r="I625" s="21" t="str">
        <f t="shared" si="103"/>
        <v>10.1093%2Fcercor%2Fbhr033</v>
      </c>
      <c r="J625" s="21" t="str">
        <f t="shared" si="104"/>
        <v>Karlsen_Pakkenberg_2011_Table2</v>
      </c>
      <c r="K625" t="str">
        <f t="shared" si="105"/>
        <v>10.1093%2Fcercor%2Fbhr033_Table2</v>
      </c>
      <c r="L625" t="str">
        <f t="array" ref="L625">IFERROR(INDEX(AUTO_Public_TSV_FileList!$A$1:$A$1000,MATCH(TRUE(),EXACT(K625,IFERROR(_xlfn.TEXTBEFORE(AUTO_Public_TSV_FileList!$A$1:$A$1000,".tsv"),"")),0)),"notfound")</f>
        <v>10.1093%2Fcercor%2Fbhr033_Table2.tsv</v>
      </c>
      <c r="N625" s="7" t="s">
        <v>1432</v>
      </c>
      <c r="O625" s="7" t="s">
        <v>1431</v>
      </c>
      <c r="P625" s="7" t="s">
        <v>2335</v>
      </c>
      <c r="Q625" s="7" t="s">
        <v>1433</v>
      </c>
      <c r="W625" s="7" t="s">
        <v>816</v>
      </c>
      <c r="AA625" s="7" t="s">
        <v>1435</v>
      </c>
      <c r="AB625" s="7" t="s">
        <v>127</v>
      </c>
      <c r="AC625" s="7" t="s">
        <v>1425</v>
      </c>
      <c r="AE625" s="7" t="s">
        <v>66</v>
      </c>
    </row>
    <row r="626" ht="16" customHeight="1">
      <c r="A626" s="21" t="s">
        <v>1418</v>
      </c>
      <c r="D626" s="21" t="s">
        <v>1419</v>
      </c>
      <c r="E626" s="21" t="str">
        <f t="shared" si="100"/>
        <v>Karlsen</v>
      </c>
      <c r="F626" s="21"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6" s="21" t="str">
        <f t="shared" si="101"/>
        <v>2011</v>
      </c>
      <c r="H626" s="21" t="str">
        <f t="shared" si="102"/>
        <v>Karlsen_Pakkenberg_2011</v>
      </c>
      <c r="I626" s="21" t="str">
        <f t="shared" si="103"/>
        <v>10.1093%2Fcercor%2Fbhr033</v>
      </c>
      <c r="J626" s="21" t="str">
        <f t="shared" si="104"/>
        <v>Karlsen_Pakkenberg_2011_authordata(groupmeans)</v>
      </c>
      <c r="K626" t="str">
        <f t="shared" si="105"/>
        <v>10.1093%2Fcercor%2Fbhr033_authordata(groupmeans)</v>
      </c>
      <c r="L626" t="str">
        <f t="array" ref="L626">IFERROR(INDEX(AUTO_Public_TSV_FileList!$A$1:$A$1000,MATCH(TRUE(),EXACT(K626,IFERROR(_xlfn.TEXTBEFORE(AUTO_Public_TSV_FileList!$A$1:$A$1000,".tsv"),"")),0)),"notfound")</f>
        <v>10.1093%2Fcercor%2Fbhr033_authordata(groupmeans).tsv</v>
      </c>
      <c r="N626" s="7" t="s">
        <v>1421</v>
      </c>
      <c r="O626" s="7" t="s">
        <v>1420</v>
      </c>
      <c r="P626" s="7" t="s">
        <v>2336</v>
      </c>
      <c r="Q626" s="7" t="s">
        <v>1422</v>
      </c>
      <c r="W626" s="7" t="s">
        <v>816</v>
      </c>
      <c r="AA626" s="7" t="s">
        <v>272</v>
      </c>
      <c r="AB626" s="7" t="s">
        <v>1424</v>
      </c>
      <c r="AC626" s="7" t="s">
        <v>1425</v>
      </c>
      <c r="AE626" s="7" t="s">
        <v>66</v>
      </c>
    </row>
    <row r="627" ht="16" customHeight="1">
      <c r="A627" s="21" t="s">
        <v>1418</v>
      </c>
      <c r="D627" s="21" t="s">
        <v>1426</v>
      </c>
      <c r="E627" s="21" t="str">
        <f t="shared" si="100"/>
        <v>Karlsen</v>
      </c>
      <c r="F627" s="21"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27" s="21" t="str">
        <f t="shared" si="101"/>
        <v>2011</v>
      </c>
      <c r="H627" s="21" t="str">
        <f t="shared" si="102"/>
        <v>Karlsen_Pakkenberg_2011</v>
      </c>
      <c r="I627" s="21" t="str">
        <f t="shared" si="103"/>
        <v>10.1093%2Fcercor%2Fbhr033</v>
      </c>
      <c r="J627" s="21" t="str">
        <f t="shared" si="104"/>
        <v>Karlsen_Pakkenberg_2011_reportedvalues</v>
      </c>
      <c r="K627" t="str">
        <f t="shared" si="105"/>
        <v>10.1093%2Fcercor%2Fbhr033_reportedvalues</v>
      </c>
      <c r="L627" t="str">
        <f t="array" ref="L627">IFERROR(INDEX(AUTO_Public_TSV_FileList!$A$1:$A$1000,MATCH(TRUE(),EXACT(K627,IFERROR(_xlfn.TEXTBEFORE(AUTO_Public_TSV_FileList!$A$1:$A$1000,".tsv"),"")),0)),"notfound")</f>
        <v>10.1093%2Fcercor%2Fbhr033_reportedvalues.tsv</v>
      </c>
      <c r="N627" s="7" t="s">
        <v>1428</v>
      </c>
      <c r="O627" s="7" t="s">
        <v>1427</v>
      </c>
      <c r="P627" s="7" t="s">
        <v>2337</v>
      </c>
      <c r="Q627" s="7" t="s">
        <v>1429</v>
      </c>
      <c r="W627" s="7" t="s">
        <v>816</v>
      </c>
      <c r="AA627" s="7" t="s">
        <v>272</v>
      </c>
      <c r="AB627" s="7" t="s">
        <v>1424</v>
      </c>
      <c r="AC627" s="7" t="s">
        <v>1425</v>
      </c>
      <c r="AE627" s="7" t="s">
        <v>66</v>
      </c>
    </row>
    <row r="628" ht="16" customHeight="1">
      <c r="A628" s="21" t="s">
        <v>2265</v>
      </c>
      <c r="D628" s="21" t="s">
        <v>2266</v>
      </c>
      <c r="E628" s="21" t="str">
        <f t="shared" si="100"/>
        <v>Walhovd</v>
      </c>
      <c r="F628" s="21"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21" t="str">
        <f t="shared" si="101"/>
        <v>2011</v>
      </c>
      <c r="H628" s="21" t="str">
        <f t="shared" si="102"/>
        <v>Walhovd_etal_2011</v>
      </c>
      <c r="I628" s="21" t="str">
        <f t="shared" si="103"/>
        <v>10.1016%2Fj.neurobiolaging.2009.05.013</v>
      </c>
      <c r="J628" s="21" t="str">
        <f t="shared" si="104"/>
        <v>Walhovd_etal_2011_normativevolumes</v>
      </c>
      <c r="K628" t="str">
        <f t="shared" si="105"/>
        <v>10.1016%2Fj.neurobiolaging.2009.05.013_normativevolumes</v>
      </c>
      <c r="L628" t="str">
        <f t="array" ref="L628">IFERROR(INDEX(AUTO_Public_TSV_FileList!$A$1:$A$1000,MATCH(TRUE(),EXACT(K628,IFERROR(_xlfn.TEXTBEFORE(AUTO_Public_TSV_FileList!$A$1:$A$1000,".tsv"),"")),0)),"notfound")</f>
        <v>10.1016%2Fj.neurobiolaging.2009.05.013_normativevolumes.tsv</v>
      </c>
      <c r="N628" s="7" t="s">
        <v>2268</v>
      </c>
      <c r="O628" s="7" t="s">
        <v>2267</v>
      </c>
      <c r="P628" s="7" t="s">
        <v>2338</v>
      </c>
      <c r="Q628" s="7" t="s">
        <v>2269</v>
      </c>
      <c r="W628" s="7" t="s">
        <v>816</v>
      </c>
      <c r="AA628" s="7" t="s">
        <v>1286</v>
      </c>
      <c r="AB628" s="7" t="s">
        <v>127</v>
      </c>
      <c r="AC628" s="7" t="s">
        <v>2271</v>
      </c>
      <c r="AE628" s="7" t="s">
        <v>215</v>
      </c>
    </row>
    <row r="629" ht="16" customHeight="1">
      <c r="A629" s="21" t="s">
        <v>1627</v>
      </c>
      <c r="D629" s="21" t="s">
        <v>1628</v>
      </c>
      <c r="E629" s="21" t="str">
        <f t="shared" si="100"/>
        <v>Mackes</v>
      </c>
      <c r="F629" s="21"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21" t="str">
        <f t="shared" si="101"/>
        <v>2020</v>
      </c>
      <c r="H629" s="21" t="str">
        <f t="shared" si="102"/>
        <v>Mackes_etal_2020</v>
      </c>
      <c r="I629" s="21" t="str">
        <f t="shared" si="103"/>
        <v>10.1073%2Fpnas.1911264116</v>
      </c>
      <c r="J629" s="21" t="str">
        <f t="shared" si="104"/>
        <v>Mackes_etal_2020_ERABIS(cortical)</v>
      </c>
      <c r="K629" t="str">
        <f t="shared" si="105"/>
        <v>10.1073%2Fpnas.1911264116_ERABIS(cortical)</v>
      </c>
      <c r="L629" t="str">
        <f t="array" ref="L629">IFERROR(INDEX(AUTO_Public_TSV_FileList!$A$1:$A$1000,MATCH(TRUE(),EXACT(K629,IFERROR(_xlfn.TEXTBEFORE(AUTO_Public_TSV_FileList!$A$1:$A$1000,".tsv"),"")),0)),"notfound")</f>
        <v>10.1073%2Fpnas.1911264116_ERABIS(cortical).tsv</v>
      </c>
      <c r="N629" s="7" t="s">
        <v>1421</v>
      </c>
      <c r="O629" s="7" t="s">
        <v>1629</v>
      </c>
      <c r="P629" s="7" t="s">
        <v>2339</v>
      </c>
      <c r="Q629" s="7" t="s">
        <v>1630</v>
      </c>
      <c r="W629" s="7" t="s">
        <v>816</v>
      </c>
      <c r="AA629" s="7" t="s">
        <v>1632</v>
      </c>
      <c r="AB629" s="7" t="s">
        <v>127</v>
      </c>
      <c r="AC629" s="7" t="s">
        <v>1287</v>
      </c>
      <c r="AE629" s="7" t="s">
        <v>66</v>
      </c>
    </row>
    <row r="630">
      <c r="A630" t="s">
        <v>2433</v>
      </c>
      <c r="D630" t="s">
        <v>2434</v>
      </c>
      <c r="E630" t="str">
        <f>SUBSTITUTE(SUBSTITUTE(_xlfn.TEXTBEFORE(A630,","), "-", ""), " ", "")</f>
        <v>HrvojMihic</v>
      </c>
      <c r="F630" t="str">
        <f>_xlfn.LET(
_xlpm.authors,_xlfn.TEXTBEFORE(A630," ("&amp;G630&amp;")"),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30" t="str">
        <f>_xlfn.TEXTBEFORE(_xlfn.TEXTAFTER(A630, "("), ")")</f>
        <v>2026</v>
      </c>
      <c r="H630" t="str">
        <f>E630 &amp; IF(F630&lt;&gt;"", "_" &amp; F630, "_") &amp; IF(G630&lt;&gt;"", "_" &amp; G630, "_") &amp; IF(B630&lt;&gt;"", "_" &amp; B630, "")</f>
        <v>HrvojMihic_etal_2026</v>
      </c>
      <c r="I630" t="str">
        <f>_xlfn.LET(
_xlpm.doi,IF(C630&lt;&gt;"",C630,_xlfn.TEXTAFTER(A630,"https://doi.org/")),
SUBSTITUTE(
SUBSTITUTE(
SUBSTITUTE(
SUBSTITUTE(
_xlpm.doi,
"/","%2F"),
":","%3A"),
"&lt;","%3C"),
"&gt;","%3E")
)</f>
        <v>10.1073%2Fpnas.2609260123</v>
      </c>
      <c r="J630" t="str">
        <f>TRIM(_xlfn.TEXTJOIN("_",FALSE(),H630,(SUBSTITUTE(SUBSTITUTE(D630," ",""), "_", ""))))</f>
        <v>HrvojMihic_etal_2026_SD</v>
      </c>
      <c r="K630" t="str">
        <f>I630 &amp; "_" &amp; SUBSTITUTE(SUBSTITUTE(SUBSTITUTE(D630,CHAR(160),""), " ", ""), "_", "")</f>
        <v>10.1073%2Fpnas.2609260123_SD</v>
      </c>
      <c r="L630" t="str">
        <f t="array" ref="L630">IFERROR(INDEX(AUTO_Public_TSV_FileList!$A$1:$A$1000,MATCH(TRUE(),EXACT(K630,IFERROR(_xlfn.TEXTBEFORE(AUTO_Public_TSV_FileList!$A$1:$A$1000,".tsv"),"")),0)),"notfound")</f>
        <v>10.1073%2Fpnas.2609260123_SD.tsv</v>
      </c>
      <c r="M630" t="s">
        <v>2435</v>
      </c>
      <c r="N630" t="s">
        <v>2436</v>
      </c>
      <c r="O630" t="s">
        <v>2437</v>
      </c>
      <c r="P630" t="s">
        <v>2438</v>
      </c>
      <c r="R630" t="s">
        <v>2439</v>
      </c>
      <c r="V630" t="s">
        <v>2440</v>
      </c>
      <c r="W630" t="s">
        <v>2441</v>
      </c>
      <c r="X630" t="s">
        <v>2442</v>
      </c>
      <c r="Y630" t="s">
        <v>2443</v>
      </c>
      <c r="Z630" t="s">
        <v>2444</v>
      </c>
      <c r="AA630" t="s">
        <v>2445</v>
      </c>
      <c r="AB630" t="s">
        <v>2446</v>
      </c>
      <c r="AE630" t="s">
        <v>2447</v>
      </c>
    </row>
  </sheetData>
  <autoFilter ref="A1:AG603" xr:uid="{00000000-0001-0000-0000-000000000000}"/>
  <hyperlinks>
    <hyperlink ref="R187" r:id="rId1h"/>
    <hyperlink ref="R384" r:id="rId2h"/>
    <hyperlink ref="R420" r:id="rId3h"/>
    <hyperlink ref="R462" r:id="rId4h"/>
    <hyperlink ref="R58" r:id="rId5h"/>
    <hyperlink ref="R59" r:id="rId6h"/>
    <hyperlink ref="R144" r:id="rId7h"/>
    <hyperlink ref="R145" r:id="rId8h"/>
    <hyperlink ref="R156" r:id="rId9h"/>
    <hyperlink ref="R454" r:id="rId10h"/>
    <hyperlink ref="R193" r:id="rId11h"/>
    <hyperlink ref="R290" r:id="rId12h"/>
    <hyperlink ref="R291" r:id="rId13h"/>
    <hyperlink ref="R385" r:id="rId14h"/>
    <hyperlink ref="R71" r:id="rId15h"/>
    <hyperlink ref="R72" r:id="rId16h"/>
    <hyperlink ref="R177" r:id="rId17h"/>
    <hyperlink ref="R178" r:id="rId18h"/>
    <hyperlink ref="R205" r:id="rId19h"/>
    <hyperlink ref="R207" r:id="rId20h"/>
    <hyperlink ref="R206" r:id="rId21h"/>
    <hyperlink ref="R239" r:id="rId22h"/>
    <hyperlink ref="R215" r:id="rId23h"/>
    <hyperlink ref="R214" r:id="rId24h"/>
    <hyperlink ref="R198" r:id="rId25h"/>
    <hyperlink ref="R217" r:id="rId26h"/>
    <hyperlink ref="R216" r:id="rId27h"/>
    <hyperlink ref="R220" r:id="rId28h"/>
    <hyperlink ref="R222" r:id="rId29h"/>
    <hyperlink ref="R221" r:id="rId30h"/>
    <hyperlink ref="R225" r:id="rId31h"/>
    <hyperlink ref="R224" r:id="rId32h"/>
    <hyperlink ref="R229" r:id="rId33h"/>
    <hyperlink ref="R230" r:id="rId34h"/>
    <hyperlink ref="R231" r:id="rId35h"/>
    <hyperlink ref="R232" r:id="rId36h"/>
    <hyperlink ref="R235" r:id="rId37h"/>
    <hyperlink ref="R233" r:id="rId38h"/>
    <hyperlink ref="R234" r:id="rId39h"/>
    <hyperlink ref="R374" r:id="rId40h"/>
    <hyperlink ref="R372" r:id="rId41h"/>
    <hyperlink ref="R373" r:id="rId42h"/>
    <hyperlink ref="R367" r:id="rId43h"/>
    <hyperlink ref="R368" r:id="rId44h"/>
    <hyperlink ref="R591" r:id="rId45h"/>
    <hyperlink ref="R590"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drawing r:id="rId1"/>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2" t="s">
        <v>0</v>
      </c>
      <c r="B1" s="12" t="s">
        <v>1</v>
      </c>
      <c r="C1" s="12" t="s">
        <v>2</v>
      </c>
      <c r="D1" s="12" t="s">
        <v>3</v>
      </c>
      <c r="E1" s="26" t="s">
        <v>4</v>
      </c>
      <c r="F1" s="26" t="s">
        <v>5</v>
      </c>
      <c r="G1" s="26" t="s">
        <v>6</v>
      </c>
      <c r="H1" s="26" t="s">
        <v>7</v>
      </c>
      <c r="I1" s="26" t="s">
        <v>8</v>
      </c>
      <c r="J1" s="26" t="s">
        <v>9</v>
      </c>
      <c r="K1" s="26" t="s">
        <v>10</v>
      </c>
      <c r="L1" s="26" t="s">
        <v>11</v>
      </c>
      <c r="M1" s="12" t="s">
        <v>12</v>
      </c>
      <c r="N1" s="12" t="s">
        <v>13</v>
      </c>
      <c r="O1" s="12" t="s">
        <v>14</v>
      </c>
      <c r="P1" s="12" t="s">
        <v>15</v>
      </c>
      <c r="Q1" s="12" t="s">
        <v>16</v>
      </c>
      <c r="R1" s="12" t="s">
        <v>17</v>
      </c>
      <c r="S1" s="12" t="s">
        <v>18</v>
      </c>
      <c r="T1" s="12" t="s">
        <v>19</v>
      </c>
      <c r="U1" s="12" t="s">
        <v>20</v>
      </c>
      <c r="V1" s="12" t="s">
        <v>21</v>
      </c>
      <c r="W1" s="1" t="s">
        <v>22</v>
      </c>
      <c r="X1" s="12" t="s">
        <v>23</v>
      </c>
      <c r="Y1" s="12" t="s">
        <v>24</v>
      </c>
      <c r="Z1" s="1" t="s">
        <v>25</v>
      </c>
      <c r="AA1" s="12" t="s">
        <v>26</v>
      </c>
      <c r="AB1" s="12" t="s">
        <v>27</v>
      </c>
      <c r="AC1" s="12" t="s">
        <v>28</v>
      </c>
      <c r="AD1" s="12" t="s">
        <v>29</v>
      </c>
      <c r="AE1" s="12" t="s">
        <v>30</v>
      </c>
      <c r="AF1" s="1" t="s">
        <v>31</v>
      </c>
      <c r="AG1" s="22" t="s">
        <v>32</v>
      </c>
    </row>
    <row r="2" ht="16" customHeight="1">
      <c r="A2" s="31" t="s">
        <v>2340</v>
      </c>
      <c r="B2" s="27"/>
      <c r="C2" s="27"/>
      <c r="D2" s="31" t="s">
        <v>68</v>
      </c>
      <c r="E2" s="26" t="str">
        <f t="shared" ref="E2:E17" si="0">SUBSTITUTE(SUBSTITUTE(_xlfn.TEXTBEFORE(A2,","), "-", ""), " ", "")</f>
        <v>Changizi</v>
      </c>
      <c r="F2" s="26"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6" t="str">
        <f t="shared" ref="G2:G17" si="2">_xlfn.TEXTBEFORE(_xlfn.TEXTAFTER(A2, "("), ")")</f>
        <v>2005</v>
      </c>
      <c r="H2" s="26" t="str">
        <f t="shared" ref="H2:H17" si="3">E2 &amp; IF(F2&lt;&gt;"", "_" &amp; F2, "_") &amp; IF(G2&lt;&gt;"", "_" &amp; G2, "_") &amp; IF(B2&lt;&gt;"", "_" &amp; B2, "")</f>
        <v>Changizi_He_2005</v>
      </c>
      <c r="I2" s="26" t="str">
        <f t="shared" ref="I2:I17" si="4">_xlfn.LET(
_xlpm.doi,IF(C2&lt;&gt;"",C2,_xlfn.TEXTAFTER(A2,"https://doi.org/")),
SUBSTITUTE(
SUBSTITUTE(
SUBSTITUTE(
SUBSTITUTE(
_xlpm.doi,
"/","%2F"),
":","%3A"),
"&lt;","%3C"),
"&gt;","%3E")
)</f>
        <v>10.1002%2Fcplx.20085</v>
      </c>
      <c r="J2" s="26" t="str">
        <f t="shared" ref="J2:J17" si="5">TRIM(_xlfn.TEXTJOIN("_",FALSE(),H2,(SUBSTITUTE(SUBSTITUTE(D2," ",""), "_", ""))))</f>
        <v>Changizi_He_2005_Table1</v>
      </c>
      <c r="K2" s="26" t="str">
        <f t="shared" ref="K2:K17" si="6">I2 &amp; "_" &amp; SUBSTITUTE(SUBSTITUTE(SUBSTITUTE(D2,CHAR(160),"")," ",""),"_","")</f>
        <v>10.1002%2Fcplx.20085_Table1</v>
      </c>
      <c r="L2" s="26" t="str">
        <f t="array" ref="L2">IFERROR(INDEX(AUTO_Public_TSV_FileList!$A$1:$A$1000,MATCH(TRUE(),EXACT(K2,IFERROR(_xlfn.TEXTBEFORE(AUTO_Public_TSV_FileList!$A$1:$A$1000,".tsv"),"")),0)),"notfound")</f>
        <v>notfound</v>
      </c>
      <c r="M2" s="27" t="s">
        <v>2341</v>
      </c>
      <c r="N2" s="31" t="s">
        <v>70</v>
      </c>
      <c r="O2" s="27" t="s">
        <v>2342</v>
      </c>
      <c r="Q2" s="27"/>
      <c r="R2" s="27" t="s">
        <v>2343</v>
      </c>
      <c r="S2" s="27" t="s">
        <v>429</v>
      </c>
      <c r="T2" s="27" t="s">
        <v>430</v>
      </c>
      <c r="U2" s="27"/>
      <c r="V2" s="27" t="s">
        <v>1330</v>
      </c>
      <c r="W2" s="31"/>
      <c r="X2" s="27" t="s">
        <v>2344</v>
      </c>
      <c r="Y2" s="27" t="s">
        <v>2344</v>
      </c>
      <c r="Z2" s="27"/>
      <c r="AA2" s="27"/>
      <c r="AB2" s="31" t="s">
        <v>2345</v>
      </c>
      <c r="AC2" s="27"/>
      <c r="AD2" s="27"/>
      <c r="AE2" s="31" t="s">
        <v>215</v>
      </c>
      <c r="AF2" s="31"/>
      <c r="AG2" s="22" t="s">
        <v>2346</v>
      </c>
    </row>
    <row r="3" ht="16" customHeight="1">
      <c r="A3" s="31" t="s">
        <v>2340</v>
      </c>
      <c r="B3" s="27"/>
      <c r="C3" s="27"/>
      <c r="D3" s="31" t="s">
        <v>108</v>
      </c>
      <c r="E3" s="26" t="str">
        <f t="shared" si="0"/>
        <v>Changizi</v>
      </c>
      <c r="F3" s="26" t="str">
        <f t="shared" si="1"/>
        <v>He</v>
      </c>
      <c r="G3" s="26" t="str">
        <f t="shared" si="2"/>
        <v>2005</v>
      </c>
      <c r="H3" s="26" t="str">
        <f t="shared" si="3"/>
        <v>Changizi_He_2005</v>
      </c>
      <c r="I3" s="26" t="str">
        <f t="shared" si="4"/>
        <v>10.1002%2Fcplx.20085</v>
      </c>
      <c r="J3" s="26" t="str">
        <f t="shared" si="5"/>
        <v>Changizi_He_2005_Table2</v>
      </c>
      <c r="K3" s="26" t="str">
        <f t="shared" si="6"/>
        <v>10.1002%2Fcplx.20085_Table2</v>
      </c>
      <c r="L3" s="26" t="str">
        <f t="array" ref="L3">IFERROR(INDEX(AUTO_Public_TSV_FileList!$A$1:$A$1000,MATCH(TRUE(),EXACT(K3,IFERROR(_xlfn.TEXTBEFORE(AUTO_Public_TSV_FileList!$A$1:$A$1000,".tsv"),"")),0)),"notfound")</f>
        <v>notfound</v>
      </c>
      <c r="M3" s="27" t="s">
        <v>2347</v>
      </c>
      <c r="N3" s="31" t="s">
        <v>70</v>
      </c>
      <c r="O3" s="27" t="s">
        <v>2348</v>
      </c>
      <c r="Q3" s="27"/>
      <c r="R3" s="27" t="s">
        <v>2343</v>
      </c>
      <c r="S3" s="27" t="s">
        <v>429</v>
      </c>
      <c r="T3" s="27" t="s">
        <v>430</v>
      </c>
      <c r="U3" s="27"/>
      <c r="V3" s="27" t="s">
        <v>1330</v>
      </c>
      <c r="W3" s="31"/>
      <c r="X3" s="27" t="s">
        <v>2349</v>
      </c>
      <c r="Y3" s="27" t="s">
        <v>2349</v>
      </c>
      <c r="Z3" s="27"/>
      <c r="AA3" s="27"/>
      <c r="AB3" s="31" t="s">
        <v>2345</v>
      </c>
      <c r="AC3" s="27"/>
      <c r="AD3" s="27"/>
      <c r="AE3" s="31" t="s">
        <v>215</v>
      </c>
      <c r="AF3" s="31"/>
      <c r="AG3" s="22" t="s">
        <v>2350</v>
      </c>
    </row>
    <row r="4" ht="16" customHeight="1">
      <c r="A4" s="31" t="s">
        <v>2351</v>
      </c>
      <c r="B4" s="27"/>
      <c r="C4" s="27"/>
      <c r="D4" s="31" t="s">
        <v>68</v>
      </c>
      <c r="E4" s="30" t="str">
        <f t="shared" si="0"/>
        <v>Deaner</v>
      </c>
      <c r="F4" s="30" t="str">
        <f t="shared" si="1"/>
        <v>etal</v>
      </c>
      <c r="G4" s="30" t="str">
        <f t="shared" si="2"/>
        <v>2007</v>
      </c>
      <c r="H4" s="30" t="str">
        <f t="shared" si="3"/>
        <v>Deaner_etal_2007</v>
      </c>
      <c r="I4" s="30" t="str">
        <f t="shared" si="4"/>
        <v>10.1159%2F000102973</v>
      </c>
      <c r="J4" s="30" t="str">
        <f t="shared" si="5"/>
        <v>Deaner_etal_2007_Table1</v>
      </c>
      <c r="K4" s="30" t="str">
        <f t="shared" si="6"/>
        <v>10.1159%2F000102973_Table1</v>
      </c>
      <c r="L4" s="30" t="str">
        <f t="array" ref="L4">IFERROR(INDEX(AUTO_Public_TSV_FileList!$A$1:$A$1000,MATCH(TRUE(),EXACT(K4,IFERROR(_xlfn.TEXTBEFORE(AUTO_Public_TSV_FileList!$A$1:$A$1000,".tsv"),"")),0)),"notfound")</f>
        <v>notfound</v>
      </c>
      <c r="M4" s="27" t="s">
        <v>2352</v>
      </c>
      <c r="N4" s="31" t="s">
        <v>70</v>
      </c>
      <c r="O4" s="27" t="s">
        <v>2353</v>
      </c>
      <c r="Q4" s="27"/>
      <c r="R4" s="27" t="s">
        <v>2354</v>
      </c>
      <c r="S4" s="27" t="s">
        <v>429</v>
      </c>
      <c r="T4" s="27" t="s">
        <v>430</v>
      </c>
      <c r="U4" s="27"/>
      <c r="V4" s="27" t="s">
        <v>1330</v>
      </c>
      <c r="W4" s="31" t="s">
        <v>137</v>
      </c>
      <c r="X4" s="27" t="s">
        <v>2355</v>
      </c>
      <c r="Y4" s="27" t="s">
        <v>2355</v>
      </c>
      <c r="Z4" s="27"/>
      <c r="AA4" s="27"/>
      <c r="AB4" s="31" t="s">
        <v>2356</v>
      </c>
      <c r="AC4" s="27"/>
      <c r="AD4" s="27"/>
      <c r="AE4" s="31" t="s">
        <v>215</v>
      </c>
      <c r="AF4" s="31"/>
      <c r="AG4" s="22" t="s">
        <v>2357</v>
      </c>
    </row>
    <row r="5" ht="16" customHeight="1">
      <c r="A5" s="31" t="s">
        <v>554</v>
      </c>
      <c r="B5" s="27"/>
      <c r="C5" s="27"/>
      <c r="D5" s="31" t="s">
        <v>108</v>
      </c>
      <c r="E5" s="26" t="str">
        <f t="shared" si="0"/>
        <v>Deaner</v>
      </c>
      <c r="F5" s="26" t="str">
        <f t="shared" si="1"/>
        <v>etal</v>
      </c>
      <c r="G5" s="26" t="str">
        <f t="shared" si="2"/>
        <v>2006</v>
      </c>
      <c r="H5" s="26" t="str">
        <f t="shared" si="3"/>
        <v>Deaner_etal_2006</v>
      </c>
      <c r="I5" s="26" t="str">
        <f t="shared" si="4"/>
        <v>10.1177%2F147470490600400114</v>
      </c>
      <c r="J5" s="26" t="str">
        <f t="shared" si="5"/>
        <v>Deaner_etal_2006_Table2</v>
      </c>
      <c r="K5" s="26" t="str">
        <f t="shared" si="6"/>
        <v>10.1177%2F147470490600400114_Table2</v>
      </c>
      <c r="L5" s="26" t="str">
        <f t="array" ref="L5">IFERROR(INDEX(AUTO_Public_TSV_FileList!$A$1:$A$1000,MATCH(TRUE(),EXACT(K5,IFERROR(_xlfn.TEXTBEFORE(AUTO_Public_TSV_FileList!$A$1:$A$1000,".tsv"),"")),0)),"notfound")</f>
        <v>notfound</v>
      </c>
      <c r="M5" s="27" t="s">
        <v>2358</v>
      </c>
      <c r="N5" s="31" t="s">
        <v>70</v>
      </c>
      <c r="O5" s="27" t="s">
        <v>2359</v>
      </c>
      <c r="Q5" s="27"/>
      <c r="R5" s="27"/>
      <c r="S5" s="27" t="s">
        <v>429</v>
      </c>
      <c r="T5" s="27" t="s">
        <v>430</v>
      </c>
      <c r="U5" s="27"/>
      <c r="V5" s="27" t="s">
        <v>1330</v>
      </c>
      <c r="W5" s="31" t="s">
        <v>137</v>
      </c>
      <c r="X5" s="27" t="s">
        <v>2360</v>
      </c>
      <c r="Y5" s="27" t="s">
        <v>2360</v>
      </c>
      <c r="Z5" s="27"/>
      <c r="AA5" s="27"/>
      <c r="AB5" s="31" t="s">
        <v>2361</v>
      </c>
      <c r="AC5" s="27"/>
      <c r="AD5" s="27"/>
      <c r="AE5" s="31" t="s">
        <v>215</v>
      </c>
      <c r="AF5" s="31"/>
      <c r="AG5" s="22" t="s">
        <v>2362</v>
      </c>
    </row>
    <row r="6" ht="16" customHeight="1">
      <c r="A6" s="31" t="s">
        <v>554</v>
      </c>
      <c r="B6" s="27"/>
      <c r="C6" s="27"/>
      <c r="D6" s="31" t="s">
        <v>110</v>
      </c>
      <c r="E6" s="26" t="str">
        <f t="shared" si="0"/>
        <v>Deaner</v>
      </c>
      <c r="F6" s="26" t="str">
        <f t="shared" si="1"/>
        <v>etal</v>
      </c>
      <c r="G6" s="26" t="str">
        <f t="shared" si="2"/>
        <v>2006</v>
      </c>
      <c r="H6" s="26" t="str">
        <f t="shared" si="3"/>
        <v>Deaner_etal_2006</v>
      </c>
      <c r="I6" s="26" t="str">
        <f t="shared" si="4"/>
        <v>10.1177%2F147470490600400114</v>
      </c>
      <c r="J6" s="26" t="str">
        <f t="shared" si="5"/>
        <v>Deaner_etal_2006_Table3</v>
      </c>
      <c r="K6" s="26" t="str">
        <f t="shared" si="6"/>
        <v>10.1177%2F147470490600400114_Table3</v>
      </c>
      <c r="L6" s="26" t="str">
        <f t="array" ref="L6">IFERROR(INDEX(AUTO_Public_TSV_FileList!$A$1:$A$1000,MATCH(TRUE(),EXACT(K6,IFERROR(_xlfn.TEXTBEFORE(AUTO_Public_TSV_FileList!$A$1:$A$1000,".tsv"),"")),0)),"notfound")</f>
        <v>notfound</v>
      </c>
      <c r="M6" s="27" t="s">
        <v>2363</v>
      </c>
      <c r="N6" s="31" t="s">
        <v>70</v>
      </c>
      <c r="O6" s="27" t="s">
        <v>2364</v>
      </c>
      <c r="Q6" s="27"/>
      <c r="R6" s="27"/>
      <c r="S6" s="27" t="s">
        <v>429</v>
      </c>
      <c r="T6" s="27" t="s">
        <v>430</v>
      </c>
      <c r="U6" s="27"/>
      <c r="V6" s="27" t="s">
        <v>1330</v>
      </c>
      <c r="W6" s="31" t="s">
        <v>137</v>
      </c>
      <c r="X6" s="27" t="s">
        <v>2365</v>
      </c>
      <c r="Y6" s="27" t="s">
        <v>2365</v>
      </c>
      <c r="Z6" s="27"/>
      <c r="AA6" s="27"/>
      <c r="AB6" s="31" t="s">
        <v>2366</v>
      </c>
      <c r="AC6" s="27"/>
      <c r="AD6" s="27"/>
      <c r="AE6" s="31" t="s">
        <v>215</v>
      </c>
      <c r="AF6" s="31"/>
      <c r="AG6" s="22" t="s">
        <v>2367</v>
      </c>
    </row>
    <row r="7" ht="16" customHeight="1">
      <c r="A7" s="31" t="s">
        <v>2368</v>
      </c>
      <c r="B7" s="27"/>
      <c r="C7" s="27"/>
      <c r="D7" s="31" t="s">
        <v>68</v>
      </c>
      <c r="E7" s="26" t="str">
        <f t="shared" si="0"/>
        <v>Reader</v>
      </c>
      <c r="F7" s="26" t="str">
        <f t="shared" si="1"/>
        <v>Laland</v>
      </c>
      <c r="G7" s="26" t="str">
        <f t="shared" si="2"/>
        <v>2002</v>
      </c>
      <c r="H7" s="26" t="str">
        <f t="shared" si="3"/>
        <v>Reader_Laland_2002</v>
      </c>
      <c r="I7" s="26" t="str">
        <f t="shared" si="4"/>
        <v>10.1073%2Fpnas.062041299</v>
      </c>
      <c r="J7" s="26" t="str">
        <f t="shared" si="5"/>
        <v>Reader_Laland_2002_Table1</v>
      </c>
      <c r="K7" s="26" t="str">
        <f t="shared" si="6"/>
        <v>10.1073%2Fpnas.062041299_Table1</v>
      </c>
      <c r="L7" s="26" t="str">
        <f t="array" ref="L7">IFERROR(INDEX(AUTO_Public_TSV_FileList!$A$1:$A$1000,MATCH(TRUE(),EXACT(K7,IFERROR(_xlfn.TEXTBEFORE(AUTO_Public_TSV_FileList!$A$1:$A$1000,".tsv"),"")),0)),"notfound")</f>
        <v>notfound</v>
      </c>
      <c r="M7" s="27" t="s">
        <v>2369</v>
      </c>
      <c r="N7" s="31" t="s">
        <v>70</v>
      </c>
      <c r="O7" s="27" t="s">
        <v>2370</v>
      </c>
      <c r="Q7" s="27"/>
      <c r="R7" s="27" t="s">
        <v>2371</v>
      </c>
      <c r="S7" s="27" t="s">
        <v>429</v>
      </c>
      <c r="T7" s="27" t="s">
        <v>430</v>
      </c>
      <c r="U7" s="27"/>
      <c r="V7" s="27" t="s">
        <v>1330</v>
      </c>
      <c r="W7" s="31" t="s">
        <v>137</v>
      </c>
      <c r="X7" s="27" t="s">
        <v>2372</v>
      </c>
      <c r="Y7" s="27" t="s">
        <v>2372</v>
      </c>
      <c r="Z7" s="27"/>
      <c r="AA7" s="27"/>
      <c r="AB7" s="31" t="s">
        <v>2373</v>
      </c>
      <c r="AC7" s="27"/>
      <c r="AD7" s="27"/>
      <c r="AE7" s="31" t="s">
        <v>215</v>
      </c>
      <c r="AF7" s="31"/>
      <c r="AG7" s="22" t="s">
        <v>2374</v>
      </c>
    </row>
    <row r="8" ht="16" customHeight="1">
      <c r="A8" s="31" t="s">
        <v>2375</v>
      </c>
      <c r="B8" s="27"/>
      <c r="C8" s="27"/>
      <c r="D8" s="31" t="s">
        <v>68</v>
      </c>
      <c r="E8" s="26" t="str">
        <f t="shared" si="0"/>
        <v>Reader</v>
      </c>
      <c r="F8" s="26" t="str">
        <f t="shared" si="1"/>
        <v>etal</v>
      </c>
      <c r="G8" s="26" t="str">
        <f t="shared" si="2"/>
        <v>2011</v>
      </c>
      <c r="H8" s="26" t="str">
        <f t="shared" si="3"/>
        <v>Reader_etal_2011</v>
      </c>
      <c r="I8" s="26" t="str">
        <f t="shared" si="4"/>
        <v>10.1098%2Frstb.2010.0342</v>
      </c>
      <c r="J8" s="26" t="str">
        <f t="shared" si="5"/>
        <v>Reader_etal_2011_Table1</v>
      </c>
      <c r="K8" s="26" t="str">
        <f t="shared" si="6"/>
        <v>10.1098%2Frstb.2010.0342_Table1</v>
      </c>
      <c r="L8" s="26" t="str">
        <f t="array" ref="L8">IFERROR(INDEX(AUTO_Public_TSV_FileList!$A$1:$A$1000,MATCH(TRUE(),EXACT(K8,IFERROR(_xlfn.TEXTBEFORE(AUTO_Public_TSV_FileList!$A$1:$A$1000,".tsv"),"")),0)),"notfound")</f>
        <v>notfound</v>
      </c>
      <c r="M8" s="27" t="s">
        <v>2376</v>
      </c>
      <c r="N8" s="31" t="s">
        <v>70</v>
      </c>
      <c r="O8" s="27" t="s">
        <v>2377</v>
      </c>
      <c r="Q8" s="27"/>
      <c r="R8" s="27" t="s">
        <v>2378</v>
      </c>
      <c r="S8" s="27" t="s">
        <v>429</v>
      </c>
      <c r="T8" s="27" t="s">
        <v>430</v>
      </c>
      <c r="U8" s="27"/>
      <c r="V8" s="27" t="s">
        <v>1330</v>
      </c>
      <c r="W8" s="31" t="s">
        <v>137</v>
      </c>
      <c r="X8" s="27" t="s">
        <v>2379</v>
      </c>
      <c r="Y8" s="27" t="s">
        <v>2379</v>
      </c>
      <c r="Z8" s="27"/>
      <c r="AA8" s="27"/>
      <c r="AB8" s="31" t="s">
        <v>2380</v>
      </c>
      <c r="AC8" s="27"/>
      <c r="AD8" s="27"/>
      <c r="AE8" s="31" t="s">
        <v>215</v>
      </c>
      <c r="AF8" s="31"/>
      <c r="AG8" s="22" t="s">
        <v>2381</v>
      </c>
    </row>
    <row r="9" ht="16" customHeight="1">
      <c r="A9" s="31" t="s">
        <v>2375</v>
      </c>
      <c r="B9" s="27"/>
      <c r="C9" s="27"/>
      <c r="D9" s="31" t="s">
        <v>108</v>
      </c>
      <c r="E9" s="26" t="str">
        <f t="shared" si="0"/>
        <v>Reader</v>
      </c>
      <c r="F9" s="26" t="str">
        <f t="shared" si="1"/>
        <v>etal</v>
      </c>
      <c r="G9" s="26" t="str">
        <f t="shared" si="2"/>
        <v>2011</v>
      </c>
      <c r="H9" s="26" t="str">
        <f t="shared" si="3"/>
        <v>Reader_etal_2011</v>
      </c>
      <c r="I9" s="26" t="str">
        <f t="shared" si="4"/>
        <v>10.1098%2Frstb.2010.0342</v>
      </c>
      <c r="J9" s="26" t="str">
        <f t="shared" si="5"/>
        <v>Reader_etal_2011_Table2</v>
      </c>
      <c r="K9" s="26" t="str">
        <f t="shared" si="6"/>
        <v>10.1098%2Frstb.2010.0342_Table2</v>
      </c>
      <c r="L9" s="26" t="str">
        <f t="array" ref="L9">IFERROR(INDEX(AUTO_Public_TSV_FileList!$A$1:$A$1000,MATCH(TRUE(),EXACT(K9,IFERROR(_xlfn.TEXTBEFORE(AUTO_Public_TSV_FileList!$A$1:$A$1000,".tsv"),"")),0)),"notfound")</f>
        <v>notfound</v>
      </c>
      <c r="M9" s="27" t="s">
        <v>2382</v>
      </c>
      <c r="N9" s="31" t="s">
        <v>70</v>
      </c>
      <c r="O9" s="27" t="s">
        <v>2383</v>
      </c>
      <c r="Q9" s="27"/>
      <c r="R9" s="27" t="s">
        <v>2378</v>
      </c>
      <c r="S9" s="27" t="s">
        <v>429</v>
      </c>
      <c r="T9" s="27" t="s">
        <v>430</v>
      </c>
      <c r="U9" s="27"/>
      <c r="V9" s="27" t="s">
        <v>1330</v>
      </c>
      <c r="W9" s="31" t="s">
        <v>137</v>
      </c>
      <c r="X9" s="27" t="s">
        <v>2384</v>
      </c>
      <c r="Y9" s="27" t="s">
        <v>2384</v>
      </c>
      <c r="Z9" s="27"/>
      <c r="AA9" s="27"/>
      <c r="AB9" s="31" t="s">
        <v>2380</v>
      </c>
      <c r="AC9" s="27"/>
      <c r="AD9" s="27"/>
      <c r="AE9" s="31" t="s">
        <v>215</v>
      </c>
      <c r="AF9" s="31"/>
      <c r="AG9" s="22" t="s">
        <v>2385</v>
      </c>
    </row>
    <row r="10" ht="16" customHeight="1">
      <c r="A10" s="31" t="s">
        <v>2375</v>
      </c>
      <c r="B10" s="27"/>
      <c r="C10" s="27"/>
      <c r="D10" s="31" t="s">
        <v>110</v>
      </c>
      <c r="E10" s="26" t="str">
        <f t="shared" si="0"/>
        <v>Reader</v>
      </c>
      <c r="F10" s="26" t="str">
        <f t="shared" si="1"/>
        <v>etal</v>
      </c>
      <c r="G10" s="26" t="str">
        <f t="shared" si="2"/>
        <v>2011</v>
      </c>
      <c r="H10" s="26" t="str">
        <f t="shared" si="3"/>
        <v>Reader_etal_2011</v>
      </c>
      <c r="I10" s="26" t="str">
        <f t="shared" si="4"/>
        <v>10.1098%2Frstb.2010.0342</v>
      </c>
      <c r="J10" s="26" t="str">
        <f t="shared" si="5"/>
        <v>Reader_etal_2011_Table3</v>
      </c>
      <c r="K10" s="26" t="str">
        <f t="shared" si="6"/>
        <v>10.1098%2Frstb.2010.0342_Table3</v>
      </c>
      <c r="L10" s="26" t="str">
        <f t="array" ref="L10">IFERROR(INDEX(AUTO_Public_TSV_FileList!$A$1:$A$1000,MATCH(TRUE(),EXACT(K10,IFERROR(_xlfn.TEXTBEFORE(AUTO_Public_TSV_FileList!$A$1:$A$1000,".tsv"),"")),0)),"notfound")</f>
        <v>notfound</v>
      </c>
      <c r="M10" s="27" t="s">
        <v>2386</v>
      </c>
      <c r="N10" s="31" t="s">
        <v>70</v>
      </c>
      <c r="O10" s="27" t="s">
        <v>2387</v>
      </c>
      <c r="Q10" s="27"/>
      <c r="R10" s="27" t="s">
        <v>2378</v>
      </c>
      <c r="S10" s="27" t="s">
        <v>429</v>
      </c>
      <c r="T10" s="27" t="s">
        <v>430</v>
      </c>
      <c r="U10" s="27"/>
      <c r="V10" s="27" t="s">
        <v>1330</v>
      </c>
      <c r="W10" s="31" t="s">
        <v>137</v>
      </c>
      <c r="X10" s="27" t="s">
        <v>2388</v>
      </c>
      <c r="Y10" s="27" t="s">
        <v>2388</v>
      </c>
      <c r="Z10" s="27"/>
      <c r="AA10" s="27"/>
      <c r="AB10" s="31" t="s">
        <v>2389</v>
      </c>
      <c r="AC10" s="27"/>
      <c r="AD10" s="27"/>
      <c r="AE10" s="31" t="s">
        <v>215</v>
      </c>
      <c r="AF10" s="31"/>
      <c r="AG10" s="22" t="s">
        <v>2390</v>
      </c>
    </row>
    <row r="11" ht="16" customHeight="1">
      <c r="A11" s="31" t="s">
        <v>2375</v>
      </c>
      <c r="B11" s="27"/>
      <c r="C11" s="27"/>
      <c r="D11" s="31" t="s">
        <v>34</v>
      </c>
      <c r="E11" s="26" t="str">
        <f t="shared" si="0"/>
        <v>Reader</v>
      </c>
      <c r="F11" s="26" t="str">
        <f t="shared" si="1"/>
        <v>etal</v>
      </c>
      <c r="G11" s="26" t="str">
        <f t="shared" si="2"/>
        <v>2011</v>
      </c>
      <c r="H11" s="26" t="str">
        <f t="shared" si="3"/>
        <v>Reader_etal_2011</v>
      </c>
      <c r="I11" s="26" t="str">
        <f t="shared" si="4"/>
        <v>10.1098%2Frstb.2010.0342</v>
      </c>
      <c r="J11" s="26" t="str">
        <f t="shared" si="5"/>
        <v>Reader_etal_2011_Table4</v>
      </c>
      <c r="K11" s="26" t="str">
        <f t="shared" si="6"/>
        <v>10.1098%2Frstb.2010.0342_Table4</v>
      </c>
      <c r="L11" s="26" t="str">
        <f t="array" ref="L11">IFERROR(INDEX(AUTO_Public_TSV_FileList!$A$1:$A$1000,MATCH(TRUE(),EXACT(K11,IFERROR(_xlfn.TEXTBEFORE(AUTO_Public_TSV_FileList!$A$1:$A$1000,".tsv"),"")),0)),"notfound")</f>
        <v>notfound</v>
      </c>
      <c r="M11" s="27" t="s">
        <v>2391</v>
      </c>
      <c r="N11" s="31" t="s">
        <v>70</v>
      </c>
      <c r="O11" s="27" t="s">
        <v>2392</v>
      </c>
      <c r="Q11" s="27"/>
      <c r="R11" s="27" t="s">
        <v>2378</v>
      </c>
      <c r="S11" s="27" t="s">
        <v>429</v>
      </c>
      <c r="T11" s="27" t="s">
        <v>430</v>
      </c>
      <c r="U11" s="27"/>
      <c r="V11" s="27" t="s">
        <v>1330</v>
      </c>
      <c r="W11" s="31" t="s">
        <v>137</v>
      </c>
      <c r="X11" s="27" t="s">
        <v>2393</v>
      </c>
      <c r="Y11" s="27" t="s">
        <v>2393</v>
      </c>
      <c r="Z11" s="27"/>
      <c r="AA11" s="27"/>
      <c r="AB11" s="31" t="s">
        <v>2356</v>
      </c>
      <c r="AC11" s="27"/>
      <c r="AD11" s="27"/>
      <c r="AE11" s="31" t="s">
        <v>215</v>
      </c>
      <c r="AF11" s="31"/>
      <c r="AG11" s="22" t="s">
        <v>2394</v>
      </c>
    </row>
    <row r="12" ht="16" customHeight="1">
      <c r="A12" s="31" t="s">
        <v>2395</v>
      </c>
      <c r="B12" s="27"/>
      <c r="C12" s="27"/>
      <c r="D12" s="31" t="s">
        <v>68</v>
      </c>
      <c r="E12" s="26" t="str">
        <f t="shared" si="0"/>
        <v>Shultz</v>
      </c>
      <c r="F12" s="26" t="str">
        <f t="shared" si="1"/>
        <v>Dunbar</v>
      </c>
      <c r="G12" s="26" t="str">
        <f t="shared" si="2"/>
        <v>2010</v>
      </c>
      <c r="H12" s="26" t="str">
        <f t="shared" si="3"/>
        <v>Shultz_Dunbar_2010</v>
      </c>
      <c r="I12" s="26" t="str">
        <f t="shared" si="4"/>
        <v>10.1037%2Fa0018894</v>
      </c>
      <c r="J12" s="26" t="str">
        <f t="shared" si="5"/>
        <v>Shultz_Dunbar_2010_Table1</v>
      </c>
      <c r="K12" s="26" t="str">
        <f t="shared" si="6"/>
        <v>10.1037%2Fa0018894_Table1</v>
      </c>
      <c r="L12" s="26" t="str">
        <f t="array" ref="L12">IFERROR(INDEX(AUTO_Public_TSV_FileList!$A$1:$A$1000,MATCH(TRUE(),EXACT(K12,IFERROR(_xlfn.TEXTBEFORE(AUTO_Public_TSV_FileList!$A$1:$A$1000,".tsv"),"")),0)),"notfound")</f>
        <v>notfound</v>
      </c>
      <c r="M12" s="27" t="s">
        <v>2396</v>
      </c>
      <c r="N12" s="31" t="s">
        <v>70</v>
      </c>
      <c r="O12" s="27" t="s">
        <v>2397</v>
      </c>
      <c r="Q12" s="27"/>
      <c r="R12" s="27" t="s">
        <v>2398</v>
      </c>
      <c r="S12" s="27" t="s">
        <v>429</v>
      </c>
      <c r="T12" s="27" t="s">
        <v>430</v>
      </c>
      <c r="U12" s="27"/>
      <c r="V12" s="27" t="s">
        <v>1330</v>
      </c>
      <c r="W12" s="31" t="s">
        <v>137</v>
      </c>
      <c r="X12" s="27" t="s">
        <v>2399</v>
      </c>
      <c r="Y12" s="27" t="s">
        <v>2399</v>
      </c>
      <c r="Z12" s="27"/>
      <c r="AA12" s="27"/>
      <c r="AB12" s="31" t="s">
        <v>2400</v>
      </c>
      <c r="AC12" s="27"/>
      <c r="AD12" s="27"/>
      <c r="AE12" s="31" t="s">
        <v>215</v>
      </c>
      <c r="AF12" s="31"/>
      <c r="AG12" s="22" t="s">
        <v>2401</v>
      </c>
    </row>
    <row r="13" ht="16" customHeight="1">
      <c r="A13" s="31" t="s">
        <v>2395</v>
      </c>
      <c r="B13" s="27"/>
      <c r="C13" s="27"/>
      <c r="D13" s="31" t="s">
        <v>108</v>
      </c>
      <c r="E13" s="26" t="str">
        <f t="shared" si="0"/>
        <v>Shultz</v>
      </c>
      <c r="F13" s="26" t="str">
        <f t="shared" si="1"/>
        <v>Dunbar</v>
      </c>
      <c r="G13" s="26" t="str">
        <f t="shared" si="2"/>
        <v>2010</v>
      </c>
      <c r="H13" s="26" t="str">
        <f t="shared" si="3"/>
        <v>Shultz_Dunbar_2010</v>
      </c>
      <c r="I13" s="26" t="str">
        <f t="shared" si="4"/>
        <v>10.1037%2Fa0018894</v>
      </c>
      <c r="J13" s="26" t="str">
        <f t="shared" si="5"/>
        <v>Shultz_Dunbar_2010_Table2</v>
      </c>
      <c r="K13" s="26" t="str">
        <f t="shared" si="6"/>
        <v>10.1037%2Fa0018894_Table2</v>
      </c>
      <c r="L13" s="26" t="str">
        <f t="array" ref="L13">IFERROR(INDEX(AUTO_Public_TSV_FileList!$A$1:$A$1000,MATCH(TRUE(),EXACT(K13,IFERROR(_xlfn.TEXTBEFORE(AUTO_Public_TSV_FileList!$A$1:$A$1000,".tsv"),"")),0)),"notfound")</f>
        <v>notfound</v>
      </c>
      <c r="M13" s="27" t="s">
        <v>2402</v>
      </c>
      <c r="N13" s="31" t="s">
        <v>70</v>
      </c>
      <c r="O13" s="27" t="s">
        <v>2403</v>
      </c>
      <c r="Q13" s="27"/>
      <c r="R13" s="27" t="s">
        <v>2398</v>
      </c>
      <c r="S13" s="27" t="s">
        <v>429</v>
      </c>
      <c r="T13" s="27" t="s">
        <v>430</v>
      </c>
      <c r="U13" s="27"/>
      <c r="V13" s="27" t="s">
        <v>1330</v>
      </c>
      <c r="W13" s="31" t="s">
        <v>137</v>
      </c>
      <c r="X13" s="27" t="s">
        <v>2404</v>
      </c>
      <c r="Y13" s="27" t="s">
        <v>2404</v>
      </c>
      <c r="Z13" s="27"/>
      <c r="AA13" s="27"/>
      <c r="AB13" s="31" t="s">
        <v>2405</v>
      </c>
      <c r="AC13" s="27"/>
      <c r="AD13" s="27"/>
      <c r="AE13" s="31" t="s">
        <v>215</v>
      </c>
      <c r="AF13" s="31"/>
      <c r="AG13" s="22" t="s">
        <v>2406</v>
      </c>
    </row>
    <row r="14" ht="16" customHeight="1">
      <c r="A14" s="31" t="s">
        <v>2395</v>
      </c>
      <c r="B14" s="27"/>
      <c r="C14" s="27"/>
      <c r="D14" s="31" t="s">
        <v>110</v>
      </c>
      <c r="E14" s="26" t="str">
        <f t="shared" si="0"/>
        <v>Shultz</v>
      </c>
      <c r="F14" s="26" t="str">
        <f t="shared" si="1"/>
        <v>Dunbar</v>
      </c>
      <c r="G14" s="26" t="str">
        <f t="shared" si="2"/>
        <v>2010</v>
      </c>
      <c r="H14" s="26" t="str">
        <f t="shared" si="3"/>
        <v>Shultz_Dunbar_2010</v>
      </c>
      <c r="I14" s="26" t="str">
        <f t="shared" si="4"/>
        <v>10.1037%2Fa0018894</v>
      </c>
      <c r="J14" s="26" t="str">
        <f t="shared" si="5"/>
        <v>Shultz_Dunbar_2010_Table3</v>
      </c>
      <c r="K14" s="26" t="str">
        <f t="shared" si="6"/>
        <v>10.1037%2Fa0018894_Table3</v>
      </c>
      <c r="L14" s="26" t="str">
        <f t="array" ref="L14">IFERROR(INDEX(AUTO_Public_TSV_FileList!$A$1:$A$1000,MATCH(TRUE(),EXACT(K14,IFERROR(_xlfn.TEXTBEFORE(AUTO_Public_TSV_FileList!$A$1:$A$1000,".tsv"),"")),0)),"notfound")</f>
        <v>notfound</v>
      </c>
      <c r="M14" s="27" t="s">
        <v>2407</v>
      </c>
      <c r="N14" s="31" t="s">
        <v>70</v>
      </c>
      <c r="O14" s="27" t="s">
        <v>2403</v>
      </c>
      <c r="Q14" s="27"/>
      <c r="R14" s="27" t="s">
        <v>2398</v>
      </c>
      <c r="S14" s="27" t="s">
        <v>429</v>
      </c>
      <c r="T14" s="27" t="s">
        <v>430</v>
      </c>
      <c r="U14" s="27"/>
      <c r="V14" s="27" t="s">
        <v>1330</v>
      </c>
      <c r="W14" s="31" t="s">
        <v>137</v>
      </c>
      <c r="X14" s="27" t="s">
        <v>2408</v>
      </c>
      <c r="Y14" s="27" t="s">
        <v>2408</v>
      </c>
      <c r="Z14" s="27"/>
      <c r="AA14" s="27"/>
      <c r="AB14" s="31" t="s">
        <v>2409</v>
      </c>
      <c r="AC14" s="27"/>
      <c r="AD14" s="27"/>
      <c r="AE14" s="31" t="s">
        <v>215</v>
      </c>
      <c r="AF14" s="31"/>
      <c r="AG14" s="22" t="s">
        <v>2410</v>
      </c>
    </row>
    <row r="15" ht="16" customHeight="1">
      <c r="A15" s="31" t="s">
        <v>2395</v>
      </c>
      <c r="B15" s="27"/>
      <c r="C15" s="27"/>
      <c r="D15" s="31" t="s">
        <v>34</v>
      </c>
      <c r="E15" s="26" t="str">
        <f t="shared" si="0"/>
        <v>Shultz</v>
      </c>
      <c r="F15" s="26" t="str">
        <f t="shared" si="1"/>
        <v>Dunbar</v>
      </c>
      <c r="G15" s="26" t="str">
        <f t="shared" si="2"/>
        <v>2010</v>
      </c>
      <c r="H15" s="26" t="str">
        <f t="shared" si="3"/>
        <v>Shultz_Dunbar_2010</v>
      </c>
      <c r="I15" s="26" t="str">
        <f t="shared" si="4"/>
        <v>10.1037%2Fa0018894</v>
      </c>
      <c r="J15" s="26" t="str">
        <f t="shared" si="5"/>
        <v>Shultz_Dunbar_2010_Table4</v>
      </c>
      <c r="K15" s="26" t="str">
        <f t="shared" si="6"/>
        <v>10.1037%2Fa0018894_Table4</v>
      </c>
      <c r="L15" s="26" t="str">
        <f t="array" ref="L15">IFERROR(INDEX(AUTO_Public_TSV_FileList!$A$1:$A$1000,MATCH(TRUE(),EXACT(K15,IFERROR(_xlfn.TEXTBEFORE(AUTO_Public_TSV_FileList!$A$1:$A$1000,".tsv"),"")),0)),"notfound")</f>
        <v>notfound</v>
      </c>
      <c r="M15" s="27" t="s">
        <v>2411</v>
      </c>
      <c r="N15" s="31" t="s">
        <v>70</v>
      </c>
      <c r="O15" s="27" t="s">
        <v>2412</v>
      </c>
      <c r="Q15" s="27"/>
      <c r="R15" s="27" t="s">
        <v>2398</v>
      </c>
      <c r="S15" s="27" t="s">
        <v>429</v>
      </c>
      <c r="T15" s="27" t="s">
        <v>430</v>
      </c>
      <c r="U15" s="27"/>
      <c r="V15" s="27" t="s">
        <v>1330</v>
      </c>
      <c r="W15" s="31" t="s">
        <v>137</v>
      </c>
      <c r="X15" s="27" t="s">
        <v>2413</v>
      </c>
      <c r="Y15" s="27" t="s">
        <v>2413</v>
      </c>
      <c r="Z15" s="27"/>
      <c r="AA15" s="27"/>
      <c r="AB15" s="31" t="s">
        <v>2389</v>
      </c>
      <c r="AC15" s="27"/>
      <c r="AD15" s="27"/>
      <c r="AE15" s="31" t="s">
        <v>215</v>
      </c>
      <c r="AF15" s="31"/>
      <c r="AG15" s="22" t="s">
        <v>2410</v>
      </c>
    </row>
    <row r="16" ht="16" customHeight="1">
      <c r="A16" s="31" t="s">
        <v>2395</v>
      </c>
      <c r="B16" s="27"/>
      <c r="C16" s="27"/>
      <c r="D16" s="31" t="s">
        <v>112</v>
      </c>
      <c r="E16" s="26" t="str">
        <f t="shared" si="0"/>
        <v>Shultz</v>
      </c>
      <c r="F16" s="26" t="str">
        <f t="shared" si="1"/>
        <v>Dunbar</v>
      </c>
      <c r="G16" s="26" t="str">
        <f t="shared" si="2"/>
        <v>2010</v>
      </c>
      <c r="H16" s="26" t="str">
        <f t="shared" si="3"/>
        <v>Shultz_Dunbar_2010</v>
      </c>
      <c r="I16" s="26" t="str">
        <f t="shared" si="4"/>
        <v>10.1037%2Fa0018894</v>
      </c>
      <c r="J16" s="26" t="str">
        <f t="shared" si="5"/>
        <v>Shultz_Dunbar_2010_Table5</v>
      </c>
      <c r="K16" s="26" t="str">
        <f t="shared" si="6"/>
        <v>10.1037%2Fa0018894_Table5</v>
      </c>
      <c r="L16" s="26" t="str">
        <f t="array" ref="L16">IFERROR(INDEX(AUTO_Public_TSV_FileList!$A$1:$A$1000,MATCH(TRUE(),EXACT(K16,IFERROR(_xlfn.TEXTBEFORE(AUTO_Public_TSV_FileList!$A$1:$A$1000,".tsv"),"")),0)),"notfound")</f>
        <v>notfound</v>
      </c>
      <c r="M16" s="27" t="s">
        <v>2414</v>
      </c>
      <c r="N16" s="31" t="s">
        <v>70</v>
      </c>
      <c r="O16" s="27" t="s">
        <v>2415</v>
      </c>
      <c r="Q16" s="27"/>
      <c r="R16" s="27" t="s">
        <v>2398</v>
      </c>
      <c r="S16" s="27" t="s">
        <v>429</v>
      </c>
      <c r="T16" s="27" t="s">
        <v>430</v>
      </c>
      <c r="U16" s="27"/>
      <c r="V16" s="27" t="s">
        <v>1330</v>
      </c>
      <c r="W16" s="31" t="s">
        <v>137</v>
      </c>
      <c r="X16" s="27" t="s">
        <v>2413</v>
      </c>
      <c r="Y16" s="27" t="s">
        <v>2413</v>
      </c>
      <c r="Z16" s="27"/>
      <c r="AA16" s="27"/>
      <c r="AB16" s="31" t="s">
        <v>2416</v>
      </c>
      <c r="AC16" s="27"/>
      <c r="AD16" s="27"/>
      <c r="AE16" s="31" t="s">
        <v>215</v>
      </c>
      <c r="AF16" s="31"/>
      <c r="AG16" s="22" t="s">
        <v>2417</v>
      </c>
    </row>
    <row r="17" ht="16" customHeight="1">
      <c r="A17" s="12" t="s">
        <v>2418</v>
      </c>
      <c r="C17" s="12"/>
      <c r="D17" s="12"/>
      <c r="E17" s="5" t="str">
        <f t="shared" si="0"/>
        <v>Weaver</v>
      </c>
      <c r="F17" s="5" t="str">
        <f t="shared" si="1"/>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2"/>
      <c r="O17" s="12" t="s">
        <v>2419</v>
      </c>
      <c r="P17" s="22"/>
    </row>
    <row r="18" ht="16" customHeight="1">
      <c r="A18" t="s">
        <v>2420</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12" t="s">
        <v>2419</v>
      </c>
    </row>
    <row r="19" ht="16" customHeight="1">
      <c r="A19" t="s">
        <v>2421</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12" t="s">
        <v>2419</v>
      </c>
    </row>
    <row r="20" ht="16" customHeight="1">
      <c r="A20" t="s">
        <v>2422</v>
      </c>
      <c r="E20" s="5" t="str">
        <f t="shared" si="7"/>
        <v>Pirlot</v>
      </c>
      <c r="F20" s="5" t="str">
        <f t="shared" si="8"/>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32" t="s">
        <v>2423</v>
      </c>
    </row>
    <row r="21" ht="16" customHeight="1">
      <c r="A21" t="s">
        <v>2424</v>
      </c>
      <c r="E21" s="3"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3" t="str">
        <f>E21 &amp; IF(F21&lt;&gt;"", "_" &amp; F21, "_") &amp; IF(G21&lt;&gt;"", "_" &amp; G21, "_") &amp; IF(B21&lt;&gt;"", "_" &amp; B21, "")</f>
        <v>Kamiya_Pirlot_1988</v>
      </c>
      <c r="I21" s="3" t="str">
        <f>_xlfn.LET(_xlpm.doi,IF(C21&lt;&gt;"",C21,_xlfn.TEXTAFTER(A21,"https://doi.org/")),SUBSTITUTE(SUBSTITUTE(SUBSTITUTE(SUBSTITUTE(_xlpm.doi,"/","%2F"),":","%3A"),"&lt;","%3C"),"&gt;","%3E"))</f>
        <v>10.1111%2Fj.1439-0469.1988.tb00312.x</v>
      </c>
      <c r="J21" s="3"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32" t="s">
        <v>2423</v>
      </c>
    </row>
    <row r="22" ht="16" customHeight="1">
      <c r="A22" t="s">
        <v>2425</v>
      </c>
      <c r="E22" s="3"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5" t="str">
        <f>_xlfn.TEXTBEFORE(_xlfn.TEXTAFTER(A22, "("), ")")</f>
        <v>1974</v>
      </c>
      <c r="H22" s="3" t="str">
        <f>E22 &amp; IF(F22&lt;&gt;"", "_" &amp; F22, "_") &amp; IF(G22&lt;&gt;"", "_" &amp; G22, "_") &amp; IF(B22&lt;&gt;"", "_" &amp; B22, "")</f>
        <v>Pirlot__1974</v>
      </c>
      <c r="I22" s="3" t="str">
        <f>_xlfn.LET(_xlpm.doi,IF(C22&lt;&gt;"",C22,_xlfn.TEXTAFTER(A22,"https://doi.org/")),SUBSTITUTE(SUBSTITUTE(SUBSTITUTE(SUBSTITUTE(_xlpm.doi,"/","%2F"),":","%3A"),"&lt;","%3C"),"&gt;","%3E"))</f>
        <v>10.1111%2Fj.1439-0469.1974.tb00162.x</v>
      </c>
      <c r="J22" s="3"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32" t="s">
        <v>2426</v>
      </c>
    </row>
    <row r="23" ht="16" customHeight="1">
      <c r="A23" t="s">
        <v>2427</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32" t="s">
        <v>2423</v>
      </c>
    </row>
    <row r="24" ht="15" customHeight="1">
      <c r="A24" s="7" t="s">
        <v>2428</v>
      </c>
      <c r="D24" s="7"/>
      <c r="E24" s="5" t="str">
        <f t="shared" ref="E24" si="21">SUBSTITUTE(SUBSTITUTE(_xlfn.TEXTBEFORE(A24,","), "-", ""), " ", "")</f>
        <v>Dicke</v>
      </c>
      <c r="F24" s="5"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5" t="str">
        <f t="shared" ref="G24" si="23">_xlfn.TEXTBEFORE(_xlfn.TEXTAFTER(A24, "("), ")")</f>
        <v>2016</v>
      </c>
      <c r="H24" s="5" t="str">
        <f t="shared" ref="H24" si="24">E24 &amp; IF(F24&lt;&gt;"", "_" &amp; F24, "_") &amp; IF(G24&lt;&gt;"", "_" &amp; G24, "_") &amp; IF(B24&lt;&gt;"", "_" &amp; B24, "")</f>
        <v>Dicke_Roth_2016</v>
      </c>
      <c r="I24" s="5" t="str">
        <f t="shared" ref="I24" si="25">_xlfn.LET(
_xlpm.doi,IF(C24&lt;&gt;"",C24,_xlfn.TEXTAFTER(A24,"https://doi.org/")),
SUBSTITUTE(
SUBSTITUTE(
SUBSTITUTE(
SUBSTITUTE(
_xlpm.doi,
"/","%2F"),
":","%3A"),
"&lt;","%3C"),
"&gt;","%3E")
)</f>
        <v>10.1098%2Frstb.2015.0180</v>
      </c>
      <c r="J24" s="5" t="str">
        <f t="shared" ref="J24" si="26">TRIM(_xlfn.TEXTJOIN("_",FALSE(),H24,(SUBSTITUTE(SUBSTITUTE(D24," ",""), "_", ""))))</f>
        <v>Dicke_Roth_2016_</v>
      </c>
      <c r="K24" s="5" t="str">
        <f t="shared" ref="K24" si="27">I24 &amp; "_" &amp; SUBSTITUTE(SUBSTITUTE(SUBSTITUTE(D24,CHAR(160),"")," ",""),"_","")</f>
        <v>10.1098%2Frstb.2015.0180_</v>
      </c>
      <c r="L24" s="5" t="str">
        <f t="array" ref="L24">IFERROR(INDEX(AUTO_Public_TSV_FileList!$A$1:$A$1000,MATCH(TRUE(),EXACT(K24,IFERROR(_xlfn.TEXTBEFORE(AUTO_Public_TSV_FileList!$A$1:$A$1000,".tsv"),"")),0)),"notfound")</f>
        <v>notfound</v>
      </c>
      <c r="M24" s="7"/>
      <c r="N24" s="7" t="s">
        <v>2429</v>
      </c>
      <c r="O24" s="7"/>
      <c r="P24" s="7"/>
      <c r="Q24" s="7"/>
      <c r="R24" s="7"/>
      <c r="S24" s="7"/>
      <c r="T24" s="7"/>
      <c r="U24" s="7"/>
      <c r="V24" s="7"/>
      <c r="W24" s="7"/>
      <c r="X24" s="7"/>
      <c r="Y24" s="7"/>
      <c r="Z24" s="7"/>
      <c r="AA24" s="7"/>
      <c r="AB24" s="7"/>
      <c r="AC24" s="7"/>
      <c r="AD24" s="7"/>
      <c r="AE24" s="7"/>
      <c r="AF24" s="7"/>
      <c r="AG24" s="7"/>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2920</v>
      </c>
    </row>
    <row r="2">
      <c r="A2" t="s">
        <v>2921</v>
      </c>
    </row>
    <row r="3">
      <c r="A3" t="s">
        <v>2922</v>
      </c>
    </row>
    <row r="4">
      <c r="A4" t="s">
        <v>2923</v>
      </c>
    </row>
    <row r="5">
      <c r="A5" t="s">
        <v>2924</v>
      </c>
    </row>
    <row r="6">
      <c r="A6" t="s">
        <v>2925</v>
      </c>
    </row>
    <row r="7">
      <c r="A7" t="s">
        <v>2926</v>
      </c>
    </row>
    <row r="8">
      <c r="A8" t="s">
        <v>2927</v>
      </c>
    </row>
    <row r="9">
      <c r="A9" t="s">
        <v>2928</v>
      </c>
    </row>
    <row r="10">
      <c r="A10" t="s">
        <v>2929</v>
      </c>
    </row>
    <row r="11">
      <c r="A11" t="s">
        <v>2930</v>
      </c>
    </row>
    <row r="12">
      <c r="A12" t="s">
        <v>2931</v>
      </c>
    </row>
    <row r="13">
      <c r="A13" t="s">
        <v>2932</v>
      </c>
    </row>
    <row r="14">
      <c r="A14" t="s">
        <v>2933</v>
      </c>
    </row>
    <row r="15">
      <c r="A15" t="s">
        <v>2934</v>
      </c>
    </row>
    <row r="16">
      <c r="A16" t="s">
        <v>2935</v>
      </c>
    </row>
    <row r="17">
      <c r="A17" t="s">
        <v>2936</v>
      </c>
    </row>
    <row r="18">
      <c r="A18" t="s">
        <v>2937</v>
      </c>
    </row>
    <row r="19">
      <c r="A19" t="s">
        <v>2938</v>
      </c>
    </row>
    <row r="20">
      <c r="A20" t="s">
        <v>2939</v>
      </c>
    </row>
    <row r="21">
      <c r="A21" t="s">
        <v>2940</v>
      </c>
    </row>
    <row r="22">
      <c r="A22" t="s">
        <v>2941</v>
      </c>
    </row>
    <row r="23">
      <c r="A23" t="s">
        <v>2942</v>
      </c>
    </row>
    <row r="24">
      <c r="A24" t="s">
        <v>2943</v>
      </c>
    </row>
    <row r="25">
      <c r="A25" t="s">
        <v>2944</v>
      </c>
    </row>
    <row r="26">
      <c r="A26" t="s">
        <v>2945</v>
      </c>
    </row>
    <row r="27">
      <c r="A27" t="s">
        <v>2946</v>
      </c>
    </row>
    <row r="28">
      <c r="A28" t="s">
        <v>2947</v>
      </c>
    </row>
    <row r="29">
      <c r="A29" t="s">
        <v>3444</v>
      </c>
    </row>
    <row r="30">
      <c r="A30" t="s">
        <v>3445</v>
      </c>
    </row>
    <row r="31">
      <c r="A31" t="s">
        <v>3446</v>
      </c>
    </row>
    <row r="32">
      <c r="A32" t="s">
        <v>2948</v>
      </c>
    </row>
    <row r="33">
      <c r="A33" t="s">
        <v>2949</v>
      </c>
    </row>
    <row r="34">
      <c r="A34" t="s">
        <v>2950</v>
      </c>
    </row>
    <row r="35">
      <c r="A35" t="s">
        <v>2951</v>
      </c>
    </row>
    <row r="36">
      <c r="A36" t="s">
        <v>2952</v>
      </c>
    </row>
    <row r="37">
      <c r="A37" t="s">
        <v>2953</v>
      </c>
    </row>
    <row r="38">
      <c r="A38" t="s">
        <v>2954</v>
      </c>
    </row>
    <row r="39">
      <c r="A39" t="s">
        <v>2955</v>
      </c>
    </row>
    <row r="40">
      <c r="A40" t="s">
        <v>2956</v>
      </c>
    </row>
    <row r="41">
      <c r="A41" t="s">
        <v>2957</v>
      </c>
    </row>
    <row r="42">
      <c r="A42" t="s">
        <v>2958</v>
      </c>
    </row>
    <row r="43">
      <c r="A43" t="s">
        <v>2959</v>
      </c>
    </row>
    <row r="44">
      <c r="A44" t="s">
        <v>2960</v>
      </c>
    </row>
    <row r="45">
      <c r="A45" t="s">
        <v>2961</v>
      </c>
    </row>
    <row r="46">
      <c r="A46" t="s">
        <v>2962</v>
      </c>
    </row>
    <row r="47">
      <c r="A47" t="s">
        <v>2963</v>
      </c>
    </row>
    <row r="48">
      <c r="A48" t="s">
        <v>2964</v>
      </c>
    </row>
    <row r="49">
      <c r="A49" t="s">
        <v>2965</v>
      </c>
    </row>
    <row r="50">
      <c r="A50" t="s">
        <v>2966</v>
      </c>
    </row>
    <row r="51">
      <c r="A51" t="s">
        <v>2967</v>
      </c>
    </row>
    <row r="52">
      <c r="A52" t="s">
        <v>2968</v>
      </c>
    </row>
    <row r="53">
      <c r="A53" t="s">
        <v>2969</v>
      </c>
    </row>
    <row r="54">
      <c r="A54" t="s">
        <v>2970</v>
      </c>
    </row>
    <row r="55">
      <c r="A55" t="s">
        <v>2971</v>
      </c>
    </row>
    <row r="56">
      <c r="A56" t="s">
        <v>2972</v>
      </c>
    </row>
    <row r="57">
      <c r="A57" t="s">
        <v>2973</v>
      </c>
    </row>
    <row r="58">
      <c r="A58" t="s">
        <v>2974</v>
      </c>
    </row>
    <row r="59">
      <c r="A59" t="s">
        <v>2975</v>
      </c>
    </row>
    <row r="60">
      <c r="A60" t="s">
        <v>2976</v>
      </c>
    </row>
    <row r="61">
      <c r="A61" t="s">
        <v>2977</v>
      </c>
    </row>
    <row r="62">
      <c r="A62" t="s">
        <v>2978</v>
      </c>
    </row>
    <row r="63">
      <c r="A63" t="s">
        <v>2979</v>
      </c>
    </row>
    <row r="64">
      <c r="A64" t="s">
        <v>2980</v>
      </c>
    </row>
    <row r="65">
      <c r="A65" t="s">
        <v>2981</v>
      </c>
    </row>
    <row r="66">
      <c r="A66" t="s">
        <v>2982</v>
      </c>
    </row>
    <row r="67">
      <c r="A67" t="s">
        <v>2983</v>
      </c>
    </row>
    <row r="68">
      <c r="A68" t="s">
        <v>2984</v>
      </c>
    </row>
    <row r="69">
      <c r="A69" t="s">
        <v>2985</v>
      </c>
    </row>
    <row r="70">
      <c r="A70" t="s">
        <v>2986</v>
      </c>
    </row>
    <row r="71">
      <c r="A71" t="s">
        <v>2987</v>
      </c>
    </row>
    <row r="72">
      <c r="A72" t="s">
        <v>2988</v>
      </c>
    </row>
    <row r="73">
      <c r="A73" t="s">
        <v>2989</v>
      </c>
    </row>
    <row r="74">
      <c r="A74" t="s">
        <v>2990</v>
      </c>
    </row>
    <row r="75">
      <c r="A75" t="s">
        <v>2991</v>
      </c>
    </row>
    <row r="76">
      <c r="A76" t="s">
        <v>2992</v>
      </c>
    </row>
    <row r="77">
      <c r="A77" t="s">
        <v>2993</v>
      </c>
    </row>
    <row r="78">
      <c r="A78" t="s">
        <v>2994</v>
      </c>
    </row>
    <row r="79">
      <c r="A79" t="s">
        <v>2995</v>
      </c>
    </row>
    <row r="80">
      <c r="A80" t="s">
        <v>2996</v>
      </c>
    </row>
    <row r="81">
      <c r="A81" t="s">
        <v>2997</v>
      </c>
    </row>
    <row r="82">
      <c r="A82" t="s">
        <v>2998</v>
      </c>
    </row>
    <row r="83">
      <c r="A83" t="s">
        <v>2999</v>
      </c>
    </row>
    <row r="84">
      <c r="A84" t="s">
        <v>3000</v>
      </c>
    </row>
    <row r="85">
      <c r="A85" t="s">
        <v>3001</v>
      </c>
    </row>
    <row r="86">
      <c r="A86" t="s">
        <v>3002</v>
      </c>
    </row>
    <row r="87">
      <c r="A87" t="s">
        <v>3003</v>
      </c>
    </row>
    <row r="88">
      <c r="A88" t="s">
        <v>3004</v>
      </c>
    </row>
    <row r="89">
      <c r="A89" t="s">
        <v>3005</v>
      </c>
    </row>
    <row r="90">
      <c r="A90" t="s">
        <v>3006</v>
      </c>
    </row>
    <row r="91">
      <c r="A91" t="s">
        <v>3007</v>
      </c>
    </row>
    <row r="92">
      <c r="A92" t="s">
        <v>3008</v>
      </c>
    </row>
    <row r="93">
      <c r="A93" t="s">
        <v>3009</v>
      </c>
    </row>
    <row r="94">
      <c r="A94" t="s">
        <v>3010</v>
      </c>
    </row>
    <row r="95">
      <c r="A95" t="s">
        <v>3011</v>
      </c>
    </row>
    <row r="96">
      <c r="A96" t="s">
        <v>3012</v>
      </c>
    </row>
    <row r="97">
      <c r="A97" t="s">
        <v>3013</v>
      </c>
    </row>
    <row r="98">
      <c r="A98" t="s">
        <v>3014</v>
      </c>
    </row>
    <row r="99">
      <c r="A99" t="s">
        <v>3015</v>
      </c>
    </row>
    <row r="100">
      <c r="A100" t="s">
        <v>3016</v>
      </c>
    </row>
    <row r="101">
      <c r="A101" t="s">
        <v>3017</v>
      </c>
    </row>
    <row r="102">
      <c r="A102" t="s">
        <v>3018</v>
      </c>
    </row>
    <row r="103">
      <c r="A103" t="s">
        <v>3019</v>
      </c>
    </row>
    <row r="104">
      <c r="A104" t="s">
        <v>3020</v>
      </c>
    </row>
    <row r="105">
      <c r="A105" t="s">
        <v>3021</v>
      </c>
    </row>
    <row r="106">
      <c r="A106" t="s">
        <v>3022</v>
      </c>
    </row>
    <row r="107">
      <c r="A107" t="s">
        <v>3023</v>
      </c>
    </row>
    <row r="108">
      <c r="A108" t="s">
        <v>3024</v>
      </c>
    </row>
    <row r="109">
      <c r="A109" t="s">
        <v>3025</v>
      </c>
    </row>
    <row r="110">
      <c r="A110" t="s">
        <v>3026</v>
      </c>
    </row>
    <row r="111">
      <c r="A111" t="s">
        <v>3027</v>
      </c>
    </row>
    <row r="112">
      <c r="A112" t="s">
        <v>3028</v>
      </c>
    </row>
    <row r="113">
      <c r="A113" t="s">
        <v>3029</v>
      </c>
    </row>
    <row r="114">
      <c r="A114" t="s">
        <v>3030</v>
      </c>
    </row>
    <row r="115">
      <c r="A115" t="s">
        <v>3031</v>
      </c>
    </row>
    <row r="116">
      <c r="A116" t="s">
        <v>3032</v>
      </c>
    </row>
    <row r="117">
      <c r="A117" t="s">
        <v>3033</v>
      </c>
    </row>
    <row r="118">
      <c r="A118" t="s">
        <v>3034</v>
      </c>
    </row>
    <row r="119">
      <c r="A119" t="s">
        <v>3035</v>
      </c>
    </row>
    <row r="120">
      <c r="A120" t="s">
        <v>3036</v>
      </c>
    </row>
    <row r="121">
      <c r="A121" t="s">
        <v>3037</v>
      </c>
    </row>
    <row r="122">
      <c r="A122" t="s">
        <v>3038</v>
      </c>
    </row>
    <row r="123">
      <c r="A123" t="s">
        <v>3039</v>
      </c>
    </row>
    <row r="124">
      <c r="A124" t="s">
        <v>3040</v>
      </c>
    </row>
    <row r="125">
      <c r="A125" t="s">
        <v>3041</v>
      </c>
    </row>
    <row r="126">
      <c r="A126" t="s">
        <v>3042</v>
      </c>
    </row>
    <row r="127">
      <c r="A127" t="s">
        <v>3043</v>
      </c>
    </row>
    <row r="128">
      <c r="A128" t="s">
        <v>3044</v>
      </c>
    </row>
    <row r="129">
      <c r="A129" t="s">
        <v>3045</v>
      </c>
    </row>
    <row r="130">
      <c r="A130" t="s">
        <v>3046</v>
      </c>
    </row>
    <row r="131">
      <c r="A131" t="s">
        <v>3047</v>
      </c>
    </row>
    <row r="132">
      <c r="A132" t="s">
        <v>3048</v>
      </c>
    </row>
    <row r="133">
      <c r="A133" t="s">
        <v>3049</v>
      </c>
    </row>
    <row r="134">
      <c r="A134" t="s">
        <v>3050</v>
      </c>
    </row>
    <row r="135">
      <c r="A135" t="s">
        <v>3051</v>
      </c>
    </row>
    <row r="136">
      <c r="A136" t="s">
        <v>3052</v>
      </c>
    </row>
    <row r="137">
      <c r="A137" t="s">
        <v>3053</v>
      </c>
    </row>
    <row r="138">
      <c r="A138" t="s">
        <v>3054</v>
      </c>
    </row>
    <row r="139">
      <c r="A139" t="s">
        <v>3447</v>
      </c>
    </row>
    <row r="140">
      <c r="A140" t="s">
        <v>3448</v>
      </c>
    </row>
    <row r="141">
      <c r="A141" t="s">
        <v>3449</v>
      </c>
    </row>
    <row r="142">
      <c r="A142" t="s">
        <v>3450</v>
      </c>
    </row>
    <row r="143">
      <c r="A143" t="s">
        <v>3055</v>
      </c>
    </row>
    <row r="144">
      <c r="A144" t="s">
        <v>3056</v>
      </c>
    </row>
    <row r="145">
      <c r="A145" t="s">
        <v>3057</v>
      </c>
    </row>
    <row r="146">
      <c r="A146" t="s">
        <v>3058</v>
      </c>
    </row>
    <row r="147">
      <c r="A147" t="s">
        <v>3059</v>
      </c>
    </row>
    <row r="148">
      <c r="A148" t="s">
        <v>3060</v>
      </c>
    </row>
    <row r="149">
      <c r="A149" t="s">
        <v>3061</v>
      </c>
    </row>
    <row r="150">
      <c r="A150" t="s">
        <v>3062</v>
      </c>
    </row>
    <row r="151">
      <c r="A151" t="s">
        <v>3063</v>
      </c>
    </row>
    <row r="152">
      <c r="A152" t="s">
        <v>3064</v>
      </c>
    </row>
    <row r="153">
      <c r="A153" t="s">
        <v>3065</v>
      </c>
    </row>
    <row r="154">
      <c r="A154" t="s">
        <v>3066</v>
      </c>
    </row>
    <row r="155">
      <c r="A155" t="s">
        <v>3067</v>
      </c>
    </row>
    <row r="156">
      <c r="A156" t="s">
        <v>3068</v>
      </c>
    </row>
    <row r="157">
      <c r="A157" t="s">
        <v>3069</v>
      </c>
    </row>
    <row r="158">
      <c r="A158" t="s">
        <v>3070</v>
      </c>
    </row>
    <row r="159">
      <c r="A159" t="s">
        <v>3071</v>
      </c>
    </row>
    <row r="160">
      <c r="A160" t="s">
        <v>3072</v>
      </c>
    </row>
    <row r="161">
      <c r="A161" t="s">
        <v>3073</v>
      </c>
    </row>
    <row r="162">
      <c r="A162" t="s">
        <v>3074</v>
      </c>
    </row>
    <row r="163">
      <c r="A163" t="s">
        <v>3075</v>
      </c>
    </row>
    <row r="164">
      <c r="A164" t="s">
        <v>3076</v>
      </c>
    </row>
    <row r="165">
      <c r="A165" t="s">
        <v>3077</v>
      </c>
    </row>
    <row r="166">
      <c r="A166" t="s">
        <v>3078</v>
      </c>
    </row>
    <row r="167">
      <c r="A167" t="s">
        <v>3079</v>
      </c>
    </row>
    <row r="168">
      <c r="A168" t="s">
        <v>3080</v>
      </c>
    </row>
    <row r="169">
      <c r="A169" t="s">
        <v>3081</v>
      </c>
    </row>
    <row r="170">
      <c r="A170" t="s">
        <v>3082</v>
      </c>
    </row>
    <row r="171">
      <c r="A171" t="s">
        <v>3083</v>
      </c>
    </row>
    <row r="172">
      <c r="A172" t="s">
        <v>3084</v>
      </c>
    </row>
    <row r="173">
      <c r="A173" t="s">
        <v>3085</v>
      </c>
    </row>
    <row r="174">
      <c r="A174" t="s">
        <v>3086</v>
      </c>
    </row>
    <row r="175">
      <c r="A175" t="s">
        <v>3087</v>
      </c>
    </row>
    <row r="176">
      <c r="A176" t="s">
        <v>3088</v>
      </c>
    </row>
    <row r="177">
      <c r="A177" t="s">
        <v>3089</v>
      </c>
    </row>
    <row r="178">
      <c r="A178" t="s">
        <v>3451</v>
      </c>
    </row>
    <row r="179">
      <c r="A179" t="s">
        <v>3452</v>
      </c>
    </row>
    <row r="180">
      <c r="A180" t="s">
        <v>3453</v>
      </c>
    </row>
    <row r="181">
      <c r="A181" t="s">
        <v>3090</v>
      </c>
    </row>
    <row r="182">
      <c r="A182" t="s">
        <v>3091</v>
      </c>
    </row>
    <row r="183">
      <c r="A183" t="s">
        <v>3092</v>
      </c>
    </row>
    <row r="184">
      <c r="A184" t="s">
        <v>3093</v>
      </c>
    </row>
    <row r="185">
      <c r="A185" t="s">
        <v>3094</v>
      </c>
    </row>
    <row r="186">
      <c r="A186" t="s">
        <v>3095</v>
      </c>
    </row>
    <row r="187">
      <c r="A187" t="s">
        <v>3096</v>
      </c>
    </row>
    <row r="188">
      <c r="A188" t="s">
        <v>3097</v>
      </c>
    </row>
    <row r="189">
      <c r="A189" t="s">
        <v>3098</v>
      </c>
    </row>
    <row r="190">
      <c r="A190" t="s">
        <v>3099</v>
      </c>
    </row>
    <row r="191">
      <c r="A191" t="s">
        <v>3100</v>
      </c>
    </row>
    <row r="192">
      <c r="A192" t="s">
        <v>3101</v>
      </c>
    </row>
    <row r="193">
      <c r="A193" t="s">
        <v>3102</v>
      </c>
    </row>
    <row r="194">
      <c r="A194" t="s">
        <v>3103</v>
      </c>
    </row>
    <row r="195">
      <c r="A195" t="s">
        <v>3104</v>
      </c>
    </row>
    <row r="196">
      <c r="A196" t="s">
        <v>3105</v>
      </c>
    </row>
    <row r="197">
      <c r="A197" t="s">
        <v>3106</v>
      </c>
    </row>
    <row r="198">
      <c r="A198" t="s">
        <v>3107</v>
      </c>
    </row>
    <row r="199">
      <c r="A199" t="s">
        <v>3108</v>
      </c>
    </row>
    <row r="200">
      <c r="A200" t="s">
        <v>3109</v>
      </c>
    </row>
    <row r="201">
      <c r="A201" t="s">
        <v>3110</v>
      </c>
    </row>
    <row r="202">
      <c r="A202" t="s">
        <v>3111</v>
      </c>
    </row>
    <row r="203">
      <c r="A203" t="s">
        <v>3112</v>
      </c>
    </row>
    <row r="204">
      <c r="A204" t="s">
        <v>3113</v>
      </c>
    </row>
    <row r="205">
      <c r="A205" t="s">
        <v>3114</v>
      </c>
    </row>
    <row r="206">
      <c r="A206" t="s">
        <v>3115</v>
      </c>
    </row>
    <row r="207">
      <c r="A207" t="s">
        <v>3116</v>
      </c>
    </row>
    <row r="208">
      <c r="A208" t="s">
        <v>3117</v>
      </c>
    </row>
    <row r="209">
      <c r="A209" t="s">
        <v>3118</v>
      </c>
    </row>
    <row r="210">
      <c r="A210" t="s">
        <v>3119</v>
      </c>
    </row>
    <row r="211">
      <c r="A211" t="s">
        <v>3120</v>
      </c>
    </row>
    <row r="212">
      <c r="A212" t="s">
        <v>3121</v>
      </c>
    </row>
    <row r="213">
      <c r="A213" t="s">
        <v>3122</v>
      </c>
    </row>
    <row r="214">
      <c r="A214" t="s">
        <v>3123</v>
      </c>
    </row>
    <row r="215">
      <c r="A215" t="s">
        <v>3124</v>
      </c>
    </row>
    <row r="216">
      <c r="A216" t="s">
        <v>3125</v>
      </c>
    </row>
    <row r="217">
      <c r="A217" t="s">
        <v>3126</v>
      </c>
    </row>
    <row r="218">
      <c r="A218" t="s">
        <v>3127</v>
      </c>
    </row>
    <row r="219">
      <c r="A219" t="s">
        <v>3128</v>
      </c>
    </row>
    <row r="220">
      <c r="A220" t="s">
        <v>3129</v>
      </c>
    </row>
    <row r="221">
      <c r="A221" t="s">
        <v>3130</v>
      </c>
    </row>
    <row r="222">
      <c r="A222" t="s">
        <v>3131</v>
      </c>
    </row>
    <row r="223">
      <c r="A223" t="s">
        <v>3132</v>
      </c>
    </row>
    <row r="224">
      <c r="A224" t="s">
        <v>3133</v>
      </c>
    </row>
    <row r="225">
      <c r="A225" t="s">
        <v>3134</v>
      </c>
    </row>
    <row r="226">
      <c r="A226" t="s">
        <v>3135</v>
      </c>
    </row>
    <row r="227">
      <c r="A227" t="s">
        <v>3136</v>
      </c>
    </row>
    <row r="228">
      <c r="A228" t="s">
        <v>3137</v>
      </c>
    </row>
    <row r="229">
      <c r="A229" t="s">
        <v>3138</v>
      </c>
    </row>
    <row r="230">
      <c r="A230" t="s">
        <v>3139</v>
      </c>
    </row>
    <row r="231">
      <c r="A231" t="s">
        <v>3140</v>
      </c>
    </row>
    <row r="232">
      <c r="A232" t="s">
        <v>3141</v>
      </c>
    </row>
    <row r="233">
      <c r="A233" t="s">
        <v>3142</v>
      </c>
    </row>
    <row r="234">
      <c r="A234" t="s">
        <v>3143</v>
      </c>
    </row>
    <row r="235">
      <c r="A235" t="s">
        <v>3144</v>
      </c>
    </row>
    <row r="236">
      <c r="A236" t="s">
        <v>3145</v>
      </c>
    </row>
    <row r="237">
      <c r="A237" t="s">
        <v>3146</v>
      </c>
    </row>
    <row r="238">
      <c r="A238" t="s">
        <v>3147</v>
      </c>
    </row>
    <row r="239">
      <c r="A239" t="s">
        <v>3148</v>
      </c>
    </row>
    <row r="240">
      <c r="A240" t="s">
        <v>3149</v>
      </c>
    </row>
    <row r="241">
      <c r="A241" t="s">
        <v>3150</v>
      </c>
    </row>
    <row r="242">
      <c r="A242" t="s">
        <v>3151</v>
      </c>
    </row>
    <row r="243">
      <c r="A243" t="s">
        <v>3152</v>
      </c>
    </row>
    <row r="244">
      <c r="A244" t="s">
        <v>3153</v>
      </c>
    </row>
    <row r="245">
      <c r="A245" t="s">
        <v>3154</v>
      </c>
    </row>
    <row r="246">
      <c r="A246" t="s">
        <v>3155</v>
      </c>
    </row>
    <row r="247">
      <c r="A247" t="s">
        <v>3156</v>
      </c>
    </row>
    <row r="248">
      <c r="A248" t="s">
        <v>3157</v>
      </c>
    </row>
    <row r="249">
      <c r="A249" t="s">
        <v>3158</v>
      </c>
    </row>
    <row r="250">
      <c r="A250" t="s">
        <v>3159</v>
      </c>
    </row>
    <row r="251">
      <c r="A251" t="s">
        <v>3160</v>
      </c>
    </row>
    <row r="252">
      <c r="A252" t="s">
        <v>3161</v>
      </c>
    </row>
    <row r="253">
      <c r="A253" t="s">
        <v>3162</v>
      </c>
    </row>
    <row r="254">
      <c r="A254" t="s">
        <v>3163</v>
      </c>
    </row>
    <row r="255">
      <c r="A255" t="s">
        <v>3164</v>
      </c>
    </row>
    <row r="256">
      <c r="A256" t="s">
        <v>3165</v>
      </c>
    </row>
    <row r="257">
      <c r="A257" t="s">
        <v>3166</v>
      </c>
    </row>
    <row r="258">
      <c r="A258" t="s">
        <v>3167</v>
      </c>
    </row>
    <row r="259">
      <c r="A259" t="s">
        <v>3168</v>
      </c>
    </row>
    <row r="260">
      <c r="A260" t="s">
        <v>3169</v>
      </c>
    </row>
    <row r="261">
      <c r="A261" t="s">
        <v>3170</v>
      </c>
    </row>
    <row r="262">
      <c r="A262" t="s">
        <v>3171</v>
      </c>
    </row>
    <row r="263">
      <c r="A263" t="s">
        <v>3172</v>
      </c>
    </row>
    <row r="264">
      <c r="A264" t="s">
        <v>3173</v>
      </c>
    </row>
    <row r="265">
      <c r="A265" t="s">
        <v>3174</v>
      </c>
    </row>
    <row r="266">
      <c r="A266" t="s">
        <v>3175</v>
      </c>
    </row>
    <row r="267">
      <c r="A267" t="s">
        <v>3176</v>
      </c>
    </row>
    <row r="268">
      <c r="A268" t="s">
        <v>3177</v>
      </c>
    </row>
    <row r="269">
      <c r="A269" t="s">
        <v>3178</v>
      </c>
    </row>
    <row r="270">
      <c r="A270" t="s">
        <v>3179</v>
      </c>
    </row>
    <row r="271">
      <c r="A271" t="s">
        <v>3180</v>
      </c>
    </row>
    <row r="272">
      <c r="A272" t="s">
        <v>3181</v>
      </c>
    </row>
    <row r="273">
      <c r="A273" t="s">
        <v>3182</v>
      </c>
    </row>
    <row r="274">
      <c r="A274" t="s">
        <v>3183</v>
      </c>
    </row>
    <row r="275">
      <c r="A275" t="s">
        <v>3184</v>
      </c>
    </row>
    <row r="276">
      <c r="A276" t="s">
        <v>3185</v>
      </c>
    </row>
    <row r="277">
      <c r="A277" t="s">
        <v>3186</v>
      </c>
    </row>
    <row r="278">
      <c r="A278" t="s">
        <v>3187</v>
      </c>
    </row>
    <row r="279">
      <c r="A279" t="s">
        <v>3188</v>
      </c>
    </row>
    <row r="280">
      <c r="A280" t="s">
        <v>3189</v>
      </c>
    </row>
    <row r="281">
      <c r="A281" t="s">
        <v>3190</v>
      </c>
    </row>
    <row r="282">
      <c r="A282" t="s">
        <v>3191</v>
      </c>
    </row>
    <row r="283">
      <c r="A283" t="s">
        <v>3192</v>
      </c>
    </row>
    <row r="284">
      <c r="A284" t="s">
        <v>3193</v>
      </c>
    </row>
    <row r="285">
      <c r="A285" t="s">
        <v>3194</v>
      </c>
    </row>
    <row r="286">
      <c r="A286" t="s">
        <v>3195</v>
      </c>
    </row>
    <row r="287">
      <c r="A287" t="s">
        <v>3196</v>
      </c>
    </row>
    <row r="288">
      <c r="A288" t="s">
        <v>3197</v>
      </c>
    </row>
    <row r="289">
      <c r="A289" t="s">
        <v>3198</v>
      </c>
    </row>
    <row r="290">
      <c r="A290" t="s">
        <v>3199</v>
      </c>
    </row>
    <row r="291">
      <c r="A291" t="s">
        <v>3200</v>
      </c>
    </row>
    <row r="292">
      <c r="A292" t="s">
        <v>3201</v>
      </c>
    </row>
    <row r="293">
      <c r="A293" t="s">
        <v>3202</v>
      </c>
    </row>
    <row r="294">
      <c r="A294" t="s">
        <v>3203</v>
      </c>
    </row>
    <row r="295">
      <c r="A295" t="s">
        <v>3204</v>
      </c>
    </row>
    <row r="296">
      <c r="A296" t="s">
        <v>3205</v>
      </c>
    </row>
    <row r="297">
      <c r="A297" t="s">
        <v>3206</v>
      </c>
    </row>
    <row r="298">
      <c r="A298" t="s">
        <v>3207</v>
      </c>
    </row>
    <row r="299">
      <c r="A299" t="s">
        <v>3208</v>
      </c>
    </row>
    <row r="300">
      <c r="A300" t="s">
        <v>3209</v>
      </c>
    </row>
    <row r="301">
      <c r="A301" t="s">
        <v>3210</v>
      </c>
    </row>
    <row r="302">
      <c r="A302" t="s">
        <v>3211</v>
      </c>
    </row>
    <row r="303">
      <c r="A303" t="s">
        <v>3212</v>
      </c>
    </row>
    <row r="304">
      <c r="A304" t="s">
        <v>3213</v>
      </c>
    </row>
    <row r="305">
      <c r="A305" t="s">
        <v>3214</v>
      </c>
    </row>
    <row r="306">
      <c r="A306" t="s">
        <v>3215</v>
      </c>
    </row>
    <row r="307">
      <c r="A307" t="s">
        <v>3216</v>
      </c>
    </row>
    <row r="308">
      <c r="A308" t="s">
        <v>3217</v>
      </c>
    </row>
    <row r="309">
      <c r="A309" t="s">
        <v>3218</v>
      </c>
    </row>
    <row r="310">
      <c r="A310" t="s">
        <v>3219</v>
      </c>
    </row>
    <row r="311">
      <c r="A311" t="s">
        <v>3220</v>
      </c>
    </row>
    <row r="312">
      <c r="A312" t="s">
        <v>3221</v>
      </c>
    </row>
    <row r="313">
      <c r="A313" t="s">
        <v>3222</v>
      </c>
    </row>
    <row r="314">
      <c r="A314" t="s">
        <v>3223</v>
      </c>
    </row>
    <row r="315">
      <c r="A315" t="s">
        <v>3224</v>
      </c>
    </row>
    <row r="316">
      <c r="A316" t="s">
        <v>3225</v>
      </c>
    </row>
    <row r="317">
      <c r="A317" t="s">
        <v>3226</v>
      </c>
    </row>
    <row r="318">
      <c r="A318" t="s">
        <v>3227</v>
      </c>
    </row>
    <row r="319">
      <c r="A319" t="s">
        <v>3228</v>
      </c>
    </row>
    <row r="320">
      <c r="A320" t="s">
        <v>3229</v>
      </c>
    </row>
    <row r="321">
      <c r="A321" t="s">
        <v>3230</v>
      </c>
    </row>
    <row r="322">
      <c r="A322" t="s">
        <v>3231</v>
      </c>
    </row>
    <row r="323">
      <c r="A323" t="s">
        <v>3232</v>
      </c>
    </row>
    <row r="324">
      <c r="A324" t="s">
        <v>3233</v>
      </c>
    </row>
    <row r="325">
      <c r="A325" t="s">
        <v>3234</v>
      </c>
    </row>
    <row r="326">
      <c r="A326" t="s">
        <v>3235</v>
      </c>
    </row>
    <row r="327">
      <c r="A327" t="s">
        <v>3236</v>
      </c>
    </row>
    <row r="328">
      <c r="A328" t="s">
        <v>3237</v>
      </c>
    </row>
    <row r="329">
      <c r="A329" t="s">
        <v>3238</v>
      </c>
    </row>
    <row r="330">
      <c r="A330" t="s">
        <v>3239</v>
      </c>
    </row>
    <row r="331">
      <c r="A331" t="s">
        <v>3240</v>
      </c>
    </row>
    <row r="332">
      <c r="A332" t="s">
        <v>3241</v>
      </c>
    </row>
    <row r="333">
      <c r="A333" t="s">
        <v>3242</v>
      </c>
    </row>
    <row r="334">
      <c r="A334" t="s">
        <v>3243</v>
      </c>
    </row>
    <row r="335">
      <c r="A335" t="s">
        <v>3244</v>
      </c>
    </row>
    <row r="336">
      <c r="A336" t="s">
        <v>3245</v>
      </c>
    </row>
    <row r="337">
      <c r="A337" t="s">
        <v>3246</v>
      </c>
    </row>
    <row r="338">
      <c r="A338" t="s">
        <v>3247</v>
      </c>
    </row>
    <row r="339">
      <c r="A339" t="s">
        <v>3248</v>
      </c>
    </row>
    <row r="340">
      <c r="A340" t="s">
        <v>3249</v>
      </c>
    </row>
    <row r="341">
      <c r="A341" t="s">
        <v>3250</v>
      </c>
    </row>
    <row r="342">
      <c r="A342" t="s">
        <v>3251</v>
      </c>
    </row>
    <row r="343">
      <c r="A343" t="s">
        <v>3252</v>
      </c>
    </row>
    <row r="344">
      <c r="A344" t="s">
        <v>3253</v>
      </c>
    </row>
    <row r="345">
      <c r="A345" t="s">
        <v>3254</v>
      </c>
    </row>
    <row r="346">
      <c r="A346" t="s">
        <v>3255</v>
      </c>
    </row>
    <row r="347">
      <c r="A347" t="s">
        <v>3256</v>
      </c>
    </row>
    <row r="348">
      <c r="A348" t="s">
        <v>3257</v>
      </c>
    </row>
    <row r="349">
      <c r="A349" t="s">
        <v>3258</v>
      </c>
    </row>
    <row r="350">
      <c r="A350" t="s">
        <v>3259</v>
      </c>
    </row>
    <row r="351">
      <c r="A351" t="s">
        <v>3260</v>
      </c>
    </row>
    <row r="352">
      <c r="A352" t="s">
        <v>3261</v>
      </c>
    </row>
    <row r="353">
      <c r="A353" t="s">
        <v>3262</v>
      </c>
    </row>
    <row r="354">
      <c r="A354" t="s">
        <v>3263</v>
      </c>
    </row>
    <row r="355">
      <c r="A355" t="s">
        <v>3264</v>
      </c>
    </row>
    <row r="356">
      <c r="A356" t="s">
        <v>3265</v>
      </c>
    </row>
    <row r="357">
      <c r="A357" t="s">
        <v>3266</v>
      </c>
    </row>
    <row r="358">
      <c r="A358" t="s">
        <v>3267</v>
      </c>
    </row>
    <row r="359">
      <c r="A359" t="s">
        <v>3268</v>
      </c>
    </row>
    <row r="360">
      <c r="A360" t="s">
        <v>3269</v>
      </c>
    </row>
    <row r="361">
      <c r="A361" t="s">
        <v>3270</v>
      </c>
    </row>
    <row r="362">
      <c r="A362" t="s">
        <v>3271</v>
      </c>
    </row>
    <row r="363">
      <c r="A363" t="s">
        <v>3272</v>
      </c>
    </row>
    <row r="364">
      <c r="A364" t="s">
        <v>3273</v>
      </c>
    </row>
    <row r="365">
      <c r="A365" t="s">
        <v>3274</v>
      </c>
    </row>
    <row r="366">
      <c r="A366" t="s">
        <v>3275</v>
      </c>
    </row>
    <row r="367">
      <c r="A367" t="s">
        <v>3276</v>
      </c>
    </row>
    <row r="368">
      <c r="A368" t="s">
        <v>3277</v>
      </c>
    </row>
    <row r="369">
      <c r="A369" t="s">
        <v>3278</v>
      </c>
    </row>
    <row r="370">
      <c r="A370" t="s">
        <v>3279</v>
      </c>
    </row>
    <row r="371">
      <c r="A371" t="s">
        <v>3280</v>
      </c>
    </row>
    <row r="372">
      <c r="A372" t="s">
        <v>3281</v>
      </c>
    </row>
    <row r="373">
      <c r="A373" t="s">
        <v>3282</v>
      </c>
    </row>
    <row r="374">
      <c r="A374" t="s">
        <v>3283</v>
      </c>
    </row>
    <row r="375">
      <c r="A375" t="s">
        <v>3284</v>
      </c>
    </row>
    <row r="376">
      <c r="A376" t="s">
        <v>3285</v>
      </c>
    </row>
    <row r="377">
      <c r="A377" t="s">
        <v>3286</v>
      </c>
    </row>
    <row r="378">
      <c r="A378" t="s">
        <v>3287</v>
      </c>
    </row>
    <row r="379">
      <c r="A379" t="s">
        <v>3288</v>
      </c>
    </row>
    <row r="380">
      <c r="A380" t="s">
        <v>3289</v>
      </c>
    </row>
    <row r="381">
      <c r="A381" t="s">
        <v>3290</v>
      </c>
    </row>
    <row r="382">
      <c r="A382" t="s">
        <v>3291</v>
      </c>
    </row>
    <row r="383">
      <c r="A383" t="s">
        <v>3292</v>
      </c>
    </row>
    <row r="384">
      <c r="A384" t="s">
        <v>3293</v>
      </c>
    </row>
    <row r="385">
      <c r="A385" t="s">
        <v>3294</v>
      </c>
    </row>
    <row r="386">
      <c r="A386" t="s">
        <v>3295</v>
      </c>
    </row>
    <row r="387">
      <c r="A387" t="s">
        <v>3296</v>
      </c>
    </row>
    <row r="388">
      <c r="A388" t="s">
        <v>3297</v>
      </c>
    </row>
    <row r="389">
      <c r="A389" t="s">
        <v>3298</v>
      </c>
    </row>
    <row r="390">
      <c r="A390" t="s">
        <v>3299</v>
      </c>
    </row>
    <row r="391">
      <c r="A391" t="s">
        <v>3300</v>
      </c>
    </row>
    <row r="392">
      <c r="A392" t="s">
        <v>3301</v>
      </c>
    </row>
    <row r="393">
      <c r="A393" t="s">
        <v>3302</v>
      </c>
    </row>
    <row r="394">
      <c r="A394" t="s">
        <v>3303</v>
      </c>
    </row>
    <row r="395">
      <c r="A395" t="s">
        <v>3304</v>
      </c>
    </row>
    <row r="396">
      <c r="A396" t="s">
        <v>3305</v>
      </c>
    </row>
    <row r="397">
      <c r="A397" t="s">
        <v>3306</v>
      </c>
    </row>
    <row r="398">
      <c r="A398" t="s">
        <v>3307</v>
      </c>
    </row>
    <row r="399">
      <c r="A399" t="s">
        <v>3308</v>
      </c>
    </row>
    <row r="400">
      <c r="A400" t="s">
        <v>3309</v>
      </c>
    </row>
    <row r="401">
      <c r="A401" t="s">
        <v>3310</v>
      </c>
    </row>
    <row r="402">
      <c r="A402" t="s">
        <v>3311</v>
      </c>
    </row>
    <row r="403">
      <c r="A403" t="s">
        <v>3312</v>
      </c>
    </row>
    <row r="404">
      <c r="A404" t="s">
        <v>3313</v>
      </c>
    </row>
    <row r="405">
      <c r="A405" t="s">
        <v>3314</v>
      </c>
    </row>
    <row r="406">
      <c r="A406" t="s">
        <v>3315</v>
      </c>
    </row>
    <row r="407">
      <c r="A407" t="s">
        <v>3316</v>
      </c>
    </row>
    <row r="408">
      <c r="A408" t="s">
        <v>3317</v>
      </c>
    </row>
    <row r="409">
      <c r="A409" t="s">
        <v>3318</v>
      </c>
    </row>
    <row r="410">
      <c r="A410" t="s">
        <v>3319</v>
      </c>
    </row>
    <row r="411">
      <c r="A411" t="s">
        <v>3320</v>
      </c>
    </row>
    <row r="412">
      <c r="A412" t="s">
        <v>3321</v>
      </c>
    </row>
    <row r="413">
      <c r="A413" t="s">
        <v>3322</v>
      </c>
    </row>
    <row r="414">
      <c r="A414" t="s">
        <v>3323</v>
      </c>
    </row>
    <row r="415">
      <c r="A415" t="s">
        <v>3324</v>
      </c>
    </row>
    <row r="416">
      <c r="A416" t="s">
        <v>3325</v>
      </c>
    </row>
    <row r="417">
      <c r="A417" t="s">
        <v>3326</v>
      </c>
    </row>
    <row r="418">
      <c r="A418" t="s">
        <v>3327</v>
      </c>
    </row>
    <row r="419">
      <c r="A419" t="s">
        <v>3328</v>
      </c>
    </row>
    <row r="420">
      <c r="A420" t="s">
        <v>3329</v>
      </c>
    </row>
    <row r="421">
      <c r="A421" t="s">
        <v>3330</v>
      </c>
    </row>
    <row r="422">
      <c r="A422" t="s">
        <v>3331</v>
      </c>
    </row>
    <row r="423">
      <c r="A423" t="s">
        <v>3332</v>
      </c>
    </row>
    <row r="424">
      <c r="A424" t="s">
        <v>3333</v>
      </c>
    </row>
    <row r="425">
      <c r="A425" t="s">
        <v>3334</v>
      </c>
    </row>
    <row r="426">
      <c r="A426" t="s">
        <v>3335</v>
      </c>
    </row>
    <row r="427">
      <c r="A427" t="s">
        <v>3336</v>
      </c>
    </row>
    <row r="428">
      <c r="A428" t="s">
        <v>3337</v>
      </c>
    </row>
    <row r="429">
      <c r="A429" t="s">
        <v>3338</v>
      </c>
    </row>
    <row r="430">
      <c r="A430" t="s">
        <v>3339</v>
      </c>
    </row>
    <row r="431">
      <c r="A431" t="s">
        <v>3340</v>
      </c>
    </row>
    <row r="432">
      <c r="A432" t="s">
        <v>3341</v>
      </c>
    </row>
    <row r="433">
      <c r="A433" t="s">
        <v>3342</v>
      </c>
    </row>
    <row r="434">
      <c r="A434" t="s">
        <v>3343</v>
      </c>
    </row>
    <row r="435">
      <c r="A435" t="s">
        <v>3344</v>
      </c>
    </row>
    <row r="436">
      <c r="A436" t="s">
        <v>3345</v>
      </c>
    </row>
    <row r="437">
      <c r="A437" t="s">
        <v>3346</v>
      </c>
    </row>
    <row r="438">
      <c r="A438" t="s">
        <v>3347</v>
      </c>
    </row>
    <row r="439">
      <c r="A439" t="s">
        <v>3348</v>
      </c>
    </row>
    <row r="440">
      <c r="A440" t="s">
        <v>3349</v>
      </c>
    </row>
    <row r="441">
      <c r="A441" t="s">
        <v>3350</v>
      </c>
    </row>
    <row r="442">
      <c r="A442" t="s">
        <v>3351</v>
      </c>
    </row>
    <row r="443">
      <c r="A443" t="s">
        <v>3352</v>
      </c>
    </row>
    <row r="444">
      <c r="A444" t="s">
        <v>3353</v>
      </c>
    </row>
    <row r="445">
      <c r="A445" t="s">
        <v>3354</v>
      </c>
    </row>
    <row r="446">
      <c r="A446" t="s">
        <v>3355</v>
      </c>
    </row>
    <row r="447">
      <c r="A447" t="s">
        <v>3356</v>
      </c>
    </row>
    <row r="448">
      <c r="A448" t="s">
        <v>3357</v>
      </c>
    </row>
    <row r="449">
      <c r="A449" t="s">
        <v>3358</v>
      </c>
    </row>
    <row r="450">
      <c r="A450" t="s">
        <v>3359</v>
      </c>
    </row>
    <row r="451">
      <c r="A451" t="s">
        <v>3360</v>
      </c>
    </row>
    <row r="452">
      <c r="A452" t="s">
        <v>3361</v>
      </c>
    </row>
    <row r="453">
      <c r="A453" t="s">
        <v>3362</v>
      </c>
    </row>
    <row r="454">
      <c r="A454" t="s">
        <v>3363</v>
      </c>
    </row>
    <row r="455">
      <c r="A455" t="s">
        <v>3364</v>
      </c>
    </row>
    <row r="456">
      <c r="A456" t="s">
        <v>3365</v>
      </c>
    </row>
    <row r="457">
      <c r="A457" t="s">
        <v>3366</v>
      </c>
    </row>
    <row r="458">
      <c r="A458" t="s">
        <v>3367</v>
      </c>
    </row>
    <row r="459">
      <c r="A459" t="s">
        <v>3368</v>
      </c>
    </row>
    <row r="460">
      <c r="A460" t="s">
        <v>3369</v>
      </c>
    </row>
    <row r="461">
      <c r="A461" t="s">
        <v>3370</v>
      </c>
    </row>
    <row r="462">
      <c r="A462" t="s">
        <v>3371</v>
      </c>
    </row>
    <row r="463">
      <c r="A463" t="s">
        <v>3372</v>
      </c>
    </row>
    <row r="464">
      <c r="A464" t="s">
        <v>3373</v>
      </c>
    </row>
    <row r="465">
      <c r="A465" t="s">
        <v>3374</v>
      </c>
    </row>
    <row r="466">
      <c r="A466" t="s">
        <v>3375</v>
      </c>
    </row>
    <row r="467">
      <c r="A467" t="s">
        <v>3376</v>
      </c>
    </row>
    <row r="468">
      <c r="A468" t="s">
        <v>3377</v>
      </c>
    </row>
    <row r="469">
      <c r="A469" t="s">
        <v>3378</v>
      </c>
    </row>
    <row r="470">
      <c r="A470" t="s">
        <v>3379</v>
      </c>
    </row>
    <row r="471">
      <c r="A471" t="s">
        <v>3380</v>
      </c>
    </row>
    <row r="472">
      <c r="A472" t="s">
        <v>3381</v>
      </c>
    </row>
    <row r="473">
      <c r="A473" t="s">
        <v>3382</v>
      </c>
    </row>
    <row r="474">
      <c r="A474" t="s">
        <v>3383</v>
      </c>
    </row>
    <row r="475">
      <c r="A475" t="s">
        <v>3384</v>
      </c>
    </row>
    <row r="476">
      <c r="A476" t="s">
        <v>3385</v>
      </c>
    </row>
    <row r="477">
      <c r="A477" t="s">
        <v>3386</v>
      </c>
    </row>
    <row r="478">
      <c r="A478" t="s">
        <v>3387</v>
      </c>
    </row>
    <row r="479">
      <c r="A479" t="s">
        <v>3388</v>
      </c>
    </row>
    <row r="480">
      <c r="A480" t="s">
        <v>3389</v>
      </c>
    </row>
    <row r="481">
      <c r="A481" t="s">
        <v>3390</v>
      </c>
    </row>
    <row r="482">
      <c r="A482" t="s">
        <v>3391</v>
      </c>
    </row>
    <row r="483">
      <c r="A483" t="s">
        <v>3392</v>
      </c>
    </row>
    <row r="484">
      <c r="A484" t="s">
        <v>3393</v>
      </c>
    </row>
    <row r="485">
      <c r="A485" t="s">
        <v>3394</v>
      </c>
    </row>
    <row r="486">
      <c r="A486" t="s">
        <v>3395</v>
      </c>
    </row>
    <row r="487">
      <c r="A487" t="s">
        <v>3396</v>
      </c>
    </row>
    <row r="488">
      <c r="A488" t="s">
        <v>3397</v>
      </c>
    </row>
    <row r="489">
      <c r="A489" t="s">
        <v>3398</v>
      </c>
    </row>
    <row r="490">
      <c r="A490" t="s">
        <v>3399</v>
      </c>
    </row>
    <row r="491">
      <c r="A491" t="s">
        <v>3400</v>
      </c>
    </row>
    <row r="492">
      <c r="A492" t="s">
        <v>3401</v>
      </c>
    </row>
    <row r="493">
      <c r="A493" t="s">
        <v>3402</v>
      </c>
    </row>
    <row r="494">
      <c r="A494" t="s">
        <v>3403</v>
      </c>
    </row>
    <row r="495">
      <c r="A495" t="s">
        <v>3404</v>
      </c>
    </row>
    <row r="496">
      <c r="A496" t="s">
        <v>3405</v>
      </c>
    </row>
    <row r="497">
      <c r="A497" t="s">
        <v>3406</v>
      </c>
    </row>
    <row r="498">
      <c r="A498" t="s">
        <v>3407</v>
      </c>
    </row>
    <row r="499">
      <c r="A499" t="s">
        <v>3408</v>
      </c>
    </row>
    <row r="500">
      <c r="A500" t="s">
        <v>3409</v>
      </c>
    </row>
    <row r="501">
      <c r="A501" t="s">
        <v>3410</v>
      </c>
    </row>
    <row r="502">
      <c r="A502" t="s">
        <v>3411</v>
      </c>
    </row>
    <row r="503">
      <c r="A503" t="s">
        <v>3412</v>
      </c>
    </row>
    <row r="504">
      <c r="A504" t="s">
        <v>3413</v>
      </c>
    </row>
    <row r="505">
      <c r="A505" t="s">
        <v>3414</v>
      </c>
    </row>
    <row r="506">
      <c r="A506" t="s">
        <v>3415</v>
      </c>
    </row>
    <row r="507">
      <c r="A507" t="s">
        <v>3416</v>
      </c>
    </row>
    <row r="508">
      <c r="A508" t="s">
        <v>3417</v>
      </c>
    </row>
    <row r="509">
      <c r="A509" t="s">
        <v>3418</v>
      </c>
    </row>
    <row r="510">
      <c r="A510" t="s">
        <v>3419</v>
      </c>
    </row>
    <row r="511">
      <c r="A511" t="s">
        <v>3420</v>
      </c>
    </row>
    <row r="512">
      <c r="A512" t="s">
        <v>3421</v>
      </c>
    </row>
    <row r="513">
      <c r="A513" t="s">
        <v>3422</v>
      </c>
    </row>
    <row r="514">
      <c r="A514" t="s">
        <v>3423</v>
      </c>
    </row>
    <row r="515">
      <c r="A515" t="s">
        <v>3424</v>
      </c>
    </row>
    <row r="516">
      <c r="A516" t="s">
        <v>3425</v>
      </c>
    </row>
    <row r="517">
      <c r="A517" t="s">
        <v>3426</v>
      </c>
    </row>
    <row r="518">
      <c r="A518" t="s">
        <v>3427</v>
      </c>
    </row>
    <row r="519">
      <c r="A519" t="s">
        <v>3428</v>
      </c>
    </row>
    <row r="520">
      <c r="A520" t="s">
        <v>3429</v>
      </c>
    </row>
    <row r="521">
      <c r="A521" t="s">
        <v>3430</v>
      </c>
    </row>
    <row r="522">
      <c r="A522" t="s">
        <v>3431</v>
      </c>
    </row>
    <row r="523">
      <c r="A523" t="s">
        <v>3432</v>
      </c>
    </row>
    <row r="524">
      <c r="A524" t="s">
        <v>3433</v>
      </c>
    </row>
    <row r="525">
      <c r="A525" t="s">
        <v>3434</v>
      </c>
    </row>
    <row r="526">
      <c r="A526" t="s">
        <v>3435</v>
      </c>
    </row>
    <row r="527">
      <c r="A527" t="s">
        <v>3436</v>
      </c>
    </row>
    <row r="528">
      <c r="A528" t="s">
        <v>3437</v>
      </c>
    </row>
    <row r="529">
      <c r="A529" t="s">
        <v>3438</v>
      </c>
    </row>
    <row r="530">
      <c r="A530" t="s">
        <v>3439</v>
      </c>
    </row>
    <row r="531">
      <c r="A531" t="s">
        <v>3440</v>
      </c>
    </row>
    <row r="532">
      <c r="A532" t="s">
        <v>3441</v>
      </c>
    </row>
    <row r="533">
      <c r="A533" t="s">
        <v>3442</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F41E492-8D1F-4B63-9AA4-51FF73E64949}"/>
</file>

<file path=customXml/itemProps2.xml><?xml version="1.0" encoding="utf-8"?>
<ds:datastoreItem xmlns:ds="http://schemas.openxmlformats.org/officeDocument/2006/customXml" ds:itemID="{DF13496A-C926-45D9-B1DA-92D529A87816}"/>
</file>

<file path=customXml/itemProps3.xml><?xml version="1.0" encoding="utf-8"?>
<ds:datastoreItem xmlns:ds="http://schemas.openxmlformats.org/officeDocument/2006/customXml" ds:itemID="{47E8572C-CCF1-419A-BC79-5EAB4116838C}"/>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2026-10-17T14:57:50Z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