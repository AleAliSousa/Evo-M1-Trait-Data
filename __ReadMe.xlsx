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69" documentId="11_C40C9F409DD3DD2F5E21CB3981B21C3355C8C08B" xr6:coauthVersionLast="47" xr6:coauthVersionMax="47" xr10:uidLastSave="{3277E7D2-AFEE-CF4E-B08E-B9CC13FDF23B}"/>
  <bookViews>
    <workbookView xWindow="36280" yWindow="-5360" windowWidth="44760" windowHeight="18180" xr2:uid="{00000000-000D-0000-FFFF-FFFF00000000}"/>
  </bookViews>
  <sheets>
    <sheet name="Sheet1" sheetId="1" r:id="rId1"/>
    <sheet name="SOURCE_DISPOSITION" sheetId="3" r:id="rId2"/>
    <sheet name="AUTO_Public_TSV_FileList" sheetId="4" r:id="rId3"/>
  </sheets>
  <definedNames>
    <definedName name="_xlnm._FilterDatabase" localSheetId="0" hidden="1">Sheet1!$A$1:$AP$418</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2" i="1" l="1"/>
  <c r="K62" i="1" s="1"/>
  <c r="L62" i="1" s="1" a="1"/>
  <c r="L62" i="1" s="1"/>
  <c r="G62" i="1"/>
  <c r="F62" i="1" s="1" a="1"/>
  <c r="F62" i="1" s="1"/>
  <c r="E62" i="1"/>
  <c r="I61" i="1"/>
  <c r="K61" i="1" s="1"/>
  <c r="L61" i="1" s="1" a="1"/>
  <c r="L61" i="1" s="1"/>
  <c r="G61" i="1"/>
  <c r="F61" i="1" s="1" a="1"/>
  <c r="F61" i="1" s="1"/>
  <c r="E61" i="1"/>
  <c r="E450" i="1"/>
  <c r="G450" i="1"/>
  <c r="F450" i="1" s="1" a="1"/>
  <c r="F450" i="1" s="1"/>
  <c r="I450" i="1"/>
  <c r="K450" i="1" s="1"/>
  <c r="L450" i="1" s="1" a="1"/>
  <c r="L450" i="1" s="1"/>
  <c r="E451" i="1"/>
  <c r="G451" i="1"/>
  <c r="F451" i="1" s="1" a="1"/>
  <c r="F451" i="1" s="1"/>
  <c r="I451" i="1"/>
  <c r="K451" i="1" s="1"/>
  <c r="L451" i="1" s="1" a="1"/>
  <c r="L451" i="1" s="1"/>
  <c r="E452" i="1"/>
  <c r="G452" i="1"/>
  <c r="F452" i="1" s="1" a="1"/>
  <c r="F452" i="1" s="1"/>
  <c r="I452" i="1"/>
  <c r="K452" i="1" s="1"/>
  <c r="L452" i="1" s="1" a="1"/>
  <c r="L452" i="1" s="1"/>
  <c r="E118" i="1"/>
  <c r="G118" i="1"/>
  <c r="F118" i="1" s="1" a="1"/>
  <c r="F118" i="1" s="1"/>
  <c r="I118" i="1"/>
  <c r="K118" i="1" s="1"/>
  <c r="L118" i="1" s="1" a="1"/>
  <c r="L118" i="1" s="1"/>
  <c r="E119" i="1"/>
  <c r="G119" i="1"/>
  <c r="F119" i="1" s="1" a="1"/>
  <c r="F119" i="1" s="1"/>
  <c r="I119" i="1"/>
  <c r="K119" i="1" s="1"/>
  <c r="L119" i="1" s="1" a="1"/>
  <c r="L119" i="1" s="1"/>
  <c r="E120" i="1"/>
  <c r="G120" i="1"/>
  <c r="F120" i="1" s="1" a="1"/>
  <c r="F120" i="1" s="1"/>
  <c r="I120" i="1"/>
  <c r="K120" i="1" s="1"/>
  <c r="L120" i="1" s="1" a="1"/>
  <c r="L120" i="1" s="1"/>
  <c r="E121" i="1"/>
  <c r="G121" i="1"/>
  <c r="F121" i="1" s="1" a="1"/>
  <c r="F121" i="1" s="1"/>
  <c r="I121" i="1"/>
  <c r="K121" i="1" s="1"/>
  <c r="L121" i="1" s="1" a="1"/>
  <c r="L121" i="1" s="1"/>
  <c r="E122" i="1"/>
  <c r="G122" i="1"/>
  <c r="F122" i="1" s="1" a="1"/>
  <c r="F122" i="1" s="1"/>
  <c r="I122" i="1"/>
  <c r="K122" i="1" s="1"/>
  <c r="L122" i="1" s="1" a="1"/>
  <c r="L122" i="1" s="1"/>
  <c r="E123" i="1"/>
  <c r="G123" i="1"/>
  <c r="F123" i="1" s="1" a="1"/>
  <c r="F123" i="1" s="1"/>
  <c r="I123" i="1"/>
  <c r="K123" i="1" s="1"/>
  <c r="L123" i="1" s="1" a="1"/>
  <c r="L123" i="1" s="1"/>
  <c r="E124" i="1"/>
  <c r="G124" i="1"/>
  <c r="F124" i="1" s="1" a="1"/>
  <c r="F124" i="1" s="1"/>
  <c r="I124" i="1"/>
  <c r="K124" i="1" s="1"/>
  <c r="L124" i="1" s="1" a="1"/>
  <c r="L124" i="1" s="1"/>
  <c r="I130" i="1"/>
  <c r="K130" i="1" s="1"/>
  <c r="L130" i="1" s="1" a="1"/>
  <c r="L130" i="1" s="1"/>
  <c r="G130" i="1"/>
  <c r="F130" i="1" s="1" a="1"/>
  <c r="F130" i="1" s="1"/>
  <c r="E130" i="1"/>
  <c r="I94" i="1"/>
  <c r="K94" i="1" s="1"/>
  <c r="L94" i="1" s="1" a="1"/>
  <c r="L94" i="1" s="1"/>
  <c r="G94" i="1"/>
  <c r="F94" i="1" s="1" a="1"/>
  <c r="F94" i="1" s="1"/>
  <c r="E94" i="1"/>
  <c r="E93" i="1"/>
  <c r="G93" i="1"/>
  <c r="F93" i="1" s="1" a="1"/>
  <c r="F93" i="1" s="1"/>
  <c r="I93" i="1"/>
  <c r="K93" i="1" s="1"/>
  <c r="L93" i="1" s="1" a="1"/>
  <c r="L93" i="1" s="1"/>
  <c r="I15" i="1"/>
  <c r="K15" i="1" s="1"/>
  <c r="L15" i="1" s="1" a="1"/>
  <c r="L15" i="1" s="1"/>
  <c r="G15" i="1"/>
  <c r="F15" i="1" s="1" a="1"/>
  <c r="F15" i="1" s="1"/>
  <c r="E15" i="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461" i="1"/>
  <c r="K461" i="1" s="1"/>
  <c r="L461" i="1" s="1" a="1"/>
  <c r="L461" i="1" s="1"/>
  <c r="G461" i="1"/>
  <c r="F461" i="1" s="1"/>
  <c r="E461" i="1"/>
  <c r="I460" i="1"/>
  <c r="K460" i="1" s="1"/>
  <c r="L460" i="1" s="1" a="1"/>
  <c r="L460" i="1" s="1"/>
  <c r="G460" i="1"/>
  <c r="F460" i="1" s="1"/>
  <c r="E460" i="1"/>
  <c r="I459" i="1"/>
  <c r="K459" i="1" s="1"/>
  <c r="L459" i="1" s="1" a="1"/>
  <c r="L459" i="1" s="1"/>
  <c r="G459" i="1"/>
  <c r="F459" i="1" s="1"/>
  <c r="E459" i="1"/>
  <c r="I458" i="1"/>
  <c r="K458" i="1" s="1"/>
  <c r="L458" i="1" s="1" a="1"/>
  <c r="L458" i="1" s="1"/>
  <c r="G458" i="1"/>
  <c r="F458" i="1" s="1"/>
  <c r="E458" i="1"/>
  <c r="I457" i="1"/>
  <c r="K457" i="1" s="1"/>
  <c r="L457" i="1" s="1" a="1"/>
  <c r="L457" i="1" s="1"/>
  <c r="G457" i="1"/>
  <c r="F457" i="1" s="1"/>
  <c r="E457" i="1"/>
  <c r="I456" i="1"/>
  <c r="K456" i="1" s="1"/>
  <c r="L456" i="1" s="1" a="1"/>
  <c r="L456" i="1" s="1"/>
  <c r="G456" i="1"/>
  <c r="F456" i="1" s="1"/>
  <c r="E456" i="1"/>
  <c r="I455" i="1"/>
  <c r="K455" i="1" s="1"/>
  <c r="L455" i="1" s="1" a="1"/>
  <c r="L455" i="1" s="1"/>
  <c r="G455" i="1"/>
  <c r="F455" i="1" s="1"/>
  <c r="E455" i="1"/>
  <c r="I454" i="1"/>
  <c r="K454" i="1" s="1"/>
  <c r="L454" i="1" s="1" a="1"/>
  <c r="L454" i="1" s="1"/>
  <c r="G454" i="1"/>
  <c r="F454" i="1" s="1"/>
  <c r="E454" i="1"/>
  <c r="I453" i="1"/>
  <c r="K453" i="1" s="1"/>
  <c r="L453" i="1" s="1" a="1"/>
  <c r="L453" i="1" s="1"/>
  <c r="G453" i="1"/>
  <c r="F453" i="1" s="1"/>
  <c r="E453"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c r="E313" i="1"/>
  <c r="I312" i="1"/>
  <c r="K312" i="1" s="1"/>
  <c r="L312" i="1" s="1" a="1"/>
  <c r="L312" i="1" s="1"/>
  <c r="G312" i="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c r="E283" i="1"/>
  <c r="I282" i="1"/>
  <c r="K282" i="1" s="1"/>
  <c r="L282" i="1" s="1" a="1"/>
  <c r="L282" i="1" s="1"/>
  <c r="G282" i="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c r="E237" i="1"/>
  <c r="I236" i="1"/>
  <c r="K236" i="1" s="1"/>
  <c r="L236" i="1" s="1" a="1"/>
  <c r="L236" i="1" s="1"/>
  <c r="G236" i="1"/>
  <c r="F236" i="1" s="1"/>
  <c r="E236" i="1"/>
  <c r="I235" i="1"/>
  <c r="K235" i="1" s="1"/>
  <c r="L235" i="1" s="1" a="1"/>
  <c r="L235" i="1" s="1"/>
  <c r="G235" i="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c r="E145" i="1"/>
  <c r="I144" i="1"/>
  <c r="K144" i="1" s="1"/>
  <c r="L144" i="1" s="1" a="1"/>
  <c r="L144" i="1" s="1"/>
  <c r="G144" i="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62" i="1" l="1"/>
  <c r="J62" i="1" s="1"/>
  <c r="H61" i="1"/>
  <c r="J61" i="1" s="1"/>
  <c r="H118" i="1"/>
  <c r="J118" i="1" s="1"/>
  <c r="H452" i="1"/>
  <c r="J452" i="1" s="1"/>
  <c r="H451" i="1"/>
  <c r="J451" i="1" s="1"/>
  <c r="H450" i="1"/>
  <c r="J450" i="1" s="1"/>
  <c r="H119" i="1"/>
  <c r="J119" i="1" s="1"/>
  <c r="H120" i="1"/>
  <c r="J120" i="1" s="1"/>
  <c r="H124" i="1"/>
  <c r="J124" i="1" s="1"/>
  <c r="H123" i="1"/>
  <c r="J123" i="1" s="1"/>
  <c r="H122" i="1"/>
  <c r="J122" i="1" s="1"/>
  <c r="H121" i="1"/>
  <c r="J121" i="1" s="1"/>
  <c r="H130" i="1"/>
  <c r="J130" i="1" s="1"/>
  <c r="H93" i="1"/>
  <c r="J93" i="1" s="1"/>
  <c r="H94" i="1"/>
  <c r="J94" i="1" s="1"/>
  <c r="H12" i="3"/>
  <c r="J12" i="3" s="1"/>
  <c r="H10" i="3"/>
  <c r="J10" i="3" s="1"/>
  <c r="H200" i="1"/>
  <c r="J200" i="1" s="1"/>
  <c r="H251" i="1"/>
  <c r="J251" i="1" s="1"/>
  <c r="H2" i="1"/>
  <c r="J2" i="1" s="1"/>
  <c r="H318" i="1"/>
  <c r="J318" i="1" s="1"/>
  <c r="H380" i="1"/>
  <c r="J380" i="1" s="1"/>
  <c r="H331" i="1"/>
  <c r="J331" i="1" s="1"/>
  <c r="H382" i="1"/>
  <c r="J382" i="1" s="1"/>
  <c r="H385" i="1"/>
  <c r="J385" i="1" s="1"/>
  <c r="H180" i="1"/>
  <c r="J180" i="1" s="1"/>
  <c r="H164" i="1"/>
  <c r="J164" i="1" s="1"/>
  <c r="H447" i="1"/>
  <c r="J447" i="1" s="1"/>
  <c r="H346" i="1"/>
  <c r="J346" i="1" s="1"/>
  <c r="H257" i="1"/>
  <c r="J257" i="1" s="1"/>
  <c r="H277" i="1"/>
  <c r="J277" i="1" s="1"/>
  <c r="H97" i="1"/>
  <c r="J97" i="1" s="1"/>
  <c r="H214" i="1"/>
  <c r="J214" i="1" s="1"/>
  <c r="H234" i="1"/>
  <c r="J234" i="1" s="1"/>
  <c r="H63" i="1"/>
  <c r="J63" i="1" s="1"/>
  <c r="H83" i="1"/>
  <c r="J83" i="1" s="1"/>
  <c r="H147" i="1"/>
  <c r="J147" i="1" s="1"/>
  <c r="H203" i="1"/>
  <c r="J203" i="1" s="1"/>
  <c r="H15" i="1"/>
  <c r="J15" i="1" s="1"/>
  <c r="H171" i="1"/>
  <c r="J171" i="1" s="1"/>
  <c r="H201" i="1"/>
  <c r="J201" i="1" s="1"/>
  <c r="H204" i="1"/>
  <c r="J204" i="1" s="1"/>
  <c r="H4" i="1"/>
  <c r="J4" i="1" s="1"/>
  <c r="H98" i="1"/>
  <c r="J98" i="1" s="1"/>
  <c r="H101" i="1"/>
  <c r="J101" i="1" s="1"/>
  <c r="H117" i="1"/>
  <c r="J117" i="1" s="1"/>
  <c r="H247" i="1"/>
  <c r="J247" i="1" s="1"/>
  <c r="H293" i="1"/>
  <c r="J293" i="1" s="1"/>
  <c r="H335" i="1"/>
  <c r="J335" i="1" s="1"/>
  <c r="H338" i="1"/>
  <c r="J338" i="1" s="1"/>
  <c r="H162" i="1"/>
  <c r="J162" i="1" s="1"/>
  <c r="H361" i="1"/>
  <c r="J361" i="1" s="1"/>
  <c r="H146" i="1"/>
  <c r="J146" i="1" s="1"/>
  <c r="H261" i="1"/>
  <c r="J261" i="1" s="1"/>
  <c r="H327" i="1"/>
  <c r="J327" i="1" s="1"/>
  <c r="H457" i="1"/>
  <c r="J457" i="1" s="1"/>
  <c r="H305" i="1"/>
  <c r="J305" i="1" s="1"/>
  <c r="H7" i="1"/>
  <c r="J7" i="1" s="1"/>
  <c r="H256" i="1"/>
  <c r="J256" i="1" s="1"/>
  <c r="H49" i="1"/>
  <c r="J49" i="1" s="1"/>
  <c r="H52" i="1"/>
  <c r="J52" i="1" s="1"/>
  <c r="H77" i="1"/>
  <c r="J77" i="1" s="1"/>
  <c r="H87" i="1"/>
  <c r="J87" i="1" s="1"/>
  <c r="H132" i="1"/>
  <c r="J132" i="1" s="1"/>
  <c r="H154" i="1"/>
  <c r="J154" i="1" s="1"/>
  <c r="H167" i="1"/>
  <c r="J167" i="1" s="1"/>
  <c r="H176" i="1"/>
  <c r="J176" i="1" s="1"/>
  <c r="H179" i="1"/>
  <c r="J179" i="1" s="1"/>
  <c r="H182" i="1"/>
  <c r="J182" i="1" s="1"/>
  <c r="H227" i="1"/>
  <c r="J227" i="1" s="1"/>
  <c r="H253" i="1"/>
  <c r="J253" i="1" s="1"/>
  <c r="H306" i="1"/>
  <c r="J306" i="1" s="1"/>
  <c r="H372" i="1"/>
  <c r="J372" i="1" s="1"/>
  <c r="H398" i="1"/>
  <c r="J398" i="1" s="1"/>
  <c r="H189" i="1"/>
  <c r="J189" i="1" s="1"/>
  <c r="H205" i="1"/>
  <c r="J205" i="1" s="1"/>
  <c r="H211" i="1"/>
  <c r="J211" i="1" s="1"/>
  <c r="H241" i="1"/>
  <c r="J241" i="1" s="1"/>
  <c r="H259" i="1"/>
  <c r="J259" i="1" s="1"/>
  <c r="H319" i="1"/>
  <c r="J319" i="1" s="1"/>
  <c r="H322" i="1"/>
  <c r="J322" i="1" s="1"/>
  <c r="H325" i="1"/>
  <c r="J325" i="1" s="1"/>
  <c r="H366" i="1"/>
  <c r="J366" i="1" s="1"/>
  <c r="H405" i="1"/>
  <c r="J405" i="1" s="1"/>
  <c r="H65" i="1"/>
  <c r="J65" i="1" s="1"/>
  <c r="H174" i="1"/>
  <c r="J174" i="1" s="1"/>
  <c r="H177" i="1"/>
  <c r="J177" i="1" s="1"/>
  <c r="H186" i="1"/>
  <c r="J186" i="1" s="1"/>
  <c r="H254" i="1"/>
  <c r="J254" i="1" s="1"/>
  <c r="H281" i="1"/>
  <c r="J281" i="1" s="1"/>
  <c r="H354" i="1"/>
  <c r="J354" i="1" s="1"/>
  <c r="H158" i="1"/>
  <c r="J158" i="1" s="1"/>
  <c r="H35" i="1"/>
  <c r="J35" i="1" s="1"/>
  <c r="H92" i="1"/>
  <c r="J92" i="1" s="1"/>
  <c r="H100" i="1"/>
  <c r="J100" i="1" s="1"/>
  <c r="H320" i="1"/>
  <c r="J320" i="1" s="1"/>
  <c r="H348" i="1"/>
  <c r="J348" i="1" s="1"/>
  <c r="H137" i="1"/>
  <c r="J137" i="1" s="1"/>
  <c r="H58" i="1"/>
  <c r="J58" i="1" s="1"/>
  <c r="H150" i="1"/>
  <c r="J150" i="1" s="1"/>
  <c r="H178" i="1"/>
  <c r="J178" i="1" s="1"/>
  <c r="H194" i="1"/>
  <c r="J194" i="1" s="1"/>
  <c r="H197" i="1"/>
  <c r="J197" i="1" s="1"/>
  <c r="H289" i="1"/>
  <c r="J289" i="1" s="1"/>
  <c r="H371" i="1"/>
  <c r="J371" i="1" s="1"/>
  <c r="H377" i="1"/>
  <c r="J377" i="1" s="1"/>
  <c r="H442" i="1"/>
  <c r="J442" i="1" s="1"/>
  <c r="H55" i="1"/>
  <c r="J55" i="1" s="1"/>
  <c r="H207" i="1"/>
  <c r="J207" i="1" s="1"/>
  <c r="H3" i="3"/>
  <c r="J3" i="3" s="1"/>
  <c r="H3" i="1"/>
  <c r="J3" i="1" s="1"/>
  <c r="H16" i="1"/>
  <c r="J16" i="1" s="1"/>
  <c r="H22" i="1"/>
  <c r="J22" i="1" s="1"/>
  <c r="H38" i="1"/>
  <c r="J38" i="1" s="1"/>
  <c r="H73" i="1"/>
  <c r="J73" i="1" s="1"/>
  <c r="H76" i="1"/>
  <c r="J76" i="1" s="1"/>
  <c r="H79" i="1"/>
  <c r="J79" i="1" s="1"/>
  <c r="H82" i="1"/>
  <c r="J82" i="1" s="1"/>
  <c r="H88" i="1"/>
  <c r="J88" i="1" s="1"/>
  <c r="H173" i="1"/>
  <c r="J173" i="1" s="1"/>
  <c r="H188" i="1"/>
  <c r="J188" i="1" s="1"/>
  <c r="H213" i="1"/>
  <c r="J213" i="1" s="1"/>
  <c r="H216" i="1"/>
  <c r="J216" i="1" s="1"/>
  <c r="H222" i="1"/>
  <c r="J222" i="1" s="1"/>
  <c r="H308" i="1"/>
  <c r="J308" i="1" s="1"/>
  <c r="H329" i="1"/>
  <c r="J329" i="1" s="1"/>
  <c r="H356" i="1"/>
  <c r="J356" i="1" s="1"/>
  <c r="H373" i="1"/>
  <c r="J373" i="1" s="1"/>
  <c r="H390" i="1"/>
  <c r="J390" i="1" s="1"/>
  <c r="H426" i="1"/>
  <c r="J426" i="1" s="1"/>
  <c r="H460" i="1"/>
  <c r="J460" i="1" s="1"/>
  <c r="H400" i="1"/>
  <c r="J400" i="1" s="1"/>
  <c r="H47" i="1"/>
  <c r="J47" i="1" s="1"/>
  <c r="H53" i="1"/>
  <c r="J53" i="1" s="1"/>
  <c r="H115" i="1"/>
  <c r="J115" i="1" s="1"/>
  <c r="H128" i="1"/>
  <c r="J128" i="1" s="1"/>
  <c r="H135" i="1"/>
  <c r="J135" i="1" s="1"/>
  <c r="H153" i="1"/>
  <c r="J153" i="1" s="1"/>
  <c r="H168" i="1"/>
  <c r="J168" i="1" s="1"/>
  <c r="H192" i="1"/>
  <c r="J192" i="1" s="1"/>
  <c r="H238" i="1"/>
  <c r="J238" i="1" s="1"/>
  <c r="H262" i="1"/>
  <c r="J262" i="1" s="1"/>
  <c r="H333" i="1"/>
  <c r="J333" i="1" s="1"/>
  <c r="H365" i="1"/>
  <c r="J365" i="1" s="1"/>
  <c r="H404" i="1"/>
  <c r="J404" i="1" s="1"/>
  <c r="H42" i="1"/>
  <c r="J42" i="1" s="1"/>
  <c r="H461" i="1"/>
  <c r="J461" i="1" s="1"/>
  <c r="H449" i="1"/>
  <c r="J449" i="1" s="1"/>
  <c r="H7" i="3"/>
  <c r="J7" i="3" s="1"/>
  <c r="H136" i="1"/>
  <c r="J136" i="1" s="1"/>
  <c r="H157" i="1"/>
  <c r="J157" i="1" s="1"/>
  <c r="H202" i="1"/>
  <c r="J202" i="1" s="1"/>
  <c r="H215" i="1"/>
  <c r="J215" i="1" s="1"/>
  <c r="H245" i="1"/>
  <c r="J245" i="1" s="1"/>
  <c r="H269" i="1"/>
  <c r="J269" i="1" s="1"/>
  <c r="H278" i="1"/>
  <c r="J278" i="1" s="1"/>
  <c r="H360" i="1"/>
  <c r="J360" i="1" s="1"/>
  <c r="H363" i="1"/>
  <c r="J363" i="1" s="1"/>
  <c r="H18" i="1"/>
  <c r="J18" i="1" s="1"/>
  <c r="H21" i="1"/>
  <c r="J21" i="1" s="1"/>
  <c r="H90" i="1"/>
  <c r="J90" i="1" s="1"/>
  <c r="H143" i="1"/>
  <c r="J143" i="1" s="1"/>
  <c r="H209" i="1"/>
  <c r="J209" i="1" s="1"/>
  <c r="H212" i="1"/>
  <c r="J212" i="1" s="1"/>
  <c r="H249" i="1"/>
  <c r="J249" i="1" s="1"/>
  <c r="H282" i="1"/>
  <c r="J282" i="1" s="1"/>
  <c r="H285" i="1"/>
  <c r="J285" i="1" s="1"/>
  <c r="H317" i="1"/>
  <c r="J317" i="1" s="1"/>
  <c r="H349" i="1"/>
  <c r="J349" i="1" s="1"/>
  <c r="H355" i="1"/>
  <c r="J355" i="1" s="1"/>
  <c r="H386" i="1"/>
  <c r="J386" i="1" s="1"/>
  <c r="H402" i="1"/>
  <c r="J402" i="1" s="1"/>
  <c r="H456" i="1"/>
  <c r="J456" i="1" s="1"/>
  <c r="H459" i="1"/>
  <c r="J459" i="1" s="1"/>
  <c r="H8" i="3"/>
  <c r="J8" i="3" s="1"/>
  <c r="H43" i="1"/>
  <c r="J43" i="1" s="1"/>
  <c r="H46" i="1"/>
  <c r="J46" i="1" s="1"/>
  <c r="H111" i="1"/>
  <c r="J111" i="1" s="1"/>
  <c r="H240" i="1"/>
  <c r="J240" i="1" s="1"/>
  <c r="H267" i="1"/>
  <c r="J267" i="1" s="1"/>
  <c r="H270" i="1"/>
  <c r="J270" i="1" s="1"/>
  <c r="H276" i="1"/>
  <c r="J276" i="1" s="1"/>
  <c r="H314" i="1"/>
  <c r="J314" i="1" s="1"/>
  <c r="H364" i="1"/>
  <c r="J364" i="1" s="1"/>
  <c r="H420" i="1"/>
  <c r="J420" i="1" s="1"/>
  <c r="H423" i="1"/>
  <c r="J423" i="1" s="1"/>
  <c r="H428" i="1"/>
  <c r="J428" i="1" s="1"/>
  <c r="H441" i="1"/>
  <c r="J441" i="1" s="1"/>
  <c r="H23" i="1"/>
  <c r="J23" i="1" s="1"/>
  <c r="H5" i="1"/>
  <c r="J5" i="1" s="1"/>
  <c r="H8" i="1"/>
  <c r="J8" i="1" s="1"/>
  <c r="H57" i="1"/>
  <c r="J57" i="1" s="1"/>
  <c r="H9" i="1"/>
  <c r="J9" i="1" s="1"/>
  <c r="H31" i="1"/>
  <c r="J31" i="1" s="1"/>
  <c r="H41" i="1"/>
  <c r="J41" i="1" s="1"/>
  <c r="H108" i="1"/>
  <c r="J108" i="1" s="1"/>
  <c r="H133" i="1"/>
  <c r="J133" i="1" s="1"/>
  <c r="H161" i="1"/>
  <c r="J161" i="1" s="1"/>
  <c r="H163" i="1"/>
  <c r="J163" i="1" s="1"/>
  <c r="H169" i="1"/>
  <c r="J169" i="1" s="1"/>
  <c r="H218" i="1"/>
  <c r="J218" i="1" s="1"/>
  <c r="H226" i="1"/>
  <c r="J226" i="1" s="1"/>
  <c r="H263" i="1"/>
  <c r="J263" i="1" s="1"/>
  <c r="H340" i="1"/>
  <c r="J340" i="1" s="1"/>
  <c r="H418" i="1"/>
  <c r="J418" i="1" s="1"/>
  <c r="H4" i="3"/>
  <c r="J4" i="3" s="1"/>
  <c r="H15" i="3"/>
  <c r="J15" i="3" s="1"/>
  <c r="H109" i="1"/>
  <c r="J109" i="1" s="1"/>
  <c r="H139" i="1"/>
  <c r="J139" i="1" s="1"/>
  <c r="H155" i="1"/>
  <c r="J155" i="1" s="1"/>
  <c r="H172" i="1"/>
  <c r="J172" i="1" s="1"/>
  <c r="H191" i="1"/>
  <c r="J191" i="1" s="1"/>
  <c r="H258" i="1"/>
  <c r="J258" i="1" s="1"/>
  <c r="H266" i="1"/>
  <c r="J266" i="1" s="1"/>
  <c r="H280" i="1"/>
  <c r="J280" i="1" s="1"/>
  <c r="H286" i="1"/>
  <c r="J286" i="1" s="1"/>
  <c r="H295" i="1"/>
  <c r="J295" i="1" s="1"/>
  <c r="H298" i="1"/>
  <c r="J298" i="1" s="1"/>
  <c r="H316" i="1"/>
  <c r="J316" i="1" s="1"/>
  <c r="H330" i="1"/>
  <c r="J330" i="1" s="1"/>
  <c r="H332" i="1"/>
  <c r="J332" i="1" s="1"/>
  <c r="H343" i="1"/>
  <c r="J343" i="1" s="1"/>
  <c r="H409" i="1"/>
  <c r="J409" i="1" s="1"/>
  <c r="H416" i="1"/>
  <c r="J416" i="1" s="1"/>
  <c r="H421" i="1"/>
  <c r="J421" i="1" s="1"/>
  <c r="H439" i="1"/>
  <c r="J439" i="1" s="1"/>
  <c r="H19" i="1"/>
  <c r="J19" i="1" s="1"/>
  <c r="H26" i="1"/>
  <c r="J26" i="1" s="1"/>
  <c r="H29" i="1"/>
  <c r="J29" i="1" s="1"/>
  <c r="H68" i="1"/>
  <c r="J68" i="1" s="1"/>
  <c r="H84" i="1"/>
  <c r="J84" i="1" s="1"/>
  <c r="H112" i="1"/>
  <c r="J112" i="1" s="1"/>
  <c r="H156" i="1"/>
  <c r="J156" i="1" s="1"/>
  <c r="H170" i="1"/>
  <c r="J170" i="1" s="1"/>
  <c r="H175" i="1"/>
  <c r="J175" i="1" s="1"/>
  <c r="H235" i="1"/>
  <c r="J235" i="1" s="1"/>
  <c r="H246" i="1"/>
  <c r="J246" i="1" s="1"/>
  <c r="H275" i="1"/>
  <c r="J275" i="1" s="1"/>
  <c r="H287" i="1"/>
  <c r="J287" i="1" s="1"/>
  <c r="H389" i="1"/>
  <c r="J389" i="1" s="1"/>
  <c r="H13" i="3"/>
  <c r="J13" i="3" s="1"/>
  <c r="H48" i="1"/>
  <c r="J48" i="1" s="1"/>
  <c r="H56" i="1"/>
  <c r="J56" i="1" s="1"/>
  <c r="H231" i="1"/>
  <c r="J231" i="1" s="1"/>
  <c r="H291" i="1"/>
  <c r="J291" i="1" s="1"/>
  <c r="H299" i="1"/>
  <c r="J299" i="1" s="1"/>
  <c r="H30" i="1"/>
  <c r="J30" i="1" s="1"/>
  <c r="H51" i="1"/>
  <c r="J51" i="1" s="1"/>
  <c r="H151" i="1"/>
  <c r="J151" i="1" s="1"/>
  <c r="H165" i="1"/>
  <c r="J165" i="1" s="1"/>
  <c r="H198" i="1"/>
  <c r="J198" i="1" s="1"/>
  <c r="H225" i="1"/>
  <c r="J225" i="1" s="1"/>
  <c r="H244" i="1"/>
  <c r="J244" i="1" s="1"/>
  <c r="H324" i="1"/>
  <c r="J324" i="1" s="1"/>
  <c r="H336" i="1"/>
  <c r="J336" i="1" s="1"/>
  <c r="H339" i="1"/>
  <c r="J339" i="1" s="1"/>
  <c r="H352" i="1"/>
  <c r="J352" i="1" s="1"/>
  <c r="H357" i="1"/>
  <c r="J357" i="1" s="1"/>
  <c r="H410" i="1"/>
  <c r="J410" i="1" s="1"/>
  <c r="H425" i="1"/>
  <c r="J425" i="1" s="1"/>
  <c r="H379" i="1"/>
  <c r="J379" i="1" s="1"/>
  <c r="H384" i="1"/>
  <c r="J384" i="1" s="1"/>
  <c r="H395" i="1"/>
  <c r="J395" i="1" s="1"/>
  <c r="H444" i="1"/>
  <c r="J444" i="1" s="1"/>
  <c r="H455" i="1"/>
  <c r="J455" i="1" s="1"/>
  <c r="H11" i="3"/>
  <c r="J11" i="3" s="1"/>
  <c r="H14" i="1"/>
  <c r="J14" i="1" s="1"/>
  <c r="H96" i="1"/>
  <c r="J96" i="1" s="1"/>
  <c r="H99" i="1"/>
  <c r="J99" i="1" s="1"/>
  <c r="H102" i="1"/>
  <c r="J102" i="1" s="1"/>
  <c r="H105" i="1"/>
  <c r="J105" i="1" s="1"/>
  <c r="H187" i="1"/>
  <c r="J187" i="1" s="1"/>
  <c r="H190" i="1"/>
  <c r="J190" i="1" s="1"/>
  <c r="H193" i="1"/>
  <c r="J193" i="1" s="1"/>
  <c r="H196" i="1"/>
  <c r="J196" i="1" s="1"/>
  <c r="H210" i="1"/>
  <c r="J210" i="1" s="1"/>
  <c r="H229" i="1"/>
  <c r="J229" i="1" s="1"/>
  <c r="H239" i="1"/>
  <c r="J239" i="1" s="1"/>
  <c r="H255" i="1"/>
  <c r="J255" i="1" s="1"/>
  <c r="H265" i="1"/>
  <c r="J265" i="1" s="1"/>
  <c r="H268" i="1"/>
  <c r="J268" i="1" s="1"/>
  <c r="H294" i="1"/>
  <c r="J294" i="1" s="1"/>
  <c r="H302" i="1"/>
  <c r="J302" i="1" s="1"/>
  <c r="H393" i="1"/>
  <c r="J393" i="1" s="1"/>
  <c r="H126" i="1"/>
  <c r="J126" i="1" s="1"/>
  <c r="H17" i="1"/>
  <c r="J17" i="1" s="1"/>
  <c r="H37" i="1"/>
  <c r="J37" i="1" s="1"/>
  <c r="H50" i="1"/>
  <c r="J50" i="1" s="1"/>
  <c r="H75" i="1"/>
  <c r="J75" i="1" s="1"/>
  <c r="H138" i="1"/>
  <c r="J138" i="1" s="1"/>
  <c r="H160" i="1"/>
  <c r="J160" i="1" s="1"/>
  <c r="H185" i="1"/>
  <c r="J185" i="1" s="1"/>
  <c r="H315" i="1"/>
  <c r="J315" i="1" s="1"/>
  <c r="H321" i="1"/>
  <c r="J321" i="1" s="1"/>
  <c r="H106" i="1"/>
  <c r="J106" i="1" s="1"/>
  <c r="H10" i="1"/>
  <c r="J10" i="1" s="1"/>
  <c r="H25" i="1"/>
  <c r="J25" i="1" s="1"/>
  <c r="H32" i="1"/>
  <c r="J32" i="1" s="1"/>
  <c r="H34" i="1"/>
  <c r="J34" i="1" s="1"/>
  <c r="H54" i="1"/>
  <c r="J54" i="1" s="1"/>
  <c r="H69" i="1"/>
  <c r="J69" i="1" s="1"/>
  <c r="H166" i="1"/>
  <c r="J166" i="1" s="1"/>
  <c r="H206" i="1"/>
  <c r="J206" i="1" s="1"/>
  <c r="H208" i="1"/>
  <c r="J208" i="1" s="1"/>
  <c r="H217" i="1"/>
  <c r="J217" i="1" s="1"/>
  <c r="H273" i="1"/>
  <c r="J273" i="1" s="1"/>
  <c r="H387" i="1"/>
  <c r="J387" i="1" s="1"/>
  <c r="H417" i="1"/>
  <c r="J417" i="1" s="1"/>
  <c r="H36" i="1"/>
  <c r="J36" i="1" s="1"/>
  <c r="H40" i="1"/>
  <c r="J40" i="1" s="1"/>
  <c r="H89" i="1"/>
  <c r="J89" i="1" s="1"/>
  <c r="H13" i="1"/>
  <c r="J13" i="1" s="1"/>
  <c r="H20" i="1"/>
  <c r="J20" i="1" s="1"/>
  <c r="H67" i="1"/>
  <c r="J67" i="1" s="1"/>
  <c r="H72" i="1"/>
  <c r="J72" i="1" s="1"/>
  <c r="H78" i="1"/>
  <c r="J78" i="1" s="1"/>
  <c r="H142" i="1"/>
  <c r="J142" i="1" s="1"/>
  <c r="H144" i="1"/>
  <c r="J144" i="1" s="1"/>
  <c r="H152" i="1"/>
  <c r="J152" i="1" s="1"/>
  <c r="H199" i="1"/>
  <c r="J199" i="1" s="1"/>
  <c r="H221" i="1"/>
  <c r="J221" i="1" s="1"/>
  <c r="H223" i="1"/>
  <c r="J223" i="1" s="1"/>
  <c r="H228" i="1"/>
  <c r="J228" i="1" s="1"/>
  <c r="H236" i="1"/>
  <c r="J236" i="1" s="1"/>
  <c r="H271" i="1"/>
  <c r="J271" i="1" s="1"/>
  <c r="H326" i="1"/>
  <c r="J326" i="1" s="1"/>
  <c r="H328" i="1"/>
  <c r="J328" i="1" s="1"/>
  <c r="H351" i="1"/>
  <c r="J351" i="1" s="1"/>
  <c r="H403" i="1"/>
  <c r="J403" i="1" s="1"/>
  <c r="H110" i="1"/>
  <c r="J110" i="1" s="1"/>
  <c r="H6" i="1"/>
  <c r="J6" i="1" s="1"/>
  <c r="H24" i="1"/>
  <c r="J24" i="1" s="1"/>
  <c r="H28" i="1"/>
  <c r="J28" i="1" s="1"/>
  <c r="H81" i="1"/>
  <c r="J81" i="1" s="1"/>
  <c r="H104" i="1"/>
  <c r="J104" i="1" s="1"/>
  <c r="H125" i="1"/>
  <c r="J125" i="1" s="1"/>
  <c r="H127" i="1"/>
  <c r="J127" i="1" s="1"/>
  <c r="H159" i="1"/>
  <c r="J159" i="1" s="1"/>
  <c r="H184" i="1"/>
  <c r="J184" i="1" s="1"/>
  <c r="H195" i="1"/>
  <c r="J195" i="1" s="1"/>
  <c r="H296" i="1"/>
  <c r="J296" i="1" s="1"/>
  <c r="H309" i="1"/>
  <c r="J309" i="1" s="1"/>
  <c r="H342" i="1"/>
  <c r="J342" i="1" s="1"/>
  <c r="H362" i="1"/>
  <c r="J362" i="1" s="1"/>
  <c r="H367" i="1"/>
  <c r="J367" i="1" s="1"/>
  <c r="H411" i="1"/>
  <c r="J411" i="1" s="1"/>
  <c r="H11" i="1"/>
  <c r="J11" i="1" s="1"/>
  <c r="H45" i="1"/>
  <c r="J45" i="1" s="1"/>
  <c r="H64" i="1"/>
  <c r="J64" i="1" s="1"/>
  <c r="H66" i="1"/>
  <c r="J66" i="1" s="1"/>
  <c r="H86" i="1"/>
  <c r="J86" i="1" s="1"/>
  <c r="H145" i="1"/>
  <c r="J145" i="1" s="1"/>
  <c r="H374" i="1"/>
  <c r="J374" i="1" s="1"/>
  <c r="H376" i="1"/>
  <c r="J376" i="1" s="1"/>
  <c r="H116" i="1"/>
  <c r="J116" i="1" s="1"/>
  <c r="H134" i="1"/>
  <c r="J134" i="1" s="1"/>
  <c r="H303" i="1"/>
  <c r="J303" i="1" s="1"/>
  <c r="H345" i="1"/>
  <c r="J345" i="1" s="1"/>
  <c r="H347" i="1"/>
  <c r="J347" i="1" s="1"/>
  <c r="H396" i="1"/>
  <c r="J396" i="1" s="1"/>
  <c r="H424" i="1"/>
  <c r="J424" i="1" s="1"/>
  <c r="H242" i="1"/>
  <c r="J242" i="1" s="1"/>
  <c r="H250" i="1"/>
  <c r="J250" i="1" s="1"/>
  <c r="H252" i="1"/>
  <c r="J252" i="1" s="1"/>
  <c r="H260" i="1"/>
  <c r="J260" i="1" s="1"/>
  <c r="H264" i="1"/>
  <c r="J264" i="1" s="1"/>
  <c r="H274" i="1"/>
  <c r="J274" i="1" s="1"/>
  <c r="H292" i="1"/>
  <c r="J292" i="1" s="1"/>
  <c r="H323" i="1"/>
  <c r="J323" i="1" s="1"/>
  <c r="H358" i="1"/>
  <c r="J358" i="1" s="1"/>
  <c r="H391" i="1"/>
  <c r="J391" i="1" s="1"/>
  <c r="H397" i="1"/>
  <c r="J397" i="1" s="1"/>
  <c r="H419" i="1"/>
  <c r="J419" i="1" s="1"/>
  <c r="H429" i="1"/>
  <c r="J429" i="1" s="1"/>
  <c r="H431" i="1"/>
  <c r="J431" i="1" s="1"/>
  <c r="H454" i="1"/>
  <c r="J454" i="1" s="1"/>
  <c r="H248" i="1"/>
  <c r="J248" i="1" s="1"/>
  <c r="H272" i="1"/>
  <c r="J272" i="1" s="1"/>
  <c r="H284" i="1"/>
  <c r="J284" i="1" s="1"/>
  <c r="H300" i="1"/>
  <c r="J300" i="1" s="1"/>
  <c r="H337" i="1"/>
  <c r="J337" i="1" s="1"/>
  <c r="H369" i="1"/>
  <c r="J369" i="1" s="1"/>
  <c r="H378" i="1"/>
  <c r="J378" i="1" s="1"/>
  <c r="H399" i="1"/>
  <c r="J399" i="1" s="1"/>
  <c r="H401" i="1"/>
  <c r="J401" i="1" s="1"/>
  <c r="H434" i="1"/>
  <c r="J434" i="1" s="1"/>
  <c r="H436" i="1"/>
  <c r="J436" i="1" s="1"/>
  <c r="H445" i="1"/>
  <c r="J445" i="1" s="1"/>
  <c r="H344" i="1"/>
  <c r="J344" i="1" s="1"/>
  <c r="H350" i="1"/>
  <c r="J350" i="1" s="1"/>
  <c r="H353" i="1"/>
  <c r="J353" i="1" s="1"/>
  <c r="H383" i="1"/>
  <c r="J383" i="1" s="1"/>
  <c r="H432" i="1"/>
  <c r="J432" i="1" s="1"/>
  <c r="H6" i="3"/>
  <c r="J6" i="3" s="1"/>
  <c r="H16" i="3"/>
  <c r="J16" i="3" s="1"/>
  <c r="H297" i="1"/>
  <c r="J297" i="1" s="1"/>
  <c r="H341" i="1"/>
  <c r="J341" i="1" s="1"/>
  <c r="H359" i="1"/>
  <c r="J359" i="1" s="1"/>
  <c r="H370" i="1"/>
  <c r="J370" i="1" s="1"/>
  <c r="H412" i="1"/>
  <c r="J412" i="1" s="1"/>
  <c r="H414" i="1"/>
  <c r="J414" i="1" s="1"/>
  <c r="H435" i="1"/>
  <c r="J435" i="1" s="1"/>
  <c r="H448" i="1"/>
  <c r="J448" i="1" s="1"/>
  <c r="H14" i="3"/>
  <c r="J14" i="3" s="1"/>
  <c r="H181" i="1"/>
  <c r="J181" i="1" s="1"/>
  <c r="H183" i="1"/>
  <c r="J183" i="1" s="1"/>
  <c r="H232" i="1"/>
  <c r="J232" i="1" s="1"/>
  <c r="H243" i="1"/>
  <c r="J243" i="1" s="1"/>
  <c r="H279" i="1"/>
  <c r="J279" i="1" s="1"/>
  <c r="H283" i="1"/>
  <c r="J283" i="1" s="1"/>
  <c r="H334" i="1"/>
  <c r="J334" i="1" s="1"/>
  <c r="H368" i="1"/>
  <c r="J368" i="1" s="1"/>
  <c r="H375" i="1"/>
  <c r="J375" i="1" s="1"/>
  <c r="H392" i="1"/>
  <c r="J392" i="1" s="1"/>
  <c r="H437" i="1"/>
  <c r="J437" i="1" s="1"/>
  <c r="H2" i="3"/>
  <c r="J2" i="3" s="1"/>
  <c r="H17" i="3"/>
  <c r="J17" i="3" s="1"/>
  <c r="H446" i="1"/>
  <c r="J446" i="1" s="1"/>
  <c r="H458" i="1"/>
  <c r="J458" i="1" s="1"/>
  <c r="H413" i="1"/>
  <c r="J413" i="1" s="1"/>
  <c r="H415" i="1"/>
  <c r="J415" i="1" s="1"/>
  <c r="H438" i="1"/>
  <c r="J438" i="1" s="1"/>
  <c r="H5" i="3"/>
  <c r="J5" i="3" s="1"/>
  <c r="H140" i="1"/>
  <c r="J140" i="1" s="1"/>
  <c r="H91" i="1"/>
  <c r="J91" i="1" s="1"/>
  <c r="H107" i="1"/>
  <c r="J107" i="1" s="1"/>
  <c r="H60" i="1"/>
  <c r="J60" i="1" s="1"/>
  <c r="H148" i="1"/>
  <c r="J148" i="1" s="1"/>
  <c r="H39" i="1"/>
  <c r="J39" i="1" s="1"/>
  <c r="H27" i="1"/>
  <c r="J27" i="1" s="1"/>
  <c r="H85" i="1"/>
  <c r="J85" i="1" s="1"/>
  <c r="H129" i="1"/>
  <c r="J129" i="1" s="1"/>
  <c r="H71" i="1"/>
  <c r="J71" i="1" s="1"/>
  <c r="H74" i="1"/>
  <c r="J74" i="1" s="1"/>
  <c r="H80" i="1"/>
  <c r="J80" i="1" s="1"/>
  <c r="H95" i="1"/>
  <c r="J95" i="1" s="1"/>
  <c r="H114" i="1"/>
  <c r="J114" i="1" s="1"/>
  <c r="H141" i="1"/>
  <c r="J141" i="1" s="1"/>
  <c r="H59" i="1"/>
  <c r="J59" i="1" s="1"/>
  <c r="H103" i="1"/>
  <c r="J103" i="1" s="1"/>
  <c r="H12" i="1"/>
  <c r="J12" i="1" s="1"/>
  <c r="H33" i="1"/>
  <c r="J33" i="1" s="1"/>
  <c r="H70" i="1"/>
  <c r="J70" i="1" s="1"/>
  <c r="H44" i="1"/>
  <c r="J44" i="1" s="1"/>
  <c r="H113" i="1"/>
  <c r="J113" i="1" s="1"/>
  <c r="H219" i="1"/>
  <c r="J219" i="1" s="1"/>
  <c r="H131" i="1"/>
  <c r="J131" i="1" s="1"/>
  <c r="H220" i="1"/>
  <c r="J220" i="1" s="1"/>
  <c r="H149" i="1"/>
  <c r="J149" i="1" s="1"/>
  <c r="H230" i="1"/>
  <c r="J230" i="1" s="1"/>
  <c r="H233" i="1"/>
  <c r="J233" i="1" s="1"/>
  <c r="H237" i="1"/>
  <c r="J237" i="1" s="1"/>
  <c r="H311" i="1"/>
  <c r="J311" i="1" s="1"/>
  <c r="H301" i="1"/>
  <c r="J301" i="1" s="1"/>
  <c r="H313" i="1"/>
  <c r="J313" i="1" s="1"/>
  <c r="H224" i="1"/>
  <c r="J224" i="1" s="1"/>
  <c r="H310" i="1"/>
  <c r="J310" i="1" s="1"/>
  <c r="H288" i="1"/>
  <c r="J288" i="1" s="1"/>
  <c r="H304" i="1"/>
  <c r="J304" i="1" s="1"/>
  <c r="H307" i="1"/>
  <c r="J307" i="1" s="1"/>
  <c r="H381" i="1"/>
  <c r="J381" i="1" s="1"/>
  <c r="H388" i="1"/>
  <c r="J388" i="1" s="1"/>
  <c r="H394" i="1"/>
  <c r="J394" i="1" s="1"/>
  <c r="H290" i="1"/>
  <c r="J290" i="1" s="1"/>
  <c r="H407" i="1"/>
  <c r="J407" i="1" s="1"/>
  <c r="H312" i="1"/>
  <c r="J312" i="1" s="1"/>
  <c r="H427" i="1"/>
  <c r="J427" i="1" s="1"/>
  <c r="H433" i="1"/>
  <c r="J433" i="1" s="1"/>
  <c r="H406" i="1"/>
  <c r="J406" i="1" s="1"/>
  <c r="H430" i="1"/>
  <c r="J430" i="1" s="1"/>
  <c r="H443" i="1"/>
  <c r="J443" i="1" s="1"/>
  <c r="H440" i="1"/>
  <c r="J440" i="1" s="1"/>
  <c r="H408" i="1"/>
  <c r="J408" i="1" s="1"/>
  <c r="H422" i="1"/>
  <c r="J422" i="1" s="1"/>
  <c r="H9" i="3"/>
  <c r="J9" i="3" s="1"/>
  <c r="H453" i="1"/>
  <c r="J453" i="1" s="1"/>
</calcChain>
</file>

<file path=xl/sharedStrings.xml><?xml version="1.0" encoding="utf-8"?>
<sst xmlns="http://schemas.openxmlformats.org/spreadsheetml/2006/main" count="4600" uniqueCount="1867">
  <si>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</si>
  <si>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</si>
  <si>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</si>
  <si>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</si>
  <si>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</si>
  <si>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</si>
  <si>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</si>
  <si>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</si>
  <si>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</si>
  <si>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</si>
  <si>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</si>
  <si>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</si>
  <si>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</si>
  <si>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</si>
  <si>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</si>
  <si>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</si>
  <si>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</si>
  <si>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</si>
  <si>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</si>
  <si>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</si>
  <si>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</si>
  <si>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</si>
  <si>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</si>
  <si>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</si>
  <si>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</si>
  <si>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</si>
  <si>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</si>
  <si>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</si>
  <si>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</si>
  <si>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</si>
  <si>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</si>
  <si>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</si>
  <si>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</si>
  <si>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</si>
  <si>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</si>
  <si>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</si>
  <si>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</si>
  <si>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</si>
  <si>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</si>
  <si>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</si>
  <si>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</si>
  <si>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</si>
  <si>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</si>
  <si>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</si>
  <si>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</si>
  <si>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</si>
  <si>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</si>
  <si>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</si>
  <si>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</si>
  <si>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</si>
  <si>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</si>
  <si>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</si>
  <si>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</si>
  <si>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</si>
  <si>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</si>
  <si>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</si>
  <si>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</si>
  <si>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</si>
  <si>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</si>
  <si>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</si>
  <si>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</si>
  <si>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</si>
  <si>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</si>
  <si>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</si>
  <si>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</si>
  <si>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</si>
  <si>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</si>
  <si>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</si>
  <si>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</si>
  <si>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</si>
  <si>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</si>
  <si>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</si>
  <si>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</si>
  <si>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</si>
  <si>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</si>
  <si>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</si>
  <si>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</si>
  <si>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</si>
  <si>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</si>
  <si>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</si>
  <si>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</si>
  <si>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</si>
  <si>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</si>
  <si>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</si>
  <si>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</si>
  <si>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</si>
  <si>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</si>
  <si>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</si>
  <si>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</si>
  <si>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</si>
  <si>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</si>
  <si>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</si>
  <si>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</si>
  <si>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</si>
  <si>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</si>
  <si>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</si>
  <si>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</si>
  <si>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</si>
  <si>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</si>
  <si>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</si>
  <si>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</si>
  <si>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</si>
  <si>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</si>
  <si>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</si>
  <si>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</si>
  <si>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</si>
  <si>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</si>
  <si>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</si>
  <si>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</si>
  <si>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</si>
  <si>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</si>
  <si>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</si>
  <si>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</si>
  <si>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</si>
  <si>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</si>
  <si>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</si>
  <si>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</si>
  <si>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</si>
  <si>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</si>
  <si>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</si>
  <si>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</si>
  <si>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</si>
  <si>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</si>
  <si>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</si>
  <si>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</si>
  <si>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</si>
  <si>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</si>
  <si>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</si>
  <si>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</si>
  <si>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</si>
  <si>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</si>
  <si>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</si>
  <si>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</si>
  <si>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</si>
  <si>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</si>
  <si>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</si>
  <si>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</si>
  <si>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</si>
  <si>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</si>
  <si>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</si>
  <si>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</si>
  <si>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</si>
  <si>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</si>
  <si>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</si>
  <si>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</si>
  <si>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</si>
  <si>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</si>
  <si>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</si>
  <si>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</si>
  <si>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</si>
  <si>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</si>
  <si>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</si>
  <si>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</si>
  <si>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</si>
  <si>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</si>
  <si>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</si>
  <si>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</si>
  <si>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</si>
  <si>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</si>
  <si>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</si>
  <si>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</si>
  <si>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</si>
  <si>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</si>
  <si>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</si>
  <si>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</si>
  <si>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</si>
  <si>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</si>
  <si>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</si>
  <si>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</si>
  <si>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</si>
  <si>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</si>
  <si>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</si>
  <si>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</si>
  <si>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</si>
  <si>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</si>
  <si>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</si>
  <si>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</si>
  <si>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</si>
  <si>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</si>
  <si>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</si>
  <si>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</si>
  <si>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</si>
  <si>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</si>
  <si>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</si>
  <si>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</si>
  <si>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</si>
  <si>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</si>
  <si>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</si>
  <si>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</si>
  <si>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</si>
  <si>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</si>
  <si>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</si>
  <si>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</si>
  <si>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</si>
  <si>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</si>
  <si>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</si>
  <si>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</si>
  <si>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</si>
  <si>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</si>
  <si>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</si>
  <si>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</si>
  <si>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</si>
  <si>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</si>
  <si>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</si>
  <si>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</si>
  <si>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</si>
  <si>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</si>
  <si>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</si>
  <si>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</si>
  <si>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</si>
  <si>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</si>
  <si>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</si>
  <si>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</si>
  <si>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</si>
  <si>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</si>
  <si>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</si>
  <si>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</si>
  <si>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</si>
  <si>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</si>
  <si>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</si>
  <si>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</si>
  <si>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</si>
  <si>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</si>
  <si>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</si>
  <si>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</si>
  <si>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</si>
  <si>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</si>
  <si>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</si>
  <si>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</si>
  <si>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</si>
  <si>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</si>
  <si>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</si>
  <si>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</si>
  <si>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</si>
  <si>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</si>
  <si>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</si>
  <si>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</si>
  <si>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</si>
  <si>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</si>
  <si>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</si>
  <si>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</si>
  <si>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</si>
  <si>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</si>
  <si>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</si>
  <si>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</si>
  <si>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</si>
  <si>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</si>
  <si>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</si>
  <si>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</si>
  <si>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</si>
  <si>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</si>
  <si>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</si>
  <si>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</si>
  <si>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</si>
  <si>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</si>
  <si>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</si>
  <si>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</si>
  <si>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</si>
  <si>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</si>
  <si>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</si>
  <si>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</si>
  <si>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</si>
  <si>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</si>
  <si>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</si>
  <si>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</si>
  <si>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</si>
  <si>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</si>
  <si>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</si>
  <si>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</si>
  <si>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</si>
  <si>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</si>
  <si>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</si>
  <si>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</si>
  <si>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</si>
  <si>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</si>
  <si>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</si>
  <si>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</si>
  <si>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</si>
  <si>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</si>
  <si>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</si>
  <si>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</si>
  <si>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</si>
  <si>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</si>
  <si>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</si>
  <si>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</si>
  <si>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</si>
  <si>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</si>
  <si>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</si>
  <si>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</si>
  <si>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</si>
  <si>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</si>
  <si>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</si>
  <si>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</si>
  <si>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</si>
  <si>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</si>
  <si>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</si>
  <si>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</si>
  <si>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</si>
  <si>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</si>
  <si>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</si>
  <si>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</si>
  <si>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</si>
  <si>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</si>
  <si>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</si>
  <si>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</si>
  <si>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</si>
  <si>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</si>
  <si>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</si>
  <si>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</si>
  <si>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</si>
  <si>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</si>
  <si>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</si>
  <si>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</si>
  <si>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</si>
  <si>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</si>
  <si>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</si>
  <si>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</si>
  <si>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</si>
  <si>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</si>
  <si>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</si>
  <si>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</si>
  <si>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</si>
  <si>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</si>
  <si>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</si>
  <si>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</si>
  <si>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</si>
  <si>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</si>
  <si>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</si>
  <si>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</si>
  <si>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</si>
  <si>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</si>
  <si>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</si>
  <si>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</si>
  <si>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</si>
  <si>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</si>
  <si>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</si>
  <si>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</si>
  <si>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</si>
  <si>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</si>
  <si>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</si>
  <si>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</si>
  <si>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</si>
  <si>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</si>
  <si>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</si>
  <si>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</si>
  <si>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</si>
  <si>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</si>
  <si>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</si>
  <si>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</si>
  <si>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</si>
  <si>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</si>
  <si>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</si>
  <si>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</si>
  <si>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</si>
  <si>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</si>
  <si>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</si>
  <si>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</si>
  <si>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</si>
  <si>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</si>
  <si>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</si>
  <si>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</si>
  <si>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</si>
  <si>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</si>
  <si>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</si>
  <si>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</si>
  <si>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</si>
  <si>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</si>
  <si>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</si>
  <si>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</si>
  <si>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</si>
  <si>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</si>
  <si>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</si>
  <si>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</si>
  <si>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</si>
  <si>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</si>
  <si>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</si>
  <si>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</si>
  <si>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</si>
  <si>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</si>
  <si>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</si>
  <si>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</si>
  <si>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</si>
  <si>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</si>
  <si>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</si>
  <si>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</si>
  <si>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</si>
  <si>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</si>
  <si>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</si>
  <si>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</si>
  <si>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</si>
  <si>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</si>
  <si>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</si>
  <si>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</si>
  <si>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</si>
  <si>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</si>
  <si>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</si>
  <si>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</si>
  <si>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</si>
  <si>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</si>
  <si>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</si>
  <si>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</si>
  <si>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</si>
  <si>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</si>
  <si>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</si>
  <si>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</si>
  <si>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</si>
  <si>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</si>
  <si>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</si>
  <si>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</si>
  <si>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</si>
  <si>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</si>
  <si>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</si>
  <si>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</si>
  <si>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</si>
  <si>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</si>
  <si>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</si>
  <si>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</si>
  <si>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</si>
  <si>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</si>
  <si>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</si>
  <si>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</si>
  <si>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</si>
  <si>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</si>
  <si>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</si>
  <si>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</si>
  <si>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</si>
  <si>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</si>
  <si>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</si>
  <si>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</si>
  <si>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</si>
  <si>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</si>
  <si>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</si>
  <si>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</si>
  <si>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</si>
  <si>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</si>
  <si>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</si>
  <si>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</si>
  <si>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</si>
  <si>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</si>
  <si>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</si>
  <si>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</si>
  <si>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</si>
  <si>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</si>
  <si>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</si>
  <si>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</si>
  <si>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</si>
  <si>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</si>
  <si>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</si>
  <si>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</si>
  <si>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</si>
  <si>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</si>
  <si>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</si>
  <si>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</si>
  <si>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</si>
  <si>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</si>
  <si>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</si>
  <si>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</si>
  <si>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</si>
  <si>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</si>
  <si>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</si>
  <si>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</si>
  <si>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</si>
  <si>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</si>
  <si>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</si>
  <si>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</si>
  <si>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</si>
  <si>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</si>
  <si>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</si>
  <si>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</si>
  <si>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</si>
  <si>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</si>
  <si>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</si>
  <si>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</si>
  <si>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</si>
  <si>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</si>
  <si>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</si>
  <si>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</si>
  <si>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</si>
  <si>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</si>
  <si>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</si>
  <si>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</si>
  <si>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</si>
  <si>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</si>
  <si>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</si>
  <si>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</si>
  <si>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</si>
  <si>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</si>
  <si>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</si>
  <si>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</si>
  <si>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</si>
  <si>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</si>
  <si>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</si>
  <si>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</si>
  <si>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</si>
  <si>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</si>
  <si>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</si>
  <si>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</si>
  <si>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</si>
  <si>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</si>
  <si>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</si>
  <si>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</si>
  <si>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</si>
  <si>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</si>
  <si>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</si>
  <si>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</si>
  <si>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</si>
  <si>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</si>
  <si>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</si>
  <si>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</si>
  <si>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</si>
  <si>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</si>
  <si>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</si>
  <si>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</si>
  <si>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</si>
  <si>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</si>
  <si>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</si>
  <si>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</si>
  <si>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</si>
  <si>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</si>
  <si>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</si>
  <si>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</si>
  <si>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</si>
  <si>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</si>
  <si>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</si>
  <si>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</si>
  <si>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</si>
  <si>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</si>
  <si>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</si>
  <si>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</si>
  <si>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</si>
  <si>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</si>
  <si>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</si>
  <si>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</si>
  <si>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</si>
  <si>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</si>
  <si>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</si>
  <si>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</si>
  <si>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</si>
  <si>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</si>
  <si>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</si>
  <si>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</si>
  <si>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</si>
  <si>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</si>
  <si>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</si>
  <si>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</si>
  <si>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</si>
  <si>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</si>
  <si>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</si>
  <si>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</si>
  <si>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</si>
  <si>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</si>
  <si>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</si>
  <si>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</si>
  <si>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</si>
  <si>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</si>
  <si>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</si>
  <si>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</si>
  <si>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</si>
  <si>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</si>
  <si>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</si>
  <si>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</si>
  <si>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</si>
  <si>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</si>
  <si>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</si>
  <si>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</si>
  <si>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</si>
  <si>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</si>
  <si>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</si>
  <si>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</si>
  <si>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</si>
  <si>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</si>
  <si>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</si>
  <si>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</si>
  <si>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</si>
  <si>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</si>
  <si>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</si>
  <si>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</si>
  <si>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</si>
  <si>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</si>
  <si>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</si>
  <si>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</si>
  <si>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</si>
  <si>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</si>
  <si>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</si>
  <si>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</si>
  <si>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</si>
  <si>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</si>
  <si>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</si>
  <si>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</si>
  <si>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</si>
  <si>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</si>
  <si>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</si>
  <si>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</si>
  <si>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</si>
  <si>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</si>
  <si>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</si>
  <si>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</si>
  <si>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</si>
  <si>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</si>
  <si>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</si>
  <si>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</si>
  <si>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</si>
  <si>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</si>
  <si>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</si>
  <si>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</si>
  <si>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</si>
  <si>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</si>
  <si>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</si>
  <si>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</si>
  <si>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</si>
  <si>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</si>
  <si>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</si>
  <si>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</si>
  <si>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</si>
  <si>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</si>
  <si>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</si>
  <si>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</si>
  <si>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</si>
  <si>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</si>
  <si>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</si>
  <si>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</si>
  <si>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</si>
  <si>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</si>
  <si>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</si>
  <si>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</si>
  <si>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</si>
  <si>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</si>
  <si>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</si>
  <si>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</si>
  <si>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</si>
  <si>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</si>
  <si>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</si>
  <si>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</si>
  <si>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</si>
  <si>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</si>
  <si>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</si>
  <si>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</si>
  <si>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</si>
  <si>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</si>
  <si>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</si>
  <si>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</si>
  <si>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</si>
  <si>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</si>
  <si>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</si>
  <si>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</si>
  <si>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</si>
  <si>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</si>
  <si>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</si>
  <si>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</si>
  <si>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</si>
  <si>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</si>
  <si>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</si>
  <si>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</si>
  <si>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</si>
  <si>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</si>
  <si>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</si>
  <si>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</si>
  <si>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</si>
  <si>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</si>
  <si>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</si>
  <si>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</si>
  <si>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</si>
  <si>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</si>
  <si>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</si>
  <si>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</si>
  <si>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</si>
  <si>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</si>
  <si>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</si>
  <si>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</si>
  <si>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</si>
  <si>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</si>
  <si>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</si>
  <si>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</si>
  <si>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</si>
  <si>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</si>
  <si>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</si>
  <si>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</si>
  <si>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</si>
  <si>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</si>
  <si>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</si>
  <si>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</si>
  <si>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</si>
  <si>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</si>
  <si>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</si>
  <si>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</si>
  <si>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</si>
  <si>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</si>
  <si>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</si>
  <si>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</si>
  <si>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</si>
  <si>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</si>
  <si>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</si>
  <si>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</si>
  <si>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</si>
  <si>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</si>
  <si>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</si>
  <si>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</si>
  <si>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</si>
  <si>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</si>
  <si>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</si>
  <si>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</si>
  <si>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</si>
  <si>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</si>
  <si>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</si>
  <si>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</si>
  <si>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</si>
  <si>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</si>
  <si>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</si>
  <si>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</si>
  <si>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</si>
  <si>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</si>
  <si>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</si>
  <si>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</si>
  <si>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</si>
  <si>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</si>
  <si>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</si>
  <si>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</si>
  <si>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</si>
  <si>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</si>
  <si>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</si>
  <si>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</si>
  <si>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</si>
  <si>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</si>
  <si>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</si>
  <si>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</si>
  <si>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</si>
  <si>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</si>
  <si>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</si>
  <si>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</si>
  <si>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</si>
  <si>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</si>
  <si>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</si>
  <si>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</si>
  <si>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</si>
  <si>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</si>
  <si>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</si>
  <si>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</si>
  <si>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</si>
  <si>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</si>
  <si>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</si>
  <si>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</si>
  <si>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</si>
  <si>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</si>
  <si>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</si>
  <si>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</si>
  <si>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</si>
  <si>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</si>
  <si>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</si>
  <si>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</si>
  <si>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</si>
  <si>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</si>
  <si>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</si>
  <si>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</si>
  <si>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</si>
  <si>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</si>
  <si>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</si>
  <si>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</si>
  <si>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</si>
  <si>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</si>
  <si>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</si>
  <si>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</si>
  <si>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</si>
  <si>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</si>
  <si>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</si>
  <si>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</si>
  <si>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</si>
  <si>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</si>
  <si>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</si>
  <si>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</si>
  <si>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</si>
  <si>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</si>
  <si>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</si>
  <si>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</si>
  <si>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</si>
  <si>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</si>
  <si>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</si>
  <si>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</si>
  <si>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</si>
  <si>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</si>
  <si>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</si>
  <si>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</si>
  <si>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</si>
  <si>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</si>
  <si>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</si>
  <si>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</si>
  <si>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</si>
  <si>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</si>
  <si>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</si>
  <si>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</si>
  <si>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</si>
  <si>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</si>
  <si>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</si>
  <si>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</si>
  <si>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</si>
  <si>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</si>
  <si>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</si>
  <si>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</si>
  <si>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</si>
  <si>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</si>
  <si>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</si>
  <si>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</si>
  <si>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</si>
  <si>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</si>
  <si>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</si>
  <si>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</si>
  <si>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</si>
  <si>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</si>
  <si>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</si>
  <si>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</si>
  <si>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</si>
  <si>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</si>
  <si>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</si>
  <si>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</si>
  <si>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</si>
  <si>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</si>
  <si>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</si>
  <si>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</si>
  <si>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</si>
  <si>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</si>
  <si>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</si>
  <si>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</si>
  <si>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</si>
  <si>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</si>
  <si>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</si>
  <si>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</si>
  <si>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</si>
  <si>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</si>
  <si>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</si>
  <si>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</si>
  <si>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</si>
  <si>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</si>
  <si>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</si>
  <si>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</si>
  <si>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</si>
  <si>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</si>
  <si>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</si>
  <si>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</si>
  <si>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</si>
  <si>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</si>
  <si>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</si>
  <si>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</si>
  <si>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</si>
  <si>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</si>
  <si>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</si>
  <si>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</si>
  <si>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</si>
  <si>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</si>
  <si>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</si>
  <si>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</si>
  <si>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</si>
  <si>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</si>
  <si>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</si>
  <si>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</si>
  <si>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</si>
  <si>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</si>
  <si>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</si>
  <si>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</si>
  <si>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</si>
  <si>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</si>
  <si>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</si>
  <si>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</si>
  <si>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</si>
  <si>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</si>
  <si>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</si>
  <si>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</si>
  <si>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</si>
  <si>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</si>
  <si>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</si>
  <si>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</si>
  <si>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</si>
  <si>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</si>
  <si>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</si>
  <si>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</si>
  <si>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</si>
  <si>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</si>
  <si>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</si>
  <si>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</si>
  <si>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</si>
  <si>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</si>
  <si>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</si>
  <si>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</si>
  <si>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</si>
  <si>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</si>
  <si>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</si>
  <si>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</si>
  <si>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</si>
  <si>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</si>
  <si>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</si>
  <si>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</si>
  <si>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</si>
  <si>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</si>
  <si>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</si>
  <si>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</si>
  <si>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</si>
  <si>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</si>
  <si>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</si>
  <si>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</si>
  <si>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</si>
  <si>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</si>
  <si>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</si>
  <si>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</si>
  <si>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</si>
  <si>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</si>
  <si>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</si>
  <si>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</si>
  <si>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</si>
  <si>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</si>
  <si>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</si>
  <si>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</si>
  <si>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</si>
  <si>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</si>
  <si>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</si>
  <si>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</si>
  <si>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</si>
  <si>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</si>
  <si>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</si>
  <si>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</si>
  <si>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</si>
  <si>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</si>
  <si>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</si>
  <si>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</si>
  <si>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</si>
  <si>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</si>
  <si>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</si>
  <si>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</si>
  <si>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</si>
  <si>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</si>
  <si>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</si>
  <si>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</si>
  <si>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</si>
  <si>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</si>
  <si>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</si>
  <si>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</si>
  <si>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</si>
  <si>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</si>
  <si>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</si>
  <si>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</si>
  <si>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</si>
  <si>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</si>
  <si>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</si>
  <si>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</si>
  <si>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</si>
  <si>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</si>
  <si>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</si>
  <si>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</si>
  <si>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</si>
  <si>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</si>
  <si>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</si>
  <si>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</si>
  <si>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</si>
  <si>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</si>
  <si>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</si>
  <si>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</si>
  <si>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</si>
  <si>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</si>
  <si>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</si>
  <si>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</si>
  <si>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</si>
  <si>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</si>
  <si>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</si>
  <si>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</si>
  <si>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</si>
  <si>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</si>
  <si>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</si>
  <si>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</si>
  <si>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</si>
  <si>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</si>
  <si>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</si>
  <si>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</si>
  <si>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</si>
  <si>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</si>
  <si>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</si>
  <si>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</si>
  <si>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</si>
  <si>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</si>
  <si>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</si>
  <si>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</si>
  <si>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</si>
  <si>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</si>
  <si>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</si>
  <si>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</si>
  <si>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</si>
  <si>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</si>
  <si>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</si>
  <si>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</si>
  <si>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</si>
  <si>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</si>
  <si>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</si>
  <si>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</si>
  <si>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</si>
  <si>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</si>
  <si>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</si>
  <si>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</si>
  <si>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</si>
  <si>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</si>
  <si>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</si>
  <si>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</si>
  <si>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</si>
  <si>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</si>
  <si>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</si>
  <si>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</si>
  <si>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</si>
  <si>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</si>
  <si>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</si>
  <si>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</si>
  <si>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</si>
  <si>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</si>
  <si>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</si>
  <si>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</si>
  <si>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</si>
  <si>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</si>
  <si>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</si>
  <si>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</si>
  <si>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</si>
  <si>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</si>
  <si>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</si>
  <si>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</si>
  <si>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</si>
  <si>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</si>
  <si>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</si>
  <si>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</si>
  <si>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</si>
  <si>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</si>
  <si>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</si>
  <si>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</si>
  <si>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</si>
  <si>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</si>
  <si>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</si>
  <si>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</si>
  <si>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</si>
  <si>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</si>
  <si>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</si>
  <si>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</si>
  <si>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</si>
  <si>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</si>
  <si>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</si>
  <si>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</si>
  <si>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</si>
  <si>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</si>
  <si>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</si>
  <si>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</si>
  <si>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</si>
  <si>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</si>
  <si>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</si>
  <si>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</si>
  <si>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</si>
  <si>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</si>
  <si>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</si>
  <si>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</si>
  <si>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</si>
  <si>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</si>
  <si>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</si>
  <si>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</si>
  <si>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</si>
  <si>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</si>
  <si>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</si>
  <si>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</si>
  <si>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</si>
  <si>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</si>
  <si>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</si>
  <si>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</si>
  <si>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</si>
  <si>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</si>
  <si>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</si>
  <si>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</si>
  <si>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</si>
  <si>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</si>
  <si>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</si>
  <si>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</si>
  <si>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</si>
  <si>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</si>
  <si>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</si>
  <si>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</si>
  <si>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</si>
  <si>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</si>
  <si>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</si>
  <si>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</si>
  <si>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</si>
  <si>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</si>
  <si>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</si>
  <si>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</si>
  <si>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</si>
  <si>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</si>
  <si>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</si>
  <si>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</si>
  <si>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</si>
  <si>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</si>
  <si>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</si>
  <si>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</si>
  <si>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</si>
  <si>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</si>
  <si>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</si>
  <si>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</si>
  <si>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</si>
  <si>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</si>
  <si>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</si>
  <si>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</si>
  <si>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</si>
  <si>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</si>
  <si>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</si>
  <si>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</si>
  <si>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</si>
  <si>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</si>
  <si>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</si>
  <si>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</si>
  <si>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</si>
  <si>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</si>
  <si>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</si>
  <si>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</si>
  <si>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</si>
  <si>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</si>
  <si>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</si>
  <si>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</si>
  <si>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</si>
  <si>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</si>
  <si>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</si>
  <si>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</si>
  <si>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</si>
  <si>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</si>
  <si>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</si>
  <si>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</si>
  <si>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</si>
  <si>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</si>
  <si>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</si>
  <si>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</si>
  <si>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</si>
  <si>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</si>
  <si>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</si>
  <si>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</si>
  <si>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</si>
  <si>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</si>
  <si>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</si>
  <si>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</si>
  <si>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</si>
  <si>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</si>
  <si>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</si>
  <si>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</si>
  <si>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</si>
  <si>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</si>
  <si>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</si>
  <si>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</si>
  <si>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</si>
  <si>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</si>
  <si>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</si>
  <si>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</si>
  <si>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</si>
  <si>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</si>
  <si>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</si>
  <si>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</si>
  <si>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</si>
  <si>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</si>
  <si>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</si>
  <si>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</si>
  <si>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</si>
  <si>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</si>
  <si>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</si>
  <si>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</si>
  <si>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</si>
  <si>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</si>
  <si>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</si>
  <si>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</si>
  <si>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</si>
  <si>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</si>
  <si>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</si>
  <si>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</si>
  <si>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</si>
  <si>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</si>
  <si>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</si>
  <si>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</si>
  <si>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</si>
  <si>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</si>
  <si>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</si>
  <si>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</si>
  <si>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</si>
  <si>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</si>
  <si>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</si>
  <si>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</si>
  <si>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</si>
  <si>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</si>
  <si>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</si>
  <si>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</si>
  <si>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</si>
  <si>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</si>
  <si>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</si>
  <si>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</si>
  <si>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</si>
  <si>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</si>
  <si>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</si>
  <si>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</si>
  <si>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</si>
  <si>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</si>
  <si>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</si>
  <si>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</si>
  <si>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</si>
  <si>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</si>
  <si>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</si>
  <si>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</si>
  <si>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</si>
  <si>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</si>
  <si>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</si>
  <si>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</si>
  <si>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</si>
  <si>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</si>
  <si>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</si>
  <si>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</si>
  <si>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</si>
  <si>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</si>
  <si>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</si>
  <si>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</si>
  <si>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</si>
  <si>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</si>
  <si>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</si>
  <si>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</si>
  <si>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</si>
  <si>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</si>
  <si>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</si>
  <si>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</si>
  <si>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</si>
  <si>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</si>
  <si>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</si>
  <si>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</si>
  <si>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</si>
  <si>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</si>
  <si>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</si>
  <si>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</si>
  <si>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</si>
  <si>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</si>
  <si>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</si>
  <si>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</si>
  <si>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</si>
  <si>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</si>
  <si>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</si>
  <si>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</si>
  <si>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</si>
  <si>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</si>
  <si>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</si>
  <si>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</si>
  <si>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</si>
  <si>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</si>
  <si>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</si>
  <si>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</si>
  <si>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</si>
  <si>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</si>
  <si>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</si>
  <si>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</si>
  <si>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</si>
  <si>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</si>
  <si>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</si>
  <si>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</si>
  <si>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</si>
  <si>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</si>
  <si>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</si>
  <si>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</si>
  <si>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</si>
  <si>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</si>
  <si>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</si>
  <si>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</si>
  <si>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</si>
  <si>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</si>
  <si>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</si>
  <si>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</si>
  <si>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</si>
  <si>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</si>
  <si>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</si>
  <si>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</si>
  <si>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</si>
  <si>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</si>
  <si>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</si>
  <si>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</si>
  <si>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</si>
  <si>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</si>
  <si>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</si>
  <si>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</si>
  <si>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</si>
  <si>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</si>
  <si>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</si>
  <si>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</si>
  <si>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</si>
  <si>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</si>
  <si>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</si>
  <si>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</si>
  <si>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</si>
  <si>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</si>
  <si>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</si>
  <si>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</si>
  <si>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</si>
  <si>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</si>
  <si>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</si>
  <si>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</si>
  <si>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</si>
  <si>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</si>
  <si>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</si>
  <si>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</si>
  <si>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</si>
  <si>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</si>
  <si>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</si>
  <si>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</si>
  <si>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</si>
  <si>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</si>
  <si>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</si>
  <si>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</si>
  <si>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</si>
  <si>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</si>
  <si>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</si>
  <si>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</si>
  <si>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</si>
  <si>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</si>
  <si>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</si>
  <si>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</si>
  <si>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</si>
  <si>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</si>
  <si>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</si>
  <si>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</si>
  <si>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</si>
  <si>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</si>
  <si>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</si>
  <si>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</si>
  <si>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</si>
  <si>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</si>
  <si>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</si>
  <si>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</si>
  <si>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</si>
  <si>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</si>
  <si>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</si>
  <si>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</si>
  <si>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</si>
  <si>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</si>
  <si>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</si>
  <si>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</si>
  <si>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</si>
  <si>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</si>
  <si>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</si>
  <si>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</si>
  <si>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</si>
  <si>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</si>
  <si>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</si>
  <si>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</si>
  <si>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</si>
  <si>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</si>
  <si>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</si>
  <si>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</si>
  <si>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</si>
  <si>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</si>
  <si>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</si>
  <si>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</si>
  <si>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</si>
  <si>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</si>
  <si>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</si>
  <si>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</si>
  <si>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</si>
  <si>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</si>
  <si>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</si>
  <si>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</si>
  <si>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</si>
  <si>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</si>
  <si>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</si>
  <si>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</si>
  <si>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</si>
  <si>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</si>
  <si>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</si>
  <si>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</si>
  <si>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</si>
  <si>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</si>
  <si>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</si>
  <si>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</si>
  <si>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</si>
  <si>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</si>
  <si>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</si>
  <si>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</si>
  <si>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</si>
  <si>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</si>
  <si>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</si>
  <si>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</si>
  <si>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</si>
  <si>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</si>
  <si>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</si>
  <si>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</si>
  <si>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</si>
  <si>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</si>
  <si>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</si>
  <si>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</si>
  <si>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</si>
  <si>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</si>
  <si>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</si>
  <si>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</si>
  <si>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</si>
  <si>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</si>
  <si>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</si>
  <si>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</si>
  <si>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</si>
  <si>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</si>
  <si>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</si>
  <si>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</si>
  <si>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</si>
  <si>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</si>
  <si>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</si>
  <si>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</si>
  <si>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</si>
  <si>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</si>
  <si>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</si>
  <si>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</si>
  <si>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</si>
  <si>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</si>
  <si>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</si>
  <si>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</si>
  <si>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</si>
  <si>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</si>
  <si>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</si>
  <si>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</si>
  <si>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</si>
  <si>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</si>
  <si>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</si>
  <si>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</si>
  <si>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</si>
  <si>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</si>
  <si>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</si>
  <si>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</si>
  <si>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</si>
  <si>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</si>
  <si>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</si>
  <si>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</si>
  <si>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</si>
  <si>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</si>
  <si>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</si>
  <si>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</si>
  <si>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</si>
  <si>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</si>
  <si>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</si>
  <si>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</si>
  <si>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</si>
  <si>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</si>
  <si>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</si>
  <si>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</si>
  <si>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</si>
  <si>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</si>
  <si>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</si>
  <si>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</si>
  <si>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</si>
  <si>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</si>
  <si>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</si>
  <si>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</si>
  <si>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</si>
  <si>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</si>
  <si>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</si>
  <si>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</si>
  <si>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</si>
  <si>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</si>
  <si>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</si>
  <si>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</si>
  <si>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</si>
  <si>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</si>
  <si>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</si>
  <si>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</si>
  <si>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</si>
  <si>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</si>
  <si>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</si>
  <si>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</si>
  <si>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</si>
  <si>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</si>
  <si>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</si>
  <si>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</si>
  <si>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</si>
  <si>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</si>
  <si>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</si>
  <si>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</si>
  <si>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</si>
  <si>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</si>
  <si>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</si>
  <si>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</si>
  <si>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</si>
  <si>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</si>
  <si>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</si>
  <si>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</si>
  <si>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</si>
  <si>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</si>
  <si>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</si>
  <si>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</si>
  <si>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</si>
  <si>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</si>
  <si>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</si>
  <si>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</si>
  <si>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</si>
  <si>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</si>
  <si>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</si>
  <si>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</si>
  <si>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</si>
  <si>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</si>
  <si>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</si>
  <si>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</si>
  <si>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</si>
  <si>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</si>
  <si>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</si>
  <si>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</si>
  <si>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</si>
  <si>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</si>
  <si>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</si>
  <si>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</si>
  <si>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</si>
  <si>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</si>
  <si>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</si>
  <si>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</si>
  <si>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</si>
  <si>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</si>
  <si>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</si>
  <si>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</si>
  <si>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</si>
  <si>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</si>
  <si>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</si>
  <si>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</si>
  <si>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</si>
  <si>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</si>
  <si>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</si>
  <si>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10.1002%2Far.a.20116_Table1.tsv</t>
  </si>
  <si>
    <t>10.1002%2Fcne.22055_Table1.tsv</t>
  </si>
  <si>
    <t>10.1002%2Fcne.22055_Table5.tsv</t>
  </si>
  <si>
    <t>10.1002%2Fcne.22055_Table6.tsv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</si>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</sst>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Arial"/>
      <family val="2"/>
    </font>
    <font>
      <sz val="11"/>
      <color rgb="FF3F3F76"/>
      <name val="Calibri"/>
      <family val="2"/>
    </font>
    <font>
      <b/>
      <sz val="11"/>
      <color rgb="FF3F3F3F"/>
      <name val="Calibri"/>
      <family val="2"/>
    </font>
    <font>
      <sz val="12"/>
      <color rgb="FF000000"/>
      <name val="Aptos Narrow"/>
    </font>
    <font>
      <sz val="12"/>
      <color rgb="FF3F3F76"/>
      <name val="Calibri"/>
      <family val="2"/>
    </font>
    <font>
      <b/>
      <sz val="12"/>
      <color rgb="FF3F3F3F"/>
      <name val="Calibri"/>
      <family val="2"/>
    </font>
    <font>
      <sz val="10"/>
      <color rgb="FF000000"/>
      <name val="Arial"/>
      <family val="2"/>
    </font>
    <font>
      <sz val="8"/>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1">
    <xf numFmtId="0" fontId="0" fillId="0" borderId="0"/>
  </cellStyleXfs>
  <cellXfs count="19">
    <xf numFmtId="0" fontId="0" fillId="0" borderId="0" xfId="0"/>
    <xf numFmtId="0" fontId="1" fillId="2" borderId="1" xfId="0" applyFont="1" applyFill="1" applyBorder="1" applyProtection="1">
      <protection locked="0"/>
    </xf>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Protection="1">
      <protection locked="0"/>
    </xf>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1" fillId="2" borderId="1" xfId="0" applyFont="1" applyFill="1" applyBorder="1" applyAlignment="1" applyProtection="1">
      <alignment vertical="top"/>
      <protection locked="0"/>
    </xf>
    <xf numFmtId="0" fontId="2" fillId="3" borderId="2" xfId="0" applyFont="1" applyFill="1" applyBorder="1"/>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6" fillId="0" borderId="2" xfId="0" applyFont="1" applyBorder="1"/>
    <xf numFmtId="0" fontId="4" fillId="2" borderId="1" xfId="0" applyFont="1" applyFill="1" applyBorder="1" applyProtection="1">
      <protection locked="0"/>
    </xf>
    <xf numFmtId="0" fontId="4" fillId="2" borderId="1" xfId="0" applyFont="1" applyFill="1" applyBorder="1" applyAlignment="1" applyProtection="1">
      <alignment vertical="top"/>
      <protection locked="0"/>
    </xf>
    <xf numFmtId="0" fontId="1" fillId="2" borderId="0"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61"/>
  <sheetViews>
    <sheetView tabSelected="1" zoomScaleNormal="100" workbookViewId="0">
      <pane ySplit="1" topLeftCell="A41" activePane="bottomLeft" state="frozen"/>
      <selection pane="bottomLeft" activeCell="D66" sqref="D66"/>
    </sheetView>
  </sheetViews>
  <sheetFormatPr baseColWidth="10" defaultRowHeight="13" x14ac:dyDescent="0.15"/>
  <cols>
    <col min="1" max="1" width="61.6640625" customWidth="1"/>
    <col min="2" max="2" width="3.5" customWidth="1"/>
    <col min="3" max="3" width="43.6640625" customWidth="1"/>
    <col min="4" max="4" width="30.1640625" customWidth="1"/>
    <col min="5" max="5" width="12.33203125" customWidth="1"/>
    <col min="6" max="6" width="13" customWidth="1"/>
    <col min="7" max="7" width="17.1640625" customWidth="1"/>
    <col min="8" max="8" width="15.6640625" customWidth="1"/>
    <col min="9" max="9" width="15.33203125" customWidth="1"/>
    <col min="10" max="10" width="35.5" customWidth="1"/>
    <col min="11" max="11" width="55.164062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3" t="s">
        <v>4</v>
      </c>
      <c r="F1" s="3" t="s">
        <v>5</v>
      </c>
      <c r="G1" s="3" t="s">
        <v>6</v>
      </c>
      <c r="H1" s="3" t="s">
        <v>7</v>
      </c>
      <c r="I1" s="3" t="s">
        <v>8</v>
      </c>
      <c r="J1" s="3" t="s">
        <v>9</v>
      </c>
      <c r="K1" s="3" t="s">
        <v>10</v>
      </c>
      <c r="L1" s="3" t="s">
        <v>1842</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8" t="s">
        <v>32</v>
      </c>
    </row>
    <row r="2" spans="1:33" ht="17" customHeight="1" x14ac:dyDescent="0.2">
      <c r="A2" s="1" t="s">
        <v>33</v>
      </c>
      <c r="D2" s="1" t="s">
        <v>34</v>
      </c>
      <c r="E2" s="3" t="str">
        <f t="shared" ref="E2:E71" si="0">SUBSTITUTE(SUBSTITUTE(_xlfn.TEXTBEFORE(A2,","), "-", ""), " ", "")</f>
        <v>Andelin</v>
      </c>
      <c r="F2" s="3"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3" t="str">
        <f t="shared" ref="G2:G71" si="1">_xlfn.TEXTBEFORE(_xlfn.TEXTAFTER(A2, "("), ")")</f>
        <v>2019</v>
      </c>
      <c r="H2" s="3" t="str">
        <f t="shared" ref="H2:H71" si="2">E2 &amp; IF(F2&lt;&gt;"", "_" &amp; F2, "_") &amp; IF(G2&lt;&gt;"", "_" &amp; G2, "_") &amp; IF(B2&lt;&gt;"", "_" &amp; B2, "")</f>
        <v>Andelin_etal_2019</v>
      </c>
      <c r="I2" s="3" t="str">
        <f>_xlfn.LET(
_xlpm.doi,IF(C2&lt;&gt;"",C2,_xlfn.TEXTAFTER(A2,"https://doi.org/")),
SUBSTITUTE(
SUBSTITUTE(
SUBSTITUTE(
SUBSTITUTE(
_xlpm.doi,
"/","%2F"),
":","%3A"),
"&lt;","%3C"),
"&gt;","%3E")
)</f>
        <v>10.1093%2Fcercor%2Fbhy315</v>
      </c>
      <c r="J2" s="3" t="str">
        <f t="shared" ref="J2:J71" si="3">TRIM(_xlfn.TEXTJOIN("_",FALSE(),H2,(SUBSTITUTE(SUBSTITUTE(D2," ",""), "_", ""))))</f>
        <v>Andelin_etal_2019_Table4</v>
      </c>
      <c r="K2" s="3" t="str">
        <f t="shared" ref="K2:K34" si="4">I2 &amp; "_" &amp; SUBSTITUTE(SUBSTITUTE(SUBSTITUTE(D2,CHAR(160),"")," ",""),"_","")</f>
        <v>10.1093%2Fcercor%2Fbhy315_Table4</v>
      </c>
      <c r="L2" s="3"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 customHeight="1" x14ac:dyDescent="0.2">
      <c r="A3" s="8" t="s">
        <v>37</v>
      </c>
      <c r="D3" s="8" t="s">
        <v>38</v>
      </c>
      <c r="E3" s="10" t="str">
        <f t="shared" si="0"/>
        <v>Armstrong</v>
      </c>
      <c r="F3" s="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3" t="str">
        <f t="shared" si="1"/>
        <v>1979</v>
      </c>
      <c r="H3" s="10" t="str">
        <f t="shared" si="2"/>
        <v>Armstrong__1979</v>
      </c>
      <c r="I3" s="10" t="str">
        <f>_xlfn.LET(_xlpm.doi,IF(C3&lt;&gt;"",C3,_xlfn.TEXTAFTER(A3,"https://doi.org/")),SUBSTITUTE(SUBSTITUTE(SUBSTITUTE(SUBSTITUTE(_xlpm.doi,"/","%2F"),":","%3A"),"&lt;","%3C"),"&gt;","%3E"))</f>
        <v>10.1002%2Fajpa.1330510308</v>
      </c>
      <c r="J3" s="10" t="str">
        <f t="shared" si="3"/>
        <v>Armstrong__1979_Tables1-9</v>
      </c>
      <c r="K3" s="3" t="str">
        <f t="shared" si="4"/>
        <v>10.1002%2Fajpa.1330510308_Tables1-9</v>
      </c>
      <c r="L3" s="3" t="str">
        <f t="array" ref="L3">IFERROR(INDEX(AUTO_Public_TSV_FileList!$A$1:$A$1000,MATCH(TRUE(),EXACT(K3,IFERROR(_xlfn.TEXTBEFORE(AUTO_Public_TSV_FileList!$A$1:$A$1000,".tsv"),"")),0)),"notfound")</f>
        <v>10.1002%2Fajpa.1330510308_Tables1-9.tsv</v>
      </c>
      <c r="M3" s="8" t="s">
        <v>39</v>
      </c>
      <c r="N3" s="8" t="s">
        <v>40</v>
      </c>
      <c r="O3" s="8" t="s">
        <v>41</v>
      </c>
      <c r="P3" s="1" t="s">
        <v>36</v>
      </c>
      <c r="R3" s="8" t="s">
        <v>42</v>
      </c>
      <c r="T3" s="8" t="s">
        <v>43</v>
      </c>
      <c r="V3" s="8" t="s">
        <v>44</v>
      </c>
      <c r="W3" s="8" t="s">
        <v>45</v>
      </c>
      <c r="X3" s="8" t="s">
        <v>46</v>
      </c>
      <c r="Y3" s="8" t="s">
        <v>47</v>
      </c>
      <c r="AA3" s="8" t="s">
        <v>48</v>
      </c>
      <c r="AB3" s="8" t="s">
        <v>49</v>
      </c>
      <c r="AC3" s="8" t="s">
        <v>50</v>
      </c>
      <c r="AE3" s="8" t="s">
        <v>51</v>
      </c>
      <c r="AG3" s="8" t="s">
        <v>52</v>
      </c>
    </row>
    <row r="4" spans="1:33" ht="17" customHeight="1" x14ac:dyDescent="0.2">
      <c r="A4" s="1" t="s">
        <v>53</v>
      </c>
      <c r="D4" s="1" t="s">
        <v>54</v>
      </c>
      <c r="E4" s="3" t="str">
        <f t="shared" si="0"/>
        <v>Ashwell</v>
      </c>
      <c r="F4" s="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3" t="str">
        <f t="shared" si="1"/>
        <v>2020</v>
      </c>
      <c r="H4" s="3" t="str">
        <f t="shared" si="2"/>
        <v>Ashwell__2020</v>
      </c>
      <c r="I4" s="3" t="str">
        <f t="shared" ref="I4:I36" si="5">_xlfn.LET(
_xlpm.doi,IF(C4&lt;&gt;"",C4,_xlfn.TEXTAFTER(A4,"https://doi.org/")),
SUBSTITUTE(
SUBSTITUTE(
SUBSTITUTE(
SUBSTITUTE(
_xlpm.doi,
"/","%2F"),
":","%3A"),
"&lt;","%3C"),
"&gt;","%3E")
)</f>
        <v>10.1016%2Fj.zool.2020.125753</v>
      </c>
      <c r="J4" s="3" t="str">
        <f t="shared" si="3"/>
        <v>Ashwell__2020_SupplementaryTable</v>
      </c>
      <c r="K4" s="3" t="str">
        <f t="shared" si="4"/>
        <v>10.1016%2Fj.zool.2020.125753_SupplementaryTable</v>
      </c>
      <c r="L4" s="3" t="str">
        <f t="array" ref="L4">IFERROR(INDEX(AUTO_Public_TSV_FileList!$A$1:$A$1000,MATCH(TRUE(),EXACT(K4,IFERROR(_xlfn.TEXTBEFORE(AUTO_Public_TSV_FileList!$A$1:$A$1000,".tsv"),"")),0)),"notfound")</f>
        <v>10.1016%2Fj.zool.2020.125753_SupplementaryTable.tsv</v>
      </c>
      <c r="M4" s="1" t="s">
        <v>55</v>
      </c>
      <c r="P4" s="1" t="s">
        <v>36</v>
      </c>
      <c r="AC4" s="1" t="s">
        <v>56</v>
      </c>
    </row>
    <row r="5" spans="1:33" ht="17" customHeight="1" x14ac:dyDescent="0.2">
      <c r="A5" s="1" t="s">
        <v>57</v>
      </c>
      <c r="D5" s="1" t="s">
        <v>58</v>
      </c>
      <c r="E5" s="3" t="str">
        <f t="shared" si="0"/>
        <v>AvelinodeSouza</v>
      </c>
      <c r="F5" s="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3" t="str">
        <f t="shared" si="1"/>
        <v>2025</v>
      </c>
      <c r="H5" s="3" t="str">
        <f t="shared" si="2"/>
        <v>AvelinodeSouza_etal_2025</v>
      </c>
      <c r="I5" s="3" t="str">
        <f t="shared" si="5"/>
        <v>10.1002%2Fcne.70089</v>
      </c>
      <c r="J5" s="3" t="str">
        <f t="shared" si="3"/>
        <v>AvelinodeSouza_etal_2025_TABLE1</v>
      </c>
      <c r="K5" s="3" t="str">
        <f t="shared" si="4"/>
        <v>10.1002%2Fcne.70089_TABLE1</v>
      </c>
      <c r="L5" s="3" t="str">
        <f t="array" ref="L5">IFERROR(INDEX(AUTO_Public_TSV_FileList!$A$1:$A$1000,MATCH(TRUE(),EXACT(K5,IFERROR(_xlfn.TEXTBEFORE(AUTO_Public_TSV_FileList!$A$1:$A$1000,".tsv"),"")),0)),"notfound")</f>
        <v>10.1002%2Fcne.70089_TABLE1.tsv</v>
      </c>
      <c r="M5" s="1" t="s">
        <v>59</v>
      </c>
      <c r="N5" s="1" t="s">
        <v>35</v>
      </c>
      <c r="P5" s="1" t="s">
        <v>36</v>
      </c>
      <c r="Q5" s="1"/>
      <c r="R5" s="1" t="s">
        <v>60</v>
      </c>
      <c r="V5" s="1"/>
      <c r="W5" s="8" t="s">
        <v>61</v>
      </c>
      <c r="X5" s="1" t="s">
        <v>62</v>
      </c>
      <c r="AA5" s="1" t="s">
        <v>63</v>
      </c>
      <c r="AB5" s="1" t="s">
        <v>64</v>
      </c>
      <c r="AC5" s="1" t="s">
        <v>65</v>
      </c>
      <c r="AE5" s="1" t="s">
        <v>66</v>
      </c>
      <c r="AF5" s="1"/>
    </row>
    <row r="6" spans="1:33" ht="17" customHeight="1" x14ac:dyDescent="0.2">
      <c r="A6" s="1" t="s">
        <v>67</v>
      </c>
      <c r="D6" s="1" t="s">
        <v>68</v>
      </c>
      <c r="E6" s="3" t="str">
        <f t="shared" si="0"/>
        <v>Baker</v>
      </c>
      <c r="F6" s="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3" t="str">
        <f t="shared" si="1"/>
        <v>2025</v>
      </c>
      <c r="H6" s="3" t="str">
        <f t="shared" si="2"/>
        <v>Baker_etal_2025</v>
      </c>
      <c r="I6" s="3" t="str">
        <f t="shared" si="5"/>
        <v>10.1038%2Fs42003-025-08686-5</v>
      </c>
      <c r="J6" s="3" t="str">
        <f t="shared" si="3"/>
        <v>Baker_etal_2025_SupplementaryData1</v>
      </c>
      <c r="K6" s="3" t="str">
        <f t="shared" si="4"/>
        <v>10.1038%2Fs42003-025-08686-5_SupplementaryData1</v>
      </c>
      <c r="L6" s="3"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 customHeight="1" x14ac:dyDescent="0.2">
      <c r="A7" s="8" t="s">
        <v>69</v>
      </c>
      <c r="D7" s="1" t="s">
        <v>70</v>
      </c>
      <c r="E7" s="3" t="str">
        <f t="shared" si="0"/>
        <v>Balzeau</v>
      </c>
      <c r="F7" s="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3" t="str">
        <f t="shared" si="1"/>
        <v>2012</v>
      </c>
      <c r="H7" s="3" t="str">
        <f t="shared" si="2"/>
        <v>Balzeau_etal_2012</v>
      </c>
      <c r="I7" s="3" t="str">
        <f t="shared" si="5"/>
        <v>10.1016%2Fj.jhevol.2012.03.007</v>
      </c>
      <c r="J7" s="3" t="str">
        <f t="shared" si="3"/>
        <v>Balzeau_etal_2012_Table2</v>
      </c>
      <c r="K7" s="3" t="str">
        <f t="shared" si="4"/>
        <v>10.1016%2Fj.jhevol.2012.03.007_Table2</v>
      </c>
      <c r="L7" s="3" t="str">
        <f t="array" ref="L7">IFERROR(INDEX(AUTO_Public_TSV_FileList!$A$1:$A$1000,MATCH(TRUE(),EXACT(K7,IFERROR(_xlfn.TEXTBEFORE(AUTO_Public_TSV_FileList!$A$1:$A$1000,".tsv"),"")),0)),"notfound")</f>
        <v>10.1016%2Fj.jhevol.2012.03.007_Table2.tsv</v>
      </c>
      <c r="M7" s="1" t="s">
        <v>71</v>
      </c>
      <c r="P7" s="1" t="s">
        <v>36</v>
      </c>
    </row>
    <row r="8" spans="1:33" ht="17" customHeight="1" x14ac:dyDescent="0.2">
      <c r="A8" s="8" t="s">
        <v>69</v>
      </c>
      <c r="D8" s="1" t="s">
        <v>72</v>
      </c>
      <c r="E8" s="3" t="str">
        <f t="shared" si="0"/>
        <v>Balzeau</v>
      </c>
      <c r="F8" s="3"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3" t="str">
        <f t="shared" si="1"/>
        <v>2012</v>
      </c>
      <c r="H8" s="3" t="str">
        <f t="shared" si="2"/>
        <v>Balzeau_etal_2012</v>
      </c>
      <c r="I8" s="3" t="str">
        <f t="shared" si="5"/>
        <v>10.1016%2Fj.jhevol.2012.03.007</v>
      </c>
      <c r="J8" s="3" t="str">
        <f t="shared" si="3"/>
        <v>Balzeau_etal_2012_Table3</v>
      </c>
      <c r="K8" s="3" t="str">
        <f t="shared" si="4"/>
        <v>10.1016%2Fj.jhevol.2012.03.007_Table3</v>
      </c>
      <c r="L8" s="3" t="str">
        <f t="array" ref="L8">IFERROR(INDEX(AUTO_Public_TSV_FileList!$A$1:$A$1000,MATCH(TRUE(),EXACT(K8,IFERROR(_xlfn.TEXTBEFORE(AUTO_Public_TSV_FileList!$A$1:$A$1000,".tsv"),"")),0)),"notfound")</f>
        <v>10.1016%2Fj.jhevol.2012.03.007_Table3.tsv</v>
      </c>
      <c r="M8" s="1" t="s">
        <v>73</v>
      </c>
      <c r="P8" s="1" t="s">
        <v>36</v>
      </c>
    </row>
    <row r="9" spans="1:33" ht="17" customHeight="1" x14ac:dyDescent="0.2">
      <c r="A9" s="8" t="s">
        <v>69</v>
      </c>
      <c r="D9" s="1" t="s">
        <v>74</v>
      </c>
      <c r="E9" s="3" t="str">
        <f t="shared" si="0"/>
        <v>Balzeau</v>
      </c>
      <c r="F9" s="3"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3" t="str">
        <f t="shared" si="1"/>
        <v>2012</v>
      </c>
      <c r="H9" s="3" t="str">
        <f t="shared" si="2"/>
        <v>Balzeau_etal_2012</v>
      </c>
      <c r="I9" s="3" t="str">
        <f t="shared" si="5"/>
        <v>10.1016%2Fj.jhevol.2012.03.007</v>
      </c>
      <c r="J9" s="3" t="str">
        <f t="shared" si="3"/>
        <v>Balzeau_etal_2012_Table5</v>
      </c>
      <c r="K9" s="3" t="str">
        <f t="shared" si="4"/>
        <v>10.1016%2Fj.jhevol.2012.03.007_Table5</v>
      </c>
      <c r="L9" s="3" t="str">
        <f t="array" ref="L9">IFERROR(INDEX(AUTO_Public_TSV_FileList!$A$1:$A$1000,MATCH(TRUE(),EXACT(K9,IFERROR(_xlfn.TEXTBEFORE(AUTO_Public_TSV_FileList!$A$1:$A$1000,".tsv"),"")),0)),"notfound")</f>
        <v>10.1016%2Fj.jhevol.2012.03.007_Table5.tsv</v>
      </c>
      <c r="M9" s="1" t="s">
        <v>75</v>
      </c>
      <c r="P9" s="1" t="s">
        <v>36</v>
      </c>
    </row>
    <row r="10" spans="1:33" ht="17" customHeight="1" x14ac:dyDescent="0.2">
      <c r="A10" s="8" t="s">
        <v>76</v>
      </c>
      <c r="D10" s="1" t="s">
        <v>77</v>
      </c>
      <c r="E10" s="3" t="str">
        <f t="shared" si="0"/>
        <v>BarbeitoAndrés</v>
      </c>
      <c r="F10" s="3"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3" t="str">
        <f t="shared" si="1"/>
        <v>2019</v>
      </c>
      <c r="H10" s="3" t="str">
        <f t="shared" si="2"/>
        <v>BarbeitoAndrés_etal_2019</v>
      </c>
      <c r="I10" s="3" t="str">
        <f t="shared" si="5"/>
        <v>10.1242%2Fjeb.204651</v>
      </c>
      <c r="J10" s="3" t="str">
        <f t="shared" si="3"/>
        <v>BarbeitoAndrés_etal_2019_celldensity</v>
      </c>
      <c r="K10" s="3" t="str">
        <f t="shared" si="4"/>
        <v>10.1242%2Fjeb.204651_celldensity</v>
      </c>
      <c r="L10" s="3"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 customHeight="1" x14ac:dyDescent="0.2">
      <c r="A11" s="8" t="s">
        <v>76</v>
      </c>
      <c r="D11" s="1" t="s">
        <v>78</v>
      </c>
      <c r="E11" s="3" t="str">
        <f t="shared" si="0"/>
        <v>BarbeitoAndrés</v>
      </c>
      <c r="F11" s="3"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3" t="str">
        <f t="shared" si="1"/>
        <v>2019</v>
      </c>
      <c r="H11" s="3" t="str">
        <f t="shared" si="2"/>
        <v>BarbeitoAndrés_etal_2019</v>
      </c>
      <c r="I11" s="3" t="str">
        <f t="shared" si="5"/>
        <v>10.1242%2Fjeb.204651</v>
      </c>
      <c r="J11" s="3" t="str">
        <f t="shared" si="3"/>
        <v>BarbeitoAndrés_etal_2019_cellnumber</v>
      </c>
      <c r="K11" s="3" t="str">
        <f t="shared" si="4"/>
        <v>10.1242%2Fjeb.204651_cellnumber</v>
      </c>
      <c r="L11" s="3"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 customHeight="1" x14ac:dyDescent="0.2">
      <c r="A12" s="8" t="s">
        <v>76</v>
      </c>
      <c r="D12" s="1" t="s">
        <v>79</v>
      </c>
      <c r="E12" s="3" t="str">
        <f t="shared" si="0"/>
        <v>BarbeitoAndrés</v>
      </c>
      <c r="F12" s="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3" t="str">
        <f t="shared" si="1"/>
        <v>2019</v>
      </c>
      <c r="H12" s="3" t="str">
        <f t="shared" si="2"/>
        <v>BarbeitoAndrés_etal_2019</v>
      </c>
      <c r="I12" s="3" t="str">
        <f t="shared" si="5"/>
        <v>10.1242%2Fjeb.204651</v>
      </c>
      <c r="J12" s="3" t="str">
        <f t="shared" si="3"/>
        <v>BarbeitoAndrés_etal_2019_volumes</v>
      </c>
      <c r="K12" s="3" t="str">
        <f t="shared" si="4"/>
        <v>10.1242%2Fjeb.204651_volumes</v>
      </c>
      <c r="L12" s="3"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 customHeight="1" x14ac:dyDescent="0.2">
      <c r="A13" s="1" t="s">
        <v>80</v>
      </c>
      <c r="D13" s="1" t="s">
        <v>81</v>
      </c>
      <c r="E13" s="3" t="str">
        <f t="shared" si="0"/>
        <v>Barger</v>
      </c>
      <c r="F13" s="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3" t="str">
        <f t="shared" si="1"/>
        <v>2014</v>
      </c>
      <c r="H13" s="3" t="str">
        <f t="shared" si="2"/>
        <v>Barger_etal_2014</v>
      </c>
      <c r="I13" s="3" t="str">
        <f t="shared" si="5"/>
        <v>10.3389%2Ffnhum.2014.00277</v>
      </c>
      <c r="J13" s="3" t="str">
        <f t="shared" si="3"/>
        <v>Barger_etal_2014_Table1</v>
      </c>
      <c r="K13" s="3" t="str">
        <f t="shared" si="4"/>
        <v>10.3389%2Ffnhum.2014.00277_Table1</v>
      </c>
      <c r="L13" s="3"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 customHeight="1" x14ac:dyDescent="0.2">
      <c r="A14" s="1" t="s">
        <v>85</v>
      </c>
      <c r="D14" s="1" t="s">
        <v>58</v>
      </c>
      <c r="E14" s="3" t="str">
        <f t="shared" si="0"/>
        <v>Barger</v>
      </c>
      <c r="F14" s="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3" t="str">
        <f t="shared" si="1"/>
        <v>2007</v>
      </c>
      <c r="H14" s="3" t="str">
        <f t="shared" si="2"/>
        <v>Barger_etal_2007</v>
      </c>
      <c r="I14" s="3" t="str">
        <f t="shared" si="5"/>
        <v>10.1002%2Fajpa.20684</v>
      </c>
      <c r="J14" s="3" t="str">
        <f t="shared" si="3"/>
        <v>Barger_etal_2007_TABLE1</v>
      </c>
      <c r="K14" s="3" t="str">
        <f t="shared" si="4"/>
        <v>10.1002%2Fajpa.20684_TABLE1</v>
      </c>
      <c r="L14" s="3"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 customHeight="1" x14ac:dyDescent="0.2">
      <c r="A15" s="1" t="s">
        <v>91</v>
      </c>
      <c r="D15" s="1" t="s">
        <v>81</v>
      </c>
      <c r="E15" s="3" t="str">
        <f t="shared" ref="E15" si="6">SUBSTITUTE(SUBSTITUTE(_xlfn.TEXTBEFORE(A15,","), "-", ""), " ", "")</f>
        <v>Barger</v>
      </c>
      <c r="F15" s="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3" t="str">
        <f t="shared" ref="G15" si="7">_xlfn.TEXTBEFORE(_xlfn.TEXTAFTER(A15, "("), ")")</f>
        <v>2012</v>
      </c>
      <c r="H15" s="3" t="str">
        <f t="shared" ref="H15" si="8">E15 &amp; IF(F15&lt;&gt;"", "_" &amp; F15, "_") &amp; IF(G15&lt;&gt;"", "_" &amp; G15, "_") &amp; IF(B15&lt;&gt;"", "_" &amp; B15, "")</f>
        <v>Barger_etal_2012</v>
      </c>
      <c r="I15" s="3" t="str">
        <f t="shared" ref="I15" si="9">_xlfn.LET(
_xlpm.doi,IF(C15&lt;&gt;"",C15,_xlfn.TEXTAFTER(A15,"https://doi.org/")),
SUBSTITUTE(
SUBSTITUTE(
SUBSTITUTE(
SUBSTITUTE(
_xlpm.doi,
"/","%2F"),
":","%3A"),
"&lt;","%3C"),
"&gt;","%3E")
)</f>
        <v>10.1002%2Fcne.23118</v>
      </c>
      <c r="J15" s="3" t="str">
        <f t="shared" ref="J15" si="10">TRIM(_xlfn.TEXTJOIN("_",FALSE(),H15,(SUBSTITUTE(SUBSTITUTE(D15," ",""), "_", ""))))</f>
        <v>Barger_etal_2012_Table1</v>
      </c>
      <c r="K15" s="3" t="str">
        <f t="shared" ref="K15" si="11">I15 &amp; "_" &amp; SUBSTITUTE(SUBSTITUTE(SUBSTITUTE(D15,CHAR(160),"")," ",""),"_","")</f>
        <v>10.1002%2Fcne.23118_Table1</v>
      </c>
      <c r="L15" s="3" t="str">
        <f t="array" ref="L15">IFERROR(INDEX(AUTO_Public_TSV_FileList!$A$1:$A$1000,MATCH(TRUE(),EXACT(K15,IFERROR(_xlfn.TEXTBEFORE(AUTO_Public_TSV_FileList!$A$1:$A$1000,".tsv"),"")),0)),"notfound")</f>
        <v>notfound</v>
      </c>
      <c r="M15" s="1" t="s">
        <v>1843</v>
      </c>
      <c r="N15" t="s">
        <v>1844</v>
      </c>
      <c r="P15" s="1" t="s">
        <v>36</v>
      </c>
      <c r="V15" t="s">
        <v>1845</v>
      </c>
      <c r="W15" s="1" t="s">
        <v>1846</v>
      </c>
      <c r="X15" s="1" t="s">
        <v>1847</v>
      </c>
      <c r="Z15" s="5" t="s">
        <v>83</v>
      </c>
      <c r="AB15" s="1" t="s">
        <v>1848</v>
      </c>
      <c r="AC15" s="5"/>
      <c r="AD15" s="5" t="s">
        <v>1849</v>
      </c>
      <c r="AE15" s="1" t="s">
        <v>66</v>
      </c>
      <c r="AF15" s="1"/>
    </row>
    <row r="16" spans="1:33" ht="17" customHeight="1" x14ac:dyDescent="0.2">
      <c r="A16" s="1" t="s">
        <v>91</v>
      </c>
      <c r="D16" s="1" t="s">
        <v>72</v>
      </c>
      <c r="E16" s="3" t="str">
        <f t="shared" si="0"/>
        <v>Barger</v>
      </c>
      <c r="F16" s="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3" t="str">
        <f t="shared" si="1"/>
        <v>2012</v>
      </c>
      <c r="H16" s="3" t="str">
        <f t="shared" si="2"/>
        <v>Barger_etal_2012</v>
      </c>
      <c r="I16" s="3" t="str">
        <f t="shared" si="5"/>
        <v>10.1002%2Fcne.23118</v>
      </c>
      <c r="J16" s="3" t="str">
        <f t="shared" si="3"/>
        <v>Barger_etal_2012_Table3</v>
      </c>
      <c r="K16" s="3" t="str">
        <f t="shared" si="4"/>
        <v>10.1002%2Fcne.23118_Table3</v>
      </c>
      <c r="L16" s="3"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spans="1:33" ht="17" customHeight="1" x14ac:dyDescent="0.2">
      <c r="A17" s="1" t="s">
        <v>96</v>
      </c>
      <c r="D17" s="1" t="s">
        <v>97</v>
      </c>
      <c r="E17" s="3" t="str">
        <f t="shared" si="0"/>
        <v>Barks</v>
      </c>
      <c r="F17" s="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3" t="str">
        <f t="shared" si="1"/>
        <v>2014</v>
      </c>
      <c r="H17" s="3" t="str">
        <f t="shared" si="2"/>
        <v>Barks_etal_2014</v>
      </c>
      <c r="I17" s="3" t="str">
        <f t="shared" si="5"/>
        <v>10.1002%2Fajpa.22646</v>
      </c>
      <c r="J17" s="3" t="str">
        <f t="shared" si="3"/>
        <v>Barks_etal_2014_Fig4A</v>
      </c>
      <c r="K17" s="3" t="str">
        <f t="shared" si="4"/>
        <v>10.1002%2Fajpa.22646_Fig4A</v>
      </c>
      <c r="L17" s="3" t="str">
        <f t="array" ref="L17">IFERROR(INDEX(AUTO_Public_TSV_FileList!$A$1:$A$1000,MATCH(TRUE(),EXACT(K17,IFERROR(_xlfn.TEXTBEFORE(AUTO_Public_TSV_FileList!$A$1:$A$1000,".tsv"),"")),0)),"notfound")</f>
        <v>10.1002%2Fajpa.22646_Fig4A.tsv</v>
      </c>
      <c r="M17" s="1" t="s">
        <v>98</v>
      </c>
      <c r="O17" s="1"/>
      <c r="P17" s="1" t="s">
        <v>36</v>
      </c>
      <c r="AC17" s="1" t="s">
        <v>99</v>
      </c>
    </row>
    <row r="18" spans="1:33" ht="17" customHeight="1" x14ac:dyDescent="0.2">
      <c r="A18" s="1" t="s">
        <v>96</v>
      </c>
      <c r="D18" s="1" t="s">
        <v>100</v>
      </c>
      <c r="E18" s="3" t="str">
        <f t="shared" si="0"/>
        <v>Barks</v>
      </c>
      <c r="F18" s="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3" t="str">
        <f t="shared" si="1"/>
        <v>2014</v>
      </c>
      <c r="H18" s="3" t="str">
        <f t="shared" si="2"/>
        <v>Barks_etal_2014</v>
      </c>
      <c r="I18" s="3" t="str">
        <f t="shared" si="5"/>
        <v>10.1002%2Fajpa.22646</v>
      </c>
      <c r="J18" s="3" t="str">
        <f t="shared" si="3"/>
        <v>Barks_etal_2014_Fig5A</v>
      </c>
      <c r="K18" s="3" t="str">
        <f t="shared" si="4"/>
        <v>10.1002%2Fajpa.22646_Fig5A</v>
      </c>
      <c r="L18" s="3" t="str">
        <f t="array" ref="L18">IFERROR(INDEX(AUTO_Public_TSV_FileList!$A$1:$A$1000,MATCH(TRUE(),EXACT(K18,IFERROR(_xlfn.TEXTBEFORE(AUTO_Public_TSV_FileList!$A$1:$A$1000,".tsv"),"")),0)),"notfound")</f>
        <v>10.1002%2Fajpa.22646_Fig5A.tsv</v>
      </c>
      <c r="M18" s="1" t="s">
        <v>101</v>
      </c>
      <c r="O18" s="1"/>
      <c r="P18" s="1" t="s">
        <v>36</v>
      </c>
    </row>
    <row r="19" spans="1:33" ht="17" customHeight="1" x14ac:dyDescent="0.2">
      <c r="A19" s="1" t="s">
        <v>96</v>
      </c>
      <c r="D19" s="1" t="s">
        <v>58</v>
      </c>
      <c r="E19" s="3" t="str">
        <f t="shared" si="0"/>
        <v>Barks</v>
      </c>
      <c r="F19" s="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3" t="str">
        <f t="shared" si="1"/>
        <v>2014</v>
      </c>
      <c r="H19" s="3" t="str">
        <f t="shared" si="2"/>
        <v>Barks_etal_2014</v>
      </c>
      <c r="I19" s="3" t="str">
        <f t="shared" si="5"/>
        <v>10.1002%2Fajpa.22646</v>
      </c>
      <c r="J19" s="3" t="str">
        <f t="shared" si="3"/>
        <v>Barks_etal_2014_TABLE1</v>
      </c>
      <c r="K19" s="3" t="str">
        <f t="shared" si="4"/>
        <v>10.1002%2Fajpa.22646_TABLE1</v>
      </c>
      <c r="L19" s="3" t="str">
        <f t="array" ref="L19">IFERROR(INDEX(AUTO_Public_TSV_FileList!$A$1:$A$1000,MATCH(TRUE(),EXACT(K19,IFERROR(_xlfn.TEXTBEFORE(AUTO_Public_TSV_FileList!$A$1:$A$1000,".tsv"),"")),0)),"notfound")</f>
        <v>10.1002%2Fajpa.22646_TABLE1.tsv</v>
      </c>
      <c r="M19" s="1" t="s">
        <v>102</v>
      </c>
      <c r="P19" s="1" t="s">
        <v>36</v>
      </c>
      <c r="AC19" s="1" t="s">
        <v>99</v>
      </c>
    </row>
    <row r="20" spans="1:33" ht="17" customHeight="1" x14ac:dyDescent="0.2">
      <c r="A20" s="1" t="s">
        <v>96</v>
      </c>
      <c r="D20" s="1" t="s">
        <v>103</v>
      </c>
      <c r="E20" s="3" t="str">
        <f t="shared" si="0"/>
        <v>Barks</v>
      </c>
      <c r="F20" s="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3" t="str">
        <f t="shared" si="1"/>
        <v>2014</v>
      </c>
      <c r="H20" s="3" t="str">
        <f t="shared" si="2"/>
        <v>Barks_etal_2014</v>
      </c>
      <c r="I20" s="3" t="str">
        <f t="shared" si="5"/>
        <v>10.1002%2Fajpa.22646</v>
      </c>
      <c r="J20" s="3" t="str">
        <f t="shared" si="3"/>
        <v>Barks_etal_2014_TABLE2</v>
      </c>
      <c r="K20" s="3" t="str">
        <f t="shared" si="4"/>
        <v>10.1002%2Fajpa.22646_TABLE2</v>
      </c>
      <c r="L20" s="3" t="str">
        <f t="array" ref="L20">IFERROR(INDEX(AUTO_Public_TSV_FileList!$A$1:$A$1000,MATCH(TRUE(),EXACT(K20,IFERROR(_xlfn.TEXTBEFORE(AUTO_Public_TSV_FileList!$A$1:$A$1000,".tsv"),"")),0)),"notfound")</f>
        <v>10.1002%2Fajpa.22646_TABLE2.tsv</v>
      </c>
      <c r="M20" s="1" t="s">
        <v>104</v>
      </c>
      <c r="P20" s="1" t="s">
        <v>36</v>
      </c>
    </row>
    <row r="21" spans="1:33" ht="17" customHeight="1" x14ac:dyDescent="0.2">
      <c r="A21" s="1" t="s">
        <v>96</v>
      </c>
      <c r="D21" s="1" t="s">
        <v>105</v>
      </c>
      <c r="E21" s="3" t="str">
        <f t="shared" si="0"/>
        <v>Barks</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3" t="str">
        <f t="shared" si="1"/>
        <v>2014</v>
      </c>
      <c r="H21" s="3" t="str">
        <f t="shared" si="2"/>
        <v>Barks_etal_2014</v>
      </c>
      <c r="I21" s="3" t="str">
        <f t="shared" si="5"/>
        <v>10.1002%2Fajpa.22646</v>
      </c>
      <c r="J21" s="3" t="str">
        <f t="shared" si="3"/>
        <v>Barks_etal_2014_unpublishedviaDeCasien</v>
      </c>
      <c r="K21" s="3" t="str">
        <f t="shared" si="4"/>
        <v>10.1002%2Fajpa.22646_unpublishedviaDeCasien</v>
      </c>
      <c r="L21" s="3" t="str">
        <f t="array" ref="L21">IFERROR(INDEX(AUTO_Public_TSV_FileList!$A$1:$A$1000,MATCH(TRUE(),EXACT(K21,IFERROR(_xlfn.TEXTBEFORE(AUTO_Public_TSV_FileList!$A$1:$A$1000,".tsv"),"")),0)),"notfound")</f>
        <v>10.1002%2Fajpa.22646_unpublishedviaDeCasien.tsv</v>
      </c>
      <c r="O21" s="1" t="s">
        <v>106</v>
      </c>
      <c r="P21" s="1" t="s">
        <v>36</v>
      </c>
    </row>
    <row r="22" spans="1:33" ht="17" customHeight="1" x14ac:dyDescent="0.2">
      <c r="A22" s="1" t="s">
        <v>107</v>
      </c>
      <c r="C22" s="1" t="s">
        <v>108</v>
      </c>
      <c r="D22" s="1" t="s">
        <v>81</v>
      </c>
      <c r="E22" s="3" t="str">
        <f t="shared" si="0"/>
        <v>Baron</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3" t="str">
        <f t="shared" si="1"/>
        <v>1988</v>
      </c>
      <c r="H22" s="3" t="str">
        <f t="shared" si="2"/>
        <v>Baron_etal_1988</v>
      </c>
      <c r="I22" s="3" t="str">
        <f t="shared" si="5"/>
        <v>PMID%3A3216099</v>
      </c>
      <c r="J22" s="3" t="str">
        <f t="shared" si="3"/>
        <v>Baron_etal_1988_Table1</v>
      </c>
      <c r="K22" s="3" t="str">
        <f t="shared" si="4"/>
        <v>PMID%3A3216099_Table1</v>
      </c>
      <c r="L22" s="3"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spans="1:33" ht="17" customHeight="1" x14ac:dyDescent="0.2">
      <c r="A23" s="1" t="s">
        <v>113</v>
      </c>
      <c r="C23" s="1" t="s">
        <v>114</v>
      </c>
      <c r="D23" s="1" t="s">
        <v>81</v>
      </c>
      <c r="E23" s="3" t="str">
        <f t="shared" si="0"/>
        <v>Baron</v>
      </c>
      <c r="F23" s="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3" t="str">
        <f t="shared" si="1"/>
        <v>1983</v>
      </c>
      <c r="H23" s="3" t="str">
        <f t="shared" si="2"/>
        <v>Baron_etal_1983</v>
      </c>
      <c r="I23" s="3" t="str">
        <f t="shared" si="5"/>
        <v>PMID%3A6663055</v>
      </c>
      <c r="J23" s="3" t="str">
        <f t="shared" si="3"/>
        <v>Baron_etal_1983_Table1</v>
      </c>
      <c r="K23" s="3" t="str">
        <f t="shared" si="4"/>
        <v>PMID%3A6663055_Table1</v>
      </c>
      <c r="L23" s="3"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spans="1:33" ht="17" customHeight="1" x14ac:dyDescent="0.2">
      <c r="A24" s="1" t="s">
        <v>116</v>
      </c>
      <c r="C24" s="1" t="s">
        <v>117</v>
      </c>
      <c r="D24" s="1" t="s">
        <v>81</v>
      </c>
      <c r="E24" s="3" t="str">
        <f t="shared" si="0"/>
        <v>Baron</v>
      </c>
      <c r="F24" s="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3" t="str">
        <f t="shared" si="1"/>
        <v>1987</v>
      </c>
      <c r="H24" s="3" t="str">
        <f t="shared" si="2"/>
        <v>Baron_etal_1987</v>
      </c>
      <c r="I24" s="3" t="str">
        <f t="shared" si="5"/>
        <v>PMID%3A3116076</v>
      </c>
      <c r="J24" s="3" t="str">
        <f t="shared" si="3"/>
        <v>Baron_etal_1987_Table1</v>
      </c>
      <c r="K24" s="3" t="str">
        <f t="shared" si="4"/>
        <v>PMID%3A3116076_Table1</v>
      </c>
      <c r="L24" s="3"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spans="1:33" ht="17" customHeight="1" x14ac:dyDescent="0.2">
      <c r="A25" s="1" t="s">
        <v>119</v>
      </c>
      <c r="C25" s="1" t="s">
        <v>120</v>
      </c>
      <c r="D25" s="1" t="s">
        <v>81</v>
      </c>
      <c r="E25" s="3" t="str">
        <f t="shared" si="0"/>
        <v>Baron</v>
      </c>
      <c r="F25" s="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3" t="str">
        <f t="shared" si="1"/>
        <v>1990</v>
      </c>
      <c r="H25" s="3" t="str">
        <f t="shared" si="2"/>
        <v>Baron_etal_1990</v>
      </c>
      <c r="I25" s="3" t="str">
        <f t="shared" si="5"/>
        <v>PMID%3A2358663</v>
      </c>
      <c r="J25" s="3" t="str">
        <f t="shared" si="3"/>
        <v>Baron_etal_1990_Table1</v>
      </c>
      <c r="K25" s="3" t="str">
        <f t="shared" si="4"/>
        <v>PMID%3A2358663_Table1</v>
      </c>
      <c r="L25" s="3"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spans="1:33" ht="17" customHeight="1" x14ac:dyDescent="0.2">
      <c r="A26" s="8" t="s">
        <v>124</v>
      </c>
      <c r="C26" s="1" t="s">
        <v>125</v>
      </c>
      <c r="D26" s="1" t="s">
        <v>126</v>
      </c>
      <c r="E26" s="3" t="str">
        <f t="shared" si="0"/>
        <v>Baron</v>
      </c>
      <c r="F26" s="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3" t="str">
        <f t="shared" si="1"/>
        <v>1996</v>
      </c>
      <c r="H26" s="3" t="str">
        <f t="shared" si="2"/>
        <v>Baron_etal_1996</v>
      </c>
      <c r="I26" s="3" t="str">
        <f t="shared" si="5"/>
        <v>ISBN%3A9783764353704</v>
      </c>
      <c r="J26" s="3" t="str">
        <f t="shared" si="3"/>
        <v>Baron_etal_1996_Table10</v>
      </c>
      <c r="K26" s="3" t="str">
        <f t="shared" si="4"/>
        <v>ISBN%3A9783764353704_Table10</v>
      </c>
      <c r="L26" s="3"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spans="1:33" ht="17" customHeight="1" x14ac:dyDescent="0.2">
      <c r="A27" s="8" t="s">
        <v>124</v>
      </c>
      <c r="C27" s="1" t="s">
        <v>125</v>
      </c>
      <c r="D27" s="7" t="s">
        <v>127</v>
      </c>
      <c r="E27" s="3" t="str">
        <f t="shared" si="0"/>
        <v>Baron</v>
      </c>
      <c r="F27" s="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3" t="str">
        <f t="shared" si="1"/>
        <v>1996</v>
      </c>
      <c r="H27" s="3" t="str">
        <f t="shared" si="2"/>
        <v>Baron_etal_1996</v>
      </c>
      <c r="I27" s="3" t="str">
        <f t="shared" si="5"/>
        <v>ISBN%3A9783764353704</v>
      </c>
      <c r="J27" s="3" t="str">
        <f t="shared" si="3"/>
        <v>Baron_etal_1996_Table13</v>
      </c>
      <c r="K27" s="3" t="str">
        <f t="shared" si="4"/>
        <v>ISBN%3A9783764353704_Table13</v>
      </c>
      <c r="L27" s="3" t="str">
        <f t="array" ref="L27">IFERROR(INDEX(AUTO_Public_TSV_FileList!$A$1:$A$1000,MATCH(TRUE(),EXACT(K27,IFERROR(_xlfn.TEXTBEFORE(AUTO_Public_TSV_FileList!$A$1:$A$1000,".tsv"),"")),0)),"notfound")</f>
        <v>ISBN%3A9783764353704_Table13.tsv</v>
      </c>
      <c r="M27" s="7" t="s">
        <v>128</v>
      </c>
      <c r="N27" s="1" t="s">
        <v>35</v>
      </c>
      <c r="P27" s="7"/>
      <c r="Q27" s="7"/>
      <c r="R27" s="7"/>
      <c r="S27" s="7" t="s">
        <v>129</v>
      </c>
      <c r="T27" s="7" t="s">
        <v>130</v>
      </c>
      <c r="U27" s="7"/>
      <c r="W27" s="7" t="s">
        <v>131</v>
      </c>
      <c r="X27" s="7" t="s">
        <v>132</v>
      </c>
      <c r="Y27" s="7" t="s">
        <v>132</v>
      </c>
      <c r="Z27" s="7" t="s">
        <v>83</v>
      </c>
      <c r="AA27" s="7"/>
      <c r="AB27" s="7" t="s">
        <v>90</v>
      </c>
      <c r="AC27" s="7" t="s">
        <v>112</v>
      </c>
      <c r="AD27" s="7" t="s">
        <v>112</v>
      </c>
      <c r="AE27" s="7" t="s">
        <v>66</v>
      </c>
      <c r="AF27" s="7"/>
      <c r="AG27" s="7" t="s">
        <v>133</v>
      </c>
    </row>
    <row r="28" spans="1:33" ht="17" customHeight="1" x14ac:dyDescent="0.2">
      <c r="A28" s="8" t="s">
        <v>124</v>
      </c>
      <c r="C28" s="1" t="s">
        <v>125</v>
      </c>
      <c r="D28" s="7" t="s">
        <v>134</v>
      </c>
      <c r="E28" s="3" t="str">
        <f t="shared" si="0"/>
        <v>Baron</v>
      </c>
      <c r="F28" s="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3" t="str">
        <f t="shared" si="1"/>
        <v>1996</v>
      </c>
      <c r="H28" s="3" t="str">
        <f t="shared" si="2"/>
        <v>Baron_etal_1996</v>
      </c>
      <c r="I28" s="3" t="str">
        <f t="shared" si="5"/>
        <v>ISBN%3A9783764353704</v>
      </c>
      <c r="J28" s="3" t="str">
        <f t="shared" si="3"/>
        <v>Baron_etal_1996_Table16</v>
      </c>
      <c r="K28" s="3" t="str">
        <f t="shared" si="4"/>
        <v>ISBN%3A9783764353704_Table16</v>
      </c>
      <c r="L28" s="3" t="str">
        <f t="array" ref="L28">IFERROR(INDEX(AUTO_Public_TSV_FileList!$A$1:$A$1000,MATCH(TRUE(),EXACT(K28,IFERROR(_xlfn.TEXTBEFORE(AUTO_Public_TSV_FileList!$A$1:$A$1000,".tsv"),"")),0)),"notfound")</f>
        <v>ISBN%3A9783764353704_Table16.tsv</v>
      </c>
      <c r="M28" s="7" t="s">
        <v>135</v>
      </c>
      <c r="N28" s="1" t="s">
        <v>35</v>
      </c>
      <c r="P28" s="7"/>
      <c r="Q28" s="7"/>
      <c r="R28" s="7"/>
      <c r="S28" s="7" t="s">
        <v>129</v>
      </c>
      <c r="T28" s="7" t="s">
        <v>130</v>
      </c>
      <c r="U28" s="7"/>
      <c r="W28" s="7" t="s">
        <v>131</v>
      </c>
      <c r="X28" s="7" t="s">
        <v>136</v>
      </c>
      <c r="Y28" s="7" t="s">
        <v>136</v>
      </c>
      <c r="Z28" s="7" t="s">
        <v>83</v>
      </c>
      <c r="AA28" s="7"/>
      <c r="AB28" s="7" t="s">
        <v>90</v>
      </c>
      <c r="AC28" s="7" t="s">
        <v>112</v>
      </c>
      <c r="AD28" s="7" t="s">
        <v>112</v>
      </c>
      <c r="AE28" s="7" t="s">
        <v>66</v>
      </c>
      <c r="AF28" s="7"/>
      <c r="AG28" s="7" t="s">
        <v>137</v>
      </c>
    </row>
    <row r="29" spans="1:33" ht="17" customHeight="1" x14ac:dyDescent="0.2">
      <c r="A29" s="8" t="s">
        <v>124</v>
      </c>
      <c r="C29" s="1" t="s">
        <v>125</v>
      </c>
      <c r="D29" s="7" t="s">
        <v>138</v>
      </c>
      <c r="E29" s="3" t="str">
        <f t="shared" si="0"/>
        <v>Baron</v>
      </c>
      <c r="F29" s="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3" t="str">
        <f t="shared" si="1"/>
        <v>1996</v>
      </c>
      <c r="H29" s="3" t="str">
        <f t="shared" si="2"/>
        <v>Baron_etal_1996</v>
      </c>
      <c r="I29" s="3" t="str">
        <f t="shared" si="5"/>
        <v>ISBN%3A9783764353704</v>
      </c>
      <c r="J29" s="3" t="str">
        <f t="shared" si="3"/>
        <v>Baron_etal_1996_Table19</v>
      </c>
      <c r="K29" s="3" t="str">
        <f t="shared" si="4"/>
        <v>ISBN%3A9783764353704_Table19</v>
      </c>
      <c r="L29" s="3" t="str">
        <f t="array" ref="L29">IFERROR(INDEX(AUTO_Public_TSV_FileList!$A$1:$A$1000,MATCH(TRUE(),EXACT(K29,IFERROR(_xlfn.TEXTBEFORE(AUTO_Public_TSV_FileList!$A$1:$A$1000,".tsv"),"")),0)),"notfound")</f>
        <v>ISBN%3A9783764353704_Table19.tsv</v>
      </c>
      <c r="M29" s="7" t="s">
        <v>139</v>
      </c>
      <c r="N29" s="1" t="s">
        <v>35</v>
      </c>
      <c r="P29" s="7"/>
      <c r="Q29" s="7"/>
      <c r="R29" s="7"/>
      <c r="S29" s="7" t="s">
        <v>129</v>
      </c>
      <c r="T29" s="7" t="s">
        <v>130</v>
      </c>
      <c r="U29" s="7"/>
      <c r="W29" s="7" t="s">
        <v>131</v>
      </c>
      <c r="X29" s="7" t="s">
        <v>140</v>
      </c>
      <c r="Y29" s="7" t="s">
        <v>140</v>
      </c>
      <c r="Z29" s="7" t="s">
        <v>83</v>
      </c>
      <c r="AA29" s="7"/>
      <c r="AB29" s="7" t="s">
        <v>90</v>
      </c>
      <c r="AC29" s="7" t="s">
        <v>112</v>
      </c>
      <c r="AD29" s="7" t="s">
        <v>112</v>
      </c>
      <c r="AE29" s="7" t="s">
        <v>66</v>
      </c>
      <c r="AF29" s="7"/>
      <c r="AG29" s="7" t="s">
        <v>141</v>
      </c>
    </row>
    <row r="30" spans="1:33" ht="17" customHeight="1" x14ac:dyDescent="0.2">
      <c r="A30" s="8" t="s">
        <v>124</v>
      </c>
      <c r="C30" s="1" t="s">
        <v>125</v>
      </c>
      <c r="D30" s="7" t="s">
        <v>70</v>
      </c>
      <c r="E30" s="3" t="str">
        <f t="shared" si="0"/>
        <v>Baron</v>
      </c>
      <c r="F30" s="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3" t="str">
        <f t="shared" si="1"/>
        <v>1996</v>
      </c>
      <c r="H30" s="3" t="str">
        <f t="shared" si="2"/>
        <v>Baron_etal_1996</v>
      </c>
      <c r="I30" s="3" t="str">
        <f t="shared" si="5"/>
        <v>ISBN%3A9783764353704</v>
      </c>
      <c r="J30" s="3" t="str">
        <f t="shared" si="3"/>
        <v>Baron_etal_1996_Table2</v>
      </c>
      <c r="K30" s="3" t="str">
        <f t="shared" si="4"/>
        <v>ISBN%3A9783764353704_Table2</v>
      </c>
      <c r="L30" s="3" t="str">
        <f t="array" ref="L30">IFERROR(INDEX(AUTO_Public_TSV_FileList!$A$1:$A$1000,MATCH(TRUE(),EXACT(K30,IFERROR(_xlfn.TEXTBEFORE(AUTO_Public_TSV_FileList!$A$1:$A$1000,".tsv"),"")),0)),"notfound")</f>
        <v>notfound</v>
      </c>
      <c r="M30" s="7" t="s">
        <v>142</v>
      </c>
      <c r="N30" s="1" t="s">
        <v>35</v>
      </c>
      <c r="P30" s="7"/>
      <c r="Q30" s="7"/>
      <c r="R30" s="7"/>
      <c r="S30" s="7" t="s">
        <v>129</v>
      </c>
      <c r="T30" s="7" t="s">
        <v>130</v>
      </c>
      <c r="U30" s="7"/>
      <c r="W30" s="7" t="s">
        <v>131</v>
      </c>
      <c r="X30" s="7" t="s">
        <v>143</v>
      </c>
      <c r="Y30" s="7" t="s">
        <v>143</v>
      </c>
      <c r="Z30" s="7" t="s">
        <v>83</v>
      </c>
      <c r="AA30" s="7"/>
      <c r="AB30" s="7" t="s">
        <v>144</v>
      </c>
      <c r="AC30" s="7" t="s">
        <v>112</v>
      </c>
      <c r="AD30" s="7" t="s">
        <v>112</v>
      </c>
      <c r="AE30" s="7" t="s">
        <v>66</v>
      </c>
      <c r="AF30" s="7"/>
      <c r="AG30" s="7" t="s">
        <v>145</v>
      </c>
    </row>
    <row r="31" spans="1:33" ht="17" customHeight="1" x14ac:dyDescent="0.2">
      <c r="A31" s="8" t="s">
        <v>124</v>
      </c>
      <c r="C31" s="1" t="s">
        <v>125</v>
      </c>
      <c r="D31" s="7" t="s">
        <v>146</v>
      </c>
      <c r="E31" s="3" t="str">
        <f t="shared" si="0"/>
        <v>Baron</v>
      </c>
      <c r="F31" s="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3" t="str">
        <f t="shared" si="1"/>
        <v>1996</v>
      </c>
      <c r="H31" s="3" t="str">
        <f t="shared" si="2"/>
        <v>Baron_etal_1996</v>
      </c>
      <c r="I31" s="3" t="str">
        <f t="shared" si="5"/>
        <v>ISBN%3A9783764353704</v>
      </c>
      <c r="J31" s="3" t="str">
        <f t="shared" si="3"/>
        <v>Baron_etal_1996_Table22</v>
      </c>
      <c r="K31" s="3" t="str">
        <f t="shared" si="4"/>
        <v>ISBN%3A9783764353704_Table22</v>
      </c>
      <c r="L31" s="3" t="str">
        <f t="array" ref="L31">IFERROR(INDEX(AUTO_Public_TSV_FileList!$A$1:$A$1000,MATCH(TRUE(),EXACT(K31,IFERROR(_xlfn.TEXTBEFORE(AUTO_Public_TSV_FileList!$A$1:$A$1000,".tsv"),"")),0)),"notfound")</f>
        <v>ISBN%3A9783764353704_Table22.tsv</v>
      </c>
      <c r="M31" s="7" t="s">
        <v>147</v>
      </c>
      <c r="N31" s="1" t="s">
        <v>35</v>
      </c>
      <c r="P31" s="7"/>
      <c r="Q31" s="7"/>
      <c r="R31" s="7"/>
      <c r="S31" s="7" t="s">
        <v>129</v>
      </c>
      <c r="T31" s="7" t="s">
        <v>130</v>
      </c>
      <c r="U31" s="7"/>
      <c r="W31" s="7" t="s">
        <v>131</v>
      </c>
      <c r="X31" s="7" t="s">
        <v>148</v>
      </c>
      <c r="Y31" s="7" t="s">
        <v>148</v>
      </c>
      <c r="Z31" s="7" t="s">
        <v>83</v>
      </c>
      <c r="AA31" s="7"/>
      <c r="AB31" s="7" t="s">
        <v>90</v>
      </c>
      <c r="AC31" s="7" t="s">
        <v>112</v>
      </c>
      <c r="AD31" s="7" t="s">
        <v>112</v>
      </c>
      <c r="AE31" s="7" t="s">
        <v>66</v>
      </c>
      <c r="AF31" s="7"/>
      <c r="AG31" s="7" t="s">
        <v>149</v>
      </c>
    </row>
    <row r="32" spans="1:33" ht="17" customHeight="1" x14ac:dyDescent="0.2">
      <c r="A32" s="8" t="s">
        <v>124</v>
      </c>
      <c r="C32" s="1" t="s">
        <v>125</v>
      </c>
      <c r="D32" s="7" t="s">
        <v>150</v>
      </c>
      <c r="E32" s="3" t="str">
        <f t="shared" si="0"/>
        <v>Baron</v>
      </c>
      <c r="F32" s="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3" t="str">
        <f t="shared" si="1"/>
        <v>1996</v>
      </c>
      <c r="H32" s="3" t="str">
        <f t="shared" si="2"/>
        <v>Baron_etal_1996</v>
      </c>
      <c r="I32" s="3" t="str">
        <f t="shared" si="5"/>
        <v>ISBN%3A9783764353704</v>
      </c>
      <c r="J32" s="3" t="str">
        <f t="shared" si="3"/>
        <v>Baron_etal_1996_Table25</v>
      </c>
      <c r="K32" s="3" t="str">
        <f t="shared" si="4"/>
        <v>ISBN%3A9783764353704_Table25</v>
      </c>
      <c r="L32" s="3" t="str">
        <f t="array" ref="L32">IFERROR(INDEX(AUTO_Public_TSV_FileList!$A$1:$A$1000,MATCH(TRUE(),EXACT(K32,IFERROR(_xlfn.TEXTBEFORE(AUTO_Public_TSV_FileList!$A$1:$A$1000,".tsv"),"")),0)),"notfound")</f>
        <v>ISBN%3A9783764353704_Table25.tsv</v>
      </c>
      <c r="M32" s="7" t="s">
        <v>151</v>
      </c>
      <c r="N32" s="1" t="s">
        <v>35</v>
      </c>
      <c r="P32" s="7"/>
      <c r="Q32" s="7"/>
      <c r="R32" s="7"/>
      <c r="S32" s="7" t="s">
        <v>129</v>
      </c>
      <c r="T32" s="7" t="s">
        <v>130</v>
      </c>
      <c r="U32" s="7"/>
      <c r="W32" s="7" t="s">
        <v>131</v>
      </c>
      <c r="X32" s="7" t="s">
        <v>152</v>
      </c>
      <c r="Y32" s="7" t="s">
        <v>152</v>
      </c>
      <c r="Z32" s="7" t="s">
        <v>83</v>
      </c>
      <c r="AA32" s="7"/>
      <c r="AB32" s="7" t="s">
        <v>90</v>
      </c>
      <c r="AC32" s="7" t="s">
        <v>112</v>
      </c>
      <c r="AD32" s="7" t="s">
        <v>112</v>
      </c>
      <c r="AE32" s="7" t="s">
        <v>66</v>
      </c>
      <c r="AF32" s="7"/>
      <c r="AG32" s="7" t="s">
        <v>153</v>
      </c>
    </row>
    <row r="33" spans="1:33" ht="17" customHeight="1" x14ac:dyDescent="0.2">
      <c r="A33" s="8" t="s">
        <v>124</v>
      </c>
      <c r="C33" s="1" t="s">
        <v>125</v>
      </c>
      <c r="D33" s="7" t="s">
        <v>154</v>
      </c>
      <c r="E33" s="3" t="str">
        <f t="shared" si="0"/>
        <v>Baron</v>
      </c>
      <c r="F33" s="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3" t="str">
        <f t="shared" si="1"/>
        <v>1996</v>
      </c>
      <c r="H33" s="3" t="str">
        <f t="shared" si="2"/>
        <v>Baron_etal_1996</v>
      </c>
      <c r="I33" s="3" t="str">
        <f t="shared" si="5"/>
        <v>ISBN%3A9783764353704</v>
      </c>
      <c r="J33" s="3" t="str">
        <f t="shared" si="3"/>
        <v>Baron_etal_1996_Table28</v>
      </c>
      <c r="K33" s="3" t="str">
        <f t="shared" si="4"/>
        <v>ISBN%3A9783764353704_Table28</v>
      </c>
      <c r="L33" s="3" t="str">
        <f t="array" ref="L33">IFERROR(INDEX(AUTO_Public_TSV_FileList!$A$1:$A$1000,MATCH(TRUE(),EXACT(K33,IFERROR(_xlfn.TEXTBEFORE(AUTO_Public_TSV_FileList!$A$1:$A$1000,".tsv"),"")),0)),"notfound")</f>
        <v>ISBN%3A9783764353704_Table28.tsv</v>
      </c>
      <c r="M33" s="7" t="s">
        <v>155</v>
      </c>
      <c r="N33" s="1" t="s">
        <v>35</v>
      </c>
      <c r="P33" s="7"/>
      <c r="Q33" s="7"/>
      <c r="R33" s="7"/>
      <c r="S33" s="7" t="s">
        <v>129</v>
      </c>
      <c r="T33" s="7" t="s">
        <v>130</v>
      </c>
      <c r="U33" s="7"/>
      <c r="W33" s="7" t="s">
        <v>131</v>
      </c>
      <c r="X33" s="7" t="s">
        <v>156</v>
      </c>
      <c r="Y33" s="7" t="s">
        <v>156</v>
      </c>
      <c r="Z33" s="7" t="s">
        <v>83</v>
      </c>
      <c r="AA33" s="7"/>
      <c r="AB33" s="7" t="s">
        <v>90</v>
      </c>
      <c r="AC33" s="7" t="s">
        <v>112</v>
      </c>
      <c r="AD33" s="7" t="s">
        <v>112</v>
      </c>
      <c r="AE33" s="7" t="s">
        <v>66</v>
      </c>
      <c r="AF33" s="7"/>
      <c r="AG33" s="7" t="s">
        <v>157</v>
      </c>
    </row>
    <row r="34" spans="1:33" ht="17" customHeight="1" x14ac:dyDescent="0.2">
      <c r="A34" s="8" t="s">
        <v>124</v>
      </c>
      <c r="C34" s="1" t="s">
        <v>125</v>
      </c>
      <c r="D34" s="7" t="s">
        <v>158</v>
      </c>
      <c r="E34" s="3" t="str">
        <f t="shared" si="0"/>
        <v>Baron</v>
      </c>
      <c r="F34" s="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3" t="str">
        <f t="shared" si="1"/>
        <v>1996</v>
      </c>
      <c r="H34" s="3" t="str">
        <f t="shared" si="2"/>
        <v>Baron_etal_1996</v>
      </c>
      <c r="I34" s="3" t="str">
        <f t="shared" si="5"/>
        <v>ISBN%3A9783764353704</v>
      </c>
      <c r="J34" s="3" t="str">
        <f t="shared" si="3"/>
        <v>Baron_etal_1996_Table30</v>
      </c>
      <c r="K34" s="3" t="str">
        <f t="shared" si="4"/>
        <v>ISBN%3A9783764353704_Table30</v>
      </c>
      <c r="L34" s="3" t="str">
        <f t="array" ref="L34">IFERROR(INDEX(AUTO_Public_TSV_FileList!$A$1:$A$1000,MATCH(TRUE(),EXACT(K34,IFERROR(_xlfn.TEXTBEFORE(AUTO_Public_TSV_FileList!$A$1:$A$1000,".tsv"),"")),0)),"notfound")</f>
        <v>ISBN%3A9783764353704_Table30.tsv</v>
      </c>
      <c r="M34" s="7" t="s">
        <v>159</v>
      </c>
      <c r="N34" s="1" t="s">
        <v>35</v>
      </c>
      <c r="P34" s="7"/>
      <c r="Q34" s="7"/>
      <c r="R34" s="7"/>
      <c r="S34" s="7" t="s">
        <v>129</v>
      </c>
      <c r="T34" s="7" t="s">
        <v>130</v>
      </c>
      <c r="U34" s="7"/>
      <c r="W34" s="7" t="s">
        <v>131</v>
      </c>
      <c r="X34" s="7" t="s">
        <v>160</v>
      </c>
      <c r="Y34" s="7" t="s">
        <v>160</v>
      </c>
      <c r="Z34" s="7" t="s">
        <v>83</v>
      </c>
      <c r="AA34" s="7"/>
      <c r="AB34" s="7" t="s">
        <v>90</v>
      </c>
      <c r="AC34" s="7" t="s">
        <v>112</v>
      </c>
      <c r="AD34" s="7" t="s">
        <v>112</v>
      </c>
      <c r="AE34" s="7" t="s">
        <v>66</v>
      </c>
      <c r="AF34" s="7"/>
      <c r="AG34" s="7" t="s">
        <v>161</v>
      </c>
    </row>
    <row r="35" spans="1:33" ht="17" customHeight="1" x14ac:dyDescent="0.2">
      <c r="A35" s="8" t="s">
        <v>124</v>
      </c>
      <c r="C35" s="1" t="s">
        <v>125</v>
      </c>
      <c r="D35" s="1" t="s">
        <v>162</v>
      </c>
      <c r="E35" s="3" t="str">
        <f t="shared" si="0"/>
        <v>Baron</v>
      </c>
      <c r="F35" s="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3" t="str">
        <f t="shared" si="1"/>
        <v>1996</v>
      </c>
      <c r="H35" s="3" t="str">
        <f t="shared" si="2"/>
        <v>Baron_etal_1996</v>
      </c>
      <c r="I35" s="3" t="str">
        <f t="shared" si="5"/>
        <v>ISBN%3A9783764353704</v>
      </c>
      <c r="J35" s="3" t="str">
        <f t="shared" si="3"/>
        <v>Baron_etal_1996_Table32</v>
      </c>
      <c r="K35" s="3" t="str">
        <f t="shared" ref="K35:K71" si="12">I35 &amp; "_" &amp; SUBSTITUTE(SUBSTITUTE(SUBSTITUTE(D35,CHAR(160),"")," ",""),"_","")</f>
        <v>ISBN%3A9783764353704_Table32</v>
      </c>
      <c r="L35" s="3"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spans="1:33" ht="17" customHeight="1" x14ac:dyDescent="0.2">
      <c r="A36" s="8" t="s">
        <v>124</v>
      </c>
      <c r="C36" s="1" t="s">
        <v>125</v>
      </c>
      <c r="D36" s="7" t="s">
        <v>163</v>
      </c>
      <c r="E36" s="3" t="str">
        <f t="shared" si="0"/>
        <v>Baron</v>
      </c>
      <c r="F36" s="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3" t="str">
        <f t="shared" si="1"/>
        <v>1996</v>
      </c>
      <c r="H36" s="3" t="str">
        <f t="shared" si="2"/>
        <v>Baron_etal_1996</v>
      </c>
      <c r="I36" s="3" t="str">
        <f t="shared" si="5"/>
        <v>ISBN%3A9783764353704</v>
      </c>
      <c r="J36" s="3" t="str">
        <f t="shared" si="3"/>
        <v>Baron_etal_1996_Table35</v>
      </c>
      <c r="K36" s="3" t="str">
        <f t="shared" si="12"/>
        <v>ISBN%3A9783764353704_Table35</v>
      </c>
      <c r="L36" s="3" t="str">
        <f t="array" ref="L36">IFERROR(INDEX(AUTO_Public_TSV_FileList!$A$1:$A$1000,MATCH(TRUE(),EXACT(K36,IFERROR(_xlfn.TEXTBEFORE(AUTO_Public_TSV_FileList!$A$1:$A$1000,".tsv"),"")),0)),"notfound")</f>
        <v>notfound</v>
      </c>
      <c r="M36" s="7" t="s">
        <v>164</v>
      </c>
      <c r="N36" s="1" t="s">
        <v>35</v>
      </c>
      <c r="P36" s="7"/>
      <c r="Q36" s="7"/>
      <c r="R36" s="7"/>
      <c r="S36" s="7" t="s">
        <v>129</v>
      </c>
      <c r="T36" s="7" t="s">
        <v>130</v>
      </c>
      <c r="U36" s="7"/>
      <c r="W36" s="7" t="s">
        <v>131</v>
      </c>
      <c r="X36" s="7" t="s">
        <v>165</v>
      </c>
      <c r="Y36" s="7" t="s">
        <v>165</v>
      </c>
      <c r="Z36" s="7" t="s">
        <v>83</v>
      </c>
      <c r="AA36" s="7"/>
      <c r="AB36" s="7" t="s">
        <v>90</v>
      </c>
      <c r="AC36" s="7" t="s">
        <v>112</v>
      </c>
      <c r="AD36" s="7" t="s">
        <v>112</v>
      </c>
      <c r="AE36" s="7" t="s">
        <v>66</v>
      </c>
      <c r="AF36" s="7"/>
      <c r="AG36" s="7" t="s">
        <v>166</v>
      </c>
    </row>
    <row r="37" spans="1:33" ht="17" customHeight="1" x14ac:dyDescent="0.2">
      <c r="A37" s="8" t="s">
        <v>124</v>
      </c>
      <c r="C37" s="1" t="s">
        <v>125</v>
      </c>
      <c r="D37" s="7" t="s">
        <v>167</v>
      </c>
      <c r="E37" s="3" t="str">
        <f t="shared" si="0"/>
        <v>Baron</v>
      </c>
      <c r="F37" s="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3" t="str">
        <f t="shared" si="1"/>
        <v>1996</v>
      </c>
      <c r="H37" s="3" t="str">
        <f t="shared" si="2"/>
        <v>Baron_etal_1996</v>
      </c>
      <c r="I37" s="3" t="str">
        <f t="shared" ref="I37:I60" si="13">_xlfn.LET(
_xlpm.doi,IF(C37&lt;&gt;"",C37,_xlfn.TEXTAFTER(A37,"https://doi.org/")),
SUBSTITUTE(
SUBSTITUTE(
SUBSTITUTE(
SUBSTITUTE(
_xlpm.doi,
"/","%2F"),
":","%3A"),
"&lt;","%3C"),
"&gt;","%3E")
)</f>
        <v>ISBN%3A9783764353704</v>
      </c>
      <c r="J37" s="3" t="str">
        <f t="shared" si="3"/>
        <v>Baron_etal_1996_Table36</v>
      </c>
      <c r="K37" s="3" t="str">
        <f t="shared" si="12"/>
        <v>ISBN%3A9783764353704_Table36</v>
      </c>
      <c r="L37" s="3" t="str">
        <f t="array" ref="L37">IFERROR(INDEX(AUTO_Public_TSV_FileList!$A$1:$A$1000,MATCH(TRUE(),EXACT(K37,IFERROR(_xlfn.TEXTBEFORE(AUTO_Public_TSV_FileList!$A$1:$A$1000,".tsv"),"")),0)),"notfound")</f>
        <v>ISBN%3A9783764353704_Table36.tsv</v>
      </c>
      <c r="M37" s="7" t="s">
        <v>168</v>
      </c>
      <c r="N37" s="1" t="s">
        <v>35</v>
      </c>
      <c r="P37" s="7"/>
      <c r="Q37" s="7"/>
      <c r="R37" s="7"/>
      <c r="S37" s="7" t="s">
        <v>129</v>
      </c>
      <c r="T37" s="7" t="s">
        <v>169</v>
      </c>
      <c r="U37" s="7"/>
      <c r="W37" s="7" t="s">
        <v>131</v>
      </c>
      <c r="X37" s="7" t="s">
        <v>170</v>
      </c>
      <c r="Y37" s="7" t="s">
        <v>170</v>
      </c>
      <c r="Z37" s="7" t="s">
        <v>83</v>
      </c>
      <c r="AB37" s="7" t="s">
        <v>171</v>
      </c>
      <c r="AD37" s="7"/>
      <c r="AE37" s="7" t="s">
        <v>172</v>
      </c>
      <c r="AF37" s="7" t="s">
        <v>173</v>
      </c>
      <c r="AG37" s="7" t="s">
        <v>174</v>
      </c>
    </row>
    <row r="38" spans="1:33" ht="17" customHeight="1" x14ac:dyDescent="0.2">
      <c r="A38" s="8" t="s">
        <v>124</v>
      </c>
      <c r="C38" s="1" t="s">
        <v>125</v>
      </c>
      <c r="D38" s="7" t="s">
        <v>175</v>
      </c>
      <c r="E38" s="3" t="str">
        <f t="shared" si="0"/>
        <v>Baron</v>
      </c>
      <c r="F38" s="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3" t="str">
        <f t="shared" si="1"/>
        <v>1996</v>
      </c>
      <c r="H38" s="3" t="str">
        <f t="shared" si="2"/>
        <v>Baron_etal_1996</v>
      </c>
      <c r="I38" s="3" t="str">
        <f t="shared" si="13"/>
        <v>ISBN%3A9783764353704</v>
      </c>
      <c r="J38" s="3" t="str">
        <f t="shared" si="3"/>
        <v>Baron_etal_1996_Table39</v>
      </c>
      <c r="K38" s="3" t="str">
        <f t="shared" si="12"/>
        <v>ISBN%3A9783764353704_Table39</v>
      </c>
      <c r="L38" s="3" t="str">
        <f t="array" ref="L38">IFERROR(INDEX(AUTO_Public_TSV_FileList!$A$1:$A$1000,MATCH(TRUE(),EXACT(K38,IFERROR(_xlfn.TEXTBEFORE(AUTO_Public_TSV_FileList!$A$1:$A$1000,".tsv"),"")),0)),"notfound")</f>
        <v>ISBN%3A9783764353704_Table39.tsv</v>
      </c>
      <c r="M38" s="7" t="s">
        <v>176</v>
      </c>
      <c r="N38" s="1" t="s">
        <v>35</v>
      </c>
      <c r="P38" s="7"/>
      <c r="Q38" s="7"/>
      <c r="R38" s="7"/>
      <c r="S38" s="7" t="s">
        <v>129</v>
      </c>
      <c r="T38" s="7" t="s">
        <v>169</v>
      </c>
      <c r="U38" s="7"/>
      <c r="W38" s="7" t="s">
        <v>131</v>
      </c>
      <c r="X38" s="7" t="s">
        <v>170</v>
      </c>
      <c r="Y38" s="7"/>
      <c r="Z38" s="7" t="s">
        <v>83</v>
      </c>
      <c r="AA38" s="7" t="s">
        <v>177</v>
      </c>
      <c r="AB38" s="7" t="s">
        <v>171</v>
      </c>
      <c r="AC38" s="7"/>
      <c r="AD38" s="7"/>
      <c r="AE38" s="7" t="s">
        <v>172</v>
      </c>
      <c r="AF38" s="7"/>
    </row>
    <row r="39" spans="1:33" ht="17" customHeight="1" x14ac:dyDescent="0.2">
      <c r="A39" s="8" t="s">
        <v>124</v>
      </c>
      <c r="C39" s="1" t="s">
        <v>125</v>
      </c>
      <c r="D39" s="7" t="s">
        <v>178</v>
      </c>
      <c r="E39" s="3" t="str">
        <f t="shared" si="0"/>
        <v>Baron</v>
      </c>
      <c r="F39" s="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3" t="str">
        <f t="shared" si="1"/>
        <v>1996</v>
      </c>
      <c r="H39" s="3" t="str">
        <f t="shared" si="2"/>
        <v>Baron_etal_1996</v>
      </c>
      <c r="I39" s="3" t="str">
        <f t="shared" si="13"/>
        <v>ISBN%3A9783764353704</v>
      </c>
      <c r="J39" s="3" t="str">
        <f t="shared" si="3"/>
        <v>Baron_etal_1996_Table42</v>
      </c>
      <c r="K39" s="3" t="str">
        <f t="shared" si="12"/>
        <v>ISBN%3A9783764353704_Table42</v>
      </c>
      <c r="L39" s="3" t="str">
        <f t="array" ref="L39">IFERROR(INDEX(AUTO_Public_TSV_FileList!$A$1:$A$1000,MATCH(TRUE(),EXACT(K39,IFERROR(_xlfn.TEXTBEFORE(AUTO_Public_TSV_FileList!$A$1:$A$1000,".tsv"),"")),0)),"notfound")</f>
        <v>ISBN%3A9783764353704_Table42.tsv</v>
      </c>
      <c r="M39" s="7" t="s">
        <v>179</v>
      </c>
      <c r="N39" s="1" t="s">
        <v>35</v>
      </c>
      <c r="O39" s="7" t="s">
        <v>180</v>
      </c>
      <c r="P39" s="7"/>
      <c r="Q39" s="7"/>
      <c r="R39" s="7"/>
      <c r="S39" s="7" t="s">
        <v>129</v>
      </c>
      <c r="T39" s="7" t="s">
        <v>169</v>
      </c>
      <c r="U39" s="7"/>
      <c r="W39" s="7" t="s">
        <v>131</v>
      </c>
      <c r="X39" s="7" t="s">
        <v>181</v>
      </c>
      <c r="Y39" s="7"/>
      <c r="Z39" s="7" t="s">
        <v>83</v>
      </c>
      <c r="AA39" s="7" t="s">
        <v>177</v>
      </c>
      <c r="AB39" s="7" t="s">
        <v>171</v>
      </c>
      <c r="AC39" s="7"/>
      <c r="AD39" s="7"/>
      <c r="AE39" s="7" t="s">
        <v>172</v>
      </c>
      <c r="AF39" s="7"/>
    </row>
    <row r="40" spans="1:33" ht="17" customHeight="1" x14ac:dyDescent="0.2">
      <c r="A40" s="8" t="s">
        <v>124</v>
      </c>
      <c r="C40" s="1" t="s">
        <v>125</v>
      </c>
      <c r="D40" s="7" t="s">
        <v>182</v>
      </c>
      <c r="E40" s="3" t="str">
        <f t="shared" si="0"/>
        <v>Baron</v>
      </c>
      <c r="F40" s="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3" t="str">
        <f t="shared" si="1"/>
        <v>1996</v>
      </c>
      <c r="H40" s="3" t="str">
        <f t="shared" si="2"/>
        <v>Baron_etal_1996</v>
      </c>
      <c r="I40" s="3" t="str">
        <f t="shared" si="13"/>
        <v>ISBN%3A9783764353704</v>
      </c>
      <c r="J40" s="3" t="str">
        <f t="shared" si="3"/>
        <v>Baron_etal_1996_Table45</v>
      </c>
      <c r="K40" s="3" t="str">
        <f t="shared" si="12"/>
        <v>ISBN%3A9783764353704_Table45</v>
      </c>
      <c r="L40" s="3" t="str">
        <f t="array" ref="L40">IFERROR(INDEX(AUTO_Public_TSV_FileList!$A$1:$A$1000,MATCH(TRUE(),EXACT(K40,IFERROR(_xlfn.TEXTBEFORE(AUTO_Public_TSV_FileList!$A$1:$A$1000,".tsv"),"")),0)),"notfound")</f>
        <v>ISBN%3A9783764353704_Table45.tsv</v>
      </c>
      <c r="M40" s="7" t="s">
        <v>183</v>
      </c>
      <c r="N40" s="1" t="s">
        <v>35</v>
      </c>
      <c r="O40" s="7" t="s">
        <v>184</v>
      </c>
      <c r="P40" s="7"/>
      <c r="Q40" s="7"/>
      <c r="R40" s="7"/>
      <c r="S40" s="7" t="s">
        <v>129</v>
      </c>
      <c r="T40" s="7" t="s">
        <v>169</v>
      </c>
      <c r="U40" s="7"/>
      <c r="W40" s="7" t="s">
        <v>131</v>
      </c>
      <c r="X40" s="7" t="s">
        <v>185</v>
      </c>
      <c r="Y40" s="7"/>
      <c r="Z40" s="7" t="s">
        <v>83</v>
      </c>
      <c r="AA40" s="7" t="s">
        <v>177</v>
      </c>
      <c r="AB40" s="7" t="s">
        <v>171</v>
      </c>
      <c r="AC40" s="7"/>
      <c r="AD40" s="7"/>
      <c r="AE40" s="7" t="s">
        <v>172</v>
      </c>
      <c r="AF40" s="7"/>
    </row>
    <row r="41" spans="1:33" ht="17" customHeight="1" x14ac:dyDescent="0.2">
      <c r="A41" s="8" t="s">
        <v>124</v>
      </c>
      <c r="C41" s="1" t="s">
        <v>125</v>
      </c>
      <c r="D41" s="7" t="s">
        <v>186</v>
      </c>
      <c r="E41" s="3" t="str">
        <f t="shared" si="0"/>
        <v>Baron</v>
      </c>
      <c r="F41" s="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3" t="str">
        <f t="shared" si="1"/>
        <v>1996</v>
      </c>
      <c r="H41" s="3" t="str">
        <f t="shared" si="2"/>
        <v>Baron_etal_1996</v>
      </c>
      <c r="I41" s="3" t="str">
        <f t="shared" si="13"/>
        <v>ISBN%3A9783764353704</v>
      </c>
      <c r="J41" s="3" t="str">
        <f t="shared" si="3"/>
        <v>Baron_etal_1996_Table48</v>
      </c>
      <c r="K41" s="3" t="str">
        <f t="shared" si="12"/>
        <v>ISBN%3A9783764353704_Table48</v>
      </c>
      <c r="L41" s="3" t="str">
        <f t="array" ref="L41">IFERROR(INDEX(AUTO_Public_TSV_FileList!$A$1:$A$1000,MATCH(TRUE(),EXACT(K41,IFERROR(_xlfn.TEXTBEFORE(AUTO_Public_TSV_FileList!$A$1:$A$1000,".tsv"),"")),0)),"notfound")</f>
        <v>ISBN%3A9783764353704_Table48.tsv</v>
      </c>
      <c r="M41" s="7" t="s">
        <v>187</v>
      </c>
      <c r="N41" s="1" t="s">
        <v>35</v>
      </c>
      <c r="P41" s="7"/>
      <c r="Q41" s="7"/>
      <c r="R41" s="7"/>
      <c r="S41" s="7" t="s">
        <v>129</v>
      </c>
      <c r="T41" s="7" t="s">
        <v>169</v>
      </c>
      <c r="U41" s="7"/>
      <c r="W41" s="7" t="s">
        <v>131</v>
      </c>
      <c r="X41" s="7" t="s">
        <v>170</v>
      </c>
      <c r="Y41" s="7" t="s">
        <v>170</v>
      </c>
      <c r="Z41" s="7" t="s">
        <v>83</v>
      </c>
      <c r="AB41" s="7" t="s">
        <v>171</v>
      </c>
      <c r="AD41" s="7"/>
      <c r="AE41" s="7" t="s">
        <v>172</v>
      </c>
      <c r="AF41" s="7" t="s">
        <v>188</v>
      </c>
    </row>
    <row r="42" spans="1:33" ht="17" customHeight="1" x14ac:dyDescent="0.2">
      <c r="A42" s="8" t="s">
        <v>124</v>
      </c>
      <c r="C42" s="1" t="s">
        <v>125</v>
      </c>
      <c r="D42" s="7" t="s">
        <v>74</v>
      </c>
      <c r="E42" s="3" t="str">
        <f t="shared" si="0"/>
        <v>Baron</v>
      </c>
      <c r="F42" s="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3" t="str">
        <f t="shared" si="1"/>
        <v>1996</v>
      </c>
      <c r="H42" s="3" t="str">
        <f t="shared" si="2"/>
        <v>Baron_etal_1996</v>
      </c>
      <c r="I42" s="3" t="str">
        <f t="shared" si="13"/>
        <v>ISBN%3A9783764353704</v>
      </c>
      <c r="J42" s="3" t="str">
        <f t="shared" si="3"/>
        <v>Baron_etal_1996_Table5</v>
      </c>
      <c r="K42" s="3" t="str">
        <f t="shared" si="12"/>
        <v>ISBN%3A9783764353704_Table5</v>
      </c>
      <c r="L42" s="3" t="str">
        <f t="array" ref="L42">IFERROR(INDEX(AUTO_Public_TSV_FileList!$A$1:$A$1000,MATCH(TRUE(),EXACT(K42,IFERROR(_xlfn.TEXTBEFORE(AUTO_Public_TSV_FileList!$A$1:$A$1000,".tsv"),"")),0)),"notfound")</f>
        <v>notfound</v>
      </c>
      <c r="M42" s="7" t="s">
        <v>189</v>
      </c>
      <c r="N42" s="1" t="s">
        <v>35</v>
      </c>
      <c r="P42" s="7"/>
      <c r="Q42" s="7"/>
      <c r="R42" s="7"/>
      <c r="S42" s="7" t="s">
        <v>129</v>
      </c>
      <c r="T42" s="7" t="s">
        <v>130</v>
      </c>
      <c r="U42" s="7"/>
      <c r="W42" s="7" t="s">
        <v>131</v>
      </c>
      <c r="X42" s="7" t="s">
        <v>190</v>
      </c>
      <c r="Y42" s="7" t="s">
        <v>190</v>
      </c>
      <c r="Z42" s="7"/>
      <c r="AA42" s="7"/>
      <c r="AB42" s="7" t="s">
        <v>191</v>
      </c>
      <c r="AC42" s="7" t="s">
        <v>112</v>
      </c>
      <c r="AD42" s="7" t="s">
        <v>112</v>
      </c>
      <c r="AE42" s="7" t="s">
        <v>66</v>
      </c>
      <c r="AF42" s="7"/>
      <c r="AG42" s="7" t="s">
        <v>192</v>
      </c>
    </row>
    <row r="43" spans="1:33" ht="17" customHeight="1" x14ac:dyDescent="0.2">
      <c r="A43" s="8" t="s">
        <v>124</v>
      </c>
      <c r="C43" s="1" t="s">
        <v>125</v>
      </c>
      <c r="D43" s="7" t="s">
        <v>193</v>
      </c>
      <c r="E43" s="3" t="str">
        <f t="shared" si="0"/>
        <v>Baron</v>
      </c>
      <c r="F43" s="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3" t="str">
        <f t="shared" si="1"/>
        <v>1996</v>
      </c>
      <c r="H43" s="3" t="str">
        <f t="shared" si="2"/>
        <v>Baron_etal_1996</v>
      </c>
      <c r="I43" s="3" t="str">
        <f t="shared" si="13"/>
        <v>ISBN%3A9783764353704</v>
      </c>
      <c r="J43" s="3" t="str">
        <f t="shared" si="3"/>
        <v>Baron_etal_1996_Table51</v>
      </c>
      <c r="K43" s="3" t="str">
        <f t="shared" si="12"/>
        <v>ISBN%3A9783764353704_Table51</v>
      </c>
      <c r="L43" s="3" t="str">
        <f t="array" ref="L43">IFERROR(INDEX(AUTO_Public_TSV_FileList!$A$1:$A$1000,MATCH(TRUE(),EXACT(K43,IFERROR(_xlfn.TEXTBEFORE(AUTO_Public_TSV_FileList!$A$1:$A$1000,".tsv"),"")),0)),"notfound")</f>
        <v>ISBN%3A9783764353704_Table51.tsv</v>
      </c>
      <c r="M43" s="7" t="s">
        <v>194</v>
      </c>
      <c r="N43" s="1" t="s">
        <v>35</v>
      </c>
      <c r="P43" s="7"/>
      <c r="Q43" s="7"/>
      <c r="R43" s="7"/>
      <c r="S43" s="7" t="s">
        <v>129</v>
      </c>
      <c r="T43" s="7" t="s">
        <v>169</v>
      </c>
      <c r="U43" s="7"/>
      <c r="W43" s="7" t="s">
        <v>131</v>
      </c>
      <c r="X43" s="7" t="s">
        <v>195</v>
      </c>
      <c r="Y43" s="7"/>
      <c r="Z43" s="7" t="s">
        <v>83</v>
      </c>
      <c r="AA43" s="7" t="s">
        <v>123</v>
      </c>
      <c r="AB43" s="7" t="s">
        <v>90</v>
      </c>
      <c r="AD43" s="7"/>
      <c r="AE43" s="7" t="s">
        <v>172</v>
      </c>
      <c r="AF43" s="7"/>
      <c r="AG43" s="7" t="s">
        <v>196</v>
      </c>
    </row>
    <row r="44" spans="1:33" ht="17" customHeight="1" x14ac:dyDescent="0.2">
      <c r="A44" s="8" t="s">
        <v>124</v>
      </c>
      <c r="C44" s="1" t="s">
        <v>125</v>
      </c>
      <c r="D44" s="7" t="s">
        <v>197</v>
      </c>
      <c r="E44" s="3" t="str">
        <f t="shared" si="0"/>
        <v>Baron</v>
      </c>
      <c r="F44" s="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3" t="str">
        <f t="shared" si="1"/>
        <v>1996</v>
      </c>
      <c r="H44" s="3" t="str">
        <f t="shared" si="2"/>
        <v>Baron_etal_1996</v>
      </c>
      <c r="I44" s="3" t="str">
        <f t="shared" si="13"/>
        <v>ISBN%3A9783764353704</v>
      </c>
      <c r="J44" s="3" t="str">
        <f t="shared" si="3"/>
        <v>Baron_etal_1996_Table8</v>
      </c>
      <c r="K44" s="3" t="str">
        <f t="shared" si="12"/>
        <v>ISBN%3A9783764353704_Table8</v>
      </c>
      <c r="L44" s="3" t="str">
        <f t="array" ref="L44">IFERROR(INDEX(AUTO_Public_TSV_FileList!$A$1:$A$1000,MATCH(TRUE(),EXACT(K44,IFERROR(_xlfn.TEXTBEFORE(AUTO_Public_TSV_FileList!$A$1:$A$1000,".tsv"),"")),0)),"notfound")</f>
        <v>ISBN%3A9783764353704_Table8.tsv</v>
      </c>
      <c r="M44" s="7" t="s">
        <v>198</v>
      </c>
      <c r="N44" s="1" t="s">
        <v>35</v>
      </c>
      <c r="O44" s="7" t="s">
        <v>199</v>
      </c>
      <c r="P44" s="7"/>
      <c r="Q44" s="7"/>
      <c r="R44" s="7"/>
      <c r="S44" s="7" t="s">
        <v>129</v>
      </c>
      <c r="T44" s="7" t="s">
        <v>130</v>
      </c>
      <c r="U44" s="7"/>
      <c r="W44" s="7" t="s">
        <v>131</v>
      </c>
      <c r="X44" s="7" t="s">
        <v>200</v>
      </c>
      <c r="Y44" s="7" t="s">
        <v>200</v>
      </c>
      <c r="Z44" s="7" t="s">
        <v>83</v>
      </c>
      <c r="AA44" s="7"/>
      <c r="AB44" s="7" t="s">
        <v>90</v>
      </c>
      <c r="AC44" s="7" t="s">
        <v>112</v>
      </c>
      <c r="AD44" s="7" t="s">
        <v>112</v>
      </c>
      <c r="AE44" s="7" t="s">
        <v>66</v>
      </c>
      <c r="AF44" s="7"/>
      <c r="AG44" s="7" t="s">
        <v>201</v>
      </c>
    </row>
    <row r="45" spans="1:33" ht="17" customHeight="1" x14ac:dyDescent="0.2">
      <c r="A45" s="1" t="s">
        <v>202</v>
      </c>
      <c r="D45" s="1" t="s">
        <v>81</v>
      </c>
      <c r="E45" s="3" t="str">
        <f t="shared" si="0"/>
        <v>Bauernfeind</v>
      </c>
      <c r="F45" s="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3" t="str">
        <f t="shared" si="1"/>
        <v>2013</v>
      </c>
      <c r="H45" s="3" t="str">
        <f t="shared" si="2"/>
        <v>Bauernfeind_etal_2013</v>
      </c>
      <c r="I45" s="3" t="str">
        <f t="shared" si="13"/>
        <v>10.1016%2Fj.jhevol.2012.12.003</v>
      </c>
      <c r="J45" s="3" t="str">
        <f t="shared" si="3"/>
        <v>Bauernfeind_etal_2013_Table1</v>
      </c>
      <c r="K45" s="3" t="str">
        <f t="shared" si="12"/>
        <v>10.1016%2Fj.jhevol.2012.12.003_Table1</v>
      </c>
      <c r="L45" s="3"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spans="1:33" ht="17" customHeight="1" x14ac:dyDescent="0.2">
      <c r="A46" s="1" t="s">
        <v>202</v>
      </c>
      <c r="D46" s="1" t="s">
        <v>70</v>
      </c>
      <c r="E46" s="3" t="str">
        <f t="shared" si="0"/>
        <v>Bauernfeind</v>
      </c>
      <c r="F46" s="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3" t="str">
        <f t="shared" si="1"/>
        <v>2013</v>
      </c>
      <c r="H46" s="3" t="str">
        <f t="shared" si="2"/>
        <v>Bauernfeind_etal_2013</v>
      </c>
      <c r="I46" s="3" t="str">
        <f t="shared" si="13"/>
        <v>10.1016%2Fj.jhevol.2012.12.003</v>
      </c>
      <c r="J46" s="3" t="str">
        <f t="shared" si="3"/>
        <v>Bauernfeind_etal_2013_Table2</v>
      </c>
      <c r="K46" s="3" t="str">
        <f t="shared" si="12"/>
        <v>10.1016%2Fj.jhevol.2012.12.003_Table2</v>
      </c>
      <c r="L46" s="3"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spans="1:33" ht="17" customHeight="1" x14ac:dyDescent="0.2">
      <c r="A47" s="1" t="s">
        <v>202</v>
      </c>
      <c r="D47" s="1" t="s">
        <v>72</v>
      </c>
      <c r="E47" s="3" t="str">
        <f t="shared" si="0"/>
        <v>Bauernfeind</v>
      </c>
      <c r="F47" s="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3" t="str">
        <f t="shared" si="1"/>
        <v>2013</v>
      </c>
      <c r="H47" s="3" t="str">
        <f t="shared" si="2"/>
        <v>Bauernfeind_etal_2013</v>
      </c>
      <c r="I47" s="3" t="str">
        <f t="shared" si="13"/>
        <v>10.1016%2Fj.jhevol.2012.12.003</v>
      </c>
      <c r="J47" s="3" t="str">
        <f t="shared" si="3"/>
        <v>Bauernfeind_etal_2013_Table3</v>
      </c>
      <c r="K47" s="3" t="str">
        <f t="shared" si="12"/>
        <v>10.1016%2Fj.jhevol.2012.12.003_Table3</v>
      </c>
      <c r="L47" s="3"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spans="1:33" ht="17" customHeight="1" x14ac:dyDescent="0.2">
      <c r="A48" s="7" t="s">
        <v>206</v>
      </c>
      <c r="B48" s="7"/>
      <c r="C48" s="7"/>
      <c r="D48" s="7" t="s">
        <v>81</v>
      </c>
      <c r="E48" s="3" t="str">
        <f t="shared" si="0"/>
        <v>Bianchi</v>
      </c>
      <c r="F48" s="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3" t="str">
        <f t="shared" si="1"/>
        <v>2012</v>
      </c>
      <c r="H48" s="3" t="str">
        <f t="shared" si="2"/>
        <v>Bianchi_etal_2012</v>
      </c>
      <c r="I48" s="3" t="str">
        <f t="shared" si="13"/>
        <v>10.1093%2Fcercor%2Fbhs239</v>
      </c>
      <c r="J48" s="3" t="str">
        <f t="shared" si="3"/>
        <v>Bianchi_etal_2012_Table1</v>
      </c>
      <c r="K48" s="3" t="str">
        <f t="shared" si="12"/>
        <v>10.1093%2Fcercor%2Fbhs239_Table1</v>
      </c>
      <c r="L48" s="3" t="str">
        <f t="array" ref="L48">IFERROR(INDEX(AUTO_Public_TSV_FileList!$A$1:$A$1000,MATCH(TRUE(),EXACT(K48,IFERROR(_xlfn.TEXTBEFORE(AUTO_Public_TSV_FileList!$A$1:$A$1000,".tsv"),"")),0)),"notfound")</f>
        <v>notfound</v>
      </c>
      <c r="M48" s="7" t="s">
        <v>207</v>
      </c>
      <c r="N48" s="7" t="s">
        <v>208</v>
      </c>
      <c r="P48" s="7"/>
      <c r="Q48" s="7"/>
      <c r="R48" s="7" t="s">
        <v>209</v>
      </c>
      <c r="S48" s="7"/>
      <c r="T48" s="7" t="s">
        <v>210</v>
      </c>
      <c r="U48" s="7"/>
      <c r="V48" s="7" t="s">
        <v>211</v>
      </c>
      <c r="W48" s="7" t="s">
        <v>93</v>
      </c>
      <c r="X48" s="7" t="s">
        <v>212</v>
      </c>
      <c r="Y48" s="7" t="s">
        <v>213</v>
      </c>
      <c r="Z48" s="7"/>
      <c r="AA48" s="7" t="s">
        <v>214</v>
      </c>
      <c r="AB48" s="7" t="s">
        <v>215</v>
      </c>
      <c r="AC48" s="7"/>
      <c r="AD48" s="7"/>
      <c r="AE48" s="7" t="s">
        <v>66</v>
      </c>
      <c r="AF48" s="7"/>
      <c r="AG48" s="7" t="s">
        <v>216</v>
      </c>
    </row>
    <row r="49" spans="1:33" ht="17" customHeight="1" x14ac:dyDescent="0.2">
      <c r="A49" s="7" t="s">
        <v>206</v>
      </c>
      <c r="B49" s="7"/>
      <c r="C49" s="7"/>
      <c r="D49" s="7" t="s">
        <v>70</v>
      </c>
      <c r="E49" s="3" t="str">
        <f t="shared" si="0"/>
        <v>Bianchi</v>
      </c>
      <c r="F49" s="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3" t="str">
        <f t="shared" si="1"/>
        <v>2012</v>
      </c>
      <c r="H49" s="3" t="str">
        <f t="shared" si="2"/>
        <v>Bianchi_etal_2012</v>
      </c>
      <c r="I49" s="3" t="str">
        <f t="shared" si="13"/>
        <v>10.1093%2Fcercor%2Fbhs239</v>
      </c>
      <c r="J49" s="3" t="str">
        <f t="shared" si="3"/>
        <v>Bianchi_etal_2012_Table2</v>
      </c>
      <c r="K49" s="3" t="str">
        <f t="shared" si="12"/>
        <v>10.1093%2Fcercor%2Fbhs239_Table2</v>
      </c>
      <c r="L49" s="3" t="str">
        <f t="array" ref="L49">IFERROR(INDEX(AUTO_Public_TSV_FileList!$A$1:$A$1000,MATCH(TRUE(),EXACT(K49,IFERROR(_xlfn.TEXTBEFORE(AUTO_Public_TSV_FileList!$A$1:$A$1000,".tsv"),"")),0)),"notfound")</f>
        <v>notfound</v>
      </c>
      <c r="M49" s="7" t="s">
        <v>217</v>
      </c>
      <c r="N49" s="7" t="s">
        <v>208</v>
      </c>
      <c r="P49" s="7"/>
      <c r="Q49" s="7"/>
      <c r="R49" s="7" t="s">
        <v>209</v>
      </c>
      <c r="S49" s="7"/>
      <c r="T49" s="7" t="s">
        <v>210</v>
      </c>
      <c r="U49" s="7"/>
      <c r="V49" s="7" t="s">
        <v>211</v>
      </c>
      <c r="W49" s="7" t="s">
        <v>93</v>
      </c>
      <c r="X49" s="7" t="s">
        <v>212</v>
      </c>
      <c r="Y49" s="7" t="s">
        <v>218</v>
      </c>
      <c r="Z49" s="7"/>
      <c r="AA49" s="7" t="s">
        <v>214</v>
      </c>
      <c r="AB49" s="7" t="s">
        <v>215</v>
      </c>
      <c r="AC49" s="7"/>
      <c r="AD49" s="7"/>
      <c r="AE49" s="7" t="s">
        <v>219</v>
      </c>
      <c r="AF49" s="7"/>
      <c r="AG49" s="7" t="s">
        <v>220</v>
      </c>
    </row>
    <row r="50" spans="1:33" ht="17" customHeight="1" x14ac:dyDescent="0.2">
      <c r="A50" s="1" t="s">
        <v>221</v>
      </c>
      <c r="D50" s="1" t="s">
        <v>81</v>
      </c>
      <c r="E50" s="3" t="str">
        <f t="shared" si="0"/>
        <v>Bortoff</v>
      </c>
      <c r="F50" s="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0" s="3" t="str">
        <f t="shared" si="1"/>
        <v>1993</v>
      </c>
      <c r="H50" s="3" t="str">
        <f t="shared" si="2"/>
        <v>Bortoff_Strick_1993</v>
      </c>
      <c r="I50" s="3" t="str">
        <f t="shared" si="13"/>
        <v>10.1523%2FJNEUROSCI.13-12-05105.1993</v>
      </c>
      <c r="J50" s="3" t="str">
        <f t="shared" si="3"/>
        <v>Bortoff_Strick_1993_Table1</v>
      </c>
      <c r="K50" s="3" t="str">
        <f t="shared" si="12"/>
        <v>10.1523%2FJNEUROSCI.13-12-05105.1993_Table1</v>
      </c>
      <c r="L50" s="3" t="str">
        <f t="array" ref="L50">IFERROR(INDEX(AUTO_Public_TSV_FileList!$A$1:$A$1000,MATCH(TRUE(),EXACT(K50,IFERROR(_xlfn.TEXTBEFORE(AUTO_Public_TSV_FileList!$A$1:$A$1000,".tsv"),"")),0)),"notfound")</f>
        <v>10.1523%2FJNEUROSCI.13-12-05105.1993_Table1.tsv</v>
      </c>
      <c r="M50" s="1" t="s">
        <v>222</v>
      </c>
      <c r="N50" s="1" t="s">
        <v>35</v>
      </c>
      <c r="P50" s="1" t="s">
        <v>36</v>
      </c>
      <c r="Q50" s="1"/>
      <c r="R50" s="1" t="s">
        <v>223</v>
      </c>
      <c r="V50" s="1" t="s">
        <v>224</v>
      </c>
      <c r="W50" s="1" t="s">
        <v>225</v>
      </c>
      <c r="X50" s="1" t="s">
        <v>226</v>
      </c>
      <c r="Y50" s="1" t="s">
        <v>227</v>
      </c>
      <c r="AA50" s="1" t="s">
        <v>228</v>
      </c>
      <c r="AB50" s="1" t="s">
        <v>229</v>
      </c>
      <c r="AC50" s="1" t="s">
        <v>230</v>
      </c>
      <c r="AE50" s="1" t="s">
        <v>66</v>
      </c>
      <c r="AF50" s="1"/>
      <c r="AG50" s="1" t="s">
        <v>231</v>
      </c>
    </row>
    <row r="51" spans="1:33" ht="17" customHeight="1" x14ac:dyDescent="0.2">
      <c r="A51" s="1" t="s">
        <v>232</v>
      </c>
      <c r="D51" s="1" t="s">
        <v>81</v>
      </c>
      <c r="E51" s="3" t="str">
        <f t="shared" si="0"/>
        <v>Boyer</v>
      </c>
      <c r="F51" s="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3" t="str">
        <f t="shared" si="1"/>
        <v>2018</v>
      </c>
      <c r="H51" s="3" t="str">
        <f t="shared" si="2"/>
        <v>Boyer_Harrington_2018</v>
      </c>
      <c r="I51" s="3" t="str">
        <f t="shared" si="13"/>
        <v>10.1016%2Fj.jhevol.2017.09.003</v>
      </c>
      <c r="J51" s="3" t="str">
        <f t="shared" si="3"/>
        <v>Boyer_Harrington_2018_Table1</v>
      </c>
      <c r="K51" s="3" t="str">
        <f t="shared" si="12"/>
        <v>10.1016%2Fj.jhevol.2017.09.003_Table1</v>
      </c>
      <c r="L51" s="3" t="str">
        <f t="array" ref="L51">IFERROR(INDEX(AUTO_Public_TSV_FileList!$A$1:$A$1000,MATCH(TRUE(),EXACT(K51,IFERROR(_xlfn.TEXTBEFORE(AUTO_Public_TSV_FileList!$A$1:$A$1000,".tsv"),"")),0)),"notfound")</f>
        <v>10.1016%2Fj.jhevol.2017.09.003_Table1.tsv</v>
      </c>
      <c r="M51" s="1" t="s">
        <v>233</v>
      </c>
      <c r="P51" s="1" t="s">
        <v>36</v>
      </c>
    </row>
    <row r="52" spans="1:33" ht="17" customHeight="1" x14ac:dyDescent="0.2">
      <c r="A52" s="1" t="s">
        <v>234</v>
      </c>
      <c r="D52" s="1" t="s">
        <v>235</v>
      </c>
      <c r="E52" s="3" t="str">
        <f t="shared" si="0"/>
        <v>Boyer</v>
      </c>
      <c r="F52" s="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2" s="3" t="str">
        <f t="shared" si="1"/>
        <v>2019</v>
      </c>
      <c r="H52" s="3" t="str">
        <f t="shared" si="2"/>
        <v>Boyer_Harrington_2019</v>
      </c>
      <c r="I52" s="3" t="str">
        <f t="shared" si="13"/>
        <v>10.1016%2Fj.jhevol.2018.10.002</v>
      </c>
      <c r="J52" s="3" t="str">
        <f t="shared" si="3"/>
        <v>Boyer_Harrington_2019_SOMTableS6</v>
      </c>
      <c r="K52" s="3" t="str">
        <f t="shared" si="12"/>
        <v>10.1016%2Fj.jhevol.2018.10.002_SOMTableS6</v>
      </c>
      <c r="L52" s="3" t="str">
        <f t="array" ref="L52">IFERROR(INDEX(AUTO_Public_TSV_FileList!$A$1:$A$1000,MATCH(TRUE(),EXACT(K52,IFERROR(_xlfn.TEXTBEFORE(AUTO_Public_TSV_FileList!$A$1:$A$1000,".tsv"),"")),0)),"notfound")</f>
        <v>10.1016%2Fj.jhevol.2018.10.002_SOMTableS6.tsv</v>
      </c>
      <c r="P52" s="1" t="s">
        <v>36</v>
      </c>
    </row>
    <row r="53" spans="1:33" ht="17" customHeight="1" x14ac:dyDescent="0.2">
      <c r="A53" s="8" t="s">
        <v>236</v>
      </c>
      <c r="C53" s="1" t="s">
        <v>237</v>
      </c>
      <c r="D53" s="1" t="s">
        <v>81</v>
      </c>
      <c r="E53" s="3" t="str">
        <f t="shared" si="0"/>
        <v>Brodmann</v>
      </c>
      <c r="F53" s="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3" s="3" t="str">
        <f t="shared" si="1"/>
        <v>1913</v>
      </c>
      <c r="H53" s="3" t="str">
        <f t="shared" si="2"/>
        <v>Brodmann__1913</v>
      </c>
      <c r="I53" s="3" t="str">
        <f t="shared" si="13"/>
        <v>OCLC%3A8777719</v>
      </c>
      <c r="J53" s="3" t="str">
        <f t="shared" si="3"/>
        <v>Brodmann__1913_Table1</v>
      </c>
      <c r="K53" s="3" t="str">
        <f t="shared" si="12"/>
        <v>OCLC%3A8777719_Table1</v>
      </c>
      <c r="L53" s="3" t="str">
        <f t="array" ref="L53">IFERROR(INDEX(AUTO_Public_TSV_FileList!$A$1:$A$1000,MATCH(TRUE(),EXACT(K53,IFERROR(_xlfn.TEXTBEFORE(AUTO_Public_TSV_FileList!$A$1:$A$1000,".tsv"),"")),0)),"notfound")</f>
        <v>OCLC%3A8777719_Table1.tsv</v>
      </c>
      <c r="M53" s="1" t="s">
        <v>238</v>
      </c>
      <c r="P53" s="1" t="s">
        <v>36</v>
      </c>
      <c r="W53" s="1" t="s">
        <v>239</v>
      </c>
      <c r="X53" s="1" t="s">
        <v>240</v>
      </c>
      <c r="AB53" s="1" t="s">
        <v>241</v>
      </c>
      <c r="AE53" s="1" t="s">
        <v>66</v>
      </c>
      <c r="AF53" s="1"/>
    </row>
    <row r="54" spans="1:33" ht="17" customHeight="1" x14ac:dyDescent="0.2">
      <c r="A54" s="1" t="s">
        <v>242</v>
      </c>
      <c r="C54" s="1" t="s">
        <v>243</v>
      </c>
      <c r="D54" s="1" t="s">
        <v>244</v>
      </c>
      <c r="E54" s="3" t="str">
        <f t="shared" si="0"/>
        <v>Brodmann</v>
      </c>
      <c r="F54" s="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4" s="3" t="str">
        <f t="shared" si="1"/>
        <v>1913</v>
      </c>
      <c r="H54" s="3" t="str">
        <f t="shared" si="2"/>
        <v>Brodmann__1913</v>
      </c>
      <c r="I54" s="3" t="str">
        <f t="shared" si="13"/>
        <v>10.0000%2Fplaceholder</v>
      </c>
      <c r="J54" s="3" t="str">
        <f t="shared" si="3"/>
        <v>Brodmann__1913_Tabelle1</v>
      </c>
      <c r="K54" s="3" t="str">
        <f t="shared" si="12"/>
        <v>10.0000%2Fplaceholder_Tabelle1</v>
      </c>
      <c r="L54" s="3" t="str">
        <f t="array" ref="L54">IFERROR(INDEX(AUTO_Public_TSV_FileList!$A$1:$A$1000,MATCH(TRUE(),EXACT(K54,IFERROR(_xlfn.TEXTBEFORE(AUTO_Public_TSV_FileList!$A$1:$A$1000,".tsv"),"")),0)),"notfound")</f>
        <v>notfound</v>
      </c>
      <c r="W54" s="1" t="s">
        <v>245</v>
      </c>
      <c r="X54" s="1" t="s">
        <v>171</v>
      </c>
      <c r="AB54" s="1" t="s">
        <v>171</v>
      </c>
      <c r="AE54" s="1" t="s">
        <v>66</v>
      </c>
      <c r="AF54" s="1"/>
    </row>
    <row r="55" spans="1:33" ht="17" customHeight="1" x14ac:dyDescent="0.2">
      <c r="A55" s="1" t="s">
        <v>246</v>
      </c>
      <c r="D55" s="1" t="s">
        <v>247</v>
      </c>
      <c r="E55" s="3" t="str">
        <f t="shared" si="0"/>
        <v>Burger</v>
      </c>
      <c r="F55" s="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3" t="str">
        <f t="shared" si="1"/>
        <v>2019</v>
      </c>
      <c r="H55" s="3" t="str">
        <f t="shared" si="2"/>
        <v>Burger_etal_2019</v>
      </c>
      <c r="I55" s="3" t="str">
        <f t="shared" si="13"/>
        <v>10.1093%2Fjmammal%2Fgyz043</v>
      </c>
      <c r="J55" s="3" t="str">
        <f t="shared" si="3"/>
        <v>Burger_etal_2019_SupplementaryDataSD1</v>
      </c>
      <c r="K55" s="3" t="str">
        <f t="shared" si="12"/>
        <v>10.1093%2Fjmammal%2Fgyz043_SupplementaryDataSD1</v>
      </c>
      <c r="L55" s="3" t="str">
        <f t="array" ref="L55">IFERROR(INDEX(AUTO_Public_TSV_FileList!$A$1:$A$1000,MATCH(TRUE(),EXACT(K55,IFERROR(_xlfn.TEXTBEFORE(AUTO_Public_TSV_FileList!$A$1:$A$1000,".tsv"),"")),0)),"notfound")</f>
        <v>10.1093%2Fjmammal%2Fgyz043_SupplementaryDataSD1.tsv</v>
      </c>
      <c r="M55" s="1" t="s">
        <v>248</v>
      </c>
      <c r="N55" s="1" t="s">
        <v>35</v>
      </c>
      <c r="P55" s="1" t="s">
        <v>36</v>
      </c>
      <c r="Q55" s="1" t="s">
        <v>249</v>
      </c>
      <c r="V55" s="1"/>
      <c r="W55" s="1" t="s">
        <v>131</v>
      </c>
      <c r="X55" s="1" t="s">
        <v>250</v>
      </c>
      <c r="AB55" s="1" t="s">
        <v>251</v>
      </c>
      <c r="AE55" s="1" t="s">
        <v>172</v>
      </c>
      <c r="AF55" s="1"/>
      <c r="AG55" s="1" t="s">
        <v>252</v>
      </c>
    </row>
    <row r="56" spans="1:33" ht="17" customHeight="1" x14ac:dyDescent="0.2">
      <c r="A56" s="1" t="s">
        <v>253</v>
      </c>
      <c r="D56" s="1" t="s">
        <v>254</v>
      </c>
      <c r="E56" s="3" t="str">
        <f t="shared" si="0"/>
        <v>Burish</v>
      </c>
      <c r="F56" s="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3" t="str">
        <f t="shared" si="1"/>
        <v>2010</v>
      </c>
      <c r="H56" s="3" t="str">
        <f t="shared" si="2"/>
        <v>Burish_etal_2010</v>
      </c>
      <c r="I56" s="3" t="str">
        <f t="shared" si="13"/>
        <v>10.1159%2F000319019</v>
      </c>
      <c r="J56" s="3" t="str">
        <f t="shared" si="3"/>
        <v>Burish_etal_2010_SupplementaryTable1</v>
      </c>
      <c r="K56" s="3" t="str">
        <f t="shared" si="12"/>
        <v>10.1159%2F000319019_SupplementaryTable1</v>
      </c>
      <c r="L56" s="3" t="str">
        <f t="array" ref="L56">IFERROR(INDEX(AUTO_Public_TSV_FileList!$A$1:$A$1000,MATCH(TRUE(),EXACT(K56,IFERROR(_xlfn.TEXTBEFORE(AUTO_Public_TSV_FileList!$A$1:$A$1000,".tsv"),"")),0)),"notfound")</f>
        <v>10.1159%2F000319019_SupplementaryTable1.tsv</v>
      </c>
      <c r="M56" s="1" t="s">
        <v>255</v>
      </c>
      <c r="P56" s="1" t="s">
        <v>36</v>
      </c>
      <c r="Q56" s="1"/>
      <c r="V56" s="1"/>
      <c r="W56" s="8" t="s">
        <v>256</v>
      </c>
      <c r="X56" s="1" t="s">
        <v>257</v>
      </c>
      <c r="AA56" s="1" t="s">
        <v>63</v>
      </c>
      <c r="AB56" s="1"/>
      <c r="AC56" s="1" t="s">
        <v>65</v>
      </c>
      <c r="AD56" s="1" t="s">
        <v>65</v>
      </c>
      <c r="AE56" s="1"/>
      <c r="AF56" s="1"/>
    </row>
    <row r="57" spans="1:33" ht="17" customHeight="1" x14ac:dyDescent="0.2">
      <c r="A57" s="1" t="s">
        <v>253</v>
      </c>
      <c r="D57" s="1" t="s">
        <v>81</v>
      </c>
      <c r="E57" s="3" t="str">
        <f t="shared" si="0"/>
        <v>Burish</v>
      </c>
      <c r="F57" s="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3" t="str">
        <f t="shared" si="1"/>
        <v>2010</v>
      </c>
      <c r="H57" s="3" t="str">
        <f t="shared" si="2"/>
        <v>Burish_etal_2010</v>
      </c>
      <c r="I57" s="3" t="str">
        <f t="shared" si="13"/>
        <v>10.1159%2F000319019</v>
      </c>
      <c r="J57" s="3" t="str">
        <f t="shared" si="3"/>
        <v>Burish_etal_2010_Table1</v>
      </c>
      <c r="K57" s="3" t="str">
        <f t="shared" si="12"/>
        <v>10.1159%2F000319019_Table1</v>
      </c>
      <c r="L57" s="3" t="str">
        <f t="array" ref="L57">IFERROR(INDEX(AUTO_Public_TSV_FileList!$A$1:$A$1000,MATCH(TRUE(),EXACT(K57,IFERROR(_xlfn.TEXTBEFORE(AUTO_Public_TSV_FileList!$A$1:$A$1000,".tsv"),"")),0)),"notfound")</f>
        <v>10.1159%2F000319019_Table1.tsv</v>
      </c>
      <c r="M57" s="1" t="s">
        <v>258</v>
      </c>
      <c r="N57" s="1" t="s">
        <v>35</v>
      </c>
      <c r="P57" s="1" t="s">
        <v>36</v>
      </c>
      <c r="Q57" s="1"/>
      <c r="R57" s="1" t="s">
        <v>259</v>
      </c>
      <c r="S57" s="1" t="s">
        <v>260</v>
      </c>
      <c r="W57" s="1" t="s">
        <v>256</v>
      </c>
      <c r="X57" s="1" t="s">
        <v>257</v>
      </c>
      <c r="AA57" s="1" t="s">
        <v>63</v>
      </c>
      <c r="AB57" s="1"/>
      <c r="AC57" s="1" t="s">
        <v>65</v>
      </c>
      <c r="AD57" s="1" t="s">
        <v>65</v>
      </c>
      <c r="AE57" s="1"/>
      <c r="AF57" s="1"/>
    </row>
    <row r="58" spans="1:33" ht="17" customHeight="1" x14ac:dyDescent="0.2">
      <c r="A58" s="1" t="s">
        <v>261</v>
      </c>
      <c r="D58" s="1" t="s">
        <v>81</v>
      </c>
      <c r="E58" s="3" t="str">
        <f t="shared" si="0"/>
        <v>Bush</v>
      </c>
      <c r="F58" s="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3" t="str">
        <f t="shared" si="1"/>
        <v>2003</v>
      </c>
      <c r="H58" s="3" t="str">
        <f t="shared" si="2"/>
        <v>Bush_Allman_2003</v>
      </c>
      <c r="I58" s="3" t="str">
        <f t="shared" si="13"/>
        <v>10.1159%2F000068880</v>
      </c>
      <c r="J58" s="3" t="str">
        <f t="shared" si="3"/>
        <v>Bush_Allman_2003_Table1</v>
      </c>
      <c r="K58" s="3" t="str">
        <f t="shared" si="12"/>
        <v>10.1159%2F000068880_Table1</v>
      </c>
      <c r="L58" s="3" t="str">
        <f t="array" ref="L58">IFERROR(INDEX(AUTO_Public_TSV_FileList!$A$1:$A$1000,MATCH(TRUE(),EXACT(K58,IFERROR(_xlfn.TEXTBEFORE(AUTO_Public_TSV_FileList!$A$1:$A$1000,".tsv"),"")),0)),"notfound")</f>
        <v>10.1159%2F000068880_Table1.tsv</v>
      </c>
      <c r="M58" s="1"/>
      <c r="P58" s="1" t="s">
        <v>36</v>
      </c>
      <c r="AC58" s="1" t="s">
        <v>262</v>
      </c>
      <c r="AD58" s="1" t="s">
        <v>263</v>
      </c>
    </row>
    <row r="59" spans="1:33" ht="17" customHeight="1" x14ac:dyDescent="0.2">
      <c r="A59" s="1" t="s">
        <v>264</v>
      </c>
      <c r="B59" s="1" t="s">
        <v>265</v>
      </c>
      <c r="D59" s="1" t="s">
        <v>70</v>
      </c>
      <c r="E59" s="3" t="str">
        <f t="shared" si="0"/>
        <v>Bush</v>
      </c>
      <c r="F59" s="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3" t="str">
        <f t="shared" si="1"/>
        <v>2004</v>
      </c>
      <c r="H59" s="3" t="str">
        <f t="shared" si="2"/>
        <v>Bush_Allman_2004_a</v>
      </c>
      <c r="I59" s="3" t="str">
        <f t="shared" si="13"/>
        <v>10.1073%2Fpnas.0305760101</v>
      </c>
      <c r="J59" s="3" t="str">
        <f t="shared" si="3"/>
        <v>Bush_Allman_2004_a_Table2</v>
      </c>
      <c r="K59" s="3" t="str">
        <f t="shared" si="12"/>
        <v>10.1073%2Fpnas.0305760101_Table2</v>
      </c>
      <c r="L59" s="3" t="str">
        <f t="array" ref="L59">IFERROR(INDEX(AUTO_Public_TSV_FileList!$A$1:$A$1000,MATCH(TRUE(),EXACT(K59,IFERROR(_xlfn.TEXTBEFORE(AUTO_Public_TSV_FileList!$A$1:$A$1000,".tsv"),"")),0)),"notfound")</f>
        <v>10.1073%2Fpnas.0305760101_Table2.tsv</v>
      </c>
      <c r="M59" s="1" t="s">
        <v>266</v>
      </c>
      <c r="N59" s="1" t="s">
        <v>35</v>
      </c>
      <c r="P59" s="1" t="s">
        <v>36</v>
      </c>
      <c r="Q59" s="1"/>
      <c r="W59" s="1" t="s">
        <v>267</v>
      </c>
      <c r="X59" s="1" t="s">
        <v>268</v>
      </c>
      <c r="Z59" s="1" t="s">
        <v>83</v>
      </c>
      <c r="AA59" s="1" t="s">
        <v>123</v>
      </c>
      <c r="AC59" s="1" t="s">
        <v>262</v>
      </c>
      <c r="AD59" s="1" t="s">
        <v>263</v>
      </c>
    </row>
    <row r="60" spans="1:33" ht="17" customHeight="1" x14ac:dyDescent="0.2">
      <c r="A60" s="1" t="s">
        <v>269</v>
      </c>
      <c r="B60" s="1" t="s">
        <v>270</v>
      </c>
      <c r="D60" s="1" t="s">
        <v>58</v>
      </c>
      <c r="E60" s="3" t="str">
        <f t="shared" si="0"/>
        <v>Bush</v>
      </c>
      <c r="F60" s="3"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3" t="str">
        <f t="shared" si="1"/>
        <v>2004</v>
      </c>
      <c r="H60" s="3" t="str">
        <f t="shared" si="2"/>
        <v>Bush_Allman_2004_b</v>
      </c>
      <c r="I60" s="3" t="str">
        <f t="shared" si="13"/>
        <v>10.1002%2Far.a.20114</v>
      </c>
      <c r="J60" s="3" t="str">
        <f t="shared" si="3"/>
        <v>Bush_Allman_2004_b_TABLE1</v>
      </c>
      <c r="K60" s="3" t="str">
        <f t="shared" si="12"/>
        <v>10.1002%2Far.a.20114_TABLE1</v>
      </c>
      <c r="L60" s="3" t="str">
        <f t="array" ref="L60">IFERROR(INDEX(AUTO_Public_TSV_FileList!$A$1:$A$1000,MATCH(TRUE(),EXACT(K60,IFERROR(_xlfn.TEXTBEFORE(AUTO_Public_TSV_FileList!$A$1:$A$1000,".tsv"),"")),0)),"notfound")</f>
        <v>10.1002%2Far.a.20114_TABLE1.tsv</v>
      </c>
      <c r="M60" s="1" t="s">
        <v>271</v>
      </c>
      <c r="N60" s="1" t="s">
        <v>35</v>
      </c>
      <c r="P60" s="1" t="s">
        <v>36</v>
      </c>
      <c r="Q60" s="1"/>
      <c r="W60" s="1" t="s">
        <v>272</v>
      </c>
      <c r="X60" s="1" t="s">
        <v>273</v>
      </c>
      <c r="Z60" s="1" t="s">
        <v>83</v>
      </c>
      <c r="AA60" s="1" t="s">
        <v>274</v>
      </c>
      <c r="AC60" s="1" t="s">
        <v>262</v>
      </c>
      <c r="AD60" s="1" t="s">
        <v>263</v>
      </c>
    </row>
    <row r="61" spans="1:33" ht="17" customHeight="1" x14ac:dyDescent="0.2">
      <c r="A61" s="1" t="s">
        <v>269</v>
      </c>
      <c r="B61" s="1" t="s">
        <v>270</v>
      </c>
      <c r="D61" s="1" t="s">
        <v>103</v>
      </c>
      <c r="E61" s="3" t="str">
        <f t="shared" ref="E61:E62" si="14">SUBSTITUTE(SUBSTITUTE(_xlfn.TEXTBEFORE(A61,","), "-", ""), " ", "")</f>
        <v>Bush</v>
      </c>
      <c r="F61" s="3"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3" t="str">
        <f t="shared" ref="G61:G62" si="15">_xlfn.TEXTBEFORE(_xlfn.TEXTAFTER(A61, "("), ")")</f>
        <v>2004</v>
      </c>
      <c r="H61" s="3" t="str">
        <f t="shared" ref="H61:H62" si="16">E61 &amp; IF(F61&lt;&gt;"", "_" &amp; F61, "_") &amp; IF(G61&lt;&gt;"", "_" &amp; G61, "_") &amp; IF(B61&lt;&gt;"", "_" &amp; B61, "")</f>
        <v>Bush_Allman_2004_b</v>
      </c>
      <c r="I61" s="3" t="str">
        <f t="shared" ref="I61:I62" si="17">_xlfn.LET(
_xlpm.doi,IF(C61&lt;&gt;"",C61,_xlfn.TEXTAFTER(A61,"https://doi.org/")),
SUBSTITUTE(
SUBSTITUTE(
SUBSTITUTE(
SUBSTITUTE(
_xlpm.doi,
"/","%2F"),
":","%3A"),
"&lt;","%3C"),
"&gt;","%3E")
)</f>
        <v>10.1002%2Far.a.20114</v>
      </c>
      <c r="J61" s="3" t="str">
        <f t="shared" ref="J61:J62" si="18">TRIM(_xlfn.TEXTJOIN("_",FALSE(),H61,(SUBSTITUTE(SUBSTITUTE(D61," ",""), "_", ""))))</f>
        <v>Bush_Allman_2004_b_TABLE2</v>
      </c>
      <c r="K61" s="3" t="str">
        <f t="shared" ref="K61:K62" si="19">I61 &amp; "_" &amp; SUBSTITUTE(SUBSTITUTE(SUBSTITUTE(D61,CHAR(160),"")," ",""),"_","")</f>
        <v>10.1002%2Far.a.20114_TABLE2</v>
      </c>
      <c r="L61" s="3" t="str">
        <f t="array" ref="L61">IFERROR(INDEX(AUTO_Public_TSV_FileList!$A$1:$A$1000,MATCH(TRUE(),EXACT(K61,IFERROR(_xlfn.TEXTBEFORE(AUTO_Public_TSV_FileList!$A$1:$A$1000,".tsv"),"")),0)),"notfound")</f>
        <v>notfound</v>
      </c>
      <c r="M61" s="1"/>
      <c r="N61" s="1"/>
      <c r="P61" s="18"/>
      <c r="Q61" s="18"/>
      <c r="W61" s="1"/>
      <c r="X61" s="1"/>
      <c r="Z61" s="18"/>
      <c r="AA61" s="1"/>
      <c r="AC61" s="1"/>
      <c r="AD61" s="1"/>
    </row>
    <row r="62" spans="1:33" ht="17" customHeight="1" x14ac:dyDescent="0.2">
      <c r="A62" s="1" t="s">
        <v>269</v>
      </c>
      <c r="B62" s="1" t="s">
        <v>270</v>
      </c>
      <c r="D62" s="1" t="s">
        <v>683</v>
      </c>
      <c r="E62" s="3" t="str">
        <f t="shared" si="14"/>
        <v>Bush</v>
      </c>
      <c r="F62" s="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3" t="str">
        <f t="shared" si="15"/>
        <v>2004</v>
      </c>
      <c r="H62" s="3" t="str">
        <f t="shared" si="16"/>
        <v>Bush_Allman_2004_b</v>
      </c>
      <c r="I62" s="3" t="str">
        <f t="shared" si="17"/>
        <v>10.1002%2Far.a.20114</v>
      </c>
      <c r="J62" s="3" t="str">
        <f t="shared" si="18"/>
        <v>Bush_Allman_2004_b_TABLE3</v>
      </c>
      <c r="K62" s="3" t="str">
        <f t="shared" si="19"/>
        <v>10.1002%2Far.a.20114_TABLE3</v>
      </c>
      <c r="L62" s="3" t="str">
        <f t="array" ref="L62">IFERROR(INDEX(AUTO_Public_TSV_FileList!$A$1:$A$1000,MATCH(TRUE(),EXACT(K62,IFERROR(_xlfn.TEXTBEFORE(AUTO_Public_TSV_FileList!$A$1:$A$1000,".tsv"),"")),0)),"notfound")</f>
        <v>notfound</v>
      </c>
      <c r="M62" s="1"/>
      <c r="N62" s="1"/>
      <c r="P62" s="18"/>
      <c r="Q62" s="18"/>
      <c r="W62" s="1"/>
      <c r="X62" s="1"/>
      <c r="Z62" s="18"/>
      <c r="AA62" s="1"/>
      <c r="AC62" s="1"/>
      <c r="AD62" s="1"/>
    </row>
    <row r="63" spans="1:33" ht="17" customHeight="1" x14ac:dyDescent="0.2">
      <c r="A63" s="1" t="s">
        <v>1488</v>
      </c>
      <c r="B63" s="5"/>
      <c r="D63" s="1" t="s">
        <v>81</v>
      </c>
      <c r="E63" s="3" t="str">
        <f t="shared" ref="E63:E65" si="20">SUBSTITUTE(SUBSTITUTE(_xlfn.TEXTBEFORE(A63,","), "-", ""), " ", "")</f>
        <v>Butti</v>
      </c>
      <c r="F63" s="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3" t="str">
        <f t="shared" ref="G63:G65" si="21">_xlfn.TEXTBEFORE(_xlfn.TEXTAFTER(A63, "("), ")")</f>
        <v>2009</v>
      </c>
      <c r="H63" s="3" t="str">
        <f t="shared" ref="H63:H65" si="22">E63 &amp; IF(F63&lt;&gt;"", "_" &amp; F63, "_") &amp; IF(G63&lt;&gt;"", "_" &amp; G63, "_") &amp; IF(B63&lt;&gt;"", "_" &amp; B63, "")</f>
        <v>Butti_etal_2009</v>
      </c>
      <c r="I63" s="3" t="str">
        <f t="shared" ref="I63:I65" si="23">_xlfn.LET(
_xlpm.doi,IF(C63&lt;&gt;"",C63,_xlfn.TEXTAFTER(A63,"https://doi.org/")),
SUBSTITUTE(
SUBSTITUTE(
SUBSTITUTE(
SUBSTITUTE(
_xlpm.doi,
"/","%2F"),
":","%3A"),
"&lt;","%3C"),
"&gt;","%3E")
)</f>
        <v>10.1002%2Fcne.22055</v>
      </c>
      <c r="J63" s="3" t="str">
        <f t="shared" ref="J63:J65" si="24">TRIM(_xlfn.TEXTJOIN("_",FALSE(),H63,(SUBSTITUTE(SUBSTITUTE(D63," ",""), "_", ""))))</f>
        <v>Butti_etal_2009_Table1</v>
      </c>
      <c r="K63" s="3" t="str">
        <f t="shared" ref="K63:K65" si="25">I63 &amp; "_" &amp; SUBSTITUTE(SUBSTITUTE(SUBSTITUTE(D63,CHAR(160),"")," ",""),"_","")</f>
        <v>10.1002%2Fcne.22055_Table1</v>
      </c>
      <c r="L63" s="3" t="str">
        <f t="array" ref="L63">IFERROR(INDEX(AUTO_Public_TSV_FileList!$A$1:$A$1000,MATCH(TRUE(),EXACT(K63,IFERROR(_xlfn.TEXTBEFORE(AUTO_Public_TSV_FileList!$A$1:$A$1000,".tsv"),"")),0)),"notfound")</f>
        <v>10.1002%2Fcne.22055_Table1.tsv</v>
      </c>
      <c r="M63" s="1"/>
      <c r="N63" s="1"/>
      <c r="P63" s="5"/>
      <c r="Q63" s="5"/>
      <c r="W63" s="1"/>
      <c r="X63" s="1"/>
      <c r="Z63" s="5"/>
      <c r="AA63" s="1"/>
      <c r="AC63" s="1"/>
      <c r="AD63" s="1"/>
    </row>
    <row r="64" spans="1:33" ht="17" customHeight="1" x14ac:dyDescent="0.2">
      <c r="A64" s="1" t="s">
        <v>1488</v>
      </c>
      <c r="B64" s="5"/>
      <c r="D64" s="1" t="s">
        <v>74</v>
      </c>
      <c r="E64" s="3" t="str">
        <f t="shared" si="20"/>
        <v>Butti</v>
      </c>
      <c r="F64" s="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3" t="str">
        <f t="shared" si="21"/>
        <v>2009</v>
      </c>
      <c r="H64" s="3" t="str">
        <f t="shared" si="22"/>
        <v>Butti_etal_2009</v>
      </c>
      <c r="I64" s="3" t="str">
        <f t="shared" si="23"/>
        <v>10.1002%2Fcne.22055</v>
      </c>
      <c r="J64" s="3" t="str">
        <f t="shared" si="24"/>
        <v>Butti_etal_2009_Table5</v>
      </c>
      <c r="K64" s="3" t="str">
        <f t="shared" si="25"/>
        <v>10.1002%2Fcne.22055_Table5</v>
      </c>
      <c r="L64" s="3" t="str">
        <f t="array" ref="L64">IFERROR(INDEX(AUTO_Public_TSV_FileList!$A$1:$A$1000,MATCH(TRUE(),EXACT(K64,IFERROR(_xlfn.TEXTBEFORE(AUTO_Public_TSV_FileList!$A$1:$A$1000,".tsv"),"")),0)),"notfound")</f>
        <v>10.1002%2Fcne.22055_Table5.tsv</v>
      </c>
      <c r="M64" s="1"/>
      <c r="N64" s="1"/>
      <c r="P64" s="5"/>
      <c r="Q64" s="5"/>
      <c r="W64" s="1"/>
      <c r="X64" s="1"/>
      <c r="Z64" s="5"/>
      <c r="AA64" s="1"/>
      <c r="AC64" s="1"/>
      <c r="AD64" s="1"/>
    </row>
    <row r="65" spans="1:33" ht="17" customHeight="1" x14ac:dyDescent="0.2">
      <c r="A65" s="1" t="s">
        <v>1488</v>
      </c>
      <c r="B65" s="5"/>
      <c r="D65" s="1" t="s">
        <v>1489</v>
      </c>
      <c r="E65" s="3" t="str">
        <f t="shared" si="20"/>
        <v>Butti</v>
      </c>
      <c r="F65" s="3"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3" t="str">
        <f t="shared" si="21"/>
        <v>2009</v>
      </c>
      <c r="H65" s="3" t="str">
        <f t="shared" si="22"/>
        <v>Butti_etal_2009</v>
      </c>
      <c r="I65" s="3" t="str">
        <f t="shared" si="23"/>
        <v>10.1002%2Fcne.22055</v>
      </c>
      <c r="J65" s="3" t="str">
        <f t="shared" si="24"/>
        <v>Butti_etal_2009_Table6</v>
      </c>
      <c r="K65" s="3" t="str">
        <f t="shared" si="25"/>
        <v>10.1002%2Fcne.22055_Table6</v>
      </c>
      <c r="L65" s="3" t="str">
        <f t="array" ref="L65">IFERROR(INDEX(AUTO_Public_TSV_FileList!$A$1:$A$1000,MATCH(TRUE(),EXACT(K65,IFERROR(_xlfn.TEXTBEFORE(AUTO_Public_TSV_FileList!$A$1:$A$1000,".tsv"),"")),0)),"notfound")</f>
        <v>10.1002%2Fcne.22055_Table6.tsv</v>
      </c>
      <c r="M65" s="1"/>
      <c r="N65" s="1"/>
      <c r="P65" s="5"/>
      <c r="Q65" s="5"/>
      <c r="W65" s="1"/>
      <c r="X65" s="1"/>
      <c r="Z65" s="5"/>
      <c r="AA65" s="1"/>
      <c r="AC65" s="1"/>
      <c r="AD65" s="1"/>
    </row>
    <row r="66" spans="1:33" ht="17" customHeight="1" x14ac:dyDescent="0.2">
      <c r="A66" s="8" t="s">
        <v>275</v>
      </c>
      <c r="D66" s="8" t="s">
        <v>81</v>
      </c>
      <c r="E66" s="10" t="str">
        <f t="shared" si="0"/>
        <v>Campos</v>
      </c>
      <c r="F66" s="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6" s="3" t="str">
        <f t="shared" si="1"/>
        <v>1976</v>
      </c>
      <c r="H66" s="10" t="str">
        <f t="shared" si="2"/>
        <v>Campos_Welker_1976</v>
      </c>
      <c r="I66" s="10" t="str">
        <f>_xlfn.LET(_xlpm.doi,IF(C66&lt;&gt;"",C66,_xlfn.TEXTAFTER(A66,"https://doi.org/")),SUBSTITUTE(SUBSTITUTE(SUBSTITUTE(SUBSTITUTE(_xlpm.doi,"/","%2F"),":","%3A"),"&lt;","%3C"),"&gt;","%3E"))</f>
        <v>10.1159%2F000123814</v>
      </c>
      <c r="J66" s="10" t="str">
        <f t="shared" si="3"/>
        <v>Campos_Welker_1976_Table1</v>
      </c>
      <c r="K66" s="10" t="str">
        <f t="shared" si="12"/>
        <v>10.1159%2F000123814_Table1</v>
      </c>
      <c r="L66" s="3" t="str">
        <f t="array" ref="L66">IFERROR(INDEX(AUTO_Public_TSV_FileList!$A$1:$A$1000,MATCH(TRUE(),EXACT(K66,IFERROR(_xlfn.TEXTBEFORE(AUTO_Public_TSV_FileList!$A$1:$A$1000,".tsv"),"")),0)),"notfound")</f>
        <v>10.1159%2F000123814_Table1.tsv</v>
      </c>
      <c r="M66" s="8" t="s">
        <v>276</v>
      </c>
      <c r="N66" s="8" t="s">
        <v>35</v>
      </c>
      <c r="R66" s="8" t="s">
        <v>277</v>
      </c>
      <c r="T66" s="8" t="s">
        <v>278</v>
      </c>
      <c r="V66" s="8" t="s">
        <v>279</v>
      </c>
      <c r="W66" s="8" t="s">
        <v>280</v>
      </c>
      <c r="X66" s="8" t="s">
        <v>281</v>
      </c>
      <c r="Y66" s="8" t="s">
        <v>282</v>
      </c>
      <c r="AA66" s="8" t="s">
        <v>283</v>
      </c>
      <c r="AB66" s="8" t="s">
        <v>284</v>
      </c>
      <c r="AC66" s="8" t="s">
        <v>285</v>
      </c>
      <c r="AD66" s="8" t="s">
        <v>286</v>
      </c>
      <c r="AE66" s="8" t="s">
        <v>66</v>
      </c>
    </row>
    <row r="67" spans="1:33" ht="17" customHeight="1" x14ac:dyDescent="0.2">
      <c r="A67" s="1" t="s">
        <v>287</v>
      </c>
      <c r="D67" s="1" t="s">
        <v>288</v>
      </c>
      <c r="E67" s="3" t="str">
        <f t="shared" si="0"/>
        <v>Capellini</v>
      </c>
      <c r="F67" s="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3" t="str">
        <f t="shared" si="1"/>
        <v>2008</v>
      </c>
      <c r="H67" s="3" t="str">
        <f t="shared" si="2"/>
        <v>Capellini_etal_2008</v>
      </c>
      <c r="I67" s="3" t="str">
        <f t="shared" ref="I67:I84" si="26">_xlfn.LET(
_xlpm.doi,IF(C67&lt;&gt;"",C67,_xlfn.TEXTAFTER(A67,"https://doi.org/")),
SUBSTITUTE(
SUBSTITUTE(
SUBSTITUTE(
SUBSTITUTE(
_xlpm.doi,
"/","%2F"),
":","%3A"),
"&lt;","%3C"),
"&gt;","%3E")
)</f>
        <v>10.1111%2Fj.1558-5646.2008.00392.x</v>
      </c>
      <c r="J67" s="3" t="str">
        <f t="shared" si="3"/>
        <v>Capellini_etal_2008_sleep-dataFemale</v>
      </c>
      <c r="K67" s="3" t="str">
        <f t="shared" si="12"/>
        <v>10.1111%2Fj.1558-5646.2008.00392.x_sleep-dataFemale</v>
      </c>
      <c r="L67" s="3" t="str">
        <f t="array" ref="L67">IFERROR(INDEX(AUTO_Public_TSV_FileList!$A$1:$A$1000,MATCH(TRUE(),EXACT(K67,IFERROR(_xlfn.TEXTBEFORE(AUTO_Public_TSV_FileList!$A$1:$A$1000,".tsv"),"")),0)),"notfound")</f>
        <v>10.1111%2Fj.1558-5646.2008.00392.x_sleep-dataFemale.tsv</v>
      </c>
      <c r="N67" s="1" t="s">
        <v>35</v>
      </c>
      <c r="O67" s="1" t="s">
        <v>289</v>
      </c>
      <c r="P67" s="1" t="s">
        <v>36</v>
      </c>
      <c r="Q67" s="1" t="s">
        <v>290</v>
      </c>
      <c r="W67" s="1" t="s">
        <v>131</v>
      </c>
      <c r="X67" s="1" t="s">
        <v>291</v>
      </c>
      <c r="AB67" s="1" t="s">
        <v>292</v>
      </c>
      <c r="AC67" s="1" t="s">
        <v>293</v>
      </c>
      <c r="AE67" s="1" t="s">
        <v>172</v>
      </c>
      <c r="AF67" s="1"/>
      <c r="AG67" s="1" t="s">
        <v>294</v>
      </c>
    </row>
    <row r="68" spans="1:33" ht="17" customHeight="1" x14ac:dyDescent="0.2">
      <c r="A68" s="1" t="s">
        <v>287</v>
      </c>
      <c r="D68" s="1" t="s">
        <v>295</v>
      </c>
      <c r="E68" s="3" t="str">
        <f t="shared" si="0"/>
        <v>Capellini</v>
      </c>
      <c r="F68" s="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8" s="3" t="str">
        <f t="shared" si="1"/>
        <v>2008</v>
      </c>
      <c r="H68" s="3" t="str">
        <f t="shared" si="2"/>
        <v>Capellini_etal_2008</v>
      </c>
      <c r="I68" s="3" t="str">
        <f t="shared" si="26"/>
        <v>10.1111%2Fj.1558-5646.2008.00392.x</v>
      </c>
      <c r="J68" s="3" t="str">
        <f t="shared" si="3"/>
        <v>Capellini_etal_2008_sleep-dataMale</v>
      </c>
      <c r="K68" s="3" t="str">
        <f t="shared" si="12"/>
        <v>10.1111%2Fj.1558-5646.2008.00392.x_sleep-dataMale</v>
      </c>
      <c r="L68" s="3" t="str">
        <f t="array" ref="L68">IFERROR(INDEX(AUTO_Public_TSV_FileList!$A$1:$A$1000,MATCH(TRUE(),EXACT(K68,IFERROR(_xlfn.TEXTBEFORE(AUTO_Public_TSV_FileList!$A$1:$A$1000,".tsv"),"")),0)),"notfound")</f>
        <v>10.1111%2Fj.1558-5646.2008.00392.x_sleep-dataMale.tsv</v>
      </c>
      <c r="N68" s="1" t="s">
        <v>35</v>
      </c>
      <c r="O68" s="1" t="s">
        <v>296</v>
      </c>
      <c r="P68" s="1" t="s">
        <v>36</v>
      </c>
      <c r="Q68" s="1" t="s">
        <v>297</v>
      </c>
      <c r="W68" s="1" t="s">
        <v>131</v>
      </c>
      <c r="X68" s="1" t="s">
        <v>291</v>
      </c>
      <c r="AB68" s="1" t="s">
        <v>292</v>
      </c>
      <c r="AC68" s="1" t="s">
        <v>293</v>
      </c>
      <c r="AE68" s="1" t="s">
        <v>172</v>
      </c>
      <c r="AF68" s="1"/>
      <c r="AG68" s="1" t="s">
        <v>294</v>
      </c>
    </row>
    <row r="69" spans="1:33" ht="17" customHeight="1" x14ac:dyDescent="0.2">
      <c r="A69" s="1" t="s">
        <v>287</v>
      </c>
      <c r="D69" s="1" t="s">
        <v>298</v>
      </c>
      <c r="E69" s="3" t="str">
        <f t="shared" si="0"/>
        <v>Capellini</v>
      </c>
      <c r="F69" s="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3" t="str">
        <f t="shared" si="1"/>
        <v>2008</v>
      </c>
      <c r="H69" s="3" t="str">
        <f t="shared" si="2"/>
        <v>Capellini_etal_2008</v>
      </c>
      <c r="I69" s="3" t="str">
        <f t="shared" si="26"/>
        <v>10.1111%2Fj.1558-5646.2008.00392.x</v>
      </c>
      <c r="J69" s="3" t="str">
        <f t="shared" si="3"/>
        <v>Capellini_etal_2008_sleep-dataMixed</v>
      </c>
      <c r="K69" s="3" t="str">
        <f t="shared" si="12"/>
        <v>10.1111%2Fj.1558-5646.2008.00392.x_sleep-dataMixed</v>
      </c>
      <c r="L69" s="3" t="str">
        <f t="array" ref="L69">IFERROR(INDEX(AUTO_Public_TSV_FileList!$A$1:$A$1000,MATCH(TRUE(),EXACT(K69,IFERROR(_xlfn.TEXTBEFORE(AUTO_Public_TSV_FileList!$A$1:$A$1000,".tsv"),"")),0)),"notfound")</f>
        <v>10.1111%2Fj.1558-5646.2008.00392.x_sleep-dataMixed.tsv</v>
      </c>
      <c r="N69" s="1" t="s">
        <v>35</v>
      </c>
      <c r="O69" s="1" t="s">
        <v>299</v>
      </c>
      <c r="P69" s="1" t="s">
        <v>36</v>
      </c>
      <c r="Q69" s="1" t="s">
        <v>300</v>
      </c>
      <c r="W69" s="1" t="s">
        <v>131</v>
      </c>
      <c r="X69" s="1" t="s">
        <v>291</v>
      </c>
      <c r="AB69" s="1" t="s">
        <v>292</v>
      </c>
      <c r="AC69" s="1" t="s">
        <v>293</v>
      </c>
      <c r="AE69" s="1" t="s">
        <v>172</v>
      </c>
      <c r="AF69" s="1"/>
      <c r="AG69" s="1" t="s">
        <v>294</v>
      </c>
    </row>
    <row r="70" spans="1:33" ht="17" customHeight="1" x14ac:dyDescent="0.2">
      <c r="A70" s="1" t="s">
        <v>301</v>
      </c>
      <c r="D70" s="1" t="s">
        <v>302</v>
      </c>
      <c r="E70" s="3" t="str">
        <f t="shared" si="0"/>
        <v>Caspar</v>
      </c>
      <c r="F70" s="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3" t="str">
        <f t="shared" si="1"/>
        <v>2022</v>
      </c>
      <c r="H70" s="3" t="str">
        <f t="shared" si="2"/>
        <v>Caspar_etal_2022</v>
      </c>
      <c r="I70" s="3" t="str">
        <f t="shared" si="26"/>
        <v>10.7554%2FeLife.77875</v>
      </c>
      <c r="J70" s="3" t="str">
        <f t="shared" si="3"/>
        <v>Caspar_etal_2022_Supplementaryfile3</v>
      </c>
      <c r="K70" s="3" t="str">
        <f t="shared" si="12"/>
        <v>10.7554%2FeLife.77875_Supplementaryfile3</v>
      </c>
      <c r="L70" s="3" t="str">
        <f t="array" ref="L70">IFERROR(INDEX(AUTO_Public_TSV_FileList!$A$1:$A$1000,MATCH(TRUE(),EXACT(K70,IFERROR(_xlfn.TEXTBEFORE(AUTO_Public_TSV_FileList!$A$1:$A$1000,".tsv"),"")),0)),"notfound")</f>
        <v>10.7554%2FeLife.77875_Supplementaryfile3.tsv</v>
      </c>
      <c r="M70" s="1" t="s">
        <v>303</v>
      </c>
      <c r="N70" s="1" t="s">
        <v>35</v>
      </c>
      <c r="P70" s="1" t="s">
        <v>36</v>
      </c>
      <c r="Q70" s="1" t="s">
        <v>304</v>
      </c>
      <c r="R70" s="1" t="s">
        <v>305</v>
      </c>
      <c r="W70" s="1" t="s">
        <v>93</v>
      </c>
      <c r="X70" s="1" t="s">
        <v>306</v>
      </c>
      <c r="AB70" s="1" t="s">
        <v>307</v>
      </c>
      <c r="AE70" s="1" t="s">
        <v>172</v>
      </c>
      <c r="AF70" s="1"/>
    </row>
    <row r="71" spans="1:33" ht="17" customHeight="1" x14ac:dyDescent="0.2">
      <c r="A71" s="1" t="s">
        <v>301</v>
      </c>
      <c r="D71" s="1" t="s">
        <v>81</v>
      </c>
      <c r="E71" s="3" t="str">
        <f t="shared" si="0"/>
        <v>Caspar</v>
      </c>
      <c r="F71" s="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3" t="str">
        <f t="shared" si="1"/>
        <v>2022</v>
      </c>
      <c r="H71" s="3" t="str">
        <f t="shared" si="2"/>
        <v>Caspar_etal_2022</v>
      </c>
      <c r="I71" s="3" t="str">
        <f t="shared" si="26"/>
        <v>10.7554%2FeLife.77875</v>
      </c>
      <c r="J71" s="3" t="str">
        <f t="shared" si="3"/>
        <v>Caspar_etal_2022_Table1</v>
      </c>
      <c r="K71" s="3" t="str">
        <f t="shared" si="12"/>
        <v>10.7554%2FeLife.77875_Table1</v>
      </c>
      <c r="L71" s="3" t="str">
        <f t="array" ref="L71">IFERROR(INDEX(AUTO_Public_TSV_FileList!$A$1:$A$1000,MATCH(TRUE(),EXACT(K71,IFERROR(_xlfn.TEXTBEFORE(AUTO_Public_TSV_FileList!$A$1:$A$1000,".tsv"),"")),0)),"notfound")</f>
        <v>10.7554%2FeLife.77875_Table1.tsv</v>
      </c>
      <c r="M71" s="1" t="s">
        <v>308</v>
      </c>
      <c r="N71" s="1" t="s">
        <v>35</v>
      </c>
      <c r="P71" s="1" t="s">
        <v>36</v>
      </c>
      <c r="Q71" s="1"/>
      <c r="R71" s="1" t="s">
        <v>309</v>
      </c>
      <c r="W71" s="1" t="s">
        <v>93</v>
      </c>
      <c r="X71" s="1" t="s">
        <v>310</v>
      </c>
      <c r="AB71" s="1" t="s">
        <v>311</v>
      </c>
      <c r="AE71" s="1" t="s">
        <v>172</v>
      </c>
      <c r="AF71" s="1"/>
      <c r="AG71" s="1" t="s">
        <v>312</v>
      </c>
    </row>
    <row r="72" spans="1:33" ht="17" customHeight="1" x14ac:dyDescent="0.2">
      <c r="A72" s="1" t="s">
        <v>313</v>
      </c>
      <c r="D72" s="1" t="s">
        <v>314</v>
      </c>
      <c r="E72" s="3" t="str">
        <f t="shared" ref="E72:E147" si="27">SUBSTITUTE(SUBSTITUTE(_xlfn.TEXTBEFORE(A72,","), "-", ""), " ", "")</f>
        <v>Caves</v>
      </c>
      <c r="F72" s="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3" t="str">
        <f t="shared" ref="G72:G147" si="28">_xlfn.TEXTBEFORE(_xlfn.TEXTAFTER(A72, "("), ")")</f>
        <v>2018</v>
      </c>
      <c r="H72" s="3" t="str">
        <f t="shared" ref="H72:H147" si="29">E72 &amp; IF(F72&lt;&gt;"", "_" &amp; F72, "_") &amp; IF(G72&lt;&gt;"", "_" &amp; G72, "_") &amp; IF(B72&lt;&gt;"", "_" &amp; B72, "")</f>
        <v>Caves_etal_2018</v>
      </c>
      <c r="I72" s="3" t="str">
        <f t="shared" si="26"/>
        <v>10.1016%2Fj.tree.2018.03.001</v>
      </c>
      <c r="J72" s="3" t="str">
        <f t="shared" ref="J72:J147" si="30">TRIM(_xlfn.TEXTJOIN("_",FALSE(),H72,(SUBSTITUTE(SUBSTITUTE(D72," ",""), "_", ""))))</f>
        <v>Caves_etal_2018_TableS1</v>
      </c>
      <c r="K72" s="3" t="str">
        <f t="shared" ref="K72:K107" si="31">I72 &amp; "_" &amp; SUBSTITUTE(SUBSTITUTE(SUBSTITUTE(D72,CHAR(160),"")," ",""),"_","")</f>
        <v>10.1016%2Fj.tree.2018.03.001_TableS1</v>
      </c>
      <c r="L72" s="3" t="str">
        <f t="array" ref="L72">IFERROR(INDEX(AUTO_Public_TSV_FileList!$A$1:$A$1000,MATCH(TRUE(),EXACT(K72,IFERROR(_xlfn.TEXTBEFORE(AUTO_Public_TSV_FileList!$A$1:$A$1000,".tsv"),"")),0)),"notfound")</f>
        <v>10.1016%2Fj.tree.2018.03.001_TableS1.tsv</v>
      </c>
      <c r="P72" s="1" t="s">
        <v>36</v>
      </c>
    </row>
    <row r="73" spans="1:33" ht="17" customHeight="1" x14ac:dyDescent="0.2">
      <c r="A73" s="1" t="s">
        <v>315</v>
      </c>
      <c r="D73" s="1" t="s">
        <v>316</v>
      </c>
      <c r="E73" s="3" t="str">
        <f t="shared" si="27"/>
        <v>Changizi</v>
      </c>
      <c r="F73" s="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3" s="3" t="str">
        <f t="shared" si="28"/>
        <v>2001</v>
      </c>
      <c r="H73" s="3" t="str">
        <f t="shared" si="29"/>
        <v>Changizi__2001</v>
      </c>
      <c r="I73" s="3" t="str">
        <f t="shared" si="26"/>
        <v>10.1007%2Fs004220000205</v>
      </c>
      <c r="J73" s="3" t="str">
        <f t="shared" si="30"/>
        <v>Changizi__2001_Figure3</v>
      </c>
      <c r="K73" s="3" t="str">
        <f t="shared" si="31"/>
        <v>10.1007%2Fs004220000205_Figure3</v>
      </c>
      <c r="L73" s="3" t="str">
        <f t="array" ref="L73">IFERROR(INDEX(AUTO_Public_TSV_FileList!$A$1:$A$1000,MATCH(TRUE(),EXACT(K73,IFERROR(_xlfn.TEXTBEFORE(AUTO_Public_TSV_FileList!$A$1:$A$1000,".tsv"),"")),0)),"notfound")</f>
        <v>10.1007%2Fs004220000205_Figure3.tsv</v>
      </c>
      <c r="N73" s="1" t="s">
        <v>317</v>
      </c>
      <c r="P73" s="1" t="s">
        <v>36</v>
      </c>
      <c r="Q73" s="1"/>
      <c r="W73" s="1" t="s">
        <v>131</v>
      </c>
      <c r="X73" s="1" t="s">
        <v>318</v>
      </c>
      <c r="AB73" s="1" t="s">
        <v>319</v>
      </c>
      <c r="AE73" s="1" t="s">
        <v>172</v>
      </c>
      <c r="AF73" s="1"/>
      <c r="AG73" s="1" t="s">
        <v>320</v>
      </c>
    </row>
    <row r="74" spans="1:33" ht="17" customHeight="1" x14ac:dyDescent="0.2">
      <c r="A74" s="9" t="s">
        <v>321</v>
      </c>
      <c r="B74" s="7"/>
      <c r="C74" s="7"/>
      <c r="D74" s="9" t="s">
        <v>81</v>
      </c>
      <c r="E74" s="3" t="str">
        <f t="shared" si="27"/>
        <v>Changizi</v>
      </c>
      <c r="F74" s="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74" s="3" t="str">
        <f t="shared" si="28"/>
        <v>2003</v>
      </c>
      <c r="H74" s="3" t="str">
        <f t="shared" si="29"/>
        <v>Changizi__2003</v>
      </c>
      <c r="I74" s="3" t="str">
        <f t="shared" si="26"/>
        <v>10.1006%2Fjtbi.2003.3125</v>
      </c>
      <c r="J74" s="3" t="str">
        <f t="shared" si="30"/>
        <v>Changizi__2003_Table1</v>
      </c>
      <c r="K74" s="3" t="str">
        <f t="shared" si="31"/>
        <v>10.1006%2Fjtbi.2003.3125_Table1</v>
      </c>
      <c r="L74" s="3" t="str">
        <f t="array" ref="L74">IFERROR(INDEX(AUTO_Public_TSV_FileList!$A$1:$A$1000,MATCH(TRUE(),EXACT(K74,IFERROR(_xlfn.TEXTBEFORE(AUTO_Public_TSV_FileList!$A$1:$A$1000,".tsv"),"")),0)),"notfound")</f>
        <v>10.1006%2Fjtbi.2003.3125_Table1.tsv</v>
      </c>
      <c r="M74" s="7" t="s">
        <v>322</v>
      </c>
      <c r="N74" s="1" t="s">
        <v>35</v>
      </c>
      <c r="O74" s="7"/>
      <c r="Q74" s="7"/>
      <c r="R74" s="7" t="s">
        <v>323</v>
      </c>
      <c r="S74" s="7" t="s">
        <v>324</v>
      </c>
      <c r="T74" s="7" t="s">
        <v>325</v>
      </c>
      <c r="U74" s="7"/>
      <c r="V74" s="7" t="s">
        <v>326</v>
      </c>
      <c r="W74" s="9" t="s">
        <v>131</v>
      </c>
      <c r="X74" s="7" t="s">
        <v>327</v>
      </c>
      <c r="Y74" s="7" t="s">
        <v>327</v>
      </c>
      <c r="Z74" s="7"/>
      <c r="AA74" s="7"/>
      <c r="AB74" s="9" t="s">
        <v>328</v>
      </c>
      <c r="AD74" s="7"/>
      <c r="AE74" s="9" t="s">
        <v>51</v>
      </c>
      <c r="AF74" s="9"/>
      <c r="AG74" s="8" t="s">
        <v>329</v>
      </c>
    </row>
    <row r="75" spans="1:33" ht="17" customHeight="1" x14ac:dyDescent="0.2">
      <c r="A75" s="1" t="s">
        <v>330</v>
      </c>
      <c r="D75" s="1" t="s">
        <v>81</v>
      </c>
      <c r="E75" s="3" t="str">
        <f t="shared" si="27"/>
        <v>Changizi</v>
      </c>
      <c r="F75" s="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5" s="3" t="str">
        <f t="shared" si="28"/>
        <v>2005</v>
      </c>
      <c r="H75" s="3" t="str">
        <f t="shared" si="29"/>
        <v>Changizi_Shimojo_2005</v>
      </c>
      <c r="I75" s="3" t="str">
        <f t="shared" si="26"/>
        <v>10.1159%2F000085942</v>
      </c>
      <c r="J75" s="3" t="str">
        <f t="shared" si="30"/>
        <v>Changizi_Shimojo_2005_Table1</v>
      </c>
      <c r="K75" s="3" t="str">
        <f t="shared" si="31"/>
        <v>10.1159%2F000085942_Table1</v>
      </c>
      <c r="L75" s="3" t="str">
        <f t="array" ref="L75">IFERROR(INDEX(AUTO_Public_TSV_FileList!$A$1:$A$1000,MATCH(TRUE(),EXACT(K75,IFERROR(_xlfn.TEXTBEFORE(AUTO_Public_TSV_FileList!$A$1:$A$1000,".tsv"),"")),0)),"notfound")</f>
        <v>10.1159%2F000085942_Table1.tsv</v>
      </c>
      <c r="N75" s="1" t="s">
        <v>35</v>
      </c>
      <c r="P75" s="1" t="s">
        <v>36</v>
      </c>
      <c r="Q75" s="1"/>
      <c r="W75" s="1" t="s">
        <v>131</v>
      </c>
      <c r="X75" s="1" t="s">
        <v>331</v>
      </c>
      <c r="AB75" s="1" t="s">
        <v>332</v>
      </c>
      <c r="AC75" s="1" t="s">
        <v>333</v>
      </c>
      <c r="AE75" s="1" t="s">
        <v>51</v>
      </c>
      <c r="AF75" s="1"/>
      <c r="AG75" s="1" t="s">
        <v>334</v>
      </c>
    </row>
    <row r="76" spans="1:33" ht="17" customHeight="1" x14ac:dyDescent="0.2">
      <c r="A76" s="1" t="s">
        <v>330</v>
      </c>
      <c r="D76" s="1" t="s">
        <v>70</v>
      </c>
      <c r="E76" s="3" t="str">
        <f t="shared" si="27"/>
        <v>Changizi</v>
      </c>
      <c r="F76" s="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6" s="3" t="str">
        <f t="shared" si="28"/>
        <v>2005</v>
      </c>
      <c r="H76" s="3" t="str">
        <f t="shared" si="29"/>
        <v>Changizi_Shimojo_2005</v>
      </c>
      <c r="I76" s="3" t="str">
        <f t="shared" si="26"/>
        <v>10.1159%2F000085942</v>
      </c>
      <c r="J76" s="3" t="str">
        <f t="shared" si="30"/>
        <v>Changizi_Shimojo_2005_Table2</v>
      </c>
      <c r="K76" s="3" t="str">
        <f t="shared" si="31"/>
        <v>10.1159%2F000085942_Table2</v>
      </c>
      <c r="L76" s="3" t="str">
        <f t="array" ref="L76">IFERROR(INDEX(AUTO_Public_TSV_FileList!$A$1:$A$1000,MATCH(TRUE(),EXACT(K76,IFERROR(_xlfn.TEXTBEFORE(AUTO_Public_TSV_FileList!$A$1:$A$1000,".tsv"),"")),0)),"notfound")</f>
        <v>10.1159%2F000085942_Table2.tsv</v>
      </c>
      <c r="N76" s="1" t="s">
        <v>35</v>
      </c>
      <c r="P76" s="1" t="s">
        <v>36</v>
      </c>
      <c r="Q76" s="1"/>
      <c r="W76" s="1" t="s">
        <v>131</v>
      </c>
      <c r="X76" s="1" t="s">
        <v>335</v>
      </c>
      <c r="AB76" s="1" t="s">
        <v>336</v>
      </c>
      <c r="AC76" s="1" t="s">
        <v>333</v>
      </c>
      <c r="AE76" s="1" t="s">
        <v>66</v>
      </c>
      <c r="AF76" s="1"/>
      <c r="AG76" s="1" t="s">
        <v>337</v>
      </c>
    </row>
    <row r="77" spans="1:33" ht="17" customHeight="1" x14ac:dyDescent="0.2">
      <c r="A77" s="1" t="s">
        <v>330</v>
      </c>
      <c r="D77" s="1" t="s">
        <v>72</v>
      </c>
      <c r="E77" s="3" t="str">
        <f t="shared" si="27"/>
        <v>Changizi</v>
      </c>
      <c r="F77" s="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3" t="str">
        <f t="shared" si="28"/>
        <v>2005</v>
      </c>
      <c r="H77" s="3" t="str">
        <f t="shared" si="29"/>
        <v>Changizi_Shimojo_2005</v>
      </c>
      <c r="I77" s="3" t="str">
        <f t="shared" si="26"/>
        <v>10.1159%2F000085942</v>
      </c>
      <c r="J77" s="3" t="str">
        <f t="shared" si="30"/>
        <v>Changizi_Shimojo_2005_Table3</v>
      </c>
      <c r="K77" s="3" t="str">
        <f t="shared" si="31"/>
        <v>10.1159%2F000085942_Table3</v>
      </c>
      <c r="L77" s="3" t="str">
        <f t="array" ref="L77">IFERROR(INDEX(AUTO_Public_TSV_FileList!$A$1:$A$1000,MATCH(TRUE(),EXACT(K77,IFERROR(_xlfn.TEXTBEFORE(AUTO_Public_TSV_FileList!$A$1:$A$1000,".tsv"),"")),0)),"notfound")</f>
        <v>10.1159%2F000085942_Table3.tsv</v>
      </c>
      <c r="N77" s="1" t="s">
        <v>35</v>
      </c>
      <c r="P77" s="1" t="s">
        <v>36</v>
      </c>
      <c r="Q77" s="1"/>
      <c r="W77" s="1" t="s">
        <v>131</v>
      </c>
      <c r="X77" s="1" t="s">
        <v>338</v>
      </c>
      <c r="AB77" s="1" t="s">
        <v>339</v>
      </c>
      <c r="AC77" s="1" t="s">
        <v>333</v>
      </c>
      <c r="AE77" s="1" t="s">
        <v>172</v>
      </c>
      <c r="AF77" s="1"/>
      <c r="AG77" s="1" t="s">
        <v>340</v>
      </c>
    </row>
    <row r="78" spans="1:33" ht="17" customHeight="1" x14ac:dyDescent="0.2">
      <c r="A78" s="1" t="s">
        <v>330</v>
      </c>
      <c r="D78" s="1" t="s">
        <v>34</v>
      </c>
      <c r="E78" s="3" t="str">
        <f t="shared" si="27"/>
        <v>Changizi</v>
      </c>
      <c r="F78" s="3"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3" t="str">
        <f t="shared" si="28"/>
        <v>2005</v>
      </c>
      <c r="H78" s="3" t="str">
        <f t="shared" si="29"/>
        <v>Changizi_Shimojo_2005</v>
      </c>
      <c r="I78" s="3" t="str">
        <f t="shared" si="26"/>
        <v>10.1159%2F000085942</v>
      </c>
      <c r="J78" s="3" t="str">
        <f t="shared" si="30"/>
        <v>Changizi_Shimojo_2005_Table4</v>
      </c>
      <c r="K78" s="3" t="str">
        <f t="shared" si="31"/>
        <v>10.1159%2F000085942_Table4</v>
      </c>
      <c r="L78" s="3" t="str">
        <f t="array" ref="L78">IFERROR(INDEX(AUTO_Public_TSV_FileList!$A$1:$A$1000,MATCH(TRUE(),EXACT(K78,IFERROR(_xlfn.TEXTBEFORE(AUTO_Public_TSV_FileList!$A$1:$A$1000,".tsv"),"")),0)),"notfound")</f>
        <v>10.1159%2F000085942_Table4.tsv</v>
      </c>
      <c r="N78" s="1" t="s">
        <v>35</v>
      </c>
      <c r="P78" s="1" t="s">
        <v>36</v>
      </c>
      <c r="Q78" s="1"/>
      <c r="W78" s="1" t="s">
        <v>131</v>
      </c>
      <c r="X78" s="1" t="s">
        <v>341</v>
      </c>
      <c r="AB78" s="1" t="s">
        <v>342</v>
      </c>
      <c r="AC78" s="1" t="s">
        <v>333</v>
      </c>
      <c r="AE78" s="1" t="s">
        <v>172</v>
      </c>
      <c r="AF78" s="1"/>
      <c r="AG78" s="1" t="s">
        <v>343</v>
      </c>
    </row>
    <row r="79" spans="1:33" ht="17" customHeight="1" x14ac:dyDescent="0.2">
      <c r="A79" s="1" t="s">
        <v>330</v>
      </c>
      <c r="D79" s="1" t="s">
        <v>74</v>
      </c>
      <c r="E79" s="3" t="str">
        <f t="shared" si="27"/>
        <v>Changizi</v>
      </c>
      <c r="F79" s="3"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3" t="str">
        <f t="shared" si="28"/>
        <v>2005</v>
      </c>
      <c r="H79" s="3" t="str">
        <f t="shared" si="29"/>
        <v>Changizi_Shimojo_2005</v>
      </c>
      <c r="I79" s="3" t="str">
        <f t="shared" si="26"/>
        <v>10.1159%2F000085942</v>
      </c>
      <c r="J79" s="3" t="str">
        <f t="shared" si="30"/>
        <v>Changizi_Shimojo_2005_Table5</v>
      </c>
      <c r="K79" s="3" t="str">
        <f t="shared" si="31"/>
        <v>10.1159%2F000085942_Table5</v>
      </c>
      <c r="L79" s="3" t="str">
        <f t="array" ref="L79">IFERROR(INDEX(AUTO_Public_TSV_FileList!$A$1:$A$1000,MATCH(TRUE(),EXACT(K79,IFERROR(_xlfn.TEXTBEFORE(AUTO_Public_TSV_FileList!$A$1:$A$1000,".tsv"),"")),0)),"notfound")</f>
        <v>10.1159%2F000085942_Table5.tsv</v>
      </c>
      <c r="N79" s="1" t="s">
        <v>35</v>
      </c>
      <c r="P79" s="1" t="s">
        <v>36</v>
      </c>
      <c r="Q79" s="1"/>
      <c r="W79" s="1" t="s">
        <v>131</v>
      </c>
      <c r="X79" s="1" t="s">
        <v>344</v>
      </c>
      <c r="AB79" s="1" t="s">
        <v>345</v>
      </c>
      <c r="AC79" s="1" t="s">
        <v>333</v>
      </c>
      <c r="AE79" s="1" t="s">
        <v>172</v>
      </c>
      <c r="AF79" s="1"/>
      <c r="AG79" s="1" t="s">
        <v>346</v>
      </c>
    </row>
    <row r="80" spans="1:33" ht="17" customHeight="1" x14ac:dyDescent="0.2">
      <c r="A80" s="8" t="s">
        <v>347</v>
      </c>
      <c r="D80" s="8" t="s">
        <v>348</v>
      </c>
      <c r="E80" s="3" t="str">
        <f t="shared" si="27"/>
        <v>Chaplin</v>
      </c>
      <c r="F80" s="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3" t="str">
        <f t="shared" si="28"/>
        <v>2013</v>
      </c>
      <c r="H80" s="3" t="str">
        <f t="shared" si="29"/>
        <v>Chaplin_etal_2013</v>
      </c>
      <c r="I80" s="3" t="str">
        <f t="shared" si="26"/>
        <v>10.1523%2FJNEUROSCI.2909-13.2013</v>
      </c>
      <c r="J80" s="3" t="str">
        <f t="shared" si="30"/>
        <v>Chaplin_etal_2013_ResultsText</v>
      </c>
      <c r="K80" s="3" t="str">
        <f t="shared" si="31"/>
        <v>10.1523%2FJNEUROSCI.2909-13.2013_ResultsText</v>
      </c>
      <c r="L80" s="3" t="str">
        <f t="array" ref="L80">IFERROR(INDEX(AUTO_Public_TSV_FileList!$A$1:$A$1000,MATCH(TRUE(),EXACT(K80,IFERROR(_xlfn.TEXTBEFORE(AUTO_Public_TSV_FileList!$A$1:$A$1000,".tsv"),"")),0)),"notfound")</f>
        <v>10.1523%2FJNEUROSCI.2909-13.2013_ResultsText.tsv</v>
      </c>
      <c r="M80" s="7" t="s">
        <v>349</v>
      </c>
      <c r="N80" s="7" t="s">
        <v>350</v>
      </c>
      <c r="P80" s="7"/>
      <c r="Q80" s="7"/>
      <c r="R80" s="7" t="s">
        <v>351</v>
      </c>
      <c r="S80" s="7" t="s">
        <v>352</v>
      </c>
      <c r="T80" s="7" t="s">
        <v>353</v>
      </c>
      <c r="U80" s="7"/>
      <c r="W80" s="7" t="s">
        <v>93</v>
      </c>
      <c r="X80" s="7" t="s">
        <v>171</v>
      </c>
      <c r="Y80" s="7" t="s">
        <v>354</v>
      </c>
      <c r="Z80" s="7"/>
      <c r="AA80" s="7" t="s">
        <v>355</v>
      </c>
      <c r="AB80" s="7" t="s">
        <v>171</v>
      </c>
      <c r="AC80" s="7"/>
      <c r="AD80" s="7"/>
      <c r="AE80" s="7" t="s">
        <v>66</v>
      </c>
      <c r="AF80" s="7"/>
      <c r="AG80" s="7" t="s">
        <v>356</v>
      </c>
    </row>
    <row r="81" spans="1:33" ht="17" customHeight="1" x14ac:dyDescent="0.2">
      <c r="A81" s="1" t="s">
        <v>357</v>
      </c>
      <c r="D81" s="1" t="s">
        <v>358</v>
      </c>
      <c r="E81" s="3" t="str">
        <f t="shared" si="27"/>
        <v>Chen</v>
      </c>
      <c r="F81" s="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1" s="3" t="str">
        <f t="shared" si="28"/>
        <v>2020</v>
      </c>
      <c r="H81" s="3" t="str">
        <f t="shared" si="29"/>
        <v>Chen_Wiens_2020</v>
      </c>
      <c r="I81" s="3" t="str">
        <f t="shared" si="26"/>
        <v>10.1038%2Fs41467-020-14356-3</v>
      </c>
      <c r="J81" s="3" t="str">
        <f t="shared" si="30"/>
        <v>Chen_Wiens_2020_SupplementaryData3</v>
      </c>
      <c r="K81" s="3" t="str">
        <f t="shared" si="31"/>
        <v>10.1038%2Fs41467-020-14356-3_SupplementaryData3</v>
      </c>
      <c r="L81" s="3" t="str">
        <f t="array" ref="L81">IFERROR(INDEX(AUTO_Public_TSV_FileList!$A$1:$A$1000,MATCH(TRUE(),EXACT(K81,IFERROR(_xlfn.TEXTBEFORE(AUTO_Public_TSV_FileList!$A$1:$A$1000,".tsv"),"")),0)),"notfound")</f>
        <v>10.1038%2Fs41467-020-14356-3_SupplementaryData3.tsv</v>
      </c>
      <c r="N81" s="1" t="s">
        <v>35</v>
      </c>
      <c r="P81" s="1" t="s">
        <v>36</v>
      </c>
      <c r="Q81" s="1" t="s">
        <v>359</v>
      </c>
      <c r="R81" s="1" t="s">
        <v>360</v>
      </c>
      <c r="W81" s="1" t="s">
        <v>361</v>
      </c>
      <c r="X81" s="1" t="s">
        <v>362</v>
      </c>
      <c r="Y81" s="1" t="s">
        <v>363</v>
      </c>
      <c r="AB81" s="1" t="s">
        <v>364</v>
      </c>
      <c r="AE81" s="1" t="s">
        <v>172</v>
      </c>
      <c r="AF81" s="1"/>
    </row>
    <row r="82" spans="1:33" ht="17" customHeight="1" x14ac:dyDescent="0.2">
      <c r="A82" s="1" t="s">
        <v>365</v>
      </c>
      <c r="D82" s="1" t="s">
        <v>366</v>
      </c>
      <c r="E82" s="3" t="str">
        <f t="shared" si="27"/>
        <v>Collins</v>
      </c>
      <c r="F82" s="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3" t="str">
        <f t="shared" si="28"/>
        <v>2010</v>
      </c>
      <c r="H82" s="3" t="str">
        <f t="shared" si="29"/>
        <v>Collins_etal_2010</v>
      </c>
      <c r="I82" s="3" t="str">
        <f t="shared" si="26"/>
        <v>10.1073%2Fpnas.1010356107</v>
      </c>
      <c r="J82" s="3" t="str">
        <f t="shared" si="30"/>
        <v>Collins_etal_2010_DatasetS1</v>
      </c>
      <c r="K82" s="3" t="str">
        <f t="shared" si="31"/>
        <v>10.1073%2Fpnas.1010356107_DatasetS1</v>
      </c>
      <c r="L82" s="3" t="str">
        <f t="array" ref="L82">IFERROR(INDEX(AUTO_Public_TSV_FileList!$A$1:$A$1000,MATCH(TRUE(),EXACT(K82,IFERROR(_xlfn.TEXTBEFORE(AUTO_Public_TSV_FileList!$A$1:$A$1000,".tsv"),"")),0)),"notfound")</f>
        <v>10.1073%2Fpnas.1010356107_DatasetS1.tsv</v>
      </c>
      <c r="P82" s="1" t="s">
        <v>36</v>
      </c>
      <c r="W82" s="1" t="s">
        <v>93</v>
      </c>
      <c r="X82" s="1" t="s">
        <v>367</v>
      </c>
      <c r="AB82" s="1" t="s">
        <v>171</v>
      </c>
      <c r="AC82" s="1" t="s">
        <v>368</v>
      </c>
      <c r="AE82" s="1" t="s">
        <v>66</v>
      </c>
      <c r="AF82" s="1"/>
    </row>
    <row r="83" spans="1:33" ht="17" customHeight="1" x14ac:dyDescent="0.2">
      <c r="A83" s="1" t="s">
        <v>369</v>
      </c>
      <c r="D83" s="1" t="s">
        <v>81</v>
      </c>
      <c r="E83" s="3" t="str">
        <f t="shared" si="27"/>
        <v>Collins</v>
      </c>
      <c r="F83" s="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3" t="str">
        <f t="shared" si="28"/>
        <v>2016</v>
      </c>
      <c r="H83" s="3" t="str">
        <f t="shared" si="29"/>
        <v>Collins_etal_2016</v>
      </c>
      <c r="I83" s="3" t="str">
        <f t="shared" si="26"/>
        <v>10.1073%2Fpnas.1524208113</v>
      </c>
      <c r="J83" s="3" t="str">
        <f t="shared" si="30"/>
        <v>Collins_etal_2016_Table1</v>
      </c>
      <c r="K83" s="3" t="str">
        <f t="shared" si="31"/>
        <v>10.1073%2Fpnas.1524208113_Table1</v>
      </c>
      <c r="L83" s="3" t="str">
        <f t="array" ref="L83">IFERROR(INDEX(AUTO_Public_TSV_FileList!$A$1:$A$1000,MATCH(TRUE(),EXACT(K83,IFERROR(_xlfn.TEXTBEFORE(AUTO_Public_TSV_FileList!$A$1:$A$1000,".tsv"),"")),0)),"notfound")</f>
        <v>10.1073%2Fpnas.1524208113_Table1.tsv</v>
      </c>
      <c r="M83" s="1" t="s">
        <v>370</v>
      </c>
      <c r="N83" s="1" t="s">
        <v>35</v>
      </c>
      <c r="P83" s="1" t="s">
        <v>36</v>
      </c>
      <c r="W83" s="1" t="s">
        <v>93</v>
      </c>
      <c r="X83" s="1" t="s">
        <v>371</v>
      </c>
      <c r="AA83" s="1" t="s">
        <v>63</v>
      </c>
      <c r="AB83" s="1" t="s">
        <v>372</v>
      </c>
      <c r="AC83" s="1" t="s">
        <v>368</v>
      </c>
      <c r="AD83" s="1" t="s">
        <v>65</v>
      </c>
      <c r="AE83" s="1" t="s">
        <v>66</v>
      </c>
      <c r="AF83" s="1"/>
    </row>
    <row r="84" spans="1:33" ht="17" customHeight="1" x14ac:dyDescent="0.2">
      <c r="A84" s="1" t="s">
        <v>373</v>
      </c>
      <c r="D84" s="1" t="s">
        <v>81</v>
      </c>
      <c r="E84" s="3" t="str">
        <f t="shared" si="27"/>
        <v>deJager</v>
      </c>
      <c r="F84" s="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3" t="str">
        <f t="shared" si="28"/>
        <v>2022</v>
      </c>
      <c r="H84" s="3" t="str">
        <f t="shared" si="29"/>
        <v>deJager_etal_2022</v>
      </c>
      <c r="I84" s="3" t="str">
        <f t="shared" si="26"/>
        <v>10.1111%2Fjoa.13681</v>
      </c>
      <c r="J84" s="3" t="str">
        <f t="shared" si="30"/>
        <v>deJager_etal_2022_Table1</v>
      </c>
      <c r="K84" s="3" t="str">
        <f t="shared" si="31"/>
        <v>10.1111%2Fjoa.13681_Table1</v>
      </c>
      <c r="L84" s="3" t="str">
        <f t="array" ref="L84">IFERROR(INDEX(AUTO_Public_TSV_FileList!$A$1:$A$1000,MATCH(TRUE(),EXACT(K84,IFERROR(_xlfn.TEXTBEFORE(AUTO_Public_TSV_FileList!$A$1:$A$1000,".tsv"),"")),0)),"notfound")</f>
        <v>10.1111%2Fjoa.13681_Table1.tsv</v>
      </c>
      <c r="P84" s="1" t="s">
        <v>36</v>
      </c>
    </row>
    <row r="85" spans="1:33" ht="17" customHeight="1" x14ac:dyDescent="0.2">
      <c r="A85" s="8" t="s">
        <v>374</v>
      </c>
      <c r="D85" s="8" t="s">
        <v>375</v>
      </c>
      <c r="E85" s="10" t="str">
        <f t="shared" si="27"/>
        <v>deMagalhães</v>
      </c>
      <c r="F85" s="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3" t="str">
        <f t="shared" si="28"/>
        <v>2024</v>
      </c>
      <c r="H85" s="10" t="str">
        <f t="shared" si="29"/>
        <v>deMagalhães_etal_2024</v>
      </c>
      <c r="I85" s="10" t="str">
        <f>_xlfn.LET(_xlpm.doi,IF(C85&lt;&gt;"",C85,_xlfn.TEXTAFTER(A85,"https://doi.org/")),SUBSTITUTE(SUBSTITUTE(SUBSTITUTE(SUBSTITUTE(_xlpm.doi,"/","%2F"),":","%3A"),"&lt;","%3C"),"&gt;","%3E"))</f>
        <v>10.1093%2Fnar%2Fgkad927</v>
      </c>
      <c r="J85" s="10" t="str">
        <f t="shared" si="30"/>
        <v>deMagalhães_etal_2024_anagedata.txt</v>
      </c>
      <c r="K85" s="3" t="str">
        <f t="shared" si="31"/>
        <v>10.1093%2Fnar%2Fgkad927_anagedata.txt</v>
      </c>
      <c r="L85" s="3" t="str">
        <f t="array" ref="L85">IFERROR(INDEX(AUTO_Public_TSV_FileList!$A$1:$A$1000,MATCH(TRUE(),EXACT(K85,IFERROR(_xlfn.TEXTBEFORE(AUTO_Public_TSV_FileList!$A$1:$A$1000,".tsv"),"")),0)),"notfound")</f>
        <v>notfound</v>
      </c>
    </row>
    <row r="86" spans="1:33" ht="17" customHeight="1" x14ac:dyDescent="0.2">
      <c r="A86" s="1" t="s">
        <v>376</v>
      </c>
      <c r="D86" s="1" t="s">
        <v>81</v>
      </c>
      <c r="E86" s="3" t="str">
        <f t="shared" si="27"/>
        <v>deSousa</v>
      </c>
      <c r="F86" s="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3" t="str">
        <f t="shared" si="28"/>
        <v>2013</v>
      </c>
      <c r="H86" s="3" t="str">
        <f t="shared" si="29"/>
        <v>deSousa_etal_2013</v>
      </c>
      <c r="I86" s="3" t="str">
        <f t="shared" ref="I86:I117" si="32">_xlfn.LET(
_xlpm.doi,IF(C86&lt;&gt;"",C86,_xlfn.TEXTAFTER(A86,"https://doi.org/")),
SUBSTITUTE(
SUBSTITUTE(
SUBSTITUTE(
SUBSTITUTE(
_xlpm.doi,
"/","%2F"),
":","%3A"),
"&lt;","%3C"),
"&gt;","%3E")
)</f>
        <v>10.1159%2F000346495</v>
      </c>
      <c r="J86" s="3" t="str">
        <f t="shared" si="30"/>
        <v>deSousa_etal_2013_Table1</v>
      </c>
      <c r="K86" s="3" t="str">
        <f t="shared" si="31"/>
        <v>10.1159%2F000346495_Table1</v>
      </c>
      <c r="L86" s="3" t="str">
        <f t="array" ref="L86">IFERROR(INDEX(AUTO_Public_TSV_FileList!$A$1:$A$1000,MATCH(TRUE(),EXACT(K86,IFERROR(_xlfn.TEXTBEFORE(AUTO_Public_TSV_FileList!$A$1:$A$1000,".tsv"),"")),0)),"notfound")</f>
        <v>10.1159%2F000346495_Table1.tsv</v>
      </c>
      <c r="M86" s="1" t="s">
        <v>377</v>
      </c>
      <c r="N86" s="1" t="s">
        <v>35</v>
      </c>
      <c r="P86" s="1" t="s">
        <v>36</v>
      </c>
      <c r="Q86" s="1"/>
      <c r="W86" s="1" t="s">
        <v>378</v>
      </c>
      <c r="X86" s="1" t="s">
        <v>379</v>
      </c>
      <c r="Z86" s="1" t="s">
        <v>83</v>
      </c>
      <c r="AA86" s="1" t="s">
        <v>123</v>
      </c>
      <c r="AB86" s="1" t="s">
        <v>90</v>
      </c>
      <c r="AC86" s="1" t="s">
        <v>380</v>
      </c>
      <c r="AD86" s="1" t="s">
        <v>381</v>
      </c>
      <c r="AE86" s="1" t="s">
        <v>66</v>
      </c>
      <c r="AF86" s="1"/>
    </row>
    <row r="87" spans="1:33" ht="17" customHeight="1" x14ac:dyDescent="0.2">
      <c r="A87" s="1" t="s">
        <v>382</v>
      </c>
      <c r="D87" s="1" t="s">
        <v>383</v>
      </c>
      <c r="E87" s="3" t="str">
        <f t="shared" si="27"/>
        <v>deSousa</v>
      </c>
      <c r="F87" s="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3" t="str">
        <f t="shared" si="28"/>
        <v>2010</v>
      </c>
      <c r="H87" s="3" t="str">
        <f t="shared" si="29"/>
        <v>deSousa_etal_2010</v>
      </c>
      <c r="I87" s="3" t="str">
        <f t="shared" si="32"/>
        <v>10.1016%2Fj.jhevol.2009.11.011</v>
      </c>
      <c r="J87" s="10" t="str">
        <f t="shared" si="30"/>
        <v>deSousa_etal_2010_SupTable2</v>
      </c>
      <c r="K87" s="3" t="str">
        <f t="shared" si="31"/>
        <v>10.1016%2Fj.jhevol.2009.11.011_SupTable2</v>
      </c>
      <c r="L87" s="3" t="str">
        <f t="array" ref="L87">IFERROR(INDEX(AUTO_Public_TSV_FileList!$A$1:$A$1000,MATCH(TRUE(),EXACT(K87,IFERROR(_xlfn.TEXTBEFORE(AUTO_Public_TSV_FileList!$A$1:$A$1000,".tsv"),"")),0)),"notfound")</f>
        <v>10.1016%2Fj.jhevol.2009.11.011_SupTable2.tsv</v>
      </c>
      <c r="M87" s="1" t="s">
        <v>384</v>
      </c>
      <c r="N87" s="1" t="s">
        <v>35</v>
      </c>
      <c r="O87" s="1"/>
      <c r="P87" s="1" t="s">
        <v>36</v>
      </c>
      <c r="Q87" s="1"/>
      <c r="R87" s="1" t="s">
        <v>385</v>
      </c>
      <c r="S87" s="1" t="s">
        <v>386</v>
      </c>
      <c r="T87" s="1" t="s">
        <v>387</v>
      </c>
      <c r="U87" s="1" t="s">
        <v>388</v>
      </c>
      <c r="W87" s="1" t="s">
        <v>389</v>
      </c>
      <c r="X87" s="1" t="s">
        <v>390</v>
      </c>
      <c r="Z87" s="1" t="s">
        <v>83</v>
      </c>
      <c r="AA87" s="1" t="s">
        <v>123</v>
      </c>
      <c r="AB87" s="1" t="s">
        <v>90</v>
      </c>
      <c r="AC87" s="1" t="s">
        <v>380</v>
      </c>
      <c r="AD87" s="1" t="s">
        <v>381</v>
      </c>
      <c r="AE87" s="1" t="s">
        <v>66</v>
      </c>
      <c r="AF87" s="1"/>
      <c r="AG87" s="1" t="s">
        <v>391</v>
      </c>
    </row>
    <row r="88" spans="1:33" ht="17" customHeight="1" x14ac:dyDescent="0.2">
      <c r="A88" s="1" t="s">
        <v>382</v>
      </c>
      <c r="D88" s="1" t="s">
        <v>81</v>
      </c>
      <c r="E88" s="3" t="str">
        <f t="shared" si="27"/>
        <v>deSousa</v>
      </c>
      <c r="F88" s="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8" s="3" t="str">
        <f t="shared" si="28"/>
        <v>2010</v>
      </c>
      <c r="H88" s="3" t="str">
        <f t="shared" si="29"/>
        <v>deSousa_etal_2010</v>
      </c>
      <c r="I88" s="3" t="str">
        <f t="shared" si="32"/>
        <v>10.1016%2Fj.jhevol.2009.11.011</v>
      </c>
      <c r="J88" s="3" t="str">
        <f t="shared" si="30"/>
        <v>deSousa_etal_2010_Table1</v>
      </c>
      <c r="K88" s="3" t="str">
        <f t="shared" si="31"/>
        <v>10.1016%2Fj.jhevol.2009.11.011_Table1</v>
      </c>
      <c r="L88" s="3" t="str">
        <f t="array" ref="L88">IFERROR(INDEX(AUTO_Public_TSV_FileList!$A$1:$A$1000,MATCH(TRUE(),EXACT(K88,IFERROR(_xlfn.TEXTBEFORE(AUTO_Public_TSV_FileList!$A$1:$A$1000,".tsv"),"")),0)),"notfound")</f>
        <v>10.1016%2Fj.jhevol.2009.11.011_Table1.tsv</v>
      </c>
      <c r="M88" s="1" t="s">
        <v>392</v>
      </c>
      <c r="N88" s="1" t="s">
        <v>35</v>
      </c>
      <c r="P88" s="1" t="s">
        <v>36</v>
      </c>
      <c r="W88" s="1" t="s">
        <v>389</v>
      </c>
      <c r="X88" s="1" t="s">
        <v>393</v>
      </c>
      <c r="Z88" s="1" t="s">
        <v>394</v>
      </c>
      <c r="AA88" s="1" t="s">
        <v>123</v>
      </c>
      <c r="AB88" s="1" t="s">
        <v>90</v>
      </c>
      <c r="AC88" s="1" t="s">
        <v>380</v>
      </c>
      <c r="AD88" s="1" t="s">
        <v>381</v>
      </c>
      <c r="AE88" s="1" t="s">
        <v>66</v>
      </c>
      <c r="AF88" s="1"/>
    </row>
    <row r="89" spans="1:33" ht="17" customHeight="1" x14ac:dyDescent="0.2">
      <c r="A89" s="1" t="s">
        <v>395</v>
      </c>
      <c r="D89" s="1" t="s">
        <v>81</v>
      </c>
      <c r="E89" s="3" t="str">
        <f t="shared" si="27"/>
        <v>deSousa</v>
      </c>
      <c r="F89" s="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3" t="str">
        <f t="shared" si="28"/>
        <v>2009</v>
      </c>
      <c r="H89" s="3" t="str">
        <f t="shared" si="29"/>
        <v>deSousa_etal_2009</v>
      </c>
      <c r="I89" s="3" t="str">
        <f t="shared" si="32"/>
        <v>10.1093%2Fcercor%2Fbhp158</v>
      </c>
      <c r="J89" s="3" t="str">
        <f t="shared" si="30"/>
        <v>deSousa_etal_2009_Table1</v>
      </c>
      <c r="K89" s="3" t="str">
        <f t="shared" si="31"/>
        <v>10.1093%2Fcercor%2Fbhp158_Table1</v>
      </c>
      <c r="L89" s="3" t="str">
        <f t="array" ref="L89">IFERROR(INDEX(AUTO_Public_TSV_FileList!$A$1:$A$1000,MATCH(TRUE(),EXACT(K89,IFERROR(_xlfn.TEXTBEFORE(AUTO_Public_TSV_FileList!$A$1:$A$1000,".tsv"),"")),0)),"notfound")</f>
        <v>10.1093%2Fcercor%2Fbhp158_Table1.tsv</v>
      </c>
      <c r="M89" s="1" t="s">
        <v>396</v>
      </c>
      <c r="N89" s="1" t="s">
        <v>35</v>
      </c>
      <c r="P89" s="8" t="s">
        <v>36</v>
      </c>
      <c r="R89" s="8" t="s">
        <v>397</v>
      </c>
      <c r="S89" s="8" t="s">
        <v>398</v>
      </c>
      <c r="U89" s="8" t="s">
        <v>399</v>
      </c>
      <c r="W89" s="8" t="s">
        <v>400</v>
      </c>
      <c r="X89" s="1" t="s">
        <v>401</v>
      </c>
      <c r="Z89" s="1" t="s">
        <v>83</v>
      </c>
      <c r="AA89" s="1" t="s">
        <v>402</v>
      </c>
      <c r="AB89" s="1" t="s">
        <v>403</v>
      </c>
      <c r="AC89" s="1" t="s">
        <v>380</v>
      </c>
      <c r="AD89" s="1" t="s">
        <v>380</v>
      </c>
      <c r="AE89" s="1" t="s">
        <v>172</v>
      </c>
      <c r="AF89" s="1"/>
      <c r="AG89" s="8" t="s">
        <v>404</v>
      </c>
    </row>
    <row r="90" spans="1:33" ht="17" customHeight="1" x14ac:dyDescent="0.2">
      <c r="A90" s="1" t="s">
        <v>395</v>
      </c>
      <c r="D90" s="1" t="s">
        <v>70</v>
      </c>
      <c r="E90" s="3" t="str">
        <f t="shared" si="27"/>
        <v>deSousa</v>
      </c>
      <c r="F90" s="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3" t="str">
        <f t="shared" si="28"/>
        <v>2009</v>
      </c>
      <c r="H90" s="3" t="str">
        <f t="shared" si="29"/>
        <v>deSousa_etal_2009</v>
      </c>
      <c r="I90" s="3" t="str">
        <f t="shared" si="32"/>
        <v>10.1093%2Fcercor%2Fbhp158</v>
      </c>
      <c r="J90" s="3" t="str">
        <f t="shared" si="30"/>
        <v>deSousa_etal_2009_Table2</v>
      </c>
      <c r="K90" s="3" t="str">
        <f t="shared" si="31"/>
        <v>10.1093%2Fcercor%2Fbhp158_Table2</v>
      </c>
      <c r="L90" s="3" t="str">
        <f t="array" ref="L90">IFERROR(INDEX(AUTO_Public_TSV_FileList!$A$1:$A$1000,MATCH(TRUE(),EXACT(K90,IFERROR(_xlfn.TEXTBEFORE(AUTO_Public_TSV_FileList!$A$1:$A$1000,".tsv"),"")),0)),"notfound")</f>
        <v>10.1093%2Fcercor%2Fbhp158_Table2.tsv</v>
      </c>
      <c r="M90" s="1" t="s">
        <v>405</v>
      </c>
      <c r="N90" s="1" t="s">
        <v>35</v>
      </c>
      <c r="R90" s="8" t="s">
        <v>397</v>
      </c>
      <c r="S90" s="8" t="s">
        <v>398</v>
      </c>
      <c r="U90" s="8" t="s">
        <v>399</v>
      </c>
      <c r="W90" s="8" t="s">
        <v>400</v>
      </c>
      <c r="X90" s="1" t="s">
        <v>401</v>
      </c>
      <c r="Z90" s="1" t="s">
        <v>83</v>
      </c>
      <c r="AA90" s="1" t="s">
        <v>402</v>
      </c>
      <c r="AB90" s="1" t="s">
        <v>403</v>
      </c>
      <c r="AC90" s="1" t="s">
        <v>380</v>
      </c>
      <c r="AD90" s="1" t="s">
        <v>380</v>
      </c>
      <c r="AE90" s="1" t="s">
        <v>172</v>
      </c>
      <c r="AF90" s="1"/>
      <c r="AG90" s="8" t="s">
        <v>404</v>
      </c>
    </row>
    <row r="91" spans="1:33" ht="17" customHeight="1" x14ac:dyDescent="0.2">
      <c r="A91" s="8" t="s">
        <v>406</v>
      </c>
      <c r="D91" s="8" t="s">
        <v>407</v>
      </c>
      <c r="E91" s="3" t="str">
        <f t="shared" si="27"/>
        <v>deSousa</v>
      </c>
      <c r="F91" s="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3" t="str">
        <f t="shared" si="28"/>
        <v>2022</v>
      </c>
      <c r="H91" s="3" t="str">
        <f t="shared" si="29"/>
        <v>deSousa_etal_2022</v>
      </c>
      <c r="I91" s="3" t="str">
        <f t="shared" si="32"/>
        <v>10.1016%2Fj.neubiorev.2022.104550</v>
      </c>
      <c r="J91" s="3" t="str">
        <f t="shared" si="30"/>
        <v>deSousa_etal_2022_acuityblind.csv</v>
      </c>
      <c r="K91" s="3" t="str">
        <f t="shared" si="31"/>
        <v>10.1016%2Fj.neubiorev.2022.104550_acuityblind.csv</v>
      </c>
      <c r="L91" s="3" t="str">
        <f t="array" ref="L91">IFERROR(INDEX(AUTO_Public_TSV_FileList!$A$1:$A$1000,MATCH(TRUE(),EXACT(K91,IFERROR(_xlfn.TEXTBEFORE(AUTO_Public_TSV_FileList!$A$1:$A$1000,".tsv"),"")),0)),"notfound")</f>
        <v>10.1016%2Fj.neubiorev.2022.104550_acuityblind.csv.tsv</v>
      </c>
      <c r="M91" s="8" t="s">
        <v>407</v>
      </c>
    </row>
    <row r="92" spans="1:33" ht="17" customHeight="1" x14ac:dyDescent="0.2">
      <c r="A92" s="9" t="s">
        <v>408</v>
      </c>
      <c r="B92" s="7"/>
      <c r="C92" s="7"/>
      <c r="D92" s="9" t="s">
        <v>81</v>
      </c>
      <c r="E92" s="3" t="str">
        <f t="shared" si="27"/>
        <v>Deaner</v>
      </c>
      <c r="F92" s="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3" t="str">
        <f t="shared" si="28"/>
        <v>2006</v>
      </c>
      <c r="H92" s="3" t="str">
        <f t="shared" si="29"/>
        <v>Deaner_etal_2006</v>
      </c>
      <c r="I92" s="3" t="str">
        <f t="shared" si="32"/>
        <v>10.1177%2F147470490600400114</v>
      </c>
      <c r="J92" s="3" t="str">
        <f t="shared" si="30"/>
        <v>Deaner_etal_2006_Table1</v>
      </c>
      <c r="K92" s="3" t="str">
        <f t="shared" si="31"/>
        <v>10.1177%2F147470490600400114_Table1</v>
      </c>
      <c r="L92" s="3" t="str">
        <f t="array" ref="L92">IFERROR(INDEX(AUTO_Public_TSV_FileList!$A$1:$A$1000,MATCH(TRUE(),EXACT(K92,IFERROR(_xlfn.TEXTBEFORE(AUTO_Public_TSV_FileList!$A$1:$A$1000,".tsv"),"")),0)),"notfound")</f>
        <v>10.1177%2F147470490600400114_Table1.tsv</v>
      </c>
      <c r="M92" s="7" t="s">
        <v>409</v>
      </c>
      <c r="N92" s="1" t="s">
        <v>35</v>
      </c>
      <c r="Q92" s="7"/>
      <c r="R92" s="7"/>
      <c r="S92" s="7" t="s">
        <v>324</v>
      </c>
      <c r="T92" s="7" t="s">
        <v>325</v>
      </c>
      <c r="U92" s="7"/>
      <c r="V92" s="7" t="s">
        <v>326</v>
      </c>
      <c r="W92" s="9" t="s">
        <v>93</v>
      </c>
      <c r="X92" s="7" t="s">
        <v>410</v>
      </c>
      <c r="Y92" s="7" t="s">
        <v>410</v>
      </c>
      <c r="Z92" s="7"/>
      <c r="AA92" s="7"/>
      <c r="AB92" s="9" t="s">
        <v>411</v>
      </c>
      <c r="AD92" s="7"/>
      <c r="AE92" s="9" t="s">
        <v>66</v>
      </c>
      <c r="AF92" s="9"/>
      <c r="AG92" s="8" t="s">
        <v>412</v>
      </c>
    </row>
    <row r="93" spans="1:33" ht="17" customHeight="1" x14ac:dyDescent="0.2">
      <c r="A93" s="9" t="s">
        <v>1850</v>
      </c>
      <c r="B93" s="6"/>
      <c r="C93" s="6"/>
      <c r="D93" s="9" t="s">
        <v>1851</v>
      </c>
      <c r="E93" s="3" t="str">
        <f t="shared" ref="E93" si="33">SUBSTITUTE(SUBSTITUTE(_xlfn.TEXTBEFORE(A93,","), "-", ""), " ", "")</f>
        <v>DeCasien</v>
      </c>
      <c r="F93" s="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3" t="str">
        <f t="shared" ref="G93" si="34">_xlfn.TEXTBEFORE(_xlfn.TEXTAFTER(A93, "("), ")")</f>
        <v>2017</v>
      </c>
      <c r="H93" s="3" t="str">
        <f t="shared" ref="H93" si="35">E93 &amp; IF(F93&lt;&gt;"", "_" &amp; F93, "_") &amp; IF(G93&lt;&gt;"", "_" &amp; G93, "_") &amp; IF(B93&lt;&gt;"", "_" &amp; B93, "")</f>
        <v>DeCasien_etal_2017</v>
      </c>
      <c r="I93" s="3" t="str">
        <f t="shared" ref="I93" si="36">_xlfn.LET(
_xlpm.doi,IF(C93&lt;&gt;"",C93,_xlfn.TEXTAFTER(A93,"https://doi.org/")),
SUBSTITUTE(
SUBSTITUTE(
SUBSTITUTE(
SUBSTITUTE(
_xlpm.doi,
"/","%2F"),
":","%3A"),
"&lt;","%3C"),
"&gt;","%3E")
)</f>
        <v>10.1038%2Fs41559-017-0112</v>
      </c>
      <c r="J93" s="3" t="str">
        <f t="shared" ref="J93" si="37">TRIM(_xlfn.TEXTJOIN("_",FALSE(),H93,(SUBSTITUTE(SUBSTITUTE(D93," ",""), "_", ""))))</f>
        <v>DeCasien_etal_2017_BrainData</v>
      </c>
      <c r="K93" s="3" t="str">
        <f t="shared" ref="K93" si="38">I93 &amp; "_" &amp; SUBSTITUTE(SUBSTITUTE(SUBSTITUTE(D93,CHAR(160),"")," ",""),"_","")</f>
        <v>10.1038%2Fs41559-017-0112_BrainData</v>
      </c>
      <c r="L93" s="3" t="str">
        <f t="array" ref="L93">IFERROR(INDEX(AUTO_Public_TSV_FileList!$A$1:$A$1000,MATCH(TRUE(),EXACT(K93,IFERROR(_xlfn.TEXTBEFORE(AUTO_Public_TSV_FileList!$A$1:$A$1000,".tsv"),"")),0)),"notfound")</f>
        <v>notfound</v>
      </c>
      <c r="M93" s="7"/>
      <c r="N93" s="1"/>
      <c r="Q93" s="6"/>
      <c r="R93" s="7"/>
      <c r="S93" s="6"/>
      <c r="T93" s="6"/>
      <c r="U93" s="6"/>
      <c r="V93" s="6"/>
      <c r="W93" s="9"/>
      <c r="X93" s="7"/>
      <c r="Y93" s="6"/>
      <c r="Z93" s="7"/>
      <c r="AA93" s="6"/>
      <c r="AB93" s="9"/>
      <c r="AD93" s="6"/>
      <c r="AE93" s="9"/>
      <c r="AF93" s="9"/>
      <c r="AG93" s="2"/>
    </row>
    <row r="94" spans="1:33" ht="17" customHeight="1" x14ac:dyDescent="0.2">
      <c r="A94" s="9" t="s">
        <v>1850</v>
      </c>
      <c r="B94" s="6"/>
      <c r="C94" s="6"/>
      <c r="D94" s="9" t="s">
        <v>435</v>
      </c>
      <c r="E94" s="3" t="str">
        <f t="shared" ref="E94" si="39">SUBSTITUTE(SUBSTITUTE(_xlfn.TEXTBEFORE(A94,","), "-", ""), " ", "")</f>
        <v>DeCasien</v>
      </c>
      <c r="F94" s="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3" t="str">
        <f t="shared" ref="G94" si="40">_xlfn.TEXTBEFORE(_xlfn.TEXTAFTER(A94, "("), ")")</f>
        <v>2017</v>
      </c>
      <c r="H94" s="3" t="str">
        <f t="shared" ref="H94" si="41">E94 &amp; IF(F94&lt;&gt;"", "_" &amp; F94, "_") &amp; IF(G94&lt;&gt;"", "_" &amp; G94, "_") &amp; IF(B94&lt;&gt;"", "_" &amp; B94, "")</f>
        <v>DeCasien_etal_2017</v>
      </c>
      <c r="I94" s="3" t="str">
        <f t="shared" ref="I94" si="42">_xlfn.LET(
_xlpm.doi,IF(C94&lt;&gt;"",C94,_xlfn.TEXTAFTER(A94,"https://doi.org/")),
SUBSTITUTE(
SUBSTITUTE(
SUBSTITUTE(
SUBSTITUTE(
_xlpm.doi,
"/","%2F"),
":","%3A"),
"&lt;","%3C"),
"&gt;","%3E")
)</f>
        <v>10.1038%2Fs41559-017-0112</v>
      </c>
      <c r="J94" s="3" t="str">
        <f t="shared" ref="J94" si="43">TRIM(_xlfn.TEXTJOIN("_",FALSE(),H94,(SUBSTITUTE(SUBSTITUTE(D94," ",""), "_", ""))))</f>
        <v>DeCasien_etal_2017_referencesbraindata</v>
      </c>
      <c r="K94" s="3" t="str">
        <f t="shared" ref="K94" si="44">I94 &amp; "_" &amp; SUBSTITUTE(SUBSTITUTE(SUBSTITUTE(D94,CHAR(160),"")," ",""),"_","")</f>
        <v>10.1038%2Fs41559-017-0112_referencesbraindata</v>
      </c>
      <c r="L94" s="3" t="str">
        <f t="array" ref="L94">IFERROR(INDEX(AUTO_Public_TSV_FileList!$A$1:$A$1000,MATCH(TRUE(),EXACT(K94,IFERROR(_xlfn.TEXTBEFORE(AUTO_Public_TSV_FileList!$A$1:$A$1000,".tsv"),"")),0)),"notfound")</f>
        <v>notfound</v>
      </c>
      <c r="M94" s="7"/>
      <c r="N94" s="1"/>
      <c r="Q94" s="6"/>
      <c r="R94" s="7"/>
      <c r="S94" s="6"/>
      <c r="T94" s="6"/>
      <c r="U94" s="6"/>
      <c r="V94" s="6"/>
      <c r="W94" s="9"/>
      <c r="X94" s="7"/>
      <c r="Y94" s="6"/>
      <c r="Z94" s="7"/>
      <c r="AA94" s="6"/>
      <c r="AB94" s="9"/>
      <c r="AD94" s="6"/>
      <c r="AE94" s="9"/>
      <c r="AF94" s="9"/>
      <c r="AG94" s="2"/>
    </row>
    <row r="95" spans="1:33" ht="17" customHeight="1" x14ac:dyDescent="0.2">
      <c r="A95" s="1" t="s">
        <v>413</v>
      </c>
      <c r="D95" s="1" t="s">
        <v>414</v>
      </c>
      <c r="E95" s="3" t="str">
        <f t="shared" si="27"/>
        <v>DeCasien</v>
      </c>
      <c r="F95" s="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3" t="str">
        <f t="shared" si="28"/>
        <v>2019</v>
      </c>
      <c r="H95" s="3" t="str">
        <f t="shared" si="29"/>
        <v>DeCasien_Higham_2019</v>
      </c>
      <c r="I95" s="3" t="str">
        <f t="shared" si="32"/>
        <v>10.1038%2Fs41559-019-0969-0</v>
      </c>
      <c r="J95" s="3" t="str">
        <f t="shared" si="30"/>
        <v>DeCasien_Higham_2019_ActivityPeriodData</v>
      </c>
      <c r="K95" s="3" t="str">
        <f t="shared" si="31"/>
        <v>10.1038%2Fs41559-019-0969-0_ActivityPeriodData</v>
      </c>
      <c r="L95" s="3" t="str">
        <f t="array" ref="L95">IFERROR(INDEX(AUTO_Public_TSV_FileList!$A$1:$A$1000,MATCH(TRUE(),EXACT(K95,IFERROR(_xlfn.TEXTBEFORE(AUTO_Public_TSV_FileList!$A$1:$A$1000,".tsv"),"")),0)),"notfound")</f>
        <v>10.1038%2Fs41559-019-0969-0_ActivityPeriodData.tsv</v>
      </c>
      <c r="M95" s="1" t="s">
        <v>415</v>
      </c>
      <c r="N95" s="1" t="s">
        <v>35</v>
      </c>
      <c r="R95" s="1" t="s">
        <v>416</v>
      </c>
      <c r="W95" s="1" t="s">
        <v>93</v>
      </c>
      <c r="X95" s="1" t="s">
        <v>417</v>
      </c>
      <c r="Z95" s="1"/>
      <c r="AB95" s="1" t="s">
        <v>418</v>
      </c>
      <c r="AE95" s="1" t="s">
        <v>172</v>
      </c>
      <c r="AF95" s="1"/>
    </row>
    <row r="96" spans="1:33" ht="17" customHeight="1" x14ac:dyDescent="0.2">
      <c r="A96" s="1" t="s">
        <v>413</v>
      </c>
      <c r="D96" s="1" t="s">
        <v>419</v>
      </c>
      <c r="E96" s="3" t="str">
        <f t="shared" si="27"/>
        <v>DeCasien</v>
      </c>
      <c r="F96" s="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3" t="str">
        <f t="shared" si="28"/>
        <v>2019</v>
      </c>
      <c r="H96" s="3" t="str">
        <f t="shared" si="29"/>
        <v>DeCasien_Higham_2019</v>
      </c>
      <c r="I96" s="3" t="str">
        <f t="shared" si="32"/>
        <v>10.1038%2Fs41559-019-0969-0</v>
      </c>
      <c r="J96" s="3" t="str">
        <f t="shared" si="30"/>
        <v>DeCasien_Higham_2019_BrainRegionDatamm3</v>
      </c>
      <c r="K96" s="3" t="str">
        <f t="shared" si="31"/>
        <v>10.1038%2Fs41559-019-0969-0_BrainRegionDatamm3</v>
      </c>
      <c r="L96" s="3" t="str">
        <f t="array" ref="L96">IFERROR(INDEX(AUTO_Public_TSV_FileList!$A$1:$A$1000,MATCH(TRUE(),EXACT(K96,IFERROR(_xlfn.TEXTBEFORE(AUTO_Public_TSV_FileList!$A$1:$A$1000,".tsv"),"")),0)),"notfound")</f>
        <v>10.1038%2Fs41559-019-0969-0_BrainRegionDatamm3.tsv</v>
      </c>
      <c r="M96" s="1" t="s">
        <v>420</v>
      </c>
      <c r="N96" s="1" t="s">
        <v>35</v>
      </c>
      <c r="R96" s="1" t="s">
        <v>416</v>
      </c>
      <c r="W96" s="1" t="s">
        <v>93</v>
      </c>
      <c r="X96" s="1" t="s">
        <v>421</v>
      </c>
      <c r="Z96" s="1" t="s">
        <v>83</v>
      </c>
      <c r="AB96" s="1" t="s">
        <v>90</v>
      </c>
      <c r="AE96" s="1" t="s">
        <v>422</v>
      </c>
      <c r="AF96" s="1" t="s">
        <v>423</v>
      </c>
    </row>
    <row r="97" spans="1:33" ht="17" customHeight="1" x14ac:dyDescent="0.2">
      <c r="A97" s="1" t="s">
        <v>413</v>
      </c>
      <c r="D97" s="1" t="s">
        <v>424</v>
      </c>
      <c r="E97" s="3" t="str">
        <f t="shared" si="27"/>
        <v>DeCasien</v>
      </c>
      <c r="F97" s="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3" t="str">
        <f t="shared" si="28"/>
        <v>2019</v>
      </c>
      <c r="H97" s="3" t="str">
        <f t="shared" si="29"/>
        <v>DeCasien_Higham_2019</v>
      </c>
      <c r="I97" s="3" t="str">
        <f t="shared" si="32"/>
        <v>10.1038%2Fs41559-019-0969-0</v>
      </c>
      <c r="J97" s="3" t="str">
        <f t="shared" si="30"/>
        <v>DeCasien_Higham_2019_BrainRegionDataNotes</v>
      </c>
      <c r="K97" s="3" t="str">
        <f t="shared" si="31"/>
        <v>10.1038%2Fs41559-019-0969-0_BrainRegionDataNotes</v>
      </c>
      <c r="L97" s="3" t="str">
        <f t="array" ref="L97">IFERROR(INDEX(AUTO_Public_TSV_FileList!$A$1:$A$1000,MATCH(TRUE(),EXACT(K97,IFERROR(_xlfn.TEXTBEFORE(AUTO_Public_TSV_FileList!$A$1:$A$1000,".tsv"),"")),0)),"notfound")</f>
        <v>10.1038%2Fs41559-019-0969-0_BrainRegionDataNotes.tsv</v>
      </c>
      <c r="M97" s="1" t="s">
        <v>424</v>
      </c>
      <c r="N97" s="1" t="s">
        <v>35</v>
      </c>
      <c r="R97" s="1" t="s">
        <v>416</v>
      </c>
      <c r="W97" s="1" t="s">
        <v>93</v>
      </c>
      <c r="X97" s="1" t="s">
        <v>421</v>
      </c>
      <c r="Z97" s="1" t="s">
        <v>83</v>
      </c>
      <c r="AB97" s="1" t="s">
        <v>90</v>
      </c>
      <c r="AE97" s="1" t="s">
        <v>422</v>
      </c>
      <c r="AF97" s="1" t="s">
        <v>423</v>
      </c>
    </row>
    <row r="98" spans="1:33" ht="17" customHeight="1" x14ac:dyDescent="0.2">
      <c r="A98" s="1" t="s">
        <v>413</v>
      </c>
      <c r="D98" s="1" t="s">
        <v>425</v>
      </c>
      <c r="E98" s="3" t="str">
        <f t="shared" si="27"/>
        <v>DeCasien</v>
      </c>
      <c r="F98" s="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3" t="str">
        <f t="shared" si="28"/>
        <v>2019</v>
      </c>
      <c r="H98" s="3" t="str">
        <f t="shared" si="29"/>
        <v>DeCasien_Higham_2019</v>
      </c>
      <c r="I98" s="3" t="str">
        <f t="shared" si="32"/>
        <v>10.1038%2Fs41559-019-0969-0</v>
      </c>
      <c r="J98" s="3" t="str">
        <f t="shared" si="30"/>
        <v>DeCasien_Higham_2019_DietData</v>
      </c>
      <c r="K98" s="3" t="str">
        <f t="shared" si="31"/>
        <v>10.1038%2Fs41559-019-0969-0_DietData</v>
      </c>
      <c r="L98" s="3" t="str">
        <f t="array" ref="L98">IFERROR(INDEX(AUTO_Public_TSV_FileList!$A$1:$A$1000,MATCH(TRUE(),EXACT(K98,IFERROR(_xlfn.TEXTBEFORE(AUTO_Public_TSV_FileList!$A$1:$A$1000,".tsv"),"")),0)),"notfound")</f>
        <v>10.1038%2Fs41559-019-0969-0_DietData.tsv</v>
      </c>
      <c r="M98" s="1" t="s">
        <v>426</v>
      </c>
      <c r="N98" s="1" t="s">
        <v>35</v>
      </c>
      <c r="R98" s="1" t="s">
        <v>416</v>
      </c>
      <c r="W98" s="1" t="s">
        <v>93</v>
      </c>
      <c r="X98" s="1" t="s">
        <v>427</v>
      </c>
      <c r="Z98" s="1"/>
      <c r="AB98" s="1" t="s">
        <v>428</v>
      </c>
      <c r="AE98" s="1" t="s">
        <v>172</v>
      </c>
      <c r="AF98" s="1"/>
    </row>
    <row r="99" spans="1:33" ht="17" customHeight="1" x14ac:dyDescent="0.2">
      <c r="A99" s="1" t="s">
        <v>413</v>
      </c>
      <c r="D99" s="1" t="s">
        <v>429</v>
      </c>
      <c r="E99" s="3" t="str">
        <f t="shared" si="27"/>
        <v>DeCasien</v>
      </c>
      <c r="F99" s="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3" t="str">
        <f t="shared" si="28"/>
        <v>2019</v>
      </c>
      <c r="H99" s="3" t="str">
        <f t="shared" si="29"/>
        <v>DeCasien_Higham_2019</v>
      </c>
      <c r="I99" s="3" t="str">
        <f t="shared" si="32"/>
        <v>10.1038%2Fs41559-019-0969-0</v>
      </c>
      <c r="J99" s="3" t="str">
        <f t="shared" si="30"/>
        <v>DeCasien_Higham_2019_DQIdata</v>
      </c>
      <c r="K99" s="3" t="str">
        <f t="shared" si="31"/>
        <v>10.1038%2Fs41559-019-0969-0_DQIdata</v>
      </c>
      <c r="L99" s="3" t="str">
        <f t="array" ref="L99">IFERROR(INDEX(AUTO_Public_TSV_FileList!$A$1:$A$1000,MATCH(TRUE(),EXACT(K99,IFERROR(_xlfn.TEXTBEFORE(AUTO_Public_TSV_FileList!$A$1:$A$1000,".tsv"),"")),0)),"notfound")</f>
        <v>10.1038%2Fs41559-019-0969-0_DQIdata.tsv</v>
      </c>
      <c r="M99" s="1" t="s">
        <v>429</v>
      </c>
      <c r="N99" s="1" t="s">
        <v>35</v>
      </c>
      <c r="R99" s="1" t="s">
        <v>416</v>
      </c>
      <c r="W99" s="1" t="s">
        <v>93</v>
      </c>
      <c r="X99" s="1"/>
      <c r="Z99" s="1"/>
      <c r="AB99" s="1"/>
      <c r="AE99" s="1" t="s">
        <v>172</v>
      </c>
      <c r="AF99" s="1"/>
    </row>
    <row r="100" spans="1:33" ht="17" customHeight="1" x14ac:dyDescent="0.2">
      <c r="A100" s="1" t="s">
        <v>413</v>
      </c>
      <c r="D100" s="1" t="s">
        <v>430</v>
      </c>
      <c r="E100" s="3" t="str">
        <f t="shared" si="27"/>
        <v>DeCasien</v>
      </c>
      <c r="F100" s="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3" t="str">
        <f t="shared" si="28"/>
        <v>2019</v>
      </c>
      <c r="H100" s="3" t="str">
        <f t="shared" si="29"/>
        <v>DeCasien_Higham_2019</v>
      </c>
      <c r="I100" s="3" t="str">
        <f t="shared" si="32"/>
        <v>10.1038%2Fs41559-019-0969-0</v>
      </c>
      <c r="J100" s="3" t="str">
        <f t="shared" si="30"/>
        <v>DeCasien_Higham_2019_GroupSizeDataaggregated</v>
      </c>
      <c r="K100" s="3" t="str">
        <f t="shared" si="31"/>
        <v>10.1038%2Fs41559-019-0969-0_GroupSizeDataaggregated</v>
      </c>
      <c r="L100" s="3" t="str">
        <f t="array" ref="L100">IFERROR(INDEX(AUTO_Public_TSV_FileList!$A$1:$A$1000,MATCH(TRUE(),EXACT(K100,IFERROR(_xlfn.TEXTBEFORE(AUTO_Public_TSV_FileList!$A$1:$A$1000,".tsv"),"")),0)),"notfound")</f>
        <v>10.1038%2Fs41559-019-0969-0_GroupSizeDataaggregated.tsv</v>
      </c>
      <c r="M100" s="1" t="s">
        <v>431</v>
      </c>
      <c r="N100" s="1" t="s">
        <v>35</v>
      </c>
      <c r="R100" s="1" t="s">
        <v>416</v>
      </c>
      <c r="W100" s="1" t="s">
        <v>93</v>
      </c>
      <c r="X100" s="1" t="s">
        <v>432</v>
      </c>
      <c r="Z100" s="1"/>
      <c r="AB100" s="1" t="s">
        <v>433</v>
      </c>
      <c r="AE100" s="1" t="s">
        <v>172</v>
      </c>
      <c r="AF100" s="1"/>
    </row>
    <row r="101" spans="1:33" ht="17" customHeight="1" x14ac:dyDescent="0.2">
      <c r="A101" s="1" t="s">
        <v>413</v>
      </c>
      <c r="D101" s="1" t="s">
        <v>434</v>
      </c>
      <c r="E101" s="3" t="str">
        <f t="shared" ref="E101" si="45">SUBSTITUTE(SUBSTITUTE(_xlfn.TEXTBEFORE(A101,","), "-", ""), " ", "")</f>
        <v>DeCasien</v>
      </c>
      <c r="F101" s="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3" t="str">
        <f t="shared" ref="G101" si="46">_xlfn.TEXTBEFORE(_xlfn.TEXTAFTER(A101, "("), ")")</f>
        <v>2019</v>
      </c>
      <c r="H101" s="3" t="str">
        <f t="shared" ref="H101" si="47">E101 &amp; IF(F101&lt;&gt;"", "_" &amp; F101, "_") &amp; IF(G101&lt;&gt;"", "_" &amp; G101, "_") &amp; IF(B101&lt;&gt;"", "_" &amp; B101, "")</f>
        <v>DeCasien_Higham_2019</v>
      </c>
      <c r="I101" s="3" t="str">
        <f t="shared" ref="I101" si="48">_xlfn.LET(
_xlpm.doi,IF(C101&lt;&gt;"",C101,_xlfn.TEXTAFTER(A101,"https://doi.org/")),
SUBSTITUTE(
SUBSTITUTE(
SUBSTITUTE(
SUBSTITUTE(
_xlpm.doi,
"/","%2F"),
":","%3A"),
"&lt;","%3C"),
"&gt;","%3E")
)</f>
        <v>10.1038%2Fs41559-019-0969-0</v>
      </c>
      <c r="J101" s="3" t="str">
        <f t="shared" ref="J101" si="49">TRIM(_xlfn.TEXTJOIN("_",FALSE(),H101,(SUBSTITUTE(SUBSTITUTE(D101," ",""), "_", ""))))</f>
        <v>DeCasien_Higham_2019_GroupSizeDatafrom38</v>
      </c>
      <c r="K101" s="3" t="str">
        <f t="shared" ref="K101" si="50">I101 &amp; "_" &amp; SUBSTITUTE(SUBSTITUTE(SUBSTITUTE(D101,CHAR(160),"")," ",""),"_","")</f>
        <v>10.1038%2Fs41559-019-0969-0_GroupSizeDatafrom38</v>
      </c>
      <c r="L101" s="3" t="str">
        <f t="array" ref="L101">IFERROR(INDEX(AUTO_Public_TSV_FileList!$A$1:$A$1000,MATCH(TRUE(),EXACT(K101,IFERROR(_xlfn.TEXTBEFORE(AUTO_Public_TSV_FileList!$A$1:$A$1000,".tsv"),"")),0)),"notfound")</f>
        <v>10.1038%2Fs41559-019-0969-0_GroupSizeDatafrom38.tsv</v>
      </c>
      <c r="M101" s="1" t="s">
        <v>431</v>
      </c>
      <c r="N101" s="1" t="s">
        <v>35</v>
      </c>
      <c r="R101" s="1" t="s">
        <v>416</v>
      </c>
      <c r="W101" s="1" t="s">
        <v>93</v>
      </c>
      <c r="X101" s="1" t="s">
        <v>432</v>
      </c>
      <c r="Z101" s="1"/>
      <c r="AB101" s="1" t="s">
        <v>433</v>
      </c>
      <c r="AE101" s="1" t="s">
        <v>172</v>
      </c>
      <c r="AF101" s="1"/>
    </row>
    <row r="102" spans="1:33" ht="17" customHeight="1" x14ac:dyDescent="0.2">
      <c r="A102" s="1" t="s">
        <v>413</v>
      </c>
      <c r="D102" s="1" t="s">
        <v>435</v>
      </c>
      <c r="E102" s="3" t="str">
        <f t="shared" ref="E102:E103" si="51">SUBSTITUTE(SUBSTITUTE(_xlfn.TEXTBEFORE(A102,","), "-", ""), " ", "")</f>
        <v>DeCasien</v>
      </c>
      <c r="F102" s="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3" t="str">
        <f t="shared" ref="G102:G103" si="52">_xlfn.TEXTBEFORE(_xlfn.TEXTAFTER(A102, "("), ")")</f>
        <v>2019</v>
      </c>
      <c r="H102" s="3" t="str">
        <f t="shared" ref="H102:H103" si="53">E102 &amp; IF(F102&lt;&gt;"", "_" &amp; F102, "_") &amp; IF(G102&lt;&gt;"", "_" &amp; G102, "_") &amp; IF(B102&lt;&gt;"", "_" &amp; B102, "")</f>
        <v>DeCasien_Higham_2019</v>
      </c>
      <c r="I102" s="3" t="str">
        <f t="shared" ref="I102:I103" si="54">_xlfn.LET(
_xlpm.doi,IF(C102&lt;&gt;"",C102,_xlfn.TEXTAFTER(A102,"https://doi.org/")),
SUBSTITUTE(
SUBSTITUTE(
SUBSTITUTE(
SUBSTITUTE(
_xlpm.doi,
"/","%2F"),
":","%3A"),
"&lt;","%3C"),
"&gt;","%3E")
)</f>
        <v>10.1038%2Fs41559-019-0969-0</v>
      </c>
      <c r="J102" s="3" t="str">
        <f t="shared" ref="J102:J103" si="55">TRIM(_xlfn.TEXTJOIN("_",FALSE(),H102,(SUBSTITUTE(SUBSTITUTE(D102," ",""), "_", ""))))</f>
        <v>DeCasien_Higham_2019_referencesbraindata</v>
      </c>
      <c r="K102" s="3" t="str">
        <f t="shared" ref="K102:K103" si="56">I102 &amp; "_" &amp; SUBSTITUTE(SUBSTITUTE(SUBSTITUTE(D102,CHAR(160),"")," ",""),"_","")</f>
        <v>10.1038%2Fs41559-019-0969-0_referencesbraindata</v>
      </c>
      <c r="L102" s="3" t="str">
        <f t="array" ref="L102">IFERROR(INDEX(AUTO_Public_TSV_FileList!$A$1:$A$1000,MATCH(TRUE(),EXACT(K102,IFERROR(_xlfn.TEXTBEFORE(AUTO_Public_TSV_FileList!$A$1:$A$1000,".tsv"),"")),0)),"notfound")</f>
        <v>notfound</v>
      </c>
      <c r="M102" s="1" t="s">
        <v>435</v>
      </c>
      <c r="N102" s="1" t="s">
        <v>35</v>
      </c>
      <c r="R102" s="1" t="s">
        <v>416</v>
      </c>
      <c r="W102" s="1" t="s">
        <v>93</v>
      </c>
      <c r="X102" s="1"/>
      <c r="Z102" s="1"/>
      <c r="AB102" s="1"/>
      <c r="AE102" s="1" t="s">
        <v>172</v>
      </c>
      <c r="AF102" s="1"/>
    </row>
    <row r="103" spans="1:33" ht="17" customHeight="1" x14ac:dyDescent="0.2">
      <c r="A103" s="1" t="s">
        <v>413</v>
      </c>
      <c r="D103" s="1" t="s">
        <v>436</v>
      </c>
      <c r="E103" s="3" t="str">
        <f t="shared" si="51"/>
        <v>DeCasien</v>
      </c>
      <c r="F103" s="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3" t="str">
        <f t="shared" si="52"/>
        <v>2019</v>
      </c>
      <c r="H103" s="3" t="str">
        <f t="shared" si="53"/>
        <v>DeCasien_Higham_2019</v>
      </c>
      <c r="I103" s="3" t="str">
        <f t="shared" si="54"/>
        <v>10.1038%2Fs41559-019-0969-0</v>
      </c>
      <c r="J103" s="3" t="str">
        <f t="shared" si="55"/>
        <v>DeCasien_Higham_2019_SocialSystemData</v>
      </c>
      <c r="K103" s="3" t="str">
        <f t="shared" si="56"/>
        <v>10.1038%2Fs41559-019-0969-0_SocialSystemData</v>
      </c>
      <c r="L103" s="3" t="str">
        <f t="array" ref="L103">IFERROR(INDEX(AUTO_Public_TSV_FileList!$A$1:$A$1000,MATCH(TRUE(),EXACT(K103,IFERROR(_xlfn.TEXTBEFORE(AUTO_Public_TSV_FileList!$A$1:$A$1000,".tsv"),"")),0)),"notfound")</f>
        <v>10.1038%2Fs41559-019-0969-0_SocialSystemData.tsv</v>
      </c>
      <c r="M103" s="1" t="s">
        <v>437</v>
      </c>
      <c r="N103" s="1" t="s">
        <v>35</v>
      </c>
      <c r="R103" s="1" t="s">
        <v>416</v>
      </c>
      <c r="W103" s="1" t="s">
        <v>93</v>
      </c>
      <c r="X103" s="1" t="s">
        <v>432</v>
      </c>
      <c r="Z103" s="1"/>
      <c r="AB103" s="1" t="s">
        <v>433</v>
      </c>
      <c r="AE103" s="1" t="s">
        <v>172</v>
      </c>
      <c r="AF103" s="1"/>
    </row>
    <row r="104" spans="1:33" ht="17" customHeight="1" x14ac:dyDescent="0.2">
      <c r="A104" s="1" t="s">
        <v>413</v>
      </c>
      <c r="D104" s="1" t="s">
        <v>438</v>
      </c>
      <c r="E104" s="3" t="str">
        <f t="shared" si="27"/>
        <v>DeCasien</v>
      </c>
      <c r="F104" s="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3" t="str">
        <f t="shared" si="28"/>
        <v>2019</v>
      </c>
      <c r="H104" s="3" t="str">
        <f t="shared" si="29"/>
        <v>DeCasien_Higham_2019</v>
      </c>
      <c r="I104" s="3" t="str">
        <f t="shared" si="32"/>
        <v>10.1038%2Fs41559-019-0969-0</v>
      </c>
      <c r="J104" s="3" t="str">
        <f t="shared" si="30"/>
        <v>DeCasien_Higham_2019_SourceRefsfrom38</v>
      </c>
      <c r="K104" s="3" t="str">
        <f t="shared" si="31"/>
        <v>10.1038%2Fs41559-019-0969-0_SourceRefsfrom38</v>
      </c>
      <c r="L104" s="3" t="str">
        <f t="array" ref="L104">IFERROR(INDEX(AUTO_Public_TSV_FileList!$A$1:$A$1000,MATCH(TRUE(),EXACT(K104,IFERROR(_xlfn.TEXTBEFORE(AUTO_Public_TSV_FileList!$A$1:$A$1000,".tsv"),"")),0)),"notfound")</f>
        <v>10.1038%2Fs41559-019-0969-0_SourceRefsfrom38.tsv</v>
      </c>
      <c r="M104" s="1" t="s">
        <v>438</v>
      </c>
      <c r="N104" s="1" t="s">
        <v>35</v>
      </c>
      <c r="R104" s="1" t="s">
        <v>416</v>
      </c>
      <c r="W104" s="1" t="s">
        <v>93</v>
      </c>
      <c r="X104" s="1"/>
      <c r="Z104" s="1"/>
      <c r="AB104" s="1"/>
      <c r="AE104" s="1" t="s">
        <v>172</v>
      </c>
      <c r="AF104" s="1"/>
    </row>
    <row r="105" spans="1:33" ht="17" customHeight="1" x14ac:dyDescent="0.2">
      <c r="A105" s="1" t="s">
        <v>1484</v>
      </c>
      <c r="D105" s="1" t="s">
        <v>34</v>
      </c>
      <c r="E105" s="3" t="str">
        <f t="shared" ref="E105" si="57">SUBSTITUTE(SUBSTITUTE(_xlfn.TEXTBEFORE(A105,","), "-", ""), " ", "")</f>
        <v>Dell</v>
      </c>
      <c r="F105" s="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3" t="str">
        <f t="shared" ref="G105" si="58">_xlfn.TEXTBEFORE(_xlfn.TEXTAFTER(A105, "("), ")")</f>
        <v>2016</v>
      </c>
      <c r="H105" s="3" t="str">
        <f t="shared" ref="H105" si="59">E105 &amp; IF(F105&lt;&gt;"", "_" &amp; F105, "_") &amp; IF(G105&lt;&gt;"", "_" &amp; G105, "_") &amp; IF(B105&lt;&gt;"", "_" &amp; B105, "")</f>
        <v>Dell_etal_2016</v>
      </c>
      <c r="I105" s="3" t="str">
        <f t="shared" ref="I105" si="60">_xlfn.LET(
_xlpm.doi,IF(C105&lt;&gt;"",C105,_xlfn.TEXTAFTER(A105,"https://doi.org/")),
SUBSTITUTE(
SUBSTITUTE(
SUBSTITUTE(
SUBSTITUTE(
_xlpm.doi,
"/","%2F"),
":","%3A"),
"&lt;","%3C"),
"&gt;","%3E")
)</f>
        <v>10.1002%2Fcne.23929</v>
      </c>
      <c r="J105" s="3" t="str">
        <f t="shared" ref="J105" si="61">TRIM(_xlfn.TEXTJOIN("_",FALSE(),H105,(SUBSTITUTE(SUBSTITUTE(D105," ",""), "_", ""))))</f>
        <v>Dell_etal_2016_Table4</v>
      </c>
      <c r="K105" s="3" t="str">
        <f t="shared" ref="K105" si="62">I105 &amp; "_" &amp; SUBSTITUTE(SUBSTITUTE(SUBSTITUTE(D105,CHAR(160),"")," ",""),"_","")</f>
        <v>10.1002%2Fcne.23929_Table4</v>
      </c>
      <c r="L105" s="3" t="str">
        <f t="array" ref="L105">IFERROR(INDEX(AUTO_Public_TSV_FileList!$A$1:$A$1000,MATCH(TRUE(),EXACT(K105,IFERROR(_xlfn.TEXTBEFORE(AUTO_Public_TSV_FileList!$A$1:$A$1000,".tsv"),"")),0)),"notfound")</f>
        <v>10.1002%2Fcne.23929_Table4.tsv</v>
      </c>
      <c r="M105" s="1"/>
      <c r="N105" s="5"/>
      <c r="R105" s="5"/>
      <c r="W105" s="5"/>
      <c r="X105" s="5"/>
      <c r="Z105" s="5"/>
      <c r="AB105" s="5"/>
      <c r="AE105" s="5"/>
      <c r="AF105" s="5"/>
    </row>
    <row r="106" spans="1:33" ht="17" customHeight="1" x14ac:dyDescent="0.2">
      <c r="A106" s="8" t="s">
        <v>439</v>
      </c>
      <c r="D106" s="8" t="s">
        <v>440</v>
      </c>
      <c r="E106" s="3" t="str">
        <f t="shared" si="27"/>
        <v>Demirci</v>
      </c>
      <c r="F106" s="3"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3" t="str">
        <f t="shared" si="28"/>
        <v>2023</v>
      </c>
      <c r="H106" s="3" t="str">
        <f t="shared" si="29"/>
        <v>Demirci_etal_2023</v>
      </c>
      <c r="I106" s="3" t="str">
        <f t="shared" si="32"/>
        <v>10.1016%2Fj.neuroimage.2023.120283</v>
      </c>
      <c r="J106" s="3" t="str">
        <f t="shared" si="30"/>
        <v>Demirci_etal_2023_Fig.1</v>
      </c>
      <c r="K106" s="3" t="str">
        <f t="shared" si="31"/>
        <v>10.1016%2Fj.neuroimage.2023.120283_Fig.1</v>
      </c>
      <c r="L106" s="3" t="str">
        <f t="array" ref="L106">IFERROR(INDEX(AUTO_Public_TSV_FileList!$A$1:$A$1000,MATCH(TRUE(),EXACT(K106,IFERROR(_xlfn.TEXTBEFORE(AUTO_Public_TSV_FileList!$A$1:$A$1000,".tsv"),"")),0)),"notfound")</f>
        <v>10.1016%2Fj.neuroimage.2023.120283_Fig.1.tsv</v>
      </c>
      <c r="M106" s="8" t="s">
        <v>441</v>
      </c>
    </row>
    <row r="107" spans="1:33" ht="17" customHeight="1" x14ac:dyDescent="0.2">
      <c r="A107" s="1" t="s">
        <v>442</v>
      </c>
      <c r="D107" s="1" t="s">
        <v>81</v>
      </c>
      <c r="E107" s="3" t="str">
        <f t="shared" si="27"/>
        <v>DosSantos</v>
      </c>
      <c r="F107" s="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3" t="str">
        <f t="shared" si="28"/>
        <v>2020</v>
      </c>
      <c r="H107" s="3" t="str">
        <f t="shared" si="29"/>
        <v>DosSantos_etal_2020</v>
      </c>
      <c r="I107" s="3" t="str">
        <f t="shared" si="32"/>
        <v>10.1523%2FJNEUROSCI.2339-19.2020</v>
      </c>
      <c r="J107" s="3" t="str">
        <f t="shared" si="30"/>
        <v>DosSantos_etal_2020_Table1</v>
      </c>
      <c r="K107" s="3" t="str">
        <f t="shared" si="31"/>
        <v>10.1523%2FJNEUROSCI.2339-19.2020_Table1</v>
      </c>
      <c r="L107" s="3" t="str">
        <f t="array" ref="L107">IFERROR(INDEX(AUTO_Public_TSV_FileList!$A$1:$A$1000,MATCH(TRUE(),EXACT(K107,IFERROR(_xlfn.TEXTBEFORE(AUTO_Public_TSV_FileList!$A$1:$A$1000,".tsv"),"")),0)),"notfound")</f>
        <v>10.1523%2FJNEUROSCI.2339-19.2020_Table1.tsv</v>
      </c>
      <c r="N107" s="1" t="s">
        <v>35</v>
      </c>
      <c r="P107" s="1" t="s">
        <v>36</v>
      </c>
      <c r="Q107" s="1"/>
      <c r="S107" s="1" t="s">
        <v>443</v>
      </c>
      <c r="U107" s="1" t="s">
        <v>444</v>
      </c>
      <c r="V107" s="1" t="s">
        <v>445</v>
      </c>
      <c r="W107" s="1" t="s">
        <v>131</v>
      </c>
      <c r="X107" s="1" t="s">
        <v>446</v>
      </c>
      <c r="AA107" s="1" t="s">
        <v>63</v>
      </c>
      <c r="AB107" s="1" t="s">
        <v>447</v>
      </c>
      <c r="AC107" s="1" t="s">
        <v>65</v>
      </c>
      <c r="AD107" s="1" t="s">
        <v>65</v>
      </c>
      <c r="AE107" s="1" t="s">
        <v>66</v>
      </c>
      <c r="AF107" s="1"/>
    </row>
    <row r="108" spans="1:33" ht="17" customHeight="1" x14ac:dyDescent="0.2">
      <c r="A108" s="1" t="s">
        <v>442</v>
      </c>
      <c r="D108" s="1" t="s">
        <v>448</v>
      </c>
      <c r="E108" s="3" t="str">
        <f t="shared" si="27"/>
        <v>DosSantos</v>
      </c>
      <c r="F108" s="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3" t="str">
        <f t="shared" si="28"/>
        <v>2020</v>
      </c>
      <c r="H108" s="3" t="str">
        <f t="shared" si="29"/>
        <v>DosSantos_etal_2020</v>
      </c>
      <c r="I108" s="3" t="str">
        <f t="shared" si="32"/>
        <v>10.1523%2FJNEUROSCI.2339-19.2020</v>
      </c>
      <c r="J108" s="3" t="str">
        <f t="shared" si="30"/>
        <v>DosSantos_etal_2020_unpublished</v>
      </c>
      <c r="K108" s="3" t="str">
        <f t="shared" ref="K108:K143" si="63">I108 &amp; "_" &amp; SUBSTITUTE(SUBSTITUTE(SUBSTITUTE(D108,CHAR(160),"")," ",""),"_","")</f>
        <v>10.1523%2FJNEUROSCI.2339-19.2020_unpublished</v>
      </c>
      <c r="L108" s="3" t="str">
        <f t="array" ref="L108">IFERROR(INDEX(AUTO_Public_TSV_FileList!$A$1:$A$1000,MATCH(TRUE(),EXACT(K108,IFERROR(_xlfn.TEXTBEFORE(AUTO_Public_TSV_FileList!$A$1:$A$1000,".tsv"),"")),0)),"notfound")</f>
        <v>10.1523%2FJNEUROSCI.2339-19.2020_unpublished.tsv</v>
      </c>
      <c r="N108" s="1" t="s">
        <v>35</v>
      </c>
      <c r="P108" s="1" t="s">
        <v>36</v>
      </c>
      <c r="Q108" s="1"/>
      <c r="R108" s="1" t="s">
        <v>449</v>
      </c>
      <c r="S108" s="1" t="s">
        <v>450</v>
      </c>
      <c r="V108" s="1" t="s">
        <v>445</v>
      </c>
      <c r="W108" s="1" t="s">
        <v>131</v>
      </c>
      <c r="X108" s="1" t="s">
        <v>446</v>
      </c>
      <c r="AA108" s="1" t="s">
        <v>63</v>
      </c>
      <c r="AB108" s="1" t="s">
        <v>447</v>
      </c>
      <c r="AC108" s="1" t="s">
        <v>65</v>
      </c>
      <c r="AD108" s="1" t="s">
        <v>65</v>
      </c>
      <c r="AE108" s="1" t="s">
        <v>66</v>
      </c>
      <c r="AF108" s="1"/>
    </row>
    <row r="109" spans="1:33" ht="17" customHeight="1" x14ac:dyDescent="0.2">
      <c r="A109" s="1" t="s">
        <v>451</v>
      </c>
      <c r="D109" s="1" t="s">
        <v>314</v>
      </c>
      <c r="E109" s="3" t="str">
        <f t="shared" si="27"/>
        <v>DosSantos</v>
      </c>
      <c r="F109" s="3"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3" t="str">
        <f t="shared" si="28"/>
        <v>2017</v>
      </c>
      <c r="H109" s="3" t="str">
        <f t="shared" si="29"/>
        <v>DosSantos_etal_2017</v>
      </c>
      <c r="I109" s="3" t="str">
        <f t="shared" si="32"/>
        <v>10.1159%2F000452856</v>
      </c>
      <c r="J109" s="3" t="str">
        <f t="shared" si="30"/>
        <v>DosSantos_etal_2017_TableS1</v>
      </c>
      <c r="K109" s="3" t="str">
        <f t="shared" si="63"/>
        <v>10.1159%2F000452856_TableS1</v>
      </c>
      <c r="L109" s="3" t="str">
        <f t="array" ref="L109">IFERROR(INDEX(AUTO_Public_TSV_FileList!$A$1:$A$1000,MATCH(TRUE(),EXACT(K109,IFERROR(_xlfn.TEXTBEFORE(AUTO_Public_TSV_FileList!$A$1:$A$1000,".tsv"),"")),0)),"notfound")</f>
        <v>10.1159%2F000452856_TableS1.tsv</v>
      </c>
      <c r="N109" s="1" t="s">
        <v>452</v>
      </c>
      <c r="P109" s="1" t="s">
        <v>36</v>
      </c>
      <c r="Q109" s="1"/>
      <c r="R109" s="1" t="s">
        <v>453</v>
      </c>
      <c r="S109" s="1" t="s">
        <v>454</v>
      </c>
      <c r="W109" s="1" t="s">
        <v>455</v>
      </c>
      <c r="X109" s="1" t="s">
        <v>446</v>
      </c>
      <c r="AA109" s="1" t="s">
        <v>63</v>
      </c>
      <c r="AB109" s="1" t="s">
        <v>64</v>
      </c>
      <c r="AC109" s="1" t="s">
        <v>65</v>
      </c>
      <c r="AD109" s="1" t="s">
        <v>65</v>
      </c>
      <c r="AE109" s="1" t="s">
        <v>66</v>
      </c>
      <c r="AF109" s="1"/>
    </row>
    <row r="110" spans="1:33" ht="17" customHeight="1" x14ac:dyDescent="0.2">
      <c r="A110" s="1" t="s">
        <v>456</v>
      </c>
      <c r="D110" s="1" t="s">
        <v>58</v>
      </c>
      <c r="E110" s="3" t="str">
        <f t="shared" si="27"/>
        <v>Eagleman</v>
      </c>
      <c r="F110" s="3"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0" s="3" t="str">
        <f t="shared" si="28"/>
        <v>2021</v>
      </c>
      <c r="H110" s="3" t="str">
        <f t="shared" si="29"/>
        <v>Eagleman_Vaughn_2021</v>
      </c>
      <c r="I110" s="3" t="str">
        <f t="shared" si="32"/>
        <v>10.3389%2Ffnins.2021.632853</v>
      </c>
      <c r="J110" s="3" t="str">
        <f t="shared" si="30"/>
        <v>Eagleman_Vaughn_2021_TABLE1</v>
      </c>
      <c r="K110" s="3" t="str">
        <f t="shared" si="63"/>
        <v>10.3389%2Ffnins.2021.632853_TABLE1</v>
      </c>
      <c r="L110" s="3" t="str">
        <f t="array" ref="L110">IFERROR(INDEX(AUTO_Public_TSV_FileList!$A$1:$A$1000,MATCH(TRUE(),EXACT(K110,IFERROR(_xlfn.TEXTBEFORE(AUTO_Public_TSV_FileList!$A$1:$A$1000,".tsv"),"")),0)),"notfound")</f>
        <v>10.3389%2Ffnins.2021.632853_TABLE1.tsv</v>
      </c>
      <c r="M110" s="1" t="s">
        <v>457</v>
      </c>
      <c r="P110" s="1" t="s">
        <v>36</v>
      </c>
      <c r="W110" s="1" t="s">
        <v>131</v>
      </c>
      <c r="X110" s="1" t="s">
        <v>458</v>
      </c>
      <c r="AB110" s="1" t="s">
        <v>459</v>
      </c>
      <c r="AE110" s="1" t="s">
        <v>172</v>
      </c>
      <c r="AF110" s="1"/>
    </row>
    <row r="111" spans="1:33" ht="17" customHeight="1" x14ac:dyDescent="0.2">
      <c r="A111" s="1" t="s">
        <v>460</v>
      </c>
      <c r="D111" s="1" t="s">
        <v>461</v>
      </c>
      <c r="E111" s="3" t="str">
        <f t="shared" si="27"/>
        <v>Ebinger</v>
      </c>
      <c r="F111" s="3"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1" s="3" t="str">
        <f t="shared" si="28"/>
        <v>1974</v>
      </c>
      <c r="H111" s="3" t="str">
        <f t="shared" si="29"/>
        <v>Ebinger__1974</v>
      </c>
      <c r="I111" s="3" t="str">
        <f t="shared" si="32"/>
        <v>10.1007%2FBF00522811</v>
      </c>
      <c r="J111" s="3" t="str">
        <f t="shared" si="30"/>
        <v>Ebinger__1974_Tables3-4</v>
      </c>
      <c r="K111" s="3" t="str">
        <f t="shared" si="63"/>
        <v>10.1007%2FBF00522811_Tables3-4</v>
      </c>
      <c r="L111" s="3" t="str">
        <f t="array" ref="L111">IFERROR(INDEX(AUTO_Public_TSV_FileList!$A$1:$A$1000,MATCH(TRUE(),EXACT(K111,IFERROR(_xlfn.TEXTBEFORE(AUTO_Public_TSV_FileList!$A$1:$A$1000,".tsv"),"")),0)),"notfound")</f>
        <v>10.1007%2FBF00522811_Tables3-4.tsv</v>
      </c>
      <c r="M111" s="1" t="s">
        <v>462</v>
      </c>
      <c r="P111" s="1" t="s">
        <v>36</v>
      </c>
      <c r="W111" s="1"/>
      <c r="X111" s="1"/>
      <c r="AB111" s="1"/>
      <c r="AE111" s="1" t="s">
        <v>66</v>
      </c>
      <c r="AF111" s="1"/>
    </row>
    <row r="112" spans="1:33" ht="17" customHeight="1" x14ac:dyDescent="0.2">
      <c r="A112" s="7" t="s">
        <v>463</v>
      </c>
      <c r="B112" s="7"/>
      <c r="C112" s="7"/>
      <c r="D112" s="7" t="s">
        <v>464</v>
      </c>
      <c r="E112" s="3" t="str">
        <f t="shared" si="27"/>
        <v>Elston</v>
      </c>
      <c r="F112" s="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2" s="3" t="str">
        <f t="shared" si="28"/>
        <v>2000</v>
      </c>
      <c r="H112" s="3" t="str">
        <f t="shared" si="29"/>
        <v>Elston__2000</v>
      </c>
      <c r="I112" s="3" t="str">
        <f t="shared" si="32"/>
        <v>10.1523%2FJNEUROSCI.20-18-j0002.2000</v>
      </c>
      <c r="J112" s="3" t="str">
        <f t="shared" si="30"/>
        <v>Elston__2000_Nonumbereddatatables;Figure2</v>
      </c>
      <c r="K112" s="3" t="str">
        <f t="shared" si="63"/>
        <v>10.1523%2FJNEUROSCI.20-18-j0002.2000_Nonumbereddatatables;Figure2</v>
      </c>
      <c r="L112" s="3" t="str">
        <f t="array" ref="L112">IFERROR(INDEX(AUTO_Public_TSV_FileList!$A$1:$A$1000,MATCH(TRUE(),EXACT(K112,IFERROR(_xlfn.TEXTBEFORE(AUTO_Public_TSV_FileList!$A$1:$A$1000,".tsv"),"")),0)),"notfound")</f>
        <v>notfound</v>
      </c>
      <c r="N112" s="7" t="s">
        <v>208</v>
      </c>
      <c r="P112" s="7"/>
      <c r="Q112" s="7"/>
      <c r="R112" s="7" t="s">
        <v>465</v>
      </c>
      <c r="S112" s="7"/>
      <c r="T112" s="7" t="s">
        <v>210</v>
      </c>
      <c r="U112" s="7"/>
      <c r="V112" s="7" t="s">
        <v>211</v>
      </c>
      <c r="W112" s="7" t="s">
        <v>93</v>
      </c>
      <c r="X112" s="7" t="s">
        <v>212</v>
      </c>
      <c r="Y112" s="7" t="s">
        <v>466</v>
      </c>
      <c r="Z112" s="7"/>
      <c r="AA112" s="7" t="s">
        <v>214</v>
      </c>
      <c r="AB112" s="7" t="s">
        <v>215</v>
      </c>
      <c r="AC112" s="7"/>
      <c r="AD112" s="7"/>
      <c r="AE112" s="7" t="s">
        <v>467</v>
      </c>
      <c r="AF112" s="7"/>
      <c r="AG112" s="7" t="s">
        <v>468</v>
      </c>
    </row>
    <row r="113" spans="1:33" ht="17" customHeight="1" x14ac:dyDescent="0.2">
      <c r="A113" s="7" t="s">
        <v>469</v>
      </c>
      <c r="B113" s="7"/>
      <c r="C113" s="7"/>
      <c r="D113" s="7" t="s">
        <v>81</v>
      </c>
      <c r="E113" s="3" t="str">
        <f t="shared" si="27"/>
        <v>Elston</v>
      </c>
      <c r="F113" s="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3" t="str">
        <f t="shared" si="28"/>
        <v>2001</v>
      </c>
      <c r="H113" s="3" t="str">
        <f t="shared" si="29"/>
        <v>Elston_etal_2001</v>
      </c>
      <c r="I113" s="3" t="str">
        <f t="shared" si="32"/>
        <v>10.1523%2FJNEUROSCI.21-17-j0002.2001</v>
      </c>
      <c r="J113" s="3" t="str">
        <f t="shared" si="30"/>
        <v>Elston_etal_2001_Table1</v>
      </c>
      <c r="K113" s="3" t="str">
        <f t="shared" si="63"/>
        <v>10.1523%2FJNEUROSCI.21-17-j0002.2001_Table1</v>
      </c>
      <c r="L113" s="3" t="str">
        <f t="array" ref="L113">IFERROR(INDEX(AUTO_Public_TSV_FileList!$A$1:$A$1000,MATCH(TRUE(),EXACT(K113,IFERROR(_xlfn.TEXTBEFORE(AUTO_Public_TSV_FileList!$A$1:$A$1000,".tsv"),"")),0)),"notfound")</f>
        <v>notfound</v>
      </c>
      <c r="N113" s="7" t="s">
        <v>208</v>
      </c>
      <c r="P113" s="7"/>
      <c r="Q113" s="7"/>
      <c r="R113" s="7" t="s">
        <v>470</v>
      </c>
      <c r="S113" s="7"/>
      <c r="T113" s="7" t="s">
        <v>210</v>
      </c>
      <c r="U113" s="7"/>
      <c r="V113" s="7" t="s">
        <v>211</v>
      </c>
      <c r="W113" s="7" t="s">
        <v>93</v>
      </c>
      <c r="X113" s="7" t="s">
        <v>212</v>
      </c>
      <c r="Y113" s="7" t="s">
        <v>471</v>
      </c>
      <c r="Z113" s="7"/>
      <c r="AA113" s="7" t="s">
        <v>214</v>
      </c>
      <c r="AB113" s="7" t="s">
        <v>215</v>
      </c>
      <c r="AC113" s="7"/>
      <c r="AD113" s="7"/>
      <c r="AE113" s="9" t="s">
        <v>51</v>
      </c>
      <c r="AF113" s="9"/>
      <c r="AG113" s="7" t="s">
        <v>472</v>
      </c>
    </row>
    <row r="114" spans="1:33" ht="17" customHeight="1" x14ac:dyDescent="0.2">
      <c r="A114" s="7" t="s">
        <v>473</v>
      </c>
      <c r="B114" s="7"/>
      <c r="C114" s="7"/>
      <c r="D114" s="7" t="s">
        <v>81</v>
      </c>
      <c r="E114" s="3" t="str">
        <f t="shared" si="27"/>
        <v>Elston</v>
      </c>
      <c r="F114" s="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3" t="str">
        <f t="shared" si="28"/>
        <v>2006</v>
      </c>
      <c r="H114" s="3" t="str">
        <f t="shared" si="29"/>
        <v>Elston_etal_2006</v>
      </c>
      <c r="I114" s="3" t="str">
        <f t="shared" si="32"/>
        <v>10.1002%2Far.a.20278</v>
      </c>
      <c r="J114" s="3" t="str">
        <f t="shared" si="30"/>
        <v>Elston_etal_2006_Table1</v>
      </c>
      <c r="K114" s="3" t="str">
        <f t="shared" si="63"/>
        <v>10.1002%2Far.a.20278_Table1</v>
      </c>
      <c r="L114" s="3" t="str">
        <f t="array" ref="L114">IFERROR(INDEX(AUTO_Public_TSV_FileList!$A$1:$A$1000,MATCH(TRUE(),EXACT(K114,IFERROR(_xlfn.TEXTBEFORE(AUTO_Public_TSV_FileList!$A$1:$A$1000,".tsv"),"")),0)),"notfound")</f>
        <v>notfound</v>
      </c>
      <c r="N114" s="7" t="s">
        <v>208</v>
      </c>
      <c r="P114" s="7"/>
      <c r="Q114" s="7"/>
      <c r="R114" s="7" t="s">
        <v>474</v>
      </c>
      <c r="S114" s="7"/>
      <c r="T114" s="7" t="s">
        <v>210</v>
      </c>
      <c r="U114" s="7"/>
      <c r="V114" s="7" t="s">
        <v>211</v>
      </c>
      <c r="W114" s="7" t="s">
        <v>93</v>
      </c>
      <c r="X114" s="7" t="s">
        <v>212</v>
      </c>
      <c r="Y114" s="7" t="s">
        <v>475</v>
      </c>
      <c r="Z114" s="7"/>
      <c r="AA114" s="7" t="s">
        <v>214</v>
      </c>
      <c r="AB114" s="7" t="s">
        <v>215</v>
      </c>
      <c r="AC114" s="7"/>
      <c r="AD114" s="7"/>
      <c r="AE114" s="9" t="s">
        <v>51</v>
      </c>
      <c r="AF114" s="9"/>
      <c r="AG114" s="7" t="s">
        <v>476</v>
      </c>
    </row>
    <row r="115" spans="1:33" ht="17" customHeight="1" x14ac:dyDescent="0.2">
      <c r="A115" s="8" t="s">
        <v>477</v>
      </c>
      <c r="D115" s="1" t="s">
        <v>58</v>
      </c>
      <c r="E115" s="3" t="str">
        <f t="shared" si="27"/>
        <v>Falcone</v>
      </c>
      <c r="F115" s="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3" t="str">
        <f t="shared" si="28"/>
        <v>2019</v>
      </c>
      <c r="H115" s="3" t="str">
        <f t="shared" si="29"/>
        <v>Falcone_etal_2019</v>
      </c>
      <c r="I115" s="3" t="str">
        <f t="shared" si="32"/>
        <v>10.1002%2Fcne.24605</v>
      </c>
      <c r="J115" s="3" t="str">
        <f t="shared" si="30"/>
        <v>Falcone_etal_2019_TABLE1</v>
      </c>
      <c r="K115" s="3" t="str">
        <f t="shared" si="63"/>
        <v>10.1002%2Fcne.24605_TABLE1</v>
      </c>
      <c r="L115" s="3" t="str">
        <f t="array" ref="L115">IFERROR(INDEX(AUTO_Public_TSV_FileList!$A$1:$A$1000,MATCH(TRUE(),EXACT(K115,IFERROR(_xlfn.TEXTBEFORE(AUTO_Public_TSV_FileList!$A$1:$A$1000,".tsv"),"")),0)),"notfound")</f>
        <v>10.1002%2Fcne.24605_TABLE1.tsv</v>
      </c>
      <c r="M115" s="1" t="s">
        <v>478</v>
      </c>
      <c r="P115" s="1" t="s">
        <v>36</v>
      </c>
      <c r="W115" s="1" t="s">
        <v>479</v>
      </c>
      <c r="X115" s="1" t="s">
        <v>480</v>
      </c>
      <c r="AB115" s="1" t="s">
        <v>481</v>
      </c>
      <c r="AE115" s="1" t="s">
        <v>66</v>
      </c>
      <c r="AF115" s="1"/>
    </row>
    <row r="116" spans="1:33" ht="17" customHeight="1" x14ac:dyDescent="0.2">
      <c r="A116" s="8" t="s">
        <v>477</v>
      </c>
      <c r="D116" s="1" t="s">
        <v>103</v>
      </c>
      <c r="E116" s="3" t="str">
        <f t="shared" si="27"/>
        <v>Falcone</v>
      </c>
      <c r="F116" s="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3" t="str">
        <f t="shared" si="28"/>
        <v>2019</v>
      </c>
      <c r="H116" s="3" t="str">
        <f t="shared" si="29"/>
        <v>Falcone_etal_2019</v>
      </c>
      <c r="I116" s="3" t="str">
        <f t="shared" si="32"/>
        <v>10.1002%2Fcne.24605</v>
      </c>
      <c r="J116" s="3" t="str">
        <f t="shared" si="30"/>
        <v>Falcone_etal_2019_TABLE2</v>
      </c>
      <c r="K116" s="3" t="str">
        <f t="shared" si="63"/>
        <v>10.1002%2Fcne.24605_TABLE2</v>
      </c>
      <c r="L116" s="3" t="str">
        <f t="array" ref="L116">IFERROR(INDEX(AUTO_Public_TSV_FileList!$A$1:$A$1000,MATCH(TRUE(),EXACT(K116,IFERROR(_xlfn.TEXTBEFORE(AUTO_Public_TSV_FileList!$A$1:$A$1000,".tsv"),"")),0)),"notfound")</f>
        <v>10.1002%2Fcne.24605_TABLE2.tsv</v>
      </c>
      <c r="M116" s="1" t="s">
        <v>482</v>
      </c>
      <c r="P116" s="1" t="s">
        <v>36</v>
      </c>
      <c r="W116" s="1" t="s">
        <v>479</v>
      </c>
      <c r="X116" s="1" t="s">
        <v>480</v>
      </c>
      <c r="AB116" s="1" t="s">
        <v>481</v>
      </c>
      <c r="AE116" s="1" t="s">
        <v>66</v>
      </c>
      <c r="AF116" s="1"/>
    </row>
    <row r="117" spans="1:33" ht="17" customHeight="1" x14ac:dyDescent="0.2">
      <c r="A117" s="1" t="s">
        <v>483</v>
      </c>
      <c r="D117" s="1" t="s">
        <v>484</v>
      </c>
      <c r="E117" s="3" t="str">
        <f t="shared" si="27"/>
        <v>Finlay</v>
      </c>
      <c r="F117" s="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3" t="str">
        <f t="shared" si="28"/>
        <v>2006</v>
      </c>
      <c r="H117" s="3" t="str">
        <f t="shared" si="29"/>
        <v>Finlay_etal_2006</v>
      </c>
      <c r="I117" s="3" t="str">
        <f t="shared" si="32"/>
        <v>10.1093%2Foso%2F9780198568742.003.0006</v>
      </c>
      <c r="J117" s="3" t="str">
        <f t="shared" si="30"/>
        <v>Finlay_etal_2006_Table6.1</v>
      </c>
      <c r="K117" s="3" t="str">
        <f t="shared" si="63"/>
        <v>10.1093%2Foso%2F9780198568742.003.0006_Table6.1</v>
      </c>
      <c r="L117" s="3" t="str">
        <f t="array" ref="L117">IFERROR(INDEX(AUTO_Public_TSV_FileList!$A$1:$A$1000,MATCH(TRUE(),EXACT(K117,IFERROR(_xlfn.TEXTBEFORE(AUTO_Public_TSV_FileList!$A$1:$A$1000,".tsv"),"")),0)),"notfound")</f>
        <v>10.1093%2Foso%2F9780198568742.003.0006_Table6.1.tsv</v>
      </c>
      <c r="N117" s="1" t="s">
        <v>35</v>
      </c>
      <c r="P117" s="1" t="s">
        <v>36</v>
      </c>
      <c r="Q117" s="1"/>
      <c r="R117" s="1" t="s">
        <v>485</v>
      </c>
      <c r="U117" s="8" t="s">
        <v>486</v>
      </c>
      <c r="V117" s="1"/>
      <c r="W117" s="1" t="s">
        <v>131</v>
      </c>
      <c r="X117" s="1" t="s">
        <v>487</v>
      </c>
      <c r="AB117" s="1" t="s">
        <v>488</v>
      </c>
      <c r="AE117" s="1" t="s">
        <v>172</v>
      </c>
      <c r="AF117" s="1"/>
      <c r="AG117" s="1" t="s">
        <v>320</v>
      </c>
    </row>
    <row r="118" spans="1:33" ht="17" customHeight="1" x14ac:dyDescent="0.2">
      <c r="A118" s="1" t="s">
        <v>1853</v>
      </c>
      <c r="D118" s="1" t="s">
        <v>1855</v>
      </c>
      <c r="E118" s="3" t="str">
        <f t="shared" ref="E118:E124" si="64">SUBSTITUTE(SUBSTITUTE(_xlfn.TEXTBEFORE(A118,","), "-", ""), " ", "")</f>
        <v>Fobbs</v>
      </c>
      <c r="F118" s="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3" t="str">
        <f t="shared" ref="G118:G124" si="65">_xlfn.TEXTBEFORE(_xlfn.TEXTAFTER(A118, "("), ")")</f>
        <v>2011</v>
      </c>
      <c r="H118" s="3" t="str">
        <f t="shared" ref="H118:H124" si="66">E118 &amp; IF(F118&lt;&gt;"", "_" &amp; F118, "_") &amp; IF(G118&lt;&gt;"", "_" &amp; G118, "_") &amp; IF(B118&lt;&gt;"", "_" &amp; B118, "")</f>
        <v>Fobbs_etal_2011</v>
      </c>
      <c r="I118" s="3" t="str">
        <f t="shared" ref="I118:I124" si="67">_xlfn.LET(
_xlpm.doi,IF(C118&lt;&gt;"",C118,_xlfn.TEXTAFTER(A118,"https://doi.org/")),
SUBSTITUTE(
SUBSTITUTE(
SUBSTITUTE(
SUBSTITUTE(
_xlpm.doi,
"/","%2F"),
":","%3A"),
"&lt;","%3C"),
"&gt;","%3E")
)</f>
        <v>10.1111%2Fj.1749-6632.2011.06036.x</v>
      </c>
      <c r="J118" s="3" t="str">
        <f t="shared" ref="J118:J124" si="68">TRIM(_xlfn.TEXTJOIN("_",FALSE(),H118,(SUBSTITUTE(SUBSTITUTE(D118," ",""), "_", ""))))</f>
        <v>Fobbs_etal_2011_TableS1a</v>
      </c>
      <c r="K118" s="3" t="str">
        <f t="shared" ref="K118:K124" si="69">I118 &amp; "_" &amp; SUBSTITUTE(SUBSTITUTE(SUBSTITUTE(D118,CHAR(160),"")," ",""),"_","")</f>
        <v>10.1111%2Fj.1749-6632.2011.06036.x_TableS1a</v>
      </c>
      <c r="L118" s="3" t="str">
        <f t="array" ref="L118">IFERROR(INDEX(AUTO_Public_TSV_FileList!$A$1:$A$1000,MATCH(TRUE(),EXACT(K118,IFERROR(_xlfn.TEXTBEFORE(AUTO_Public_TSV_FileList!$A$1:$A$1000,".tsv"),"")),0)),"notfound")</f>
        <v>notfound</v>
      </c>
      <c r="M118" t="s">
        <v>1854</v>
      </c>
      <c r="N118" s="1"/>
      <c r="P118" s="1"/>
      <c r="Q118" s="1"/>
      <c r="R118" s="1"/>
      <c r="U118" s="8"/>
      <c r="V118" s="1"/>
      <c r="W118" s="1"/>
      <c r="X118" s="1"/>
      <c r="AB118" s="1"/>
      <c r="AE118" s="1"/>
      <c r="AF118" s="1"/>
      <c r="AG118" s="1"/>
    </row>
    <row r="119" spans="1:33" ht="17" customHeight="1" x14ac:dyDescent="0.2">
      <c r="A119" s="1" t="s">
        <v>1853</v>
      </c>
      <c r="D119" s="1" t="s">
        <v>1856</v>
      </c>
      <c r="E119" s="3" t="str">
        <f t="shared" si="64"/>
        <v>Fobbs</v>
      </c>
      <c r="F119" s="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3" t="str">
        <f t="shared" si="65"/>
        <v>2011</v>
      </c>
      <c r="H119" s="3" t="str">
        <f t="shared" si="66"/>
        <v>Fobbs_etal_2011</v>
      </c>
      <c r="I119" s="3" t="str">
        <f t="shared" si="67"/>
        <v>10.1111%2Fj.1749-6632.2011.06036.x</v>
      </c>
      <c r="J119" s="3" t="str">
        <f t="shared" si="68"/>
        <v>Fobbs_etal_2011_TableS1b</v>
      </c>
      <c r="K119" s="3" t="str">
        <f t="shared" si="69"/>
        <v>10.1111%2Fj.1749-6632.2011.06036.x_TableS1b</v>
      </c>
      <c r="L119" s="3" t="str">
        <f t="array" ref="L119">IFERROR(INDEX(AUTO_Public_TSV_FileList!$A$1:$A$1000,MATCH(TRUE(),EXACT(K119,IFERROR(_xlfn.TEXTBEFORE(AUTO_Public_TSV_FileList!$A$1:$A$1000,".tsv"),"")),0)),"notfound")</f>
        <v>notfound</v>
      </c>
      <c r="M119" t="s">
        <v>1854</v>
      </c>
      <c r="N119" s="1"/>
      <c r="P119" s="1"/>
      <c r="Q119" s="1"/>
      <c r="R119" s="1"/>
      <c r="U119" s="8"/>
      <c r="V119" s="1"/>
      <c r="W119" s="1"/>
      <c r="X119" s="1"/>
      <c r="AB119" s="1"/>
      <c r="AE119" s="1"/>
      <c r="AF119" s="1"/>
      <c r="AG119" s="1"/>
    </row>
    <row r="120" spans="1:33" ht="17" customHeight="1" x14ac:dyDescent="0.2">
      <c r="A120" s="1" t="s">
        <v>1853</v>
      </c>
      <c r="D120" s="1" t="s">
        <v>530</v>
      </c>
      <c r="E120" s="3" t="str">
        <f t="shared" si="64"/>
        <v>Fobbs</v>
      </c>
      <c r="F120" s="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3" t="str">
        <f t="shared" si="65"/>
        <v>2011</v>
      </c>
      <c r="H120" s="3" t="str">
        <f t="shared" si="66"/>
        <v>Fobbs_etal_2011</v>
      </c>
      <c r="I120" s="3" t="str">
        <f t="shared" si="67"/>
        <v>10.1111%2Fj.1749-6632.2011.06036.x</v>
      </c>
      <c r="J120" s="3" t="str">
        <f t="shared" si="68"/>
        <v>Fobbs_etal_2011_TableS2</v>
      </c>
      <c r="K120" s="3" t="str">
        <f t="shared" si="69"/>
        <v>10.1111%2Fj.1749-6632.2011.06036.x_TableS2</v>
      </c>
      <c r="L120" s="3" t="str">
        <f t="array" ref="L120">IFERROR(INDEX(AUTO_Public_TSV_FileList!$A$1:$A$1000,MATCH(TRUE(),EXACT(K120,IFERROR(_xlfn.TEXTBEFORE(AUTO_Public_TSV_FileList!$A$1:$A$1000,".tsv"),"")),0)),"notfound")</f>
        <v>notfound</v>
      </c>
      <c r="M120" t="s">
        <v>1859</v>
      </c>
      <c r="N120" s="1"/>
      <c r="P120" s="1"/>
      <c r="Q120" s="1"/>
      <c r="R120" s="1"/>
      <c r="U120" s="8"/>
      <c r="V120" s="1"/>
      <c r="W120" s="1"/>
      <c r="X120" s="1"/>
      <c r="AB120" s="1"/>
      <c r="AE120" s="1"/>
      <c r="AF120" s="1"/>
      <c r="AG120" s="1"/>
    </row>
    <row r="121" spans="1:33" ht="17" customHeight="1" x14ac:dyDescent="0.2">
      <c r="A121" s="1" t="s">
        <v>1853</v>
      </c>
      <c r="D121" s="1" t="s">
        <v>661</v>
      </c>
      <c r="E121" s="3" t="str">
        <f t="shared" si="64"/>
        <v>Fobbs</v>
      </c>
      <c r="F121" s="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3" t="str">
        <f t="shared" si="65"/>
        <v>2011</v>
      </c>
      <c r="H121" s="3" t="str">
        <f t="shared" si="66"/>
        <v>Fobbs_etal_2011</v>
      </c>
      <c r="I121" s="3" t="str">
        <f t="shared" si="67"/>
        <v>10.1111%2Fj.1749-6632.2011.06036.x</v>
      </c>
      <c r="J121" s="3" t="str">
        <f t="shared" si="68"/>
        <v>Fobbs_etal_2011_TableS3</v>
      </c>
      <c r="K121" s="3" t="str">
        <f t="shared" si="69"/>
        <v>10.1111%2Fj.1749-6632.2011.06036.x_TableS3</v>
      </c>
      <c r="L121" s="3" t="str">
        <f t="array" ref="L121">IFERROR(INDEX(AUTO_Public_TSV_FileList!$A$1:$A$1000,MATCH(TRUE(),EXACT(K121,IFERROR(_xlfn.TEXTBEFORE(AUTO_Public_TSV_FileList!$A$1:$A$1000,".tsv"),"")),0)),"notfound")</f>
        <v>notfound</v>
      </c>
      <c r="M121" t="s">
        <v>1860</v>
      </c>
      <c r="N121" s="1"/>
      <c r="P121" s="1"/>
      <c r="Q121" s="1"/>
      <c r="R121" s="1"/>
      <c r="U121" s="8"/>
      <c r="V121" s="1"/>
      <c r="W121" s="1"/>
      <c r="X121" s="1"/>
      <c r="AB121" s="1"/>
      <c r="AE121" s="1"/>
      <c r="AF121" s="1"/>
      <c r="AG121" s="1"/>
    </row>
    <row r="122" spans="1:33" ht="17" customHeight="1" x14ac:dyDescent="0.2">
      <c r="A122" s="1" t="s">
        <v>1853</v>
      </c>
      <c r="D122" s="1" t="s">
        <v>754</v>
      </c>
      <c r="E122" s="3" t="str">
        <f t="shared" si="64"/>
        <v>Fobbs</v>
      </c>
      <c r="F122" s="3"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3" t="str">
        <f t="shared" si="65"/>
        <v>2011</v>
      </c>
      <c r="H122" s="3" t="str">
        <f t="shared" si="66"/>
        <v>Fobbs_etal_2011</v>
      </c>
      <c r="I122" s="3" t="str">
        <f t="shared" si="67"/>
        <v>10.1111%2Fj.1749-6632.2011.06036.x</v>
      </c>
      <c r="J122" s="3" t="str">
        <f t="shared" si="68"/>
        <v>Fobbs_etal_2011_TableS4</v>
      </c>
      <c r="K122" s="3" t="str">
        <f t="shared" si="69"/>
        <v>10.1111%2Fj.1749-6632.2011.06036.x_TableS4</v>
      </c>
      <c r="L122" s="3" t="str">
        <f t="array" ref="L122">IFERROR(INDEX(AUTO_Public_TSV_FileList!$A$1:$A$1000,MATCH(TRUE(),EXACT(K122,IFERROR(_xlfn.TEXTBEFORE(AUTO_Public_TSV_FileList!$A$1:$A$1000,".tsv"),"")),0)),"notfound")</f>
        <v>notfound</v>
      </c>
      <c r="M122" t="s">
        <v>1861</v>
      </c>
      <c r="N122" s="1"/>
      <c r="P122" s="1"/>
      <c r="Q122" s="1"/>
      <c r="R122" s="1"/>
      <c r="U122" s="8"/>
      <c r="V122" s="1"/>
      <c r="W122" s="1"/>
      <c r="X122" s="1"/>
      <c r="AB122" s="1"/>
      <c r="AE122" s="1"/>
      <c r="AF122" s="1"/>
      <c r="AG122" s="1"/>
    </row>
    <row r="123" spans="1:33" ht="17" customHeight="1" x14ac:dyDescent="0.2">
      <c r="A123" s="1" t="s">
        <v>1853</v>
      </c>
      <c r="D123" s="1" t="s">
        <v>1857</v>
      </c>
      <c r="E123" s="3" t="str">
        <f t="shared" si="64"/>
        <v>Fobbs</v>
      </c>
      <c r="F123" s="3"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3" t="str">
        <f t="shared" si="65"/>
        <v>2011</v>
      </c>
      <c r="H123" s="3" t="str">
        <f t="shared" si="66"/>
        <v>Fobbs_etal_2011</v>
      </c>
      <c r="I123" s="3" t="str">
        <f t="shared" si="67"/>
        <v>10.1111%2Fj.1749-6632.2011.06036.x</v>
      </c>
      <c r="J123" s="3" t="str">
        <f t="shared" si="68"/>
        <v>Fobbs_etal_2011_TableS5a</v>
      </c>
      <c r="K123" s="3" t="str">
        <f t="shared" si="69"/>
        <v>10.1111%2Fj.1749-6632.2011.06036.x_TableS5a</v>
      </c>
      <c r="L123" s="3" t="str">
        <f t="array" ref="L123">IFERROR(INDEX(AUTO_Public_TSV_FileList!$A$1:$A$1000,MATCH(TRUE(),EXACT(K123,IFERROR(_xlfn.TEXTBEFORE(AUTO_Public_TSV_FileList!$A$1:$A$1000,".tsv"),"")),0)),"notfound")</f>
        <v>notfound</v>
      </c>
      <c r="M123" t="s">
        <v>1862</v>
      </c>
      <c r="N123" s="1"/>
      <c r="P123" s="1"/>
      <c r="Q123" s="1"/>
      <c r="R123" s="1"/>
      <c r="U123" s="8"/>
      <c r="V123" s="1"/>
      <c r="W123" s="1"/>
      <c r="X123" s="1"/>
      <c r="AB123" s="1"/>
      <c r="AE123" s="1"/>
      <c r="AF123" s="1"/>
      <c r="AG123" s="1"/>
    </row>
    <row r="124" spans="1:33" ht="17" customHeight="1" x14ac:dyDescent="0.2">
      <c r="A124" s="1" t="s">
        <v>1853</v>
      </c>
      <c r="D124" s="1" t="s">
        <v>1858</v>
      </c>
      <c r="E124" s="3" t="str">
        <f t="shared" si="64"/>
        <v>Fobbs</v>
      </c>
      <c r="F124" s="3"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3" t="str">
        <f t="shared" si="65"/>
        <v>2011</v>
      </c>
      <c r="H124" s="3" t="str">
        <f t="shared" si="66"/>
        <v>Fobbs_etal_2011</v>
      </c>
      <c r="I124" s="3" t="str">
        <f t="shared" si="67"/>
        <v>10.1111%2Fj.1749-6632.2011.06036.x</v>
      </c>
      <c r="J124" s="3" t="str">
        <f t="shared" si="68"/>
        <v>Fobbs_etal_2011_TableS5b</v>
      </c>
      <c r="K124" s="3" t="str">
        <f t="shared" si="69"/>
        <v>10.1111%2Fj.1749-6632.2011.06036.x_TableS5b</v>
      </c>
      <c r="L124" s="3" t="str">
        <f t="array" ref="L124">IFERROR(INDEX(AUTO_Public_TSV_FileList!$A$1:$A$1000,MATCH(TRUE(),EXACT(K124,IFERROR(_xlfn.TEXTBEFORE(AUTO_Public_TSV_FileList!$A$1:$A$1000,".tsv"),"")),0)),"notfound")</f>
        <v>notfound</v>
      </c>
      <c r="M124" t="s">
        <v>1862</v>
      </c>
      <c r="N124" s="1"/>
      <c r="P124" s="1"/>
      <c r="Q124" s="1"/>
      <c r="R124" s="1"/>
      <c r="U124" s="8"/>
      <c r="V124" s="1"/>
      <c r="W124" s="1"/>
      <c r="X124" s="1"/>
      <c r="AB124" s="1"/>
      <c r="AE124" s="1"/>
      <c r="AF124" s="1"/>
      <c r="AG124" s="1"/>
    </row>
    <row r="125" spans="1:33" ht="17" customHeight="1" x14ac:dyDescent="0.2">
      <c r="A125" s="7" t="s">
        <v>489</v>
      </c>
      <c r="B125" s="7"/>
      <c r="C125" s="7"/>
      <c r="D125" s="7" t="s">
        <v>490</v>
      </c>
      <c r="E125" s="10" t="str">
        <f t="shared" si="27"/>
        <v>Fox</v>
      </c>
      <c r="F125" s="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5" s="3" t="str">
        <f t="shared" si="28"/>
        <v>1986</v>
      </c>
      <c r="H125" s="10" t="str">
        <f t="shared" si="29"/>
        <v>Fox_Wilczynski_1986</v>
      </c>
      <c r="I125" s="10" t="str">
        <f>_xlfn.LET(_xlpm.doi,IF(C125&lt;&gt;"",C125,_xlfn.TEXTAFTER(A125,"https://doi.org/")),SUBSTITUTE(SUBSTITUTE(SUBSTITUTE(SUBSTITUTE(_xlpm.doi,"/","%2F"),":","%3A"),"&lt;","%3C"),"&gt;","%3E"))</f>
        <v>10.1159%2F000118700</v>
      </c>
      <c r="J125" s="10" t="str">
        <f t="shared" si="30"/>
        <v>Fox_Wilczynski_1986_TableI</v>
      </c>
      <c r="K125" s="10" t="str">
        <f t="shared" si="63"/>
        <v>10.1159%2F000118700_TableI</v>
      </c>
      <c r="L125" s="3" t="str">
        <f t="array" ref="L125">IFERROR(INDEX(AUTO_Public_TSV_FileList!$A$1:$A$1000,MATCH(TRUE(),EXACT(K125,IFERROR(_xlfn.TEXTBEFORE(AUTO_Public_TSV_FileList!$A$1:$A$1000,".tsv"),"")),0)),"notfound")</f>
        <v>notfound</v>
      </c>
      <c r="N125" s="1" t="s">
        <v>35</v>
      </c>
      <c r="P125" s="7"/>
      <c r="Q125" s="7"/>
      <c r="R125" s="7"/>
      <c r="S125" s="7" t="s">
        <v>491</v>
      </c>
      <c r="T125" s="7" t="s">
        <v>492</v>
      </c>
      <c r="U125" s="7"/>
      <c r="V125" s="7" t="s">
        <v>493</v>
      </c>
      <c r="W125" s="7" t="s">
        <v>280</v>
      </c>
      <c r="X125" s="7" t="s">
        <v>494</v>
      </c>
      <c r="Y125" s="7"/>
      <c r="Z125" s="7"/>
      <c r="AA125" s="7" t="s">
        <v>495</v>
      </c>
      <c r="AB125" s="7" t="s">
        <v>496</v>
      </c>
      <c r="AD125" s="7"/>
      <c r="AE125" s="7" t="s">
        <v>497</v>
      </c>
      <c r="AF125" s="7"/>
      <c r="AG125" s="7" t="s">
        <v>498</v>
      </c>
    </row>
    <row r="126" spans="1:33" ht="17" customHeight="1" x14ac:dyDescent="0.2">
      <c r="A126" s="1" t="s">
        <v>499</v>
      </c>
      <c r="C126" s="1" t="s">
        <v>500</v>
      </c>
      <c r="D126" s="1" t="s">
        <v>81</v>
      </c>
      <c r="E126" s="3" t="str">
        <f t="shared" si="27"/>
        <v>Frahm</v>
      </c>
      <c r="F126" s="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26" s="3" t="str">
        <f t="shared" si="28"/>
        <v>1994</v>
      </c>
      <c r="H126" s="3" t="str">
        <f t="shared" si="29"/>
        <v>Frahm_Zilles_1994</v>
      </c>
      <c r="I126" s="3" t="str">
        <f t="shared" ref="I126:I140" si="70">_xlfn.LET(
_xlpm.doi,IF(C126&lt;&gt;"",C126,_xlfn.TEXTAFTER(A126,"https://doi.org/")),
SUBSTITUTE(
SUBSTITUTE(
SUBSTITUTE(
SUBSTITUTE(
_xlpm.doi,
"/","%2F"),
":","%3A"),
"&lt;","%3C"),
"&gt;","%3E")
)</f>
        <v>PMID%3A7983368</v>
      </c>
      <c r="J126" s="3" t="str">
        <f t="shared" si="30"/>
        <v>Frahm_Zilles_1994_Table1</v>
      </c>
      <c r="K126" s="3" t="str">
        <f t="shared" si="63"/>
        <v>PMID%3A7983368_Table1</v>
      </c>
      <c r="L126" s="3" t="str">
        <f t="array" ref="L126">IFERROR(INDEX(AUTO_Public_TSV_FileList!$A$1:$A$1000,MATCH(TRUE(),EXACT(K126,IFERROR(_xlfn.TEXTBEFORE(AUTO_Public_TSV_FileList!$A$1:$A$1000,".tsv"),"")),0)),"notfound")</f>
        <v>PMID%3A7983368_Table1.tsv</v>
      </c>
      <c r="N126" s="1" t="s">
        <v>35</v>
      </c>
      <c r="P126" s="1" t="s">
        <v>36</v>
      </c>
      <c r="W126" s="1" t="s">
        <v>110</v>
      </c>
      <c r="X126" s="1" t="s">
        <v>501</v>
      </c>
      <c r="Z126" s="1" t="s">
        <v>83</v>
      </c>
      <c r="AA126" s="1" t="s">
        <v>123</v>
      </c>
      <c r="AB126" s="1" t="s">
        <v>90</v>
      </c>
      <c r="AC126" s="1" t="s">
        <v>112</v>
      </c>
      <c r="AD126" s="1" t="s">
        <v>112</v>
      </c>
      <c r="AE126" s="1" t="s">
        <v>66</v>
      </c>
      <c r="AF126" s="1"/>
    </row>
    <row r="127" spans="1:33" ht="17" customHeight="1" x14ac:dyDescent="0.2">
      <c r="A127" s="1" t="s">
        <v>499</v>
      </c>
      <c r="C127" s="1" t="s">
        <v>500</v>
      </c>
      <c r="D127" s="1" t="s">
        <v>70</v>
      </c>
      <c r="E127" s="3" t="str">
        <f t="shared" si="27"/>
        <v>Frahm</v>
      </c>
      <c r="F127" s="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27" s="3" t="str">
        <f t="shared" si="28"/>
        <v>1994</v>
      </c>
      <c r="H127" s="3" t="str">
        <f t="shared" si="29"/>
        <v>Frahm_Zilles_1994</v>
      </c>
      <c r="I127" s="3" t="str">
        <f t="shared" si="70"/>
        <v>PMID%3A7983368</v>
      </c>
      <c r="J127" s="3" t="str">
        <f t="shared" si="30"/>
        <v>Frahm_Zilles_1994_Table2</v>
      </c>
      <c r="K127" s="3" t="str">
        <f t="shared" si="63"/>
        <v>PMID%3A7983368_Table2</v>
      </c>
      <c r="L127" s="3" t="str">
        <f t="array" ref="L127">IFERROR(INDEX(AUTO_Public_TSV_FileList!$A$1:$A$1000,MATCH(TRUE(),EXACT(K127,IFERROR(_xlfn.TEXTBEFORE(AUTO_Public_TSV_FileList!$A$1:$A$1000,".tsv"),"")),0)),"notfound")</f>
        <v>PMID%3A7983368_Table2.tsv</v>
      </c>
    </row>
    <row r="128" spans="1:33" ht="17" customHeight="1" x14ac:dyDescent="0.2">
      <c r="A128" s="8" t="s">
        <v>502</v>
      </c>
      <c r="C128" s="1" t="s">
        <v>503</v>
      </c>
      <c r="D128" s="1" t="s">
        <v>81</v>
      </c>
      <c r="E128" s="3" t="str">
        <f t="shared" si="27"/>
        <v>Frahm</v>
      </c>
      <c r="F128" s="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3" t="str">
        <f t="shared" si="28"/>
        <v>1997</v>
      </c>
      <c r="H128" s="3" t="str">
        <f t="shared" si="29"/>
        <v>Frahm_etal_1997</v>
      </c>
      <c r="I128" s="3" t="str">
        <f t="shared" si="70"/>
        <v>PMID%3A9176733</v>
      </c>
      <c r="J128" s="3" t="str">
        <f t="shared" si="30"/>
        <v>Frahm_etal_1997_Table1</v>
      </c>
      <c r="K128" s="3" t="str">
        <f t="shared" si="63"/>
        <v>PMID%3A9176733_Table1</v>
      </c>
      <c r="L128" s="3" t="str">
        <f t="array" ref="L128">IFERROR(INDEX(AUTO_Public_TSV_FileList!$A$1:$A$1000,MATCH(TRUE(),EXACT(K128,IFERROR(_xlfn.TEXTBEFORE(AUTO_Public_TSV_FileList!$A$1:$A$1000,".tsv"),"")),0)),"notfound")</f>
        <v>PMID%3A9176733_Table1.tsv</v>
      </c>
      <c r="N128" s="1" t="s">
        <v>35</v>
      </c>
      <c r="P128" s="1" t="s">
        <v>36</v>
      </c>
      <c r="W128" s="1" t="s">
        <v>110</v>
      </c>
      <c r="X128" s="1" t="s">
        <v>504</v>
      </c>
      <c r="Z128" s="1" t="s">
        <v>83</v>
      </c>
      <c r="AA128" s="1" t="s">
        <v>123</v>
      </c>
      <c r="AB128" s="1" t="s">
        <v>90</v>
      </c>
      <c r="AC128" s="1" t="s">
        <v>112</v>
      </c>
      <c r="AD128" s="1" t="s">
        <v>112</v>
      </c>
      <c r="AE128" s="1" t="s">
        <v>66</v>
      </c>
      <c r="AF128" s="1"/>
    </row>
    <row r="129" spans="1:33" ht="17" customHeight="1" x14ac:dyDescent="0.2">
      <c r="A129" s="1" t="s">
        <v>505</v>
      </c>
      <c r="C129" s="1" t="s">
        <v>506</v>
      </c>
      <c r="D129" s="1" t="s">
        <v>81</v>
      </c>
      <c r="E129" s="3" t="str">
        <f t="shared" si="27"/>
        <v>Frahm</v>
      </c>
      <c r="F129" s="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9" s="3" t="str">
        <f t="shared" si="28"/>
        <v>1984</v>
      </c>
      <c r="H129" s="3" t="str">
        <f t="shared" si="29"/>
        <v>Frahm_etal_1984</v>
      </c>
      <c r="I129" s="3" t="str">
        <f t="shared" si="70"/>
        <v>PMID%3A6501869</v>
      </c>
      <c r="J129" s="3" t="str">
        <f t="shared" si="30"/>
        <v>Frahm_etal_1984_Table1</v>
      </c>
      <c r="K129" s="3" t="str">
        <f t="shared" si="63"/>
        <v>PMID%3A6501869_Table1</v>
      </c>
      <c r="L129" s="3" t="str">
        <f t="array" ref="L129">IFERROR(INDEX(AUTO_Public_TSV_FileList!$A$1:$A$1000,MATCH(TRUE(),EXACT(K129,IFERROR(_xlfn.TEXTBEFORE(AUTO_Public_TSV_FileList!$A$1:$A$1000,".tsv"),"")),0)),"notfound")</f>
        <v>PMID%3A6501869_Table1.tsv</v>
      </c>
      <c r="M129" s="1" t="s">
        <v>507</v>
      </c>
      <c r="N129" s="1" t="s">
        <v>35</v>
      </c>
      <c r="P129" s="1" t="s">
        <v>36</v>
      </c>
      <c r="W129" s="1" t="s">
        <v>110</v>
      </c>
      <c r="X129" s="1" t="s">
        <v>508</v>
      </c>
      <c r="Z129" s="1" t="s">
        <v>83</v>
      </c>
      <c r="AA129" s="1" t="s">
        <v>123</v>
      </c>
      <c r="AB129" s="1" t="s">
        <v>90</v>
      </c>
      <c r="AC129" s="1" t="s">
        <v>112</v>
      </c>
      <c r="AD129" s="1" t="s">
        <v>112</v>
      </c>
      <c r="AE129" s="1" t="s">
        <v>66</v>
      </c>
      <c r="AF129" s="1"/>
    </row>
    <row r="130" spans="1:33" ht="17" customHeight="1" x14ac:dyDescent="0.2">
      <c r="A130" s="1" t="s">
        <v>505</v>
      </c>
      <c r="C130" s="1" t="s">
        <v>506</v>
      </c>
      <c r="D130" s="1" t="s">
        <v>70</v>
      </c>
      <c r="E130" s="3" t="str">
        <f t="shared" ref="E130" si="71">SUBSTITUTE(SUBSTITUTE(_xlfn.TEXTBEFORE(A130,","), "-", ""), " ", "")</f>
        <v>Frahm</v>
      </c>
      <c r="F130" s="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0" s="3" t="str">
        <f t="shared" ref="G130" si="72">_xlfn.TEXTBEFORE(_xlfn.TEXTAFTER(A130, "("), ")")</f>
        <v>1984</v>
      </c>
      <c r="H130" s="3" t="str">
        <f t="shared" ref="H130" si="73">E130 &amp; IF(F130&lt;&gt;"", "_" &amp; F130, "_") &amp; IF(G130&lt;&gt;"", "_" &amp; G130, "_") &amp; IF(B130&lt;&gt;"", "_" &amp; B130, "")</f>
        <v>Frahm_etal_1984</v>
      </c>
      <c r="I130" s="3" t="str">
        <f t="shared" ref="I130" si="74">_xlfn.LET(
_xlpm.doi,IF(C130&lt;&gt;"",C130,_xlfn.TEXTAFTER(A130,"https://doi.org/")),
SUBSTITUTE(
SUBSTITUTE(
SUBSTITUTE(
SUBSTITUTE(
_xlpm.doi,
"/","%2F"),
":","%3A"),
"&lt;","%3C"),
"&gt;","%3E")
)</f>
        <v>PMID%3A6501869</v>
      </c>
      <c r="J130" s="3" t="str">
        <f t="shared" ref="J130" si="75">TRIM(_xlfn.TEXTJOIN("_",FALSE(),H130,(SUBSTITUTE(SUBSTITUTE(D130," ",""), "_", ""))))</f>
        <v>Frahm_etal_1984_Table2</v>
      </c>
      <c r="K130" s="3" t="str">
        <f t="shared" ref="K130" si="76">I130 &amp; "_" &amp; SUBSTITUTE(SUBSTITUTE(SUBSTITUTE(D130,CHAR(160),"")," ",""),"_","")</f>
        <v>PMID%3A6501869_Table2</v>
      </c>
      <c r="L130" s="3" t="str">
        <f t="array" ref="L130">IFERROR(INDEX(AUTO_Public_TSV_FileList!$A$1:$A$1000,MATCH(TRUE(),EXACT(K130,IFERROR(_xlfn.TEXTBEFORE(AUTO_Public_TSV_FileList!$A$1:$A$1000,".tsv"),"")),0)),"notfound")</f>
        <v>notfound</v>
      </c>
      <c r="M130" s="1" t="s">
        <v>1852</v>
      </c>
      <c r="N130" s="1"/>
      <c r="P130" s="1"/>
      <c r="W130" s="1"/>
      <c r="X130" s="1"/>
      <c r="Z130" s="1"/>
      <c r="AA130" s="1"/>
      <c r="AB130" s="1"/>
      <c r="AC130" s="1"/>
      <c r="AD130" s="1"/>
      <c r="AE130" s="1"/>
      <c r="AF130" s="1"/>
    </row>
    <row r="131" spans="1:33" ht="17" customHeight="1" x14ac:dyDescent="0.2">
      <c r="A131" s="1" t="s">
        <v>509</v>
      </c>
      <c r="C131" s="1" t="s">
        <v>510</v>
      </c>
      <c r="D131" s="1" t="s">
        <v>70</v>
      </c>
      <c r="E131" s="3" t="str">
        <f t="shared" si="27"/>
        <v>Frahm</v>
      </c>
      <c r="F131" s="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3" t="str">
        <f t="shared" si="28"/>
        <v>1982</v>
      </c>
      <c r="H131" s="3" t="str">
        <f t="shared" si="29"/>
        <v>Frahm_etal_1982</v>
      </c>
      <c r="I131" s="3" t="str">
        <f t="shared" si="70"/>
        <v>PMID%3A7161477</v>
      </c>
      <c r="J131" s="3" t="str">
        <f t="shared" si="30"/>
        <v>Frahm_etal_1982_Table2</v>
      </c>
      <c r="K131" s="3" t="str">
        <f t="shared" si="63"/>
        <v>PMID%3A7161477_Table2</v>
      </c>
      <c r="L131" s="3" t="str">
        <f t="array" ref="L131">IFERROR(INDEX(AUTO_Public_TSV_FileList!$A$1:$A$1000,MATCH(TRUE(),EXACT(K131,IFERROR(_xlfn.TEXTBEFORE(AUTO_Public_TSV_FileList!$A$1:$A$1000,".tsv"),"")),0)),"notfound")</f>
        <v>PMID%3A7161477_Table2.tsv</v>
      </c>
      <c r="M131" s="1" t="s">
        <v>511</v>
      </c>
      <c r="N131" s="1" t="s">
        <v>35</v>
      </c>
      <c r="P131" s="1" t="s">
        <v>36</v>
      </c>
      <c r="W131" s="1" t="s">
        <v>110</v>
      </c>
      <c r="X131" s="1" t="s">
        <v>512</v>
      </c>
      <c r="Z131" s="1" t="s">
        <v>83</v>
      </c>
      <c r="AA131" s="1" t="s">
        <v>123</v>
      </c>
      <c r="AB131" s="1" t="s">
        <v>90</v>
      </c>
      <c r="AC131" s="1" t="s">
        <v>112</v>
      </c>
      <c r="AD131" s="1" t="s">
        <v>112</v>
      </c>
      <c r="AE131" s="1" t="s">
        <v>66</v>
      </c>
      <c r="AF131" s="1"/>
    </row>
    <row r="132" spans="1:33" ht="17" customHeight="1" x14ac:dyDescent="0.2">
      <c r="A132" s="1" t="s">
        <v>513</v>
      </c>
      <c r="C132" s="1" t="s">
        <v>514</v>
      </c>
      <c r="D132" s="1" t="s">
        <v>81</v>
      </c>
      <c r="E132" s="3" t="str">
        <f t="shared" si="27"/>
        <v>Frahm</v>
      </c>
      <c r="F132" s="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3" t="str">
        <f t="shared" si="28"/>
        <v>1998</v>
      </c>
      <c r="H132" s="3" t="str">
        <f t="shared" si="29"/>
        <v>Frahm_etal_1998</v>
      </c>
      <c r="I132" s="3" t="str">
        <f t="shared" si="70"/>
        <v>PMID%3A9672110</v>
      </c>
      <c r="J132" s="3" t="str">
        <f t="shared" si="30"/>
        <v>Frahm_etal_1998_Table1</v>
      </c>
      <c r="K132" s="3" t="str">
        <f t="shared" si="63"/>
        <v>PMID%3A9672110_Table1</v>
      </c>
      <c r="L132" s="3" t="str">
        <f t="array" ref="L132">IFERROR(INDEX(AUTO_Public_TSV_FileList!$A$1:$A$1000,MATCH(TRUE(),EXACT(K132,IFERROR(_xlfn.TEXTBEFORE(AUTO_Public_TSV_FileList!$A$1:$A$1000,".tsv"),"")),0)),"notfound")</f>
        <v>PMID%3A9672110_Table1.tsv</v>
      </c>
      <c r="N132" s="1" t="s">
        <v>35</v>
      </c>
      <c r="P132" s="1" t="s">
        <v>36</v>
      </c>
      <c r="W132" s="1" t="s">
        <v>110</v>
      </c>
      <c r="X132" s="1" t="s">
        <v>515</v>
      </c>
      <c r="Z132" s="1" t="s">
        <v>83</v>
      </c>
      <c r="AA132" s="1" t="s">
        <v>123</v>
      </c>
      <c r="AB132" s="1" t="s">
        <v>90</v>
      </c>
      <c r="AC132" s="1" t="s">
        <v>112</v>
      </c>
      <c r="AD132" s="1" t="s">
        <v>112</v>
      </c>
      <c r="AE132" s="1" t="s">
        <v>66</v>
      </c>
      <c r="AF132" s="1"/>
    </row>
    <row r="133" spans="1:33" ht="17" customHeight="1" x14ac:dyDescent="0.2">
      <c r="A133" s="1" t="s">
        <v>516</v>
      </c>
      <c r="D133" s="1" t="s">
        <v>517</v>
      </c>
      <c r="E133" s="3" t="str">
        <f t="shared" si="27"/>
        <v>Fritsches</v>
      </c>
      <c r="F133" s="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3" t="str">
        <f t="shared" si="28"/>
        <v>2005</v>
      </c>
      <c r="H133" s="3" t="str">
        <f t="shared" si="29"/>
        <v>Fritsches_etal_2005</v>
      </c>
      <c r="I133" s="3" t="str">
        <f t="shared" si="70"/>
        <v>10.1016%2Fj.cub.2004.12.064</v>
      </c>
      <c r="J133" s="3" t="str">
        <f t="shared" si="30"/>
        <v>Fritsches_etal_2005_Fig2</v>
      </c>
      <c r="K133" s="3" t="str">
        <f t="shared" si="63"/>
        <v>10.1016%2Fj.cub.2004.12.064_Fig2</v>
      </c>
      <c r="L133" s="3" t="str">
        <f t="array" ref="L133">IFERROR(INDEX(AUTO_Public_TSV_FileList!$A$1:$A$1000,MATCH(TRUE(),EXACT(K133,IFERROR(_xlfn.TEXTBEFORE(AUTO_Public_TSV_FileList!$A$1:$A$1000,".tsv"),"")),0)),"notfound")</f>
        <v>10.1016%2Fj.cub.2004.12.064_Fig2.tsv</v>
      </c>
      <c r="P133" s="1" t="s">
        <v>518</v>
      </c>
    </row>
    <row r="134" spans="1:33" ht="17" customHeight="1" x14ac:dyDescent="0.2">
      <c r="A134" s="1" t="s">
        <v>519</v>
      </c>
      <c r="D134" s="1" t="s">
        <v>81</v>
      </c>
      <c r="E134" s="3" t="str">
        <f t="shared" si="27"/>
        <v>Fu</v>
      </c>
      <c r="F134" s="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3" t="str">
        <f t="shared" si="28"/>
        <v>2013</v>
      </c>
      <c r="H134" s="3" t="str">
        <f t="shared" si="29"/>
        <v>Fu_etal_2013</v>
      </c>
      <c r="I134" s="3" t="str">
        <f t="shared" si="70"/>
        <v>10.1007%2Fs00429-012-0462-x</v>
      </c>
      <c r="J134" s="3" t="str">
        <f t="shared" si="30"/>
        <v>Fu_etal_2013_Table1</v>
      </c>
      <c r="K134" s="3" t="str">
        <f t="shared" si="63"/>
        <v>10.1007%2Fs00429-012-0462-x_Table1</v>
      </c>
      <c r="L134" s="3" t="str">
        <f t="array" ref="L134">IFERROR(INDEX(AUTO_Public_TSV_FileList!$A$1:$A$1000,MATCH(TRUE(),EXACT(K134,IFERROR(_xlfn.TEXTBEFORE(AUTO_Public_TSV_FileList!$A$1:$A$1000,".tsv"),"")),0)),"notfound")</f>
        <v>notfound</v>
      </c>
      <c r="M134" s="1" t="s">
        <v>520</v>
      </c>
      <c r="P134" s="1"/>
      <c r="W134" s="1"/>
      <c r="Y134" s="1" t="s">
        <v>257</v>
      </c>
      <c r="AB134" s="1"/>
      <c r="AE134" s="1"/>
      <c r="AF134" s="1"/>
    </row>
    <row r="135" spans="1:33" ht="17" customHeight="1" x14ac:dyDescent="0.2">
      <c r="A135" s="1" t="s">
        <v>521</v>
      </c>
      <c r="D135" s="1" t="s">
        <v>314</v>
      </c>
      <c r="E135" s="3" t="str">
        <f t="shared" si="27"/>
        <v>Gabi</v>
      </c>
      <c r="F135" s="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3" t="str">
        <f t="shared" si="28"/>
        <v>2016</v>
      </c>
      <c r="H135" s="3" t="str">
        <f t="shared" si="29"/>
        <v>Gabi_etal_2016</v>
      </c>
      <c r="I135" s="3" t="str">
        <f t="shared" si="70"/>
        <v>10.1073%2Fpnas.1610178113</v>
      </c>
      <c r="J135" s="3" t="str">
        <f t="shared" si="30"/>
        <v>Gabi_etal_2016_TableS1</v>
      </c>
      <c r="K135" s="3" t="str">
        <f t="shared" si="63"/>
        <v>10.1073%2Fpnas.1610178113_TableS1</v>
      </c>
      <c r="L135" s="3" t="str">
        <f t="array" ref="L135">IFERROR(INDEX(AUTO_Public_TSV_FileList!$A$1:$A$1000,MATCH(TRUE(),EXACT(K135,IFERROR(_xlfn.TEXTBEFORE(AUTO_Public_TSV_FileList!$A$1:$A$1000,".tsv"),"")),0)),"notfound")</f>
        <v>10.1073%2Fpnas.1610178113_TableS1.tsv</v>
      </c>
      <c r="N135" s="8" t="s">
        <v>35</v>
      </c>
      <c r="P135" s="8" t="s">
        <v>36</v>
      </c>
      <c r="W135" s="8" t="s">
        <v>522</v>
      </c>
      <c r="X135" s="8" t="s">
        <v>523</v>
      </c>
      <c r="AB135" s="8" t="s">
        <v>524</v>
      </c>
      <c r="AC135" s="8" t="s">
        <v>65</v>
      </c>
      <c r="AE135" s="8" t="s">
        <v>66</v>
      </c>
      <c r="AG135" s="8" t="s">
        <v>525</v>
      </c>
    </row>
    <row r="136" spans="1:33" ht="17" customHeight="1" x14ac:dyDescent="0.2">
      <c r="A136" s="1" t="s">
        <v>526</v>
      </c>
      <c r="D136" s="1" t="s">
        <v>314</v>
      </c>
      <c r="E136" s="3" t="str">
        <f t="shared" si="27"/>
        <v>Garwicz</v>
      </c>
      <c r="F136" s="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3" t="str">
        <f t="shared" si="28"/>
        <v>2009</v>
      </c>
      <c r="H136" s="3" t="str">
        <f t="shared" si="29"/>
        <v>Garwicz_etal_2009</v>
      </c>
      <c r="I136" s="3" t="str">
        <f t="shared" si="70"/>
        <v>10.1073%2Fpnas.0905777106</v>
      </c>
      <c r="J136" s="3" t="str">
        <f t="shared" si="30"/>
        <v>Garwicz_etal_2009_TableS1</v>
      </c>
      <c r="K136" s="3" t="str">
        <f t="shared" si="63"/>
        <v>10.1073%2Fpnas.0905777106_TableS1</v>
      </c>
      <c r="L136" s="3" t="str">
        <f t="array" ref="L136">IFERROR(INDEX(AUTO_Public_TSV_FileList!$A$1:$A$1000,MATCH(TRUE(),EXACT(K136,IFERROR(_xlfn.TEXTBEFORE(AUTO_Public_TSV_FileList!$A$1:$A$1000,".tsv"),"")),0)),"notfound")</f>
        <v>10.1073%2Fpnas.0905777106_TableS1.tsv</v>
      </c>
      <c r="M136" s="1" t="s">
        <v>527</v>
      </c>
      <c r="P136" s="8" t="s">
        <v>36</v>
      </c>
      <c r="R136" s="1" t="s">
        <v>528</v>
      </c>
      <c r="W136" s="1" t="s">
        <v>131</v>
      </c>
      <c r="AB136" s="1" t="s">
        <v>529</v>
      </c>
      <c r="AE136" s="1" t="s">
        <v>172</v>
      </c>
      <c r="AF136" s="1"/>
    </row>
    <row r="137" spans="1:33" ht="17" customHeight="1" x14ac:dyDescent="0.2">
      <c r="A137" s="1" t="s">
        <v>526</v>
      </c>
      <c r="D137" s="1" t="s">
        <v>530</v>
      </c>
      <c r="E137" s="3" t="str">
        <f t="shared" si="27"/>
        <v>Garwicz</v>
      </c>
      <c r="F137" s="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3" t="str">
        <f t="shared" si="28"/>
        <v>2009</v>
      </c>
      <c r="H137" s="3" t="str">
        <f t="shared" si="29"/>
        <v>Garwicz_etal_2009</v>
      </c>
      <c r="I137" s="3" t="str">
        <f t="shared" si="70"/>
        <v>10.1073%2Fpnas.0905777106</v>
      </c>
      <c r="J137" s="3" t="str">
        <f t="shared" si="30"/>
        <v>Garwicz_etal_2009_TableS2</v>
      </c>
      <c r="K137" s="3" t="str">
        <f t="shared" si="63"/>
        <v>10.1073%2Fpnas.0905777106_TableS2</v>
      </c>
      <c r="L137" s="3" t="str">
        <f t="array" ref="L137">IFERROR(INDEX(AUTO_Public_TSV_FileList!$A$1:$A$1000,MATCH(TRUE(),EXACT(K137,IFERROR(_xlfn.TEXTBEFORE(AUTO_Public_TSV_FileList!$A$1:$A$1000,".tsv"),"")),0)),"notfound")</f>
        <v>notfound</v>
      </c>
      <c r="M137" s="1" t="s">
        <v>531</v>
      </c>
      <c r="R137" s="1" t="s">
        <v>528</v>
      </c>
      <c r="W137" s="1" t="s">
        <v>131</v>
      </c>
      <c r="AB137" s="1" t="s">
        <v>529</v>
      </c>
      <c r="AE137" s="1" t="s">
        <v>172</v>
      </c>
      <c r="AF137" s="1"/>
    </row>
    <row r="138" spans="1:33" ht="17" customHeight="1" x14ac:dyDescent="0.2">
      <c r="A138" s="1" t="s">
        <v>532</v>
      </c>
      <c r="D138" s="1" t="s">
        <v>530</v>
      </c>
      <c r="E138" s="3" t="str">
        <f t="shared" si="27"/>
        <v>Genoud</v>
      </c>
      <c r="F138" s="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3" t="str">
        <f t="shared" si="28"/>
        <v>2018</v>
      </c>
      <c r="H138" s="3" t="str">
        <f t="shared" si="29"/>
        <v>Genoud_etal_2018</v>
      </c>
      <c r="I138" s="3" t="str">
        <f t="shared" si="70"/>
        <v>10.1111%2Fbrv.12350</v>
      </c>
      <c r="J138" s="3" t="str">
        <f t="shared" si="30"/>
        <v>Genoud_etal_2018_TableS2</v>
      </c>
      <c r="K138" s="3" t="str">
        <f t="shared" si="63"/>
        <v>10.1111%2Fbrv.12350_TableS2</v>
      </c>
      <c r="L138" s="3" t="str">
        <f t="array" ref="L138">IFERROR(INDEX(AUTO_Public_TSV_FileList!$A$1:$A$1000,MATCH(TRUE(),EXACT(K138,IFERROR(_xlfn.TEXTBEFORE(AUTO_Public_TSV_FileList!$A$1:$A$1000,".tsv"),"")),0)),"notfound")</f>
        <v>10.1111%2Fbrv.12350_TableS2.tsv</v>
      </c>
      <c r="M138" s="1" t="s">
        <v>533</v>
      </c>
      <c r="P138" s="8" t="s">
        <v>36</v>
      </c>
      <c r="W138" s="1"/>
      <c r="X138" s="1" t="s">
        <v>534</v>
      </c>
      <c r="AB138" s="1"/>
      <c r="AE138" s="1" t="s">
        <v>172</v>
      </c>
      <c r="AF138" s="1"/>
    </row>
    <row r="139" spans="1:33" ht="17" customHeight="1" x14ac:dyDescent="0.2">
      <c r="A139" s="1" t="s">
        <v>535</v>
      </c>
      <c r="D139" s="1" t="s">
        <v>314</v>
      </c>
      <c r="E139" s="3" t="str">
        <f t="shared" si="27"/>
        <v>Granatosky</v>
      </c>
      <c r="F139" s="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9" s="3" t="str">
        <f t="shared" si="28"/>
        <v>2018</v>
      </c>
      <c r="H139" s="3" t="str">
        <f t="shared" si="29"/>
        <v>Granatosky__2018</v>
      </c>
      <c r="I139" s="3" t="str">
        <f t="shared" si="70"/>
        <v>10.1111%2Fjzo.12608</v>
      </c>
      <c r="J139" s="3" t="str">
        <f t="shared" si="30"/>
        <v>Granatosky__2018_TableS1</v>
      </c>
      <c r="K139" s="3" t="str">
        <f t="shared" si="63"/>
        <v>10.1111%2Fjzo.12608_TableS1</v>
      </c>
      <c r="L139" s="3" t="str">
        <f t="array" ref="L139">IFERROR(INDEX(AUTO_Public_TSV_FileList!$A$1:$A$1000,MATCH(TRUE(),EXACT(K139,IFERROR(_xlfn.TEXTBEFORE(AUTO_Public_TSV_FileList!$A$1:$A$1000,".tsv"),"")),0)),"notfound")</f>
        <v>10.1111%2Fjzo.12608_TableS1.tsv</v>
      </c>
      <c r="M139" s="1" t="s">
        <v>1479</v>
      </c>
      <c r="P139" s="8" t="s">
        <v>36</v>
      </c>
      <c r="R139" s="1" t="s">
        <v>536</v>
      </c>
      <c r="W139" s="1" t="s">
        <v>131</v>
      </c>
      <c r="AB139" s="1" t="s">
        <v>537</v>
      </c>
      <c r="AE139" s="1" t="s">
        <v>172</v>
      </c>
      <c r="AF139" s="1"/>
    </row>
    <row r="140" spans="1:33" ht="17" customHeight="1" x14ac:dyDescent="0.2">
      <c r="A140" s="1" t="s">
        <v>538</v>
      </c>
      <c r="D140" s="1" t="s">
        <v>539</v>
      </c>
      <c r="E140" s="3" t="str">
        <f t="shared" si="27"/>
        <v>Haarlem</v>
      </c>
      <c r="F140" s="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3" t="str">
        <f t="shared" si="28"/>
        <v>2026</v>
      </c>
      <c r="H140" s="3" t="str">
        <f t="shared" si="29"/>
        <v>Haarlem_etal_2026</v>
      </c>
      <c r="I140" s="3" t="str">
        <f t="shared" si="70"/>
        <v>10.1038%2Fs41559-026-02994-7</v>
      </c>
      <c r="J140" s="3" t="str">
        <f t="shared" si="30"/>
        <v>Haarlem_etal_2026_CFFdataset</v>
      </c>
      <c r="K140" s="3" t="str">
        <f t="shared" si="63"/>
        <v>10.1038%2Fs41559-026-02994-7_CFFdataset</v>
      </c>
      <c r="L140" s="3" t="str">
        <f t="array" ref="L140">IFERROR(INDEX(AUTO_Public_TSV_FileList!$A$1:$A$1000,MATCH(TRUE(),EXACT(K140,IFERROR(_xlfn.TEXTBEFORE(AUTO_Public_TSV_FileList!$A$1:$A$1000,".tsv"),"")),0)),"notfound")</f>
        <v>10.1038%2Fs41559-026-02994-7_CFFdataset.tsv</v>
      </c>
      <c r="O140" s="1" t="s">
        <v>539</v>
      </c>
      <c r="R140" s="1" t="s">
        <v>536</v>
      </c>
      <c r="W140" s="1"/>
      <c r="AB140" s="1"/>
      <c r="AE140" s="1"/>
      <c r="AF140" s="1"/>
    </row>
    <row r="141" spans="1:33" ht="17" customHeight="1" x14ac:dyDescent="0.2">
      <c r="A141" s="7" t="s">
        <v>540</v>
      </c>
      <c r="B141" s="7"/>
      <c r="C141" s="7"/>
      <c r="D141" s="7" t="s">
        <v>70</v>
      </c>
      <c r="E141" s="10" t="str">
        <f t="shared" si="27"/>
        <v>Hakeem</v>
      </c>
      <c r="F141" s="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3" t="str">
        <f t="shared" si="28"/>
        <v>2005</v>
      </c>
      <c r="H141" s="10" t="str">
        <f t="shared" si="29"/>
        <v>Hakeem_etal_2005</v>
      </c>
      <c r="I141" s="10" t="str">
        <f>_xlfn.LET(_xlpm.doi,IF(C141&lt;&gt;"",C141,_xlfn.TEXTAFTER(A141,"https://doi.org/")),SUBSTITUTE(SUBSTITUTE(SUBSTITUTE(SUBSTITUTE(_xlpm.doi,"/","%2F"),":","%3A"),"&lt;","%3C"),"&gt;","%3E"))</f>
        <v>10.1002%2Far.a.20255</v>
      </c>
      <c r="J141" s="10" t="str">
        <f t="shared" si="30"/>
        <v>Hakeem_etal_2005_Table2</v>
      </c>
      <c r="K141" s="10" t="str">
        <f t="shared" si="63"/>
        <v>10.1002%2Far.a.20255_Table2</v>
      </c>
      <c r="L141" s="3" t="str">
        <f t="array" ref="L141">IFERROR(INDEX(AUTO_Public_TSV_FileList!$A$1:$A$1000,MATCH(TRUE(),EXACT(K141,IFERROR(_xlfn.TEXTBEFORE(AUTO_Public_TSV_FileList!$A$1:$A$1000,".tsv"),"")),0)),"notfound")</f>
        <v>notfound</v>
      </c>
      <c r="N141" s="1" t="s">
        <v>35</v>
      </c>
      <c r="P141" s="7"/>
      <c r="Q141" s="7"/>
      <c r="R141" s="7" t="s">
        <v>541</v>
      </c>
      <c r="S141" s="7" t="s">
        <v>491</v>
      </c>
      <c r="T141" s="7" t="s">
        <v>492</v>
      </c>
      <c r="U141" s="7"/>
      <c r="V141" s="7" t="s">
        <v>493</v>
      </c>
      <c r="W141" s="7" t="s">
        <v>542</v>
      </c>
      <c r="X141" s="7" t="s">
        <v>543</v>
      </c>
      <c r="Y141" s="7"/>
      <c r="Z141" s="7"/>
      <c r="AA141" s="7" t="s">
        <v>544</v>
      </c>
      <c r="AB141" s="7" t="s">
        <v>545</v>
      </c>
      <c r="AD141" s="7"/>
      <c r="AE141" s="7" t="s">
        <v>66</v>
      </c>
      <c r="AF141" s="7"/>
      <c r="AG141" s="7" t="s">
        <v>546</v>
      </c>
    </row>
    <row r="142" spans="1:33" ht="17" customHeight="1" x14ac:dyDescent="0.2">
      <c r="A142" s="7" t="s">
        <v>547</v>
      </c>
      <c r="B142" s="7"/>
      <c r="C142" s="7"/>
      <c r="D142" s="7" t="s">
        <v>81</v>
      </c>
      <c r="E142" s="10" t="str">
        <f t="shared" si="27"/>
        <v>Hakeem</v>
      </c>
      <c r="F142" s="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3" t="str">
        <f t="shared" si="28"/>
        <v>2009</v>
      </c>
      <c r="H142" s="10" t="str">
        <f t="shared" si="29"/>
        <v>Hakeem_etal_2009</v>
      </c>
      <c r="I142" s="10" t="str">
        <f>_xlfn.LET(_xlpm.doi,IF(C142&lt;&gt;"",C142,_xlfn.TEXTAFTER(A142,"https://doi.org/")),SUBSTITUTE(SUBSTITUTE(SUBSTITUTE(SUBSTITUTE(_xlpm.doi,"/","%2F"),":","%3A"),"&lt;","%3C"),"&gt;","%3E"))</f>
        <v xml:space="preserve">10.1002%2Far.20829 </v>
      </c>
      <c r="J142" s="10" t="str">
        <f t="shared" si="30"/>
        <v>Hakeem_etal_2009_Table1</v>
      </c>
      <c r="K142" s="10" t="str">
        <f t="shared" si="63"/>
        <v>10.1002%2Far.20829 _Table1</v>
      </c>
      <c r="L142" s="3" t="str">
        <f t="array" ref="L142">IFERROR(INDEX(AUTO_Public_TSV_FileList!$A$1:$A$1000,MATCH(TRUE(),EXACT(K142,IFERROR(_xlfn.TEXTBEFORE(AUTO_Public_TSV_FileList!$A$1:$A$1000,".tsv"),"")),0)),"notfound")</f>
        <v>10.1002%2Far.20829 _Table1.tsv</v>
      </c>
      <c r="N142" s="1"/>
      <c r="P142" s="7" t="s">
        <v>36</v>
      </c>
      <c r="Q142" s="7"/>
      <c r="R142" s="7"/>
      <c r="S142" s="7"/>
      <c r="T142" s="7"/>
      <c r="U142" s="7"/>
      <c r="V142" s="7"/>
      <c r="W142" s="7"/>
      <c r="X142" s="7"/>
      <c r="Y142" s="7"/>
      <c r="Z142" s="7"/>
      <c r="AA142" s="7"/>
      <c r="AB142" s="7"/>
      <c r="AD142" s="7"/>
      <c r="AE142" s="7"/>
      <c r="AF142" s="7"/>
      <c r="AG142" s="7"/>
    </row>
    <row r="143" spans="1:33" ht="17" customHeight="1" x14ac:dyDescent="0.2">
      <c r="A143" s="8" t="s">
        <v>548</v>
      </c>
      <c r="D143" s="8" t="s">
        <v>549</v>
      </c>
      <c r="E143" s="10" t="str">
        <f t="shared" si="27"/>
        <v>Halley</v>
      </c>
      <c r="F143" s="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3" s="3" t="str">
        <f t="shared" si="28"/>
        <v>2019</v>
      </c>
      <c r="H143" s="10" t="str">
        <f t="shared" si="29"/>
        <v>Halley_Krubitzer_2019</v>
      </c>
      <c r="I143" s="10" t="str">
        <f>_xlfn.LET(_xlpm.doi,IF(C143&lt;&gt;"",C143,_xlfn.TEXTAFTER(A143,"https://doi.org/")),SUBSTITUTE(SUBSTITUTE(SUBSTITUTE(SUBSTITUTE(_xlpm.doi,"/","%2F"),":","%3A"),"&lt;","%3C"),"&gt;","%3E"))</f>
        <v>10.1016%2Fj.conb.2018.12.003</v>
      </c>
      <c r="J143" s="10" t="str">
        <f t="shared" si="30"/>
        <v>Halley_Krubitzer_2019_Figure1</v>
      </c>
      <c r="K143" s="10" t="str">
        <f t="shared" si="63"/>
        <v>10.1016%2Fj.conb.2018.12.003_Figure1</v>
      </c>
      <c r="L143" s="3" t="str">
        <f t="array" ref="L143">IFERROR(INDEX(AUTO_Public_TSV_FileList!$A$1:$A$1000,MATCH(TRUE(),EXACT(K143,IFERROR(_xlfn.TEXTBEFORE(AUTO_Public_TSV_FileList!$A$1:$A$1000,".tsv"),"")),0)),"notfound")</f>
        <v>notfound</v>
      </c>
      <c r="M143" s="8" t="s">
        <v>550</v>
      </c>
      <c r="N143" s="8" t="s">
        <v>551</v>
      </c>
      <c r="R143" s="8" t="s">
        <v>552</v>
      </c>
      <c r="T143" s="8" t="s">
        <v>553</v>
      </c>
      <c r="V143" s="8" t="s">
        <v>554</v>
      </c>
      <c r="W143" s="8" t="s">
        <v>131</v>
      </c>
      <c r="X143" s="8" t="s">
        <v>555</v>
      </c>
      <c r="Y143" s="8" t="s">
        <v>556</v>
      </c>
      <c r="AB143" s="8" t="s">
        <v>557</v>
      </c>
      <c r="AC143" s="8" t="s">
        <v>558</v>
      </c>
      <c r="AE143" s="8" t="s">
        <v>172</v>
      </c>
      <c r="AG143" s="8" t="s">
        <v>559</v>
      </c>
    </row>
    <row r="144" spans="1:33" ht="17" customHeight="1" x14ac:dyDescent="0.2">
      <c r="A144" s="8" t="s">
        <v>560</v>
      </c>
      <c r="D144" s="8" t="s">
        <v>70</v>
      </c>
      <c r="E144" s="10" t="str">
        <f t="shared" si="27"/>
        <v>Hanson</v>
      </c>
      <c r="F144" s="10" t="str">
        <f>_xlfn.LET(
_xlpm.authors,_xlfn.TEXTBEFORE(A144," ("&amp;G144&amp;")"),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4" s="10" t="str">
        <f t="shared" si="28"/>
        <v>2018</v>
      </c>
      <c r="H144" s="10" t="str">
        <f t="shared" si="29"/>
        <v>Hanson_etal_2018</v>
      </c>
      <c r="I144" s="10" t="str">
        <f>_xlfn.LET(
_xlpm.doi,IF(C144&lt;&gt;"",C144,_xlfn.TEXTAFTER(A144,"https://doi.org/")),
SUBSTITUTE(
SUBSTITUTE(
SUBSTITUTE(
SUBSTITUTE(
_xlpm.doi,
"/","%2F"),
":","%3A"),
"&lt;","%3C"),
"&gt;","%3E")
)</f>
        <v>10.1002%2Fdneu.22554</v>
      </c>
      <c r="J144" s="10" t="str">
        <f t="shared" si="30"/>
        <v>Hanson_etal_2018_Table2</v>
      </c>
      <c r="K144" s="10" t="str">
        <f>I144 &amp; "_" &amp; SUBSTITUTE(SUBSTITUTE(SUBSTITUTE(D144,CHAR(160),""), " ", ""), "_", "")</f>
        <v>10.1002%2Fdneu.22554_Table2</v>
      </c>
      <c r="L144" s="3" t="str">
        <f t="array" ref="L144">IFERROR(INDEX(AUTO_Public_TSV_FileList!$A$1:$A$1000,MATCH(TRUE(),EXACT(K144,IFERROR(_xlfn.TEXTBEFORE(AUTO_Public_TSV_FileList!$A$1:$A$1000,".tsv"),"")),0)),"notfound")</f>
        <v>10.1002%2Fdneu.22554_Table2.tsv</v>
      </c>
      <c r="M144" s="8" t="s">
        <v>561</v>
      </c>
      <c r="N144" s="8" t="s">
        <v>562</v>
      </c>
      <c r="P144" s="8" t="s">
        <v>36</v>
      </c>
      <c r="Q144" s="8" t="s">
        <v>563</v>
      </c>
      <c r="W144" s="8" t="s">
        <v>564</v>
      </c>
      <c r="Z144" s="8" t="s">
        <v>565</v>
      </c>
      <c r="AA144" s="8" t="s">
        <v>566</v>
      </c>
      <c r="AB144" s="8" t="s">
        <v>77</v>
      </c>
      <c r="AC144" s="8" t="s">
        <v>567</v>
      </c>
      <c r="AE144" s="8" t="s">
        <v>66</v>
      </c>
    </row>
    <row r="145" spans="1:32" ht="17" customHeight="1" x14ac:dyDescent="0.2">
      <c r="A145" s="8" t="s">
        <v>560</v>
      </c>
      <c r="D145" s="8" t="s">
        <v>72</v>
      </c>
      <c r="E145" s="10" t="str">
        <f t="shared" si="27"/>
        <v>Hanson</v>
      </c>
      <c r="F145" s="10" t="str">
        <f>_xlfn.LET(
_xlpm.authors,_xlfn.TEXTBEFORE(A145," ("&amp;G145&amp;")"),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5" s="10" t="str">
        <f t="shared" si="28"/>
        <v>2018</v>
      </c>
      <c r="H145" s="10" t="str">
        <f t="shared" si="29"/>
        <v>Hanson_etal_2018</v>
      </c>
      <c r="I145" s="10" t="str">
        <f>_xlfn.LET(
_xlpm.doi,IF(C145&lt;&gt;"",C145,_xlfn.TEXTAFTER(A145,"https://doi.org/")),
SUBSTITUTE(
SUBSTITUTE(
SUBSTITUTE(
SUBSTITUTE(
_xlpm.doi,
"/","%2F"),
":","%3A"),
"&lt;","%3C"),
"&gt;","%3E")
)</f>
        <v>10.1002%2Fdneu.22554</v>
      </c>
      <c r="J145" s="10" t="str">
        <f t="shared" si="30"/>
        <v>Hanson_etal_2018_Table3</v>
      </c>
      <c r="K145" s="10" t="str">
        <f>I145 &amp; "_" &amp; SUBSTITUTE(SUBSTITUTE(SUBSTITUTE(D145,CHAR(160),""), " ", ""), "_", "")</f>
        <v>10.1002%2Fdneu.22554_Table3</v>
      </c>
      <c r="L145" s="3" t="str">
        <f t="array" ref="L145">IFERROR(INDEX(AUTO_Public_TSV_FileList!$A$1:$A$1000,MATCH(TRUE(),EXACT(K145,IFERROR(_xlfn.TEXTBEFORE(AUTO_Public_TSV_FileList!$A$1:$A$1000,".tsv"),"")),0)),"notfound")</f>
        <v>10.1002%2Fdneu.22554_Table3.tsv</v>
      </c>
      <c r="M145" s="8" t="s">
        <v>568</v>
      </c>
      <c r="N145" s="8" t="s">
        <v>562</v>
      </c>
      <c r="P145" s="8" t="s">
        <v>36</v>
      </c>
      <c r="Q145" s="8" t="s">
        <v>569</v>
      </c>
      <c r="W145" s="8" t="s">
        <v>564</v>
      </c>
      <c r="Z145" s="8" t="s">
        <v>570</v>
      </c>
      <c r="AA145" s="8" t="s">
        <v>566</v>
      </c>
      <c r="AB145" s="8" t="s">
        <v>77</v>
      </c>
      <c r="AC145" s="8" t="s">
        <v>567</v>
      </c>
      <c r="AE145" s="8" t="s">
        <v>66</v>
      </c>
    </row>
    <row r="146" spans="1:32" ht="17" customHeight="1" x14ac:dyDescent="0.2">
      <c r="A146" s="8" t="s">
        <v>571</v>
      </c>
      <c r="D146" s="8" t="s">
        <v>81</v>
      </c>
      <c r="E146" s="10" t="str">
        <f t="shared" si="27"/>
        <v>Heesy</v>
      </c>
      <c r="F146" s="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46" s="3" t="str">
        <f t="shared" si="28"/>
        <v>2004</v>
      </c>
      <c r="H146" s="10" t="str">
        <f t="shared" si="29"/>
        <v>Heesy__2004</v>
      </c>
      <c r="I146" s="10" t="str">
        <f>_xlfn.LET(_xlpm.doi,IF(C146&lt;&gt;"",C146,_xlfn.TEXTAFTER(A146,"https://doi.org/")),SUBSTITUTE(SUBSTITUTE(SUBSTITUTE(SUBSTITUTE(_xlpm.doi,"/","%2F"),":","%3A"),"&lt;","%3C"),"&gt;","%3E"))</f>
        <v>10.1002%2Far.a.20116</v>
      </c>
      <c r="J146" s="10" t="str">
        <f t="shared" si="30"/>
        <v>Heesy__2004_Table1</v>
      </c>
      <c r="K146" s="10" t="str">
        <f t="shared" ref="K146:K177" si="77">I146 &amp; "_" &amp; SUBSTITUTE(SUBSTITUTE(SUBSTITUTE(D146,CHAR(160),"")," ",""),"_","")</f>
        <v>10.1002%2Far.a.20116_Table1</v>
      </c>
      <c r="L146" s="3" t="str">
        <f t="array" ref="L146">IFERROR(INDEX(AUTO_Public_TSV_FileList!$A$1:$A$1000,MATCH(TRUE(),EXACT(K146,IFERROR(_xlfn.TEXTBEFORE(AUTO_Public_TSV_FileList!$A$1:$A$1000,".tsv"),"")),0)),"notfound")</f>
        <v>10.1002%2Far.a.20116_Table1.tsv</v>
      </c>
      <c r="M146" s="8" t="s">
        <v>572</v>
      </c>
      <c r="N146" s="1" t="s">
        <v>35</v>
      </c>
      <c r="O146" s="8" t="s">
        <v>573</v>
      </c>
      <c r="R146" s="8" t="s">
        <v>574</v>
      </c>
      <c r="V146" s="8" t="s">
        <v>575</v>
      </c>
      <c r="W146" s="7" t="s">
        <v>131</v>
      </c>
      <c r="X146" s="8" t="s">
        <v>576</v>
      </c>
      <c r="AA146" s="8" t="s">
        <v>577</v>
      </c>
      <c r="AB146" s="8" t="s">
        <v>578</v>
      </c>
      <c r="AE146" s="8" t="s">
        <v>51</v>
      </c>
    </row>
    <row r="147" spans="1:32" ht="17" customHeight="1" x14ac:dyDescent="0.2">
      <c r="A147" s="8" t="s">
        <v>579</v>
      </c>
      <c r="B147" s="8" t="s">
        <v>265</v>
      </c>
      <c r="D147" s="8" t="s">
        <v>58</v>
      </c>
      <c r="E147" s="10" t="str">
        <f t="shared" si="27"/>
        <v>Heffner</v>
      </c>
      <c r="F147" s="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47" s="3" t="str">
        <f t="shared" si="28"/>
        <v>1992</v>
      </c>
      <c r="H147" s="10" t="str">
        <f t="shared" si="29"/>
        <v>Heffner_Heffner_1992_a</v>
      </c>
      <c r="I147" s="10" t="str">
        <f>_xlfn.LET(_xlpm.doi,IF(C147&lt;&gt;"",C147,_xlfn.TEXTAFTER(A147,"https://doi.org/")),SUBSTITUTE(SUBSTITUTE(SUBSTITUTE(SUBSTITUTE(_xlpm.doi,"/","%2F"),":","%3A"),"&lt;","%3C"),"&gt;","%3E"))</f>
        <v>10.1002%2Fcne.903170302</v>
      </c>
      <c r="J147" s="10" t="str">
        <f t="shared" si="30"/>
        <v>Heffner_Heffner_1992_a_TABLE1</v>
      </c>
      <c r="K147" s="10" t="str">
        <f t="shared" si="77"/>
        <v>10.1002%2Fcne.903170302_TABLE1</v>
      </c>
      <c r="L147" s="3" t="str">
        <f t="array" ref="L147">IFERROR(INDEX(AUTO_Public_TSV_FileList!$A$1:$A$1000,MATCH(TRUE(),EXACT(K147,IFERROR(_xlfn.TEXTBEFORE(AUTO_Public_TSV_FileList!$A$1:$A$1000,".tsv"),"")),0)),"notfound")</f>
        <v>10.1002%2Fcne.903170302_TABLE1.tsv</v>
      </c>
      <c r="M147" s="8" t="s">
        <v>580</v>
      </c>
      <c r="N147" s="1" t="s">
        <v>35</v>
      </c>
      <c r="O147" s="8" t="s">
        <v>581</v>
      </c>
      <c r="W147" s="8" t="s">
        <v>582</v>
      </c>
      <c r="X147" s="8" t="s">
        <v>583</v>
      </c>
      <c r="AB147" s="8" t="s">
        <v>584</v>
      </c>
      <c r="AC147" s="8" t="s">
        <v>585</v>
      </c>
      <c r="AE147" s="8" t="s">
        <v>51</v>
      </c>
    </row>
    <row r="148" spans="1:32" ht="17" customHeight="1" x14ac:dyDescent="0.2">
      <c r="A148" s="1" t="s">
        <v>586</v>
      </c>
      <c r="D148" s="1" t="s">
        <v>316</v>
      </c>
      <c r="E148" s="3" t="str">
        <f t="shared" ref="E148:E211" si="78">SUBSTITUTE(SUBSTITUTE(_xlfn.TEXTBEFORE(A148,","), "-", ""), " ", "")</f>
        <v>Heffner</v>
      </c>
      <c r="F148" s="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3" t="str">
        <f t="shared" ref="G148:G211" si="79">_xlfn.TEXTBEFORE(_xlfn.TEXTAFTER(A148, "("), ")")</f>
        <v>2020</v>
      </c>
      <c r="H148" s="3" t="str">
        <f t="shared" ref="H148:H211" si="80">E148 &amp; IF(F148&lt;&gt;"", "_" &amp; F148, "_") &amp; IF(G148&lt;&gt;"", "_" &amp; G148, "_") &amp; IF(B148&lt;&gt;"", "_" &amp; B148, "")</f>
        <v>Heffner_etal_2020</v>
      </c>
      <c r="I148" s="3" t="str">
        <f t="shared" ref="I148:I160" si="81">_xlfn.LET(
_xlpm.doi,IF(C148&lt;&gt;"",C148,_xlfn.TEXTAFTER(A148,"https://doi.org/")),
SUBSTITUTE(
SUBSTITUTE(
SUBSTITUTE(
SUBSTITUTE(
_xlpm.doi,
"/","%2F"),
":","%3A"),
"&lt;","%3C"),
"&gt;","%3E")
)</f>
        <v>10.1007%2Fs00359-020-01424-8</v>
      </c>
      <c r="J148" s="3" t="str">
        <f t="shared" ref="J148:J211" si="82">TRIM(_xlfn.TEXTJOIN("_",FALSE(),H148,(SUBSTITUTE(SUBSTITUTE(D148," ",""), "_", ""))))</f>
        <v>Heffner_etal_2020_Figure3</v>
      </c>
      <c r="K148" s="3" t="str">
        <f t="shared" si="77"/>
        <v>10.1007%2Fs00359-020-01424-8_Figure3</v>
      </c>
      <c r="L148" s="3" t="str">
        <f t="array" ref="L148">IFERROR(INDEX(AUTO_Public_TSV_FileList!$A$1:$A$1000,MATCH(TRUE(),EXACT(K148,IFERROR(_xlfn.TEXTBEFORE(AUTO_Public_TSV_FileList!$A$1:$A$1000,".tsv"),"")),0)),"notfound")</f>
        <v>10.1007%2Fs00359-020-01424-8_Figure3.tsv</v>
      </c>
      <c r="M148" s="8" t="s">
        <v>1480</v>
      </c>
      <c r="N148" s="1" t="s">
        <v>551</v>
      </c>
      <c r="O148" s="8" t="s">
        <v>587</v>
      </c>
      <c r="P148" s="1"/>
      <c r="Q148" s="1"/>
      <c r="R148" s="1"/>
      <c r="V148" s="1"/>
      <c r="W148" s="8" t="s">
        <v>588</v>
      </c>
      <c r="X148" s="8" t="s">
        <v>589</v>
      </c>
      <c r="AB148" s="8" t="s">
        <v>584</v>
      </c>
      <c r="AC148" s="8" t="s">
        <v>585</v>
      </c>
      <c r="AE148" s="8" t="s">
        <v>51</v>
      </c>
      <c r="AF148" s="1"/>
    </row>
    <row r="149" spans="1:32" ht="17" customHeight="1" x14ac:dyDescent="0.2">
      <c r="A149" s="1" t="s">
        <v>590</v>
      </c>
      <c r="D149" s="1" t="s">
        <v>490</v>
      </c>
      <c r="E149" s="3" t="str">
        <f t="shared" si="78"/>
        <v>Heffner</v>
      </c>
      <c r="F149" s="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49" s="3" t="str">
        <f t="shared" si="79"/>
        <v>1975</v>
      </c>
      <c r="H149" s="3" t="str">
        <f t="shared" si="80"/>
        <v>Heffner_Masterton_1975</v>
      </c>
      <c r="I149" s="3" t="str">
        <f t="shared" si="81"/>
        <v>10.1159%2F000124401</v>
      </c>
      <c r="J149" s="3" t="str">
        <f t="shared" si="82"/>
        <v>Heffner_Masterton_1975_TableI</v>
      </c>
      <c r="K149" s="3" t="str">
        <f t="shared" si="77"/>
        <v>10.1159%2F000124401_TableI</v>
      </c>
      <c r="L149" s="3" t="str">
        <f t="array" ref="L149">IFERROR(INDEX(AUTO_Public_TSV_FileList!$A$1:$A$1000,MATCH(TRUE(),EXACT(K149,IFERROR(_xlfn.TEXTBEFORE(AUTO_Public_TSV_FileList!$A$1:$A$1000,".tsv"),"")),0)),"notfound")</f>
        <v>10.1159%2F000124401_TableI.tsv</v>
      </c>
      <c r="N149" s="1" t="s">
        <v>35</v>
      </c>
      <c r="P149" s="1" t="s">
        <v>36</v>
      </c>
      <c r="Q149" s="1"/>
      <c r="R149" s="1" t="s">
        <v>536</v>
      </c>
      <c r="V149" s="1"/>
      <c r="W149" s="1" t="s">
        <v>131</v>
      </c>
      <c r="X149" s="1" t="s">
        <v>591</v>
      </c>
      <c r="Y149" s="1" t="s">
        <v>592</v>
      </c>
      <c r="AB149" s="1" t="s">
        <v>593</v>
      </c>
      <c r="AE149" s="1" t="s">
        <v>51</v>
      </c>
      <c r="AF149" s="1"/>
    </row>
    <row r="150" spans="1:32" ht="17" customHeight="1" x14ac:dyDescent="0.2">
      <c r="A150" s="1" t="s">
        <v>594</v>
      </c>
      <c r="C150" s="1" t="s">
        <v>595</v>
      </c>
      <c r="D150" s="1" t="s">
        <v>58</v>
      </c>
      <c r="E150" s="3" t="str">
        <f t="shared" si="78"/>
        <v>Heiss</v>
      </c>
      <c r="F150" s="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3" t="str">
        <f t="shared" si="79"/>
        <v>2004</v>
      </c>
      <c r="H150" s="3" t="str">
        <f t="shared" si="80"/>
        <v>Heiss_etal_2004</v>
      </c>
      <c r="I150" s="3" t="str">
        <f t="shared" si="81"/>
        <v>PMID%3A15534048</v>
      </c>
      <c r="J150" s="3" t="str">
        <f t="shared" si="82"/>
        <v>Heiss_etal_2004_TABLE1</v>
      </c>
      <c r="K150" s="3" t="str">
        <f t="shared" si="77"/>
        <v>PMID%3A15534048_TABLE1</v>
      </c>
      <c r="L150" s="3" t="str">
        <f t="array" ref="L150">IFERROR(INDEX(AUTO_Public_TSV_FileList!$A$1:$A$1000,MATCH(TRUE(),EXACT(K150,IFERROR(_xlfn.TEXTBEFORE(AUTO_Public_TSV_FileList!$A$1:$A$1000,".tsv"),"")),0)),"notfound")</f>
        <v>PMID%3A15534048_TABLE1.tsv</v>
      </c>
      <c r="M150" s="1" t="s">
        <v>596</v>
      </c>
      <c r="O150" s="1"/>
      <c r="P150" s="8" t="s">
        <v>36</v>
      </c>
      <c r="R150" s="1" t="s">
        <v>536</v>
      </c>
      <c r="W150" s="1" t="s">
        <v>564</v>
      </c>
      <c r="X150" s="1" t="s">
        <v>597</v>
      </c>
      <c r="AB150" s="1" t="s">
        <v>598</v>
      </c>
      <c r="AE150" s="1" t="s">
        <v>66</v>
      </c>
      <c r="AF150" s="1"/>
    </row>
    <row r="151" spans="1:32" ht="17" customHeight="1" x14ac:dyDescent="0.2">
      <c r="A151" s="1" t="s">
        <v>599</v>
      </c>
      <c r="D151" s="1" t="s">
        <v>314</v>
      </c>
      <c r="E151" s="3" t="str">
        <f t="shared" si="78"/>
        <v>Heldstab</v>
      </c>
      <c r="F151" s="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3" t="str">
        <f t="shared" si="79"/>
        <v>2016</v>
      </c>
      <c r="H151" s="3" t="str">
        <f t="shared" si="80"/>
        <v>Heldstab_etal_2016</v>
      </c>
      <c r="I151" s="3" t="str">
        <f t="shared" si="81"/>
        <v>10.1038%2Fsrep24528</v>
      </c>
      <c r="J151" s="3" t="str">
        <f t="shared" si="82"/>
        <v>Heldstab_etal_2016_TableS1</v>
      </c>
      <c r="K151" s="3" t="str">
        <f t="shared" si="77"/>
        <v>10.1038%2Fsrep24528_TableS1</v>
      </c>
      <c r="L151" s="3" t="str">
        <f t="array" ref="L151">IFERROR(INDEX(AUTO_Public_TSV_FileList!$A$1:$A$1000,MATCH(TRUE(),EXACT(K151,IFERROR(_xlfn.TEXTBEFORE(AUTO_Public_TSV_FileList!$A$1:$A$1000,".tsv"),"")),0)),"notfound")</f>
        <v>10.1038%2Fsrep24528_TableS1.tsv</v>
      </c>
      <c r="N151" s="1" t="s">
        <v>35</v>
      </c>
      <c r="P151" s="8" t="s">
        <v>36</v>
      </c>
      <c r="R151" s="1" t="s">
        <v>536</v>
      </c>
      <c r="V151" s="1"/>
      <c r="W151" s="1" t="s">
        <v>93</v>
      </c>
      <c r="X151" s="1" t="s">
        <v>600</v>
      </c>
      <c r="AB151" s="1" t="s">
        <v>601</v>
      </c>
      <c r="AE151" s="1" t="s">
        <v>172</v>
      </c>
      <c r="AF151" s="1"/>
    </row>
    <row r="152" spans="1:32" ht="17" customHeight="1" x14ac:dyDescent="0.2">
      <c r="A152" s="1" t="s">
        <v>602</v>
      </c>
      <c r="D152" s="1" t="s">
        <v>81</v>
      </c>
      <c r="E152" s="3" t="str">
        <f t="shared" si="78"/>
        <v>HerculanoHouzel</v>
      </c>
      <c r="F152" s="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2" s="3" t="str">
        <f t="shared" si="79"/>
        <v>2015</v>
      </c>
      <c r="H152" s="3" t="str">
        <f t="shared" si="80"/>
        <v>HerculanoHouzel__2015</v>
      </c>
      <c r="I152" s="3" t="str">
        <f t="shared" si="81"/>
        <v>10.1098%2Frspb.2015.1853</v>
      </c>
      <c r="J152" s="3" t="str">
        <f t="shared" si="82"/>
        <v>HerculanoHouzel__2015_Table1</v>
      </c>
      <c r="K152" s="3" t="str">
        <f t="shared" si="77"/>
        <v>10.1098%2Frspb.2015.1853_Table1</v>
      </c>
      <c r="L152" s="3" t="str">
        <f t="array" ref="L152">IFERROR(INDEX(AUTO_Public_TSV_FileList!$A$1:$A$1000,MATCH(TRUE(),EXACT(K152,IFERROR(_xlfn.TEXTBEFORE(AUTO_Public_TSV_FileList!$A$1:$A$1000,".tsv"),"")),0)),"notfound")</f>
        <v>10.1098%2Frspb.2015.1853_Table1.tsv</v>
      </c>
      <c r="N152" s="1" t="s">
        <v>35</v>
      </c>
      <c r="P152" s="8" t="s">
        <v>36</v>
      </c>
      <c r="W152" s="1" t="s">
        <v>131</v>
      </c>
      <c r="X152" s="1" t="s">
        <v>603</v>
      </c>
      <c r="AB152" s="1" t="s">
        <v>604</v>
      </c>
      <c r="AE152" s="1" t="s">
        <v>51</v>
      </c>
      <c r="AF152" s="1"/>
    </row>
    <row r="153" spans="1:32" ht="17" customHeight="1" x14ac:dyDescent="0.2">
      <c r="A153" s="1" t="s">
        <v>602</v>
      </c>
      <c r="D153" s="1" t="s">
        <v>70</v>
      </c>
      <c r="E153" s="3" t="str">
        <f t="shared" si="78"/>
        <v>HerculanoHouzel</v>
      </c>
      <c r="F153" s="3"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53" s="3" t="str">
        <f t="shared" si="79"/>
        <v>2015</v>
      </c>
      <c r="H153" s="3" t="str">
        <f t="shared" si="80"/>
        <v>HerculanoHouzel__2015</v>
      </c>
      <c r="I153" s="3" t="str">
        <f t="shared" si="81"/>
        <v>10.1098%2Frspb.2015.1853</v>
      </c>
      <c r="J153" s="3" t="str">
        <f t="shared" si="82"/>
        <v>HerculanoHouzel__2015_Table2</v>
      </c>
      <c r="K153" s="3" t="str">
        <f t="shared" si="77"/>
        <v>10.1098%2Frspb.2015.1853_Table2</v>
      </c>
      <c r="L153" s="3" t="str">
        <f t="array" ref="L153">IFERROR(INDEX(AUTO_Public_TSV_FileList!$A$1:$A$1000,MATCH(TRUE(),EXACT(K153,IFERROR(_xlfn.TEXTBEFORE(AUTO_Public_TSV_FileList!$A$1:$A$1000,".tsv"),"")),0)),"notfound")</f>
        <v>10.1098%2Frspb.2015.1853_Table2.tsv</v>
      </c>
      <c r="M153" s="1" t="s">
        <v>605</v>
      </c>
      <c r="N153" s="1" t="s">
        <v>35</v>
      </c>
      <c r="O153" s="1"/>
      <c r="P153" s="8" t="s">
        <v>36</v>
      </c>
      <c r="W153" s="1" t="s">
        <v>131</v>
      </c>
      <c r="X153" s="1" t="s">
        <v>606</v>
      </c>
      <c r="AB153" s="1" t="s">
        <v>607</v>
      </c>
      <c r="AE153" s="1" t="s">
        <v>51</v>
      </c>
      <c r="AF153" s="1"/>
    </row>
    <row r="154" spans="1:32" ht="17" customHeight="1" x14ac:dyDescent="0.2">
      <c r="A154" s="1" t="s">
        <v>608</v>
      </c>
      <c r="D154" s="1" t="s">
        <v>81</v>
      </c>
      <c r="E154" s="3" t="str">
        <f t="shared" si="78"/>
        <v>HerculanoHouzel</v>
      </c>
      <c r="F154" s="3"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3" t="str">
        <f t="shared" si="79"/>
        <v>2015</v>
      </c>
      <c r="H154" s="3" t="str">
        <f t="shared" si="80"/>
        <v>HerculanoHouzel_etal_2015</v>
      </c>
      <c r="I154" s="3" t="str">
        <f t="shared" si="81"/>
        <v>10.1159%2F000437413</v>
      </c>
      <c r="J154" s="3" t="str">
        <f t="shared" si="82"/>
        <v>HerculanoHouzel_etal_2015_Table1</v>
      </c>
      <c r="K154" s="3" t="str">
        <f t="shared" si="77"/>
        <v>10.1159%2F000437413_Table1</v>
      </c>
      <c r="L154" s="3" t="str">
        <f t="array" ref="L154">IFERROR(INDEX(AUTO_Public_TSV_FileList!$A$1:$A$1000,MATCH(TRUE(),EXACT(K154,IFERROR(_xlfn.TEXTBEFORE(AUTO_Public_TSV_FileList!$A$1:$A$1000,".tsv"),"")),0)),"notfound")</f>
        <v>10.1159%2F000437413_Table1.tsv</v>
      </c>
      <c r="M154" s="1" t="s">
        <v>609</v>
      </c>
      <c r="N154" s="1" t="s">
        <v>35</v>
      </c>
      <c r="O154" s="1"/>
      <c r="P154" s="1" t="s">
        <v>36</v>
      </c>
      <c r="Q154" s="1"/>
      <c r="R154" s="1" t="s">
        <v>536</v>
      </c>
      <c r="S154" s="1" t="s">
        <v>610</v>
      </c>
      <c r="W154" s="1" t="s">
        <v>611</v>
      </c>
      <c r="X154" s="1" t="s">
        <v>446</v>
      </c>
      <c r="AA154" s="1" t="s">
        <v>63</v>
      </c>
      <c r="AB154" s="1" t="s">
        <v>64</v>
      </c>
      <c r="AC154" s="1" t="s">
        <v>65</v>
      </c>
      <c r="AD154" s="1" t="s">
        <v>65</v>
      </c>
      <c r="AE154" s="1" t="s">
        <v>66</v>
      </c>
      <c r="AF154" s="1"/>
    </row>
    <row r="155" spans="1:32" ht="17" customHeight="1" x14ac:dyDescent="0.2">
      <c r="A155" s="1" t="s">
        <v>608</v>
      </c>
      <c r="D155" s="1" t="s">
        <v>70</v>
      </c>
      <c r="E155" s="3" t="str">
        <f t="shared" si="78"/>
        <v>HerculanoHouzel</v>
      </c>
      <c r="F155" s="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3" t="str">
        <f t="shared" si="79"/>
        <v>2015</v>
      </c>
      <c r="H155" s="3" t="str">
        <f t="shared" si="80"/>
        <v>HerculanoHouzel_etal_2015</v>
      </c>
      <c r="I155" s="3" t="str">
        <f t="shared" si="81"/>
        <v>10.1159%2F000437413</v>
      </c>
      <c r="J155" s="3" t="str">
        <f t="shared" si="82"/>
        <v>HerculanoHouzel_etal_2015_Table2</v>
      </c>
      <c r="K155" s="3" t="str">
        <f t="shared" si="77"/>
        <v>10.1159%2F000437413_Table2</v>
      </c>
      <c r="L155" s="3" t="str">
        <f t="array" ref="L155">IFERROR(INDEX(AUTO_Public_TSV_FileList!$A$1:$A$1000,MATCH(TRUE(),EXACT(K155,IFERROR(_xlfn.TEXTBEFORE(AUTO_Public_TSV_FileList!$A$1:$A$1000,".tsv"),"")),0)),"notfound")</f>
        <v>10.1159%2F000437413_Table2.tsv</v>
      </c>
      <c r="M155" s="1" t="s">
        <v>612</v>
      </c>
      <c r="N155" s="1" t="s">
        <v>35</v>
      </c>
      <c r="O155" s="1"/>
      <c r="P155" s="1" t="s">
        <v>36</v>
      </c>
      <c r="Q155" s="1"/>
      <c r="R155" s="1" t="s">
        <v>536</v>
      </c>
      <c r="W155" s="1" t="s">
        <v>611</v>
      </c>
      <c r="X155" s="1" t="s">
        <v>446</v>
      </c>
      <c r="AA155" s="1" t="s">
        <v>63</v>
      </c>
      <c r="AB155" s="1" t="s">
        <v>64</v>
      </c>
      <c r="AC155" s="1" t="s">
        <v>65</v>
      </c>
      <c r="AD155" s="1" t="s">
        <v>65</v>
      </c>
      <c r="AE155" s="1" t="s">
        <v>66</v>
      </c>
      <c r="AF155" s="1"/>
    </row>
    <row r="156" spans="1:32" ht="17" customHeight="1" x14ac:dyDescent="0.2">
      <c r="A156" s="1" t="s">
        <v>608</v>
      </c>
      <c r="D156" s="1" t="s">
        <v>72</v>
      </c>
      <c r="E156" s="3" t="str">
        <f t="shared" si="78"/>
        <v>HerculanoHouzel</v>
      </c>
      <c r="F156" s="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3" t="str">
        <f t="shared" si="79"/>
        <v>2015</v>
      </c>
      <c r="H156" s="3" t="str">
        <f t="shared" si="80"/>
        <v>HerculanoHouzel_etal_2015</v>
      </c>
      <c r="I156" s="3" t="str">
        <f t="shared" si="81"/>
        <v>10.1159%2F000437413</v>
      </c>
      <c r="J156" s="3" t="str">
        <f t="shared" si="82"/>
        <v>HerculanoHouzel_etal_2015_Table3</v>
      </c>
      <c r="K156" s="3" t="str">
        <f t="shared" si="77"/>
        <v>10.1159%2F000437413_Table3</v>
      </c>
      <c r="L156" s="3" t="str">
        <f t="array" ref="L156">IFERROR(INDEX(AUTO_Public_TSV_FileList!$A$1:$A$1000,MATCH(TRUE(),EXACT(K156,IFERROR(_xlfn.TEXTBEFORE(AUTO_Public_TSV_FileList!$A$1:$A$1000,".tsv"),"")),0)),"notfound")</f>
        <v>10.1159%2F000437413_Table3.tsv</v>
      </c>
      <c r="M156" s="1" t="s">
        <v>613</v>
      </c>
      <c r="N156" s="1" t="s">
        <v>35</v>
      </c>
      <c r="O156" s="1"/>
      <c r="P156" s="1" t="s">
        <v>36</v>
      </c>
      <c r="Q156" s="1"/>
      <c r="R156" s="1" t="s">
        <v>536</v>
      </c>
      <c r="W156" s="1" t="s">
        <v>611</v>
      </c>
      <c r="X156" s="1" t="s">
        <v>446</v>
      </c>
      <c r="AA156" s="1" t="s">
        <v>63</v>
      </c>
      <c r="AB156" s="1" t="s">
        <v>64</v>
      </c>
      <c r="AC156" s="1" t="s">
        <v>65</v>
      </c>
      <c r="AD156" s="1" t="s">
        <v>65</v>
      </c>
      <c r="AE156" s="1" t="s">
        <v>66</v>
      </c>
      <c r="AF156" s="1"/>
    </row>
    <row r="157" spans="1:32" ht="17" customHeight="1" x14ac:dyDescent="0.2">
      <c r="A157" s="1" t="s">
        <v>608</v>
      </c>
      <c r="D157" s="1" t="s">
        <v>34</v>
      </c>
      <c r="E157" s="3" t="str">
        <f t="shared" si="78"/>
        <v>HerculanoHouzel</v>
      </c>
      <c r="F157" s="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3" t="str">
        <f t="shared" si="79"/>
        <v>2015</v>
      </c>
      <c r="H157" s="3" t="str">
        <f t="shared" si="80"/>
        <v>HerculanoHouzel_etal_2015</v>
      </c>
      <c r="I157" s="3" t="str">
        <f t="shared" si="81"/>
        <v>10.1159%2F000437413</v>
      </c>
      <c r="J157" s="3" t="str">
        <f t="shared" si="82"/>
        <v>HerculanoHouzel_etal_2015_Table4</v>
      </c>
      <c r="K157" s="3" t="str">
        <f t="shared" si="77"/>
        <v>10.1159%2F000437413_Table4</v>
      </c>
      <c r="L157" s="3" t="str">
        <f t="array" ref="L157">IFERROR(INDEX(AUTO_Public_TSV_FileList!$A$1:$A$1000,MATCH(TRUE(),EXACT(K157,IFERROR(_xlfn.TEXTBEFORE(AUTO_Public_TSV_FileList!$A$1:$A$1000,".tsv"),"")),0)),"notfound")</f>
        <v>10.1159%2F000437413_Table4.tsv</v>
      </c>
      <c r="M157" s="1" t="s">
        <v>614</v>
      </c>
      <c r="N157" s="1" t="s">
        <v>35</v>
      </c>
      <c r="O157" s="1"/>
      <c r="P157" s="1" t="s">
        <v>36</v>
      </c>
      <c r="Q157" s="1"/>
      <c r="R157" s="1" t="s">
        <v>536</v>
      </c>
      <c r="W157" s="1" t="s">
        <v>611</v>
      </c>
      <c r="X157" s="1" t="s">
        <v>446</v>
      </c>
      <c r="AA157" s="1" t="s">
        <v>63</v>
      </c>
      <c r="AB157" s="1" t="s">
        <v>64</v>
      </c>
      <c r="AC157" s="1" t="s">
        <v>65</v>
      </c>
      <c r="AD157" s="1" t="s">
        <v>65</v>
      </c>
      <c r="AE157" s="1" t="s">
        <v>66</v>
      </c>
      <c r="AF157" s="1"/>
    </row>
    <row r="158" spans="1:32" ht="17" customHeight="1" x14ac:dyDescent="0.2">
      <c r="A158" s="1" t="s">
        <v>608</v>
      </c>
      <c r="D158" s="1" t="s">
        <v>74</v>
      </c>
      <c r="E158" s="3" t="str">
        <f t="shared" si="78"/>
        <v>HerculanoHouzel</v>
      </c>
      <c r="F158" s="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3" t="str">
        <f t="shared" si="79"/>
        <v>2015</v>
      </c>
      <c r="H158" s="3" t="str">
        <f t="shared" si="80"/>
        <v>HerculanoHouzel_etal_2015</v>
      </c>
      <c r="I158" s="3" t="str">
        <f t="shared" si="81"/>
        <v>10.1159%2F000437413</v>
      </c>
      <c r="J158" s="3" t="str">
        <f t="shared" si="82"/>
        <v>HerculanoHouzel_etal_2015_Table5</v>
      </c>
      <c r="K158" s="3" t="str">
        <f t="shared" si="77"/>
        <v>10.1159%2F000437413_Table5</v>
      </c>
      <c r="L158" s="3" t="str">
        <f t="array" ref="L158">IFERROR(INDEX(AUTO_Public_TSV_FileList!$A$1:$A$1000,MATCH(TRUE(),EXACT(K158,IFERROR(_xlfn.TEXTBEFORE(AUTO_Public_TSV_FileList!$A$1:$A$1000,".tsv"),"")),0)),"notfound")</f>
        <v>10.1159%2F000437413_Table5.tsv</v>
      </c>
      <c r="M158" s="1" t="s">
        <v>615</v>
      </c>
      <c r="N158" s="1" t="s">
        <v>35</v>
      </c>
      <c r="O158" s="1"/>
      <c r="P158" s="1" t="s">
        <v>36</v>
      </c>
      <c r="Q158" s="1"/>
      <c r="R158" s="1" t="s">
        <v>536</v>
      </c>
      <c r="W158" s="1" t="s">
        <v>611</v>
      </c>
      <c r="X158" s="1" t="s">
        <v>446</v>
      </c>
      <c r="AA158" s="1" t="s">
        <v>63</v>
      </c>
      <c r="AB158" s="1" t="s">
        <v>64</v>
      </c>
      <c r="AC158" s="1" t="s">
        <v>65</v>
      </c>
      <c r="AD158" s="1" t="s">
        <v>65</v>
      </c>
      <c r="AE158" s="1" t="s">
        <v>66</v>
      </c>
      <c r="AF158" s="1"/>
    </row>
    <row r="159" spans="1:32" ht="17" customHeight="1" x14ac:dyDescent="0.2">
      <c r="A159" s="1" t="s">
        <v>616</v>
      </c>
      <c r="D159" s="1" t="s">
        <v>58</v>
      </c>
      <c r="E159" s="3" t="str">
        <f t="shared" si="78"/>
        <v>HerculanoHouzel</v>
      </c>
      <c r="F159" s="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3" t="str">
        <f t="shared" si="79"/>
        <v>2020</v>
      </c>
      <c r="H159" s="3" t="str">
        <f t="shared" si="80"/>
        <v>HerculanoHouzel_etal_2020</v>
      </c>
      <c r="I159" s="3" t="str">
        <f t="shared" si="81"/>
        <v>10.1002%2Fcne.24985</v>
      </c>
      <c r="J159" s="3" t="str">
        <f t="shared" si="82"/>
        <v>HerculanoHouzel_etal_2020_TABLE1</v>
      </c>
      <c r="K159" s="3" t="str">
        <f t="shared" si="77"/>
        <v>10.1002%2Fcne.24985_TABLE1</v>
      </c>
      <c r="L159" s="3" t="str">
        <f t="array" ref="L159">IFERROR(INDEX(AUTO_Public_TSV_FileList!$A$1:$A$1000,MATCH(TRUE(),EXACT(K159,IFERROR(_xlfn.TEXTBEFORE(AUTO_Public_TSV_FileList!$A$1:$A$1000,".tsv"),"")),0)),"notfound")</f>
        <v>10.1002%2Fcne.24985_TABLE1.tsv</v>
      </c>
      <c r="M159" s="1" t="s">
        <v>617</v>
      </c>
      <c r="N159" s="1" t="s">
        <v>35</v>
      </c>
      <c r="O159" s="1"/>
      <c r="P159" s="1" t="s">
        <v>36</v>
      </c>
      <c r="Q159" s="1"/>
      <c r="R159" s="1" t="s">
        <v>618</v>
      </c>
      <c r="S159" s="1" t="s">
        <v>260</v>
      </c>
      <c r="W159" s="1" t="s">
        <v>619</v>
      </c>
      <c r="X159" s="1" t="s">
        <v>620</v>
      </c>
      <c r="AA159" s="1" t="s">
        <v>63</v>
      </c>
      <c r="AB159" s="1" t="s">
        <v>621</v>
      </c>
      <c r="AC159" s="1" t="s">
        <v>65</v>
      </c>
      <c r="AD159" s="1" t="s">
        <v>65</v>
      </c>
      <c r="AE159" s="1" t="s">
        <v>66</v>
      </c>
      <c r="AF159" s="1"/>
    </row>
    <row r="160" spans="1:32" ht="17" customHeight="1" x14ac:dyDescent="0.2">
      <c r="A160" s="1" t="s">
        <v>616</v>
      </c>
      <c r="D160" s="1" t="s">
        <v>103</v>
      </c>
      <c r="E160" s="3" t="str">
        <f t="shared" si="78"/>
        <v>HerculanoHouzel</v>
      </c>
      <c r="F160" s="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3" t="str">
        <f t="shared" si="79"/>
        <v>2020</v>
      </c>
      <c r="H160" s="3" t="str">
        <f t="shared" si="80"/>
        <v>HerculanoHouzel_etal_2020</v>
      </c>
      <c r="I160" s="3" t="str">
        <f t="shared" si="81"/>
        <v>10.1002%2Fcne.24985</v>
      </c>
      <c r="J160" s="3" t="str">
        <f t="shared" si="82"/>
        <v>HerculanoHouzel_etal_2020_TABLE2</v>
      </c>
      <c r="K160" s="3" t="str">
        <f t="shared" si="77"/>
        <v>10.1002%2Fcne.24985_TABLE2</v>
      </c>
      <c r="L160" s="3" t="str">
        <f t="array" ref="L160">IFERROR(INDEX(AUTO_Public_TSV_FileList!$A$1:$A$1000,MATCH(TRUE(),EXACT(K160,IFERROR(_xlfn.TEXTBEFORE(AUTO_Public_TSV_FileList!$A$1:$A$1000,".tsv"),"")),0)),"notfound")</f>
        <v>10.1002%2Fcne.24985_TABLE2.tsv</v>
      </c>
      <c r="M160" s="1" t="s">
        <v>622</v>
      </c>
      <c r="N160" s="1" t="s">
        <v>35</v>
      </c>
      <c r="O160" s="1"/>
      <c r="P160" s="1" t="s">
        <v>36</v>
      </c>
      <c r="Q160" s="1"/>
      <c r="R160" s="1" t="s">
        <v>618</v>
      </c>
      <c r="S160" s="1" t="s">
        <v>260</v>
      </c>
      <c r="W160" s="1" t="s">
        <v>619</v>
      </c>
      <c r="X160" s="1" t="s">
        <v>623</v>
      </c>
      <c r="AA160" s="1" t="s">
        <v>63</v>
      </c>
      <c r="AB160" s="1" t="s">
        <v>64</v>
      </c>
      <c r="AC160" s="1" t="s">
        <v>65</v>
      </c>
      <c r="AD160" s="1" t="s">
        <v>65</v>
      </c>
      <c r="AE160" s="1" t="s">
        <v>66</v>
      </c>
      <c r="AF160" s="1"/>
    </row>
    <row r="161" spans="1:33" ht="17" customHeight="1" x14ac:dyDescent="0.2">
      <c r="A161" s="8" t="s">
        <v>624</v>
      </c>
      <c r="D161" s="8" t="s">
        <v>70</v>
      </c>
      <c r="E161" s="10" t="str">
        <f t="shared" si="78"/>
        <v>HerculanoHouzel</v>
      </c>
      <c r="F161" s="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3" t="str">
        <f t="shared" si="79"/>
        <v>2016</v>
      </c>
      <c r="H161" s="10" t="str">
        <f t="shared" si="80"/>
        <v>HerculanoHouzel_etal_2016</v>
      </c>
      <c r="I161" s="10" t="str">
        <f>_xlfn.LET(_xlpm.doi,IF(C161&lt;&gt;"",C161,_xlfn.TEXTAFTER(A161,"https://doi.org/")),SUBSTITUTE(SUBSTITUTE(SUBSTITUTE(SUBSTITUTE(_xlpm.doi,"/","%2F"),":","%3A"),"&lt;","%3C"),"&gt;","%3E"))</f>
        <v>10.1002%2Fcne.23792</v>
      </c>
      <c r="J161" s="10" t="str">
        <f t="shared" si="82"/>
        <v>HerculanoHouzel_etal_2016_Table2</v>
      </c>
      <c r="K161" s="3" t="str">
        <f t="shared" si="77"/>
        <v>10.1002%2Fcne.23792_Table2</v>
      </c>
      <c r="L161" s="3" t="str">
        <f t="array" ref="L161">IFERROR(INDEX(AUTO_Public_TSV_FileList!$A$1:$A$1000,MATCH(TRUE(),EXACT(K161,IFERROR(_xlfn.TEXTBEFORE(AUTO_Public_TSV_FileList!$A$1:$A$1000,".tsv"),"")),0)),"notfound")</f>
        <v>10.1002%2Fcne.23792_Table2.tsv</v>
      </c>
      <c r="M161" s="8" t="s">
        <v>625</v>
      </c>
      <c r="N161" s="8" t="s">
        <v>35</v>
      </c>
      <c r="P161" s="8" t="s">
        <v>36</v>
      </c>
      <c r="W161" s="8" t="s">
        <v>93</v>
      </c>
      <c r="X161" s="8" t="s">
        <v>626</v>
      </c>
      <c r="Y161" s="8" t="s">
        <v>627</v>
      </c>
      <c r="Z161" s="8" t="s">
        <v>628</v>
      </c>
      <c r="AA161" s="8" t="s">
        <v>629</v>
      </c>
      <c r="AB161" s="8" t="s">
        <v>64</v>
      </c>
      <c r="AE161" s="8" t="s">
        <v>630</v>
      </c>
      <c r="AF161" s="8" t="s">
        <v>631</v>
      </c>
    </row>
    <row r="162" spans="1:33" ht="17" customHeight="1" x14ac:dyDescent="0.2">
      <c r="A162" s="1" t="s">
        <v>632</v>
      </c>
      <c r="D162" s="1" t="s">
        <v>633</v>
      </c>
      <c r="E162" s="3" t="str">
        <f t="shared" si="78"/>
        <v>HerculanoHouzel</v>
      </c>
      <c r="F162" s="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3" t="str">
        <f t="shared" si="79"/>
        <v>2013</v>
      </c>
      <c r="H162" s="3" t="str">
        <f t="shared" si="80"/>
        <v>HerculanoHouzel_etal_2013</v>
      </c>
      <c r="I162" s="3" t="str">
        <f t="shared" ref="I162:I179" si="83">_xlfn.LET(
_xlpm.doi,IF(C162&lt;&gt;"",C162,_xlfn.TEXTAFTER(A162,"https://doi.org/")),
SUBSTITUTE(
SUBSTITUTE(
SUBSTITUTE(
SUBSTITUTE(
_xlpm.doi,
"/","%2F"),
":","%3A"),
"&lt;","%3C"),
"&gt;","%3E")
)</f>
        <v>10.3389%2Ffnana.2013.00035</v>
      </c>
      <c r="J162" s="3" t="str">
        <f t="shared" si="82"/>
        <v>HerculanoHouzel_etal_2013_Figure2TopLeft</v>
      </c>
      <c r="K162" s="3" t="str">
        <f t="shared" si="77"/>
        <v>10.3389%2Ffnana.2013.00035_Figure2TopLeft</v>
      </c>
      <c r="L162" s="3" t="str">
        <f t="array" ref="L162">IFERROR(INDEX(AUTO_Public_TSV_FileList!$A$1:$A$1000,MATCH(TRUE(),EXACT(K162,IFERROR(_xlfn.TEXTBEFORE(AUTO_Public_TSV_FileList!$A$1:$A$1000,".tsv"),"")),0)),"notfound")</f>
        <v>10.3389%2Ffnana.2013.00035_Figure2TopLeft.tsv</v>
      </c>
      <c r="P162" s="1" t="s">
        <v>36</v>
      </c>
      <c r="W162" s="1" t="s">
        <v>131</v>
      </c>
      <c r="X162" s="1" t="s">
        <v>634</v>
      </c>
      <c r="AA162" s="1" t="s">
        <v>63</v>
      </c>
      <c r="AB162" s="1" t="s">
        <v>64</v>
      </c>
      <c r="AC162" s="1" t="s">
        <v>65</v>
      </c>
      <c r="AD162" s="1" t="s">
        <v>65</v>
      </c>
      <c r="AE162" s="1" t="s">
        <v>66</v>
      </c>
      <c r="AF162" s="1"/>
    </row>
    <row r="163" spans="1:33" ht="17" customHeight="1" x14ac:dyDescent="0.2">
      <c r="A163" s="1" t="s">
        <v>632</v>
      </c>
      <c r="D163" s="1" t="s">
        <v>635</v>
      </c>
      <c r="E163" s="3" t="str">
        <f t="shared" si="78"/>
        <v>HerculanoHouzel</v>
      </c>
      <c r="F163" s="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3" t="str">
        <f t="shared" si="79"/>
        <v>2013</v>
      </c>
      <c r="H163" s="3" t="str">
        <f t="shared" si="80"/>
        <v>HerculanoHouzel_etal_2013</v>
      </c>
      <c r="I163" s="3" t="str">
        <f t="shared" si="83"/>
        <v>10.3389%2Ffnana.2013.00035</v>
      </c>
      <c r="J163" s="3" t="str">
        <f t="shared" si="82"/>
        <v>HerculanoHouzel_etal_2013_Table1-a</v>
      </c>
      <c r="K163" s="3" t="str">
        <f t="shared" si="77"/>
        <v>10.3389%2Ffnana.2013.00035_Table1-a</v>
      </c>
      <c r="L163" s="3" t="str">
        <f t="array" ref="L163">IFERROR(INDEX(AUTO_Public_TSV_FileList!$A$1:$A$1000,MATCH(TRUE(),EXACT(K163,IFERROR(_xlfn.TEXTBEFORE(AUTO_Public_TSV_FileList!$A$1:$A$1000,".tsv"),"")),0)),"notfound")</f>
        <v>10.3389%2Ffnana.2013.00035_Table1-a.tsv</v>
      </c>
      <c r="N163" s="1" t="s">
        <v>35</v>
      </c>
      <c r="P163" s="1" t="s">
        <v>36</v>
      </c>
      <c r="W163" s="1" t="s">
        <v>131</v>
      </c>
      <c r="X163" s="1" t="s">
        <v>634</v>
      </c>
      <c r="AA163" s="1" t="s">
        <v>63</v>
      </c>
      <c r="AB163" s="1" t="s">
        <v>64</v>
      </c>
      <c r="AC163" s="1" t="s">
        <v>65</v>
      </c>
      <c r="AD163" s="1" t="s">
        <v>65</v>
      </c>
      <c r="AE163" s="1" t="s">
        <v>66</v>
      </c>
      <c r="AF163" s="1"/>
    </row>
    <row r="164" spans="1:33" ht="17" customHeight="1" x14ac:dyDescent="0.2">
      <c r="A164" s="1" t="s">
        <v>632</v>
      </c>
      <c r="D164" s="1" t="s">
        <v>636</v>
      </c>
      <c r="E164" s="3" t="str">
        <f t="shared" si="78"/>
        <v>HerculanoHouzel</v>
      </c>
      <c r="F164" s="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3" t="str">
        <f t="shared" si="79"/>
        <v>2013</v>
      </c>
      <c r="H164" s="3" t="str">
        <f t="shared" si="80"/>
        <v>HerculanoHouzel_etal_2013</v>
      </c>
      <c r="I164" s="3" t="str">
        <f t="shared" si="83"/>
        <v>10.3389%2Ffnana.2013.00035</v>
      </c>
      <c r="J164" s="3" t="str">
        <f t="shared" si="82"/>
        <v>HerculanoHouzel_etal_2013_Table1-b</v>
      </c>
      <c r="K164" s="3" t="str">
        <f t="shared" si="77"/>
        <v>10.3389%2Ffnana.2013.00035_Table1-b</v>
      </c>
      <c r="L164" s="3" t="str">
        <f t="array" ref="L164">IFERROR(INDEX(AUTO_Public_TSV_FileList!$A$1:$A$1000,MATCH(TRUE(),EXACT(K164,IFERROR(_xlfn.TEXTBEFORE(AUTO_Public_TSV_FileList!$A$1:$A$1000,".tsv"),"")),0)),"notfound")</f>
        <v>10.3389%2Ffnana.2013.00035_Table1-b.tsv</v>
      </c>
      <c r="N164" s="1" t="s">
        <v>35</v>
      </c>
      <c r="P164" s="1" t="s">
        <v>36</v>
      </c>
      <c r="W164" s="1" t="s">
        <v>131</v>
      </c>
      <c r="X164" s="1" t="s">
        <v>634</v>
      </c>
      <c r="AA164" s="1" t="s">
        <v>63</v>
      </c>
      <c r="AB164" s="1" t="s">
        <v>64</v>
      </c>
      <c r="AC164" s="1" t="s">
        <v>65</v>
      </c>
      <c r="AD164" s="1" t="s">
        <v>65</v>
      </c>
      <c r="AE164" s="1" t="s">
        <v>66</v>
      </c>
      <c r="AF164" s="1"/>
    </row>
    <row r="165" spans="1:33" ht="17" customHeight="1" x14ac:dyDescent="0.2">
      <c r="A165" s="1" t="s">
        <v>637</v>
      </c>
      <c r="D165" s="1" t="s">
        <v>638</v>
      </c>
      <c r="E165" s="3" t="str">
        <f t="shared" si="78"/>
        <v>Heuer</v>
      </c>
      <c r="F165" s="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3" t="str">
        <f t="shared" si="79"/>
        <v>2019</v>
      </c>
      <c r="H165" s="3" t="str">
        <f t="shared" si="80"/>
        <v>Heuer_etal_2019</v>
      </c>
      <c r="I165" s="3" t="str">
        <f t="shared" si="83"/>
        <v>10.1016%2Fj.cortex.2019.04.011</v>
      </c>
      <c r="J165" s="3" t="str">
        <f t="shared" si="82"/>
        <v>Heuer_etal_2019_S1</v>
      </c>
      <c r="K165" s="3" t="str">
        <f t="shared" si="77"/>
        <v>10.1016%2Fj.cortex.2019.04.011_S1</v>
      </c>
      <c r="L165" s="3" t="str">
        <f t="array" ref="L165">IFERROR(INDEX(AUTO_Public_TSV_FileList!$A$1:$A$1000,MATCH(TRUE(),EXACT(K165,IFERROR(_xlfn.TEXTBEFORE(AUTO_Public_TSV_FileList!$A$1:$A$1000,".tsv"),"")),0)),"notfound")</f>
        <v>10.1016%2Fj.cortex.2019.04.011_S1.tsv</v>
      </c>
      <c r="N165" s="1" t="s">
        <v>35</v>
      </c>
      <c r="P165" s="1" t="s">
        <v>36</v>
      </c>
      <c r="Q165" s="1" t="s">
        <v>639</v>
      </c>
      <c r="W165" s="1" t="s">
        <v>93</v>
      </c>
      <c r="X165" s="1" t="s">
        <v>640</v>
      </c>
      <c r="AB165" s="1" t="s">
        <v>641</v>
      </c>
      <c r="AC165" s="1" t="s">
        <v>642</v>
      </c>
      <c r="AE165" s="1" t="s">
        <v>172</v>
      </c>
      <c r="AF165" s="1"/>
      <c r="AG165" s="1" t="s">
        <v>643</v>
      </c>
    </row>
    <row r="166" spans="1:33" ht="17" customHeight="1" x14ac:dyDescent="0.2">
      <c r="A166" s="1" t="s">
        <v>637</v>
      </c>
      <c r="D166" s="1" t="s">
        <v>81</v>
      </c>
      <c r="E166" s="3" t="str">
        <f t="shared" si="78"/>
        <v>Heuer</v>
      </c>
      <c r="F166" s="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3" t="str">
        <f t="shared" si="79"/>
        <v>2019</v>
      </c>
      <c r="H166" s="3" t="str">
        <f t="shared" si="80"/>
        <v>Heuer_etal_2019</v>
      </c>
      <c r="I166" s="3" t="str">
        <f t="shared" si="83"/>
        <v>10.1016%2Fj.cortex.2019.04.011</v>
      </c>
      <c r="J166" s="3" t="str">
        <f t="shared" si="82"/>
        <v>Heuer_etal_2019_Table1</v>
      </c>
      <c r="K166" s="3" t="str">
        <f t="shared" si="77"/>
        <v>10.1016%2Fj.cortex.2019.04.011_Table1</v>
      </c>
      <c r="L166" s="3" t="str">
        <f t="array" ref="L166">IFERROR(INDEX(AUTO_Public_TSV_FileList!$A$1:$A$1000,MATCH(TRUE(),EXACT(K166,IFERROR(_xlfn.TEXTBEFORE(AUTO_Public_TSV_FileList!$A$1:$A$1000,".tsv"),"")),0)),"notfound")</f>
        <v>10.1016%2Fj.cortex.2019.04.011_Table1.tsv</v>
      </c>
      <c r="N166" s="1" t="s">
        <v>35</v>
      </c>
      <c r="P166" s="1" t="s">
        <v>36</v>
      </c>
      <c r="Q166" s="1"/>
      <c r="W166" s="1" t="s">
        <v>93</v>
      </c>
      <c r="X166" s="1" t="s">
        <v>644</v>
      </c>
      <c r="AA166" s="1"/>
      <c r="AB166" s="1"/>
      <c r="AC166" s="1" t="s">
        <v>642</v>
      </c>
      <c r="AD166" s="1"/>
      <c r="AE166" s="1" t="s">
        <v>172</v>
      </c>
      <c r="AF166" s="1"/>
      <c r="AG166" s="1" t="s">
        <v>645</v>
      </c>
    </row>
    <row r="167" spans="1:33" ht="17" customHeight="1" x14ac:dyDescent="0.2">
      <c r="A167" s="1" t="s">
        <v>646</v>
      </c>
      <c r="D167" s="1" t="s">
        <v>647</v>
      </c>
      <c r="E167" s="3" t="str">
        <f t="shared" si="78"/>
        <v>Heuer</v>
      </c>
      <c r="F167" s="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3" t="str">
        <f t="shared" si="79"/>
        <v>2023</v>
      </c>
      <c r="H167" s="3" t="str">
        <f t="shared" si="80"/>
        <v>Heuer_etal_2023</v>
      </c>
      <c r="I167" s="3" t="str">
        <f t="shared" si="83"/>
        <v>10.7554%2FeLife.85907</v>
      </c>
      <c r="J167" s="3" t="str">
        <f t="shared" si="82"/>
        <v>Heuer_etal_2023_Data</v>
      </c>
      <c r="K167" s="3" t="str">
        <f t="shared" si="77"/>
        <v>10.7554%2FeLife.85907_Data</v>
      </c>
      <c r="L167" s="3" t="str">
        <f t="array" ref="L167">IFERROR(INDEX(AUTO_Public_TSV_FileList!$A$1:$A$1000,MATCH(TRUE(),EXACT(K167,IFERROR(_xlfn.TEXTBEFORE(AUTO_Public_TSV_FileList!$A$1:$A$1000,".tsv"),"")),0)),"notfound")</f>
        <v>10.7554%2FeLife.85907_Data.tsv</v>
      </c>
      <c r="N167" s="1" t="s">
        <v>35</v>
      </c>
      <c r="O167" s="1" t="s">
        <v>648</v>
      </c>
      <c r="P167" s="1" t="s">
        <v>36</v>
      </c>
      <c r="Q167" s="1" t="s">
        <v>649</v>
      </c>
      <c r="R167" s="1" t="s">
        <v>650</v>
      </c>
      <c r="V167" s="1" t="s">
        <v>651</v>
      </c>
      <c r="W167" s="1" t="s">
        <v>131</v>
      </c>
      <c r="X167" s="1" t="s">
        <v>652</v>
      </c>
      <c r="Y167" s="1" t="s">
        <v>653</v>
      </c>
      <c r="Z167" s="1"/>
      <c r="AA167" s="1" t="s">
        <v>654</v>
      </c>
      <c r="AB167" s="1" t="s">
        <v>655</v>
      </c>
      <c r="AC167" s="1" t="s">
        <v>642</v>
      </c>
      <c r="AE167" s="1" t="s">
        <v>66</v>
      </c>
      <c r="AF167" s="1"/>
      <c r="AG167" s="1" t="s">
        <v>656</v>
      </c>
    </row>
    <row r="168" spans="1:33" ht="17" customHeight="1" x14ac:dyDescent="0.2">
      <c r="A168" s="1" t="s">
        <v>657</v>
      </c>
      <c r="D168" s="1" t="s">
        <v>70</v>
      </c>
      <c r="E168" s="3" t="str">
        <f t="shared" si="78"/>
        <v>Isler</v>
      </c>
      <c r="F168" s="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3" t="str">
        <f t="shared" si="79"/>
        <v>2008</v>
      </c>
      <c r="H168" s="3" t="str">
        <f t="shared" si="80"/>
        <v>Isler_etal_2008</v>
      </c>
      <c r="I168" s="3" t="str">
        <f t="shared" si="83"/>
        <v>10.1016%2Fj.jhevol.2008.08.004</v>
      </c>
      <c r="J168" s="3" t="str">
        <f t="shared" si="82"/>
        <v>Isler_etal_2008_Table2</v>
      </c>
      <c r="K168" s="3" t="str">
        <f t="shared" si="77"/>
        <v>10.1016%2Fj.jhevol.2008.08.004_Table2</v>
      </c>
      <c r="L168" s="3" t="str">
        <f t="array" ref="L168">IFERROR(INDEX(AUTO_Public_TSV_FileList!$A$1:$A$1000,MATCH(TRUE(),EXACT(K168,IFERROR(_xlfn.TEXTBEFORE(AUTO_Public_TSV_FileList!$A$1:$A$1000,".tsv"),"")),0)),"notfound")</f>
        <v>10.1016%2Fj.jhevol.2008.08.004_Table2.tsv</v>
      </c>
      <c r="N168" s="1" t="s">
        <v>35</v>
      </c>
      <c r="P168" s="1" t="s">
        <v>36</v>
      </c>
      <c r="W168" s="1" t="s">
        <v>93</v>
      </c>
      <c r="X168" s="1" t="s">
        <v>658</v>
      </c>
      <c r="AB168" s="1" t="s">
        <v>659</v>
      </c>
      <c r="AE168" s="1" t="s">
        <v>172</v>
      </c>
      <c r="AF168" s="1"/>
    </row>
    <row r="169" spans="1:33" ht="17" customHeight="1" x14ac:dyDescent="0.2">
      <c r="A169" s="1" t="s">
        <v>657</v>
      </c>
      <c r="D169" s="1" t="s">
        <v>660</v>
      </c>
      <c r="E169" s="3" t="str">
        <f t="shared" si="78"/>
        <v>Isler</v>
      </c>
      <c r="F169" s="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3" t="str">
        <f t="shared" si="79"/>
        <v>2008</v>
      </c>
      <c r="H169" s="3" t="str">
        <f t="shared" si="80"/>
        <v>Isler_etal_2008</v>
      </c>
      <c r="I169" s="3" t="str">
        <f t="shared" si="83"/>
        <v>10.1016%2Fj.jhevol.2008.08.004</v>
      </c>
      <c r="J169" s="3" t="str">
        <f t="shared" si="82"/>
        <v>Isler_etal_2008_Table7</v>
      </c>
      <c r="K169" s="3" t="str">
        <f t="shared" si="77"/>
        <v>10.1016%2Fj.jhevol.2008.08.004_Table7</v>
      </c>
      <c r="L169" s="3" t="str">
        <f t="array" ref="L169">IFERROR(INDEX(AUTO_Public_TSV_FileList!$A$1:$A$1000,MATCH(TRUE(),EXACT(K169,IFERROR(_xlfn.TEXTBEFORE(AUTO_Public_TSV_FileList!$A$1:$A$1000,".tsv"),"")),0)),"notfound")</f>
        <v>10.1016%2Fj.jhevol.2008.08.004_Table7.tsv</v>
      </c>
      <c r="N169" s="1" t="s">
        <v>35</v>
      </c>
      <c r="P169" s="1" t="s">
        <v>36</v>
      </c>
      <c r="W169" s="1" t="s">
        <v>93</v>
      </c>
      <c r="X169" s="1" t="s">
        <v>658</v>
      </c>
      <c r="AB169" s="1" t="s">
        <v>659</v>
      </c>
      <c r="AE169" s="1" t="s">
        <v>172</v>
      </c>
      <c r="AF169" s="1"/>
    </row>
    <row r="170" spans="1:33" ht="17" customHeight="1" x14ac:dyDescent="0.2">
      <c r="A170" s="1" t="s">
        <v>657</v>
      </c>
      <c r="D170" s="1" t="s">
        <v>314</v>
      </c>
      <c r="E170" s="3" t="str">
        <f t="shared" si="78"/>
        <v>Isler</v>
      </c>
      <c r="F170" s="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3" t="str">
        <f t="shared" si="79"/>
        <v>2008</v>
      </c>
      <c r="H170" s="3" t="str">
        <f t="shared" si="80"/>
        <v>Isler_etal_2008</v>
      </c>
      <c r="I170" s="3" t="str">
        <f t="shared" si="83"/>
        <v>10.1016%2Fj.jhevol.2008.08.004</v>
      </c>
      <c r="J170" s="3" t="str">
        <f t="shared" si="82"/>
        <v>Isler_etal_2008_TableS1</v>
      </c>
      <c r="K170" s="3" t="str">
        <f t="shared" si="77"/>
        <v>10.1016%2Fj.jhevol.2008.08.004_TableS1</v>
      </c>
      <c r="L170" s="3" t="str">
        <f t="array" ref="L170">IFERROR(INDEX(AUTO_Public_TSV_FileList!$A$1:$A$1000,MATCH(TRUE(),EXACT(K170,IFERROR(_xlfn.TEXTBEFORE(AUTO_Public_TSV_FileList!$A$1:$A$1000,".tsv"),"")),0)),"notfound")</f>
        <v>10.1016%2Fj.jhevol.2008.08.004_TableS1.tsv</v>
      </c>
      <c r="N170" s="1" t="s">
        <v>35</v>
      </c>
      <c r="P170" s="1" t="s">
        <v>36</v>
      </c>
      <c r="W170" s="1" t="s">
        <v>93</v>
      </c>
      <c r="X170" s="1" t="s">
        <v>658</v>
      </c>
      <c r="AB170" s="1" t="s">
        <v>659</v>
      </c>
      <c r="AE170" s="1" t="s">
        <v>172</v>
      </c>
      <c r="AF170" s="1"/>
    </row>
    <row r="171" spans="1:33" ht="17" customHeight="1" x14ac:dyDescent="0.2">
      <c r="A171" s="1" t="s">
        <v>657</v>
      </c>
      <c r="D171" s="1" t="s">
        <v>530</v>
      </c>
      <c r="E171" s="3" t="str">
        <f t="shared" si="78"/>
        <v>Isler</v>
      </c>
      <c r="F171" s="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3" t="str">
        <f t="shared" si="79"/>
        <v>2008</v>
      </c>
      <c r="H171" s="3" t="str">
        <f t="shared" si="80"/>
        <v>Isler_etal_2008</v>
      </c>
      <c r="I171" s="3" t="str">
        <f t="shared" si="83"/>
        <v>10.1016%2Fj.jhevol.2008.08.004</v>
      </c>
      <c r="J171" s="3" t="str">
        <f t="shared" si="82"/>
        <v>Isler_etal_2008_TableS2</v>
      </c>
      <c r="K171" s="3" t="str">
        <f t="shared" si="77"/>
        <v>10.1016%2Fj.jhevol.2008.08.004_TableS2</v>
      </c>
      <c r="L171" s="3" t="str">
        <f t="array" ref="L171">IFERROR(INDEX(AUTO_Public_TSV_FileList!$A$1:$A$1000,MATCH(TRUE(),EXACT(K171,IFERROR(_xlfn.TEXTBEFORE(AUTO_Public_TSV_FileList!$A$1:$A$1000,".tsv"),"")),0)),"notfound")</f>
        <v>10.1016%2Fj.jhevol.2008.08.004_TableS2.tsv</v>
      </c>
      <c r="N171" s="1" t="s">
        <v>35</v>
      </c>
      <c r="P171" s="1" t="s">
        <v>36</v>
      </c>
      <c r="W171" s="1" t="s">
        <v>93</v>
      </c>
      <c r="X171" s="1" t="s">
        <v>658</v>
      </c>
      <c r="AB171" s="1" t="s">
        <v>659</v>
      </c>
      <c r="AE171" s="1" t="s">
        <v>172</v>
      </c>
      <c r="AF171" s="1"/>
    </row>
    <row r="172" spans="1:33" ht="17" customHeight="1" x14ac:dyDescent="0.2">
      <c r="A172" s="1" t="s">
        <v>657</v>
      </c>
      <c r="D172" s="1" t="s">
        <v>661</v>
      </c>
      <c r="E172" s="3" t="str">
        <f t="shared" si="78"/>
        <v>Isler</v>
      </c>
      <c r="F172" s="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3" t="str">
        <f t="shared" si="79"/>
        <v>2008</v>
      </c>
      <c r="H172" s="3" t="str">
        <f t="shared" si="80"/>
        <v>Isler_etal_2008</v>
      </c>
      <c r="I172" s="3" t="str">
        <f t="shared" si="83"/>
        <v>10.1016%2Fj.jhevol.2008.08.004</v>
      </c>
      <c r="J172" s="3" t="str">
        <f t="shared" si="82"/>
        <v>Isler_etal_2008_TableS3</v>
      </c>
      <c r="K172" s="3" t="str">
        <f t="shared" si="77"/>
        <v>10.1016%2Fj.jhevol.2008.08.004_TableS3</v>
      </c>
      <c r="L172" s="3" t="str">
        <f t="array" ref="L172">IFERROR(INDEX(AUTO_Public_TSV_FileList!$A$1:$A$1000,MATCH(TRUE(),EXACT(K172,IFERROR(_xlfn.TEXTBEFORE(AUTO_Public_TSV_FileList!$A$1:$A$1000,".tsv"),"")),0)),"notfound")</f>
        <v>10.1016%2Fj.jhevol.2008.08.004_TableS3.tsv</v>
      </c>
      <c r="N172" s="1" t="s">
        <v>35</v>
      </c>
      <c r="P172" s="1" t="s">
        <v>36</v>
      </c>
      <c r="W172" s="1" t="s">
        <v>93</v>
      </c>
      <c r="X172" s="1" t="s">
        <v>658</v>
      </c>
      <c r="AB172" s="1" t="s">
        <v>659</v>
      </c>
      <c r="AE172" s="1" t="s">
        <v>172</v>
      </c>
      <c r="AF172" s="1"/>
    </row>
    <row r="173" spans="1:33" ht="17" customHeight="1" x14ac:dyDescent="0.2">
      <c r="A173" s="1" t="s">
        <v>657</v>
      </c>
      <c r="D173" s="1" t="s">
        <v>662</v>
      </c>
      <c r="E173" s="3" t="str">
        <f t="shared" si="78"/>
        <v>Isler</v>
      </c>
      <c r="F173" s="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3" t="str">
        <f t="shared" si="79"/>
        <v>2008</v>
      </c>
      <c r="H173" s="3" t="str">
        <f t="shared" si="80"/>
        <v>Isler_etal_2008</v>
      </c>
      <c r="I173" s="3" t="str">
        <f t="shared" si="83"/>
        <v>10.1016%2Fj.jhevol.2008.08.004</v>
      </c>
      <c r="J173" s="3" t="str">
        <f t="shared" si="82"/>
        <v>Isler_etal_2008_Tree.nex</v>
      </c>
      <c r="K173" s="3" t="str">
        <f t="shared" si="77"/>
        <v>10.1016%2Fj.jhevol.2008.08.004_Tree.nex</v>
      </c>
      <c r="L173" s="3" t="str">
        <f t="array" ref="L173">IFERROR(INDEX(AUTO_Public_TSV_FileList!$A$1:$A$1000,MATCH(TRUE(),EXACT(K173,IFERROR(_xlfn.TEXTBEFORE(AUTO_Public_TSV_FileList!$A$1:$A$1000,".tsv"),"")),0)),"notfound")</f>
        <v>notfound</v>
      </c>
      <c r="N173" s="1" t="s">
        <v>663</v>
      </c>
      <c r="W173" s="1" t="s">
        <v>93</v>
      </c>
      <c r="X173" s="1" t="s">
        <v>664</v>
      </c>
      <c r="AB173" s="1" t="s">
        <v>665</v>
      </c>
      <c r="AE173" s="1" t="s">
        <v>172</v>
      </c>
      <c r="AF173" s="1"/>
    </row>
    <row r="174" spans="1:33" ht="17" customHeight="1" x14ac:dyDescent="0.2">
      <c r="A174" s="1" t="s">
        <v>666</v>
      </c>
      <c r="D174" s="1" t="s">
        <v>81</v>
      </c>
      <c r="E174" s="3" t="str">
        <f t="shared" si="78"/>
        <v>Iwaniuk</v>
      </c>
      <c r="F174" s="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3" t="str">
        <f t="shared" si="79"/>
        <v>2001</v>
      </c>
      <c r="H174" s="3" t="str">
        <f t="shared" si="80"/>
        <v>Iwaniuk_etal_2001</v>
      </c>
      <c r="I174" s="3" t="str">
        <f t="shared" si="83"/>
        <v>10.1037%2F0735-7036.115.1.29</v>
      </c>
      <c r="J174" s="3" t="str">
        <f t="shared" si="82"/>
        <v>Iwaniuk_etal_2001_Table1</v>
      </c>
      <c r="K174" s="3" t="str">
        <f t="shared" si="77"/>
        <v>10.1037%2F0735-7036.115.1.29_Table1</v>
      </c>
      <c r="L174" s="3" t="str">
        <f t="array" ref="L174">IFERROR(INDEX(AUTO_Public_TSV_FileList!$A$1:$A$1000,MATCH(TRUE(),EXACT(K174,IFERROR(_xlfn.TEXTBEFORE(AUTO_Public_TSV_FileList!$A$1:$A$1000,".tsv"),"")),0)),"notfound")</f>
        <v>10.1037%2F0735-7036.115.1.29_Table1.tsv</v>
      </c>
      <c r="M174" s="1" t="s">
        <v>667</v>
      </c>
      <c r="N174" s="1" t="s">
        <v>35</v>
      </c>
      <c r="P174" s="1" t="s">
        <v>36</v>
      </c>
      <c r="V174" s="1"/>
      <c r="W174" s="1" t="s">
        <v>131</v>
      </c>
      <c r="X174" s="1" t="s">
        <v>668</v>
      </c>
      <c r="AB174" s="1" t="s">
        <v>669</v>
      </c>
      <c r="AE174" s="1" t="s">
        <v>172</v>
      </c>
      <c r="AF174" s="1"/>
    </row>
    <row r="175" spans="1:33" ht="17" customHeight="1" x14ac:dyDescent="0.2">
      <c r="A175" s="1" t="s">
        <v>666</v>
      </c>
      <c r="D175" s="1" t="s">
        <v>70</v>
      </c>
      <c r="E175" s="3" t="str">
        <f t="shared" si="78"/>
        <v>Iwaniuk</v>
      </c>
      <c r="F175" s="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3" t="str">
        <f t="shared" si="79"/>
        <v>2001</v>
      </c>
      <c r="H175" s="3" t="str">
        <f t="shared" si="80"/>
        <v>Iwaniuk_etal_2001</v>
      </c>
      <c r="I175" s="3" t="str">
        <f t="shared" si="83"/>
        <v>10.1037%2F0735-7036.115.1.29</v>
      </c>
      <c r="J175" s="3" t="str">
        <f t="shared" si="82"/>
        <v>Iwaniuk_etal_2001_Table2</v>
      </c>
      <c r="K175" s="3" t="str">
        <f t="shared" si="77"/>
        <v>10.1037%2F0735-7036.115.1.29_Table2</v>
      </c>
      <c r="L175" s="3" t="str">
        <f t="array" ref="L175">IFERROR(INDEX(AUTO_Public_TSV_FileList!$A$1:$A$1000,MATCH(TRUE(),EXACT(K175,IFERROR(_xlfn.TEXTBEFORE(AUTO_Public_TSV_FileList!$A$1:$A$1000,".tsv"),"")),0)),"notfound")</f>
        <v>10.1037%2F0735-7036.115.1.29_Table2.tsv</v>
      </c>
      <c r="M175" s="1" t="s">
        <v>670</v>
      </c>
      <c r="N175" s="1" t="s">
        <v>35</v>
      </c>
      <c r="P175" s="1" t="s">
        <v>36</v>
      </c>
      <c r="V175" s="1"/>
      <c r="W175" s="1" t="s">
        <v>131</v>
      </c>
      <c r="X175" s="1" t="s">
        <v>668</v>
      </c>
      <c r="AB175" s="1" t="s">
        <v>669</v>
      </c>
      <c r="AE175" s="1" t="s">
        <v>172</v>
      </c>
      <c r="AF175" s="1"/>
    </row>
    <row r="176" spans="1:33" ht="17" customHeight="1" x14ac:dyDescent="0.2">
      <c r="A176" s="1" t="s">
        <v>666</v>
      </c>
      <c r="D176" s="1" t="s">
        <v>72</v>
      </c>
      <c r="E176" s="3" t="str">
        <f t="shared" si="78"/>
        <v>Iwaniuk</v>
      </c>
      <c r="F176" s="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3" t="str">
        <f t="shared" si="79"/>
        <v>2001</v>
      </c>
      <c r="H176" s="3" t="str">
        <f t="shared" si="80"/>
        <v>Iwaniuk_etal_2001</v>
      </c>
      <c r="I176" s="3" t="str">
        <f t="shared" si="83"/>
        <v>10.1037%2F0735-7036.115.1.29</v>
      </c>
      <c r="J176" s="3" t="str">
        <f t="shared" si="82"/>
        <v>Iwaniuk_etal_2001_Table3</v>
      </c>
      <c r="K176" s="3" t="str">
        <f t="shared" si="77"/>
        <v>10.1037%2F0735-7036.115.1.29_Table3</v>
      </c>
      <c r="L176" s="3" t="str">
        <f t="array" ref="L176">IFERROR(INDEX(AUTO_Public_TSV_FileList!$A$1:$A$1000,MATCH(TRUE(),EXACT(K176,IFERROR(_xlfn.TEXTBEFORE(AUTO_Public_TSV_FileList!$A$1:$A$1000,".tsv"),"")),0)),"notfound")</f>
        <v>10.1037%2F0735-7036.115.1.29_Table3.tsv</v>
      </c>
      <c r="M176" s="1" t="s">
        <v>671</v>
      </c>
      <c r="N176" s="1" t="s">
        <v>35</v>
      </c>
      <c r="P176" s="1" t="s">
        <v>36</v>
      </c>
      <c r="V176" s="1"/>
      <c r="W176" s="1" t="s">
        <v>131</v>
      </c>
      <c r="X176" s="1" t="s">
        <v>668</v>
      </c>
      <c r="AB176" s="1" t="s">
        <v>669</v>
      </c>
      <c r="AE176" s="1" t="s">
        <v>172</v>
      </c>
      <c r="AF176" s="1"/>
    </row>
    <row r="177" spans="1:33" ht="17" customHeight="1" x14ac:dyDescent="0.2">
      <c r="A177" s="1" t="s">
        <v>666</v>
      </c>
      <c r="D177" s="1" t="s">
        <v>34</v>
      </c>
      <c r="E177" s="3" t="str">
        <f t="shared" si="78"/>
        <v>Iwaniuk</v>
      </c>
      <c r="F177" s="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3" t="str">
        <f t="shared" si="79"/>
        <v>2001</v>
      </c>
      <c r="H177" s="3" t="str">
        <f t="shared" si="80"/>
        <v>Iwaniuk_etal_2001</v>
      </c>
      <c r="I177" s="3" t="str">
        <f t="shared" si="83"/>
        <v>10.1037%2F0735-7036.115.1.29</v>
      </c>
      <c r="J177" s="3" t="str">
        <f t="shared" si="82"/>
        <v>Iwaniuk_etal_2001_Table4</v>
      </c>
      <c r="K177" s="3" t="str">
        <f t="shared" si="77"/>
        <v>10.1037%2F0735-7036.115.1.29_Table4</v>
      </c>
      <c r="L177" s="3" t="str">
        <f t="array" ref="L177">IFERROR(INDEX(AUTO_Public_TSV_FileList!$A$1:$A$1000,MATCH(TRUE(),EXACT(K177,IFERROR(_xlfn.TEXTBEFORE(AUTO_Public_TSV_FileList!$A$1:$A$1000,".tsv"),"")),0)),"notfound")</f>
        <v>10.1037%2F0735-7036.115.1.29_Table4.tsv</v>
      </c>
      <c r="M177" s="1" t="s">
        <v>672</v>
      </c>
      <c r="N177" s="1" t="s">
        <v>35</v>
      </c>
      <c r="P177" s="1" t="s">
        <v>36</v>
      </c>
      <c r="V177" s="1"/>
      <c r="W177" s="1" t="s">
        <v>131</v>
      </c>
      <c r="X177" s="1" t="s">
        <v>668</v>
      </c>
      <c r="AB177" s="1" t="s">
        <v>669</v>
      </c>
      <c r="AE177" s="1" t="s">
        <v>172</v>
      </c>
      <c r="AF177" s="1"/>
    </row>
    <row r="178" spans="1:33" ht="17" customHeight="1" x14ac:dyDescent="0.2">
      <c r="A178" s="1" t="s">
        <v>673</v>
      </c>
      <c r="D178" s="1" t="s">
        <v>674</v>
      </c>
      <c r="E178" s="3" t="str">
        <f t="shared" si="78"/>
        <v>Iwaniuk</v>
      </c>
      <c r="F178" s="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3" t="str">
        <f t="shared" si="79"/>
        <v>1999</v>
      </c>
      <c r="H178" s="3" t="str">
        <f t="shared" si="80"/>
        <v>Iwaniuk_etal_1999</v>
      </c>
      <c r="I178" s="3" t="str">
        <f t="shared" si="83"/>
        <v>10.1016%2Fs0166-4328(98)00151-x</v>
      </c>
      <c r="J178" s="3" t="str">
        <f t="shared" si="82"/>
        <v>Iwaniuk_etal_1999_References</v>
      </c>
      <c r="K178" s="3" t="str">
        <f t="shared" ref="K178:K209" si="84">I178 &amp; "_" &amp; SUBSTITUTE(SUBSTITUTE(SUBSTITUTE(D178,CHAR(160),"")," ",""),"_","")</f>
        <v>10.1016%2Fs0166-4328(98)00151-x_References</v>
      </c>
      <c r="L178" s="3" t="str">
        <f t="array" ref="L178">IFERROR(INDEX(AUTO_Public_TSV_FileList!$A$1:$A$1000,MATCH(TRUE(),EXACT(K178,IFERROR(_xlfn.TEXTBEFORE(AUTO_Public_TSV_FileList!$A$1:$A$1000,".tsv"),"")),0)),"notfound")</f>
        <v>10.1016%2Fs0166-4328(98)00151-x_References.tsv</v>
      </c>
      <c r="M178" s="1" t="s">
        <v>674</v>
      </c>
      <c r="N178" s="1" t="s">
        <v>675</v>
      </c>
      <c r="P178" s="1" t="s">
        <v>36</v>
      </c>
      <c r="W178" s="1" t="s">
        <v>131</v>
      </c>
      <c r="X178" s="1" t="s">
        <v>676</v>
      </c>
      <c r="AB178" s="1" t="s">
        <v>677</v>
      </c>
      <c r="AE178" s="1" t="s">
        <v>172</v>
      </c>
      <c r="AF178" s="1"/>
    </row>
    <row r="179" spans="1:33" ht="17" customHeight="1" x14ac:dyDescent="0.2">
      <c r="A179" s="1" t="s">
        <v>673</v>
      </c>
      <c r="D179" s="1" t="s">
        <v>81</v>
      </c>
      <c r="E179" s="3" t="str">
        <f t="shared" si="78"/>
        <v>Iwaniuk</v>
      </c>
      <c r="F179" s="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3" t="str">
        <f t="shared" si="79"/>
        <v>1999</v>
      </c>
      <c r="H179" s="3" t="str">
        <f t="shared" si="80"/>
        <v>Iwaniuk_etal_1999</v>
      </c>
      <c r="I179" s="3" t="str">
        <f t="shared" si="83"/>
        <v>10.1016%2Fs0166-4328(98)00151-x</v>
      </c>
      <c r="J179" s="3" t="str">
        <f t="shared" si="82"/>
        <v>Iwaniuk_etal_1999_Table1</v>
      </c>
      <c r="K179" s="3" t="str">
        <f t="shared" si="84"/>
        <v>10.1016%2Fs0166-4328(98)00151-x_Table1</v>
      </c>
      <c r="L179" s="3" t="str">
        <f t="array" ref="L179">IFERROR(INDEX(AUTO_Public_TSV_FileList!$A$1:$A$1000,MATCH(TRUE(),EXACT(K179,IFERROR(_xlfn.TEXTBEFORE(AUTO_Public_TSV_FileList!$A$1:$A$1000,".tsv"),"")),0)),"notfound")</f>
        <v>10.1016%2Fs0166-4328(98)00151-x_Table1.tsv</v>
      </c>
      <c r="M179" s="1" t="s">
        <v>678</v>
      </c>
      <c r="N179" s="1" t="s">
        <v>35</v>
      </c>
      <c r="P179" s="1" t="s">
        <v>36</v>
      </c>
      <c r="W179" s="1" t="s">
        <v>131</v>
      </c>
      <c r="X179" s="1" t="s">
        <v>676</v>
      </c>
      <c r="AB179" s="1" t="s">
        <v>677</v>
      </c>
      <c r="AE179" s="1" t="s">
        <v>172</v>
      </c>
      <c r="AF179" s="1"/>
    </row>
    <row r="180" spans="1:33" ht="17" customHeight="1" x14ac:dyDescent="0.2">
      <c r="A180" s="8" t="s">
        <v>679</v>
      </c>
      <c r="D180" s="8" t="s">
        <v>680</v>
      </c>
      <c r="E180" s="10" t="str">
        <f t="shared" si="78"/>
        <v>Jacob</v>
      </c>
      <c r="F180" s="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3" t="str">
        <f t="shared" si="79"/>
        <v>2021</v>
      </c>
      <c r="H180" s="10" t="str">
        <f t="shared" si="80"/>
        <v>Jacob_etal_2021</v>
      </c>
      <c r="I180" s="10" t="str">
        <f>_xlfn.LET(_xlpm.doi,IF(C180&lt;&gt;"",C180,_xlfn.TEXTAFTER(A180,"https://doi.org/")),SUBSTITUTE(SUBSTITUTE(SUBSTITUTE(SUBSTITUTE(_xlpm.doi,"/","%2F"),":","%3A"),"&lt;","%3C"),"&gt;","%3E"))</f>
        <v>10.1002%2Fcne.25197</v>
      </c>
      <c r="J180" s="10" t="str">
        <f t="shared" si="82"/>
        <v>Jacob_etal_2021_FIGURE4</v>
      </c>
      <c r="K180" s="3" t="str">
        <f t="shared" si="84"/>
        <v>10.1002%2Fcne.25197_FIGURE4</v>
      </c>
      <c r="L180" s="3" t="str">
        <f t="array" ref="L180">IFERROR(INDEX(AUTO_Public_TSV_FileList!$A$1:$A$1000,MATCH(TRUE(),EXACT(K180,IFERROR(_xlfn.TEXTBEFORE(AUTO_Public_TSV_FileList!$A$1:$A$1000,".tsv"),"")),0)),"notfound")</f>
        <v>10.1002%2Fcne.25197_FIGURE4.tsv</v>
      </c>
      <c r="M180" s="8" t="s">
        <v>680</v>
      </c>
    </row>
    <row r="181" spans="1:33" ht="17" customHeight="1" x14ac:dyDescent="0.2">
      <c r="A181" s="8" t="s">
        <v>679</v>
      </c>
      <c r="D181" s="8" t="s">
        <v>58</v>
      </c>
      <c r="E181" s="10" t="str">
        <f t="shared" si="78"/>
        <v>Jacob</v>
      </c>
      <c r="F181" s="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3" t="str">
        <f t="shared" si="79"/>
        <v>2021</v>
      </c>
      <c r="H181" s="10" t="str">
        <f t="shared" si="80"/>
        <v>Jacob_etal_2021</v>
      </c>
      <c r="I181" s="10" t="str">
        <f>_xlfn.LET(_xlpm.doi,IF(C181&lt;&gt;"",C181,_xlfn.TEXTAFTER(A181,"https://doi.org/")),SUBSTITUTE(SUBSTITUTE(SUBSTITUTE(SUBSTITUTE(_xlpm.doi,"/","%2F"),":","%3A"),"&lt;","%3C"),"&gt;","%3E"))</f>
        <v>10.1002%2Fcne.25197</v>
      </c>
      <c r="J181" s="10" t="str">
        <f t="shared" si="82"/>
        <v>Jacob_etal_2021_TABLE1</v>
      </c>
      <c r="K181" s="3" t="str">
        <f t="shared" si="84"/>
        <v>10.1002%2Fcne.25197_TABLE1</v>
      </c>
      <c r="L181" s="3" t="str">
        <f t="array" ref="L181">IFERROR(INDEX(AUTO_Public_TSV_FileList!$A$1:$A$1000,MATCH(TRUE(),EXACT(K181,IFERROR(_xlfn.TEXTBEFORE(AUTO_Public_TSV_FileList!$A$1:$A$1000,".tsv"),"")),0)),"notfound")</f>
        <v>10.1002%2Fcne.25197_TABLE1.tsv</v>
      </c>
      <c r="M181" s="8" t="s">
        <v>681</v>
      </c>
    </row>
    <row r="182" spans="1:33" ht="17" customHeight="1" x14ac:dyDescent="0.2">
      <c r="A182" s="8" t="s">
        <v>679</v>
      </c>
      <c r="D182" s="8" t="s">
        <v>103</v>
      </c>
      <c r="E182" s="10" t="str">
        <f t="shared" si="78"/>
        <v>Jacob</v>
      </c>
      <c r="F182" s="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3" t="str">
        <f t="shared" si="79"/>
        <v>2021</v>
      </c>
      <c r="H182" s="10" t="str">
        <f t="shared" si="80"/>
        <v>Jacob_etal_2021</v>
      </c>
      <c r="I182" s="10" t="str">
        <f>_xlfn.LET(_xlpm.doi,IF(C182&lt;&gt;"",C182,_xlfn.TEXTAFTER(A182,"https://doi.org/")),SUBSTITUTE(SUBSTITUTE(SUBSTITUTE(SUBSTITUTE(_xlpm.doi,"/","%2F"),":","%3A"),"&lt;","%3C"),"&gt;","%3E"))</f>
        <v>10.1002%2Fcne.25197</v>
      </c>
      <c r="J182" s="10" t="str">
        <f t="shared" si="82"/>
        <v>Jacob_etal_2021_TABLE2</v>
      </c>
      <c r="K182" s="3" t="str">
        <f t="shared" si="84"/>
        <v>10.1002%2Fcne.25197_TABLE2</v>
      </c>
      <c r="L182" s="3" t="str">
        <f t="array" ref="L182">IFERROR(INDEX(AUTO_Public_TSV_FileList!$A$1:$A$1000,MATCH(TRUE(),EXACT(K182,IFERROR(_xlfn.TEXTBEFORE(AUTO_Public_TSV_FileList!$A$1:$A$1000,".tsv"),"")),0)),"notfound")</f>
        <v>10.1002%2Fcne.25197_TABLE2.tsv</v>
      </c>
      <c r="M182" s="8" t="s">
        <v>682</v>
      </c>
    </row>
    <row r="183" spans="1:33" ht="17" customHeight="1" x14ac:dyDescent="0.2">
      <c r="A183" s="8" t="s">
        <v>679</v>
      </c>
      <c r="D183" s="8" t="s">
        <v>683</v>
      </c>
      <c r="E183" s="10" t="str">
        <f t="shared" si="78"/>
        <v>Jacob</v>
      </c>
      <c r="F183" s="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3" t="str">
        <f t="shared" si="79"/>
        <v>2021</v>
      </c>
      <c r="H183" s="10" t="str">
        <f t="shared" si="80"/>
        <v>Jacob_etal_2021</v>
      </c>
      <c r="I183" s="10" t="str">
        <f>_xlfn.LET(_xlpm.doi,IF(C183&lt;&gt;"",C183,_xlfn.TEXTAFTER(A183,"https://doi.org/")),SUBSTITUTE(SUBSTITUTE(SUBSTITUTE(SUBSTITUTE(_xlpm.doi,"/","%2F"),":","%3A"),"&lt;","%3C"),"&gt;","%3E"))</f>
        <v>10.1002%2Fcne.25197</v>
      </c>
      <c r="J183" s="10" t="str">
        <f t="shared" si="82"/>
        <v>Jacob_etal_2021_TABLE3</v>
      </c>
      <c r="K183" s="3" t="str">
        <f t="shared" si="84"/>
        <v>10.1002%2Fcne.25197_TABLE3</v>
      </c>
      <c r="L183" s="3" t="str">
        <f t="array" ref="L183">IFERROR(INDEX(AUTO_Public_TSV_FileList!$A$1:$A$1000,MATCH(TRUE(),EXACT(K183,IFERROR(_xlfn.TEXTBEFORE(AUTO_Public_TSV_FileList!$A$1:$A$1000,".tsv"),"")),0)),"notfound")</f>
        <v>10.1002%2Fcne.25197_TABLE3.tsv</v>
      </c>
      <c r="M183" s="8" t="s">
        <v>684</v>
      </c>
    </row>
    <row r="184" spans="1:33" ht="17" customHeight="1" x14ac:dyDescent="0.2">
      <c r="A184" s="7" t="s">
        <v>685</v>
      </c>
      <c r="B184" s="7"/>
      <c r="C184" s="7"/>
      <c r="D184" s="7" t="s">
        <v>81</v>
      </c>
      <c r="E184" s="3" t="str">
        <f t="shared" si="78"/>
        <v>Jacobs</v>
      </c>
      <c r="F184" s="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3" t="str">
        <f t="shared" si="79"/>
        <v>1997</v>
      </c>
      <c r="H184" s="3" t="str">
        <f t="shared" si="80"/>
        <v>Jacobs_etal_1997</v>
      </c>
      <c r="I184" s="3" t="str">
        <f t="shared" ref="I184:I200" si="85">_xlfn.LET(
_xlpm.doi,IF(C184&lt;&gt;"",C184,_xlfn.TEXTAFTER(A184,"https://doi.org/")),
SUBSTITUTE(
SUBSTITUTE(
SUBSTITUTE(
SUBSTITUTE(
_xlpm.doi,
"/","%2F"),
":","%3A"),
"&lt;","%3C"),
"&gt;","%3E")
)</f>
        <v>10.1002%2F(sici)1096-9861(19971006)386%3A4%3C661%3A%3AAid-cne11%3E3.0.Co;2-n</v>
      </c>
      <c r="J184" s="3" t="str">
        <f t="shared" si="82"/>
        <v>Jacobs_etal_1997_Table1</v>
      </c>
      <c r="K184" s="3" t="str">
        <f t="shared" si="84"/>
        <v>10.1002%2F(sici)1096-9861(19971006)386%3A4%3C661%3A%3AAid-cne11%3E3.0.Co;2-n_Table1</v>
      </c>
      <c r="L184" s="3" t="str">
        <f t="array" ref="L184">IFERROR(INDEX(AUTO_Public_TSV_FileList!$A$1:$A$1000,MATCH(TRUE(),EXACT(K184,IFERROR(_xlfn.TEXTBEFORE(AUTO_Public_TSV_FileList!$A$1:$A$1000,".tsv"),"")),0)),"notfound")</f>
        <v>notfound</v>
      </c>
      <c r="N184" s="7" t="s">
        <v>208</v>
      </c>
      <c r="O184" s="7"/>
      <c r="P184" s="7"/>
      <c r="Q184" s="7"/>
      <c r="R184" s="7" t="s">
        <v>686</v>
      </c>
      <c r="S184" s="7"/>
      <c r="T184" s="7" t="s">
        <v>210</v>
      </c>
      <c r="U184" s="7"/>
      <c r="V184" s="7" t="s">
        <v>211</v>
      </c>
      <c r="W184" s="7" t="s">
        <v>93</v>
      </c>
      <c r="X184" s="7" t="s">
        <v>212</v>
      </c>
      <c r="Y184" s="7" t="s">
        <v>687</v>
      </c>
      <c r="Z184" s="7"/>
      <c r="AA184" s="7" t="s">
        <v>214</v>
      </c>
      <c r="AB184" s="7" t="s">
        <v>215</v>
      </c>
      <c r="AC184" s="7"/>
      <c r="AD184" s="7"/>
      <c r="AE184" s="7" t="s">
        <v>66</v>
      </c>
      <c r="AF184" s="7"/>
      <c r="AG184" s="7" t="s">
        <v>688</v>
      </c>
    </row>
    <row r="185" spans="1:33" ht="17" customHeight="1" x14ac:dyDescent="0.2">
      <c r="A185" s="7" t="s">
        <v>685</v>
      </c>
      <c r="B185" s="7"/>
      <c r="C185" s="7"/>
      <c r="D185" s="7" t="s">
        <v>70</v>
      </c>
      <c r="E185" s="3" t="str">
        <f t="shared" si="78"/>
        <v>Jacobs</v>
      </c>
      <c r="F185" s="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3" t="str">
        <f t="shared" si="79"/>
        <v>1997</v>
      </c>
      <c r="H185" s="3" t="str">
        <f t="shared" si="80"/>
        <v>Jacobs_etal_1997</v>
      </c>
      <c r="I185" s="3" t="str">
        <f t="shared" si="85"/>
        <v>10.1002%2F(sici)1096-9861(19971006)386%3A4%3C661%3A%3AAid-cne11%3E3.0.Co;2-n</v>
      </c>
      <c r="J185" s="3" t="str">
        <f t="shared" si="82"/>
        <v>Jacobs_etal_1997_Table2</v>
      </c>
      <c r="K185" s="3" t="str">
        <f t="shared" si="84"/>
        <v>10.1002%2F(sici)1096-9861(19971006)386%3A4%3C661%3A%3AAid-cne11%3E3.0.Co;2-n_Table2</v>
      </c>
      <c r="L185" s="3" t="str">
        <f t="array" ref="L185">IFERROR(INDEX(AUTO_Public_TSV_FileList!$A$1:$A$1000,MATCH(TRUE(),EXACT(K185,IFERROR(_xlfn.TEXTBEFORE(AUTO_Public_TSV_FileList!$A$1:$A$1000,".tsv"),"")),0)),"notfound")</f>
        <v>notfound</v>
      </c>
      <c r="N185" s="7" t="s">
        <v>208</v>
      </c>
      <c r="P185" s="7"/>
      <c r="Q185" s="7"/>
      <c r="R185" s="7" t="s">
        <v>686</v>
      </c>
      <c r="S185" s="7"/>
      <c r="T185" s="7" t="s">
        <v>210</v>
      </c>
      <c r="U185" s="7"/>
      <c r="V185" s="7" t="s">
        <v>211</v>
      </c>
      <c r="W185" s="7" t="s">
        <v>93</v>
      </c>
      <c r="X185" s="7" t="s">
        <v>212</v>
      </c>
      <c r="Y185" s="7" t="s">
        <v>689</v>
      </c>
      <c r="Z185" s="7"/>
      <c r="AA185" s="7" t="s">
        <v>214</v>
      </c>
      <c r="AB185" s="7" t="s">
        <v>215</v>
      </c>
      <c r="AC185" s="7"/>
      <c r="AD185" s="7"/>
      <c r="AE185" s="7" t="s">
        <v>66</v>
      </c>
      <c r="AF185" s="7"/>
      <c r="AG185" s="7" t="s">
        <v>690</v>
      </c>
    </row>
    <row r="186" spans="1:33" ht="17" customHeight="1" x14ac:dyDescent="0.2">
      <c r="A186" s="1" t="s">
        <v>691</v>
      </c>
      <c r="D186" s="1" t="s">
        <v>72</v>
      </c>
      <c r="E186" s="3" t="str">
        <f t="shared" si="78"/>
        <v>Jacobs</v>
      </c>
      <c r="F186" s="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3" t="str">
        <f t="shared" si="79"/>
        <v>2018</v>
      </c>
      <c r="H186" s="3" t="str">
        <f t="shared" si="80"/>
        <v>Jacobs_etal_2018</v>
      </c>
      <c r="I186" s="3" t="str">
        <f t="shared" si="85"/>
        <v>10.1002%2Fcne.24349</v>
      </c>
      <c r="J186" s="3" t="str">
        <f t="shared" si="82"/>
        <v>Jacobs_etal_2018_Table3</v>
      </c>
      <c r="K186" s="3" t="str">
        <f t="shared" si="84"/>
        <v>10.1002%2Fcne.24349_Table3</v>
      </c>
      <c r="L186" s="3" t="str">
        <f t="array" ref="L186">IFERROR(INDEX(AUTO_Public_TSV_FileList!$A$1:$A$1000,MATCH(TRUE(),EXACT(K186,IFERROR(_xlfn.TEXTBEFORE(AUTO_Public_TSV_FileList!$A$1:$A$1000,".tsv"),"")),0)),"notfound")</f>
        <v>10.1002%2Fcne.24349_Table3.tsv</v>
      </c>
      <c r="N186" s="1" t="s">
        <v>35</v>
      </c>
      <c r="P186" s="1" t="s">
        <v>36</v>
      </c>
      <c r="Q186" s="1"/>
      <c r="W186" s="1" t="s">
        <v>692</v>
      </c>
      <c r="X186" s="1" t="s">
        <v>693</v>
      </c>
      <c r="AB186" s="1" t="s">
        <v>694</v>
      </c>
      <c r="AC186" s="1" t="s">
        <v>695</v>
      </c>
      <c r="AE186" s="1" t="s">
        <v>66</v>
      </c>
      <c r="AF186" s="1"/>
      <c r="AG186" s="1" t="s">
        <v>696</v>
      </c>
    </row>
    <row r="187" spans="1:33" ht="17" customHeight="1" x14ac:dyDescent="0.2">
      <c r="A187" s="1" t="s">
        <v>691</v>
      </c>
      <c r="D187" s="1" t="s">
        <v>74</v>
      </c>
      <c r="E187" s="3" t="str">
        <f t="shared" si="78"/>
        <v>Jacobs</v>
      </c>
      <c r="F187" s="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3" t="str">
        <f t="shared" si="79"/>
        <v>2018</v>
      </c>
      <c r="H187" s="3" t="str">
        <f t="shared" si="80"/>
        <v>Jacobs_etal_2018</v>
      </c>
      <c r="I187" s="3" t="str">
        <f t="shared" si="85"/>
        <v>10.1002%2Fcne.24349</v>
      </c>
      <c r="J187" s="3" t="str">
        <f t="shared" si="82"/>
        <v>Jacobs_etal_2018_Table5</v>
      </c>
      <c r="K187" s="3" t="str">
        <f t="shared" si="84"/>
        <v>10.1002%2Fcne.24349_Table5</v>
      </c>
      <c r="L187" s="3" t="str">
        <f t="array" ref="L187">IFERROR(INDEX(AUTO_Public_TSV_FileList!$A$1:$A$1000,MATCH(TRUE(),EXACT(K187,IFERROR(_xlfn.TEXTBEFORE(AUTO_Public_TSV_FileList!$A$1:$A$1000,".tsv"),"")),0)),"notfound")</f>
        <v>10.1002%2Fcne.24349_Table5.tsv</v>
      </c>
      <c r="N187" s="1" t="s">
        <v>35</v>
      </c>
      <c r="P187" s="1" t="s">
        <v>36</v>
      </c>
      <c r="Q187" s="1"/>
      <c r="W187" s="1" t="s">
        <v>697</v>
      </c>
      <c r="X187" s="1" t="s">
        <v>698</v>
      </c>
      <c r="AB187" s="1" t="s">
        <v>699</v>
      </c>
      <c r="AC187" s="1" t="s">
        <v>695</v>
      </c>
      <c r="AE187" s="1" t="s">
        <v>66</v>
      </c>
      <c r="AF187" s="1"/>
      <c r="AG187" s="1" t="s">
        <v>700</v>
      </c>
    </row>
    <row r="188" spans="1:33" ht="17" customHeight="1" x14ac:dyDescent="0.2">
      <c r="A188" s="1" t="s">
        <v>701</v>
      </c>
      <c r="D188" s="1" t="s">
        <v>81</v>
      </c>
      <c r="E188" s="3" t="str">
        <f t="shared" si="78"/>
        <v>Jacobs</v>
      </c>
      <c r="F188" s="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3" t="str">
        <f t="shared" si="79"/>
        <v>2015</v>
      </c>
      <c r="H188" s="3" t="str">
        <f t="shared" si="80"/>
        <v>Jacobs_etal_2015</v>
      </c>
      <c r="I188" s="3" t="str">
        <f t="shared" si="85"/>
        <v>10.1007%2Fs00429-014-0830-9</v>
      </c>
      <c r="J188" s="3" t="str">
        <f t="shared" si="82"/>
        <v>Jacobs_etal_2015_Table1</v>
      </c>
      <c r="K188" s="3" t="str">
        <f t="shared" si="84"/>
        <v>10.1007%2Fs00429-014-0830-9_Table1</v>
      </c>
      <c r="L188" s="3" t="str">
        <f t="array" ref="L188">IFERROR(INDEX(AUTO_Public_TSV_FileList!$A$1:$A$1000,MATCH(TRUE(),EXACT(K188,IFERROR(_xlfn.TEXTBEFORE(AUTO_Public_TSV_FileList!$A$1:$A$1000,".tsv"),"")),0)),"notfound")</f>
        <v>10.1007%2Fs00429-014-0830-9_Table1.tsv</v>
      </c>
      <c r="M188" s="1" t="s">
        <v>702</v>
      </c>
      <c r="P188" s="1" t="s">
        <v>36</v>
      </c>
    </row>
    <row r="189" spans="1:33" ht="17" customHeight="1" x14ac:dyDescent="0.2">
      <c r="A189" s="1" t="s">
        <v>701</v>
      </c>
      <c r="D189" s="1" t="s">
        <v>72</v>
      </c>
      <c r="E189" s="3" t="str">
        <f t="shared" si="78"/>
        <v>Jacobs</v>
      </c>
      <c r="F189" s="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3" t="str">
        <f t="shared" si="79"/>
        <v>2015</v>
      </c>
      <c r="H189" s="3" t="str">
        <f t="shared" si="80"/>
        <v>Jacobs_etal_2015</v>
      </c>
      <c r="I189" s="3" t="str">
        <f t="shared" si="85"/>
        <v>10.1007%2Fs00429-014-0830-9</v>
      </c>
      <c r="J189" s="3" t="str">
        <f t="shared" si="82"/>
        <v>Jacobs_etal_2015_Table3</v>
      </c>
      <c r="K189" s="3" t="str">
        <f t="shared" si="84"/>
        <v>10.1007%2Fs00429-014-0830-9_Table3</v>
      </c>
      <c r="L189" s="3" t="str">
        <f t="array" ref="L189">IFERROR(INDEX(AUTO_Public_TSV_FileList!$A$1:$A$1000,MATCH(TRUE(),EXACT(K189,IFERROR(_xlfn.TEXTBEFORE(AUTO_Public_TSV_FileList!$A$1:$A$1000,".tsv"),"")),0)),"notfound")</f>
        <v>notfound</v>
      </c>
      <c r="M189" s="8" t="s">
        <v>703</v>
      </c>
    </row>
    <row r="190" spans="1:33" ht="17" customHeight="1" x14ac:dyDescent="0.2">
      <c r="A190" s="1" t="s">
        <v>701</v>
      </c>
      <c r="D190" s="8" t="s">
        <v>34</v>
      </c>
      <c r="E190" s="3" t="str">
        <f t="shared" si="78"/>
        <v>Jacobs</v>
      </c>
      <c r="F190" s="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3" t="str">
        <f t="shared" si="79"/>
        <v>2015</v>
      </c>
      <c r="H190" s="3" t="str">
        <f t="shared" si="80"/>
        <v>Jacobs_etal_2015</v>
      </c>
      <c r="I190" s="3" t="str">
        <f t="shared" si="85"/>
        <v>10.1007%2Fs00429-014-0830-9</v>
      </c>
      <c r="J190" s="3" t="str">
        <f t="shared" si="82"/>
        <v>Jacobs_etal_2015_Table4</v>
      </c>
      <c r="K190" s="3" t="str">
        <f t="shared" si="84"/>
        <v>10.1007%2Fs00429-014-0830-9_Table4</v>
      </c>
      <c r="L190" s="3" t="str">
        <f t="array" ref="L190">IFERROR(INDEX(AUTO_Public_TSV_FileList!$A$1:$A$1000,MATCH(TRUE(),EXACT(K190,IFERROR(_xlfn.TEXTBEFORE(AUTO_Public_TSV_FileList!$A$1:$A$1000,".tsv"),"")),0)),"notfound")</f>
        <v>notfound</v>
      </c>
      <c r="M190" s="8" t="s">
        <v>704</v>
      </c>
    </row>
    <row r="191" spans="1:33" ht="17" customHeight="1" x14ac:dyDescent="0.2">
      <c r="A191" s="8" t="s">
        <v>705</v>
      </c>
      <c r="D191" s="8" t="s">
        <v>81</v>
      </c>
      <c r="E191" s="3" t="str">
        <f t="shared" si="78"/>
        <v>Jacobs</v>
      </c>
      <c r="F191" s="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3" t="str">
        <f t="shared" si="79"/>
        <v>2016</v>
      </c>
      <c r="H191" s="3" t="str">
        <f t="shared" si="80"/>
        <v>Jacobs_etal_2016</v>
      </c>
      <c r="I191" s="3" t="str">
        <f t="shared" si="85"/>
        <v>10.1002%2Fcne.23841</v>
      </c>
      <c r="J191" s="3" t="str">
        <f t="shared" si="82"/>
        <v>Jacobs_etal_2016_Table1</v>
      </c>
      <c r="K191" s="3" t="str">
        <f t="shared" si="84"/>
        <v>10.1002%2Fcne.23841_Table1</v>
      </c>
      <c r="L191" s="3" t="str">
        <f t="array" ref="L191">IFERROR(INDEX(AUTO_Public_TSV_FileList!$A$1:$A$1000,MATCH(TRUE(),EXACT(K191,IFERROR(_xlfn.TEXTBEFORE(AUTO_Public_TSV_FileList!$A$1:$A$1000,".tsv"),"")),0)),"notfound")</f>
        <v>10.1002%2Fcne.23841_Table1.tsv</v>
      </c>
      <c r="N191" s="1" t="s">
        <v>35</v>
      </c>
      <c r="P191" s="8" t="s">
        <v>36</v>
      </c>
      <c r="R191" s="8" t="s">
        <v>706</v>
      </c>
      <c r="V191" s="8" t="s">
        <v>707</v>
      </c>
      <c r="W191" s="8" t="s">
        <v>708</v>
      </c>
      <c r="X191" s="8" t="s">
        <v>709</v>
      </c>
      <c r="AB191" s="8" t="s">
        <v>710</v>
      </c>
      <c r="AE191" s="8" t="s">
        <v>66</v>
      </c>
    </row>
    <row r="192" spans="1:33" ht="17" customHeight="1" x14ac:dyDescent="0.2">
      <c r="A192" s="1" t="s">
        <v>705</v>
      </c>
      <c r="D192" s="1" t="s">
        <v>81</v>
      </c>
      <c r="E192" s="3" t="str">
        <f t="shared" si="78"/>
        <v>Jacobs</v>
      </c>
      <c r="F192" s="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3" t="str">
        <f t="shared" si="79"/>
        <v>2016</v>
      </c>
      <c r="H192" s="3" t="str">
        <f t="shared" si="80"/>
        <v>Jacobs_etal_2016</v>
      </c>
      <c r="I192" s="3" t="str">
        <f t="shared" si="85"/>
        <v>10.1002%2Fcne.23841</v>
      </c>
      <c r="J192" s="3" t="str">
        <f t="shared" si="82"/>
        <v>Jacobs_etal_2016_Table1</v>
      </c>
      <c r="K192" s="3" t="str">
        <f t="shared" si="84"/>
        <v>10.1002%2Fcne.23841_Table1</v>
      </c>
      <c r="L192" s="3" t="str">
        <f t="array" ref="L192">IFERROR(INDEX(AUTO_Public_TSV_FileList!$A$1:$A$1000,MATCH(TRUE(),EXACT(K192,IFERROR(_xlfn.TEXTBEFORE(AUTO_Public_TSV_FileList!$A$1:$A$1000,".tsv"),"")),0)),"notfound")</f>
        <v>10.1002%2Fcne.23841_Table1.tsv</v>
      </c>
      <c r="N192" s="1" t="s">
        <v>35</v>
      </c>
      <c r="P192" s="1" t="s">
        <v>36</v>
      </c>
      <c r="R192" s="8" t="s">
        <v>706</v>
      </c>
      <c r="V192" s="1" t="s">
        <v>707</v>
      </c>
      <c r="W192" s="1" t="s">
        <v>708</v>
      </c>
      <c r="X192" s="1" t="s">
        <v>709</v>
      </c>
      <c r="AB192" s="1" t="s">
        <v>710</v>
      </c>
      <c r="AE192" s="1" t="s">
        <v>66</v>
      </c>
      <c r="AF192" s="1"/>
    </row>
    <row r="193" spans="1:33" ht="17" customHeight="1" x14ac:dyDescent="0.2">
      <c r="A193" s="7" t="s">
        <v>711</v>
      </c>
      <c r="B193" s="7"/>
      <c r="C193" s="7"/>
      <c r="D193" s="7" t="s">
        <v>81</v>
      </c>
      <c r="E193" s="3" t="str">
        <f t="shared" si="78"/>
        <v>Jacobs</v>
      </c>
      <c r="F193" s="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3" t="str">
        <f t="shared" si="79"/>
        <v>2001</v>
      </c>
      <c r="H193" s="3" t="str">
        <f t="shared" si="80"/>
        <v>Jacobs_etal_2001</v>
      </c>
      <c r="I193" s="3" t="str">
        <f t="shared" si="85"/>
        <v>10.1093%2Fcercor%2F11.6.558</v>
      </c>
      <c r="J193" s="3" t="str">
        <f t="shared" si="82"/>
        <v>Jacobs_etal_2001_Table1</v>
      </c>
      <c r="K193" s="3" t="str">
        <f t="shared" si="84"/>
        <v>10.1093%2Fcercor%2F11.6.558_Table1</v>
      </c>
      <c r="L193" s="3" t="str">
        <f t="array" ref="L193">IFERROR(INDEX(AUTO_Public_TSV_FileList!$A$1:$A$1000,MATCH(TRUE(),EXACT(K193,IFERROR(_xlfn.TEXTBEFORE(AUTO_Public_TSV_FileList!$A$1:$A$1000,".tsv"),"")),0)),"notfound")</f>
        <v>notfound</v>
      </c>
      <c r="N193" s="7" t="s">
        <v>208</v>
      </c>
      <c r="O193" s="7"/>
      <c r="P193" s="7"/>
      <c r="Q193" s="7"/>
      <c r="R193" s="7" t="s">
        <v>712</v>
      </c>
      <c r="S193" s="7"/>
      <c r="T193" s="7" t="s">
        <v>210</v>
      </c>
      <c r="U193" s="7"/>
      <c r="V193" s="7" t="s">
        <v>211</v>
      </c>
      <c r="W193" s="7" t="s">
        <v>93</v>
      </c>
      <c r="X193" s="7" t="s">
        <v>212</v>
      </c>
      <c r="Y193" s="7" t="s">
        <v>687</v>
      </c>
      <c r="Z193" s="7"/>
      <c r="AA193" s="7" t="s">
        <v>214</v>
      </c>
      <c r="AB193" s="7" t="s">
        <v>215</v>
      </c>
      <c r="AC193" s="7"/>
      <c r="AD193" s="7"/>
      <c r="AE193" s="7" t="s">
        <v>713</v>
      </c>
      <c r="AF193" s="7"/>
      <c r="AG193" s="7" t="s">
        <v>714</v>
      </c>
    </row>
    <row r="194" spans="1:33" ht="17" customHeight="1" x14ac:dyDescent="0.2">
      <c r="A194" s="7" t="s">
        <v>711</v>
      </c>
      <c r="B194" s="7"/>
      <c r="C194" s="7"/>
      <c r="D194" s="7" t="s">
        <v>70</v>
      </c>
      <c r="E194" s="3" t="str">
        <f t="shared" si="78"/>
        <v>Jacobs</v>
      </c>
      <c r="F194" s="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3" t="str">
        <f t="shared" si="79"/>
        <v>2001</v>
      </c>
      <c r="H194" s="3" t="str">
        <f t="shared" si="80"/>
        <v>Jacobs_etal_2001</v>
      </c>
      <c r="I194" s="3" t="str">
        <f t="shared" si="85"/>
        <v>10.1093%2Fcercor%2F11.6.558</v>
      </c>
      <c r="J194" s="3" t="str">
        <f t="shared" si="82"/>
        <v>Jacobs_etal_2001_Table2</v>
      </c>
      <c r="K194" s="3" t="str">
        <f t="shared" si="84"/>
        <v>10.1093%2Fcercor%2F11.6.558_Table2</v>
      </c>
      <c r="L194" s="3" t="str">
        <f t="array" ref="L194">IFERROR(INDEX(AUTO_Public_TSV_FileList!$A$1:$A$1000,MATCH(TRUE(),EXACT(K194,IFERROR(_xlfn.TEXTBEFORE(AUTO_Public_TSV_FileList!$A$1:$A$1000,".tsv"),"")),0)),"notfound")</f>
        <v>notfound</v>
      </c>
      <c r="N194" s="7" t="s">
        <v>208</v>
      </c>
      <c r="P194" s="7"/>
      <c r="Q194" s="7"/>
      <c r="R194" s="7" t="s">
        <v>712</v>
      </c>
      <c r="S194" s="7"/>
      <c r="T194" s="7" t="s">
        <v>210</v>
      </c>
      <c r="U194" s="7"/>
      <c r="V194" s="7" t="s">
        <v>211</v>
      </c>
      <c r="W194" s="7" t="s">
        <v>93</v>
      </c>
      <c r="X194" s="7" t="s">
        <v>212</v>
      </c>
      <c r="Y194" s="7" t="s">
        <v>715</v>
      </c>
      <c r="Z194" s="7"/>
      <c r="AA194" s="7" t="s">
        <v>214</v>
      </c>
      <c r="AB194" s="7" t="s">
        <v>215</v>
      </c>
      <c r="AC194" s="7"/>
      <c r="AD194" s="7"/>
      <c r="AE194" s="7" t="s">
        <v>66</v>
      </c>
      <c r="AF194" s="7"/>
      <c r="AG194" s="7" t="s">
        <v>716</v>
      </c>
    </row>
    <row r="195" spans="1:33" ht="17" customHeight="1" x14ac:dyDescent="0.2">
      <c r="A195" s="1" t="s">
        <v>717</v>
      </c>
      <c r="D195" s="1" t="s">
        <v>81</v>
      </c>
      <c r="E195" s="3" t="str">
        <f t="shared" si="78"/>
        <v>JardimMesseder</v>
      </c>
      <c r="F195" s="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3" t="str">
        <f t="shared" si="79"/>
        <v>2017</v>
      </c>
      <c r="H195" s="3" t="str">
        <f t="shared" si="80"/>
        <v>JardimMesseder_etal_2017</v>
      </c>
      <c r="I195" s="3" t="str">
        <f t="shared" si="85"/>
        <v>10.3389%2Ffnana.2017.00118</v>
      </c>
      <c r="J195" s="3" t="str">
        <f t="shared" si="82"/>
        <v>JardimMesseder_etal_2017_Table1</v>
      </c>
      <c r="K195" s="3" t="str">
        <f t="shared" si="84"/>
        <v>10.3389%2Ffnana.2017.00118_Table1</v>
      </c>
      <c r="L195" s="3" t="str">
        <f t="array" ref="L195">IFERROR(INDEX(AUTO_Public_TSV_FileList!$A$1:$A$1000,MATCH(TRUE(),EXACT(K195,IFERROR(_xlfn.TEXTBEFORE(AUTO_Public_TSV_FileList!$A$1:$A$1000,".tsv"),"")),0)),"notfound")</f>
        <v>10.3389%2Ffnana.2017.00118_Table1.tsv</v>
      </c>
      <c r="M195" s="1" t="s">
        <v>718</v>
      </c>
      <c r="N195" s="1" t="s">
        <v>35</v>
      </c>
      <c r="P195" s="1" t="s">
        <v>36</v>
      </c>
      <c r="Q195" s="1"/>
      <c r="R195" s="1" t="s">
        <v>719</v>
      </c>
      <c r="W195" s="1" t="s">
        <v>720</v>
      </c>
      <c r="X195" s="1" t="s">
        <v>446</v>
      </c>
      <c r="AA195" s="1" t="s">
        <v>63</v>
      </c>
      <c r="AB195" s="1" t="s">
        <v>64</v>
      </c>
      <c r="AC195" s="1" t="s">
        <v>65</v>
      </c>
      <c r="AD195" s="1" t="s">
        <v>65</v>
      </c>
      <c r="AE195" s="1" t="s">
        <v>66</v>
      </c>
      <c r="AF195" s="1"/>
    </row>
    <row r="196" spans="1:33" ht="17" customHeight="1" x14ac:dyDescent="0.2">
      <c r="A196" s="1" t="s">
        <v>721</v>
      </c>
      <c r="D196" s="1" t="s">
        <v>70</v>
      </c>
      <c r="E196" s="3" t="str">
        <f t="shared" si="78"/>
        <v>Johansen</v>
      </c>
      <c r="F196" s="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3" t="str">
        <f t="shared" si="79"/>
        <v>2024</v>
      </c>
      <c r="H196" s="3" t="str">
        <f t="shared" si="80"/>
        <v>Johansen_etal_2024</v>
      </c>
      <c r="I196" s="3" t="str">
        <f t="shared" si="85"/>
        <v>10.1523%2FJNEUROSCI.1750-23.2024</v>
      </c>
      <c r="J196" s="3" t="str">
        <f t="shared" si="82"/>
        <v>Johansen_etal_2024_Table2</v>
      </c>
      <c r="K196" s="3" t="str">
        <f t="shared" si="84"/>
        <v>10.1523%2FJNEUROSCI.1750-23.2024_Table2</v>
      </c>
      <c r="L196" s="3" t="str">
        <f t="array" ref="L196">IFERROR(INDEX(AUTO_Public_TSV_FileList!$A$1:$A$1000,MATCH(TRUE(),EXACT(K196,IFERROR(_xlfn.TEXTBEFORE(AUTO_Public_TSV_FileList!$A$1:$A$1000,".tsv"),"")),0)),"notfound")</f>
        <v>10.1523%2FJNEUROSCI.1750-23.2024_Table2.tsv</v>
      </c>
      <c r="M196" s="1" t="s">
        <v>722</v>
      </c>
      <c r="N196" s="1" t="s">
        <v>35</v>
      </c>
      <c r="P196" s="1" t="s">
        <v>36</v>
      </c>
      <c r="W196" s="1" t="s">
        <v>723</v>
      </c>
      <c r="X196" s="1" t="s">
        <v>724</v>
      </c>
      <c r="AB196" s="1" t="s">
        <v>725</v>
      </c>
      <c r="AE196" s="1" t="s">
        <v>66</v>
      </c>
      <c r="AF196" s="1"/>
    </row>
    <row r="197" spans="1:33" ht="17" customHeight="1" x14ac:dyDescent="0.2">
      <c r="A197" s="8" t="s">
        <v>726</v>
      </c>
      <c r="D197" s="8" t="s">
        <v>81</v>
      </c>
      <c r="E197" s="3" t="str">
        <f t="shared" si="78"/>
        <v>Johnson</v>
      </c>
      <c r="F197" s="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3" t="str">
        <f t="shared" si="79"/>
        <v>2016</v>
      </c>
      <c r="H197" s="3" t="str">
        <f t="shared" si="80"/>
        <v>Johnson_etal_2016</v>
      </c>
      <c r="I197" s="3" t="str">
        <f t="shared" si="85"/>
        <v>10.1002%2Fcne.24022</v>
      </c>
      <c r="J197" s="3" t="str">
        <f t="shared" si="82"/>
        <v>Johnson_etal_2016_Table1</v>
      </c>
      <c r="K197" s="3" t="str">
        <f t="shared" si="84"/>
        <v>10.1002%2Fcne.24022_Table1</v>
      </c>
      <c r="L197" s="3" t="str">
        <f t="array" ref="L197">IFERROR(INDEX(AUTO_Public_TSV_FileList!$A$1:$A$1000,MATCH(TRUE(),EXACT(K197,IFERROR(_xlfn.TEXTBEFORE(AUTO_Public_TSV_FileList!$A$1:$A$1000,".tsv"),"")),0)),"notfound")</f>
        <v>10.1002%2Fcne.24022_Table1.tsv</v>
      </c>
      <c r="N197" s="1" t="s">
        <v>35</v>
      </c>
      <c r="P197" s="8" t="s">
        <v>36</v>
      </c>
      <c r="R197" s="8" t="s">
        <v>727</v>
      </c>
      <c r="V197" s="8" t="s">
        <v>707</v>
      </c>
      <c r="W197" s="8" t="s">
        <v>728</v>
      </c>
      <c r="X197" s="8" t="s">
        <v>709</v>
      </c>
      <c r="AB197" s="8" t="s">
        <v>710</v>
      </c>
      <c r="AE197" s="8" t="s">
        <v>66</v>
      </c>
    </row>
    <row r="198" spans="1:33" ht="17" customHeight="1" x14ac:dyDescent="0.2">
      <c r="A198" s="1" t="s">
        <v>726</v>
      </c>
      <c r="D198" s="1" t="s">
        <v>81</v>
      </c>
      <c r="E198" s="3" t="str">
        <f t="shared" si="78"/>
        <v>Johnson</v>
      </c>
      <c r="F198" s="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3" t="str">
        <f t="shared" si="79"/>
        <v>2016</v>
      </c>
      <c r="H198" s="3" t="str">
        <f t="shared" si="80"/>
        <v>Johnson_etal_2016</v>
      </c>
      <c r="I198" s="3" t="str">
        <f t="shared" si="85"/>
        <v>10.1002%2Fcne.24022</v>
      </c>
      <c r="J198" s="3" t="str">
        <f t="shared" si="82"/>
        <v>Johnson_etal_2016_Table1</v>
      </c>
      <c r="K198" s="3" t="str">
        <f t="shared" si="84"/>
        <v>10.1002%2Fcne.24022_Table1</v>
      </c>
      <c r="L198" s="3" t="str">
        <f t="array" ref="L198">IFERROR(INDEX(AUTO_Public_TSV_FileList!$A$1:$A$1000,MATCH(TRUE(),EXACT(K198,IFERROR(_xlfn.TEXTBEFORE(AUTO_Public_TSV_FileList!$A$1:$A$1000,".tsv"),"")),0)),"notfound")</f>
        <v>10.1002%2Fcne.24022_Table1.tsv</v>
      </c>
      <c r="N198" s="1" t="s">
        <v>35</v>
      </c>
      <c r="P198" s="1" t="s">
        <v>36</v>
      </c>
      <c r="R198" s="8" t="s">
        <v>727</v>
      </c>
      <c r="V198" s="1" t="s">
        <v>707</v>
      </c>
      <c r="W198" s="1" t="s">
        <v>728</v>
      </c>
      <c r="X198" s="1" t="s">
        <v>709</v>
      </c>
      <c r="AB198" s="1" t="s">
        <v>710</v>
      </c>
      <c r="AE198" s="1" t="s">
        <v>66</v>
      </c>
      <c r="AF198" s="1"/>
    </row>
    <row r="199" spans="1:33" ht="17" customHeight="1" x14ac:dyDescent="0.2">
      <c r="A199" s="1" t="s">
        <v>726</v>
      </c>
      <c r="C199" s="1"/>
      <c r="D199" s="1" t="s">
        <v>81</v>
      </c>
      <c r="E199" s="3" t="str">
        <f t="shared" si="78"/>
        <v>Johnson</v>
      </c>
      <c r="F199" s="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3" t="str">
        <f t="shared" si="79"/>
        <v>2016</v>
      </c>
      <c r="H199" s="3" t="str">
        <f t="shared" si="80"/>
        <v>Johnson_etal_2016</v>
      </c>
      <c r="I199" s="3" t="str">
        <f t="shared" si="85"/>
        <v>10.1002%2Fcne.24022</v>
      </c>
      <c r="J199" s="3" t="str">
        <f t="shared" si="82"/>
        <v>Johnson_etal_2016_Table1</v>
      </c>
      <c r="K199" s="3" t="str">
        <f t="shared" si="84"/>
        <v>10.1002%2Fcne.24022_Table1</v>
      </c>
      <c r="L199" s="3" t="str">
        <f t="array" ref="L199">IFERROR(INDEX(AUTO_Public_TSV_FileList!$A$1:$A$1000,MATCH(TRUE(),EXACT(K199,IFERROR(_xlfn.TEXTBEFORE(AUTO_Public_TSV_FileList!$A$1:$A$1000,".tsv"),"")),0)),"notfound")</f>
        <v>10.1002%2Fcne.24022_Table1.tsv</v>
      </c>
      <c r="N199" s="1" t="s">
        <v>35</v>
      </c>
      <c r="P199" s="8" t="s">
        <v>36</v>
      </c>
      <c r="R199" s="8" t="s">
        <v>727</v>
      </c>
      <c r="V199" s="8" t="s">
        <v>707</v>
      </c>
      <c r="W199" s="1" t="s">
        <v>728</v>
      </c>
      <c r="X199" s="1" t="s">
        <v>709</v>
      </c>
      <c r="Z199" s="1"/>
      <c r="AA199" s="1" t="s">
        <v>123</v>
      </c>
      <c r="AB199" s="1" t="s">
        <v>710</v>
      </c>
      <c r="AC199" s="1" t="s">
        <v>112</v>
      </c>
      <c r="AD199" s="1" t="s">
        <v>380</v>
      </c>
      <c r="AE199" s="1" t="s">
        <v>66</v>
      </c>
      <c r="AF199" s="1"/>
    </row>
    <row r="200" spans="1:33" ht="17" customHeight="1" x14ac:dyDescent="0.2">
      <c r="A200" s="9" t="s">
        <v>729</v>
      </c>
      <c r="B200" s="7"/>
      <c r="C200" s="7"/>
      <c r="D200" s="9" t="s">
        <v>81</v>
      </c>
      <c r="E200" s="3" t="str">
        <f t="shared" si="78"/>
        <v>Johnson</v>
      </c>
      <c r="F200" s="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3" t="str">
        <f t="shared" si="79"/>
        <v>2002</v>
      </c>
      <c r="H200" s="3" t="str">
        <f t="shared" si="80"/>
        <v>Johnson_etal_2002</v>
      </c>
      <c r="I200" s="3" t="str">
        <f t="shared" si="85"/>
        <v>10.1198%2F016214502753479185</v>
      </c>
      <c r="J200" s="3" t="str">
        <f t="shared" si="82"/>
        <v>Johnson_etal_2002_Table1</v>
      </c>
      <c r="K200" s="3" t="str">
        <f t="shared" si="84"/>
        <v>10.1198%2F016214502753479185_Table1</v>
      </c>
      <c r="L200" s="3" t="str">
        <f t="array" ref="L200">IFERROR(INDEX(AUTO_Public_TSV_FileList!$A$1:$A$1000,MATCH(TRUE(),EXACT(K200,IFERROR(_xlfn.TEXTBEFORE(AUTO_Public_TSV_FileList!$A$1:$A$1000,".tsv"),"")),0)),"notfound")</f>
        <v>notfound</v>
      </c>
      <c r="N200" s="1" t="s">
        <v>35</v>
      </c>
      <c r="Q200" s="7"/>
      <c r="R200" s="7" t="s">
        <v>730</v>
      </c>
      <c r="S200" s="7" t="s">
        <v>324</v>
      </c>
      <c r="T200" s="7" t="s">
        <v>325</v>
      </c>
      <c r="U200" s="7"/>
      <c r="V200" s="7" t="s">
        <v>731</v>
      </c>
      <c r="W200" s="9" t="s">
        <v>93</v>
      </c>
      <c r="X200" s="7" t="s">
        <v>732</v>
      </c>
      <c r="Y200" s="7" t="s">
        <v>732</v>
      </c>
      <c r="Z200" s="7"/>
      <c r="AA200" s="7"/>
      <c r="AB200" s="9"/>
      <c r="AC200" s="7"/>
      <c r="AD200" s="7"/>
      <c r="AE200" s="9" t="s">
        <v>66</v>
      </c>
      <c r="AF200" s="9"/>
      <c r="AG200" s="8" t="s">
        <v>733</v>
      </c>
    </row>
    <row r="201" spans="1:33" ht="17" customHeight="1" x14ac:dyDescent="0.2">
      <c r="A201" s="8" t="s">
        <v>734</v>
      </c>
      <c r="D201" s="8" t="s">
        <v>735</v>
      </c>
      <c r="E201" s="10" t="str">
        <f t="shared" si="78"/>
        <v>Jones</v>
      </c>
      <c r="F201" s="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3" t="str">
        <f t="shared" si="79"/>
        <v>2009</v>
      </c>
      <c r="H201" s="10" t="str">
        <f t="shared" si="80"/>
        <v>Jones_etal_2009</v>
      </c>
      <c r="I201" s="10" t="str">
        <f t="shared" ref="I201:I209" si="86">_xlfn.LET(_xlpm.doi,IF(C201&lt;&gt;"",C201,_xlfn.TEXTAFTER(A201,"https://doi.org/")),SUBSTITUTE(SUBSTITUTE(SUBSTITUTE(SUBSTITUTE(_xlpm.doi,"/","%2F"),":","%3A"),"&lt;","%3C"),"&gt;","%3E"))</f>
        <v>10.1890%2F08-1494.1</v>
      </c>
      <c r="J201" s="10" t="str">
        <f t="shared" si="82"/>
        <v>Jones_etal_2009_PanTHERIA1-0WR05Aug2008.txt</v>
      </c>
      <c r="K201" s="3" t="str">
        <f t="shared" si="84"/>
        <v>10.1890%2F08-1494.1_PanTHERIA1-0WR05Aug2008.txt</v>
      </c>
      <c r="L201" s="3" t="str">
        <f t="array" ref="L201">IFERROR(INDEX(AUTO_Public_TSV_FileList!$A$1:$A$1000,MATCH(TRUE(),EXACT(K201,IFERROR(_xlfn.TEXTBEFORE(AUTO_Public_TSV_FileList!$A$1:$A$1000,".tsv"),"")),0)),"notfound")</f>
        <v>notfound</v>
      </c>
    </row>
    <row r="202" spans="1:33" ht="17" customHeight="1" x14ac:dyDescent="0.2">
      <c r="A202" s="8" t="s">
        <v>734</v>
      </c>
      <c r="D202" s="8" t="s">
        <v>736</v>
      </c>
      <c r="E202" s="10" t="str">
        <f t="shared" si="78"/>
        <v>Jones</v>
      </c>
      <c r="F202" s="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3" t="str">
        <f t="shared" si="79"/>
        <v>2009</v>
      </c>
      <c r="H202" s="10" t="str">
        <f t="shared" si="80"/>
        <v>Jones_etal_2009</v>
      </c>
      <c r="I202" s="10" t="str">
        <f t="shared" si="86"/>
        <v>10.1890%2F08-1494.1</v>
      </c>
      <c r="J202" s="10" t="str">
        <f t="shared" si="82"/>
        <v>Jones_etal_2009_PanTHERIA1-0WR93Aug2008.txt</v>
      </c>
      <c r="K202" s="3" t="str">
        <f t="shared" si="84"/>
        <v>10.1890%2F08-1494.1_PanTHERIA1-0WR93Aug2008.txt</v>
      </c>
      <c r="L202" s="3" t="str">
        <f t="array" ref="L202">IFERROR(INDEX(AUTO_Public_TSV_FileList!$A$1:$A$1000,MATCH(TRUE(),EXACT(K202,IFERROR(_xlfn.TEXTBEFORE(AUTO_Public_TSV_FileList!$A$1:$A$1000,".tsv"),"")),0)),"notfound")</f>
        <v>notfound</v>
      </c>
    </row>
    <row r="203" spans="1:33" ht="17" customHeight="1" x14ac:dyDescent="0.2">
      <c r="A203" s="8" t="s">
        <v>737</v>
      </c>
      <c r="D203" s="8" t="s">
        <v>314</v>
      </c>
      <c r="E203" s="10" t="str">
        <f t="shared" si="78"/>
        <v>Jorstad</v>
      </c>
      <c r="F203" s="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3" t="str">
        <f t="shared" si="79"/>
        <v>2023</v>
      </c>
      <c r="H203" s="10" t="str">
        <f t="shared" si="80"/>
        <v>Jorstad_etal_2023</v>
      </c>
      <c r="I203" s="10" t="str">
        <f t="shared" si="86"/>
        <v>10.1126%2Fscience.adf6812</v>
      </c>
      <c r="J203" s="10" t="str">
        <f t="shared" si="82"/>
        <v>Jorstad_etal_2023_TableS1</v>
      </c>
      <c r="K203" s="3" t="str">
        <f t="shared" si="84"/>
        <v>10.1126%2Fscience.adf6812_TableS1</v>
      </c>
      <c r="L203" s="3" t="str">
        <f t="array" ref="L203">IFERROR(INDEX(AUTO_Public_TSV_FileList!$A$1:$A$1000,MATCH(TRUE(),EXACT(K203,IFERROR(_xlfn.TEXTBEFORE(AUTO_Public_TSV_FileList!$A$1:$A$1000,".tsv"),"")),0)),"notfound")</f>
        <v>notfound</v>
      </c>
      <c r="M203" s="8" t="s">
        <v>738</v>
      </c>
      <c r="N203" s="1" t="s">
        <v>35</v>
      </c>
      <c r="P203" s="8" t="s">
        <v>36</v>
      </c>
      <c r="Q203" s="8" t="s">
        <v>739</v>
      </c>
      <c r="R203" s="8" t="s">
        <v>740</v>
      </c>
      <c r="S203" s="8" t="s">
        <v>741</v>
      </c>
      <c r="T203" s="8" t="s">
        <v>742</v>
      </c>
      <c r="U203" s="8" t="s">
        <v>743</v>
      </c>
      <c r="W203" s="8" t="s">
        <v>93</v>
      </c>
      <c r="X203" s="8" t="s">
        <v>744</v>
      </c>
      <c r="Y203" s="8" t="s">
        <v>745</v>
      </c>
      <c r="AA203" s="8" t="s">
        <v>746</v>
      </c>
      <c r="AB203" s="8" t="s">
        <v>747</v>
      </c>
      <c r="AC203" s="8" t="s">
        <v>748</v>
      </c>
      <c r="AE203" s="8" t="s">
        <v>749</v>
      </c>
    </row>
    <row r="204" spans="1:33" ht="17" customHeight="1" x14ac:dyDescent="0.2">
      <c r="A204" s="8" t="s">
        <v>737</v>
      </c>
      <c r="D204" s="8" t="s">
        <v>530</v>
      </c>
      <c r="E204" s="10" t="str">
        <f t="shared" si="78"/>
        <v>Jorstad</v>
      </c>
      <c r="F204" s="3"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3" t="str">
        <f t="shared" si="79"/>
        <v>2023</v>
      </c>
      <c r="H204" s="10" t="str">
        <f t="shared" si="80"/>
        <v>Jorstad_etal_2023</v>
      </c>
      <c r="I204" s="10" t="str">
        <f t="shared" si="86"/>
        <v>10.1126%2Fscience.adf6812</v>
      </c>
      <c r="J204" s="10" t="str">
        <f t="shared" si="82"/>
        <v>Jorstad_etal_2023_TableS2</v>
      </c>
      <c r="K204" s="3" t="str">
        <f t="shared" si="84"/>
        <v>10.1126%2Fscience.adf6812_TableS2</v>
      </c>
      <c r="L204" s="3" t="str">
        <f t="array" ref="L204">IFERROR(INDEX(AUTO_Public_TSV_FileList!$A$1:$A$1000,MATCH(TRUE(),EXACT(K204,IFERROR(_xlfn.TEXTBEFORE(AUTO_Public_TSV_FileList!$A$1:$A$1000,".tsv"),"")),0)),"notfound")</f>
        <v>notfound</v>
      </c>
      <c r="M204" s="8" t="s">
        <v>750</v>
      </c>
      <c r="N204" s="1" t="s">
        <v>35</v>
      </c>
      <c r="P204" s="8" t="s">
        <v>36</v>
      </c>
      <c r="Q204" s="8" t="s">
        <v>739</v>
      </c>
      <c r="R204" s="8" t="s">
        <v>740</v>
      </c>
      <c r="S204" s="8" t="s">
        <v>741</v>
      </c>
      <c r="T204" s="8" t="s">
        <v>742</v>
      </c>
      <c r="U204" s="8" t="s">
        <v>743</v>
      </c>
      <c r="W204" s="8" t="s">
        <v>93</v>
      </c>
      <c r="X204" s="8" t="s">
        <v>744</v>
      </c>
      <c r="Y204" s="8" t="s">
        <v>745</v>
      </c>
      <c r="AA204" s="8" t="s">
        <v>746</v>
      </c>
      <c r="AB204" s="8" t="s">
        <v>747</v>
      </c>
      <c r="AC204" s="8" t="s">
        <v>748</v>
      </c>
      <c r="AE204" s="8" t="s">
        <v>751</v>
      </c>
    </row>
    <row r="205" spans="1:33" ht="17" customHeight="1" x14ac:dyDescent="0.2">
      <c r="A205" s="8" t="s">
        <v>737</v>
      </c>
      <c r="D205" s="8" t="s">
        <v>661</v>
      </c>
      <c r="E205" s="10" t="str">
        <f t="shared" si="78"/>
        <v>Jorstad</v>
      </c>
      <c r="F205" s="3"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3" t="str">
        <f t="shared" si="79"/>
        <v>2023</v>
      </c>
      <c r="H205" s="10" t="str">
        <f t="shared" si="80"/>
        <v>Jorstad_etal_2023</v>
      </c>
      <c r="I205" s="10" t="str">
        <f t="shared" si="86"/>
        <v>10.1126%2Fscience.adf6812</v>
      </c>
      <c r="J205" s="10" t="str">
        <f t="shared" si="82"/>
        <v>Jorstad_etal_2023_TableS3</v>
      </c>
      <c r="K205" s="3" t="str">
        <f t="shared" si="84"/>
        <v>10.1126%2Fscience.adf6812_TableS3</v>
      </c>
      <c r="L205" s="3" t="str">
        <f t="array" ref="L205">IFERROR(INDEX(AUTO_Public_TSV_FileList!$A$1:$A$1000,MATCH(TRUE(),EXACT(K205,IFERROR(_xlfn.TEXTBEFORE(AUTO_Public_TSV_FileList!$A$1:$A$1000,".tsv"),"")),0)),"notfound")</f>
        <v>notfound</v>
      </c>
      <c r="M205" s="8" t="s">
        <v>752</v>
      </c>
      <c r="N205" s="1" t="s">
        <v>35</v>
      </c>
      <c r="P205" s="8" t="s">
        <v>36</v>
      </c>
      <c r="Q205" s="8" t="s">
        <v>739</v>
      </c>
      <c r="R205" s="8" t="s">
        <v>740</v>
      </c>
      <c r="S205" s="8" t="s">
        <v>741</v>
      </c>
      <c r="T205" s="8" t="s">
        <v>742</v>
      </c>
      <c r="U205" s="8" t="s">
        <v>743</v>
      </c>
      <c r="W205" s="8" t="s">
        <v>93</v>
      </c>
      <c r="X205" s="8" t="s">
        <v>744</v>
      </c>
      <c r="Y205" s="8" t="s">
        <v>745</v>
      </c>
      <c r="AA205" s="8" t="s">
        <v>746</v>
      </c>
      <c r="AB205" s="8" t="s">
        <v>747</v>
      </c>
      <c r="AC205" s="8" t="s">
        <v>748</v>
      </c>
      <c r="AE205" s="8" t="s">
        <v>753</v>
      </c>
    </row>
    <row r="206" spans="1:33" ht="17" customHeight="1" x14ac:dyDescent="0.2">
      <c r="A206" s="8" t="s">
        <v>737</v>
      </c>
      <c r="D206" s="8" t="s">
        <v>754</v>
      </c>
      <c r="E206" s="10" t="str">
        <f t="shared" si="78"/>
        <v>Jorstad</v>
      </c>
      <c r="F206" s="3"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3" t="str">
        <f t="shared" si="79"/>
        <v>2023</v>
      </c>
      <c r="H206" s="10" t="str">
        <f t="shared" si="80"/>
        <v>Jorstad_etal_2023</v>
      </c>
      <c r="I206" s="10" t="str">
        <f t="shared" si="86"/>
        <v>10.1126%2Fscience.adf6812</v>
      </c>
      <c r="J206" s="10" t="str">
        <f t="shared" si="82"/>
        <v>Jorstad_etal_2023_TableS4</v>
      </c>
      <c r="K206" s="3" t="str">
        <f t="shared" si="84"/>
        <v>10.1126%2Fscience.adf6812_TableS4</v>
      </c>
      <c r="L206" s="3" t="str">
        <f t="array" ref="L206">IFERROR(INDEX(AUTO_Public_TSV_FileList!$A$1:$A$1000,MATCH(TRUE(),EXACT(K206,IFERROR(_xlfn.TEXTBEFORE(AUTO_Public_TSV_FileList!$A$1:$A$1000,".tsv"),"")),0)),"notfound")</f>
        <v>notfound</v>
      </c>
      <c r="M206" s="8" t="s">
        <v>755</v>
      </c>
      <c r="N206" s="1" t="s">
        <v>35</v>
      </c>
      <c r="P206" s="8" t="s">
        <v>36</v>
      </c>
      <c r="Q206" s="8" t="s">
        <v>739</v>
      </c>
      <c r="R206" s="8" t="s">
        <v>740</v>
      </c>
      <c r="S206" s="8" t="s">
        <v>741</v>
      </c>
      <c r="T206" s="8" t="s">
        <v>742</v>
      </c>
      <c r="U206" s="8" t="s">
        <v>743</v>
      </c>
      <c r="W206" s="8" t="s">
        <v>93</v>
      </c>
      <c r="X206" s="8" t="s">
        <v>744</v>
      </c>
      <c r="Y206" s="8" t="s">
        <v>745</v>
      </c>
      <c r="AA206" s="8" t="s">
        <v>746</v>
      </c>
      <c r="AB206" s="8" t="s">
        <v>747</v>
      </c>
      <c r="AC206" s="8" t="s">
        <v>748</v>
      </c>
      <c r="AE206" s="8" t="s">
        <v>756</v>
      </c>
    </row>
    <row r="207" spans="1:33" ht="17" customHeight="1" x14ac:dyDescent="0.2">
      <c r="A207" s="8" t="s">
        <v>757</v>
      </c>
      <c r="D207" s="8" t="s">
        <v>758</v>
      </c>
      <c r="E207" s="10" t="str">
        <f t="shared" si="78"/>
        <v>Jung</v>
      </c>
      <c r="F207" s="3"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3" t="str">
        <f t="shared" si="79"/>
        <v>2022</v>
      </c>
      <c r="H207" s="10" t="str">
        <f t="shared" si="80"/>
        <v>Jung_etal_2022</v>
      </c>
      <c r="I207" s="10" t="str">
        <f t="shared" si="86"/>
        <v>10.1126%2Fsciadv.abn0954</v>
      </c>
      <c r="J207" s="10" t="str">
        <f t="shared" si="82"/>
        <v>Jung_etal_2022_Reportedresults</v>
      </c>
      <c r="K207" s="3" t="str">
        <f t="shared" si="84"/>
        <v>10.1126%2Fsciadv.abn0954_Reportedresults</v>
      </c>
      <c r="L207" s="3" t="str">
        <f t="array" ref="L207">IFERROR(INDEX(AUTO_Public_TSV_FileList!$A$1:$A$1000,MATCH(TRUE(),EXACT(K207,IFERROR(_xlfn.TEXTBEFORE(AUTO_Public_TSV_FileList!$A$1:$A$1000,".tsv"),"")),0)),"notfound")</f>
        <v>10.1126%2Fsciadv.abn0954_Reportedresults.tsv</v>
      </c>
      <c r="M207" s="8" t="s">
        <v>759</v>
      </c>
      <c r="N207" s="1" t="s">
        <v>35</v>
      </c>
      <c r="P207" s="8" t="s">
        <v>36</v>
      </c>
      <c r="R207" s="8" t="s">
        <v>760</v>
      </c>
      <c r="W207" s="1" t="s">
        <v>131</v>
      </c>
      <c r="X207" s="8" t="s">
        <v>761</v>
      </c>
      <c r="AE207" s="8" t="s">
        <v>51</v>
      </c>
    </row>
    <row r="208" spans="1:33" ht="17" customHeight="1" x14ac:dyDescent="0.2">
      <c r="A208" s="8" t="s">
        <v>757</v>
      </c>
      <c r="D208" s="8" t="s">
        <v>314</v>
      </c>
      <c r="E208" s="10" t="str">
        <f t="shared" si="78"/>
        <v>Jung</v>
      </c>
      <c r="F208" s="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3" t="str">
        <f t="shared" si="79"/>
        <v>2022</v>
      </c>
      <c r="H208" s="10" t="str">
        <f t="shared" si="80"/>
        <v>Jung_etal_2022</v>
      </c>
      <c r="I208" s="10" t="str">
        <f t="shared" si="86"/>
        <v>10.1126%2Fsciadv.abn0954</v>
      </c>
      <c r="J208" s="10" t="str">
        <f t="shared" si="82"/>
        <v>Jung_etal_2022_TableS1</v>
      </c>
      <c r="K208" s="10" t="str">
        <f t="shared" si="84"/>
        <v>10.1126%2Fsciadv.abn0954_TableS1</v>
      </c>
      <c r="L208" s="3" t="str">
        <f t="array" ref="L208">IFERROR(INDEX(AUTO_Public_TSV_FileList!$A$1:$A$1000,MATCH(TRUE(),EXACT(K208,IFERROR(_xlfn.TEXTBEFORE(AUTO_Public_TSV_FileList!$A$1:$A$1000,".tsv"),"")),0)),"notfound")</f>
        <v>notfound</v>
      </c>
      <c r="M208" s="8" t="s">
        <v>762</v>
      </c>
      <c r="N208" s="1" t="s">
        <v>35</v>
      </c>
      <c r="R208" s="8" t="s">
        <v>760</v>
      </c>
      <c r="W208" s="1" t="s">
        <v>131</v>
      </c>
      <c r="X208" s="8" t="s">
        <v>761</v>
      </c>
      <c r="AE208" s="8" t="s">
        <v>51</v>
      </c>
    </row>
    <row r="209" spans="1:32" ht="17" customHeight="1" x14ac:dyDescent="0.2">
      <c r="A209" s="8" t="s">
        <v>757</v>
      </c>
      <c r="D209" s="8" t="s">
        <v>530</v>
      </c>
      <c r="E209" s="10" t="str">
        <f t="shared" si="78"/>
        <v>Jung</v>
      </c>
      <c r="F209" s="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3" t="str">
        <f t="shared" si="79"/>
        <v>2022</v>
      </c>
      <c r="H209" s="10" t="str">
        <f t="shared" si="80"/>
        <v>Jung_etal_2022</v>
      </c>
      <c r="I209" s="10" t="str">
        <f t="shared" si="86"/>
        <v>10.1126%2Fsciadv.abn0954</v>
      </c>
      <c r="J209" s="10" t="str">
        <f t="shared" si="82"/>
        <v>Jung_etal_2022_TableS2</v>
      </c>
      <c r="K209" s="10" t="str">
        <f t="shared" si="84"/>
        <v>10.1126%2Fsciadv.abn0954_TableS2</v>
      </c>
      <c r="L209" s="3" t="str">
        <f t="array" ref="L209">IFERROR(INDEX(AUTO_Public_TSV_FileList!$A$1:$A$1000,MATCH(TRUE(),EXACT(K209,IFERROR(_xlfn.TEXTBEFORE(AUTO_Public_TSV_FileList!$A$1:$A$1000,".tsv"),"")),0)),"notfound")</f>
        <v>notfound</v>
      </c>
      <c r="M209" s="8" t="s">
        <v>763</v>
      </c>
      <c r="N209" s="1" t="s">
        <v>35</v>
      </c>
      <c r="R209" s="8" t="s">
        <v>760</v>
      </c>
      <c r="W209" s="1" t="s">
        <v>131</v>
      </c>
      <c r="X209" s="8" t="s">
        <v>761</v>
      </c>
      <c r="AE209" s="8" t="s">
        <v>51</v>
      </c>
    </row>
    <row r="210" spans="1:32" ht="17" customHeight="1" x14ac:dyDescent="0.2">
      <c r="A210" s="1" t="s">
        <v>764</v>
      </c>
      <c r="D210" s="1" t="s">
        <v>81</v>
      </c>
      <c r="E210" s="3" t="str">
        <f t="shared" si="78"/>
        <v>Karbowski</v>
      </c>
      <c r="F210" s="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0" s="3" t="str">
        <f t="shared" si="79"/>
        <v>2007</v>
      </c>
      <c r="H210" s="3" t="str">
        <f t="shared" si="80"/>
        <v>Karbowski__2007</v>
      </c>
      <c r="I210" s="3" t="str">
        <f t="shared" ref="I210:I241" si="87">_xlfn.LET(
_xlpm.doi,IF(C210&lt;&gt;"",C210,_xlfn.TEXTAFTER(A210,"https://doi.org/")),
SUBSTITUTE(
SUBSTITUTE(
SUBSTITUTE(
SUBSTITUTE(
_xlpm.doi,
"/","%2F"),
":","%3A"),
"&lt;","%3C"),
"&gt;","%3E")
)</f>
        <v>10.1186%2F1741-7007-5-18</v>
      </c>
      <c r="J210" s="3" t="str">
        <f t="shared" si="82"/>
        <v>Karbowski__2007_Table1</v>
      </c>
      <c r="K210" s="3" t="str">
        <f t="shared" ref="K210:K234" si="88">I210 &amp; "_" &amp; SUBSTITUTE(SUBSTITUTE(SUBSTITUTE(D210,CHAR(160),"")," ",""),"_","")</f>
        <v>10.1186%2F1741-7007-5-18_Table1</v>
      </c>
      <c r="L210" s="3" t="str">
        <f t="array" ref="L210">IFERROR(INDEX(AUTO_Public_TSV_FileList!$A$1:$A$1000,MATCH(TRUE(),EXACT(K210,IFERROR(_xlfn.TEXTBEFORE(AUTO_Public_TSV_FileList!$A$1:$A$1000,".tsv"),"")),0)),"notfound")</f>
        <v>notfound</v>
      </c>
      <c r="N210" s="1" t="s">
        <v>35</v>
      </c>
      <c r="W210" s="1" t="s">
        <v>131</v>
      </c>
      <c r="X210" s="1" t="s">
        <v>765</v>
      </c>
      <c r="AA210" s="1"/>
      <c r="AB210" s="1" t="s">
        <v>766</v>
      </c>
      <c r="AE210" s="1" t="s">
        <v>172</v>
      </c>
      <c r="AF210" s="1"/>
    </row>
    <row r="211" spans="1:32" ht="17" customHeight="1" x14ac:dyDescent="0.2">
      <c r="A211" s="1" t="s">
        <v>764</v>
      </c>
      <c r="D211" s="1" t="s">
        <v>314</v>
      </c>
      <c r="E211" s="3" t="str">
        <f t="shared" si="78"/>
        <v>Karbowski</v>
      </c>
      <c r="F211" s="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1" s="3" t="str">
        <f t="shared" si="79"/>
        <v>2007</v>
      </c>
      <c r="H211" s="3" t="str">
        <f t="shared" si="80"/>
        <v>Karbowski__2007</v>
      </c>
      <c r="I211" s="3" t="str">
        <f t="shared" si="87"/>
        <v>10.1186%2F1741-7007-5-18</v>
      </c>
      <c r="J211" s="3" t="str">
        <f t="shared" si="82"/>
        <v>Karbowski__2007_TableS1</v>
      </c>
      <c r="K211" s="3" t="str">
        <f t="shared" si="88"/>
        <v>10.1186%2F1741-7007-5-18_TableS1</v>
      </c>
      <c r="L211" s="3" t="str">
        <f t="array" ref="L211">IFERROR(INDEX(AUTO_Public_TSV_FileList!$A$1:$A$1000,MATCH(TRUE(),EXACT(K211,IFERROR(_xlfn.TEXTBEFORE(AUTO_Public_TSV_FileList!$A$1:$A$1000,".tsv"),"")),0)),"notfound")</f>
        <v>10.1186%2F1741-7007-5-18_TableS1.tsv</v>
      </c>
      <c r="M211" s="1" t="s">
        <v>767</v>
      </c>
      <c r="N211" s="1" t="s">
        <v>35</v>
      </c>
      <c r="P211" s="1" t="s">
        <v>36</v>
      </c>
      <c r="W211" s="1" t="s">
        <v>131</v>
      </c>
      <c r="X211" s="1" t="s">
        <v>768</v>
      </c>
      <c r="AA211" s="1"/>
      <c r="AB211" s="1" t="s">
        <v>769</v>
      </c>
      <c r="AE211" s="1" t="s">
        <v>172</v>
      </c>
      <c r="AF211" s="1"/>
    </row>
    <row r="212" spans="1:32" ht="17" customHeight="1" x14ac:dyDescent="0.2">
      <c r="A212" s="1" t="s">
        <v>764</v>
      </c>
      <c r="D212" s="1" t="s">
        <v>770</v>
      </c>
      <c r="E212" s="3" t="str">
        <f t="shared" ref="E212:E275" si="89">SUBSTITUTE(SUBSTITUTE(_xlfn.TEXTBEFORE(A212,","), "-", ""), " ", "")</f>
        <v>Karbowski</v>
      </c>
      <c r="F212" s="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2" s="3" t="str">
        <f t="shared" ref="G212:G275" si="90">_xlfn.TEXTBEFORE(_xlfn.TEXTAFTER(A212, "("), ")")</f>
        <v>2007</v>
      </c>
      <c r="H212" s="3" t="str">
        <f t="shared" ref="H212:H275" si="91">E212 &amp; IF(F212&lt;&gt;"", "_" &amp; F212, "_") &amp; IF(G212&lt;&gt;"", "_" &amp; G212, "_") &amp; IF(B212&lt;&gt;"", "_" &amp; B212, "")</f>
        <v>Karbowski__2007</v>
      </c>
      <c r="I212" s="3" t="str">
        <f t="shared" si="87"/>
        <v>10.1186%2F1741-7007-5-18</v>
      </c>
      <c r="J212" s="3" t="str">
        <f t="shared" ref="J212:J275" si="92">TRIM(_xlfn.TEXTJOIN("_",FALSE(),H212,(SUBSTITUTE(SUBSTITUTE(D212," ",""), "_", ""))))</f>
        <v>Karbowski__2007_TableS10</v>
      </c>
      <c r="K212" s="3" t="str">
        <f t="shared" si="88"/>
        <v>10.1186%2F1741-7007-5-18_TableS10</v>
      </c>
      <c r="L212" s="3" t="str">
        <f t="array" ref="L212">IFERROR(INDEX(AUTO_Public_TSV_FileList!$A$1:$A$1000,MATCH(TRUE(),EXACT(K212,IFERROR(_xlfn.TEXTBEFORE(AUTO_Public_TSV_FileList!$A$1:$A$1000,".tsv"),"")),0)),"notfound")</f>
        <v>10.1186%2F1741-7007-5-18_TableS10.tsv</v>
      </c>
      <c r="M212" s="1" t="s">
        <v>771</v>
      </c>
      <c r="N212" s="1" t="s">
        <v>35</v>
      </c>
      <c r="P212" s="1" t="s">
        <v>36</v>
      </c>
      <c r="W212" s="1" t="s">
        <v>131</v>
      </c>
      <c r="X212" s="1" t="s">
        <v>772</v>
      </c>
      <c r="AA212" s="1"/>
      <c r="AB212" s="1" t="s">
        <v>769</v>
      </c>
      <c r="AE212" s="1" t="s">
        <v>172</v>
      </c>
      <c r="AF212" s="1"/>
    </row>
    <row r="213" spans="1:32" ht="17" customHeight="1" x14ac:dyDescent="0.2">
      <c r="A213" s="1" t="s">
        <v>764</v>
      </c>
      <c r="D213" s="1" t="s">
        <v>773</v>
      </c>
      <c r="E213" s="3" t="str">
        <f t="shared" si="89"/>
        <v>Karbowski</v>
      </c>
      <c r="F213" s="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3" s="3" t="str">
        <f t="shared" si="90"/>
        <v>2007</v>
      </c>
      <c r="H213" s="3" t="str">
        <f t="shared" si="91"/>
        <v>Karbowski__2007</v>
      </c>
      <c r="I213" s="3" t="str">
        <f t="shared" si="87"/>
        <v>10.1186%2F1741-7007-5-18</v>
      </c>
      <c r="J213" s="3" t="str">
        <f t="shared" si="92"/>
        <v>Karbowski__2007_TableS11</v>
      </c>
      <c r="K213" s="3" t="str">
        <f t="shared" si="88"/>
        <v>10.1186%2F1741-7007-5-18_TableS11</v>
      </c>
      <c r="L213" s="3" t="str">
        <f t="array" ref="L213">IFERROR(INDEX(AUTO_Public_TSV_FileList!$A$1:$A$1000,MATCH(TRUE(),EXACT(K213,IFERROR(_xlfn.TEXTBEFORE(AUTO_Public_TSV_FileList!$A$1:$A$1000,".tsv"),"")),0)),"notfound")</f>
        <v>10.1186%2F1741-7007-5-18_TableS11.tsv</v>
      </c>
      <c r="M213" s="1" t="s">
        <v>774</v>
      </c>
      <c r="N213" s="1" t="s">
        <v>35</v>
      </c>
      <c r="P213" s="1" t="s">
        <v>36</v>
      </c>
      <c r="W213" s="1" t="s">
        <v>131</v>
      </c>
      <c r="X213" s="1" t="s">
        <v>772</v>
      </c>
      <c r="AA213" s="1"/>
      <c r="AB213" s="1" t="s">
        <v>769</v>
      </c>
      <c r="AE213" s="1" t="s">
        <v>172</v>
      </c>
      <c r="AF213" s="1"/>
    </row>
    <row r="214" spans="1:32" ht="17" customHeight="1" x14ac:dyDescent="0.2">
      <c r="A214" s="1" t="s">
        <v>764</v>
      </c>
      <c r="D214" s="1" t="s">
        <v>775</v>
      </c>
      <c r="E214" s="3" t="str">
        <f t="shared" si="89"/>
        <v>Karbowski</v>
      </c>
      <c r="F214" s="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3" t="str">
        <f t="shared" si="90"/>
        <v>2007</v>
      </c>
      <c r="H214" s="3" t="str">
        <f t="shared" si="91"/>
        <v>Karbowski__2007</v>
      </c>
      <c r="I214" s="3" t="str">
        <f t="shared" si="87"/>
        <v>10.1186%2F1741-7007-5-18</v>
      </c>
      <c r="J214" s="3" t="str">
        <f t="shared" si="92"/>
        <v>Karbowski__2007_TableS12</v>
      </c>
      <c r="K214" s="3" t="str">
        <f t="shared" si="88"/>
        <v>10.1186%2F1741-7007-5-18_TableS12</v>
      </c>
      <c r="L214" s="3" t="str">
        <f t="array" ref="L214">IFERROR(INDEX(AUTO_Public_TSV_FileList!$A$1:$A$1000,MATCH(TRUE(),EXACT(K214,IFERROR(_xlfn.TEXTBEFORE(AUTO_Public_TSV_FileList!$A$1:$A$1000,".tsv"),"")),0)),"notfound")</f>
        <v>10.1186%2F1741-7007-5-18_TableS12.tsv</v>
      </c>
      <c r="M214" s="1" t="s">
        <v>776</v>
      </c>
      <c r="N214" s="1" t="s">
        <v>35</v>
      </c>
      <c r="P214" s="1" t="s">
        <v>36</v>
      </c>
      <c r="W214" s="1" t="s">
        <v>131</v>
      </c>
      <c r="X214" s="1" t="s">
        <v>772</v>
      </c>
      <c r="AA214" s="1"/>
      <c r="AB214" s="1" t="s">
        <v>769</v>
      </c>
      <c r="AE214" s="1" t="s">
        <v>172</v>
      </c>
      <c r="AF214" s="1"/>
    </row>
    <row r="215" spans="1:32" ht="17" customHeight="1" x14ac:dyDescent="0.2">
      <c r="A215" s="1" t="s">
        <v>764</v>
      </c>
      <c r="D215" s="1" t="s">
        <v>777</v>
      </c>
      <c r="E215" s="3" t="str">
        <f t="shared" si="89"/>
        <v>Karbowski</v>
      </c>
      <c r="F215" s="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3" t="str">
        <f t="shared" si="90"/>
        <v>2007</v>
      </c>
      <c r="H215" s="3" t="str">
        <f t="shared" si="91"/>
        <v>Karbowski__2007</v>
      </c>
      <c r="I215" s="3" t="str">
        <f t="shared" si="87"/>
        <v>10.1186%2F1741-7007-5-18</v>
      </c>
      <c r="J215" s="3" t="str">
        <f t="shared" si="92"/>
        <v>Karbowski__2007_TableS13</v>
      </c>
      <c r="K215" s="3" t="str">
        <f t="shared" si="88"/>
        <v>10.1186%2F1741-7007-5-18_TableS13</v>
      </c>
      <c r="L215" s="3" t="str">
        <f t="array" ref="L215">IFERROR(INDEX(AUTO_Public_TSV_FileList!$A$1:$A$1000,MATCH(TRUE(),EXACT(K215,IFERROR(_xlfn.TEXTBEFORE(AUTO_Public_TSV_FileList!$A$1:$A$1000,".tsv"),"")),0)),"notfound")</f>
        <v>10.1186%2F1741-7007-5-18_TableS13.tsv</v>
      </c>
      <c r="M215" s="1" t="s">
        <v>778</v>
      </c>
      <c r="N215" s="1" t="s">
        <v>35</v>
      </c>
      <c r="P215" s="1" t="s">
        <v>36</v>
      </c>
      <c r="W215" s="1" t="s">
        <v>131</v>
      </c>
      <c r="X215" s="1" t="s">
        <v>772</v>
      </c>
      <c r="AA215" s="1"/>
      <c r="AB215" s="1" t="s">
        <v>769</v>
      </c>
      <c r="AE215" s="1" t="s">
        <v>172</v>
      </c>
      <c r="AF215" s="1"/>
    </row>
    <row r="216" spans="1:32" ht="17" customHeight="1" x14ac:dyDescent="0.2">
      <c r="A216" s="1" t="s">
        <v>764</v>
      </c>
      <c r="D216" s="1" t="s">
        <v>779</v>
      </c>
      <c r="E216" s="3" t="str">
        <f t="shared" si="89"/>
        <v>Karbowski</v>
      </c>
      <c r="F216" s="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3" t="str">
        <f t="shared" si="90"/>
        <v>2007</v>
      </c>
      <c r="H216" s="3" t="str">
        <f t="shared" si="91"/>
        <v>Karbowski__2007</v>
      </c>
      <c r="I216" s="3" t="str">
        <f t="shared" si="87"/>
        <v>10.1186%2F1741-7007-5-18</v>
      </c>
      <c r="J216" s="3" t="str">
        <f t="shared" si="92"/>
        <v>Karbowski__2007_TableS14</v>
      </c>
      <c r="K216" s="3" t="str">
        <f t="shared" si="88"/>
        <v>10.1186%2F1741-7007-5-18_TableS14</v>
      </c>
      <c r="L216" s="3" t="str">
        <f t="array" ref="L216">IFERROR(INDEX(AUTO_Public_TSV_FileList!$A$1:$A$1000,MATCH(TRUE(),EXACT(K216,IFERROR(_xlfn.TEXTBEFORE(AUTO_Public_TSV_FileList!$A$1:$A$1000,".tsv"),"")),0)),"notfound")</f>
        <v>10.1186%2F1741-7007-5-18_TableS14.tsv</v>
      </c>
      <c r="M216" s="1" t="s">
        <v>780</v>
      </c>
      <c r="N216" s="1" t="s">
        <v>35</v>
      </c>
      <c r="P216" s="1" t="s">
        <v>36</v>
      </c>
      <c r="W216" s="1" t="s">
        <v>131</v>
      </c>
      <c r="X216" s="1" t="s">
        <v>772</v>
      </c>
      <c r="AA216" s="1"/>
      <c r="AB216" s="1" t="s">
        <v>769</v>
      </c>
      <c r="AE216" s="1" t="s">
        <v>172</v>
      </c>
      <c r="AF216" s="1"/>
    </row>
    <row r="217" spans="1:32" ht="17" customHeight="1" x14ac:dyDescent="0.2">
      <c r="A217" s="1" t="s">
        <v>764</v>
      </c>
      <c r="D217" s="1" t="s">
        <v>781</v>
      </c>
      <c r="E217" s="3" t="str">
        <f t="shared" si="89"/>
        <v>Karbowski</v>
      </c>
      <c r="F217" s="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3" t="str">
        <f t="shared" si="90"/>
        <v>2007</v>
      </c>
      <c r="H217" s="3" t="str">
        <f t="shared" si="91"/>
        <v>Karbowski__2007</v>
      </c>
      <c r="I217" s="3" t="str">
        <f t="shared" si="87"/>
        <v>10.1186%2F1741-7007-5-18</v>
      </c>
      <c r="J217" s="3" t="str">
        <f t="shared" si="92"/>
        <v>Karbowski__2007_TableS15</v>
      </c>
      <c r="K217" s="3" t="str">
        <f t="shared" si="88"/>
        <v>10.1186%2F1741-7007-5-18_TableS15</v>
      </c>
      <c r="L217" s="3" t="str">
        <f t="array" ref="L217">IFERROR(INDEX(AUTO_Public_TSV_FileList!$A$1:$A$1000,MATCH(TRUE(),EXACT(K217,IFERROR(_xlfn.TEXTBEFORE(AUTO_Public_TSV_FileList!$A$1:$A$1000,".tsv"),"")),0)),"notfound")</f>
        <v>10.1186%2F1741-7007-5-18_TableS15.tsv</v>
      </c>
      <c r="M217" s="1" t="s">
        <v>782</v>
      </c>
      <c r="N217" s="1" t="s">
        <v>35</v>
      </c>
      <c r="P217" s="1" t="s">
        <v>36</v>
      </c>
      <c r="W217" s="1" t="s">
        <v>131</v>
      </c>
      <c r="X217" s="1" t="s">
        <v>772</v>
      </c>
      <c r="AA217" s="1"/>
      <c r="AB217" s="1" t="s">
        <v>769</v>
      </c>
      <c r="AE217" s="1" t="s">
        <v>172</v>
      </c>
      <c r="AF217" s="1"/>
    </row>
    <row r="218" spans="1:32" ht="17" customHeight="1" x14ac:dyDescent="0.2">
      <c r="A218" s="1" t="s">
        <v>764</v>
      </c>
      <c r="D218" s="1" t="s">
        <v>783</v>
      </c>
      <c r="E218" s="3" t="str">
        <f t="shared" si="89"/>
        <v>Karbowski</v>
      </c>
      <c r="F218" s="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3" t="str">
        <f t="shared" si="90"/>
        <v>2007</v>
      </c>
      <c r="H218" s="3" t="str">
        <f t="shared" si="91"/>
        <v>Karbowski__2007</v>
      </c>
      <c r="I218" s="3" t="str">
        <f t="shared" si="87"/>
        <v>10.1186%2F1741-7007-5-18</v>
      </c>
      <c r="J218" s="3" t="str">
        <f t="shared" si="92"/>
        <v>Karbowski__2007_TableS16</v>
      </c>
      <c r="K218" s="3" t="str">
        <f t="shared" si="88"/>
        <v>10.1186%2F1741-7007-5-18_TableS16</v>
      </c>
      <c r="L218" s="3" t="str">
        <f t="array" ref="L218">IFERROR(INDEX(AUTO_Public_TSV_FileList!$A$1:$A$1000,MATCH(TRUE(),EXACT(K218,IFERROR(_xlfn.TEXTBEFORE(AUTO_Public_TSV_FileList!$A$1:$A$1000,".tsv"),"")),0)),"notfound")</f>
        <v>10.1186%2F1741-7007-5-18_TableS16.tsv</v>
      </c>
      <c r="M218" s="1" t="s">
        <v>784</v>
      </c>
      <c r="N218" s="1" t="s">
        <v>35</v>
      </c>
      <c r="P218" s="1" t="s">
        <v>36</v>
      </c>
      <c r="W218" s="1" t="s">
        <v>131</v>
      </c>
      <c r="X218" s="1" t="s">
        <v>772</v>
      </c>
      <c r="AA218" s="1"/>
      <c r="AB218" s="1" t="s">
        <v>769</v>
      </c>
      <c r="AE218" s="1" t="s">
        <v>172</v>
      </c>
      <c r="AF218" s="1"/>
    </row>
    <row r="219" spans="1:32" ht="17" customHeight="1" x14ac:dyDescent="0.2">
      <c r="A219" s="1" t="s">
        <v>764</v>
      </c>
      <c r="D219" s="1" t="s">
        <v>785</v>
      </c>
      <c r="E219" s="3" t="str">
        <f t="shared" si="89"/>
        <v>Karbowski</v>
      </c>
      <c r="F219" s="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9" s="3" t="str">
        <f t="shared" si="90"/>
        <v>2007</v>
      </c>
      <c r="H219" s="3" t="str">
        <f t="shared" si="91"/>
        <v>Karbowski__2007</v>
      </c>
      <c r="I219" s="3" t="str">
        <f t="shared" si="87"/>
        <v>10.1186%2F1741-7007-5-18</v>
      </c>
      <c r="J219" s="3" t="str">
        <f t="shared" si="92"/>
        <v>Karbowski__2007_TableS17</v>
      </c>
      <c r="K219" s="3" t="str">
        <f t="shared" si="88"/>
        <v>10.1186%2F1741-7007-5-18_TableS17</v>
      </c>
      <c r="L219" s="3" t="str">
        <f t="array" ref="L219">IFERROR(INDEX(AUTO_Public_TSV_FileList!$A$1:$A$1000,MATCH(TRUE(),EXACT(K219,IFERROR(_xlfn.TEXTBEFORE(AUTO_Public_TSV_FileList!$A$1:$A$1000,".tsv"),"")),0)),"notfound")</f>
        <v>10.1186%2F1741-7007-5-18_TableS17.tsv</v>
      </c>
      <c r="M219" s="1" t="s">
        <v>786</v>
      </c>
      <c r="N219" s="1" t="s">
        <v>35</v>
      </c>
      <c r="P219" s="1" t="s">
        <v>36</v>
      </c>
      <c r="W219" s="1" t="s">
        <v>131</v>
      </c>
      <c r="X219" s="1" t="s">
        <v>772</v>
      </c>
      <c r="AA219" s="1"/>
      <c r="AB219" s="1" t="s">
        <v>769</v>
      </c>
      <c r="AE219" s="1" t="s">
        <v>172</v>
      </c>
      <c r="AF219" s="1"/>
    </row>
    <row r="220" spans="1:32" ht="17" customHeight="1" x14ac:dyDescent="0.2">
      <c r="A220" s="1" t="s">
        <v>764</v>
      </c>
      <c r="D220" s="1" t="s">
        <v>787</v>
      </c>
      <c r="E220" s="3" t="str">
        <f t="shared" si="89"/>
        <v>Karbowski</v>
      </c>
      <c r="F220" s="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0" s="3" t="str">
        <f t="shared" si="90"/>
        <v>2007</v>
      </c>
      <c r="H220" s="3" t="str">
        <f t="shared" si="91"/>
        <v>Karbowski__2007</v>
      </c>
      <c r="I220" s="3" t="str">
        <f t="shared" si="87"/>
        <v>10.1186%2F1741-7007-5-18</v>
      </c>
      <c r="J220" s="3" t="str">
        <f t="shared" si="92"/>
        <v>Karbowski__2007_TableS18</v>
      </c>
      <c r="K220" s="3" t="str">
        <f t="shared" si="88"/>
        <v>10.1186%2F1741-7007-5-18_TableS18</v>
      </c>
      <c r="L220" s="3" t="str">
        <f t="array" ref="L220">IFERROR(INDEX(AUTO_Public_TSV_FileList!$A$1:$A$1000,MATCH(TRUE(),EXACT(K220,IFERROR(_xlfn.TEXTBEFORE(AUTO_Public_TSV_FileList!$A$1:$A$1000,".tsv"),"")),0)),"notfound")</f>
        <v>10.1186%2F1741-7007-5-18_TableS18.tsv</v>
      </c>
      <c r="M220" s="1" t="s">
        <v>788</v>
      </c>
      <c r="N220" s="1" t="s">
        <v>35</v>
      </c>
      <c r="P220" s="1" t="s">
        <v>36</v>
      </c>
      <c r="W220" s="1" t="s">
        <v>131</v>
      </c>
      <c r="X220" s="1" t="s">
        <v>772</v>
      </c>
      <c r="AA220" s="1"/>
      <c r="AB220" s="1" t="s">
        <v>769</v>
      </c>
      <c r="AE220" s="1" t="s">
        <v>172</v>
      </c>
      <c r="AF220" s="1"/>
    </row>
    <row r="221" spans="1:32" ht="17" customHeight="1" x14ac:dyDescent="0.2">
      <c r="A221" s="1" t="s">
        <v>764</v>
      </c>
      <c r="D221" s="1" t="s">
        <v>789</v>
      </c>
      <c r="E221" s="3" t="str">
        <f t="shared" si="89"/>
        <v>Karbowski</v>
      </c>
      <c r="F221" s="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1" s="3" t="str">
        <f t="shared" si="90"/>
        <v>2007</v>
      </c>
      <c r="H221" s="3" t="str">
        <f t="shared" si="91"/>
        <v>Karbowski__2007</v>
      </c>
      <c r="I221" s="3" t="str">
        <f t="shared" si="87"/>
        <v>10.1186%2F1741-7007-5-18</v>
      </c>
      <c r="J221" s="3" t="str">
        <f t="shared" si="92"/>
        <v>Karbowski__2007_TableS19</v>
      </c>
      <c r="K221" s="3" t="str">
        <f t="shared" si="88"/>
        <v>10.1186%2F1741-7007-5-18_TableS19</v>
      </c>
      <c r="L221" s="3" t="str">
        <f t="array" ref="L221">IFERROR(INDEX(AUTO_Public_TSV_FileList!$A$1:$A$1000,MATCH(TRUE(),EXACT(K221,IFERROR(_xlfn.TEXTBEFORE(AUTO_Public_TSV_FileList!$A$1:$A$1000,".tsv"),"")),0)),"notfound")</f>
        <v>10.1186%2F1741-7007-5-18_TableS19.tsv</v>
      </c>
      <c r="M221" s="1" t="s">
        <v>790</v>
      </c>
      <c r="N221" s="1" t="s">
        <v>35</v>
      </c>
      <c r="P221" s="1" t="s">
        <v>36</v>
      </c>
      <c r="W221" s="1" t="s">
        <v>131</v>
      </c>
      <c r="X221" s="1" t="s">
        <v>772</v>
      </c>
      <c r="AA221" s="1"/>
      <c r="AB221" s="1" t="s">
        <v>769</v>
      </c>
      <c r="AE221" s="1" t="s">
        <v>172</v>
      </c>
      <c r="AF221" s="1"/>
    </row>
    <row r="222" spans="1:32" ht="17" customHeight="1" x14ac:dyDescent="0.2">
      <c r="A222" s="1" t="s">
        <v>764</v>
      </c>
      <c r="D222" s="1" t="s">
        <v>530</v>
      </c>
      <c r="E222" s="3" t="str">
        <f t="shared" si="89"/>
        <v>Karbowski</v>
      </c>
      <c r="F222" s="3"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2" s="3" t="str">
        <f t="shared" si="90"/>
        <v>2007</v>
      </c>
      <c r="H222" s="3" t="str">
        <f t="shared" si="91"/>
        <v>Karbowski__2007</v>
      </c>
      <c r="I222" s="3" t="str">
        <f t="shared" si="87"/>
        <v>10.1186%2F1741-7007-5-18</v>
      </c>
      <c r="J222" s="3" t="str">
        <f t="shared" si="92"/>
        <v>Karbowski__2007_TableS2</v>
      </c>
      <c r="K222" s="3" t="str">
        <f t="shared" si="88"/>
        <v>10.1186%2F1741-7007-5-18_TableS2</v>
      </c>
      <c r="L222" s="3" t="str">
        <f t="array" ref="L222">IFERROR(INDEX(AUTO_Public_TSV_FileList!$A$1:$A$1000,MATCH(TRUE(),EXACT(K222,IFERROR(_xlfn.TEXTBEFORE(AUTO_Public_TSV_FileList!$A$1:$A$1000,".tsv"),"")),0)),"notfound")</f>
        <v>10.1186%2F1741-7007-5-18_TableS2.tsv</v>
      </c>
      <c r="M222" s="1" t="s">
        <v>791</v>
      </c>
      <c r="N222" s="1" t="s">
        <v>35</v>
      </c>
      <c r="P222" s="1" t="s">
        <v>36</v>
      </c>
      <c r="W222" s="1" t="s">
        <v>131</v>
      </c>
      <c r="X222" s="1" t="s">
        <v>772</v>
      </c>
      <c r="AA222" s="1"/>
      <c r="AB222" s="1" t="s">
        <v>769</v>
      </c>
      <c r="AE222" s="1" t="s">
        <v>172</v>
      </c>
      <c r="AF222" s="1"/>
    </row>
    <row r="223" spans="1:32" ht="17" customHeight="1" x14ac:dyDescent="0.2">
      <c r="A223" s="1" t="s">
        <v>764</v>
      </c>
      <c r="D223" s="1" t="s">
        <v>792</v>
      </c>
      <c r="E223" s="3" t="str">
        <f t="shared" si="89"/>
        <v>Karbowski</v>
      </c>
      <c r="F223" s="3"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3" s="3" t="str">
        <f t="shared" si="90"/>
        <v>2007</v>
      </c>
      <c r="H223" s="3" t="str">
        <f t="shared" si="91"/>
        <v>Karbowski__2007</v>
      </c>
      <c r="I223" s="3" t="str">
        <f t="shared" si="87"/>
        <v>10.1186%2F1741-7007-5-18</v>
      </c>
      <c r="J223" s="3" t="str">
        <f t="shared" si="92"/>
        <v>Karbowski__2007_TableS20</v>
      </c>
      <c r="K223" s="3" t="str">
        <f t="shared" si="88"/>
        <v>10.1186%2F1741-7007-5-18_TableS20</v>
      </c>
      <c r="L223" s="3" t="str">
        <f t="array" ref="L223">IFERROR(INDEX(AUTO_Public_TSV_FileList!$A$1:$A$1000,MATCH(TRUE(),EXACT(K223,IFERROR(_xlfn.TEXTBEFORE(AUTO_Public_TSV_FileList!$A$1:$A$1000,".tsv"),"")),0)),"notfound")</f>
        <v>10.1186%2F1741-7007-5-18_TableS20.tsv</v>
      </c>
      <c r="M223" s="1" t="s">
        <v>793</v>
      </c>
      <c r="N223" s="1" t="s">
        <v>35</v>
      </c>
      <c r="P223" s="1" t="s">
        <v>36</v>
      </c>
      <c r="W223" s="1" t="s">
        <v>131</v>
      </c>
      <c r="X223" s="1" t="s">
        <v>772</v>
      </c>
      <c r="AA223" s="1"/>
      <c r="AB223" s="1" t="s">
        <v>769</v>
      </c>
      <c r="AE223" s="1" t="s">
        <v>172</v>
      </c>
      <c r="AF223" s="1"/>
    </row>
    <row r="224" spans="1:32" ht="17" customHeight="1" x14ac:dyDescent="0.2">
      <c r="A224" s="1" t="s">
        <v>764</v>
      </c>
      <c r="D224" s="1" t="s">
        <v>794</v>
      </c>
      <c r="E224" s="3" t="str">
        <f t="shared" si="89"/>
        <v>Karbowski</v>
      </c>
      <c r="F224" s="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4" s="3" t="str">
        <f t="shared" si="90"/>
        <v>2007</v>
      </c>
      <c r="H224" s="3" t="str">
        <f t="shared" si="91"/>
        <v>Karbowski__2007</v>
      </c>
      <c r="I224" s="3" t="str">
        <f t="shared" si="87"/>
        <v>10.1186%2F1741-7007-5-18</v>
      </c>
      <c r="J224" s="3" t="str">
        <f t="shared" si="92"/>
        <v>Karbowski__2007_TableS21</v>
      </c>
      <c r="K224" s="3" t="str">
        <f t="shared" si="88"/>
        <v>10.1186%2F1741-7007-5-18_TableS21</v>
      </c>
      <c r="L224" s="3" t="str">
        <f t="array" ref="L224">IFERROR(INDEX(AUTO_Public_TSV_FileList!$A$1:$A$1000,MATCH(TRUE(),EXACT(K224,IFERROR(_xlfn.TEXTBEFORE(AUTO_Public_TSV_FileList!$A$1:$A$1000,".tsv"),"")),0)),"notfound")</f>
        <v>10.1186%2F1741-7007-5-18_TableS21.tsv</v>
      </c>
      <c r="M224" s="1" t="s">
        <v>795</v>
      </c>
      <c r="N224" s="1" t="s">
        <v>35</v>
      </c>
      <c r="P224" s="1" t="s">
        <v>36</v>
      </c>
      <c r="W224" s="1" t="s">
        <v>131</v>
      </c>
      <c r="X224" s="1" t="s">
        <v>772</v>
      </c>
      <c r="AA224" s="1"/>
      <c r="AB224" s="1" t="s">
        <v>769</v>
      </c>
      <c r="AE224" s="1" t="s">
        <v>172</v>
      </c>
      <c r="AF224" s="1"/>
    </row>
    <row r="225" spans="1:32" ht="17" customHeight="1" x14ac:dyDescent="0.2">
      <c r="A225" s="1" t="s">
        <v>764</v>
      </c>
      <c r="D225" s="1" t="s">
        <v>796</v>
      </c>
      <c r="E225" s="3" t="str">
        <f t="shared" si="89"/>
        <v>Karbowski</v>
      </c>
      <c r="F225" s="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3" t="str">
        <f t="shared" si="90"/>
        <v>2007</v>
      </c>
      <c r="H225" s="3" t="str">
        <f t="shared" si="91"/>
        <v>Karbowski__2007</v>
      </c>
      <c r="I225" s="3" t="str">
        <f t="shared" si="87"/>
        <v>10.1186%2F1741-7007-5-18</v>
      </c>
      <c r="J225" s="3" t="str">
        <f t="shared" si="92"/>
        <v>Karbowski__2007_TableS22</v>
      </c>
      <c r="K225" s="3" t="str">
        <f t="shared" si="88"/>
        <v>10.1186%2F1741-7007-5-18_TableS22</v>
      </c>
      <c r="L225" s="3" t="str">
        <f t="array" ref="L225">IFERROR(INDEX(AUTO_Public_TSV_FileList!$A$1:$A$1000,MATCH(TRUE(),EXACT(K225,IFERROR(_xlfn.TEXTBEFORE(AUTO_Public_TSV_FileList!$A$1:$A$1000,".tsv"),"")),0)),"notfound")</f>
        <v>10.1186%2F1741-7007-5-18_TableS22.tsv</v>
      </c>
      <c r="M225" s="1" t="s">
        <v>797</v>
      </c>
      <c r="N225" s="1" t="s">
        <v>35</v>
      </c>
      <c r="P225" s="1" t="s">
        <v>36</v>
      </c>
      <c r="W225" s="1" t="s">
        <v>131</v>
      </c>
      <c r="X225" s="1" t="s">
        <v>772</v>
      </c>
      <c r="AA225" s="1"/>
      <c r="AB225" s="1" t="s">
        <v>769</v>
      </c>
      <c r="AE225" s="1" t="s">
        <v>172</v>
      </c>
      <c r="AF225" s="1"/>
    </row>
    <row r="226" spans="1:32" ht="17" customHeight="1" x14ac:dyDescent="0.2">
      <c r="A226" s="1" t="s">
        <v>764</v>
      </c>
      <c r="D226" s="1" t="s">
        <v>798</v>
      </c>
      <c r="E226" s="3" t="str">
        <f t="shared" si="89"/>
        <v>Karbowski</v>
      </c>
      <c r="F226" s="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3" t="str">
        <f t="shared" si="90"/>
        <v>2007</v>
      </c>
      <c r="H226" s="3" t="str">
        <f t="shared" si="91"/>
        <v>Karbowski__2007</v>
      </c>
      <c r="I226" s="3" t="str">
        <f t="shared" si="87"/>
        <v>10.1186%2F1741-7007-5-18</v>
      </c>
      <c r="J226" s="3" t="str">
        <f t="shared" si="92"/>
        <v>Karbowski__2007_TableS23</v>
      </c>
      <c r="K226" s="3" t="str">
        <f t="shared" si="88"/>
        <v>10.1186%2F1741-7007-5-18_TableS23</v>
      </c>
      <c r="L226" s="3" t="str">
        <f t="array" ref="L226">IFERROR(INDEX(AUTO_Public_TSV_FileList!$A$1:$A$1000,MATCH(TRUE(),EXACT(K226,IFERROR(_xlfn.TEXTBEFORE(AUTO_Public_TSV_FileList!$A$1:$A$1000,".tsv"),"")),0)),"notfound")</f>
        <v>10.1186%2F1741-7007-5-18_TableS23.tsv</v>
      </c>
      <c r="M226" s="1" t="s">
        <v>799</v>
      </c>
      <c r="N226" s="1" t="s">
        <v>35</v>
      </c>
      <c r="P226" s="1" t="s">
        <v>36</v>
      </c>
      <c r="W226" s="1" t="s">
        <v>131</v>
      </c>
      <c r="X226" s="1" t="s">
        <v>772</v>
      </c>
      <c r="AA226" s="1"/>
      <c r="AB226" s="1" t="s">
        <v>769</v>
      </c>
      <c r="AE226" s="1" t="s">
        <v>172</v>
      </c>
      <c r="AF226" s="1"/>
    </row>
    <row r="227" spans="1:32" ht="17" customHeight="1" x14ac:dyDescent="0.2">
      <c r="A227" s="1" t="s">
        <v>764</v>
      </c>
      <c r="D227" s="1" t="s">
        <v>661</v>
      </c>
      <c r="E227" s="3" t="str">
        <f t="shared" si="89"/>
        <v>Karbowski</v>
      </c>
      <c r="F227" s="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3" t="str">
        <f t="shared" si="90"/>
        <v>2007</v>
      </c>
      <c r="H227" s="3" t="str">
        <f t="shared" si="91"/>
        <v>Karbowski__2007</v>
      </c>
      <c r="I227" s="3" t="str">
        <f t="shared" si="87"/>
        <v>10.1186%2F1741-7007-5-18</v>
      </c>
      <c r="J227" s="3" t="str">
        <f t="shared" si="92"/>
        <v>Karbowski__2007_TableS3</v>
      </c>
      <c r="K227" s="3" t="str">
        <f t="shared" si="88"/>
        <v>10.1186%2F1741-7007-5-18_TableS3</v>
      </c>
      <c r="L227" s="3" t="str">
        <f t="array" ref="L227">IFERROR(INDEX(AUTO_Public_TSV_FileList!$A$1:$A$1000,MATCH(TRUE(),EXACT(K227,IFERROR(_xlfn.TEXTBEFORE(AUTO_Public_TSV_FileList!$A$1:$A$1000,".tsv"),"")),0)),"notfound")</f>
        <v>10.1186%2F1741-7007-5-18_TableS3.tsv</v>
      </c>
      <c r="M227" s="1" t="s">
        <v>800</v>
      </c>
      <c r="N227" s="1" t="s">
        <v>35</v>
      </c>
      <c r="P227" s="1" t="s">
        <v>36</v>
      </c>
      <c r="W227" s="1" t="s">
        <v>131</v>
      </c>
      <c r="X227" s="1" t="s">
        <v>772</v>
      </c>
      <c r="AA227" s="1"/>
      <c r="AB227" s="1" t="s">
        <v>769</v>
      </c>
      <c r="AE227" s="1" t="s">
        <v>172</v>
      </c>
      <c r="AF227" s="1"/>
    </row>
    <row r="228" spans="1:32" ht="17" customHeight="1" x14ac:dyDescent="0.2">
      <c r="A228" s="1" t="s">
        <v>764</v>
      </c>
      <c r="D228" s="1" t="s">
        <v>754</v>
      </c>
      <c r="E228" s="3" t="str">
        <f t="shared" si="89"/>
        <v>Karbowski</v>
      </c>
      <c r="F228" s="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3" t="str">
        <f t="shared" si="90"/>
        <v>2007</v>
      </c>
      <c r="H228" s="3" t="str">
        <f t="shared" si="91"/>
        <v>Karbowski__2007</v>
      </c>
      <c r="I228" s="3" t="str">
        <f t="shared" si="87"/>
        <v>10.1186%2F1741-7007-5-18</v>
      </c>
      <c r="J228" s="3" t="str">
        <f t="shared" si="92"/>
        <v>Karbowski__2007_TableS4</v>
      </c>
      <c r="K228" s="3" t="str">
        <f t="shared" si="88"/>
        <v>10.1186%2F1741-7007-5-18_TableS4</v>
      </c>
      <c r="L228" s="3" t="str">
        <f t="array" ref="L228">IFERROR(INDEX(AUTO_Public_TSV_FileList!$A$1:$A$1000,MATCH(TRUE(),EXACT(K228,IFERROR(_xlfn.TEXTBEFORE(AUTO_Public_TSV_FileList!$A$1:$A$1000,".tsv"),"")),0)),"notfound")</f>
        <v>10.1186%2F1741-7007-5-18_TableS4.tsv</v>
      </c>
      <c r="M228" s="1" t="s">
        <v>801</v>
      </c>
      <c r="N228" s="1" t="s">
        <v>35</v>
      </c>
      <c r="P228" s="1" t="s">
        <v>36</v>
      </c>
      <c r="W228" s="1" t="s">
        <v>131</v>
      </c>
      <c r="X228" s="1" t="s">
        <v>772</v>
      </c>
      <c r="AA228" s="1"/>
      <c r="AB228" s="1" t="s">
        <v>769</v>
      </c>
      <c r="AE228" s="1" t="s">
        <v>172</v>
      </c>
      <c r="AF228" s="1"/>
    </row>
    <row r="229" spans="1:32" ht="17" customHeight="1" x14ac:dyDescent="0.2">
      <c r="A229" s="1" t="s">
        <v>764</v>
      </c>
      <c r="D229" s="1" t="s">
        <v>802</v>
      </c>
      <c r="E229" s="3" t="str">
        <f t="shared" si="89"/>
        <v>Karbowski</v>
      </c>
      <c r="F229" s="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3" t="str">
        <f t="shared" si="90"/>
        <v>2007</v>
      </c>
      <c r="H229" s="3" t="str">
        <f t="shared" si="91"/>
        <v>Karbowski__2007</v>
      </c>
      <c r="I229" s="3" t="str">
        <f t="shared" si="87"/>
        <v>10.1186%2F1741-7007-5-18</v>
      </c>
      <c r="J229" s="3" t="str">
        <f t="shared" si="92"/>
        <v>Karbowski__2007_TableS5</v>
      </c>
      <c r="K229" s="3" t="str">
        <f t="shared" si="88"/>
        <v>10.1186%2F1741-7007-5-18_TableS5</v>
      </c>
      <c r="L229" s="3" t="str">
        <f t="array" ref="L229">IFERROR(INDEX(AUTO_Public_TSV_FileList!$A$1:$A$1000,MATCH(TRUE(),EXACT(K229,IFERROR(_xlfn.TEXTBEFORE(AUTO_Public_TSV_FileList!$A$1:$A$1000,".tsv"),"")),0)),"notfound")</f>
        <v>10.1186%2F1741-7007-5-18_TableS5.tsv</v>
      </c>
      <c r="M229" s="1" t="s">
        <v>803</v>
      </c>
      <c r="N229" s="1" t="s">
        <v>35</v>
      </c>
      <c r="P229" s="1" t="s">
        <v>36</v>
      </c>
      <c r="W229" s="1" t="s">
        <v>131</v>
      </c>
      <c r="X229" s="1" t="s">
        <v>772</v>
      </c>
      <c r="AA229" s="1"/>
      <c r="AB229" s="1" t="s">
        <v>769</v>
      </c>
      <c r="AE229" s="1" t="s">
        <v>172</v>
      </c>
      <c r="AF229" s="1"/>
    </row>
    <row r="230" spans="1:32" ht="17" customHeight="1" x14ac:dyDescent="0.2">
      <c r="A230" s="1" t="s">
        <v>764</v>
      </c>
      <c r="D230" s="1" t="s">
        <v>804</v>
      </c>
      <c r="E230" s="3" t="str">
        <f t="shared" si="89"/>
        <v>Karbowski</v>
      </c>
      <c r="F230" s="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3" t="str">
        <f t="shared" si="90"/>
        <v>2007</v>
      </c>
      <c r="H230" s="3" t="str">
        <f t="shared" si="91"/>
        <v>Karbowski__2007</v>
      </c>
      <c r="I230" s="3" t="str">
        <f t="shared" si="87"/>
        <v>10.1186%2F1741-7007-5-18</v>
      </c>
      <c r="J230" s="3" t="str">
        <f t="shared" si="92"/>
        <v>Karbowski__2007_TableS6</v>
      </c>
      <c r="K230" s="3" t="str">
        <f t="shared" si="88"/>
        <v>10.1186%2F1741-7007-5-18_TableS6</v>
      </c>
      <c r="L230" s="3" t="str">
        <f t="array" ref="L230">IFERROR(INDEX(AUTO_Public_TSV_FileList!$A$1:$A$1000,MATCH(TRUE(),EXACT(K230,IFERROR(_xlfn.TEXTBEFORE(AUTO_Public_TSV_FileList!$A$1:$A$1000,".tsv"),"")),0)),"notfound")</f>
        <v>10.1186%2F1741-7007-5-18_TableS6.tsv</v>
      </c>
      <c r="M230" s="1" t="s">
        <v>805</v>
      </c>
      <c r="N230" s="1" t="s">
        <v>35</v>
      </c>
      <c r="P230" s="1" t="s">
        <v>36</v>
      </c>
      <c r="W230" s="1" t="s">
        <v>131</v>
      </c>
      <c r="X230" s="1" t="s">
        <v>772</v>
      </c>
      <c r="AA230" s="1"/>
      <c r="AB230" s="1" t="s">
        <v>769</v>
      </c>
      <c r="AE230" s="1" t="s">
        <v>172</v>
      </c>
      <c r="AF230" s="1"/>
    </row>
    <row r="231" spans="1:32" ht="17" customHeight="1" x14ac:dyDescent="0.2">
      <c r="A231" s="1" t="s">
        <v>764</v>
      </c>
      <c r="D231" s="1" t="s">
        <v>806</v>
      </c>
      <c r="E231" s="3" t="str">
        <f t="shared" si="89"/>
        <v>Karbowski</v>
      </c>
      <c r="F231" s="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3" t="str">
        <f t="shared" si="90"/>
        <v>2007</v>
      </c>
      <c r="H231" s="3" t="str">
        <f t="shared" si="91"/>
        <v>Karbowski__2007</v>
      </c>
      <c r="I231" s="3" t="str">
        <f t="shared" si="87"/>
        <v>10.1186%2F1741-7007-5-18</v>
      </c>
      <c r="J231" s="3" t="str">
        <f t="shared" si="92"/>
        <v>Karbowski__2007_TableS7</v>
      </c>
      <c r="K231" s="3" t="str">
        <f t="shared" si="88"/>
        <v>10.1186%2F1741-7007-5-18_TableS7</v>
      </c>
      <c r="L231" s="3" t="str">
        <f t="array" ref="L231">IFERROR(INDEX(AUTO_Public_TSV_FileList!$A$1:$A$1000,MATCH(TRUE(),EXACT(K231,IFERROR(_xlfn.TEXTBEFORE(AUTO_Public_TSV_FileList!$A$1:$A$1000,".tsv"),"")),0)),"notfound")</f>
        <v>10.1186%2F1741-7007-5-18_TableS7.tsv</v>
      </c>
      <c r="M231" s="1" t="s">
        <v>807</v>
      </c>
      <c r="N231" s="1" t="s">
        <v>35</v>
      </c>
      <c r="P231" s="1" t="s">
        <v>36</v>
      </c>
      <c r="W231" s="1" t="s">
        <v>131</v>
      </c>
      <c r="X231" s="1" t="s">
        <v>772</v>
      </c>
      <c r="AA231" s="1"/>
      <c r="AB231" s="1" t="s">
        <v>769</v>
      </c>
      <c r="AE231" s="1" t="s">
        <v>172</v>
      </c>
      <c r="AF231" s="1"/>
    </row>
    <row r="232" spans="1:32" ht="17" customHeight="1" x14ac:dyDescent="0.2">
      <c r="A232" s="1" t="s">
        <v>764</v>
      </c>
      <c r="D232" s="1" t="s">
        <v>808</v>
      </c>
      <c r="E232" s="3" t="str">
        <f t="shared" si="89"/>
        <v>Karbowski</v>
      </c>
      <c r="F232" s="3"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3" t="str">
        <f t="shared" si="90"/>
        <v>2007</v>
      </c>
      <c r="H232" s="3" t="str">
        <f t="shared" si="91"/>
        <v>Karbowski__2007</v>
      </c>
      <c r="I232" s="3" t="str">
        <f t="shared" si="87"/>
        <v>10.1186%2F1741-7007-5-18</v>
      </c>
      <c r="J232" s="3" t="str">
        <f t="shared" si="92"/>
        <v>Karbowski__2007_TableS8</v>
      </c>
      <c r="K232" s="3" t="str">
        <f t="shared" si="88"/>
        <v>10.1186%2F1741-7007-5-18_TableS8</v>
      </c>
      <c r="L232" s="3" t="str">
        <f t="array" ref="L232">IFERROR(INDEX(AUTO_Public_TSV_FileList!$A$1:$A$1000,MATCH(TRUE(),EXACT(K232,IFERROR(_xlfn.TEXTBEFORE(AUTO_Public_TSV_FileList!$A$1:$A$1000,".tsv"),"")),0)),"notfound")</f>
        <v>10.1186%2F1741-7007-5-18_TableS8.tsv</v>
      </c>
      <c r="M232" s="1" t="s">
        <v>809</v>
      </c>
      <c r="N232" s="1" t="s">
        <v>35</v>
      </c>
      <c r="P232" s="1" t="s">
        <v>36</v>
      </c>
      <c r="W232" s="1" t="s">
        <v>131</v>
      </c>
      <c r="X232" s="1" t="s">
        <v>772</v>
      </c>
      <c r="AA232" s="1"/>
      <c r="AB232" s="1" t="s">
        <v>769</v>
      </c>
      <c r="AE232" s="1" t="s">
        <v>172</v>
      </c>
      <c r="AF232" s="1"/>
    </row>
    <row r="233" spans="1:32" ht="17" customHeight="1" x14ac:dyDescent="0.2">
      <c r="A233" s="1" t="s">
        <v>764</v>
      </c>
      <c r="D233" s="1" t="s">
        <v>810</v>
      </c>
      <c r="E233" s="3" t="str">
        <f t="shared" si="89"/>
        <v>Karbowski</v>
      </c>
      <c r="F233" s="3"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3" t="str">
        <f t="shared" si="90"/>
        <v>2007</v>
      </c>
      <c r="H233" s="3" t="str">
        <f t="shared" si="91"/>
        <v>Karbowski__2007</v>
      </c>
      <c r="I233" s="3" t="str">
        <f t="shared" si="87"/>
        <v>10.1186%2F1741-7007-5-18</v>
      </c>
      <c r="J233" s="3" t="str">
        <f t="shared" si="92"/>
        <v>Karbowski__2007_TableS9</v>
      </c>
      <c r="K233" s="3" t="str">
        <f t="shared" si="88"/>
        <v>10.1186%2F1741-7007-5-18_TableS9</v>
      </c>
      <c r="L233" s="3" t="str">
        <f t="array" ref="L233">IFERROR(INDEX(AUTO_Public_TSV_FileList!$A$1:$A$1000,MATCH(TRUE(),EXACT(K233,IFERROR(_xlfn.TEXTBEFORE(AUTO_Public_TSV_FileList!$A$1:$A$1000,".tsv"),"")),0)),"notfound")</f>
        <v>10.1186%2F1741-7007-5-18_TableS9.tsv</v>
      </c>
      <c r="M233" s="1" t="s">
        <v>811</v>
      </c>
      <c r="N233" s="1" t="s">
        <v>35</v>
      </c>
      <c r="P233" s="1" t="s">
        <v>36</v>
      </c>
      <c r="W233" s="1" t="s">
        <v>131</v>
      </c>
      <c r="X233" s="1" t="s">
        <v>772</v>
      </c>
      <c r="AA233" s="1"/>
      <c r="AB233" s="1" t="s">
        <v>769</v>
      </c>
      <c r="AE233" s="1" t="s">
        <v>172</v>
      </c>
      <c r="AF233" s="1"/>
    </row>
    <row r="234" spans="1:32" ht="17" customHeight="1" x14ac:dyDescent="0.2">
      <c r="A234" s="1" t="s">
        <v>812</v>
      </c>
      <c r="D234" s="1" t="s">
        <v>58</v>
      </c>
      <c r="E234" s="3" t="str">
        <f t="shared" si="89"/>
        <v>Karl</v>
      </c>
      <c r="F234" s="3"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4" s="3" t="str">
        <f t="shared" si="90"/>
        <v>2024</v>
      </c>
      <c r="H234" s="3" t="str">
        <f t="shared" si="91"/>
        <v>Karl_etal_2024</v>
      </c>
      <c r="I234" s="3" t="str">
        <f t="shared" si="87"/>
        <v>10.1002%2Fcne.25669</v>
      </c>
      <c r="J234" s="3" t="str">
        <f t="shared" si="92"/>
        <v>Karl_etal_2024_TABLE1</v>
      </c>
      <c r="K234" s="3" t="str">
        <f t="shared" si="88"/>
        <v>10.1002%2Fcne.25669_TABLE1</v>
      </c>
      <c r="L234" s="3" t="str">
        <f t="array" ref="L234">IFERROR(INDEX(AUTO_Public_TSV_FileList!$A$1:$A$1000,MATCH(TRUE(),EXACT(K234,IFERROR(_xlfn.TEXTBEFORE(AUTO_Public_TSV_FileList!$A$1:$A$1000,".tsv"),"")),0)),"notfound")</f>
        <v>10.1002%2Fcne.25669_TABLE1.tsv</v>
      </c>
      <c r="M234" s="1" t="s">
        <v>813</v>
      </c>
      <c r="N234" s="1" t="s">
        <v>35</v>
      </c>
      <c r="P234" s="1" t="s">
        <v>36</v>
      </c>
      <c r="W234" s="1" t="s">
        <v>131</v>
      </c>
      <c r="X234" s="1" t="s">
        <v>814</v>
      </c>
      <c r="AB234" s="1" t="s">
        <v>814</v>
      </c>
      <c r="AE234" s="1" t="s">
        <v>66</v>
      </c>
      <c r="AF234" s="1"/>
    </row>
    <row r="235" spans="1:32" ht="17" customHeight="1" x14ac:dyDescent="0.2">
      <c r="A235" s="8" t="s">
        <v>815</v>
      </c>
      <c r="D235" s="8" t="s">
        <v>816</v>
      </c>
      <c r="E235" s="10" t="str">
        <f t="shared" si="89"/>
        <v>Karlsen</v>
      </c>
      <c r="F235" s="10" t="str">
        <f>_xlfn.LET(
_xlpm.authors,_xlfn.TEXTBEFORE(A235," ("&amp;G235&amp;")"),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5" s="10" t="str">
        <f t="shared" si="90"/>
        <v>2011</v>
      </c>
      <c r="H235" s="10" t="str">
        <f t="shared" si="91"/>
        <v>Karlsen_Pakkenberg_2011</v>
      </c>
      <c r="I235" s="10" t="str">
        <f t="shared" si="87"/>
        <v>10.1093%2Fcercor%2Fbhr033</v>
      </c>
      <c r="J235" s="10" t="str">
        <f t="shared" si="92"/>
        <v>Karlsen_Pakkenberg_2011_authordata(groupmeans)</v>
      </c>
      <c r="K235" s="10" t="str">
        <f>I235 &amp; "_" &amp; SUBSTITUTE(SUBSTITUTE(SUBSTITUTE(D235,CHAR(160),""), " ", ""), "_", "")</f>
        <v>10.1093%2Fcercor%2Fbhr033_authordata(groupmeans)</v>
      </c>
      <c r="L235" s="3" t="str">
        <f t="array" ref="L235">IFERROR(INDEX(AUTO_Public_TSV_FileList!$A$1:$A$1000,MATCH(TRUE(),EXACT(K235,IFERROR(_xlfn.TEXTBEFORE(AUTO_Public_TSV_FileList!$A$1:$A$1000,".tsv"),"")),0)),"notfound")</f>
        <v>notfound</v>
      </c>
      <c r="M235" s="8" t="s">
        <v>817</v>
      </c>
      <c r="N235" s="8" t="s">
        <v>818</v>
      </c>
      <c r="P235" s="8" t="s">
        <v>36</v>
      </c>
      <c r="Q235" s="8" t="s">
        <v>819</v>
      </c>
      <c r="W235" s="8" t="s">
        <v>564</v>
      </c>
      <c r="Z235" s="8" t="s">
        <v>820</v>
      </c>
      <c r="AA235" s="8" t="s">
        <v>566</v>
      </c>
      <c r="AB235" s="8" t="s">
        <v>821</v>
      </c>
      <c r="AC235" s="8" t="s">
        <v>822</v>
      </c>
      <c r="AE235" s="8" t="s">
        <v>66</v>
      </c>
    </row>
    <row r="236" spans="1:32" ht="17" customHeight="1" x14ac:dyDescent="0.2">
      <c r="A236" s="8" t="s">
        <v>815</v>
      </c>
      <c r="D236" s="8" t="s">
        <v>823</v>
      </c>
      <c r="E236" s="10" t="str">
        <f t="shared" si="89"/>
        <v>Karlsen</v>
      </c>
      <c r="F236" s="10" t="str">
        <f>_xlfn.LET(
_xlpm.authors,_xlfn.TEXTBEFORE(A236," ("&amp;G236&amp;")"),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6" s="10" t="str">
        <f t="shared" si="90"/>
        <v>2011</v>
      </c>
      <c r="H236" s="10" t="str">
        <f t="shared" si="91"/>
        <v>Karlsen_Pakkenberg_2011</v>
      </c>
      <c r="I236" s="10" t="str">
        <f t="shared" si="87"/>
        <v>10.1093%2Fcercor%2Fbhr033</v>
      </c>
      <c r="J236" s="10" t="str">
        <f t="shared" si="92"/>
        <v>Karlsen_Pakkenberg_2011_reportedvalues</v>
      </c>
      <c r="K236" s="10" t="str">
        <f>I236 &amp; "_" &amp; SUBSTITUTE(SUBSTITUTE(SUBSTITUTE(D236,CHAR(160),""), " ", ""), "_", "")</f>
        <v>10.1093%2Fcercor%2Fbhr033_reportedvalues</v>
      </c>
      <c r="L236" s="3" t="str">
        <f t="array" ref="L236">IFERROR(INDEX(AUTO_Public_TSV_FileList!$A$1:$A$1000,MATCH(TRUE(),EXACT(K236,IFERROR(_xlfn.TEXTBEFORE(AUTO_Public_TSV_FileList!$A$1:$A$1000,".tsv"),"")),0)),"notfound")</f>
        <v>10.1093%2Fcercor%2Fbhr033_reportedvalues.tsv</v>
      </c>
      <c r="M236" s="8" t="s">
        <v>824</v>
      </c>
      <c r="N236" s="8" t="s">
        <v>825</v>
      </c>
      <c r="P236" s="8" t="s">
        <v>36</v>
      </c>
      <c r="Q236" s="8" t="s">
        <v>826</v>
      </c>
      <c r="W236" s="8" t="s">
        <v>564</v>
      </c>
      <c r="Z236" s="8" t="s">
        <v>827</v>
      </c>
      <c r="AA236" s="8" t="s">
        <v>566</v>
      </c>
      <c r="AB236" s="8" t="s">
        <v>821</v>
      </c>
      <c r="AC236" s="8" t="s">
        <v>822</v>
      </c>
      <c r="AE236" s="8" t="s">
        <v>66</v>
      </c>
    </row>
    <row r="237" spans="1:32" ht="17" customHeight="1" x14ac:dyDescent="0.2">
      <c r="A237" s="8" t="s">
        <v>815</v>
      </c>
      <c r="D237" s="8" t="s">
        <v>70</v>
      </c>
      <c r="E237" s="10" t="str">
        <f t="shared" si="89"/>
        <v>Karlsen</v>
      </c>
      <c r="F237" s="10" t="str">
        <f>_xlfn.LET(
_xlpm.authors,_xlfn.TEXTBEFORE(A237," ("&amp;G237&amp;")"),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7" s="10" t="str">
        <f t="shared" si="90"/>
        <v>2011</v>
      </c>
      <c r="H237" s="10" t="str">
        <f t="shared" si="91"/>
        <v>Karlsen_Pakkenberg_2011</v>
      </c>
      <c r="I237" s="10" t="str">
        <f t="shared" si="87"/>
        <v>10.1093%2Fcercor%2Fbhr033</v>
      </c>
      <c r="J237" s="10" t="str">
        <f t="shared" si="92"/>
        <v>Karlsen_Pakkenberg_2011_Table2</v>
      </c>
      <c r="K237" s="10" t="str">
        <f>I237 &amp; "_" &amp; SUBSTITUTE(SUBSTITUTE(SUBSTITUTE(D237,CHAR(160),""), " ", ""), "_", "")</f>
        <v>10.1093%2Fcercor%2Fbhr033_Table2</v>
      </c>
      <c r="L237" s="3" t="str">
        <f t="array" ref="L237">IFERROR(INDEX(AUTO_Public_TSV_FileList!$A$1:$A$1000,MATCH(TRUE(),EXACT(K237,IFERROR(_xlfn.TEXTBEFORE(AUTO_Public_TSV_FileList!$A$1:$A$1000,".tsv"),"")),0)),"notfound")</f>
        <v>10.1093%2Fcercor%2Fbhr033_Table2.tsv</v>
      </c>
      <c r="M237" s="8" t="s">
        <v>828</v>
      </c>
      <c r="N237" s="8" t="s">
        <v>829</v>
      </c>
      <c r="P237" s="8" t="s">
        <v>36</v>
      </c>
      <c r="Q237" s="8" t="s">
        <v>830</v>
      </c>
      <c r="W237" s="8" t="s">
        <v>564</v>
      </c>
      <c r="Z237" s="8" t="s">
        <v>831</v>
      </c>
      <c r="AA237" s="8" t="s">
        <v>832</v>
      </c>
      <c r="AB237" s="8" t="s">
        <v>90</v>
      </c>
      <c r="AC237" s="8" t="s">
        <v>822</v>
      </c>
      <c r="AE237" s="8" t="s">
        <v>66</v>
      </c>
    </row>
    <row r="238" spans="1:32" ht="17" customHeight="1" x14ac:dyDescent="0.2">
      <c r="A238" s="8" t="s">
        <v>833</v>
      </c>
      <c r="D238" s="8" t="s">
        <v>834</v>
      </c>
      <c r="E238" s="3" t="str">
        <f t="shared" si="89"/>
        <v>Kaskan</v>
      </c>
      <c r="F238" s="3"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3" t="str">
        <f t="shared" si="90"/>
        <v>2005</v>
      </c>
      <c r="H238" s="3" t="str">
        <f t="shared" si="91"/>
        <v>Kaskan_etal_2005</v>
      </c>
      <c r="I238" s="3" t="str">
        <f t="shared" si="87"/>
        <v>10.1098%2Frspb.2004.2925</v>
      </c>
      <c r="J238" s="3" t="str">
        <f t="shared" si="92"/>
        <v>Kaskan_etal_2005_Figure2</v>
      </c>
      <c r="K238" s="3" t="str">
        <f t="shared" ref="K238:K281" si="93">I238 &amp; "_" &amp; SUBSTITUTE(SUBSTITUTE(SUBSTITUTE(D238,CHAR(160),"")," ",""),"_","")</f>
        <v>10.1098%2Frspb.2004.2925_Figure2</v>
      </c>
      <c r="L238" s="3" t="str">
        <f t="array" ref="L238">IFERROR(INDEX(AUTO_Public_TSV_FileList!$A$1:$A$1000,MATCH(TRUE(),EXACT(K238,IFERROR(_xlfn.TEXTBEFORE(AUTO_Public_TSV_FileList!$A$1:$A$1000,".tsv"),"")),0)),"notfound")</f>
        <v>notfound</v>
      </c>
      <c r="M238" s="8" t="s">
        <v>835</v>
      </c>
    </row>
    <row r="239" spans="1:32" ht="17" customHeight="1" x14ac:dyDescent="0.2">
      <c r="A239" s="8" t="s">
        <v>833</v>
      </c>
      <c r="D239" s="8" t="s">
        <v>316</v>
      </c>
      <c r="E239" s="3" t="str">
        <f t="shared" si="89"/>
        <v>Kaskan</v>
      </c>
      <c r="F239" s="3"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9" s="3" t="str">
        <f t="shared" si="90"/>
        <v>2005</v>
      </c>
      <c r="H239" s="3" t="str">
        <f t="shared" si="91"/>
        <v>Kaskan_etal_2005</v>
      </c>
      <c r="I239" s="3" t="str">
        <f t="shared" si="87"/>
        <v>10.1098%2Frspb.2004.2925</v>
      </c>
      <c r="J239" s="3" t="str">
        <f t="shared" si="92"/>
        <v>Kaskan_etal_2005_Figure3</v>
      </c>
      <c r="K239" s="3" t="str">
        <f t="shared" si="93"/>
        <v>10.1098%2Frspb.2004.2925_Figure3</v>
      </c>
      <c r="L239" s="3" t="str">
        <f t="array" ref="L239">IFERROR(INDEX(AUTO_Public_TSV_FileList!$A$1:$A$1000,MATCH(TRUE(),EXACT(K239,IFERROR(_xlfn.TEXTBEFORE(AUTO_Public_TSV_FileList!$A$1:$A$1000,".tsv"),"")),0)),"notfound")</f>
        <v>notfound</v>
      </c>
      <c r="M239" s="8" t="s">
        <v>836</v>
      </c>
    </row>
    <row r="240" spans="1:32" ht="17" customHeight="1" x14ac:dyDescent="0.2">
      <c r="A240" s="1" t="s">
        <v>837</v>
      </c>
      <c r="C240" s="1" t="s">
        <v>838</v>
      </c>
      <c r="D240" s="1" t="s">
        <v>839</v>
      </c>
      <c r="E240" s="3" t="str">
        <f t="shared" si="89"/>
        <v>Kaufman</v>
      </c>
      <c r="F240" s="3"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0" s="3" t="str">
        <f t="shared" si="90"/>
        <v>2004</v>
      </c>
      <c r="H240" s="3" t="str">
        <f t="shared" si="91"/>
        <v>Kaufman__2004</v>
      </c>
      <c r="I240" s="3" t="str">
        <f t="shared" si="87"/>
        <v>UMI%3A3147447</v>
      </c>
      <c r="J240" s="3" t="str">
        <f t="shared" si="92"/>
        <v>Kaufman__2004_TableA1</v>
      </c>
      <c r="K240" s="3" t="str">
        <f t="shared" si="93"/>
        <v>UMI%3A3147447_TableA1</v>
      </c>
      <c r="L240" s="3" t="str">
        <f t="array" ref="L240">IFERROR(INDEX(AUTO_Public_TSV_FileList!$A$1:$A$1000,MATCH(TRUE(),EXACT(K240,IFERROR(_xlfn.TEXTBEFORE(AUTO_Public_TSV_FileList!$A$1:$A$1000,".tsv"),"")),0)),"notfound")</f>
        <v>UMI%3A3147447_TableA1.tsv</v>
      </c>
      <c r="M240" s="1" t="s">
        <v>840</v>
      </c>
      <c r="N240" s="1" t="s">
        <v>35</v>
      </c>
      <c r="P240" s="1" t="s">
        <v>36</v>
      </c>
      <c r="Q240" s="1"/>
      <c r="W240" s="1" t="s">
        <v>131</v>
      </c>
      <c r="X240" s="1" t="s">
        <v>841</v>
      </c>
      <c r="AB240" s="1" t="s">
        <v>842</v>
      </c>
      <c r="AE240" s="1" t="s">
        <v>172</v>
      </c>
      <c r="AF240" s="1"/>
    </row>
    <row r="241" spans="1:33" ht="17" customHeight="1" x14ac:dyDescent="0.2">
      <c r="A241" s="1" t="s">
        <v>837</v>
      </c>
      <c r="C241" s="1" t="s">
        <v>838</v>
      </c>
      <c r="D241" s="1" t="s">
        <v>843</v>
      </c>
      <c r="E241" s="3" t="str">
        <f t="shared" si="89"/>
        <v>Kaufman</v>
      </c>
      <c r="F241" s="3"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1" s="3" t="str">
        <f t="shared" si="90"/>
        <v>2004</v>
      </c>
      <c r="H241" s="3" t="str">
        <f t="shared" si="91"/>
        <v>Kaufman__2004</v>
      </c>
      <c r="I241" s="3" t="str">
        <f t="shared" si="87"/>
        <v>UMI%3A3147447</v>
      </c>
      <c r="J241" s="3" t="str">
        <f t="shared" si="92"/>
        <v>Kaufman__2004_TableA10</v>
      </c>
      <c r="K241" s="3" t="str">
        <f t="shared" si="93"/>
        <v>UMI%3A3147447_TableA10</v>
      </c>
      <c r="L241" s="3" t="str">
        <f t="array" ref="L241">IFERROR(INDEX(AUTO_Public_TSV_FileList!$A$1:$A$1000,MATCH(TRUE(),EXACT(K241,IFERROR(_xlfn.TEXTBEFORE(AUTO_Public_TSV_FileList!$A$1:$A$1000,".tsv"),"")),0)),"notfound")</f>
        <v>UMI%3A3147447_TableA10.tsv</v>
      </c>
      <c r="M241" s="1" t="s">
        <v>844</v>
      </c>
      <c r="N241" s="1" t="s">
        <v>35</v>
      </c>
      <c r="P241" s="1" t="s">
        <v>36</v>
      </c>
      <c r="Q241" s="1"/>
      <c r="W241" s="1" t="s">
        <v>131</v>
      </c>
      <c r="X241" s="1" t="s">
        <v>841</v>
      </c>
      <c r="AB241" s="1" t="s">
        <v>842</v>
      </c>
      <c r="AE241" s="1" t="s">
        <v>172</v>
      </c>
      <c r="AF241" s="1"/>
    </row>
    <row r="242" spans="1:33" ht="17" customHeight="1" x14ac:dyDescent="0.2">
      <c r="A242" s="1" t="s">
        <v>837</v>
      </c>
      <c r="C242" s="1" t="s">
        <v>838</v>
      </c>
      <c r="D242" s="1" t="s">
        <v>845</v>
      </c>
      <c r="E242" s="3" t="str">
        <f t="shared" si="89"/>
        <v>Kaufman</v>
      </c>
      <c r="F242" s="3"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2" s="3" t="str">
        <f t="shared" si="90"/>
        <v>2004</v>
      </c>
      <c r="H242" s="3" t="str">
        <f t="shared" si="91"/>
        <v>Kaufman__2004</v>
      </c>
      <c r="I242" s="3" t="str">
        <f t="shared" ref="I242:I266" si="94">_xlfn.LET(
_xlpm.doi,IF(C242&lt;&gt;"",C242,_xlfn.TEXTAFTER(A242,"https://doi.org/")),
SUBSTITUTE(
SUBSTITUTE(
SUBSTITUTE(
SUBSTITUTE(
_xlpm.doi,
"/","%2F"),
":","%3A"),
"&lt;","%3C"),
"&gt;","%3E")
)</f>
        <v>UMI%3A3147447</v>
      </c>
      <c r="J242" s="3" t="str">
        <f t="shared" si="92"/>
        <v>Kaufman__2004_TableA11</v>
      </c>
      <c r="K242" s="3" t="str">
        <f t="shared" si="93"/>
        <v>UMI%3A3147447_TableA11</v>
      </c>
      <c r="L242" s="3" t="str">
        <f t="array" ref="L242">IFERROR(INDEX(AUTO_Public_TSV_FileList!$A$1:$A$1000,MATCH(TRUE(),EXACT(K242,IFERROR(_xlfn.TEXTBEFORE(AUTO_Public_TSV_FileList!$A$1:$A$1000,".tsv"),"")),0)),"notfound")</f>
        <v>UMI%3A3147447_TableA11.tsv</v>
      </c>
      <c r="M242" s="1" t="s">
        <v>846</v>
      </c>
      <c r="N242" s="1" t="s">
        <v>35</v>
      </c>
      <c r="P242" s="1" t="s">
        <v>36</v>
      </c>
      <c r="Q242" s="1"/>
      <c r="W242" s="1" t="s">
        <v>131</v>
      </c>
      <c r="X242" s="1" t="s">
        <v>841</v>
      </c>
      <c r="AB242" s="1" t="s">
        <v>842</v>
      </c>
      <c r="AE242" s="1" t="s">
        <v>172</v>
      </c>
      <c r="AF242" s="1"/>
    </row>
    <row r="243" spans="1:33" ht="17" customHeight="1" x14ac:dyDescent="0.2">
      <c r="A243" s="1" t="s">
        <v>837</v>
      </c>
      <c r="C243" s="1" t="s">
        <v>838</v>
      </c>
      <c r="D243" s="1" t="s">
        <v>847</v>
      </c>
      <c r="E243" s="3" t="str">
        <f t="shared" si="89"/>
        <v>Kaufman</v>
      </c>
      <c r="F243" s="3"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3" s="3" t="str">
        <f t="shared" si="90"/>
        <v>2004</v>
      </c>
      <c r="H243" s="3" t="str">
        <f t="shared" si="91"/>
        <v>Kaufman__2004</v>
      </c>
      <c r="I243" s="3" t="str">
        <f t="shared" si="94"/>
        <v>UMI%3A3147447</v>
      </c>
      <c r="J243" s="3" t="str">
        <f t="shared" si="92"/>
        <v>Kaufman__2004_TableA12</v>
      </c>
      <c r="K243" s="3" t="str">
        <f t="shared" si="93"/>
        <v>UMI%3A3147447_TableA12</v>
      </c>
      <c r="L243" s="3" t="str">
        <f t="array" ref="L243">IFERROR(INDEX(AUTO_Public_TSV_FileList!$A$1:$A$1000,MATCH(TRUE(),EXACT(K243,IFERROR(_xlfn.TEXTBEFORE(AUTO_Public_TSV_FileList!$A$1:$A$1000,".tsv"),"")),0)),"notfound")</f>
        <v>UMI%3A3147447_TableA12.tsv</v>
      </c>
      <c r="M243" s="1" t="s">
        <v>848</v>
      </c>
      <c r="N243" s="1" t="s">
        <v>35</v>
      </c>
      <c r="P243" s="1" t="s">
        <v>36</v>
      </c>
      <c r="Q243" s="1"/>
      <c r="W243" s="1" t="s">
        <v>131</v>
      </c>
      <c r="X243" s="1" t="s">
        <v>841</v>
      </c>
      <c r="AB243" s="1" t="s">
        <v>842</v>
      </c>
      <c r="AE243" s="1" t="s">
        <v>172</v>
      </c>
      <c r="AF243" s="1"/>
    </row>
    <row r="244" spans="1:33" ht="17" customHeight="1" x14ac:dyDescent="0.2">
      <c r="A244" s="1" t="s">
        <v>837</v>
      </c>
      <c r="C244" s="1" t="s">
        <v>838</v>
      </c>
      <c r="D244" s="1" t="s">
        <v>849</v>
      </c>
      <c r="E244" s="3" t="str">
        <f t="shared" si="89"/>
        <v>Kaufman</v>
      </c>
      <c r="F244" s="3"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4" s="3" t="str">
        <f t="shared" si="90"/>
        <v>2004</v>
      </c>
      <c r="H244" s="3" t="str">
        <f t="shared" si="91"/>
        <v>Kaufman__2004</v>
      </c>
      <c r="I244" s="3" t="str">
        <f t="shared" si="94"/>
        <v>UMI%3A3147447</v>
      </c>
      <c r="J244" s="3" t="str">
        <f t="shared" si="92"/>
        <v>Kaufman__2004_TableA13</v>
      </c>
      <c r="K244" s="3" t="str">
        <f t="shared" si="93"/>
        <v>UMI%3A3147447_TableA13</v>
      </c>
      <c r="L244" s="3" t="str">
        <f t="array" ref="L244">IFERROR(INDEX(AUTO_Public_TSV_FileList!$A$1:$A$1000,MATCH(TRUE(),EXACT(K244,IFERROR(_xlfn.TEXTBEFORE(AUTO_Public_TSV_FileList!$A$1:$A$1000,".tsv"),"")),0)),"notfound")</f>
        <v>UMI%3A3147447_TableA13.tsv</v>
      </c>
      <c r="M244" s="1" t="s">
        <v>850</v>
      </c>
      <c r="N244" s="1" t="s">
        <v>35</v>
      </c>
      <c r="P244" s="1" t="s">
        <v>36</v>
      </c>
      <c r="Q244" s="1"/>
      <c r="W244" s="1" t="s">
        <v>131</v>
      </c>
      <c r="X244" s="1" t="s">
        <v>841</v>
      </c>
      <c r="AB244" s="1" t="s">
        <v>842</v>
      </c>
      <c r="AE244" s="1" t="s">
        <v>172</v>
      </c>
      <c r="AF244" s="1"/>
    </row>
    <row r="245" spans="1:33" ht="17" customHeight="1" x14ac:dyDescent="0.2">
      <c r="A245" s="1" t="s">
        <v>837</v>
      </c>
      <c r="C245" s="1" t="s">
        <v>838</v>
      </c>
      <c r="D245" s="1" t="s">
        <v>851</v>
      </c>
      <c r="E245" s="3" t="str">
        <f t="shared" si="89"/>
        <v>Kaufman</v>
      </c>
      <c r="F245" s="3"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5" s="3" t="str">
        <f t="shared" si="90"/>
        <v>2004</v>
      </c>
      <c r="H245" s="3" t="str">
        <f t="shared" si="91"/>
        <v>Kaufman__2004</v>
      </c>
      <c r="I245" s="3" t="str">
        <f t="shared" si="94"/>
        <v>UMI%3A3147447</v>
      </c>
      <c r="J245" s="3" t="str">
        <f t="shared" si="92"/>
        <v>Kaufman__2004_TableA14</v>
      </c>
      <c r="K245" s="3" t="str">
        <f t="shared" si="93"/>
        <v>UMI%3A3147447_TableA14</v>
      </c>
      <c r="L245" s="3" t="str">
        <f t="array" ref="L245">IFERROR(INDEX(AUTO_Public_TSV_FileList!$A$1:$A$1000,MATCH(TRUE(),EXACT(K245,IFERROR(_xlfn.TEXTBEFORE(AUTO_Public_TSV_FileList!$A$1:$A$1000,".tsv"),"")),0)),"notfound")</f>
        <v>UMI%3A3147447_TableA14.tsv</v>
      </c>
      <c r="M245" s="1" t="s">
        <v>852</v>
      </c>
      <c r="N245" s="1" t="s">
        <v>35</v>
      </c>
      <c r="P245" s="1" t="s">
        <v>36</v>
      </c>
      <c r="Q245" s="1"/>
      <c r="W245" s="1" t="s">
        <v>131</v>
      </c>
      <c r="X245" s="1" t="s">
        <v>841</v>
      </c>
      <c r="AB245" s="1" t="s">
        <v>842</v>
      </c>
      <c r="AE245" s="1" t="s">
        <v>172</v>
      </c>
      <c r="AF245" s="1"/>
    </row>
    <row r="246" spans="1:33" ht="17" customHeight="1" x14ac:dyDescent="0.2">
      <c r="A246" s="1" t="s">
        <v>837</v>
      </c>
      <c r="C246" s="1" t="s">
        <v>838</v>
      </c>
      <c r="D246" s="1" t="s">
        <v>853</v>
      </c>
      <c r="E246" s="3" t="str">
        <f t="shared" si="89"/>
        <v>Kaufman</v>
      </c>
      <c r="F246" s="3"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6" s="3" t="str">
        <f t="shared" si="90"/>
        <v>2004</v>
      </c>
      <c r="H246" s="3" t="str">
        <f t="shared" si="91"/>
        <v>Kaufman__2004</v>
      </c>
      <c r="I246" s="3" t="str">
        <f t="shared" si="94"/>
        <v>UMI%3A3147447</v>
      </c>
      <c r="J246" s="3" t="str">
        <f t="shared" si="92"/>
        <v>Kaufman__2004_TableA15</v>
      </c>
      <c r="K246" s="3" t="str">
        <f t="shared" si="93"/>
        <v>UMI%3A3147447_TableA15</v>
      </c>
      <c r="L246" s="3" t="str">
        <f t="array" ref="L246">IFERROR(INDEX(AUTO_Public_TSV_FileList!$A$1:$A$1000,MATCH(TRUE(),EXACT(K246,IFERROR(_xlfn.TEXTBEFORE(AUTO_Public_TSV_FileList!$A$1:$A$1000,".tsv"),"")),0)),"notfound")</f>
        <v>UMI%3A3147447_TableA15.tsv</v>
      </c>
      <c r="M246" s="1" t="s">
        <v>854</v>
      </c>
      <c r="N246" s="1" t="s">
        <v>35</v>
      </c>
      <c r="P246" s="1" t="s">
        <v>36</v>
      </c>
      <c r="Q246" s="1"/>
      <c r="W246" s="1" t="s">
        <v>131</v>
      </c>
      <c r="X246" s="1" t="s">
        <v>841</v>
      </c>
      <c r="AB246" s="1" t="s">
        <v>842</v>
      </c>
      <c r="AE246" s="1" t="s">
        <v>172</v>
      </c>
      <c r="AF246" s="1"/>
    </row>
    <row r="247" spans="1:33" ht="17" customHeight="1" x14ac:dyDescent="0.2">
      <c r="A247" s="1" t="s">
        <v>837</v>
      </c>
      <c r="C247" s="1" t="s">
        <v>838</v>
      </c>
      <c r="D247" s="1" t="s">
        <v>855</v>
      </c>
      <c r="E247" s="3" t="str">
        <f t="shared" si="89"/>
        <v>Kaufman</v>
      </c>
      <c r="F247" s="3"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7" s="3" t="str">
        <f t="shared" si="90"/>
        <v>2004</v>
      </c>
      <c r="H247" s="3" t="str">
        <f t="shared" si="91"/>
        <v>Kaufman__2004</v>
      </c>
      <c r="I247" s="3" t="str">
        <f t="shared" si="94"/>
        <v>UMI%3A3147447</v>
      </c>
      <c r="J247" s="3" t="str">
        <f t="shared" si="92"/>
        <v>Kaufman__2004_TableA2</v>
      </c>
      <c r="K247" s="3" t="str">
        <f t="shared" si="93"/>
        <v>UMI%3A3147447_TableA2</v>
      </c>
      <c r="L247" s="3" t="str">
        <f t="array" ref="L247">IFERROR(INDEX(AUTO_Public_TSV_FileList!$A$1:$A$1000,MATCH(TRUE(),EXACT(K247,IFERROR(_xlfn.TEXTBEFORE(AUTO_Public_TSV_FileList!$A$1:$A$1000,".tsv"),"")),0)),"notfound")</f>
        <v>UMI%3A3147447_TableA2.tsv</v>
      </c>
      <c r="M247" s="1" t="s">
        <v>856</v>
      </c>
      <c r="N247" s="1" t="s">
        <v>35</v>
      </c>
      <c r="P247" s="1" t="s">
        <v>36</v>
      </c>
      <c r="Q247" s="1"/>
      <c r="W247" s="1" t="s">
        <v>131</v>
      </c>
      <c r="X247" s="1" t="s">
        <v>841</v>
      </c>
      <c r="AB247" s="1" t="s">
        <v>842</v>
      </c>
      <c r="AE247" s="1" t="s">
        <v>172</v>
      </c>
      <c r="AF247" s="1"/>
    </row>
    <row r="248" spans="1:33" ht="17" customHeight="1" x14ac:dyDescent="0.2">
      <c r="A248" s="1" t="s">
        <v>837</v>
      </c>
      <c r="C248" s="1" t="s">
        <v>838</v>
      </c>
      <c r="D248" s="1" t="s">
        <v>857</v>
      </c>
      <c r="E248" s="3" t="str">
        <f t="shared" si="89"/>
        <v>Kaufman</v>
      </c>
      <c r="F248" s="3"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8" s="3" t="str">
        <f t="shared" si="90"/>
        <v>2004</v>
      </c>
      <c r="H248" s="3" t="str">
        <f t="shared" si="91"/>
        <v>Kaufman__2004</v>
      </c>
      <c r="I248" s="3" t="str">
        <f t="shared" si="94"/>
        <v>UMI%3A3147447</v>
      </c>
      <c r="J248" s="3" t="str">
        <f t="shared" si="92"/>
        <v>Kaufman__2004_TableA3</v>
      </c>
      <c r="K248" s="3" t="str">
        <f t="shared" si="93"/>
        <v>UMI%3A3147447_TableA3</v>
      </c>
      <c r="L248" s="3" t="str">
        <f t="array" ref="L248">IFERROR(INDEX(AUTO_Public_TSV_FileList!$A$1:$A$1000,MATCH(TRUE(),EXACT(K248,IFERROR(_xlfn.TEXTBEFORE(AUTO_Public_TSV_FileList!$A$1:$A$1000,".tsv"),"")),0)),"notfound")</f>
        <v>UMI%3A3147447_TableA3.tsv</v>
      </c>
      <c r="M248" s="1" t="s">
        <v>858</v>
      </c>
      <c r="N248" s="1" t="s">
        <v>35</v>
      </c>
      <c r="P248" s="1" t="s">
        <v>36</v>
      </c>
      <c r="Q248" s="1"/>
      <c r="W248" s="1" t="s">
        <v>131</v>
      </c>
      <c r="X248" s="1" t="s">
        <v>841</v>
      </c>
      <c r="AB248" s="1" t="s">
        <v>842</v>
      </c>
      <c r="AE248" s="1" t="s">
        <v>172</v>
      </c>
      <c r="AF248" s="1"/>
    </row>
    <row r="249" spans="1:33" ht="17" customHeight="1" x14ac:dyDescent="0.2">
      <c r="A249" s="1" t="s">
        <v>837</v>
      </c>
      <c r="C249" s="1" t="s">
        <v>838</v>
      </c>
      <c r="D249" s="1" t="s">
        <v>859</v>
      </c>
      <c r="E249" s="3" t="str">
        <f t="shared" si="89"/>
        <v>Kaufman</v>
      </c>
      <c r="F249" s="3"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49" s="3" t="str">
        <f t="shared" si="90"/>
        <v>2004</v>
      </c>
      <c r="H249" s="3" t="str">
        <f t="shared" si="91"/>
        <v>Kaufman__2004</v>
      </c>
      <c r="I249" s="3" t="str">
        <f t="shared" si="94"/>
        <v>UMI%3A3147447</v>
      </c>
      <c r="J249" s="3" t="str">
        <f t="shared" si="92"/>
        <v>Kaufman__2004_TableA4</v>
      </c>
      <c r="K249" s="3" t="str">
        <f t="shared" si="93"/>
        <v>UMI%3A3147447_TableA4</v>
      </c>
      <c r="L249" s="3" t="str">
        <f t="array" ref="L249">IFERROR(INDEX(AUTO_Public_TSV_FileList!$A$1:$A$1000,MATCH(TRUE(),EXACT(K249,IFERROR(_xlfn.TEXTBEFORE(AUTO_Public_TSV_FileList!$A$1:$A$1000,".tsv"),"")),0)),"notfound")</f>
        <v>UMI%3A3147447_TableA4.tsv</v>
      </c>
      <c r="M249" s="1" t="s">
        <v>860</v>
      </c>
      <c r="N249" s="1" t="s">
        <v>35</v>
      </c>
      <c r="P249" s="1" t="s">
        <v>36</v>
      </c>
      <c r="Q249" s="1"/>
      <c r="W249" s="1" t="s">
        <v>131</v>
      </c>
      <c r="X249" s="1" t="s">
        <v>841</v>
      </c>
      <c r="AB249" s="1" t="s">
        <v>842</v>
      </c>
      <c r="AE249" s="1" t="s">
        <v>172</v>
      </c>
      <c r="AF249" s="1"/>
    </row>
    <row r="250" spans="1:33" ht="17" customHeight="1" x14ac:dyDescent="0.2">
      <c r="A250" s="1" t="s">
        <v>837</v>
      </c>
      <c r="C250" s="1" t="s">
        <v>838</v>
      </c>
      <c r="D250" s="1" t="s">
        <v>861</v>
      </c>
      <c r="E250" s="3" t="str">
        <f t="shared" si="89"/>
        <v>Kaufman</v>
      </c>
      <c r="F250" s="3"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0" s="3" t="str">
        <f t="shared" si="90"/>
        <v>2004</v>
      </c>
      <c r="H250" s="3" t="str">
        <f t="shared" si="91"/>
        <v>Kaufman__2004</v>
      </c>
      <c r="I250" s="3" t="str">
        <f t="shared" si="94"/>
        <v>UMI%3A3147447</v>
      </c>
      <c r="J250" s="3" t="str">
        <f t="shared" si="92"/>
        <v>Kaufman__2004_TableA5</v>
      </c>
      <c r="K250" s="3" t="str">
        <f t="shared" si="93"/>
        <v>UMI%3A3147447_TableA5</v>
      </c>
      <c r="L250" s="3" t="str">
        <f t="array" ref="L250">IFERROR(INDEX(AUTO_Public_TSV_FileList!$A$1:$A$1000,MATCH(TRUE(),EXACT(K250,IFERROR(_xlfn.TEXTBEFORE(AUTO_Public_TSV_FileList!$A$1:$A$1000,".tsv"),"")),0)),"notfound")</f>
        <v>UMI%3A3147447_TableA5.tsv</v>
      </c>
      <c r="M250" s="1" t="s">
        <v>862</v>
      </c>
      <c r="N250" s="1" t="s">
        <v>35</v>
      </c>
      <c r="P250" s="1" t="s">
        <v>36</v>
      </c>
      <c r="Q250" s="1"/>
      <c r="W250" s="1" t="s">
        <v>131</v>
      </c>
      <c r="X250" s="1" t="s">
        <v>841</v>
      </c>
      <c r="AB250" s="1" t="s">
        <v>842</v>
      </c>
      <c r="AE250" s="1" t="s">
        <v>172</v>
      </c>
      <c r="AF250" s="1"/>
    </row>
    <row r="251" spans="1:33" ht="17" customHeight="1" x14ac:dyDescent="0.2">
      <c r="A251" s="1" t="s">
        <v>837</v>
      </c>
      <c r="C251" s="1" t="s">
        <v>838</v>
      </c>
      <c r="D251" s="1" t="s">
        <v>863</v>
      </c>
      <c r="E251" s="3" t="str">
        <f t="shared" si="89"/>
        <v>Kaufman</v>
      </c>
      <c r="F251" s="3"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1" s="3" t="str">
        <f t="shared" si="90"/>
        <v>2004</v>
      </c>
      <c r="H251" s="3" t="str">
        <f t="shared" si="91"/>
        <v>Kaufman__2004</v>
      </c>
      <c r="I251" s="3" t="str">
        <f t="shared" si="94"/>
        <v>UMI%3A3147447</v>
      </c>
      <c r="J251" s="3" t="str">
        <f t="shared" si="92"/>
        <v>Kaufman__2004_TableA6</v>
      </c>
      <c r="K251" s="3" t="str">
        <f t="shared" si="93"/>
        <v>UMI%3A3147447_TableA6</v>
      </c>
      <c r="L251" s="3" t="str">
        <f t="array" ref="L251">IFERROR(INDEX(AUTO_Public_TSV_FileList!$A$1:$A$1000,MATCH(TRUE(),EXACT(K251,IFERROR(_xlfn.TEXTBEFORE(AUTO_Public_TSV_FileList!$A$1:$A$1000,".tsv"),"")),0)),"notfound")</f>
        <v>UMI%3A3147447_TableA6.tsv</v>
      </c>
      <c r="M251" s="1" t="s">
        <v>864</v>
      </c>
      <c r="N251" s="1" t="s">
        <v>35</v>
      </c>
      <c r="P251" s="1" t="s">
        <v>36</v>
      </c>
      <c r="Q251" s="1"/>
      <c r="W251" s="1" t="s">
        <v>131</v>
      </c>
      <c r="X251" s="1" t="s">
        <v>841</v>
      </c>
      <c r="AB251" s="1" t="s">
        <v>842</v>
      </c>
      <c r="AE251" s="1" t="s">
        <v>172</v>
      </c>
      <c r="AF251" s="1"/>
    </row>
    <row r="252" spans="1:33" ht="17" customHeight="1" x14ac:dyDescent="0.2">
      <c r="A252" s="1" t="s">
        <v>837</v>
      </c>
      <c r="C252" s="1" t="s">
        <v>838</v>
      </c>
      <c r="D252" s="1" t="s">
        <v>865</v>
      </c>
      <c r="E252" s="3" t="str">
        <f t="shared" si="89"/>
        <v>Kaufman</v>
      </c>
      <c r="F252" s="3"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2" s="3" t="str">
        <f t="shared" si="90"/>
        <v>2004</v>
      </c>
      <c r="H252" s="3" t="str">
        <f t="shared" si="91"/>
        <v>Kaufman__2004</v>
      </c>
      <c r="I252" s="3" t="str">
        <f t="shared" si="94"/>
        <v>UMI%3A3147447</v>
      </c>
      <c r="J252" s="3" t="str">
        <f t="shared" si="92"/>
        <v>Kaufman__2004_TableA7</v>
      </c>
      <c r="K252" s="3" t="str">
        <f t="shared" si="93"/>
        <v>UMI%3A3147447_TableA7</v>
      </c>
      <c r="L252" s="3" t="str">
        <f t="array" ref="L252">IFERROR(INDEX(AUTO_Public_TSV_FileList!$A$1:$A$1000,MATCH(TRUE(),EXACT(K252,IFERROR(_xlfn.TEXTBEFORE(AUTO_Public_TSV_FileList!$A$1:$A$1000,".tsv"),"")),0)),"notfound")</f>
        <v>UMI%3A3147447_TableA7.tsv</v>
      </c>
      <c r="M252" s="1" t="s">
        <v>866</v>
      </c>
      <c r="N252" s="1" t="s">
        <v>35</v>
      </c>
      <c r="P252" s="1" t="s">
        <v>36</v>
      </c>
      <c r="Q252" s="1"/>
      <c r="W252" s="1" t="s">
        <v>131</v>
      </c>
      <c r="X252" s="1" t="s">
        <v>841</v>
      </c>
      <c r="AB252" s="1" t="s">
        <v>842</v>
      </c>
      <c r="AE252" s="1" t="s">
        <v>172</v>
      </c>
      <c r="AF252" s="1"/>
    </row>
    <row r="253" spans="1:33" ht="17" customHeight="1" x14ac:dyDescent="0.2">
      <c r="A253" s="1" t="s">
        <v>837</v>
      </c>
      <c r="C253" s="1" t="s">
        <v>838</v>
      </c>
      <c r="D253" s="1" t="s">
        <v>867</v>
      </c>
      <c r="E253" s="3" t="str">
        <f t="shared" si="89"/>
        <v>Kaufman</v>
      </c>
      <c r="F253" s="3"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3" s="3" t="str">
        <f t="shared" si="90"/>
        <v>2004</v>
      </c>
      <c r="H253" s="3" t="str">
        <f t="shared" si="91"/>
        <v>Kaufman__2004</v>
      </c>
      <c r="I253" s="3" t="str">
        <f t="shared" si="94"/>
        <v>UMI%3A3147447</v>
      </c>
      <c r="J253" s="3" t="str">
        <f t="shared" si="92"/>
        <v>Kaufman__2004_TableA8</v>
      </c>
      <c r="K253" s="3" t="str">
        <f t="shared" si="93"/>
        <v>UMI%3A3147447_TableA8</v>
      </c>
      <c r="L253" s="3" t="str">
        <f t="array" ref="L253">IFERROR(INDEX(AUTO_Public_TSV_FileList!$A$1:$A$1000,MATCH(TRUE(),EXACT(K253,IFERROR(_xlfn.TEXTBEFORE(AUTO_Public_TSV_FileList!$A$1:$A$1000,".tsv"),"")),0)),"notfound")</f>
        <v>UMI%3A3147447_TableA8.tsv</v>
      </c>
      <c r="M253" s="1" t="s">
        <v>868</v>
      </c>
      <c r="N253" s="1" t="s">
        <v>35</v>
      </c>
      <c r="P253" s="1" t="s">
        <v>36</v>
      </c>
      <c r="Q253" s="1"/>
      <c r="W253" s="1" t="s">
        <v>131</v>
      </c>
      <c r="X253" s="1" t="s">
        <v>841</v>
      </c>
      <c r="AB253" s="1" t="s">
        <v>842</v>
      </c>
      <c r="AE253" s="1" t="s">
        <v>172</v>
      </c>
      <c r="AF253" s="1"/>
    </row>
    <row r="254" spans="1:33" ht="17" customHeight="1" x14ac:dyDescent="0.2">
      <c r="A254" s="1" t="s">
        <v>837</v>
      </c>
      <c r="C254" s="1" t="s">
        <v>838</v>
      </c>
      <c r="D254" s="1" t="s">
        <v>869</v>
      </c>
      <c r="E254" s="3" t="str">
        <f t="shared" si="89"/>
        <v>Kaufman</v>
      </c>
      <c r="F254" s="3"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3" t="str">
        <f t="shared" si="90"/>
        <v>2004</v>
      </c>
      <c r="H254" s="3" t="str">
        <f t="shared" si="91"/>
        <v>Kaufman__2004</v>
      </c>
      <c r="I254" s="3" t="str">
        <f t="shared" si="94"/>
        <v>UMI%3A3147447</v>
      </c>
      <c r="J254" s="3" t="str">
        <f t="shared" si="92"/>
        <v>Kaufman__2004_TableA9</v>
      </c>
      <c r="K254" s="3" t="str">
        <f t="shared" si="93"/>
        <v>UMI%3A3147447_TableA9</v>
      </c>
      <c r="L254" s="3" t="str">
        <f t="array" ref="L254">IFERROR(INDEX(AUTO_Public_TSV_FileList!$A$1:$A$1000,MATCH(TRUE(),EXACT(K254,IFERROR(_xlfn.TEXTBEFORE(AUTO_Public_TSV_FileList!$A$1:$A$1000,".tsv"),"")),0)),"notfound")</f>
        <v>UMI%3A3147447_TableA9.tsv</v>
      </c>
      <c r="M254" s="1" t="s">
        <v>870</v>
      </c>
      <c r="N254" s="1" t="s">
        <v>35</v>
      </c>
      <c r="P254" s="1" t="s">
        <v>36</v>
      </c>
      <c r="Q254" s="1"/>
      <c r="W254" s="1" t="s">
        <v>131</v>
      </c>
      <c r="X254" s="1" t="s">
        <v>841</v>
      </c>
      <c r="AB254" s="1" t="s">
        <v>842</v>
      </c>
      <c r="AE254" s="1" t="s">
        <v>172</v>
      </c>
      <c r="AF254" s="1"/>
    </row>
    <row r="255" spans="1:33" ht="17" customHeight="1" x14ac:dyDescent="0.2">
      <c r="A255" s="1" t="s">
        <v>871</v>
      </c>
      <c r="D255" s="1" t="s">
        <v>81</v>
      </c>
      <c r="E255" s="3" t="str">
        <f t="shared" si="89"/>
        <v>Kazu</v>
      </c>
      <c r="F255" s="3"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5" s="3" t="str">
        <f t="shared" si="90"/>
        <v>2014</v>
      </c>
      <c r="H255" s="3" t="str">
        <f t="shared" si="91"/>
        <v>Kazu_etal_2014</v>
      </c>
      <c r="I255" s="3" t="str">
        <f t="shared" si="94"/>
        <v>10.3389%2Ffnana.2014.00128</v>
      </c>
      <c r="J255" s="3" t="str">
        <f t="shared" si="92"/>
        <v>Kazu_etal_2014_Table1</v>
      </c>
      <c r="K255" s="3" t="str">
        <f t="shared" si="93"/>
        <v>10.3389%2Ffnana.2014.00128_Table1</v>
      </c>
      <c r="L255" s="3" t="str">
        <f t="array" ref="L255">IFERROR(INDEX(AUTO_Public_TSV_FileList!$A$1:$A$1000,MATCH(TRUE(),EXACT(K255,IFERROR(_xlfn.TEXTBEFORE(AUTO_Public_TSV_FileList!$A$1:$A$1000,".tsv"),"")),0)),"notfound")</f>
        <v>10.3389%2Ffnana.2014.00128_Table1.tsv</v>
      </c>
      <c r="N255" s="1" t="s">
        <v>35</v>
      </c>
      <c r="P255" s="1" t="s">
        <v>36</v>
      </c>
      <c r="Q255" s="1"/>
      <c r="U255" s="8" t="s">
        <v>872</v>
      </c>
      <c r="W255" s="1" t="s">
        <v>873</v>
      </c>
      <c r="X255" s="1" t="s">
        <v>874</v>
      </c>
      <c r="AA255" s="1" t="s">
        <v>63</v>
      </c>
      <c r="AB255" s="1" t="s">
        <v>64</v>
      </c>
      <c r="AC255" s="1" t="s">
        <v>65</v>
      </c>
      <c r="AE255" s="1" t="s">
        <v>66</v>
      </c>
      <c r="AF255" s="1"/>
      <c r="AG255" s="1" t="s">
        <v>875</v>
      </c>
    </row>
    <row r="256" spans="1:33" ht="17" customHeight="1" x14ac:dyDescent="0.2">
      <c r="A256" s="1" t="s">
        <v>876</v>
      </c>
      <c r="D256" s="1" t="s">
        <v>58</v>
      </c>
      <c r="E256" s="3" t="str">
        <f t="shared" si="89"/>
        <v>Kazu</v>
      </c>
      <c r="F256" s="3"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3" t="str">
        <f t="shared" si="90"/>
        <v>2015</v>
      </c>
      <c r="H256" s="3" t="str">
        <f t="shared" si="91"/>
        <v>Kazu_etal_2015</v>
      </c>
      <c r="I256" s="3" t="str">
        <f t="shared" si="94"/>
        <v>10.3389%2Ffnana.2015.00039</v>
      </c>
      <c r="J256" s="3" t="str">
        <f t="shared" si="92"/>
        <v>Kazu_etal_2015_TABLE1</v>
      </c>
      <c r="K256" s="3" t="str">
        <f t="shared" si="93"/>
        <v>10.3389%2Ffnana.2015.00039_TABLE1</v>
      </c>
      <c r="L256" s="3" t="str">
        <f t="array" ref="L256">IFERROR(INDEX(AUTO_Public_TSV_FileList!$A$1:$A$1000,MATCH(TRUE(),EXACT(K256,IFERROR(_xlfn.TEXTBEFORE(AUTO_Public_TSV_FileList!$A$1:$A$1000,".tsv"),"")),0)),"notfound")</f>
        <v>10.3389%2Ffnana.2015.00039_TABLE1.tsv</v>
      </c>
      <c r="M256" s="1" t="s">
        <v>877</v>
      </c>
      <c r="N256" s="8" t="s">
        <v>35</v>
      </c>
      <c r="P256" s="8" t="s">
        <v>36</v>
      </c>
      <c r="W256" s="8" t="s">
        <v>873</v>
      </c>
      <c r="X256" s="8" t="s">
        <v>878</v>
      </c>
      <c r="AA256" s="1" t="s">
        <v>63</v>
      </c>
      <c r="AB256" s="1" t="s">
        <v>64</v>
      </c>
      <c r="AC256" s="8" t="s">
        <v>65</v>
      </c>
      <c r="AE256" s="8" t="s">
        <v>66</v>
      </c>
      <c r="AG256" s="8" t="s">
        <v>879</v>
      </c>
    </row>
    <row r="257" spans="1:33" ht="17" customHeight="1" x14ac:dyDescent="0.2">
      <c r="A257" s="1" t="s">
        <v>880</v>
      </c>
      <c r="D257" s="1" t="s">
        <v>81</v>
      </c>
      <c r="E257" s="3" t="str">
        <f t="shared" si="89"/>
        <v>Kirk</v>
      </c>
      <c r="F257" s="3"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57" s="3" t="str">
        <f t="shared" si="90"/>
        <v>2004</v>
      </c>
      <c r="H257" s="3" t="str">
        <f t="shared" si="91"/>
        <v>Kirk_Kay_2004</v>
      </c>
      <c r="I257" s="3" t="str">
        <f t="shared" si="94"/>
        <v>10.1007%2F978-1-4419-8873-7_20</v>
      </c>
      <c r="J257" s="3" t="str">
        <f t="shared" si="92"/>
        <v>Kirk_Kay_2004_Table1</v>
      </c>
      <c r="K257" s="3" t="str">
        <f t="shared" si="93"/>
        <v>10.1007%2F978-1-4419-8873-7_20_Table1</v>
      </c>
      <c r="L257" s="3" t="str">
        <f t="array" ref="L257">IFERROR(INDEX(AUTO_Public_TSV_FileList!$A$1:$A$1000,MATCH(TRUE(),EXACT(K257,IFERROR(_xlfn.TEXTBEFORE(AUTO_Public_TSV_FileList!$A$1:$A$1000,".tsv"),"")),0)),"notfound")</f>
        <v>10.1007%2F978-1-4419-8873-7_20_Table1.tsv</v>
      </c>
      <c r="M257" s="1" t="s">
        <v>881</v>
      </c>
    </row>
    <row r="258" spans="1:33" ht="17" customHeight="1" x14ac:dyDescent="0.2">
      <c r="A258" s="1" t="s">
        <v>880</v>
      </c>
      <c r="D258" s="1" t="s">
        <v>70</v>
      </c>
      <c r="E258" s="3" t="str">
        <f t="shared" si="89"/>
        <v>Kirk</v>
      </c>
      <c r="F258" s="3"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58" s="3" t="str">
        <f t="shared" si="90"/>
        <v>2004</v>
      </c>
      <c r="H258" s="3" t="str">
        <f t="shared" si="91"/>
        <v>Kirk_Kay_2004</v>
      </c>
      <c r="I258" s="3" t="str">
        <f t="shared" si="94"/>
        <v>10.1007%2F978-1-4419-8873-7_20</v>
      </c>
      <c r="J258" s="3" t="str">
        <f t="shared" si="92"/>
        <v>Kirk_Kay_2004_Table2</v>
      </c>
      <c r="K258" s="3" t="str">
        <f t="shared" si="93"/>
        <v>10.1007%2F978-1-4419-8873-7_20_Table2</v>
      </c>
      <c r="L258" s="3" t="str">
        <f t="array" ref="L258">IFERROR(INDEX(AUTO_Public_TSV_FileList!$A$1:$A$1000,MATCH(TRUE(),EXACT(K258,IFERROR(_xlfn.TEXTBEFORE(AUTO_Public_TSV_FileList!$A$1:$A$1000,".tsv"),"")),0)),"notfound")</f>
        <v>10.1007%2F978-1-4419-8873-7_20_Table2.tsv</v>
      </c>
      <c r="M258" s="1" t="s">
        <v>882</v>
      </c>
    </row>
    <row r="259" spans="1:33" ht="17" customHeight="1" x14ac:dyDescent="0.2">
      <c r="A259" s="1" t="s">
        <v>883</v>
      </c>
      <c r="D259" s="1" t="s">
        <v>884</v>
      </c>
      <c r="E259" s="3" t="str">
        <f t="shared" si="89"/>
        <v>Koay</v>
      </c>
      <c r="F259" s="3"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3" t="str">
        <f t="shared" si="90"/>
        <v>1998</v>
      </c>
      <c r="H259" s="3" t="str">
        <f t="shared" si="91"/>
        <v>Koay_etal_1998</v>
      </c>
      <c r="I259" s="3" t="str">
        <f t="shared" si="94"/>
        <v>10.1037%2F0735-7036.112.4.371</v>
      </c>
      <c r="J259" s="3" t="str">
        <f t="shared" si="92"/>
        <v>Koay_etal_1998_Figure6</v>
      </c>
      <c r="K259" s="3" t="str">
        <f t="shared" si="93"/>
        <v>10.1037%2F0735-7036.112.4.371_Figure6</v>
      </c>
      <c r="L259" s="3" t="str">
        <f t="array" ref="L259">IFERROR(INDEX(AUTO_Public_TSV_FileList!$A$1:$A$1000,MATCH(TRUE(),EXACT(K259,IFERROR(_xlfn.TEXTBEFORE(AUTO_Public_TSV_FileList!$A$1:$A$1000,".tsv"),"")),0)),"notfound")</f>
        <v>10.1037%2F0735-7036.112.4.371_Figure6.tsv</v>
      </c>
      <c r="M259" s="1"/>
    </row>
    <row r="260" spans="1:33" ht="17" customHeight="1" x14ac:dyDescent="0.2">
      <c r="A260" s="1" t="s">
        <v>885</v>
      </c>
      <c r="C260" s="1"/>
      <c r="D260" s="1" t="s">
        <v>886</v>
      </c>
      <c r="E260" s="3" t="str">
        <f t="shared" si="89"/>
        <v>Kochiyama</v>
      </c>
      <c r="F260" s="3"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3" t="str">
        <f t="shared" si="90"/>
        <v>2018</v>
      </c>
      <c r="H260" s="3" t="str">
        <f t="shared" si="91"/>
        <v>Kochiyama_etal_2018</v>
      </c>
      <c r="I260" s="3" t="str">
        <f t="shared" si="94"/>
        <v>10.1038%2Fs41598-018-24331-0</v>
      </c>
      <c r="J260" s="3" t="str">
        <f t="shared" si="92"/>
        <v>Kochiyama_etal_2018_ExtendedDataFigure4</v>
      </c>
      <c r="K260" s="3" t="str">
        <f t="shared" si="93"/>
        <v>10.1038%2Fs41598-018-24331-0_ExtendedDataFigure4</v>
      </c>
      <c r="L260" s="3" t="str">
        <f t="array" ref="L260">IFERROR(INDEX(AUTO_Public_TSV_FileList!$A$1:$A$1000,MATCH(TRUE(),EXACT(K260,IFERROR(_xlfn.TEXTBEFORE(AUTO_Public_TSV_FileList!$A$1:$A$1000,".tsv"),"")),0)),"notfound")</f>
        <v>10.1038%2Fs41598-018-24331-0_ExtendedDataFigure4.tsv</v>
      </c>
      <c r="M260" s="1" t="s">
        <v>887</v>
      </c>
      <c r="N260" s="1" t="s">
        <v>551</v>
      </c>
      <c r="P260" s="8" t="s">
        <v>36</v>
      </c>
    </row>
    <row r="261" spans="1:33" ht="17" customHeight="1" x14ac:dyDescent="0.2">
      <c r="A261" s="1" t="s">
        <v>885</v>
      </c>
      <c r="C261" s="1"/>
      <c r="D261" s="1" t="s">
        <v>888</v>
      </c>
      <c r="E261" s="3" t="str">
        <f t="shared" si="89"/>
        <v>Kochiyama</v>
      </c>
      <c r="F261" s="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3" t="str">
        <f t="shared" si="90"/>
        <v>2018</v>
      </c>
      <c r="H261" s="3" t="str">
        <f t="shared" si="91"/>
        <v>Kochiyama_etal_2018</v>
      </c>
      <c r="I261" s="3" t="str">
        <f t="shared" si="94"/>
        <v>10.1038%2Fs41598-018-24331-0</v>
      </c>
      <c r="J261" s="3" t="str">
        <f t="shared" si="92"/>
        <v>Kochiyama_etal_2018_ExtendedDataTable1</v>
      </c>
      <c r="K261" s="3" t="str">
        <f t="shared" si="93"/>
        <v>10.1038%2Fs41598-018-24331-0_ExtendedDataTable1</v>
      </c>
      <c r="L261" s="3" t="str">
        <f t="array" ref="L261">IFERROR(INDEX(AUTO_Public_TSV_FileList!$A$1:$A$1000,MATCH(TRUE(),EXACT(K261,IFERROR(_xlfn.TEXTBEFORE(AUTO_Public_TSV_FileList!$A$1:$A$1000,".tsv"),"")),0)),"notfound")</f>
        <v>10.1038%2Fs41598-018-24331-0_ExtendedDataTable1.tsv</v>
      </c>
      <c r="M261" s="1" t="s">
        <v>889</v>
      </c>
      <c r="N261" s="1" t="s">
        <v>35</v>
      </c>
      <c r="P261" s="8" t="s">
        <v>36</v>
      </c>
    </row>
    <row r="262" spans="1:33" ht="17" customHeight="1" x14ac:dyDescent="0.2">
      <c r="A262" s="1" t="s">
        <v>885</v>
      </c>
      <c r="C262" s="1"/>
      <c r="D262" s="1" t="s">
        <v>890</v>
      </c>
      <c r="E262" s="3" t="str">
        <f t="shared" si="89"/>
        <v>Kochiyama</v>
      </c>
      <c r="F262" s="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3" t="str">
        <f t="shared" si="90"/>
        <v>2018</v>
      </c>
      <c r="H262" s="3" t="str">
        <f t="shared" si="91"/>
        <v>Kochiyama_etal_2018</v>
      </c>
      <c r="I262" s="3" t="str">
        <f t="shared" si="94"/>
        <v>10.1038%2Fs41598-018-24331-0</v>
      </c>
      <c r="J262" s="3" t="str">
        <f t="shared" si="92"/>
        <v>Kochiyama_etal_2018_ExtendedDataTable3</v>
      </c>
      <c r="K262" s="3" t="str">
        <f t="shared" si="93"/>
        <v>10.1038%2Fs41598-018-24331-0_ExtendedDataTable3</v>
      </c>
      <c r="L262" s="3" t="str">
        <f t="array" ref="L262">IFERROR(INDEX(AUTO_Public_TSV_FileList!$A$1:$A$1000,MATCH(TRUE(),EXACT(K262,IFERROR(_xlfn.TEXTBEFORE(AUTO_Public_TSV_FileList!$A$1:$A$1000,".tsv"),"")),0)),"notfound")</f>
        <v>10.1038%2Fs41598-018-24331-0_ExtendedDataTable3.tsv</v>
      </c>
      <c r="M262" s="1" t="s">
        <v>891</v>
      </c>
      <c r="N262" s="1" t="s">
        <v>35</v>
      </c>
      <c r="P262" s="8" t="s">
        <v>36</v>
      </c>
    </row>
    <row r="263" spans="1:33" ht="17" customHeight="1" x14ac:dyDescent="0.2">
      <c r="A263" s="1" t="s">
        <v>885</v>
      </c>
      <c r="C263" s="1"/>
      <c r="D263" s="1" t="s">
        <v>892</v>
      </c>
      <c r="E263" s="3" t="str">
        <f t="shared" si="89"/>
        <v>Kochiyama</v>
      </c>
      <c r="F263" s="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3" t="str">
        <f t="shared" si="90"/>
        <v>2018</v>
      </c>
      <c r="H263" s="3" t="str">
        <f t="shared" si="91"/>
        <v>Kochiyama_etal_2018</v>
      </c>
      <c r="I263" s="3" t="str">
        <f t="shared" si="94"/>
        <v>10.1038%2Fs41598-018-24331-0</v>
      </c>
      <c r="J263" s="3" t="str">
        <f t="shared" si="92"/>
        <v>Kochiyama_etal_2018_Figure3legend</v>
      </c>
      <c r="K263" s="3" t="str">
        <f t="shared" si="93"/>
        <v>10.1038%2Fs41598-018-24331-0_Figure3legend</v>
      </c>
      <c r="L263" s="3" t="str">
        <f t="array" ref="L263">IFERROR(INDEX(AUTO_Public_TSV_FileList!$A$1:$A$1000,MATCH(TRUE(),EXACT(K263,IFERROR(_xlfn.TEXTBEFORE(AUTO_Public_TSV_FileList!$A$1:$A$1000,".tsv"),"")),0)),"notfound")</f>
        <v>10.1038%2Fs41598-018-24331-0_Figure3legend.tsv</v>
      </c>
      <c r="M263" s="1" t="s">
        <v>893</v>
      </c>
      <c r="N263" s="1" t="s">
        <v>894</v>
      </c>
      <c r="P263" s="8" t="s">
        <v>36</v>
      </c>
    </row>
    <row r="264" spans="1:33" ht="17" customHeight="1" x14ac:dyDescent="0.2">
      <c r="A264" s="1" t="s">
        <v>885</v>
      </c>
      <c r="C264" s="1"/>
      <c r="D264" s="1" t="s">
        <v>895</v>
      </c>
      <c r="E264" s="3" t="str">
        <f t="shared" si="89"/>
        <v>Kochiyama</v>
      </c>
      <c r="F264" s="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3" t="str">
        <f t="shared" si="90"/>
        <v>2018</v>
      </c>
      <c r="H264" s="3" t="str">
        <f t="shared" si="91"/>
        <v>Kochiyama_etal_2018</v>
      </c>
      <c r="I264" s="3" t="str">
        <f t="shared" si="94"/>
        <v>10.1038%2Fs41598-018-24331-0</v>
      </c>
      <c r="J264" s="3" t="str">
        <f t="shared" si="92"/>
        <v>Kochiyama_etal_2018_Figure3A</v>
      </c>
      <c r="K264" s="3" t="str">
        <f t="shared" si="93"/>
        <v>10.1038%2Fs41598-018-24331-0_Figure3A</v>
      </c>
      <c r="L264" s="3" t="str">
        <f t="array" ref="L264">IFERROR(INDEX(AUTO_Public_TSV_FileList!$A$1:$A$1000,MATCH(TRUE(),EXACT(K264,IFERROR(_xlfn.TEXTBEFORE(AUTO_Public_TSV_FileList!$A$1:$A$1000,".tsv"),"")),0)),"notfound")</f>
        <v>10.1038%2Fs41598-018-24331-0_Figure3A.tsv</v>
      </c>
      <c r="M264" s="1" t="s">
        <v>893</v>
      </c>
      <c r="N264" s="1" t="s">
        <v>551</v>
      </c>
      <c r="P264" s="8" t="s">
        <v>36</v>
      </c>
    </row>
    <row r="265" spans="1:33" ht="17" customHeight="1" x14ac:dyDescent="0.2">
      <c r="A265" s="1" t="s">
        <v>885</v>
      </c>
      <c r="C265" s="1"/>
      <c r="D265" s="1" t="s">
        <v>896</v>
      </c>
      <c r="E265" s="3" t="str">
        <f t="shared" si="89"/>
        <v>Kochiyama</v>
      </c>
      <c r="F265" s="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3" t="str">
        <f t="shared" si="90"/>
        <v>2018</v>
      </c>
      <c r="H265" s="3" t="str">
        <f t="shared" si="91"/>
        <v>Kochiyama_etal_2018</v>
      </c>
      <c r="I265" s="3" t="str">
        <f t="shared" si="94"/>
        <v>10.1038%2Fs41598-018-24331-0</v>
      </c>
      <c r="J265" s="3" t="str">
        <f t="shared" si="92"/>
        <v>Kochiyama_etal_2018_Figure3B</v>
      </c>
      <c r="K265" s="3" t="str">
        <f t="shared" si="93"/>
        <v>10.1038%2Fs41598-018-24331-0_Figure3B</v>
      </c>
      <c r="L265" s="3" t="str">
        <f t="array" ref="L265">IFERROR(INDEX(AUTO_Public_TSV_FileList!$A$1:$A$1000,MATCH(TRUE(),EXACT(K265,IFERROR(_xlfn.TEXTBEFORE(AUTO_Public_TSV_FileList!$A$1:$A$1000,".tsv"),"")),0)),"notfound")</f>
        <v>10.1038%2Fs41598-018-24331-0_Figure3B.tsv</v>
      </c>
      <c r="M265" s="1" t="s">
        <v>893</v>
      </c>
      <c r="N265" s="1" t="s">
        <v>551</v>
      </c>
      <c r="P265" s="8" t="s">
        <v>36</v>
      </c>
    </row>
    <row r="266" spans="1:33" ht="17" customHeight="1" x14ac:dyDescent="0.2">
      <c r="A266" s="1" t="s">
        <v>885</v>
      </c>
      <c r="C266" s="1"/>
      <c r="D266" s="1" t="s">
        <v>897</v>
      </c>
      <c r="E266" s="3" t="str">
        <f t="shared" si="89"/>
        <v>Kochiyama</v>
      </c>
      <c r="F266" s="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3" t="str">
        <f t="shared" si="90"/>
        <v>2018</v>
      </c>
      <c r="H266" s="3" t="str">
        <f t="shared" si="91"/>
        <v>Kochiyama_etal_2018</v>
      </c>
      <c r="I266" s="3" t="str">
        <f t="shared" si="94"/>
        <v>10.1038%2Fs41598-018-24331-0</v>
      </c>
      <c r="J266" s="3" t="str">
        <f t="shared" si="92"/>
        <v>Kochiyama_etal_2018_FossilSpecimensText</v>
      </c>
      <c r="K266" s="3" t="str">
        <f t="shared" si="93"/>
        <v>10.1038%2Fs41598-018-24331-0_FossilSpecimensText</v>
      </c>
      <c r="L266" s="3" t="str">
        <f t="array" ref="L266">IFERROR(INDEX(AUTO_Public_TSV_FileList!$A$1:$A$1000,MATCH(TRUE(),EXACT(K266,IFERROR(_xlfn.TEXTBEFORE(AUTO_Public_TSV_FileList!$A$1:$A$1000,".tsv"),"")),0)),"notfound")</f>
        <v>10.1038%2Fs41598-018-24331-0_FossilSpecimensText.tsv</v>
      </c>
      <c r="M266" s="1" t="s">
        <v>898</v>
      </c>
      <c r="N266" s="1" t="s">
        <v>35</v>
      </c>
      <c r="P266" s="8" t="s">
        <v>36</v>
      </c>
    </row>
    <row r="267" spans="1:33" ht="17" customHeight="1" x14ac:dyDescent="0.2">
      <c r="A267" s="8" t="s">
        <v>899</v>
      </c>
      <c r="D267" s="8" t="s">
        <v>70</v>
      </c>
      <c r="E267" s="10" t="str">
        <f t="shared" si="89"/>
        <v>Krompecher</v>
      </c>
      <c r="F267" s="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67" s="3" t="str">
        <f t="shared" si="90"/>
        <v>1966</v>
      </c>
      <c r="H267" s="10" t="str">
        <f t="shared" si="91"/>
        <v>Krompecher_Lipak_1966</v>
      </c>
      <c r="I267" s="10" t="str">
        <f>_xlfn.LET(_xlpm.doi,IF(C267&lt;&gt;"",C267,_xlfn.TEXTAFTER(A267,"https://doi.org/")),SUBSTITUTE(SUBSTITUTE(SUBSTITUTE(SUBSTITUTE(_xlpm.doi,"/","%2F"),":","%3A"),"&lt;","%3C"),"&gt;","%3E"))</f>
        <v>10.1002%2Fcne.901270108</v>
      </c>
      <c r="J267" s="10" t="str">
        <f t="shared" si="92"/>
        <v>Krompecher_Lipak_1966_Table2</v>
      </c>
      <c r="K267" s="3" t="str">
        <f t="shared" si="93"/>
        <v>10.1002%2Fcne.901270108_Table2</v>
      </c>
      <c r="L267" s="3" t="str">
        <f t="array" ref="L267">IFERROR(INDEX(AUTO_Public_TSV_FileList!$A$1:$A$1000,MATCH(TRUE(),EXACT(K267,IFERROR(_xlfn.TEXTBEFORE(AUTO_Public_TSV_FileList!$A$1:$A$1000,".tsv"),"")),0)),"notfound")</f>
        <v>10.1002%2Fcne.901270108_Table2.tsv</v>
      </c>
      <c r="M267" s="8" t="s">
        <v>900</v>
      </c>
      <c r="N267" s="8" t="s">
        <v>35</v>
      </c>
      <c r="P267" s="8" t="s">
        <v>36</v>
      </c>
      <c r="W267" s="8" t="s">
        <v>901</v>
      </c>
      <c r="X267" s="8" t="s">
        <v>902</v>
      </c>
      <c r="Y267" s="8" t="s">
        <v>903</v>
      </c>
      <c r="Z267" s="8" t="s">
        <v>904</v>
      </c>
      <c r="AA267" s="8" t="s">
        <v>905</v>
      </c>
      <c r="AB267" s="8" t="s">
        <v>906</v>
      </c>
      <c r="AE267" s="8" t="s">
        <v>51</v>
      </c>
      <c r="AF267" s="8" t="s">
        <v>907</v>
      </c>
    </row>
    <row r="268" spans="1:33" ht="17" customHeight="1" x14ac:dyDescent="0.2">
      <c r="A268" s="1" t="s">
        <v>908</v>
      </c>
      <c r="C268" s="1"/>
      <c r="D268" s="1" t="s">
        <v>81</v>
      </c>
      <c r="E268" s="3" t="str">
        <f t="shared" si="89"/>
        <v>Krubitzer</v>
      </c>
      <c r="F268" s="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68" s="3" t="str">
        <f t="shared" si="90"/>
        <v>1990</v>
      </c>
      <c r="H268" s="3" t="str">
        <f t="shared" si="91"/>
        <v>Krubitzer_Kaas_1990</v>
      </c>
      <c r="I268" s="3" t="str">
        <f>_xlfn.LET(
_xlpm.doi,IF(C268&lt;&gt;"",C268,_xlfn.TEXTAFTER(A268,"https://doi.org/")),
SUBSTITUTE(
SUBSTITUTE(
SUBSTITUTE(
SUBSTITUTE(
_xlpm.doi,
"/","%2F"),
":","%3A"),
"&lt;","%3C"),
"&gt;","%3E")
)</f>
        <v>10.1017%2Fs0952523800000213</v>
      </c>
      <c r="J268" s="3" t="str">
        <f t="shared" si="92"/>
        <v>Krubitzer_Kaas_1990_Table1</v>
      </c>
      <c r="K268" s="3" t="str">
        <f t="shared" si="93"/>
        <v>10.1017%2Fs0952523800000213_Table1</v>
      </c>
      <c r="L268" s="3" t="str">
        <f t="array" ref="L268">IFERROR(INDEX(AUTO_Public_TSV_FileList!$A$1:$A$1000,MATCH(TRUE(),EXACT(K268,IFERROR(_xlfn.TEXTBEFORE(AUTO_Public_TSV_FileList!$A$1:$A$1000,".tsv"),"")),0)),"notfound")</f>
        <v>10.1017%2Fs0952523800000213_Table1.tsv</v>
      </c>
      <c r="M268" s="1" t="s">
        <v>909</v>
      </c>
      <c r="P268" s="8" t="s">
        <v>36</v>
      </c>
    </row>
    <row r="269" spans="1:33" ht="17" customHeight="1" x14ac:dyDescent="0.2">
      <c r="A269" s="7" t="s">
        <v>910</v>
      </c>
      <c r="B269" s="7"/>
      <c r="C269" s="7"/>
      <c r="D269" s="7" t="s">
        <v>911</v>
      </c>
      <c r="E269" s="10" t="str">
        <f t="shared" si="89"/>
        <v>Kruska</v>
      </c>
      <c r="F269" s="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9" s="3" t="str">
        <f t="shared" si="90"/>
        <v>2014</v>
      </c>
      <c r="H269" s="10" t="str">
        <f t="shared" si="91"/>
        <v>Kruska__2014</v>
      </c>
      <c r="I269" s="10" t="str">
        <f>_xlfn.LET(_xlpm.doi,IF(C269&lt;&gt;"",C269,_xlfn.TEXTAFTER(A269,"https://doi.org/")),SUBSTITUTE(SUBSTITUTE(SUBSTITUTE(SUBSTITUTE(_xlpm.doi,"/","%2F"),":","%3A"),"&lt;","%3C"),"&gt;","%3E"))</f>
        <v>10.1016%2Fj.mambio.2013.12.005</v>
      </c>
      <c r="J269" s="10" t="str">
        <f t="shared" si="92"/>
        <v>Kruska__2014_Tables2–3</v>
      </c>
      <c r="K269" s="10" t="str">
        <f t="shared" si="93"/>
        <v>10.1016%2Fj.mambio.2013.12.005_Tables2–3</v>
      </c>
      <c r="L269" s="3" t="str">
        <f t="array" ref="L269">IFERROR(INDEX(AUTO_Public_TSV_FileList!$A$1:$A$1000,MATCH(TRUE(),EXACT(K269,IFERROR(_xlfn.TEXTBEFORE(AUTO_Public_TSV_FileList!$A$1:$A$1000,".tsv"),"")),0)),"notfound")</f>
        <v>notfound</v>
      </c>
      <c r="N269" s="1" t="s">
        <v>35</v>
      </c>
      <c r="P269" s="7"/>
      <c r="Q269" s="7"/>
      <c r="R269" s="7" t="s">
        <v>912</v>
      </c>
      <c r="S269" s="7" t="s">
        <v>491</v>
      </c>
      <c r="T269" s="7" t="s">
        <v>492</v>
      </c>
      <c r="U269" s="7"/>
      <c r="V269" s="7" t="s">
        <v>913</v>
      </c>
      <c r="W269" s="7" t="s">
        <v>914</v>
      </c>
      <c r="X269" s="7" t="s">
        <v>915</v>
      </c>
      <c r="Y269" s="7" t="s">
        <v>916</v>
      </c>
      <c r="Z269" s="7"/>
      <c r="AA269" s="7"/>
      <c r="AB269" s="7" t="s">
        <v>917</v>
      </c>
      <c r="AC269" s="7" t="s">
        <v>112</v>
      </c>
      <c r="AD269" s="7" t="s">
        <v>112</v>
      </c>
      <c r="AE269" s="7" t="s">
        <v>66</v>
      </c>
      <c r="AF269" s="7"/>
      <c r="AG269" s="7" t="s">
        <v>918</v>
      </c>
    </row>
    <row r="270" spans="1:33" ht="17" customHeight="1" x14ac:dyDescent="0.2">
      <c r="A270" s="7" t="s">
        <v>919</v>
      </c>
      <c r="B270" s="7"/>
      <c r="C270" s="7"/>
      <c r="D270" s="7" t="s">
        <v>911</v>
      </c>
      <c r="E270" s="10" t="str">
        <f t="shared" si="89"/>
        <v>Kruska</v>
      </c>
      <c r="F270" s="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0" s="3" t="str">
        <f t="shared" si="90"/>
        <v>1974</v>
      </c>
      <c r="H270" s="10" t="str">
        <f t="shared" si="91"/>
        <v>Kruska_Rohrs_1974</v>
      </c>
      <c r="I270" s="10" t="str">
        <f>_xlfn.LET(_xlpm.doi,IF(C270&lt;&gt;"",C270,_xlfn.TEXTAFTER(A270,"https://doi.org/")),SUBSTITUTE(SUBSTITUTE(SUBSTITUTE(SUBSTITUTE(_xlpm.doi,"/","%2F"),":","%3A"),"&lt;","%3C"),"&gt;","%3E"))</f>
        <v>10.1007%2Fbf00518633</v>
      </c>
      <c r="J270" s="10" t="str">
        <f t="shared" si="92"/>
        <v>Kruska_Rohrs_1974_Tables2–3</v>
      </c>
      <c r="K270" s="10" t="str">
        <f t="shared" si="93"/>
        <v>10.1007%2Fbf00518633_Tables2–3</v>
      </c>
      <c r="L270" s="3" t="str">
        <f t="array" ref="L270">IFERROR(INDEX(AUTO_Public_TSV_FileList!$A$1:$A$1000,MATCH(TRUE(),EXACT(K270,IFERROR(_xlfn.TEXTBEFORE(AUTO_Public_TSV_FileList!$A$1:$A$1000,".tsv"),"")),0)),"notfound")</f>
        <v>notfound</v>
      </c>
      <c r="N270" s="1" t="s">
        <v>35</v>
      </c>
      <c r="P270" s="7"/>
      <c r="Q270" s="7"/>
      <c r="R270" s="7"/>
      <c r="S270" s="7" t="s">
        <v>491</v>
      </c>
      <c r="T270" s="7" t="s">
        <v>492</v>
      </c>
      <c r="U270" s="7"/>
      <c r="V270" s="7" t="s">
        <v>493</v>
      </c>
      <c r="W270" s="7" t="s">
        <v>873</v>
      </c>
      <c r="X270" s="7" t="s">
        <v>920</v>
      </c>
      <c r="Y270" s="7"/>
      <c r="Z270" s="7"/>
      <c r="AA270" s="7" t="s">
        <v>921</v>
      </c>
      <c r="AB270" s="7" t="s">
        <v>917</v>
      </c>
      <c r="AD270" s="7"/>
      <c r="AE270" s="7" t="s">
        <v>66</v>
      </c>
      <c r="AF270" s="7"/>
      <c r="AG270" s="7" t="s">
        <v>922</v>
      </c>
    </row>
    <row r="271" spans="1:33" ht="17" customHeight="1" x14ac:dyDescent="0.2">
      <c r="A271" s="1" t="s">
        <v>923</v>
      </c>
      <c r="D271" s="1" t="s">
        <v>81</v>
      </c>
      <c r="E271" s="3" t="str">
        <f t="shared" si="89"/>
        <v>Kverkova</v>
      </c>
      <c r="F271" s="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3" t="str">
        <f t="shared" si="90"/>
        <v>2018</v>
      </c>
      <c r="H271" s="3" t="str">
        <f t="shared" si="91"/>
        <v>Kverkova_etal_2018</v>
      </c>
      <c r="I271" s="3" t="str">
        <f>_xlfn.LET(
_xlpm.doi,IF(C271&lt;&gt;"",C271,_xlfn.TEXTAFTER(A271,"https://doi.org/")),
SUBSTITUTE(
SUBSTITUTE(
SUBSTITUTE(
SUBSTITUTE(
_xlpm.doi,
"/","%2F"),
":","%3A"),
"&lt;","%3C"),
"&gt;","%3E")
)</f>
        <v>10.1038%2Fs41598-018-26062-8</v>
      </c>
      <c r="J271" s="3" t="str">
        <f t="shared" si="92"/>
        <v>Kverkova_etal_2018_Table1</v>
      </c>
      <c r="K271" s="3" t="str">
        <f t="shared" si="93"/>
        <v>10.1038%2Fs41598-018-26062-8_Table1</v>
      </c>
      <c r="L271" s="3" t="str">
        <f t="array" ref="L271">IFERROR(INDEX(AUTO_Public_TSV_FileList!$A$1:$A$1000,MATCH(TRUE(),EXACT(K271,IFERROR(_xlfn.TEXTBEFORE(AUTO_Public_TSV_FileList!$A$1:$A$1000,".tsv"),"")),0)),"notfound")</f>
        <v>10.1038%2Fs41598-018-26062-8_Table1.tsv</v>
      </c>
      <c r="M271" s="1" t="s">
        <v>924</v>
      </c>
      <c r="N271" s="1" t="s">
        <v>35</v>
      </c>
      <c r="P271" s="1" t="s">
        <v>36</v>
      </c>
      <c r="Q271" s="1"/>
      <c r="W271" s="1" t="s">
        <v>925</v>
      </c>
      <c r="X271" s="1" t="s">
        <v>644</v>
      </c>
      <c r="AB271" s="1"/>
      <c r="AC271" s="1" t="s">
        <v>926</v>
      </c>
      <c r="AD271" s="1" t="s">
        <v>926</v>
      </c>
      <c r="AE271" s="1" t="s">
        <v>66</v>
      </c>
      <c r="AF271" s="1"/>
    </row>
    <row r="272" spans="1:33" ht="17" customHeight="1" x14ac:dyDescent="0.2">
      <c r="A272" s="1" t="s">
        <v>923</v>
      </c>
      <c r="D272" s="1" t="s">
        <v>314</v>
      </c>
      <c r="E272" s="3" t="str">
        <f t="shared" si="89"/>
        <v>Kverkova</v>
      </c>
      <c r="F272" s="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3" t="str">
        <f t="shared" si="90"/>
        <v>2018</v>
      </c>
      <c r="H272" s="3" t="str">
        <f t="shared" si="91"/>
        <v>Kverkova_etal_2018</v>
      </c>
      <c r="I272" s="3" t="str">
        <f>_xlfn.LET(
_xlpm.doi,IF(C272&lt;&gt;"",C272,_xlfn.TEXTAFTER(A272,"https://doi.org/")),
SUBSTITUTE(
SUBSTITUTE(
SUBSTITUTE(
SUBSTITUTE(
_xlpm.doi,
"/","%2F"),
":","%3A"),
"&lt;","%3C"),
"&gt;","%3E")
)</f>
        <v>10.1038%2Fs41598-018-26062-8</v>
      </c>
      <c r="J272" s="3" t="str">
        <f t="shared" si="92"/>
        <v>Kverkova_etal_2018_TableS1</v>
      </c>
      <c r="K272" s="3" t="str">
        <f t="shared" si="93"/>
        <v>10.1038%2Fs41598-018-26062-8_TableS1</v>
      </c>
      <c r="L272" s="3" t="str">
        <f t="array" ref="L272">IFERROR(INDEX(AUTO_Public_TSV_FileList!$A$1:$A$1000,MATCH(TRUE(),EXACT(K272,IFERROR(_xlfn.TEXTBEFORE(AUTO_Public_TSV_FileList!$A$1:$A$1000,".tsv"),"")),0)),"notfound")</f>
        <v>10.1038%2Fs41598-018-26062-8_TableS1.tsv</v>
      </c>
      <c r="M272" s="1" t="s">
        <v>927</v>
      </c>
      <c r="N272" s="1" t="s">
        <v>35</v>
      </c>
      <c r="P272" s="1" t="s">
        <v>36</v>
      </c>
      <c r="Q272" s="1"/>
      <c r="R272" s="1" t="s">
        <v>928</v>
      </c>
      <c r="W272" s="1" t="s">
        <v>925</v>
      </c>
      <c r="X272" s="1" t="s">
        <v>620</v>
      </c>
      <c r="AB272" s="1" t="s">
        <v>621</v>
      </c>
      <c r="AC272" s="1" t="s">
        <v>926</v>
      </c>
      <c r="AD272" s="1" t="s">
        <v>926</v>
      </c>
      <c r="AE272" s="1" t="s">
        <v>66</v>
      </c>
      <c r="AF272" s="1"/>
    </row>
    <row r="273" spans="1:33" ht="17" customHeight="1" x14ac:dyDescent="0.2">
      <c r="A273" s="1" t="s">
        <v>923</v>
      </c>
      <c r="D273" s="1" t="s">
        <v>802</v>
      </c>
      <c r="E273" s="3" t="str">
        <f t="shared" si="89"/>
        <v>Kverkova</v>
      </c>
      <c r="F273" s="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3" s="3" t="str">
        <f t="shared" si="90"/>
        <v>2018</v>
      </c>
      <c r="H273" s="3" t="str">
        <f t="shared" si="91"/>
        <v>Kverkova_etal_2018</v>
      </c>
      <c r="I273" s="3" t="str">
        <f>_xlfn.LET(
_xlpm.doi,IF(C273&lt;&gt;"",C273,_xlfn.TEXTAFTER(A273,"https://doi.org/")),
SUBSTITUTE(
SUBSTITUTE(
SUBSTITUTE(
SUBSTITUTE(
_xlpm.doi,
"/","%2F"),
":","%3A"),
"&lt;","%3C"),
"&gt;","%3E")
)</f>
        <v>10.1038%2Fs41598-018-26062-8</v>
      </c>
      <c r="J273" s="3" t="str">
        <f t="shared" si="92"/>
        <v>Kverkova_etal_2018_TableS5</v>
      </c>
      <c r="K273" s="3" t="str">
        <f t="shared" si="93"/>
        <v>10.1038%2Fs41598-018-26062-8_TableS5</v>
      </c>
      <c r="L273" s="3" t="str">
        <f t="array" ref="L273">IFERROR(INDEX(AUTO_Public_TSV_FileList!$A$1:$A$1000,MATCH(TRUE(),EXACT(K273,IFERROR(_xlfn.TEXTBEFORE(AUTO_Public_TSV_FileList!$A$1:$A$1000,".tsv"),"")),0)),"notfound")</f>
        <v>10.1038%2Fs41598-018-26062-8_TableS5.tsv</v>
      </c>
      <c r="M273" s="1" t="s">
        <v>929</v>
      </c>
      <c r="N273" s="1" t="s">
        <v>35</v>
      </c>
      <c r="P273" s="1" t="s">
        <v>36</v>
      </c>
      <c r="Q273" s="1"/>
      <c r="R273" s="1" t="s">
        <v>928</v>
      </c>
      <c r="W273" s="1" t="s">
        <v>925</v>
      </c>
      <c r="X273" s="1" t="s">
        <v>623</v>
      </c>
      <c r="AA273" s="1" t="s">
        <v>63</v>
      </c>
      <c r="AB273" s="1" t="s">
        <v>64</v>
      </c>
      <c r="AC273" s="1" t="s">
        <v>926</v>
      </c>
      <c r="AD273" s="1" t="s">
        <v>926</v>
      </c>
      <c r="AE273" s="1" t="s">
        <v>66</v>
      </c>
      <c r="AF273" s="1"/>
    </row>
    <row r="274" spans="1:33" ht="17" customHeight="1" x14ac:dyDescent="0.2">
      <c r="A274" s="8" t="s">
        <v>930</v>
      </c>
      <c r="C274" s="8" t="s">
        <v>931</v>
      </c>
      <c r="D274" s="8" t="s">
        <v>932</v>
      </c>
      <c r="E274" s="10" t="str">
        <f t="shared" si="89"/>
        <v>Latimer</v>
      </c>
      <c r="F274" s="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4" s="3" t="str">
        <f t="shared" si="90"/>
        <v>1942</v>
      </c>
      <c r="H274" s="10" t="str">
        <f t="shared" si="91"/>
        <v>Latimer__1942</v>
      </c>
      <c r="I274" s="10" t="str">
        <f>_xlfn.LET(_xlpm.doi,IF(C274&lt;&gt;"",C274,_xlfn.TEXTAFTER(A274,"https://doi.org/")),SUBSTITUTE(SUBSTITUTE(SUBSTITUTE(SUBSTITUTE(_xlpm.doi,"/","%2F"),":","%3A"),"&lt;","%3C"),"&gt;","%3E"))</f>
        <v>10.0001%2Fplaceholder</v>
      </c>
      <c r="J274" s="10" t="str">
        <f t="shared" si="92"/>
        <v>Latimer__1942_TABLEI</v>
      </c>
      <c r="K274" s="3" t="str">
        <f t="shared" si="93"/>
        <v>10.0001%2Fplaceholder_TABLEI</v>
      </c>
      <c r="L274" s="3" t="str">
        <f t="array" ref="L274">IFERROR(INDEX(AUTO_Public_TSV_FileList!$A$1:$A$1000,MATCH(TRUE(),EXACT(K274,IFERROR(_xlfn.TEXTBEFORE(AUTO_Public_TSV_FileList!$A$1:$A$1000,".tsv"),"")),0)),"notfound")</f>
        <v>10.0001%2Fplaceholder_TABLEI.tsv</v>
      </c>
      <c r="M274" s="8" t="s">
        <v>933</v>
      </c>
      <c r="N274" s="8" t="s">
        <v>35</v>
      </c>
      <c r="P274" s="8" t="s">
        <v>36</v>
      </c>
      <c r="W274" s="8" t="s">
        <v>934</v>
      </c>
      <c r="X274" s="8" t="s">
        <v>935</v>
      </c>
      <c r="Y274" s="8" t="s">
        <v>936</v>
      </c>
      <c r="Z274" s="8" t="s">
        <v>904</v>
      </c>
      <c r="AA274" s="8" t="s">
        <v>937</v>
      </c>
      <c r="AB274" s="8" t="s">
        <v>938</v>
      </c>
      <c r="AE274" s="8" t="s">
        <v>66</v>
      </c>
    </row>
    <row r="275" spans="1:33" ht="17" customHeight="1" x14ac:dyDescent="0.2">
      <c r="A275" s="8" t="s">
        <v>939</v>
      </c>
      <c r="D275" s="8" t="s">
        <v>70</v>
      </c>
      <c r="E275" s="10" t="str">
        <f t="shared" si="89"/>
        <v>Latimer</v>
      </c>
      <c r="F275" s="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5" s="3" t="str">
        <f t="shared" si="90"/>
        <v>1956</v>
      </c>
      <c r="H275" s="10" t="str">
        <f t="shared" si="91"/>
        <v>Latimer__1956</v>
      </c>
      <c r="I275" s="10" t="str">
        <f>_xlfn.LET(_xlpm.doi,IF(C275&lt;&gt;"",C275,_xlfn.TEXTAFTER(A275,"https://doi.org/")),SUBSTITUTE(SUBSTITUTE(SUBSTITUTE(SUBSTITUTE(_xlpm.doi,"/","%2F"),":","%3A"),"&lt;","%3C"),"&gt;","%3E"))</f>
        <v>10.2307%2F3626308</v>
      </c>
      <c r="J275" s="10" t="str">
        <f t="shared" si="92"/>
        <v>Latimer__1956_Table2</v>
      </c>
      <c r="K275" s="3" t="str">
        <f t="shared" si="93"/>
        <v>10.2307%2F3626308_Table2</v>
      </c>
      <c r="L275" s="3" t="str">
        <f t="array" ref="L275">IFERROR(INDEX(AUTO_Public_TSV_FileList!$A$1:$A$1000,MATCH(TRUE(),EXACT(K275,IFERROR(_xlfn.TEXTBEFORE(AUTO_Public_TSV_FileList!$A$1:$A$1000,".tsv"),"")),0)),"notfound")</f>
        <v>10.2307%2F3626308_Table2.tsv</v>
      </c>
      <c r="M275" s="8" t="s">
        <v>940</v>
      </c>
    </row>
    <row r="276" spans="1:33" ht="17" customHeight="1" x14ac:dyDescent="0.2">
      <c r="A276" s="1" t="s">
        <v>941</v>
      </c>
      <c r="D276" s="1" t="s">
        <v>942</v>
      </c>
      <c r="E276" s="3" t="str">
        <f t="shared" ref="E276:E342" si="95">SUBSTITUTE(SUBSTITUTE(_xlfn.TEXTBEFORE(A276,","), "-", ""), " ", "")</f>
        <v>Lewitus</v>
      </c>
      <c r="F276" s="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6" s="3" t="str">
        <f t="shared" ref="G276:G342" si="96">_xlfn.TEXTBEFORE(_xlfn.TEXTAFTER(A276, "("), ")")</f>
        <v>2013</v>
      </c>
      <c r="H276" s="3" t="str">
        <f t="shared" ref="H276:H342" si="97">E276 &amp; IF(F276&lt;&gt;"", "_" &amp; F276, "_") &amp; IF(G276&lt;&gt;"", "_" &amp; G276, "_") &amp; IF(B276&lt;&gt;"", "_" &amp; B276, "")</f>
        <v>Lewitus_etal_2013</v>
      </c>
      <c r="I276" s="3" t="str">
        <f t="shared" ref="I276:I297" si="98">_xlfn.LET(
_xlpm.doi,IF(C276&lt;&gt;"",C276,_xlfn.TEXTAFTER(A276,"https://doi.org/")),
SUBSTITUTE(
SUBSTITUTE(
SUBSTITUTE(
SUBSTITUTE(
_xlpm.doi,
"/","%2F"),
":","%3A"),
"&lt;","%3C"),
"&gt;","%3E")
)</f>
        <v>10.3389%2Ffnhum.2013.00424</v>
      </c>
      <c r="J276" s="3" t="str">
        <f t="shared" ref="J276:J342" si="99">TRIM(_xlfn.TEXTJOIN("_",FALSE(),H276,(SUBSTITUTE(SUBSTITUTE(D276," ",""), "_", ""))))</f>
        <v>Lewitus_etal_2013_TableS2partial</v>
      </c>
      <c r="K276" s="3" t="str">
        <f t="shared" si="93"/>
        <v>10.3389%2Ffnhum.2013.00424_TableS2partial</v>
      </c>
      <c r="L276" s="3" t="str">
        <f t="array" ref="L276">IFERROR(INDEX(AUTO_Public_TSV_FileList!$A$1:$A$1000,MATCH(TRUE(),EXACT(K276,IFERROR(_xlfn.TEXTBEFORE(AUTO_Public_TSV_FileList!$A$1:$A$1000,".tsv"),"")),0)),"notfound")</f>
        <v>10.3389%2Ffnhum.2013.00424_TableS2partial.tsv</v>
      </c>
      <c r="P276" s="1" t="s">
        <v>36</v>
      </c>
      <c r="W276" s="1" t="s">
        <v>131</v>
      </c>
      <c r="X276" s="1" t="s">
        <v>943</v>
      </c>
      <c r="AB276" s="1" t="s">
        <v>944</v>
      </c>
      <c r="AE276" s="1" t="s">
        <v>66</v>
      </c>
      <c r="AF276" s="1"/>
    </row>
    <row r="277" spans="1:33" ht="17" customHeight="1" x14ac:dyDescent="0.2">
      <c r="A277" s="1" t="s">
        <v>945</v>
      </c>
      <c r="D277" s="1" t="s">
        <v>314</v>
      </c>
      <c r="E277" s="3" t="str">
        <f t="shared" si="95"/>
        <v>Lewitus</v>
      </c>
      <c r="F277" s="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3" t="str">
        <f t="shared" si="96"/>
        <v>2014</v>
      </c>
      <c r="H277" s="3" t="str">
        <f t="shared" si="97"/>
        <v>Lewitus_etal_2014</v>
      </c>
      <c r="I277" s="3" t="str">
        <f t="shared" si="98"/>
        <v>10.1371%2Fjournal.pbio.1002000</v>
      </c>
      <c r="J277" s="3" t="str">
        <f t="shared" si="99"/>
        <v>Lewitus_etal_2014_TableS1</v>
      </c>
      <c r="K277" s="3" t="str">
        <f t="shared" si="93"/>
        <v>10.1371%2Fjournal.pbio.1002000_TableS1</v>
      </c>
      <c r="L277" s="3" t="str">
        <f t="array" ref="L277">IFERROR(INDEX(AUTO_Public_TSV_FileList!$A$1:$A$1000,MATCH(TRUE(),EXACT(K277,IFERROR(_xlfn.TEXTBEFORE(AUTO_Public_TSV_FileList!$A$1:$A$1000,".tsv"),"")),0)),"notfound")</f>
        <v>10.1371%2Fjournal.pbio.1002000_TableS1.tsv</v>
      </c>
      <c r="M277" s="1" t="s">
        <v>946</v>
      </c>
      <c r="P277" s="1" t="s">
        <v>36</v>
      </c>
      <c r="W277" s="1" t="s">
        <v>131</v>
      </c>
      <c r="X277" s="1" t="s">
        <v>947</v>
      </c>
      <c r="AB277" s="1" t="s">
        <v>948</v>
      </c>
      <c r="AE277" s="1" t="s">
        <v>172</v>
      </c>
      <c r="AF277" s="1"/>
    </row>
    <row r="278" spans="1:33" ht="17" customHeight="1" x14ac:dyDescent="0.2">
      <c r="A278" s="1" t="s">
        <v>945</v>
      </c>
      <c r="D278" s="1" t="s">
        <v>808</v>
      </c>
      <c r="E278" s="3" t="str">
        <f t="shared" si="95"/>
        <v>Lewitus</v>
      </c>
      <c r="F278" s="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3" t="str">
        <f t="shared" si="96"/>
        <v>2014</v>
      </c>
      <c r="H278" s="3" t="str">
        <f t="shared" si="97"/>
        <v>Lewitus_etal_2014</v>
      </c>
      <c r="I278" s="3" t="str">
        <f t="shared" si="98"/>
        <v>10.1371%2Fjournal.pbio.1002000</v>
      </c>
      <c r="J278" s="3" t="str">
        <f t="shared" si="99"/>
        <v>Lewitus_etal_2014_TableS8</v>
      </c>
      <c r="K278" s="3" t="str">
        <f t="shared" si="93"/>
        <v>10.1371%2Fjournal.pbio.1002000_TableS8</v>
      </c>
      <c r="L278" s="3" t="str">
        <f t="array" ref="L278">IFERROR(INDEX(AUTO_Public_TSV_FileList!$A$1:$A$1000,MATCH(TRUE(),EXACT(K278,IFERROR(_xlfn.TEXTBEFORE(AUTO_Public_TSV_FileList!$A$1:$A$1000,".tsv"),"")),0)),"notfound")</f>
        <v>10.1371%2Fjournal.pbio.1002000_TableS8.tsv</v>
      </c>
      <c r="M278" s="1" t="s">
        <v>949</v>
      </c>
      <c r="P278" s="1" t="s">
        <v>36</v>
      </c>
      <c r="W278" s="1" t="s">
        <v>131</v>
      </c>
      <c r="X278" s="1" t="s">
        <v>947</v>
      </c>
      <c r="AB278" s="1" t="s">
        <v>948</v>
      </c>
      <c r="AE278" s="1" t="s">
        <v>172</v>
      </c>
      <c r="AF278" s="1"/>
    </row>
    <row r="279" spans="1:33" ht="17" customHeight="1" x14ac:dyDescent="0.2">
      <c r="A279" s="1" t="s">
        <v>950</v>
      </c>
      <c r="D279" s="1" t="s">
        <v>314</v>
      </c>
      <c r="E279" s="3" t="str">
        <f t="shared" si="95"/>
        <v>Liu</v>
      </c>
      <c r="F279" s="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3" t="str">
        <f t="shared" si="96"/>
        <v>2016</v>
      </c>
      <c r="H279" s="3" t="str">
        <f t="shared" si="97"/>
        <v>Liu_etal_2016</v>
      </c>
      <c r="I279" s="3" t="str">
        <f t="shared" si="98"/>
        <v>10.1098%2Frspb.2016.1923</v>
      </c>
      <c r="J279" s="3" t="str">
        <f t="shared" si="99"/>
        <v>Liu_etal_2016_TableS1</v>
      </c>
      <c r="K279" s="3" t="str">
        <f t="shared" si="93"/>
        <v>10.1098%2Frspb.2016.1923_TableS1</v>
      </c>
      <c r="L279" s="3" t="str">
        <f t="array" ref="L279">IFERROR(INDEX(AUTO_Public_TSV_FileList!$A$1:$A$1000,MATCH(TRUE(),EXACT(K279,IFERROR(_xlfn.TEXTBEFORE(AUTO_Public_TSV_FileList!$A$1:$A$1000,".tsv"),"")),0)),"notfound")</f>
        <v>10.1098%2Frspb.2016.1923_TableS1.tsv</v>
      </c>
      <c r="N279" s="1" t="s">
        <v>35</v>
      </c>
      <c r="P279" s="1" t="s">
        <v>36</v>
      </c>
      <c r="Q279" s="1"/>
      <c r="W279" s="1" t="s">
        <v>93</v>
      </c>
      <c r="X279" s="1" t="s">
        <v>951</v>
      </c>
      <c r="AB279" s="1" t="s">
        <v>952</v>
      </c>
      <c r="AC279" s="1" t="s">
        <v>953</v>
      </c>
      <c r="AE279" s="1" t="s">
        <v>172</v>
      </c>
      <c r="AF279" s="1"/>
      <c r="AG279" s="1" t="s">
        <v>954</v>
      </c>
    </row>
    <row r="280" spans="1:33" ht="17" customHeight="1" x14ac:dyDescent="0.2">
      <c r="A280" s="1" t="s">
        <v>955</v>
      </c>
      <c r="D280" s="1" t="s">
        <v>81</v>
      </c>
      <c r="E280" s="3" t="str">
        <f t="shared" si="95"/>
        <v>Lyamin</v>
      </c>
      <c r="F280" s="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3" t="str">
        <f t="shared" si="96"/>
        <v>2008</v>
      </c>
      <c r="H280" s="3" t="str">
        <f t="shared" si="97"/>
        <v>Lyamin_etal_2008</v>
      </c>
      <c r="I280" s="3" t="str">
        <f t="shared" si="98"/>
        <v>10.1016%2Fj.neubiorev.2008.05.023</v>
      </c>
      <c r="J280" s="3" t="str">
        <f t="shared" si="99"/>
        <v>Lyamin_etal_2008_Table1</v>
      </c>
      <c r="K280" s="3" t="str">
        <f t="shared" si="93"/>
        <v>10.1016%2Fj.neubiorev.2008.05.023_Table1</v>
      </c>
      <c r="L280" s="3" t="str">
        <f t="array" ref="L280">IFERROR(INDEX(AUTO_Public_TSV_FileList!$A$1:$A$1000,MATCH(TRUE(),EXACT(K280,IFERROR(_xlfn.TEXTBEFORE(AUTO_Public_TSV_FileList!$A$1:$A$1000,".tsv"),"")),0)),"notfound")</f>
        <v>10.1016%2Fj.neubiorev.2008.05.023_Table1.tsv</v>
      </c>
      <c r="P280" s="1" t="s">
        <v>36</v>
      </c>
    </row>
    <row r="281" spans="1:33" ht="17" customHeight="1" x14ac:dyDescent="0.2">
      <c r="A281" s="1" t="s">
        <v>955</v>
      </c>
      <c r="D281" s="1" t="s">
        <v>70</v>
      </c>
      <c r="E281" s="3" t="str">
        <f t="shared" si="95"/>
        <v>Lyamin</v>
      </c>
      <c r="F281" s="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1" s="3" t="str">
        <f t="shared" si="96"/>
        <v>2008</v>
      </c>
      <c r="H281" s="3" t="str">
        <f t="shared" si="97"/>
        <v>Lyamin_etal_2008</v>
      </c>
      <c r="I281" s="3" t="str">
        <f t="shared" si="98"/>
        <v>10.1016%2Fj.neubiorev.2008.05.023</v>
      </c>
      <c r="J281" s="3" t="str">
        <f t="shared" si="99"/>
        <v>Lyamin_etal_2008_Table2</v>
      </c>
      <c r="K281" s="3" t="str">
        <f t="shared" si="93"/>
        <v>10.1016%2Fj.neubiorev.2008.05.023_Table2</v>
      </c>
      <c r="L281" s="3" t="str">
        <f t="array" ref="L281">IFERROR(INDEX(AUTO_Public_TSV_FileList!$A$1:$A$1000,MATCH(TRUE(),EXACT(K281,IFERROR(_xlfn.TEXTBEFORE(AUTO_Public_TSV_FileList!$A$1:$A$1000,".tsv"),"")),0)),"notfound")</f>
        <v>10.1016%2Fj.neubiorev.2008.05.023_Table2.tsv</v>
      </c>
      <c r="P281" s="1" t="s">
        <v>518</v>
      </c>
    </row>
    <row r="282" spans="1:33" ht="17" customHeight="1" x14ac:dyDescent="0.2">
      <c r="A282" s="8" t="s">
        <v>956</v>
      </c>
      <c r="D282" s="8" t="s">
        <v>957</v>
      </c>
      <c r="E282" s="10" t="str">
        <f t="shared" si="95"/>
        <v>Mackes</v>
      </c>
      <c r="F282" s="10" t="str">
        <f>_xlfn.LET(
_xlpm.authors,_xlfn.TEXTBEFORE(A282," ("&amp;G282&amp;")"),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2" s="10" t="str">
        <f t="shared" si="96"/>
        <v>2020</v>
      </c>
      <c r="H282" s="10" t="str">
        <f t="shared" si="97"/>
        <v>Mackes_etal_2020</v>
      </c>
      <c r="I282" s="10" t="str">
        <f t="shared" si="98"/>
        <v>10.1073%2Fpnas.1911264116</v>
      </c>
      <c r="J282" s="10" t="str">
        <f t="shared" si="99"/>
        <v>Mackes_etal_2020_ERABIS(cortical)</v>
      </c>
      <c r="K282" s="10" t="str">
        <f>I282 &amp; "_" &amp; SUBSTITUTE(SUBSTITUTE(SUBSTITUTE(D282,CHAR(160),""), " ", ""), "_", "")</f>
        <v>10.1073%2Fpnas.1911264116_ERABIS(cortical)</v>
      </c>
      <c r="L282" s="3" t="str">
        <f t="array" ref="L282">IFERROR(INDEX(AUTO_Public_TSV_FileList!$A$1:$A$1000,MATCH(TRUE(),EXACT(K282,IFERROR(_xlfn.TEXTBEFORE(AUTO_Public_TSV_FileList!$A$1:$A$1000,".tsv"),"")),0)),"notfound")</f>
        <v>notfound</v>
      </c>
      <c r="M282" s="8" t="s">
        <v>958</v>
      </c>
      <c r="N282" s="8" t="s">
        <v>818</v>
      </c>
      <c r="P282" s="8" t="s">
        <v>36</v>
      </c>
      <c r="Q282" s="8" t="s">
        <v>959</v>
      </c>
      <c r="W282" s="8" t="s">
        <v>564</v>
      </c>
      <c r="Z282" s="8" t="s">
        <v>960</v>
      </c>
      <c r="AA282" s="8" t="s">
        <v>961</v>
      </c>
      <c r="AB282" s="8" t="s">
        <v>90</v>
      </c>
      <c r="AC282" s="8" t="s">
        <v>962</v>
      </c>
      <c r="AE282" s="8" t="s">
        <v>66</v>
      </c>
    </row>
    <row r="283" spans="1:33" ht="17" customHeight="1" x14ac:dyDescent="0.2">
      <c r="A283" s="8" t="s">
        <v>956</v>
      </c>
      <c r="D283" s="8" t="s">
        <v>963</v>
      </c>
      <c r="E283" s="10" t="str">
        <f t="shared" si="95"/>
        <v>Mackes</v>
      </c>
      <c r="F283" s="10" t="str">
        <f>_xlfn.LET(
_xlpm.authors,_xlfn.TEXTBEFORE(A283," ("&amp;G283&amp;")"),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3" s="10" t="str">
        <f t="shared" si="96"/>
        <v>2020</v>
      </c>
      <c r="H283" s="10" t="str">
        <f t="shared" si="97"/>
        <v>Mackes_etal_2020</v>
      </c>
      <c r="I283" s="10" t="str">
        <f t="shared" si="98"/>
        <v>10.1073%2Fpnas.1911264116</v>
      </c>
      <c r="J283" s="10" t="str">
        <f t="shared" si="99"/>
        <v>Mackes_etal_2020_subcortical</v>
      </c>
      <c r="K283" s="10" t="str">
        <f>I283 &amp; "_" &amp; SUBSTITUTE(SUBSTITUTE(SUBSTITUTE(D283,CHAR(160),""), " ", ""), "_", "")</f>
        <v>10.1073%2Fpnas.1911264116_subcortical</v>
      </c>
      <c r="L283" s="3" t="str">
        <f t="array" ref="L283">IFERROR(INDEX(AUTO_Public_TSV_FileList!$A$1:$A$1000,MATCH(TRUE(),EXACT(K283,IFERROR(_xlfn.TEXTBEFORE(AUTO_Public_TSV_FileList!$A$1:$A$1000,".tsv"),"")),0)),"notfound")</f>
        <v>10.1073%2Fpnas.1911264116_subcortical.tsv</v>
      </c>
      <c r="M283" s="8" t="s">
        <v>964</v>
      </c>
      <c r="N283" s="8" t="s">
        <v>818</v>
      </c>
      <c r="P283" s="8" t="s">
        <v>36</v>
      </c>
      <c r="Q283" s="8" t="s">
        <v>965</v>
      </c>
      <c r="W283" s="8" t="s">
        <v>564</v>
      </c>
      <c r="Z283" s="8" t="s">
        <v>966</v>
      </c>
      <c r="AA283" s="8" t="s">
        <v>967</v>
      </c>
      <c r="AB283" s="8" t="s">
        <v>90</v>
      </c>
      <c r="AC283" s="8" t="s">
        <v>962</v>
      </c>
      <c r="AE283" s="8" t="s">
        <v>66</v>
      </c>
    </row>
    <row r="284" spans="1:33" ht="17" customHeight="1" x14ac:dyDescent="0.2">
      <c r="A284" s="1" t="s">
        <v>968</v>
      </c>
      <c r="D284" s="1" t="s">
        <v>81</v>
      </c>
      <c r="E284" s="3" t="str">
        <f t="shared" si="95"/>
        <v>MacLarnon</v>
      </c>
      <c r="F284" s="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4" s="3" t="str">
        <f t="shared" si="96"/>
        <v>1996</v>
      </c>
      <c r="H284" s="3" t="str">
        <f t="shared" si="97"/>
        <v>MacLarnon__1996</v>
      </c>
      <c r="I284" s="3" t="str">
        <f t="shared" si="98"/>
        <v>10.1006%2Fjhev.1996.0005</v>
      </c>
      <c r="J284" s="3" t="str">
        <f t="shared" si="99"/>
        <v>MacLarnon__1996_Table1</v>
      </c>
      <c r="K284" s="3" t="str">
        <f t="shared" ref="K284:K302" si="100">I284 &amp; "_" &amp; SUBSTITUTE(SUBSTITUTE(SUBSTITUTE(D284,CHAR(160),"")," ",""),"_","")</f>
        <v>10.1006%2Fjhev.1996.0005_Table1</v>
      </c>
      <c r="L284" s="3" t="str">
        <f t="array" ref="L284">IFERROR(INDEX(AUTO_Public_TSV_FileList!$A$1:$A$1000,MATCH(TRUE(),EXACT(K284,IFERROR(_xlfn.TEXTBEFORE(AUTO_Public_TSV_FileList!$A$1:$A$1000,".tsv"),"")),0)),"notfound")</f>
        <v>10.1006%2Fjhev.1996.0005_Table1.tsv</v>
      </c>
      <c r="M284" s="1" t="s">
        <v>969</v>
      </c>
      <c r="P284" s="1" t="s">
        <v>36</v>
      </c>
      <c r="W284" s="1" t="s">
        <v>93</v>
      </c>
      <c r="X284" s="1" t="s">
        <v>970</v>
      </c>
      <c r="AB284" s="1" t="s">
        <v>971</v>
      </c>
      <c r="AE284" s="1" t="s">
        <v>66</v>
      </c>
      <c r="AF284" s="1"/>
    </row>
    <row r="285" spans="1:33" ht="17" customHeight="1" x14ac:dyDescent="0.2">
      <c r="A285" s="1" t="s">
        <v>972</v>
      </c>
      <c r="C285" s="1" t="s">
        <v>973</v>
      </c>
      <c r="D285" s="1" t="s">
        <v>974</v>
      </c>
      <c r="E285" s="3" t="str">
        <f t="shared" si="95"/>
        <v>MacLeod</v>
      </c>
      <c r="F285" s="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5" s="3" t="str">
        <f t="shared" si="96"/>
        <v>2000</v>
      </c>
      <c r="H285" s="3" t="str">
        <f t="shared" si="97"/>
        <v>MacLeod__2000</v>
      </c>
      <c r="I285" s="3" t="str">
        <f t="shared" si="98"/>
        <v>NQ%3A61662</v>
      </c>
      <c r="J285" s="3" t="str">
        <f t="shared" si="99"/>
        <v>MacLeod__2000_APPENDIXI</v>
      </c>
      <c r="K285" s="3" t="str">
        <f t="shared" si="100"/>
        <v>NQ%3A61662_APPENDIXI</v>
      </c>
      <c r="L285" s="3" t="str">
        <f t="array" ref="L285">IFERROR(INDEX(AUTO_Public_TSV_FileList!$A$1:$A$1000,MATCH(TRUE(),EXACT(K285,IFERROR(_xlfn.TEXTBEFORE(AUTO_Public_TSV_FileList!$A$1:$A$1000,".tsv"),"")),0)),"notfound")</f>
        <v>NQ%3A61662_APPENDIXI.tsv</v>
      </c>
      <c r="M285" s="1" t="s">
        <v>975</v>
      </c>
      <c r="P285" s="1" t="s">
        <v>36</v>
      </c>
    </row>
    <row r="286" spans="1:33" ht="17" customHeight="1" x14ac:dyDescent="0.2">
      <c r="A286" s="1" t="s">
        <v>976</v>
      </c>
      <c r="D286" s="1" t="s">
        <v>81</v>
      </c>
      <c r="E286" s="3" t="str">
        <f t="shared" si="95"/>
        <v>MacLeod</v>
      </c>
      <c r="F286" s="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3" t="str">
        <f t="shared" si="96"/>
        <v>2003</v>
      </c>
      <c r="H286" s="3" t="str">
        <f t="shared" si="97"/>
        <v>MacLeod_etal_2003</v>
      </c>
      <c r="I286" s="3" t="str">
        <f t="shared" si="98"/>
        <v>10.1016%2Fs0047-2484(03)00028-9</v>
      </c>
      <c r="J286" s="3" t="str">
        <f t="shared" si="99"/>
        <v>MacLeod_etal_2003_Table1</v>
      </c>
      <c r="K286" s="3" t="str">
        <f t="shared" si="100"/>
        <v>10.1016%2Fs0047-2484(03)00028-9_Table1</v>
      </c>
      <c r="L286" s="3" t="str">
        <f t="array" ref="L286">IFERROR(INDEX(AUTO_Public_TSV_FileList!$A$1:$A$1000,MATCH(TRUE(),EXACT(K286,IFERROR(_xlfn.TEXTBEFORE(AUTO_Public_TSV_FileList!$A$1:$A$1000,".tsv"),"")),0)),"notfound")</f>
        <v>10.1016%2Fs0047-2484(03)00028-9_Table1.tsv</v>
      </c>
      <c r="M286" s="1" t="s">
        <v>977</v>
      </c>
      <c r="P286" s="1" t="s">
        <v>36</v>
      </c>
      <c r="W286" s="1" t="s">
        <v>93</v>
      </c>
      <c r="X286" s="1" t="s">
        <v>978</v>
      </c>
      <c r="Z286" s="1" t="s">
        <v>979</v>
      </c>
      <c r="AA286" s="1" t="s">
        <v>123</v>
      </c>
      <c r="AB286" s="1" t="s">
        <v>90</v>
      </c>
      <c r="AC286" s="1" t="s">
        <v>980</v>
      </c>
      <c r="AD286" s="1" t="s">
        <v>981</v>
      </c>
      <c r="AE286" s="1" t="s">
        <v>66</v>
      </c>
      <c r="AF286" s="1"/>
    </row>
    <row r="287" spans="1:33" ht="17" customHeight="1" x14ac:dyDescent="0.2">
      <c r="A287" s="1" t="s">
        <v>976</v>
      </c>
      <c r="D287" s="1" t="s">
        <v>70</v>
      </c>
      <c r="E287" s="3" t="str">
        <f t="shared" si="95"/>
        <v>MacLeod</v>
      </c>
      <c r="F287" s="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3" t="str">
        <f t="shared" si="96"/>
        <v>2003</v>
      </c>
      <c r="H287" s="3" t="str">
        <f t="shared" si="97"/>
        <v>MacLeod_etal_2003</v>
      </c>
      <c r="I287" s="3" t="str">
        <f t="shared" si="98"/>
        <v>10.1016%2Fs0047-2484(03)00028-9</v>
      </c>
      <c r="J287" s="3" t="str">
        <f t="shared" si="99"/>
        <v>MacLeod_etal_2003_Table2</v>
      </c>
      <c r="K287" s="3" t="str">
        <f t="shared" si="100"/>
        <v>10.1016%2Fs0047-2484(03)00028-9_Table2</v>
      </c>
      <c r="L287" s="3" t="str">
        <f t="array" ref="L287">IFERROR(INDEX(AUTO_Public_TSV_FileList!$A$1:$A$1000,MATCH(TRUE(),EXACT(K287,IFERROR(_xlfn.TEXTBEFORE(AUTO_Public_TSV_FileList!$A$1:$A$1000,".tsv"),"")),0)),"notfound")</f>
        <v>10.1016%2Fs0047-2484(03)00028-9_Table2.tsv</v>
      </c>
      <c r="M287" s="1" t="s">
        <v>982</v>
      </c>
      <c r="P287" s="1" t="s">
        <v>36</v>
      </c>
      <c r="W287" s="1" t="s">
        <v>93</v>
      </c>
      <c r="X287" s="1" t="s">
        <v>978</v>
      </c>
      <c r="Z287" s="1" t="s">
        <v>83</v>
      </c>
      <c r="AA287" s="1" t="s">
        <v>123</v>
      </c>
      <c r="AB287" s="1" t="s">
        <v>90</v>
      </c>
      <c r="AC287" s="1" t="s">
        <v>380</v>
      </c>
      <c r="AD287" s="1" t="s">
        <v>380</v>
      </c>
      <c r="AE287" s="1" t="s">
        <v>66</v>
      </c>
      <c r="AF287" s="1"/>
    </row>
    <row r="288" spans="1:33" ht="17" customHeight="1" x14ac:dyDescent="0.2">
      <c r="A288" s="1" t="s">
        <v>983</v>
      </c>
      <c r="D288" s="1" t="s">
        <v>81</v>
      </c>
      <c r="E288" s="3" t="str">
        <f t="shared" si="95"/>
        <v>Manger</v>
      </c>
      <c r="F288" s="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8" s="3" t="str">
        <f t="shared" si="96"/>
        <v>2006</v>
      </c>
      <c r="H288" s="3" t="str">
        <f t="shared" si="97"/>
        <v>Manger__2006</v>
      </c>
      <c r="I288" s="3" t="str">
        <f t="shared" si="98"/>
        <v>10.1017%2FS1464793106007019</v>
      </c>
      <c r="J288" s="3" t="str">
        <f t="shared" si="99"/>
        <v>Manger__2006_Table1</v>
      </c>
      <c r="K288" s="3" t="str">
        <f t="shared" si="100"/>
        <v>10.1017%2FS1464793106007019_Table1</v>
      </c>
      <c r="L288" s="3" t="str">
        <f t="array" ref="L288">IFERROR(INDEX(AUTO_Public_TSV_FileList!$A$1:$A$1000,MATCH(TRUE(),EXACT(K288,IFERROR(_xlfn.TEXTBEFORE(AUTO_Public_TSV_FileList!$A$1:$A$1000,".tsv"),"")),0)),"notfound")</f>
        <v>10.1017%2FS1464793106007019_Table1.tsv</v>
      </c>
      <c r="P288" s="1" t="s">
        <v>36</v>
      </c>
    </row>
    <row r="289" spans="1:33" ht="17" customHeight="1" x14ac:dyDescent="0.2">
      <c r="A289" s="1" t="s">
        <v>984</v>
      </c>
      <c r="D289" s="1" t="s">
        <v>985</v>
      </c>
      <c r="E289" s="3" t="str">
        <f t="shared" si="95"/>
        <v>ManyPrimates</v>
      </c>
      <c r="F289" s="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9" s="3" t="str">
        <f t="shared" si="96"/>
        <v>2022</v>
      </c>
      <c r="H289" s="3" t="str">
        <f t="shared" si="97"/>
        <v>ManyPrimates__2022</v>
      </c>
      <c r="I289" s="3" t="str">
        <f t="shared" si="98"/>
        <v>10.26451%2Fabc.09.04.06.2022</v>
      </c>
      <c r="J289" s="3" t="str">
        <f t="shared" si="99"/>
        <v>ManyPrimates__2022_speciespredictors</v>
      </c>
      <c r="K289" s="3" t="str">
        <f t="shared" si="100"/>
        <v>10.26451%2Fabc.09.04.06.2022_speciespredictors</v>
      </c>
      <c r="L289" s="3" t="str">
        <f t="array" ref="L289">IFERROR(INDEX(AUTO_Public_TSV_FileList!$A$1:$A$1000,MATCH(TRUE(),EXACT(K289,IFERROR(_xlfn.TEXTBEFORE(AUTO_Public_TSV_FileList!$A$1:$A$1000,".tsv"),"")),0)),"notfound")</f>
        <v>10.26451%2Fabc.09.04.06.2022_speciespredictors.tsv</v>
      </c>
      <c r="N289" s="1" t="s">
        <v>35</v>
      </c>
      <c r="P289" s="1" t="s">
        <v>36</v>
      </c>
      <c r="R289" s="1" t="s">
        <v>986</v>
      </c>
      <c r="V289" s="1"/>
      <c r="W289" s="1" t="s">
        <v>93</v>
      </c>
      <c r="X289" s="1" t="s">
        <v>987</v>
      </c>
      <c r="Y289" s="1" t="s">
        <v>988</v>
      </c>
      <c r="AB289" s="1" t="s">
        <v>989</v>
      </c>
      <c r="AE289" s="1" t="s">
        <v>51</v>
      </c>
      <c r="AF289" s="1"/>
    </row>
    <row r="290" spans="1:33" ht="17" customHeight="1" x14ac:dyDescent="0.2">
      <c r="A290" s="1" t="s">
        <v>990</v>
      </c>
      <c r="B290" s="1"/>
      <c r="D290" s="1" t="s">
        <v>490</v>
      </c>
      <c r="E290" s="3" t="str">
        <f t="shared" si="95"/>
        <v>Matano</v>
      </c>
      <c r="F290" s="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0" s="3" t="str">
        <f t="shared" si="96"/>
        <v>1986</v>
      </c>
      <c r="H290" s="3" t="str">
        <f t="shared" si="97"/>
        <v>Matano__1986</v>
      </c>
      <c r="I290" s="3" t="str">
        <f t="shared" si="98"/>
        <v>10.1159%2F000156277</v>
      </c>
      <c r="J290" s="3" t="str">
        <f t="shared" si="99"/>
        <v>Matano__1986_TableI</v>
      </c>
      <c r="K290" s="3" t="str">
        <f t="shared" si="100"/>
        <v>10.1159%2F000156277_TableI</v>
      </c>
      <c r="L290" s="3" t="str">
        <f t="array" ref="L290">IFERROR(INDEX(AUTO_Public_TSV_FileList!$A$1:$A$1000,MATCH(TRUE(),EXACT(K290,IFERROR(_xlfn.TEXTBEFORE(AUTO_Public_TSV_FileList!$A$1:$A$1000,".tsv"),"")),0)),"notfound")</f>
        <v>10.1159%2F000156277_TableI.tsv</v>
      </c>
      <c r="P290" s="1" t="s">
        <v>36</v>
      </c>
      <c r="Z290" s="1"/>
      <c r="AC290" s="1"/>
      <c r="AD290" s="1"/>
      <c r="AE290" s="8" t="s">
        <v>51</v>
      </c>
    </row>
    <row r="291" spans="1:33" ht="17" customHeight="1" x14ac:dyDescent="0.2">
      <c r="A291" s="1" t="s">
        <v>991</v>
      </c>
      <c r="B291" s="1"/>
      <c r="D291" s="1" t="s">
        <v>81</v>
      </c>
      <c r="E291" s="3" t="str">
        <f t="shared" si="95"/>
        <v>Matano</v>
      </c>
      <c r="F291" s="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1" s="3" t="str">
        <f t="shared" si="96"/>
        <v>1992</v>
      </c>
      <c r="H291" s="3" t="str">
        <f t="shared" si="97"/>
        <v>Matano__1992</v>
      </c>
      <c r="I291" s="3" t="str">
        <f t="shared" si="98"/>
        <v>10.1537%2Fase1911.100.69</v>
      </c>
      <c r="J291" s="3" t="str">
        <f t="shared" si="99"/>
        <v>Matano__1992_Table1</v>
      </c>
      <c r="K291" s="3" t="str">
        <f t="shared" si="100"/>
        <v>10.1537%2Fase1911.100.69_Table1</v>
      </c>
      <c r="L291" s="3" t="str">
        <f t="array" ref="L291">IFERROR(INDEX(AUTO_Public_TSV_FileList!$A$1:$A$1000,MATCH(TRUE(),EXACT(K291,IFERROR(_xlfn.TEXTBEFORE(AUTO_Public_TSV_FileList!$A$1:$A$1000,".tsv"),"")),0)),"notfound")</f>
        <v>10.1537%2Fase1911.100.69_Table1.tsv</v>
      </c>
      <c r="M291" s="8" t="s">
        <v>992</v>
      </c>
      <c r="P291" s="1" t="s">
        <v>36</v>
      </c>
      <c r="Z291" s="1"/>
      <c r="AC291" s="1"/>
      <c r="AD291" s="1"/>
    </row>
    <row r="292" spans="1:33" ht="17" customHeight="1" x14ac:dyDescent="0.2">
      <c r="A292" s="1" t="s">
        <v>991</v>
      </c>
      <c r="B292" s="1"/>
      <c r="D292" s="1" t="s">
        <v>70</v>
      </c>
      <c r="E292" s="3" t="str">
        <f t="shared" si="95"/>
        <v>Matano</v>
      </c>
      <c r="F292" s="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2" s="3" t="str">
        <f t="shared" si="96"/>
        <v>1992</v>
      </c>
      <c r="H292" s="3" t="str">
        <f t="shared" si="97"/>
        <v>Matano__1992</v>
      </c>
      <c r="I292" s="3" t="str">
        <f t="shared" si="98"/>
        <v>10.1537%2Fase1911.100.69</v>
      </c>
      <c r="J292" s="3" t="str">
        <f t="shared" si="99"/>
        <v>Matano__1992_Table2</v>
      </c>
      <c r="K292" s="3" t="str">
        <f t="shared" si="100"/>
        <v>10.1537%2Fase1911.100.69_Table2</v>
      </c>
      <c r="L292" s="3" t="str">
        <f t="array" ref="L292">IFERROR(INDEX(AUTO_Public_TSV_FileList!$A$1:$A$1000,MATCH(TRUE(),EXACT(K292,IFERROR(_xlfn.TEXTBEFORE(AUTO_Public_TSV_FileList!$A$1:$A$1000,".tsv"),"")),0)),"notfound")</f>
        <v>10.1537%2Fase1911.100.69_Table2.tsv</v>
      </c>
      <c r="M292" s="8" t="s">
        <v>993</v>
      </c>
      <c r="P292" s="1" t="s">
        <v>36</v>
      </c>
      <c r="Z292" s="1"/>
      <c r="AC292" s="1"/>
      <c r="AD292" s="1"/>
    </row>
    <row r="293" spans="1:33" ht="17" customHeight="1" x14ac:dyDescent="0.2">
      <c r="A293" s="1" t="s">
        <v>991</v>
      </c>
      <c r="B293" s="1"/>
      <c r="D293" s="1" t="s">
        <v>72</v>
      </c>
      <c r="E293" s="3" t="str">
        <f t="shared" si="95"/>
        <v>Matano</v>
      </c>
      <c r="F293" s="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3" s="3" t="str">
        <f t="shared" si="96"/>
        <v>1992</v>
      </c>
      <c r="H293" s="3" t="str">
        <f t="shared" si="97"/>
        <v>Matano__1992</v>
      </c>
      <c r="I293" s="3" t="str">
        <f t="shared" si="98"/>
        <v>10.1537%2Fase1911.100.69</v>
      </c>
      <c r="J293" s="3" t="str">
        <f t="shared" si="99"/>
        <v>Matano__1992_Table3</v>
      </c>
      <c r="K293" s="3" t="str">
        <f t="shared" si="100"/>
        <v>10.1537%2Fase1911.100.69_Table3</v>
      </c>
      <c r="L293" s="3" t="str">
        <f t="array" ref="L293">IFERROR(INDEX(AUTO_Public_TSV_FileList!$A$1:$A$1000,MATCH(TRUE(),EXACT(K293,IFERROR(_xlfn.TEXTBEFORE(AUTO_Public_TSV_FileList!$A$1:$A$1000,".tsv"),"")),0)),"notfound")</f>
        <v>10.1537%2Fase1911.100.69_Table3.tsv</v>
      </c>
      <c r="P293" s="1" t="s">
        <v>36</v>
      </c>
      <c r="Z293" s="1"/>
      <c r="AC293" s="1"/>
      <c r="AD293" s="1"/>
      <c r="AE293" s="8" t="s">
        <v>51</v>
      </c>
    </row>
    <row r="294" spans="1:33" ht="17" customHeight="1" x14ac:dyDescent="0.2">
      <c r="A294" s="1" t="s">
        <v>991</v>
      </c>
      <c r="B294" s="1"/>
      <c r="D294" s="1" t="s">
        <v>34</v>
      </c>
      <c r="E294" s="3" t="str">
        <f t="shared" si="95"/>
        <v>Matano</v>
      </c>
      <c r="F294" s="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4" s="3" t="str">
        <f t="shared" si="96"/>
        <v>1992</v>
      </c>
      <c r="H294" s="3" t="str">
        <f t="shared" si="97"/>
        <v>Matano__1992</v>
      </c>
      <c r="I294" s="3" t="str">
        <f t="shared" si="98"/>
        <v>10.1537%2Fase1911.100.69</v>
      </c>
      <c r="J294" s="3" t="str">
        <f t="shared" si="99"/>
        <v>Matano__1992_Table4</v>
      </c>
      <c r="K294" s="3" t="str">
        <f t="shared" si="100"/>
        <v>10.1537%2Fase1911.100.69_Table4</v>
      </c>
      <c r="L294" s="3" t="str">
        <f t="array" ref="L294">IFERROR(INDEX(AUTO_Public_TSV_FileList!$A$1:$A$1000,MATCH(TRUE(),EXACT(K294,IFERROR(_xlfn.TEXTBEFORE(AUTO_Public_TSV_FileList!$A$1:$A$1000,".tsv"),"")),0)),"notfound")</f>
        <v>10.1537%2Fase1911.100.69_Table4.tsv</v>
      </c>
      <c r="M294" s="8" t="s">
        <v>994</v>
      </c>
      <c r="P294" s="1" t="s">
        <v>36</v>
      </c>
      <c r="Z294" s="1"/>
      <c r="AC294" s="1"/>
      <c r="AD294" s="1"/>
    </row>
    <row r="295" spans="1:33" ht="17" customHeight="1" x14ac:dyDescent="0.2">
      <c r="A295" s="1" t="s">
        <v>995</v>
      </c>
      <c r="B295" s="1"/>
      <c r="D295" s="1" t="s">
        <v>103</v>
      </c>
      <c r="E295" s="3" t="str">
        <f t="shared" si="95"/>
        <v>Matano</v>
      </c>
      <c r="F295" s="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95" s="3" t="str">
        <f t="shared" si="96"/>
        <v>2001</v>
      </c>
      <c r="H295" s="3" t="str">
        <f t="shared" si="97"/>
        <v>Matano__2001</v>
      </c>
      <c r="I295" s="3" t="str">
        <f t="shared" si="98"/>
        <v>10.1002%2F1096-8644(200102)114%3A2%3C163%3A%3AAID-AJPA1016%3E3.0.CO;2-F</v>
      </c>
      <c r="J295" s="3" t="str">
        <f t="shared" si="99"/>
        <v>Matano__2001_TABLE2</v>
      </c>
      <c r="K295" s="3" t="str">
        <f t="shared" si="100"/>
        <v>10.1002%2F1096-8644(200102)114%3A2%3C163%3A%3AAID-AJPA1016%3E3.0.CO;2-F_TABLE2</v>
      </c>
      <c r="L295" s="3" t="str">
        <f t="array" ref="L295">IFERROR(INDEX(AUTO_Public_TSV_FileList!$A$1:$A$1000,MATCH(TRUE(),EXACT(K295,IFERROR(_xlfn.TEXTBEFORE(AUTO_Public_TSV_FileList!$A$1:$A$1000,".tsv"),"")),0)),"notfound")</f>
        <v>10.1002%2F1096-8644(200102)114%3A2%3C163%3A%3AAID-AJPA1016%3E3.0.CO;2-F_TABLE2.tsv</v>
      </c>
      <c r="M295" s="1" t="s">
        <v>996</v>
      </c>
      <c r="P295" s="1" t="s">
        <v>36</v>
      </c>
    </row>
    <row r="296" spans="1:33" ht="17" customHeight="1" x14ac:dyDescent="0.2">
      <c r="A296" s="1" t="s">
        <v>997</v>
      </c>
      <c r="B296" s="1" t="s">
        <v>265</v>
      </c>
      <c r="D296" s="1" t="s">
        <v>81</v>
      </c>
      <c r="E296" s="3" t="str">
        <f t="shared" si="95"/>
        <v>Matano</v>
      </c>
      <c r="F296" s="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3" t="str">
        <f t="shared" si="96"/>
        <v>1985</v>
      </c>
      <c r="H296" s="3" t="str">
        <f t="shared" si="97"/>
        <v>Matano_etal_1985_a</v>
      </c>
      <c r="I296" s="3" t="str">
        <f t="shared" si="98"/>
        <v>10.1159%2F000156212</v>
      </c>
      <c r="J296" s="3" t="str">
        <f t="shared" si="99"/>
        <v>Matano_etal_1985_a_Table1</v>
      </c>
      <c r="K296" s="3" t="str">
        <f t="shared" si="100"/>
        <v>10.1159%2F000156212_Table1</v>
      </c>
      <c r="L296" s="3" t="str">
        <f t="array" ref="L296">IFERROR(INDEX(AUTO_Public_TSV_FileList!$A$1:$A$1000,MATCH(TRUE(),EXACT(K296,IFERROR(_xlfn.TEXTBEFORE(AUTO_Public_TSV_FileList!$A$1:$A$1000,".tsv"),"")),0)),"notfound")</f>
        <v>10.1159%2F000156212_Table1.tsv</v>
      </c>
      <c r="N296" s="1" t="s">
        <v>35</v>
      </c>
      <c r="P296" s="1" t="s">
        <v>36</v>
      </c>
      <c r="W296" s="1" t="s">
        <v>110</v>
      </c>
      <c r="X296" s="1" t="s">
        <v>998</v>
      </c>
      <c r="Z296" s="1" t="s">
        <v>83</v>
      </c>
      <c r="AA296" s="1" t="s">
        <v>123</v>
      </c>
      <c r="AB296" s="1" t="s">
        <v>90</v>
      </c>
      <c r="AC296" s="1" t="s">
        <v>112</v>
      </c>
      <c r="AD296" s="1" t="s">
        <v>112</v>
      </c>
      <c r="AE296" s="1" t="s">
        <v>51</v>
      </c>
      <c r="AF296" s="1"/>
    </row>
    <row r="297" spans="1:33" ht="17" customHeight="1" x14ac:dyDescent="0.2">
      <c r="A297" s="1" t="s">
        <v>999</v>
      </c>
      <c r="B297" s="1" t="s">
        <v>270</v>
      </c>
      <c r="D297" s="1" t="s">
        <v>81</v>
      </c>
      <c r="E297" s="3" t="str">
        <f t="shared" si="95"/>
        <v>Matano</v>
      </c>
      <c r="F297" s="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3" t="str">
        <f t="shared" si="96"/>
        <v>1985</v>
      </c>
      <c r="H297" s="3" t="str">
        <f t="shared" si="97"/>
        <v>Matano_etal_1985_b</v>
      </c>
      <c r="I297" s="3" t="str">
        <f t="shared" si="98"/>
        <v>10.1159%2F000156211</v>
      </c>
      <c r="J297" s="3" t="str">
        <f t="shared" si="99"/>
        <v>Matano_etal_1985_b_Table1</v>
      </c>
      <c r="K297" s="3" t="str">
        <f t="shared" si="100"/>
        <v>10.1159%2F000156211_Table1</v>
      </c>
      <c r="L297" s="3" t="str">
        <f t="array" ref="L297">IFERROR(INDEX(AUTO_Public_TSV_FileList!$A$1:$A$1000,MATCH(TRUE(),EXACT(K297,IFERROR(_xlfn.TEXTBEFORE(AUTO_Public_TSV_FileList!$A$1:$A$1000,".tsv"),"")),0)),"notfound")</f>
        <v>10.1159%2F000156211_Table1.tsv</v>
      </c>
      <c r="P297" s="1" t="s">
        <v>36</v>
      </c>
      <c r="Z297" s="1" t="s">
        <v>83</v>
      </c>
      <c r="AC297" s="1" t="s">
        <v>112</v>
      </c>
      <c r="AD297" s="1" t="s">
        <v>112</v>
      </c>
      <c r="AE297" s="8" t="s">
        <v>66</v>
      </c>
    </row>
    <row r="298" spans="1:33" ht="17" customHeight="1" x14ac:dyDescent="0.2">
      <c r="A298" s="1" t="s">
        <v>1485</v>
      </c>
      <c r="B298" s="1"/>
      <c r="D298" s="1" t="s">
        <v>81</v>
      </c>
      <c r="E298" s="3" t="str">
        <f t="shared" ref="E298" si="101">SUBSTITUTE(SUBSTITUTE(_xlfn.TEXTBEFORE(A298,","), "-", ""), " ", "")</f>
        <v>McDowell</v>
      </c>
      <c r="F298" s="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3" t="str">
        <f t="shared" ref="G298" si="102">_xlfn.TEXTBEFORE(_xlfn.TEXTAFTER(A298, "("), ")")</f>
        <v>2024</v>
      </c>
      <c r="H298" s="3" t="str">
        <f t="shared" ref="H298" si="103">E298 &amp; IF(F298&lt;&gt;"", "_" &amp; F298, "_") &amp; IF(G298&lt;&gt;"", "_" &amp; G298, "_") &amp; IF(B298&lt;&gt;"", "_" &amp; B298, "")</f>
        <v>McDowell_etal_2024</v>
      </c>
      <c r="I298" s="3" t="str">
        <f t="shared" ref="I298" si="104">_xlfn.LET(
_xlpm.doi,IF(C298&lt;&gt;"",C298,_xlfn.TEXTAFTER(A298,"https://doi.org/")),
SUBSTITUTE(
SUBSTITUTE(
SUBSTITUTE(
SUBSTITUTE(
_xlpm.doi,
"/","%2F"),
":","%3A"),
"&lt;","%3C"),
"&gt;","%3E")
)</f>
        <v>10.1186%2Fs12915-024-02038-1</v>
      </c>
      <c r="J298" s="3" t="str">
        <f t="shared" ref="J298" si="105">TRIM(_xlfn.TEXTJOIN("_",FALSE(),H298,(SUBSTITUTE(SUBSTITUTE(D298," ",""), "_", ""))))</f>
        <v>McDowell_etal_2024_Table1</v>
      </c>
      <c r="K298" s="3" t="str">
        <f t="shared" ref="K298" si="106">I298 &amp; "_" &amp; SUBSTITUTE(SUBSTITUTE(SUBSTITUTE(D298,CHAR(160),"")," ",""),"_","")</f>
        <v>10.1186%2Fs12915-024-02038-1_Table1</v>
      </c>
      <c r="L298" s="3" t="str">
        <f t="array" ref="L298">IFERROR(INDEX(AUTO_Public_TSV_FileList!$A$1:$A$1000,MATCH(TRUE(),EXACT(K298,IFERROR(_xlfn.TEXTBEFORE(AUTO_Public_TSV_FileList!$A$1:$A$1000,".tsv"),"")),0)),"notfound")</f>
        <v>10.1186%2Fs12915-024-02038-1_Table1.tsv</v>
      </c>
      <c r="P298" s="1"/>
      <c r="Z298" s="1"/>
      <c r="AC298" s="1"/>
      <c r="AD298" s="1"/>
      <c r="AE298" s="8"/>
    </row>
    <row r="299" spans="1:33" ht="17" customHeight="1" x14ac:dyDescent="0.2">
      <c r="A299" s="7" t="s">
        <v>1000</v>
      </c>
      <c r="B299" s="7"/>
      <c r="C299" s="7"/>
      <c r="D299" s="7" t="s">
        <v>1001</v>
      </c>
      <c r="E299" s="10" t="str">
        <f t="shared" si="95"/>
        <v>McGuire</v>
      </c>
      <c r="F299" s="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99" s="3" t="str">
        <f t="shared" si="96"/>
        <v>2011</v>
      </c>
      <c r="H299" s="10" t="str">
        <f t="shared" si="97"/>
        <v>McGuire_Ratcliffe_2011</v>
      </c>
      <c r="I299" s="10" t="str">
        <f>_xlfn.LET(_xlpm.doi,IF(C299&lt;&gt;"",C299,_xlfn.TEXTAFTER(A299,"https://doi.org/")),SUBSTITUTE(SUBSTITUTE(SUBSTITUTE(SUBSTITUTE(_xlpm.doi,"/","%2F"),":","%3A"),"&lt;","%3C"),"&gt;","%3E"))</f>
        <v>10.1098%2Frsbl.2010.0744</v>
      </c>
      <c r="J299" s="10" t="str">
        <f t="shared" si="99"/>
        <v>McGuire_Ratcliffe_2011_ElectronicSupplementaryMaterial1,Table1</v>
      </c>
      <c r="K299" s="10" t="str">
        <f t="shared" si="100"/>
        <v>10.1098%2Frsbl.2010.0744_ElectronicSupplementaryMaterial1,Table1</v>
      </c>
      <c r="L299" s="3" t="str">
        <f t="array" ref="L299">IFERROR(INDEX(AUTO_Public_TSV_FileList!$A$1:$A$1000,MATCH(TRUE(),EXACT(K299,IFERROR(_xlfn.TEXTBEFORE(AUTO_Public_TSV_FileList!$A$1:$A$1000,".tsv"),"")),0)),"notfound")</f>
        <v>notfound</v>
      </c>
      <c r="N299" s="1" t="s">
        <v>35</v>
      </c>
      <c r="P299" s="7"/>
      <c r="Q299" s="7"/>
      <c r="R299" s="7" t="s">
        <v>1002</v>
      </c>
      <c r="S299" s="7" t="s">
        <v>491</v>
      </c>
      <c r="T299" s="7" t="s">
        <v>492</v>
      </c>
      <c r="U299" s="7"/>
      <c r="V299" s="7" t="s">
        <v>913</v>
      </c>
      <c r="W299" s="7" t="s">
        <v>1003</v>
      </c>
      <c r="X299" s="7" t="s">
        <v>1004</v>
      </c>
      <c r="Y299" s="7" t="s">
        <v>1004</v>
      </c>
      <c r="Z299" s="7"/>
      <c r="AA299" s="7"/>
      <c r="AB299" s="7" t="s">
        <v>1005</v>
      </c>
      <c r="AC299" s="7" t="s">
        <v>112</v>
      </c>
      <c r="AD299" s="7" t="s">
        <v>112</v>
      </c>
      <c r="AE299" s="7" t="s">
        <v>172</v>
      </c>
      <c r="AF299" s="7"/>
      <c r="AG299" s="7" t="s">
        <v>1006</v>
      </c>
    </row>
    <row r="300" spans="1:33" ht="17" customHeight="1" x14ac:dyDescent="0.2">
      <c r="A300" s="1" t="s">
        <v>1007</v>
      </c>
      <c r="D300" s="8" t="s">
        <v>1008</v>
      </c>
      <c r="E300" s="3" t="str">
        <f t="shared" si="95"/>
        <v>MedinaGonzález</v>
      </c>
      <c r="F300" s="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0" s="3" t="str">
        <f t="shared" si="96"/>
        <v>2026</v>
      </c>
      <c r="H300" s="3" t="str">
        <f t="shared" si="97"/>
        <v>MedinaGonzález__2026</v>
      </c>
      <c r="I300" s="3" t="str">
        <f t="shared" ref="I300:I305" si="107">_xlfn.LET(
_xlpm.doi,IF(C300&lt;&gt;"",C300,_xlfn.TEXTAFTER(A300,"https://doi.org/")),
SUBSTITUTE(
SUBSTITUTE(
SUBSTITUTE(
SUBSTITUTE(
_xlpm.doi,
"/","%2F"),
":","%3A"),
"&lt;","%3C"),
"&gt;","%3E")
)</f>
        <v>10.1002%2Fjez.70069</v>
      </c>
      <c r="J300" s="3" t="str">
        <f t="shared" si="99"/>
        <v>MedinaGonzález__2026_SupplementaryFile1</v>
      </c>
      <c r="K300" s="3" t="str">
        <f t="shared" si="100"/>
        <v>10.1002%2Fjez.70069_SupplementaryFile1</v>
      </c>
      <c r="L300" s="3" t="str">
        <f t="array" ref="L300">IFERROR(INDEX(AUTO_Public_TSV_FileList!$A$1:$A$1000,MATCH(TRUE(),EXACT(K300,IFERROR(_xlfn.TEXTBEFORE(AUTO_Public_TSV_FileList!$A$1:$A$1000,".tsv"),"")),0)),"notfound")</f>
        <v>10.1002%2Fjez.70069_SupplementaryFile1.tsv</v>
      </c>
      <c r="N300" s="1" t="s">
        <v>35</v>
      </c>
      <c r="AE300" s="8" t="s">
        <v>51</v>
      </c>
    </row>
    <row r="301" spans="1:33" ht="17" customHeight="1" x14ac:dyDescent="0.2">
      <c r="A301" s="1" t="s">
        <v>1007</v>
      </c>
      <c r="D301" s="8" t="s">
        <v>1009</v>
      </c>
      <c r="E301" s="3" t="str">
        <f t="shared" si="95"/>
        <v>MedinaGonzález</v>
      </c>
      <c r="F301" s="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1" s="3" t="str">
        <f t="shared" si="96"/>
        <v>2026</v>
      </c>
      <c r="H301" s="3" t="str">
        <f t="shared" si="97"/>
        <v>MedinaGonzález__2026</v>
      </c>
      <c r="I301" s="3" t="str">
        <f t="shared" si="107"/>
        <v>10.1002%2Fjez.70069</v>
      </c>
      <c r="J301" s="3" t="str">
        <f t="shared" si="99"/>
        <v>MedinaGonzález__2026_SupplementaryFile2</v>
      </c>
      <c r="K301" s="3" t="str">
        <f t="shared" si="100"/>
        <v>10.1002%2Fjez.70069_SupplementaryFile2</v>
      </c>
      <c r="L301" s="3" t="str">
        <f t="array" ref="L301">IFERROR(INDEX(AUTO_Public_TSV_FileList!$A$1:$A$1000,MATCH(TRUE(),EXACT(K301,IFERROR(_xlfn.TEXTBEFORE(AUTO_Public_TSV_FileList!$A$1:$A$1000,".tsv"),"")),0)),"notfound")</f>
        <v>10.1002%2Fjez.70069_SupplementaryFile2.tsv</v>
      </c>
      <c r="N301" s="1" t="s">
        <v>35</v>
      </c>
      <c r="AE301" s="8" t="s">
        <v>51</v>
      </c>
    </row>
    <row r="302" spans="1:33" ht="17" customHeight="1" x14ac:dyDescent="0.2">
      <c r="A302" s="1" t="s">
        <v>1007</v>
      </c>
      <c r="D302" s="8" t="s">
        <v>1010</v>
      </c>
      <c r="E302" s="3" t="str">
        <f t="shared" si="95"/>
        <v>MedinaGonzález</v>
      </c>
      <c r="F302" s="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02" s="3" t="str">
        <f t="shared" si="96"/>
        <v>2026</v>
      </c>
      <c r="H302" s="3" t="str">
        <f t="shared" si="97"/>
        <v>MedinaGonzález__2026</v>
      </c>
      <c r="I302" s="3" t="str">
        <f t="shared" si="107"/>
        <v>10.1002%2Fjez.70069</v>
      </c>
      <c r="J302" s="3" t="str">
        <f t="shared" si="99"/>
        <v>MedinaGonzález__2026_SupplementaryFile3</v>
      </c>
      <c r="K302" s="3" t="str">
        <f t="shared" si="100"/>
        <v>10.1002%2Fjez.70069_SupplementaryFile3</v>
      </c>
      <c r="L302" s="3" t="str">
        <f t="array" ref="L302">IFERROR(INDEX(AUTO_Public_TSV_FileList!$A$1:$A$1000,MATCH(TRUE(),EXACT(K302,IFERROR(_xlfn.TEXTBEFORE(AUTO_Public_TSV_FileList!$A$1:$A$1000,".tsv"),"")),0)),"notfound")</f>
        <v>10.1002%2Fjez.70069_SupplementaryFile3.tsv</v>
      </c>
      <c r="N302" s="1" t="s">
        <v>35</v>
      </c>
      <c r="AE302" s="8" t="s">
        <v>51</v>
      </c>
    </row>
    <row r="303" spans="1:33" ht="17" customHeight="1" x14ac:dyDescent="0.2">
      <c r="A303" s="8" t="s">
        <v>1011</v>
      </c>
      <c r="D303" s="8" t="s">
        <v>1012</v>
      </c>
      <c r="E303" s="10" t="str">
        <f t="shared" si="95"/>
        <v>Morgan</v>
      </c>
      <c r="F303" s="10" t="str">
        <f>_xlfn.LET(
_xlpm.authors,_xlfn.TEXTBEFORE(A303," ("&amp;G303&amp;")"),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3" s="10" t="str">
        <f t="shared" si="96"/>
        <v>2014</v>
      </c>
      <c r="H303" s="10" t="str">
        <f t="shared" si="97"/>
        <v>Morgan_etal_2014</v>
      </c>
      <c r="I303" s="10" t="str">
        <f t="shared" si="107"/>
        <v>10.1371%2Fjournal.pone.0110356</v>
      </c>
      <c r="J303" s="10" t="str">
        <f t="shared" si="99"/>
        <v>Morgan_etal_2014_DataS1</v>
      </c>
      <c r="K303" s="10" t="str">
        <f>I303 &amp; "_" &amp; SUBSTITUTE(SUBSTITUTE(SUBSTITUTE(D303,CHAR(160),""), " ", ""), "_", "")</f>
        <v>10.1371%2Fjournal.pone.0110356_DataS1</v>
      </c>
      <c r="L303" s="3" t="str">
        <f t="array" ref="L303">IFERROR(INDEX(AUTO_Public_TSV_FileList!$A$1:$A$1000,MATCH(TRUE(),EXACT(K303,IFERROR(_xlfn.TEXTBEFORE(AUTO_Public_TSV_FileList!$A$1:$A$1000,".tsv"),"")),0)),"notfound")</f>
        <v>10.1371%2Fjournal.pone.0110356_DataS1.tsv</v>
      </c>
      <c r="M303" s="8" t="s">
        <v>1013</v>
      </c>
      <c r="N303" s="8" t="s">
        <v>1014</v>
      </c>
      <c r="P303" s="8" t="s">
        <v>36</v>
      </c>
      <c r="Q303" s="8" t="s">
        <v>1015</v>
      </c>
      <c r="W303" s="8" t="s">
        <v>564</v>
      </c>
      <c r="Z303" s="8" t="s">
        <v>1016</v>
      </c>
      <c r="AA303" s="8" t="s">
        <v>1017</v>
      </c>
      <c r="AB303" s="8" t="s">
        <v>821</v>
      </c>
      <c r="AC303" s="8" t="s">
        <v>1018</v>
      </c>
      <c r="AE303" s="8" t="s">
        <v>66</v>
      </c>
    </row>
    <row r="304" spans="1:33" ht="17" customHeight="1" x14ac:dyDescent="0.2">
      <c r="A304" s="1" t="s">
        <v>1019</v>
      </c>
      <c r="D304" s="1" t="s">
        <v>314</v>
      </c>
      <c r="E304" s="3" t="str">
        <f t="shared" si="95"/>
        <v>Mota</v>
      </c>
      <c r="F304" s="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04" s="3" t="str">
        <f t="shared" si="96"/>
        <v>2015</v>
      </c>
      <c r="H304" s="3" t="str">
        <f t="shared" si="97"/>
        <v>Mota_Herculano-Houzel_2015</v>
      </c>
      <c r="I304" s="3" t="str">
        <f t="shared" si="107"/>
        <v>10.1126%2Fscience.aaa9101</v>
      </c>
      <c r="J304" s="3" t="str">
        <f t="shared" si="99"/>
        <v>Mota_Herculano-Houzel_2015_TableS1</v>
      </c>
      <c r="K304" s="3" t="str">
        <f t="shared" ref="K304:K311" si="108">I304 &amp; "_" &amp; SUBSTITUTE(SUBSTITUTE(SUBSTITUTE(D304,CHAR(160),"")," ",""),"_","")</f>
        <v>10.1126%2Fscience.aaa9101_TableS1</v>
      </c>
      <c r="L304" s="3" t="str">
        <f t="array" ref="L304">IFERROR(INDEX(AUTO_Public_TSV_FileList!$A$1:$A$1000,MATCH(TRUE(),EXACT(K304,IFERROR(_xlfn.TEXTBEFORE(AUTO_Public_TSV_FileList!$A$1:$A$1000,".tsv"),"")),0)),"notfound")</f>
        <v>10.1126%2Fscience.aaa9101_TableS1.tsv</v>
      </c>
      <c r="P304" s="8" t="s">
        <v>36</v>
      </c>
      <c r="W304" s="1" t="s">
        <v>131</v>
      </c>
      <c r="X304" s="1" t="s">
        <v>1020</v>
      </c>
      <c r="AB304" s="1" t="s">
        <v>1020</v>
      </c>
      <c r="AE304" s="1" t="s">
        <v>51</v>
      </c>
      <c r="AF304" s="1"/>
    </row>
    <row r="305" spans="1:33" ht="17" customHeight="1" x14ac:dyDescent="0.2">
      <c r="A305" s="1" t="s">
        <v>1021</v>
      </c>
      <c r="D305" s="1" t="s">
        <v>1022</v>
      </c>
      <c r="E305" s="3" t="str">
        <f t="shared" si="95"/>
        <v>Mota</v>
      </c>
      <c r="F305" s="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3" t="str">
        <f t="shared" si="96"/>
        <v>2019</v>
      </c>
      <c r="H305" s="3" t="str">
        <f t="shared" si="97"/>
        <v>Mota_etal_2019</v>
      </c>
      <c r="I305" s="3" t="str">
        <f t="shared" si="107"/>
        <v>10.1073%2Fpnas.1716956116</v>
      </c>
      <c r="J305" s="3" t="str">
        <f t="shared" si="99"/>
        <v>Mota_etal_2019_SupplementaryTableS1</v>
      </c>
      <c r="K305" s="3" t="str">
        <f t="shared" si="108"/>
        <v>10.1073%2Fpnas.1716956116_SupplementaryTableS1</v>
      </c>
      <c r="L305" s="3" t="str">
        <f t="array" ref="L305">IFERROR(INDEX(AUTO_Public_TSV_FileList!$A$1:$A$1000,MATCH(TRUE(),EXACT(K305,IFERROR(_xlfn.TEXTBEFORE(AUTO_Public_TSV_FileList!$A$1:$A$1000,".tsv"),"")),0)),"notfound")</f>
        <v>10.1073%2Fpnas.1716956116_SupplementaryTableS1.tsv</v>
      </c>
      <c r="M305" s="1" t="s">
        <v>1023</v>
      </c>
      <c r="P305" s="8" t="s">
        <v>36</v>
      </c>
      <c r="W305" s="1" t="s">
        <v>131</v>
      </c>
      <c r="X305" s="1" t="s">
        <v>1024</v>
      </c>
      <c r="Y305" s="1" t="s">
        <v>1025</v>
      </c>
      <c r="AB305" s="1" t="s">
        <v>1026</v>
      </c>
      <c r="AE305" s="1" t="s">
        <v>51</v>
      </c>
      <c r="AF305" s="1"/>
    </row>
    <row r="306" spans="1:33" ht="17" customHeight="1" x14ac:dyDescent="0.2">
      <c r="A306" s="8" t="s">
        <v>1027</v>
      </c>
      <c r="D306" s="8" t="s">
        <v>1028</v>
      </c>
      <c r="E306" s="10" t="str">
        <f t="shared" si="95"/>
        <v>Myhrvold</v>
      </c>
      <c r="F306" s="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6" s="3" t="str">
        <f t="shared" si="96"/>
        <v>2015</v>
      </c>
      <c r="H306" s="10" t="str">
        <f t="shared" si="97"/>
        <v>Myhrvold_etal_2015</v>
      </c>
      <c r="I306" s="10" t="str">
        <f>_xlfn.LET(_xlpm.doi,IF(C306&lt;&gt;"",C306,_xlfn.TEXTAFTER(A306,"https://doi.org/")),SUBSTITUTE(SUBSTITUTE(SUBSTITUTE(SUBSTITUTE(_xlpm.doi,"/","%2F"),":","%3A"),"&lt;","%3C"),"&gt;","%3E"))</f>
        <v>10.1890%2F15-0846r.1</v>
      </c>
      <c r="J306" s="10" t="str">
        <f t="shared" si="99"/>
        <v>Myhrvold_etal_2015_AmnioteDatabaseAug2015.csv</v>
      </c>
      <c r="K306" s="3" t="str">
        <f t="shared" si="108"/>
        <v>10.1890%2F15-0846r.1_AmnioteDatabaseAug2015.csv</v>
      </c>
      <c r="L306" s="3" t="str">
        <f t="array" ref="L306">IFERROR(INDEX(AUTO_Public_TSV_FileList!$A$1:$A$1000,MATCH(TRUE(),EXACT(K306,IFERROR(_xlfn.TEXTBEFORE(AUTO_Public_TSV_FileList!$A$1:$A$1000,".tsv"),"")),0)),"notfound")</f>
        <v>notfound</v>
      </c>
    </row>
    <row r="307" spans="1:33" ht="17" customHeight="1" x14ac:dyDescent="0.2">
      <c r="A307" s="8" t="s">
        <v>1027</v>
      </c>
      <c r="D307" s="8" t="s">
        <v>1029</v>
      </c>
      <c r="E307" s="10" t="str">
        <f t="shared" si="95"/>
        <v>Myhrvold</v>
      </c>
      <c r="F307" s="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7" s="3" t="str">
        <f t="shared" si="96"/>
        <v>2015</v>
      </c>
      <c r="H307" s="10" t="str">
        <f t="shared" si="97"/>
        <v>Myhrvold_etal_2015</v>
      </c>
      <c r="I307" s="10" t="str">
        <f>_xlfn.LET(_xlpm.doi,IF(C307&lt;&gt;"",C307,_xlfn.TEXTAFTER(A307,"https://doi.org/")),SUBSTITUTE(SUBSTITUTE(SUBSTITUTE(SUBSTITUTE(_xlpm.doi,"/","%2F"),":","%3A"),"&lt;","%3C"),"&gt;","%3E"))</f>
        <v>10.1890%2F15-0846r.1</v>
      </c>
      <c r="J307" s="10" t="str">
        <f t="shared" si="99"/>
        <v>Myhrvold_etal_2015_AmnioteDatabaseReferencesAug2015.csv</v>
      </c>
      <c r="K307" s="3" t="str">
        <f t="shared" si="108"/>
        <v>10.1890%2F15-0846r.1_AmnioteDatabaseReferencesAug2015.csv</v>
      </c>
      <c r="L307" s="3" t="str">
        <f t="array" ref="L307">IFERROR(INDEX(AUTO_Public_TSV_FileList!$A$1:$A$1000,MATCH(TRUE(),EXACT(K307,IFERROR(_xlfn.TEXTBEFORE(AUTO_Public_TSV_FileList!$A$1:$A$1000,".tsv"),"")),0)),"notfound")</f>
        <v>notfound</v>
      </c>
    </row>
    <row r="308" spans="1:33" ht="17" customHeight="1" x14ac:dyDescent="0.2">
      <c r="A308" s="8" t="s">
        <v>1027</v>
      </c>
      <c r="D308" s="8" t="s">
        <v>1030</v>
      </c>
      <c r="E308" s="10" t="str">
        <f t="shared" si="95"/>
        <v>Myhrvold</v>
      </c>
      <c r="F308" s="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3" t="str">
        <f t="shared" si="96"/>
        <v>2015</v>
      </c>
      <c r="H308" s="10" t="str">
        <f t="shared" si="97"/>
        <v>Myhrvold_etal_2015</v>
      </c>
      <c r="I308" s="10" t="str">
        <f>_xlfn.LET(_xlpm.doi,IF(C308&lt;&gt;"",C308,_xlfn.TEXTAFTER(A308,"https://doi.org/")),SUBSTITUTE(SUBSTITUTE(SUBSTITUTE(SUBSTITUTE(_xlpm.doi,"/","%2F"),":","%3A"),"&lt;","%3C"),"&gt;","%3E"))</f>
        <v>10.1890%2F15-0846r.1</v>
      </c>
      <c r="J308" s="10" t="str">
        <f t="shared" si="99"/>
        <v>Myhrvold_etal_2015_AmnioteRangeCountAug2015.csv</v>
      </c>
      <c r="K308" s="3" t="str">
        <f t="shared" si="108"/>
        <v>10.1890%2F15-0846r.1_AmnioteRangeCountAug2015.csv</v>
      </c>
      <c r="L308" s="3" t="str">
        <f t="array" ref="L308">IFERROR(INDEX(AUTO_Public_TSV_FileList!$A$1:$A$1000,MATCH(TRUE(),EXACT(K308,IFERROR(_xlfn.TEXTBEFORE(AUTO_Public_TSV_FileList!$A$1:$A$1000,".tsv"),"")),0)),"notfound")</f>
        <v>notfound</v>
      </c>
    </row>
    <row r="309" spans="1:33" ht="17" customHeight="1" x14ac:dyDescent="0.2">
      <c r="A309" s="8" t="s">
        <v>1027</v>
      </c>
      <c r="D309" s="8" t="s">
        <v>1031</v>
      </c>
      <c r="E309" s="10" t="str">
        <f t="shared" si="95"/>
        <v>Myhrvold</v>
      </c>
      <c r="F309" s="3"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3" t="str">
        <f t="shared" si="96"/>
        <v>2015</v>
      </c>
      <c r="H309" s="10" t="str">
        <f t="shared" si="97"/>
        <v>Myhrvold_etal_2015</v>
      </c>
      <c r="I309" s="10" t="str">
        <f>_xlfn.LET(_xlpm.doi,IF(C309&lt;&gt;"",C309,_xlfn.TEXTAFTER(A309,"https://doi.org/")),SUBSTITUTE(SUBSTITUTE(SUBSTITUTE(SUBSTITUTE(_xlpm.doi,"/","%2F"),":","%3A"),"&lt;","%3C"),"&gt;","%3E"))</f>
        <v>10.1890%2F15-0846r.1</v>
      </c>
      <c r="J309" s="10" t="str">
        <f t="shared" si="99"/>
        <v>Myhrvold_etal_2015_AmnioteSparseTableAug2015.csv</v>
      </c>
      <c r="K309" s="3" t="str">
        <f t="shared" si="108"/>
        <v>10.1890%2F15-0846r.1_AmnioteSparseTableAug2015.csv</v>
      </c>
      <c r="L309" s="3" t="str">
        <f t="array" ref="L309">IFERROR(INDEX(AUTO_Public_TSV_FileList!$A$1:$A$1000,MATCH(TRUE(),EXACT(K309,IFERROR(_xlfn.TEXTBEFORE(AUTO_Public_TSV_FileList!$A$1:$A$1000,".tsv"),"")),0)),"notfound")</f>
        <v>notfound</v>
      </c>
    </row>
    <row r="310" spans="1:33" ht="17" customHeight="1" x14ac:dyDescent="0.2">
      <c r="A310" s="1" t="s">
        <v>1032</v>
      </c>
      <c r="D310" s="1" t="s">
        <v>647</v>
      </c>
      <c r="E310" s="3" t="str">
        <f t="shared" si="95"/>
        <v>Navarrete</v>
      </c>
      <c r="F310" s="3"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3" t="str">
        <f t="shared" si="96"/>
        <v>2016</v>
      </c>
      <c r="H310" s="3" t="str">
        <f t="shared" si="97"/>
        <v>Navarrete_etal_2016</v>
      </c>
      <c r="I310" s="3" t="str">
        <f t="shared" ref="I310:I319" si="109">_xlfn.LET(
_xlpm.doi,IF(C310&lt;&gt;"",C310,_xlfn.TEXTAFTER(A310,"https://doi.org/")),
SUBSTITUTE(
SUBSTITUTE(
SUBSTITUTE(
SUBSTITUTE(
_xlpm.doi,
"/","%2F"),
":","%3A"),
"&lt;","%3C"),
"&gt;","%3E")
)</f>
        <v>10.1098%2Frstb.2015.0186</v>
      </c>
      <c r="J310" s="3" t="str">
        <f t="shared" si="99"/>
        <v>Navarrete_etal_2016_Data</v>
      </c>
      <c r="K310" s="3" t="str">
        <f t="shared" si="108"/>
        <v>10.1098%2Frstb.2015.0186_Data</v>
      </c>
      <c r="L310" s="3" t="str">
        <f t="array" ref="L310">IFERROR(INDEX(AUTO_Public_TSV_FileList!$A$1:$A$1000,MATCH(TRUE(),EXACT(K310,IFERROR(_xlfn.TEXTBEFORE(AUTO_Public_TSV_FileList!$A$1:$A$1000,".tsv"),"")),0)),"notfound")</f>
        <v>10.1098%2Frstb.2015.0186_Data.tsv</v>
      </c>
      <c r="P310" s="8" t="s">
        <v>36</v>
      </c>
      <c r="Q310" s="8" t="s">
        <v>1033</v>
      </c>
      <c r="W310" s="1"/>
      <c r="X310" s="1"/>
      <c r="Y310" s="1"/>
      <c r="AB310" s="1"/>
      <c r="AE310" s="1" t="s">
        <v>51</v>
      </c>
      <c r="AF310" s="1"/>
    </row>
    <row r="311" spans="1:33" ht="17" customHeight="1" x14ac:dyDescent="0.2">
      <c r="A311" s="1" t="s">
        <v>1034</v>
      </c>
      <c r="D311" s="8" t="s">
        <v>70</v>
      </c>
      <c r="E311" s="3" t="str">
        <f t="shared" si="95"/>
        <v>Nguyen</v>
      </c>
      <c r="F311" s="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3" t="str">
        <f t="shared" si="96"/>
        <v>2019</v>
      </c>
      <c r="H311" s="3" t="str">
        <f t="shared" si="97"/>
        <v>Nguyen_etal_2019</v>
      </c>
      <c r="I311" s="3" t="str">
        <f t="shared" si="109"/>
        <v>10.1002%2Fcne.24823</v>
      </c>
      <c r="J311" s="3" t="str">
        <f t="shared" si="99"/>
        <v>Nguyen_etal_2019_Table2</v>
      </c>
      <c r="K311" s="3" t="str">
        <f t="shared" si="108"/>
        <v>10.1002%2Fcne.24823_Table2</v>
      </c>
      <c r="L311" s="3" t="str">
        <f t="array" ref="L311">IFERROR(INDEX(AUTO_Public_TSV_FileList!$A$1:$A$1000,MATCH(TRUE(),EXACT(K311,IFERROR(_xlfn.TEXTBEFORE(AUTO_Public_TSV_FileList!$A$1:$A$1000,".tsv"),"")),0)),"notfound")</f>
        <v>10.1002%2Fcne.24823_Table2.tsv</v>
      </c>
      <c r="M311" s="8" t="s">
        <v>1035</v>
      </c>
      <c r="P311" s="8" t="s">
        <v>36</v>
      </c>
      <c r="AE311" s="8" t="s">
        <v>66</v>
      </c>
    </row>
    <row r="312" spans="1:33" ht="17" customHeight="1" x14ac:dyDescent="0.2">
      <c r="A312" s="8" t="s">
        <v>1036</v>
      </c>
      <c r="D312" s="8" t="s">
        <v>81</v>
      </c>
      <c r="E312" s="10" t="str">
        <f t="shared" si="95"/>
        <v>Nimchinsky</v>
      </c>
      <c r="F312" s="10" t="str">
        <f>_xlfn.LET(
_xlpm.authors,_xlfn.TEXTBEFORE(A312," ("&amp;G312&amp;")"),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2" s="10" t="str">
        <f t="shared" si="96"/>
        <v>1999</v>
      </c>
      <c r="H312" s="10" t="str">
        <f t="shared" si="97"/>
        <v>Nimchinsky_etal_1999</v>
      </c>
      <c r="I312" s="10" t="str">
        <f t="shared" si="109"/>
        <v xml:space="preserve">10.1073%2Fpnas.96.9.5268 </v>
      </c>
      <c r="J312" s="10" t="str">
        <f t="shared" si="99"/>
        <v>Nimchinsky_etal_1999_Table1</v>
      </c>
      <c r="K312" s="10" t="str">
        <f>I312 &amp; "_" &amp; SUBSTITUTE(SUBSTITUTE(SUBSTITUTE(D312,CHAR(160),""), " ", ""), "_", "")</f>
        <v>10.1073%2Fpnas.96.9.5268 _Table1</v>
      </c>
      <c r="L312" s="3" t="str">
        <f t="array" ref="L312">IFERROR(INDEX(AUTO_Public_TSV_FileList!$A$1:$A$1000,MATCH(TRUE(),EXACT(K312,IFERROR(_xlfn.TEXTBEFORE(AUTO_Public_TSV_FileList!$A$1:$A$1000,".tsv"),"")),0)),"notfound")</f>
        <v>10.1073%2Fpnas.96.9.5268 _Table1.tsv</v>
      </c>
      <c r="P312" s="1" t="s">
        <v>1037</v>
      </c>
    </row>
    <row r="313" spans="1:33" ht="17" customHeight="1" x14ac:dyDescent="0.2">
      <c r="A313" s="8" t="s">
        <v>1036</v>
      </c>
      <c r="D313" s="8" t="s">
        <v>70</v>
      </c>
      <c r="E313" s="10" t="str">
        <f t="shared" si="95"/>
        <v>Nimchinsky</v>
      </c>
      <c r="F313" s="10" t="str">
        <f>_xlfn.LET(
_xlpm.authors,_xlfn.TEXTBEFORE(A313," ("&amp;G313&amp;")"),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3" s="10" t="str">
        <f t="shared" si="96"/>
        <v>1999</v>
      </c>
      <c r="H313" s="10" t="str">
        <f t="shared" si="97"/>
        <v>Nimchinsky_etal_1999</v>
      </c>
      <c r="I313" s="10" t="str">
        <f t="shared" si="109"/>
        <v xml:space="preserve">10.1073%2Fpnas.96.9.5268 </v>
      </c>
      <c r="J313" s="10" t="str">
        <f t="shared" si="99"/>
        <v>Nimchinsky_etal_1999_Table2</v>
      </c>
      <c r="K313" s="10" t="str">
        <f>I313 &amp; "_" &amp; SUBSTITUTE(SUBSTITUTE(SUBSTITUTE(D313,CHAR(160),""), " ", ""), "_", "")</f>
        <v>10.1073%2Fpnas.96.9.5268 _Table2</v>
      </c>
      <c r="L313" s="3" t="str">
        <f t="array" ref="L313">IFERROR(INDEX(AUTO_Public_TSV_FileList!$A$1:$A$1000,MATCH(TRUE(),EXACT(K313,IFERROR(_xlfn.TEXTBEFORE(AUTO_Public_TSV_FileList!$A$1:$A$1000,".tsv"),"")),0)),"notfound")</f>
        <v>10.1073%2Fpnas.96.9.5268 _Table2.tsv</v>
      </c>
      <c r="P313" s="1" t="s">
        <v>1037</v>
      </c>
    </row>
    <row r="314" spans="1:33" ht="17" customHeight="1" x14ac:dyDescent="0.2">
      <c r="A314" s="1" t="s">
        <v>1038</v>
      </c>
      <c r="D314" s="1" t="s">
        <v>58</v>
      </c>
      <c r="E314" s="3" t="str">
        <f t="shared" si="95"/>
        <v>Nudo</v>
      </c>
      <c r="F314" s="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3" t="str">
        <f t="shared" si="96"/>
        <v>1995</v>
      </c>
      <c r="H314" s="3" t="str">
        <f t="shared" si="97"/>
        <v>Nudo_etal_1995</v>
      </c>
      <c r="I314" s="3" t="str">
        <f t="shared" si="109"/>
        <v>10.1002%2Fcne.903580203</v>
      </c>
      <c r="J314" s="3" t="str">
        <f t="shared" si="99"/>
        <v>Nudo_etal_1995_TABLE1</v>
      </c>
      <c r="K314" s="3" t="str">
        <f t="shared" ref="K314:K347" si="110">I314 &amp; "_" &amp; SUBSTITUTE(SUBSTITUTE(SUBSTITUTE(D314,CHAR(160),"")," ",""),"_","")</f>
        <v>10.1002%2Fcne.903580203_TABLE1</v>
      </c>
      <c r="L314" s="3" t="str">
        <f t="array" ref="L314">IFERROR(INDEX(AUTO_Public_TSV_FileList!$A$1:$A$1000,MATCH(TRUE(),EXACT(K314,IFERROR(_xlfn.TEXTBEFORE(AUTO_Public_TSV_FileList!$A$1:$A$1000,".tsv"),"")),0)),"notfound")</f>
        <v>10.1002%2Fcne.903580203_TABLE1.tsv</v>
      </c>
      <c r="N314" s="1" t="s">
        <v>35</v>
      </c>
      <c r="P314" s="8" t="s">
        <v>36</v>
      </c>
      <c r="Q314" s="8" t="s">
        <v>1039</v>
      </c>
      <c r="W314" s="1" t="s">
        <v>131</v>
      </c>
      <c r="X314" s="1" t="s">
        <v>1040</v>
      </c>
      <c r="Y314" s="1"/>
      <c r="AB314" s="1" t="s">
        <v>1041</v>
      </c>
      <c r="AC314" s="1" t="s">
        <v>1042</v>
      </c>
      <c r="AE314" s="1" t="s">
        <v>66</v>
      </c>
      <c r="AF314" s="1"/>
      <c r="AG314" s="1" t="s">
        <v>1043</v>
      </c>
    </row>
    <row r="315" spans="1:33" ht="17" customHeight="1" x14ac:dyDescent="0.2">
      <c r="A315" s="1" t="s">
        <v>1038</v>
      </c>
      <c r="D315" s="1" t="s">
        <v>103</v>
      </c>
      <c r="E315" s="3" t="str">
        <f t="shared" si="95"/>
        <v>Nudo</v>
      </c>
      <c r="F315" s="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3" t="str">
        <f t="shared" si="96"/>
        <v>1995</v>
      </c>
      <c r="H315" s="3" t="str">
        <f t="shared" si="97"/>
        <v>Nudo_etal_1995</v>
      </c>
      <c r="I315" s="3" t="str">
        <f t="shared" si="109"/>
        <v>10.1002%2Fcne.903580203</v>
      </c>
      <c r="J315" s="3" t="str">
        <f t="shared" si="99"/>
        <v>Nudo_etal_1995_TABLE2</v>
      </c>
      <c r="K315" s="3" t="str">
        <f t="shared" si="110"/>
        <v>10.1002%2Fcne.903580203_TABLE2</v>
      </c>
      <c r="L315" s="3" t="str">
        <f t="array" ref="L315">IFERROR(INDEX(AUTO_Public_TSV_FileList!$A$1:$A$1000,MATCH(TRUE(),EXACT(K315,IFERROR(_xlfn.TEXTBEFORE(AUTO_Public_TSV_FileList!$A$1:$A$1000,".tsv"),"")),0)),"notfound")</f>
        <v>10.1002%2Fcne.903580203_TABLE2.tsv</v>
      </c>
      <c r="N315" s="1" t="s">
        <v>35</v>
      </c>
      <c r="P315" s="8" t="s">
        <v>36</v>
      </c>
      <c r="Q315" s="1"/>
      <c r="W315" s="1" t="s">
        <v>131</v>
      </c>
      <c r="X315" s="1" t="s">
        <v>1044</v>
      </c>
      <c r="Y315" s="1"/>
      <c r="AB315" s="1" t="s">
        <v>1045</v>
      </c>
      <c r="AC315" s="1" t="s">
        <v>1042</v>
      </c>
      <c r="AE315" s="1" t="s">
        <v>66</v>
      </c>
      <c r="AF315" s="1"/>
      <c r="AG315" s="1" t="s">
        <v>1046</v>
      </c>
    </row>
    <row r="316" spans="1:33" ht="17" customHeight="1" x14ac:dyDescent="0.2">
      <c r="A316" s="1" t="s">
        <v>1038</v>
      </c>
      <c r="D316" s="1" t="s">
        <v>683</v>
      </c>
      <c r="E316" s="3" t="str">
        <f t="shared" si="95"/>
        <v>Nudo</v>
      </c>
      <c r="F316" s="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3" t="str">
        <f t="shared" si="96"/>
        <v>1995</v>
      </c>
      <c r="H316" s="3" t="str">
        <f t="shared" si="97"/>
        <v>Nudo_etal_1995</v>
      </c>
      <c r="I316" s="3" t="str">
        <f t="shared" si="109"/>
        <v>10.1002%2Fcne.903580203</v>
      </c>
      <c r="J316" s="3" t="str">
        <f t="shared" si="99"/>
        <v>Nudo_etal_1995_TABLE3</v>
      </c>
      <c r="K316" s="3" t="str">
        <f t="shared" si="110"/>
        <v>10.1002%2Fcne.903580203_TABLE3</v>
      </c>
      <c r="L316" s="3" t="str">
        <f t="array" ref="L316">IFERROR(INDEX(AUTO_Public_TSV_FileList!$A$1:$A$1000,MATCH(TRUE(),EXACT(K316,IFERROR(_xlfn.TEXTBEFORE(AUTO_Public_TSV_FileList!$A$1:$A$1000,".tsv"),"")),0)),"notfound")</f>
        <v>10.1002%2Fcne.903580203_TABLE3.tsv</v>
      </c>
      <c r="N316" s="1" t="s">
        <v>35</v>
      </c>
      <c r="P316" s="8" t="s">
        <v>36</v>
      </c>
      <c r="Q316" s="1"/>
      <c r="W316" s="1" t="s">
        <v>131</v>
      </c>
      <c r="X316" s="1" t="s">
        <v>1047</v>
      </c>
      <c r="Y316" s="1"/>
      <c r="AB316" s="1" t="s">
        <v>1048</v>
      </c>
      <c r="AC316" s="1" t="s">
        <v>1042</v>
      </c>
      <c r="AE316" s="1" t="s">
        <v>172</v>
      </c>
      <c r="AF316" s="1"/>
      <c r="AG316" s="1" t="s">
        <v>1049</v>
      </c>
    </row>
    <row r="317" spans="1:33" ht="17" customHeight="1" x14ac:dyDescent="0.2">
      <c r="A317" s="1" t="s">
        <v>1038</v>
      </c>
      <c r="D317" s="1" t="s">
        <v>1050</v>
      </c>
      <c r="E317" s="3" t="str">
        <f t="shared" si="95"/>
        <v>Nudo</v>
      </c>
      <c r="F317" s="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3" t="str">
        <f t="shared" si="96"/>
        <v>1995</v>
      </c>
      <c r="H317" s="3" t="str">
        <f t="shared" si="97"/>
        <v>Nudo_etal_1995</v>
      </c>
      <c r="I317" s="3" t="str">
        <f t="shared" si="109"/>
        <v>10.1002%2Fcne.903580203</v>
      </c>
      <c r="J317" s="3" t="str">
        <f t="shared" si="99"/>
        <v>Nudo_etal_1995_TABLE4</v>
      </c>
      <c r="K317" s="3" t="str">
        <f t="shared" si="110"/>
        <v>10.1002%2Fcne.903580203_TABLE4</v>
      </c>
      <c r="L317" s="3" t="str">
        <f t="array" ref="L317">IFERROR(INDEX(AUTO_Public_TSV_FileList!$A$1:$A$1000,MATCH(TRUE(),EXACT(K317,IFERROR(_xlfn.TEXTBEFORE(AUTO_Public_TSV_FileList!$A$1:$A$1000,".tsv"),"")),0)),"notfound")</f>
        <v>10.1002%2Fcne.903580203_TABLE4.tsv</v>
      </c>
      <c r="N317" s="1" t="s">
        <v>35</v>
      </c>
      <c r="P317" s="8" t="s">
        <v>36</v>
      </c>
      <c r="Q317" s="1"/>
      <c r="W317" s="1" t="s">
        <v>131</v>
      </c>
      <c r="X317" s="1" t="s">
        <v>1051</v>
      </c>
      <c r="Y317" s="1"/>
      <c r="AB317" s="1" t="s">
        <v>1052</v>
      </c>
      <c r="AC317" s="1" t="s">
        <v>1042</v>
      </c>
      <c r="AE317" s="1" t="s">
        <v>66</v>
      </c>
      <c r="AF317" s="1"/>
      <c r="AG317" s="1" t="s">
        <v>1053</v>
      </c>
    </row>
    <row r="318" spans="1:33" ht="17" customHeight="1" x14ac:dyDescent="0.2">
      <c r="A318" s="1" t="s">
        <v>1038</v>
      </c>
      <c r="D318" s="1" t="s">
        <v>1054</v>
      </c>
      <c r="E318" s="3" t="str">
        <f t="shared" si="95"/>
        <v>Nudo</v>
      </c>
      <c r="F318" s="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8" s="3" t="str">
        <f t="shared" si="96"/>
        <v>1995</v>
      </c>
      <c r="H318" s="3" t="str">
        <f t="shared" si="97"/>
        <v>Nudo_etal_1995</v>
      </c>
      <c r="I318" s="3" t="str">
        <f t="shared" si="109"/>
        <v>10.1002%2Fcne.903580203</v>
      </c>
      <c r="J318" s="3" t="str">
        <f t="shared" si="99"/>
        <v>Nudo_etal_1995_TABLE5</v>
      </c>
      <c r="K318" s="3" t="str">
        <f t="shared" si="110"/>
        <v>10.1002%2Fcne.903580203_TABLE5</v>
      </c>
      <c r="L318" s="3" t="str">
        <f t="array" ref="L318">IFERROR(INDEX(AUTO_Public_TSV_FileList!$A$1:$A$1000,MATCH(TRUE(),EXACT(K318,IFERROR(_xlfn.TEXTBEFORE(AUTO_Public_TSV_FileList!$A$1:$A$1000,".tsv"),"")),0)),"notfound")</f>
        <v>10.1002%2Fcne.903580203_TABLE5.tsv</v>
      </c>
      <c r="N318" s="1" t="s">
        <v>35</v>
      </c>
      <c r="P318" s="8" t="s">
        <v>36</v>
      </c>
      <c r="Q318" s="1"/>
      <c r="W318" s="1" t="s">
        <v>131</v>
      </c>
      <c r="X318" s="1" t="s">
        <v>1055</v>
      </c>
      <c r="Y318" s="1"/>
      <c r="AB318" s="1" t="s">
        <v>1056</v>
      </c>
      <c r="AC318" s="1" t="s">
        <v>1042</v>
      </c>
      <c r="AE318" s="1" t="s">
        <v>66</v>
      </c>
      <c r="AF318" s="1"/>
      <c r="AG318" s="1" t="s">
        <v>1057</v>
      </c>
    </row>
    <row r="319" spans="1:33" ht="17" customHeight="1" x14ac:dyDescent="0.2">
      <c r="A319" s="1" t="s">
        <v>1058</v>
      </c>
      <c r="D319" s="8" t="s">
        <v>366</v>
      </c>
      <c r="E319" s="3" t="str">
        <f t="shared" si="95"/>
        <v>Olkowicz</v>
      </c>
      <c r="F319" s="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9" s="3" t="str">
        <f t="shared" si="96"/>
        <v>2016</v>
      </c>
      <c r="H319" s="3" t="str">
        <f t="shared" si="97"/>
        <v>Olkowicz_etal_2016</v>
      </c>
      <c r="I319" s="3" t="str">
        <f t="shared" si="109"/>
        <v>10.1073%2Fpnas.1517131113</v>
      </c>
      <c r="J319" s="3" t="str">
        <f t="shared" si="99"/>
        <v>Olkowicz_etal_2016_DatasetS1</v>
      </c>
      <c r="K319" s="3" t="str">
        <f t="shared" si="110"/>
        <v>10.1073%2Fpnas.1517131113_DatasetS1</v>
      </c>
      <c r="L319" s="3" t="str">
        <f t="array" ref="L319">IFERROR(INDEX(AUTO_Public_TSV_FileList!$A$1:$A$1000,MATCH(TRUE(),EXACT(K319,IFERROR(_xlfn.TEXTBEFORE(AUTO_Public_TSV_FileList!$A$1:$A$1000,".tsv"),"")),0)),"notfound")</f>
        <v>10.1073%2Fpnas.1517131113_DatasetS1.tsv</v>
      </c>
      <c r="M319" s="8" t="s">
        <v>1059</v>
      </c>
      <c r="P319" s="8" t="s">
        <v>36</v>
      </c>
      <c r="Q319" s="8" t="s">
        <v>1039</v>
      </c>
      <c r="AE319" s="8" t="s">
        <v>66</v>
      </c>
    </row>
    <row r="320" spans="1:33" ht="17" customHeight="1" x14ac:dyDescent="0.2">
      <c r="A320" s="8" t="s">
        <v>1060</v>
      </c>
      <c r="D320" s="8" t="s">
        <v>661</v>
      </c>
      <c r="E320" s="10" t="str">
        <f t="shared" si="95"/>
        <v>PalomeroGallagher</v>
      </c>
      <c r="F320" s="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0" s="3" t="str">
        <f t="shared" si="96"/>
        <v>2018</v>
      </c>
      <c r="H320" s="10" t="str">
        <f t="shared" si="97"/>
        <v>PalomeroGallagher_Zilles_2018</v>
      </c>
      <c r="I320" s="10" t="str">
        <f>_xlfn.LET(_xlpm.doi,IF(C320&lt;&gt;"",C320,_xlfn.TEXTAFTER(A320,"https://doi.org/")),SUBSTITUTE(SUBSTITUTE(SUBSTITUTE(SUBSTITUTE(_xlpm.doi,"/","%2F"),":","%3A"),"&lt;","%3C"),"&gt;","%3E"))</f>
        <v>10.1016%2Fj.cortex.2018.09.008</v>
      </c>
      <c r="J320" s="10" t="str">
        <f t="shared" si="99"/>
        <v>PalomeroGallagher_Zilles_2018_TableS3</v>
      </c>
      <c r="K320" s="3" t="str">
        <f t="shared" si="110"/>
        <v>10.1016%2Fj.cortex.2018.09.008_TableS3</v>
      </c>
      <c r="L320" s="3" t="str">
        <f t="array" ref="L320">IFERROR(INDEX(AUTO_Public_TSV_FileList!$A$1:$A$1000,MATCH(TRUE(),EXACT(K320,IFERROR(_xlfn.TEXTBEFORE(AUTO_Public_TSV_FileList!$A$1:$A$1000,".tsv"),"")),0)),"notfound")</f>
        <v>10.1016%2Fj.cortex.2018.09.008_TableS3.tsv</v>
      </c>
      <c r="M320" s="8" t="s">
        <v>1061</v>
      </c>
      <c r="N320" s="8" t="s">
        <v>1062</v>
      </c>
      <c r="O320" s="8" t="s">
        <v>1063</v>
      </c>
      <c r="P320" s="8" t="s">
        <v>36</v>
      </c>
      <c r="Q320" s="8" t="s">
        <v>1064</v>
      </c>
      <c r="V320" s="8" t="s">
        <v>1065</v>
      </c>
      <c r="W320" s="8" t="s">
        <v>1066</v>
      </c>
      <c r="X320" s="8" t="s">
        <v>1067</v>
      </c>
      <c r="Z320" s="8" t="s">
        <v>1068</v>
      </c>
      <c r="AA320" s="8" t="s">
        <v>1069</v>
      </c>
      <c r="AB320" s="8" t="s">
        <v>1070</v>
      </c>
      <c r="AE320" s="8" t="s">
        <v>66</v>
      </c>
      <c r="AG320" s="8" t="s">
        <v>1071</v>
      </c>
    </row>
    <row r="321" spans="1:33" ht="17" customHeight="1" x14ac:dyDescent="0.2">
      <c r="A321" s="8" t="s">
        <v>1072</v>
      </c>
      <c r="D321" s="8" t="s">
        <v>70</v>
      </c>
      <c r="E321" s="3" t="str">
        <f t="shared" si="95"/>
        <v>Peruffo</v>
      </c>
      <c r="F321" s="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3" t="str">
        <f t="shared" si="96"/>
        <v>2019</v>
      </c>
      <c r="H321" s="3" t="str">
        <f t="shared" si="97"/>
        <v>Peruffo_etal_2019</v>
      </c>
      <c r="I321" s="3" t="str">
        <f>_xlfn.LET(
_xlpm.doi,IF(C321&lt;&gt;"",C321,_xlfn.TEXTAFTER(A321,"https://doi.org/")),
SUBSTITUTE(
SUBSTITUTE(
SUBSTITUTE(
SUBSTITUTE(
_xlpm.doi,
"/","%2F"),
":","%3A"),
"&lt;","%3C"),
"&gt;","%3E")
)</f>
        <v>10.1007%2Fs00429-019-01885-x</v>
      </c>
      <c r="J321" s="3" t="str">
        <f t="shared" si="99"/>
        <v>Peruffo_etal_2019_Table2</v>
      </c>
      <c r="K321" s="3" t="str">
        <f t="shared" si="110"/>
        <v>10.1007%2Fs00429-019-01885-x_Table2</v>
      </c>
      <c r="L321" s="3" t="str">
        <f t="array" ref="L321">IFERROR(INDEX(AUTO_Public_TSV_FileList!$A$1:$A$1000,MATCH(TRUE(),EXACT(K321,IFERROR(_xlfn.TEXTBEFORE(AUTO_Public_TSV_FileList!$A$1:$A$1000,".tsv"),"")),0)),"notfound")</f>
        <v>10.1007%2Fs00429-019-01885-x_Table2.tsv</v>
      </c>
      <c r="N321" s="1" t="s">
        <v>35</v>
      </c>
      <c r="P321" s="8" t="s">
        <v>36</v>
      </c>
      <c r="R321" s="8" t="s">
        <v>1073</v>
      </c>
      <c r="V321" s="8" t="s">
        <v>707</v>
      </c>
      <c r="W321" s="8" t="s">
        <v>1074</v>
      </c>
      <c r="X321" s="8" t="s">
        <v>1075</v>
      </c>
      <c r="Z321" s="8" t="s">
        <v>1076</v>
      </c>
      <c r="AB321" s="8" t="s">
        <v>1077</v>
      </c>
      <c r="AE321" s="8" t="s">
        <v>66</v>
      </c>
    </row>
    <row r="322" spans="1:33" ht="17" customHeight="1" x14ac:dyDescent="0.2">
      <c r="A322" s="1" t="s">
        <v>1072</v>
      </c>
      <c r="D322" s="1" t="s">
        <v>70</v>
      </c>
      <c r="E322" s="3" t="str">
        <f t="shared" si="95"/>
        <v>Peruffo</v>
      </c>
      <c r="F322" s="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3" t="str">
        <f t="shared" si="96"/>
        <v>2019</v>
      </c>
      <c r="H322" s="3" t="str">
        <f t="shared" si="97"/>
        <v>Peruffo_etal_2019</v>
      </c>
      <c r="I322" s="3" t="str">
        <f>_xlfn.LET(
_xlpm.doi,IF(C322&lt;&gt;"",C322,_xlfn.TEXTAFTER(A322,"https://doi.org/")),
SUBSTITUTE(
SUBSTITUTE(
SUBSTITUTE(
SUBSTITUTE(
_xlpm.doi,
"/","%2F"),
":","%3A"),
"&lt;","%3C"),
"&gt;","%3E")
)</f>
        <v>10.1007%2Fs00429-019-01885-x</v>
      </c>
      <c r="J322" s="3" t="str">
        <f t="shared" si="99"/>
        <v>Peruffo_etal_2019_Table2</v>
      </c>
      <c r="K322" s="3" t="str">
        <f t="shared" si="110"/>
        <v>10.1007%2Fs00429-019-01885-x_Table2</v>
      </c>
      <c r="L322" s="3" t="str">
        <f t="array" ref="L322">IFERROR(INDEX(AUTO_Public_TSV_FileList!$A$1:$A$1000,MATCH(TRUE(),EXACT(K322,IFERROR(_xlfn.TEXTBEFORE(AUTO_Public_TSV_FileList!$A$1:$A$1000,".tsv"),"")),0)),"notfound")</f>
        <v>10.1007%2Fs00429-019-01885-x_Table2.tsv</v>
      </c>
      <c r="N322" s="1" t="s">
        <v>35</v>
      </c>
      <c r="P322" s="8" t="s">
        <v>36</v>
      </c>
      <c r="R322" s="8" t="s">
        <v>1073</v>
      </c>
      <c r="V322" s="8" t="s">
        <v>707</v>
      </c>
      <c r="W322" s="1" t="s">
        <v>1074</v>
      </c>
      <c r="X322" s="1" t="s">
        <v>1075</v>
      </c>
      <c r="Z322" s="8" t="s">
        <v>1076</v>
      </c>
      <c r="AA322" s="1" t="s">
        <v>63</v>
      </c>
      <c r="AB322" s="1" t="s">
        <v>1077</v>
      </c>
      <c r="AC322" s="1" t="s">
        <v>368</v>
      </c>
      <c r="AE322" s="1" t="s">
        <v>66</v>
      </c>
      <c r="AF322" s="1"/>
    </row>
    <row r="323" spans="1:33" ht="17" customHeight="1" x14ac:dyDescent="0.2">
      <c r="A323" s="1" t="s">
        <v>1072</v>
      </c>
      <c r="D323" s="1" t="s">
        <v>70</v>
      </c>
      <c r="E323" s="3" t="str">
        <f t="shared" si="95"/>
        <v>Peruffo</v>
      </c>
      <c r="F323" s="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3" t="str">
        <f t="shared" si="96"/>
        <v>2019</v>
      </c>
      <c r="H323" s="3" t="str">
        <f t="shared" si="97"/>
        <v>Peruffo_etal_2019</v>
      </c>
      <c r="I323" s="3" t="str">
        <f>_xlfn.LET(
_xlpm.doi,IF(C323&lt;&gt;"",C323,_xlfn.TEXTAFTER(A323,"https://doi.org/")),
SUBSTITUTE(
SUBSTITUTE(
SUBSTITUTE(
SUBSTITUTE(
_xlpm.doi,
"/","%2F"),
":","%3A"),
"&lt;","%3C"),
"&gt;","%3E")
)</f>
        <v>10.1007%2Fs00429-019-01885-x</v>
      </c>
      <c r="J323" s="3" t="str">
        <f t="shared" si="99"/>
        <v>Peruffo_etal_2019_Table2</v>
      </c>
      <c r="K323" s="3" t="str">
        <f t="shared" si="110"/>
        <v>10.1007%2Fs00429-019-01885-x_Table2</v>
      </c>
      <c r="L323" s="3" t="str">
        <f t="array" ref="L323">IFERROR(INDEX(AUTO_Public_TSV_FileList!$A$1:$A$1000,MATCH(TRUE(),EXACT(K323,IFERROR(_xlfn.TEXTBEFORE(AUTO_Public_TSV_FileList!$A$1:$A$1000,".tsv"),"")),0)),"notfound")</f>
        <v>10.1007%2Fs00429-019-01885-x_Table2.tsv</v>
      </c>
      <c r="N323" s="1" t="s">
        <v>35</v>
      </c>
      <c r="P323" s="8" t="s">
        <v>36</v>
      </c>
      <c r="R323" s="8" t="s">
        <v>1073</v>
      </c>
      <c r="V323" s="8" t="s">
        <v>707</v>
      </c>
      <c r="W323" s="1" t="s">
        <v>1074</v>
      </c>
      <c r="X323" s="1" t="s">
        <v>1075</v>
      </c>
      <c r="Z323" s="8" t="s">
        <v>1076</v>
      </c>
      <c r="AA323" s="1"/>
      <c r="AB323" s="1" t="s">
        <v>1077</v>
      </c>
      <c r="AC323" s="1" t="s">
        <v>84</v>
      </c>
      <c r="AE323" s="1" t="s">
        <v>66</v>
      </c>
      <c r="AF323" s="1"/>
    </row>
    <row r="324" spans="1:33" ht="17" customHeight="1" x14ac:dyDescent="0.2">
      <c r="A324" s="7" t="s">
        <v>1078</v>
      </c>
      <c r="B324" s="7"/>
      <c r="C324" s="7"/>
      <c r="D324" s="7" t="s">
        <v>81</v>
      </c>
      <c r="E324" s="10" t="str">
        <f t="shared" si="95"/>
        <v>Pirlot</v>
      </c>
      <c r="F324" s="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4" s="3" t="str">
        <f t="shared" si="96"/>
        <v>1982</v>
      </c>
      <c r="H324" s="10" t="str">
        <f t="shared" si="97"/>
        <v>Pirlot_Kamiya_1982</v>
      </c>
      <c r="I324" s="10" t="str">
        <f>_xlfn.LET(_xlpm.doi,IF(C324&lt;&gt;"",C324,_xlfn.TEXTAFTER(A324,"https://doi.org/")),SUBSTITUTE(SUBSTITUTE(SUBSTITUTE(SUBSTITUTE(_xlpm.doi,"/","%2F"),":","%3A"),"&lt;","%3C"),"&gt;","%3E"))</f>
        <v>10.1139%2FZ82-084</v>
      </c>
      <c r="J324" s="10" t="str">
        <f t="shared" si="99"/>
        <v>Pirlot_Kamiya_1982_Table1</v>
      </c>
      <c r="K324" s="10" t="str">
        <f t="shared" si="110"/>
        <v>10.1139%2FZ82-084_Table1</v>
      </c>
      <c r="L324" s="3" t="str">
        <f t="array" ref="L324">IFERROR(INDEX(AUTO_Public_TSV_FileList!$A$1:$A$1000,MATCH(TRUE(),EXACT(K324,IFERROR(_xlfn.TEXTBEFORE(AUTO_Public_TSV_FileList!$A$1:$A$1000,".tsv"),"")),0)),"notfound")</f>
        <v>notfound</v>
      </c>
      <c r="N324" s="1" t="s">
        <v>35</v>
      </c>
      <c r="P324" s="7"/>
      <c r="Q324" s="7"/>
      <c r="R324" s="7"/>
      <c r="S324" s="7" t="s">
        <v>491</v>
      </c>
      <c r="T324" s="7" t="s">
        <v>492</v>
      </c>
      <c r="U324" s="7"/>
      <c r="V324" s="7" t="s">
        <v>493</v>
      </c>
      <c r="W324" s="7" t="s">
        <v>1079</v>
      </c>
      <c r="X324" s="7" t="s">
        <v>1080</v>
      </c>
      <c r="Y324" s="7"/>
      <c r="Z324" s="7"/>
      <c r="AA324" s="7" t="s">
        <v>1081</v>
      </c>
      <c r="AB324" s="7" t="s">
        <v>1082</v>
      </c>
      <c r="AD324" s="7"/>
      <c r="AE324" s="1" t="s">
        <v>51</v>
      </c>
      <c r="AF324" s="1"/>
      <c r="AG324" s="7" t="s">
        <v>1083</v>
      </c>
    </row>
    <row r="325" spans="1:33" ht="17" customHeight="1" x14ac:dyDescent="0.2">
      <c r="A325" s="7" t="s">
        <v>1084</v>
      </c>
      <c r="B325" s="7"/>
      <c r="C325" s="7"/>
      <c r="D325" s="7" t="s">
        <v>81</v>
      </c>
      <c r="E325" s="10" t="str">
        <f t="shared" si="95"/>
        <v>Pirlot</v>
      </c>
      <c r="F325" s="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5" s="3" t="str">
        <f t="shared" si="96"/>
        <v>1985</v>
      </c>
      <c r="H325" s="10" t="str">
        <f t="shared" si="97"/>
        <v>Pirlot_Kamiya_1985</v>
      </c>
      <c r="I325" s="10" t="str">
        <f>_xlfn.LET(_xlpm.doi,IF(C325&lt;&gt;"",C325,_xlfn.TEXTAFTER(A325,"https://doi.org/")),SUBSTITUTE(SUBSTITUTE(SUBSTITUTE(SUBSTITUTE(_xlpm.doi,"/","%2F"),":","%3A"),"&lt;","%3C"),"&gt;","%3E"))</f>
        <v>10.1111%2Fj.1439-0469.1985.tb00577.x</v>
      </c>
      <c r="J325" s="10" t="str">
        <f t="shared" si="99"/>
        <v>Pirlot_Kamiya_1985_Table1</v>
      </c>
      <c r="K325" s="10" t="str">
        <f t="shared" si="110"/>
        <v>10.1111%2Fj.1439-0469.1985.tb00577.x_Table1</v>
      </c>
      <c r="L325" s="3" t="str">
        <f t="array" ref="L325">IFERROR(INDEX(AUTO_Public_TSV_FileList!$A$1:$A$1000,MATCH(TRUE(),EXACT(K325,IFERROR(_xlfn.TEXTBEFORE(AUTO_Public_TSV_FileList!$A$1:$A$1000,".tsv"),"")),0)),"notfound")</f>
        <v>notfound</v>
      </c>
      <c r="N325" s="1" t="s">
        <v>35</v>
      </c>
      <c r="P325" s="7"/>
      <c r="Q325" s="7"/>
      <c r="R325" s="7" t="s">
        <v>1085</v>
      </c>
      <c r="S325" s="7" t="s">
        <v>491</v>
      </c>
      <c r="T325" s="7" t="s">
        <v>492</v>
      </c>
      <c r="U325" s="7"/>
      <c r="V325" s="7" t="s">
        <v>493</v>
      </c>
      <c r="W325" s="7" t="s">
        <v>1086</v>
      </c>
      <c r="X325" s="7" t="s">
        <v>1087</v>
      </c>
      <c r="Y325" s="7"/>
      <c r="Z325" s="7"/>
      <c r="AA325" s="7" t="s">
        <v>1088</v>
      </c>
      <c r="AB325" s="7" t="s">
        <v>1082</v>
      </c>
      <c r="AD325" s="7"/>
      <c r="AE325" s="7" t="s">
        <v>66</v>
      </c>
      <c r="AF325" s="7"/>
      <c r="AG325" s="7" t="s">
        <v>1089</v>
      </c>
    </row>
    <row r="326" spans="1:33" ht="17" customHeight="1" x14ac:dyDescent="0.2">
      <c r="A326" s="1" t="s">
        <v>1090</v>
      </c>
      <c r="C326" s="1"/>
      <c r="D326" s="1" t="s">
        <v>1091</v>
      </c>
      <c r="E326" s="3" t="str">
        <f t="shared" si="95"/>
        <v>Powell</v>
      </c>
      <c r="F326" s="3"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3" t="str">
        <f t="shared" si="96"/>
        <v>2017</v>
      </c>
      <c r="H326" s="3" t="str">
        <f t="shared" si="97"/>
        <v>Powell_etal_2017</v>
      </c>
      <c r="I326" s="3" t="str">
        <f>_xlfn.LET(
_xlpm.doi,IF(C326&lt;&gt;"",C326,_xlfn.TEXTAFTER(A326,"https://doi.org/")),
SUBSTITUTE(
SUBSTITUTE(
SUBSTITUTE(
SUBSTITUTE(
_xlpm.doi,
"/","%2F"),
":","%3A"),
"&lt;","%3C"),
"&gt;","%3E")
)</f>
        <v>10.1098%2Frspb.2017.1765</v>
      </c>
      <c r="J326" s="3" t="str">
        <f t="shared" si="99"/>
        <v>Powell_etal_2017_Dataset1</v>
      </c>
      <c r="K326" s="3" t="str">
        <f t="shared" si="110"/>
        <v>10.1098%2Frspb.2017.1765_Dataset1</v>
      </c>
      <c r="L326" s="3" t="str">
        <f t="array" ref="L326">IFERROR(INDEX(AUTO_Public_TSV_FileList!$A$1:$A$1000,MATCH(TRUE(),EXACT(K326,IFERROR(_xlfn.TEXTBEFORE(AUTO_Public_TSV_FileList!$A$1:$A$1000,".tsv"),"")),0)),"notfound")</f>
        <v>10.1098%2Frspb.2017.1765_Dataset1.tsv</v>
      </c>
      <c r="N326" s="1" t="s">
        <v>35</v>
      </c>
      <c r="P326" s="8" t="s">
        <v>36</v>
      </c>
      <c r="Q326" s="1"/>
      <c r="R326" s="1" t="s">
        <v>1092</v>
      </c>
      <c r="V326" s="1"/>
      <c r="W326" s="1" t="s">
        <v>93</v>
      </c>
      <c r="X326" s="1" t="s">
        <v>1093</v>
      </c>
      <c r="Y326" s="1" t="s">
        <v>1094</v>
      </c>
      <c r="AB326" s="1" t="s">
        <v>1093</v>
      </c>
      <c r="AE326" s="1" t="s">
        <v>172</v>
      </c>
      <c r="AF326" s="1"/>
    </row>
    <row r="327" spans="1:33" ht="17" customHeight="1" x14ac:dyDescent="0.2">
      <c r="A327" s="1" t="s">
        <v>1095</v>
      </c>
      <c r="C327" s="1"/>
      <c r="D327" s="1" t="s">
        <v>81</v>
      </c>
      <c r="E327" s="3" t="str">
        <f t="shared" si="95"/>
        <v>Raghanti</v>
      </c>
      <c r="F327" s="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3" t="str">
        <f t="shared" si="96"/>
        <v>2015</v>
      </c>
      <c r="H327" s="3" t="str">
        <f t="shared" si="97"/>
        <v>Raghanti_etal_2015</v>
      </c>
      <c r="I327" s="3" t="str">
        <f>_xlfn.LET(
_xlpm.doi,IF(C327&lt;&gt;"",C327,_xlfn.TEXTAFTER(A327,"https://doi.org/")),
SUBSTITUTE(
SUBSTITUTE(
SUBSTITUTE(
SUBSTITUTE(
_xlpm.doi,
"/","%2F"),
":","%3A"),
"&lt;","%3C"),
"&gt;","%3E")
)</f>
        <v xml:space="preserve">10.1007%2Fs00429-014-0792-y </v>
      </c>
      <c r="J327" s="3" t="str">
        <f t="shared" si="99"/>
        <v>Raghanti_etal_2015_Table1</v>
      </c>
      <c r="K327" s="3" t="str">
        <f t="shared" si="110"/>
        <v>10.1007%2Fs00429-014-0792-y _Table1</v>
      </c>
      <c r="L327" s="3" t="str">
        <f t="array" ref="L327">IFERROR(INDEX(AUTO_Public_TSV_FileList!$A$1:$A$1000,MATCH(TRUE(),EXACT(K327,IFERROR(_xlfn.TEXTBEFORE(AUTO_Public_TSV_FileList!$A$1:$A$1000,".tsv"),"")),0)),"notfound")</f>
        <v>10.1007%2Fs00429-014-0792-y _Table1.tsv</v>
      </c>
      <c r="N327" s="1"/>
      <c r="Q327" s="1"/>
      <c r="R327" s="1"/>
      <c r="V327" s="1"/>
      <c r="W327" s="1"/>
      <c r="X327" s="1"/>
      <c r="Y327" s="1"/>
      <c r="AB327" s="1"/>
      <c r="AE327" s="1"/>
      <c r="AF327" s="1"/>
    </row>
    <row r="328" spans="1:33" ht="17" customHeight="1" x14ac:dyDescent="0.2">
      <c r="A328" s="1" t="s">
        <v>1096</v>
      </c>
      <c r="C328" s="1"/>
      <c r="D328" s="1" t="s">
        <v>647</v>
      </c>
      <c r="E328" s="3" t="str">
        <f t="shared" si="95"/>
        <v>Reader</v>
      </c>
      <c r="F328" s="3"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3" t="str">
        <f t="shared" si="96"/>
        <v>2011</v>
      </c>
      <c r="H328" s="3" t="str">
        <f t="shared" si="97"/>
        <v>Reader_etal_2011</v>
      </c>
      <c r="I328" s="3" t="str">
        <f>_xlfn.LET(
_xlpm.doi,IF(C328&lt;&gt;"",C328,_xlfn.TEXTAFTER(A328,"https://doi.org/")),
SUBSTITUTE(
SUBSTITUTE(
SUBSTITUTE(
SUBSTITUTE(
_xlpm.doi,
"/","%2F"),
":","%3A"),
"&lt;","%3C"),
"&gt;","%3E")
)</f>
        <v>10.1098%2Frstb.2010.0342</v>
      </c>
      <c r="J328" s="3" t="str">
        <f t="shared" si="99"/>
        <v>Reader_etal_2011_Data</v>
      </c>
      <c r="K328" s="3" t="str">
        <f t="shared" si="110"/>
        <v>10.1098%2Frstb.2010.0342_Data</v>
      </c>
      <c r="L328" s="3" t="str">
        <f t="array" ref="L328">IFERROR(INDEX(AUTO_Public_TSV_FileList!$A$1:$A$1000,MATCH(TRUE(),EXACT(K328,IFERROR(_xlfn.TEXTBEFORE(AUTO_Public_TSV_FileList!$A$1:$A$1000,".tsv"),"")),0)),"notfound")</f>
        <v>10.1098%2Frstb.2010.0342_Data.tsv</v>
      </c>
      <c r="N328" s="1" t="s">
        <v>35</v>
      </c>
      <c r="P328" s="1" t="s">
        <v>36</v>
      </c>
      <c r="Q328" s="1"/>
      <c r="R328" s="1"/>
      <c r="V328" s="1"/>
      <c r="W328" s="1" t="s">
        <v>93</v>
      </c>
      <c r="X328" s="1" t="s">
        <v>1097</v>
      </c>
      <c r="Y328" s="1"/>
      <c r="AB328" s="1" t="s">
        <v>1098</v>
      </c>
      <c r="AC328" s="1" t="s">
        <v>1099</v>
      </c>
      <c r="AE328" s="1" t="s">
        <v>66</v>
      </c>
      <c r="AF328" s="1"/>
      <c r="AG328" s="1" t="s">
        <v>1100</v>
      </c>
    </row>
    <row r="329" spans="1:33" ht="17" customHeight="1" x14ac:dyDescent="0.2">
      <c r="A329" s="8" t="s">
        <v>1101</v>
      </c>
      <c r="D329" s="8" t="s">
        <v>81</v>
      </c>
      <c r="E329" s="10" t="str">
        <f t="shared" si="95"/>
        <v>Reep</v>
      </c>
      <c r="F329" s="3"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3" t="str">
        <f t="shared" si="96"/>
        <v>2007</v>
      </c>
      <c r="H329" s="10" t="str">
        <f t="shared" si="97"/>
        <v>Reep_etal_2007</v>
      </c>
      <c r="I329" s="10" t="str">
        <f>_xlfn.LET(_xlpm.doi,IF(C329&lt;&gt;"",C329,_xlfn.TEXTAFTER(A329,"https://doi.org/")),SUBSTITUTE(SUBSTITUTE(SUBSTITUTE(SUBSTITUTE(_xlpm.doi,"/","%2F"),":","%3A"),"&lt;","%3C"),"&gt;","%3E"))</f>
        <v>10.1159%2F000101491</v>
      </c>
      <c r="J329" s="10" t="str">
        <f t="shared" si="99"/>
        <v>Reep_etal_2007_Table1</v>
      </c>
      <c r="K329" s="3" t="str">
        <f t="shared" si="110"/>
        <v>10.1159%2F000101491_Table1</v>
      </c>
      <c r="L329" s="3" t="str">
        <f t="array" ref="L329">IFERROR(INDEX(AUTO_Public_TSV_FileList!$A$1:$A$1000,MATCH(TRUE(),EXACT(K329,IFERROR(_xlfn.TEXTBEFORE(AUTO_Public_TSV_FileList!$A$1:$A$1000,".tsv"),"")),0)),"notfound")</f>
        <v>10.1159%2F000101491_Table1.tsv</v>
      </c>
      <c r="M329" s="8" t="s">
        <v>1102</v>
      </c>
      <c r="N329" s="8" t="s">
        <v>35</v>
      </c>
      <c r="P329" s="8" t="s">
        <v>36</v>
      </c>
      <c r="R329" s="8" t="s">
        <v>1103</v>
      </c>
      <c r="S329" s="8" t="s">
        <v>1104</v>
      </c>
      <c r="T329" s="8" t="s">
        <v>1105</v>
      </c>
      <c r="V329" s="8" t="s">
        <v>1106</v>
      </c>
      <c r="W329" s="8" t="s">
        <v>1107</v>
      </c>
      <c r="X329" s="8" t="s">
        <v>1108</v>
      </c>
      <c r="Y329" s="8" t="s">
        <v>1109</v>
      </c>
      <c r="Z329" s="1" t="s">
        <v>83</v>
      </c>
      <c r="AA329" s="8" t="s">
        <v>1110</v>
      </c>
      <c r="AB329" s="8" t="s">
        <v>1111</v>
      </c>
      <c r="AC329" s="8" t="s">
        <v>1112</v>
      </c>
      <c r="AD329" s="8" t="s">
        <v>286</v>
      </c>
      <c r="AE329" s="8" t="s">
        <v>66</v>
      </c>
      <c r="AG329" s="8" t="s">
        <v>1113</v>
      </c>
    </row>
    <row r="330" spans="1:33" ht="17" customHeight="1" x14ac:dyDescent="0.2">
      <c r="A330" s="1" t="s">
        <v>1114</v>
      </c>
      <c r="D330" s="1" t="s">
        <v>81</v>
      </c>
      <c r="E330" s="3" t="str">
        <f t="shared" si="95"/>
        <v>Ribeiro</v>
      </c>
      <c r="F330" s="3"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3" t="str">
        <f t="shared" si="96"/>
        <v>2013</v>
      </c>
      <c r="H330" s="3" t="str">
        <f t="shared" si="97"/>
        <v>Ribeiro_etal_2013</v>
      </c>
      <c r="I330" s="3" t="str">
        <f>_xlfn.LET(
_xlpm.doi,IF(C330&lt;&gt;"",C330,_xlfn.TEXTAFTER(A330,"https://doi.org/")),
SUBSTITUTE(
SUBSTITUTE(
SUBSTITUTE(
SUBSTITUTE(
_xlpm.doi,
"/","%2F"),
":","%3A"),
"&lt;","%3C"),
"&gt;","%3E")
)</f>
        <v>10.3389%2Ffnana.2013.00028</v>
      </c>
      <c r="J330" s="3" t="str">
        <f t="shared" si="99"/>
        <v>Ribeiro_etal_2013_Table1</v>
      </c>
      <c r="K330" s="3" t="str">
        <f t="shared" si="110"/>
        <v>10.3389%2Ffnana.2013.00028_Table1</v>
      </c>
      <c r="L330" s="3" t="str">
        <f t="array" ref="L330">IFERROR(INDEX(AUTO_Public_TSV_FileList!$A$1:$A$1000,MATCH(TRUE(),EXACT(K330,IFERROR(_xlfn.TEXTBEFORE(AUTO_Public_TSV_FileList!$A$1:$A$1000,".tsv"),"")),0)),"notfound")</f>
        <v>10.3389%2Ffnana.2013.00028_Table1.tsv</v>
      </c>
      <c r="N330" s="1" t="s">
        <v>35</v>
      </c>
      <c r="P330" s="1" t="s">
        <v>36</v>
      </c>
      <c r="Q330" s="1"/>
      <c r="W330" s="1" t="s">
        <v>564</v>
      </c>
      <c r="X330" s="1" t="s">
        <v>1115</v>
      </c>
      <c r="AB330" s="1" t="s">
        <v>1116</v>
      </c>
      <c r="AC330" s="1" t="s">
        <v>65</v>
      </c>
      <c r="AE330" s="1" t="s">
        <v>66</v>
      </c>
      <c r="AF330" s="1"/>
      <c r="AG330" s="1" t="s">
        <v>1117</v>
      </c>
    </row>
    <row r="331" spans="1:33" ht="17" customHeight="1" x14ac:dyDescent="0.2">
      <c r="A331" s="7" t="s">
        <v>1118</v>
      </c>
      <c r="B331" s="7"/>
      <c r="C331" s="7"/>
      <c r="D331" s="7" t="s">
        <v>81</v>
      </c>
      <c r="E331" s="10" t="str">
        <f t="shared" si="95"/>
        <v>Ridgway</v>
      </c>
      <c r="F331" s="3"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1" s="3" t="str">
        <f t="shared" si="96"/>
        <v>1990</v>
      </c>
      <c r="H331" s="10" t="str">
        <f t="shared" si="97"/>
        <v>Ridgway__1990</v>
      </c>
      <c r="I331" s="10" t="str">
        <f>_xlfn.LET(_xlpm.doi,IF(C331&lt;&gt;"",C331,_xlfn.TEXTAFTER(A331,"https://doi.org/")),SUBSTITUTE(SUBSTITUTE(SUBSTITUTE(SUBSTITUTE(_xlpm.doi,"/","%2F"),":","%3A"),"&lt;","%3C"),"&gt;","%3E"))</f>
        <v>10.1016%2FB978-0-12-440280-5.50008-1</v>
      </c>
      <c r="J331" s="10" t="str">
        <f t="shared" si="99"/>
        <v>Ridgway__1990_Table1</v>
      </c>
      <c r="K331" s="10" t="str">
        <f t="shared" si="110"/>
        <v>10.1016%2FB978-0-12-440280-5.50008-1_Table1</v>
      </c>
      <c r="L331" s="3" t="str">
        <f t="array" ref="L331">IFERROR(INDEX(AUTO_Public_TSV_FileList!$A$1:$A$1000,MATCH(TRUE(),EXACT(K331,IFERROR(_xlfn.TEXTBEFORE(AUTO_Public_TSV_FileList!$A$1:$A$1000,".tsv"),"")),0)),"notfound")</f>
        <v>notfound</v>
      </c>
      <c r="M331" s="7" t="s">
        <v>1119</v>
      </c>
      <c r="N331" s="1" t="s">
        <v>35</v>
      </c>
      <c r="P331" s="7"/>
      <c r="Q331" s="7"/>
      <c r="R331" s="7"/>
      <c r="S331" s="7" t="s">
        <v>491</v>
      </c>
      <c r="T331" s="7" t="s">
        <v>492</v>
      </c>
      <c r="U331" s="7"/>
      <c r="V331" s="7" t="s">
        <v>493</v>
      </c>
      <c r="W331" s="7" t="s">
        <v>1120</v>
      </c>
      <c r="X331" s="7" t="s">
        <v>1121</v>
      </c>
      <c r="Y331" s="7"/>
      <c r="Z331" s="7"/>
      <c r="AA331" s="7" t="s">
        <v>1122</v>
      </c>
      <c r="AB331" s="7" t="s">
        <v>1123</v>
      </c>
      <c r="AD331" s="7"/>
      <c r="AE331" s="1" t="s">
        <v>51</v>
      </c>
      <c r="AF331" s="1"/>
      <c r="AG331" s="7" t="s">
        <v>1124</v>
      </c>
    </row>
    <row r="332" spans="1:33" ht="17" customHeight="1" x14ac:dyDescent="0.2">
      <c r="A332" s="1" t="s">
        <v>1125</v>
      </c>
      <c r="D332" s="1" t="s">
        <v>81</v>
      </c>
      <c r="E332" s="3" t="str">
        <f t="shared" si="95"/>
        <v>Rilling</v>
      </c>
      <c r="F332" s="3"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2" s="3" t="str">
        <f t="shared" si="96"/>
        <v>1998</v>
      </c>
      <c r="H332" s="3" t="str">
        <f t="shared" si="97"/>
        <v>Rilling_Insel_1998</v>
      </c>
      <c r="I332" s="3" t="str">
        <f t="shared" ref="I332:I366" si="111">_xlfn.LET(
_xlpm.doi,IF(C332&lt;&gt;"",C332,_xlfn.TEXTAFTER(A332,"https://doi.org/")),
SUBSTITUTE(
SUBSTITUTE(
SUBSTITUTE(
SUBSTITUTE(
_xlpm.doi,
"/","%2F"),
":","%3A"),
"&lt;","%3C"),
"&gt;","%3E")
)</f>
        <v>10.1159%2F000006575</v>
      </c>
      <c r="J332" s="3" t="str">
        <f t="shared" si="99"/>
        <v>Rilling_Insel_1998_Table1</v>
      </c>
      <c r="K332" s="3" t="str">
        <f t="shared" si="110"/>
        <v>10.1159%2F000006575_Table1</v>
      </c>
      <c r="L332" s="3" t="str">
        <f t="array" ref="L332">IFERROR(INDEX(AUTO_Public_TSV_FileList!$A$1:$A$1000,MATCH(TRUE(),EXACT(K332,IFERROR(_xlfn.TEXTBEFORE(AUTO_Public_TSV_FileList!$A$1:$A$1000,".tsv"),"")),0)),"notfound")</f>
        <v>10.1159%2F000006575_Table1.tsv</v>
      </c>
      <c r="M332" s="1" t="s">
        <v>1126</v>
      </c>
      <c r="P332" s="1" t="s">
        <v>36</v>
      </c>
      <c r="W332" s="8" t="s">
        <v>1127</v>
      </c>
      <c r="Z332" s="1" t="s">
        <v>979</v>
      </c>
      <c r="AA332" s="1" t="s">
        <v>123</v>
      </c>
      <c r="AB332" s="1" t="s">
        <v>90</v>
      </c>
      <c r="AC332" s="1" t="s">
        <v>980</v>
      </c>
      <c r="AD332" s="1" t="s">
        <v>981</v>
      </c>
      <c r="AE332" s="1" t="s">
        <v>66</v>
      </c>
      <c r="AF332" s="1"/>
    </row>
    <row r="333" spans="1:33" ht="17" customHeight="1" x14ac:dyDescent="0.2">
      <c r="A333" s="1" t="s">
        <v>1128</v>
      </c>
      <c r="D333" s="1" t="s">
        <v>81</v>
      </c>
      <c r="E333" s="3" t="str">
        <f t="shared" si="95"/>
        <v>Rilling</v>
      </c>
      <c r="F333" s="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3" s="3" t="str">
        <f t="shared" si="96"/>
        <v>1999</v>
      </c>
      <c r="H333" s="3" t="str">
        <f t="shared" si="97"/>
        <v>Rilling_Insel_1999</v>
      </c>
      <c r="I333" s="3" t="str">
        <f t="shared" si="111"/>
        <v>10.1006%2Fjhev.1999.0313</v>
      </c>
      <c r="J333" s="3" t="str">
        <f t="shared" si="99"/>
        <v>Rilling_Insel_1999_Table1</v>
      </c>
      <c r="K333" s="3" t="str">
        <f t="shared" si="110"/>
        <v>10.1006%2Fjhev.1999.0313_Table1</v>
      </c>
      <c r="L333" s="3" t="str">
        <f t="array" ref="L333">IFERROR(INDEX(AUTO_Public_TSV_FileList!$A$1:$A$1000,MATCH(TRUE(),EXACT(K333,IFERROR(_xlfn.TEXTBEFORE(AUTO_Public_TSV_FileList!$A$1:$A$1000,".tsv"),"")),0)),"notfound")</f>
        <v>10.1006%2Fjhev.1999.0313_Table1.tsv</v>
      </c>
      <c r="M333" s="1" t="s">
        <v>1129</v>
      </c>
      <c r="P333" s="1" t="s">
        <v>36</v>
      </c>
      <c r="W333" s="8" t="s">
        <v>1130</v>
      </c>
      <c r="Z333" s="1" t="s">
        <v>979</v>
      </c>
      <c r="AA333" s="1" t="s">
        <v>123</v>
      </c>
      <c r="AB333" s="1" t="s">
        <v>90</v>
      </c>
      <c r="AC333" s="1" t="s">
        <v>980</v>
      </c>
      <c r="AD333" s="1" t="s">
        <v>981</v>
      </c>
      <c r="AE333" s="1" t="s">
        <v>66</v>
      </c>
      <c r="AF333" s="1"/>
    </row>
    <row r="334" spans="1:33" ht="17" customHeight="1" x14ac:dyDescent="0.2">
      <c r="A334" s="1" t="s">
        <v>1131</v>
      </c>
      <c r="D334" s="1" t="s">
        <v>81</v>
      </c>
      <c r="E334" s="3" t="str">
        <f t="shared" si="95"/>
        <v>Ruf</v>
      </c>
      <c r="F334" s="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34" s="3" t="str">
        <f t="shared" si="96"/>
        <v>2015</v>
      </c>
      <c r="H334" s="3" t="str">
        <f t="shared" si="97"/>
        <v>Ruf_Geiser_2015</v>
      </c>
      <c r="I334" s="3" t="str">
        <f t="shared" si="111"/>
        <v>10.1111%2Fbrv.12137</v>
      </c>
      <c r="J334" s="3" t="str">
        <f t="shared" si="99"/>
        <v>Ruf_Geiser_2015_Table1</v>
      </c>
      <c r="K334" s="3" t="str">
        <f t="shared" si="110"/>
        <v>10.1111%2Fbrv.12137_Table1</v>
      </c>
      <c r="L334" s="3" t="str">
        <f t="array" ref="L334">IFERROR(INDEX(AUTO_Public_TSV_FileList!$A$1:$A$1000,MATCH(TRUE(),EXACT(K334,IFERROR(_xlfn.TEXTBEFORE(AUTO_Public_TSV_FileList!$A$1:$A$1000,".tsv"),"")),0)),"notfound")</f>
        <v>10.1111%2Fbrv.12137_Table1.tsv</v>
      </c>
      <c r="P334" s="1" t="s">
        <v>36</v>
      </c>
    </row>
    <row r="335" spans="1:33" ht="17" customHeight="1" x14ac:dyDescent="0.2">
      <c r="A335" s="1" t="s">
        <v>1490</v>
      </c>
      <c r="D335" s="1" t="s">
        <v>81</v>
      </c>
      <c r="E335" s="3" t="str">
        <f t="shared" ref="E335" si="112">SUBSTITUTE(SUBSTITUTE(_xlfn.TEXTBEFORE(A335,","), "-", ""), " ", "")</f>
        <v>Schenker</v>
      </c>
      <c r="F335" s="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3" t="str">
        <f t="shared" ref="G335" si="113">_xlfn.TEXTBEFORE(_xlfn.TEXTAFTER(A335, "("), ")")</f>
        <v>2005</v>
      </c>
      <c r="H335" s="3" t="str">
        <f t="shared" ref="H335" si="114">E335 &amp; IF(F335&lt;&gt;"", "_" &amp; F335, "_") &amp; IF(G335&lt;&gt;"", "_" &amp; G335, "_") &amp; IF(B335&lt;&gt;"", "_" &amp; B335, "")</f>
        <v>Schenker_etal_2005</v>
      </c>
      <c r="I335" s="3" t="str">
        <f t="shared" ref="I335" si="115">_xlfn.LET(
_xlpm.doi,IF(C335&lt;&gt;"",C335,_xlfn.TEXTAFTER(A335,"https://doi.org/")),
SUBSTITUTE(
SUBSTITUTE(
SUBSTITUTE(
SUBSTITUTE(
_xlpm.doi,
"/","%2F"),
":","%3A"),
"&lt;","%3C"),
"&gt;","%3E")
)</f>
        <v>10.1016%2Fj.jhevol.2005.06.004</v>
      </c>
      <c r="J335" s="3" t="str">
        <f t="shared" ref="J335" si="116">TRIM(_xlfn.TEXTJOIN("_",FALSE(),H335,(SUBSTITUTE(SUBSTITUTE(D335," ",""), "_", ""))))</f>
        <v>Schenker_etal_2005_Table1</v>
      </c>
      <c r="K335" s="3" t="str">
        <f t="shared" ref="K335" si="117">I335 &amp; "_" &amp; SUBSTITUTE(SUBSTITUTE(SUBSTITUTE(D335,CHAR(160),"")," ",""),"_","")</f>
        <v>10.1016%2Fj.jhevol.2005.06.004_Table1</v>
      </c>
      <c r="L335" s="3" t="str">
        <f t="array" ref="L335">IFERROR(INDEX(AUTO_Public_TSV_FileList!$A$1:$A$1000,MATCH(TRUE(),EXACT(K335,IFERROR(_xlfn.TEXTBEFORE(AUTO_Public_TSV_FileList!$A$1:$A$1000,".tsv"),"")),0)),"notfound")</f>
        <v>10.1016%2Fj.jhevol.2005.06.004_Table1.tsv</v>
      </c>
      <c r="M335" t="s">
        <v>1493</v>
      </c>
      <c r="P335" s="1"/>
    </row>
    <row r="336" spans="1:33" ht="17" customHeight="1" x14ac:dyDescent="0.2">
      <c r="A336" s="1" t="s">
        <v>1490</v>
      </c>
      <c r="D336" s="1" t="s">
        <v>1491</v>
      </c>
      <c r="E336" s="3" t="str">
        <f t="shared" ref="E336" si="118">SUBSTITUTE(SUBSTITUTE(_xlfn.TEXTBEFORE(A336,","), "-", ""), " ", "")</f>
        <v>Schenker</v>
      </c>
      <c r="F336" s="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3" t="str">
        <f t="shared" ref="G336" si="119">_xlfn.TEXTBEFORE(_xlfn.TEXTAFTER(A336, "("), ")")</f>
        <v>2005</v>
      </c>
      <c r="H336" s="3" t="str">
        <f t="shared" ref="H336" si="120">E336 &amp; IF(F336&lt;&gt;"", "_" &amp; F336, "_") &amp; IF(G336&lt;&gt;"", "_" &amp; G336, "_") &amp; IF(B336&lt;&gt;"", "_" &amp; B336, "")</f>
        <v>Schenker_etal_2005</v>
      </c>
      <c r="I336" s="3" t="str">
        <f t="shared" ref="I336" si="121">_xlfn.LET(
_xlpm.doi,IF(C336&lt;&gt;"",C336,_xlfn.TEXTAFTER(A336,"https://doi.org/")),
SUBSTITUTE(
SUBSTITUTE(
SUBSTITUTE(
SUBSTITUTE(
_xlpm.doi,
"/","%2F"),
":","%3A"),
"&lt;","%3C"),
"&gt;","%3E")
)</f>
        <v>10.1016%2Fj.jhevol.2005.06.004</v>
      </c>
      <c r="J336" s="3" t="str">
        <f t="shared" ref="J336" si="122">TRIM(_xlfn.TEXTJOIN("_",FALSE(),H336,(SUBSTITUTE(SUBSTITUTE(D336," ",""), "_", ""))))</f>
        <v>Schenker_etal_2005_Appendix1</v>
      </c>
      <c r="K336" s="3" t="str">
        <f t="shared" ref="K336" si="123">I336 &amp; "_" &amp; SUBSTITUTE(SUBSTITUTE(SUBSTITUTE(D336,CHAR(160),"")," ",""),"_","")</f>
        <v>10.1016%2Fj.jhevol.2005.06.004_Appendix1</v>
      </c>
      <c r="L336" s="3" t="str">
        <f t="array" ref="L336">IFERROR(INDEX(AUTO_Public_TSV_FileList!$A$1:$A$1000,MATCH(TRUE(),EXACT(K336,IFERROR(_xlfn.TEXTBEFORE(AUTO_Public_TSV_FileList!$A$1:$A$1000,".tsv"),"")),0)),"notfound")</f>
        <v>10.1016%2Fj.jhevol.2005.06.004_Appendix1.tsv</v>
      </c>
      <c r="M336" t="s">
        <v>1492</v>
      </c>
      <c r="P336" s="1"/>
    </row>
    <row r="337" spans="1:32" ht="17" customHeight="1" x14ac:dyDescent="0.2">
      <c r="A337" s="1" t="s">
        <v>1132</v>
      </c>
      <c r="D337" s="1" t="s">
        <v>1133</v>
      </c>
      <c r="E337" s="3" t="str">
        <f t="shared" si="95"/>
        <v>Schleifenbaum</v>
      </c>
      <c r="F337" s="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37" s="3" t="str">
        <f t="shared" si="96"/>
        <v>1973</v>
      </c>
      <c r="H337" s="3" t="str">
        <f t="shared" si="97"/>
        <v>Schleifenbaum__1973</v>
      </c>
      <c r="I337" s="3" t="str">
        <f t="shared" si="111"/>
        <v>10.1007%2FBF00519885</v>
      </c>
      <c r="J337" s="3" t="str">
        <f t="shared" si="99"/>
        <v>Schleifenbaum__1973_Tables1-2</v>
      </c>
      <c r="K337" s="3" t="str">
        <f t="shared" si="110"/>
        <v>10.1007%2FBF00519885_Tables1-2</v>
      </c>
      <c r="L337" s="3" t="str">
        <f t="array" ref="L337">IFERROR(INDEX(AUTO_Public_TSV_FileList!$A$1:$A$1000,MATCH(TRUE(),EXACT(K337,IFERROR(_xlfn.TEXTBEFORE(AUTO_Public_TSV_FileList!$A$1:$A$1000,".tsv"),"")),0)),"notfound")</f>
        <v>10.1007%2FBF00519885_Tables1-2.tsv</v>
      </c>
      <c r="M337" s="8" t="s">
        <v>1134</v>
      </c>
      <c r="P337" s="1" t="s">
        <v>36</v>
      </c>
      <c r="AE337" s="8" t="s">
        <v>66</v>
      </c>
    </row>
    <row r="338" spans="1:32" ht="17" customHeight="1" x14ac:dyDescent="0.2">
      <c r="A338" s="1" t="s">
        <v>1135</v>
      </c>
      <c r="D338" s="1" t="s">
        <v>1136</v>
      </c>
      <c r="E338" s="3" t="str">
        <f t="shared" si="95"/>
        <v>Schniter</v>
      </c>
      <c r="F338" s="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38" s="3" t="str">
        <f t="shared" si="96"/>
        <v>2026</v>
      </c>
      <c r="H338" s="3" t="str">
        <f t="shared" si="97"/>
        <v>Schniter_Penaherrera-Aguirre_2026</v>
      </c>
      <c r="I338" s="3" t="str">
        <f t="shared" si="111"/>
        <v>10.1007%2Fs10329-026-01271-2</v>
      </c>
      <c r="J338" s="3" t="str">
        <f t="shared" si="99"/>
        <v>Schniter_Penaherrera-Aguirre_2026_data</v>
      </c>
      <c r="K338" s="3" t="str">
        <f t="shared" si="110"/>
        <v>10.1007%2Fs10329-026-01271-2_data</v>
      </c>
      <c r="L338" s="3" t="str">
        <f t="array" ref="L338">IFERROR(INDEX(AUTO_Public_TSV_FileList!$A$1:$A$1000,MATCH(TRUE(),EXACT(K338,IFERROR(_xlfn.TEXTBEFORE(AUTO_Public_TSV_FileList!$A$1:$A$1000,".tsv"),"")),0)),"notfound")</f>
        <v>10.1007%2Fs10329-026-01271-2_data.tsv</v>
      </c>
      <c r="M338" s="1" t="s">
        <v>1136</v>
      </c>
      <c r="P338" s="1" t="s">
        <v>36</v>
      </c>
      <c r="X338" s="1" t="s">
        <v>1137</v>
      </c>
      <c r="AB338" s="1" t="s">
        <v>1138</v>
      </c>
      <c r="AE338" s="1" t="s">
        <v>66</v>
      </c>
      <c r="AF338" s="1"/>
    </row>
    <row r="339" spans="1:32" ht="17" customHeight="1" x14ac:dyDescent="0.2">
      <c r="A339" s="1" t="s">
        <v>1139</v>
      </c>
      <c r="D339" s="1" t="s">
        <v>70</v>
      </c>
      <c r="E339" s="3" t="str">
        <f t="shared" si="95"/>
        <v>Semendeferi</v>
      </c>
      <c r="F339" s="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39" s="3" t="str">
        <f t="shared" si="96"/>
        <v>2000</v>
      </c>
      <c r="H339" s="3" t="str">
        <f t="shared" si="97"/>
        <v>Semendeferi_Damasio_2000</v>
      </c>
      <c r="I339" s="3" t="str">
        <f t="shared" si="111"/>
        <v>10.1006%2Fjhev.1999.0381</v>
      </c>
      <c r="J339" s="3" t="str">
        <f t="shared" si="99"/>
        <v>Semendeferi_Damasio_2000_Table2</v>
      </c>
      <c r="K339" s="3" t="str">
        <f t="shared" si="110"/>
        <v>10.1006%2Fjhev.1999.0381_Table2</v>
      </c>
      <c r="L339" s="3" t="str">
        <f t="array" ref="L339">IFERROR(INDEX(AUTO_Public_TSV_FileList!$A$1:$A$1000,MATCH(TRUE(),EXACT(K339,IFERROR(_xlfn.TEXTBEFORE(AUTO_Public_TSV_FileList!$A$1:$A$1000,".tsv"),"")),0)),"notfound")</f>
        <v>10.1006%2Fjhev.1999.0381_Table2.tsv</v>
      </c>
      <c r="P339" s="1" t="s">
        <v>36</v>
      </c>
    </row>
    <row r="340" spans="1:32" ht="17" customHeight="1" x14ac:dyDescent="0.2">
      <c r="A340" s="1" t="s">
        <v>1140</v>
      </c>
      <c r="D340" s="1" t="s">
        <v>103</v>
      </c>
      <c r="E340" s="3" t="str">
        <f t="shared" si="95"/>
        <v>Semendeferi</v>
      </c>
      <c r="F340" s="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3" t="str">
        <f t="shared" si="96"/>
        <v>1998</v>
      </c>
      <c r="H340" s="3" t="str">
        <f t="shared" si="97"/>
        <v>Semendeferi_etal_1998</v>
      </c>
      <c r="I340" s="3" t="str">
        <f t="shared" si="111"/>
        <v>10.1002%2F(SICI)1096-8644(199806)106%3A2%3C129%3A%3AAID-AJPA3%3E3.0.CO;2-L</v>
      </c>
      <c r="J340" s="3" t="str">
        <f t="shared" si="99"/>
        <v>Semendeferi_etal_1998_TABLE2</v>
      </c>
      <c r="K340" s="3" t="str">
        <f t="shared" si="110"/>
        <v>10.1002%2F(SICI)1096-8644(199806)106%3A2%3C129%3A%3AAID-AJPA3%3E3.0.CO;2-L_TABLE2</v>
      </c>
      <c r="L340" s="3" t="str">
        <f t="array" ref="L340">IFERROR(INDEX(AUTO_Public_TSV_FileList!$A$1:$A$1000,MATCH(TRUE(),EXACT(K340,IFERROR(_xlfn.TEXTBEFORE(AUTO_Public_TSV_FileList!$A$1:$A$1000,".tsv"),"")),0)),"notfound")</f>
        <v>10.1002%2F(SICI)1096-8644(199806)106%3A2%3C129%3A%3AAID-AJPA3%3E3.0.CO;2-L_TABLE2.tsv</v>
      </c>
      <c r="M340" s="1" t="s">
        <v>1141</v>
      </c>
      <c r="P340" s="1" t="s">
        <v>36</v>
      </c>
      <c r="W340" s="1" t="s">
        <v>87</v>
      </c>
      <c r="X340" s="1" t="s">
        <v>1142</v>
      </c>
      <c r="Z340" s="1" t="s">
        <v>83</v>
      </c>
      <c r="AA340" s="1" t="s">
        <v>123</v>
      </c>
      <c r="AB340" s="1" t="s">
        <v>90</v>
      </c>
      <c r="AC340" s="1" t="s">
        <v>84</v>
      </c>
      <c r="AE340" s="1" t="s">
        <v>66</v>
      </c>
      <c r="AF340" s="1"/>
    </row>
    <row r="341" spans="1:32" ht="17" customHeight="1" x14ac:dyDescent="0.2">
      <c r="A341" s="1" t="s">
        <v>1140</v>
      </c>
      <c r="D341" s="1" t="s">
        <v>1050</v>
      </c>
      <c r="E341" s="3" t="str">
        <f t="shared" si="95"/>
        <v>Semendeferi</v>
      </c>
      <c r="F341" s="3"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3" t="str">
        <f t="shared" si="96"/>
        <v>1998</v>
      </c>
      <c r="H341" s="3" t="str">
        <f t="shared" si="97"/>
        <v>Semendeferi_etal_1998</v>
      </c>
      <c r="I341" s="3" t="str">
        <f t="shared" si="111"/>
        <v>10.1002%2F(SICI)1096-8644(199806)106%3A2%3C129%3A%3AAID-AJPA3%3E3.0.CO;2-L</v>
      </c>
      <c r="J341" s="3" t="str">
        <f t="shared" si="99"/>
        <v>Semendeferi_etal_1998_TABLE4</v>
      </c>
      <c r="K341" s="3" t="str">
        <f t="shared" si="110"/>
        <v>10.1002%2F(SICI)1096-8644(199806)106%3A2%3C129%3A%3AAID-AJPA3%3E3.0.CO;2-L_TABLE4</v>
      </c>
      <c r="L341" s="3" t="str">
        <f t="array" ref="L341">IFERROR(INDEX(AUTO_Public_TSV_FileList!$A$1:$A$1000,MATCH(TRUE(),EXACT(K341,IFERROR(_xlfn.TEXTBEFORE(AUTO_Public_TSV_FileList!$A$1:$A$1000,".tsv"),"")),0)),"notfound")</f>
        <v>10.1002%2F(SICI)1096-8644(199806)106%3A2%3C129%3A%3AAID-AJPA3%3E3.0.CO;2-L_TABLE4.tsv</v>
      </c>
      <c r="M341" s="1" t="s">
        <v>1143</v>
      </c>
      <c r="P341" s="1"/>
      <c r="W341" s="1" t="s">
        <v>87</v>
      </c>
      <c r="X341" s="1" t="s">
        <v>1142</v>
      </c>
      <c r="Z341" s="1" t="s">
        <v>83</v>
      </c>
      <c r="AA341" s="1" t="s">
        <v>123</v>
      </c>
      <c r="AB341" s="1" t="s">
        <v>90</v>
      </c>
      <c r="AC341" s="1" t="s">
        <v>84</v>
      </c>
      <c r="AE341" s="1" t="s">
        <v>66</v>
      </c>
      <c r="AF341" s="1"/>
    </row>
    <row r="342" spans="1:32" ht="17" customHeight="1" x14ac:dyDescent="0.2">
      <c r="A342" s="1" t="s">
        <v>1140</v>
      </c>
      <c r="D342" s="1" t="s">
        <v>1054</v>
      </c>
      <c r="E342" s="3" t="str">
        <f t="shared" si="95"/>
        <v>Semendeferi</v>
      </c>
      <c r="F342" s="3"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3" t="str">
        <f t="shared" si="96"/>
        <v>1998</v>
      </c>
      <c r="H342" s="3" t="str">
        <f t="shared" si="97"/>
        <v>Semendeferi_etal_1998</v>
      </c>
      <c r="I342" s="3" t="str">
        <f t="shared" si="111"/>
        <v>10.1002%2F(SICI)1096-8644(199806)106%3A2%3C129%3A%3AAID-AJPA3%3E3.0.CO;2-L</v>
      </c>
      <c r="J342" s="3" t="str">
        <f t="shared" si="99"/>
        <v>Semendeferi_etal_1998_TABLE5</v>
      </c>
      <c r="K342" s="3" t="str">
        <f t="shared" si="110"/>
        <v>10.1002%2F(SICI)1096-8644(199806)106%3A2%3C129%3A%3AAID-AJPA3%3E3.0.CO;2-L_TABLE5</v>
      </c>
      <c r="L342" s="3" t="str">
        <f t="array" ref="L342">IFERROR(INDEX(AUTO_Public_TSV_FileList!$A$1:$A$1000,MATCH(TRUE(),EXACT(K342,IFERROR(_xlfn.TEXTBEFORE(AUTO_Public_TSV_FileList!$A$1:$A$1000,".tsv"),"")),0)),"notfound")</f>
        <v>notfound</v>
      </c>
      <c r="M342" s="1" t="s">
        <v>1144</v>
      </c>
      <c r="P342" s="1"/>
      <c r="W342" s="1" t="s">
        <v>87</v>
      </c>
      <c r="X342" s="1" t="s">
        <v>1142</v>
      </c>
      <c r="Z342" s="1" t="s">
        <v>83</v>
      </c>
      <c r="AA342" s="1" t="s">
        <v>123</v>
      </c>
      <c r="AB342" s="1" t="s">
        <v>90</v>
      </c>
      <c r="AC342" s="1" t="s">
        <v>84</v>
      </c>
      <c r="AE342" s="1" t="s">
        <v>66</v>
      </c>
      <c r="AF342" s="1"/>
    </row>
    <row r="343" spans="1:32" ht="17" customHeight="1" x14ac:dyDescent="0.2">
      <c r="A343" s="1" t="s">
        <v>1145</v>
      </c>
      <c r="D343" s="1" t="s">
        <v>103</v>
      </c>
      <c r="E343" s="3" t="str">
        <f t="shared" ref="E343:E407" si="124">SUBSTITUTE(SUBSTITUTE(_xlfn.TEXTBEFORE(A343,","), "-", ""), " ", "")</f>
        <v>Semendeferi</v>
      </c>
      <c r="F343" s="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3" t="str">
        <f t="shared" ref="G343:G407" si="125">_xlfn.TEXTBEFORE(_xlfn.TEXTAFTER(A343, "("), ")")</f>
        <v>2001</v>
      </c>
      <c r="H343" s="3" t="str">
        <f t="shared" ref="H343:H407" si="126">E343 &amp; IF(F343&lt;&gt;"", "_" &amp; F343, "_") &amp; IF(G343&lt;&gt;"", "_" &amp; G343, "_") &amp; IF(B343&lt;&gt;"", "_" &amp; B343, "")</f>
        <v>Semendeferi_etal_2001</v>
      </c>
      <c r="I343" s="3" t="str">
        <f t="shared" si="111"/>
        <v>10.1002%2F1096-8644(200103)114%3A3%3C224%3A%3AAID-AJPA1022%3E3.0.CO;2-I</v>
      </c>
      <c r="J343" s="3" t="str">
        <f t="shared" ref="J343:J407" si="127">TRIM(_xlfn.TEXTJOIN("_",FALSE(),H343,(SUBSTITUTE(SUBSTITUTE(D343," ",""), "_", ""))))</f>
        <v>Semendeferi_etal_2001_TABLE2</v>
      </c>
      <c r="K343" s="3" t="str">
        <f t="shared" si="110"/>
        <v>10.1002%2F1096-8644(200103)114%3A3%3C224%3A%3AAID-AJPA1022%3E3.0.CO;2-I_TABLE2</v>
      </c>
      <c r="L343" s="3" t="str">
        <f t="array" ref="L343">IFERROR(INDEX(AUTO_Public_TSV_FileList!$A$1:$A$1000,MATCH(TRUE(),EXACT(K343,IFERROR(_xlfn.TEXTBEFORE(AUTO_Public_TSV_FileList!$A$1:$A$1000,".tsv"),"")),0)),"notfound")</f>
        <v>10.1002%2F1096-8644(200103)114%3A3%3C224%3A%3AAID-AJPA1022%3E3.0.CO;2-I_TABLE2.tsv</v>
      </c>
      <c r="M343" s="1" t="s">
        <v>1146</v>
      </c>
      <c r="P343" s="1" t="s">
        <v>36</v>
      </c>
      <c r="W343" s="1" t="s">
        <v>87</v>
      </c>
      <c r="X343" s="1" t="s">
        <v>1147</v>
      </c>
      <c r="Z343" s="1" t="s">
        <v>83</v>
      </c>
      <c r="AA343" s="1" t="s">
        <v>123</v>
      </c>
      <c r="AB343" s="1" t="s">
        <v>90</v>
      </c>
      <c r="AC343" s="1" t="s">
        <v>84</v>
      </c>
      <c r="AE343" s="1" t="s">
        <v>66</v>
      </c>
      <c r="AF343" s="1"/>
    </row>
    <row r="344" spans="1:32" ht="17" customHeight="1" x14ac:dyDescent="0.2">
      <c r="A344" s="1" t="s">
        <v>1145</v>
      </c>
      <c r="D344" s="1" t="s">
        <v>683</v>
      </c>
      <c r="E344" s="3" t="str">
        <f t="shared" si="124"/>
        <v>Semendeferi</v>
      </c>
      <c r="F344" s="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3" t="str">
        <f t="shared" si="125"/>
        <v>2001</v>
      </c>
      <c r="H344" s="3" t="str">
        <f t="shared" si="126"/>
        <v>Semendeferi_etal_2001</v>
      </c>
      <c r="I344" s="3" t="str">
        <f t="shared" si="111"/>
        <v>10.1002%2F1096-8644(200103)114%3A3%3C224%3A%3AAID-AJPA1022%3E3.0.CO;2-I</v>
      </c>
      <c r="J344" s="3" t="str">
        <f t="shared" si="127"/>
        <v>Semendeferi_etal_2001_TABLE3</v>
      </c>
      <c r="K344" s="3" t="str">
        <f t="shared" si="110"/>
        <v>10.1002%2F1096-8644(200103)114%3A3%3C224%3A%3AAID-AJPA1022%3E3.0.CO;2-I_TABLE3</v>
      </c>
      <c r="L344" s="3" t="str">
        <f t="array" ref="L344">IFERROR(INDEX(AUTO_Public_TSV_FileList!$A$1:$A$1000,MATCH(TRUE(),EXACT(K344,IFERROR(_xlfn.TEXTBEFORE(AUTO_Public_TSV_FileList!$A$1:$A$1000,".tsv"),"")),0)),"notfound")</f>
        <v>10.1002%2F1096-8644(200103)114%3A3%3C224%3A%3AAID-AJPA1022%3E3.0.CO;2-I_TABLE3.tsv</v>
      </c>
      <c r="M344" s="1" t="s">
        <v>1148</v>
      </c>
      <c r="P344" s="1"/>
      <c r="W344" s="1" t="s">
        <v>87</v>
      </c>
      <c r="X344" s="1" t="s">
        <v>1147</v>
      </c>
      <c r="Z344" s="1" t="s">
        <v>83</v>
      </c>
      <c r="AA344" s="1"/>
      <c r="AB344" s="1"/>
      <c r="AC344" s="1" t="s">
        <v>84</v>
      </c>
      <c r="AE344" s="1" t="s">
        <v>66</v>
      </c>
      <c r="AF344" s="1"/>
    </row>
    <row r="345" spans="1:32" ht="17" customHeight="1" x14ac:dyDescent="0.2">
      <c r="A345" s="1" t="s">
        <v>1145</v>
      </c>
      <c r="D345" s="1" t="s">
        <v>1050</v>
      </c>
      <c r="E345" s="3" t="str">
        <f t="shared" si="124"/>
        <v>Semendeferi</v>
      </c>
      <c r="F345" s="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3" t="str">
        <f t="shared" si="125"/>
        <v>2001</v>
      </c>
      <c r="H345" s="3" t="str">
        <f t="shared" si="126"/>
        <v>Semendeferi_etal_2001</v>
      </c>
      <c r="I345" s="3" t="str">
        <f t="shared" si="111"/>
        <v>10.1002%2F1096-8644(200103)114%3A3%3C224%3A%3AAID-AJPA1022%3E3.0.CO;2-I</v>
      </c>
      <c r="J345" s="3" t="str">
        <f t="shared" si="127"/>
        <v>Semendeferi_etal_2001_TABLE4</v>
      </c>
      <c r="K345" s="3" t="str">
        <f t="shared" si="110"/>
        <v>10.1002%2F1096-8644(200103)114%3A3%3C224%3A%3AAID-AJPA1022%3E3.0.CO;2-I_TABLE4</v>
      </c>
      <c r="L345" s="3" t="str">
        <f t="array" ref="L345">IFERROR(INDEX(AUTO_Public_TSV_FileList!$A$1:$A$1000,MATCH(TRUE(),EXACT(K345,IFERROR(_xlfn.TEXTBEFORE(AUTO_Public_TSV_FileList!$A$1:$A$1000,".tsv"),"")),0)),"notfound")</f>
        <v>notfound</v>
      </c>
      <c r="M345" s="1" t="s">
        <v>1149</v>
      </c>
      <c r="P345" s="1"/>
      <c r="W345" s="1" t="s">
        <v>87</v>
      </c>
      <c r="X345" s="1" t="s">
        <v>1147</v>
      </c>
      <c r="Z345" s="1" t="s">
        <v>83</v>
      </c>
      <c r="AC345" s="1" t="s">
        <v>84</v>
      </c>
      <c r="AE345" s="1" t="s">
        <v>66</v>
      </c>
      <c r="AF345" s="1"/>
    </row>
    <row r="346" spans="1:32" ht="17" customHeight="1" x14ac:dyDescent="0.2">
      <c r="A346" s="1" t="s">
        <v>1150</v>
      </c>
      <c r="D346" s="1" t="s">
        <v>81</v>
      </c>
      <c r="E346" s="3" t="str">
        <f t="shared" si="124"/>
        <v>Semendeferi</v>
      </c>
      <c r="F346" s="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3" t="str">
        <f t="shared" si="125"/>
        <v>2002</v>
      </c>
      <c r="H346" s="3" t="str">
        <f t="shared" si="126"/>
        <v>Semendeferi_etal_2002</v>
      </c>
      <c r="I346" s="3" t="str">
        <f t="shared" si="111"/>
        <v>10.1038%2Fnn814</v>
      </c>
      <c r="J346" s="3" t="str">
        <f t="shared" si="127"/>
        <v>Semendeferi_etal_2002_Table1</v>
      </c>
      <c r="K346" s="3" t="str">
        <f t="shared" si="110"/>
        <v>10.1038%2Fnn814_Table1</v>
      </c>
      <c r="L346" s="3" t="str">
        <f t="array" ref="L346">IFERROR(INDEX(AUTO_Public_TSV_FileList!$A$1:$A$1000,MATCH(TRUE(),EXACT(K346,IFERROR(_xlfn.TEXTBEFORE(AUTO_Public_TSV_FileList!$A$1:$A$1000,".tsv"),"")),0)),"notfound")</f>
        <v>10.1038%2Fnn814_Table1.tsv</v>
      </c>
      <c r="M346" s="1" t="s">
        <v>1151</v>
      </c>
      <c r="P346" s="1" t="s">
        <v>36</v>
      </c>
      <c r="W346" s="1" t="s">
        <v>87</v>
      </c>
      <c r="X346" s="1" t="s">
        <v>1152</v>
      </c>
      <c r="Z346" s="1" t="s">
        <v>83</v>
      </c>
      <c r="AA346" s="1" t="s">
        <v>123</v>
      </c>
      <c r="AB346" s="1" t="s">
        <v>90</v>
      </c>
      <c r="AC346" s="1" t="s">
        <v>84</v>
      </c>
      <c r="AE346" s="1" t="s">
        <v>66</v>
      </c>
      <c r="AF346" s="1"/>
    </row>
    <row r="347" spans="1:32" ht="17" customHeight="1" x14ac:dyDescent="0.2">
      <c r="A347" s="1" t="s">
        <v>1153</v>
      </c>
      <c r="D347" s="1" t="s">
        <v>314</v>
      </c>
      <c r="E347" s="3" t="str">
        <f t="shared" si="124"/>
        <v>Seymour</v>
      </c>
      <c r="F347" s="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3" t="str">
        <f t="shared" si="125"/>
        <v>2015</v>
      </c>
      <c r="H347" s="3" t="str">
        <f t="shared" si="126"/>
        <v>Seymour_etal_2015</v>
      </c>
      <c r="I347" s="3" t="str">
        <f t="shared" si="111"/>
        <v>10.1242%2Fjeb.124826</v>
      </c>
      <c r="J347" s="3" t="str">
        <f t="shared" si="127"/>
        <v>Seymour_etal_2015_TableS1</v>
      </c>
      <c r="K347" s="3" t="str">
        <f t="shared" si="110"/>
        <v>10.1242%2Fjeb.124826_TableS1</v>
      </c>
      <c r="L347" s="3" t="str">
        <f t="array" ref="L347">IFERROR(INDEX(AUTO_Public_TSV_FileList!$A$1:$A$1000,MATCH(TRUE(),EXACT(K347,IFERROR(_xlfn.TEXTBEFORE(AUTO_Public_TSV_FileList!$A$1:$A$1000,".tsv"),"")),0)),"notfound")</f>
        <v>10.1242%2Fjeb.124826_TableS1.tsv</v>
      </c>
      <c r="P347" s="1" t="s">
        <v>36</v>
      </c>
    </row>
    <row r="348" spans="1:32" ht="17" customHeight="1" x14ac:dyDescent="0.2">
      <c r="A348" s="1" t="s">
        <v>1154</v>
      </c>
      <c r="D348" s="1" t="s">
        <v>314</v>
      </c>
      <c r="E348" s="3" t="str">
        <f t="shared" si="124"/>
        <v>Seymour</v>
      </c>
      <c r="F348" s="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3" t="str">
        <f t="shared" si="125"/>
        <v>2017</v>
      </c>
      <c r="H348" s="3" t="str">
        <f t="shared" si="126"/>
        <v>Seymour_etal_2017</v>
      </c>
      <c r="I348" s="3" t="str">
        <f t="shared" si="111"/>
        <v>10.1098%2Frsos.170846</v>
      </c>
      <c r="J348" s="3" t="str">
        <f t="shared" si="127"/>
        <v>Seymour_etal_2017_TableS1</v>
      </c>
      <c r="K348" s="3" t="str">
        <f t="shared" ref="K348:K380" si="128">I348 &amp; "_" &amp; SUBSTITUTE(SUBSTITUTE(SUBSTITUTE(D348,CHAR(160),"")," ",""),"_","")</f>
        <v>10.1098%2Frsos.170846_TableS1</v>
      </c>
      <c r="L348" s="3" t="str">
        <f t="array" ref="L348">IFERROR(INDEX(AUTO_Public_TSV_FileList!$A$1:$A$1000,MATCH(TRUE(),EXACT(K348,IFERROR(_xlfn.TEXTBEFORE(AUTO_Public_TSV_FileList!$A$1:$A$1000,".tsv"),"")),0)),"notfound")</f>
        <v>10.1098%2Frsos.170846_TableS1.tsv</v>
      </c>
      <c r="P348" s="1" t="s">
        <v>36</v>
      </c>
    </row>
    <row r="349" spans="1:32" ht="17" customHeight="1" x14ac:dyDescent="0.2">
      <c r="A349" s="1" t="s">
        <v>1155</v>
      </c>
      <c r="D349" s="1" t="s">
        <v>1156</v>
      </c>
      <c r="E349" s="3" t="str">
        <f t="shared" si="124"/>
        <v>Seymour</v>
      </c>
      <c r="F349" s="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3" t="str">
        <f t="shared" si="125"/>
        <v>2019</v>
      </c>
      <c r="H349" s="3" t="str">
        <f t="shared" si="126"/>
        <v>Seymour_etal_2019</v>
      </c>
      <c r="I349" s="3" t="str">
        <f t="shared" si="111"/>
        <v>10.1098%2Frspb.2019.2208</v>
      </c>
      <c r="J349" s="3" t="str">
        <f t="shared" si="127"/>
        <v>Seymour_etal_2019_rspb20192208si002</v>
      </c>
      <c r="K349" s="3" t="str">
        <f t="shared" si="128"/>
        <v>10.1098%2Frspb.2019.2208_rspb20192208si002</v>
      </c>
      <c r="L349" s="3" t="str">
        <f t="array" ref="L349">IFERROR(INDEX(AUTO_Public_TSV_FileList!$A$1:$A$1000,MATCH(TRUE(),EXACT(K349,IFERROR(_xlfn.TEXTBEFORE(AUTO_Public_TSV_FileList!$A$1:$A$1000,".tsv"),"")),0)),"notfound")</f>
        <v>10.1098%2Frspb.2019.2208_rspb20192208si002.tsv</v>
      </c>
      <c r="P349" s="1" t="s">
        <v>36</v>
      </c>
    </row>
    <row r="350" spans="1:32" ht="17" customHeight="1" x14ac:dyDescent="0.2">
      <c r="A350" s="1" t="s">
        <v>1157</v>
      </c>
      <c r="D350" s="1" t="s">
        <v>932</v>
      </c>
      <c r="E350" s="3" t="str">
        <f t="shared" si="124"/>
        <v>Sherwood</v>
      </c>
      <c r="F350" s="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3" t="str">
        <f t="shared" si="125"/>
        <v>2004</v>
      </c>
      <c r="H350" s="3" t="str">
        <f t="shared" si="126"/>
        <v>Sherwood_etal_2004</v>
      </c>
      <c r="I350" s="3" t="str">
        <f t="shared" si="111"/>
        <v>10.1002%2Fajp.20048</v>
      </c>
      <c r="J350" s="3" t="str">
        <f t="shared" si="127"/>
        <v>Sherwood_etal_2004_TABLEI</v>
      </c>
      <c r="K350" s="3" t="str">
        <f t="shared" si="128"/>
        <v>10.1002%2Fajp.20048_TABLEI</v>
      </c>
      <c r="L350" s="3" t="str">
        <f t="array" ref="L350">IFERROR(INDEX(AUTO_Public_TSV_FileList!$A$1:$A$1000,MATCH(TRUE(),EXACT(K350,IFERROR(_xlfn.TEXTBEFORE(AUTO_Public_TSV_FileList!$A$1:$A$1000,".tsv"),"")),0)),"notfound")</f>
        <v>10.1002%2Fajp.20048_TABLEI.tsv</v>
      </c>
      <c r="M350" s="1" t="s">
        <v>1158</v>
      </c>
      <c r="P350" s="1" t="s">
        <v>36</v>
      </c>
      <c r="Z350" s="1" t="s">
        <v>979</v>
      </c>
      <c r="AA350" s="1" t="s">
        <v>123</v>
      </c>
      <c r="AB350" s="1" t="s">
        <v>90</v>
      </c>
      <c r="AC350" s="1" t="s">
        <v>1159</v>
      </c>
      <c r="AD350" s="1" t="s">
        <v>1160</v>
      </c>
      <c r="AE350" s="1" t="s">
        <v>66</v>
      </c>
      <c r="AF350" s="1"/>
    </row>
    <row r="351" spans="1:32" ht="17" customHeight="1" x14ac:dyDescent="0.2">
      <c r="A351" s="1" t="s">
        <v>1157</v>
      </c>
      <c r="B351" s="1"/>
      <c r="D351" s="1" t="s">
        <v>105</v>
      </c>
      <c r="E351" s="3" t="str">
        <f t="shared" si="124"/>
        <v>Sherwood</v>
      </c>
      <c r="F351" s="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3" t="str">
        <f t="shared" si="125"/>
        <v>2004</v>
      </c>
      <c r="H351" s="3" t="str">
        <f t="shared" si="126"/>
        <v>Sherwood_etal_2004</v>
      </c>
      <c r="I351" s="3" t="str">
        <f t="shared" si="111"/>
        <v>10.1002%2Fajp.20048</v>
      </c>
      <c r="J351" s="3" t="str">
        <f t="shared" si="127"/>
        <v>Sherwood_etal_2004_unpublishedviaDeCasien</v>
      </c>
      <c r="K351" s="3" t="str">
        <f t="shared" si="128"/>
        <v>10.1002%2Fajp.20048_unpublishedviaDeCasien</v>
      </c>
      <c r="L351" s="3" t="str">
        <f t="array" ref="L351">IFERROR(INDEX(AUTO_Public_TSV_FileList!$A$1:$A$1000,MATCH(TRUE(),EXACT(K351,IFERROR(_xlfn.TEXTBEFORE(AUTO_Public_TSV_FileList!$A$1:$A$1000,".tsv"),"")),0)),"notfound")</f>
        <v>10.1002%2Fajp.20048_unpublishedviaDeCasien.tsv</v>
      </c>
      <c r="O351" s="1" t="s">
        <v>106</v>
      </c>
      <c r="P351" s="1" t="s">
        <v>36</v>
      </c>
      <c r="Z351" s="1" t="s">
        <v>979</v>
      </c>
      <c r="AA351" s="1" t="s">
        <v>123</v>
      </c>
      <c r="AB351" s="1" t="s">
        <v>90</v>
      </c>
      <c r="AC351" s="1" t="s">
        <v>1159</v>
      </c>
      <c r="AD351" s="1" t="s">
        <v>1160</v>
      </c>
      <c r="AE351" s="1" t="s">
        <v>66</v>
      </c>
      <c r="AF351" s="1"/>
    </row>
    <row r="352" spans="1:32" ht="17" customHeight="1" x14ac:dyDescent="0.2">
      <c r="A352" s="1" t="s">
        <v>1161</v>
      </c>
      <c r="B352" s="1"/>
      <c r="D352" s="1" t="s">
        <v>81</v>
      </c>
      <c r="E352" s="3" t="str">
        <f t="shared" si="124"/>
        <v>Sherwood</v>
      </c>
      <c r="F352" s="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3" t="str">
        <f t="shared" si="125"/>
        <v>2005</v>
      </c>
      <c r="H352" s="3" t="str">
        <f t="shared" si="126"/>
        <v>Sherwood_etal_2005</v>
      </c>
      <c r="I352" s="3" t="str">
        <f t="shared" si="111"/>
        <v>10.1016%2Fj.jhevol.2004.10.003</v>
      </c>
      <c r="J352" s="3" t="str">
        <f t="shared" si="127"/>
        <v>Sherwood_etal_2005_Table1</v>
      </c>
      <c r="K352" s="3" t="str">
        <f t="shared" si="128"/>
        <v>10.1016%2Fj.jhevol.2004.10.003_Table1</v>
      </c>
      <c r="L352" s="3" t="str">
        <f t="array" ref="L352">IFERROR(INDEX(AUTO_Public_TSV_FileList!$A$1:$A$1000,MATCH(TRUE(),EXACT(K352,IFERROR(_xlfn.TEXTBEFORE(AUTO_Public_TSV_FileList!$A$1:$A$1000,".tsv"),"")),0)),"notfound")</f>
        <v>10.1016%2Fj.jhevol.2004.10.003_Table1.tsv</v>
      </c>
      <c r="M352" s="1" t="s">
        <v>1162</v>
      </c>
      <c r="N352" s="1" t="s">
        <v>35</v>
      </c>
      <c r="P352" s="1" t="s">
        <v>36</v>
      </c>
      <c r="W352" s="1" t="s">
        <v>1163</v>
      </c>
      <c r="X352" s="1" t="s">
        <v>1164</v>
      </c>
      <c r="Z352" s="1" t="s">
        <v>83</v>
      </c>
      <c r="AA352" s="1" t="s">
        <v>123</v>
      </c>
      <c r="AB352" s="1" t="s">
        <v>90</v>
      </c>
      <c r="AC352" s="1" t="s">
        <v>112</v>
      </c>
      <c r="AD352" s="1" t="s">
        <v>380</v>
      </c>
      <c r="AE352" s="1" t="s">
        <v>66</v>
      </c>
      <c r="AF352" s="1"/>
    </row>
    <row r="353" spans="1:33" ht="17" customHeight="1" x14ac:dyDescent="0.2">
      <c r="A353" s="1" t="s">
        <v>1165</v>
      </c>
      <c r="B353" s="1" t="s">
        <v>1166</v>
      </c>
      <c r="D353" s="1" t="s">
        <v>34</v>
      </c>
      <c r="E353" s="3" t="str">
        <f t="shared" si="124"/>
        <v>Sherwood</v>
      </c>
      <c r="F353" s="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3" t="str">
        <f t="shared" si="125"/>
        <v>2004</v>
      </c>
      <c r="H353" s="3" t="str">
        <f t="shared" si="126"/>
        <v>Sherwood_etal_2004_I</v>
      </c>
      <c r="I353" s="3" t="str">
        <f t="shared" si="111"/>
        <v>10.1159%2F000075672</v>
      </c>
      <c r="J353" s="3" t="str">
        <f t="shared" si="127"/>
        <v>Sherwood_etal_2004_I_Table4</v>
      </c>
      <c r="K353" s="3" t="str">
        <f t="shared" si="128"/>
        <v>10.1159%2F000075672_Table4</v>
      </c>
      <c r="L353" s="3" t="str">
        <f t="array" ref="L353">IFERROR(INDEX(AUTO_Public_TSV_FileList!$A$1:$A$1000,MATCH(TRUE(),EXACT(K353,IFERROR(_xlfn.TEXTBEFORE(AUTO_Public_TSV_FileList!$A$1:$A$1000,".tsv"),"")),0)),"notfound")</f>
        <v>10.1159%2F000075672_Table4.tsv</v>
      </c>
      <c r="M353" s="1" t="s">
        <v>1167</v>
      </c>
      <c r="N353" s="1" t="s">
        <v>40</v>
      </c>
      <c r="P353" s="1" t="s">
        <v>36</v>
      </c>
      <c r="W353" s="1" t="s">
        <v>93</v>
      </c>
      <c r="X353" s="1" t="s">
        <v>1168</v>
      </c>
      <c r="Z353" s="1" t="s">
        <v>83</v>
      </c>
      <c r="AB353" s="1" t="s">
        <v>1169</v>
      </c>
      <c r="AC353" s="1" t="s">
        <v>84</v>
      </c>
      <c r="AD353" s="1" t="s">
        <v>84</v>
      </c>
      <c r="AE353" s="1" t="s">
        <v>66</v>
      </c>
      <c r="AF353" s="1"/>
    </row>
    <row r="354" spans="1:33" ht="17" customHeight="1" x14ac:dyDescent="0.2">
      <c r="A354" s="1" t="s">
        <v>1165</v>
      </c>
      <c r="B354" s="1" t="s">
        <v>1166</v>
      </c>
      <c r="D354" s="1" t="s">
        <v>74</v>
      </c>
      <c r="E354" s="3" t="str">
        <f t="shared" si="124"/>
        <v>Sherwood</v>
      </c>
      <c r="F354" s="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3" t="str">
        <f t="shared" si="125"/>
        <v>2004</v>
      </c>
      <c r="H354" s="3" t="str">
        <f t="shared" si="126"/>
        <v>Sherwood_etal_2004_I</v>
      </c>
      <c r="I354" s="3" t="str">
        <f t="shared" si="111"/>
        <v>10.1159%2F000075672</v>
      </c>
      <c r="J354" s="3" t="str">
        <f t="shared" si="127"/>
        <v>Sherwood_etal_2004_I_Table5</v>
      </c>
      <c r="K354" s="3" t="str">
        <f t="shared" si="128"/>
        <v>10.1159%2F000075672_Table5</v>
      </c>
      <c r="L354" s="3" t="str">
        <f t="array" ref="L354">IFERROR(INDEX(AUTO_Public_TSV_FileList!$A$1:$A$1000,MATCH(TRUE(),EXACT(K354,IFERROR(_xlfn.TEXTBEFORE(AUTO_Public_TSV_FileList!$A$1:$A$1000,".tsv"),"")),0)),"notfound")</f>
        <v>10.1159%2F000075672_Table5.tsv</v>
      </c>
      <c r="M354" s="1" t="s">
        <v>1170</v>
      </c>
      <c r="N354" s="1" t="s">
        <v>40</v>
      </c>
      <c r="P354" s="1" t="s">
        <v>36</v>
      </c>
      <c r="W354" s="1" t="s">
        <v>93</v>
      </c>
      <c r="X354" s="1" t="s">
        <v>1168</v>
      </c>
      <c r="Z354" s="1" t="s">
        <v>83</v>
      </c>
      <c r="AA354" s="1" t="s">
        <v>123</v>
      </c>
      <c r="AB354" s="1" t="s">
        <v>1169</v>
      </c>
      <c r="AD354" s="1" t="s">
        <v>380</v>
      </c>
      <c r="AE354" s="1" t="s">
        <v>66</v>
      </c>
      <c r="AF354" s="1"/>
    </row>
    <row r="355" spans="1:33" ht="17" customHeight="1" x14ac:dyDescent="0.2">
      <c r="A355" s="1" t="s">
        <v>1171</v>
      </c>
      <c r="D355" s="1" t="s">
        <v>81</v>
      </c>
      <c r="E355" s="3" t="str">
        <f t="shared" si="124"/>
        <v>Sherwood</v>
      </c>
      <c r="F355" s="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3" t="str">
        <f t="shared" si="125"/>
        <v>2003</v>
      </c>
      <c r="H355" s="3" t="str">
        <f t="shared" si="126"/>
        <v>Sherwood_etal_2003</v>
      </c>
      <c r="I355" s="3" t="str">
        <f t="shared" si="111"/>
        <v>10.1159%2F000068879</v>
      </c>
      <c r="J355" s="3" t="str">
        <f t="shared" si="127"/>
        <v>Sherwood_etal_2003_Table1</v>
      </c>
      <c r="K355" s="3" t="str">
        <f t="shared" si="128"/>
        <v>10.1159%2F000068879_Table1</v>
      </c>
      <c r="L355" s="3" t="str">
        <f t="array" ref="L355">IFERROR(INDEX(AUTO_Public_TSV_FileList!$A$1:$A$1000,MATCH(TRUE(),EXACT(K355,IFERROR(_xlfn.TEXTBEFORE(AUTO_Public_TSV_FileList!$A$1:$A$1000,".tsv"),"")),0)),"notfound")</f>
        <v>10.1159%2F000068879_Table1.tsv</v>
      </c>
      <c r="M355" s="1" t="s">
        <v>1172</v>
      </c>
    </row>
    <row r="356" spans="1:33" ht="17" customHeight="1" x14ac:dyDescent="0.2">
      <c r="A356" s="1" t="s">
        <v>1173</v>
      </c>
      <c r="D356" s="1" t="s">
        <v>314</v>
      </c>
      <c r="E356" s="3" t="str">
        <f t="shared" si="124"/>
        <v>Shultz</v>
      </c>
      <c r="F356" s="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56" s="3" t="str">
        <f t="shared" si="125"/>
        <v>2010</v>
      </c>
      <c r="H356" s="3" t="str">
        <f t="shared" si="126"/>
        <v>Shultz_Dunbar_2010</v>
      </c>
      <c r="I356" s="3" t="str">
        <f t="shared" si="111"/>
        <v>10.1037%2Fa0018894</v>
      </c>
      <c r="J356" s="3" t="str">
        <f t="shared" si="127"/>
        <v>Shultz_Dunbar_2010_TableS1</v>
      </c>
      <c r="K356" s="3" t="str">
        <f t="shared" si="128"/>
        <v>10.1037%2Fa0018894_TableS1</v>
      </c>
      <c r="L356" s="3" t="str">
        <f t="array" ref="L356">IFERROR(INDEX(AUTO_Public_TSV_FileList!$A$1:$A$1000,MATCH(TRUE(),EXACT(K356,IFERROR(_xlfn.TEXTBEFORE(AUTO_Public_TSV_FileList!$A$1:$A$1000,".tsv"),"")),0)),"notfound")</f>
        <v>notfound</v>
      </c>
      <c r="M356" s="7" t="s">
        <v>1174</v>
      </c>
      <c r="N356" s="1" t="s">
        <v>35</v>
      </c>
      <c r="O356" s="7" t="s">
        <v>1175</v>
      </c>
      <c r="P356" s="7"/>
      <c r="Q356" s="7"/>
      <c r="R356" s="7" t="s">
        <v>1176</v>
      </c>
      <c r="S356" s="7" t="s">
        <v>1177</v>
      </c>
      <c r="T356" s="7" t="s">
        <v>1178</v>
      </c>
      <c r="U356" s="7"/>
      <c r="V356" s="7" t="s">
        <v>326</v>
      </c>
      <c r="W356" s="7" t="s">
        <v>93</v>
      </c>
      <c r="X356" s="7" t="s">
        <v>1179</v>
      </c>
      <c r="Y356" s="7" t="s">
        <v>1180</v>
      </c>
      <c r="Z356" s="7"/>
      <c r="AA356" s="7"/>
      <c r="AB356" s="7" t="s">
        <v>1181</v>
      </c>
      <c r="AD356" s="7"/>
      <c r="AE356" s="7" t="s">
        <v>172</v>
      </c>
      <c r="AF356" s="7"/>
      <c r="AG356" s="7" t="s">
        <v>1182</v>
      </c>
    </row>
    <row r="357" spans="1:33" ht="17" customHeight="1" x14ac:dyDescent="0.2">
      <c r="A357" s="1" t="s">
        <v>1481</v>
      </c>
      <c r="D357" s="1" t="s">
        <v>1482</v>
      </c>
      <c r="E357" s="3" t="str">
        <f t="shared" ref="E357" si="129">SUBSTITUTE(SUBSTITUTE(_xlfn.TEXTBEFORE(A357,","), "-", ""), " ", "")</f>
        <v>Siegel</v>
      </c>
      <c r="F357" s="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57" s="3" t="str">
        <f t="shared" ref="G357" si="130">_xlfn.TEXTBEFORE(_xlfn.TEXTAFTER(A357, "("), ")")</f>
        <v>2022</v>
      </c>
      <c r="H357" s="3" t="str">
        <f t="shared" ref="H357" si="131">E357 &amp; IF(F357&lt;&gt;"", "_" &amp; F357, "_") &amp; IF(G357&lt;&gt;"", "_" &amp; G357, "_") &amp; IF(B357&lt;&gt;"", "_" &amp; B357, "")</f>
        <v>Siegel__2022</v>
      </c>
      <c r="I357" s="3" t="str">
        <f t="shared" ref="I357" si="132">_xlfn.LET(
_xlpm.doi,IF(C357&lt;&gt;"",C357,_xlfn.TEXTAFTER(A357,"https://doi.org/")),
SUBSTITUTE(
SUBSTITUTE(
SUBSTITUTE(
SUBSTITUTE(
_xlpm.doi,
"/","%2F"),
":","%3A"),
"&lt;","%3C"),
"&gt;","%3E")
)</f>
        <v>10.1016%2FS1474-4422(22)00210-1</v>
      </c>
      <c r="J357" s="3" t="str">
        <f t="shared" ref="J357" si="133">TRIM(_xlfn.TEXTJOIN("_",FALSE(),H357,(SUBSTITUTE(SUBSTITUTE(D357," ",""), "_", ""))))</f>
        <v>Siegel__2022_Appendix</v>
      </c>
      <c r="K357" s="3" t="str">
        <f t="shared" ref="K357" si="134">I357 &amp; "_" &amp; SUBSTITUTE(SUBSTITUTE(SUBSTITUTE(D357,CHAR(160),"")," ",""),"_","")</f>
        <v>10.1016%2FS1474-4422(22)00210-1_Appendix</v>
      </c>
      <c r="L357" s="3" t="str">
        <f t="array" ref="L357">IFERROR(INDEX(AUTO_Public_TSV_FileList!$A$1:$A$1000,MATCH(TRUE(),EXACT(K357,IFERROR(_xlfn.TEXTBEFORE(AUTO_Public_TSV_FileList!$A$1:$A$1000,".tsv"),"")),0)),"notfound")</f>
        <v>notfound</v>
      </c>
      <c r="M357" s="7" t="s">
        <v>1483</v>
      </c>
      <c r="N357" s="5"/>
      <c r="O357" s="6"/>
      <c r="P357" s="6"/>
      <c r="Q357" s="6"/>
      <c r="R357" s="6"/>
      <c r="S357" s="6"/>
      <c r="T357" s="6"/>
      <c r="U357" s="6"/>
      <c r="V357" s="6"/>
      <c r="W357" s="7"/>
      <c r="X357" s="7"/>
      <c r="Y357" s="6"/>
      <c r="Z357" s="7"/>
      <c r="AA357" s="7"/>
      <c r="AB357" s="7"/>
      <c r="AD357" s="6"/>
      <c r="AE357" s="7"/>
      <c r="AF357" s="7"/>
      <c r="AG357" s="6"/>
    </row>
    <row r="358" spans="1:33" ht="17" customHeight="1" x14ac:dyDescent="0.2">
      <c r="A358" s="1" t="s">
        <v>1183</v>
      </c>
      <c r="C358" s="1"/>
      <c r="D358" s="1" t="s">
        <v>1184</v>
      </c>
      <c r="E358" s="3" t="str">
        <f t="shared" si="124"/>
        <v>Smaers</v>
      </c>
      <c r="F358" s="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58" s="3" t="str">
        <f t="shared" si="125"/>
        <v>2013</v>
      </c>
      <c r="H358" s="3" t="str">
        <f t="shared" si="126"/>
        <v>Smaers_Soligo_2013</v>
      </c>
      <c r="I358" s="3" t="str">
        <f t="shared" si="111"/>
        <v>10.1098%2Frspb.2013.0269</v>
      </c>
      <c r="J358" s="3" t="str">
        <f t="shared" si="127"/>
        <v>Smaers_Soligo_2013_Supplement</v>
      </c>
      <c r="K358" s="3" t="str">
        <f t="shared" si="128"/>
        <v>10.1098%2Frspb.2013.0269_Supplement</v>
      </c>
      <c r="L358" s="3" t="str">
        <f t="array" ref="L358">IFERROR(INDEX(AUTO_Public_TSV_FileList!$A$1:$A$1000,MATCH(TRUE(),EXACT(K358,IFERROR(_xlfn.TEXTBEFORE(AUTO_Public_TSV_FileList!$A$1:$A$1000,".tsv"),"")),0)),"notfound")</f>
        <v>notfound</v>
      </c>
      <c r="M358" s="1" t="s">
        <v>1185</v>
      </c>
      <c r="W358" s="1" t="s">
        <v>1130</v>
      </c>
      <c r="X358" s="1" t="s">
        <v>1186</v>
      </c>
      <c r="Z358" s="1" t="s">
        <v>83</v>
      </c>
      <c r="AA358" s="1" t="s">
        <v>123</v>
      </c>
      <c r="AB358" s="1" t="s">
        <v>90</v>
      </c>
      <c r="AE358" s="1" t="s">
        <v>51</v>
      </c>
      <c r="AF358" s="1"/>
    </row>
    <row r="359" spans="1:33" ht="17" customHeight="1" x14ac:dyDescent="0.2">
      <c r="A359" s="8" t="s">
        <v>1187</v>
      </c>
      <c r="D359" s="1" t="s">
        <v>1188</v>
      </c>
      <c r="E359" s="3" t="str">
        <f t="shared" si="124"/>
        <v>Smaers</v>
      </c>
      <c r="F359" s="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3" t="str">
        <f t="shared" si="125"/>
        <v>2017</v>
      </c>
      <c r="H359" s="3" t="str">
        <f t="shared" si="126"/>
        <v>Smaers_etal_2017</v>
      </c>
      <c r="I359" s="3" t="str">
        <f t="shared" si="111"/>
        <v>10.1016%2Fj.cub.2017.01.020</v>
      </c>
      <c r="J359" s="3" t="str">
        <f t="shared" si="127"/>
        <v>Smaers_etal_2017_TableS1part1</v>
      </c>
      <c r="K359" s="3" t="str">
        <f t="shared" si="128"/>
        <v>10.1016%2Fj.cub.2017.01.020_TableS1part1</v>
      </c>
      <c r="L359" s="3" t="str">
        <f t="array" ref="L359">IFERROR(INDEX(AUTO_Public_TSV_FileList!$A$1:$A$1000,MATCH(TRUE(),EXACT(K359,IFERROR(_xlfn.TEXTBEFORE(AUTO_Public_TSV_FileList!$A$1:$A$1000,".tsv"),"")),0)),"notfound")</f>
        <v>10.1016%2Fj.cub.2017.01.020_TableS1part1.tsv</v>
      </c>
      <c r="M359" s="1" t="s">
        <v>1189</v>
      </c>
      <c r="N359" s="1" t="s">
        <v>35</v>
      </c>
      <c r="O359" s="1" t="s">
        <v>1190</v>
      </c>
      <c r="P359" s="1" t="s">
        <v>36</v>
      </c>
      <c r="S359" s="1" t="s">
        <v>1191</v>
      </c>
      <c r="W359" s="1" t="s">
        <v>93</v>
      </c>
      <c r="X359" s="1" t="s">
        <v>1192</v>
      </c>
      <c r="Z359" s="1" t="s">
        <v>83</v>
      </c>
      <c r="AA359" s="1" t="s">
        <v>123</v>
      </c>
      <c r="AB359" s="1" t="s">
        <v>90</v>
      </c>
      <c r="AC359" s="1" t="s">
        <v>1193</v>
      </c>
      <c r="AD359" s="1" t="s">
        <v>380</v>
      </c>
      <c r="AE359" s="1" t="s">
        <v>51</v>
      </c>
      <c r="AF359" s="1"/>
    </row>
    <row r="360" spans="1:33" ht="17" customHeight="1" x14ac:dyDescent="0.2">
      <c r="A360" s="8" t="s">
        <v>1187</v>
      </c>
      <c r="D360" s="1" t="s">
        <v>1194</v>
      </c>
      <c r="E360" s="3" t="str">
        <f t="shared" si="124"/>
        <v>Smaers</v>
      </c>
      <c r="F360" s="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3" t="str">
        <f t="shared" si="125"/>
        <v>2017</v>
      </c>
      <c r="H360" s="3" t="str">
        <f t="shared" si="126"/>
        <v>Smaers_etal_2017</v>
      </c>
      <c r="I360" s="3" t="str">
        <f t="shared" si="111"/>
        <v>10.1016%2Fj.cub.2017.01.020</v>
      </c>
      <c r="J360" s="3" t="str">
        <f t="shared" si="127"/>
        <v>Smaers_etal_2017_TableS1part2</v>
      </c>
      <c r="K360" s="3" t="str">
        <f t="shared" si="128"/>
        <v>10.1016%2Fj.cub.2017.01.020_TableS1part2</v>
      </c>
      <c r="L360" s="3" t="str">
        <f t="array" ref="L360">IFERROR(INDEX(AUTO_Public_TSV_FileList!$A$1:$A$1000,MATCH(TRUE(),EXACT(K360,IFERROR(_xlfn.TEXTBEFORE(AUTO_Public_TSV_FileList!$A$1:$A$1000,".tsv"),"")),0)),"notfound")</f>
        <v>10.1016%2Fj.cub.2017.01.020_TableS1part2.tsv</v>
      </c>
      <c r="M360" s="1" t="s">
        <v>1189</v>
      </c>
      <c r="N360" s="1" t="s">
        <v>35</v>
      </c>
      <c r="O360" s="1" t="s">
        <v>1195</v>
      </c>
      <c r="P360" s="1" t="s">
        <v>36</v>
      </c>
      <c r="S360" s="1" t="s">
        <v>1191</v>
      </c>
      <c r="W360" s="1" t="s">
        <v>93</v>
      </c>
      <c r="X360" s="1" t="s">
        <v>1192</v>
      </c>
      <c r="Z360" s="1" t="s">
        <v>83</v>
      </c>
      <c r="AA360" s="1" t="s">
        <v>123</v>
      </c>
      <c r="AB360" s="1" t="s">
        <v>90</v>
      </c>
      <c r="AC360" s="1" t="s">
        <v>1193</v>
      </c>
      <c r="AD360" s="1" t="s">
        <v>380</v>
      </c>
      <c r="AE360" s="1" t="s">
        <v>51</v>
      </c>
      <c r="AF360" s="1"/>
    </row>
    <row r="361" spans="1:33" ht="17" customHeight="1" x14ac:dyDescent="0.2">
      <c r="A361" s="1" t="s">
        <v>1196</v>
      </c>
      <c r="D361" s="1" t="s">
        <v>81</v>
      </c>
      <c r="E361" s="3" t="str">
        <f t="shared" si="124"/>
        <v>Smaers</v>
      </c>
      <c r="F361" s="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3" t="str">
        <f t="shared" si="125"/>
        <v>2010</v>
      </c>
      <c r="H361" s="3" t="str">
        <f t="shared" si="126"/>
        <v>Smaers_etal_2010</v>
      </c>
      <c r="I361" s="3" t="str">
        <f t="shared" si="111"/>
        <v>10.1371%2Fjournal.pone.0009123</v>
      </c>
      <c r="J361" s="3" t="str">
        <f t="shared" si="127"/>
        <v>Smaers_etal_2010_Table1</v>
      </c>
      <c r="K361" s="3" t="str">
        <f t="shared" si="128"/>
        <v>10.1371%2Fjournal.pone.0009123_Table1</v>
      </c>
      <c r="L361" s="3" t="str">
        <f t="array" ref="L361">IFERROR(INDEX(AUTO_Public_TSV_FileList!$A$1:$A$1000,MATCH(TRUE(),EXACT(K361,IFERROR(_xlfn.TEXTBEFORE(AUTO_Public_TSV_FileList!$A$1:$A$1000,".tsv"),"")),0)),"notfound")</f>
        <v>10.1371%2Fjournal.pone.0009123_Table1.tsv</v>
      </c>
      <c r="M361" s="1" t="s">
        <v>1197</v>
      </c>
      <c r="P361" s="8" t="s">
        <v>36</v>
      </c>
    </row>
    <row r="362" spans="1:33" ht="17" customHeight="1" x14ac:dyDescent="0.2">
      <c r="A362" s="1" t="s">
        <v>1198</v>
      </c>
      <c r="D362" s="1" t="s">
        <v>254</v>
      </c>
      <c r="E362" s="3" t="str">
        <f t="shared" si="124"/>
        <v>Smaers</v>
      </c>
      <c r="F362" s="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3" t="str">
        <f t="shared" si="125"/>
        <v>2011</v>
      </c>
      <c r="H362" s="3" t="str">
        <f t="shared" si="126"/>
        <v>Smaers_etal_2011</v>
      </c>
      <c r="I362" s="3" t="str">
        <f t="shared" si="111"/>
        <v>10.1159%2F000323671</v>
      </c>
      <c r="J362" s="3" t="str">
        <f t="shared" si="127"/>
        <v>Smaers_etal_2011_SupplementaryTable1</v>
      </c>
      <c r="K362" s="3" t="str">
        <f t="shared" si="128"/>
        <v>10.1159%2F000323671_SupplementaryTable1</v>
      </c>
      <c r="L362" s="3" t="str">
        <f t="array" ref="L362">IFERROR(INDEX(AUTO_Public_TSV_FileList!$A$1:$A$1000,MATCH(TRUE(),EXACT(K362,IFERROR(_xlfn.TEXTBEFORE(AUTO_Public_TSV_FileList!$A$1:$A$1000,".tsv"),"")),0)),"notfound")</f>
        <v>10.1159%2F000323671_SupplementaryTable1.tsv</v>
      </c>
      <c r="N362" s="1" t="s">
        <v>35</v>
      </c>
      <c r="P362" s="8" t="s">
        <v>36</v>
      </c>
      <c r="W362" s="1" t="s">
        <v>93</v>
      </c>
      <c r="X362" s="1" t="s">
        <v>1199</v>
      </c>
      <c r="Z362" s="1" t="s">
        <v>83</v>
      </c>
      <c r="AA362" s="1" t="s">
        <v>123</v>
      </c>
      <c r="AB362" s="1" t="s">
        <v>90</v>
      </c>
      <c r="AD362" s="1" t="s">
        <v>380</v>
      </c>
      <c r="AE362" s="1" t="s">
        <v>51</v>
      </c>
      <c r="AF362" s="1"/>
    </row>
    <row r="363" spans="1:33" ht="17" customHeight="1" x14ac:dyDescent="0.2">
      <c r="A363" s="1" t="s">
        <v>1198</v>
      </c>
      <c r="D363" s="1" t="s">
        <v>1200</v>
      </c>
      <c r="E363" s="3" t="str">
        <f t="shared" si="124"/>
        <v>Smaers</v>
      </c>
      <c r="F363" s="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3" t="str">
        <f t="shared" si="125"/>
        <v>2011</v>
      </c>
      <c r="H363" s="3" t="str">
        <f t="shared" si="126"/>
        <v>Smaers_etal_2011</v>
      </c>
      <c r="I363" s="3" t="str">
        <f t="shared" si="111"/>
        <v>10.1159%2F000323671</v>
      </c>
      <c r="J363" s="3" t="str">
        <f t="shared" si="127"/>
        <v>Smaers_etal_2011_SupplementaryTable2</v>
      </c>
      <c r="K363" s="3" t="str">
        <f t="shared" si="128"/>
        <v>10.1159%2F000323671_SupplementaryTable2</v>
      </c>
      <c r="L363" s="3" t="str">
        <f t="array" ref="L363">IFERROR(INDEX(AUTO_Public_TSV_FileList!$A$1:$A$1000,MATCH(TRUE(),EXACT(K363,IFERROR(_xlfn.TEXTBEFORE(AUTO_Public_TSV_FileList!$A$1:$A$1000,".tsv"),"")),0)),"notfound")</f>
        <v>10.1159%2F000323671_SupplementaryTable2.tsv</v>
      </c>
      <c r="N363" s="1" t="s">
        <v>35</v>
      </c>
      <c r="P363" s="8" t="s">
        <v>36</v>
      </c>
      <c r="W363" s="1" t="s">
        <v>93</v>
      </c>
      <c r="X363" s="1" t="s">
        <v>1199</v>
      </c>
      <c r="Z363" s="1" t="s">
        <v>83</v>
      </c>
      <c r="AA363" s="1" t="s">
        <v>123</v>
      </c>
      <c r="AB363" s="1" t="s">
        <v>90</v>
      </c>
      <c r="AD363" s="1" t="s">
        <v>380</v>
      </c>
      <c r="AE363" s="1" t="s">
        <v>51</v>
      </c>
      <c r="AF363" s="1"/>
    </row>
    <row r="364" spans="1:33" ht="17" customHeight="1" x14ac:dyDescent="0.2">
      <c r="A364" s="1" t="s">
        <v>1201</v>
      </c>
      <c r="C364" s="1"/>
      <c r="D364" s="1" t="s">
        <v>1202</v>
      </c>
      <c r="E364" s="3" t="str">
        <f t="shared" si="124"/>
        <v>Smaers</v>
      </c>
      <c r="F364" s="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3" t="str">
        <f t="shared" si="125"/>
        <v>2018</v>
      </c>
      <c r="H364" s="3" t="str">
        <f t="shared" si="126"/>
        <v>Smaers_etal_2018</v>
      </c>
      <c r="I364" s="3" t="str">
        <f t="shared" si="111"/>
        <v>10.7554%2FeLife.35696</v>
      </c>
      <c r="J364" s="3" t="str">
        <f t="shared" si="127"/>
        <v>Smaers_etal_2018_Figure2-data1</v>
      </c>
      <c r="K364" s="3" t="str">
        <f t="shared" si="128"/>
        <v>10.7554%2FeLife.35696_Figure2-data1</v>
      </c>
      <c r="L364" s="3" t="str">
        <f t="array" ref="L364">IFERROR(INDEX(AUTO_Public_TSV_FileList!$A$1:$A$1000,MATCH(TRUE(),EXACT(K364,IFERROR(_xlfn.TEXTBEFORE(AUTO_Public_TSV_FileList!$A$1:$A$1000,".tsv"),"")),0)),"notfound")</f>
        <v>10.7554%2FeLife.35696_Figure2-data1.tsv</v>
      </c>
      <c r="M364" s="1" t="s">
        <v>1203</v>
      </c>
      <c r="P364" s="8" t="s">
        <v>36</v>
      </c>
      <c r="W364" s="1" t="s">
        <v>131</v>
      </c>
      <c r="X364" s="1" t="s">
        <v>1204</v>
      </c>
      <c r="Z364" s="1" t="s">
        <v>83</v>
      </c>
      <c r="AA364" s="1" t="s">
        <v>123</v>
      </c>
      <c r="AB364" s="1" t="s">
        <v>90</v>
      </c>
      <c r="AD364" s="1" t="s">
        <v>380</v>
      </c>
      <c r="AE364" s="1" t="s">
        <v>51</v>
      </c>
      <c r="AF364" s="1"/>
    </row>
    <row r="365" spans="1:33" ht="17" customHeight="1" x14ac:dyDescent="0.2">
      <c r="A365" s="1" t="s">
        <v>1205</v>
      </c>
      <c r="C365" s="1"/>
      <c r="D365" s="1" t="s">
        <v>81</v>
      </c>
      <c r="E365" s="3" t="str">
        <f t="shared" si="124"/>
        <v>Stephan</v>
      </c>
      <c r="F365" s="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65" s="3" t="str">
        <f t="shared" si="125"/>
        <v>1970</v>
      </c>
      <c r="H365" s="3" t="str">
        <f t="shared" si="126"/>
        <v>Stephan_Pirlot_1970</v>
      </c>
      <c r="I365" s="3" t="str">
        <f t="shared" si="111"/>
        <v>10.1111%2Fj.1439-0469.1970.tb00876.x</v>
      </c>
      <c r="J365" s="3" t="str">
        <f t="shared" si="127"/>
        <v>Stephan_Pirlot_1970_Table1</v>
      </c>
      <c r="K365" s="3" t="str">
        <f t="shared" si="128"/>
        <v>10.1111%2Fj.1439-0469.1970.tb00876.x_Table1</v>
      </c>
      <c r="L365" s="3" t="str">
        <f t="array" ref="L365">IFERROR(INDEX(AUTO_Public_TSV_FileList!$A$1:$A$1000,MATCH(TRUE(),EXACT(K365,IFERROR(_xlfn.TEXTBEFORE(AUTO_Public_TSV_FileList!$A$1:$A$1000,".tsv"),"")),0)),"notfound")</f>
        <v>10.1111%2Fj.1439-0469.1970.tb00876.x_Table1.tsv</v>
      </c>
      <c r="M365" s="7" t="s">
        <v>1206</v>
      </c>
      <c r="N365" s="1" t="s">
        <v>35</v>
      </c>
      <c r="P365" s="7"/>
      <c r="Q365" s="7"/>
      <c r="R365" s="7" t="s">
        <v>1207</v>
      </c>
      <c r="S365" s="7" t="s">
        <v>1208</v>
      </c>
      <c r="T365" s="7" t="s">
        <v>1209</v>
      </c>
      <c r="U365" s="7"/>
      <c r="W365" s="7" t="s">
        <v>131</v>
      </c>
      <c r="X365" s="7" t="s">
        <v>1210</v>
      </c>
      <c r="Y365" s="7" t="s">
        <v>1211</v>
      </c>
      <c r="Z365" s="7" t="s">
        <v>83</v>
      </c>
      <c r="AA365" s="7" t="s">
        <v>1212</v>
      </c>
      <c r="AB365" s="7" t="s">
        <v>90</v>
      </c>
      <c r="AC365" s="7" t="s">
        <v>112</v>
      </c>
      <c r="AD365" s="7" t="s">
        <v>112</v>
      </c>
      <c r="AE365" s="7" t="s">
        <v>66</v>
      </c>
      <c r="AF365" s="7"/>
      <c r="AG365" s="7" t="s">
        <v>1213</v>
      </c>
    </row>
    <row r="366" spans="1:33" ht="17" customHeight="1" x14ac:dyDescent="0.2">
      <c r="A366" s="1" t="s">
        <v>1214</v>
      </c>
      <c r="C366" s="1" t="s">
        <v>1215</v>
      </c>
      <c r="D366" s="1" t="s">
        <v>81</v>
      </c>
      <c r="E366" s="3" t="str">
        <f t="shared" si="124"/>
        <v>Stephan</v>
      </c>
      <c r="F366" s="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3" t="str">
        <f t="shared" si="125"/>
        <v>1982</v>
      </c>
      <c r="H366" s="3" t="str">
        <f t="shared" si="126"/>
        <v>Stephan_etal_1982</v>
      </c>
      <c r="I366" s="3" t="str">
        <f t="shared" si="111"/>
        <v>PMID%3A7161483</v>
      </c>
      <c r="J366" s="3" t="str">
        <f t="shared" si="127"/>
        <v>Stephan_etal_1982_Table1</v>
      </c>
      <c r="K366" s="3" t="str">
        <f t="shared" si="128"/>
        <v>PMID%3A7161483_Table1</v>
      </c>
      <c r="L366" s="3" t="str">
        <f t="array" ref="L366">IFERROR(INDEX(AUTO_Public_TSV_FileList!$A$1:$A$1000,MATCH(TRUE(),EXACT(K366,IFERROR(_xlfn.TEXTBEFORE(AUTO_Public_TSV_FileList!$A$1:$A$1000,".tsv"),"")),0)),"notfound")</f>
        <v>PMID%3A7161483_Table1.tsv</v>
      </c>
      <c r="M366" s="1" t="s">
        <v>1216</v>
      </c>
      <c r="N366" s="1" t="s">
        <v>35</v>
      </c>
      <c r="P366" s="1" t="s">
        <v>36</v>
      </c>
      <c r="W366" s="1" t="s">
        <v>110</v>
      </c>
      <c r="X366" s="1" t="s">
        <v>165</v>
      </c>
      <c r="Z366" s="1" t="s">
        <v>83</v>
      </c>
      <c r="AA366" s="1" t="s">
        <v>123</v>
      </c>
      <c r="AB366" s="1" t="s">
        <v>90</v>
      </c>
      <c r="AC366" s="1" t="s">
        <v>112</v>
      </c>
      <c r="AD366" s="1" t="s">
        <v>112</v>
      </c>
      <c r="AE366" s="1" t="s">
        <v>66</v>
      </c>
      <c r="AF366" s="1"/>
    </row>
    <row r="367" spans="1:33" ht="17" customHeight="1" x14ac:dyDescent="0.2">
      <c r="A367" s="1" t="s">
        <v>1217</v>
      </c>
      <c r="C367" s="1" t="s">
        <v>1218</v>
      </c>
      <c r="D367" s="1" t="s">
        <v>58</v>
      </c>
      <c r="E367" s="3" t="str">
        <f t="shared" si="124"/>
        <v>Stephan</v>
      </c>
      <c r="F367" s="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3" t="str">
        <f t="shared" si="125"/>
        <v>1988</v>
      </c>
      <c r="H367" s="3" t="str">
        <f t="shared" si="126"/>
        <v>Stephan_etal_1988</v>
      </c>
      <c r="I367" s="3" t="str">
        <f t="shared" ref="I367:I398" si="135">_xlfn.LET(
_xlpm.doi,IF(C367&lt;&gt;"",C367,_xlfn.TEXTAFTER(A367,"https://doi.org/")),
SUBSTITUTE(
SUBSTITUTE(
SUBSTITUTE(
SUBSTITUTE(
_xlpm.doi,
"/","%2F"),
":","%3A"),
"&lt;","%3C"),
"&gt;","%3E")
)</f>
        <v>ISBN%3A0845140000</v>
      </c>
      <c r="J367" s="3" t="str">
        <f t="shared" si="127"/>
        <v>Stephan_etal_1988_TABLE1</v>
      </c>
      <c r="K367" s="3" t="str">
        <f t="shared" si="128"/>
        <v>ISBN%3A0845140000_TABLE1</v>
      </c>
      <c r="L367" s="3" t="str">
        <f t="array" ref="L367">IFERROR(INDEX(AUTO_Public_TSV_FileList!$A$1:$A$1000,MATCH(TRUE(),EXACT(K367,IFERROR(_xlfn.TEXTBEFORE(AUTO_Public_TSV_FileList!$A$1:$A$1000,".tsv"),"")),0)),"notfound")</f>
        <v>ISBN%3A0845140000_TABLE1.tsv</v>
      </c>
      <c r="M367" s="1" t="s">
        <v>1219</v>
      </c>
      <c r="P367" s="8" t="s">
        <v>36</v>
      </c>
    </row>
    <row r="368" spans="1:33" ht="17" customHeight="1" x14ac:dyDescent="0.2">
      <c r="A368" s="1" t="s">
        <v>1220</v>
      </c>
      <c r="C368" s="1"/>
      <c r="D368" s="1" t="s">
        <v>126</v>
      </c>
      <c r="E368" s="3" t="str">
        <f t="shared" si="124"/>
        <v>Stephan</v>
      </c>
      <c r="F368" s="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3" t="str">
        <f t="shared" si="125"/>
        <v>1991</v>
      </c>
      <c r="H368" s="3" t="str">
        <f t="shared" si="126"/>
        <v>Stephan_etal_1991</v>
      </c>
      <c r="I368" s="3" t="str">
        <f t="shared" si="135"/>
        <v>10.1007%2F978-1-4613-9124-1</v>
      </c>
      <c r="J368" s="3" t="str">
        <f t="shared" si="127"/>
        <v>Stephan_etal_1991_Table10</v>
      </c>
      <c r="K368" s="3" t="str">
        <f t="shared" si="128"/>
        <v>10.1007%2F978-1-4613-9124-1_Table10</v>
      </c>
      <c r="L368" s="3" t="str">
        <f t="array" ref="L368">IFERROR(INDEX(AUTO_Public_TSV_FileList!$A$1:$A$1000,MATCH(TRUE(),EXACT(K368,IFERROR(_xlfn.TEXTBEFORE(AUTO_Public_TSV_FileList!$A$1:$A$1000,".tsv"),"")),0)),"notfound")</f>
        <v>notfound</v>
      </c>
      <c r="M368" s="1" t="s">
        <v>1221</v>
      </c>
      <c r="W368" s="1"/>
      <c r="X368" s="1"/>
      <c r="Z368" s="1"/>
      <c r="AA368" s="1"/>
      <c r="AB368" s="1"/>
      <c r="AD368" s="1"/>
      <c r="AE368" s="1"/>
      <c r="AF368" s="1"/>
    </row>
    <row r="369" spans="1:32" ht="17" customHeight="1" x14ac:dyDescent="0.2">
      <c r="A369" s="1" t="s">
        <v>1220</v>
      </c>
      <c r="C369" s="1"/>
      <c r="D369" s="1" t="s">
        <v>127</v>
      </c>
      <c r="E369" s="3" t="str">
        <f t="shared" si="124"/>
        <v>Stephan</v>
      </c>
      <c r="F369" s="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3" t="str">
        <f t="shared" si="125"/>
        <v>1991</v>
      </c>
      <c r="H369" s="3" t="str">
        <f t="shared" si="126"/>
        <v>Stephan_etal_1991</v>
      </c>
      <c r="I369" s="3" t="str">
        <f t="shared" si="135"/>
        <v>10.1007%2F978-1-4613-9124-1</v>
      </c>
      <c r="J369" s="3" t="str">
        <f t="shared" si="127"/>
        <v>Stephan_etal_1991_Table13</v>
      </c>
      <c r="K369" s="3" t="str">
        <f t="shared" si="128"/>
        <v>10.1007%2F978-1-4613-9124-1_Table13</v>
      </c>
      <c r="L369" s="3" t="str">
        <f t="array" ref="L369">IFERROR(INDEX(AUTO_Public_TSV_FileList!$A$1:$A$1000,MATCH(TRUE(),EXACT(K369,IFERROR(_xlfn.TEXTBEFORE(AUTO_Public_TSV_FileList!$A$1:$A$1000,".tsv"),"")),0)),"notfound")</f>
        <v>notfound</v>
      </c>
      <c r="M369" s="1" t="s">
        <v>1222</v>
      </c>
      <c r="W369" s="1"/>
      <c r="X369" s="1"/>
      <c r="Z369" s="1"/>
      <c r="AA369" s="1"/>
      <c r="AB369" s="1"/>
      <c r="AD369" s="1"/>
      <c r="AE369" s="1"/>
      <c r="AF369" s="1"/>
    </row>
    <row r="370" spans="1:32" ht="17" customHeight="1" x14ac:dyDescent="0.2">
      <c r="A370" s="1" t="s">
        <v>1220</v>
      </c>
      <c r="C370" s="1"/>
      <c r="D370" s="1" t="s">
        <v>134</v>
      </c>
      <c r="E370" s="3" t="str">
        <f t="shared" si="124"/>
        <v>Stephan</v>
      </c>
      <c r="F370" s="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3" t="str">
        <f t="shared" si="125"/>
        <v>1991</v>
      </c>
      <c r="H370" s="3" t="str">
        <f t="shared" si="126"/>
        <v>Stephan_etal_1991</v>
      </c>
      <c r="I370" s="3" t="str">
        <f t="shared" si="135"/>
        <v>10.1007%2F978-1-4613-9124-1</v>
      </c>
      <c r="J370" s="3" t="str">
        <f t="shared" si="127"/>
        <v>Stephan_etal_1991_Table16</v>
      </c>
      <c r="K370" s="3" t="str">
        <f t="shared" si="128"/>
        <v>10.1007%2F978-1-4613-9124-1_Table16</v>
      </c>
      <c r="L370" s="3" t="str">
        <f t="array" ref="L370">IFERROR(INDEX(AUTO_Public_TSV_FileList!$A$1:$A$1000,MATCH(TRUE(),EXACT(K370,IFERROR(_xlfn.TEXTBEFORE(AUTO_Public_TSV_FileList!$A$1:$A$1000,".tsv"),"")),0)),"notfound")</f>
        <v>notfound</v>
      </c>
      <c r="M370" s="1" t="s">
        <v>1223</v>
      </c>
      <c r="W370" s="1"/>
      <c r="X370" s="1"/>
      <c r="Z370" s="1"/>
      <c r="AA370" s="1"/>
      <c r="AB370" s="1"/>
      <c r="AD370" s="1"/>
      <c r="AE370" s="1"/>
      <c r="AF370" s="1"/>
    </row>
    <row r="371" spans="1:32" ht="17" customHeight="1" x14ac:dyDescent="0.2">
      <c r="A371" s="1" t="s">
        <v>1220</v>
      </c>
      <c r="C371" s="1"/>
      <c r="D371" s="1" t="s">
        <v>138</v>
      </c>
      <c r="E371" s="3" t="str">
        <f t="shared" si="124"/>
        <v>Stephan</v>
      </c>
      <c r="F371" s="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3" t="str">
        <f t="shared" si="125"/>
        <v>1991</v>
      </c>
      <c r="H371" s="3" t="str">
        <f t="shared" si="126"/>
        <v>Stephan_etal_1991</v>
      </c>
      <c r="I371" s="3" t="str">
        <f t="shared" si="135"/>
        <v>10.1007%2F978-1-4613-9124-1</v>
      </c>
      <c r="J371" s="3" t="str">
        <f t="shared" si="127"/>
        <v>Stephan_etal_1991_Table19</v>
      </c>
      <c r="K371" s="3" t="str">
        <f t="shared" si="128"/>
        <v>10.1007%2F978-1-4613-9124-1_Table19</v>
      </c>
      <c r="L371" s="3" t="str">
        <f t="array" ref="L371">IFERROR(INDEX(AUTO_Public_TSV_FileList!$A$1:$A$1000,MATCH(TRUE(),EXACT(K371,IFERROR(_xlfn.TEXTBEFORE(AUTO_Public_TSV_FileList!$A$1:$A$1000,".tsv"),"")),0)),"notfound")</f>
        <v>notfound</v>
      </c>
      <c r="M371" s="1" t="s">
        <v>1224</v>
      </c>
      <c r="W371" s="1"/>
      <c r="X371" s="1"/>
      <c r="Z371" s="1"/>
      <c r="AA371" s="1"/>
      <c r="AB371" s="1"/>
      <c r="AD371" s="1"/>
      <c r="AE371" s="1"/>
      <c r="AF371" s="1"/>
    </row>
    <row r="372" spans="1:32" ht="15" customHeight="1" x14ac:dyDescent="0.2">
      <c r="A372" s="1" t="s">
        <v>1220</v>
      </c>
      <c r="C372" s="1"/>
      <c r="D372" s="1" t="s">
        <v>70</v>
      </c>
      <c r="E372" s="3" t="str">
        <f t="shared" si="124"/>
        <v>Stephan</v>
      </c>
      <c r="F372" s="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3" t="str">
        <f t="shared" si="125"/>
        <v>1991</v>
      </c>
      <c r="H372" s="3" t="str">
        <f t="shared" si="126"/>
        <v>Stephan_etal_1991</v>
      </c>
      <c r="I372" s="3" t="str">
        <f t="shared" si="135"/>
        <v>10.1007%2F978-1-4613-9124-1</v>
      </c>
      <c r="J372" s="3" t="str">
        <f t="shared" si="127"/>
        <v>Stephan_etal_1991_Table2</v>
      </c>
      <c r="K372" s="3" t="str">
        <f t="shared" si="128"/>
        <v>10.1007%2F978-1-4613-9124-1_Table2</v>
      </c>
      <c r="L372" s="3" t="str">
        <f t="array" ref="L372">IFERROR(INDEX(AUTO_Public_TSV_FileList!$A$1:$A$1000,MATCH(TRUE(),EXACT(K372,IFERROR(_xlfn.TEXTBEFORE(AUTO_Public_TSV_FileList!$A$1:$A$1000,".tsv"),"")),0)),"notfound")</f>
        <v>notfound</v>
      </c>
      <c r="M372" s="1" t="s">
        <v>1225</v>
      </c>
      <c r="W372" s="1"/>
      <c r="X372" s="1"/>
      <c r="Z372" s="1"/>
      <c r="AA372" s="1"/>
      <c r="AB372" s="1"/>
      <c r="AD372" s="1"/>
      <c r="AE372" s="1"/>
      <c r="AF372" s="1"/>
    </row>
    <row r="373" spans="1:32" ht="15.75" customHeight="1" x14ac:dyDescent="0.2">
      <c r="A373" s="1" t="s">
        <v>1220</v>
      </c>
      <c r="C373" s="1"/>
      <c r="D373" s="1" t="s">
        <v>146</v>
      </c>
      <c r="E373" s="3" t="str">
        <f t="shared" si="124"/>
        <v>Stephan</v>
      </c>
      <c r="F373" s="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3" t="str">
        <f t="shared" si="125"/>
        <v>1991</v>
      </c>
      <c r="H373" s="3" t="str">
        <f t="shared" si="126"/>
        <v>Stephan_etal_1991</v>
      </c>
      <c r="I373" s="3" t="str">
        <f t="shared" si="135"/>
        <v>10.1007%2F978-1-4613-9124-1</v>
      </c>
      <c r="J373" s="3" t="str">
        <f t="shared" si="127"/>
        <v>Stephan_etal_1991_Table22</v>
      </c>
      <c r="K373" s="3" t="str">
        <f t="shared" si="128"/>
        <v>10.1007%2F978-1-4613-9124-1_Table22</v>
      </c>
      <c r="L373" s="3" t="str">
        <f t="array" ref="L373">IFERROR(INDEX(AUTO_Public_TSV_FileList!$A$1:$A$1000,MATCH(TRUE(),EXACT(K373,IFERROR(_xlfn.TEXTBEFORE(AUTO_Public_TSV_FileList!$A$1:$A$1000,".tsv"),"")),0)),"notfound")</f>
        <v>notfound</v>
      </c>
      <c r="M373" s="1" t="s">
        <v>1226</v>
      </c>
      <c r="W373" s="1"/>
      <c r="X373" s="1"/>
      <c r="Z373" s="1"/>
      <c r="AA373" s="1"/>
      <c r="AB373" s="1"/>
      <c r="AD373" s="1"/>
      <c r="AE373" s="1"/>
      <c r="AF373" s="1"/>
    </row>
    <row r="374" spans="1:32" ht="15.75" customHeight="1" x14ac:dyDescent="0.2">
      <c r="A374" s="1" t="s">
        <v>1220</v>
      </c>
      <c r="C374" s="1"/>
      <c r="D374" s="1" t="s">
        <v>150</v>
      </c>
      <c r="E374" s="3" t="str">
        <f t="shared" si="124"/>
        <v>Stephan</v>
      </c>
      <c r="F374" s="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3" t="str">
        <f t="shared" si="125"/>
        <v>1991</v>
      </c>
      <c r="H374" s="3" t="str">
        <f t="shared" si="126"/>
        <v>Stephan_etal_1991</v>
      </c>
      <c r="I374" s="3" t="str">
        <f t="shared" si="135"/>
        <v>10.1007%2F978-1-4613-9124-1</v>
      </c>
      <c r="J374" s="3" t="str">
        <f t="shared" si="127"/>
        <v>Stephan_etal_1991_Table25</v>
      </c>
      <c r="K374" s="3" t="str">
        <f t="shared" si="128"/>
        <v>10.1007%2F978-1-4613-9124-1_Table25</v>
      </c>
      <c r="L374" s="3" t="str">
        <f t="array" ref="L374">IFERROR(INDEX(AUTO_Public_TSV_FileList!$A$1:$A$1000,MATCH(TRUE(),EXACT(K374,IFERROR(_xlfn.TEXTBEFORE(AUTO_Public_TSV_FileList!$A$1:$A$1000,".tsv"),"")),0)),"notfound")</f>
        <v>notfound</v>
      </c>
      <c r="M374" s="1" t="s">
        <v>1227</v>
      </c>
      <c r="W374" s="1"/>
      <c r="X374" s="1"/>
      <c r="Z374" s="1"/>
      <c r="AA374" s="1"/>
      <c r="AB374" s="1"/>
      <c r="AD374" s="1"/>
      <c r="AE374" s="1"/>
      <c r="AF374" s="1"/>
    </row>
    <row r="375" spans="1:32" ht="15.75" customHeight="1" x14ac:dyDescent="0.2">
      <c r="A375" s="1" t="s">
        <v>1220</v>
      </c>
      <c r="C375" s="1"/>
      <c r="D375" s="1" t="s">
        <v>154</v>
      </c>
      <c r="E375" s="3" t="str">
        <f t="shared" si="124"/>
        <v>Stephan</v>
      </c>
      <c r="F375" s="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3" t="str">
        <f t="shared" si="125"/>
        <v>1991</v>
      </c>
      <c r="H375" s="3" t="str">
        <f t="shared" si="126"/>
        <v>Stephan_etal_1991</v>
      </c>
      <c r="I375" s="3" t="str">
        <f t="shared" si="135"/>
        <v>10.1007%2F978-1-4613-9124-1</v>
      </c>
      <c r="J375" s="3" t="str">
        <f t="shared" si="127"/>
        <v>Stephan_etal_1991_Table28</v>
      </c>
      <c r="K375" s="3" t="str">
        <f t="shared" si="128"/>
        <v>10.1007%2F978-1-4613-9124-1_Table28</v>
      </c>
      <c r="L375" s="3" t="str">
        <f t="array" ref="L375">IFERROR(INDEX(AUTO_Public_TSV_FileList!$A$1:$A$1000,MATCH(TRUE(),EXACT(K375,IFERROR(_xlfn.TEXTBEFORE(AUTO_Public_TSV_FileList!$A$1:$A$1000,".tsv"),"")),0)),"notfound")</f>
        <v>notfound</v>
      </c>
      <c r="M375" s="1" t="s">
        <v>1228</v>
      </c>
      <c r="W375" s="1"/>
      <c r="X375" s="1"/>
      <c r="Z375" s="1"/>
      <c r="AA375" s="1"/>
      <c r="AB375" s="1"/>
      <c r="AD375" s="1"/>
      <c r="AE375" s="1"/>
      <c r="AF375" s="1"/>
    </row>
    <row r="376" spans="1:32" ht="15.75" customHeight="1" x14ac:dyDescent="0.2">
      <c r="A376" s="1" t="s">
        <v>1220</v>
      </c>
      <c r="C376" s="1"/>
      <c r="D376" s="1" t="s">
        <v>1229</v>
      </c>
      <c r="E376" s="3" t="str">
        <f t="shared" si="124"/>
        <v>Stephan</v>
      </c>
      <c r="F376" s="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3" t="str">
        <f t="shared" si="125"/>
        <v>1991</v>
      </c>
      <c r="H376" s="3" t="str">
        <f t="shared" si="126"/>
        <v>Stephan_etal_1991</v>
      </c>
      <c r="I376" s="3" t="str">
        <f t="shared" si="135"/>
        <v>10.1007%2F978-1-4613-9124-1</v>
      </c>
      <c r="J376" s="3" t="str">
        <f t="shared" si="127"/>
        <v>Stephan_etal_1991_Table31</v>
      </c>
      <c r="K376" s="3" t="str">
        <f t="shared" si="128"/>
        <v>10.1007%2F978-1-4613-9124-1_Table31</v>
      </c>
      <c r="L376" s="3" t="str">
        <f t="array" ref="L376">IFERROR(INDEX(AUTO_Public_TSV_FileList!$A$1:$A$1000,MATCH(TRUE(),EXACT(K376,IFERROR(_xlfn.TEXTBEFORE(AUTO_Public_TSV_FileList!$A$1:$A$1000,".tsv"),"")),0)),"notfound")</f>
        <v>notfound</v>
      </c>
      <c r="M376" s="1" t="s">
        <v>1230</v>
      </c>
      <c r="W376" s="1"/>
      <c r="X376" s="1"/>
      <c r="Z376" s="1"/>
      <c r="AA376" s="1"/>
      <c r="AB376" s="1"/>
      <c r="AD376" s="1"/>
      <c r="AE376" s="1"/>
      <c r="AF376" s="1"/>
    </row>
    <row r="377" spans="1:32" ht="15.75" customHeight="1" x14ac:dyDescent="0.2">
      <c r="A377" s="1" t="s">
        <v>1220</v>
      </c>
      <c r="C377" s="1"/>
      <c r="D377" s="1" t="s">
        <v>1231</v>
      </c>
      <c r="E377" s="3" t="str">
        <f t="shared" si="124"/>
        <v>Stephan</v>
      </c>
      <c r="F377" s="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3" t="str">
        <f t="shared" si="125"/>
        <v>1991</v>
      </c>
      <c r="H377" s="3" t="str">
        <f t="shared" si="126"/>
        <v>Stephan_etal_1991</v>
      </c>
      <c r="I377" s="3" t="str">
        <f t="shared" si="135"/>
        <v>10.1007%2F978-1-4613-9124-1</v>
      </c>
      <c r="J377" s="3" t="str">
        <f t="shared" si="127"/>
        <v>Stephan_etal_1991_Table34</v>
      </c>
      <c r="K377" s="3" t="str">
        <f t="shared" si="128"/>
        <v>10.1007%2F978-1-4613-9124-1_Table34</v>
      </c>
      <c r="L377" s="3" t="str">
        <f t="array" ref="L377">IFERROR(INDEX(AUTO_Public_TSV_FileList!$A$1:$A$1000,MATCH(TRUE(),EXACT(K377,IFERROR(_xlfn.TEXTBEFORE(AUTO_Public_TSV_FileList!$A$1:$A$1000,".tsv"),"")),0)),"notfound")</f>
        <v>notfound</v>
      </c>
      <c r="M377" s="1" t="s">
        <v>1232</v>
      </c>
      <c r="W377" s="1"/>
      <c r="X377" s="1"/>
      <c r="Z377" s="1"/>
      <c r="AA377" s="1"/>
      <c r="AB377" s="1"/>
      <c r="AD377" s="1"/>
      <c r="AE377" s="1"/>
      <c r="AF377" s="1"/>
    </row>
    <row r="378" spans="1:32" ht="15.75" customHeight="1" x14ac:dyDescent="0.2">
      <c r="A378" s="1" t="s">
        <v>1220</v>
      </c>
      <c r="C378" s="1"/>
      <c r="D378" s="1" t="s">
        <v>1233</v>
      </c>
      <c r="E378" s="3" t="str">
        <f t="shared" si="124"/>
        <v>Stephan</v>
      </c>
      <c r="F378" s="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3" t="str">
        <f t="shared" si="125"/>
        <v>1991</v>
      </c>
      <c r="H378" s="3" t="str">
        <f t="shared" si="126"/>
        <v>Stephan_etal_1991</v>
      </c>
      <c r="I378" s="3" t="str">
        <f t="shared" si="135"/>
        <v>10.1007%2F978-1-4613-9124-1</v>
      </c>
      <c r="J378" s="3" t="str">
        <f t="shared" si="127"/>
        <v>Stephan_etal_1991_Table37</v>
      </c>
      <c r="K378" s="3" t="str">
        <f t="shared" si="128"/>
        <v>10.1007%2F978-1-4613-9124-1_Table37</v>
      </c>
      <c r="L378" s="3" t="str">
        <f t="array" ref="L378">IFERROR(INDEX(AUTO_Public_TSV_FileList!$A$1:$A$1000,MATCH(TRUE(),EXACT(K378,IFERROR(_xlfn.TEXTBEFORE(AUTO_Public_TSV_FileList!$A$1:$A$1000,".tsv"),"")),0)),"notfound")</f>
        <v>notfound</v>
      </c>
      <c r="M378" s="1" t="s">
        <v>1234</v>
      </c>
      <c r="W378" s="1"/>
      <c r="X378" s="1"/>
      <c r="Z378" s="1"/>
      <c r="AA378" s="1"/>
      <c r="AB378" s="1"/>
      <c r="AD378" s="1"/>
      <c r="AE378" s="1"/>
      <c r="AF378" s="1"/>
    </row>
    <row r="379" spans="1:32" ht="15.75" customHeight="1" x14ac:dyDescent="0.2">
      <c r="A379" s="1" t="s">
        <v>1220</v>
      </c>
      <c r="C379" s="1"/>
      <c r="D379" s="1" t="s">
        <v>1235</v>
      </c>
      <c r="E379" s="3" t="str">
        <f t="shared" si="124"/>
        <v>Stephan</v>
      </c>
      <c r="F379" s="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3" t="str">
        <f t="shared" si="125"/>
        <v>1991</v>
      </c>
      <c r="H379" s="3" t="str">
        <f t="shared" si="126"/>
        <v>Stephan_etal_1991</v>
      </c>
      <c r="I379" s="3" t="str">
        <f t="shared" si="135"/>
        <v>10.1007%2F978-1-4613-9124-1</v>
      </c>
      <c r="J379" s="3" t="str">
        <f t="shared" si="127"/>
        <v>Stephan_etal_1991_Table40</v>
      </c>
      <c r="K379" s="3" t="str">
        <f t="shared" si="128"/>
        <v>10.1007%2F978-1-4613-9124-1_Table40</v>
      </c>
      <c r="L379" s="3" t="str">
        <f t="array" ref="L379">IFERROR(INDEX(AUTO_Public_TSV_FileList!$A$1:$A$1000,MATCH(TRUE(),EXACT(K379,IFERROR(_xlfn.TEXTBEFORE(AUTO_Public_TSV_FileList!$A$1:$A$1000,".tsv"),"")),0)),"notfound")</f>
        <v>notfound</v>
      </c>
      <c r="M379" s="1" t="s">
        <v>1236</v>
      </c>
      <c r="W379" s="1"/>
      <c r="X379" s="1"/>
      <c r="Z379" s="1"/>
      <c r="AA379" s="1"/>
      <c r="AB379" s="1"/>
      <c r="AD379" s="1"/>
      <c r="AE379" s="1"/>
      <c r="AF379" s="1"/>
    </row>
    <row r="380" spans="1:32" ht="15.75" customHeight="1" x14ac:dyDescent="0.2">
      <c r="A380" s="1" t="s">
        <v>1220</v>
      </c>
      <c r="C380" s="1"/>
      <c r="D380" s="1" t="s">
        <v>1237</v>
      </c>
      <c r="E380" s="3" t="str">
        <f t="shared" si="124"/>
        <v>Stephan</v>
      </c>
      <c r="F380" s="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3" t="str">
        <f t="shared" si="125"/>
        <v>1991</v>
      </c>
      <c r="H380" s="3" t="str">
        <f t="shared" si="126"/>
        <v>Stephan_etal_1991</v>
      </c>
      <c r="I380" s="3" t="str">
        <f t="shared" si="135"/>
        <v>10.1007%2F978-1-4613-9124-1</v>
      </c>
      <c r="J380" s="3" t="str">
        <f t="shared" si="127"/>
        <v>Stephan_etal_1991_Table43</v>
      </c>
      <c r="K380" s="3" t="str">
        <f t="shared" si="128"/>
        <v>10.1007%2F978-1-4613-9124-1_Table43</v>
      </c>
      <c r="L380" s="3" t="str">
        <f t="array" ref="L380">IFERROR(INDEX(AUTO_Public_TSV_FileList!$A$1:$A$1000,MATCH(TRUE(),EXACT(K380,IFERROR(_xlfn.TEXTBEFORE(AUTO_Public_TSV_FileList!$A$1:$A$1000,".tsv"),"")),0)),"notfound")</f>
        <v>notfound</v>
      </c>
      <c r="M380" s="1" t="s">
        <v>1238</v>
      </c>
      <c r="W380" s="1"/>
      <c r="X380" s="1"/>
      <c r="Z380" s="1"/>
      <c r="AA380" s="1"/>
      <c r="AB380" s="1"/>
      <c r="AD380" s="1"/>
      <c r="AE380" s="1"/>
      <c r="AF380" s="1"/>
    </row>
    <row r="381" spans="1:32" ht="15.75" customHeight="1" x14ac:dyDescent="0.2">
      <c r="A381" s="1" t="s">
        <v>1220</v>
      </c>
      <c r="C381" s="1"/>
      <c r="D381" s="1" t="s">
        <v>1239</v>
      </c>
      <c r="E381" s="3" t="str">
        <f t="shared" si="124"/>
        <v>Stephan</v>
      </c>
      <c r="F381" s="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3" t="str">
        <f t="shared" si="125"/>
        <v>1991</v>
      </c>
      <c r="H381" s="3" t="str">
        <f t="shared" si="126"/>
        <v>Stephan_etal_1991</v>
      </c>
      <c r="I381" s="3" t="str">
        <f t="shared" si="135"/>
        <v>10.1007%2F978-1-4613-9124-1</v>
      </c>
      <c r="J381" s="3" t="str">
        <f t="shared" si="127"/>
        <v>Stephan_etal_1991_Table46</v>
      </c>
      <c r="K381" s="3" t="str">
        <f t="shared" ref="K381:K412" si="136">I381 &amp; "_" &amp; SUBSTITUTE(SUBSTITUTE(SUBSTITUTE(D381,CHAR(160),"")," ",""),"_","")</f>
        <v>10.1007%2F978-1-4613-9124-1_Table46</v>
      </c>
      <c r="L381" s="3" t="str">
        <f t="array" ref="L381">IFERROR(INDEX(AUTO_Public_TSV_FileList!$A$1:$A$1000,MATCH(TRUE(),EXACT(K381,IFERROR(_xlfn.TEXTBEFORE(AUTO_Public_TSV_FileList!$A$1:$A$1000,".tsv"),"")),0)),"notfound")</f>
        <v>notfound</v>
      </c>
      <c r="M381" s="1" t="s">
        <v>1240</v>
      </c>
      <c r="W381" s="1"/>
      <c r="X381" s="1"/>
      <c r="Z381" s="1"/>
      <c r="AA381" s="1"/>
      <c r="AB381" s="1"/>
      <c r="AD381" s="1"/>
      <c r="AE381" s="1"/>
      <c r="AF381" s="1"/>
    </row>
    <row r="382" spans="1:32" ht="15.75" customHeight="1" x14ac:dyDescent="0.2">
      <c r="A382" s="1" t="s">
        <v>1220</v>
      </c>
      <c r="C382" s="1"/>
      <c r="D382" s="1" t="s">
        <v>1241</v>
      </c>
      <c r="E382" s="3" t="str">
        <f t="shared" si="124"/>
        <v>Stephan</v>
      </c>
      <c r="F382" s="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3" t="str">
        <f t="shared" si="125"/>
        <v>1991</v>
      </c>
      <c r="H382" s="3" t="str">
        <f t="shared" si="126"/>
        <v>Stephan_etal_1991</v>
      </c>
      <c r="I382" s="3" t="str">
        <f t="shared" si="135"/>
        <v>10.1007%2F978-1-4613-9124-1</v>
      </c>
      <c r="J382" s="3" t="str">
        <f t="shared" si="127"/>
        <v>Stephan_etal_1991_Table49</v>
      </c>
      <c r="K382" s="3" t="str">
        <f t="shared" si="136"/>
        <v>10.1007%2F978-1-4613-9124-1_Table49</v>
      </c>
      <c r="L382" s="3" t="str">
        <f t="array" ref="L382">IFERROR(INDEX(AUTO_Public_TSV_FileList!$A$1:$A$1000,MATCH(TRUE(),EXACT(K382,IFERROR(_xlfn.TEXTBEFORE(AUTO_Public_TSV_FileList!$A$1:$A$1000,".tsv"),"")),0)),"notfound")</f>
        <v>notfound</v>
      </c>
      <c r="M382" s="1" t="s">
        <v>1242</v>
      </c>
      <c r="W382" s="1"/>
      <c r="X382" s="1"/>
      <c r="Z382" s="1"/>
      <c r="AA382" s="1"/>
      <c r="AB382" s="1"/>
      <c r="AD382" s="1"/>
      <c r="AE382" s="1"/>
      <c r="AF382" s="1"/>
    </row>
    <row r="383" spans="1:32" ht="15.75" customHeight="1" x14ac:dyDescent="0.2">
      <c r="A383" s="1" t="s">
        <v>1220</v>
      </c>
      <c r="C383" s="1"/>
      <c r="D383" s="1" t="s">
        <v>74</v>
      </c>
      <c r="E383" s="3" t="str">
        <f t="shared" si="124"/>
        <v>Stephan</v>
      </c>
      <c r="F383" s="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3" t="str">
        <f t="shared" si="125"/>
        <v>1991</v>
      </c>
      <c r="H383" s="3" t="str">
        <f t="shared" si="126"/>
        <v>Stephan_etal_1991</v>
      </c>
      <c r="I383" s="3" t="str">
        <f t="shared" si="135"/>
        <v>10.1007%2F978-1-4613-9124-1</v>
      </c>
      <c r="J383" s="3" t="str">
        <f t="shared" si="127"/>
        <v>Stephan_etal_1991_Table5</v>
      </c>
      <c r="K383" s="3" t="str">
        <f t="shared" si="136"/>
        <v>10.1007%2F978-1-4613-9124-1_Table5</v>
      </c>
      <c r="L383" s="3" t="str">
        <f t="array" ref="L383">IFERROR(INDEX(AUTO_Public_TSV_FileList!$A$1:$A$1000,MATCH(TRUE(),EXACT(K383,IFERROR(_xlfn.TEXTBEFORE(AUTO_Public_TSV_FileList!$A$1:$A$1000,".tsv"),"")),0)),"notfound")</f>
        <v>notfound</v>
      </c>
      <c r="M383" s="1" t="s">
        <v>1243</v>
      </c>
      <c r="W383" s="1"/>
      <c r="X383" s="1"/>
      <c r="Z383" s="1"/>
      <c r="AA383" s="1"/>
      <c r="AB383" s="1"/>
      <c r="AD383" s="1"/>
      <c r="AE383" s="1"/>
      <c r="AF383" s="1"/>
    </row>
    <row r="384" spans="1:32" ht="15.75" customHeight="1" x14ac:dyDescent="0.2">
      <c r="A384" s="1" t="s">
        <v>1220</v>
      </c>
      <c r="C384" s="1"/>
      <c r="D384" s="1" t="s">
        <v>1244</v>
      </c>
      <c r="E384" s="3" t="str">
        <f t="shared" si="124"/>
        <v>Stephan</v>
      </c>
      <c r="F384" s="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3" t="str">
        <f t="shared" si="125"/>
        <v>1991</v>
      </c>
      <c r="H384" s="3" t="str">
        <f t="shared" si="126"/>
        <v>Stephan_etal_1991</v>
      </c>
      <c r="I384" s="3" t="str">
        <f t="shared" si="135"/>
        <v>10.1007%2F978-1-4613-9124-1</v>
      </c>
      <c r="J384" s="3" t="str">
        <f t="shared" si="127"/>
        <v>Stephan_etal_1991_Table52</v>
      </c>
      <c r="K384" s="3" t="str">
        <f t="shared" si="136"/>
        <v>10.1007%2F978-1-4613-9124-1_Table52</v>
      </c>
      <c r="L384" s="3" t="str">
        <f t="array" ref="L384">IFERROR(INDEX(AUTO_Public_TSV_FileList!$A$1:$A$1000,MATCH(TRUE(),EXACT(K384,IFERROR(_xlfn.TEXTBEFORE(AUTO_Public_TSV_FileList!$A$1:$A$1000,".tsv"),"")),0)),"notfound")</f>
        <v>notfound</v>
      </c>
      <c r="M384" s="1" t="s">
        <v>1245</v>
      </c>
      <c r="W384" s="1"/>
      <c r="X384" s="1"/>
      <c r="Z384" s="1"/>
      <c r="AA384" s="1"/>
      <c r="AB384" s="1"/>
      <c r="AD384" s="1"/>
      <c r="AE384" s="1"/>
      <c r="AF384" s="1"/>
    </row>
    <row r="385" spans="1:32" ht="15.75" customHeight="1" x14ac:dyDescent="0.2">
      <c r="A385" s="1" t="s">
        <v>1220</v>
      </c>
      <c r="C385" s="1"/>
      <c r="D385" s="1" t="s">
        <v>1246</v>
      </c>
      <c r="E385" s="3" t="str">
        <f t="shared" si="124"/>
        <v>Stephan</v>
      </c>
      <c r="F385" s="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3" t="str">
        <f t="shared" si="125"/>
        <v>1991</v>
      </c>
      <c r="H385" s="3" t="str">
        <f t="shared" si="126"/>
        <v>Stephan_etal_1991</v>
      </c>
      <c r="I385" s="3" t="str">
        <f t="shared" si="135"/>
        <v>10.1007%2F978-1-4613-9124-1</v>
      </c>
      <c r="J385" s="3" t="str">
        <f t="shared" si="127"/>
        <v>Stephan_etal_1991_Table55</v>
      </c>
      <c r="K385" s="3" t="str">
        <f t="shared" si="136"/>
        <v>10.1007%2F978-1-4613-9124-1_Table55</v>
      </c>
      <c r="L385" s="3" t="str">
        <f t="array" ref="L385">IFERROR(INDEX(AUTO_Public_TSV_FileList!$A$1:$A$1000,MATCH(TRUE(),EXACT(K385,IFERROR(_xlfn.TEXTBEFORE(AUTO_Public_TSV_FileList!$A$1:$A$1000,".tsv"),"")),0)),"notfound")</f>
        <v>notfound</v>
      </c>
      <c r="M385" s="1" t="s">
        <v>1247</v>
      </c>
      <c r="W385" s="1"/>
      <c r="X385" s="1"/>
      <c r="Z385" s="1"/>
      <c r="AA385" s="1"/>
      <c r="AB385" s="1"/>
      <c r="AD385" s="1"/>
      <c r="AE385" s="1"/>
      <c r="AF385" s="1"/>
    </row>
    <row r="386" spans="1:32" ht="15.75" customHeight="1" x14ac:dyDescent="0.2">
      <c r="A386" s="1" t="s">
        <v>1220</v>
      </c>
      <c r="C386" s="1"/>
      <c r="D386" s="1" t="s">
        <v>1248</v>
      </c>
      <c r="E386" s="3" t="str">
        <f t="shared" si="124"/>
        <v>Stephan</v>
      </c>
      <c r="F386" s="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3" t="str">
        <f t="shared" si="125"/>
        <v>1991</v>
      </c>
      <c r="H386" s="3" t="str">
        <f t="shared" si="126"/>
        <v>Stephan_etal_1991</v>
      </c>
      <c r="I386" s="3" t="str">
        <f t="shared" si="135"/>
        <v>10.1007%2F978-1-4613-9124-1</v>
      </c>
      <c r="J386" s="3" t="str">
        <f t="shared" si="127"/>
        <v>Stephan_etal_1991_Table58</v>
      </c>
      <c r="K386" s="3" t="str">
        <f t="shared" si="136"/>
        <v>10.1007%2F978-1-4613-9124-1_Table58</v>
      </c>
      <c r="L386" s="3" t="str">
        <f t="array" ref="L386">IFERROR(INDEX(AUTO_Public_TSV_FileList!$A$1:$A$1000,MATCH(TRUE(),EXACT(K386,IFERROR(_xlfn.TEXTBEFORE(AUTO_Public_TSV_FileList!$A$1:$A$1000,".tsv"),"")),0)),"notfound")</f>
        <v>notfound</v>
      </c>
      <c r="M386" s="1" t="s">
        <v>1249</v>
      </c>
      <c r="W386" s="1"/>
      <c r="X386" s="1"/>
      <c r="Z386" s="1"/>
      <c r="AA386" s="1"/>
      <c r="AB386" s="1"/>
      <c r="AD386" s="1"/>
      <c r="AE386" s="1"/>
      <c r="AF386" s="1"/>
    </row>
    <row r="387" spans="1:32" ht="15.75" customHeight="1" x14ac:dyDescent="0.2">
      <c r="A387" s="1" t="s">
        <v>1220</v>
      </c>
      <c r="C387" s="1"/>
      <c r="D387" s="1" t="s">
        <v>1250</v>
      </c>
      <c r="E387" s="3" t="str">
        <f t="shared" si="124"/>
        <v>Stephan</v>
      </c>
      <c r="F387" s="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3" t="str">
        <f t="shared" si="125"/>
        <v>1991</v>
      </c>
      <c r="H387" s="3" t="str">
        <f t="shared" si="126"/>
        <v>Stephan_etal_1991</v>
      </c>
      <c r="I387" s="3" t="str">
        <f t="shared" si="135"/>
        <v>10.1007%2F978-1-4613-9124-1</v>
      </c>
      <c r="J387" s="3" t="str">
        <f t="shared" si="127"/>
        <v>Stephan_etal_1991_Table61</v>
      </c>
      <c r="K387" s="3" t="str">
        <f t="shared" si="136"/>
        <v>10.1007%2F978-1-4613-9124-1_Table61</v>
      </c>
      <c r="L387" s="3" t="str">
        <f t="array" ref="L387">IFERROR(INDEX(AUTO_Public_TSV_FileList!$A$1:$A$1000,MATCH(TRUE(),EXACT(K387,IFERROR(_xlfn.TEXTBEFORE(AUTO_Public_TSV_FileList!$A$1:$A$1000,".tsv"),"")),0)),"notfound")</f>
        <v>notfound</v>
      </c>
      <c r="M387" s="1" t="s">
        <v>1251</v>
      </c>
      <c r="W387" s="1"/>
      <c r="X387" s="1"/>
      <c r="Z387" s="1"/>
      <c r="AA387" s="1"/>
      <c r="AB387" s="1"/>
      <c r="AD387" s="1"/>
      <c r="AE387" s="1"/>
      <c r="AF387" s="1"/>
    </row>
    <row r="388" spans="1:32" ht="15.75" customHeight="1" x14ac:dyDescent="0.2">
      <c r="A388" s="1" t="s">
        <v>1220</v>
      </c>
      <c r="C388" s="1"/>
      <c r="D388" s="1" t="s">
        <v>1252</v>
      </c>
      <c r="E388" s="3" t="str">
        <f t="shared" si="124"/>
        <v>Stephan</v>
      </c>
      <c r="F388" s="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3" t="str">
        <f t="shared" si="125"/>
        <v>1991</v>
      </c>
      <c r="H388" s="3" t="str">
        <f t="shared" si="126"/>
        <v>Stephan_etal_1991</v>
      </c>
      <c r="I388" s="3" t="str">
        <f t="shared" si="135"/>
        <v>10.1007%2F978-1-4613-9124-1</v>
      </c>
      <c r="J388" s="3" t="str">
        <f t="shared" si="127"/>
        <v>Stephan_etal_1991_Table64</v>
      </c>
      <c r="K388" s="3" t="str">
        <f t="shared" si="136"/>
        <v>10.1007%2F978-1-4613-9124-1_Table64</v>
      </c>
      <c r="L388" s="3" t="str">
        <f t="array" ref="L388">IFERROR(INDEX(AUTO_Public_TSV_FileList!$A$1:$A$1000,MATCH(TRUE(),EXACT(K388,IFERROR(_xlfn.TEXTBEFORE(AUTO_Public_TSV_FileList!$A$1:$A$1000,".tsv"),"")),0)),"notfound")</f>
        <v>notfound</v>
      </c>
      <c r="M388" s="1" t="s">
        <v>1253</v>
      </c>
      <c r="W388" s="1"/>
      <c r="X388" s="1"/>
      <c r="Z388" s="1"/>
      <c r="AA388" s="1"/>
      <c r="AB388" s="1"/>
      <c r="AD388" s="1"/>
      <c r="AE388" s="1"/>
      <c r="AF388" s="1"/>
    </row>
    <row r="389" spans="1:32" ht="15.75" customHeight="1" x14ac:dyDescent="0.2">
      <c r="A389" s="1" t="s">
        <v>1220</v>
      </c>
      <c r="C389" s="1"/>
      <c r="D389" s="1" t="s">
        <v>1254</v>
      </c>
      <c r="E389" s="3" t="str">
        <f t="shared" si="124"/>
        <v>Stephan</v>
      </c>
      <c r="F389" s="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3" t="str">
        <f t="shared" si="125"/>
        <v>1991</v>
      </c>
      <c r="H389" s="3" t="str">
        <f t="shared" si="126"/>
        <v>Stephan_etal_1991</v>
      </c>
      <c r="I389" s="3" t="str">
        <f t="shared" si="135"/>
        <v>10.1007%2F978-1-4613-9124-1</v>
      </c>
      <c r="J389" s="3" t="str">
        <f t="shared" si="127"/>
        <v>Stephan_etal_1991_Table65</v>
      </c>
      <c r="K389" s="3" t="str">
        <f t="shared" si="136"/>
        <v>10.1007%2F978-1-4613-9124-1_Table65</v>
      </c>
      <c r="L389" s="3" t="str">
        <f t="array" ref="L389">IFERROR(INDEX(AUTO_Public_TSV_FileList!$A$1:$A$1000,MATCH(TRUE(),EXACT(K389,IFERROR(_xlfn.TEXTBEFORE(AUTO_Public_TSV_FileList!$A$1:$A$1000,".tsv"),"")),0)),"notfound")</f>
        <v>notfound</v>
      </c>
      <c r="M389" s="1" t="s">
        <v>1255</v>
      </c>
      <c r="W389" s="1"/>
      <c r="X389" s="1"/>
      <c r="Z389" s="1"/>
      <c r="AA389" s="1"/>
      <c r="AB389" s="1"/>
      <c r="AD389" s="1"/>
      <c r="AE389" s="1"/>
      <c r="AF389" s="1"/>
    </row>
    <row r="390" spans="1:32" ht="15.75" customHeight="1" x14ac:dyDescent="0.2">
      <c r="A390" s="1" t="s">
        <v>1220</v>
      </c>
      <c r="C390" s="1"/>
      <c r="D390" s="1" t="s">
        <v>1256</v>
      </c>
      <c r="E390" s="3" t="str">
        <f t="shared" si="124"/>
        <v>Stephan</v>
      </c>
      <c r="F390" s="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3" t="str">
        <f t="shared" si="125"/>
        <v>1991</v>
      </c>
      <c r="H390" s="3" t="str">
        <f t="shared" si="126"/>
        <v>Stephan_etal_1991</v>
      </c>
      <c r="I390" s="3" t="str">
        <f t="shared" si="135"/>
        <v>10.1007%2F978-1-4613-9124-1</v>
      </c>
      <c r="J390" s="3" t="str">
        <f t="shared" si="127"/>
        <v>Stephan_etal_1991_Table68</v>
      </c>
      <c r="K390" s="3" t="str">
        <f t="shared" si="136"/>
        <v>10.1007%2F978-1-4613-9124-1_Table68</v>
      </c>
      <c r="L390" s="3" t="str">
        <f t="array" ref="L390">IFERROR(INDEX(AUTO_Public_TSV_FileList!$A$1:$A$1000,MATCH(TRUE(),EXACT(K390,IFERROR(_xlfn.TEXTBEFORE(AUTO_Public_TSV_FileList!$A$1:$A$1000,".tsv"),"")),0)),"notfound")</f>
        <v>notfound</v>
      </c>
      <c r="M390" s="1" t="s">
        <v>1257</v>
      </c>
      <c r="W390" s="1"/>
      <c r="X390" s="1"/>
      <c r="Z390" s="1"/>
      <c r="AA390" s="1"/>
      <c r="AB390" s="1"/>
      <c r="AD390" s="1"/>
      <c r="AE390" s="1"/>
      <c r="AF390" s="1"/>
    </row>
    <row r="391" spans="1:32" ht="15.75" customHeight="1" x14ac:dyDescent="0.2">
      <c r="A391" s="1" t="s">
        <v>1220</v>
      </c>
      <c r="C391" s="1"/>
      <c r="D391" s="1" t="s">
        <v>1258</v>
      </c>
      <c r="E391" s="3" t="str">
        <f t="shared" si="124"/>
        <v>Stephan</v>
      </c>
      <c r="F391" s="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3" t="str">
        <f t="shared" si="125"/>
        <v>1991</v>
      </c>
      <c r="H391" s="3" t="str">
        <f t="shared" si="126"/>
        <v>Stephan_etal_1991</v>
      </c>
      <c r="I391" s="3" t="str">
        <f t="shared" si="135"/>
        <v>10.1007%2F978-1-4613-9124-1</v>
      </c>
      <c r="J391" s="3" t="str">
        <f t="shared" si="127"/>
        <v>Stephan_etal_1991_Table71</v>
      </c>
      <c r="K391" s="3" t="str">
        <f t="shared" si="136"/>
        <v>10.1007%2F978-1-4613-9124-1_Table71</v>
      </c>
      <c r="L391" s="3" t="str">
        <f t="array" ref="L391">IFERROR(INDEX(AUTO_Public_TSV_FileList!$A$1:$A$1000,MATCH(TRUE(),EXACT(K391,IFERROR(_xlfn.TEXTBEFORE(AUTO_Public_TSV_FileList!$A$1:$A$1000,".tsv"),"")),0)),"notfound")</f>
        <v>notfound</v>
      </c>
      <c r="M391" s="1" t="s">
        <v>1259</v>
      </c>
      <c r="W391" s="1"/>
      <c r="X391" s="1"/>
      <c r="Z391" s="1"/>
      <c r="AA391" s="1"/>
      <c r="AB391" s="1"/>
      <c r="AD391" s="1"/>
      <c r="AE391" s="1"/>
      <c r="AF391" s="1"/>
    </row>
    <row r="392" spans="1:32" ht="15" customHeight="1" x14ac:dyDescent="0.2">
      <c r="A392" s="1" t="s">
        <v>1220</v>
      </c>
      <c r="C392" s="1"/>
      <c r="D392" s="1" t="s">
        <v>197</v>
      </c>
      <c r="E392" s="3" t="str">
        <f t="shared" si="124"/>
        <v>Stephan</v>
      </c>
      <c r="F392" s="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3" t="str">
        <f t="shared" si="125"/>
        <v>1991</v>
      </c>
      <c r="H392" s="3" t="str">
        <f t="shared" si="126"/>
        <v>Stephan_etal_1991</v>
      </c>
      <c r="I392" s="3" t="str">
        <f t="shared" si="135"/>
        <v>10.1007%2F978-1-4613-9124-1</v>
      </c>
      <c r="J392" s="3" t="str">
        <f t="shared" si="127"/>
        <v>Stephan_etal_1991_Table8</v>
      </c>
      <c r="K392" s="3" t="str">
        <f t="shared" si="136"/>
        <v>10.1007%2F978-1-4613-9124-1_Table8</v>
      </c>
      <c r="L392" s="3" t="str">
        <f t="array" ref="L392">IFERROR(INDEX(AUTO_Public_TSV_FileList!$A$1:$A$1000,MATCH(TRUE(),EXACT(K392,IFERROR(_xlfn.TEXTBEFORE(AUTO_Public_TSV_FileList!$A$1:$A$1000,".tsv"),"")),0)),"notfound")</f>
        <v>notfound</v>
      </c>
      <c r="M392" s="1" t="s">
        <v>1260</v>
      </c>
      <c r="W392" s="1"/>
      <c r="X392" s="1"/>
      <c r="Z392" s="1"/>
      <c r="AA392" s="1"/>
      <c r="AB392" s="1"/>
      <c r="AD392" s="1"/>
      <c r="AE392" s="1"/>
      <c r="AF392" s="1"/>
    </row>
    <row r="393" spans="1:32" ht="15" customHeight="1" x14ac:dyDescent="0.2">
      <c r="A393" s="1" t="s">
        <v>1261</v>
      </c>
      <c r="C393" s="1" t="s">
        <v>1262</v>
      </c>
      <c r="D393" s="1" t="s">
        <v>58</v>
      </c>
      <c r="E393" s="3" t="str">
        <f t="shared" si="124"/>
        <v>Stephan</v>
      </c>
      <c r="F393" s="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3" t="str">
        <f t="shared" si="125"/>
        <v>1970</v>
      </c>
      <c r="H393" s="3" t="str">
        <f t="shared" si="126"/>
        <v>Stephan_etal_1970</v>
      </c>
      <c r="I393" s="3" t="str">
        <f t="shared" si="135"/>
        <v>ISBN%3A0390672505</v>
      </c>
      <c r="J393" s="3" t="str">
        <f t="shared" si="127"/>
        <v>Stephan_etal_1970_TABLE1</v>
      </c>
      <c r="K393" s="3" t="str">
        <f t="shared" si="136"/>
        <v>ISBN%3A0390672505_TABLE1</v>
      </c>
      <c r="L393" s="3" t="str">
        <f t="array" ref="L393">IFERROR(INDEX(AUTO_Public_TSV_FileList!$A$1:$A$1000,MATCH(TRUE(),EXACT(K393,IFERROR(_xlfn.TEXTBEFORE(AUTO_Public_TSV_FileList!$A$1:$A$1000,".tsv"),"")),0)),"notfound")</f>
        <v>ISBN%3A0390672505_TABLE1.tsv</v>
      </c>
      <c r="M393" s="1" t="s">
        <v>1263</v>
      </c>
      <c r="N393" s="1" t="s">
        <v>35</v>
      </c>
      <c r="P393" s="8" t="s">
        <v>36</v>
      </c>
      <c r="W393" s="1" t="s">
        <v>1264</v>
      </c>
      <c r="Z393" s="1" t="s">
        <v>83</v>
      </c>
      <c r="AA393" s="1" t="s">
        <v>123</v>
      </c>
      <c r="AB393" s="1" t="s">
        <v>90</v>
      </c>
      <c r="AD393" s="1" t="s">
        <v>112</v>
      </c>
      <c r="AE393" s="1" t="s">
        <v>66</v>
      </c>
      <c r="AF393" s="1"/>
    </row>
    <row r="394" spans="1:32" ht="15" customHeight="1" x14ac:dyDescent="0.2">
      <c r="A394" s="1" t="s">
        <v>1261</v>
      </c>
      <c r="C394" s="1" t="s">
        <v>1262</v>
      </c>
      <c r="D394" s="1" t="s">
        <v>103</v>
      </c>
      <c r="E394" s="3" t="str">
        <f t="shared" si="124"/>
        <v>Stephan</v>
      </c>
      <c r="F394" s="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3" t="str">
        <f t="shared" si="125"/>
        <v>1970</v>
      </c>
      <c r="H394" s="3" t="str">
        <f t="shared" si="126"/>
        <v>Stephan_etal_1970</v>
      </c>
      <c r="I394" s="3" t="str">
        <f t="shared" si="135"/>
        <v>ISBN%3A0390672505</v>
      </c>
      <c r="J394" s="3" t="str">
        <f t="shared" si="127"/>
        <v>Stephan_etal_1970_TABLE2</v>
      </c>
      <c r="K394" s="3" t="str">
        <f t="shared" si="136"/>
        <v>ISBN%3A0390672505_TABLE2</v>
      </c>
      <c r="L394" s="3" t="str">
        <f t="array" ref="L394">IFERROR(INDEX(AUTO_Public_TSV_FileList!$A$1:$A$1000,MATCH(TRUE(),EXACT(K394,IFERROR(_xlfn.TEXTBEFORE(AUTO_Public_TSV_FileList!$A$1:$A$1000,".tsv"),"")),0)),"notfound")</f>
        <v>ISBN%3A0390672505_TABLE2.tsv</v>
      </c>
      <c r="M394" s="1" t="s">
        <v>1265</v>
      </c>
      <c r="N394" s="1" t="s">
        <v>35</v>
      </c>
      <c r="P394" s="8" t="s">
        <v>36</v>
      </c>
      <c r="W394" s="1" t="s">
        <v>93</v>
      </c>
      <c r="Z394" s="1" t="s">
        <v>83</v>
      </c>
      <c r="AA394" s="1" t="s">
        <v>123</v>
      </c>
      <c r="AB394" s="1" t="s">
        <v>90</v>
      </c>
      <c r="AD394" s="1" t="s">
        <v>112</v>
      </c>
      <c r="AE394" s="1" t="s">
        <v>66</v>
      </c>
      <c r="AF394" s="1"/>
    </row>
    <row r="395" spans="1:32" ht="15" customHeight="1" x14ac:dyDescent="0.2">
      <c r="A395" s="1" t="s">
        <v>1261</v>
      </c>
      <c r="C395" s="1" t="s">
        <v>1262</v>
      </c>
      <c r="D395" s="1" t="s">
        <v>683</v>
      </c>
      <c r="E395" s="3" t="str">
        <f t="shared" si="124"/>
        <v>Stephan</v>
      </c>
      <c r="F395" s="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3" t="str">
        <f t="shared" si="125"/>
        <v>1970</v>
      </c>
      <c r="H395" s="3" t="str">
        <f t="shared" si="126"/>
        <v>Stephan_etal_1970</v>
      </c>
      <c r="I395" s="3" t="str">
        <f t="shared" si="135"/>
        <v>ISBN%3A0390672505</v>
      </c>
      <c r="J395" s="3" t="str">
        <f t="shared" si="127"/>
        <v>Stephan_etal_1970_TABLE3</v>
      </c>
      <c r="K395" s="3" t="str">
        <f t="shared" si="136"/>
        <v>ISBN%3A0390672505_TABLE3</v>
      </c>
      <c r="L395" s="3" t="str">
        <f t="array" ref="L395">IFERROR(INDEX(AUTO_Public_TSV_FileList!$A$1:$A$1000,MATCH(TRUE(),EXACT(K395,IFERROR(_xlfn.TEXTBEFORE(AUTO_Public_TSV_FileList!$A$1:$A$1000,".tsv"),"")),0)),"notfound")</f>
        <v>ISBN%3A0390672505_TABLE3.tsv</v>
      </c>
      <c r="M395" s="1" t="s">
        <v>1266</v>
      </c>
      <c r="N395" s="1" t="s">
        <v>35</v>
      </c>
      <c r="P395" s="8" t="s">
        <v>36</v>
      </c>
      <c r="W395" s="1" t="s">
        <v>93</v>
      </c>
      <c r="Z395" s="1" t="s">
        <v>83</v>
      </c>
      <c r="AA395" s="1" t="s">
        <v>123</v>
      </c>
      <c r="AB395" s="1" t="s">
        <v>90</v>
      </c>
      <c r="AD395" s="1" t="s">
        <v>112</v>
      </c>
      <c r="AE395" s="1" t="s">
        <v>66</v>
      </c>
      <c r="AF395" s="1"/>
    </row>
    <row r="396" spans="1:32" ht="15" customHeight="1" x14ac:dyDescent="0.2">
      <c r="A396" s="1" t="s">
        <v>1261</v>
      </c>
      <c r="C396" s="1" t="s">
        <v>1262</v>
      </c>
      <c r="D396" s="1" t="s">
        <v>1050</v>
      </c>
      <c r="E396" s="3" t="str">
        <f t="shared" si="124"/>
        <v>Stephan</v>
      </c>
      <c r="F396" s="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3" t="str">
        <f t="shared" si="125"/>
        <v>1970</v>
      </c>
      <c r="H396" s="3" t="str">
        <f t="shared" si="126"/>
        <v>Stephan_etal_1970</v>
      </c>
      <c r="I396" s="3" t="str">
        <f t="shared" si="135"/>
        <v>ISBN%3A0390672505</v>
      </c>
      <c r="J396" s="3" t="str">
        <f t="shared" si="127"/>
        <v>Stephan_etal_1970_TABLE4</v>
      </c>
      <c r="K396" s="3" t="str">
        <f t="shared" si="136"/>
        <v>ISBN%3A0390672505_TABLE4</v>
      </c>
      <c r="L396" s="3" t="str">
        <f t="array" ref="L396">IFERROR(INDEX(AUTO_Public_TSV_FileList!$A$1:$A$1000,MATCH(TRUE(),EXACT(K396,IFERROR(_xlfn.TEXTBEFORE(AUTO_Public_TSV_FileList!$A$1:$A$1000,".tsv"),"")),0)),"notfound")</f>
        <v>ISBN%3A0390672505_TABLE4.tsv</v>
      </c>
      <c r="M396" s="1" t="s">
        <v>1267</v>
      </c>
      <c r="N396" s="1" t="s">
        <v>35</v>
      </c>
      <c r="P396" s="8" t="s">
        <v>36</v>
      </c>
      <c r="W396" s="1" t="s">
        <v>1264</v>
      </c>
      <c r="Z396" s="1" t="s">
        <v>83</v>
      </c>
      <c r="AA396" s="1" t="s">
        <v>123</v>
      </c>
      <c r="AB396" s="1" t="s">
        <v>90</v>
      </c>
      <c r="AD396" s="1" t="s">
        <v>112</v>
      </c>
      <c r="AE396" s="1" t="s">
        <v>66</v>
      </c>
      <c r="AF396" s="1"/>
    </row>
    <row r="397" spans="1:32" ht="15" customHeight="1" x14ac:dyDescent="0.2">
      <c r="A397" s="1" t="s">
        <v>1261</v>
      </c>
      <c r="C397" s="1" t="s">
        <v>1262</v>
      </c>
      <c r="D397" s="1" t="s">
        <v>1054</v>
      </c>
      <c r="E397" s="3" t="str">
        <f t="shared" si="124"/>
        <v>Stephan</v>
      </c>
      <c r="F397" s="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3" t="str">
        <f t="shared" si="125"/>
        <v>1970</v>
      </c>
      <c r="H397" s="3" t="str">
        <f t="shared" si="126"/>
        <v>Stephan_etal_1970</v>
      </c>
      <c r="I397" s="3" t="str">
        <f t="shared" si="135"/>
        <v>ISBN%3A0390672505</v>
      </c>
      <c r="J397" s="3" t="str">
        <f t="shared" si="127"/>
        <v>Stephan_etal_1970_TABLE5</v>
      </c>
      <c r="K397" s="3" t="str">
        <f t="shared" si="136"/>
        <v>ISBN%3A0390672505_TABLE5</v>
      </c>
      <c r="L397" s="3" t="str">
        <f t="array" ref="L397">IFERROR(INDEX(AUTO_Public_TSV_FileList!$A$1:$A$1000,MATCH(TRUE(),EXACT(K397,IFERROR(_xlfn.TEXTBEFORE(AUTO_Public_TSV_FileList!$A$1:$A$1000,".tsv"),"")),0)),"notfound")</f>
        <v>ISBN%3A0390672505_TABLE5.tsv</v>
      </c>
      <c r="M397" s="1" t="s">
        <v>1268</v>
      </c>
      <c r="N397" s="1" t="s">
        <v>35</v>
      </c>
      <c r="P397" s="8" t="s">
        <v>36</v>
      </c>
      <c r="W397" s="1" t="s">
        <v>93</v>
      </c>
      <c r="Z397" s="1" t="s">
        <v>83</v>
      </c>
      <c r="AA397" s="1" t="s">
        <v>123</v>
      </c>
      <c r="AB397" s="1" t="s">
        <v>90</v>
      </c>
      <c r="AD397" s="1" t="s">
        <v>112</v>
      </c>
      <c r="AE397" s="1" t="s">
        <v>66</v>
      </c>
      <c r="AF397" s="1"/>
    </row>
    <row r="398" spans="1:32" ht="15" customHeight="1" x14ac:dyDescent="0.2">
      <c r="A398" s="1" t="s">
        <v>1261</v>
      </c>
      <c r="C398" s="1" t="s">
        <v>1262</v>
      </c>
      <c r="D398" s="1" t="s">
        <v>1269</v>
      </c>
      <c r="E398" s="3" t="str">
        <f t="shared" si="124"/>
        <v>Stephan</v>
      </c>
      <c r="F398" s="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3" t="str">
        <f t="shared" si="125"/>
        <v>1970</v>
      </c>
      <c r="H398" s="3" t="str">
        <f t="shared" si="126"/>
        <v>Stephan_etal_1970</v>
      </c>
      <c r="I398" s="3" t="str">
        <f t="shared" si="135"/>
        <v>ISBN%3A0390672505</v>
      </c>
      <c r="J398" s="3" t="str">
        <f t="shared" si="127"/>
        <v>Stephan_etal_1970_TABLE6</v>
      </c>
      <c r="K398" s="3" t="str">
        <f t="shared" si="136"/>
        <v>ISBN%3A0390672505_TABLE6</v>
      </c>
      <c r="L398" s="3" t="str">
        <f t="array" ref="L398">IFERROR(INDEX(AUTO_Public_TSV_FileList!$A$1:$A$1000,MATCH(TRUE(),EXACT(K398,IFERROR(_xlfn.TEXTBEFORE(AUTO_Public_TSV_FileList!$A$1:$A$1000,".tsv"),"")),0)),"notfound")</f>
        <v>ISBN%3A0390672505_TABLE6.tsv</v>
      </c>
      <c r="M398" s="1" t="s">
        <v>1270</v>
      </c>
      <c r="N398" s="1" t="s">
        <v>35</v>
      </c>
      <c r="P398" s="8" t="s">
        <v>36</v>
      </c>
      <c r="W398" s="1" t="s">
        <v>93</v>
      </c>
      <c r="Z398" s="1" t="s">
        <v>83</v>
      </c>
      <c r="AA398" s="1" t="s">
        <v>123</v>
      </c>
      <c r="AB398" s="1" t="s">
        <v>90</v>
      </c>
      <c r="AD398" s="1" t="s">
        <v>112</v>
      </c>
      <c r="AE398" s="1" t="s">
        <v>66</v>
      </c>
      <c r="AF398" s="1"/>
    </row>
    <row r="399" spans="1:32" ht="15" customHeight="1" x14ac:dyDescent="0.2">
      <c r="A399" s="1" t="s">
        <v>1261</v>
      </c>
      <c r="C399" s="1" t="s">
        <v>1262</v>
      </c>
      <c r="D399" s="1" t="s">
        <v>1271</v>
      </c>
      <c r="E399" s="3" t="str">
        <f t="shared" si="124"/>
        <v>Stephan</v>
      </c>
      <c r="F399" s="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3" t="str">
        <f t="shared" si="125"/>
        <v>1970</v>
      </c>
      <c r="H399" s="3" t="str">
        <f t="shared" si="126"/>
        <v>Stephan_etal_1970</v>
      </c>
      <c r="I399" s="3" t="str">
        <f t="shared" ref="I399:I421" si="137">_xlfn.LET(
_xlpm.doi,IF(C399&lt;&gt;"",C399,_xlfn.TEXTAFTER(A399,"https://doi.org/")),
SUBSTITUTE(
SUBSTITUTE(
SUBSTITUTE(
SUBSTITUTE(
_xlpm.doi,
"/","%2F"),
":","%3A"),
"&lt;","%3C"),
"&gt;","%3E")
)</f>
        <v>ISBN%3A0390672505</v>
      </c>
      <c r="J399" s="3" t="str">
        <f t="shared" si="127"/>
        <v>Stephan_etal_1970_Tables1-6</v>
      </c>
      <c r="K399" s="3" t="str">
        <f t="shared" si="136"/>
        <v>ISBN%3A0390672505_Tables1-6</v>
      </c>
      <c r="L399" s="3" t="str">
        <f t="array" ref="L399">IFERROR(INDEX(AUTO_Public_TSV_FileList!$A$1:$A$1000,MATCH(TRUE(),EXACT(K399,IFERROR(_xlfn.TEXTBEFORE(AUTO_Public_TSV_FileList!$A$1:$A$1000,".tsv"),"")),0)),"notfound")</f>
        <v>ISBN%3A0390672505_Tables1-6.tsv</v>
      </c>
      <c r="N399" s="1" t="s">
        <v>1272</v>
      </c>
      <c r="O399" s="1" t="s">
        <v>1273</v>
      </c>
      <c r="P399" s="1" t="s">
        <v>36</v>
      </c>
      <c r="W399" s="1" t="s">
        <v>110</v>
      </c>
      <c r="Z399" s="1" t="s">
        <v>83</v>
      </c>
      <c r="AA399" s="1" t="s">
        <v>123</v>
      </c>
      <c r="AB399" s="1" t="s">
        <v>90</v>
      </c>
      <c r="AC399" s="1" t="s">
        <v>112</v>
      </c>
      <c r="AD399" s="1" t="s">
        <v>112</v>
      </c>
      <c r="AE399" s="1" t="s">
        <v>66</v>
      </c>
      <c r="AF399" s="1"/>
    </row>
    <row r="400" spans="1:32" ht="15" customHeight="1" x14ac:dyDescent="0.2">
      <c r="A400" s="1" t="s">
        <v>1274</v>
      </c>
      <c r="C400" s="1" t="s">
        <v>1275</v>
      </c>
      <c r="D400" s="1" t="s">
        <v>81</v>
      </c>
      <c r="E400" s="3" t="str">
        <f t="shared" si="124"/>
        <v>Stephan</v>
      </c>
      <c r="F400" s="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3" t="str">
        <f t="shared" si="125"/>
        <v>1984</v>
      </c>
      <c r="H400" s="3" t="str">
        <f t="shared" si="126"/>
        <v>Stephan_etal_1984</v>
      </c>
      <c r="I400" s="3" t="str">
        <f t="shared" si="137"/>
        <v>PMID%3A6481154</v>
      </c>
      <c r="J400" s="3" t="str">
        <f t="shared" si="127"/>
        <v>Stephan_etal_1984_Table1</v>
      </c>
      <c r="K400" s="3" t="str">
        <f t="shared" si="136"/>
        <v>PMID%3A6481154_Table1</v>
      </c>
      <c r="L400" s="3" t="str">
        <f t="array" ref="L400">IFERROR(INDEX(AUTO_Public_TSV_FileList!$A$1:$A$1000,MATCH(TRUE(),EXACT(K400,IFERROR(_xlfn.TEXTBEFORE(AUTO_Public_TSV_FileList!$A$1:$A$1000,".tsv"),"")),0)),"notfound")</f>
        <v>PMID%3A6481154_Table1.tsv</v>
      </c>
      <c r="M400" s="1" t="s">
        <v>1276</v>
      </c>
      <c r="N400" s="1" t="s">
        <v>35</v>
      </c>
      <c r="P400" s="1" t="s">
        <v>36</v>
      </c>
      <c r="W400" s="1" t="s">
        <v>110</v>
      </c>
      <c r="X400" s="1" t="s">
        <v>1277</v>
      </c>
      <c r="Z400" s="1" t="s">
        <v>83</v>
      </c>
      <c r="AA400" s="1" t="s">
        <v>123</v>
      </c>
      <c r="AB400" s="1" t="s">
        <v>90</v>
      </c>
      <c r="AC400" s="1" t="s">
        <v>112</v>
      </c>
      <c r="AD400" s="1" t="s">
        <v>112</v>
      </c>
      <c r="AE400" s="1" t="s">
        <v>66</v>
      </c>
      <c r="AF400" s="1"/>
    </row>
    <row r="401" spans="1:32" ht="15" customHeight="1" x14ac:dyDescent="0.2">
      <c r="A401" s="1" t="s">
        <v>1278</v>
      </c>
      <c r="C401" s="1" t="s">
        <v>1279</v>
      </c>
      <c r="D401" s="1" t="s">
        <v>81</v>
      </c>
      <c r="E401" s="3" t="str">
        <f t="shared" si="124"/>
        <v>Stephan</v>
      </c>
      <c r="F401" s="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3" t="str">
        <f t="shared" si="125"/>
        <v>1987</v>
      </c>
      <c r="H401" s="3" t="str">
        <f t="shared" si="126"/>
        <v>Stephan_etal_1987</v>
      </c>
      <c r="I401" s="3" t="str">
        <f t="shared" si="137"/>
        <v>PMID%3A3693895</v>
      </c>
      <c r="J401" s="3" t="str">
        <f t="shared" si="127"/>
        <v>Stephan_etal_1987_Table1</v>
      </c>
      <c r="K401" s="3" t="str">
        <f t="shared" si="136"/>
        <v>PMID%3A3693895_Table1</v>
      </c>
      <c r="L401" s="3" t="str">
        <f t="array" ref="L401">IFERROR(INDEX(AUTO_Public_TSV_FileList!$A$1:$A$1000,MATCH(TRUE(),EXACT(K401,IFERROR(_xlfn.TEXTBEFORE(AUTO_Public_TSV_FileList!$A$1:$A$1000,".tsv"),"")),0)),"notfound")</f>
        <v>PMID%3A3693895_Table1.tsv</v>
      </c>
      <c r="M401" s="1" t="s">
        <v>1280</v>
      </c>
      <c r="N401" s="1" t="s">
        <v>35</v>
      </c>
      <c r="P401" s="1" t="s">
        <v>36</v>
      </c>
      <c r="W401" s="1" t="s">
        <v>110</v>
      </c>
      <c r="X401" s="1" t="s">
        <v>1281</v>
      </c>
      <c r="Z401" s="1" t="s">
        <v>83</v>
      </c>
      <c r="AA401" s="1" t="s">
        <v>123</v>
      </c>
      <c r="AB401" s="1" t="s">
        <v>90</v>
      </c>
      <c r="AC401" s="1" t="s">
        <v>112</v>
      </c>
      <c r="AD401" s="1" t="s">
        <v>112</v>
      </c>
      <c r="AE401" s="1" t="s">
        <v>66</v>
      </c>
      <c r="AF401" s="1"/>
    </row>
    <row r="402" spans="1:32" ht="15" customHeight="1" x14ac:dyDescent="0.2">
      <c r="A402" s="1" t="s">
        <v>1282</v>
      </c>
      <c r="D402" s="1" t="s">
        <v>490</v>
      </c>
      <c r="E402" s="3" t="str">
        <f t="shared" si="124"/>
        <v>Stephan</v>
      </c>
      <c r="F402" s="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3" t="str">
        <f t="shared" si="125"/>
        <v>1981</v>
      </c>
      <c r="H402" s="3" t="str">
        <f t="shared" si="126"/>
        <v>Stephan_etal_1981</v>
      </c>
      <c r="I402" s="3" t="str">
        <f t="shared" si="137"/>
        <v>10.1159%2F000155963</v>
      </c>
      <c r="J402" s="3" t="str">
        <f t="shared" si="127"/>
        <v>Stephan_etal_1981_TableI</v>
      </c>
      <c r="K402" s="3" t="str">
        <f t="shared" si="136"/>
        <v>10.1159%2F000155963_TableI</v>
      </c>
      <c r="L402" s="3" t="str">
        <f t="array" ref="L402">IFERROR(INDEX(AUTO_Public_TSV_FileList!$A$1:$A$1000,MATCH(TRUE(),EXACT(K402,IFERROR(_xlfn.TEXTBEFORE(AUTO_Public_TSV_FileList!$A$1:$A$1000,".tsv"),"")),0)),"notfound")</f>
        <v>10.1159%2F000155963_TableI.tsv</v>
      </c>
      <c r="M402" s="1" t="s">
        <v>1283</v>
      </c>
      <c r="N402" s="1" t="s">
        <v>35</v>
      </c>
      <c r="P402" s="1" t="s">
        <v>36</v>
      </c>
      <c r="W402" s="1" t="s">
        <v>110</v>
      </c>
      <c r="X402" s="1" t="s">
        <v>1284</v>
      </c>
      <c r="Z402" s="1" t="s">
        <v>83</v>
      </c>
      <c r="AA402" s="1" t="s">
        <v>123</v>
      </c>
      <c r="AB402" s="1" t="s">
        <v>90</v>
      </c>
      <c r="AC402" s="1" t="s">
        <v>112</v>
      </c>
      <c r="AD402" s="1" t="s">
        <v>112</v>
      </c>
      <c r="AE402" s="1" t="s">
        <v>66</v>
      </c>
      <c r="AF402" s="1"/>
    </row>
    <row r="403" spans="1:32" ht="15" customHeight="1" x14ac:dyDescent="0.2">
      <c r="A403" s="1" t="s">
        <v>1282</v>
      </c>
      <c r="D403" s="1" t="s">
        <v>1285</v>
      </c>
      <c r="E403" s="3" t="str">
        <f t="shared" si="124"/>
        <v>Stephan</v>
      </c>
      <c r="F403" s="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3" t="str">
        <f t="shared" si="125"/>
        <v>1981</v>
      </c>
      <c r="H403" s="3" t="str">
        <f t="shared" si="126"/>
        <v>Stephan_etal_1981</v>
      </c>
      <c r="I403" s="3" t="str">
        <f t="shared" si="137"/>
        <v>10.1159%2F000155963</v>
      </c>
      <c r="J403" s="3" t="str">
        <f t="shared" si="127"/>
        <v>Stephan_etal_1981_TableII</v>
      </c>
      <c r="K403" s="3" t="str">
        <f t="shared" si="136"/>
        <v>10.1159%2F000155963_TableII</v>
      </c>
      <c r="L403" s="3" t="str">
        <f t="array" ref="L403">IFERROR(INDEX(AUTO_Public_TSV_FileList!$A$1:$A$1000,MATCH(TRUE(),EXACT(K403,IFERROR(_xlfn.TEXTBEFORE(AUTO_Public_TSV_FileList!$A$1:$A$1000,".tsv"),"")),0)),"notfound")</f>
        <v>10.1159%2F000155963_TableII.tsv</v>
      </c>
      <c r="M403" s="1" t="s">
        <v>1286</v>
      </c>
      <c r="N403" s="1" t="s">
        <v>35</v>
      </c>
      <c r="P403" s="1" t="s">
        <v>36</v>
      </c>
      <c r="W403" s="1" t="s">
        <v>110</v>
      </c>
      <c r="X403" s="1" t="s">
        <v>1284</v>
      </c>
      <c r="Z403" s="1" t="s">
        <v>83</v>
      </c>
      <c r="AA403" s="1" t="s">
        <v>123</v>
      </c>
      <c r="AB403" s="1" t="s">
        <v>90</v>
      </c>
      <c r="AC403" s="1" t="s">
        <v>112</v>
      </c>
      <c r="AD403" s="1" t="s">
        <v>112</v>
      </c>
      <c r="AE403" s="1" t="s">
        <v>66</v>
      </c>
      <c r="AF403" s="1"/>
    </row>
    <row r="404" spans="1:32" ht="15" customHeight="1" x14ac:dyDescent="0.2">
      <c r="A404" s="1" t="s">
        <v>1282</v>
      </c>
      <c r="D404" s="1" t="s">
        <v>1287</v>
      </c>
      <c r="E404" s="3" t="str">
        <f t="shared" si="124"/>
        <v>Stephan</v>
      </c>
      <c r="F404" s="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3" t="str">
        <f t="shared" si="125"/>
        <v>1981</v>
      </c>
      <c r="H404" s="3" t="str">
        <f t="shared" si="126"/>
        <v>Stephan_etal_1981</v>
      </c>
      <c r="I404" s="3" t="str">
        <f t="shared" si="137"/>
        <v>10.1159%2F000155963</v>
      </c>
      <c r="J404" s="3" t="str">
        <f t="shared" si="127"/>
        <v>Stephan_etal_1981_TableIII</v>
      </c>
      <c r="K404" s="3" t="str">
        <f t="shared" si="136"/>
        <v>10.1159%2F000155963_TableIII</v>
      </c>
      <c r="L404" s="3" t="str">
        <f t="array" ref="L404">IFERROR(INDEX(AUTO_Public_TSV_FileList!$A$1:$A$1000,MATCH(TRUE(),EXACT(K404,IFERROR(_xlfn.TEXTBEFORE(AUTO_Public_TSV_FileList!$A$1:$A$1000,".tsv"),"")),0)),"notfound")</f>
        <v>10.1159%2F000155963_TableIII.tsv</v>
      </c>
      <c r="M404" s="1" t="s">
        <v>1288</v>
      </c>
      <c r="N404" s="1" t="s">
        <v>35</v>
      </c>
      <c r="P404" s="1" t="s">
        <v>36</v>
      </c>
      <c r="W404" s="1" t="s">
        <v>110</v>
      </c>
      <c r="X404" s="1" t="s">
        <v>1284</v>
      </c>
      <c r="Z404" s="1" t="s">
        <v>83</v>
      </c>
      <c r="AA404" s="1" t="s">
        <v>123</v>
      </c>
      <c r="AB404" s="1" t="s">
        <v>90</v>
      </c>
      <c r="AC404" s="1" t="s">
        <v>112</v>
      </c>
      <c r="AD404" s="1" t="s">
        <v>112</v>
      </c>
      <c r="AE404" s="1" t="s">
        <v>66</v>
      </c>
      <c r="AF404" s="1"/>
    </row>
    <row r="405" spans="1:32" ht="15" customHeight="1" x14ac:dyDescent="0.2">
      <c r="A405" s="1" t="s">
        <v>1282</v>
      </c>
      <c r="D405" s="1" t="s">
        <v>1289</v>
      </c>
      <c r="E405" s="3" t="str">
        <f t="shared" si="124"/>
        <v>Stephan</v>
      </c>
      <c r="F405" s="3"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3" t="str">
        <f t="shared" si="125"/>
        <v>1981</v>
      </c>
      <c r="H405" s="3" t="str">
        <f t="shared" si="126"/>
        <v>Stephan_etal_1981</v>
      </c>
      <c r="I405" s="3" t="str">
        <f t="shared" si="137"/>
        <v>10.1159%2F000155963</v>
      </c>
      <c r="J405" s="3" t="str">
        <f t="shared" si="127"/>
        <v>Stephan_etal_1981_TableIV</v>
      </c>
      <c r="K405" s="3" t="str">
        <f t="shared" si="136"/>
        <v>10.1159%2F000155963_TableIV</v>
      </c>
      <c r="L405" s="3" t="str">
        <f t="array" ref="L405">IFERROR(INDEX(AUTO_Public_TSV_FileList!$A$1:$A$1000,MATCH(TRUE(),EXACT(K405,IFERROR(_xlfn.TEXTBEFORE(AUTO_Public_TSV_FileList!$A$1:$A$1000,".tsv"),"")),0)),"notfound")</f>
        <v>10.1159%2F000155963_TableIV.tsv</v>
      </c>
      <c r="M405" s="1" t="s">
        <v>1290</v>
      </c>
      <c r="N405" s="1" t="s">
        <v>35</v>
      </c>
      <c r="P405" s="1" t="s">
        <v>36</v>
      </c>
      <c r="W405" s="1" t="s">
        <v>110</v>
      </c>
      <c r="X405" s="1" t="s">
        <v>1284</v>
      </c>
      <c r="Z405" s="1" t="s">
        <v>83</v>
      </c>
      <c r="AA405" s="1" t="s">
        <v>123</v>
      </c>
      <c r="AB405" s="1" t="s">
        <v>90</v>
      </c>
      <c r="AC405" s="1" t="s">
        <v>112</v>
      </c>
      <c r="AD405" s="1" t="s">
        <v>112</v>
      </c>
      <c r="AE405" s="1" t="s">
        <v>66</v>
      </c>
      <c r="AF405" s="1"/>
    </row>
    <row r="406" spans="1:32" ht="15" customHeight="1" x14ac:dyDescent="0.2">
      <c r="A406" s="1" t="s">
        <v>1282</v>
      </c>
      <c r="C406" s="1"/>
      <c r="D406" s="1" t="s">
        <v>1291</v>
      </c>
      <c r="E406" s="3" t="str">
        <f t="shared" si="124"/>
        <v>Stephan</v>
      </c>
      <c r="F406" s="3"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3" t="str">
        <f t="shared" si="125"/>
        <v>1981</v>
      </c>
      <c r="H406" s="3" t="str">
        <f t="shared" si="126"/>
        <v>Stephan_etal_1981</v>
      </c>
      <c r="I406" s="3" t="str">
        <f t="shared" si="137"/>
        <v>10.1159%2F000155963</v>
      </c>
      <c r="J406" s="3" t="str">
        <f t="shared" si="127"/>
        <v>Stephan_etal_1981_TableIX</v>
      </c>
      <c r="K406" s="3" t="str">
        <f t="shared" si="136"/>
        <v>10.1159%2F000155963_TableIX</v>
      </c>
      <c r="L406" s="3" t="str">
        <f t="array" ref="L406">IFERROR(INDEX(AUTO_Public_TSV_FileList!$A$1:$A$1000,MATCH(TRUE(),EXACT(K406,IFERROR(_xlfn.TEXTBEFORE(AUTO_Public_TSV_FileList!$A$1:$A$1000,".tsv"),"")),0)),"notfound")</f>
        <v>10.1159%2F000155963_TableIX.tsv</v>
      </c>
      <c r="M406" s="1" t="s">
        <v>1292</v>
      </c>
      <c r="P406" s="1" t="s">
        <v>36</v>
      </c>
    </row>
    <row r="407" spans="1:32" ht="15" customHeight="1" x14ac:dyDescent="0.2">
      <c r="A407" s="1" t="s">
        <v>1282</v>
      </c>
      <c r="D407" s="1" t="s">
        <v>1293</v>
      </c>
      <c r="E407" s="3" t="str">
        <f t="shared" si="124"/>
        <v>Stephan</v>
      </c>
      <c r="F407" s="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3" t="str">
        <f t="shared" si="125"/>
        <v>1981</v>
      </c>
      <c r="H407" s="3" t="str">
        <f t="shared" si="126"/>
        <v>Stephan_etal_1981</v>
      </c>
      <c r="I407" s="3" t="str">
        <f t="shared" si="137"/>
        <v>10.1159%2F000155963</v>
      </c>
      <c r="J407" s="3" t="str">
        <f t="shared" si="127"/>
        <v>Stephan_etal_1981_TableV</v>
      </c>
      <c r="K407" s="3" t="str">
        <f t="shared" si="136"/>
        <v>10.1159%2F000155963_TableV</v>
      </c>
      <c r="L407" s="3" t="str">
        <f t="array" ref="L407">IFERROR(INDEX(AUTO_Public_TSV_FileList!$A$1:$A$1000,MATCH(TRUE(),EXACT(K407,IFERROR(_xlfn.TEXTBEFORE(AUTO_Public_TSV_FileList!$A$1:$A$1000,".tsv"),"")),0)),"notfound")</f>
        <v>10.1159%2F000155963_TableV.tsv</v>
      </c>
      <c r="M407" s="1" t="s">
        <v>1294</v>
      </c>
      <c r="N407" s="1" t="s">
        <v>35</v>
      </c>
      <c r="P407" s="1" t="s">
        <v>36</v>
      </c>
      <c r="W407" s="1" t="s">
        <v>110</v>
      </c>
      <c r="X407" s="1" t="s">
        <v>1284</v>
      </c>
      <c r="Z407" s="1" t="s">
        <v>83</v>
      </c>
      <c r="AA407" s="1" t="s">
        <v>123</v>
      </c>
      <c r="AB407" s="1" t="s">
        <v>90</v>
      </c>
      <c r="AC407" s="1" t="s">
        <v>112</v>
      </c>
      <c r="AD407" s="1" t="s">
        <v>112</v>
      </c>
      <c r="AE407" s="1" t="s">
        <v>66</v>
      </c>
      <c r="AF407" s="1"/>
    </row>
    <row r="408" spans="1:32" ht="15" customHeight="1" x14ac:dyDescent="0.2">
      <c r="A408" s="1" t="s">
        <v>1282</v>
      </c>
      <c r="D408" s="1" t="s">
        <v>1295</v>
      </c>
      <c r="E408" s="3" t="str">
        <f t="shared" ref="E408:E461" si="138">SUBSTITUTE(SUBSTITUTE(_xlfn.TEXTBEFORE(A408,","), "-", ""), " ", "")</f>
        <v>Stephan</v>
      </c>
      <c r="F408" s="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3" t="str">
        <f t="shared" ref="G408:G461" si="139">_xlfn.TEXTBEFORE(_xlfn.TEXTAFTER(A408, "("), ")")</f>
        <v>1981</v>
      </c>
      <c r="H408" s="3" t="str">
        <f t="shared" ref="H408:H461" si="140">E408 &amp; IF(F408&lt;&gt;"", "_" &amp; F408, "_") &amp; IF(G408&lt;&gt;"", "_" &amp; G408, "_") &amp; IF(B408&lt;&gt;"", "_" &amp; B408, "")</f>
        <v>Stephan_etal_1981</v>
      </c>
      <c r="I408" s="3" t="str">
        <f t="shared" si="137"/>
        <v>10.1159%2F000155963</v>
      </c>
      <c r="J408" s="3" t="str">
        <f t="shared" ref="J408:J461" si="141">TRIM(_xlfn.TEXTJOIN("_",FALSE(),H408,(SUBSTITUTE(SUBSTITUTE(D408," ",""), "_", ""))))</f>
        <v>Stephan_etal_1981_TableVI</v>
      </c>
      <c r="K408" s="3" t="str">
        <f t="shared" si="136"/>
        <v>10.1159%2F000155963_TableVI</v>
      </c>
      <c r="L408" s="3" t="str">
        <f t="array" ref="L408">IFERROR(INDEX(AUTO_Public_TSV_FileList!$A$1:$A$1000,MATCH(TRUE(),EXACT(K408,IFERROR(_xlfn.TEXTBEFORE(AUTO_Public_TSV_FileList!$A$1:$A$1000,".tsv"),"")),0)),"notfound")</f>
        <v>10.1159%2F000155963_TableVI.tsv</v>
      </c>
      <c r="M408" s="1" t="s">
        <v>1296</v>
      </c>
      <c r="N408" s="1" t="s">
        <v>35</v>
      </c>
      <c r="P408" s="1" t="s">
        <v>36</v>
      </c>
      <c r="W408" s="1" t="s">
        <v>110</v>
      </c>
      <c r="X408" s="1" t="s">
        <v>1284</v>
      </c>
      <c r="Z408" s="1" t="s">
        <v>83</v>
      </c>
      <c r="AA408" s="1" t="s">
        <v>123</v>
      </c>
      <c r="AB408" s="1" t="s">
        <v>90</v>
      </c>
      <c r="AC408" s="1" t="s">
        <v>112</v>
      </c>
      <c r="AD408" s="1" t="s">
        <v>112</v>
      </c>
      <c r="AE408" s="1" t="s">
        <v>66</v>
      </c>
      <c r="AF408" s="1"/>
    </row>
    <row r="409" spans="1:32" ht="15" customHeight="1" x14ac:dyDescent="0.2">
      <c r="A409" s="1" t="s">
        <v>1282</v>
      </c>
      <c r="C409" s="1"/>
      <c r="D409" s="1" t="s">
        <v>1297</v>
      </c>
      <c r="E409" s="3" t="str">
        <f t="shared" si="138"/>
        <v>Stephan</v>
      </c>
      <c r="F409" s="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3" t="str">
        <f t="shared" si="139"/>
        <v>1981</v>
      </c>
      <c r="H409" s="3" t="str">
        <f t="shared" si="140"/>
        <v>Stephan_etal_1981</v>
      </c>
      <c r="I409" s="3" t="str">
        <f t="shared" si="137"/>
        <v>10.1159%2F000155963</v>
      </c>
      <c r="J409" s="3" t="str">
        <f t="shared" si="141"/>
        <v>Stephan_etal_1981_TableVII</v>
      </c>
      <c r="K409" s="3" t="str">
        <f t="shared" si="136"/>
        <v>10.1159%2F000155963_TableVII</v>
      </c>
      <c r="L409" s="3" t="str">
        <f t="array" ref="L409">IFERROR(INDEX(AUTO_Public_TSV_FileList!$A$1:$A$1000,MATCH(TRUE(),EXACT(K409,IFERROR(_xlfn.TEXTBEFORE(AUTO_Public_TSV_FileList!$A$1:$A$1000,".tsv"),"")),0)),"notfound")</f>
        <v>10.1159%2F000155963_TableVII.tsv</v>
      </c>
      <c r="M409" s="1" t="s">
        <v>1298</v>
      </c>
      <c r="N409" s="1" t="s">
        <v>35</v>
      </c>
      <c r="P409" s="1" t="s">
        <v>36</v>
      </c>
      <c r="W409" s="1" t="s">
        <v>110</v>
      </c>
      <c r="X409" s="1" t="s">
        <v>1284</v>
      </c>
      <c r="Z409" s="1" t="s">
        <v>83</v>
      </c>
      <c r="AA409" s="1" t="s">
        <v>123</v>
      </c>
      <c r="AB409" s="1" t="s">
        <v>90</v>
      </c>
      <c r="AC409" s="1" t="s">
        <v>112</v>
      </c>
      <c r="AD409" s="1" t="s">
        <v>112</v>
      </c>
      <c r="AE409" s="1" t="s">
        <v>66</v>
      </c>
      <c r="AF409" s="1"/>
    </row>
    <row r="410" spans="1:32" ht="15" customHeight="1" x14ac:dyDescent="0.2">
      <c r="A410" s="1" t="s">
        <v>1282</v>
      </c>
      <c r="C410" s="1"/>
      <c r="D410" s="1" t="s">
        <v>1299</v>
      </c>
      <c r="E410" s="3" t="str">
        <f t="shared" si="138"/>
        <v>Stephan</v>
      </c>
      <c r="F410" s="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3" t="str">
        <f t="shared" si="139"/>
        <v>1981</v>
      </c>
      <c r="H410" s="3" t="str">
        <f t="shared" si="140"/>
        <v>Stephan_etal_1981</v>
      </c>
      <c r="I410" s="3" t="str">
        <f t="shared" si="137"/>
        <v>10.1159%2F000155963</v>
      </c>
      <c r="J410" s="3" t="str">
        <f t="shared" si="141"/>
        <v>Stephan_etal_1981_TableVIII</v>
      </c>
      <c r="K410" s="3" t="str">
        <f t="shared" si="136"/>
        <v>10.1159%2F000155963_TableVIII</v>
      </c>
      <c r="L410" s="3" t="str">
        <f t="array" ref="L410">IFERROR(INDEX(AUTO_Public_TSV_FileList!$A$1:$A$1000,MATCH(TRUE(),EXACT(K410,IFERROR(_xlfn.TEXTBEFORE(AUTO_Public_TSV_FileList!$A$1:$A$1000,".tsv"),"")),0)),"notfound")</f>
        <v>10.1159%2F000155963_TableVIII.tsv</v>
      </c>
      <c r="M410" s="1" t="s">
        <v>1300</v>
      </c>
      <c r="P410" s="1" t="s">
        <v>36</v>
      </c>
    </row>
    <row r="411" spans="1:32" ht="15" customHeight="1" x14ac:dyDescent="0.2">
      <c r="A411" s="1" t="s">
        <v>1282</v>
      </c>
      <c r="C411" s="1"/>
      <c r="D411" s="1" t="s">
        <v>1301</v>
      </c>
      <c r="E411" s="3" t="str">
        <f t="shared" si="138"/>
        <v>Stephan</v>
      </c>
      <c r="F411" s="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3" t="str">
        <f t="shared" si="139"/>
        <v>1981</v>
      </c>
      <c r="H411" s="3" t="str">
        <f t="shared" si="140"/>
        <v>Stephan_etal_1981</v>
      </c>
      <c r="I411" s="3" t="str">
        <f t="shared" si="137"/>
        <v>10.1159%2F000155963</v>
      </c>
      <c r="J411" s="3" t="str">
        <f t="shared" si="141"/>
        <v>Stephan_etal_1981_TableX</v>
      </c>
      <c r="K411" s="3" t="str">
        <f t="shared" si="136"/>
        <v>10.1159%2F000155963_TableX</v>
      </c>
      <c r="L411" s="3" t="str">
        <f t="array" ref="L411">IFERROR(INDEX(AUTO_Public_TSV_FileList!$A$1:$A$1000,MATCH(TRUE(),EXACT(K411,IFERROR(_xlfn.TEXTBEFORE(AUTO_Public_TSV_FileList!$A$1:$A$1000,".tsv"),"")),0)),"notfound")</f>
        <v>10.1159%2F000155963_TableX.tsv</v>
      </c>
      <c r="M411" s="1" t="s">
        <v>1302</v>
      </c>
      <c r="P411" s="1" t="s">
        <v>36</v>
      </c>
    </row>
    <row r="412" spans="1:32" ht="15" customHeight="1" x14ac:dyDescent="0.2">
      <c r="A412" s="1" t="s">
        <v>1282</v>
      </c>
      <c r="D412" s="1" t="s">
        <v>1303</v>
      </c>
      <c r="E412" s="3" t="str">
        <f t="shared" si="138"/>
        <v>Stephan</v>
      </c>
      <c r="F412" s="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3" t="str">
        <f t="shared" si="139"/>
        <v>1981</v>
      </c>
      <c r="H412" s="3" t="str">
        <f t="shared" si="140"/>
        <v>Stephan_etal_1981</v>
      </c>
      <c r="I412" s="3" t="str">
        <f t="shared" si="137"/>
        <v>10.1159%2F000155963</v>
      </c>
      <c r="J412" s="3" t="str">
        <f t="shared" si="141"/>
        <v>Stephan_etal_1981_TableXI</v>
      </c>
      <c r="K412" s="3" t="str">
        <f t="shared" si="136"/>
        <v>10.1159%2F000155963_TableXI</v>
      </c>
      <c r="L412" s="3" t="str">
        <f t="array" ref="L412">IFERROR(INDEX(AUTO_Public_TSV_FileList!$A$1:$A$1000,MATCH(TRUE(),EXACT(K412,IFERROR(_xlfn.TEXTBEFORE(AUTO_Public_TSV_FileList!$A$1:$A$1000,".tsv"),"")),0)),"notfound")</f>
        <v>10.1159%2F000155963_TableXI.tsv</v>
      </c>
      <c r="M412" s="1" t="s">
        <v>1304</v>
      </c>
      <c r="N412" s="1" t="s">
        <v>35</v>
      </c>
      <c r="P412" s="1" t="s">
        <v>36</v>
      </c>
      <c r="W412" s="1" t="s">
        <v>110</v>
      </c>
      <c r="X412" s="1" t="s">
        <v>1284</v>
      </c>
      <c r="Z412" s="1" t="s">
        <v>83</v>
      </c>
      <c r="AA412" s="1" t="s">
        <v>123</v>
      </c>
      <c r="AB412" s="1" t="s">
        <v>90</v>
      </c>
      <c r="AC412" s="1" t="s">
        <v>112</v>
      </c>
      <c r="AD412" s="1" t="s">
        <v>112</v>
      </c>
      <c r="AE412" s="1" t="s">
        <v>66</v>
      </c>
      <c r="AF412" s="1"/>
    </row>
    <row r="413" spans="1:32" ht="15" customHeight="1" x14ac:dyDescent="0.2">
      <c r="A413" s="1" t="s">
        <v>1282</v>
      </c>
      <c r="D413" s="1" t="s">
        <v>1305</v>
      </c>
      <c r="E413" s="3" t="str">
        <f t="shared" si="138"/>
        <v>Stephan</v>
      </c>
      <c r="F413" s="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3" t="str">
        <f t="shared" si="139"/>
        <v>1981</v>
      </c>
      <c r="H413" s="3" t="str">
        <f t="shared" si="140"/>
        <v>Stephan_etal_1981</v>
      </c>
      <c r="I413" s="3" t="str">
        <f t="shared" si="137"/>
        <v>10.1159%2F000155963</v>
      </c>
      <c r="J413" s="3" t="str">
        <f t="shared" si="141"/>
        <v>Stephan_etal_1981_TableXII</v>
      </c>
      <c r="K413" s="3" t="str">
        <f t="shared" ref="K413:K427" si="142">I413 &amp; "_" &amp; SUBSTITUTE(SUBSTITUTE(SUBSTITUTE(D413,CHAR(160),"")," ",""),"_","")</f>
        <v>10.1159%2F000155963_TableXII</v>
      </c>
      <c r="L413" s="3" t="str">
        <f t="array" ref="L413">IFERROR(INDEX(AUTO_Public_TSV_FileList!$A$1:$A$1000,MATCH(TRUE(),EXACT(K413,IFERROR(_xlfn.TEXTBEFORE(AUTO_Public_TSV_FileList!$A$1:$A$1000,".tsv"),"")),0)),"notfound")</f>
        <v>10.1159%2F000155963_TableXII.tsv</v>
      </c>
      <c r="M413" s="1" t="s">
        <v>1306</v>
      </c>
      <c r="N413" s="1" t="s">
        <v>35</v>
      </c>
      <c r="P413" s="1" t="s">
        <v>36</v>
      </c>
      <c r="W413" s="1" t="s">
        <v>110</v>
      </c>
      <c r="X413" s="1" t="s">
        <v>1284</v>
      </c>
      <c r="Z413" s="1" t="s">
        <v>83</v>
      </c>
      <c r="AA413" s="1" t="s">
        <v>123</v>
      </c>
      <c r="AB413" s="1" t="s">
        <v>90</v>
      </c>
      <c r="AC413" s="1" t="s">
        <v>112</v>
      </c>
      <c r="AD413" s="1" t="s">
        <v>112</v>
      </c>
      <c r="AE413" s="1" t="s">
        <v>66</v>
      </c>
      <c r="AF413" s="1"/>
    </row>
    <row r="414" spans="1:32" ht="15" customHeight="1" x14ac:dyDescent="0.2">
      <c r="A414" s="1" t="s">
        <v>1282</v>
      </c>
      <c r="D414" s="1" t="s">
        <v>1307</v>
      </c>
      <c r="E414" s="3" t="str">
        <f t="shared" si="138"/>
        <v>Stephan</v>
      </c>
      <c r="F414" s="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3" t="str">
        <f t="shared" si="139"/>
        <v>1981</v>
      </c>
      <c r="H414" s="3" t="str">
        <f t="shared" si="140"/>
        <v>Stephan_etal_1981</v>
      </c>
      <c r="I414" s="3" t="str">
        <f t="shared" si="137"/>
        <v>10.1159%2F000155963</v>
      </c>
      <c r="J414" s="3" t="str">
        <f t="shared" si="141"/>
        <v>Stephan_etal_1981_TableXIII</v>
      </c>
      <c r="K414" s="3" t="str">
        <f t="shared" si="142"/>
        <v>10.1159%2F000155963_TableXIII</v>
      </c>
      <c r="L414" s="3" t="str">
        <f t="array" ref="L414">IFERROR(INDEX(AUTO_Public_TSV_FileList!$A$1:$A$1000,MATCH(TRUE(),EXACT(K414,IFERROR(_xlfn.TEXTBEFORE(AUTO_Public_TSV_FileList!$A$1:$A$1000,".tsv"),"")),0)),"notfound")</f>
        <v>10.1159%2F000155963_TableXIII.tsv</v>
      </c>
      <c r="M414" s="1" t="s">
        <v>1308</v>
      </c>
      <c r="N414" s="1" t="s">
        <v>35</v>
      </c>
      <c r="P414" s="1" t="s">
        <v>36</v>
      </c>
      <c r="W414" s="1" t="s">
        <v>110</v>
      </c>
      <c r="X414" s="1" t="s">
        <v>1284</v>
      </c>
      <c r="Z414" s="1" t="s">
        <v>83</v>
      </c>
      <c r="AA414" s="1" t="s">
        <v>123</v>
      </c>
      <c r="AB414" s="1" t="s">
        <v>90</v>
      </c>
      <c r="AC414" s="1" t="s">
        <v>112</v>
      </c>
      <c r="AD414" s="1" t="s">
        <v>112</v>
      </c>
      <c r="AE414" s="1" t="s">
        <v>66</v>
      </c>
      <c r="AF414" s="1"/>
    </row>
    <row r="415" spans="1:32" ht="15" customHeight="1" x14ac:dyDescent="0.2">
      <c r="A415" s="1" t="s">
        <v>1282</v>
      </c>
      <c r="D415" s="1" t="s">
        <v>1309</v>
      </c>
      <c r="E415" s="3" t="str">
        <f t="shared" si="138"/>
        <v>Stephan</v>
      </c>
      <c r="F415" s="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3" t="str">
        <f t="shared" si="139"/>
        <v>1981</v>
      </c>
      <c r="H415" s="3" t="str">
        <f t="shared" si="140"/>
        <v>Stephan_etal_1981</v>
      </c>
      <c r="I415" s="3" t="str">
        <f t="shared" si="137"/>
        <v>10.1159%2F000155963</v>
      </c>
      <c r="J415" s="3" t="str">
        <f t="shared" si="141"/>
        <v>Stephan_etal_1981_TableXIV</v>
      </c>
      <c r="K415" s="3" t="str">
        <f t="shared" si="142"/>
        <v>10.1159%2F000155963_TableXIV</v>
      </c>
      <c r="L415" s="3" t="str">
        <f t="array" ref="L415">IFERROR(INDEX(AUTO_Public_TSV_FileList!$A$1:$A$1000,MATCH(TRUE(),EXACT(K415,IFERROR(_xlfn.TEXTBEFORE(AUTO_Public_TSV_FileList!$A$1:$A$1000,".tsv"),"")),0)),"notfound")</f>
        <v>10.1159%2F000155963_TableXIV.tsv</v>
      </c>
      <c r="M415" s="1" t="s">
        <v>1310</v>
      </c>
      <c r="N415" s="1" t="s">
        <v>35</v>
      </c>
      <c r="P415" s="1" t="s">
        <v>36</v>
      </c>
      <c r="W415" s="1" t="s">
        <v>110</v>
      </c>
      <c r="X415" s="1" t="s">
        <v>1284</v>
      </c>
      <c r="Z415" s="1" t="s">
        <v>83</v>
      </c>
      <c r="AA415" s="1" t="s">
        <v>123</v>
      </c>
      <c r="AB415" s="1" t="s">
        <v>90</v>
      </c>
      <c r="AC415" s="1" t="s">
        <v>112</v>
      </c>
      <c r="AD415" s="1" t="s">
        <v>112</v>
      </c>
      <c r="AE415" s="1" t="s">
        <v>66</v>
      </c>
      <c r="AF415" s="1"/>
    </row>
    <row r="416" spans="1:32" ht="15" customHeight="1" x14ac:dyDescent="0.2">
      <c r="A416" s="1" t="s">
        <v>1282</v>
      </c>
      <c r="D416" s="1" t="s">
        <v>1311</v>
      </c>
      <c r="E416" s="3" t="str">
        <f t="shared" si="138"/>
        <v>Stephan</v>
      </c>
      <c r="F416" s="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3" t="str">
        <f t="shared" si="139"/>
        <v>1981</v>
      </c>
      <c r="H416" s="3" t="str">
        <f t="shared" si="140"/>
        <v>Stephan_etal_1981</v>
      </c>
      <c r="I416" s="3" t="str">
        <f t="shared" si="137"/>
        <v>10.1159%2F000155963</v>
      </c>
      <c r="J416" s="3" t="str">
        <f t="shared" si="141"/>
        <v>Stephan_etal_1981_TableXV</v>
      </c>
      <c r="K416" s="3" t="str">
        <f t="shared" si="142"/>
        <v>10.1159%2F000155963_TableXV</v>
      </c>
      <c r="L416" s="3" t="str">
        <f t="array" ref="L416">IFERROR(INDEX(AUTO_Public_TSV_FileList!$A$1:$A$1000,MATCH(TRUE(),EXACT(K416,IFERROR(_xlfn.TEXTBEFORE(AUTO_Public_TSV_FileList!$A$1:$A$1000,".tsv"),"")),0)),"notfound")</f>
        <v>10.1159%2F000155963_TableXV.tsv</v>
      </c>
      <c r="M416" s="1" t="s">
        <v>1312</v>
      </c>
      <c r="N416" s="1" t="s">
        <v>35</v>
      </c>
      <c r="P416" s="1" t="s">
        <v>36</v>
      </c>
      <c r="W416" s="1" t="s">
        <v>110</v>
      </c>
      <c r="X416" s="1" t="s">
        <v>1284</v>
      </c>
      <c r="Z416" s="1" t="s">
        <v>83</v>
      </c>
      <c r="AA416" s="1" t="s">
        <v>123</v>
      </c>
      <c r="AB416" s="1" t="s">
        <v>90</v>
      </c>
      <c r="AC416" s="1" t="s">
        <v>112</v>
      </c>
      <c r="AD416" s="1" t="s">
        <v>112</v>
      </c>
      <c r="AE416" s="1" t="s">
        <v>66</v>
      </c>
      <c r="AF416" s="1"/>
    </row>
    <row r="417" spans="1:33" ht="15" customHeight="1" x14ac:dyDescent="0.2">
      <c r="A417" s="1" t="s">
        <v>1282</v>
      </c>
      <c r="D417" s="1" t="s">
        <v>1313</v>
      </c>
      <c r="E417" s="3" t="str">
        <f t="shared" si="138"/>
        <v>Stephan</v>
      </c>
      <c r="F417" s="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3" t="str">
        <f t="shared" si="139"/>
        <v>1981</v>
      </c>
      <c r="H417" s="3" t="str">
        <f t="shared" si="140"/>
        <v>Stephan_etal_1981</v>
      </c>
      <c r="I417" s="3" t="str">
        <f t="shared" si="137"/>
        <v>10.1159%2F000155963</v>
      </c>
      <c r="J417" s="3" t="str">
        <f t="shared" si="141"/>
        <v>Stephan_etal_1981_TableXVI</v>
      </c>
      <c r="K417" s="3" t="str">
        <f t="shared" si="142"/>
        <v>10.1159%2F000155963_TableXVI</v>
      </c>
      <c r="L417" s="3" t="str">
        <f t="array" ref="L417">IFERROR(INDEX(AUTO_Public_TSV_FileList!$A$1:$A$1000,MATCH(TRUE(),EXACT(K417,IFERROR(_xlfn.TEXTBEFORE(AUTO_Public_TSV_FileList!$A$1:$A$1000,".tsv"),"")),0)),"notfound")</f>
        <v>10.1159%2F000155963_TableXVI.tsv</v>
      </c>
      <c r="M417" s="1" t="s">
        <v>1314</v>
      </c>
      <c r="N417" s="1" t="s">
        <v>35</v>
      </c>
      <c r="P417" s="1" t="s">
        <v>36</v>
      </c>
      <c r="W417" s="1" t="s">
        <v>110</v>
      </c>
      <c r="X417" s="1" t="s">
        <v>1284</v>
      </c>
      <c r="Z417" s="1" t="s">
        <v>83</v>
      </c>
      <c r="AA417" s="1" t="s">
        <v>123</v>
      </c>
      <c r="AB417" s="1" t="s">
        <v>90</v>
      </c>
      <c r="AC417" s="1" t="s">
        <v>112</v>
      </c>
      <c r="AD417" s="1" t="s">
        <v>112</v>
      </c>
      <c r="AE417" s="1" t="s">
        <v>66</v>
      </c>
      <c r="AF417" s="1"/>
    </row>
    <row r="418" spans="1:33" ht="15" customHeight="1" x14ac:dyDescent="0.2">
      <c r="A418" s="1" t="s">
        <v>1315</v>
      </c>
      <c r="D418" s="1" t="s">
        <v>1316</v>
      </c>
      <c r="E418" s="3" t="str">
        <f t="shared" si="138"/>
        <v>Stimpson</v>
      </c>
      <c r="F418" s="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3" t="str">
        <f t="shared" si="139"/>
        <v>2015</v>
      </c>
      <c r="H418" s="3" t="str">
        <f t="shared" si="140"/>
        <v>Stimpson_etal_2015</v>
      </c>
      <c r="I418" s="3" t="str">
        <f t="shared" si="137"/>
        <v>10.1093%2Fscan%2Fnsv128</v>
      </c>
      <c r="J418" s="3" t="str">
        <f t="shared" si="141"/>
        <v>Stimpson_etal_2015_TableS1</v>
      </c>
      <c r="K418" s="3" t="str">
        <f t="shared" si="142"/>
        <v>10.1093%2Fscan%2Fnsv128_TableS1</v>
      </c>
      <c r="L418" s="3" t="str">
        <f t="array" ref="L418">IFERROR(INDEX(AUTO_Public_TSV_FileList!$A$1:$A$1000,MATCH(TRUE(),EXACT(K418,IFERROR(_xlfn.TEXTBEFORE(AUTO_Public_TSV_FileList!$A$1:$A$1000,".tsv"),"")),0)),"notfound")</f>
        <v>10.1093%2Fscan%2Fnsv128_TableS1.tsv</v>
      </c>
      <c r="M418" s="1" t="s">
        <v>1316</v>
      </c>
      <c r="N418" s="1" t="s">
        <v>35</v>
      </c>
      <c r="P418" s="1" t="s">
        <v>36</v>
      </c>
      <c r="Z418" s="1" t="s">
        <v>83</v>
      </c>
      <c r="AA418" s="1" t="s">
        <v>123</v>
      </c>
      <c r="AB418" s="1" t="s">
        <v>90</v>
      </c>
      <c r="AC418" s="1" t="s">
        <v>1159</v>
      </c>
      <c r="AD418" s="1" t="s">
        <v>1159</v>
      </c>
      <c r="AE418" s="1" t="s">
        <v>66</v>
      </c>
      <c r="AF418" s="1"/>
    </row>
    <row r="419" spans="1:33" ht="15" customHeight="1" x14ac:dyDescent="0.2">
      <c r="A419" s="1" t="s">
        <v>1315</v>
      </c>
      <c r="D419" s="1" t="s">
        <v>1317</v>
      </c>
      <c r="E419" s="3" t="str">
        <f t="shared" si="138"/>
        <v>Stimpson</v>
      </c>
      <c r="F419" s="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3" t="str">
        <f t="shared" si="139"/>
        <v>2015</v>
      </c>
      <c r="H419" s="3" t="str">
        <f t="shared" si="140"/>
        <v>Stimpson_etal_2015</v>
      </c>
      <c r="I419" s="3" t="str">
        <f t="shared" si="137"/>
        <v>10.1093%2Fscan%2Fnsv128</v>
      </c>
      <c r="J419" s="3" t="str">
        <f t="shared" si="141"/>
        <v>Stimpson_etal_2015_TableS2</v>
      </c>
      <c r="K419" s="3" t="str">
        <f t="shared" si="142"/>
        <v>10.1093%2Fscan%2Fnsv128_TableS2</v>
      </c>
      <c r="L419" s="3" t="str">
        <f t="array" ref="L419">IFERROR(INDEX(AUTO_Public_TSV_FileList!$A$1:$A$1000,MATCH(TRUE(),EXACT(K419,IFERROR(_xlfn.TEXTBEFORE(AUTO_Public_TSV_FileList!$A$1:$A$1000,".tsv"),"")),0)),"notfound")</f>
        <v>10.1093%2Fscan%2Fnsv128_TableS2.tsv</v>
      </c>
      <c r="M419" s="1" t="s">
        <v>1317</v>
      </c>
      <c r="N419" s="1" t="s">
        <v>35</v>
      </c>
      <c r="P419" s="1" t="s">
        <v>36</v>
      </c>
      <c r="Z419" s="1" t="s">
        <v>83</v>
      </c>
      <c r="AA419" s="1" t="s">
        <v>123</v>
      </c>
      <c r="AB419" s="1" t="s">
        <v>90</v>
      </c>
      <c r="AC419" s="1" t="s">
        <v>1159</v>
      </c>
      <c r="AD419" s="1" t="s">
        <v>1159</v>
      </c>
      <c r="AE419" s="1" t="s">
        <v>66</v>
      </c>
      <c r="AF419" s="1"/>
    </row>
    <row r="420" spans="1:33" ht="15" customHeight="1" x14ac:dyDescent="0.2">
      <c r="A420" s="1" t="s">
        <v>1486</v>
      </c>
      <c r="D420" s="1" t="s">
        <v>1487</v>
      </c>
      <c r="E420" s="3" t="str">
        <f t="shared" ref="E420" si="143">SUBSTITUTE(SUBSTITUTE(_xlfn.TEXTBEFORE(A420,","), "-", ""), " ", "")</f>
        <v>Taniguchi</v>
      </c>
      <c r="F420" s="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3" t="str">
        <f t="shared" ref="G420" si="144">_xlfn.TEXTBEFORE(_xlfn.TEXTAFTER(A420, "("), ")")</f>
        <v>2022</v>
      </c>
      <c r="H420" s="3" t="str">
        <f t="shared" ref="H420" si="145">E420 &amp; IF(F420&lt;&gt;"", "_" &amp; F420, "_") &amp; IF(G420&lt;&gt;"", "_" &amp; G420, "_") &amp; IF(B420&lt;&gt;"", "_" &amp; B420, "")</f>
        <v>Taniguchi_etal_2022</v>
      </c>
      <c r="I420" s="3" t="str">
        <f t="shared" ref="I420" si="146">_xlfn.LET(
_xlpm.doi,IF(C420&lt;&gt;"",C420,_xlfn.TEXTAFTER(A420,"https://doi.org/")),
SUBSTITUTE(
SUBSTITUTE(
SUBSTITUTE(
SUBSTITUTE(
_xlpm.doi,
"/","%2F"),
":","%3A"),
"&lt;","%3C"),
"&gt;","%3E")
)</f>
        <v>10.1371%2Fjournal.pone.0274170</v>
      </c>
      <c r="J420" s="3" t="str">
        <f t="shared" ref="J420" si="147">TRIM(_xlfn.TEXTJOIN("_",FALSE(),H420,(SUBSTITUTE(SUBSTITUTE(D420," ",""), "_", ""))))</f>
        <v>Taniguchi_etal_2022_Findings</v>
      </c>
      <c r="K420" s="3" t="str">
        <f t="shared" ref="K420" si="148">I420 &amp; "_" &amp; SUBSTITUTE(SUBSTITUTE(SUBSTITUTE(D420,CHAR(160),"")," ",""),"_","")</f>
        <v>10.1371%2Fjournal.pone.0274170_Findings</v>
      </c>
      <c r="L420" s="3" t="str">
        <f t="array" ref="L420">IFERROR(INDEX(AUTO_Public_TSV_FileList!$A$1:$A$1000,MATCH(TRUE(),EXACT(K420,IFERROR(_xlfn.TEXTBEFORE(AUTO_Public_TSV_FileList!$A$1:$A$1000,".tsv"),"")),0)),"notfound")</f>
        <v>10.1371%2Fjournal.pone.0274170_Findings.tsv</v>
      </c>
      <c r="M420" s="1"/>
      <c r="N420" s="1"/>
      <c r="P420" s="1"/>
      <c r="Z420" s="1"/>
      <c r="AA420" s="1"/>
      <c r="AB420" s="1"/>
      <c r="AC420" s="1"/>
      <c r="AD420" s="1"/>
      <c r="AE420" s="1"/>
      <c r="AF420" s="1"/>
    </row>
    <row r="421" spans="1:33" ht="15" customHeight="1" x14ac:dyDescent="0.2">
      <c r="A421" s="1" t="s">
        <v>1318</v>
      </c>
      <c r="D421" s="1" t="s">
        <v>1319</v>
      </c>
      <c r="E421" s="3" t="str">
        <f t="shared" si="138"/>
        <v>Todorov</v>
      </c>
      <c r="F421" s="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3" t="str">
        <f t="shared" si="139"/>
        <v>2019</v>
      </c>
      <c r="H421" s="3" t="str">
        <f t="shared" si="140"/>
        <v>Todorov_etal_2019</v>
      </c>
      <c r="I421" s="3" t="str">
        <f t="shared" si="137"/>
        <v>10.1098%2Frspb.2019.1712</v>
      </c>
      <c r="J421" s="3" t="str">
        <f t="shared" si="141"/>
        <v>Todorov_etal_2019_rspb20191712si001</v>
      </c>
      <c r="K421" s="3" t="str">
        <f t="shared" si="142"/>
        <v>10.1098%2Frspb.2019.1712_rspb20191712si001</v>
      </c>
      <c r="L421" s="3" t="str">
        <f t="array" ref="L421">IFERROR(INDEX(AUTO_Public_TSV_FileList!$A$1:$A$1000,MATCH(TRUE(),EXACT(K421,IFERROR(_xlfn.TEXTBEFORE(AUTO_Public_TSV_FileList!$A$1:$A$1000,".tsv"),"")),0)),"notfound")</f>
        <v>notfound</v>
      </c>
      <c r="M421" s="1" t="s">
        <v>1320</v>
      </c>
      <c r="N421" s="1"/>
      <c r="P421" s="1"/>
      <c r="Z421" s="1"/>
      <c r="AA421" s="1"/>
      <c r="AB421" s="1"/>
      <c r="AC421" s="1"/>
      <c r="AD421" s="1"/>
      <c r="AE421" s="1"/>
      <c r="AF421" s="1"/>
    </row>
    <row r="422" spans="1:33" ht="15" customHeight="1" x14ac:dyDescent="0.2">
      <c r="A422" s="7" t="s">
        <v>1321</v>
      </c>
      <c r="B422" s="7"/>
      <c r="C422" s="7" t="s">
        <v>1322</v>
      </c>
      <c r="D422" s="7" t="s">
        <v>1323</v>
      </c>
      <c r="E422" s="10" t="str">
        <f t="shared" si="138"/>
        <v>Tschudin</v>
      </c>
      <c r="F422" s="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22" s="3" t="str">
        <f t="shared" si="139"/>
        <v>1998</v>
      </c>
      <c r="H422" s="10" t="str">
        <f t="shared" si="140"/>
        <v>Tschudin__1998</v>
      </c>
      <c r="I422" s="10" t="str">
        <f>_xlfn.LET(_xlpm.doi,IF(C422&lt;&gt;"",C422,_xlfn.TEXTAFTER(A422,"https://doi.org/")),SUBSTITUTE(SUBSTITUTE(SUBSTITUTE(SUBSTITUTE(_xlpm.doi,"/","%2F"),":","%3A"),"&lt;","%3C"),"&gt;","%3E"))</f>
        <v>CorpusID%3A142614626</v>
      </c>
      <c r="J422" s="10" t="str">
        <f t="shared" si="141"/>
        <v>Tschudin__1998_Table2.5</v>
      </c>
      <c r="K422" s="10" t="str">
        <f t="shared" si="142"/>
        <v>CorpusID%3A142614626_Table2.5</v>
      </c>
      <c r="L422" s="3" t="str">
        <f t="array" ref="L422">IFERROR(INDEX(AUTO_Public_TSV_FileList!$A$1:$A$1000,MATCH(TRUE(),EXACT(K422,IFERROR(_xlfn.TEXTBEFORE(AUTO_Public_TSV_FileList!$A$1:$A$1000,".tsv"),"")),0)),"notfound")</f>
        <v>notfound</v>
      </c>
      <c r="M422" s="7" t="s">
        <v>1324</v>
      </c>
      <c r="N422" s="1" t="s">
        <v>35</v>
      </c>
      <c r="P422" s="7"/>
      <c r="Q422" s="7"/>
      <c r="R422" s="7"/>
      <c r="S422" s="7" t="s">
        <v>491</v>
      </c>
      <c r="T422" s="7" t="s">
        <v>492</v>
      </c>
      <c r="U422" s="7"/>
      <c r="V422" s="7" t="s">
        <v>493</v>
      </c>
      <c r="W422" s="7" t="s">
        <v>1120</v>
      </c>
      <c r="X422" s="7" t="s">
        <v>1325</v>
      </c>
      <c r="Y422" s="7"/>
      <c r="Z422" s="7"/>
      <c r="AA422" s="7" t="s">
        <v>1326</v>
      </c>
      <c r="AB422" s="7" t="s">
        <v>1327</v>
      </c>
      <c r="AD422" s="7"/>
      <c r="AE422" s="7" t="s">
        <v>66</v>
      </c>
      <c r="AF422" s="7"/>
      <c r="AG422" s="7" t="s">
        <v>1328</v>
      </c>
    </row>
    <row r="423" spans="1:33" ht="15" customHeight="1" x14ac:dyDescent="0.2">
      <c r="A423" s="1" t="s">
        <v>1329</v>
      </c>
      <c r="D423" s="1" t="s">
        <v>81</v>
      </c>
      <c r="E423" s="3" t="str">
        <f t="shared" si="138"/>
        <v>Turner</v>
      </c>
      <c r="F423" s="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3" t="str">
        <f t="shared" si="139"/>
        <v>2016</v>
      </c>
      <c r="H423" s="3" t="str">
        <f t="shared" si="140"/>
        <v>Turner_etal_2016</v>
      </c>
      <c r="I423" s="3" t="str">
        <f>_xlfn.LET(
_xlpm.doi,IF(C423&lt;&gt;"",C423,_xlfn.TEXTAFTER(A423,"https://doi.org/")),
SUBSTITUTE(
SUBSTITUTE(
SUBSTITUTE(
SUBSTITUTE(
_xlpm.doi,
"/","%2F"),
":","%3A"),
"&lt;","%3C"),
"&gt;","%3E")
)</f>
        <v>10.1159%2F000446762</v>
      </c>
      <c r="J423" s="3" t="str">
        <f t="shared" si="141"/>
        <v>Turner_etal_2016_Table1</v>
      </c>
      <c r="K423" s="3" t="str">
        <f t="shared" si="142"/>
        <v>10.1159%2F000446762_Table1</v>
      </c>
      <c r="L423" s="3" t="str">
        <f t="array" ref="L423">IFERROR(INDEX(AUTO_Public_TSV_FileList!$A$1:$A$1000,MATCH(TRUE(),EXACT(K423,IFERROR(_xlfn.TEXTBEFORE(AUTO_Public_TSV_FileList!$A$1:$A$1000,".tsv"),"")),0)),"notfound")</f>
        <v>10.1159%2F000446762_Table1.tsv</v>
      </c>
      <c r="M423" s="1" t="s">
        <v>1330</v>
      </c>
      <c r="P423" s="8" t="s">
        <v>36</v>
      </c>
      <c r="W423" s="1" t="s">
        <v>131</v>
      </c>
      <c r="X423" s="1" t="s">
        <v>1331</v>
      </c>
      <c r="AB423" s="1" t="s">
        <v>171</v>
      </c>
      <c r="AE423" s="1" t="s">
        <v>66</v>
      </c>
      <c r="AF423" s="1"/>
    </row>
    <row r="424" spans="1:33" ht="15" customHeight="1" x14ac:dyDescent="0.2">
      <c r="A424" s="8" t="s">
        <v>1332</v>
      </c>
      <c r="D424" s="8" t="s">
        <v>1333</v>
      </c>
      <c r="E424" s="10" t="str">
        <f t="shared" si="138"/>
        <v>Upham</v>
      </c>
      <c r="F424" s="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3" t="str">
        <f t="shared" si="139"/>
        <v>2019</v>
      </c>
      <c r="H424" s="10" t="str">
        <f t="shared" si="140"/>
        <v>Upham_etal_2019</v>
      </c>
      <c r="I424" s="10" t="str">
        <f>_xlfn.LET(_xlpm.doi,IF(C424&lt;&gt;"",C424,_xlfn.TEXTAFTER(A424,"https://doi.org/")),SUBSTITUTE(SUBSTITUTE(SUBSTITUTE(SUBSTITUTE(_xlpm.doi,"/","%2F"),":","%3A"),"&lt;","%3C"),"&gt;","%3E"))</f>
        <v>10.1371%2Fjournal.pbio.3000494</v>
      </c>
      <c r="J424" s="10" t="str">
        <f t="shared" si="141"/>
        <v>Upham_etal_2019_Completed100</v>
      </c>
      <c r="K424" s="3" t="str">
        <f t="shared" si="142"/>
        <v>10.1371%2Fjournal.pbio.3000494_Completed100</v>
      </c>
      <c r="L424" s="3" t="str">
        <f t="array" ref="L424">IFERROR(INDEX(AUTO_Public_TSV_FileList!$A$1:$A$1000,MATCH(TRUE(),EXACT(K424,IFERROR(_xlfn.TEXTBEFORE(AUTO_Public_TSV_FileList!$A$1:$A$1000,".tsv"),"")),0)),"notfound")</f>
        <v>notfound</v>
      </c>
      <c r="M424" s="8" t="s">
        <v>1334</v>
      </c>
      <c r="N424" s="1" t="s">
        <v>663</v>
      </c>
      <c r="O424" s="8" t="s">
        <v>1335</v>
      </c>
    </row>
    <row r="425" spans="1:33" ht="15" customHeight="1" x14ac:dyDescent="0.2">
      <c r="A425" s="1" t="s">
        <v>1332</v>
      </c>
      <c r="D425" s="1" t="s">
        <v>1336</v>
      </c>
      <c r="E425" s="10" t="str">
        <f t="shared" si="138"/>
        <v>Upham</v>
      </c>
      <c r="F425" s="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3" t="str">
        <f t="shared" si="139"/>
        <v>2019</v>
      </c>
      <c r="H425" s="10" t="str">
        <f t="shared" si="140"/>
        <v>Upham_etal_2019</v>
      </c>
      <c r="I425" s="10" t="str">
        <f>_xlfn.LET(_xlpm.doi,IF(C425&lt;&gt;"",C425,_xlfn.TEXTAFTER(A425,"https://doi.org/")),SUBSTITUTE(SUBSTITUTE(SUBSTITUTE(SUBSTITUTE(_xlpm.doi,"/","%2F"),":","%3A"),"&lt;","%3C"),"&gt;","%3E"))</f>
        <v>10.1371%2Fjournal.pbio.3000494</v>
      </c>
      <c r="J425" s="10" t="str">
        <f t="shared" si="141"/>
        <v>Upham_etal_2019_DNAonlyMCC</v>
      </c>
      <c r="K425" s="3" t="str">
        <f t="shared" si="142"/>
        <v>10.1371%2Fjournal.pbio.3000494_DNAonlyMCC</v>
      </c>
      <c r="L425" s="3" t="str">
        <f t="array" ref="L425">IFERROR(INDEX(AUTO_Public_TSV_FileList!$A$1:$A$1000,MATCH(TRUE(),EXACT(K425,IFERROR(_xlfn.TEXTBEFORE(AUTO_Public_TSV_FileList!$A$1:$A$1000,".tsv"),"")),0)),"notfound")</f>
        <v>10.1371%2Fjournal.pbio.3000494_DNAonlyMCC.tsv</v>
      </c>
      <c r="M425" s="1" t="s">
        <v>1337</v>
      </c>
      <c r="N425" s="1" t="s">
        <v>663</v>
      </c>
      <c r="P425" s="8" t="s">
        <v>36</v>
      </c>
    </row>
    <row r="426" spans="1:33" ht="15" customHeight="1" x14ac:dyDescent="0.2">
      <c r="A426" s="8" t="s">
        <v>1338</v>
      </c>
      <c r="D426" s="8" t="s">
        <v>81</v>
      </c>
      <c r="E426" s="3" t="str">
        <f t="shared" si="138"/>
        <v>VanEssen</v>
      </c>
      <c r="F426" s="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26" s="3" t="str">
        <f t="shared" si="139"/>
        <v>1997</v>
      </c>
      <c r="H426" s="3" t="str">
        <f t="shared" si="140"/>
        <v>VanEssen_Drury_1997</v>
      </c>
      <c r="I426" s="3" t="str">
        <f t="shared" ref="I426:I435" si="149">_xlfn.LET(
_xlpm.doi,IF(C426&lt;&gt;"",C426,_xlfn.TEXTAFTER(A426,"https://doi.org/")),
SUBSTITUTE(
SUBSTITUTE(
SUBSTITUTE(
SUBSTITUTE(
_xlpm.doi,
"/","%2F"),
":","%3A"),
"&lt;","%3C"),
"&gt;","%3E")
)</f>
        <v>10.1523%2FJNEUROSCI.17-18-07079.1997</v>
      </c>
      <c r="J426" s="3" t="str">
        <f t="shared" si="141"/>
        <v>VanEssen_Drury_1997_Table1</v>
      </c>
      <c r="K426" s="3" t="str">
        <f t="shared" si="142"/>
        <v>10.1523%2FJNEUROSCI.17-18-07079.1997_Table1</v>
      </c>
      <c r="L426" s="3" t="str">
        <f t="array" ref="L426">IFERROR(INDEX(AUTO_Public_TSV_FileList!$A$1:$A$1000,MATCH(TRUE(),EXACT(K426,IFERROR(_xlfn.TEXTBEFORE(AUTO_Public_TSV_FileList!$A$1:$A$1000,".tsv"),"")),0)),"notfound")</f>
        <v>10.1523%2FJNEUROSCI.17-18-07079.1997_Table1.tsv</v>
      </c>
      <c r="M426" s="8" t="s">
        <v>1339</v>
      </c>
    </row>
    <row r="427" spans="1:33" ht="15" customHeight="1" x14ac:dyDescent="0.2">
      <c r="A427" s="8" t="s">
        <v>1340</v>
      </c>
      <c r="D427" s="8" t="s">
        <v>1341</v>
      </c>
      <c r="E427" s="3" t="str">
        <f t="shared" si="138"/>
        <v>Veilleux</v>
      </c>
      <c r="F427" s="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27" s="3" t="str">
        <f t="shared" si="139"/>
        <v>2014</v>
      </c>
      <c r="H427" s="3" t="str">
        <f t="shared" si="140"/>
        <v>Veilleux_Kirk_2014</v>
      </c>
      <c r="I427" s="3" t="str">
        <f t="shared" si="149"/>
        <v>10.1159%2F000357830</v>
      </c>
      <c r="J427" s="3" t="str">
        <f t="shared" si="141"/>
        <v>Veilleux_Kirk_2014_SupplementalTable1</v>
      </c>
      <c r="K427" s="3" t="str">
        <f t="shared" si="142"/>
        <v>10.1159%2F000357830_SupplementalTable1</v>
      </c>
      <c r="L427" s="3" t="str">
        <f t="array" ref="L427">IFERROR(INDEX(AUTO_Public_TSV_FileList!$A$1:$A$1000,MATCH(TRUE(),EXACT(K427,IFERROR(_xlfn.TEXTBEFORE(AUTO_Public_TSV_FileList!$A$1:$A$1000,".tsv"),"")),0)),"notfound")</f>
        <v>10.1159%2F000357830_SupplementalTable1.tsv</v>
      </c>
      <c r="M427" s="8" t="s">
        <v>1342</v>
      </c>
      <c r="N427" s="1" t="s">
        <v>35</v>
      </c>
      <c r="O427" s="7" t="s">
        <v>1343</v>
      </c>
      <c r="P427" s="7"/>
      <c r="Q427" s="7"/>
      <c r="R427" s="7" t="s">
        <v>1344</v>
      </c>
      <c r="S427" s="7" t="s">
        <v>1345</v>
      </c>
      <c r="T427" s="7" t="s">
        <v>1346</v>
      </c>
      <c r="U427" s="7"/>
      <c r="V427" s="7"/>
      <c r="W427" s="7" t="s">
        <v>131</v>
      </c>
      <c r="X427" s="7" t="s">
        <v>1347</v>
      </c>
      <c r="Y427" s="7"/>
      <c r="Z427" s="7"/>
      <c r="AA427" s="7" t="s">
        <v>1348</v>
      </c>
      <c r="AB427" s="7" t="s">
        <v>1349</v>
      </c>
      <c r="AC427" s="7"/>
      <c r="AD427" s="7"/>
      <c r="AE427" s="8" t="s">
        <v>51</v>
      </c>
      <c r="AG427" s="7" t="s">
        <v>1350</v>
      </c>
    </row>
    <row r="428" spans="1:33" ht="15" customHeight="1" x14ac:dyDescent="0.2">
      <c r="A428" s="8" t="s">
        <v>1351</v>
      </c>
      <c r="D428" s="8" t="s">
        <v>1352</v>
      </c>
      <c r="E428" s="10" t="str">
        <f t="shared" si="138"/>
        <v>Walhovd</v>
      </c>
      <c r="F428" s="10" t="str">
        <f>_xlfn.LET(
_xlpm.authors,_xlfn.TEXTBEFORE(A428," ("&amp;G428&amp;")"),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28" s="10" t="str">
        <f t="shared" si="139"/>
        <v>2011</v>
      </c>
      <c r="H428" s="10" t="str">
        <f t="shared" si="140"/>
        <v>Walhovd_etal_2011</v>
      </c>
      <c r="I428" s="10" t="str">
        <f t="shared" si="149"/>
        <v>10.1016%2Fj.neurobiolaging.2009.05.013</v>
      </c>
      <c r="J428" s="10" t="str">
        <f t="shared" si="141"/>
        <v>Walhovd_etal_2011_normativevolumes</v>
      </c>
      <c r="K428" s="10" t="str">
        <f>I428 &amp; "_" &amp; SUBSTITUTE(SUBSTITUTE(SUBSTITUTE(D428,CHAR(160),""), " ", ""), "_", "")</f>
        <v>10.1016%2Fj.neurobiolaging.2009.05.013_normativevolumes</v>
      </c>
      <c r="L428" s="3" t="str">
        <f t="array" ref="L428">IFERROR(INDEX(AUTO_Public_TSV_FileList!$A$1:$A$1000,MATCH(TRUE(),EXACT(K428,IFERROR(_xlfn.TEXTBEFORE(AUTO_Public_TSV_FileList!$A$1:$A$1000,".tsv"),"")),0)),"notfound")</f>
        <v>10.1016%2Fj.neurobiolaging.2009.05.013_normativevolumes.tsv</v>
      </c>
      <c r="M428" s="8" t="s">
        <v>1353</v>
      </c>
      <c r="N428" s="8" t="s">
        <v>1354</v>
      </c>
      <c r="P428" s="8" t="s">
        <v>36</v>
      </c>
      <c r="Q428" s="8" t="s">
        <v>1355</v>
      </c>
      <c r="W428" s="8" t="s">
        <v>564</v>
      </c>
      <c r="Z428" s="8" t="s">
        <v>1356</v>
      </c>
      <c r="AA428" s="8" t="s">
        <v>967</v>
      </c>
      <c r="AB428" s="8" t="s">
        <v>90</v>
      </c>
      <c r="AC428" s="8" t="s">
        <v>1357</v>
      </c>
      <c r="AE428" s="8" t="s">
        <v>172</v>
      </c>
    </row>
    <row r="429" spans="1:33" ht="15" customHeight="1" x14ac:dyDescent="0.2">
      <c r="A429" s="1" t="s">
        <v>1358</v>
      </c>
      <c r="C429" s="1" t="s">
        <v>1359</v>
      </c>
      <c r="D429" s="1" t="s">
        <v>1360</v>
      </c>
      <c r="E429" s="3" t="str">
        <f t="shared" si="138"/>
        <v>Weaver</v>
      </c>
      <c r="F429" s="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29" s="3" t="str">
        <f t="shared" si="139"/>
        <v>2001</v>
      </c>
      <c r="H429" s="3" t="str">
        <f t="shared" si="140"/>
        <v>Weaver__2001</v>
      </c>
      <c r="I429" s="3" t="str">
        <f t="shared" si="149"/>
        <v>UMI%3A3017523</v>
      </c>
      <c r="J429" s="3" t="str">
        <f t="shared" si="141"/>
        <v>Weaver__2001_NotesforTableA-15</v>
      </c>
      <c r="K429" s="3" t="str">
        <f t="shared" ref="K429:K449" si="150">I429 &amp; "_" &amp; SUBSTITUTE(SUBSTITUTE(SUBSTITUTE(D429,CHAR(160),"")," ",""),"_","")</f>
        <v>UMI%3A3017523_NotesforTableA-15</v>
      </c>
      <c r="L429" s="3" t="str">
        <f t="array" ref="L429">IFERROR(INDEX(AUTO_Public_TSV_FileList!$A$1:$A$1000,MATCH(TRUE(),EXACT(K429,IFERROR(_xlfn.TEXTBEFORE(AUTO_Public_TSV_FileList!$A$1:$A$1000,".tsv"),"")),0)),"notfound")</f>
        <v>UMI%3A3017523_NotesforTableA-15.tsv</v>
      </c>
      <c r="M429" s="1" t="s">
        <v>1360</v>
      </c>
      <c r="P429" s="1" t="s">
        <v>36</v>
      </c>
    </row>
    <row r="430" spans="1:33" ht="15" customHeight="1" x14ac:dyDescent="0.2">
      <c r="A430" s="1" t="s">
        <v>1358</v>
      </c>
      <c r="C430" s="1" t="s">
        <v>1359</v>
      </c>
      <c r="D430" s="1" t="s">
        <v>1361</v>
      </c>
      <c r="E430" s="3" t="str">
        <f t="shared" si="138"/>
        <v>Weaver</v>
      </c>
      <c r="F430" s="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0" s="3" t="str">
        <f t="shared" si="139"/>
        <v>2001</v>
      </c>
      <c r="H430" s="3" t="str">
        <f t="shared" si="140"/>
        <v>Weaver__2001</v>
      </c>
      <c r="I430" s="3" t="str">
        <f t="shared" si="149"/>
        <v>UMI%3A3017523</v>
      </c>
      <c r="J430" s="3" t="str">
        <f t="shared" si="141"/>
        <v>Weaver__2001_TableA-11</v>
      </c>
      <c r="K430" s="3" t="str">
        <f t="shared" si="150"/>
        <v>UMI%3A3017523_TableA-11</v>
      </c>
      <c r="L430" s="3" t="str">
        <f t="array" ref="L430">IFERROR(INDEX(AUTO_Public_TSV_FileList!$A$1:$A$1000,MATCH(TRUE(),EXACT(K430,IFERROR(_xlfn.TEXTBEFORE(AUTO_Public_TSV_FileList!$A$1:$A$1000,".tsv"),"")),0)),"notfound")</f>
        <v>UMI%3A3017523_TableA-11.tsv</v>
      </c>
      <c r="M430" s="1" t="s">
        <v>1362</v>
      </c>
      <c r="P430" s="1" t="s">
        <v>36</v>
      </c>
    </row>
    <row r="431" spans="1:33" ht="15" customHeight="1" x14ac:dyDescent="0.2">
      <c r="A431" s="1" t="s">
        <v>1358</v>
      </c>
      <c r="C431" s="1" t="s">
        <v>1359</v>
      </c>
      <c r="D431" s="1" t="s">
        <v>1363</v>
      </c>
      <c r="E431" s="3" t="str">
        <f t="shared" si="138"/>
        <v>Weaver</v>
      </c>
      <c r="F431" s="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31" s="3" t="str">
        <f t="shared" si="139"/>
        <v>2001</v>
      </c>
      <c r="H431" s="3" t="str">
        <f t="shared" si="140"/>
        <v>Weaver__2001</v>
      </c>
      <c r="I431" s="3" t="str">
        <f t="shared" si="149"/>
        <v>UMI%3A3017523</v>
      </c>
      <c r="J431" s="3" t="str">
        <f t="shared" si="141"/>
        <v>Weaver__2001_TableA-15</v>
      </c>
      <c r="K431" s="3" t="str">
        <f t="shared" si="150"/>
        <v>UMI%3A3017523_TableA-15</v>
      </c>
      <c r="L431" s="3" t="str">
        <f t="array" ref="L431">IFERROR(INDEX(AUTO_Public_TSV_FileList!$A$1:$A$1000,MATCH(TRUE(),EXACT(K431,IFERROR(_xlfn.TEXTBEFORE(AUTO_Public_TSV_FileList!$A$1:$A$1000,".tsv"),"")),0)),"notfound")</f>
        <v>UMI%3A3017523_TableA-15.tsv</v>
      </c>
      <c r="M431" s="1" t="s">
        <v>1364</v>
      </c>
      <c r="P431" s="1" t="s">
        <v>36</v>
      </c>
    </row>
    <row r="432" spans="1:33" ht="15" customHeight="1" x14ac:dyDescent="0.2">
      <c r="A432" s="8" t="s">
        <v>1365</v>
      </c>
      <c r="D432" s="8" t="s">
        <v>81</v>
      </c>
      <c r="E432" s="3" t="str">
        <f t="shared" si="138"/>
        <v>Weibel</v>
      </c>
      <c r="F432" s="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2" s="3" t="str">
        <f t="shared" si="139"/>
        <v>2004</v>
      </c>
      <c r="H432" s="3" t="str">
        <f t="shared" si="140"/>
        <v>Weibel_etal_2004</v>
      </c>
      <c r="I432" s="3" t="str">
        <f t="shared" si="149"/>
        <v>10.1016%2Fj.resp.2004.01.006</v>
      </c>
      <c r="J432" s="3" t="str">
        <f t="shared" si="141"/>
        <v>Weibel_etal_2004_Table1</v>
      </c>
      <c r="K432" s="3" t="str">
        <f t="shared" si="150"/>
        <v>10.1016%2Fj.resp.2004.01.006_Table1</v>
      </c>
      <c r="L432" s="3" t="str">
        <f t="array" ref="L432">IFERROR(INDEX(AUTO_Public_TSV_FileList!$A$1:$A$1000,MATCH(TRUE(),EXACT(K432,IFERROR(_xlfn.TEXTBEFORE(AUTO_Public_TSV_FileList!$A$1:$A$1000,".tsv"),"")),0)),"notfound")</f>
        <v>10.1016%2Fj.resp.2004.01.006_Table1.tsv</v>
      </c>
      <c r="M432" s="8" t="s">
        <v>1366</v>
      </c>
    </row>
    <row r="433" spans="1:32" ht="15" customHeight="1" x14ac:dyDescent="0.2">
      <c r="A433" s="8" t="s">
        <v>1365</v>
      </c>
      <c r="D433" s="8" t="s">
        <v>1367</v>
      </c>
      <c r="E433" s="3" t="str">
        <f t="shared" si="138"/>
        <v>Weibel</v>
      </c>
      <c r="F433" s="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3" s="3" t="str">
        <f t="shared" si="139"/>
        <v>2004</v>
      </c>
      <c r="H433" s="3" t="str">
        <f t="shared" si="140"/>
        <v>Weibel_etal_2004</v>
      </c>
      <c r="I433" s="3" t="str">
        <f t="shared" si="149"/>
        <v>10.1016%2Fj.resp.2004.01.006</v>
      </c>
      <c r="J433" s="3" t="str">
        <f t="shared" si="141"/>
        <v>Weibel_etal_2004_TableA.1</v>
      </c>
      <c r="K433" s="3" t="str">
        <f t="shared" si="150"/>
        <v>10.1016%2Fj.resp.2004.01.006_TableA.1</v>
      </c>
      <c r="L433" s="3" t="str">
        <f t="array" ref="L433">IFERROR(INDEX(AUTO_Public_TSV_FileList!$A$1:$A$1000,MATCH(TRUE(),EXACT(K433,IFERROR(_xlfn.TEXTBEFORE(AUTO_Public_TSV_FileList!$A$1:$A$1000,".tsv"),"")),0)),"notfound")</f>
        <v>10.1016%2Fj.resp.2004.01.006_TableA.1.tsv</v>
      </c>
      <c r="M433" s="8" t="s">
        <v>1368</v>
      </c>
    </row>
    <row r="434" spans="1:32" ht="15" customHeight="1" x14ac:dyDescent="0.2">
      <c r="A434" s="1" t="s">
        <v>1369</v>
      </c>
      <c r="D434" s="1" t="s">
        <v>1370</v>
      </c>
      <c r="E434" s="3" t="str">
        <f t="shared" si="138"/>
        <v>Wilman</v>
      </c>
      <c r="F434" s="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3" t="str">
        <f t="shared" si="139"/>
        <v>2014</v>
      </c>
      <c r="H434" s="3" t="str">
        <f t="shared" si="140"/>
        <v>Wilman_etal_2014</v>
      </c>
      <c r="I434" s="3" t="str">
        <f t="shared" si="149"/>
        <v>10.1890%2F13-1917.1</v>
      </c>
      <c r="J434" s="3" t="str">
        <f t="shared" si="141"/>
        <v>Wilman_etal_2014_MamFuncDat</v>
      </c>
      <c r="K434" s="3" t="str">
        <f t="shared" si="150"/>
        <v>10.1890%2F13-1917.1_MamFuncDat</v>
      </c>
      <c r="L434" s="3" t="str">
        <f t="array" ref="L434">IFERROR(INDEX(AUTO_Public_TSV_FileList!$A$1:$A$1000,MATCH(TRUE(),EXACT(K434,IFERROR(_xlfn.TEXTBEFORE(AUTO_Public_TSV_FileList!$A$1:$A$1000,".tsv"),"")),0)),"notfound")</f>
        <v>10.1890%2F13-1917.1_MamFuncDat.tsv</v>
      </c>
      <c r="P434" s="8" t="s">
        <v>36</v>
      </c>
      <c r="W434" s="1" t="s">
        <v>131</v>
      </c>
      <c r="X434" s="1" t="s">
        <v>1371</v>
      </c>
      <c r="AB434" s="1" t="s">
        <v>1372</v>
      </c>
      <c r="AE434" s="1" t="s">
        <v>172</v>
      </c>
      <c r="AF434" s="1"/>
    </row>
    <row r="435" spans="1:32" ht="15" customHeight="1" x14ac:dyDescent="0.2">
      <c r="A435" s="1" t="s">
        <v>1373</v>
      </c>
      <c r="D435" s="1" t="s">
        <v>1374</v>
      </c>
      <c r="E435" s="3" t="str">
        <f t="shared" si="138"/>
        <v>Wimberly</v>
      </c>
      <c r="F435" s="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3" t="str">
        <f t="shared" si="139"/>
        <v>2021</v>
      </c>
      <c r="H435" s="3" t="str">
        <f t="shared" si="140"/>
        <v>Wimberly_etal_2021</v>
      </c>
      <c r="I435" s="3" t="str">
        <f t="shared" si="149"/>
        <v>10.1098%2Frspb.2021.0937</v>
      </c>
      <c r="J435" s="3" t="str">
        <f t="shared" si="141"/>
        <v>Wimberly_etal_2021_MammalGait</v>
      </c>
      <c r="K435" s="3" t="str">
        <f t="shared" si="150"/>
        <v>10.1098%2Frspb.2021.0937_MammalGait</v>
      </c>
      <c r="L435" s="3" t="str">
        <f t="array" ref="L435">IFERROR(INDEX(AUTO_Public_TSV_FileList!$A$1:$A$1000,MATCH(TRUE(),EXACT(K435,IFERROR(_xlfn.TEXTBEFORE(AUTO_Public_TSV_FileList!$A$1:$A$1000,".tsv"),"")),0)),"notfound")</f>
        <v>10.1098%2Frspb.2021.0937_MammalGait.tsv</v>
      </c>
      <c r="P435" s="1" t="s">
        <v>36</v>
      </c>
      <c r="W435" s="1"/>
      <c r="AB435" s="1"/>
      <c r="AE435" s="1"/>
      <c r="AF435" s="1"/>
    </row>
    <row r="436" spans="1:32" ht="15" customHeight="1" x14ac:dyDescent="0.2">
      <c r="A436" s="1" t="s">
        <v>1375</v>
      </c>
      <c r="D436" s="1" t="s">
        <v>549</v>
      </c>
      <c r="E436" s="10" t="str">
        <f t="shared" si="138"/>
        <v>Winkler</v>
      </c>
      <c r="F436" s="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36" s="3" t="str">
        <f t="shared" si="139"/>
        <v>2021</v>
      </c>
      <c r="H436" s="10" t="str">
        <f t="shared" si="140"/>
        <v>Winkler_Bryant_2021</v>
      </c>
      <c r="I436" s="10" t="str">
        <f t="shared" ref="I436:I449" si="151">_xlfn.LET(_xlpm.doi,IF(C436&lt;&gt;"",C436,_xlfn.TEXTAFTER(A436,"https://doi.org/")),SUBSTITUTE(SUBSTITUTE(SUBSTITUTE(SUBSTITUTE(_xlpm.doi,"/","%2F"),":","%3A"),"&lt;","%3C"),"&gt;","%3E"))</f>
        <v>10.1080%2F09524622.2021.1905065</v>
      </c>
      <c r="J436" s="10" t="str">
        <f t="shared" si="141"/>
        <v>Winkler_Bryant_2021_Figure1</v>
      </c>
      <c r="K436" s="3" t="str">
        <f t="shared" si="150"/>
        <v>10.1080%2F09524622.2021.1905065_Figure1</v>
      </c>
      <c r="L436" s="3" t="str">
        <f t="array" ref="L436">IFERROR(INDEX(AUTO_Public_TSV_FileList!$A$1:$A$1000,MATCH(TRUE(),EXACT(K436,IFERROR(_xlfn.TEXTBEFORE(AUTO_Public_TSV_FileList!$A$1:$A$1000,".tsv"),"")),0)),"notfound")</f>
        <v>10.1080%2F09524622.2021.1905065_Figure1.tsv</v>
      </c>
      <c r="M436" s="1" t="s">
        <v>1376</v>
      </c>
      <c r="N436" s="8" t="s">
        <v>551</v>
      </c>
      <c r="P436" s="8" t="s">
        <v>36</v>
      </c>
    </row>
    <row r="437" spans="1:32" ht="15" customHeight="1" x14ac:dyDescent="0.2">
      <c r="A437" s="8" t="s">
        <v>1375</v>
      </c>
      <c r="D437" s="8" t="s">
        <v>549</v>
      </c>
      <c r="E437" s="10" t="str">
        <f t="shared" si="138"/>
        <v>Winkler</v>
      </c>
      <c r="F437" s="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37" s="3" t="str">
        <f t="shared" si="139"/>
        <v>2021</v>
      </c>
      <c r="H437" s="10" t="str">
        <f t="shared" si="140"/>
        <v>Winkler_Bryant_2021</v>
      </c>
      <c r="I437" s="10" t="str">
        <f t="shared" si="151"/>
        <v>10.1080%2F09524622.2021.1905065</v>
      </c>
      <c r="J437" s="10" t="str">
        <f t="shared" si="141"/>
        <v>Winkler_Bryant_2021_Figure1</v>
      </c>
      <c r="K437" s="3" t="str">
        <f t="shared" si="150"/>
        <v>10.1080%2F09524622.2021.1905065_Figure1</v>
      </c>
      <c r="L437" s="3" t="str">
        <f t="array" ref="L437">IFERROR(INDEX(AUTO_Public_TSV_FileList!$A$1:$A$1000,MATCH(TRUE(),EXACT(K437,IFERROR(_xlfn.TEXTBEFORE(AUTO_Public_TSV_FileList!$A$1:$A$1000,".tsv"),"")),0)),"notfound")</f>
        <v>10.1080%2F09524622.2021.1905065_Figure1.tsv</v>
      </c>
      <c r="M437" s="8" t="s">
        <v>1376</v>
      </c>
      <c r="N437" s="8" t="s">
        <v>551</v>
      </c>
      <c r="P437" s="8" t="s">
        <v>36</v>
      </c>
    </row>
    <row r="438" spans="1:32" ht="15" customHeight="1" x14ac:dyDescent="0.2">
      <c r="A438" s="1" t="s">
        <v>1377</v>
      </c>
      <c r="D438" s="1" t="s">
        <v>81</v>
      </c>
      <c r="E438" s="10" t="str">
        <f t="shared" si="138"/>
        <v>Young</v>
      </c>
      <c r="F438" s="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8" s="3" t="str">
        <f t="shared" si="139"/>
        <v>2013</v>
      </c>
      <c r="H438" s="10" t="str">
        <f t="shared" si="140"/>
        <v>Young_etal_2013</v>
      </c>
      <c r="I438" s="10" t="str">
        <f t="shared" si="151"/>
        <v>10.3389%2Ffncir.2013.00030</v>
      </c>
      <c r="J438" s="10" t="str">
        <f t="shared" si="141"/>
        <v>Young_etal_2013_Table1</v>
      </c>
      <c r="K438" s="3" t="str">
        <f t="shared" si="150"/>
        <v>10.3389%2Ffncir.2013.00030_Table1</v>
      </c>
      <c r="L438" s="3" t="str">
        <f t="array" ref="L438">IFERROR(INDEX(AUTO_Public_TSV_FileList!$A$1:$A$1000,MATCH(TRUE(),EXACT(K438,IFERROR(_xlfn.TEXTBEFORE(AUTO_Public_TSV_FileList!$A$1:$A$1000,".tsv"),"")),0)),"notfound")</f>
        <v>10.3389%2Ffncir.2013.00030_Table1.tsv</v>
      </c>
      <c r="M438" s="1" t="s">
        <v>1378</v>
      </c>
      <c r="N438" s="1" t="s">
        <v>35</v>
      </c>
      <c r="P438" s="8" t="s">
        <v>36</v>
      </c>
    </row>
    <row r="439" spans="1:32" ht="15" customHeight="1" x14ac:dyDescent="0.2">
      <c r="A439" s="8" t="s">
        <v>1377</v>
      </c>
      <c r="D439" s="8" t="s">
        <v>81</v>
      </c>
      <c r="E439" s="10" t="str">
        <f t="shared" si="138"/>
        <v>Young</v>
      </c>
      <c r="F439" s="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9" s="3" t="str">
        <f t="shared" si="139"/>
        <v>2013</v>
      </c>
      <c r="H439" s="10" t="str">
        <f t="shared" si="140"/>
        <v>Young_etal_2013</v>
      </c>
      <c r="I439" s="10" t="str">
        <f t="shared" si="151"/>
        <v>10.3389%2Ffncir.2013.00030</v>
      </c>
      <c r="J439" s="10" t="str">
        <f t="shared" si="141"/>
        <v>Young_etal_2013_Table1</v>
      </c>
      <c r="K439" s="3" t="str">
        <f t="shared" si="150"/>
        <v>10.3389%2Ffncir.2013.00030_Table1</v>
      </c>
      <c r="L439" s="3" t="str">
        <f t="array" ref="L439">IFERROR(INDEX(AUTO_Public_TSV_FileList!$A$1:$A$1000,MATCH(TRUE(),EXACT(K439,IFERROR(_xlfn.TEXTBEFORE(AUTO_Public_TSV_FileList!$A$1:$A$1000,".tsv"),"")),0)),"notfound")</f>
        <v>10.3389%2Ffncir.2013.00030_Table1.tsv</v>
      </c>
      <c r="M439" s="8" t="s">
        <v>1378</v>
      </c>
      <c r="N439" s="1" t="s">
        <v>35</v>
      </c>
      <c r="P439" s="8" t="s">
        <v>36</v>
      </c>
    </row>
    <row r="440" spans="1:32" ht="15" customHeight="1" x14ac:dyDescent="0.2">
      <c r="A440" s="1" t="s">
        <v>1379</v>
      </c>
      <c r="B440" s="1" t="s">
        <v>270</v>
      </c>
      <c r="D440" s="1" t="s">
        <v>81</v>
      </c>
      <c r="E440" s="10" t="str">
        <f t="shared" si="138"/>
        <v>Young</v>
      </c>
      <c r="F440" s="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0" s="3" t="str">
        <f t="shared" si="139"/>
        <v>2013</v>
      </c>
      <c r="H440" s="10" t="str">
        <f t="shared" si="140"/>
        <v>Young_etal_2013_b</v>
      </c>
      <c r="I440" s="10" t="str">
        <f t="shared" si="151"/>
        <v>10.1073%2Fpnas.1318894110</v>
      </c>
      <c r="J440" s="10" t="str">
        <f t="shared" si="141"/>
        <v>Young_etal_2013_b_Table1</v>
      </c>
      <c r="K440" s="3" t="str">
        <f t="shared" si="150"/>
        <v>10.1073%2Fpnas.1318894110_Table1</v>
      </c>
      <c r="L440" s="3" t="str">
        <f t="array" ref="L440">IFERROR(INDEX(AUTO_Public_TSV_FileList!$A$1:$A$1000,MATCH(TRUE(),EXACT(K440,IFERROR(_xlfn.TEXTBEFORE(AUTO_Public_TSV_FileList!$A$1:$A$1000,".tsv"),"")),0)),"notfound")</f>
        <v>10.1073%2Fpnas.1318894110_Table1.tsv</v>
      </c>
      <c r="M440" s="1" t="s">
        <v>1380</v>
      </c>
      <c r="N440" s="1" t="s">
        <v>35</v>
      </c>
      <c r="P440" s="8" t="s">
        <v>36</v>
      </c>
    </row>
    <row r="441" spans="1:32" ht="15" customHeight="1" x14ac:dyDescent="0.2">
      <c r="A441" s="8" t="s">
        <v>1379</v>
      </c>
      <c r="B441" s="8" t="s">
        <v>270</v>
      </c>
      <c r="D441" s="8" t="s">
        <v>81</v>
      </c>
      <c r="E441" s="10" t="str">
        <f t="shared" si="138"/>
        <v>Young</v>
      </c>
      <c r="F441" s="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1" s="3" t="str">
        <f t="shared" si="139"/>
        <v>2013</v>
      </c>
      <c r="H441" s="10" t="str">
        <f t="shared" si="140"/>
        <v>Young_etal_2013_b</v>
      </c>
      <c r="I441" s="10" t="str">
        <f t="shared" si="151"/>
        <v>10.1073%2Fpnas.1318894110</v>
      </c>
      <c r="J441" s="10" t="str">
        <f t="shared" si="141"/>
        <v>Young_etal_2013_b_Table1</v>
      </c>
      <c r="K441" s="3" t="str">
        <f t="shared" si="150"/>
        <v>10.1073%2Fpnas.1318894110_Table1</v>
      </c>
      <c r="L441" s="3" t="str">
        <f t="array" ref="L441">IFERROR(INDEX(AUTO_Public_TSV_FileList!$A$1:$A$1000,MATCH(TRUE(),EXACT(K441,IFERROR(_xlfn.TEXTBEFORE(AUTO_Public_TSV_FileList!$A$1:$A$1000,".tsv"),"")),0)),"notfound")</f>
        <v>10.1073%2Fpnas.1318894110_Table1.tsv</v>
      </c>
      <c r="M441" s="8" t="s">
        <v>1380</v>
      </c>
      <c r="N441" s="1" t="s">
        <v>35</v>
      </c>
      <c r="P441" s="8" t="s">
        <v>36</v>
      </c>
    </row>
    <row r="442" spans="1:32" ht="15" customHeight="1" x14ac:dyDescent="0.2">
      <c r="A442" s="8" t="s">
        <v>1494</v>
      </c>
      <c r="B442" s="2"/>
      <c r="D442" s="8" t="s">
        <v>81</v>
      </c>
      <c r="E442" s="10" t="str">
        <f t="shared" si="138"/>
        <v>Zilles</v>
      </c>
      <c r="F442" s="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3" t="str">
        <f t="shared" si="139"/>
        <v>1986</v>
      </c>
      <c r="H442" s="10" t="str">
        <f t="shared" si="140"/>
        <v>Zilles_etal_1986</v>
      </c>
      <c r="I442" s="10" t="str">
        <f t="shared" si="151"/>
        <v>10.1002%2Fcne.902530408</v>
      </c>
      <c r="J442" s="10" t="str">
        <f t="shared" si="141"/>
        <v>Zilles_etal_1986_Table1</v>
      </c>
      <c r="K442" s="3" t="str">
        <f t="shared" si="150"/>
        <v>10.1002%2Fcne.902530408_Table1</v>
      </c>
      <c r="L442" s="3" t="str">
        <f t="array" ref="L442">IFERROR(INDEX(AUTO_Public_TSV_FileList!$A$1:$A$1000,MATCH(TRUE(),EXACT(K442,IFERROR(_xlfn.TEXTBEFORE(AUTO_Public_TSV_FileList!$A$1:$A$1000,".tsv"),"")),0)),"notfound")</f>
        <v>notfound</v>
      </c>
      <c r="M442" s="8"/>
      <c r="N442" s="1"/>
      <c r="P442" s="2"/>
    </row>
    <row r="443" spans="1:32" ht="15" customHeight="1" x14ac:dyDescent="0.2">
      <c r="A443" s="8" t="s">
        <v>1494</v>
      </c>
      <c r="B443" s="2"/>
      <c r="D443" s="8" t="s">
        <v>70</v>
      </c>
      <c r="E443" s="10" t="str">
        <f t="shared" ref="E443" si="152">SUBSTITUTE(SUBSTITUTE(_xlfn.TEXTBEFORE(A443,","), "-", ""), " ", "")</f>
        <v>Zilles</v>
      </c>
      <c r="F443" s="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3" t="str">
        <f t="shared" ref="G443" si="153">_xlfn.TEXTBEFORE(_xlfn.TEXTAFTER(A443, "("), ")")</f>
        <v>1986</v>
      </c>
      <c r="H443" s="10" t="str">
        <f t="shared" ref="H443" si="154">E443 &amp; IF(F443&lt;&gt;"", "_" &amp; F443, "_") &amp; IF(G443&lt;&gt;"", "_" &amp; G443, "_") &amp; IF(B443&lt;&gt;"", "_" &amp; B443, "")</f>
        <v>Zilles_etal_1986</v>
      </c>
      <c r="I443" s="10" t="str">
        <f t="shared" ref="I443" si="155">_xlfn.LET(_xlpm.doi,IF(C443&lt;&gt;"",C443,_xlfn.TEXTAFTER(A443,"https://doi.org/")),SUBSTITUTE(SUBSTITUTE(SUBSTITUTE(SUBSTITUTE(_xlpm.doi,"/","%2F"),":","%3A"),"&lt;","%3C"),"&gt;","%3E"))</f>
        <v>10.1002%2Fcne.902530408</v>
      </c>
      <c r="J443" s="10" t="str">
        <f t="shared" ref="J443" si="156">TRIM(_xlfn.TEXTJOIN("_",FALSE(),H443,(SUBSTITUTE(SUBSTITUTE(D443," ",""), "_", ""))))</f>
        <v>Zilles_etal_1986_Table2</v>
      </c>
      <c r="K443" s="3" t="str">
        <f t="shared" ref="K443" si="157">I443 &amp; "_" &amp; SUBSTITUTE(SUBSTITUTE(SUBSTITUTE(D443,CHAR(160),"")," ",""),"_","")</f>
        <v>10.1002%2Fcne.902530408_Table2</v>
      </c>
      <c r="L443" s="3" t="str">
        <f t="array" ref="L443">IFERROR(INDEX(AUTO_Public_TSV_FileList!$A$1:$A$1000,MATCH(TRUE(),EXACT(K443,IFERROR(_xlfn.TEXTBEFORE(AUTO_Public_TSV_FileList!$A$1:$A$1000,".tsv"),"")),0)),"notfound")</f>
        <v>notfound</v>
      </c>
      <c r="M443" s="8"/>
      <c r="N443" s="1"/>
      <c r="P443" s="2"/>
    </row>
    <row r="444" spans="1:32" ht="15" customHeight="1" x14ac:dyDescent="0.2">
      <c r="A444" s="8" t="s">
        <v>1381</v>
      </c>
      <c r="C444" s="8" t="s">
        <v>1382</v>
      </c>
      <c r="D444" s="8" t="s">
        <v>1383</v>
      </c>
      <c r="E444" s="10" t="str">
        <f t="shared" ref="E444" si="158">SUBSTITUTE(SUBSTITUTE(_xlfn.TEXTBEFORE(A444,","), "-", ""), " ", "")</f>
        <v>Zilles</v>
      </c>
      <c r="F444" s="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4" s="3" t="str">
        <f t="shared" ref="G444" si="159">_xlfn.TEXTBEFORE(_xlfn.TEXTAFTER(A444, "("), ")")</f>
        <v>1988</v>
      </c>
      <c r="H444" s="10" t="str">
        <f t="shared" ref="H444" si="160">E444 &amp; IF(F444&lt;&gt;"", "_" &amp; F444, "_") &amp; IF(G444&lt;&gt;"", "_" &amp; G444, "_") &amp; IF(B444&lt;&gt;"", "_" &amp; B444, "")</f>
        <v>Zilles_Rehkämper_1988</v>
      </c>
      <c r="I444" s="10" t="str">
        <f t="shared" ref="I444" si="161">_xlfn.LET(_xlpm.doi,IF(C444&lt;&gt;"",C444,_xlfn.TEXTAFTER(A444,"https://doi.org/")),SUBSTITUTE(SUBSTITUTE(SUBSTITUTE(SUBSTITUTE(_xlpm.doi,"/","%2F"),":","%3A"),"&lt;","%3C"),"&gt;","%3E"))</f>
        <v>ISBN%3A9780195043716</v>
      </c>
      <c r="J444" s="10" t="str">
        <f t="shared" ref="J444" si="162">TRIM(_xlfn.TEXTJOIN("_",FALSE(),H444,(SUBSTITUTE(SUBSTITUTE(D444," ",""), "_", ""))))</f>
        <v>Zilles_Rehkämper_1988_Table12-1</v>
      </c>
      <c r="K444" s="3" t="str">
        <f t="shared" ref="K444" si="163">I444 &amp; "_" &amp; SUBSTITUTE(SUBSTITUTE(SUBSTITUTE(D444,CHAR(160),"")," ",""),"_","")</f>
        <v>ISBN%3A9780195043716_Table12-1</v>
      </c>
      <c r="L444" s="3" t="str">
        <f t="array" ref="L444">IFERROR(INDEX(AUTO_Public_TSV_FileList!$A$1:$A$1000,MATCH(TRUE(),EXACT(K444,IFERROR(_xlfn.TEXTBEFORE(AUTO_Public_TSV_FileList!$A$1:$A$1000,".tsv"),"")),0)),"notfound")</f>
        <v>ISBN%3A9780195043716_Table12-1.tsv</v>
      </c>
      <c r="M444" s="8" t="s">
        <v>1384</v>
      </c>
      <c r="N444" s="1" t="s">
        <v>35</v>
      </c>
    </row>
    <row r="445" spans="1:32" ht="15" customHeight="1" x14ac:dyDescent="0.2">
      <c r="A445" s="1" t="s">
        <v>1381</v>
      </c>
      <c r="C445" s="1" t="s">
        <v>1382</v>
      </c>
      <c r="D445" s="1" t="s">
        <v>1385</v>
      </c>
      <c r="E445" s="10" t="str">
        <f t="shared" si="138"/>
        <v>Zilles</v>
      </c>
      <c r="F445" s="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5" s="3" t="str">
        <f t="shared" si="139"/>
        <v>1988</v>
      </c>
      <c r="H445" s="10" t="str">
        <f t="shared" si="140"/>
        <v>Zilles_Rehkämper_1988</v>
      </c>
      <c r="I445" s="10" t="str">
        <f t="shared" si="151"/>
        <v>ISBN%3A9780195043716</v>
      </c>
      <c r="J445" s="10" t="str">
        <f t="shared" si="141"/>
        <v>Zilles_Rehkämper_1988_Table12-2</v>
      </c>
      <c r="K445" s="3" t="str">
        <f t="shared" si="150"/>
        <v>ISBN%3A9780195043716_Table12-2</v>
      </c>
      <c r="L445" s="3" t="str">
        <f t="array" ref="L445">IFERROR(INDEX(AUTO_Public_TSV_FileList!$A$1:$A$1000,MATCH(TRUE(),EXACT(K445,IFERROR(_xlfn.TEXTBEFORE(AUTO_Public_TSV_FileList!$A$1:$A$1000,".tsv"),"")),0)),"notfound")</f>
        <v>ISBN%3A9780195043716_Table12-2.tsv</v>
      </c>
      <c r="M445" s="1" t="s">
        <v>1386</v>
      </c>
      <c r="N445" s="1" t="s">
        <v>35</v>
      </c>
      <c r="P445" s="8" t="s">
        <v>36</v>
      </c>
    </row>
    <row r="446" spans="1:32" ht="15" customHeight="1" x14ac:dyDescent="0.2">
      <c r="A446" s="8" t="s">
        <v>1381</v>
      </c>
      <c r="C446" s="8" t="s">
        <v>1382</v>
      </c>
      <c r="D446" s="8" t="s">
        <v>1387</v>
      </c>
      <c r="E446" s="10" t="str">
        <f t="shared" si="138"/>
        <v>Zilles</v>
      </c>
      <c r="F446" s="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6" s="3" t="str">
        <f t="shared" si="139"/>
        <v>1988</v>
      </c>
      <c r="H446" s="10" t="str">
        <f t="shared" si="140"/>
        <v>Zilles_Rehkämper_1988</v>
      </c>
      <c r="I446" s="10" t="str">
        <f t="shared" si="151"/>
        <v>ISBN%3A9780195043716</v>
      </c>
      <c r="J446" s="10" t="str">
        <f t="shared" si="141"/>
        <v>Zilles_Rehkämper_1988_Table12-3</v>
      </c>
      <c r="K446" s="3" t="str">
        <f t="shared" si="150"/>
        <v>ISBN%3A9780195043716_Table12-3</v>
      </c>
      <c r="L446" s="3" t="str">
        <f t="array" ref="L446">IFERROR(INDEX(AUTO_Public_TSV_FileList!$A$1:$A$1000,MATCH(TRUE(),EXACT(K446,IFERROR(_xlfn.TEXTBEFORE(AUTO_Public_TSV_FileList!$A$1:$A$1000,".tsv"),"")),0)),"notfound")</f>
        <v>ISBN%3A9780195043716_Table12-3.tsv</v>
      </c>
      <c r="M446" s="8" t="s">
        <v>1388</v>
      </c>
      <c r="N446" s="1" t="s">
        <v>35</v>
      </c>
    </row>
    <row r="447" spans="1:32" ht="15" customHeight="1" x14ac:dyDescent="0.2">
      <c r="A447" s="8" t="s">
        <v>1381</v>
      </c>
      <c r="C447" s="8" t="s">
        <v>1382</v>
      </c>
      <c r="D447" s="8" t="s">
        <v>350</v>
      </c>
      <c r="E447" s="10" t="str">
        <f t="shared" ref="E447" si="164">SUBSTITUTE(SUBSTITUTE(_xlfn.TEXTBEFORE(A447,","), "-", ""), " ", "")</f>
        <v>Zilles</v>
      </c>
      <c r="F447" s="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7" s="3" t="str">
        <f t="shared" ref="G447" si="165">_xlfn.TEXTBEFORE(_xlfn.TEXTAFTER(A447, "("), ")")</f>
        <v>1988</v>
      </c>
      <c r="H447" s="10" t="str">
        <f t="shared" ref="H447" si="166">E447 &amp; IF(F447&lt;&gt;"", "_" &amp; F447, "_") &amp; IF(G447&lt;&gt;"", "_" &amp; G447, "_") &amp; IF(B447&lt;&gt;"", "_" &amp; B447, "")</f>
        <v>Zilles_Rehkämper_1988</v>
      </c>
      <c r="I447" s="10" t="str">
        <f t="shared" ref="I447" si="167">_xlfn.LET(_xlpm.doi,IF(C447&lt;&gt;"",C447,_xlfn.TEXTAFTER(A447,"https://doi.org/")),SUBSTITUTE(SUBSTITUTE(SUBSTITUTE(SUBSTITUTE(_xlpm.doi,"/","%2F"),":","%3A"),"&lt;","%3C"),"&gt;","%3E"))</f>
        <v>ISBN%3A9780195043716</v>
      </c>
      <c r="J447" s="10" t="str">
        <f t="shared" ref="J447" si="168">TRIM(_xlfn.TEXTJOIN("_",FALSE(),H447,(SUBSTITUTE(SUBSTITUTE(D447," ",""), "_", ""))))</f>
        <v>Zilles_Rehkämper_1988_text</v>
      </c>
      <c r="K447" s="3" t="str">
        <f t="shared" ref="K447" si="169">I447 &amp; "_" &amp; SUBSTITUTE(SUBSTITUTE(SUBSTITUTE(D447,CHAR(160),"")," ",""),"_","")</f>
        <v>ISBN%3A9780195043716_text</v>
      </c>
      <c r="L447" s="3" t="str">
        <f t="array" ref="L447">IFERROR(INDEX(AUTO_Public_TSV_FileList!$A$1:$A$1000,MATCH(TRUE(),EXACT(K447,IFERROR(_xlfn.TEXTBEFORE(AUTO_Public_TSV_FileList!$A$1:$A$1000,".tsv"),"")),0)),"notfound")</f>
        <v>ISBN%3A9780195043716_text.tsv</v>
      </c>
      <c r="M447" s="8"/>
      <c r="N447" s="1"/>
    </row>
    <row r="448" spans="1:32" ht="15" customHeight="1" x14ac:dyDescent="0.2">
      <c r="A448" s="1" t="s">
        <v>1389</v>
      </c>
      <c r="D448" s="1" t="s">
        <v>81</v>
      </c>
      <c r="E448" s="10" t="str">
        <f t="shared" si="138"/>
        <v>Zilles</v>
      </c>
      <c r="F448" s="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8" s="3" t="str">
        <f t="shared" si="139"/>
        <v>2013</v>
      </c>
      <c r="H448" s="10" t="str">
        <f t="shared" si="140"/>
        <v>Zilles_etal_2013</v>
      </c>
      <c r="I448" s="10" t="str">
        <f t="shared" si="151"/>
        <v>10.1016%2Fj.tins.2013.01.006</v>
      </c>
      <c r="J448" s="10" t="str">
        <f t="shared" si="141"/>
        <v>Zilles_etal_2013_Table1</v>
      </c>
      <c r="K448" s="3" t="str">
        <f t="shared" si="150"/>
        <v>10.1016%2Fj.tins.2013.01.006_Table1</v>
      </c>
      <c r="L448" s="3" t="str">
        <f t="array" ref="L448">IFERROR(INDEX(AUTO_Public_TSV_FileList!$A$1:$A$1000,MATCH(TRUE(),EXACT(K448,IFERROR(_xlfn.TEXTBEFORE(AUTO_Public_TSV_FileList!$A$1:$A$1000,".tsv"),"")),0)),"notfound")</f>
        <v>10.1016%2Fj.tins.2013.01.006_Table1.tsv</v>
      </c>
      <c r="M448" s="1" t="s">
        <v>1390</v>
      </c>
      <c r="N448" s="1" t="s">
        <v>35</v>
      </c>
      <c r="P448" s="8" t="s">
        <v>36</v>
      </c>
    </row>
    <row r="449" spans="1:31" ht="15" customHeight="1" x14ac:dyDescent="0.2">
      <c r="A449" s="8" t="s">
        <v>1389</v>
      </c>
      <c r="D449" s="8" t="s">
        <v>81</v>
      </c>
      <c r="E449" s="10" t="str">
        <f t="shared" si="138"/>
        <v>Zilles</v>
      </c>
      <c r="F449" s="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9" s="3" t="str">
        <f t="shared" si="139"/>
        <v>2013</v>
      </c>
      <c r="H449" s="10" t="str">
        <f t="shared" si="140"/>
        <v>Zilles_etal_2013</v>
      </c>
      <c r="I449" s="10" t="str">
        <f t="shared" si="151"/>
        <v>10.1016%2Fj.tins.2013.01.006</v>
      </c>
      <c r="J449" s="10" t="str">
        <f t="shared" si="141"/>
        <v>Zilles_etal_2013_Table1</v>
      </c>
      <c r="K449" s="3" t="str">
        <f t="shared" si="150"/>
        <v>10.1016%2Fj.tins.2013.01.006_Table1</v>
      </c>
      <c r="L449" s="3" t="str">
        <f t="array" ref="L449">IFERROR(INDEX(AUTO_Public_TSV_FileList!$A$1:$A$1000,MATCH(TRUE(),EXACT(K449,IFERROR(_xlfn.TEXTBEFORE(AUTO_Public_TSV_FileList!$A$1:$A$1000,".tsv"),"")),0)),"notfound")</f>
        <v>10.1016%2Fj.tins.2013.01.006_Table1.tsv</v>
      </c>
      <c r="M449" s="8" t="s">
        <v>1390</v>
      </c>
      <c r="N449" s="1" t="s">
        <v>35</v>
      </c>
      <c r="P449" s="8" t="s">
        <v>36</v>
      </c>
    </row>
    <row r="450" spans="1:31" ht="15" customHeight="1" x14ac:dyDescent="0.2">
      <c r="A450" s="2" t="s">
        <v>1863</v>
      </c>
      <c r="D450" s="2" t="s">
        <v>314</v>
      </c>
      <c r="E450" s="10" t="str">
        <f t="shared" ref="E450:E452" si="170">SUBSTITUTE(SUBSTITUTE(_xlfn.TEXTBEFORE(A450,","), "-", ""), " ", "")</f>
        <v>Zilles</v>
      </c>
      <c r="F450" s="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3" t="str">
        <f t="shared" ref="G450:G452" si="171">_xlfn.TEXTBEFORE(_xlfn.TEXTAFTER(A450, "("), ")")</f>
        <v>2011</v>
      </c>
      <c r="H450" s="10" t="str">
        <f t="shared" ref="H450:H452" si="172">E450 &amp; IF(F450&lt;&gt;"", "_" &amp; F450, "_") &amp; IF(G450&lt;&gt;"", "_" &amp; G450, "_") &amp; IF(B450&lt;&gt;"", "_" &amp; B450, "")</f>
        <v>Zilles_etal_2011</v>
      </c>
      <c r="I450" s="10" t="str">
        <f t="shared" ref="I450:I452" si="173">_xlfn.LET(_xlpm.doi,IF(C450&lt;&gt;"",C450,_xlfn.TEXTAFTER(A450,"https://doi.org/")),SUBSTITUTE(SUBSTITUTE(SUBSTITUTE(SUBSTITUTE(_xlpm.doi,"/","%2F"),":","%3A"),"&lt;","%3C"),"&gt;","%3E"))</f>
        <v>10.1111%2Fj.1749-6632.2011.05978.x</v>
      </c>
      <c r="J450" s="10" t="str">
        <f>TRIM(_xlfn.TEXTJOIN("_",FALSE(),H450,(SUBSTITUTE(SUBSTITUTE(D450," ",""), "_", ""))))</f>
        <v>Zilles_etal_2011_TableS1</v>
      </c>
      <c r="K450" s="3" t="str">
        <f t="shared" ref="K450:K452" si="174">I450 &amp; "_" &amp; SUBSTITUTE(SUBSTITUTE(SUBSTITUTE(D450,CHAR(160),"")," ",""),"_","")</f>
        <v>10.1111%2Fj.1749-6632.2011.05978.x_TableS1</v>
      </c>
      <c r="L450" s="3" t="str">
        <f t="array" ref="L450">IFERROR(INDEX(AUTO_Public_TSV_FileList!$A$1:$A$1000,MATCH(TRUE(),EXACT(K450,IFERROR(_xlfn.TEXTBEFORE(AUTO_Public_TSV_FileList!$A$1:$A$1000,".tsv"),"")),0)),"notfound")</f>
        <v>notfound</v>
      </c>
      <c r="M450" s="2" t="s">
        <v>1864</v>
      </c>
      <c r="N450" s="1"/>
      <c r="P450" s="8"/>
    </row>
    <row r="451" spans="1:31" ht="15" customHeight="1" x14ac:dyDescent="0.2">
      <c r="A451" s="2" t="s">
        <v>1863</v>
      </c>
      <c r="D451" s="2" t="s">
        <v>530</v>
      </c>
      <c r="E451" s="10" t="str">
        <f t="shared" si="170"/>
        <v>Zilles</v>
      </c>
      <c r="F451" s="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3" t="str">
        <f t="shared" si="171"/>
        <v>2011</v>
      </c>
      <c r="H451" s="10" t="str">
        <f t="shared" si="172"/>
        <v>Zilles_etal_2011</v>
      </c>
      <c r="I451" s="10" t="str">
        <f t="shared" si="173"/>
        <v>10.1111%2Fj.1749-6632.2011.05978.x</v>
      </c>
      <c r="J451" s="10" t="str">
        <f t="shared" ref="J451:J452" si="175">TRIM(_xlfn.TEXTJOIN("_",FALSE(),H451,(SUBSTITUTE(SUBSTITUTE(D451," ",""), "_", ""))))</f>
        <v>Zilles_etal_2011_TableS2</v>
      </c>
      <c r="K451" s="3" t="str">
        <f t="shared" si="174"/>
        <v>10.1111%2Fj.1749-6632.2011.05978.x_TableS2</v>
      </c>
      <c r="L451" s="3" t="str">
        <f t="array" ref="L451">IFERROR(INDEX(AUTO_Public_TSV_FileList!$A$1:$A$1000,MATCH(TRUE(),EXACT(K451,IFERROR(_xlfn.TEXTBEFORE(AUTO_Public_TSV_FileList!$A$1:$A$1000,".tsv"),"")),0)),"notfound")</f>
        <v>notfound</v>
      </c>
      <c r="M451" s="2" t="s">
        <v>1865</v>
      </c>
      <c r="N451" s="1"/>
      <c r="P451" s="8"/>
    </row>
    <row r="452" spans="1:31" ht="15" customHeight="1" x14ac:dyDescent="0.2">
      <c r="A452" s="2" t="s">
        <v>1863</v>
      </c>
      <c r="D452" s="2" t="s">
        <v>661</v>
      </c>
      <c r="E452" s="10" t="str">
        <f t="shared" si="170"/>
        <v>Zilles</v>
      </c>
      <c r="F452" s="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2" s="3" t="str">
        <f t="shared" si="171"/>
        <v>2011</v>
      </c>
      <c r="H452" s="10" t="str">
        <f t="shared" si="172"/>
        <v>Zilles_etal_2011</v>
      </c>
      <c r="I452" s="10" t="str">
        <f t="shared" si="173"/>
        <v>10.1111%2Fj.1749-6632.2011.05978.x</v>
      </c>
      <c r="J452" s="10" t="str">
        <f t="shared" si="175"/>
        <v>Zilles_etal_2011_TableS3</v>
      </c>
      <c r="K452" s="3" t="str">
        <f t="shared" si="174"/>
        <v>10.1111%2Fj.1749-6632.2011.05978.x_TableS3</v>
      </c>
      <c r="L452" s="3" t="str">
        <f t="array" ref="L452">IFERROR(INDEX(AUTO_Public_TSV_FileList!$A$1:$A$1000,MATCH(TRUE(),EXACT(K452,IFERROR(_xlfn.TEXTBEFORE(AUTO_Public_TSV_FileList!$A$1:$A$1000,".tsv"),"")),0)),"notfound")</f>
        <v>notfound</v>
      </c>
      <c r="M452" s="2" t="s">
        <v>1866</v>
      </c>
      <c r="N452" s="1"/>
      <c r="P452" s="8"/>
    </row>
    <row r="453" spans="1:31" ht="15.75" customHeight="1" x14ac:dyDescent="0.2">
      <c r="A453" s="4" t="s">
        <v>1011</v>
      </c>
      <c r="D453" s="4" t="s">
        <v>1012</v>
      </c>
      <c r="E453" s="4" t="str">
        <f t="shared" si="138"/>
        <v>Morgan</v>
      </c>
      <c r="F453" s="4" t="str">
        <f t="shared" ref="F453:F461" si="176">_xlfn.LET(
_xlpm.authors,_xlfn.TEXTBEFORE(A453," ("&amp;G453&amp;")"),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53" s="4" t="str">
        <f t="shared" si="139"/>
        <v>2014</v>
      </c>
      <c r="H453" s="4" t="str">
        <f t="shared" si="140"/>
        <v>Morgan_etal_2014</v>
      </c>
      <c r="I453" s="4" t="str">
        <f t="shared" ref="I453:I461" si="177">_xlfn.LET(
_xlpm.doi,IF(C453&lt;&gt;"",C453,_xlfn.TEXTAFTER(A453,"https://doi.org/")),
SUBSTITUTE(
SUBSTITUTE(
SUBSTITUTE(
SUBSTITUTE(
_xlpm.doi,
"/","%2F"),
":","%3A"),
"&lt;","%3C"),
"&gt;","%3E")
)</f>
        <v>10.1371%2Fjournal.pone.0110356</v>
      </c>
      <c r="J453" s="4" t="str">
        <f t="shared" si="141"/>
        <v>Morgan_etal_2014_DataS1</v>
      </c>
      <c r="K453" t="str">
        <f t="shared" ref="K453:K461" si="178">I453 &amp; "_" &amp; SUBSTITUTE(SUBSTITUTE(SUBSTITUTE(D453,CHAR(160),""), " ", ""), "_", "")</f>
        <v>10.1371%2Fjournal.pone.0110356_DataS1</v>
      </c>
      <c r="L453" t="str">
        <f t="array" ref="L453">IFERROR(INDEX(AUTO_Public_TSV_FileList!$A$1:$A$1000,MATCH(TRUE(),EXACT(K453,IFERROR(_xlfn.TEXTBEFORE(AUTO_Public_TSV_FileList!$A$1:$A$1000,".tsv"),"")),0)),"notfound")</f>
        <v>10.1371%2Fjournal.pone.0110356_DataS1.tsv</v>
      </c>
      <c r="N453" s="8" t="s">
        <v>1014</v>
      </c>
      <c r="O453" s="8" t="s">
        <v>1013</v>
      </c>
      <c r="P453" s="8" t="s">
        <v>1391</v>
      </c>
      <c r="Q453" s="8" t="s">
        <v>1015</v>
      </c>
      <c r="W453" s="8" t="s">
        <v>564</v>
      </c>
      <c r="AA453" s="8" t="s">
        <v>1017</v>
      </c>
      <c r="AB453" s="8" t="s">
        <v>821</v>
      </c>
      <c r="AC453" s="8" t="s">
        <v>1018</v>
      </c>
      <c r="AE453" s="8" t="s">
        <v>66</v>
      </c>
    </row>
    <row r="454" spans="1:31" ht="15.75" customHeight="1" x14ac:dyDescent="0.2">
      <c r="A454" s="4" t="s">
        <v>560</v>
      </c>
      <c r="D454" s="4" t="s">
        <v>70</v>
      </c>
      <c r="E454" s="4" t="str">
        <f t="shared" si="138"/>
        <v>Hanson</v>
      </c>
      <c r="F454" s="4" t="str">
        <f t="shared" si="176"/>
        <v>etal</v>
      </c>
      <c r="G454" s="4" t="str">
        <f t="shared" si="139"/>
        <v>2018</v>
      </c>
      <c r="H454" s="4" t="str">
        <f t="shared" si="140"/>
        <v>Hanson_etal_2018</v>
      </c>
      <c r="I454" s="4" t="str">
        <f t="shared" si="177"/>
        <v>10.1002%2Fdneu.22554</v>
      </c>
      <c r="J454" s="4" t="str">
        <f t="shared" si="141"/>
        <v>Hanson_etal_2018_Table2</v>
      </c>
      <c r="K454" t="str">
        <f t="shared" si="178"/>
        <v>10.1002%2Fdneu.22554_Table2</v>
      </c>
      <c r="L454" t="str">
        <f t="array" ref="L454">IFERROR(INDEX(AUTO_Public_TSV_FileList!$A$1:$A$1000,MATCH(TRUE(),EXACT(K454,IFERROR(_xlfn.TEXTBEFORE(AUTO_Public_TSV_FileList!$A$1:$A$1000,".tsv"),"")),0)),"notfound")</f>
        <v>10.1002%2Fdneu.22554_Table2.tsv</v>
      </c>
      <c r="N454" s="8" t="s">
        <v>562</v>
      </c>
      <c r="O454" s="8" t="s">
        <v>561</v>
      </c>
      <c r="P454" s="8" t="s">
        <v>1392</v>
      </c>
      <c r="Q454" s="8" t="s">
        <v>563</v>
      </c>
      <c r="W454" s="8" t="s">
        <v>564</v>
      </c>
      <c r="AA454" s="8" t="s">
        <v>566</v>
      </c>
      <c r="AB454" s="8" t="s">
        <v>77</v>
      </c>
      <c r="AC454" s="8" t="s">
        <v>567</v>
      </c>
      <c r="AE454" s="8" t="s">
        <v>66</v>
      </c>
    </row>
    <row r="455" spans="1:31" ht="15.75" customHeight="1" x14ac:dyDescent="0.2">
      <c r="A455" s="4" t="s">
        <v>560</v>
      </c>
      <c r="D455" s="4" t="s">
        <v>72</v>
      </c>
      <c r="E455" s="4" t="str">
        <f t="shared" si="138"/>
        <v>Hanson</v>
      </c>
      <c r="F455" s="4" t="str">
        <f t="shared" si="176"/>
        <v>etal</v>
      </c>
      <c r="G455" s="4" t="str">
        <f t="shared" si="139"/>
        <v>2018</v>
      </c>
      <c r="H455" s="4" t="str">
        <f t="shared" si="140"/>
        <v>Hanson_etal_2018</v>
      </c>
      <c r="I455" s="4" t="str">
        <f t="shared" si="177"/>
        <v>10.1002%2Fdneu.22554</v>
      </c>
      <c r="J455" s="4" t="str">
        <f t="shared" si="141"/>
        <v>Hanson_etal_2018_Table3</v>
      </c>
      <c r="K455" t="str">
        <f t="shared" si="178"/>
        <v>10.1002%2Fdneu.22554_Table3</v>
      </c>
      <c r="L455" t="str">
        <f t="array" ref="L455">IFERROR(INDEX(AUTO_Public_TSV_FileList!$A$1:$A$1000,MATCH(TRUE(),EXACT(K455,IFERROR(_xlfn.TEXTBEFORE(AUTO_Public_TSV_FileList!$A$1:$A$1000,".tsv"),"")),0)),"notfound")</f>
        <v>10.1002%2Fdneu.22554_Table3.tsv</v>
      </c>
      <c r="N455" s="8" t="s">
        <v>562</v>
      </c>
      <c r="O455" s="8" t="s">
        <v>568</v>
      </c>
      <c r="P455" s="8" t="s">
        <v>1392</v>
      </c>
      <c r="Q455" s="8" t="s">
        <v>569</v>
      </c>
      <c r="W455" s="8" t="s">
        <v>564</v>
      </c>
      <c r="AA455" s="8" t="s">
        <v>566</v>
      </c>
      <c r="AB455" s="8" t="s">
        <v>77</v>
      </c>
      <c r="AC455" s="8" t="s">
        <v>567</v>
      </c>
      <c r="AE455" s="8" t="s">
        <v>66</v>
      </c>
    </row>
    <row r="456" spans="1:31" ht="15.75" customHeight="1" x14ac:dyDescent="0.2">
      <c r="A456" s="4" t="s">
        <v>815</v>
      </c>
      <c r="D456" s="4" t="s">
        <v>70</v>
      </c>
      <c r="E456" s="4" t="str">
        <f t="shared" si="138"/>
        <v>Karlsen</v>
      </c>
      <c r="F456" s="4" t="str">
        <f t="shared" si="176"/>
        <v>Pakkenberg</v>
      </c>
      <c r="G456" s="4" t="str">
        <f t="shared" si="139"/>
        <v>2011</v>
      </c>
      <c r="H456" s="4" t="str">
        <f t="shared" si="140"/>
        <v>Karlsen_Pakkenberg_2011</v>
      </c>
      <c r="I456" s="4" t="str">
        <f t="shared" si="177"/>
        <v>10.1093%2Fcercor%2Fbhr033</v>
      </c>
      <c r="J456" s="4" t="str">
        <f t="shared" si="141"/>
        <v>Karlsen_Pakkenberg_2011_Table2</v>
      </c>
      <c r="K456" t="str">
        <f t="shared" si="178"/>
        <v>10.1093%2Fcercor%2Fbhr033_Table2</v>
      </c>
      <c r="L456" t="str">
        <f t="array" ref="L456">IFERROR(INDEX(AUTO_Public_TSV_FileList!$A$1:$A$1000,MATCH(TRUE(),EXACT(K456,IFERROR(_xlfn.TEXTBEFORE(AUTO_Public_TSV_FileList!$A$1:$A$1000,".tsv"),"")),0)),"notfound")</f>
        <v>10.1093%2Fcercor%2Fbhr033_Table2.tsv</v>
      </c>
      <c r="N456" s="8" t="s">
        <v>829</v>
      </c>
      <c r="O456" s="8" t="s">
        <v>828</v>
      </c>
      <c r="P456" s="8" t="s">
        <v>1393</v>
      </c>
      <c r="Q456" s="8" t="s">
        <v>830</v>
      </c>
      <c r="W456" s="8" t="s">
        <v>564</v>
      </c>
      <c r="AA456" s="8" t="s">
        <v>832</v>
      </c>
      <c r="AB456" s="8" t="s">
        <v>90</v>
      </c>
      <c r="AC456" s="8" t="s">
        <v>822</v>
      </c>
      <c r="AE456" s="8" t="s">
        <v>66</v>
      </c>
    </row>
    <row r="457" spans="1:31" ht="15.75" customHeight="1" x14ac:dyDescent="0.2">
      <c r="A457" s="4" t="s">
        <v>815</v>
      </c>
      <c r="D457" s="4" t="s">
        <v>816</v>
      </c>
      <c r="E457" s="4" t="str">
        <f t="shared" si="138"/>
        <v>Karlsen</v>
      </c>
      <c r="F457" s="4" t="str">
        <f t="shared" si="176"/>
        <v>Pakkenberg</v>
      </c>
      <c r="G457" s="4" t="str">
        <f t="shared" si="139"/>
        <v>2011</v>
      </c>
      <c r="H457" s="4" t="str">
        <f t="shared" si="140"/>
        <v>Karlsen_Pakkenberg_2011</v>
      </c>
      <c r="I457" s="4" t="str">
        <f t="shared" si="177"/>
        <v>10.1093%2Fcercor%2Fbhr033</v>
      </c>
      <c r="J457" s="4" t="str">
        <f t="shared" si="141"/>
        <v>Karlsen_Pakkenberg_2011_authordata(groupmeans)</v>
      </c>
      <c r="K457" t="str">
        <f t="shared" si="178"/>
        <v>10.1093%2Fcercor%2Fbhr033_authordata(groupmeans)</v>
      </c>
      <c r="L457" t="str">
        <f t="array" ref="L457">IFERROR(INDEX(AUTO_Public_TSV_FileList!$A$1:$A$1000,MATCH(TRUE(),EXACT(K457,IFERROR(_xlfn.TEXTBEFORE(AUTO_Public_TSV_FileList!$A$1:$A$1000,".tsv"),"")),0)),"notfound")</f>
        <v>notfound</v>
      </c>
      <c r="N457" s="8" t="s">
        <v>818</v>
      </c>
      <c r="O457" s="8" t="s">
        <v>817</v>
      </c>
      <c r="P457" s="8" t="s">
        <v>1394</v>
      </c>
      <c r="Q457" s="8" t="s">
        <v>819</v>
      </c>
      <c r="W457" s="8" t="s">
        <v>564</v>
      </c>
      <c r="AA457" s="8" t="s">
        <v>566</v>
      </c>
      <c r="AB457" s="8" t="s">
        <v>821</v>
      </c>
      <c r="AC457" s="8" t="s">
        <v>822</v>
      </c>
      <c r="AE457" s="8" t="s">
        <v>66</v>
      </c>
    </row>
    <row r="458" spans="1:31" ht="15.75" customHeight="1" x14ac:dyDescent="0.2">
      <c r="A458" s="4" t="s">
        <v>815</v>
      </c>
      <c r="D458" s="4" t="s">
        <v>823</v>
      </c>
      <c r="E458" s="4" t="str">
        <f t="shared" si="138"/>
        <v>Karlsen</v>
      </c>
      <c r="F458" s="4" t="str">
        <f t="shared" si="176"/>
        <v>Pakkenberg</v>
      </c>
      <c r="G458" s="4" t="str">
        <f t="shared" si="139"/>
        <v>2011</v>
      </c>
      <c r="H458" s="4" t="str">
        <f t="shared" si="140"/>
        <v>Karlsen_Pakkenberg_2011</v>
      </c>
      <c r="I458" s="4" t="str">
        <f t="shared" si="177"/>
        <v>10.1093%2Fcercor%2Fbhr033</v>
      </c>
      <c r="J458" s="4" t="str">
        <f t="shared" si="141"/>
        <v>Karlsen_Pakkenberg_2011_reportedvalues</v>
      </c>
      <c r="K458" t="str">
        <f t="shared" si="178"/>
        <v>10.1093%2Fcercor%2Fbhr033_reportedvalues</v>
      </c>
      <c r="L458" t="str">
        <f t="array" ref="L458">IFERROR(INDEX(AUTO_Public_TSV_FileList!$A$1:$A$1000,MATCH(TRUE(),EXACT(K458,IFERROR(_xlfn.TEXTBEFORE(AUTO_Public_TSV_FileList!$A$1:$A$1000,".tsv"),"")),0)),"notfound")</f>
        <v>10.1093%2Fcercor%2Fbhr033_reportedvalues.tsv</v>
      </c>
      <c r="N458" s="8" t="s">
        <v>825</v>
      </c>
      <c r="O458" s="8" t="s">
        <v>824</v>
      </c>
      <c r="P458" s="8" t="s">
        <v>1395</v>
      </c>
      <c r="Q458" s="8" t="s">
        <v>826</v>
      </c>
      <c r="W458" s="8" t="s">
        <v>564</v>
      </c>
      <c r="AA458" s="8" t="s">
        <v>566</v>
      </c>
      <c r="AB458" s="8" t="s">
        <v>821</v>
      </c>
      <c r="AC458" s="8" t="s">
        <v>822</v>
      </c>
      <c r="AE458" s="8" t="s">
        <v>66</v>
      </c>
    </row>
    <row r="459" spans="1:31" ht="15.75" customHeight="1" x14ac:dyDescent="0.2">
      <c r="A459" s="4" t="s">
        <v>1351</v>
      </c>
      <c r="D459" s="4" t="s">
        <v>1352</v>
      </c>
      <c r="E459" s="4" t="str">
        <f t="shared" si="138"/>
        <v>Walhovd</v>
      </c>
      <c r="F459" s="4" t="str">
        <f t="shared" si="176"/>
        <v>etal</v>
      </c>
      <c r="G459" s="4" t="str">
        <f t="shared" si="139"/>
        <v>2011</v>
      </c>
      <c r="H459" s="4" t="str">
        <f t="shared" si="140"/>
        <v>Walhovd_etal_2011</v>
      </c>
      <c r="I459" s="4" t="str">
        <f t="shared" si="177"/>
        <v>10.1016%2Fj.neurobiolaging.2009.05.013</v>
      </c>
      <c r="J459" s="4" t="str">
        <f t="shared" si="141"/>
        <v>Walhovd_etal_2011_normativevolumes</v>
      </c>
      <c r="K459" t="str">
        <f t="shared" si="178"/>
        <v>10.1016%2Fj.neurobiolaging.2009.05.013_normativevolumes</v>
      </c>
      <c r="L459" t="str">
        <f t="array" ref="L459">IFERROR(INDEX(AUTO_Public_TSV_FileList!$A$1:$A$1000,MATCH(TRUE(),EXACT(K459,IFERROR(_xlfn.TEXTBEFORE(AUTO_Public_TSV_FileList!$A$1:$A$1000,".tsv"),"")),0)),"notfound")</f>
        <v>10.1016%2Fj.neurobiolaging.2009.05.013_normativevolumes.tsv</v>
      </c>
      <c r="N459" s="8" t="s">
        <v>1354</v>
      </c>
      <c r="O459" s="8" t="s">
        <v>1353</v>
      </c>
      <c r="P459" s="8" t="s">
        <v>1396</v>
      </c>
      <c r="Q459" s="8" t="s">
        <v>1355</v>
      </c>
      <c r="W459" s="8" t="s">
        <v>564</v>
      </c>
      <c r="AA459" s="8" t="s">
        <v>967</v>
      </c>
      <c r="AB459" s="8" t="s">
        <v>90</v>
      </c>
      <c r="AC459" s="8" t="s">
        <v>1357</v>
      </c>
      <c r="AE459" s="8" t="s">
        <v>172</v>
      </c>
    </row>
    <row r="460" spans="1:31" ht="15.75" customHeight="1" x14ac:dyDescent="0.2">
      <c r="A460" s="4" t="s">
        <v>956</v>
      </c>
      <c r="D460" s="4" t="s">
        <v>957</v>
      </c>
      <c r="E460" s="4" t="str">
        <f t="shared" si="138"/>
        <v>Mackes</v>
      </c>
      <c r="F460" s="4" t="str">
        <f t="shared" si="176"/>
        <v>etal</v>
      </c>
      <c r="G460" s="4" t="str">
        <f t="shared" si="139"/>
        <v>2020</v>
      </c>
      <c r="H460" s="4" t="str">
        <f t="shared" si="140"/>
        <v>Mackes_etal_2020</v>
      </c>
      <c r="I460" s="4" t="str">
        <f t="shared" si="177"/>
        <v>10.1073%2Fpnas.1911264116</v>
      </c>
      <c r="J460" s="4" t="str">
        <f t="shared" si="141"/>
        <v>Mackes_etal_2020_ERABIS(cortical)</v>
      </c>
      <c r="K460" t="str">
        <f t="shared" si="178"/>
        <v>10.1073%2Fpnas.1911264116_ERABIS(cortical)</v>
      </c>
      <c r="L460" t="str">
        <f t="array" ref="L460">IFERROR(INDEX(AUTO_Public_TSV_FileList!$A$1:$A$1000,MATCH(TRUE(),EXACT(K460,IFERROR(_xlfn.TEXTBEFORE(AUTO_Public_TSV_FileList!$A$1:$A$1000,".tsv"),"")),0)),"notfound")</f>
        <v>notfound</v>
      </c>
      <c r="N460" s="8" t="s">
        <v>818</v>
      </c>
      <c r="O460" s="8" t="s">
        <v>958</v>
      </c>
      <c r="P460" s="8" t="s">
        <v>1397</v>
      </c>
      <c r="Q460" s="8" t="s">
        <v>959</v>
      </c>
      <c r="W460" s="8" t="s">
        <v>564</v>
      </c>
      <c r="AA460" s="8" t="s">
        <v>961</v>
      </c>
      <c r="AB460" s="8" t="s">
        <v>90</v>
      </c>
      <c r="AC460" s="8" t="s">
        <v>962</v>
      </c>
      <c r="AE460" s="8" t="s">
        <v>66</v>
      </c>
    </row>
    <row r="461" spans="1:31" ht="15.75" customHeight="1" x14ac:dyDescent="0.2">
      <c r="A461" s="4" t="s">
        <v>956</v>
      </c>
      <c r="D461" s="4" t="s">
        <v>963</v>
      </c>
      <c r="E461" s="4" t="str">
        <f t="shared" si="138"/>
        <v>Mackes</v>
      </c>
      <c r="F461" s="4" t="str">
        <f t="shared" si="176"/>
        <v>etal</v>
      </c>
      <c r="G461" s="4" t="str">
        <f t="shared" si="139"/>
        <v>2020</v>
      </c>
      <c r="H461" s="4" t="str">
        <f t="shared" si="140"/>
        <v>Mackes_etal_2020</v>
      </c>
      <c r="I461" s="4" t="str">
        <f t="shared" si="177"/>
        <v>10.1073%2Fpnas.1911264116</v>
      </c>
      <c r="J461" s="4" t="str">
        <f t="shared" si="141"/>
        <v>Mackes_etal_2020_subcortical</v>
      </c>
      <c r="K461" t="str">
        <f t="shared" si="178"/>
        <v>10.1073%2Fpnas.1911264116_subcortical</v>
      </c>
      <c r="L461" t="str">
        <f t="array" ref="L461">IFERROR(INDEX(AUTO_Public_TSV_FileList!$A$1:$A$1000,MATCH(TRUE(),EXACT(K461,IFERROR(_xlfn.TEXTBEFORE(AUTO_Public_TSV_FileList!$A$1:$A$1000,".tsv"),"")),0)),"notfound")</f>
        <v>10.1073%2Fpnas.1911264116_subcortical.tsv</v>
      </c>
      <c r="N461" s="8" t="s">
        <v>818</v>
      </c>
      <c r="O461" s="8" t="s">
        <v>964</v>
      </c>
      <c r="P461" s="8" t="s">
        <v>1397</v>
      </c>
      <c r="Q461" s="8" t="s">
        <v>965</v>
      </c>
      <c r="W461" s="8" t="s">
        <v>564</v>
      </c>
      <c r="AA461" s="8" t="s">
        <v>967</v>
      </c>
      <c r="AB461" s="8" t="s">
        <v>90</v>
      </c>
      <c r="AC461" s="8" t="s">
        <v>962</v>
      </c>
      <c r="AE461" s="8" t="s">
        <v>66</v>
      </c>
    </row>
  </sheetData>
  <autoFilter ref="A1:AP449" xr:uid="{00000000-0001-0000-0000-000000000000}"/>
  <phoneticPr fontId="7" type="noConversion"/>
  <hyperlinks>
    <hyperlink ref="R141" r:id="rId1" xr:uid="{00000000-0004-0000-0000-000000000000}"/>
    <hyperlink ref="R269" r:id="rId2" xr:uid="{00000000-0004-0000-0000-000001000000}"/>
    <hyperlink ref="R299" r:id="rId3" xr:uid="{00000000-0004-0000-0000-000002000000}"/>
    <hyperlink ref="R325" r:id="rId4" xr:uid="{00000000-0004-0000-0000-000003000000}"/>
    <hyperlink ref="R48" r:id="rId5" xr:uid="{00000000-0004-0000-0000-000004000000}"/>
    <hyperlink ref="R49" r:id="rId6" xr:uid="{00000000-0004-0000-0000-000005000000}"/>
    <hyperlink ref="R112" r:id="rId7" xr:uid="{00000000-0004-0000-0000-000006000000}"/>
    <hyperlink ref="R113" r:id="rId8" xr:uid="{00000000-0004-0000-0000-000007000000}"/>
    <hyperlink ref="R114" r:id="rId9" xr:uid="{00000000-0004-0000-0000-000008000000}"/>
    <hyperlink ref="R184" r:id="rId10" xr:uid="{00000000-0004-0000-0000-000009000000}"/>
    <hyperlink ref="R185" r:id="rId11" xr:uid="{00000000-0004-0000-0000-00000A000000}"/>
    <hyperlink ref="R193" r:id="rId12" xr:uid="{00000000-0004-0000-0000-00000B000000}"/>
    <hyperlink ref="R194"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workbookViewId="0">
      <selection activeCell="AF7" sqref="AF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6" t="s">
        <v>0</v>
      </c>
      <c r="B1" s="16" t="s">
        <v>1</v>
      </c>
      <c r="C1" s="16" t="s">
        <v>2</v>
      </c>
      <c r="D1" s="16" t="s">
        <v>3</v>
      </c>
      <c r="E1" s="13" t="s">
        <v>4</v>
      </c>
      <c r="F1" s="13" t="s">
        <v>5</v>
      </c>
      <c r="G1" s="13" t="s">
        <v>6</v>
      </c>
      <c r="H1" s="13" t="s">
        <v>7</v>
      </c>
      <c r="I1" s="13" t="s">
        <v>8</v>
      </c>
      <c r="J1" s="13" t="s">
        <v>9</v>
      </c>
      <c r="K1" s="13" t="s">
        <v>10</v>
      </c>
      <c r="L1" s="13" t="s">
        <v>11</v>
      </c>
      <c r="M1" s="16" t="s">
        <v>12</v>
      </c>
      <c r="N1" s="16" t="s">
        <v>13</v>
      </c>
      <c r="O1" s="16" t="s">
        <v>14</v>
      </c>
      <c r="P1" s="16" t="s">
        <v>15</v>
      </c>
      <c r="Q1" s="16" t="s">
        <v>16</v>
      </c>
      <c r="R1" s="16" t="s">
        <v>17</v>
      </c>
      <c r="S1" s="16" t="s">
        <v>18</v>
      </c>
      <c r="T1" s="16" t="s">
        <v>19</v>
      </c>
      <c r="U1" s="16" t="s">
        <v>20</v>
      </c>
      <c r="V1" s="16" t="s">
        <v>21</v>
      </c>
      <c r="W1" s="1" t="s">
        <v>22</v>
      </c>
      <c r="X1" s="16" t="s">
        <v>23</v>
      </c>
      <c r="Y1" s="16" t="s">
        <v>24</v>
      </c>
      <c r="Z1" s="1" t="s">
        <v>25</v>
      </c>
      <c r="AA1" s="16" t="s">
        <v>26</v>
      </c>
      <c r="AB1" s="16" t="s">
        <v>27</v>
      </c>
      <c r="AC1" s="16" t="s">
        <v>28</v>
      </c>
      <c r="AD1" s="16" t="s">
        <v>29</v>
      </c>
      <c r="AE1" s="16" t="s">
        <v>30</v>
      </c>
      <c r="AF1" s="1" t="s">
        <v>31</v>
      </c>
      <c r="AG1" s="14" t="s">
        <v>32</v>
      </c>
    </row>
    <row r="2" spans="1:33" ht="16" customHeight="1" x14ac:dyDescent="0.2">
      <c r="A2" s="17" t="s">
        <v>1398</v>
      </c>
      <c r="B2" s="11"/>
      <c r="C2" s="11"/>
      <c r="D2" s="17" t="s">
        <v>81</v>
      </c>
      <c r="E2" s="13" t="str">
        <f t="shared" ref="E2:E17" si="0">SUBSTITUTE(SUBSTITUTE(_xlfn.TEXTBEFORE(A2,","), "-", ""), " ", "")</f>
        <v>Changizi</v>
      </c>
      <c r="F2" s="1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3" t="str">
        <f t="shared" ref="G2:G17" si="2">_xlfn.TEXTBEFORE(_xlfn.TEXTAFTER(A2, "("), ")")</f>
        <v>2005</v>
      </c>
      <c r="H2" s="13" t="str">
        <f t="shared" ref="H2:H17" si="3">E2 &amp; IF(F2&lt;&gt;"", "_" &amp; F2, "_") &amp; IF(G2&lt;&gt;"", "_" &amp; G2, "_") &amp; IF(B2&lt;&gt;"", "_" &amp; B2, "")</f>
        <v>Changizi_He_2005</v>
      </c>
      <c r="I2" s="13" t="str">
        <f t="shared" ref="I2:I17" si="4">_xlfn.LET(
_xlpm.doi,IF(C2&lt;&gt;"",C2,_xlfn.TEXTAFTER(A2,"https://doi.org/")),
SUBSTITUTE(
SUBSTITUTE(
SUBSTITUTE(
SUBSTITUTE(
_xlpm.doi,
"/","%2F"),
":","%3A"),
"&lt;","%3C"),
"&gt;","%3E")
)</f>
        <v>10.1002%2Fcplx.20085</v>
      </c>
      <c r="J2" s="13" t="str">
        <f t="shared" ref="J2:J17" si="5">TRIM(_xlfn.TEXTJOIN("_",FALSE(),H2,(SUBSTITUTE(SUBSTITUTE(D2," ",""), "_", ""))))</f>
        <v>Changizi_He_2005_Table1</v>
      </c>
      <c r="K2" s="13" t="str">
        <f t="shared" ref="K2:K17" si="6">I2 &amp; "_" &amp; SUBSTITUTE(SUBSTITUTE(SUBSTITUTE(D2,CHAR(160),"")," ",""),"_","")</f>
        <v>10.1002%2Fcplx.20085_Table1</v>
      </c>
      <c r="L2" s="13" t="str">
        <f t="array" ref="L2">IFERROR(INDEX(AUTO_Public_TSV_FileList!$A$1:$A$1000,MATCH(TRUE(),EXACT(K2,IFERROR(_xlfn.TEXTBEFORE(AUTO_Public_TSV_FileList!$A$1:$A$1000,".tsv"),"")),0)),"notfound")</f>
        <v>notfound</v>
      </c>
      <c r="M2" s="11" t="s">
        <v>1399</v>
      </c>
      <c r="N2" s="17" t="s">
        <v>1400</v>
      </c>
      <c r="O2" s="11" t="s">
        <v>1401</v>
      </c>
      <c r="Q2" s="11"/>
      <c r="R2" s="11" t="s">
        <v>1402</v>
      </c>
      <c r="S2" s="11" t="s">
        <v>324</v>
      </c>
      <c r="T2" s="11" t="s">
        <v>325</v>
      </c>
      <c r="U2" s="11"/>
      <c r="V2" s="11" t="s">
        <v>731</v>
      </c>
      <c r="W2" s="17"/>
      <c r="X2" s="11" t="s">
        <v>1403</v>
      </c>
      <c r="Y2" s="11" t="s">
        <v>1403</v>
      </c>
      <c r="Z2" s="11"/>
      <c r="AA2" s="11"/>
      <c r="AB2" s="17" t="s">
        <v>1404</v>
      </c>
      <c r="AC2" s="11"/>
      <c r="AD2" s="11"/>
      <c r="AE2" s="17" t="s">
        <v>172</v>
      </c>
      <c r="AF2" s="17"/>
      <c r="AG2" s="14" t="s">
        <v>1405</v>
      </c>
    </row>
    <row r="3" spans="1:33" ht="16" customHeight="1" x14ac:dyDescent="0.2">
      <c r="A3" s="17" t="s">
        <v>1398</v>
      </c>
      <c r="B3" s="11"/>
      <c r="C3" s="11"/>
      <c r="D3" s="17" t="s">
        <v>70</v>
      </c>
      <c r="E3" s="13" t="str">
        <f t="shared" si="0"/>
        <v>Changizi</v>
      </c>
      <c r="F3" s="13" t="str">
        <f t="shared" si="1"/>
        <v>He</v>
      </c>
      <c r="G3" s="13" t="str">
        <f t="shared" si="2"/>
        <v>2005</v>
      </c>
      <c r="H3" s="13" t="str">
        <f t="shared" si="3"/>
        <v>Changizi_He_2005</v>
      </c>
      <c r="I3" s="13" t="str">
        <f t="shared" si="4"/>
        <v>10.1002%2Fcplx.20085</v>
      </c>
      <c r="J3" s="13" t="str">
        <f t="shared" si="5"/>
        <v>Changizi_He_2005_Table2</v>
      </c>
      <c r="K3" s="13" t="str">
        <f t="shared" si="6"/>
        <v>10.1002%2Fcplx.20085_Table2</v>
      </c>
      <c r="L3" s="13" t="str">
        <f t="array" ref="L3">IFERROR(INDEX(AUTO_Public_TSV_FileList!$A$1:$A$1000,MATCH(TRUE(),EXACT(K3,IFERROR(_xlfn.TEXTBEFORE(AUTO_Public_TSV_FileList!$A$1:$A$1000,".tsv"),"")),0)),"notfound")</f>
        <v>notfound</v>
      </c>
      <c r="M3" s="11" t="s">
        <v>1406</v>
      </c>
      <c r="N3" s="17" t="s">
        <v>1400</v>
      </c>
      <c r="O3" s="11" t="s">
        <v>1407</v>
      </c>
      <c r="Q3" s="11"/>
      <c r="R3" s="11" t="s">
        <v>1402</v>
      </c>
      <c r="S3" s="11" t="s">
        <v>324</v>
      </c>
      <c r="T3" s="11" t="s">
        <v>325</v>
      </c>
      <c r="U3" s="11"/>
      <c r="V3" s="11" t="s">
        <v>731</v>
      </c>
      <c r="W3" s="17"/>
      <c r="X3" s="11" t="s">
        <v>1408</v>
      </c>
      <c r="Y3" s="11" t="s">
        <v>1408</v>
      </c>
      <c r="Z3" s="11"/>
      <c r="AA3" s="11"/>
      <c r="AB3" s="17" t="s">
        <v>1404</v>
      </c>
      <c r="AC3" s="11"/>
      <c r="AD3" s="11"/>
      <c r="AE3" s="17" t="s">
        <v>172</v>
      </c>
      <c r="AF3" s="17"/>
      <c r="AG3" s="14" t="s">
        <v>1409</v>
      </c>
    </row>
    <row r="4" spans="1:33" ht="16" customHeight="1" x14ac:dyDescent="0.2">
      <c r="A4" s="17" t="s">
        <v>1410</v>
      </c>
      <c r="B4" s="11"/>
      <c r="C4" s="11"/>
      <c r="D4" s="17" t="s">
        <v>81</v>
      </c>
      <c r="E4" s="12" t="str">
        <f t="shared" si="0"/>
        <v>Deaner</v>
      </c>
      <c r="F4" s="12" t="str">
        <f t="shared" si="1"/>
        <v>etal</v>
      </c>
      <c r="G4" s="12" t="str">
        <f t="shared" si="2"/>
        <v>2007</v>
      </c>
      <c r="H4" s="12" t="str">
        <f t="shared" si="3"/>
        <v>Deaner_etal_2007</v>
      </c>
      <c r="I4" s="12" t="str">
        <f t="shared" si="4"/>
        <v>10.1159%2F000102973</v>
      </c>
      <c r="J4" s="12" t="str">
        <f t="shared" si="5"/>
        <v>Deaner_etal_2007_Table1</v>
      </c>
      <c r="K4" s="12" t="str">
        <f t="shared" si="6"/>
        <v>10.1159%2F000102973_Table1</v>
      </c>
      <c r="L4" s="12" t="str">
        <f t="array" ref="L4">IFERROR(INDEX(AUTO_Public_TSV_FileList!$A$1:$A$1000,MATCH(TRUE(),EXACT(K4,IFERROR(_xlfn.TEXTBEFORE(AUTO_Public_TSV_FileList!$A$1:$A$1000,".tsv"),"")),0)),"notfound")</f>
        <v>notfound</v>
      </c>
      <c r="M4" s="11" t="s">
        <v>1411</v>
      </c>
      <c r="N4" s="17" t="s">
        <v>1400</v>
      </c>
      <c r="O4" s="11" t="s">
        <v>1412</v>
      </c>
      <c r="Q4" s="11"/>
      <c r="R4" s="11" t="s">
        <v>1413</v>
      </c>
      <c r="S4" s="11" t="s">
        <v>324</v>
      </c>
      <c r="T4" s="11" t="s">
        <v>325</v>
      </c>
      <c r="U4" s="11"/>
      <c r="V4" s="11" t="s">
        <v>731</v>
      </c>
      <c r="W4" s="17" t="s">
        <v>93</v>
      </c>
      <c r="X4" s="11" t="s">
        <v>1414</v>
      </c>
      <c r="Y4" s="11" t="s">
        <v>1414</v>
      </c>
      <c r="Z4" s="11"/>
      <c r="AA4" s="11"/>
      <c r="AB4" s="17" t="s">
        <v>1415</v>
      </c>
      <c r="AC4" s="11"/>
      <c r="AD4" s="11"/>
      <c r="AE4" s="17" t="s">
        <v>172</v>
      </c>
      <c r="AF4" s="17"/>
      <c r="AG4" s="14" t="s">
        <v>1416</v>
      </c>
    </row>
    <row r="5" spans="1:33" ht="16" customHeight="1" x14ac:dyDescent="0.2">
      <c r="A5" s="17" t="s">
        <v>408</v>
      </c>
      <c r="B5" s="11"/>
      <c r="C5" s="11"/>
      <c r="D5" s="17" t="s">
        <v>70</v>
      </c>
      <c r="E5" s="13" t="str">
        <f t="shared" si="0"/>
        <v>Deaner</v>
      </c>
      <c r="F5" s="13" t="str">
        <f t="shared" si="1"/>
        <v>etal</v>
      </c>
      <c r="G5" s="13" t="str">
        <f t="shared" si="2"/>
        <v>2006</v>
      </c>
      <c r="H5" s="13" t="str">
        <f t="shared" si="3"/>
        <v>Deaner_etal_2006</v>
      </c>
      <c r="I5" s="13" t="str">
        <f t="shared" si="4"/>
        <v>10.1177%2F147470490600400114</v>
      </c>
      <c r="J5" s="13" t="str">
        <f t="shared" si="5"/>
        <v>Deaner_etal_2006_Table2</v>
      </c>
      <c r="K5" s="13" t="str">
        <f t="shared" si="6"/>
        <v>10.1177%2F147470490600400114_Table2</v>
      </c>
      <c r="L5" s="13" t="str">
        <f t="array" ref="L5">IFERROR(INDEX(AUTO_Public_TSV_FileList!$A$1:$A$1000,MATCH(TRUE(),EXACT(K5,IFERROR(_xlfn.TEXTBEFORE(AUTO_Public_TSV_FileList!$A$1:$A$1000,".tsv"),"")),0)),"notfound")</f>
        <v>notfound</v>
      </c>
      <c r="M5" s="11" t="s">
        <v>1417</v>
      </c>
      <c r="N5" s="17" t="s">
        <v>1400</v>
      </c>
      <c r="O5" s="11" t="s">
        <v>1418</v>
      </c>
      <c r="Q5" s="11"/>
      <c r="R5" s="11"/>
      <c r="S5" s="11" t="s">
        <v>324</v>
      </c>
      <c r="T5" s="11" t="s">
        <v>325</v>
      </c>
      <c r="U5" s="11"/>
      <c r="V5" s="11" t="s">
        <v>731</v>
      </c>
      <c r="W5" s="17" t="s">
        <v>93</v>
      </c>
      <c r="X5" s="11" t="s">
        <v>1419</v>
      </c>
      <c r="Y5" s="11" t="s">
        <v>1419</v>
      </c>
      <c r="Z5" s="11"/>
      <c r="AA5" s="11"/>
      <c r="AB5" s="17" t="s">
        <v>1420</v>
      </c>
      <c r="AC5" s="11"/>
      <c r="AD5" s="11"/>
      <c r="AE5" s="17" t="s">
        <v>172</v>
      </c>
      <c r="AF5" s="17"/>
      <c r="AG5" s="14" t="s">
        <v>1421</v>
      </c>
    </row>
    <row r="6" spans="1:33" ht="16" customHeight="1" x14ac:dyDescent="0.2">
      <c r="A6" s="17" t="s">
        <v>408</v>
      </c>
      <c r="B6" s="11"/>
      <c r="C6" s="11"/>
      <c r="D6" s="17" t="s">
        <v>72</v>
      </c>
      <c r="E6" s="13" t="str">
        <f t="shared" si="0"/>
        <v>Deaner</v>
      </c>
      <c r="F6" s="13" t="str">
        <f t="shared" si="1"/>
        <v>etal</v>
      </c>
      <c r="G6" s="13" t="str">
        <f t="shared" si="2"/>
        <v>2006</v>
      </c>
      <c r="H6" s="13" t="str">
        <f t="shared" si="3"/>
        <v>Deaner_etal_2006</v>
      </c>
      <c r="I6" s="13" t="str">
        <f t="shared" si="4"/>
        <v>10.1177%2F147470490600400114</v>
      </c>
      <c r="J6" s="13" t="str">
        <f t="shared" si="5"/>
        <v>Deaner_etal_2006_Table3</v>
      </c>
      <c r="K6" s="13" t="str">
        <f t="shared" si="6"/>
        <v>10.1177%2F147470490600400114_Table3</v>
      </c>
      <c r="L6" s="13" t="str">
        <f t="array" ref="L6">IFERROR(INDEX(AUTO_Public_TSV_FileList!$A$1:$A$1000,MATCH(TRUE(),EXACT(K6,IFERROR(_xlfn.TEXTBEFORE(AUTO_Public_TSV_FileList!$A$1:$A$1000,".tsv"),"")),0)),"notfound")</f>
        <v>notfound</v>
      </c>
      <c r="M6" s="11" t="s">
        <v>1422</v>
      </c>
      <c r="N6" s="17" t="s">
        <v>1400</v>
      </c>
      <c r="O6" s="11" t="s">
        <v>1423</v>
      </c>
      <c r="Q6" s="11"/>
      <c r="R6" s="11"/>
      <c r="S6" s="11" t="s">
        <v>324</v>
      </c>
      <c r="T6" s="11" t="s">
        <v>325</v>
      </c>
      <c r="U6" s="11"/>
      <c r="V6" s="11" t="s">
        <v>731</v>
      </c>
      <c r="W6" s="17" t="s">
        <v>93</v>
      </c>
      <c r="X6" s="11" t="s">
        <v>1424</v>
      </c>
      <c r="Y6" s="11" t="s">
        <v>1424</v>
      </c>
      <c r="Z6" s="11"/>
      <c r="AA6" s="11"/>
      <c r="AB6" s="17" t="s">
        <v>1425</v>
      </c>
      <c r="AC6" s="11"/>
      <c r="AD6" s="11"/>
      <c r="AE6" s="17" t="s">
        <v>172</v>
      </c>
      <c r="AF6" s="17"/>
      <c r="AG6" s="14" t="s">
        <v>1426</v>
      </c>
    </row>
    <row r="7" spans="1:33" ht="16" customHeight="1" x14ac:dyDescent="0.2">
      <c r="A7" s="17" t="s">
        <v>1427</v>
      </c>
      <c r="B7" s="11"/>
      <c r="C7" s="11"/>
      <c r="D7" s="17" t="s">
        <v>81</v>
      </c>
      <c r="E7" s="13" t="str">
        <f t="shared" si="0"/>
        <v>Reader</v>
      </c>
      <c r="F7" s="13" t="str">
        <f t="shared" si="1"/>
        <v>Laland</v>
      </c>
      <c r="G7" s="13" t="str">
        <f t="shared" si="2"/>
        <v>2002</v>
      </c>
      <c r="H7" s="13" t="str">
        <f t="shared" si="3"/>
        <v>Reader_Laland_2002</v>
      </c>
      <c r="I7" s="13" t="str">
        <f t="shared" si="4"/>
        <v>10.1073%2Fpnas.062041299</v>
      </c>
      <c r="J7" s="13" t="str">
        <f t="shared" si="5"/>
        <v>Reader_Laland_2002_Table1</v>
      </c>
      <c r="K7" s="13" t="str">
        <f t="shared" si="6"/>
        <v>10.1073%2Fpnas.062041299_Table1</v>
      </c>
      <c r="L7" s="13" t="str">
        <f t="array" ref="L7">IFERROR(INDEX(AUTO_Public_TSV_FileList!$A$1:$A$1000,MATCH(TRUE(),EXACT(K7,IFERROR(_xlfn.TEXTBEFORE(AUTO_Public_TSV_FileList!$A$1:$A$1000,".tsv"),"")),0)),"notfound")</f>
        <v>notfound</v>
      </c>
      <c r="M7" s="11" t="s">
        <v>1428</v>
      </c>
      <c r="N7" s="17" t="s">
        <v>1400</v>
      </c>
      <c r="O7" s="11" t="s">
        <v>1429</v>
      </c>
      <c r="Q7" s="11"/>
      <c r="R7" s="11" t="s">
        <v>1430</v>
      </c>
      <c r="S7" s="11" t="s">
        <v>324</v>
      </c>
      <c r="T7" s="11" t="s">
        <v>325</v>
      </c>
      <c r="U7" s="11"/>
      <c r="V7" s="11" t="s">
        <v>731</v>
      </c>
      <c r="W7" s="17" t="s">
        <v>93</v>
      </c>
      <c r="X7" s="11" t="s">
        <v>1431</v>
      </c>
      <c r="Y7" s="11" t="s">
        <v>1431</v>
      </c>
      <c r="Z7" s="11"/>
      <c r="AA7" s="11"/>
      <c r="AB7" s="17" t="s">
        <v>1432</v>
      </c>
      <c r="AC7" s="11"/>
      <c r="AD7" s="11"/>
      <c r="AE7" s="17" t="s">
        <v>172</v>
      </c>
      <c r="AF7" s="17"/>
      <c r="AG7" s="14" t="s">
        <v>1433</v>
      </c>
    </row>
    <row r="8" spans="1:33" ht="16" customHeight="1" x14ac:dyDescent="0.2">
      <c r="A8" s="17" t="s">
        <v>1434</v>
      </c>
      <c r="B8" s="11"/>
      <c r="C8" s="11"/>
      <c r="D8" s="17" t="s">
        <v>81</v>
      </c>
      <c r="E8" s="13" t="str">
        <f t="shared" si="0"/>
        <v>Reader</v>
      </c>
      <c r="F8" s="13" t="str">
        <f t="shared" si="1"/>
        <v>etal</v>
      </c>
      <c r="G8" s="13" t="str">
        <f t="shared" si="2"/>
        <v>2011</v>
      </c>
      <c r="H8" s="13" t="str">
        <f t="shared" si="3"/>
        <v>Reader_etal_2011</v>
      </c>
      <c r="I8" s="13" t="str">
        <f t="shared" si="4"/>
        <v>10.1098%2Frstb.2010.0342</v>
      </c>
      <c r="J8" s="13" t="str">
        <f t="shared" si="5"/>
        <v>Reader_etal_2011_Table1</v>
      </c>
      <c r="K8" s="13" t="str">
        <f t="shared" si="6"/>
        <v>10.1098%2Frstb.2010.0342_Table1</v>
      </c>
      <c r="L8" s="13" t="str">
        <f t="array" ref="L8">IFERROR(INDEX(AUTO_Public_TSV_FileList!$A$1:$A$1000,MATCH(TRUE(),EXACT(K8,IFERROR(_xlfn.TEXTBEFORE(AUTO_Public_TSV_FileList!$A$1:$A$1000,".tsv"),"")),0)),"notfound")</f>
        <v>notfound</v>
      </c>
      <c r="M8" s="11" t="s">
        <v>1435</v>
      </c>
      <c r="N8" s="17" t="s">
        <v>1400</v>
      </c>
      <c r="O8" s="11" t="s">
        <v>1436</v>
      </c>
      <c r="Q8" s="11"/>
      <c r="R8" s="11" t="s">
        <v>1437</v>
      </c>
      <c r="S8" s="11" t="s">
        <v>324</v>
      </c>
      <c r="T8" s="11" t="s">
        <v>325</v>
      </c>
      <c r="U8" s="11"/>
      <c r="V8" s="11" t="s">
        <v>731</v>
      </c>
      <c r="W8" s="17" t="s">
        <v>93</v>
      </c>
      <c r="X8" s="11" t="s">
        <v>1438</v>
      </c>
      <c r="Y8" s="11" t="s">
        <v>1438</v>
      </c>
      <c r="Z8" s="11"/>
      <c r="AA8" s="11"/>
      <c r="AB8" s="17" t="s">
        <v>1439</v>
      </c>
      <c r="AC8" s="11"/>
      <c r="AD8" s="11"/>
      <c r="AE8" s="17" t="s">
        <v>172</v>
      </c>
      <c r="AF8" s="17"/>
      <c r="AG8" s="14" t="s">
        <v>1440</v>
      </c>
    </row>
    <row r="9" spans="1:33" ht="16" customHeight="1" x14ac:dyDescent="0.2">
      <c r="A9" s="17" t="s">
        <v>1434</v>
      </c>
      <c r="B9" s="11"/>
      <c r="C9" s="11"/>
      <c r="D9" s="17" t="s">
        <v>70</v>
      </c>
      <c r="E9" s="13" t="str">
        <f t="shared" si="0"/>
        <v>Reader</v>
      </c>
      <c r="F9" s="13" t="str">
        <f t="shared" si="1"/>
        <v>etal</v>
      </c>
      <c r="G9" s="13" t="str">
        <f t="shared" si="2"/>
        <v>2011</v>
      </c>
      <c r="H9" s="13" t="str">
        <f t="shared" si="3"/>
        <v>Reader_etal_2011</v>
      </c>
      <c r="I9" s="13" t="str">
        <f t="shared" si="4"/>
        <v>10.1098%2Frstb.2010.0342</v>
      </c>
      <c r="J9" s="13" t="str">
        <f t="shared" si="5"/>
        <v>Reader_etal_2011_Table2</v>
      </c>
      <c r="K9" s="13" t="str">
        <f t="shared" si="6"/>
        <v>10.1098%2Frstb.2010.0342_Table2</v>
      </c>
      <c r="L9" s="13" t="str">
        <f t="array" ref="L9">IFERROR(INDEX(AUTO_Public_TSV_FileList!$A$1:$A$1000,MATCH(TRUE(),EXACT(K9,IFERROR(_xlfn.TEXTBEFORE(AUTO_Public_TSV_FileList!$A$1:$A$1000,".tsv"),"")),0)),"notfound")</f>
        <v>notfound</v>
      </c>
      <c r="M9" s="11" t="s">
        <v>1441</v>
      </c>
      <c r="N9" s="17" t="s">
        <v>1400</v>
      </c>
      <c r="O9" s="11" t="s">
        <v>1442</v>
      </c>
      <c r="Q9" s="11"/>
      <c r="R9" s="11" t="s">
        <v>1437</v>
      </c>
      <c r="S9" s="11" t="s">
        <v>324</v>
      </c>
      <c r="T9" s="11" t="s">
        <v>325</v>
      </c>
      <c r="U9" s="11"/>
      <c r="V9" s="11" t="s">
        <v>731</v>
      </c>
      <c r="W9" s="17" t="s">
        <v>93</v>
      </c>
      <c r="X9" s="11" t="s">
        <v>1443</v>
      </c>
      <c r="Y9" s="11" t="s">
        <v>1443</v>
      </c>
      <c r="Z9" s="11"/>
      <c r="AA9" s="11"/>
      <c r="AB9" s="17" t="s">
        <v>1439</v>
      </c>
      <c r="AC9" s="11"/>
      <c r="AD9" s="11"/>
      <c r="AE9" s="17" t="s">
        <v>172</v>
      </c>
      <c r="AF9" s="17"/>
      <c r="AG9" s="14" t="s">
        <v>1444</v>
      </c>
    </row>
    <row r="10" spans="1:33" ht="16" customHeight="1" x14ac:dyDescent="0.2">
      <c r="A10" s="17" t="s">
        <v>1434</v>
      </c>
      <c r="B10" s="11"/>
      <c r="C10" s="11"/>
      <c r="D10" s="17" t="s">
        <v>72</v>
      </c>
      <c r="E10" s="13" t="str">
        <f t="shared" si="0"/>
        <v>Reader</v>
      </c>
      <c r="F10" s="13" t="str">
        <f t="shared" si="1"/>
        <v>etal</v>
      </c>
      <c r="G10" s="13" t="str">
        <f t="shared" si="2"/>
        <v>2011</v>
      </c>
      <c r="H10" s="13" t="str">
        <f t="shared" si="3"/>
        <v>Reader_etal_2011</v>
      </c>
      <c r="I10" s="13" t="str">
        <f t="shared" si="4"/>
        <v>10.1098%2Frstb.2010.0342</v>
      </c>
      <c r="J10" s="13" t="str">
        <f t="shared" si="5"/>
        <v>Reader_etal_2011_Table3</v>
      </c>
      <c r="K10" s="13" t="str">
        <f t="shared" si="6"/>
        <v>10.1098%2Frstb.2010.0342_Table3</v>
      </c>
      <c r="L10" s="13" t="str">
        <f t="array" ref="L10">IFERROR(INDEX(AUTO_Public_TSV_FileList!$A$1:$A$1000,MATCH(TRUE(),EXACT(K10,IFERROR(_xlfn.TEXTBEFORE(AUTO_Public_TSV_FileList!$A$1:$A$1000,".tsv"),"")),0)),"notfound")</f>
        <v>notfound</v>
      </c>
      <c r="M10" s="11" t="s">
        <v>1445</v>
      </c>
      <c r="N10" s="17" t="s">
        <v>1400</v>
      </c>
      <c r="O10" s="11" t="s">
        <v>1446</v>
      </c>
      <c r="Q10" s="11"/>
      <c r="R10" s="11" t="s">
        <v>1437</v>
      </c>
      <c r="S10" s="11" t="s">
        <v>324</v>
      </c>
      <c r="T10" s="11" t="s">
        <v>325</v>
      </c>
      <c r="U10" s="11"/>
      <c r="V10" s="11" t="s">
        <v>731</v>
      </c>
      <c r="W10" s="17" t="s">
        <v>93</v>
      </c>
      <c r="X10" s="11" t="s">
        <v>1447</v>
      </c>
      <c r="Y10" s="11" t="s">
        <v>1447</v>
      </c>
      <c r="Z10" s="11"/>
      <c r="AA10" s="11"/>
      <c r="AB10" s="17" t="s">
        <v>1448</v>
      </c>
      <c r="AC10" s="11"/>
      <c r="AD10" s="11"/>
      <c r="AE10" s="17" t="s">
        <v>172</v>
      </c>
      <c r="AF10" s="17"/>
      <c r="AG10" s="14" t="s">
        <v>1449</v>
      </c>
    </row>
    <row r="11" spans="1:33" ht="16" customHeight="1" x14ac:dyDescent="0.2">
      <c r="A11" s="17" t="s">
        <v>1434</v>
      </c>
      <c r="B11" s="11"/>
      <c r="C11" s="11"/>
      <c r="D11" s="17" t="s">
        <v>34</v>
      </c>
      <c r="E11" s="13" t="str">
        <f t="shared" si="0"/>
        <v>Reader</v>
      </c>
      <c r="F11" s="13" t="str">
        <f t="shared" si="1"/>
        <v>etal</v>
      </c>
      <c r="G11" s="13" t="str">
        <f t="shared" si="2"/>
        <v>2011</v>
      </c>
      <c r="H11" s="13" t="str">
        <f t="shared" si="3"/>
        <v>Reader_etal_2011</v>
      </c>
      <c r="I11" s="13" t="str">
        <f t="shared" si="4"/>
        <v>10.1098%2Frstb.2010.0342</v>
      </c>
      <c r="J11" s="13" t="str">
        <f t="shared" si="5"/>
        <v>Reader_etal_2011_Table4</v>
      </c>
      <c r="K11" s="13" t="str">
        <f t="shared" si="6"/>
        <v>10.1098%2Frstb.2010.0342_Table4</v>
      </c>
      <c r="L11" s="13" t="str">
        <f t="array" ref="L11">IFERROR(INDEX(AUTO_Public_TSV_FileList!$A$1:$A$1000,MATCH(TRUE(),EXACT(K11,IFERROR(_xlfn.TEXTBEFORE(AUTO_Public_TSV_FileList!$A$1:$A$1000,".tsv"),"")),0)),"notfound")</f>
        <v>notfound</v>
      </c>
      <c r="M11" s="11" t="s">
        <v>1450</v>
      </c>
      <c r="N11" s="17" t="s">
        <v>1400</v>
      </c>
      <c r="O11" s="11" t="s">
        <v>1451</v>
      </c>
      <c r="Q11" s="11"/>
      <c r="R11" s="11" t="s">
        <v>1437</v>
      </c>
      <c r="S11" s="11" t="s">
        <v>324</v>
      </c>
      <c r="T11" s="11" t="s">
        <v>325</v>
      </c>
      <c r="U11" s="11"/>
      <c r="V11" s="11" t="s">
        <v>731</v>
      </c>
      <c r="W11" s="17" t="s">
        <v>93</v>
      </c>
      <c r="X11" s="11" t="s">
        <v>1452</v>
      </c>
      <c r="Y11" s="11" t="s">
        <v>1452</v>
      </c>
      <c r="Z11" s="11"/>
      <c r="AA11" s="11"/>
      <c r="AB11" s="17" t="s">
        <v>1415</v>
      </c>
      <c r="AC11" s="11"/>
      <c r="AD11" s="11"/>
      <c r="AE11" s="17" t="s">
        <v>172</v>
      </c>
      <c r="AF11" s="17"/>
      <c r="AG11" s="14" t="s">
        <v>1453</v>
      </c>
    </row>
    <row r="12" spans="1:33" ht="16" customHeight="1" x14ac:dyDescent="0.2">
      <c r="A12" s="17" t="s">
        <v>1454</v>
      </c>
      <c r="B12" s="11"/>
      <c r="C12" s="11"/>
      <c r="D12" s="17" t="s">
        <v>81</v>
      </c>
      <c r="E12" s="13" t="str">
        <f t="shared" si="0"/>
        <v>Shultz</v>
      </c>
      <c r="F12" s="13" t="str">
        <f t="shared" si="1"/>
        <v>Dunbar</v>
      </c>
      <c r="G12" s="13" t="str">
        <f t="shared" si="2"/>
        <v>2010</v>
      </c>
      <c r="H12" s="13" t="str">
        <f t="shared" si="3"/>
        <v>Shultz_Dunbar_2010</v>
      </c>
      <c r="I12" s="13" t="str">
        <f t="shared" si="4"/>
        <v>10.1037%2Fa0018894</v>
      </c>
      <c r="J12" s="13" t="str">
        <f t="shared" si="5"/>
        <v>Shultz_Dunbar_2010_Table1</v>
      </c>
      <c r="K12" s="13" t="str">
        <f t="shared" si="6"/>
        <v>10.1037%2Fa0018894_Table1</v>
      </c>
      <c r="L12" s="13" t="str">
        <f t="array" ref="L12">IFERROR(INDEX(AUTO_Public_TSV_FileList!$A$1:$A$1000,MATCH(TRUE(),EXACT(K12,IFERROR(_xlfn.TEXTBEFORE(AUTO_Public_TSV_FileList!$A$1:$A$1000,".tsv"),"")),0)),"notfound")</f>
        <v>notfound</v>
      </c>
      <c r="M12" s="11" t="s">
        <v>1455</v>
      </c>
      <c r="N12" s="17" t="s">
        <v>1400</v>
      </c>
      <c r="O12" s="11" t="s">
        <v>1456</v>
      </c>
      <c r="Q12" s="11"/>
      <c r="R12" s="11" t="s">
        <v>1457</v>
      </c>
      <c r="S12" s="11" t="s">
        <v>324</v>
      </c>
      <c r="T12" s="11" t="s">
        <v>325</v>
      </c>
      <c r="U12" s="11"/>
      <c r="V12" s="11" t="s">
        <v>731</v>
      </c>
      <c r="W12" s="17" t="s">
        <v>93</v>
      </c>
      <c r="X12" s="11" t="s">
        <v>1458</v>
      </c>
      <c r="Y12" s="11" t="s">
        <v>1458</v>
      </c>
      <c r="Z12" s="11"/>
      <c r="AA12" s="11"/>
      <c r="AB12" s="17" t="s">
        <v>1459</v>
      </c>
      <c r="AC12" s="11"/>
      <c r="AD12" s="11"/>
      <c r="AE12" s="17" t="s">
        <v>172</v>
      </c>
      <c r="AF12" s="17"/>
      <c r="AG12" s="14" t="s">
        <v>1460</v>
      </c>
    </row>
    <row r="13" spans="1:33" ht="16" customHeight="1" x14ac:dyDescent="0.2">
      <c r="A13" s="17" t="s">
        <v>1454</v>
      </c>
      <c r="B13" s="11"/>
      <c r="C13" s="11"/>
      <c r="D13" s="17" t="s">
        <v>70</v>
      </c>
      <c r="E13" s="13" t="str">
        <f t="shared" si="0"/>
        <v>Shultz</v>
      </c>
      <c r="F13" s="13" t="str">
        <f t="shared" si="1"/>
        <v>Dunbar</v>
      </c>
      <c r="G13" s="13" t="str">
        <f t="shared" si="2"/>
        <v>2010</v>
      </c>
      <c r="H13" s="13" t="str">
        <f t="shared" si="3"/>
        <v>Shultz_Dunbar_2010</v>
      </c>
      <c r="I13" s="13" t="str">
        <f t="shared" si="4"/>
        <v>10.1037%2Fa0018894</v>
      </c>
      <c r="J13" s="13" t="str">
        <f t="shared" si="5"/>
        <v>Shultz_Dunbar_2010_Table2</v>
      </c>
      <c r="K13" s="13" t="str">
        <f t="shared" si="6"/>
        <v>10.1037%2Fa0018894_Table2</v>
      </c>
      <c r="L13" s="13" t="str">
        <f t="array" ref="L13">IFERROR(INDEX(AUTO_Public_TSV_FileList!$A$1:$A$1000,MATCH(TRUE(),EXACT(K13,IFERROR(_xlfn.TEXTBEFORE(AUTO_Public_TSV_FileList!$A$1:$A$1000,".tsv"),"")),0)),"notfound")</f>
        <v>notfound</v>
      </c>
      <c r="M13" s="11" t="s">
        <v>1461</v>
      </c>
      <c r="N13" s="17" t="s">
        <v>1400</v>
      </c>
      <c r="O13" s="11" t="s">
        <v>1462</v>
      </c>
      <c r="Q13" s="11"/>
      <c r="R13" s="11" t="s">
        <v>1457</v>
      </c>
      <c r="S13" s="11" t="s">
        <v>324</v>
      </c>
      <c r="T13" s="11" t="s">
        <v>325</v>
      </c>
      <c r="U13" s="11"/>
      <c r="V13" s="11" t="s">
        <v>731</v>
      </c>
      <c r="W13" s="17" t="s">
        <v>93</v>
      </c>
      <c r="X13" s="11" t="s">
        <v>1463</v>
      </c>
      <c r="Y13" s="11" t="s">
        <v>1463</v>
      </c>
      <c r="Z13" s="11"/>
      <c r="AA13" s="11"/>
      <c r="AB13" s="17" t="s">
        <v>1464</v>
      </c>
      <c r="AC13" s="11"/>
      <c r="AD13" s="11"/>
      <c r="AE13" s="17" t="s">
        <v>172</v>
      </c>
      <c r="AF13" s="17"/>
      <c r="AG13" s="14" t="s">
        <v>1465</v>
      </c>
    </row>
    <row r="14" spans="1:33" ht="16" customHeight="1" x14ac:dyDescent="0.2">
      <c r="A14" s="17" t="s">
        <v>1454</v>
      </c>
      <c r="B14" s="11"/>
      <c r="C14" s="11"/>
      <c r="D14" s="17" t="s">
        <v>72</v>
      </c>
      <c r="E14" s="13" t="str">
        <f t="shared" si="0"/>
        <v>Shultz</v>
      </c>
      <c r="F14" s="13" t="str">
        <f t="shared" si="1"/>
        <v>Dunbar</v>
      </c>
      <c r="G14" s="13" t="str">
        <f t="shared" si="2"/>
        <v>2010</v>
      </c>
      <c r="H14" s="13" t="str">
        <f t="shared" si="3"/>
        <v>Shultz_Dunbar_2010</v>
      </c>
      <c r="I14" s="13" t="str">
        <f t="shared" si="4"/>
        <v>10.1037%2Fa0018894</v>
      </c>
      <c r="J14" s="13" t="str">
        <f t="shared" si="5"/>
        <v>Shultz_Dunbar_2010_Table3</v>
      </c>
      <c r="K14" s="13" t="str">
        <f t="shared" si="6"/>
        <v>10.1037%2Fa0018894_Table3</v>
      </c>
      <c r="L14" s="13" t="str">
        <f t="array" ref="L14">IFERROR(INDEX(AUTO_Public_TSV_FileList!$A$1:$A$1000,MATCH(TRUE(),EXACT(K14,IFERROR(_xlfn.TEXTBEFORE(AUTO_Public_TSV_FileList!$A$1:$A$1000,".tsv"),"")),0)),"notfound")</f>
        <v>notfound</v>
      </c>
      <c r="M14" s="11" t="s">
        <v>1466</v>
      </c>
      <c r="N14" s="17" t="s">
        <v>1400</v>
      </c>
      <c r="O14" s="11" t="s">
        <v>1462</v>
      </c>
      <c r="Q14" s="11"/>
      <c r="R14" s="11" t="s">
        <v>1457</v>
      </c>
      <c r="S14" s="11" t="s">
        <v>324</v>
      </c>
      <c r="T14" s="11" t="s">
        <v>325</v>
      </c>
      <c r="U14" s="11"/>
      <c r="V14" s="11" t="s">
        <v>731</v>
      </c>
      <c r="W14" s="17" t="s">
        <v>93</v>
      </c>
      <c r="X14" s="11" t="s">
        <v>1467</v>
      </c>
      <c r="Y14" s="11" t="s">
        <v>1467</v>
      </c>
      <c r="Z14" s="11"/>
      <c r="AA14" s="11"/>
      <c r="AB14" s="17" t="s">
        <v>1468</v>
      </c>
      <c r="AC14" s="11"/>
      <c r="AD14" s="11"/>
      <c r="AE14" s="17" t="s">
        <v>172</v>
      </c>
      <c r="AF14" s="17"/>
      <c r="AG14" s="14" t="s">
        <v>1469</v>
      </c>
    </row>
    <row r="15" spans="1:33" ht="16" customHeight="1" x14ac:dyDescent="0.2">
      <c r="A15" s="17" t="s">
        <v>1454</v>
      </c>
      <c r="B15" s="11"/>
      <c r="C15" s="11"/>
      <c r="D15" s="17" t="s">
        <v>34</v>
      </c>
      <c r="E15" s="13" t="str">
        <f t="shared" si="0"/>
        <v>Shultz</v>
      </c>
      <c r="F15" s="13" t="str">
        <f t="shared" si="1"/>
        <v>Dunbar</v>
      </c>
      <c r="G15" s="13" t="str">
        <f t="shared" si="2"/>
        <v>2010</v>
      </c>
      <c r="H15" s="13" t="str">
        <f t="shared" si="3"/>
        <v>Shultz_Dunbar_2010</v>
      </c>
      <c r="I15" s="13" t="str">
        <f t="shared" si="4"/>
        <v>10.1037%2Fa0018894</v>
      </c>
      <c r="J15" s="13" t="str">
        <f t="shared" si="5"/>
        <v>Shultz_Dunbar_2010_Table4</v>
      </c>
      <c r="K15" s="13" t="str">
        <f t="shared" si="6"/>
        <v>10.1037%2Fa0018894_Table4</v>
      </c>
      <c r="L15" s="13" t="str">
        <f t="array" ref="L15">IFERROR(INDEX(AUTO_Public_TSV_FileList!$A$1:$A$1000,MATCH(TRUE(),EXACT(K15,IFERROR(_xlfn.TEXTBEFORE(AUTO_Public_TSV_FileList!$A$1:$A$1000,".tsv"),"")),0)),"notfound")</f>
        <v>notfound</v>
      </c>
      <c r="M15" s="11" t="s">
        <v>1470</v>
      </c>
      <c r="N15" s="17" t="s">
        <v>1400</v>
      </c>
      <c r="O15" s="11" t="s">
        <v>1471</v>
      </c>
      <c r="Q15" s="11"/>
      <c r="R15" s="11" t="s">
        <v>1457</v>
      </c>
      <c r="S15" s="11" t="s">
        <v>324</v>
      </c>
      <c r="T15" s="11" t="s">
        <v>325</v>
      </c>
      <c r="U15" s="11"/>
      <c r="V15" s="11" t="s">
        <v>731</v>
      </c>
      <c r="W15" s="17" t="s">
        <v>93</v>
      </c>
      <c r="X15" s="11" t="s">
        <v>1472</v>
      </c>
      <c r="Y15" s="11" t="s">
        <v>1472</v>
      </c>
      <c r="Z15" s="11"/>
      <c r="AA15" s="11"/>
      <c r="AB15" s="17" t="s">
        <v>1448</v>
      </c>
      <c r="AC15" s="11"/>
      <c r="AD15" s="11"/>
      <c r="AE15" s="17" t="s">
        <v>172</v>
      </c>
      <c r="AF15" s="17"/>
      <c r="AG15" s="14" t="s">
        <v>1469</v>
      </c>
    </row>
    <row r="16" spans="1:33" ht="16" customHeight="1" x14ac:dyDescent="0.2">
      <c r="A16" s="17" t="s">
        <v>1454</v>
      </c>
      <c r="B16" s="11"/>
      <c r="C16" s="11"/>
      <c r="D16" s="17" t="s">
        <v>74</v>
      </c>
      <c r="E16" s="13" t="str">
        <f t="shared" si="0"/>
        <v>Shultz</v>
      </c>
      <c r="F16" s="13" t="str">
        <f t="shared" si="1"/>
        <v>Dunbar</v>
      </c>
      <c r="G16" s="13" t="str">
        <f t="shared" si="2"/>
        <v>2010</v>
      </c>
      <c r="H16" s="13" t="str">
        <f t="shared" si="3"/>
        <v>Shultz_Dunbar_2010</v>
      </c>
      <c r="I16" s="13" t="str">
        <f t="shared" si="4"/>
        <v>10.1037%2Fa0018894</v>
      </c>
      <c r="J16" s="13" t="str">
        <f t="shared" si="5"/>
        <v>Shultz_Dunbar_2010_Table5</v>
      </c>
      <c r="K16" s="13" t="str">
        <f t="shared" si="6"/>
        <v>10.1037%2Fa0018894_Table5</v>
      </c>
      <c r="L16" s="13" t="str">
        <f t="array" ref="L16">IFERROR(INDEX(AUTO_Public_TSV_FileList!$A$1:$A$1000,MATCH(TRUE(),EXACT(K16,IFERROR(_xlfn.TEXTBEFORE(AUTO_Public_TSV_FileList!$A$1:$A$1000,".tsv"),"")),0)),"notfound")</f>
        <v>notfound</v>
      </c>
      <c r="M16" s="11" t="s">
        <v>1473</v>
      </c>
      <c r="N16" s="17" t="s">
        <v>1400</v>
      </c>
      <c r="O16" s="11" t="s">
        <v>1474</v>
      </c>
      <c r="Q16" s="11"/>
      <c r="R16" s="11" t="s">
        <v>1457</v>
      </c>
      <c r="S16" s="11" t="s">
        <v>324</v>
      </c>
      <c r="T16" s="11" t="s">
        <v>325</v>
      </c>
      <c r="U16" s="11"/>
      <c r="V16" s="11" t="s">
        <v>731</v>
      </c>
      <c r="W16" s="17" t="s">
        <v>93</v>
      </c>
      <c r="X16" s="11" t="s">
        <v>1472</v>
      </c>
      <c r="Y16" s="11" t="s">
        <v>1472</v>
      </c>
      <c r="Z16" s="11"/>
      <c r="AA16" s="11"/>
      <c r="AB16" s="17" t="s">
        <v>1475</v>
      </c>
      <c r="AC16" s="11"/>
      <c r="AD16" s="11"/>
      <c r="AE16" s="17" t="s">
        <v>172</v>
      </c>
      <c r="AF16" s="17"/>
      <c r="AG16" s="14" t="s">
        <v>1476</v>
      </c>
    </row>
    <row r="17" spans="1:16" ht="16" customHeight="1" x14ac:dyDescent="0.2">
      <c r="A17" s="16" t="s">
        <v>1477</v>
      </c>
      <c r="C17" s="16"/>
      <c r="D17" s="16"/>
      <c r="E17" s="3" t="str">
        <f t="shared" si="0"/>
        <v>Weaver</v>
      </c>
      <c r="F17" s="3" t="str">
        <f t="shared" si="1"/>
        <v/>
      </c>
      <c r="G17" s="3" t="str">
        <f t="shared" si="2"/>
        <v>2005</v>
      </c>
      <c r="H17" s="3" t="str">
        <f t="shared" si="3"/>
        <v>Weaver__2005</v>
      </c>
      <c r="I17" s="3" t="str">
        <f t="shared" si="4"/>
        <v>10.1073%2Fpnas.0500692102</v>
      </c>
      <c r="J17" s="3" t="str">
        <f t="shared" si="5"/>
        <v>Weaver__2005_</v>
      </c>
      <c r="K17" s="3" t="str">
        <f t="shared" si="6"/>
        <v>10.1073%2Fpnas.0500692102_</v>
      </c>
      <c r="L17" s="3" t="str">
        <f t="array" ref="L17">IFERROR(INDEX(AUTO_Public_TSV_FileList!$A$1:$A$1000,MATCH(TRUE(),EXACT(K17,IFERROR(_xlfn.TEXTBEFORE(AUTO_Public_TSV_FileList!$A$1:$A$1000,".tsv"),"")),0)),"notfound")</f>
        <v>notfound</v>
      </c>
      <c r="M17" s="16"/>
      <c r="O17" s="16" t="s">
        <v>1478</v>
      </c>
      <c r="P17" s="14"/>
    </row>
    <row r="18" spans="1:16" ht="16" customHeight="1" x14ac:dyDescent="0.15">
      <c r="E18" s="15"/>
      <c r="F18" s="15"/>
      <c r="G18" s="15"/>
      <c r="H18" s="15"/>
      <c r="I18" s="15"/>
      <c r="J18" s="15"/>
      <c r="K18" s="15"/>
      <c r="L18" s="15"/>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47"/>
  <sheetViews>
    <sheetView workbookViewId="0"/>
  </sheetViews>
  <sheetFormatPr baseColWidth="10" defaultRowHeight="13" x14ac:dyDescent="0.15"/>
  <sheetData>
    <row r="1" spans="1:1" x14ac:dyDescent="0.15">
      <c r="A1" t="s">
        <v>1495</v>
      </c>
    </row>
    <row r="2" spans="1:1" x14ac:dyDescent="0.15">
      <c r="A2" t="s">
        <v>1496</v>
      </c>
    </row>
    <row r="3" spans="1:1" x14ac:dyDescent="0.15">
      <c r="A3" t="s">
        <v>1497</v>
      </c>
    </row>
    <row r="4" spans="1:1" x14ac:dyDescent="0.15">
      <c r="A4" t="s">
        <v>1498</v>
      </c>
    </row>
    <row r="5" spans="1:1" x14ac:dyDescent="0.15">
      <c r="A5" t="s">
        <v>1499</v>
      </c>
    </row>
    <row r="6" spans="1:1" x14ac:dyDescent="0.15">
      <c r="A6" t="s">
        <v>1500</v>
      </c>
    </row>
    <row r="7" spans="1:1" x14ac:dyDescent="0.15">
      <c r="A7" t="s">
        <v>1501</v>
      </c>
    </row>
    <row r="8" spans="1:1" x14ac:dyDescent="0.15">
      <c r="A8" t="s">
        <v>1502</v>
      </c>
    </row>
    <row r="9" spans="1:1" x14ac:dyDescent="0.15">
      <c r="A9" t="s">
        <v>1503</v>
      </c>
    </row>
    <row r="10" spans="1:1" x14ac:dyDescent="0.15">
      <c r="A10" t="s">
        <v>1504</v>
      </c>
    </row>
    <row r="11" spans="1:1" x14ac:dyDescent="0.15">
      <c r="A11" t="s">
        <v>1505</v>
      </c>
    </row>
    <row r="12" spans="1:1" x14ac:dyDescent="0.15">
      <c r="A12" t="s">
        <v>1506</v>
      </c>
    </row>
    <row r="13" spans="1:1" x14ac:dyDescent="0.15">
      <c r="A13" t="s">
        <v>1507</v>
      </c>
    </row>
    <row r="14" spans="1:1" x14ac:dyDescent="0.15">
      <c r="A14" t="s">
        <v>1508</v>
      </c>
    </row>
    <row r="15" spans="1:1" x14ac:dyDescent="0.15">
      <c r="A15" t="s">
        <v>1509</v>
      </c>
    </row>
    <row r="16" spans="1:1" x14ac:dyDescent="0.15">
      <c r="A16" t="s">
        <v>1510</v>
      </c>
    </row>
    <row r="17" spans="1:1" x14ac:dyDescent="0.15">
      <c r="A17" t="s">
        <v>1511</v>
      </c>
    </row>
    <row r="18" spans="1:1" x14ac:dyDescent="0.15">
      <c r="A18" t="s">
        <v>1512</v>
      </c>
    </row>
    <row r="19" spans="1:1" x14ac:dyDescent="0.15">
      <c r="A19" t="s">
        <v>1513</v>
      </c>
    </row>
    <row r="20" spans="1:1" x14ac:dyDescent="0.15">
      <c r="A20" t="s">
        <v>1514</v>
      </c>
    </row>
    <row r="21" spans="1:1" x14ac:dyDescent="0.15">
      <c r="A21" t="s">
        <v>1515</v>
      </c>
    </row>
    <row r="22" spans="1:1" x14ac:dyDescent="0.15">
      <c r="A22" t="s">
        <v>1516</v>
      </c>
    </row>
    <row r="23" spans="1:1" x14ac:dyDescent="0.15">
      <c r="A23" t="s">
        <v>1517</v>
      </c>
    </row>
    <row r="24" spans="1:1" x14ac:dyDescent="0.15">
      <c r="A24" t="s">
        <v>1518</v>
      </c>
    </row>
    <row r="25" spans="1:1" x14ac:dyDescent="0.15">
      <c r="A25" t="s">
        <v>1519</v>
      </c>
    </row>
    <row r="26" spans="1:1" x14ac:dyDescent="0.15">
      <c r="A26" t="s">
        <v>1520</v>
      </c>
    </row>
    <row r="27" spans="1:1" x14ac:dyDescent="0.15">
      <c r="A27" t="s">
        <v>1521</v>
      </c>
    </row>
    <row r="28" spans="1:1" x14ac:dyDescent="0.15">
      <c r="A28" t="s">
        <v>1522</v>
      </c>
    </row>
    <row r="29" spans="1:1" x14ac:dyDescent="0.15">
      <c r="A29" t="s">
        <v>1523</v>
      </c>
    </row>
    <row r="30" spans="1:1" x14ac:dyDescent="0.15">
      <c r="A30" t="s">
        <v>1524</v>
      </c>
    </row>
    <row r="31" spans="1:1" x14ac:dyDescent="0.15">
      <c r="A31" t="s">
        <v>1525</v>
      </c>
    </row>
    <row r="32" spans="1:1" x14ac:dyDescent="0.15">
      <c r="A32" t="s">
        <v>1526</v>
      </c>
    </row>
    <row r="33" spans="1:1" x14ac:dyDescent="0.15">
      <c r="A33" t="s">
        <v>1527</v>
      </c>
    </row>
    <row r="34" spans="1:1" x14ac:dyDescent="0.15">
      <c r="A34" t="s">
        <v>1528</v>
      </c>
    </row>
    <row r="35" spans="1:1" x14ac:dyDescent="0.15">
      <c r="A35" t="s">
        <v>1529</v>
      </c>
    </row>
    <row r="36" spans="1:1" x14ac:dyDescent="0.15">
      <c r="A36" t="s">
        <v>1530</v>
      </c>
    </row>
    <row r="37" spans="1:1" x14ac:dyDescent="0.15">
      <c r="A37" t="s">
        <v>1531</v>
      </c>
    </row>
    <row r="38" spans="1:1" x14ac:dyDescent="0.15">
      <c r="A38" t="s">
        <v>1532</v>
      </c>
    </row>
    <row r="39" spans="1:1" x14ac:dyDescent="0.15">
      <c r="A39" t="s">
        <v>1533</v>
      </c>
    </row>
    <row r="40" spans="1:1" x14ac:dyDescent="0.15">
      <c r="A40" t="s">
        <v>1534</v>
      </c>
    </row>
    <row r="41" spans="1:1" x14ac:dyDescent="0.15">
      <c r="A41" t="s">
        <v>1535</v>
      </c>
    </row>
    <row r="42" spans="1:1" x14ac:dyDescent="0.15">
      <c r="A42" t="s">
        <v>1536</v>
      </c>
    </row>
    <row r="43" spans="1:1" x14ac:dyDescent="0.15">
      <c r="A43" t="s">
        <v>1537</v>
      </c>
    </row>
    <row r="44" spans="1:1" x14ac:dyDescent="0.15">
      <c r="A44" t="s">
        <v>1538</v>
      </c>
    </row>
    <row r="45" spans="1:1" x14ac:dyDescent="0.15">
      <c r="A45" t="s">
        <v>1539</v>
      </c>
    </row>
    <row r="46" spans="1:1" x14ac:dyDescent="0.15">
      <c r="A46" t="s">
        <v>1540</v>
      </c>
    </row>
    <row r="47" spans="1:1" x14ac:dyDescent="0.15">
      <c r="A47" t="s">
        <v>1541</v>
      </c>
    </row>
    <row r="48" spans="1:1" x14ac:dyDescent="0.15">
      <c r="A48" t="s">
        <v>1542</v>
      </c>
    </row>
    <row r="49" spans="1:1" x14ac:dyDescent="0.15">
      <c r="A49" t="s">
        <v>1543</v>
      </c>
    </row>
    <row r="50" spans="1:1" x14ac:dyDescent="0.15">
      <c r="A50" t="s">
        <v>1544</v>
      </c>
    </row>
    <row r="51" spans="1:1" x14ac:dyDescent="0.15">
      <c r="A51" t="s">
        <v>1545</v>
      </c>
    </row>
    <row r="52" spans="1:1" x14ac:dyDescent="0.15">
      <c r="A52" t="s">
        <v>1546</v>
      </c>
    </row>
    <row r="53" spans="1:1" x14ac:dyDescent="0.15">
      <c r="A53" t="s">
        <v>1547</v>
      </c>
    </row>
    <row r="54" spans="1:1" x14ac:dyDescent="0.15">
      <c r="A54" t="s">
        <v>1548</v>
      </c>
    </row>
    <row r="55" spans="1:1" x14ac:dyDescent="0.15">
      <c r="A55" t="s">
        <v>1549</v>
      </c>
    </row>
    <row r="56" spans="1:1" x14ac:dyDescent="0.15">
      <c r="A56" t="s">
        <v>1550</v>
      </c>
    </row>
    <row r="57" spans="1:1" x14ac:dyDescent="0.15">
      <c r="A57" t="s">
        <v>1551</v>
      </c>
    </row>
    <row r="58" spans="1:1" x14ac:dyDescent="0.15">
      <c r="A58" t="s">
        <v>1552</v>
      </c>
    </row>
    <row r="59" spans="1:1" x14ac:dyDescent="0.15">
      <c r="A59" t="s">
        <v>1553</v>
      </c>
    </row>
    <row r="60" spans="1:1" x14ac:dyDescent="0.15">
      <c r="A60" t="s">
        <v>1554</v>
      </c>
    </row>
    <row r="61" spans="1:1" x14ac:dyDescent="0.15">
      <c r="A61" t="s">
        <v>1555</v>
      </c>
    </row>
    <row r="62" spans="1:1" x14ac:dyDescent="0.15">
      <c r="A62" t="s">
        <v>1556</v>
      </c>
    </row>
    <row r="63" spans="1:1" x14ac:dyDescent="0.15">
      <c r="A63" t="s">
        <v>1557</v>
      </c>
    </row>
    <row r="64" spans="1:1" x14ac:dyDescent="0.15">
      <c r="A64" t="s">
        <v>1558</v>
      </c>
    </row>
    <row r="65" spans="1:1" x14ac:dyDescent="0.15">
      <c r="A65" t="s">
        <v>1559</v>
      </c>
    </row>
    <row r="66" spans="1:1" x14ac:dyDescent="0.15">
      <c r="A66" t="s">
        <v>1560</v>
      </c>
    </row>
    <row r="67" spans="1:1" x14ac:dyDescent="0.15">
      <c r="A67" t="s">
        <v>1561</v>
      </c>
    </row>
    <row r="68" spans="1:1" x14ac:dyDescent="0.15">
      <c r="A68" t="s">
        <v>1562</v>
      </c>
    </row>
    <row r="69" spans="1:1" x14ac:dyDescent="0.15">
      <c r="A69" t="s">
        <v>1563</v>
      </c>
    </row>
    <row r="70" spans="1:1" x14ac:dyDescent="0.15">
      <c r="A70" t="s">
        <v>1564</v>
      </c>
    </row>
    <row r="71" spans="1:1" x14ac:dyDescent="0.15">
      <c r="A71" t="s">
        <v>1565</v>
      </c>
    </row>
    <row r="72" spans="1:1" x14ac:dyDescent="0.15">
      <c r="A72" t="s">
        <v>1566</v>
      </c>
    </row>
    <row r="73" spans="1:1" x14ac:dyDescent="0.15">
      <c r="A73" t="s">
        <v>1567</v>
      </c>
    </row>
    <row r="74" spans="1:1" x14ac:dyDescent="0.15">
      <c r="A74" t="s">
        <v>1568</v>
      </c>
    </row>
    <row r="75" spans="1:1" x14ac:dyDescent="0.15">
      <c r="A75" t="s">
        <v>1569</v>
      </c>
    </row>
    <row r="76" spans="1:1" x14ac:dyDescent="0.15">
      <c r="A76" t="s">
        <v>1570</v>
      </c>
    </row>
    <row r="77" spans="1:1" x14ac:dyDescent="0.15">
      <c r="A77" t="s">
        <v>1571</v>
      </c>
    </row>
    <row r="78" spans="1:1" x14ac:dyDescent="0.15">
      <c r="A78" t="s">
        <v>1572</v>
      </c>
    </row>
    <row r="79" spans="1:1" x14ac:dyDescent="0.15">
      <c r="A79" t="s">
        <v>1573</v>
      </c>
    </row>
    <row r="80" spans="1:1" x14ac:dyDescent="0.15">
      <c r="A80" t="s">
        <v>1574</v>
      </c>
    </row>
    <row r="81" spans="1:1" x14ac:dyDescent="0.15">
      <c r="A81" t="s">
        <v>1575</v>
      </c>
    </row>
    <row r="82" spans="1:1" x14ac:dyDescent="0.15">
      <c r="A82" t="s">
        <v>1576</v>
      </c>
    </row>
    <row r="83" spans="1:1" x14ac:dyDescent="0.15">
      <c r="A83" t="s">
        <v>1577</v>
      </c>
    </row>
    <row r="84" spans="1:1" x14ac:dyDescent="0.15">
      <c r="A84" t="s">
        <v>1578</v>
      </c>
    </row>
    <row r="85" spans="1:1" x14ac:dyDescent="0.15">
      <c r="A85" t="s">
        <v>1579</v>
      </c>
    </row>
    <row r="86" spans="1:1" x14ac:dyDescent="0.15">
      <c r="A86" t="s">
        <v>1580</v>
      </c>
    </row>
    <row r="87" spans="1:1" x14ac:dyDescent="0.15">
      <c r="A87" t="s">
        <v>1581</v>
      </c>
    </row>
    <row r="88" spans="1:1" x14ac:dyDescent="0.15">
      <c r="A88" t="s">
        <v>1582</v>
      </c>
    </row>
    <row r="89" spans="1:1" x14ac:dyDescent="0.15">
      <c r="A89" t="s">
        <v>1583</v>
      </c>
    </row>
    <row r="90" spans="1:1" x14ac:dyDescent="0.15">
      <c r="A90" t="s">
        <v>1584</v>
      </c>
    </row>
    <row r="91" spans="1:1" x14ac:dyDescent="0.15">
      <c r="A91" t="s">
        <v>1585</v>
      </c>
    </row>
    <row r="92" spans="1:1" x14ac:dyDescent="0.15">
      <c r="A92" t="s">
        <v>1586</v>
      </c>
    </row>
    <row r="93" spans="1:1" x14ac:dyDescent="0.15">
      <c r="A93" t="s">
        <v>1587</v>
      </c>
    </row>
    <row r="94" spans="1:1" x14ac:dyDescent="0.15">
      <c r="A94" t="s">
        <v>1588</v>
      </c>
    </row>
    <row r="95" spans="1:1" x14ac:dyDescent="0.15">
      <c r="A95" t="s">
        <v>1589</v>
      </c>
    </row>
    <row r="96" spans="1:1" x14ac:dyDescent="0.15">
      <c r="A96" t="s">
        <v>1590</v>
      </c>
    </row>
    <row r="97" spans="1:1" x14ac:dyDescent="0.15">
      <c r="A97" t="s">
        <v>1591</v>
      </c>
    </row>
    <row r="98" spans="1:1" x14ac:dyDescent="0.15">
      <c r="A98" t="s">
        <v>1592</v>
      </c>
    </row>
    <row r="99" spans="1:1" x14ac:dyDescent="0.15">
      <c r="A99" t="s">
        <v>1593</v>
      </c>
    </row>
    <row r="100" spans="1:1" x14ac:dyDescent="0.15">
      <c r="A100" t="s">
        <v>1594</v>
      </c>
    </row>
    <row r="101" spans="1:1" x14ac:dyDescent="0.15">
      <c r="A101" t="s">
        <v>1595</v>
      </c>
    </row>
    <row r="102" spans="1:1" x14ac:dyDescent="0.15">
      <c r="A102" t="s">
        <v>1596</v>
      </c>
    </row>
    <row r="103" spans="1:1" x14ac:dyDescent="0.15">
      <c r="A103" t="s">
        <v>1597</v>
      </c>
    </row>
    <row r="104" spans="1:1" x14ac:dyDescent="0.15">
      <c r="A104" t="s">
        <v>1598</v>
      </c>
    </row>
    <row r="105" spans="1:1" x14ac:dyDescent="0.15">
      <c r="A105" t="s">
        <v>1599</v>
      </c>
    </row>
    <row r="106" spans="1:1" x14ac:dyDescent="0.15">
      <c r="A106" t="s">
        <v>1600</v>
      </c>
    </row>
    <row r="107" spans="1:1" x14ac:dyDescent="0.15">
      <c r="A107" t="s">
        <v>1601</v>
      </c>
    </row>
    <row r="108" spans="1:1" x14ac:dyDescent="0.15">
      <c r="A108" t="s">
        <v>1602</v>
      </c>
    </row>
    <row r="109" spans="1:1" x14ac:dyDescent="0.15">
      <c r="A109" t="s">
        <v>1603</v>
      </c>
    </row>
    <row r="110" spans="1:1" x14ac:dyDescent="0.15">
      <c r="A110" t="s">
        <v>1604</v>
      </c>
    </row>
    <row r="111" spans="1:1" x14ac:dyDescent="0.15">
      <c r="A111" t="s">
        <v>1605</v>
      </c>
    </row>
    <row r="112" spans="1:1" x14ac:dyDescent="0.15">
      <c r="A112" t="s">
        <v>1606</v>
      </c>
    </row>
    <row r="113" spans="1:1" x14ac:dyDescent="0.15">
      <c r="A113" t="s">
        <v>1607</v>
      </c>
    </row>
    <row r="114" spans="1:1" x14ac:dyDescent="0.15">
      <c r="A114" t="s">
        <v>1608</v>
      </c>
    </row>
    <row r="115" spans="1:1" x14ac:dyDescent="0.15">
      <c r="A115" t="s">
        <v>1609</v>
      </c>
    </row>
    <row r="116" spans="1:1" x14ac:dyDescent="0.15">
      <c r="A116" t="s">
        <v>1610</v>
      </c>
    </row>
    <row r="117" spans="1:1" x14ac:dyDescent="0.15">
      <c r="A117" t="s">
        <v>1611</v>
      </c>
    </row>
    <row r="118" spans="1:1" x14ac:dyDescent="0.15">
      <c r="A118" t="s">
        <v>1612</v>
      </c>
    </row>
    <row r="119" spans="1:1" x14ac:dyDescent="0.15">
      <c r="A119" t="s">
        <v>1613</v>
      </c>
    </row>
    <row r="120" spans="1:1" x14ac:dyDescent="0.15">
      <c r="A120" t="s">
        <v>1614</v>
      </c>
    </row>
    <row r="121" spans="1:1" x14ac:dyDescent="0.15">
      <c r="A121" t="s">
        <v>1615</v>
      </c>
    </row>
    <row r="122" spans="1:1" x14ac:dyDescent="0.15">
      <c r="A122" t="s">
        <v>1616</v>
      </c>
    </row>
    <row r="123" spans="1:1" x14ac:dyDescent="0.15">
      <c r="A123" t="s">
        <v>1617</v>
      </c>
    </row>
    <row r="124" spans="1:1" x14ac:dyDescent="0.15">
      <c r="A124" t="s">
        <v>1618</v>
      </c>
    </row>
    <row r="125" spans="1:1" x14ac:dyDescent="0.15">
      <c r="A125" t="s">
        <v>1619</v>
      </c>
    </row>
    <row r="126" spans="1:1" x14ac:dyDescent="0.15">
      <c r="A126" t="s">
        <v>1620</v>
      </c>
    </row>
    <row r="127" spans="1:1" x14ac:dyDescent="0.15">
      <c r="A127" t="s">
        <v>1621</v>
      </c>
    </row>
    <row r="128" spans="1:1" x14ac:dyDescent="0.15">
      <c r="A128" t="s">
        <v>1622</v>
      </c>
    </row>
    <row r="129" spans="1:1" x14ac:dyDescent="0.15">
      <c r="A129" t="s">
        <v>1623</v>
      </c>
    </row>
    <row r="130" spans="1:1" x14ac:dyDescent="0.15">
      <c r="A130" t="s">
        <v>1624</v>
      </c>
    </row>
    <row r="131" spans="1:1" x14ac:dyDescent="0.15">
      <c r="A131" t="s">
        <v>1625</v>
      </c>
    </row>
    <row r="132" spans="1:1" x14ac:dyDescent="0.15">
      <c r="A132" t="s">
        <v>1626</v>
      </c>
    </row>
    <row r="133" spans="1:1" x14ac:dyDescent="0.15">
      <c r="A133" t="s">
        <v>1627</v>
      </c>
    </row>
    <row r="134" spans="1:1" x14ac:dyDescent="0.15">
      <c r="A134" t="s">
        <v>1628</v>
      </c>
    </row>
    <row r="135" spans="1:1" x14ac:dyDescent="0.15">
      <c r="A135" t="s">
        <v>1629</v>
      </c>
    </row>
    <row r="136" spans="1:1" x14ac:dyDescent="0.15">
      <c r="A136" t="s">
        <v>1630</v>
      </c>
    </row>
    <row r="137" spans="1:1" x14ac:dyDescent="0.15">
      <c r="A137" t="s">
        <v>1631</v>
      </c>
    </row>
    <row r="138" spans="1:1" x14ac:dyDescent="0.15">
      <c r="A138" t="s">
        <v>1632</v>
      </c>
    </row>
    <row r="139" spans="1:1" x14ac:dyDescent="0.15">
      <c r="A139" t="s">
        <v>1633</v>
      </c>
    </row>
    <row r="140" spans="1:1" x14ac:dyDescent="0.15">
      <c r="A140" t="s">
        <v>1634</v>
      </c>
    </row>
    <row r="141" spans="1:1" x14ac:dyDescent="0.15">
      <c r="A141" t="s">
        <v>1635</v>
      </c>
    </row>
    <row r="142" spans="1:1" x14ac:dyDescent="0.15">
      <c r="A142" t="s">
        <v>1636</v>
      </c>
    </row>
    <row r="143" spans="1:1" x14ac:dyDescent="0.15">
      <c r="A143" t="s">
        <v>1637</v>
      </c>
    </row>
    <row r="144" spans="1:1" x14ac:dyDescent="0.15">
      <c r="A144" t="s">
        <v>1638</v>
      </c>
    </row>
    <row r="145" spans="1:1" x14ac:dyDescent="0.15">
      <c r="A145" t="s">
        <v>1639</v>
      </c>
    </row>
    <row r="146" spans="1:1" x14ac:dyDescent="0.15">
      <c r="A146" t="s">
        <v>1640</v>
      </c>
    </row>
    <row r="147" spans="1:1" x14ac:dyDescent="0.15">
      <c r="A147" t="s">
        <v>1641</v>
      </c>
    </row>
    <row r="148" spans="1:1" x14ac:dyDescent="0.15">
      <c r="A148" t="s">
        <v>1642</v>
      </c>
    </row>
    <row r="149" spans="1:1" x14ac:dyDescent="0.15">
      <c r="A149" t="s">
        <v>1643</v>
      </c>
    </row>
    <row r="150" spans="1:1" x14ac:dyDescent="0.15">
      <c r="A150" t="s">
        <v>1644</v>
      </c>
    </row>
    <row r="151" spans="1:1" x14ac:dyDescent="0.15">
      <c r="A151" t="s">
        <v>1645</v>
      </c>
    </row>
    <row r="152" spans="1:1" x14ac:dyDescent="0.15">
      <c r="A152" t="s">
        <v>1646</v>
      </c>
    </row>
    <row r="153" spans="1:1" x14ac:dyDescent="0.15">
      <c r="A153" t="s">
        <v>1647</v>
      </c>
    </row>
    <row r="154" spans="1:1" x14ac:dyDescent="0.15">
      <c r="A154" t="s">
        <v>1648</v>
      </c>
    </row>
    <row r="155" spans="1:1" x14ac:dyDescent="0.15">
      <c r="A155" t="s">
        <v>1649</v>
      </c>
    </row>
    <row r="156" spans="1:1" x14ac:dyDescent="0.15">
      <c r="A156" t="s">
        <v>1650</v>
      </c>
    </row>
    <row r="157" spans="1:1" x14ac:dyDescent="0.15">
      <c r="A157" t="s">
        <v>1651</v>
      </c>
    </row>
    <row r="158" spans="1:1" x14ac:dyDescent="0.15">
      <c r="A158" t="s">
        <v>1652</v>
      </c>
    </row>
    <row r="159" spans="1:1" x14ac:dyDescent="0.15">
      <c r="A159" t="s">
        <v>1653</v>
      </c>
    </row>
    <row r="160" spans="1:1" x14ac:dyDescent="0.15">
      <c r="A160" t="s">
        <v>1654</v>
      </c>
    </row>
    <row r="161" spans="1:1" x14ac:dyDescent="0.15">
      <c r="A161" t="s">
        <v>1655</v>
      </c>
    </row>
    <row r="162" spans="1:1" x14ac:dyDescent="0.15">
      <c r="A162" t="s">
        <v>1656</v>
      </c>
    </row>
    <row r="163" spans="1:1" x14ac:dyDescent="0.15">
      <c r="A163" t="s">
        <v>1657</v>
      </c>
    </row>
    <row r="164" spans="1:1" x14ac:dyDescent="0.15">
      <c r="A164" t="s">
        <v>1658</v>
      </c>
    </row>
    <row r="165" spans="1:1" x14ac:dyDescent="0.15">
      <c r="A165" t="s">
        <v>1659</v>
      </c>
    </row>
    <row r="166" spans="1:1" x14ac:dyDescent="0.15">
      <c r="A166" t="s">
        <v>1660</v>
      </c>
    </row>
    <row r="167" spans="1:1" x14ac:dyDescent="0.15">
      <c r="A167" t="s">
        <v>1661</v>
      </c>
    </row>
    <row r="168" spans="1:1" x14ac:dyDescent="0.15">
      <c r="A168" t="s">
        <v>1662</v>
      </c>
    </row>
    <row r="169" spans="1:1" x14ac:dyDescent="0.15">
      <c r="A169" t="s">
        <v>1663</v>
      </c>
    </row>
    <row r="170" spans="1:1" x14ac:dyDescent="0.15">
      <c r="A170" t="s">
        <v>1664</v>
      </c>
    </row>
    <row r="171" spans="1:1" x14ac:dyDescent="0.15">
      <c r="A171" t="s">
        <v>1665</v>
      </c>
    </row>
    <row r="172" spans="1:1" x14ac:dyDescent="0.15">
      <c r="A172" t="s">
        <v>1666</v>
      </c>
    </row>
    <row r="173" spans="1:1" x14ac:dyDescent="0.15">
      <c r="A173" t="s">
        <v>1667</v>
      </c>
    </row>
    <row r="174" spans="1:1" x14ac:dyDescent="0.15">
      <c r="A174" t="s">
        <v>1668</v>
      </c>
    </row>
    <row r="175" spans="1:1" x14ac:dyDescent="0.15">
      <c r="A175" t="s">
        <v>1669</v>
      </c>
    </row>
    <row r="176" spans="1:1" x14ac:dyDescent="0.15">
      <c r="A176" t="s">
        <v>1670</v>
      </c>
    </row>
    <row r="177" spans="1:1" x14ac:dyDescent="0.15">
      <c r="A177" t="s">
        <v>1671</v>
      </c>
    </row>
    <row r="178" spans="1:1" x14ac:dyDescent="0.15">
      <c r="A178" t="s">
        <v>1672</v>
      </c>
    </row>
    <row r="179" spans="1:1" x14ac:dyDescent="0.15">
      <c r="A179" t="s">
        <v>1673</v>
      </c>
    </row>
    <row r="180" spans="1:1" x14ac:dyDescent="0.15">
      <c r="A180" t="s">
        <v>1674</v>
      </c>
    </row>
    <row r="181" spans="1:1" x14ac:dyDescent="0.15">
      <c r="A181" t="s">
        <v>1675</v>
      </c>
    </row>
    <row r="182" spans="1:1" x14ac:dyDescent="0.15">
      <c r="A182" t="s">
        <v>1676</v>
      </c>
    </row>
    <row r="183" spans="1:1" x14ac:dyDescent="0.15">
      <c r="A183" t="s">
        <v>1677</v>
      </c>
    </row>
    <row r="184" spans="1:1" x14ac:dyDescent="0.15">
      <c r="A184" t="s">
        <v>1678</v>
      </c>
    </row>
    <row r="185" spans="1:1" x14ac:dyDescent="0.15">
      <c r="A185" t="s">
        <v>1679</v>
      </c>
    </row>
    <row r="186" spans="1:1" x14ac:dyDescent="0.15">
      <c r="A186" t="s">
        <v>1680</v>
      </c>
    </row>
    <row r="187" spans="1:1" x14ac:dyDescent="0.15">
      <c r="A187" t="s">
        <v>1681</v>
      </c>
    </row>
    <row r="188" spans="1:1" x14ac:dyDescent="0.15">
      <c r="A188" t="s">
        <v>1682</v>
      </c>
    </row>
    <row r="189" spans="1:1" x14ac:dyDescent="0.15">
      <c r="A189" t="s">
        <v>1683</v>
      </c>
    </row>
    <row r="190" spans="1:1" x14ac:dyDescent="0.15">
      <c r="A190" t="s">
        <v>1684</v>
      </c>
    </row>
    <row r="191" spans="1:1" x14ac:dyDescent="0.15">
      <c r="A191" t="s">
        <v>1685</v>
      </c>
    </row>
    <row r="192" spans="1:1" x14ac:dyDescent="0.15">
      <c r="A192" t="s">
        <v>1686</v>
      </c>
    </row>
    <row r="193" spans="1:1" x14ac:dyDescent="0.15">
      <c r="A193" t="s">
        <v>1687</v>
      </c>
    </row>
    <row r="194" spans="1:1" x14ac:dyDescent="0.15">
      <c r="A194" t="s">
        <v>1688</v>
      </c>
    </row>
    <row r="195" spans="1:1" x14ac:dyDescent="0.15">
      <c r="A195" t="s">
        <v>1689</v>
      </c>
    </row>
    <row r="196" spans="1:1" x14ac:dyDescent="0.15">
      <c r="A196" t="s">
        <v>1690</v>
      </c>
    </row>
    <row r="197" spans="1:1" x14ac:dyDescent="0.15">
      <c r="A197" t="s">
        <v>1691</v>
      </c>
    </row>
    <row r="198" spans="1:1" x14ac:dyDescent="0.15">
      <c r="A198" t="s">
        <v>1692</v>
      </c>
    </row>
    <row r="199" spans="1:1" x14ac:dyDescent="0.15">
      <c r="A199" t="s">
        <v>1693</v>
      </c>
    </row>
    <row r="200" spans="1:1" x14ac:dyDescent="0.15">
      <c r="A200" t="s">
        <v>1694</v>
      </c>
    </row>
    <row r="201" spans="1:1" x14ac:dyDescent="0.15">
      <c r="A201" t="s">
        <v>1695</v>
      </c>
    </row>
    <row r="202" spans="1:1" x14ac:dyDescent="0.15">
      <c r="A202" t="s">
        <v>1696</v>
      </c>
    </row>
    <row r="203" spans="1:1" x14ac:dyDescent="0.15">
      <c r="A203" t="s">
        <v>1697</v>
      </c>
    </row>
    <row r="204" spans="1:1" x14ac:dyDescent="0.15">
      <c r="A204" t="s">
        <v>1698</v>
      </c>
    </row>
    <row r="205" spans="1:1" x14ac:dyDescent="0.15">
      <c r="A205" t="s">
        <v>1699</v>
      </c>
    </row>
    <row r="206" spans="1:1" x14ac:dyDescent="0.15">
      <c r="A206" t="s">
        <v>1700</v>
      </c>
    </row>
    <row r="207" spans="1:1" x14ac:dyDescent="0.15">
      <c r="A207" t="s">
        <v>1701</v>
      </c>
    </row>
    <row r="208" spans="1:1" x14ac:dyDescent="0.15">
      <c r="A208" t="s">
        <v>1702</v>
      </c>
    </row>
    <row r="209" spans="1:1" x14ac:dyDescent="0.15">
      <c r="A209" t="s">
        <v>1703</v>
      </c>
    </row>
    <row r="210" spans="1:1" x14ac:dyDescent="0.15">
      <c r="A210" t="s">
        <v>1704</v>
      </c>
    </row>
    <row r="211" spans="1:1" x14ac:dyDescent="0.15">
      <c r="A211" t="s">
        <v>1705</v>
      </c>
    </row>
    <row r="212" spans="1:1" x14ac:dyDescent="0.15">
      <c r="A212" t="s">
        <v>1706</v>
      </c>
    </row>
    <row r="213" spans="1:1" x14ac:dyDescent="0.15">
      <c r="A213" t="s">
        <v>1707</v>
      </c>
    </row>
    <row r="214" spans="1:1" x14ac:dyDescent="0.15">
      <c r="A214" t="s">
        <v>1708</v>
      </c>
    </row>
    <row r="215" spans="1:1" x14ac:dyDescent="0.15">
      <c r="A215" t="s">
        <v>1709</v>
      </c>
    </row>
    <row r="216" spans="1:1" x14ac:dyDescent="0.15">
      <c r="A216" t="s">
        <v>1710</v>
      </c>
    </row>
    <row r="217" spans="1:1" x14ac:dyDescent="0.15">
      <c r="A217" t="s">
        <v>1711</v>
      </c>
    </row>
    <row r="218" spans="1:1" x14ac:dyDescent="0.15">
      <c r="A218" t="s">
        <v>1712</v>
      </c>
    </row>
    <row r="219" spans="1:1" x14ac:dyDescent="0.15">
      <c r="A219" t="s">
        <v>1713</v>
      </c>
    </row>
    <row r="220" spans="1:1" x14ac:dyDescent="0.15">
      <c r="A220" t="s">
        <v>1714</v>
      </c>
    </row>
    <row r="221" spans="1:1" x14ac:dyDescent="0.15">
      <c r="A221" t="s">
        <v>1715</v>
      </c>
    </row>
    <row r="222" spans="1:1" x14ac:dyDescent="0.15">
      <c r="A222" t="s">
        <v>1716</v>
      </c>
    </row>
    <row r="223" spans="1:1" x14ac:dyDescent="0.15">
      <c r="A223" t="s">
        <v>1717</v>
      </c>
    </row>
    <row r="224" spans="1:1" x14ac:dyDescent="0.15">
      <c r="A224" t="s">
        <v>1718</v>
      </c>
    </row>
    <row r="225" spans="1:1" x14ac:dyDescent="0.15">
      <c r="A225" t="s">
        <v>1719</v>
      </c>
    </row>
    <row r="226" spans="1:1" x14ac:dyDescent="0.15">
      <c r="A226" t="s">
        <v>1720</v>
      </c>
    </row>
    <row r="227" spans="1:1" x14ac:dyDescent="0.15">
      <c r="A227" t="s">
        <v>1721</v>
      </c>
    </row>
    <row r="228" spans="1:1" x14ac:dyDescent="0.15">
      <c r="A228" t="s">
        <v>1722</v>
      </c>
    </row>
    <row r="229" spans="1:1" x14ac:dyDescent="0.15">
      <c r="A229" t="s">
        <v>1723</v>
      </c>
    </row>
    <row r="230" spans="1:1" x14ac:dyDescent="0.15">
      <c r="A230" t="s">
        <v>1724</v>
      </c>
    </row>
    <row r="231" spans="1:1" x14ac:dyDescent="0.15">
      <c r="A231" t="s">
        <v>1725</v>
      </c>
    </row>
    <row r="232" spans="1:1" x14ac:dyDescent="0.15">
      <c r="A232" t="s">
        <v>1726</v>
      </c>
    </row>
    <row r="233" spans="1:1" x14ac:dyDescent="0.15">
      <c r="A233" t="s">
        <v>1727</v>
      </c>
    </row>
    <row r="234" spans="1:1" x14ac:dyDescent="0.15">
      <c r="A234" t="s">
        <v>1728</v>
      </c>
    </row>
    <row r="235" spans="1:1" x14ac:dyDescent="0.15">
      <c r="A235" t="s">
        <v>1729</v>
      </c>
    </row>
    <row r="236" spans="1:1" x14ac:dyDescent="0.15">
      <c r="A236" t="s">
        <v>1730</v>
      </c>
    </row>
    <row r="237" spans="1:1" x14ac:dyDescent="0.15">
      <c r="A237" t="s">
        <v>1731</v>
      </c>
    </row>
    <row r="238" spans="1:1" x14ac:dyDescent="0.15">
      <c r="A238" t="s">
        <v>1732</v>
      </c>
    </row>
    <row r="239" spans="1:1" x14ac:dyDescent="0.15">
      <c r="A239" t="s">
        <v>1733</v>
      </c>
    </row>
    <row r="240" spans="1:1" x14ac:dyDescent="0.15">
      <c r="A240" t="s">
        <v>1734</v>
      </c>
    </row>
    <row r="241" spans="1:1" x14ac:dyDescent="0.15">
      <c r="A241" t="s">
        <v>1735</v>
      </c>
    </row>
    <row r="242" spans="1:1" x14ac:dyDescent="0.15">
      <c r="A242" t="s">
        <v>1736</v>
      </c>
    </row>
    <row r="243" spans="1:1" x14ac:dyDescent="0.15">
      <c r="A243" t="s">
        <v>1737</v>
      </c>
    </row>
    <row r="244" spans="1:1" x14ac:dyDescent="0.15">
      <c r="A244" t="s">
        <v>1738</v>
      </c>
    </row>
    <row r="245" spans="1:1" x14ac:dyDescent="0.15">
      <c r="A245" t="s">
        <v>1739</v>
      </c>
    </row>
    <row r="246" spans="1:1" x14ac:dyDescent="0.15">
      <c r="A246" t="s">
        <v>1740</v>
      </c>
    </row>
    <row r="247" spans="1:1" x14ac:dyDescent="0.15">
      <c r="A247" t="s">
        <v>1741</v>
      </c>
    </row>
    <row r="248" spans="1:1" x14ac:dyDescent="0.15">
      <c r="A248" t="s">
        <v>1742</v>
      </c>
    </row>
    <row r="249" spans="1:1" x14ac:dyDescent="0.15">
      <c r="A249" t="s">
        <v>1743</v>
      </c>
    </row>
    <row r="250" spans="1:1" x14ac:dyDescent="0.15">
      <c r="A250" t="s">
        <v>1744</v>
      </c>
    </row>
    <row r="251" spans="1:1" x14ac:dyDescent="0.15">
      <c r="A251" t="s">
        <v>1745</v>
      </c>
    </row>
    <row r="252" spans="1:1" x14ac:dyDescent="0.15">
      <c r="A252" t="s">
        <v>1746</v>
      </c>
    </row>
    <row r="253" spans="1:1" x14ac:dyDescent="0.15">
      <c r="A253" t="s">
        <v>1747</v>
      </c>
    </row>
    <row r="254" spans="1:1" x14ac:dyDescent="0.15">
      <c r="A254" t="s">
        <v>1748</v>
      </c>
    </row>
    <row r="255" spans="1:1" x14ac:dyDescent="0.15">
      <c r="A255" t="s">
        <v>1749</v>
      </c>
    </row>
    <row r="256" spans="1:1" x14ac:dyDescent="0.15">
      <c r="A256" t="s">
        <v>1750</v>
      </c>
    </row>
    <row r="257" spans="1:1" x14ac:dyDescent="0.15">
      <c r="A257" t="s">
        <v>1751</v>
      </c>
    </row>
    <row r="258" spans="1:1" x14ac:dyDescent="0.15">
      <c r="A258" t="s">
        <v>1752</v>
      </c>
    </row>
    <row r="259" spans="1:1" x14ac:dyDescent="0.15">
      <c r="A259" t="s">
        <v>1753</v>
      </c>
    </row>
    <row r="260" spans="1:1" x14ac:dyDescent="0.15">
      <c r="A260" t="s">
        <v>1754</v>
      </c>
    </row>
    <row r="261" spans="1:1" x14ac:dyDescent="0.15">
      <c r="A261" t="s">
        <v>1755</v>
      </c>
    </row>
    <row r="262" spans="1:1" x14ac:dyDescent="0.15">
      <c r="A262" t="s">
        <v>1756</v>
      </c>
    </row>
    <row r="263" spans="1:1" x14ac:dyDescent="0.15">
      <c r="A263" t="s">
        <v>1757</v>
      </c>
    </row>
    <row r="264" spans="1:1" x14ac:dyDescent="0.15">
      <c r="A264" t="s">
        <v>1758</v>
      </c>
    </row>
    <row r="265" spans="1:1" x14ac:dyDescent="0.15">
      <c r="A265" t="s">
        <v>1759</v>
      </c>
    </row>
    <row r="266" spans="1:1" x14ac:dyDescent="0.15">
      <c r="A266" t="s">
        <v>1760</v>
      </c>
    </row>
    <row r="267" spans="1:1" x14ac:dyDescent="0.15">
      <c r="A267" t="s">
        <v>1761</v>
      </c>
    </row>
    <row r="268" spans="1:1" x14ac:dyDescent="0.15">
      <c r="A268" t="s">
        <v>1762</v>
      </c>
    </row>
    <row r="269" spans="1:1" x14ac:dyDescent="0.15">
      <c r="A269" t="s">
        <v>1763</v>
      </c>
    </row>
    <row r="270" spans="1:1" x14ac:dyDescent="0.15">
      <c r="A270" t="s">
        <v>1764</v>
      </c>
    </row>
    <row r="271" spans="1:1" x14ac:dyDescent="0.15">
      <c r="A271" t="s">
        <v>1765</v>
      </c>
    </row>
    <row r="272" spans="1:1" x14ac:dyDescent="0.15">
      <c r="A272" t="s">
        <v>1766</v>
      </c>
    </row>
    <row r="273" spans="1:1" x14ac:dyDescent="0.15">
      <c r="A273" t="s">
        <v>1767</v>
      </c>
    </row>
    <row r="274" spans="1:1" x14ac:dyDescent="0.15">
      <c r="A274" t="s">
        <v>1768</v>
      </c>
    </row>
    <row r="275" spans="1:1" x14ac:dyDescent="0.15">
      <c r="A275" t="s">
        <v>1769</v>
      </c>
    </row>
    <row r="276" spans="1:1" x14ac:dyDescent="0.15">
      <c r="A276" t="s">
        <v>1770</v>
      </c>
    </row>
    <row r="277" spans="1:1" x14ac:dyDescent="0.15">
      <c r="A277" t="s">
        <v>1771</v>
      </c>
    </row>
    <row r="278" spans="1:1" x14ac:dyDescent="0.15">
      <c r="A278" t="s">
        <v>1772</v>
      </c>
    </row>
    <row r="279" spans="1:1" x14ac:dyDescent="0.15">
      <c r="A279" t="s">
        <v>1773</v>
      </c>
    </row>
    <row r="280" spans="1:1" x14ac:dyDescent="0.15">
      <c r="A280" t="s">
        <v>1774</v>
      </c>
    </row>
    <row r="281" spans="1:1" x14ac:dyDescent="0.15">
      <c r="A281" t="s">
        <v>1775</v>
      </c>
    </row>
    <row r="282" spans="1:1" x14ac:dyDescent="0.15">
      <c r="A282" t="s">
        <v>1776</v>
      </c>
    </row>
    <row r="283" spans="1:1" x14ac:dyDescent="0.15">
      <c r="A283" t="s">
        <v>1777</v>
      </c>
    </row>
    <row r="284" spans="1:1" x14ac:dyDescent="0.15">
      <c r="A284" t="s">
        <v>1778</v>
      </c>
    </row>
    <row r="285" spans="1:1" x14ac:dyDescent="0.15">
      <c r="A285" t="s">
        <v>1779</v>
      </c>
    </row>
    <row r="286" spans="1:1" x14ac:dyDescent="0.15">
      <c r="A286" t="s">
        <v>1780</v>
      </c>
    </row>
    <row r="287" spans="1:1" x14ac:dyDescent="0.15">
      <c r="A287" t="s">
        <v>1781</v>
      </c>
    </row>
    <row r="288" spans="1:1" x14ac:dyDescent="0.15">
      <c r="A288" t="s">
        <v>1782</v>
      </c>
    </row>
    <row r="289" spans="1:1" x14ac:dyDescent="0.15">
      <c r="A289" t="s">
        <v>1783</v>
      </c>
    </row>
    <row r="290" spans="1:1" x14ac:dyDescent="0.15">
      <c r="A290" t="s">
        <v>1784</v>
      </c>
    </row>
    <row r="291" spans="1:1" x14ac:dyDescent="0.15">
      <c r="A291" t="s">
        <v>1785</v>
      </c>
    </row>
    <row r="292" spans="1:1" x14ac:dyDescent="0.15">
      <c r="A292" t="s">
        <v>1786</v>
      </c>
    </row>
    <row r="293" spans="1:1" x14ac:dyDescent="0.15">
      <c r="A293" t="s">
        <v>1787</v>
      </c>
    </row>
    <row r="294" spans="1:1" x14ac:dyDescent="0.15">
      <c r="A294" t="s">
        <v>1788</v>
      </c>
    </row>
    <row r="295" spans="1:1" x14ac:dyDescent="0.15">
      <c r="A295" t="s">
        <v>1789</v>
      </c>
    </row>
    <row r="296" spans="1:1" x14ac:dyDescent="0.15">
      <c r="A296" t="s">
        <v>1790</v>
      </c>
    </row>
    <row r="297" spans="1:1" x14ac:dyDescent="0.15">
      <c r="A297" t="s">
        <v>1791</v>
      </c>
    </row>
    <row r="298" spans="1:1" x14ac:dyDescent="0.15">
      <c r="A298" t="s">
        <v>1792</v>
      </c>
    </row>
    <row r="299" spans="1:1" x14ac:dyDescent="0.15">
      <c r="A299" t="s">
        <v>1793</v>
      </c>
    </row>
    <row r="300" spans="1:1" x14ac:dyDescent="0.15">
      <c r="A300" t="s">
        <v>1794</v>
      </c>
    </row>
    <row r="301" spans="1:1" x14ac:dyDescent="0.15">
      <c r="A301" t="s">
        <v>1795</v>
      </c>
    </row>
    <row r="302" spans="1:1" x14ac:dyDescent="0.15">
      <c r="A302" t="s">
        <v>1796</v>
      </c>
    </row>
    <row r="303" spans="1:1" x14ac:dyDescent="0.15">
      <c r="A303" t="s">
        <v>1797</v>
      </c>
    </row>
    <row r="304" spans="1:1" x14ac:dyDescent="0.15">
      <c r="A304" t="s">
        <v>1798</v>
      </c>
    </row>
    <row r="305" spans="1:1" x14ac:dyDescent="0.15">
      <c r="A305" t="s">
        <v>1799</v>
      </c>
    </row>
    <row r="306" spans="1:1" x14ac:dyDescent="0.15">
      <c r="A306" t="s">
        <v>1800</v>
      </c>
    </row>
    <row r="307" spans="1:1" x14ac:dyDescent="0.15">
      <c r="A307" t="s">
        <v>1801</v>
      </c>
    </row>
    <row r="308" spans="1:1" x14ac:dyDescent="0.15">
      <c r="A308" t="s">
        <v>1802</v>
      </c>
    </row>
    <row r="309" spans="1:1" x14ac:dyDescent="0.15">
      <c r="A309" t="s">
        <v>1803</v>
      </c>
    </row>
    <row r="310" spans="1:1" x14ac:dyDescent="0.15">
      <c r="A310" t="s">
        <v>1804</v>
      </c>
    </row>
    <row r="311" spans="1:1" x14ac:dyDescent="0.15">
      <c r="A311" t="s">
        <v>1805</v>
      </c>
    </row>
    <row r="312" spans="1:1" x14ac:dyDescent="0.15">
      <c r="A312" t="s">
        <v>1806</v>
      </c>
    </row>
    <row r="313" spans="1:1" x14ac:dyDescent="0.15">
      <c r="A313" t="s">
        <v>1807</v>
      </c>
    </row>
    <row r="314" spans="1:1" x14ac:dyDescent="0.15">
      <c r="A314" t="s">
        <v>1808</v>
      </c>
    </row>
    <row r="315" spans="1:1" x14ac:dyDescent="0.15">
      <c r="A315" t="s">
        <v>1809</v>
      </c>
    </row>
    <row r="316" spans="1:1" x14ac:dyDescent="0.15">
      <c r="A316" t="s">
        <v>1810</v>
      </c>
    </row>
    <row r="317" spans="1:1" x14ac:dyDescent="0.15">
      <c r="A317" t="s">
        <v>1811</v>
      </c>
    </row>
    <row r="318" spans="1:1" x14ac:dyDescent="0.15">
      <c r="A318" t="s">
        <v>1812</v>
      </c>
    </row>
    <row r="319" spans="1:1" x14ac:dyDescent="0.15">
      <c r="A319" t="s">
        <v>1813</v>
      </c>
    </row>
    <row r="320" spans="1:1" x14ac:dyDescent="0.15">
      <c r="A320" t="s">
        <v>1814</v>
      </c>
    </row>
    <row r="321" spans="1:1" x14ac:dyDescent="0.15">
      <c r="A321" t="s">
        <v>1815</v>
      </c>
    </row>
    <row r="322" spans="1:1" x14ac:dyDescent="0.15">
      <c r="A322" t="s">
        <v>1816</v>
      </c>
    </row>
    <row r="323" spans="1:1" x14ac:dyDescent="0.15">
      <c r="A323" t="s">
        <v>1817</v>
      </c>
    </row>
    <row r="324" spans="1:1" x14ac:dyDescent="0.15">
      <c r="A324" t="s">
        <v>1818</v>
      </c>
    </row>
    <row r="325" spans="1:1" x14ac:dyDescent="0.15">
      <c r="A325" t="s">
        <v>1819</v>
      </c>
    </row>
    <row r="326" spans="1:1" x14ac:dyDescent="0.15">
      <c r="A326" t="s">
        <v>1820</v>
      </c>
    </row>
    <row r="327" spans="1:1" x14ac:dyDescent="0.15">
      <c r="A327" t="s">
        <v>1821</v>
      </c>
    </row>
    <row r="328" spans="1:1" x14ac:dyDescent="0.15">
      <c r="A328" t="s">
        <v>1822</v>
      </c>
    </row>
    <row r="329" spans="1:1" x14ac:dyDescent="0.15">
      <c r="A329" t="s">
        <v>1823</v>
      </c>
    </row>
    <row r="330" spans="1:1" x14ac:dyDescent="0.15">
      <c r="A330" t="s">
        <v>1824</v>
      </c>
    </row>
    <row r="331" spans="1:1" x14ac:dyDescent="0.15">
      <c r="A331" t="s">
        <v>1825</v>
      </c>
    </row>
    <row r="332" spans="1:1" x14ac:dyDescent="0.15">
      <c r="A332" t="s">
        <v>1826</v>
      </c>
    </row>
    <row r="333" spans="1:1" x14ac:dyDescent="0.15">
      <c r="A333" t="s">
        <v>1827</v>
      </c>
    </row>
    <row r="334" spans="1:1" x14ac:dyDescent="0.15">
      <c r="A334" t="s">
        <v>1828</v>
      </c>
    </row>
    <row r="335" spans="1:1" x14ac:dyDescent="0.15">
      <c r="A335" t="s">
        <v>1829</v>
      </c>
    </row>
    <row r="336" spans="1:1" x14ac:dyDescent="0.15">
      <c r="A336" t="s">
        <v>1830</v>
      </c>
    </row>
    <row r="337" spans="1:1" x14ac:dyDescent="0.15">
      <c r="A337" t="s">
        <v>1831</v>
      </c>
    </row>
    <row r="338" spans="1:1" x14ac:dyDescent="0.15">
      <c r="A338" t="s">
        <v>1832</v>
      </c>
    </row>
    <row r="339" spans="1:1" x14ac:dyDescent="0.15">
      <c r="A339" t="s">
        <v>1833</v>
      </c>
    </row>
    <row r="340" spans="1:1" x14ac:dyDescent="0.15">
      <c r="A340" t="s">
        <v>1834</v>
      </c>
    </row>
    <row r="341" spans="1:1" x14ac:dyDescent="0.15">
      <c r="A341" t="s">
        <v>1835</v>
      </c>
    </row>
    <row r="342" spans="1:1" x14ac:dyDescent="0.15">
      <c r="A342" t="s">
        <v>1836</v>
      </c>
    </row>
    <row r="343" spans="1:1" x14ac:dyDescent="0.15">
      <c r="A343" t="s">
        <v>1837</v>
      </c>
    </row>
    <row r="344" spans="1:1" x14ac:dyDescent="0.15">
      <c r="A344" t="s">
        <v>1838</v>
      </c>
    </row>
    <row r="345" spans="1:1" x14ac:dyDescent="0.15">
      <c r="A345" t="s">
        <v>1839</v>
      </c>
    </row>
    <row r="346" spans="1:1" x14ac:dyDescent="0.15">
      <c r="A346" t="s">
        <v>1840</v>
      </c>
    </row>
    <row r="347" spans="1:1" x14ac:dyDescent="0.15">
      <c r="A347" t="s">
        <v>1841</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B40B080-7AA2-43F2-96AC-16CCCF31CC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053BD05-40F3-47A5-B939-3072F1FA13B8}">
  <ds:schemaRefs>
    <ds:schemaRef ds:uri="http://purl.org/dc/elements/1.1/"/>
    <ds:schemaRef ds:uri="http://schemas.microsoft.com/office/2006/documentManagement/types"/>
    <ds:schemaRef ds:uri="http://purl.org/dc/terms/"/>
    <ds:schemaRef ds:uri="http://schemas.openxmlformats.org/package/2006/metadata/core-properties"/>
    <ds:schemaRef ds:uri="http://schemas.microsoft.com/office/2006/metadata/properties"/>
    <ds:schemaRef ds:uri="3bad6c6a-329d-45e9-b8b0-1ebecc8a8764"/>
    <ds:schemaRef ds:uri="http://purl.org/dc/dcmitype/"/>
    <ds:schemaRef ds:uri="http://schemas.microsoft.com/office/infopath/2007/PartnerControls"/>
    <ds:schemaRef ds:uri="8e1efd23-f4ba-42d2-85fd-6a510437bae6"/>
    <ds:schemaRef ds:uri="http://www.w3.org/XML/1998/namespace"/>
  </ds:schemaRefs>
</ds:datastoreItem>
</file>

<file path=customXml/itemProps3.xml><?xml version="1.0" encoding="utf-8"?>
<ds:datastoreItem xmlns:ds="http://schemas.openxmlformats.org/officeDocument/2006/customXml" ds:itemID="{81EE6647-EB9E-4872-A1A6-4EE7260700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2026-09-21T16:59:42Z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